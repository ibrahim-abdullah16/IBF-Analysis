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Desktop\Impact Calculated for Diff lead time\1d\remal\optimized threshold\"/>
    </mc:Choice>
  </mc:AlternateContent>
  <xr:revisionPtr revIDLastSave="0" documentId="13_ncr:1_{36E690D5-6A96-403E-BB86-47DBB2D19A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al" sheetId="1" r:id="rId1"/>
  </sheets>
  <definedNames>
    <definedName name="_xlnm._FilterDatabase" localSheetId="0" hidden="1">Remal!$A$1:$AK$545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12" i="1" l="1"/>
  <c r="AI12" i="1" l="1"/>
  <c r="AJ11" i="1"/>
  <c r="AI11" i="1"/>
  <c r="AJ9" i="1"/>
  <c r="AI9" i="1"/>
  <c r="AJ8" i="1"/>
  <c r="AI8" i="1"/>
  <c r="AJ7" i="1"/>
  <c r="AI7" i="1"/>
  <c r="AJ6" i="1"/>
  <c r="AI6" i="1"/>
  <c r="AJ5" i="1"/>
  <c r="AI5" i="1"/>
  <c r="AK12" i="1" l="1"/>
  <c r="AK11" i="1"/>
  <c r="P29" i="1" s="1"/>
  <c r="AK9" i="1"/>
  <c r="N271" i="1" s="1"/>
  <c r="AK8" i="1"/>
  <c r="L44" i="1" s="1"/>
  <c r="AK7" i="1"/>
  <c r="J289" i="1" s="1"/>
  <c r="AK6" i="1"/>
  <c r="H301" i="1" s="1"/>
  <c r="AK5" i="1"/>
  <c r="F448" i="1" s="1"/>
  <c r="P23" i="1" l="1"/>
  <c r="H480" i="1"/>
  <c r="F361" i="1"/>
  <c r="H420" i="1"/>
  <c r="F349" i="1"/>
  <c r="H159" i="1"/>
  <c r="F288" i="1"/>
  <c r="H145" i="1"/>
  <c r="F156" i="1"/>
  <c r="H131" i="1"/>
  <c r="H255" i="1"/>
  <c r="H230" i="1"/>
  <c r="F404" i="1"/>
  <c r="H116" i="1"/>
  <c r="F427" i="1"/>
  <c r="L216" i="1"/>
  <c r="H102" i="1"/>
  <c r="H454" i="1"/>
  <c r="L374" i="1"/>
  <c r="H484" i="1"/>
  <c r="H474" i="1"/>
  <c r="L519" i="1"/>
  <c r="H28" i="1"/>
  <c r="H23" i="1"/>
  <c r="L464" i="1"/>
  <c r="H16" i="1"/>
  <c r="F124" i="1"/>
  <c r="F295" i="1"/>
  <c r="H434" i="1"/>
  <c r="F323" i="1"/>
  <c r="F386" i="1"/>
  <c r="H375" i="1"/>
  <c r="F537" i="1"/>
  <c r="H171" i="1"/>
  <c r="J111" i="1"/>
  <c r="L533" i="1"/>
  <c r="L452" i="1"/>
  <c r="J76" i="1"/>
  <c r="L388" i="1"/>
  <c r="L525" i="1"/>
  <c r="L380" i="1"/>
  <c r="J138" i="1"/>
  <c r="L368" i="1"/>
  <c r="J86" i="1"/>
  <c r="L28" i="1"/>
  <c r="L501" i="1"/>
  <c r="L59" i="1"/>
  <c r="L176" i="1"/>
  <c r="J288" i="1"/>
  <c r="J308" i="1"/>
  <c r="L261" i="1"/>
  <c r="J365" i="1"/>
  <c r="J296" i="1"/>
  <c r="L72" i="1"/>
  <c r="L173" i="1"/>
  <c r="L20" i="1"/>
  <c r="J284" i="1"/>
  <c r="L187" i="1"/>
  <c r="L100" i="1"/>
  <c r="L203" i="1"/>
  <c r="L117" i="1"/>
  <c r="F142" i="1"/>
  <c r="H86" i="1"/>
  <c r="F144" i="1"/>
  <c r="J316" i="1"/>
  <c r="J260" i="1"/>
  <c r="H134" i="1"/>
  <c r="J41" i="1"/>
  <c r="J502" i="1"/>
  <c r="L537" i="1"/>
  <c r="L392" i="1"/>
  <c r="J156" i="1"/>
  <c r="J64" i="1"/>
  <c r="L432" i="1"/>
  <c r="J447" i="1"/>
  <c r="J52" i="1"/>
  <c r="L446" i="1"/>
  <c r="L513" i="1"/>
  <c r="J399" i="1"/>
  <c r="J291" i="1"/>
  <c r="L460" i="1"/>
  <c r="L248" i="1"/>
  <c r="J336" i="1"/>
  <c r="J33" i="1"/>
  <c r="L42" i="1"/>
  <c r="L273" i="1"/>
  <c r="L58" i="1"/>
  <c r="L73" i="1"/>
  <c r="L56" i="1"/>
  <c r="L249" i="1"/>
  <c r="J350" i="1"/>
  <c r="L86" i="1"/>
  <c r="L129" i="1"/>
  <c r="J206" i="1"/>
  <c r="J272" i="1"/>
  <c r="L202" i="1"/>
  <c r="L505" i="1"/>
  <c r="L476" i="1"/>
  <c r="F316" i="1"/>
  <c r="H17" i="1"/>
  <c r="F24" i="1"/>
  <c r="J34" i="1"/>
  <c r="J188" i="1"/>
  <c r="H240" i="1"/>
  <c r="J247" i="1"/>
  <c r="J8" i="1"/>
  <c r="J513" i="1"/>
  <c r="J503" i="1"/>
  <c r="J477" i="1"/>
  <c r="J465" i="1"/>
  <c r="J445" i="1"/>
  <c r="J225" i="1"/>
  <c r="J65" i="1"/>
  <c r="J517" i="1"/>
  <c r="J403" i="1"/>
  <c r="J38" i="1"/>
  <c r="J391" i="1"/>
  <c r="J487" i="1"/>
  <c r="J334" i="1"/>
  <c r="J213" i="1"/>
  <c r="J53" i="1"/>
  <c r="F214" i="1"/>
  <c r="H72" i="1"/>
  <c r="F351" i="1"/>
  <c r="H39" i="1"/>
  <c r="F153" i="1"/>
  <c r="H53" i="1"/>
  <c r="F335" i="1"/>
  <c r="J335" i="1"/>
  <c r="J544" i="1"/>
  <c r="J177" i="1"/>
  <c r="J319" i="1"/>
  <c r="H542" i="1"/>
  <c r="L288" i="1"/>
  <c r="L217" i="1"/>
  <c r="L213" i="1"/>
  <c r="L164" i="1"/>
  <c r="H248" i="1"/>
  <c r="H41" i="1"/>
  <c r="F248" i="1"/>
  <c r="H83" i="1"/>
  <c r="J239" i="1"/>
  <c r="J530" i="1"/>
  <c r="J165" i="1"/>
  <c r="J283" i="1"/>
  <c r="J217" i="1"/>
  <c r="P375" i="1"/>
  <c r="F365" i="1"/>
  <c r="H406" i="1"/>
  <c r="H500" i="1"/>
  <c r="H362" i="1"/>
  <c r="H63" i="1"/>
  <c r="J147" i="1"/>
  <c r="L360" i="1"/>
  <c r="L231" i="1"/>
  <c r="L141" i="1"/>
  <c r="L80" i="1"/>
  <c r="H477" i="1"/>
  <c r="H29" i="1"/>
  <c r="F134" i="1"/>
  <c r="H237" i="1"/>
  <c r="J221" i="1"/>
  <c r="J516" i="1"/>
  <c r="J61" i="1"/>
  <c r="J259" i="1"/>
  <c r="J265" i="1"/>
  <c r="P180" i="1"/>
  <c r="J126" i="1"/>
  <c r="J19" i="1"/>
  <c r="J175" i="1"/>
  <c r="F343" i="1"/>
  <c r="J435" i="1"/>
  <c r="H239" i="1"/>
  <c r="F107" i="1"/>
  <c r="H82" i="1"/>
  <c r="H31" i="1"/>
  <c r="F79" i="1"/>
  <c r="F325" i="1"/>
  <c r="H279" i="1"/>
  <c r="F370" i="1"/>
  <c r="H60" i="1"/>
  <c r="H280" i="1"/>
  <c r="F478" i="1"/>
  <c r="J66" i="1"/>
  <c r="J191" i="1"/>
  <c r="J176" i="1"/>
  <c r="L532" i="1"/>
  <c r="L105" i="1"/>
  <c r="H126" i="1"/>
  <c r="H479" i="1"/>
  <c r="H196" i="1"/>
  <c r="F193" i="1"/>
  <c r="F273" i="1"/>
  <c r="J173" i="1"/>
  <c r="J315" i="1"/>
  <c r="J3" i="1"/>
  <c r="J163" i="1"/>
  <c r="F405" i="1"/>
  <c r="J456" i="1"/>
  <c r="F15" i="1"/>
  <c r="L230" i="1"/>
  <c r="L405" i="1"/>
  <c r="L224" i="1"/>
  <c r="H249" i="1"/>
  <c r="H235" i="1"/>
  <c r="H317" i="1"/>
  <c r="F266" i="1"/>
  <c r="F422" i="1"/>
  <c r="F49" i="1"/>
  <c r="F297" i="1"/>
  <c r="J55" i="1"/>
  <c r="J35" i="1"/>
  <c r="J238" i="1"/>
  <c r="J300" i="1"/>
  <c r="J369" i="1"/>
  <c r="J476" i="1"/>
  <c r="J128" i="1"/>
  <c r="J127" i="1"/>
  <c r="J522" i="1"/>
  <c r="F363" i="1"/>
  <c r="L244" i="1"/>
  <c r="L15" i="1"/>
  <c r="L331" i="1"/>
  <c r="L381" i="1"/>
  <c r="L57" i="1"/>
  <c r="L212" i="1"/>
  <c r="H342" i="1"/>
  <c r="H75" i="1"/>
  <c r="H519" i="1"/>
  <c r="H462" i="1"/>
  <c r="H305" i="1"/>
  <c r="H172" i="1"/>
  <c r="F250" i="1"/>
  <c r="F292" i="1"/>
  <c r="F37" i="1"/>
  <c r="J264" i="1"/>
  <c r="F317" i="1"/>
  <c r="J36" i="1"/>
  <c r="J505" i="1"/>
  <c r="J142" i="1"/>
  <c r="J282" i="1"/>
  <c r="J333" i="1"/>
  <c r="J464" i="1"/>
  <c r="J32" i="1"/>
  <c r="J115" i="1"/>
  <c r="H524" i="1"/>
  <c r="J542" i="1"/>
  <c r="F387" i="1"/>
  <c r="P138" i="1"/>
  <c r="F172" i="1"/>
  <c r="F337" i="1"/>
  <c r="F26" i="1"/>
  <c r="F388" i="1"/>
  <c r="H497" i="1"/>
  <c r="F307" i="1"/>
  <c r="H15" i="1"/>
  <c r="J330" i="1"/>
  <c r="L489" i="1"/>
  <c r="H18" i="1"/>
  <c r="F51" i="1"/>
  <c r="H136" i="1"/>
  <c r="F78" i="1"/>
  <c r="F278" i="1"/>
  <c r="F312" i="1"/>
  <c r="J290" i="1"/>
  <c r="F520" i="1"/>
  <c r="J2" i="1"/>
  <c r="J270" i="1"/>
  <c r="J92" i="1"/>
  <c r="J186" i="1"/>
  <c r="J309" i="1"/>
  <c r="J452" i="1"/>
  <c r="J427" i="1"/>
  <c r="J101" i="1"/>
  <c r="F66" i="1"/>
  <c r="H194" i="1"/>
  <c r="F428" i="1"/>
  <c r="F321" i="1"/>
  <c r="H74" i="1"/>
  <c r="H292" i="1"/>
  <c r="H215" i="1"/>
  <c r="H106" i="1"/>
  <c r="H537" i="1"/>
  <c r="H485" i="1"/>
  <c r="F65" i="1"/>
  <c r="F229" i="1"/>
  <c r="H299" i="1"/>
  <c r="J301" i="1"/>
  <c r="J453" i="1"/>
  <c r="L245" i="1"/>
  <c r="L236" i="1"/>
  <c r="H523" i="1"/>
  <c r="H449" i="1"/>
  <c r="F464" i="1"/>
  <c r="J216" i="1"/>
  <c r="J94" i="1"/>
  <c r="J286" i="1"/>
  <c r="J381" i="1"/>
  <c r="J164" i="1"/>
  <c r="H259" i="1"/>
  <c r="L2" i="1"/>
  <c r="L259" i="1"/>
  <c r="L69" i="1"/>
  <c r="H192" i="1"/>
  <c r="H535" i="1"/>
  <c r="H184" i="1"/>
  <c r="J242" i="1"/>
  <c r="F467" i="1"/>
  <c r="L258" i="1"/>
  <c r="L29" i="1"/>
  <c r="L347" i="1"/>
  <c r="L345" i="1"/>
  <c r="L512" i="1"/>
  <c r="L200" i="1"/>
  <c r="H408" i="1"/>
  <c r="H3" i="1"/>
  <c r="H505" i="1"/>
  <c r="H418" i="1"/>
  <c r="H221" i="1"/>
  <c r="L14" i="1"/>
  <c r="L274" i="1"/>
  <c r="L43" i="1"/>
  <c r="L361" i="1"/>
  <c r="L285" i="1"/>
  <c r="L488" i="1"/>
  <c r="L188" i="1"/>
  <c r="F100" i="1"/>
  <c r="H536" i="1"/>
  <c r="H491" i="1"/>
  <c r="H274" i="1"/>
  <c r="H65" i="1"/>
  <c r="H40" i="1"/>
  <c r="F64" i="1"/>
  <c r="F262" i="1"/>
  <c r="F300" i="1"/>
  <c r="J541" i="1"/>
  <c r="F40" i="1"/>
  <c r="J532" i="1"/>
  <c r="J207" i="1"/>
  <c r="J51" i="1"/>
  <c r="J171" i="1"/>
  <c r="J237" i="1"/>
  <c r="J440" i="1"/>
  <c r="J415" i="1"/>
  <c r="J77" i="1"/>
  <c r="F128" i="1"/>
  <c r="H430" i="1"/>
  <c r="H92" i="1"/>
  <c r="N33" i="1"/>
  <c r="N488" i="1"/>
  <c r="N440" i="1"/>
  <c r="N114" i="1"/>
  <c r="N517" i="1"/>
  <c r="N456" i="1"/>
  <c r="N348" i="1"/>
  <c r="N96" i="1"/>
  <c r="N23" i="1"/>
  <c r="P11" i="1"/>
  <c r="P232" i="1"/>
  <c r="P53" i="1"/>
  <c r="P153" i="1"/>
  <c r="P452" i="1"/>
  <c r="P534" i="1"/>
  <c r="P474" i="1"/>
  <c r="P103" i="1"/>
  <c r="P96" i="1"/>
  <c r="P460" i="1"/>
  <c r="P369" i="1"/>
  <c r="P502" i="1"/>
  <c r="P371" i="1"/>
  <c r="P70" i="1"/>
  <c r="P475" i="1"/>
  <c r="P181" i="1"/>
  <c r="P301" i="1"/>
  <c r="P108" i="1"/>
  <c r="P472" i="1"/>
  <c r="P383" i="1"/>
  <c r="P518" i="1"/>
  <c r="P392" i="1"/>
  <c r="P122" i="1"/>
  <c r="P282" i="1"/>
  <c r="P438" i="1"/>
  <c r="P186" i="1"/>
  <c r="P36" i="1"/>
  <c r="P149" i="1"/>
  <c r="P414" i="1"/>
  <c r="P240" i="1"/>
  <c r="P215" i="1"/>
  <c r="P205" i="1"/>
  <c r="P408" i="1"/>
  <c r="P377" i="1"/>
  <c r="P94" i="1"/>
  <c r="P317" i="1"/>
  <c r="P114" i="1"/>
  <c r="P198" i="1"/>
  <c r="P543" i="1"/>
  <c r="P252" i="1"/>
  <c r="P262" i="1"/>
  <c r="P111" i="1"/>
  <c r="P133" i="1"/>
  <c r="P218" i="1"/>
  <c r="P237" i="1"/>
  <c r="P430" i="1"/>
  <c r="N172" i="1"/>
  <c r="N2" i="1"/>
  <c r="N424" i="1"/>
  <c r="N303" i="1"/>
  <c r="N493" i="1"/>
  <c r="N442" i="1"/>
  <c r="N336" i="1"/>
  <c r="N263" i="1"/>
  <c r="N489" i="1"/>
  <c r="P8" i="1"/>
  <c r="N214" i="1"/>
  <c r="N80" i="1"/>
  <c r="N165" i="1"/>
  <c r="N406" i="1"/>
  <c r="N267" i="1"/>
  <c r="N445" i="1"/>
  <c r="N428" i="1"/>
  <c r="N324" i="1"/>
  <c r="N227" i="1"/>
  <c r="N525" i="1"/>
  <c r="P389" i="1"/>
  <c r="N103" i="1"/>
  <c r="N133" i="1"/>
  <c r="N8" i="1"/>
  <c r="N429" i="1"/>
  <c r="N127" i="1"/>
  <c r="N98" i="1"/>
  <c r="N312" i="1"/>
  <c r="N203" i="1"/>
  <c r="N81" i="1"/>
  <c r="P137" i="1"/>
  <c r="N261" i="1"/>
  <c r="N241" i="1"/>
  <c r="N115" i="1"/>
  <c r="N374" i="1"/>
  <c r="N147" i="1"/>
  <c r="N415" i="1"/>
  <c r="N400" i="1"/>
  <c r="N228" i="1"/>
  <c r="N191" i="1"/>
  <c r="P336" i="1"/>
  <c r="P318" i="1"/>
  <c r="P270" i="1"/>
  <c r="N308" i="1"/>
  <c r="N473" i="1"/>
  <c r="N97" i="1"/>
  <c r="N527" i="1"/>
  <c r="N129" i="1"/>
  <c r="N85" i="1"/>
  <c r="N68" i="1"/>
  <c r="N431" i="1"/>
  <c r="N125" i="1"/>
  <c r="P400" i="1"/>
  <c r="N378" i="1"/>
  <c r="N459" i="1"/>
  <c r="N79" i="1"/>
  <c r="N286" i="1"/>
  <c r="N471" i="1"/>
  <c r="N387" i="1"/>
  <c r="N69" i="1"/>
  <c r="N342" i="1"/>
  <c r="N204" i="1"/>
  <c r="N419" i="1"/>
  <c r="N195" i="1"/>
  <c r="P220" i="1"/>
  <c r="N399" i="1"/>
  <c r="N332" i="1"/>
  <c r="N63" i="1"/>
  <c r="N250" i="1"/>
  <c r="N93" i="1"/>
  <c r="N343" i="1"/>
  <c r="N298" i="1"/>
  <c r="N10" i="1"/>
  <c r="N192" i="1"/>
  <c r="N143" i="1"/>
  <c r="N244" i="1"/>
  <c r="P323" i="1"/>
  <c r="N358" i="1"/>
  <c r="N355" i="1"/>
  <c r="N200" i="1"/>
  <c r="N61" i="1"/>
  <c r="N41" i="1"/>
  <c r="N408" i="1"/>
  <c r="N359" i="1"/>
  <c r="N333" i="1"/>
  <c r="F163" i="1"/>
  <c r="F480" i="1"/>
  <c r="F2" i="1"/>
  <c r="F22" i="1"/>
  <c r="P150" i="1"/>
  <c r="P501" i="1"/>
  <c r="P246" i="1"/>
  <c r="P17" i="1"/>
  <c r="N32" i="1"/>
  <c r="N379" i="1"/>
  <c r="N339" i="1"/>
  <c r="N182" i="1"/>
  <c r="N43" i="1"/>
  <c r="N27" i="1"/>
  <c r="N168" i="1"/>
  <c r="N119" i="1"/>
  <c r="H452" i="1"/>
  <c r="H234" i="1"/>
  <c r="H404" i="1"/>
  <c r="H472" i="1"/>
  <c r="F222" i="1"/>
  <c r="F481" i="1"/>
  <c r="H238" i="1"/>
  <c r="F411" i="1"/>
  <c r="P403" i="1"/>
  <c r="P75" i="1"/>
  <c r="F56" i="1"/>
  <c r="H302" i="1"/>
  <c r="F328" i="1"/>
  <c r="F19" i="1"/>
  <c r="F469" i="1"/>
  <c r="F231" i="1"/>
  <c r="F130" i="1"/>
  <c r="H258" i="1"/>
  <c r="P409" i="1"/>
  <c r="P457" i="1"/>
  <c r="P418" i="1"/>
  <c r="P54" i="1"/>
  <c r="P291" i="1"/>
  <c r="N508" i="1"/>
  <c r="N221" i="1"/>
  <c r="N59" i="1"/>
  <c r="N215" i="1"/>
  <c r="N371" i="1"/>
  <c r="N84" i="1"/>
  <c r="N240" i="1"/>
  <c r="N396" i="1"/>
  <c r="N126" i="1"/>
  <c r="N314" i="1"/>
  <c r="N504" i="1"/>
  <c r="N141" i="1"/>
  <c r="N329" i="1"/>
  <c r="N505" i="1"/>
  <c r="N163" i="1"/>
  <c r="N389" i="1"/>
  <c r="N44" i="1"/>
  <c r="N268" i="1"/>
  <c r="N486" i="1"/>
  <c r="N149" i="1"/>
  <c r="N375" i="1"/>
  <c r="N507" i="1"/>
  <c r="N220" i="1"/>
  <c r="N484" i="1"/>
  <c r="N193" i="1"/>
  <c r="N467" i="1"/>
  <c r="N174" i="1"/>
  <c r="N83" i="1"/>
  <c r="N239" i="1"/>
  <c r="N395" i="1"/>
  <c r="N108" i="1"/>
  <c r="N264" i="1"/>
  <c r="N420" i="1"/>
  <c r="N170" i="1"/>
  <c r="N356" i="1"/>
  <c r="N528" i="1"/>
  <c r="N171" i="1"/>
  <c r="N357" i="1"/>
  <c r="N529" i="1"/>
  <c r="N197" i="1"/>
  <c r="N423" i="1"/>
  <c r="N78" i="1"/>
  <c r="N304" i="1"/>
  <c r="N514" i="1"/>
  <c r="N201" i="1"/>
  <c r="N425" i="1"/>
  <c r="N466" i="1"/>
  <c r="N173" i="1"/>
  <c r="N448" i="1"/>
  <c r="N146" i="1"/>
  <c r="N450" i="1"/>
  <c r="N151" i="1"/>
  <c r="N95" i="1"/>
  <c r="N251" i="1"/>
  <c r="N407" i="1"/>
  <c r="N120" i="1"/>
  <c r="N276" i="1"/>
  <c r="N444" i="1"/>
  <c r="N184" i="1"/>
  <c r="N370" i="1"/>
  <c r="N540" i="1"/>
  <c r="N185" i="1"/>
  <c r="N373" i="1"/>
  <c r="N541" i="1"/>
  <c r="N217" i="1"/>
  <c r="N439" i="1"/>
  <c r="N94" i="1"/>
  <c r="N320" i="1"/>
  <c r="N544" i="1"/>
  <c r="N219" i="1"/>
  <c r="N441" i="1"/>
  <c r="N449" i="1"/>
  <c r="N150" i="1"/>
  <c r="N422" i="1"/>
  <c r="N123" i="1"/>
  <c r="N310" i="1"/>
  <c r="N71" i="1"/>
  <c r="N287" i="1"/>
  <c r="N48" i="1"/>
  <c r="N252" i="1"/>
  <c r="N40" i="1"/>
  <c r="N270" i="1"/>
  <c r="N516" i="1"/>
  <c r="N229" i="1"/>
  <c r="N469" i="1"/>
  <c r="N181" i="1"/>
  <c r="N499" i="1"/>
  <c r="N218" i="1"/>
  <c r="N500" i="1"/>
  <c r="N269" i="1"/>
  <c r="N531" i="1"/>
  <c r="N194" i="1"/>
  <c r="N352" i="1"/>
  <c r="N265" i="1"/>
  <c r="N107" i="1"/>
  <c r="N311" i="1"/>
  <c r="N60" i="1"/>
  <c r="N300" i="1"/>
  <c r="N54" i="1"/>
  <c r="N284" i="1"/>
  <c r="N13" i="1"/>
  <c r="N243" i="1"/>
  <c r="N481" i="1"/>
  <c r="N233" i="1"/>
  <c r="N513" i="1"/>
  <c r="N234" i="1"/>
  <c r="N9" i="1"/>
  <c r="N289" i="1"/>
  <c r="N545" i="1"/>
  <c r="N124" i="1"/>
  <c r="N331" i="1"/>
  <c r="N102" i="1"/>
  <c r="N253" i="1"/>
  <c r="N319" i="1"/>
  <c r="N213" i="1"/>
  <c r="N198" i="1"/>
  <c r="N275" i="1"/>
  <c r="N427" i="1"/>
  <c r="N56" i="1"/>
  <c r="N235" i="1"/>
  <c r="N62" i="1"/>
  <c r="N199" i="1"/>
  <c r="N140" i="1"/>
  <c r="N72" i="1"/>
  <c r="N34" i="1"/>
  <c r="P139" i="1"/>
  <c r="P19" i="1"/>
  <c r="N515" i="1"/>
  <c r="N28" i="1"/>
  <c r="N157" i="1"/>
  <c r="N112" i="1"/>
  <c r="N36" i="1"/>
  <c r="N57" i="1"/>
  <c r="P182" i="1"/>
  <c r="P140" i="1"/>
  <c r="P444" i="1"/>
  <c r="P309" i="1"/>
  <c r="N238" i="1"/>
  <c r="N501" i="1"/>
  <c r="N390" i="1"/>
  <c r="N249" i="1"/>
  <c r="N414" i="1"/>
  <c r="N24" i="1"/>
  <c r="P105" i="1"/>
  <c r="P176" i="1"/>
  <c r="P511" i="1"/>
  <c r="P287" i="1"/>
  <c r="N487" i="1"/>
  <c r="N543" i="1"/>
  <c r="N99" i="1"/>
  <c r="N82" i="1"/>
  <c r="N12" i="1"/>
  <c r="N104" i="1"/>
  <c r="P490" i="1"/>
  <c r="P125" i="1"/>
  <c r="N290" i="1"/>
  <c r="N354" i="1"/>
  <c r="N401" i="1"/>
  <c r="N386" i="1"/>
  <c r="N216" i="1"/>
  <c r="N179" i="1"/>
  <c r="P228" i="1"/>
  <c r="P34" i="1"/>
  <c r="P143" i="1"/>
  <c r="P416" i="1"/>
  <c r="N309" i="1"/>
  <c r="N111" i="1"/>
  <c r="N26" i="1"/>
  <c r="N167" i="1"/>
  <c r="P446" i="1"/>
  <c r="P526" i="1"/>
  <c r="P120" i="1"/>
  <c r="P398" i="1"/>
  <c r="N409" i="1"/>
  <c r="N455" i="1"/>
  <c r="N55" i="1"/>
  <c r="N383" i="1"/>
  <c r="P4" i="1"/>
  <c r="P494" i="1"/>
  <c r="P421" i="1"/>
  <c r="P208" i="1"/>
  <c r="F327" i="1"/>
  <c r="F527" i="1"/>
  <c r="F41" i="1"/>
  <c r="F256" i="1"/>
  <c r="F173" i="1"/>
  <c r="F189" i="1"/>
  <c r="F542" i="1"/>
  <c r="F12" i="1"/>
  <c r="F324" i="1"/>
  <c r="F181" i="1"/>
  <c r="F493" i="1"/>
  <c r="F306" i="1"/>
  <c r="F149" i="1"/>
  <c r="F523" i="1"/>
  <c r="F380" i="1"/>
  <c r="F353" i="1"/>
  <c r="F506" i="1"/>
  <c r="F170" i="1"/>
  <c r="F111" i="1"/>
  <c r="F501" i="1"/>
  <c r="F36" i="1"/>
  <c r="F432" i="1"/>
  <c r="F205" i="1"/>
  <c r="F517" i="1"/>
  <c r="F436" i="1"/>
  <c r="F177" i="1"/>
  <c r="F34" i="1"/>
  <c r="F410" i="1"/>
  <c r="F395" i="1"/>
  <c r="F382" i="1"/>
  <c r="F470" i="1"/>
  <c r="F146" i="1"/>
  <c r="F282" i="1"/>
  <c r="F484" i="1"/>
  <c r="F48" i="1"/>
  <c r="F444" i="1"/>
  <c r="F217" i="1"/>
  <c r="F76" i="1"/>
  <c r="F450" i="1"/>
  <c r="F191" i="1"/>
  <c r="F50" i="1"/>
  <c r="F424" i="1"/>
  <c r="F346" i="1"/>
  <c r="F358" i="1"/>
  <c r="F368" i="1"/>
  <c r="F319" i="1"/>
  <c r="F212" i="1"/>
  <c r="F507" i="1"/>
  <c r="F485" i="1"/>
  <c r="F57" i="1"/>
  <c r="F168" i="1"/>
  <c r="F61" i="1"/>
  <c r="F505" i="1"/>
  <c r="F237" i="1"/>
  <c r="F479" i="1"/>
  <c r="F394" i="1"/>
  <c r="F260" i="1"/>
  <c r="F402" i="1"/>
  <c r="F446" i="1"/>
  <c r="F509" i="1"/>
  <c r="F86" i="1"/>
  <c r="F299" i="1"/>
  <c r="F239" i="1"/>
  <c r="F463" i="1"/>
  <c r="F39" i="1"/>
  <c r="F180" i="1"/>
  <c r="F73" i="1"/>
  <c r="F90" i="1"/>
  <c r="F309" i="1"/>
  <c r="F495" i="1"/>
  <c r="F438" i="1"/>
  <c r="F242" i="1"/>
  <c r="F340" i="1"/>
  <c r="F42" i="1"/>
  <c r="F59" i="1"/>
  <c r="F215" i="1"/>
  <c r="F192" i="1"/>
  <c r="F85" i="1"/>
  <c r="F104" i="1"/>
  <c r="F381" i="1"/>
  <c r="F21" i="1"/>
  <c r="N465" i="1"/>
  <c r="N45" i="1"/>
  <c r="N405" i="1"/>
  <c r="N315" i="1"/>
  <c r="N256" i="1"/>
  <c r="N180" i="1"/>
  <c r="N131" i="1"/>
  <c r="F236" i="1"/>
  <c r="F118" i="1"/>
  <c r="P93" i="1"/>
  <c r="H264" i="1"/>
  <c r="H214" i="1"/>
  <c r="H515" i="1"/>
  <c r="H52" i="1"/>
  <c r="H340" i="1"/>
  <c r="H77" i="1"/>
  <c r="H365" i="1"/>
  <c r="H130" i="1"/>
  <c r="H476" i="1"/>
  <c r="H203" i="1"/>
  <c r="H33" i="1"/>
  <c r="H262" i="1"/>
  <c r="H105" i="1"/>
  <c r="H154" i="1"/>
  <c r="H428" i="1"/>
  <c r="H222" i="1"/>
  <c r="H517" i="1"/>
  <c r="H170" i="1"/>
  <c r="H343" i="1"/>
  <c r="H148" i="1"/>
  <c r="H436" i="1"/>
  <c r="H173" i="1"/>
  <c r="H461" i="1"/>
  <c r="H246" i="1"/>
  <c r="H321" i="1"/>
  <c r="H319" i="1"/>
  <c r="H32" i="1"/>
  <c r="H378" i="1"/>
  <c r="H277" i="1"/>
  <c r="H384" i="1"/>
  <c r="H178" i="1"/>
  <c r="H499" i="1"/>
  <c r="H152" i="1"/>
  <c r="H323" i="1"/>
  <c r="H160" i="1"/>
  <c r="H448" i="1"/>
  <c r="H185" i="1"/>
  <c r="H473" i="1"/>
  <c r="H260" i="1"/>
  <c r="H407" i="1"/>
  <c r="H333" i="1"/>
  <c r="H46" i="1"/>
  <c r="H392" i="1"/>
  <c r="H291" i="1"/>
  <c r="H366" i="1"/>
  <c r="H304" i="1"/>
  <c r="H161" i="1"/>
  <c r="H509" i="1"/>
  <c r="H432" i="1"/>
  <c r="H303" i="1"/>
  <c r="H90" i="1"/>
  <c r="H19" i="1"/>
  <c r="H168" i="1"/>
  <c r="H209" i="1"/>
  <c r="H516" i="1"/>
  <c r="H316" i="1"/>
  <c r="H197" i="1"/>
  <c r="H58" i="1"/>
  <c r="H446" i="1"/>
  <c r="H347" i="1"/>
  <c r="H190" i="1"/>
  <c r="H47" i="1"/>
  <c r="H150" i="1"/>
  <c r="H21" i="1"/>
  <c r="H498" i="1"/>
  <c r="H539" i="1"/>
  <c r="H4" i="1"/>
  <c r="H328" i="1"/>
  <c r="N506" i="1"/>
  <c r="N29" i="1"/>
  <c r="N369" i="1"/>
  <c r="N301" i="1"/>
  <c r="N242" i="1"/>
  <c r="N384" i="1"/>
  <c r="N347" i="1"/>
  <c r="N361" i="1"/>
  <c r="H363" i="1"/>
  <c r="H361" i="1"/>
  <c r="H353" i="1"/>
  <c r="F304" i="1"/>
  <c r="F135" i="1"/>
  <c r="F468" i="1"/>
  <c r="H495" i="1"/>
  <c r="F68" i="1"/>
  <c r="H283" i="1"/>
  <c r="P261" i="1"/>
  <c r="P434" i="1"/>
  <c r="P351" i="1"/>
  <c r="N53" i="1"/>
  <c r="N523" i="1"/>
  <c r="N402" i="1"/>
  <c r="N321" i="1"/>
  <c r="N472" i="1"/>
  <c r="N164" i="1"/>
  <c r="N353" i="1"/>
  <c r="N25" i="1"/>
  <c r="N480" i="1"/>
  <c r="N226" i="1"/>
  <c r="N372" i="1"/>
  <c r="N156" i="1"/>
  <c r="N335" i="1"/>
  <c r="N47" i="1"/>
  <c r="N380" i="1"/>
  <c r="H335" i="1"/>
  <c r="H218" i="1"/>
  <c r="H189" i="1"/>
  <c r="H341" i="1"/>
  <c r="H460" i="1"/>
  <c r="F208" i="1"/>
  <c r="F456" i="1"/>
  <c r="N76" i="1"/>
  <c r="N14" i="1"/>
  <c r="N426" i="1"/>
  <c r="N305" i="1"/>
  <c r="N458" i="1"/>
  <c r="N148" i="1"/>
  <c r="N337" i="1"/>
  <c r="N7" i="1"/>
  <c r="N257" i="1"/>
  <c r="N468" i="1"/>
  <c r="N212" i="1"/>
  <c r="N360" i="1"/>
  <c r="N132" i="1"/>
  <c r="N323" i="1"/>
  <c r="N35" i="1"/>
  <c r="N403" i="1"/>
  <c r="F80" i="1"/>
  <c r="H307" i="1"/>
  <c r="H204" i="1"/>
  <c r="H175" i="1"/>
  <c r="H288" i="1"/>
  <c r="H329" i="1"/>
  <c r="H424" i="1"/>
  <c r="F367" i="1"/>
  <c r="F92" i="1"/>
  <c r="F5" i="1"/>
  <c r="F373" i="1"/>
  <c r="F336" i="1"/>
  <c r="F255" i="1"/>
  <c r="F275" i="1"/>
  <c r="F198" i="1"/>
  <c r="H410" i="1"/>
  <c r="H541" i="1"/>
  <c r="F471" i="1"/>
  <c r="P235" i="1"/>
  <c r="P423" i="1"/>
  <c r="P155" i="1"/>
  <c r="P289" i="1"/>
  <c r="P123" i="1"/>
  <c r="J9" i="1"/>
  <c r="J243" i="1"/>
  <c r="J89" i="1"/>
  <c r="J271" i="1"/>
  <c r="J116" i="1"/>
  <c r="J320" i="1"/>
  <c r="J47" i="1"/>
  <c r="J321" i="1"/>
  <c r="J525" i="1"/>
  <c r="J348" i="1"/>
  <c r="J70" i="1"/>
  <c r="J430" i="1"/>
  <c r="J13" i="1"/>
  <c r="J383" i="1"/>
  <c r="J303" i="1"/>
  <c r="J521" i="1"/>
  <c r="J195" i="1"/>
  <c r="J16" i="1"/>
  <c r="J15" i="1"/>
  <c r="J295" i="1"/>
  <c r="J140" i="1"/>
  <c r="J404" i="1"/>
  <c r="J75" i="1"/>
  <c r="J345" i="1"/>
  <c r="J108" i="1"/>
  <c r="J378" i="1"/>
  <c r="J109" i="1"/>
  <c r="J459" i="1"/>
  <c r="J143" i="1"/>
  <c r="J413" i="1"/>
  <c r="J366" i="1"/>
  <c r="J360" i="1"/>
  <c r="J169" i="1"/>
  <c r="J28" i="1"/>
  <c r="J103" i="1"/>
  <c r="J307" i="1"/>
  <c r="J152" i="1"/>
  <c r="J416" i="1"/>
  <c r="J91" i="1"/>
  <c r="J357" i="1"/>
  <c r="J123" i="1"/>
  <c r="J472" i="1"/>
  <c r="J124" i="1"/>
  <c r="J473" i="1"/>
  <c r="J158" i="1"/>
  <c r="J431" i="1"/>
  <c r="J384" i="1"/>
  <c r="J338" i="1"/>
  <c r="L114" i="1"/>
  <c r="L402" i="1"/>
  <c r="L87" i="1"/>
  <c r="L375" i="1"/>
  <c r="L369" i="1"/>
  <c r="L93" i="1"/>
  <c r="L356" i="1"/>
  <c r="J312" i="1"/>
  <c r="J518" i="1"/>
  <c r="J432" i="1"/>
  <c r="J268" i="1"/>
  <c r="J486" i="1"/>
  <c r="J501" i="1"/>
  <c r="J201" i="1"/>
  <c r="J428" i="1"/>
  <c r="J18" i="1"/>
  <c r="J151" i="1"/>
  <c r="J40" i="1"/>
  <c r="J480" i="1"/>
  <c r="L68" i="1"/>
  <c r="L308" i="1"/>
  <c r="L500" i="1"/>
  <c r="L201" i="1"/>
  <c r="L393" i="1"/>
  <c r="L433" i="1"/>
  <c r="L92" i="1"/>
  <c r="L332" i="1"/>
  <c r="L524" i="1"/>
  <c r="L225" i="1"/>
  <c r="L417" i="1"/>
  <c r="L403" i="1"/>
  <c r="L104" i="1"/>
  <c r="L344" i="1"/>
  <c r="L536" i="1"/>
  <c r="L237" i="1"/>
  <c r="L429" i="1"/>
  <c r="L389" i="1"/>
  <c r="L186" i="1"/>
  <c r="L418" i="1"/>
  <c r="L159" i="1"/>
  <c r="L419" i="1"/>
  <c r="L357" i="1"/>
  <c r="L81" i="1"/>
  <c r="L320" i="1"/>
  <c r="L32" i="1"/>
  <c r="J497" i="1"/>
  <c r="J398" i="1"/>
  <c r="J351" i="1"/>
  <c r="J253" i="1"/>
  <c r="J363" i="1"/>
  <c r="J489" i="1"/>
  <c r="J189" i="1"/>
  <c r="J332" i="1"/>
  <c r="J439" i="1"/>
  <c r="J139" i="1"/>
  <c r="J4" i="1"/>
  <c r="J498" i="1"/>
  <c r="P407" i="1"/>
  <c r="P385" i="1"/>
  <c r="P109" i="1"/>
  <c r="P104" i="1"/>
  <c r="P258" i="1"/>
  <c r="P331" i="1"/>
  <c r="P239" i="1"/>
  <c r="P77" i="1"/>
  <c r="P525" i="1"/>
  <c r="P294" i="1"/>
  <c r="P201" i="1"/>
  <c r="P56" i="1"/>
  <c r="P199" i="1"/>
  <c r="P297" i="1"/>
  <c r="P439" i="1"/>
  <c r="P488" i="1"/>
  <c r="P192" i="1"/>
  <c r="P346" i="1"/>
  <c r="P15" i="1"/>
  <c r="P190" i="1"/>
  <c r="P442" i="1"/>
  <c r="P131" i="1"/>
  <c r="P411" i="1"/>
  <c r="P92" i="1"/>
  <c r="P413" i="1"/>
  <c r="P173" i="1"/>
  <c r="P496" i="1"/>
  <c r="P256" i="1"/>
  <c r="P50" i="1"/>
  <c r="P147" i="1"/>
  <c r="P25" i="1"/>
  <c r="P515" i="1"/>
  <c r="P58" i="1"/>
  <c r="P453" i="1"/>
  <c r="P335" i="1"/>
  <c r="P216" i="1"/>
  <c r="P284" i="1"/>
  <c r="P204" i="1"/>
  <c r="P28" i="1"/>
  <c r="P493" i="1"/>
  <c r="P254" i="1"/>
  <c r="P157" i="1"/>
  <c r="P22" i="1"/>
  <c r="P168" i="1"/>
  <c r="P272" i="1"/>
  <c r="P415" i="1"/>
  <c r="P468" i="1"/>
  <c r="P175" i="1"/>
  <c r="P326" i="1"/>
  <c r="P536" i="1"/>
  <c r="P170" i="1"/>
  <c r="P428" i="1"/>
  <c r="P116" i="1"/>
  <c r="P397" i="1"/>
  <c r="P74" i="1"/>
  <c r="P401" i="1"/>
  <c r="P161" i="1"/>
  <c r="P484" i="1"/>
  <c r="P244" i="1"/>
  <c r="P32" i="1"/>
  <c r="P135" i="1"/>
  <c r="P13" i="1"/>
  <c r="P516" i="1"/>
  <c r="P264" i="1"/>
  <c r="P6" i="1"/>
  <c r="P44" i="1"/>
  <c r="P495" i="1"/>
  <c r="P458" i="1"/>
  <c r="P431" i="1"/>
  <c r="P202" i="1"/>
  <c r="P102" i="1"/>
  <c r="P395" i="1"/>
  <c r="P464" i="1"/>
  <c r="P248" i="1"/>
  <c r="P167" i="1"/>
  <c r="P217" i="1"/>
  <c r="P402" i="1"/>
  <c r="P537" i="1"/>
  <c r="P250" i="1"/>
  <c r="P396" i="1"/>
  <c r="P89" i="1"/>
  <c r="P308" i="1"/>
  <c r="P30" i="1"/>
  <c r="P274" i="1"/>
  <c r="P545" i="1"/>
  <c r="P305" i="1"/>
  <c r="P113" i="1"/>
  <c r="P388" i="1"/>
  <c r="P196" i="1"/>
  <c r="P279" i="1"/>
  <c r="P79" i="1"/>
  <c r="P24" i="1"/>
  <c r="P343" i="1"/>
  <c r="P69" i="1"/>
  <c r="P480" i="1"/>
  <c r="P379" i="1"/>
  <c r="P540" i="1"/>
  <c r="P459" i="1"/>
  <c r="P426" i="1"/>
  <c r="P361" i="1"/>
  <c r="P158" i="1"/>
  <c r="P43" i="1"/>
  <c r="P374" i="1"/>
  <c r="P443" i="1"/>
  <c r="P531" i="1"/>
  <c r="P142" i="1"/>
  <c r="P189" i="1"/>
  <c r="P382" i="1"/>
  <c r="P519" i="1"/>
  <c r="P230" i="1"/>
  <c r="P380" i="1"/>
  <c r="P63" i="1"/>
  <c r="P290" i="1"/>
  <c r="P9" i="1"/>
  <c r="P259" i="1"/>
  <c r="P533" i="1"/>
  <c r="P293" i="1"/>
  <c r="P99" i="1"/>
  <c r="P376" i="1"/>
  <c r="P184" i="1"/>
  <c r="P267" i="1"/>
  <c r="P64" i="1"/>
  <c r="P12" i="1"/>
  <c r="P477" i="1"/>
  <c r="P188" i="1"/>
  <c r="P62" i="1"/>
  <c r="P2" i="1"/>
  <c r="P404" i="1"/>
  <c r="P429" i="1"/>
  <c r="P390" i="1"/>
  <c r="P332" i="1"/>
  <c r="P126" i="1"/>
  <c r="P524" i="1"/>
  <c r="P350" i="1"/>
  <c r="P420" i="1"/>
  <c r="P510" i="1"/>
  <c r="P119" i="1"/>
  <c r="P166" i="1"/>
  <c r="P366" i="1"/>
  <c r="P503" i="1"/>
  <c r="P213" i="1"/>
  <c r="P362" i="1"/>
  <c r="P40" i="1"/>
  <c r="P275" i="1"/>
  <c r="P541" i="1"/>
  <c r="P241" i="1"/>
  <c r="P521" i="1"/>
  <c r="P281" i="1"/>
  <c r="P81" i="1"/>
  <c r="P364" i="1"/>
  <c r="P172" i="1"/>
  <c r="P255" i="1"/>
  <c r="P46" i="1"/>
  <c r="P107" i="1"/>
  <c r="P5" i="1"/>
  <c r="P445" i="1"/>
  <c r="P187" i="1"/>
  <c r="P506" i="1"/>
  <c r="P498" i="1"/>
  <c r="P391" i="1"/>
  <c r="P358" i="1"/>
  <c r="P132" i="1"/>
  <c r="P76" i="1"/>
  <c r="P354" i="1"/>
  <c r="P324" i="1"/>
  <c r="P298" i="1"/>
  <c r="P489" i="1"/>
  <c r="P530" i="1"/>
  <c r="P141" i="1"/>
  <c r="P271" i="1"/>
  <c r="P487" i="1"/>
  <c r="P117" i="1"/>
  <c r="P345" i="1"/>
  <c r="P500" i="1"/>
  <c r="P260" i="1"/>
  <c r="P469" i="1"/>
  <c r="P226" i="1"/>
  <c r="P461" i="1"/>
  <c r="P269" i="1"/>
  <c r="P544" i="1"/>
  <c r="P352" i="1"/>
  <c r="P112" i="1"/>
  <c r="P243" i="1"/>
  <c r="P73" i="1"/>
  <c r="P95" i="1"/>
  <c r="P57" i="1"/>
  <c r="P151" i="1"/>
  <c r="P302" i="1"/>
  <c r="P476" i="1"/>
  <c r="P471" i="1"/>
  <c r="P359" i="1"/>
  <c r="P314" i="1"/>
  <c r="P101" i="1"/>
  <c r="P27" i="1"/>
  <c r="P312" i="1"/>
  <c r="P299" i="1"/>
  <c r="P273" i="1"/>
  <c r="P463" i="1"/>
  <c r="P507" i="1"/>
  <c r="P110" i="1"/>
  <c r="P251" i="1"/>
  <c r="P467" i="1"/>
  <c r="P90" i="1"/>
  <c r="P325" i="1"/>
  <c r="P486" i="1"/>
  <c r="P242" i="1"/>
  <c r="P455" i="1"/>
  <c r="P211" i="1"/>
  <c r="P449" i="1"/>
  <c r="P257" i="1"/>
  <c r="P532" i="1"/>
  <c r="P340" i="1"/>
  <c r="P98" i="1"/>
  <c r="P231" i="1"/>
  <c r="P61" i="1"/>
  <c r="P83" i="1"/>
  <c r="P277" i="1"/>
  <c r="P276" i="1"/>
  <c r="P247" i="1"/>
  <c r="P440" i="1"/>
  <c r="P481" i="1"/>
  <c r="P82" i="1"/>
  <c r="P234" i="1"/>
  <c r="P451" i="1"/>
  <c r="P67" i="1"/>
  <c r="P306" i="1"/>
  <c r="P470" i="1"/>
  <c r="P227" i="1"/>
  <c r="P441" i="1"/>
  <c r="P193" i="1"/>
  <c r="P437" i="1"/>
  <c r="P245" i="1"/>
  <c r="P520" i="1"/>
  <c r="P328" i="1"/>
  <c r="P80" i="1"/>
  <c r="P219" i="1"/>
  <c r="P49" i="1"/>
  <c r="P71" i="1"/>
  <c r="P300" i="1"/>
  <c r="P156" i="1"/>
  <c r="P447" i="1"/>
  <c r="P517" i="1"/>
  <c r="P295" i="1"/>
  <c r="P360" i="1"/>
  <c r="P283" i="1"/>
  <c r="P127" i="1"/>
  <c r="P100" i="1"/>
  <c r="P505" i="1"/>
  <c r="P236" i="1"/>
  <c r="P223" i="1"/>
  <c r="P222" i="1"/>
  <c r="P419" i="1"/>
  <c r="P462" i="1"/>
  <c r="P45" i="1"/>
  <c r="P214" i="1"/>
  <c r="P433" i="1"/>
  <c r="P41" i="1"/>
  <c r="P286" i="1"/>
  <c r="P456" i="1"/>
  <c r="P212" i="1"/>
  <c r="P427" i="1"/>
  <c r="P178" i="1"/>
  <c r="P425" i="1"/>
  <c r="P233" i="1"/>
  <c r="P508" i="1"/>
  <c r="P316" i="1"/>
  <c r="P65" i="1"/>
  <c r="P207" i="1"/>
  <c r="P37" i="1"/>
  <c r="P59" i="1"/>
  <c r="F538" i="1"/>
  <c r="F465" i="1"/>
  <c r="F165" i="1"/>
  <c r="F62" i="1"/>
  <c r="F25" i="1"/>
  <c r="F188" i="1"/>
  <c r="F525" i="1"/>
  <c r="F284" i="1"/>
  <c r="F83" i="1"/>
  <c r="F110" i="1"/>
  <c r="H69" i="1"/>
  <c r="H543" i="1"/>
  <c r="H26" i="1"/>
  <c r="H50" i="1"/>
  <c r="H70" i="1"/>
  <c r="H94" i="1"/>
  <c r="H138" i="1"/>
  <c r="H156" i="1"/>
  <c r="H180" i="1"/>
  <c r="H242" i="1"/>
  <c r="H266" i="1"/>
  <c r="H286" i="1"/>
  <c r="H310" i="1"/>
  <c r="H354" i="1"/>
  <c r="H372" i="1"/>
  <c r="H396" i="1"/>
  <c r="H416" i="1"/>
  <c r="H458" i="1"/>
  <c r="H482" i="1"/>
  <c r="H502" i="1"/>
  <c r="H2" i="1"/>
  <c r="H201" i="1"/>
  <c r="H7" i="1"/>
  <c r="H49" i="1"/>
  <c r="H93" i="1"/>
  <c r="H135" i="1"/>
  <c r="H155" i="1"/>
  <c r="H179" i="1"/>
  <c r="H223" i="1"/>
  <c r="H241" i="1"/>
  <c r="H265" i="1"/>
  <c r="H309" i="1"/>
  <c r="H327" i="1"/>
  <c r="H371" i="1"/>
  <c r="H395" i="1"/>
  <c r="H415" i="1"/>
  <c r="H457" i="1"/>
  <c r="H481" i="1"/>
  <c r="H501" i="1"/>
  <c r="H8" i="1"/>
  <c r="H114" i="1"/>
  <c r="H224" i="1"/>
  <c r="H330" i="1"/>
  <c r="H440" i="1"/>
  <c r="H526" i="1"/>
  <c r="H139" i="1"/>
  <c r="H483" i="1"/>
  <c r="H25" i="1"/>
  <c r="H111" i="1"/>
  <c r="H199" i="1"/>
  <c r="H285" i="1"/>
  <c r="H351" i="1"/>
  <c r="H439" i="1"/>
  <c r="H525" i="1"/>
  <c r="H200" i="1"/>
  <c r="H9" i="1"/>
  <c r="H27" i="1"/>
  <c r="H51" i="1"/>
  <c r="H71" i="1"/>
  <c r="H95" i="1"/>
  <c r="H115" i="1"/>
  <c r="H157" i="1"/>
  <c r="H181" i="1"/>
  <c r="H225" i="1"/>
  <c r="H243" i="1"/>
  <c r="H267" i="1"/>
  <c r="H287" i="1"/>
  <c r="H311" i="1"/>
  <c r="H331" i="1"/>
  <c r="H355" i="1"/>
  <c r="H373" i="1"/>
  <c r="H397" i="1"/>
  <c r="H417" i="1"/>
  <c r="H441" i="1"/>
  <c r="H459" i="1"/>
  <c r="H503" i="1"/>
  <c r="H527" i="1"/>
  <c r="H34" i="1"/>
  <c r="H96" i="1"/>
  <c r="H164" i="1"/>
  <c r="H226" i="1"/>
  <c r="H294" i="1"/>
  <c r="H356" i="1"/>
  <c r="H422" i="1"/>
  <c r="H486" i="1"/>
  <c r="H359" i="1"/>
  <c r="H182" i="1"/>
  <c r="H380" i="1"/>
  <c r="H121" i="1"/>
  <c r="H381" i="1"/>
  <c r="H122" i="1"/>
  <c r="H314" i="1"/>
  <c r="H512" i="1"/>
  <c r="H187" i="1"/>
  <c r="H383" i="1"/>
  <c r="H140" i="1"/>
  <c r="H398" i="1"/>
  <c r="H141" i="1"/>
  <c r="H399" i="1"/>
  <c r="H12" i="1"/>
  <c r="H210" i="1"/>
  <c r="H402" i="1"/>
  <c r="H81" i="1"/>
  <c r="H211" i="1"/>
  <c r="H339" i="1"/>
  <c r="H469" i="1"/>
  <c r="H35" i="1"/>
  <c r="H97" i="1"/>
  <c r="H165" i="1"/>
  <c r="H227" i="1"/>
  <c r="H295" i="1"/>
  <c r="H357" i="1"/>
  <c r="H423" i="1"/>
  <c r="H487" i="1"/>
  <c r="H99" i="1"/>
  <c r="H167" i="1"/>
  <c r="H297" i="1"/>
  <c r="H427" i="1"/>
  <c r="H54" i="1"/>
  <c r="H250" i="1"/>
  <c r="H442" i="1"/>
  <c r="H55" i="1"/>
  <c r="H183" i="1"/>
  <c r="H313" i="1"/>
  <c r="H443" i="1"/>
  <c r="H56" i="1"/>
  <c r="H252" i="1"/>
  <c r="H444" i="1"/>
  <c r="H123" i="1"/>
  <c r="H315" i="1"/>
  <c r="H513" i="1"/>
  <c r="H10" i="1"/>
  <c r="H78" i="1"/>
  <c r="H206" i="1"/>
  <c r="H336" i="1"/>
  <c r="H528" i="1"/>
  <c r="H79" i="1"/>
  <c r="H271" i="1"/>
  <c r="H467" i="1"/>
  <c r="H142" i="1"/>
  <c r="H530" i="1"/>
  <c r="H13" i="1"/>
  <c r="H143" i="1"/>
  <c r="H273" i="1"/>
  <c r="H403" i="1"/>
  <c r="H531" i="1"/>
  <c r="H36" i="1"/>
  <c r="H98" i="1"/>
  <c r="H166" i="1"/>
  <c r="H228" i="1"/>
  <c r="H296" i="1"/>
  <c r="H358" i="1"/>
  <c r="H426" i="1"/>
  <c r="H488" i="1"/>
  <c r="H37" i="1"/>
  <c r="H229" i="1"/>
  <c r="H489" i="1"/>
  <c r="H120" i="1"/>
  <c r="H312" i="1"/>
  <c r="H510" i="1"/>
  <c r="H251" i="1"/>
  <c r="H511" i="1"/>
  <c r="H186" i="1"/>
  <c r="H382" i="1"/>
  <c r="H57" i="1"/>
  <c r="H253" i="1"/>
  <c r="H445" i="1"/>
  <c r="H270" i="1"/>
  <c r="H466" i="1"/>
  <c r="H11" i="1"/>
  <c r="H207" i="1"/>
  <c r="H337" i="1"/>
  <c r="H529" i="1"/>
  <c r="H80" i="1"/>
  <c r="H272" i="1"/>
  <c r="H338" i="1"/>
  <c r="H468" i="1"/>
  <c r="H470" i="1"/>
  <c r="H493" i="1"/>
  <c r="H348" i="1"/>
  <c r="H463" i="1"/>
  <c r="H147" i="1"/>
  <c r="H44" i="1"/>
  <c r="H5" i="1"/>
  <c r="H124" i="1"/>
  <c r="F251" i="1"/>
  <c r="F178" i="1"/>
  <c r="F279" i="1"/>
  <c r="F392" i="1"/>
  <c r="F445" i="1"/>
  <c r="F13" i="1"/>
  <c r="F120" i="1"/>
  <c r="H107" i="1"/>
  <c r="F359" i="1"/>
  <c r="F429" i="1"/>
  <c r="H540" i="1"/>
  <c r="F127" i="1"/>
  <c r="F152" i="1"/>
  <c r="J7" i="1"/>
  <c r="J37" i="1"/>
  <c r="J63" i="1"/>
  <c r="J95" i="1"/>
  <c r="J119" i="1"/>
  <c r="J145" i="1"/>
  <c r="J167" i="1"/>
  <c r="J193" i="1"/>
  <c r="J215" i="1"/>
  <c r="J241" i="1"/>
  <c r="J263" i="1"/>
  <c r="J311" i="1"/>
  <c r="J337" i="1"/>
  <c r="J359" i="1"/>
  <c r="J385" i="1"/>
  <c r="J407" i="1"/>
  <c r="J433" i="1"/>
  <c r="J454" i="1"/>
  <c r="J478" i="1"/>
  <c r="J496" i="1"/>
  <c r="J520" i="1"/>
  <c r="J540" i="1"/>
  <c r="J322" i="1"/>
  <c r="J22" i="1"/>
  <c r="J48" i="1"/>
  <c r="J80" i="1"/>
  <c r="J106" i="1"/>
  <c r="J132" i="1"/>
  <c r="J180" i="1"/>
  <c r="J202" i="1"/>
  <c r="J228" i="1"/>
  <c r="J250" i="1"/>
  <c r="J276" i="1"/>
  <c r="J346" i="1"/>
  <c r="J372" i="1"/>
  <c r="J394" i="1"/>
  <c r="J420" i="1"/>
  <c r="J466" i="1"/>
  <c r="J484" i="1"/>
  <c r="J508" i="1"/>
  <c r="J528" i="1"/>
  <c r="J373" i="1"/>
  <c r="J218" i="1"/>
  <c r="J523" i="1"/>
  <c r="J43" i="1"/>
  <c r="J99" i="1"/>
  <c r="J149" i="1"/>
  <c r="J197" i="1"/>
  <c r="J245" i="1"/>
  <c r="J293" i="1"/>
  <c r="J370" i="1"/>
  <c r="J437" i="1"/>
  <c r="J506" i="1"/>
  <c r="J21" i="1"/>
  <c r="J44" i="1"/>
  <c r="J79" i="1"/>
  <c r="J131" i="1"/>
  <c r="J150" i="1"/>
  <c r="J179" i="1"/>
  <c r="J227" i="1"/>
  <c r="J246" i="1"/>
  <c r="J275" i="1"/>
  <c r="J323" i="1"/>
  <c r="J342" i="1"/>
  <c r="J371" i="1"/>
  <c r="J419" i="1"/>
  <c r="J438" i="1"/>
  <c r="J463" i="1"/>
  <c r="J507" i="1"/>
  <c r="J527" i="1"/>
  <c r="J154" i="1"/>
  <c r="J324" i="1"/>
  <c r="J442" i="1"/>
  <c r="J299" i="1"/>
  <c r="J10" i="1"/>
  <c r="J42" i="1"/>
  <c r="J68" i="1"/>
  <c r="J98" i="1"/>
  <c r="J122" i="1"/>
  <c r="J148" i="1"/>
  <c r="J170" i="1"/>
  <c r="J196" i="1"/>
  <c r="J244" i="1"/>
  <c r="J266" i="1"/>
  <c r="J292" i="1"/>
  <c r="J314" i="1"/>
  <c r="J340" i="1"/>
  <c r="J362" i="1"/>
  <c r="J388" i="1"/>
  <c r="J410" i="1"/>
  <c r="J436" i="1"/>
  <c r="J457" i="1"/>
  <c r="J481" i="1"/>
  <c r="J499" i="1"/>
  <c r="J543" i="1"/>
  <c r="J20" i="1"/>
  <c r="J78" i="1"/>
  <c r="J130" i="1"/>
  <c r="J178" i="1"/>
  <c r="J226" i="1"/>
  <c r="J274" i="1"/>
  <c r="J341" i="1"/>
  <c r="J389" i="1"/>
  <c r="J418" i="1"/>
  <c r="J462" i="1"/>
  <c r="J482" i="1"/>
  <c r="J526" i="1"/>
  <c r="J102" i="1"/>
  <c r="J198" i="1"/>
  <c r="J294" i="1"/>
  <c r="J390" i="1"/>
  <c r="J483" i="1"/>
  <c r="J298" i="1"/>
  <c r="J23" i="1"/>
  <c r="J49" i="1"/>
  <c r="J81" i="1"/>
  <c r="J107" i="1"/>
  <c r="J133" i="1"/>
  <c r="J155" i="1"/>
  <c r="J181" i="1"/>
  <c r="J203" i="1"/>
  <c r="J229" i="1"/>
  <c r="J251" i="1"/>
  <c r="J277" i="1"/>
  <c r="J325" i="1"/>
  <c r="J347" i="1"/>
  <c r="J395" i="1"/>
  <c r="J421" i="1"/>
  <c r="J443" i="1"/>
  <c r="J467" i="1"/>
  <c r="J485" i="1"/>
  <c r="J509" i="1"/>
  <c r="J529" i="1"/>
  <c r="J82" i="1"/>
  <c r="J160" i="1"/>
  <c r="J230" i="1"/>
  <c r="J304" i="1"/>
  <c r="J374" i="1"/>
  <c r="J448" i="1"/>
  <c r="J510" i="1"/>
  <c r="J515" i="1"/>
  <c r="J24" i="1"/>
  <c r="J256" i="1"/>
  <c r="J468" i="1"/>
  <c r="J113" i="1"/>
  <c r="J401" i="1"/>
  <c r="J114" i="1"/>
  <c r="J328" i="1"/>
  <c r="J470" i="1"/>
  <c r="J118" i="1"/>
  <c r="J329" i="1"/>
  <c r="J539" i="1"/>
  <c r="J134" i="1"/>
  <c r="J422" i="1"/>
  <c r="J57" i="1"/>
  <c r="J279" i="1"/>
  <c r="J493" i="1"/>
  <c r="J136" i="1"/>
  <c r="J354" i="1"/>
  <c r="J62" i="1"/>
  <c r="J214" i="1"/>
  <c r="J358" i="1"/>
  <c r="J495" i="1"/>
  <c r="J83" i="1"/>
  <c r="J161" i="1"/>
  <c r="J231" i="1"/>
  <c r="J305" i="1"/>
  <c r="J375" i="1"/>
  <c r="J449" i="1"/>
  <c r="J511" i="1"/>
  <c r="J6" i="1"/>
  <c r="J85" i="1"/>
  <c r="J166" i="1"/>
  <c r="J233" i="1"/>
  <c r="J377" i="1"/>
  <c r="J451" i="1"/>
  <c r="J182" i="1"/>
  <c r="J400" i="1"/>
  <c r="J25" i="1"/>
  <c r="J183" i="1"/>
  <c r="J327" i="1"/>
  <c r="J469" i="1"/>
  <c r="J184" i="1"/>
  <c r="J402" i="1"/>
  <c r="J185" i="1"/>
  <c r="J406" i="1"/>
  <c r="J56" i="1"/>
  <c r="J278" i="1"/>
  <c r="J352" i="1"/>
  <c r="J209" i="1"/>
  <c r="J423" i="1"/>
  <c r="J58" i="1"/>
  <c r="J280" i="1"/>
  <c r="J494" i="1"/>
  <c r="J137" i="1"/>
  <c r="J281" i="1"/>
  <c r="J425" i="1"/>
  <c r="J84" i="1"/>
  <c r="J162" i="1"/>
  <c r="J232" i="1"/>
  <c r="J306" i="1"/>
  <c r="J376" i="1"/>
  <c r="J450" i="1"/>
  <c r="J514" i="1"/>
  <c r="J310" i="1"/>
  <c r="J112" i="1"/>
  <c r="J326" i="1"/>
  <c r="J534" i="1"/>
  <c r="J257" i="1"/>
  <c r="J535" i="1"/>
  <c r="J26" i="1"/>
  <c r="J258" i="1"/>
  <c r="J538" i="1"/>
  <c r="J27" i="1"/>
  <c r="J262" i="1"/>
  <c r="J471" i="1"/>
  <c r="J208" i="1"/>
  <c r="J492" i="1"/>
  <c r="J135" i="1"/>
  <c r="J353" i="1"/>
  <c r="J210" i="1"/>
  <c r="J424" i="1"/>
  <c r="F210" i="1"/>
  <c r="H205" i="1"/>
  <c r="H162" i="1"/>
  <c r="H275" i="1"/>
  <c r="H374" i="1"/>
  <c r="H425" i="1"/>
  <c r="H400" i="1"/>
  <c r="F88" i="1"/>
  <c r="F510" i="1"/>
  <c r="F339" i="1"/>
  <c r="F91" i="1"/>
  <c r="F206" i="1"/>
  <c r="F145" i="1"/>
  <c r="F252" i="1"/>
  <c r="J386" i="1"/>
  <c r="F125" i="1"/>
  <c r="F543" i="1"/>
  <c r="J317" i="1"/>
  <c r="J412" i="1"/>
  <c r="J458" i="1"/>
  <c r="J441" i="1"/>
  <c r="J536" i="1"/>
  <c r="J248" i="1"/>
  <c r="J379" i="1"/>
  <c r="J87" i="1"/>
  <c r="H110" i="1"/>
  <c r="F345" i="1"/>
  <c r="H42" i="1"/>
  <c r="H67" i="1"/>
  <c r="F147" i="1"/>
  <c r="H326" i="1"/>
  <c r="L13" i="1"/>
  <c r="L27" i="1"/>
  <c r="L41" i="1"/>
  <c r="L55" i="1"/>
  <c r="L71" i="1"/>
  <c r="L85" i="1"/>
  <c r="L99" i="1"/>
  <c r="L113" i="1"/>
  <c r="L127" i="1"/>
  <c r="L143" i="1"/>
  <c r="L157" i="1"/>
  <c r="L171" i="1"/>
  <c r="L185" i="1"/>
  <c r="L199" i="1"/>
  <c r="L215" i="1"/>
  <c r="L229" i="1"/>
  <c r="L243" i="1"/>
  <c r="L257" i="1"/>
  <c r="L271" i="1"/>
  <c r="L287" i="1"/>
  <c r="L301" i="1"/>
  <c r="L315" i="1"/>
  <c r="L329" i="1"/>
  <c r="L343" i="1"/>
  <c r="L359" i="1"/>
  <c r="L373" i="1"/>
  <c r="L387" i="1"/>
  <c r="L401" i="1"/>
  <c r="L415" i="1"/>
  <c r="L431" i="1"/>
  <c r="L445" i="1"/>
  <c r="L459" i="1"/>
  <c r="L473" i="1"/>
  <c r="L487" i="1"/>
  <c r="L503" i="1"/>
  <c r="L517" i="1"/>
  <c r="L531" i="1"/>
  <c r="L545" i="1"/>
  <c r="L18" i="1"/>
  <c r="L37" i="1"/>
  <c r="L54" i="1"/>
  <c r="L76" i="1"/>
  <c r="L95" i="1"/>
  <c r="L112" i="1"/>
  <c r="L134" i="1"/>
  <c r="L151" i="1"/>
  <c r="L170" i="1"/>
  <c r="L192" i="1"/>
  <c r="L209" i="1"/>
  <c r="L228" i="1"/>
  <c r="L250" i="1"/>
  <c r="L267" i="1"/>
  <c r="L286" i="1"/>
  <c r="L306" i="1"/>
  <c r="L325" i="1"/>
  <c r="L342" i="1"/>
  <c r="L364" i="1"/>
  <c r="L383" i="1"/>
  <c r="L400" i="1"/>
  <c r="L422" i="1"/>
  <c r="L439" i="1"/>
  <c r="L458" i="1"/>
  <c r="L480" i="1"/>
  <c r="L497" i="1"/>
  <c r="L516" i="1"/>
  <c r="L538" i="1"/>
  <c r="L4" i="1"/>
  <c r="L195" i="1"/>
  <c r="L386" i="1"/>
  <c r="L522" i="1"/>
  <c r="L19" i="1"/>
  <c r="L38" i="1"/>
  <c r="L60" i="1"/>
  <c r="L77" i="1"/>
  <c r="L96" i="1"/>
  <c r="L118" i="1"/>
  <c r="L135" i="1"/>
  <c r="L154" i="1"/>
  <c r="L174" i="1"/>
  <c r="L193" i="1"/>
  <c r="L210" i="1"/>
  <c r="L232" i="1"/>
  <c r="L251" i="1"/>
  <c r="L268" i="1"/>
  <c r="L290" i="1"/>
  <c r="L307" i="1"/>
  <c r="L326" i="1"/>
  <c r="L348" i="1"/>
  <c r="L365" i="1"/>
  <c r="L384" i="1"/>
  <c r="L406" i="1"/>
  <c r="L423" i="1"/>
  <c r="L442" i="1"/>
  <c r="L462" i="1"/>
  <c r="L481" i="1"/>
  <c r="L498" i="1"/>
  <c r="L520" i="1"/>
  <c r="L539" i="1"/>
  <c r="L23" i="1"/>
  <c r="L79" i="1"/>
  <c r="L137" i="1"/>
  <c r="L234" i="1"/>
  <c r="L292" i="1"/>
  <c r="L367" i="1"/>
  <c r="L425" i="1"/>
  <c r="L483" i="1"/>
  <c r="L3" i="1"/>
  <c r="L22" i="1"/>
  <c r="L39" i="1"/>
  <c r="L61" i="1"/>
  <c r="L78" i="1"/>
  <c r="L97" i="1"/>
  <c r="L119" i="1"/>
  <c r="L136" i="1"/>
  <c r="L155" i="1"/>
  <c r="L175" i="1"/>
  <c r="L194" i="1"/>
  <c r="L211" i="1"/>
  <c r="L233" i="1"/>
  <c r="L252" i="1"/>
  <c r="L269" i="1"/>
  <c r="L291" i="1"/>
  <c r="L310" i="1"/>
  <c r="L327" i="1"/>
  <c r="L349" i="1"/>
  <c r="L366" i="1"/>
  <c r="L385" i="1"/>
  <c r="L407" i="1"/>
  <c r="L424" i="1"/>
  <c r="L443" i="1"/>
  <c r="L463" i="1"/>
  <c r="L482" i="1"/>
  <c r="L499" i="1"/>
  <c r="L521" i="1"/>
  <c r="L540" i="1"/>
  <c r="L40" i="1"/>
  <c r="L62" i="1"/>
  <c r="L98" i="1"/>
  <c r="L120" i="1"/>
  <c r="L156" i="1"/>
  <c r="L178" i="1"/>
  <c r="L214" i="1"/>
  <c r="L253" i="1"/>
  <c r="L270" i="1"/>
  <c r="L311" i="1"/>
  <c r="L328" i="1"/>
  <c r="L350" i="1"/>
  <c r="L408" i="1"/>
  <c r="L444" i="1"/>
  <c r="L466" i="1"/>
  <c r="L502" i="1"/>
  <c r="L541" i="1"/>
  <c r="L5" i="1"/>
  <c r="L31" i="1"/>
  <c r="L63" i="1"/>
  <c r="L89" i="1"/>
  <c r="L121" i="1"/>
  <c r="L147" i="1"/>
  <c r="L179" i="1"/>
  <c r="L205" i="1"/>
  <c r="L235" i="1"/>
  <c r="L263" i="1"/>
  <c r="L293" i="1"/>
  <c r="L319" i="1"/>
  <c r="L351" i="1"/>
  <c r="L377" i="1"/>
  <c r="L409" i="1"/>
  <c r="L435" i="1"/>
  <c r="L467" i="1"/>
  <c r="L493" i="1"/>
  <c r="L523" i="1"/>
  <c r="L241" i="1"/>
  <c r="L472" i="1"/>
  <c r="L16" i="1"/>
  <c r="L74" i="1"/>
  <c r="L106" i="1"/>
  <c r="L132" i="1"/>
  <c r="L162" i="1"/>
  <c r="L220" i="1"/>
  <c r="L246" i="1"/>
  <c r="L304" i="1"/>
  <c r="L336" i="1"/>
  <c r="L362" i="1"/>
  <c r="L394" i="1"/>
  <c r="L420" i="1"/>
  <c r="L450" i="1"/>
  <c r="L478" i="1"/>
  <c r="L534" i="1"/>
  <c r="L305" i="1"/>
  <c r="L6" i="1"/>
  <c r="L34" i="1"/>
  <c r="L64" i="1"/>
  <c r="L90" i="1"/>
  <c r="L122" i="1"/>
  <c r="L148" i="1"/>
  <c r="L180" i="1"/>
  <c r="L206" i="1"/>
  <c r="L238" i="1"/>
  <c r="L264" i="1"/>
  <c r="L294" i="1"/>
  <c r="L322" i="1"/>
  <c r="L352" i="1"/>
  <c r="L378" i="1"/>
  <c r="L410" i="1"/>
  <c r="L436" i="1"/>
  <c r="L468" i="1"/>
  <c r="L494" i="1"/>
  <c r="L526" i="1"/>
  <c r="L208" i="1"/>
  <c r="L67" i="1"/>
  <c r="L160" i="1"/>
  <c r="L218" i="1"/>
  <c r="L299" i="1"/>
  <c r="L334" i="1"/>
  <c r="L390" i="1"/>
  <c r="L448" i="1"/>
  <c r="L506" i="1"/>
  <c r="L529" i="1"/>
  <c r="L47" i="1"/>
  <c r="L70" i="1"/>
  <c r="L103" i="1"/>
  <c r="L161" i="1"/>
  <c r="L184" i="1"/>
  <c r="L242" i="1"/>
  <c r="L277" i="1"/>
  <c r="L300" i="1"/>
  <c r="L358" i="1"/>
  <c r="L391" i="1"/>
  <c r="L449" i="1"/>
  <c r="L507" i="1"/>
  <c r="L48" i="1"/>
  <c r="L278" i="1"/>
  <c r="L508" i="1"/>
  <c r="L247" i="1"/>
  <c r="L7" i="1"/>
  <c r="L35" i="1"/>
  <c r="L65" i="1"/>
  <c r="L91" i="1"/>
  <c r="L123" i="1"/>
  <c r="L149" i="1"/>
  <c r="L181" i="1"/>
  <c r="L207" i="1"/>
  <c r="L239" i="1"/>
  <c r="L265" i="1"/>
  <c r="L295" i="1"/>
  <c r="L323" i="1"/>
  <c r="L353" i="1"/>
  <c r="L379" i="1"/>
  <c r="L411" i="1"/>
  <c r="L437" i="1"/>
  <c r="L469" i="1"/>
  <c r="L495" i="1"/>
  <c r="L527" i="1"/>
  <c r="L10" i="1"/>
  <c r="L36" i="1"/>
  <c r="L66" i="1"/>
  <c r="L94" i="1"/>
  <c r="L124" i="1"/>
  <c r="L150" i="1"/>
  <c r="L182" i="1"/>
  <c r="L240" i="1"/>
  <c r="L266" i="1"/>
  <c r="L298" i="1"/>
  <c r="L324" i="1"/>
  <c r="L354" i="1"/>
  <c r="L382" i="1"/>
  <c r="L412" i="1"/>
  <c r="L438" i="1"/>
  <c r="L470" i="1"/>
  <c r="L496" i="1"/>
  <c r="L528" i="1"/>
  <c r="L11" i="1"/>
  <c r="L46" i="1"/>
  <c r="L102" i="1"/>
  <c r="L125" i="1"/>
  <c r="L183" i="1"/>
  <c r="L276" i="1"/>
  <c r="L355" i="1"/>
  <c r="L413" i="1"/>
  <c r="L471" i="1"/>
  <c r="L12" i="1"/>
  <c r="L126" i="1"/>
  <c r="L219" i="1"/>
  <c r="L335" i="1"/>
  <c r="L414" i="1"/>
  <c r="L530" i="1"/>
  <c r="L190" i="1"/>
  <c r="L17" i="1"/>
  <c r="L49" i="1"/>
  <c r="L75" i="1"/>
  <c r="L107" i="1"/>
  <c r="L133" i="1"/>
  <c r="L163" i="1"/>
  <c r="L191" i="1"/>
  <c r="L221" i="1"/>
  <c r="L279" i="1"/>
  <c r="L337" i="1"/>
  <c r="L363" i="1"/>
  <c r="L395" i="1"/>
  <c r="L421" i="1"/>
  <c r="L451" i="1"/>
  <c r="L479" i="1"/>
  <c r="L509" i="1"/>
  <c r="L535" i="1"/>
  <c r="L24" i="1"/>
  <c r="L108" i="1"/>
  <c r="L196" i="1"/>
  <c r="L280" i="1"/>
  <c r="L370" i="1"/>
  <c r="L454" i="1"/>
  <c r="L542" i="1"/>
  <c r="L457" i="1"/>
  <c r="L50" i="1"/>
  <c r="L312" i="1"/>
  <c r="L51" i="1"/>
  <c r="L313" i="1"/>
  <c r="L226" i="1"/>
  <c r="L398" i="1"/>
  <c r="L227" i="1"/>
  <c r="L492" i="1"/>
  <c r="L254" i="1"/>
  <c r="L83" i="1"/>
  <c r="L339" i="1"/>
  <c r="L84" i="1"/>
  <c r="L256" i="1"/>
  <c r="L88" i="1"/>
  <c r="L262" i="1"/>
  <c r="L434" i="1"/>
  <c r="L25" i="1"/>
  <c r="L109" i="1"/>
  <c r="L197" i="1"/>
  <c r="L281" i="1"/>
  <c r="L371" i="1"/>
  <c r="L455" i="1"/>
  <c r="L543" i="1"/>
  <c r="L30" i="1"/>
  <c r="L111" i="1"/>
  <c r="L204" i="1"/>
  <c r="L376" i="1"/>
  <c r="L222" i="1"/>
  <c r="L484" i="1"/>
  <c r="L139" i="1"/>
  <c r="L397" i="1"/>
  <c r="L142" i="1"/>
  <c r="L486" i="1"/>
  <c r="L53" i="1"/>
  <c r="L399" i="1"/>
  <c r="L166" i="1"/>
  <c r="L338" i="1"/>
  <c r="L510" i="1"/>
  <c r="L255" i="1"/>
  <c r="L511" i="1"/>
  <c r="L430" i="1"/>
  <c r="L169" i="1"/>
  <c r="L341" i="1"/>
  <c r="L515" i="1"/>
  <c r="L26" i="1"/>
  <c r="L110" i="1"/>
  <c r="L198" i="1"/>
  <c r="L282" i="1"/>
  <c r="L372" i="1"/>
  <c r="L456" i="1"/>
  <c r="L544" i="1"/>
  <c r="L283" i="1"/>
  <c r="L138" i="1"/>
  <c r="L396" i="1"/>
  <c r="L223" i="1"/>
  <c r="L485" i="1"/>
  <c r="L52" i="1"/>
  <c r="L314" i="1"/>
  <c r="L146" i="1"/>
  <c r="L318" i="1"/>
  <c r="L82" i="1"/>
  <c r="L426" i="1"/>
  <c r="L167" i="1"/>
  <c r="L427" i="1"/>
  <c r="L168" i="1"/>
  <c r="L340" i="1"/>
  <c r="L514" i="1"/>
  <c r="L275" i="1"/>
  <c r="L45" i="1"/>
  <c r="L8" i="1"/>
  <c r="H254" i="1"/>
  <c r="H514" i="1"/>
  <c r="F230" i="1"/>
  <c r="F483" i="1"/>
  <c r="H451" i="1"/>
  <c r="H191" i="1"/>
  <c r="H320" i="1"/>
  <c r="H146" i="1"/>
  <c r="H349" i="1"/>
  <c r="H433" i="1"/>
  <c r="H261" i="1"/>
  <c r="H87" i="1"/>
  <c r="H534" i="1"/>
  <c r="H360" i="1"/>
  <c r="H188" i="1"/>
  <c r="H14" i="1"/>
  <c r="H413" i="1"/>
  <c r="H269" i="1"/>
  <c r="H125" i="1"/>
  <c r="H532" i="1"/>
  <c r="H388" i="1"/>
  <c r="H244" i="1"/>
  <c r="H100" i="1"/>
  <c r="F112" i="1"/>
  <c r="F209" i="1"/>
  <c r="F496" i="1"/>
  <c r="F322" i="1"/>
  <c r="F150" i="1"/>
  <c r="F267" i="1"/>
  <c r="F423" i="1"/>
  <c r="F249" i="1"/>
  <c r="F536" i="1"/>
  <c r="F364" i="1"/>
  <c r="F190" i="1"/>
  <c r="F18" i="1"/>
  <c r="F421" i="1"/>
  <c r="F277" i="1"/>
  <c r="F133" i="1"/>
  <c r="F528" i="1"/>
  <c r="F384" i="1"/>
  <c r="F240" i="1"/>
  <c r="F96" i="1"/>
  <c r="J120" i="1"/>
  <c r="J408" i="1"/>
  <c r="H151" i="1"/>
  <c r="H409" i="1"/>
  <c r="F143" i="1"/>
  <c r="F403" i="1"/>
  <c r="F298" i="1"/>
  <c r="J533" i="1"/>
  <c r="J240" i="1"/>
  <c r="J490" i="1"/>
  <c r="J302" i="1"/>
  <c r="J110" i="1"/>
  <c r="J72" i="1"/>
  <c r="J397" i="1"/>
  <c r="J205" i="1"/>
  <c r="J519" i="1"/>
  <c r="J444" i="1"/>
  <c r="J252" i="1"/>
  <c r="J50" i="1"/>
  <c r="J429" i="1"/>
  <c r="J285" i="1"/>
  <c r="J141" i="1"/>
  <c r="J524" i="1"/>
  <c r="J380" i="1"/>
  <c r="J236" i="1"/>
  <c r="J90" i="1"/>
  <c r="J367" i="1"/>
  <c r="J223" i="1"/>
  <c r="J73" i="1"/>
  <c r="J17" i="1"/>
  <c r="H345" i="1"/>
  <c r="H198" i="1"/>
  <c r="F545" i="1"/>
  <c r="F389" i="1"/>
  <c r="J39" i="1"/>
  <c r="J339" i="1"/>
  <c r="H66" i="1"/>
  <c r="H324" i="1"/>
  <c r="F58" i="1"/>
  <c r="H85" i="1"/>
  <c r="H387" i="1"/>
  <c r="F171" i="1"/>
  <c r="F544" i="1"/>
  <c r="H370" i="1"/>
  <c r="F238" i="1"/>
  <c r="F197" i="1"/>
  <c r="P387" i="1"/>
  <c r="P435" i="1"/>
  <c r="P492" i="1"/>
  <c r="P26" i="1"/>
  <c r="P169" i="1"/>
  <c r="P394" i="1"/>
  <c r="P87" i="1"/>
  <c r="P393" i="1"/>
  <c r="P86" i="1"/>
  <c r="P344" i="1"/>
  <c r="P10" i="1"/>
  <c r="P347" i="1"/>
  <c r="P118" i="1"/>
  <c r="P417" i="1"/>
  <c r="P191" i="1"/>
  <c r="P482" i="1"/>
  <c r="P266" i="1"/>
  <c r="P14" i="1"/>
  <c r="P384" i="1"/>
  <c r="P194" i="1"/>
  <c r="P527" i="1"/>
  <c r="P355" i="1"/>
  <c r="P163" i="1"/>
  <c r="P509" i="1"/>
  <c r="P365" i="1"/>
  <c r="P221" i="1"/>
  <c r="P66" i="1"/>
  <c r="P448" i="1"/>
  <c r="P304" i="1"/>
  <c r="P160" i="1"/>
  <c r="P339" i="1"/>
  <c r="P195" i="1"/>
  <c r="P31" i="1"/>
  <c r="P84" i="1"/>
  <c r="P47" i="1"/>
  <c r="N37" i="1"/>
  <c r="N313" i="1"/>
  <c r="N86" i="1"/>
  <c r="N175" i="1"/>
  <c r="N245" i="1"/>
  <c r="N334" i="1"/>
  <c r="N404" i="1"/>
  <c r="N490" i="1"/>
  <c r="N16" i="1"/>
  <c r="N58" i="1"/>
  <c r="N105" i="1"/>
  <c r="N128" i="1"/>
  <c r="N152" i="1"/>
  <c r="N196" i="1"/>
  <c r="N222" i="1"/>
  <c r="N266" i="1"/>
  <c r="N292" i="1"/>
  <c r="N362" i="1"/>
  <c r="N381" i="1"/>
  <c r="N430" i="1"/>
  <c r="N451" i="1"/>
  <c r="N470" i="1"/>
  <c r="N509" i="1"/>
  <c r="N526" i="1"/>
  <c r="N17" i="1"/>
  <c r="N49" i="1"/>
  <c r="N87" i="1"/>
  <c r="N117" i="1"/>
  <c r="N153" i="1"/>
  <c r="N187" i="1"/>
  <c r="N223" i="1"/>
  <c r="N255" i="1"/>
  <c r="N293" i="1"/>
  <c r="N325" i="1"/>
  <c r="N363" i="1"/>
  <c r="N393" i="1"/>
  <c r="N433" i="1"/>
  <c r="N461" i="1"/>
  <c r="N491" i="1"/>
  <c r="N519" i="1"/>
  <c r="N30" i="1"/>
  <c r="N66" i="1"/>
  <c r="N100" i="1"/>
  <c r="N136" i="1"/>
  <c r="N166" i="1"/>
  <c r="N206" i="1"/>
  <c r="N236" i="1"/>
  <c r="N274" i="1"/>
  <c r="N344" i="1"/>
  <c r="N376" i="1"/>
  <c r="N412" i="1"/>
  <c r="N446" i="1"/>
  <c r="N476" i="1"/>
  <c r="N502" i="1"/>
  <c r="N534" i="1"/>
  <c r="N18" i="1"/>
  <c r="N50" i="1"/>
  <c r="N88" i="1"/>
  <c r="N118" i="1"/>
  <c r="N158" i="1"/>
  <c r="N188" i="1"/>
  <c r="N224" i="1"/>
  <c r="N258" i="1"/>
  <c r="N294" i="1"/>
  <c r="N326" i="1"/>
  <c r="N364" i="1"/>
  <c r="N394" i="1"/>
  <c r="N434" i="1"/>
  <c r="N462" i="1"/>
  <c r="N494" i="1"/>
  <c r="N520" i="1"/>
  <c r="N64" i="1"/>
  <c r="N231" i="1"/>
  <c r="N410" i="1"/>
  <c r="N532" i="1"/>
  <c r="N22" i="1"/>
  <c r="N65" i="1"/>
  <c r="N92" i="1"/>
  <c r="N162" i="1"/>
  <c r="N205" i="1"/>
  <c r="N232" i="1"/>
  <c r="N302" i="1"/>
  <c r="N341" i="1"/>
  <c r="N368" i="1"/>
  <c r="N411" i="1"/>
  <c r="N475" i="1"/>
  <c r="N498" i="1"/>
  <c r="N533" i="1"/>
  <c r="N306" i="1"/>
  <c r="N19" i="1"/>
  <c r="N51" i="1"/>
  <c r="N89" i="1"/>
  <c r="N121" i="1"/>
  <c r="N159" i="1"/>
  <c r="N189" i="1"/>
  <c r="N225" i="1"/>
  <c r="N259" i="1"/>
  <c r="N295" i="1"/>
  <c r="N327" i="1"/>
  <c r="N365" i="1"/>
  <c r="N397" i="1"/>
  <c r="N435" i="1"/>
  <c r="N463" i="1"/>
  <c r="N495" i="1"/>
  <c r="N521" i="1"/>
  <c r="N20" i="1"/>
  <c r="N52" i="1"/>
  <c r="N90" i="1"/>
  <c r="N122" i="1"/>
  <c r="N160" i="1"/>
  <c r="N190" i="1"/>
  <c r="N230" i="1"/>
  <c r="N260" i="1"/>
  <c r="N296" i="1"/>
  <c r="N330" i="1"/>
  <c r="N366" i="1"/>
  <c r="N398" i="1"/>
  <c r="N436" i="1"/>
  <c r="N464" i="1"/>
  <c r="N496" i="1"/>
  <c r="N522" i="1"/>
  <c r="N21" i="1"/>
  <c r="N91" i="1"/>
  <c r="N134" i="1"/>
  <c r="N161" i="1"/>
  <c r="N202" i="1"/>
  <c r="N272" i="1"/>
  <c r="N297" i="1"/>
  <c r="N340" i="1"/>
  <c r="N367" i="1"/>
  <c r="N437" i="1"/>
  <c r="N474" i="1"/>
  <c r="N497" i="1"/>
  <c r="N135" i="1"/>
  <c r="N273" i="1"/>
  <c r="N438" i="1"/>
  <c r="N31" i="1"/>
  <c r="N67" i="1"/>
  <c r="N101" i="1"/>
  <c r="N137" i="1"/>
  <c r="N169" i="1"/>
  <c r="N207" i="1"/>
  <c r="N237" i="1"/>
  <c r="N277" i="1"/>
  <c r="N307" i="1"/>
  <c r="N345" i="1"/>
  <c r="N377" i="1"/>
  <c r="N413" i="1"/>
  <c r="N447" i="1"/>
  <c r="N477" i="1"/>
  <c r="N503" i="1"/>
  <c r="N535" i="1"/>
  <c r="N70" i="1"/>
  <c r="N176" i="1"/>
  <c r="N278" i="1"/>
  <c r="N382" i="1"/>
  <c r="N478" i="1"/>
  <c r="N316" i="1"/>
  <c r="N109" i="1"/>
  <c r="N317" i="1"/>
  <c r="N4" i="1"/>
  <c r="N210" i="1"/>
  <c r="N512" i="1"/>
  <c r="N211" i="1"/>
  <c r="N518" i="1"/>
  <c r="N452" i="1"/>
  <c r="N139" i="1"/>
  <c r="N247" i="1"/>
  <c r="N453" i="1"/>
  <c r="N42" i="1"/>
  <c r="N350" i="1"/>
  <c r="N46" i="1"/>
  <c r="N254" i="1"/>
  <c r="N460" i="1"/>
  <c r="N73" i="1"/>
  <c r="N177" i="1"/>
  <c r="N279" i="1"/>
  <c r="N385" i="1"/>
  <c r="N479" i="1"/>
  <c r="N75" i="1"/>
  <c r="N186" i="1"/>
  <c r="N281" i="1"/>
  <c r="N392" i="1"/>
  <c r="N483" i="1"/>
  <c r="N416" i="1"/>
  <c r="N417" i="1"/>
  <c r="N318" i="1"/>
  <c r="N322" i="1"/>
  <c r="N38" i="1"/>
  <c r="N138" i="1"/>
  <c r="N346" i="1"/>
  <c r="N536" i="1"/>
  <c r="N349" i="1"/>
  <c r="N248" i="1"/>
  <c r="N538" i="1"/>
  <c r="N145" i="1"/>
  <c r="N351" i="1"/>
  <c r="N539" i="1"/>
  <c r="N74" i="1"/>
  <c r="N178" i="1"/>
  <c r="N280" i="1"/>
  <c r="N388" i="1"/>
  <c r="N482" i="1"/>
  <c r="N106" i="1"/>
  <c r="N208" i="1"/>
  <c r="N510" i="1"/>
  <c r="N3" i="1"/>
  <c r="N209" i="1"/>
  <c r="N511" i="1"/>
  <c r="N110" i="1"/>
  <c r="N418" i="1"/>
  <c r="N5" i="1"/>
  <c r="N116" i="1"/>
  <c r="N421" i="1"/>
  <c r="N246" i="1"/>
  <c r="N39" i="1"/>
  <c r="N537" i="1"/>
  <c r="N142" i="1"/>
  <c r="N454" i="1"/>
  <c r="L144" i="1"/>
  <c r="L316" i="1"/>
  <c r="L490" i="1"/>
  <c r="L115" i="1"/>
  <c r="L289" i="1"/>
  <c r="L461" i="1"/>
  <c r="L465" i="1"/>
  <c r="L321" i="1"/>
  <c r="L177" i="1"/>
  <c r="L33" i="1"/>
  <c r="L428" i="1"/>
  <c r="L284" i="1"/>
  <c r="L140" i="1"/>
  <c r="N6" i="1"/>
  <c r="N282" i="1"/>
  <c r="N542" i="1"/>
  <c r="N262" i="1"/>
  <c r="N524" i="1"/>
  <c r="N391" i="1"/>
  <c r="N183" i="1"/>
  <c r="N530" i="1"/>
  <c r="N338" i="1"/>
  <c r="N130" i="1"/>
  <c r="N485" i="1"/>
  <c r="N283" i="1"/>
  <c r="N77" i="1"/>
  <c r="N457" i="1"/>
  <c r="N285" i="1"/>
  <c r="N113" i="1"/>
  <c r="N492" i="1"/>
  <c r="N328" i="1"/>
  <c r="N154" i="1"/>
  <c r="N432" i="1"/>
  <c r="N288" i="1"/>
  <c r="N144" i="1"/>
  <c r="N443" i="1"/>
  <c r="N299" i="1"/>
  <c r="N155" i="1"/>
  <c r="N11" i="1"/>
  <c r="N291" i="1"/>
  <c r="H20" i="1"/>
  <c r="H278" i="1"/>
  <c r="H538" i="1"/>
  <c r="F254" i="1"/>
  <c r="F500" i="1"/>
  <c r="H421" i="1"/>
  <c r="H163" i="1"/>
  <c r="H478" i="1"/>
  <c r="H306" i="1"/>
  <c r="H132" i="1"/>
  <c r="H263" i="1"/>
  <c r="H419" i="1"/>
  <c r="H247" i="1"/>
  <c r="H73" i="1"/>
  <c r="H518" i="1"/>
  <c r="H346" i="1"/>
  <c r="H174" i="1"/>
  <c r="H545" i="1"/>
  <c r="H401" i="1"/>
  <c r="H257" i="1"/>
  <c r="H113" i="1"/>
  <c r="H520" i="1"/>
  <c r="H376" i="1"/>
  <c r="H232" i="1"/>
  <c r="H88" i="1"/>
  <c r="F154" i="1"/>
  <c r="F511" i="1"/>
  <c r="F179" i="1"/>
  <c r="F482" i="1"/>
  <c r="F308" i="1"/>
  <c r="F136" i="1"/>
  <c r="F195" i="1"/>
  <c r="F407" i="1"/>
  <c r="F235" i="1"/>
  <c r="F63" i="1"/>
  <c r="F522" i="1"/>
  <c r="F350" i="1"/>
  <c r="F176" i="1"/>
  <c r="F4" i="1"/>
  <c r="F409" i="1"/>
  <c r="F265" i="1"/>
  <c r="F121" i="1"/>
  <c r="F516" i="1"/>
  <c r="F372" i="1"/>
  <c r="F228" i="1"/>
  <c r="F84" i="1"/>
  <c r="J146" i="1"/>
  <c r="J434" i="1"/>
  <c r="H169" i="1"/>
  <c r="H429" i="1"/>
  <c r="F167" i="1"/>
  <c r="F426" i="1"/>
  <c r="F318" i="1"/>
  <c r="J491" i="1"/>
  <c r="J192" i="1"/>
  <c r="J474" i="1"/>
  <c r="J287" i="1"/>
  <c r="J93" i="1"/>
  <c r="J14" i="1"/>
  <c r="J382" i="1"/>
  <c r="J190" i="1"/>
  <c r="J414" i="1"/>
  <c r="J426" i="1"/>
  <c r="J234" i="1"/>
  <c r="J30" i="1"/>
  <c r="J417" i="1"/>
  <c r="J273" i="1"/>
  <c r="J129" i="1"/>
  <c r="J512" i="1"/>
  <c r="J368" i="1"/>
  <c r="J224" i="1"/>
  <c r="J74" i="1"/>
  <c r="J355" i="1"/>
  <c r="J211" i="1"/>
  <c r="J59" i="1"/>
  <c r="J5" i="1"/>
  <c r="H475" i="1"/>
  <c r="H284" i="1"/>
  <c r="F23" i="1"/>
  <c r="F430" i="1"/>
  <c r="J67" i="1"/>
  <c r="J361" i="1"/>
  <c r="H84" i="1"/>
  <c r="H344" i="1"/>
  <c r="F82" i="1"/>
  <c r="H109" i="1"/>
  <c r="H411" i="1"/>
  <c r="F213" i="1"/>
  <c r="H6" i="1"/>
  <c r="H394" i="1"/>
  <c r="F258" i="1"/>
  <c r="F259" i="1"/>
  <c r="N15" i="1"/>
  <c r="P378" i="1"/>
  <c r="P311" i="1"/>
  <c r="P152" i="1"/>
  <c r="P225" i="1"/>
  <c r="P406" i="1"/>
  <c r="P253" i="1"/>
  <c r="P129" i="1"/>
  <c r="P165" i="1"/>
  <c r="P238" i="1"/>
  <c r="P285" i="1"/>
  <c r="P357" i="1"/>
  <c r="P405" i="1"/>
  <c r="P454" i="1"/>
  <c r="P512" i="1"/>
  <c r="P144" i="1"/>
  <c r="P373" i="1"/>
  <c r="P55" i="1"/>
  <c r="P372" i="1"/>
  <c r="P52" i="1"/>
  <c r="P319" i="1"/>
  <c r="P538" i="1"/>
  <c r="P330" i="1"/>
  <c r="P91" i="1"/>
  <c r="P399" i="1"/>
  <c r="P174" i="1"/>
  <c r="P466" i="1"/>
  <c r="P249" i="1"/>
  <c r="P542" i="1"/>
  <c r="P370" i="1"/>
  <c r="P179" i="1"/>
  <c r="P513" i="1"/>
  <c r="P337" i="1"/>
  <c r="P145" i="1"/>
  <c r="P497" i="1"/>
  <c r="P353" i="1"/>
  <c r="P209" i="1"/>
  <c r="P51" i="1"/>
  <c r="P436" i="1"/>
  <c r="P292" i="1"/>
  <c r="P148" i="1"/>
  <c r="P327" i="1"/>
  <c r="P183" i="1"/>
  <c r="P16" i="1"/>
  <c r="P72" i="1"/>
  <c r="P35" i="1"/>
  <c r="F419" i="1"/>
  <c r="F369" i="1"/>
  <c r="F281" i="1"/>
  <c r="F366" i="1"/>
  <c r="F20" i="1"/>
  <c r="F293" i="1"/>
  <c r="F406" i="1"/>
  <c r="F457" i="1"/>
  <c r="F169" i="1"/>
  <c r="F420" i="1"/>
  <c r="F132" i="1"/>
  <c r="F81" i="1"/>
  <c r="F502" i="1"/>
  <c r="F283" i="1"/>
  <c r="F186" i="1"/>
  <c r="H219" i="1"/>
  <c r="H176" i="1"/>
  <c r="H289" i="1"/>
  <c r="H390" i="1"/>
  <c r="H437" i="1"/>
  <c r="H149" i="1"/>
  <c r="H412" i="1"/>
  <c r="F44" i="1"/>
  <c r="F524" i="1"/>
  <c r="F6" i="1"/>
  <c r="F93" i="1"/>
  <c r="F46" i="1"/>
  <c r="F157" i="1"/>
  <c r="F264" i="1"/>
  <c r="F101" i="1"/>
  <c r="F521" i="1"/>
  <c r="H24" i="1"/>
  <c r="F390" i="1"/>
  <c r="H282" i="1"/>
  <c r="H325" i="1"/>
  <c r="F486" i="1"/>
  <c r="F67" i="1"/>
  <c r="H494" i="1"/>
  <c r="H465" i="1"/>
  <c r="H334" i="1"/>
  <c r="H447" i="1"/>
  <c r="H61" i="1"/>
  <c r="H30" i="1"/>
  <c r="H137" i="1"/>
  <c r="H544" i="1"/>
  <c r="H112" i="1"/>
  <c r="F223" i="1"/>
  <c r="F164" i="1"/>
  <c r="F263" i="1"/>
  <c r="F378" i="1"/>
  <c r="F433" i="1"/>
  <c r="F540" i="1"/>
  <c r="F108" i="1"/>
  <c r="H127" i="1"/>
  <c r="F383" i="1"/>
  <c r="J255" i="1"/>
  <c r="J125" i="1"/>
  <c r="J220" i="1"/>
  <c r="J267" i="1"/>
  <c r="J297" i="1"/>
  <c r="J392" i="1"/>
  <c r="J235" i="1"/>
  <c r="H195" i="1"/>
  <c r="F472" i="1"/>
  <c r="H300" i="1"/>
  <c r="H369" i="1"/>
  <c r="F196" i="1"/>
  <c r="L474" i="1"/>
  <c r="L477" i="1"/>
  <c r="L440" i="1"/>
  <c r="F489" i="1"/>
  <c r="L158" i="1"/>
  <c r="L330" i="1"/>
  <c r="L504" i="1"/>
  <c r="L131" i="1"/>
  <c r="L303" i="1"/>
  <c r="L475" i="1"/>
  <c r="L453" i="1"/>
  <c r="L309" i="1"/>
  <c r="L165" i="1"/>
  <c r="L21" i="1"/>
  <c r="L416" i="1"/>
  <c r="L272" i="1"/>
  <c r="L128" i="1"/>
  <c r="H38" i="1"/>
  <c r="H298" i="1"/>
  <c r="F14" i="1"/>
  <c r="F272" i="1"/>
  <c r="F519" i="1"/>
  <c r="H393" i="1"/>
  <c r="H133" i="1"/>
  <c r="H464" i="1"/>
  <c r="H290" i="1"/>
  <c r="H118" i="1"/>
  <c r="H177" i="1"/>
  <c r="H405" i="1"/>
  <c r="H231" i="1"/>
  <c r="H59" i="1"/>
  <c r="H504" i="1"/>
  <c r="H332" i="1"/>
  <c r="H158" i="1"/>
  <c r="H533" i="1"/>
  <c r="H389" i="1"/>
  <c r="H245" i="1"/>
  <c r="H101" i="1"/>
  <c r="H508" i="1"/>
  <c r="H364" i="1"/>
  <c r="H220" i="1"/>
  <c r="H76" i="1"/>
  <c r="F174" i="1"/>
  <c r="F530" i="1"/>
  <c r="F151" i="1"/>
  <c r="F466" i="1"/>
  <c r="F294" i="1"/>
  <c r="F122" i="1"/>
  <c r="F123" i="1"/>
  <c r="F393" i="1"/>
  <c r="F221" i="1"/>
  <c r="F47" i="1"/>
  <c r="F508" i="1"/>
  <c r="F334" i="1"/>
  <c r="F162" i="1"/>
  <c r="F541" i="1"/>
  <c r="F397" i="1"/>
  <c r="F253" i="1"/>
  <c r="F109" i="1"/>
  <c r="F504" i="1"/>
  <c r="F360" i="1"/>
  <c r="F216" i="1"/>
  <c r="F72" i="1"/>
  <c r="J168" i="1"/>
  <c r="J455" i="1"/>
  <c r="H193" i="1"/>
  <c r="H453" i="1"/>
  <c r="F187" i="1"/>
  <c r="F443" i="1"/>
  <c r="F342" i="1"/>
  <c r="J475" i="1"/>
  <c r="J174" i="1"/>
  <c r="J460" i="1"/>
  <c r="J269" i="1"/>
  <c r="J71" i="1"/>
  <c r="J545" i="1"/>
  <c r="J364" i="1"/>
  <c r="J172" i="1"/>
  <c r="J318" i="1"/>
  <c r="J411" i="1"/>
  <c r="J219" i="1"/>
  <c r="J11" i="1"/>
  <c r="J405" i="1"/>
  <c r="J261" i="1"/>
  <c r="J117" i="1"/>
  <c r="J500" i="1"/>
  <c r="J356" i="1"/>
  <c r="J212" i="1"/>
  <c r="J60" i="1"/>
  <c r="J343" i="1"/>
  <c r="J199" i="1"/>
  <c r="J45" i="1"/>
  <c r="J100" i="1"/>
  <c r="F17" i="1"/>
  <c r="H350" i="1"/>
  <c r="F43" i="1"/>
  <c r="F449" i="1"/>
  <c r="J97" i="1"/>
  <c r="J387" i="1"/>
  <c r="H108" i="1"/>
  <c r="H368" i="1"/>
  <c r="F102" i="1"/>
  <c r="H129" i="1"/>
  <c r="H431" i="1"/>
  <c r="F233" i="1"/>
  <c r="H48" i="1"/>
  <c r="H414" i="1"/>
  <c r="F302" i="1"/>
  <c r="P224" i="1"/>
  <c r="P478" i="1"/>
  <c r="P410" i="1"/>
  <c r="P479" i="1"/>
  <c r="P106" i="1"/>
  <c r="P368" i="1"/>
  <c r="P39" i="1"/>
  <c r="P38" i="1"/>
  <c r="P128" i="1"/>
  <c r="P203" i="1"/>
  <c r="P206" i="1"/>
  <c r="P313" i="1"/>
  <c r="P367" i="1"/>
  <c r="P422" i="1"/>
  <c r="P491" i="1"/>
  <c r="P121" i="1"/>
  <c r="P349" i="1"/>
  <c r="P21" i="1"/>
  <c r="P348" i="1"/>
  <c r="P20" i="1"/>
  <c r="P296" i="1"/>
  <c r="P522" i="1"/>
  <c r="P310" i="1"/>
  <c r="P68" i="1"/>
  <c r="P381" i="1"/>
  <c r="P154" i="1"/>
  <c r="P450" i="1"/>
  <c r="P229" i="1"/>
  <c r="P528" i="1"/>
  <c r="P356" i="1"/>
  <c r="P164" i="1"/>
  <c r="P499" i="1"/>
  <c r="P322" i="1"/>
  <c r="P130" i="1"/>
  <c r="P485" i="1"/>
  <c r="P341" i="1"/>
  <c r="P197" i="1"/>
  <c r="P33" i="1"/>
  <c r="P424" i="1"/>
  <c r="P280" i="1"/>
  <c r="P136" i="1"/>
  <c r="P315" i="1"/>
  <c r="P171" i="1"/>
  <c r="P97" i="1"/>
  <c r="P60" i="1"/>
  <c r="F3" i="1"/>
  <c r="F305" i="1"/>
  <c r="F261" i="1"/>
  <c r="F512" i="1"/>
  <c r="F27" i="1"/>
  <c r="F45" i="1"/>
  <c r="F69" i="1"/>
  <c r="F89" i="1"/>
  <c r="F113" i="1"/>
  <c r="F131" i="1"/>
  <c r="F155" i="1"/>
  <c r="F175" i="1"/>
  <c r="F199" i="1"/>
  <c r="F219" i="1"/>
  <c r="F243" i="1"/>
  <c r="F285" i="1"/>
  <c r="F329" i="1"/>
  <c r="F347" i="1"/>
  <c r="F371" i="1"/>
  <c r="F391" i="1"/>
  <c r="F414" i="1"/>
  <c r="F434" i="1"/>
  <c r="F454" i="1"/>
  <c r="F473" i="1"/>
  <c r="F490" i="1"/>
  <c r="F531" i="1"/>
  <c r="F8" i="1"/>
  <c r="F70" i="1"/>
  <c r="F138" i="1"/>
  <c r="F200" i="1"/>
  <c r="F268" i="1"/>
  <c r="F330" i="1"/>
  <c r="F398" i="1"/>
  <c r="F455" i="1"/>
  <c r="F513" i="1"/>
  <c r="F331" i="1"/>
  <c r="F458" i="1"/>
  <c r="F514" i="1"/>
  <c r="F459" i="1"/>
  <c r="F75" i="1"/>
  <c r="F333" i="1"/>
  <c r="F28" i="1"/>
  <c r="F224" i="1"/>
  <c r="F474" i="1"/>
  <c r="F95" i="1"/>
  <c r="F355" i="1"/>
  <c r="F160" i="1"/>
  <c r="F226" i="1"/>
  <c r="F417" i="1"/>
  <c r="F476" i="1"/>
  <c r="F31" i="1"/>
  <c r="F227" i="1"/>
  <c r="F418" i="1"/>
  <c r="F52" i="1"/>
  <c r="F310" i="1"/>
  <c r="F53" i="1"/>
  <c r="F311" i="1"/>
  <c r="F184" i="1"/>
  <c r="F498" i="1"/>
  <c r="F185" i="1"/>
  <c r="F377" i="1"/>
  <c r="F9" i="1"/>
  <c r="F71" i="1"/>
  <c r="F139" i="1"/>
  <c r="F201" i="1"/>
  <c r="F269" i="1"/>
  <c r="F399" i="1"/>
  <c r="F11" i="1"/>
  <c r="F203" i="1"/>
  <c r="F460" i="1"/>
  <c r="F94" i="1"/>
  <c r="F286" i="1"/>
  <c r="F354" i="1"/>
  <c r="F532" i="1"/>
  <c r="F29" i="1"/>
  <c r="F159" i="1"/>
  <c r="F225" i="1"/>
  <c r="F416" i="1"/>
  <c r="F475" i="1"/>
  <c r="F30" i="1"/>
  <c r="F356" i="1"/>
  <c r="F161" i="1"/>
  <c r="F357" i="1"/>
  <c r="F477" i="1"/>
  <c r="F182" i="1"/>
  <c r="F435" i="1"/>
  <c r="F115" i="1"/>
  <c r="F245" i="1"/>
  <c r="F439" i="1"/>
  <c r="F314" i="1"/>
  <c r="F117" i="1"/>
  <c r="F247" i="1"/>
  <c r="F315" i="1"/>
  <c r="F441" i="1"/>
  <c r="F499" i="1"/>
  <c r="F10" i="1"/>
  <c r="F74" i="1"/>
  <c r="F140" i="1"/>
  <c r="F202" i="1"/>
  <c r="F270" i="1"/>
  <c r="F332" i="1"/>
  <c r="F400" i="1"/>
  <c r="F515" i="1"/>
  <c r="F141" i="1"/>
  <c r="F271" i="1"/>
  <c r="F401" i="1"/>
  <c r="F518" i="1"/>
  <c r="F158" i="1"/>
  <c r="F415" i="1"/>
  <c r="F287" i="1"/>
  <c r="F533" i="1"/>
  <c r="F98" i="1"/>
  <c r="F290" i="1"/>
  <c r="F534" i="1"/>
  <c r="F99" i="1"/>
  <c r="F291" i="1"/>
  <c r="F535" i="1"/>
  <c r="F114" i="1"/>
  <c r="F244" i="1"/>
  <c r="F374" i="1"/>
  <c r="F491" i="1"/>
  <c r="F183" i="1"/>
  <c r="F375" i="1"/>
  <c r="F497" i="1"/>
  <c r="F54" i="1"/>
  <c r="F116" i="1"/>
  <c r="F246" i="1"/>
  <c r="F376" i="1"/>
  <c r="F440" i="1"/>
  <c r="F55" i="1"/>
  <c r="F166" i="1"/>
  <c r="F413" i="1"/>
  <c r="F194" i="1"/>
  <c r="F119" i="1"/>
  <c r="F234" i="1"/>
  <c r="F313" i="1"/>
  <c r="F276" i="1"/>
  <c r="F341" i="1"/>
  <c r="F344" i="1"/>
  <c r="F447" i="1"/>
  <c r="F526" i="1"/>
  <c r="H212" i="1"/>
  <c r="F442" i="1"/>
  <c r="H522" i="1"/>
  <c r="H507" i="1"/>
  <c r="H117" i="1"/>
  <c r="H216" i="1"/>
  <c r="H293" i="1"/>
  <c r="H268" i="1"/>
  <c r="F431" i="1"/>
  <c r="F352" i="1"/>
  <c r="F451" i="1"/>
  <c r="F105" i="1"/>
  <c r="F220" i="1"/>
  <c r="F301" i="1"/>
  <c r="F408" i="1"/>
  <c r="H367" i="1"/>
  <c r="F232" i="1"/>
  <c r="F303" i="1"/>
  <c r="H22" i="1"/>
  <c r="H43" i="1"/>
  <c r="H308" i="1"/>
  <c r="H236" i="1"/>
  <c r="F461" i="1"/>
  <c r="H506" i="1"/>
  <c r="H435" i="1"/>
  <c r="H103" i="1"/>
  <c r="H202" i="1"/>
  <c r="H281" i="1"/>
  <c r="H256" i="1"/>
  <c r="F453" i="1"/>
  <c r="F338" i="1"/>
  <c r="F437" i="1"/>
  <c r="F7" i="1"/>
  <c r="F32" i="1"/>
  <c r="F289" i="1"/>
  <c r="F396" i="1"/>
  <c r="J96" i="1"/>
  <c r="H385" i="1"/>
  <c r="F274" i="1"/>
  <c r="J504" i="1"/>
  <c r="J144" i="1"/>
  <c r="J12" i="1"/>
  <c r="J69" i="1"/>
  <c r="J153" i="1"/>
  <c r="J104" i="1"/>
  <c r="J29" i="1"/>
  <c r="F487" i="1"/>
  <c r="J313" i="1"/>
  <c r="F16" i="1"/>
  <c r="F503" i="1"/>
  <c r="F129" i="1"/>
  <c r="L130" i="1"/>
  <c r="L302" i="1"/>
  <c r="L101" i="1"/>
  <c r="L447" i="1"/>
  <c r="L333" i="1"/>
  <c r="L189" i="1"/>
  <c r="L296" i="1"/>
  <c r="L152" i="1"/>
  <c r="H492" i="1"/>
  <c r="F77" i="1"/>
  <c r="L172" i="1"/>
  <c r="L346" i="1"/>
  <c r="L518" i="1"/>
  <c r="L145" i="1"/>
  <c r="L317" i="1"/>
  <c r="L491" i="1"/>
  <c r="L441" i="1"/>
  <c r="L297" i="1"/>
  <c r="L153" i="1"/>
  <c r="L9" i="1"/>
  <c r="L404" i="1"/>
  <c r="L260" i="1"/>
  <c r="L116" i="1"/>
  <c r="H62" i="1"/>
  <c r="H322" i="1"/>
  <c r="F38" i="1"/>
  <c r="F296" i="1"/>
  <c r="F539" i="1"/>
  <c r="H379" i="1"/>
  <c r="H119" i="1"/>
  <c r="H450" i="1"/>
  <c r="H276" i="1"/>
  <c r="H104" i="1"/>
  <c r="H91" i="1"/>
  <c r="H391" i="1"/>
  <c r="H217" i="1"/>
  <c r="H45" i="1"/>
  <c r="H490" i="1"/>
  <c r="H318" i="1"/>
  <c r="H144" i="1"/>
  <c r="H521" i="1"/>
  <c r="H377" i="1"/>
  <c r="H233" i="1"/>
  <c r="H89" i="1"/>
  <c r="H496" i="1"/>
  <c r="H352" i="1"/>
  <c r="H208" i="1"/>
  <c r="H64" i="1"/>
  <c r="F218" i="1"/>
  <c r="F425" i="1"/>
  <c r="F137" i="1"/>
  <c r="F452" i="1"/>
  <c r="F280" i="1"/>
  <c r="F106" i="1"/>
  <c r="F35" i="1"/>
  <c r="F379" i="1"/>
  <c r="F207" i="1"/>
  <c r="F33" i="1"/>
  <c r="F494" i="1"/>
  <c r="F320" i="1"/>
  <c r="F148" i="1"/>
  <c r="F529" i="1"/>
  <c r="F385" i="1"/>
  <c r="F241" i="1"/>
  <c r="F97" i="1"/>
  <c r="F492" i="1"/>
  <c r="F348" i="1"/>
  <c r="F204" i="1"/>
  <c r="F60" i="1"/>
  <c r="J194" i="1"/>
  <c r="J479" i="1"/>
  <c r="H213" i="1"/>
  <c r="H471" i="1"/>
  <c r="F211" i="1"/>
  <c r="F462" i="1"/>
  <c r="F362" i="1"/>
  <c r="J461" i="1"/>
  <c r="J159" i="1"/>
  <c r="J446" i="1"/>
  <c r="J254" i="1"/>
  <c r="J54" i="1"/>
  <c r="J531" i="1"/>
  <c r="J349" i="1"/>
  <c r="J157" i="1"/>
  <c r="J222" i="1"/>
  <c r="J396" i="1"/>
  <c r="J204" i="1"/>
  <c r="J537" i="1"/>
  <c r="J393" i="1"/>
  <c r="J249" i="1"/>
  <c r="J105" i="1"/>
  <c r="J488" i="1"/>
  <c r="J344" i="1"/>
  <c r="J200" i="1"/>
  <c r="J46" i="1"/>
  <c r="J331" i="1"/>
  <c r="J187" i="1"/>
  <c r="J31" i="1"/>
  <c r="J88" i="1"/>
  <c r="F103" i="1"/>
  <c r="H438" i="1"/>
  <c r="F87" i="1"/>
  <c r="F488" i="1"/>
  <c r="J121" i="1"/>
  <c r="J409" i="1"/>
  <c r="H128" i="1"/>
  <c r="H386" i="1"/>
  <c r="F126" i="1"/>
  <c r="H153" i="1"/>
  <c r="H455" i="1"/>
  <c r="F257" i="1"/>
  <c r="H68" i="1"/>
  <c r="H456" i="1"/>
  <c r="F326" i="1"/>
  <c r="F412" i="1"/>
  <c r="P3" i="1"/>
  <c r="P263" i="1"/>
  <c r="P523" i="1"/>
  <c r="P7" i="1"/>
  <c r="P342" i="1"/>
  <c r="P334" i="1"/>
  <c r="P539" i="1"/>
  <c r="P529" i="1"/>
  <c r="P78" i="1"/>
  <c r="P162" i="1"/>
  <c r="P177" i="1"/>
  <c r="P278" i="1"/>
  <c r="P333" i="1"/>
  <c r="P386" i="1"/>
  <c r="P465" i="1"/>
  <c r="P88" i="1"/>
  <c r="P321" i="1"/>
  <c r="P535" i="1"/>
  <c r="P320" i="1"/>
  <c r="P200" i="1"/>
  <c r="P265" i="1"/>
  <c r="P504" i="1"/>
  <c r="P288" i="1"/>
  <c r="P42" i="1"/>
  <c r="P363" i="1"/>
  <c r="P134" i="1"/>
  <c r="P432" i="1"/>
  <c r="P210" i="1"/>
  <c r="P514" i="1"/>
  <c r="P338" i="1"/>
  <c r="P146" i="1"/>
  <c r="P483" i="1"/>
  <c r="P307" i="1"/>
  <c r="P115" i="1"/>
  <c r="P473" i="1"/>
  <c r="P329" i="1"/>
  <c r="P185" i="1"/>
  <c r="P18" i="1"/>
  <c r="P412" i="1"/>
  <c r="P268" i="1"/>
  <c r="P124" i="1"/>
  <c r="P303" i="1"/>
  <c r="P159" i="1"/>
  <c r="P85" i="1"/>
  <c r="P48" i="1"/>
  <c r="R49" i="1"/>
  <c r="R72" i="1"/>
  <c r="R439" i="1"/>
  <c r="R167" i="1"/>
  <c r="R375" i="1"/>
  <c r="R137" i="1"/>
  <c r="R533" i="1"/>
  <c r="R294" i="1"/>
  <c r="R73" i="1"/>
  <c r="R44" i="1"/>
  <c r="R124" i="1"/>
  <c r="R508" i="1"/>
  <c r="R46" i="1"/>
  <c r="R430" i="1"/>
  <c r="R479" i="1"/>
  <c r="R476" i="1"/>
  <c r="R55" i="1"/>
  <c r="R179" i="1"/>
  <c r="R290" i="1"/>
  <c r="R391" i="1"/>
  <c r="R213" i="1"/>
  <c r="R9" i="1"/>
  <c r="R393" i="1"/>
  <c r="R75" i="1"/>
  <c r="R387" i="1"/>
  <c r="R149" i="1"/>
  <c r="R545" i="1"/>
  <c r="R306" i="1"/>
  <c r="R202" i="1"/>
  <c r="R59" i="1"/>
  <c r="R141" i="1"/>
  <c r="R525" i="1"/>
  <c r="R61" i="1"/>
  <c r="R445" i="1"/>
  <c r="R494" i="1"/>
  <c r="R501" i="1"/>
  <c r="R85" i="1"/>
  <c r="R208" i="1"/>
  <c r="R314" i="1"/>
  <c r="R513" i="1"/>
  <c r="R257" i="1"/>
  <c r="R172" i="1"/>
  <c r="R478" i="1"/>
  <c r="R84" i="1"/>
  <c r="R261" i="1"/>
  <c r="R421" i="1"/>
  <c r="R35" i="1"/>
  <c r="R424" i="1"/>
  <c r="R507" i="1"/>
  <c r="R30" i="1"/>
  <c r="R250" i="1"/>
  <c r="R189" i="1"/>
  <c r="R109" i="1"/>
  <c r="R33" i="1"/>
  <c r="R178" i="1"/>
  <c r="R388" i="1"/>
  <c r="R535" i="1"/>
  <c r="R123" i="1"/>
  <c r="R281" i="1"/>
  <c r="R218" i="1"/>
  <c r="R287" i="1"/>
  <c r="R223" i="1"/>
  <c r="R110" i="1"/>
  <c r="R259" i="1"/>
  <c r="R359" i="1"/>
  <c r="R34" i="1"/>
  <c r="R144" i="1"/>
  <c r="R344" i="1"/>
  <c r="R531" i="1"/>
  <c r="R138" i="1"/>
  <c r="R394" i="1"/>
  <c r="R320" i="1"/>
  <c r="R143" i="1"/>
  <c r="R280" i="1"/>
  <c r="R482" i="1"/>
  <c r="R82" i="1"/>
  <c r="R231" i="1"/>
  <c r="R389" i="1"/>
  <c r="R409" i="1"/>
  <c r="R350" i="1"/>
  <c r="R176" i="1"/>
  <c r="R407" i="1"/>
  <c r="R466" i="1"/>
  <c r="R440" i="1"/>
  <c r="R5" i="1"/>
  <c r="R160" i="1"/>
  <c r="R518" i="1"/>
  <c r="R345" i="1"/>
  <c r="R87" i="1"/>
  <c r="R399" i="1"/>
  <c r="R245" i="1"/>
  <c r="R6" i="1"/>
  <c r="R318" i="1"/>
  <c r="R217" i="1"/>
  <c r="R74" i="1"/>
  <c r="R156" i="1"/>
  <c r="R540" i="1"/>
  <c r="R79" i="1"/>
  <c r="R463" i="1"/>
  <c r="R527" i="1"/>
  <c r="R524" i="1"/>
  <c r="R118" i="1"/>
  <c r="R230" i="1"/>
  <c r="R340" i="1"/>
  <c r="R467" i="1"/>
  <c r="R98" i="1"/>
  <c r="R487" i="1"/>
  <c r="R469" i="1"/>
  <c r="R99" i="1"/>
  <c r="R411" i="1"/>
  <c r="R18" i="1"/>
  <c r="R414" i="1"/>
  <c r="R235" i="1"/>
  <c r="R92" i="1"/>
  <c r="R32" i="1"/>
  <c r="R94" i="1"/>
  <c r="R542" i="1"/>
  <c r="R148" i="1"/>
  <c r="R362" i="1"/>
  <c r="R441" i="1"/>
  <c r="R111" i="1"/>
  <c r="R269" i="1"/>
  <c r="R426" i="1"/>
  <c r="R107" i="1"/>
  <c r="R62" i="1"/>
  <c r="R493" i="1"/>
  <c r="R21" i="1"/>
  <c r="R289" i="1"/>
  <c r="R374" i="1"/>
  <c r="R8" i="1"/>
  <c r="R392" i="1"/>
  <c r="R519" i="1"/>
  <c r="R126" i="1"/>
  <c r="R265" i="1"/>
  <c r="R300" i="1"/>
  <c r="R145" i="1"/>
  <c r="R456" i="1"/>
  <c r="R544" i="1"/>
  <c r="R517" i="1"/>
  <c r="R219" i="1"/>
  <c r="R293" i="1"/>
  <c r="R450" i="1"/>
  <c r="R236" i="1"/>
  <c r="R316" i="1"/>
  <c r="R238" i="1"/>
  <c r="R168" i="1"/>
  <c r="R385" i="1"/>
  <c r="R67" i="1"/>
  <c r="R472" i="1"/>
  <c r="R543" i="1"/>
  <c r="R150" i="1"/>
  <c r="R251" i="1"/>
  <c r="R253" i="1"/>
  <c r="R310" i="1"/>
  <c r="R504" i="1"/>
  <c r="R19" i="1"/>
  <c r="R243" i="1"/>
  <c r="R162" i="1"/>
  <c r="R438" i="1"/>
  <c r="R500" i="1"/>
  <c r="R295" i="1"/>
  <c r="R462" i="1"/>
  <c r="R333" i="1"/>
  <c r="R199" i="1"/>
  <c r="R97" i="1"/>
  <c r="R376" i="1"/>
  <c r="R401" i="1"/>
  <c r="R427" i="1"/>
  <c r="R492" i="1"/>
  <c r="R325" i="1"/>
  <c r="R267" i="1"/>
  <c r="R10" i="1"/>
  <c r="R433" i="1"/>
  <c r="R277" i="1"/>
  <c r="R151" i="1"/>
  <c r="R43" i="1"/>
  <c r="R481" i="1"/>
  <c r="R381" i="1"/>
  <c r="R373" i="1"/>
  <c r="R455" i="1"/>
  <c r="R364" i="1"/>
  <c r="R420" i="1"/>
  <c r="R348" i="1"/>
  <c r="R226" i="1"/>
  <c r="R22" i="1"/>
  <c r="R108" i="1"/>
  <c r="R181" i="1"/>
  <c r="R301" i="1"/>
  <c r="R328" i="1"/>
  <c r="R358" i="1"/>
  <c r="R284" i="1"/>
  <c r="R470" i="1"/>
  <c r="R336" i="1"/>
  <c r="R266" i="1"/>
  <c r="R516" i="1"/>
  <c r="R453" i="1"/>
  <c r="R395" i="1"/>
  <c r="R57" i="1"/>
  <c r="R256" i="1"/>
  <c r="R442" i="1"/>
  <c r="R113" i="1"/>
  <c r="R488" i="1"/>
  <c r="R446" i="1"/>
  <c r="R363" i="1"/>
  <c r="R272" i="1"/>
  <c r="R25" i="1"/>
  <c r="R239" i="1"/>
  <c r="R255" i="1"/>
  <c r="R206" i="1"/>
  <c r="R282" i="1"/>
  <c r="R369" i="1"/>
  <c r="R415" i="1"/>
  <c r="R270" i="1"/>
  <c r="R384" i="1"/>
  <c r="R299" i="1"/>
  <c r="R174" i="1"/>
  <c r="R153" i="1"/>
  <c r="R286" i="1"/>
  <c r="R437" i="1"/>
  <c r="R130" i="1"/>
  <c r="R271" i="1"/>
  <c r="R425" i="1"/>
  <c r="R262" i="1"/>
  <c r="R31" i="1"/>
  <c r="R26" i="1"/>
  <c r="R413" i="1"/>
  <c r="R278" i="1"/>
  <c r="R512" i="1"/>
  <c r="R457" i="1"/>
  <c r="R125" i="1"/>
  <c r="R136" i="1"/>
  <c r="R24" i="1"/>
  <c r="R464" i="1"/>
  <c r="R530" i="1"/>
  <c r="R227" i="1"/>
  <c r="R416" i="1"/>
  <c r="R58" i="1"/>
  <c r="R101" i="1"/>
  <c r="R520" i="1"/>
  <c r="R274" i="1"/>
  <c r="R36" i="1"/>
  <c r="R100" i="1"/>
  <c r="R163" i="1"/>
  <c r="R214" i="1"/>
  <c r="R273" i="1"/>
  <c r="R323" i="1"/>
  <c r="R371" i="1"/>
  <c r="R418" i="1"/>
  <c r="R452" i="1"/>
  <c r="R496" i="1"/>
  <c r="R537" i="1"/>
  <c r="R37" i="1"/>
  <c r="R103" i="1"/>
  <c r="R164" i="1"/>
  <c r="R215" i="1"/>
  <c r="R324" i="1"/>
  <c r="R372" i="1"/>
  <c r="R419" i="1"/>
  <c r="R465" i="1"/>
  <c r="R499" i="1"/>
  <c r="R539" i="1"/>
  <c r="R80" i="1"/>
  <c r="R534" i="1"/>
  <c r="R322" i="1"/>
  <c r="R38" i="1"/>
  <c r="R105" i="1"/>
  <c r="R321" i="1"/>
  <c r="R506" i="1"/>
  <c r="R211" i="1"/>
  <c r="R408" i="1"/>
  <c r="R86" i="1"/>
  <c r="R311" i="1"/>
  <c r="R502" i="1"/>
  <c r="R200" i="1"/>
  <c r="R405" i="1"/>
  <c r="R83" i="1"/>
  <c r="R398" i="1"/>
  <c r="R47" i="1"/>
  <c r="R382" i="1"/>
  <c r="R190" i="1"/>
  <c r="R129" i="1"/>
  <c r="R224" i="1"/>
  <c r="R460" i="1"/>
  <c r="R268" i="1"/>
  <c r="R76" i="1"/>
  <c r="R188" i="1"/>
  <c r="R538" i="1"/>
  <c r="R346" i="1"/>
  <c r="R154" i="1"/>
  <c r="R522" i="1"/>
  <c r="R378" i="1"/>
  <c r="R234" i="1"/>
  <c r="R90" i="1"/>
  <c r="R497" i="1"/>
  <c r="R353" i="1"/>
  <c r="R209" i="1"/>
  <c r="R65" i="1"/>
  <c r="R471" i="1"/>
  <c r="R327" i="1"/>
  <c r="R183" i="1"/>
  <c r="R39" i="1"/>
  <c r="R514" i="1"/>
  <c r="R69" i="1"/>
  <c r="R133" i="1"/>
  <c r="R193" i="1"/>
  <c r="R248" i="1"/>
  <c r="R308" i="1"/>
  <c r="R370" i="1"/>
  <c r="R379" i="1"/>
  <c r="R2" i="1"/>
  <c r="R258" i="1"/>
  <c r="R521" i="1"/>
  <c r="R233" i="1"/>
  <c r="R495" i="1"/>
  <c r="R207" i="1"/>
  <c r="R515" i="1"/>
  <c r="R264" i="1"/>
  <c r="R343" i="1"/>
  <c r="R232" i="1"/>
  <c r="R337" i="1"/>
  <c r="R228" i="1"/>
  <c r="R116" i="1"/>
  <c r="R205" i="1"/>
  <c r="R254" i="1"/>
  <c r="R93" i="1"/>
  <c r="R11" i="1"/>
  <c r="R169" i="1"/>
  <c r="R246" i="1"/>
  <c r="R509" i="1"/>
  <c r="R221" i="1"/>
  <c r="R483" i="1"/>
  <c r="R195" i="1"/>
  <c r="R468" i="1"/>
  <c r="R194" i="1"/>
  <c r="R104" i="1"/>
  <c r="R484" i="1"/>
  <c r="R288" i="1"/>
  <c r="R380" i="1"/>
  <c r="R14" i="1"/>
  <c r="R175" i="1"/>
  <c r="R191" i="1"/>
  <c r="R252" i="1"/>
  <c r="R170" i="1"/>
  <c r="R331" i="1"/>
  <c r="R510" i="1"/>
  <c r="R222" i="1"/>
  <c r="R485" i="1"/>
  <c r="R197" i="1"/>
  <c r="R53" i="1"/>
  <c r="R315" i="1"/>
  <c r="R171" i="1"/>
  <c r="R27" i="1"/>
  <c r="R132" i="1"/>
  <c r="R192" i="1"/>
  <c r="R247" i="1"/>
  <c r="R307" i="1"/>
  <c r="R356" i="1"/>
  <c r="R260" i="1"/>
  <c r="R157" i="1"/>
  <c r="R155" i="1"/>
  <c r="R121" i="1"/>
  <c r="R354" i="1"/>
  <c r="R210" i="1"/>
  <c r="R66" i="1"/>
  <c r="R473" i="1"/>
  <c r="R185" i="1"/>
  <c r="R41" i="1"/>
  <c r="R447" i="1"/>
  <c r="R303" i="1"/>
  <c r="R159" i="1"/>
  <c r="R15" i="1"/>
  <c r="R131" i="1"/>
  <c r="R184" i="1"/>
  <c r="R244" i="1"/>
  <c r="R304" i="1"/>
  <c r="R355" i="1"/>
  <c r="R404" i="1"/>
  <c r="R451" i="1"/>
  <c r="R187" i="1"/>
  <c r="R402" i="1"/>
  <c r="R114" i="1"/>
  <c r="R377" i="1"/>
  <c r="R89" i="1"/>
  <c r="R351" i="1"/>
  <c r="R63" i="1"/>
  <c r="R422" i="1"/>
  <c r="R7" i="1"/>
  <c r="R71" i="1"/>
  <c r="R196" i="1"/>
  <c r="R40" i="1"/>
  <c r="R532" i="1"/>
  <c r="R119" i="1"/>
  <c r="R528" i="1"/>
  <c r="R428" i="1"/>
  <c r="R431" i="1"/>
  <c r="R397" i="1"/>
  <c r="R13" i="1"/>
  <c r="R285" i="1"/>
  <c r="R203" i="1"/>
  <c r="R361" i="1"/>
  <c r="R390" i="1"/>
  <c r="R102" i="1"/>
  <c r="R365" i="1"/>
  <c r="R77" i="1"/>
  <c r="R339" i="1"/>
  <c r="R51" i="1"/>
  <c r="R4" i="1"/>
  <c r="R70" i="1"/>
  <c r="R249" i="1"/>
  <c r="R292" i="1"/>
  <c r="R180" i="1"/>
  <c r="R56" i="1"/>
  <c r="R480" i="1"/>
  <c r="R177" i="1"/>
  <c r="R383" i="1"/>
  <c r="R367" i="1"/>
  <c r="R112" i="1"/>
  <c r="R444" i="1"/>
  <c r="R60" i="1"/>
  <c r="R523" i="1"/>
  <c r="R139" i="1"/>
  <c r="R366" i="1"/>
  <c r="R78" i="1"/>
  <c r="R341" i="1"/>
  <c r="R459" i="1"/>
  <c r="R68" i="1"/>
  <c r="R417" i="1"/>
  <c r="R165" i="1"/>
  <c r="R225" i="1"/>
  <c r="R263" i="1"/>
  <c r="R458" i="1"/>
  <c r="R152" i="1"/>
  <c r="R360" i="1"/>
  <c r="R23" i="1"/>
  <c r="R454" i="1"/>
  <c r="R146" i="1"/>
  <c r="R357" i="1"/>
  <c r="R20" i="1"/>
  <c r="R368" i="1"/>
  <c r="R541" i="1"/>
  <c r="R349" i="1"/>
  <c r="R81" i="1"/>
  <c r="R158" i="1"/>
  <c r="R429" i="1"/>
  <c r="R237" i="1"/>
  <c r="R45" i="1"/>
  <c r="R505" i="1"/>
  <c r="R313" i="1"/>
  <c r="R498" i="1"/>
  <c r="R329" i="1"/>
  <c r="R216" i="1"/>
  <c r="R276" i="1"/>
  <c r="R240" i="1"/>
  <c r="R436" i="1"/>
  <c r="R120" i="1"/>
  <c r="R338" i="1"/>
  <c r="R529" i="1"/>
  <c r="R229" i="1"/>
  <c r="R432" i="1"/>
  <c r="R117" i="1"/>
  <c r="R332" i="1"/>
  <c r="R96" i="1"/>
  <c r="R335" i="1"/>
  <c r="R526" i="1"/>
  <c r="R334" i="1"/>
  <c r="R142" i="1"/>
  <c r="R48" i="1"/>
  <c r="R128" i="1"/>
  <c r="R412" i="1"/>
  <c r="R220" i="1"/>
  <c r="R28" i="1"/>
  <c r="R140" i="1"/>
  <c r="R490" i="1"/>
  <c r="R298" i="1"/>
  <c r="R106" i="1"/>
  <c r="R486" i="1"/>
  <c r="R342" i="1"/>
  <c r="R198" i="1"/>
  <c r="R54" i="1"/>
  <c r="R461" i="1"/>
  <c r="R317" i="1"/>
  <c r="R173" i="1"/>
  <c r="R29" i="1"/>
  <c r="R435" i="1"/>
  <c r="R291" i="1"/>
  <c r="R147" i="1"/>
  <c r="R3" i="1"/>
  <c r="R182" i="1"/>
  <c r="R242" i="1"/>
  <c r="R297" i="1"/>
  <c r="R352" i="1"/>
  <c r="R403" i="1"/>
  <c r="R448" i="1"/>
  <c r="S448" i="1" s="1"/>
  <c r="R491" i="1"/>
  <c r="R434" i="1"/>
  <c r="R477" i="1"/>
  <c r="R134" i="1"/>
  <c r="R166" i="1"/>
  <c r="R386" i="1"/>
  <c r="R50" i="1"/>
  <c r="R275" i="1"/>
  <c r="R326" i="1"/>
  <c r="R212" i="1"/>
  <c r="R410" i="1"/>
  <c r="R88" i="1"/>
  <c r="R312" i="1"/>
  <c r="R503" i="1"/>
  <c r="R201" i="1"/>
  <c r="R406" i="1"/>
  <c r="R52" i="1"/>
  <c r="R309" i="1"/>
  <c r="R64" i="1"/>
  <c r="R302" i="1"/>
  <c r="R511" i="1"/>
  <c r="R319" i="1"/>
  <c r="R127" i="1"/>
  <c r="R16" i="1"/>
  <c r="R95" i="1"/>
  <c r="R396" i="1"/>
  <c r="R204" i="1"/>
  <c r="R12" i="1"/>
  <c r="R122" i="1"/>
  <c r="R475" i="1"/>
  <c r="R283" i="1"/>
  <c r="R91" i="1"/>
  <c r="R474" i="1"/>
  <c r="R330" i="1"/>
  <c r="R186" i="1"/>
  <c r="R42" i="1"/>
  <c r="R449" i="1"/>
  <c r="R305" i="1"/>
  <c r="R161" i="1"/>
  <c r="R17" i="1"/>
  <c r="R423" i="1"/>
  <c r="R279" i="1"/>
  <c r="R135" i="1"/>
  <c r="R115" i="1"/>
  <c r="R241" i="1"/>
  <c r="R296" i="1"/>
  <c r="R347" i="1"/>
  <c r="R400" i="1"/>
  <c r="R443" i="1"/>
  <c r="R489" i="1"/>
  <c r="R536" i="1"/>
  <c r="AB156" i="1" l="1"/>
  <c r="S156" i="1"/>
  <c r="AB288" i="1"/>
  <c r="S288" i="1"/>
  <c r="S495" i="1"/>
  <c r="AB495" i="1"/>
  <c r="S241" i="1"/>
  <c r="AB241" i="1"/>
  <c r="S464" i="1"/>
  <c r="AB464" i="1"/>
  <c r="S292" i="1"/>
  <c r="AB292" i="1"/>
  <c r="S297" i="1"/>
  <c r="AB297" i="1"/>
  <c r="S405" i="1"/>
  <c r="AB405" i="1"/>
  <c r="AB107" i="1"/>
  <c r="S107" i="1"/>
  <c r="AB153" i="1"/>
  <c r="S153" i="1"/>
  <c r="S211" i="1"/>
  <c r="AB211" i="1"/>
  <c r="AB529" i="1"/>
  <c r="S529" i="1"/>
  <c r="S425" i="1"/>
  <c r="AB425" i="1"/>
  <c r="S38" i="1"/>
  <c r="AB38" i="1"/>
  <c r="S232" i="1"/>
  <c r="AB232" i="1"/>
  <c r="AB119" i="1"/>
  <c r="S119" i="1"/>
  <c r="S183" i="1"/>
  <c r="AB183" i="1"/>
  <c r="AB287" i="1"/>
  <c r="S287" i="1"/>
  <c r="AB140" i="1"/>
  <c r="S140" i="1"/>
  <c r="S435" i="1"/>
  <c r="AB435" i="1"/>
  <c r="S532" i="1"/>
  <c r="AB532" i="1"/>
  <c r="S9" i="1"/>
  <c r="AB9" i="1"/>
  <c r="S476" i="1"/>
  <c r="AB476" i="1"/>
  <c r="S514" i="1"/>
  <c r="AB514" i="1"/>
  <c r="S531" i="1"/>
  <c r="AB531" i="1"/>
  <c r="S219" i="1"/>
  <c r="AB219" i="1"/>
  <c r="S305" i="1"/>
  <c r="AB305" i="1"/>
  <c r="AB302" i="1"/>
  <c r="S302" i="1"/>
  <c r="S43" i="1"/>
  <c r="AB43" i="1"/>
  <c r="AB504" i="1"/>
  <c r="S504" i="1"/>
  <c r="AB122" i="1"/>
  <c r="S122" i="1"/>
  <c r="S196" i="1"/>
  <c r="AB196" i="1"/>
  <c r="AB383" i="1"/>
  <c r="S383" i="1"/>
  <c r="S521" i="1"/>
  <c r="AB521" i="1"/>
  <c r="S406" i="1"/>
  <c r="AB406" i="1"/>
  <c r="AB82" i="1"/>
  <c r="S82" i="1"/>
  <c r="S350" i="1"/>
  <c r="AB350" i="1"/>
  <c r="AB143" i="1"/>
  <c r="S143" i="1"/>
  <c r="S18" i="1"/>
  <c r="AB18" i="1"/>
  <c r="S125" i="1"/>
  <c r="AB125" i="1"/>
  <c r="AB465" i="1"/>
  <c r="S465" i="1"/>
  <c r="S468" i="1"/>
  <c r="AB468" i="1"/>
  <c r="S236" i="1"/>
  <c r="AB236" i="1"/>
  <c r="AB192" i="1"/>
  <c r="S192" i="1"/>
  <c r="S39" i="1"/>
  <c r="AB39" i="1"/>
  <c r="AB505" i="1"/>
  <c r="S505" i="1"/>
  <c r="AB50" i="1"/>
  <c r="S50" i="1"/>
  <c r="AB395" i="1"/>
  <c r="S395" i="1"/>
  <c r="S506" i="1"/>
  <c r="AB506" i="1"/>
  <c r="S173" i="1"/>
  <c r="AB173" i="1"/>
  <c r="AB130" i="1"/>
  <c r="S130" i="1"/>
  <c r="S222" i="1"/>
  <c r="AB222" i="1"/>
  <c r="AB250" i="1"/>
  <c r="S250" i="1"/>
  <c r="S49" i="1"/>
  <c r="AB49" i="1"/>
  <c r="AB24" i="1"/>
  <c r="S24" i="1"/>
  <c r="S349" i="1"/>
  <c r="AB349" i="1"/>
  <c r="S379" i="1"/>
  <c r="AB379" i="1"/>
  <c r="S289" i="1"/>
  <c r="AB289" i="1"/>
  <c r="S447" i="1"/>
  <c r="AB447" i="1"/>
  <c r="AB141" i="1"/>
  <c r="S141" i="1"/>
  <c r="S53" i="1"/>
  <c r="AB53" i="1"/>
  <c r="S391" i="1"/>
  <c r="AB391" i="1"/>
  <c r="S419" i="1"/>
  <c r="AB419" i="1"/>
  <c r="S258" i="1"/>
  <c r="AB258" i="1"/>
  <c r="S136" i="1"/>
  <c r="AB136" i="1"/>
  <c r="AB445" i="1"/>
  <c r="S445" i="1"/>
  <c r="S446" i="1"/>
  <c r="AB446" i="1"/>
  <c r="S56" i="1"/>
  <c r="AB56" i="1"/>
  <c r="S319" i="1"/>
  <c r="AB319" i="1"/>
  <c r="S484" i="1"/>
  <c r="AB484" i="1"/>
  <c r="AB432" i="1"/>
  <c r="S432" i="1"/>
  <c r="S128" i="1"/>
  <c r="AB128" i="1"/>
  <c r="S106" i="1"/>
  <c r="AB106" i="1"/>
  <c r="S7" i="1"/>
  <c r="AB7" i="1"/>
  <c r="S341" i="1"/>
  <c r="AB341" i="1"/>
  <c r="S400" i="1"/>
  <c r="AB400" i="1"/>
  <c r="S269" i="1"/>
  <c r="AB269" i="1"/>
  <c r="S28" i="1"/>
  <c r="AB28" i="1"/>
  <c r="S45" i="1"/>
  <c r="AB45" i="1"/>
  <c r="AB47" i="1"/>
  <c r="S47" i="1"/>
  <c r="S223" i="1"/>
  <c r="AB223" i="1"/>
  <c r="AB132" i="1"/>
  <c r="S132" i="1"/>
  <c r="S318" i="1"/>
  <c r="AB318" i="1"/>
  <c r="AB500" i="1"/>
  <c r="S500" i="1"/>
  <c r="S309" i="1"/>
  <c r="AB309" i="1"/>
  <c r="AB36" i="1"/>
  <c r="S36" i="1"/>
  <c r="S163" i="1"/>
  <c r="AB163" i="1"/>
  <c r="S65" i="1"/>
  <c r="AB65" i="1"/>
  <c r="S79" i="1"/>
  <c r="AB79" i="1"/>
  <c r="S280" i="1"/>
  <c r="AB280" i="1"/>
  <c r="S437" i="1"/>
  <c r="AB437" i="1"/>
  <c r="AB276" i="1"/>
  <c r="S276" i="1"/>
  <c r="S332" i="1"/>
  <c r="AB332" i="1"/>
  <c r="S201" i="1"/>
  <c r="AB201" i="1"/>
  <c r="S138" i="1"/>
  <c r="AB138" i="1"/>
  <c r="S221" i="1"/>
  <c r="AB221" i="1"/>
  <c r="S496" i="1"/>
  <c r="AB496" i="1"/>
  <c r="S25" i="1"/>
  <c r="AB25" i="1"/>
  <c r="S394" i="1"/>
  <c r="AB394" i="1"/>
  <c r="S146" i="1"/>
  <c r="AB146" i="1"/>
  <c r="S467" i="1"/>
  <c r="AB467" i="1"/>
  <c r="S51" i="1"/>
  <c r="AB51" i="1"/>
  <c r="S15" i="1"/>
  <c r="AB15" i="1"/>
  <c r="S248" i="1"/>
  <c r="AB248" i="1"/>
  <c r="AB335" i="1"/>
  <c r="S335" i="1"/>
  <c r="S539" i="1"/>
  <c r="AB539" i="1"/>
  <c r="S497" i="1"/>
  <c r="AB497" i="1"/>
  <c r="AB169" i="1"/>
  <c r="S169" i="1"/>
  <c r="AB385" i="1"/>
  <c r="S385" i="1"/>
  <c r="S303" i="1"/>
  <c r="AB303" i="1"/>
  <c r="S202" i="1"/>
  <c r="AB202" i="1"/>
  <c r="S31" i="1"/>
  <c r="AB31" i="1"/>
  <c r="S261" i="1"/>
  <c r="AB261" i="1"/>
  <c r="AB360" i="1"/>
  <c r="S360" i="1"/>
  <c r="AB457" i="1"/>
  <c r="S457" i="1"/>
  <c r="AB176" i="1"/>
  <c r="S176" i="1"/>
  <c r="S112" i="1"/>
  <c r="AB112" i="1"/>
  <c r="S127" i="1"/>
  <c r="AB127" i="1"/>
  <c r="AB165" i="1"/>
  <c r="S165" i="1"/>
  <c r="AB85" i="1"/>
  <c r="S85" i="1"/>
  <c r="S237" i="1"/>
  <c r="AB237" i="1"/>
  <c r="S382" i="1"/>
  <c r="AB382" i="1"/>
  <c r="S189" i="1"/>
  <c r="AB189" i="1"/>
  <c r="S148" i="1"/>
  <c r="AB148" i="1"/>
  <c r="S415" i="1"/>
  <c r="AB415" i="1"/>
  <c r="S377" i="1"/>
  <c r="AB377" i="1"/>
  <c r="AB490" i="1"/>
  <c r="S490" i="1"/>
  <c r="S101" i="1"/>
  <c r="AB101" i="1"/>
  <c r="S190" i="1"/>
  <c r="AB190" i="1"/>
  <c r="S345" i="1"/>
  <c r="AB345" i="1"/>
  <c r="S429" i="1"/>
  <c r="AB429" i="1"/>
  <c r="AB538" i="1"/>
  <c r="S538" i="1"/>
  <c r="S135" i="1"/>
  <c r="AB135" i="1"/>
  <c r="S463" i="1"/>
  <c r="AB463" i="1"/>
  <c r="AB191" i="1"/>
  <c r="S191" i="1"/>
  <c r="S353" i="1"/>
  <c r="AB353" i="1"/>
  <c r="S231" i="1"/>
  <c r="AB231" i="1"/>
  <c r="S422" i="1"/>
  <c r="AB422" i="1"/>
  <c r="S365" i="1"/>
  <c r="AB365" i="1"/>
  <c r="S295" i="1"/>
  <c r="AB295" i="1"/>
  <c r="AB126" i="1"/>
  <c r="S126" i="1"/>
  <c r="S320" i="1"/>
  <c r="AB320" i="1"/>
  <c r="S129" i="1"/>
  <c r="AB129" i="1"/>
  <c r="AB274" i="1"/>
  <c r="S274" i="1"/>
  <c r="AB408" i="1"/>
  <c r="S408" i="1"/>
  <c r="S413" i="1"/>
  <c r="AB413" i="1"/>
  <c r="S374" i="1"/>
  <c r="AB374" i="1"/>
  <c r="S158" i="1"/>
  <c r="AB158" i="1"/>
  <c r="S10" i="1"/>
  <c r="AB10" i="1"/>
  <c r="AB477" i="1"/>
  <c r="S477" i="1"/>
  <c r="S286" i="1"/>
  <c r="AB286" i="1"/>
  <c r="S185" i="1"/>
  <c r="AB185" i="1"/>
  <c r="AB226" i="1"/>
  <c r="S226" i="1"/>
  <c r="S331" i="1"/>
  <c r="AB331" i="1"/>
  <c r="S473" i="1"/>
  <c r="AB473" i="1"/>
  <c r="S175" i="1"/>
  <c r="AB175" i="1"/>
  <c r="S17" i="1"/>
  <c r="AB17" i="1"/>
  <c r="S342" i="1"/>
  <c r="AB342" i="1"/>
  <c r="AB253" i="1"/>
  <c r="S253" i="1"/>
  <c r="S466" i="1"/>
  <c r="AB466" i="1"/>
  <c r="S519" i="1"/>
  <c r="AB519" i="1"/>
  <c r="AB108" i="1"/>
  <c r="S108" i="1"/>
  <c r="AB264" i="1"/>
  <c r="S264" i="1"/>
  <c r="AB20" i="1"/>
  <c r="S20" i="1"/>
  <c r="S63" i="1"/>
  <c r="AB63" i="1"/>
  <c r="AB58" i="1"/>
  <c r="S58" i="1"/>
  <c r="S364" i="1"/>
  <c r="AB364" i="1"/>
  <c r="AB252" i="1"/>
  <c r="S252" i="1"/>
  <c r="AB359" i="1"/>
  <c r="S359" i="1"/>
  <c r="AB275" i="1"/>
  <c r="S275" i="1"/>
  <c r="S304" i="1"/>
  <c r="AB304" i="1"/>
  <c r="AB59" i="1"/>
  <c r="S59" i="1"/>
  <c r="AB239" i="1"/>
  <c r="S239" i="1"/>
  <c r="AB168" i="1"/>
  <c r="S168" i="1"/>
  <c r="S450" i="1"/>
  <c r="AB450" i="1"/>
  <c r="AB34" i="1"/>
  <c r="S34" i="1"/>
  <c r="AB380" i="1"/>
  <c r="S380" i="1"/>
  <c r="S41" i="1"/>
  <c r="AB41" i="1"/>
  <c r="S469" i="1"/>
  <c r="AB469" i="1"/>
  <c r="S100" i="1"/>
  <c r="AB100" i="1"/>
  <c r="S307" i="1"/>
  <c r="AB307" i="1"/>
  <c r="S266" i="1"/>
  <c r="AB266" i="1"/>
  <c r="S478" i="1"/>
  <c r="AB478" i="1"/>
  <c r="S343" i="1"/>
  <c r="AB343" i="1"/>
  <c r="S316" i="1"/>
  <c r="AB316" i="1"/>
  <c r="S124" i="1"/>
  <c r="AB124" i="1"/>
  <c r="S427" i="1"/>
  <c r="AB427" i="1"/>
  <c r="AB361" i="1"/>
  <c r="S361" i="1"/>
  <c r="S402" i="1"/>
  <c r="AB402" i="1"/>
  <c r="AB181" i="1"/>
  <c r="S181" i="1"/>
  <c r="AB480" i="1"/>
  <c r="S480" i="1"/>
  <c r="AB229" i="1"/>
  <c r="S229" i="1"/>
  <c r="S172" i="1"/>
  <c r="AB172" i="1"/>
  <c r="AB325" i="1"/>
  <c r="S325" i="1"/>
  <c r="AB326" i="1"/>
  <c r="S326" i="1"/>
  <c r="AB431" i="1"/>
  <c r="S431" i="1"/>
  <c r="S534" i="1"/>
  <c r="AB534" i="1"/>
  <c r="S416" i="1"/>
  <c r="AB416" i="1"/>
  <c r="S200" i="1"/>
  <c r="AB200" i="1"/>
  <c r="S44" i="1"/>
  <c r="AB44" i="1"/>
  <c r="AB482" i="1"/>
  <c r="S482" i="1"/>
  <c r="S238" i="1"/>
  <c r="AB238" i="1"/>
  <c r="S528" i="1"/>
  <c r="AB528" i="1"/>
  <c r="S188" i="1"/>
  <c r="AB188" i="1"/>
  <c r="AB456" i="1"/>
  <c r="S456" i="1"/>
  <c r="AB260" i="1"/>
  <c r="S260" i="1"/>
  <c r="S537" i="1"/>
  <c r="AB537" i="1"/>
  <c r="AB290" i="1"/>
  <c r="S290" i="1"/>
  <c r="AB225" i="1"/>
  <c r="S225" i="1"/>
  <c r="AB418" i="1"/>
  <c r="S418" i="1"/>
  <c r="S329" i="1"/>
  <c r="AB329" i="1"/>
  <c r="S27" i="1"/>
  <c r="AB27" i="1"/>
  <c r="AB72" i="1"/>
  <c r="S72" i="1"/>
  <c r="AB420" i="1"/>
  <c r="S420" i="1"/>
  <c r="S426" i="1"/>
  <c r="AB426" i="1"/>
  <c r="AB179" i="1"/>
  <c r="S179" i="1"/>
  <c r="AB254" i="1"/>
  <c r="S254" i="1"/>
  <c r="AB133" i="1"/>
  <c r="S133" i="1"/>
  <c r="S411" i="1"/>
  <c r="AB411" i="1"/>
  <c r="AB338" i="1"/>
  <c r="S338" i="1"/>
  <c r="AB270" i="1"/>
  <c r="S270" i="1"/>
  <c r="S75" i="1"/>
  <c r="AB75" i="1"/>
  <c r="S390" i="1"/>
  <c r="AB390" i="1"/>
  <c r="S147" i="1"/>
  <c r="AB147" i="1"/>
  <c r="S257" i="1"/>
  <c r="AB257" i="1"/>
  <c r="AB462" i="1"/>
  <c r="S462" i="1"/>
  <c r="S375" i="1"/>
  <c r="AB375" i="1"/>
  <c r="S29" i="1"/>
  <c r="AB29" i="1"/>
  <c r="S8" i="1"/>
  <c r="AB8" i="1"/>
  <c r="S123" i="1"/>
  <c r="AB123" i="1"/>
  <c r="S154" i="1"/>
  <c r="AB154" i="1"/>
  <c r="S171" i="1"/>
  <c r="AB171" i="1"/>
  <c r="AB421" i="1"/>
  <c r="S421" i="1"/>
  <c r="S543" i="1"/>
  <c r="AB543" i="1"/>
  <c r="AB180" i="1"/>
  <c r="S180" i="1"/>
  <c r="S170" i="1"/>
  <c r="AB170" i="1"/>
  <c r="S491" i="1"/>
  <c r="AB491" i="1"/>
  <c r="S182" i="1"/>
  <c r="AB182" i="1"/>
  <c r="AB417" i="1"/>
  <c r="S417" i="1"/>
  <c r="S199" i="1"/>
  <c r="AB199" i="1"/>
  <c r="S109" i="1"/>
  <c r="AB109" i="1"/>
  <c r="S198" i="1"/>
  <c r="AB198" i="1"/>
  <c r="AB215" i="1"/>
  <c r="S215" i="1"/>
  <c r="AB410" i="1"/>
  <c r="S410" i="1"/>
  <c r="S363" i="1"/>
  <c r="AB363" i="1"/>
  <c r="S494" i="1"/>
  <c r="AB494" i="1"/>
  <c r="S503" i="1"/>
  <c r="AB503" i="1"/>
  <c r="AB301" i="1"/>
  <c r="S301" i="1"/>
  <c r="S442" i="1"/>
  <c r="AB442" i="1"/>
  <c r="AB166" i="1"/>
  <c r="S166" i="1"/>
  <c r="S244" i="1"/>
  <c r="AB244" i="1"/>
  <c r="AB518" i="1"/>
  <c r="S518" i="1"/>
  <c r="S499" i="1"/>
  <c r="AB499" i="1"/>
  <c r="AB357" i="1"/>
  <c r="S357" i="1"/>
  <c r="AB94" i="1"/>
  <c r="S94" i="1"/>
  <c r="S498" i="1"/>
  <c r="AB498" i="1"/>
  <c r="S160" i="1"/>
  <c r="AB160" i="1"/>
  <c r="S513" i="1"/>
  <c r="AB513" i="1"/>
  <c r="S454" i="1"/>
  <c r="AB454" i="1"/>
  <c r="AB155" i="1"/>
  <c r="S155" i="1"/>
  <c r="S233" i="1"/>
  <c r="AB233" i="1"/>
  <c r="S443" i="1"/>
  <c r="AB443" i="1"/>
  <c r="S397" i="1"/>
  <c r="AB397" i="1"/>
  <c r="S151" i="1"/>
  <c r="AB151" i="1"/>
  <c r="AB272" i="1"/>
  <c r="S272" i="1"/>
  <c r="S472" i="1"/>
  <c r="AB472" i="1"/>
  <c r="S540" i="1"/>
  <c r="AB540" i="1"/>
  <c r="S157" i="1"/>
  <c r="AB157" i="1"/>
  <c r="S366" i="1"/>
  <c r="AB366" i="1"/>
  <c r="AB84" i="1"/>
  <c r="S84" i="1"/>
  <c r="S235" i="1"/>
  <c r="AB235" i="1"/>
  <c r="AB536" i="1"/>
  <c r="S536" i="1"/>
  <c r="AB145" i="1"/>
  <c r="S145" i="1"/>
  <c r="S210" i="1"/>
  <c r="AB210" i="1"/>
  <c r="S255" i="1"/>
  <c r="AB255" i="1"/>
  <c r="S80" i="1"/>
  <c r="AB80" i="1"/>
  <c r="S42" i="1"/>
  <c r="AB42" i="1"/>
  <c r="AB299" i="1"/>
  <c r="S299" i="1"/>
  <c r="AB57" i="1"/>
  <c r="S57" i="1"/>
  <c r="S76" i="1"/>
  <c r="AB76" i="1"/>
  <c r="AB177" i="1"/>
  <c r="S177" i="1"/>
  <c r="S523" i="1"/>
  <c r="AB523" i="1"/>
  <c r="S527" i="1"/>
  <c r="AB527" i="1"/>
  <c r="S19" i="1"/>
  <c r="AB19" i="1"/>
  <c r="S321" i="1"/>
  <c r="AB321" i="1"/>
  <c r="S520" i="1"/>
  <c r="AB520" i="1"/>
  <c r="AB214" i="1"/>
  <c r="S214" i="1"/>
  <c r="AB142" i="1"/>
  <c r="S142" i="1"/>
  <c r="AB204" i="1"/>
  <c r="S204" i="1"/>
  <c r="S487" i="1"/>
  <c r="AB487" i="1"/>
  <c r="S451" i="1"/>
  <c r="AB451" i="1"/>
  <c r="S291" i="1"/>
  <c r="AB291" i="1"/>
  <c r="S247" i="1"/>
  <c r="AB247" i="1"/>
  <c r="AB11" i="1"/>
  <c r="S11" i="1"/>
  <c r="S474" i="1"/>
  <c r="AB474" i="1"/>
  <c r="S89" i="1"/>
  <c r="AB89" i="1"/>
  <c r="S102" i="1"/>
  <c r="AB102" i="1"/>
  <c r="S334" i="1"/>
  <c r="AB334" i="1"/>
  <c r="AB263" i="1"/>
  <c r="S263" i="1"/>
  <c r="S67" i="1"/>
  <c r="AB67" i="1"/>
  <c r="AB502" i="1"/>
  <c r="S502" i="1"/>
  <c r="AB23" i="1"/>
  <c r="S23" i="1"/>
  <c r="AB516" i="1"/>
  <c r="S516" i="1"/>
  <c r="S267" i="1"/>
  <c r="AB267" i="1"/>
  <c r="S339" i="1"/>
  <c r="AB339" i="1"/>
  <c r="S5" i="1"/>
  <c r="AB5" i="1"/>
  <c r="AB212" i="1"/>
  <c r="S212" i="1"/>
  <c r="S205" i="1"/>
  <c r="AB205" i="1"/>
  <c r="AB493" i="1"/>
  <c r="S493" i="1"/>
  <c r="AB300" i="1"/>
  <c r="S300" i="1"/>
  <c r="S278" i="1"/>
  <c r="AB278" i="1"/>
  <c r="S412" i="1"/>
  <c r="AB412" i="1"/>
  <c r="AB488" i="1"/>
  <c r="S488" i="1"/>
  <c r="AB348" i="1"/>
  <c r="S348" i="1"/>
  <c r="AB35" i="1"/>
  <c r="S35" i="1"/>
  <c r="S32" i="1"/>
  <c r="AB32" i="1"/>
  <c r="S352" i="1"/>
  <c r="AB352" i="1"/>
  <c r="S344" i="1"/>
  <c r="AB344" i="1"/>
  <c r="S246" i="1"/>
  <c r="AB246" i="1"/>
  <c r="S99" i="1"/>
  <c r="AB99" i="1"/>
  <c r="S117" i="1"/>
  <c r="AB117" i="1"/>
  <c r="S475" i="1"/>
  <c r="AB475" i="1"/>
  <c r="S399" i="1"/>
  <c r="AB399" i="1"/>
  <c r="AB310" i="1"/>
  <c r="S310" i="1"/>
  <c r="S224" i="1"/>
  <c r="AB224" i="1"/>
  <c r="S268" i="1"/>
  <c r="AB268" i="1"/>
  <c r="AB371" i="1"/>
  <c r="S371" i="1"/>
  <c r="AB69" i="1"/>
  <c r="S69" i="1"/>
  <c r="S508" i="1"/>
  <c r="AB508" i="1"/>
  <c r="AB164" i="1"/>
  <c r="S164" i="1"/>
  <c r="S486" i="1"/>
  <c r="AB486" i="1"/>
  <c r="AB524" i="1"/>
  <c r="S524" i="1"/>
  <c r="S81" i="1"/>
  <c r="AB81" i="1"/>
  <c r="S121" i="1"/>
  <c r="AB121" i="1"/>
  <c r="AB308" i="1"/>
  <c r="S308" i="1"/>
  <c r="S197" i="1"/>
  <c r="AB197" i="1"/>
  <c r="S389" i="1"/>
  <c r="AB389" i="1"/>
  <c r="AB384" i="1"/>
  <c r="S384" i="1"/>
  <c r="S483" i="1"/>
  <c r="AB483" i="1"/>
  <c r="S510" i="1"/>
  <c r="AB510" i="1"/>
  <c r="S392" i="1"/>
  <c r="AB392" i="1"/>
  <c r="AB525" i="1"/>
  <c r="S525" i="1"/>
  <c r="AB92" i="1"/>
  <c r="S92" i="1"/>
  <c r="S386" i="1"/>
  <c r="AB386" i="1"/>
  <c r="S137" i="1"/>
  <c r="AB137" i="1"/>
  <c r="S296" i="1"/>
  <c r="AB296" i="1"/>
  <c r="S453" i="1"/>
  <c r="AB453" i="1"/>
  <c r="S234" i="1"/>
  <c r="AB234" i="1"/>
  <c r="S533" i="1"/>
  <c r="AB533" i="1"/>
  <c r="S115" i="1"/>
  <c r="AB115" i="1"/>
  <c r="AB71" i="1"/>
  <c r="S71" i="1"/>
  <c r="S459" i="1"/>
  <c r="AB459" i="1"/>
  <c r="S243" i="1"/>
  <c r="AB243" i="1"/>
  <c r="S449" i="1"/>
  <c r="AB449" i="1"/>
  <c r="S403" i="1"/>
  <c r="AB403" i="1"/>
  <c r="S118" i="1"/>
  <c r="AB118" i="1"/>
  <c r="S424" i="1"/>
  <c r="AB424" i="1"/>
  <c r="AB481" i="1"/>
  <c r="S481" i="1"/>
  <c r="AB323" i="1"/>
  <c r="S323" i="1"/>
  <c r="AB218" i="1"/>
  <c r="S218" i="1"/>
  <c r="AB194" i="1"/>
  <c r="S194" i="1"/>
  <c r="S74" i="1"/>
  <c r="AB74" i="1"/>
  <c r="AB354" i="1"/>
  <c r="S354" i="1"/>
  <c r="S458" i="1"/>
  <c r="AB458" i="1"/>
  <c r="S3" i="1"/>
  <c r="AB3" i="1"/>
  <c r="S294" i="1"/>
  <c r="AB294" i="1"/>
  <c r="S293" i="1"/>
  <c r="AB293" i="1"/>
  <c r="AB522" i="1"/>
  <c r="S522" i="1"/>
  <c r="S61" i="1"/>
  <c r="AB61" i="1"/>
  <c r="S256" i="1"/>
  <c r="AB256" i="1"/>
  <c r="S134" i="1"/>
  <c r="AB134" i="1"/>
  <c r="S351" i="1"/>
  <c r="AB351" i="1"/>
  <c r="AB144" i="1"/>
  <c r="S144" i="1"/>
  <c r="AB33" i="1"/>
  <c r="S33" i="1"/>
  <c r="S77" i="1"/>
  <c r="AB77" i="1"/>
  <c r="S16" i="1"/>
  <c r="AB16" i="1"/>
  <c r="S220" i="1"/>
  <c r="AB220" i="1"/>
  <c r="S55" i="1"/>
  <c r="AB55" i="1"/>
  <c r="S114" i="1"/>
  <c r="AB114" i="1"/>
  <c r="S401" i="1"/>
  <c r="AB401" i="1"/>
  <c r="S441" i="1"/>
  <c r="AB441" i="1"/>
  <c r="S161" i="1"/>
  <c r="AB161" i="1"/>
  <c r="S460" i="1"/>
  <c r="AB460" i="1"/>
  <c r="S184" i="1"/>
  <c r="AB184" i="1"/>
  <c r="S355" i="1"/>
  <c r="AB355" i="1"/>
  <c r="S455" i="1"/>
  <c r="AB455" i="1"/>
  <c r="AB434" i="1"/>
  <c r="S434" i="1"/>
  <c r="AB131" i="1"/>
  <c r="S131" i="1"/>
  <c r="S187" i="1"/>
  <c r="AB187" i="1"/>
  <c r="AB541" i="1"/>
  <c r="S541" i="1"/>
  <c r="S530" i="1"/>
  <c r="AB530" i="1"/>
  <c r="AB14" i="1"/>
  <c r="S14" i="1"/>
  <c r="AB433" i="1"/>
  <c r="S433" i="1"/>
  <c r="S46" i="1"/>
  <c r="AB46" i="1"/>
  <c r="S186" i="1"/>
  <c r="AB186" i="1"/>
  <c r="S281" i="1"/>
  <c r="AB281" i="1"/>
  <c r="AB228" i="1"/>
  <c r="S228" i="1"/>
  <c r="AB407" i="1"/>
  <c r="S407" i="1"/>
  <c r="AB249" i="1"/>
  <c r="S249" i="1"/>
  <c r="S206" i="1"/>
  <c r="AB206" i="1"/>
  <c r="AB120" i="1"/>
  <c r="S120" i="1"/>
  <c r="S110" i="1"/>
  <c r="AB110" i="1"/>
  <c r="AB336" i="1"/>
  <c r="S336" i="1"/>
  <c r="S340" i="1"/>
  <c r="AB340" i="1"/>
  <c r="S86" i="1"/>
  <c r="AB86" i="1"/>
  <c r="S485" i="1"/>
  <c r="AB485" i="1"/>
  <c r="AB217" i="1"/>
  <c r="S217" i="1"/>
  <c r="S436" i="1"/>
  <c r="AB436" i="1"/>
  <c r="S149" i="1"/>
  <c r="AB149" i="1"/>
  <c r="S327" i="1"/>
  <c r="AB327" i="1"/>
  <c r="S328" i="1"/>
  <c r="AB328" i="1"/>
  <c r="S40" i="1"/>
  <c r="AB40" i="1"/>
  <c r="S428" i="1"/>
  <c r="AB428" i="1"/>
  <c r="S388" i="1"/>
  <c r="AB388" i="1"/>
  <c r="S273" i="1"/>
  <c r="AB273" i="1"/>
  <c r="AB404" i="1"/>
  <c r="S404" i="1"/>
  <c r="AB448" i="1"/>
  <c r="S461" i="1"/>
  <c r="AB461" i="1"/>
  <c r="S376" i="1"/>
  <c r="AB376" i="1"/>
  <c r="S30" i="1"/>
  <c r="AB30" i="1"/>
  <c r="S330" i="1"/>
  <c r="AB330" i="1"/>
  <c r="S6" i="1"/>
  <c r="AB6" i="1"/>
  <c r="AB240" i="1"/>
  <c r="S240" i="1"/>
  <c r="S284" i="1"/>
  <c r="AB284" i="1"/>
  <c r="S438" i="1"/>
  <c r="AB438" i="1"/>
  <c r="AB48" i="1"/>
  <c r="S48" i="1"/>
  <c r="S2" i="1"/>
  <c r="AB2" i="1"/>
  <c r="S66" i="1"/>
  <c r="AB66" i="1"/>
  <c r="AB337" i="1"/>
  <c r="S337" i="1"/>
  <c r="S515" i="1"/>
  <c r="AB515" i="1"/>
  <c r="S150" i="1"/>
  <c r="AB150" i="1"/>
  <c r="S262" i="1"/>
  <c r="AB262" i="1"/>
  <c r="S78" i="1"/>
  <c r="AB78" i="1"/>
  <c r="S87" i="1"/>
  <c r="AB87" i="1"/>
  <c r="S492" i="1"/>
  <c r="AB492" i="1"/>
  <c r="S116" i="1"/>
  <c r="AB116" i="1"/>
  <c r="S314" i="1"/>
  <c r="AB314" i="1"/>
  <c r="S52" i="1"/>
  <c r="AB52" i="1"/>
  <c r="AB347" i="1"/>
  <c r="S347" i="1"/>
  <c r="S489" i="1"/>
  <c r="AB489" i="1"/>
  <c r="S265" i="1"/>
  <c r="AB265" i="1"/>
  <c r="S545" i="1"/>
  <c r="AB545" i="1"/>
  <c r="AB322" i="1"/>
  <c r="S322" i="1"/>
  <c r="AB230" i="1"/>
  <c r="S230" i="1"/>
  <c r="S88" i="1"/>
  <c r="AB88" i="1"/>
  <c r="S279" i="1"/>
  <c r="AB279" i="1"/>
  <c r="S367" i="1"/>
  <c r="AB367" i="1"/>
  <c r="S21" i="1"/>
  <c r="AB21" i="1"/>
  <c r="S368" i="1"/>
  <c r="AB368" i="1"/>
  <c r="S282" i="1"/>
  <c r="AB282" i="1"/>
  <c r="AB324" i="1"/>
  <c r="S324" i="1"/>
  <c r="S64" i="1"/>
  <c r="AB64" i="1"/>
  <c r="S317" i="1"/>
  <c r="AB317" i="1"/>
  <c r="AB97" i="1"/>
  <c r="S97" i="1"/>
  <c r="S54" i="1"/>
  <c r="AB54" i="1"/>
  <c r="S439" i="1"/>
  <c r="AB439" i="1"/>
  <c r="AB333" i="1"/>
  <c r="S333" i="1"/>
  <c r="S213" i="1"/>
  <c r="AB213" i="1"/>
  <c r="S409" i="1"/>
  <c r="AB409" i="1"/>
  <c r="AB178" i="1"/>
  <c r="S178" i="1"/>
  <c r="S208" i="1"/>
  <c r="AB208" i="1"/>
  <c r="S381" i="1"/>
  <c r="AB381" i="1"/>
  <c r="S90" i="1"/>
  <c r="AB90" i="1"/>
  <c r="AB358" i="1"/>
  <c r="S358" i="1"/>
  <c r="S501" i="1"/>
  <c r="AB501" i="1"/>
  <c r="AB12" i="1"/>
  <c r="S12" i="1"/>
  <c r="S387" i="1"/>
  <c r="AB387" i="1"/>
  <c r="S103" i="1"/>
  <c r="AB103" i="1"/>
  <c r="S362" i="1"/>
  <c r="AB362" i="1"/>
  <c r="S452" i="1"/>
  <c r="AB452" i="1"/>
  <c r="S313" i="1"/>
  <c r="AB313" i="1"/>
  <c r="S98" i="1"/>
  <c r="AB98" i="1"/>
  <c r="S245" i="1"/>
  <c r="AB245" i="1"/>
  <c r="S159" i="1"/>
  <c r="AB159" i="1"/>
  <c r="S139" i="1"/>
  <c r="AB139" i="1"/>
  <c r="AB227" i="1"/>
  <c r="S227" i="1"/>
  <c r="AB70" i="1"/>
  <c r="S70" i="1"/>
  <c r="S285" i="1"/>
  <c r="AB285" i="1"/>
  <c r="S512" i="1"/>
  <c r="AB512" i="1"/>
  <c r="AB216" i="1"/>
  <c r="S216" i="1"/>
  <c r="S393" i="1"/>
  <c r="AB393" i="1"/>
  <c r="AB167" i="1"/>
  <c r="S167" i="1"/>
  <c r="S4" i="1"/>
  <c r="AB4" i="1"/>
  <c r="S511" i="1"/>
  <c r="AB511" i="1"/>
  <c r="S544" i="1"/>
  <c r="AB544" i="1"/>
  <c r="S298" i="1"/>
  <c r="AB298" i="1"/>
  <c r="AB277" i="1"/>
  <c r="S277" i="1"/>
  <c r="S209" i="1"/>
  <c r="AB209" i="1"/>
  <c r="S152" i="1"/>
  <c r="AB152" i="1"/>
  <c r="AB251" i="1"/>
  <c r="S251" i="1"/>
  <c r="S62" i="1"/>
  <c r="AB62" i="1"/>
  <c r="S471" i="1"/>
  <c r="AB471" i="1"/>
  <c r="AB68" i="1"/>
  <c r="S68" i="1"/>
  <c r="S104" i="1"/>
  <c r="AB104" i="1"/>
  <c r="S73" i="1"/>
  <c r="AB73" i="1"/>
  <c r="AB479" i="1"/>
  <c r="S479" i="1"/>
  <c r="S346" i="1"/>
  <c r="AB346" i="1"/>
  <c r="S470" i="1"/>
  <c r="AB470" i="1"/>
  <c r="S111" i="1"/>
  <c r="AB111" i="1"/>
  <c r="AB542" i="1"/>
  <c r="S542" i="1"/>
  <c r="AB37" i="1"/>
  <c r="S37" i="1"/>
  <c r="AB60" i="1"/>
  <c r="S60" i="1"/>
  <c r="S207" i="1"/>
  <c r="AB207" i="1"/>
  <c r="AB396" i="1"/>
  <c r="S396" i="1"/>
  <c r="S105" i="1"/>
  <c r="AB105" i="1"/>
  <c r="AB526" i="1"/>
  <c r="S526" i="1"/>
  <c r="S440" i="1"/>
  <c r="AB440" i="1"/>
  <c r="S535" i="1"/>
  <c r="AB535" i="1"/>
  <c r="S271" i="1"/>
  <c r="AB271" i="1"/>
  <c r="S315" i="1"/>
  <c r="AB315" i="1"/>
  <c r="AB356" i="1"/>
  <c r="S356" i="1"/>
  <c r="AB203" i="1"/>
  <c r="S203" i="1"/>
  <c r="AB311" i="1"/>
  <c r="S311" i="1"/>
  <c r="AB95" i="1"/>
  <c r="S95" i="1"/>
  <c r="AB398" i="1"/>
  <c r="S398" i="1"/>
  <c r="S414" i="1"/>
  <c r="AB414" i="1"/>
  <c r="S113" i="1"/>
  <c r="AB113" i="1"/>
  <c r="AB162" i="1"/>
  <c r="S162" i="1"/>
  <c r="S174" i="1"/>
  <c r="AB174" i="1"/>
  <c r="AB378" i="1"/>
  <c r="S378" i="1"/>
  <c r="AB93" i="1"/>
  <c r="S93" i="1"/>
  <c r="S283" i="1"/>
  <c r="AB283" i="1"/>
  <c r="S369" i="1"/>
  <c r="AB369" i="1"/>
  <c r="S259" i="1"/>
  <c r="AB259" i="1"/>
  <c r="S430" i="1"/>
  <c r="AB430" i="1"/>
  <c r="AB372" i="1"/>
  <c r="S372" i="1"/>
  <c r="S195" i="1"/>
  <c r="AB195" i="1"/>
  <c r="AB96" i="1"/>
  <c r="S96" i="1"/>
  <c r="S423" i="1"/>
  <c r="AB423" i="1"/>
  <c r="S91" i="1"/>
  <c r="AB91" i="1"/>
  <c r="AB13" i="1"/>
  <c r="S13" i="1"/>
  <c r="AB83" i="1"/>
  <c r="S83" i="1"/>
  <c r="AB373" i="1"/>
  <c r="S373" i="1"/>
  <c r="S242" i="1"/>
  <c r="AB242" i="1"/>
  <c r="S509" i="1"/>
  <c r="AB509" i="1"/>
  <c r="S507" i="1"/>
  <c r="AB507" i="1"/>
  <c r="AB444" i="1"/>
  <c r="S444" i="1"/>
  <c r="AB517" i="1"/>
  <c r="S517" i="1"/>
  <c r="AB306" i="1"/>
  <c r="S306" i="1"/>
  <c r="AB22" i="1"/>
  <c r="S22" i="1"/>
  <c r="AB312" i="1"/>
  <c r="S312" i="1"/>
  <c r="S26" i="1"/>
  <c r="AB26" i="1"/>
  <c r="S193" i="1"/>
  <c r="AB193" i="1"/>
  <c r="AB370" i="1"/>
  <c r="S370" i="1"/>
  <c r="V2" i="1"/>
  <c r="AE404" i="1"/>
  <c r="Y463" i="1"/>
  <c r="AE481" i="1"/>
  <c r="Y189" i="1"/>
  <c r="Y239" i="1"/>
  <c r="Y15" i="1"/>
  <c r="AE198" i="1"/>
  <c r="Y448" i="1"/>
  <c r="AE239" i="1"/>
  <c r="V269" i="1"/>
  <c r="AE386" i="1"/>
  <c r="Y41" i="1"/>
  <c r="V300" i="1"/>
  <c r="Y173" i="1"/>
  <c r="Y237" i="1"/>
  <c r="Y5" i="1"/>
  <c r="AE173" i="1"/>
  <c r="AE56" i="1"/>
  <c r="Y124" i="1"/>
  <c r="V208" i="1"/>
  <c r="Y351" i="1"/>
  <c r="AE361" i="1"/>
  <c r="AE446" i="1"/>
  <c r="AE212" i="1"/>
  <c r="AE26" i="1"/>
  <c r="AE168" i="1"/>
  <c r="AE2" i="1"/>
  <c r="AE505" i="1"/>
  <c r="Y135" i="1"/>
  <c r="Y92" i="1"/>
  <c r="AE24" i="1"/>
  <c r="Y480" i="1"/>
  <c r="AE424" i="1"/>
  <c r="Y309" i="1"/>
  <c r="Y282" i="1"/>
  <c r="AE192" i="1"/>
  <c r="AE217" i="1"/>
  <c r="AE517" i="1"/>
  <c r="AE358" i="1"/>
  <c r="AE172" i="1"/>
  <c r="AE388" i="1"/>
  <c r="Y86" i="1"/>
  <c r="Y181" i="1"/>
  <c r="AE381" i="1"/>
  <c r="AE50" i="1"/>
  <c r="Y26" i="1"/>
  <c r="Y170" i="1"/>
  <c r="Y481" i="1"/>
  <c r="V160" i="1"/>
  <c r="AE309" i="1"/>
  <c r="Y411" i="1"/>
  <c r="AE436" i="1"/>
  <c r="Y50" i="1"/>
  <c r="Y358" i="1"/>
  <c r="Y317" i="1"/>
  <c r="Y56" i="1"/>
  <c r="Y402" i="1"/>
  <c r="AE124" i="1"/>
  <c r="V295" i="1"/>
  <c r="Y444" i="1"/>
  <c r="Y144" i="1"/>
  <c r="AE395" i="1"/>
  <c r="AE170" i="1"/>
  <c r="AE304" i="1"/>
  <c r="V149" i="1"/>
  <c r="V72" i="1"/>
  <c r="Y288" i="1"/>
  <c r="AE92" i="1"/>
  <c r="Y381" i="1"/>
  <c r="Y464" i="1"/>
  <c r="Y273" i="1"/>
  <c r="AE5" i="1"/>
  <c r="Y505" i="1"/>
  <c r="AE325" i="1"/>
  <c r="V32" i="1"/>
  <c r="AE181" i="1"/>
  <c r="V399" i="1"/>
  <c r="Y432" i="1"/>
  <c r="AE368" i="1"/>
  <c r="Y134" i="1"/>
  <c r="AE146" i="1"/>
  <c r="AE15" i="1"/>
  <c r="Y537" i="1"/>
  <c r="Y485" i="1"/>
  <c r="Y300" i="1"/>
  <c r="AE394" i="1"/>
  <c r="AE288" i="1"/>
  <c r="AE537" i="1"/>
  <c r="AE349" i="1"/>
  <c r="AE478" i="1"/>
  <c r="AE307" i="1"/>
  <c r="AE411" i="1"/>
  <c r="AE231" i="1"/>
  <c r="AE37" i="1"/>
  <c r="Y509" i="1"/>
  <c r="AE456" i="1"/>
  <c r="Y312" i="1"/>
  <c r="Y336" i="1"/>
  <c r="AE323" i="1"/>
  <c r="AE484" i="1"/>
  <c r="Y57" i="1"/>
  <c r="AE297" i="1"/>
  <c r="AE180" i="1"/>
  <c r="AE365" i="1"/>
  <c r="AE177" i="1"/>
  <c r="Y527" i="1"/>
  <c r="AE19" i="1"/>
  <c r="Y208" i="1"/>
  <c r="AE90" i="1"/>
  <c r="AE501" i="1"/>
  <c r="V411" i="1"/>
  <c r="AE100" i="1"/>
  <c r="Y319" i="1"/>
  <c r="AE39" i="1"/>
  <c r="Y163" i="1"/>
  <c r="Y436" i="1"/>
  <c r="Y90" i="1"/>
  <c r="Y520" i="1"/>
  <c r="Y275" i="1"/>
  <c r="Y217" i="1"/>
  <c r="Y428" i="1"/>
  <c r="AE260" i="1"/>
  <c r="AE351" i="1"/>
  <c r="Y395" i="1"/>
  <c r="AE21" i="1"/>
  <c r="AE275" i="1"/>
  <c r="AE104" i="1"/>
  <c r="AE542" i="1"/>
  <c r="AE248" i="1"/>
  <c r="V374" i="1"/>
  <c r="V213" i="1"/>
  <c r="AE153" i="1"/>
  <c r="Y222" i="1"/>
  <c r="V518" i="1"/>
  <c r="Y367" i="1"/>
  <c r="Y346" i="1"/>
  <c r="AE321" i="1"/>
  <c r="AE237" i="1"/>
  <c r="AE464" i="1"/>
  <c r="AE189" i="1"/>
  <c r="AE520" i="1"/>
  <c r="AE118" i="1"/>
  <c r="AE236" i="1"/>
  <c r="AE363" i="1"/>
  <c r="AE509" i="1"/>
  <c r="Y198" i="1"/>
  <c r="AE495" i="1"/>
  <c r="AE448" i="1"/>
  <c r="Y192" i="1"/>
  <c r="AE78" i="1"/>
  <c r="AE292" i="1"/>
  <c r="Y295" i="1"/>
  <c r="Y373" i="1"/>
  <c r="AE405" i="1"/>
  <c r="AE507" i="1"/>
  <c r="AE444" i="1"/>
  <c r="Y517" i="1"/>
  <c r="AE306" i="1"/>
  <c r="Y323" i="1"/>
  <c r="Y542" i="1"/>
  <c r="AE262" i="1"/>
  <c r="Y65" i="1"/>
  <c r="AE337" i="1"/>
  <c r="Y42" i="1"/>
  <c r="AE450" i="1"/>
  <c r="Y59" i="1"/>
  <c r="AE319" i="1"/>
  <c r="Y404" i="1"/>
  <c r="Y306" i="1"/>
  <c r="V223" i="1"/>
  <c r="Y343" i="1"/>
  <c r="Y349" i="1"/>
  <c r="Y19" i="1"/>
  <c r="Y307" i="1"/>
  <c r="AE68" i="1"/>
  <c r="Y229" i="1"/>
  <c r="Y479" i="1"/>
  <c r="Y325" i="1"/>
  <c r="Y104" i="1"/>
  <c r="AE299" i="1"/>
  <c r="AE134" i="1"/>
  <c r="AE229" i="1"/>
  <c r="AE422" i="1"/>
  <c r="AE282" i="1"/>
  <c r="Y507" i="1"/>
  <c r="Y2" i="1"/>
  <c r="Y495" i="1"/>
  <c r="V245" i="1"/>
  <c r="Y61" i="1"/>
  <c r="AE346" i="1"/>
  <c r="AE48" i="1"/>
  <c r="Y22" i="1"/>
  <c r="AE80" i="1"/>
  <c r="AE34" i="1"/>
  <c r="Y506" i="1"/>
  <c r="Y128" i="1"/>
  <c r="Y292" i="1"/>
  <c r="Y370" i="1"/>
  <c r="AE527" i="1"/>
  <c r="V289" i="1"/>
  <c r="AE463" i="1"/>
  <c r="Y177" i="1"/>
  <c r="Y21" i="1"/>
  <c r="Y193" i="1"/>
  <c r="Y236" i="1"/>
  <c r="AE61" i="1"/>
  <c r="Y405" i="1"/>
  <c r="Y361" i="1"/>
  <c r="AE324" i="1"/>
  <c r="Y24" i="1"/>
  <c r="Y48" i="1"/>
  <c r="V278" i="1"/>
  <c r="V401" i="1"/>
  <c r="Y450" i="1"/>
  <c r="Y410" i="1"/>
  <c r="Y353" i="1"/>
  <c r="V430" i="1"/>
  <c r="AE485" i="1"/>
  <c r="AE273" i="1"/>
  <c r="AE327" i="1"/>
  <c r="AE222" i="1"/>
  <c r="AE86" i="1"/>
  <c r="Y380" i="1"/>
  <c r="AE191" i="1"/>
  <c r="AE438" i="1"/>
  <c r="AE66" i="1"/>
  <c r="AE205" i="1"/>
  <c r="AE40" i="1"/>
  <c r="Y248" i="1"/>
  <c r="Y214" i="1"/>
  <c r="AE470" i="1"/>
  <c r="Y388" i="1"/>
  <c r="AE493" i="1"/>
  <c r="Y37" i="1"/>
  <c r="AE373" i="1"/>
  <c r="Y266" i="1"/>
  <c r="Y501" i="1"/>
  <c r="AE479" i="1"/>
  <c r="AE370" i="1"/>
  <c r="Y130" i="1"/>
  <c r="AE328" i="1"/>
  <c r="AE367" i="1"/>
  <c r="V271" i="1"/>
  <c r="Y386" i="1"/>
  <c r="Y327" i="1"/>
  <c r="Y73" i="1"/>
  <c r="AE340" i="1"/>
  <c r="Y262" i="1"/>
  <c r="Y363" i="1"/>
  <c r="Y446" i="1"/>
  <c r="Y34" i="1"/>
  <c r="AE73" i="1"/>
  <c r="AE335" i="1"/>
  <c r="Y368" i="1"/>
  <c r="Y172" i="1"/>
  <c r="Y76" i="1"/>
  <c r="V238" i="1"/>
  <c r="V46" i="1"/>
  <c r="Y316" i="1"/>
  <c r="Y212" i="1"/>
  <c r="Y340" i="1"/>
  <c r="V124" i="1"/>
  <c r="AE12" i="1"/>
  <c r="Y424" i="1"/>
  <c r="V98" i="1"/>
  <c r="Y146" i="1"/>
  <c r="Y256" i="1"/>
  <c r="Y422" i="1"/>
  <c r="Y149" i="1"/>
  <c r="AE163" i="1"/>
  <c r="AE144" i="1"/>
  <c r="AE130" i="1"/>
  <c r="AE428" i="1"/>
  <c r="AE142" i="1"/>
  <c r="AE42" i="1"/>
  <c r="AE316" i="1"/>
  <c r="AE135" i="1"/>
  <c r="AE295" i="1"/>
  <c r="AE410" i="1"/>
  <c r="AE49" i="1"/>
  <c r="Y365" i="1"/>
  <c r="Y118" i="1"/>
  <c r="Y387" i="1"/>
  <c r="AE255" i="1"/>
  <c r="AE36" i="1"/>
  <c r="AE480" i="1"/>
  <c r="AE387" i="1"/>
  <c r="AE215" i="1"/>
  <c r="AE353" i="1"/>
  <c r="AE85" i="1"/>
  <c r="Y470" i="1"/>
  <c r="Y242" i="1"/>
  <c r="AE468" i="1"/>
  <c r="Y297" i="1"/>
  <c r="V301" i="1"/>
  <c r="V84" i="1"/>
  <c r="V525" i="1"/>
  <c r="Y321" i="1"/>
  <c r="Y64" i="1"/>
  <c r="Y337" i="1"/>
  <c r="AE432" i="1"/>
  <c r="AE382" i="1"/>
  <c r="AE64" i="1"/>
  <c r="AE128" i="1"/>
  <c r="AE467" i="1"/>
  <c r="Y299" i="1"/>
  <c r="Y382" i="1"/>
  <c r="AE156" i="1"/>
  <c r="Y39" i="1"/>
  <c r="Y523" i="1"/>
  <c r="Y78" i="1"/>
  <c r="Y328" i="1"/>
  <c r="Y427" i="1"/>
  <c r="Y469" i="1"/>
  <c r="Y51" i="1"/>
  <c r="Y142" i="1"/>
  <c r="Y100" i="1"/>
  <c r="Y168" i="1"/>
  <c r="Y107" i="1"/>
  <c r="Y231" i="1"/>
  <c r="Y324" i="1"/>
  <c r="Y467" i="1"/>
  <c r="Y471" i="1"/>
  <c r="Y478" i="1"/>
  <c r="Y278" i="1"/>
  <c r="Y79" i="1"/>
  <c r="Y304" i="1"/>
  <c r="Y68" i="1"/>
  <c r="Y250" i="1"/>
  <c r="V516" i="1"/>
  <c r="V162" i="1"/>
  <c r="V30" i="1"/>
  <c r="V280" i="1"/>
  <c r="V272" i="1"/>
  <c r="AE137" i="1"/>
  <c r="Y137" i="1"/>
  <c r="Y202" i="1"/>
  <c r="AE202" i="1"/>
  <c r="Y71" i="1"/>
  <c r="AE71" i="1"/>
  <c r="Y8" i="1"/>
  <c r="AE8" i="1"/>
  <c r="Y96" i="1"/>
  <c r="AE96" i="1"/>
  <c r="Y91" i="1"/>
  <c r="AE91" i="1"/>
  <c r="Y120" i="1"/>
  <c r="AE120" i="1"/>
  <c r="AE214" i="1"/>
  <c r="Y529" i="1"/>
  <c r="AE529" i="1"/>
  <c r="Y38" i="1"/>
  <c r="AE38" i="1"/>
  <c r="AE119" i="1"/>
  <c r="Y119" i="1"/>
  <c r="AE435" i="1"/>
  <c r="Y435" i="1"/>
  <c r="Y476" i="1"/>
  <c r="AE476" i="1"/>
  <c r="AE305" i="1"/>
  <c r="Y305" i="1"/>
  <c r="AE108" i="1"/>
  <c r="Y108" i="1"/>
  <c r="Y20" i="1"/>
  <c r="AE20" i="1"/>
  <c r="Y12" i="1"/>
  <c r="Y13" i="1"/>
  <c r="AE13" i="1"/>
  <c r="AE83" i="1"/>
  <c r="Y83" i="1"/>
  <c r="Y218" i="1"/>
  <c r="AE218" i="1"/>
  <c r="Y74" i="1"/>
  <c r="AE74" i="1"/>
  <c r="AE417" i="1"/>
  <c r="Y417" i="1"/>
  <c r="AE3" i="1"/>
  <c r="Y3" i="1"/>
  <c r="Y233" i="1"/>
  <c r="AE233" i="1"/>
  <c r="AE443" i="1"/>
  <c r="Y443" i="1"/>
  <c r="Y472" i="1"/>
  <c r="AE472" i="1"/>
  <c r="Y150" i="1"/>
  <c r="AE150" i="1"/>
  <c r="AE510" i="1"/>
  <c r="Y510" i="1"/>
  <c r="AE284" i="1"/>
  <c r="Y284" i="1"/>
  <c r="AE523" i="1"/>
  <c r="V325" i="1"/>
  <c r="V388" i="1"/>
  <c r="AE126" i="1"/>
  <c r="Y126" i="1"/>
  <c r="AE129" i="1"/>
  <c r="Y129" i="1"/>
  <c r="AE374" i="1"/>
  <c r="Y374" i="1"/>
  <c r="Y10" i="1"/>
  <c r="AE10" i="1"/>
  <c r="Y286" i="1"/>
  <c r="AE286" i="1"/>
  <c r="Y331" i="1"/>
  <c r="AE331" i="1"/>
  <c r="Y175" i="1"/>
  <c r="AE175" i="1"/>
  <c r="AE469" i="1"/>
  <c r="AE278" i="1"/>
  <c r="Y530" i="1"/>
  <c r="AE530" i="1"/>
  <c r="Y46" i="1"/>
  <c r="AE46" i="1"/>
  <c r="Y40" i="1"/>
  <c r="AE482" i="1"/>
  <c r="Y482" i="1"/>
  <c r="Y322" i="1"/>
  <c r="AE322" i="1"/>
  <c r="Y88" i="1"/>
  <c r="AE88" i="1"/>
  <c r="AE392" i="1"/>
  <c r="Y392" i="1"/>
  <c r="AE51" i="1"/>
  <c r="V369" i="1"/>
  <c r="V533" i="1"/>
  <c r="Y166" i="1"/>
  <c r="AE166" i="1"/>
  <c r="Y499" i="1"/>
  <c r="AE499" i="1"/>
  <c r="AE498" i="1"/>
  <c r="Y498" i="1"/>
  <c r="Y454" i="1"/>
  <c r="AE454" i="1"/>
  <c r="Y66" i="1"/>
  <c r="AE93" i="1"/>
  <c r="Y93" i="1"/>
  <c r="AE369" i="1"/>
  <c r="Y369" i="1"/>
  <c r="Y153" i="1"/>
  <c r="Y409" i="1"/>
  <c r="AE409" i="1"/>
  <c r="AE279" i="1"/>
  <c r="Y279" i="1"/>
  <c r="V530" i="1"/>
  <c r="V462" i="1"/>
  <c r="V33" i="1"/>
  <c r="AE33" i="1"/>
  <c r="Y33" i="1"/>
  <c r="Y401" i="1"/>
  <c r="AE401" i="1"/>
  <c r="Y460" i="1"/>
  <c r="AE460" i="1"/>
  <c r="Y355" i="1"/>
  <c r="AE355" i="1"/>
  <c r="Y131" i="1"/>
  <c r="AE131" i="1"/>
  <c r="Y191" i="1"/>
  <c r="Y334" i="1"/>
  <c r="AE334" i="1"/>
  <c r="Y67" i="1"/>
  <c r="AE67" i="1"/>
  <c r="Y419" i="1"/>
  <c r="AE419" i="1"/>
  <c r="Y4" i="1"/>
  <c r="AE4" i="1"/>
  <c r="AE544" i="1"/>
  <c r="Y544" i="1"/>
  <c r="Y298" i="1"/>
  <c r="AE298" i="1"/>
  <c r="AE147" i="1"/>
  <c r="Y147" i="1"/>
  <c r="Y156" i="1"/>
  <c r="V286" i="1"/>
  <c r="V79" i="1"/>
  <c r="V22" i="1"/>
  <c r="V202" i="1"/>
  <c r="AE60" i="1"/>
  <c r="Y60" i="1"/>
  <c r="AE526" i="1"/>
  <c r="Y526" i="1"/>
  <c r="AE315" i="1"/>
  <c r="Y315" i="1"/>
  <c r="Y95" i="1"/>
  <c r="AE95" i="1"/>
  <c r="Y394" i="1"/>
  <c r="Y508" i="1"/>
  <c r="AE508" i="1"/>
  <c r="Y164" i="1"/>
  <c r="AE164" i="1"/>
  <c r="AE22" i="1"/>
  <c r="AE79" i="1"/>
  <c r="AE176" i="1"/>
  <c r="Y176" i="1"/>
  <c r="AE421" i="1"/>
  <c r="Y421" i="1"/>
  <c r="Y543" i="1"/>
  <c r="AE543" i="1"/>
  <c r="AE402" i="1"/>
  <c r="AE336" i="1"/>
  <c r="V226" i="1"/>
  <c r="V67" i="1"/>
  <c r="Y461" i="1"/>
  <c r="AE461" i="1"/>
  <c r="Y376" i="1"/>
  <c r="AE376" i="1"/>
  <c r="Y247" i="1"/>
  <c r="AE247" i="1"/>
  <c r="Y474" i="1"/>
  <c r="AE474" i="1"/>
  <c r="AE317" i="1"/>
  <c r="AE250" i="1"/>
  <c r="AE47" i="1"/>
  <c r="Y47" i="1"/>
  <c r="AE143" i="1"/>
  <c r="Y143" i="1"/>
  <c r="Y125" i="1"/>
  <c r="AE125" i="1"/>
  <c r="Y127" i="1"/>
  <c r="AE127" i="1"/>
  <c r="V85" i="1"/>
  <c r="V239" i="1"/>
  <c r="Y488" i="1"/>
  <c r="AE488" i="1"/>
  <c r="Y35" i="1"/>
  <c r="AE35" i="1"/>
  <c r="Y246" i="1"/>
  <c r="AE246" i="1"/>
  <c r="AE117" i="1"/>
  <c r="Y117" i="1"/>
  <c r="Y310" i="1"/>
  <c r="AE310" i="1"/>
  <c r="AE69" i="1"/>
  <c r="Y69" i="1"/>
  <c r="Y36" i="1"/>
  <c r="Y484" i="1"/>
  <c r="AE59" i="1"/>
  <c r="Y80" i="1"/>
  <c r="Y522" i="1"/>
  <c r="AE522" i="1"/>
  <c r="Y190" i="1"/>
  <c r="AE190" i="1"/>
  <c r="AE345" i="1"/>
  <c r="Y345" i="1"/>
  <c r="AE465" i="1"/>
  <c r="Y465" i="1"/>
  <c r="V49" i="1"/>
  <c r="V125" i="1"/>
  <c r="V25" i="1"/>
  <c r="V266" i="1"/>
  <c r="Y326" i="1"/>
  <c r="AE326" i="1"/>
  <c r="AE87" i="1"/>
  <c r="Y87" i="1"/>
  <c r="Y492" i="1"/>
  <c r="AE492" i="1"/>
  <c r="Y106" i="1"/>
  <c r="AE106" i="1"/>
  <c r="AE7" i="1"/>
  <c r="Y7" i="1"/>
  <c r="Y431" i="1"/>
  <c r="AE431" i="1"/>
  <c r="Y341" i="1"/>
  <c r="AE341" i="1"/>
  <c r="AE116" i="1"/>
  <c r="Y116" i="1"/>
  <c r="AE534" i="1"/>
  <c r="Y534" i="1"/>
  <c r="Y400" i="1"/>
  <c r="AE400" i="1"/>
  <c r="Y314" i="1"/>
  <c r="AE314" i="1"/>
  <c r="Y416" i="1"/>
  <c r="AE416" i="1"/>
  <c r="Y269" i="1"/>
  <c r="AE269" i="1"/>
  <c r="Y52" i="1"/>
  <c r="AE52" i="1"/>
  <c r="Y28" i="1"/>
  <c r="AE28" i="1"/>
  <c r="Y200" i="1"/>
  <c r="AE200" i="1"/>
  <c r="Y347" i="1"/>
  <c r="AE347" i="1"/>
  <c r="AE45" i="1"/>
  <c r="Y45" i="1"/>
  <c r="AE312" i="1"/>
  <c r="AE65" i="1"/>
  <c r="Y468" i="1"/>
  <c r="AE107" i="1"/>
  <c r="Y216" i="1"/>
  <c r="AE216" i="1"/>
  <c r="AE393" i="1"/>
  <c r="Y393" i="1"/>
  <c r="Y390" i="1"/>
  <c r="AE390" i="1"/>
  <c r="AE169" i="1"/>
  <c r="Y169" i="1"/>
  <c r="Y215" i="1"/>
  <c r="AE63" i="1"/>
  <c r="Y63" i="1"/>
  <c r="Y58" i="1"/>
  <c r="AE58" i="1"/>
  <c r="Y364" i="1"/>
  <c r="AE364" i="1"/>
  <c r="AE252" i="1"/>
  <c r="Y252" i="1"/>
  <c r="AE429" i="1"/>
  <c r="Y429" i="1"/>
  <c r="AE538" i="1"/>
  <c r="Y538" i="1"/>
  <c r="AE471" i="1"/>
  <c r="AE385" i="1"/>
  <c r="Y385" i="1"/>
  <c r="Y296" i="1"/>
  <c r="AE296" i="1"/>
  <c r="AE453" i="1"/>
  <c r="Y453" i="1"/>
  <c r="AE375" i="1"/>
  <c r="Y375" i="1"/>
  <c r="AE29" i="1"/>
  <c r="Y29" i="1"/>
  <c r="AE459" i="1"/>
  <c r="Y459" i="1"/>
  <c r="AE261" i="1"/>
  <c r="Y261" i="1"/>
  <c r="Y294" i="1"/>
  <c r="AE294" i="1"/>
  <c r="Y293" i="1"/>
  <c r="AE293" i="1"/>
  <c r="Y259" i="1"/>
  <c r="AE259" i="1"/>
  <c r="Y372" i="1"/>
  <c r="AE372" i="1"/>
  <c r="Y211" i="1"/>
  <c r="AE211" i="1"/>
  <c r="AE183" i="1"/>
  <c r="Y183" i="1"/>
  <c r="AE140" i="1"/>
  <c r="Y140" i="1"/>
  <c r="AE532" i="1"/>
  <c r="Y532" i="1"/>
  <c r="AE514" i="1"/>
  <c r="Y514" i="1"/>
  <c r="AE219" i="1"/>
  <c r="Y219" i="1"/>
  <c r="AE380" i="1"/>
  <c r="AE253" i="1"/>
  <c r="Y253" i="1"/>
  <c r="Y264" i="1"/>
  <c r="AE264" i="1"/>
  <c r="Y258" i="1"/>
  <c r="AE258" i="1"/>
  <c r="AE516" i="1"/>
  <c r="Y516" i="1"/>
  <c r="AE267" i="1"/>
  <c r="Y267" i="1"/>
  <c r="AE339" i="1"/>
  <c r="Y339" i="1"/>
  <c r="V293" i="1"/>
  <c r="AE491" i="1"/>
  <c r="Y491" i="1"/>
  <c r="Y354" i="1"/>
  <c r="AE354" i="1"/>
  <c r="Y490" i="1"/>
  <c r="AE490" i="1"/>
  <c r="AE397" i="1"/>
  <c r="Y397" i="1"/>
  <c r="AE272" i="1"/>
  <c r="Y272" i="1"/>
  <c r="Y540" i="1"/>
  <c r="AE540" i="1"/>
  <c r="Y157" i="1"/>
  <c r="AE157" i="1"/>
  <c r="Y366" i="1"/>
  <c r="AE366" i="1"/>
  <c r="Y205" i="1"/>
  <c r="Y121" i="1"/>
  <c r="AE121" i="1"/>
  <c r="AE308" i="1"/>
  <c r="Y308" i="1"/>
  <c r="Y389" i="1"/>
  <c r="AE389" i="1"/>
  <c r="Y384" i="1"/>
  <c r="AE384" i="1"/>
  <c r="AE483" i="1"/>
  <c r="Y483" i="1"/>
  <c r="AE320" i="1"/>
  <c r="Y320" i="1"/>
  <c r="Y274" i="1"/>
  <c r="AE274" i="1"/>
  <c r="Y413" i="1"/>
  <c r="AE413" i="1"/>
  <c r="AE477" i="1"/>
  <c r="Y477" i="1"/>
  <c r="Y226" i="1"/>
  <c r="AE226" i="1"/>
  <c r="Y541" i="1"/>
  <c r="AE541" i="1"/>
  <c r="Y14" i="1"/>
  <c r="AE14" i="1"/>
  <c r="Y281" i="1"/>
  <c r="AE281" i="1"/>
  <c r="Y85" i="1"/>
  <c r="Y265" i="1"/>
  <c r="AE265" i="1"/>
  <c r="AE500" i="1"/>
  <c r="Y500" i="1"/>
  <c r="Y545" i="1"/>
  <c r="AE545" i="1"/>
  <c r="Y525" i="1"/>
  <c r="AE525" i="1"/>
  <c r="V150" i="1"/>
  <c r="V141" i="1"/>
  <c r="Y503" i="1"/>
  <c r="AE503" i="1"/>
  <c r="Y301" i="1"/>
  <c r="AE301" i="1"/>
  <c r="Y244" i="1"/>
  <c r="AE244" i="1"/>
  <c r="AE357" i="1"/>
  <c r="Y357" i="1"/>
  <c r="Y160" i="1"/>
  <c r="AE160" i="1"/>
  <c r="AE155" i="1"/>
  <c r="Y155" i="1"/>
  <c r="Y174" i="1"/>
  <c r="AE174" i="1"/>
  <c r="AE378" i="1"/>
  <c r="Y378" i="1"/>
  <c r="Y283" i="1"/>
  <c r="AE283" i="1"/>
  <c r="Y179" i="1"/>
  <c r="AE179" i="1"/>
  <c r="Y496" i="1"/>
  <c r="AE496" i="1"/>
  <c r="V389" i="1"/>
  <c r="V172" i="1"/>
  <c r="V137" i="1"/>
  <c r="Y16" i="1"/>
  <c r="AE16" i="1"/>
  <c r="Y220" i="1"/>
  <c r="AE220" i="1"/>
  <c r="AE114" i="1"/>
  <c r="Y114" i="1"/>
  <c r="Y161" i="1"/>
  <c r="AE161" i="1"/>
  <c r="AE455" i="1"/>
  <c r="Y455" i="1"/>
  <c r="AE300" i="1"/>
  <c r="Y111" i="1"/>
  <c r="Y6" i="1"/>
  <c r="AE6" i="1"/>
  <c r="Y511" i="1"/>
  <c r="AE511" i="1"/>
  <c r="Y209" i="1"/>
  <c r="AE209" i="1"/>
  <c r="Y456" i="1"/>
  <c r="Y438" i="1"/>
  <c r="V235" i="1"/>
  <c r="V231" i="1"/>
  <c r="V55" i="1"/>
  <c r="Y396" i="1"/>
  <c r="AE396" i="1"/>
  <c r="AE105" i="1"/>
  <c r="Y105" i="1"/>
  <c r="Y440" i="1"/>
  <c r="AE440" i="1"/>
  <c r="Y271" i="1"/>
  <c r="AE271" i="1"/>
  <c r="AE356" i="1"/>
  <c r="Y356" i="1"/>
  <c r="AE311" i="1"/>
  <c r="Y311" i="1"/>
  <c r="Y398" i="1"/>
  <c r="AE398" i="1"/>
  <c r="Y113" i="1"/>
  <c r="AE113" i="1"/>
  <c r="Y524" i="1"/>
  <c r="AE524" i="1"/>
  <c r="AE256" i="1"/>
  <c r="Y154" i="1"/>
  <c r="AE154" i="1"/>
  <c r="AE171" i="1"/>
  <c r="Y171" i="1"/>
  <c r="AE403" i="1"/>
  <c r="Y403" i="1"/>
  <c r="Y152" i="1"/>
  <c r="AE152" i="1"/>
  <c r="Y62" i="1"/>
  <c r="AE62" i="1"/>
  <c r="AE193" i="1"/>
  <c r="Y260" i="1"/>
  <c r="V99" i="1"/>
  <c r="V130" i="1"/>
  <c r="V10" i="1"/>
  <c r="AE204" i="1"/>
  <c r="Y204" i="1"/>
  <c r="Y487" i="1"/>
  <c r="AE487" i="1"/>
  <c r="Y451" i="1"/>
  <c r="AE451" i="1"/>
  <c r="AE291" i="1"/>
  <c r="Y291" i="1"/>
  <c r="AE30" i="1"/>
  <c r="Y30" i="1"/>
  <c r="Y53" i="1"/>
  <c r="AE53" i="1"/>
  <c r="Y330" i="1"/>
  <c r="AE330" i="1"/>
  <c r="Y89" i="1"/>
  <c r="AE89" i="1"/>
  <c r="AE489" i="1"/>
  <c r="Y489" i="1"/>
  <c r="AE223" i="1"/>
  <c r="Y223" i="1"/>
  <c r="Y44" i="1"/>
  <c r="AE44" i="1"/>
  <c r="Y82" i="1"/>
  <c r="AE82" i="1"/>
  <c r="AE18" i="1"/>
  <c r="Y18" i="1"/>
  <c r="AE57" i="1"/>
  <c r="V507" i="1"/>
  <c r="Y412" i="1"/>
  <c r="AE412" i="1"/>
  <c r="Y344" i="1"/>
  <c r="AE344" i="1"/>
  <c r="Y515" i="1"/>
  <c r="AE515" i="1"/>
  <c r="AE399" i="1"/>
  <c r="Y399" i="1"/>
  <c r="Y268" i="1"/>
  <c r="AE268" i="1"/>
  <c r="Y221" i="1"/>
  <c r="AE221" i="1"/>
  <c r="V153" i="1"/>
  <c r="V126" i="1"/>
  <c r="V143" i="1"/>
  <c r="V287" i="1"/>
  <c r="V387" i="1"/>
  <c r="AE97" i="1"/>
  <c r="Y97" i="1"/>
  <c r="Y280" i="1"/>
  <c r="AE280" i="1"/>
  <c r="Y437" i="1"/>
  <c r="AE437" i="1"/>
  <c r="Y276" i="1"/>
  <c r="AE276" i="1"/>
  <c r="AE54" i="1"/>
  <c r="Y54" i="1"/>
  <c r="Y290" i="1"/>
  <c r="AE290" i="1"/>
  <c r="Y332" i="1"/>
  <c r="AE332" i="1"/>
  <c r="Y439" i="1"/>
  <c r="AE439" i="1"/>
  <c r="AE225" i="1"/>
  <c r="Y225" i="1"/>
  <c r="AE201" i="1"/>
  <c r="Y201" i="1"/>
  <c r="Y418" i="1"/>
  <c r="AE418" i="1"/>
  <c r="AE333" i="1"/>
  <c r="Y333" i="1"/>
  <c r="AE138" i="1"/>
  <c r="Y138" i="1"/>
  <c r="Y329" i="1"/>
  <c r="AE329" i="1"/>
  <c r="AE27" i="1"/>
  <c r="Y27" i="1"/>
  <c r="Y449" i="1"/>
  <c r="AE449" i="1"/>
  <c r="Y360" i="1"/>
  <c r="AE360" i="1"/>
  <c r="AE123" i="1"/>
  <c r="Y123" i="1"/>
  <c r="AE457" i="1"/>
  <c r="Y457" i="1"/>
  <c r="AE266" i="1"/>
  <c r="Y84" i="1"/>
  <c r="AE84" i="1"/>
  <c r="Y235" i="1"/>
  <c r="AE235" i="1"/>
  <c r="AE536" i="1"/>
  <c r="Y536" i="1"/>
  <c r="Y145" i="1"/>
  <c r="AE145" i="1"/>
  <c r="Y210" i="1"/>
  <c r="AE210" i="1"/>
  <c r="AE359" i="1"/>
  <c r="Y359" i="1"/>
  <c r="AE506" i="1"/>
  <c r="AE76" i="1"/>
  <c r="AE41" i="1"/>
  <c r="AE149" i="1"/>
  <c r="AE343" i="1"/>
  <c r="Y335" i="1"/>
  <c r="Y257" i="1"/>
  <c r="AE257" i="1"/>
  <c r="Y462" i="1"/>
  <c r="AE462" i="1"/>
  <c r="AE303" i="1"/>
  <c r="Y303" i="1"/>
  <c r="AE234" i="1"/>
  <c r="Y234" i="1"/>
  <c r="Y533" i="1"/>
  <c r="AE533" i="1"/>
  <c r="Y115" i="1"/>
  <c r="AE115" i="1"/>
  <c r="Y31" i="1"/>
  <c r="AE31" i="1"/>
  <c r="AE243" i="1"/>
  <c r="Y243" i="1"/>
  <c r="AE109" i="1"/>
  <c r="Y109" i="1"/>
  <c r="Y101" i="1"/>
  <c r="AE101" i="1"/>
  <c r="Y430" i="1"/>
  <c r="AE430" i="1"/>
  <c r="AE195" i="1"/>
  <c r="Y195" i="1"/>
  <c r="AE423" i="1"/>
  <c r="Y423" i="1"/>
  <c r="Y110" i="1"/>
  <c r="AE110" i="1"/>
  <c r="Y425" i="1"/>
  <c r="AE425" i="1"/>
  <c r="Y232" i="1"/>
  <c r="AE232" i="1"/>
  <c r="AE287" i="1"/>
  <c r="Y287" i="1"/>
  <c r="AE9" i="1"/>
  <c r="Y9" i="1"/>
  <c r="Y531" i="1"/>
  <c r="AE531" i="1"/>
  <c r="Y17" i="1"/>
  <c r="AE17" i="1"/>
  <c r="AE342" i="1"/>
  <c r="Y342" i="1"/>
  <c r="Y466" i="1"/>
  <c r="AE466" i="1"/>
  <c r="AE519" i="1"/>
  <c r="Y519" i="1"/>
  <c r="AE23" i="1"/>
  <c r="Y23" i="1"/>
  <c r="Y136" i="1"/>
  <c r="AE136" i="1"/>
  <c r="AE240" i="1"/>
  <c r="Y240" i="1"/>
  <c r="Y148" i="1"/>
  <c r="AE148" i="1"/>
  <c r="Y194" i="1"/>
  <c r="AE194" i="1"/>
  <c r="Y415" i="1"/>
  <c r="AE415" i="1"/>
  <c r="AE182" i="1"/>
  <c r="Y182" i="1"/>
  <c r="Y377" i="1"/>
  <c r="AE377" i="1"/>
  <c r="Y458" i="1"/>
  <c r="AE458" i="1"/>
  <c r="Y199" i="1"/>
  <c r="AE199" i="1"/>
  <c r="Y151" i="1"/>
  <c r="AE151" i="1"/>
  <c r="Y197" i="1"/>
  <c r="AE197" i="1"/>
  <c r="Y445" i="1"/>
  <c r="AE445" i="1"/>
  <c r="AE208" i="1"/>
  <c r="V31" i="1"/>
  <c r="V251" i="1"/>
  <c r="Y408" i="1"/>
  <c r="AE408" i="1"/>
  <c r="Y158" i="1"/>
  <c r="AE158" i="1"/>
  <c r="Y185" i="1"/>
  <c r="AE185" i="1"/>
  <c r="Y473" i="1"/>
  <c r="AE473" i="1"/>
  <c r="Y187" i="1"/>
  <c r="AE187" i="1"/>
  <c r="Y433" i="1"/>
  <c r="AE433" i="1"/>
  <c r="Y186" i="1"/>
  <c r="AE186" i="1"/>
  <c r="Y318" i="1"/>
  <c r="AE318" i="1"/>
  <c r="Y238" i="1"/>
  <c r="AE238" i="1"/>
  <c r="Y528" i="1"/>
  <c r="AE528" i="1"/>
  <c r="Y230" i="1"/>
  <c r="AE230" i="1"/>
  <c r="V151" i="1"/>
  <c r="Y494" i="1"/>
  <c r="AE494" i="1"/>
  <c r="Y442" i="1"/>
  <c r="AE442" i="1"/>
  <c r="Y518" i="1"/>
  <c r="AE518" i="1"/>
  <c r="Y94" i="1"/>
  <c r="AE94" i="1"/>
  <c r="Y513" i="1"/>
  <c r="AE513" i="1"/>
  <c r="AE162" i="1"/>
  <c r="Y162" i="1"/>
  <c r="AE213" i="1"/>
  <c r="Y213" i="1"/>
  <c r="AE426" i="1"/>
  <c r="Y426" i="1"/>
  <c r="Y254" i="1"/>
  <c r="AE254" i="1"/>
  <c r="AE133" i="1"/>
  <c r="Y133" i="1"/>
  <c r="Y188" i="1"/>
  <c r="AE188" i="1"/>
  <c r="V59" i="1"/>
  <c r="Y77" i="1"/>
  <c r="AE77" i="1"/>
  <c r="Y55" i="1"/>
  <c r="AE55" i="1"/>
  <c r="AE441" i="1"/>
  <c r="Y441" i="1"/>
  <c r="Y184" i="1"/>
  <c r="AE184" i="1"/>
  <c r="AE434" i="1"/>
  <c r="Y434" i="1"/>
  <c r="Y255" i="1"/>
  <c r="Y102" i="1"/>
  <c r="AE102" i="1"/>
  <c r="AE263" i="1"/>
  <c r="Y263" i="1"/>
  <c r="Y502" i="1"/>
  <c r="AE502" i="1"/>
  <c r="AE167" i="1"/>
  <c r="Y167" i="1"/>
  <c r="AE277" i="1"/>
  <c r="Y277" i="1"/>
  <c r="Y178" i="1"/>
  <c r="AE178" i="1"/>
  <c r="AE25" i="1"/>
  <c r="Y25" i="1"/>
  <c r="V109" i="1"/>
  <c r="V375" i="1"/>
  <c r="AE207" i="1"/>
  <c r="Y207" i="1"/>
  <c r="Y535" i="1"/>
  <c r="AE535" i="1"/>
  <c r="AE203" i="1"/>
  <c r="Y203" i="1"/>
  <c r="AE414" i="1"/>
  <c r="Y414" i="1"/>
  <c r="AE111" i="1"/>
  <c r="AE486" i="1"/>
  <c r="Y486" i="1"/>
  <c r="AE81" i="1"/>
  <c r="Y81" i="1"/>
  <c r="AE427" i="1"/>
  <c r="Y112" i="1"/>
  <c r="AE112" i="1"/>
  <c r="Y251" i="1"/>
  <c r="AE251" i="1"/>
  <c r="Y493" i="1"/>
  <c r="Y180" i="1"/>
  <c r="AE242" i="1"/>
  <c r="V259" i="1"/>
  <c r="V513" i="1"/>
  <c r="Y379" i="1"/>
  <c r="AE379" i="1"/>
  <c r="Y289" i="1"/>
  <c r="AE289" i="1"/>
  <c r="AE447" i="1"/>
  <c r="Y447" i="1"/>
  <c r="AE141" i="1"/>
  <c r="Y141" i="1"/>
  <c r="AE11" i="1"/>
  <c r="Y11" i="1"/>
  <c r="Y391" i="1"/>
  <c r="AE391" i="1"/>
  <c r="Y132" i="1"/>
  <c r="AE132" i="1"/>
  <c r="Y350" i="1"/>
  <c r="AE350" i="1"/>
  <c r="AE165" i="1"/>
  <c r="Y165" i="1"/>
  <c r="V265" i="1"/>
  <c r="V348" i="1"/>
  <c r="V426" i="1"/>
  <c r="V439" i="1"/>
  <c r="AE348" i="1"/>
  <c r="Y348" i="1"/>
  <c r="AE32" i="1"/>
  <c r="Y32" i="1"/>
  <c r="Y352" i="1"/>
  <c r="AE352" i="1"/>
  <c r="AE99" i="1"/>
  <c r="Y99" i="1"/>
  <c r="Y475" i="1"/>
  <c r="AE475" i="1"/>
  <c r="AE224" i="1"/>
  <c r="Y224" i="1"/>
  <c r="AE371" i="1"/>
  <c r="Y371" i="1"/>
  <c r="Y49" i="1"/>
  <c r="Y72" i="1"/>
  <c r="AE72" i="1"/>
  <c r="Y420" i="1"/>
  <c r="AE420" i="1"/>
  <c r="V136" i="1"/>
  <c r="Y103" i="1"/>
  <c r="AE103" i="1"/>
  <c r="AE362" i="1"/>
  <c r="Y362" i="1"/>
  <c r="AE241" i="1"/>
  <c r="Y241" i="1"/>
  <c r="Y452" i="1"/>
  <c r="AE452" i="1"/>
  <c r="Y539" i="1"/>
  <c r="AE539" i="1"/>
  <c r="AE338" i="1"/>
  <c r="Y338" i="1"/>
  <c r="AE313" i="1"/>
  <c r="Y313" i="1"/>
  <c r="Y497" i="1"/>
  <c r="AE497" i="1"/>
  <c r="Y98" i="1"/>
  <c r="AE98" i="1"/>
  <c r="AE270" i="1"/>
  <c r="Y270" i="1"/>
  <c r="Y245" i="1"/>
  <c r="AE245" i="1"/>
  <c r="AE159" i="1"/>
  <c r="Y159" i="1"/>
  <c r="Y139" i="1"/>
  <c r="AE139" i="1"/>
  <c r="AE227" i="1"/>
  <c r="Y227" i="1"/>
  <c r="AE75" i="1"/>
  <c r="Y75" i="1"/>
  <c r="Y70" i="1"/>
  <c r="AE70" i="1"/>
  <c r="AE285" i="1"/>
  <c r="Y285" i="1"/>
  <c r="AE512" i="1"/>
  <c r="Y512" i="1"/>
  <c r="Y302" i="1"/>
  <c r="AE302" i="1"/>
  <c r="Y43" i="1"/>
  <c r="AE43" i="1"/>
  <c r="Y504" i="1"/>
  <c r="AE504" i="1"/>
  <c r="AE122" i="1"/>
  <c r="Y122" i="1"/>
  <c r="Y196" i="1"/>
  <c r="AE196" i="1"/>
  <c r="Y383" i="1"/>
  <c r="AE383" i="1"/>
  <c r="Y521" i="1"/>
  <c r="AE521" i="1"/>
  <c r="Y406" i="1"/>
  <c r="AE406" i="1"/>
  <c r="Y228" i="1"/>
  <c r="AE228" i="1"/>
  <c r="AE407" i="1"/>
  <c r="Y407" i="1"/>
  <c r="AE249" i="1"/>
  <c r="Y249" i="1"/>
  <c r="Y206" i="1"/>
  <c r="AE206" i="1"/>
  <c r="V395" i="1"/>
  <c r="V453" i="1"/>
  <c r="V482" i="1"/>
  <c r="V178" i="1"/>
  <c r="V476" i="1"/>
  <c r="V243" i="1"/>
  <c r="V540" i="1"/>
  <c r="V457" i="1"/>
  <c r="V111" i="1"/>
  <c r="V492" i="1"/>
  <c r="V364" i="1"/>
  <c r="V336" i="1"/>
  <c r="V5" i="1"/>
  <c r="V277" i="1"/>
  <c r="V500" i="1"/>
  <c r="V82" i="1"/>
  <c r="V110" i="1"/>
  <c r="V463" i="1"/>
  <c r="V345" i="1"/>
  <c r="V107" i="1"/>
  <c r="V267" i="1"/>
  <c r="V437" i="1"/>
  <c r="V464" i="1"/>
  <c r="V168" i="1"/>
  <c r="V306" i="1"/>
  <c r="V527" i="1"/>
  <c r="V92" i="1"/>
  <c r="V479" i="1"/>
  <c r="V176" i="1"/>
  <c r="V544" i="1"/>
  <c r="V545" i="1"/>
  <c r="V18" i="1"/>
  <c r="V62" i="1"/>
  <c r="V414" i="1"/>
  <c r="V385" i="1"/>
  <c r="V420" i="1"/>
  <c r="V227" i="1"/>
  <c r="V282" i="1"/>
  <c r="V433" i="1"/>
  <c r="V314" i="1"/>
  <c r="V250" i="1"/>
  <c r="V34" i="1"/>
  <c r="V21" i="1"/>
  <c r="V118" i="1"/>
  <c r="V438" i="1"/>
  <c r="V446" i="1"/>
  <c r="V257" i="1"/>
  <c r="V478" i="1"/>
  <c r="V179" i="1"/>
  <c r="V74" i="1"/>
  <c r="V101" i="1"/>
  <c r="V393" i="1"/>
  <c r="V181" i="1"/>
  <c r="V493" i="1"/>
  <c r="V409" i="1"/>
  <c r="V524" i="1"/>
  <c r="V318" i="1"/>
  <c r="V167" i="1"/>
  <c r="V456" i="1"/>
  <c r="V270" i="1"/>
  <c r="V472" i="1"/>
  <c r="V255" i="1"/>
  <c r="V94" i="1"/>
  <c r="V145" i="1"/>
  <c r="V189" i="1"/>
  <c r="V425" i="1"/>
  <c r="V504" i="1"/>
  <c r="V442" i="1"/>
  <c r="V8" i="1"/>
  <c r="V445" i="1"/>
  <c r="V512" i="1"/>
  <c r="V363" i="1"/>
  <c r="V519" i="1"/>
  <c r="V441" i="1"/>
  <c r="V469" i="1"/>
  <c r="V156" i="1"/>
  <c r="V320" i="1"/>
  <c r="V218" i="1"/>
  <c r="V501" i="1"/>
  <c r="V508" i="1"/>
  <c r="V340" i="1"/>
  <c r="V520" i="1"/>
  <c r="V299" i="1"/>
  <c r="V373" i="1"/>
  <c r="V236" i="1"/>
  <c r="V392" i="1"/>
  <c r="V362" i="1"/>
  <c r="V487" i="1"/>
  <c r="V466" i="1"/>
  <c r="V281" i="1"/>
  <c r="V35" i="1"/>
  <c r="V494" i="1"/>
  <c r="V217" i="1"/>
  <c r="V75" i="1"/>
  <c r="V381" i="1"/>
  <c r="V316" i="1"/>
  <c r="V470" i="1"/>
  <c r="V310" i="1"/>
  <c r="V427" i="1"/>
  <c r="V531" i="1"/>
  <c r="V358" i="1"/>
  <c r="V488" i="1"/>
  <c r="V138" i="1"/>
  <c r="V44" i="1"/>
  <c r="V58" i="1"/>
  <c r="V113" i="1"/>
  <c r="V97" i="1"/>
  <c r="V261" i="1"/>
  <c r="V61" i="1"/>
  <c r="V455" i="1"/>
  <c r="V416" i="1"/>
  <c r="V284" i="1"/>
  <c r="V421" i="1"/>
  <c r="V450" i="1"/>
  <c r="V384" i="1"/>
  <c r="V376" i="1"/>
  <c r="V148" i="1"/>
  <c r="V9" i="1"/>
  <c r="V26" i="1"/>
  <c r="V328" i="1"/>
  <c r="V253" i="1"/>
  <c r="V542" i="1"/>
  <c r="V73" i="1"/>
  <c r="V19" i="1"/>
  <c r="V43" i="1"/>
  <c r="V294" i="1"/>
  <c r="V481" i="1"/>
  <c r="V219" i="1"/>
  <c r="V344" i="1"/>
  <c r="V440" i="1"/>
  <c r="V394" i="1"/>
  <c r="V424" i="1"/>
  <c r="V350" i="1"/>
  <c r="V413" i="1"/>
  <c r="V407" i="1"/>
  <c r="V467" i="1"/>
  <c r="V415" i="1"/>
  <c r="V199" i="1"/>
  <c r="V6" i="1"/>
  <c r="V391" i="1"/>
  <c r="V535" i="1"/>
  <c r="V174" i="1"/>
  <c r="V123" i="1"/>
  <c r="V543" i="1"/>
  <c r="V108" i="1"/>
  <c r="V262" i="1"/>
  <c r="V359" i="1"/>
  <c r="V144" i="1"/>
  <c r="V290" i="1"/>
  <c r="V57" i="1"/>
  <c r="V333" i="1"/>
  <c r="V206" i="1"/>
  <c r="V230" i="1"/>
  <c r="V256" i="1"/>
  <c r="V24" i="1"/>
  <c r="V87" i="1"/>
  <c r="V517" i="1"/>
  <c r="V410" i="1"/>
  <c r="V536" i="1"/>
  <c r="V201" i="1"/>
  <c r="V443" i="1"/>
  <c r="V449" i="1"/>
  <c r="V95" i="1"/>
  <c r="V312" i="1"/>
  <c r="V491" i="1"/>
  <c r="V173" i="1"/>
  <c r="V220" i="1"/>
  <c r="V229" i="1"/>
  <c r="V45" i="1"/>
  <c r="V23" i="1"/>
  <c r="V366" i="1"/>
  <c r="V292" i="1"/>
  <c r="V285" i="1"/>
  <c r="V422" i="1"/>
  <c r="V244" i="1"/>
  <c r="V354" i="1"/>
  <c r="V315" i="1"/>
  <c r="V380" i="1"/>
  <c r="V11" i="1"/>
  <c r="V495" i="1"/>
  <c r="V193" i="1"/>
  <c r="V90" i="1"/>
  <c r="V129" i="1"/>
  <c r="V211" i="1"/>
  <c r="V372" i="1"/>
  <c r="V273" i="1"/>
  <c r="V128" i="1"/>
  <c r="V296" i="1"/>
  <c r="V36" i="1"/>
  <c r="V161" i="1"/>
  <c r="V204" i="1"/>
  <c r="V400" i="1"/>
  <c r="V42" i="1"/>
  <c r="V16" i="1"/>
  <c r="V88" i="1"/>
  <c r="V448" i="1"/>
  <c r="V317" i="1"/>
  <c r="V412" i="1"/>
  <c r="V529" i="1"/>
  <c r="V237" i="1"/>
  <c r="V360" i="1"/>
  <c r="V139" i="1"/>
  <c r="V249" i="1"/>
  <c r="V13" i="1"/>
  <c r="V63" i="1"/>
  <c r="V184" i="1"/>
  <c r="V121" i="1"/>
  <c r="V53" i="1"/>
  <c r="V288" i="1"/>
  <c r="V93" i="1"/>
  <c r="V233" i="1"/>
  <c r="V133" i="1"/>
  <c r="V234" i="1"/>
  <c r="V190" i="1"/>
  <c r="V506" i="1"/>
  <c r="V324" i="1"/>
  <c r="V214" i="1"/>
  <c r="V222" i="1"/>
  <c r="V38" i="1"/>
  <c r="V115" i="1"/>
  <c r="V302" i="1"/>
  <c r="V334" i="1"/>
  <c r="V112" i="1"/>
  <c r="V114" i="1"/>
  <c r="V303" i="1"/>
  <c r="V468" i="1"/>
  <c r="V379" i="1"/>
  <c r="V346" i="1"/>
  <c r="V322" i="1"/>
  <c r="V526" i="1"/>
  <c r="V447" i="1"/>
  <c r="V307" i="1"/>
  <c r="V331" i="1"/>
  <c r="V195" i="1"/>
  <c r="V337" i="1"/>
  <c r="V327" i="1"/>
  <c r="V538" i="1"/>
  <c r="V405" i="1"/>
  <c r="V534" i="1"/>
  <c r="V537" i="1"/>
  <c r="V461" i="1"/>
  <c r="V70" i="1"/>
  <c r="V155" i="1"/>
  <c r="V254" i="1"/>
  <c r="V378" i="1"/>
  <c r="V215" i="1"/>
  <c r="V48" i="1"/>
  <c r="V4" i="1"/>
  <c r="V157" i="1"/>
  <c r="V258" i="1"/>
  <c r="V105" i="1"/>
  <c r="V511" i="1"/>
  <c r="V198" i="1"/>
  <c r="V51" i="1"/>
  <c r="V260" i="1"/>
  <c r="V116" i="1"/>
  <c r="V154" i="1"/>
  <c r="V103" i="1"/>
  <c r="V275" i="1"/>
  <c r="V349" i="1"/>
  <c r="V356" i="1"/>
  <c r="V135" i="1"/>
  <c r="V165" i="1"/>
  <c r="V402" i="1"/>
  <c r="V279" i="1"/>
  <c r="V309" i="1"/>
  <c r="V106" i="1"/>
  <c r="V216" i="1"/>
  <c r="V417" i="1"/>
  <c r="V365" i="1"/>
  <c r="V187" i="1"/>
  <c r="V41" i="1"/>
  <c r="V247" i="1"/>
  <c r="V170" i="1"/>
  <c r="V483" i="1"/>
  <c r="V232" i="1"/>
  <c r="V471" i="1"/>
  <c r="V188" i="1"/>
  <c r="V200" i="1"/>
  <c r="V80" i="1"/>
  <c r="V186" i="1"/>
  <c r="V127" i="1"/>
  <c r="V403" i="1"/>
  <c r="V338" i="1"/>
  <c r="V429" i="1"/>
  <c r="V523" i="1"/>
  <c r="V397" i="1"/>
  <c r="V351" i="1"/>
  <c r="V484" i="1"/>
  <c r="V69" i="1"/>
  <c r="V382" i="1"/>
  <c r="V163" i="1"/>
  <c r="V330" i="1"/>
  <c r="V212" i="1"/>
  <c r="V54" i="1"/>
  <c r="V120" i="1"/>
  <c r="V158" i="1"/>
  <c r="V60" i="1"/>
  <c r="V431" i="1"/>
  <c r="V89" i="1"/>
  <c r="V485" i="1"/>
  <c r="V205" i="1"/>
  <c r="V522" i="1"/>
  <c r="V164" i="1"/>
  <c r="V241" i="1"/>
  <c r="V474" i="1"/>
  <c r="V326" i="1"/>
  <c r="V297" i="1"/>
  <c r="V142" i="1"/>
  <c r="V436" i="1"/>
  <c r="V263" i="1"/>
  <c r="V444" i="1"/>
  <c r="V428" i="1"/>
  <c r="V377" i="1"/>
  <c r="V159" i="1"/>
  <c r="V194" i="1"/>
  <c r="V39" i="1"/>
  <c r="V398" i="1"/>
  <c r="V91" i="1"/>
  <c r="V242" i="1"/>
  <c r="V342" i="1"/>
  <c r="V240" i="1"/>
  <c r="V225" i="1"/>
  <c r="V339" i="1"/>
  <c r="V528" i="1"/>
  <c r="V510" i="1"/>
  <c r="V228" i="1"/>
  <c r="V183" i="1"/>
  <c r="V83" i="1"/>
  <c r="V37" i="1"/>
  <c r="V283" i="1"/>
  <c r="V64" i="1"/>
  <c r="V50" i="1"/>
  <c r="V182" i="1"/>
  <c r="V486" i="1"/>
  <c r="V276" i="1"/>
  <c r="V541" i="1"/>
  <c r="V367" i="1"/>
  <c r="V77" i="1"/>
  <c r="V119" i="1"/>
  <c r="V475" i="1"/>
  <c r="V386" i="1"/>
  <c r="V3" i="1"/>
  <c r="V335" i="1"/>
  <c r="V368" i="1"/>
  <c r="V383" i="1"/>
  <c r="V532" i="1"/>
  <c r="V496" i="1"/>
  <c r="V423" i="1"/>
  <c r="V122" i="1"/>
  <c r="V52" i="1"/>
  <c r="V166" i="1"/>
  <c r="V147" i="1"/>
  <c r="V298" i="1"/>
  <c r="V96" i="1"/>
  <c r="V329" i="1"/>
  <c r="V20" i="1"/>
  <c r="V68" i="1"/>
  <c r="V177" i="1"/>
  <c r="V102" i="1"/>
  <c r="V40" i="1"/>
  <c r="V451" i="1"/>
  <c r="V185" i="1"/>
  <c r="V192" i="1"/>
  <c r="V252" i="1"/>
  <c r="V221" i="1"/>
  <c r="V343" i="1"/>
  <c r="V65" i="1"/>
  <c r="V76" i="1"/>
  <c r="V502" i="1"/>
  <c r="V539" i="1"/>
  <c r="V452" i="1"/>
  <c r="V152" i="1"/>
  <c r="V131" i="1"/>
  <c r="V521" i="1"/>
  <c r="V321" i="1"/>
  <c r="V319" i="1"/>
  <c r="V352" i="1"/>
  <c r="V458" i="1"/>
  <c r="V15" i="1"/>
  <c r="V104" i="1"/>
  <c r="V514" i="1"/>
  <c r="V47" i="1"/>
  <c r="V100" i="1"/>
  <c r="V81" i="1"/>
  <c r="V274" i="1"/>
  <c r="V17" i="1"/>
  <c r="V12" i="1"/>
  <c r="V406" i="1"/>
  <c r="V134" i="1"/>
  <c r="V291" i="1"/>
  <c r="V490" i="1"/>
  <c r="V332" i="1"/>
  <c r="V498" i="1"/>
  <c r="V357" i="1"/>
  <c r="V459" i="1"/>
  <c r="V480" i="1"/>
  <c r="V390" i="1"/>
  <c r="V196" i="1"/>
  <c r="V404" i="1"/>
  <c r="V473" i="1"/>
  <c r="V132" i="1"/>
  <c r="V191" i="1"/>
  <c r="V509" i="1"/>
  <c r="V264" i="1"/>
  <c r="V370" i="1"/>
  <c r="V209" i="1"/>
  <c r="V268" i="1"/>
  <c r="V311" i="1"/>
  <c r="V499" i="1"/>
  <c r="V418" i="1"/>
  <c r="V347" i="1"/>
  <c r="V197" i="1"/>
  <c r="V435" i="1"/>
  <c r="V140" i="1"/>
  <c r="V117" i="1"/>
  <c r="V313" i="1"/>
  <c r="V146" i="1"/>
  <c r="V341" i="1"/>
  <c r="V56" i="1"/>
  <c r="V361" i="1"/>
  <c r="V71" i="1"/>
  <c r="V355" i="1"/>
  <c r="V66" i="1"/>
  <c r="V27" i="1"/>
  <c r="V175" i="1"/>
  <c r="V246" i="1"/>
  <c r="V515" i="1"/>
  <c r="V308" i="1"/>
  <c r="V353" i="1"/>
  <c r="V460" i="1"/>
  <c r="V86" i="1"/>
  <c r="V465" i="1"/>
  <c r="V371" i="1"/>
  <c r="V477" i="1"/>
  <c r="V489" i="1"/>
  <c r="V305" i="1"/>
  <c r="V396" i="1"/>
  <c r="V503" i="1"/>
  <c r="V434" i="1"/>
  <c r="V29" i="1"/>
  <c r="V28" i="1"/>
  <c r="V432" i="1"/>
  <c r="V505" i="1"/>
  <c r="V454" i="1"/>
  <c r="V78" i="1"/>
  <c r="V180" i="1"/>
  <c r="V203" i="1"/>
  <c r="V7" i="1"/>
  <c r="V304" i="1"/>
  <c r="V210" i="1"/>
  <c r="V171" i="1"/>
  <c r="V14" i="1"/>
  <c r="V169" i="1"/>
  <c r="V207" i="1"/>
  <c r="V248" i="1"/>
  <c r="V497" i="1"/>
  <c r="V224" i="1"/>
  <c r="V408" i="1"/>
  <c r="V419" i="1"/>
  <c r="V323" i="1"/>
  <c r="AJ13" i="1" l="1"/>
  <c r="AJ16" i="1"/>
  <c r="AI16" i="1"/>
  <c r="AI13" i="1"/>
  <c r="AK16" i="1" l="1"/>
  <c r="AF214" i="1" s="1"/>
  <c r="AF197" i="1"/>
  <c r="AF376" i="1"/>
  <c r="AF324" i="1"/>
  <c r="AF47" i="1"/>
  <c r="AF98" i="1"/>
  <c r="AF274" i="1"/>
  <c r="AF200" i="1"/>
  <c r="AF174" i="1"/>
  <c r="AF412" i="1"/>
  <c r="AF135" i="1"/>
  <c r="AF416" i="1"/>
  <c r="AF444" i="1"/>
  <c r="AF110" i="1"/>
  <c r="AF227" i="1"/>
  <c r="AF248" i="1"/>
  <c r="AF516" i="1"/>
  <c r="AF383" i="1"/>
  <c r="AF83" i="1"/>
  <c r="AF127" i="1"/>
  <c r="AF168" i="1"/>
  <c r="AF273" i="1"/>
  <c r="AF203" i="1"/>
  <c r="AF323" i="1"/>
  <c r="AF112" i="1"/>
  <c r="AF69" i="1"/>
  <c r="AF488" i="1"/>
  <c r="AF304" i="1"/>
  <c r="AF334" i="1"/>
  <c r="AG334" i="1" s="1"/>
  <c r="AF463" i="1"/>
  <c r="AF146" i="1"/>
  <c r="AF39" i="1"/>
  <c r="AF354" i="1"/>
  <c r="AF367" i="1"/>
  <c r="AF145" i="1"/>
  <c r="AF13" i="1"/>
  <c r="AG13" i="1" s="1"/>
  <c r="AF89" i="1"/>
  <c r="AF531" i="1"/>
  <c r="AF342" i="1"/>
  <c r="AG342" i="1" s="1"/>
  <c r="AF479" i="1"/>
  <c r="AF66" i="1"/>
  <c r="AF193" i="1"/>
  <c r="AF236" i="1"/>
  <c r="AF295" i="1"/>
  <c r="AG295" i="1" s="1"/>
  <c r="AF51" i="1"/>
  <c r="AF18" i="1"/>
  <c r="AF360" i="1"/>
  <c r="AF125" i="1"/>
  <c r="AF319" i="1"/>
  <c r="AF26" i="1"/>
  <c r="AF28" i="1"/>
  <c r="AG28" i="1" s="1"/>
  <c r="AF335" i="1"/>
  <c r="AF496" i="1"/>
  <c r="AF315" i="1"/>
  <c r="AF20" i="1"/>
  <c r="AF57" i="1"/>
  <c r="AF77" i="1"/>
  <c r="AF220" i="1"/>
  <c r="AF17" i="1"/>
  <c r="AG17" i="1" s="1"/>
  <c r="AF109" i="1"/>
  <c r="AF48" i="1"/>
  <c r="AF309" i="1"/>
  <c r="AG309" i="1" s="1"/>
  <c r="AF476" i="1"/>
  <c r="AF6" i="1"/>
  <c r="AG6" i="1" s="1"/>
  <c r="AF352" i="1"/>
  <c r="AF279" i="1"/>
  <c r="AF62" i="1"/>
  <c r="AF195" i="1"/>
  <c r="AF322" i="1"/>
  <c r="AF378" i="1"/>
  <c r="AF241" i="1"/>
  <c r="AF419" i="1"/>
  <c r="AF99" i="1"/>
  <c r="AF23" i="1"/>
  <c r="AF523" i="1"/>
  <c r="AF507" i="1"/>
  <c r="AF525" i="1"/>
  <c r="AF215" i="1"/>
  <c r="AF252" i="1"/>
  <c r="AK13" i="1"/>
  <c r="W58" i="1" s="1"/>
  <c r="AJ10" i="1"/>
  <c r="AJ15" i="1"/>
  <c r="AI10" i="1"/>
  <c r="AI15" i="1"/>
  <c r="AJ14" i="1"/>
  <c r="AI14" i="1"/>
  <c r="AF330" i="1" l="1"/>
  <c r="AF292" i="1"/>
  <c r="AG292" i="1" s="1"/>
  <c r="AF398" i="1"/>
  <c r="AF432" i="1"/>
  <c r="AF278" i="1"/>
  <c r="AF131" i="1"/>
  <c r="AF235" i="1"/>
  <c r="AF10" i="1"/>
  <c r="AF101" i="1"/>
  <c r="AF329" i="1"/>
  <c r="AF298" i="1"/>
  <c r="AG298" i="1" s="1"/>
  <c r="AF402" i="1"/>
  <c r="AF224" i="1"/>
  <c r="AF497" i="1"/>
  <c r="AF341" i="1"/>
  <c r="AG341" i="1" s="1"/>
  <c r="AF155" i="1"/>
  <c r="AF404" i="1"/>
  <c r="AF371" i="1"/>
  <c r="AF238" i="1"/>
  <c r="AF348" i="1"/>
  <c r="AF190" i="1"/>
  <c r="AF359" i="1"/>
  <c r="AF408" i="1"/>
  <c r="AF468" i="1"/>
  <c r="AF394" i="1"/>
  <c r="AF180" i="1"/>
  <c r="AF260" i="1"/>
  <c r="AF294" i="1"/>
  <c r="AF148" i="1"/>
  <c r="AF403" i="1"/>
  <c r="AF138" i="1"/>
  <c r="AF171" i="1"/>
  <c r="AF122" i="1"/>
  <c r="AF247" i="1"/>
  <c r="AF392" i="1"/>
  <c r="AF196" i="1"/>
  <c r="AF540" i="1"/>
  <c r="AF450" i="1"/>
  <c r="AF58" i="1"/>
  <c r="AF216" i="1"/>
  <c r="AF239" i="1"/>
  <c r="AF287" i="1"/>
  <c r="AG287" i="1" s="1"/>
  <c r="AF511" i="1"/>
  <c r="AF533" i="1"/>
  <c r="AF52" i="1"/>
  <c r="AF445" i="1"/>
  <c r="AF411" i="1"/>
  <c r="AF208" i="1"/>
  <c r="AF503" i="1"/>
  <c r="AF132" i="1"/>
  <c r="AF65" i="1"/>
  <c r="AF356" i="1"/>
  <c r="AF157" i="1"/>
  <c r="AF471" i="1"/>
  <c r="AF34" i="1"/>
  <c r="AG34" i="1" s="1"/>
  <c r="AF55" i="1"/>
  <c r="AF365" i="1"/>
  <c r="AF509" i="1"/>
  <c r="AF536" i="1"/>
  <c r="AF96" i="1"/>
  <c r="AF426" i="1"/>
  <c r="AF159" i="1"/>
  <c r="AF141" i="1"/>
  <c r="AF372" i="1"/>
  <c r="AF192" i="1"/>
  <c r="AF370" i="1"/>
  <c r="AF91" i="1"/>
  <c r="AF229" i="1"/>
  <c r="AF9" i="1"/>
  <c r="AF478" i="1"/>
  <c r="AF336" i="1"/>
  <c r="AG336" i="1" s="1"/>
  <c r="AF377" i="1"/>
  <c r="AF290" i="1"/>
  <c r="AG290" i="1" s="1"/>
  <c r="AF79" i="1"/>
  <c r="AF281" i="1"/>
  <c r="AF29" i="1"/>
  <c r="AF250" i="1"/>
  <c r="AF88" i="1"/>
  <c r="AF389" i="1"/>
  <c r="AF538" i="1"/>
  <c r="AF452" i="1"/>
  <c r="AF508" i="1"/>
  <c r="AF300" i="1"/>
  <c r="AG300" i="1" s="1"/>
  <c r="AF130" i="1"/>
  <c r="AG130" i="1" s="1"/>
  <c r="AF545" i="1"/>
  <c r="AF397" i="1"/>
  <c r="AF173" i="1"/>
  <c r="AF269" i="1"/>
  <c r="AF133" i="1"/>
  <c r="AF366" i="1"/>
  <c r="AF514" i="1"/>
  <c r="AF31" i="1"/>
  <c r="AG31" i="1" s="1"/>
  <c r="AF326" i="1"/>
  <c r="AF85" i="1"/>
  <c r="AF487" i="1"/>
  <c r="AF73" i="1"/>
  <c r="AF477" i="1"/>
  <c r="AF310" i="1"/>
  <c r="AG310" i="1" s="1"/>
  <c r="AF314" i="1"/>
  <c r="AF528" i="1"/>
  <c r="AF522" i="1"/>
  <c r="AF258" i="1"/>
  <c r="AF162" i="1"/>
  <c r="AF111" i="1"/>
  <c r="AF68" i="1"/>
  <c r="AF284" i="1"/>
  <c r="AF166" i="1"/>
  <c r="AF158" i="1"/>
  <c r="AF393" i="1"/>
  <c r="AF254" i="1"/>
  <c r="AF422" i="1"/>
  <c r="AF139" i="1"/>
  <c r="AF169" i="1"/>
  <c r="AF385" i="1"/>
  <c r="AF410" i="1"/>
  <c r="AF446" i="1"/>
  <c r="AF231" i="1"/>
  <c r="AF60" i="1"/>
  <c r="AF519" i="1"/>
  <c r="AF382" i="1"/>
  <c r="AF500" i="1"/>
  <c r="AF396" i="1"/>
  <c r="AF534" i="1"/>
  <c r="AF399" i="1"/>
  <c r="AF425" i="1"/>
  <c r="AF414" i="1"/>
  <c r="AF351" i="1"/>
  <c r="AF243" i="1"/>
  <c r="AF237" i="1"/>
  <c r="AF458" i="1"/>
  <c r="AF40" i="1"/>
  <c r="AF172" i="1"/>
  <c r="AF4" i="1"/>
  <c r="AG4" i="1" s="1"/>
  <c r="AF527" i="1"/>
  <c r="AF380" i="1"/>
  <c r="AF118" i="1"/>
  <c r="AF255" i="1"/>
  <c r="AF521" i="1"/>
  <c r="AF121" i="1"/>
  <c r="AF117" i="1"/>
  <c r="AF340" i="1"/>
  <c r="AF53" i="1"/>
  <c r="AF475" i="1"/>
  <c r="AF417" i="1"/>
  <c r="AF424" i="1"/>
  <c r="AF270" i="1"/>
  <c r="AF36" i="1"/>
  <c r="AF526" i="1"/>
  <c r="AF364" i="1"/>
  <c r="AF154" i="1"/>
  <c r="AF187" i="1"/>
  <c r="AF277" i="1"/>
  <c r="AF429" i="1"/>
  <c r="AF71" i="1"/>
  <c r="AF467" i="1"/>
  <c r="AF19" i="1"/>
  <c r="AF265" i="1"/>
  <c r="AF246" i="1"/>
  <c r="AF81" i="1"/>
  <c r="AF539" i="1"/>
  <c r="AF119" i="1"/>
  <c r="AF136" i="1"/>
  <c r="AF217" i="1"/>
  <c r="AF177" i="1"/>
  <c r="AF361" i="1"/>
  <c r="AF453" i="1"/>
  <c r="AF202" i="1"/>
  <c r="AF54" i="1"/>
  <c r="AF518" i="1"/>
  <c r="AF7" i="1"/>
  <c r="AF210" i="1"/>
  <c r="AF388" i="1"/>
  <c r="AF64" i="1"/>
  <c r="AF325" i="1"/>
  <c r="AF271" i="1"/>
  <c r="AF90" i="1"/>
  <c r="AF318" i="1"/>
  <c r="AG318" i="1" s="1"/>
  <c r="AF537" i="1"/>
  <c r="AF225" i="1"/>
  <c r="AF126" i="1"/>
  <c r="AF21" i="1"/>
  <c r="AF38" i="1"/>
  <c r="AF381" i="1"/>
  <c r="AF82" i="1"/>
  <c r="AF263" i="1"/>
  <c r="AF116" i="1"/>
  <c r="AF303" i="1"/>
  <c r="AF368" i="1"/>
  <c r="AF456" i="1"/>
  <c r="AF275" i="1"/>
  <c r="AF245" i="1"/>
  <c r="AF501" i="1"/>
  <c r="AF449" i="1"/>
  <c r="AF164" i="1"/>
  <c r="AF353" i="1"/>
  <c r="AF8" i="1"/>
  <c r="AF473" i="1"/>
  <c r="AF437" i="1"/>
  <c r="AF188" i="1"/>
  <c r="AF59" i="1"/>
  <c r="AF103" i="1"/>
  <c r="AF428" i="1"/>
  <c r="AF420" i="1"/>
  <c r="AF349" i="1"/>
  <c r="AF106" i="1"/>
  <c r="AF317" i="1"/>
  <c r="AG317" i="1" s="1"/>
  <c r="AF182" i="1"/>
  <c r="AF56" i="1"/>
  <c r="AF280" i="1"/>
  <c r="AF257" i="1"/>
  <c r="AF535" i="1"/>
  <c r="AF61" i="1"/>
  <c r="AF316" i="1"/>
  <c r="AG316" i="1" s="1"/>
  <c r="AF308" i="1"/>
  <c r="AF448" i="1"/>
  <c r="AF373" i="1"/>
  <c r="AF100" i="1"/>
  <c r="AF490" i="1"/>
  <c r="AF120" i="1"/>
  <c r="AF242" i="1"/>
  <c r="AF213" i="1"/>
  <c r="AF22" i="1"/>
  <c r="AF544" i="1"/>
  <c r="AF285" i="1"/>
  <c r="AF204" i="1"/>
  <c r="AF405" i="1"/>
  <c r="AF409" i="1"/>
  <c r="AF156" i="1"/>
  <c r="AF84" i="1"/>
  <c r="AF129" i="1"/>
  <c r="AF313" i="1"/>
  <c r="AF230" i="1"/>
  <c r="AF93" i="1"/>
  <c r="AF460" i="1"/>
  <c r="AF151" i="1"/>
  <c r="AF512" i="1"/>
  <c r="AF457" i="1"/>
  <c r="AF206" i="1"/>
  <c r="AF486" i="1"/>
  <c r="AF123" i="1"/>
  <c r="AF462" i="1"/>
  <c r="AF137" i="1"/>
  <c r="AG137" i="1" s="1"/>
  <c r="AF223" i="1"/>
  <c r="AF407" i="1"/>
  <c r="AF307" i="1"/>
  <c r="AF176" i="1"/>
  <c r="AF391" i="1"/>
  <c r="AF72" i="1"/>
  <c r="AF266" i="1"/>
  <c r="AF75" i="1"/>
  <c r="AF442" i="1"/>
  <c r="AF221" i="1"/>
  <c r="AF14" i="1"/>
  <c r="AF267" i="1"/>
  <c r="AF355" i="1"/>
  <c r="AF347" i="1"/>
  <c r="AF288" i="1"/>
  <c r="AG288" i="1" s="1"/>
  <c r="AF272" i="1"/>
  <c r="AF179" i="1"/>
  <c r="AF43" i="1"/>
  <c r="AF113" i="1"/>
  <c r="AF261" i="1"/>
  <c r="AF185" i="1"/>
  <c r="AF454" i="1"/>
  <c r="AF362" i="1"/>
  <c r="AF25" i="1"/>
  <c r="AF102" i="1"/>
  <c r="AF276" i="1"/>
  <c r="AF363" i="1"/>
  <c r="AF218" i="1"/>
  <c r="AF532" i="1"/>
  <c r="AF114" i="1"/>
  <c r="AG114" i="1" s="1"/>
  <c r="AF165" i="1"/>
  <c r="AF306" i="1"/>
  <c r="AF431" i="1"/>
  <c r="AF302" i="1"/>
  <c r="AG302" i="1" s="1"/>
  <c r="AF50" i="1"/>
  <c r="AF233" i="1"/>
  <c r="AF293" i="1"/>
  <c r="AF16" i="1"/>
  <c r="AF494" i="1"/>
  <c r="AF183" i="1"/>
  <c r="AF186" i="1"/>
  <c r="AF301" i="1"/>
  <c r="AG301" i="1" s="1"/>
  <c r="AF3" i="1"/>
  <c r="AF543" i="1"/>
  <c r="AF149" i="1"/>
  <c r="AF45" i="1"/>
  <c r="AF483" i="1"/>
  <c r="AF485" i="1"/>
  <c r="AF502" i="1"/>
  <c r="AF434" i="1"/>
  <c r="AF49" i="1"/>
  <c r="AF481" i="1"/>
  <c r="AF328" i="1"/>
  <c r="AF107" i="1"/>
  <c r="AF337" i="1"/>
  <c r="AF333" i="1"/>
  <c r="AF489" i="1"/>
  <c r="AF282" i="1"/>
  <c r="AG282" i="1" s="1"/>
  <c r="AF253" i="1"/>
  <c r="AF379" i="1"/>
  <c r="AF70" i="1"/>
  <c r="AF240" i="1"/>
  <c r="AF406" i="1"/>
  <c r="AF160" i="1"/>
  <c r="AF78" i="1"/>
  <c r="AF482" i="1"/>
  <c r="AF492" i="1"/>
  <c r="AF331" i="1"/>
  <c r="AF439" i="1"/>
  <c r="AF27" i="1"/>
  <c r="AF530" i="1"/>
  <c r="AF297" i="1"/>
  <c r="AF438" i="1"/>
  <c r="AF256" i="1"/>
  <c r="AF76" i="1"/>
  <c r="AF415" i="1"/>
  <c r="AF451" i="1"/>
  <c r="AF175" i="1"/>
  <c r="AF44" i="1"/>
  <c r="AF142" i="1"/>
  <c r="AF134" i="1"/>
  <c r="AF46" i="1"/>
  <c r="AF505" i="1"/>
  <c r="AF291" i="1"/>
  <c r="AG291" i="1" s="1"/>
  <c r="AF390" i="1"/>
  <c r="AF2" i="1"/>
  <c r="AG2" i="1" s="1"/>
  <c r="AF312" i="1"/>
  <c r="AG312" i="1" s="1"/>
  <c r="AF268" i="1"/>
  <c r="AF472" i="1"/>
  <c r="AF506" i="1"/>
  <c r="AF455" i="1"/>
  <c r="AF234" i="1"/>
  <c r="AF41" i="1"/>
  <c r="AF358" i="1"/>
  <c r="AF152" i="1"/>
  <c r="AF42" i="1"/>
  <c r="AF251" i="1"/>
  <c r="AF143" i="1"/>
  <c r="AF480" i="1"/>
  <c r="AF343" i="1"/>
  <c r="AG343" i="1" s="1"/>
  <c r="AF515" i="1"/>
  <c r="AF423" i="1"/>
  <c r="AF167" i="1"/>
  <c r="AF464" i="1"/>
  <c r="AF11" i="1"/>
  <c r="AF491" i="1"/>
  <c r="AF517" i="1"/>
  <c r="AF74" i="1"/>
  <c r="AF161" i="1"/>
  <c r="AF105" i="1"/>
  <c r="AF30" i="1"/>
  <c r="AF433" i="1"/>
  <c r="AF466" i="1"/>
  <c r="AF95" i="1"/>
  <c r="AF499" i="1"/>
  <c r="AF198" i="1"/>
  <c r="AF400" i="1"/>
  <c r="AF12" i="1"/>
  <c r="AF92" i="1"/>
  <c r="AF262" i="1"/>
  <c r="AF124" i="1"/>
  <c r="AF344" i="1"/>
  <c r="AG344" i="1" s="1"/>
  <c r="AF104" i="1"/>
  <c r="AF226" i="1"/>
  <c r="AF542" i="1"/>
  <c r="AF395" i="1"/>
  <c r="AF529" i="1"/>
  <c r="AF259" i="1"/>
  <c r="AF115" i="1"/>
  <c r="AF350" i="1"/>
  <c r="AF63" i="1"/>
  <c r="AF153" i="1"/>
  <c r="AF80" i="1"/>
  <c r="AF357" i="1"/>
  <c r="AF87" i="1"/>
  <c r="AF498" i="1"/>
  <c r="AF205" i="1"/>
  <c r="AF375" i="1"/>
  <c r="AF338" i="1"/>
  <c r="AG338" i="1" s="1"/>
  <c r="AF495" i="1"/>
  <c r="AF289" i="1"/>
  <c r="AG289" i="1" s="1"/>
  <c r="AF387" i="1"/>
  <c r="AF327" i="1"/>
  <c r="AF461" i="1"/>
  <c r="AF86" i="1"/>
  <c r="AF108" i="1"/>
  <c r="AF32" i="1"/>
  <c r="AG32" i="1" s="1"/>
  <c r="AF219" i="1"/>
  <c r="AF170" i="1"/>
  <c r="AF474" i="1"/>
  <c r="AF299" i="1"/>
  <c r="AG299" i="1" s="1"/>
  <c r="AF128" i="1"/>
  <c r="AF211" i="1"/>
  <c r="AF184" i="1"/>
  <c r="AF163" i="1"/>
  <c r="AF504" i="1"/>
  <c r="AF369" i="1"/>
  <c r="AF418" i="1"/>
  <c r="AF194" i="1"/>
  <c r="AF15" i="1"/>
  <c r="AF541" i="1"/>
  <c r="AF524" i="1"/>
  <c r="AF441" i="1"/>
  <c r="AF386" i="1"/>
  <c r="AF283" i="1"/>
  <c r="AF264" i="1"/>
  <c r="AF469" i="1"/>
  <c r="AF510" i="1"/>
  <c r="AF209" i="1"/>
  <c r="AF249" i="1"/>
  <c r="AF178" i="1"/>
  <c r="AF470" i="1"/>
  <c r="AF144" i="1"/>
  <c r="AF384" i="1"/>
  <c r="AF212" i="1"/>
  <c r="AF459" i="1"/>
  <c r="AF24" i="1"/>
  <c r="AF222" i="1"/>
  <c r="AF374" i="1"/>
  <c r="AF305" i="1"/>
  <c r="AF191" i="1"/>
  <c r="AF232" i="1"/>
  <c r="AF484" i="1"/>
  <c r="AF513" i="1"/>
  <c r="AF207" i="1"/>
  <c r="AF199" i="1"/>
  <c r="AF181" i="1"/>
  <c r="AF332" i="1"/>
  <c r="AF244" i="1"/>
  <c r="AF339" i="1"/>
  <c r="AG339" i="1" s="1"/>
  <c r="AF345" i="1"/>
  <c r="AG345" i="1" s="1"/>
  <c r="AF150" i="1"/>
  <c r="AF35" i="1"/>
  <c r="AG35" i="1" s="1"/>
  <c r="AF147" i="1"/>
  <c r="AF421" i="1"/>
  <c r="AF520" i="1"/>
  <c r="AF33" i="1"/>
  <c r="AF37" i="1"/>
  <c r="AG37" i="1" s="1"/>
  <c r="AF189" i="1"/>
  <c r="AF435" i="1"/>
  <c r="AF201" i="1"/>
  <c r="AF427" i="1"/>
  <c r="AF430" i="1"/>
  <c r="AF94" i="1"/>
  <c r="AF346" i="1"/>
  <c r="AF97" i="1"/>
  <c r="AF465" i="1"/>
  <c r="AF228" i="1"/>
  <c r="AF436" i="1"/>
  <c r="AF311" i="1"/>
  <c r="AF443" i="1"/>
  <c r="AF440" i="1"/>
  <c r="AF493" i="1"/>
  <c r="AF5" i="1"/>
  <c r="AF447" i="1"/>
  <c r="AF413" i="1"/>
  <c r="AF286" i="1"/>
  <c r="AF320" i="1"/>
  <c r="AG320" i="1" s="1"/>
  <c r="AF296" i="1"/>
  <c r="AG296" i="1" s="1"/>
  <c r="AF67" i="1"/>
  <c r="AF140" i="1"/>
  <c r="AF401" i="1"/>
  <c r="AF321" i="1"/>
  <c r="W289" i="1"/>
  <c r="X289" i="1" s="1"/>
  <c r="W66" i="1"/>
  <c r="W380" i="1"/>
  <c r="W159" i="1"/>
  <c r="W542" i="1"/>
  <c r="W270" i="1"/>
  <c r="W409" i="1"/>
  <c r="W430" i="1"/>
  <c r="W221" i="1"/>
  <c r="W167" i="1"/>
  <c r="W348" i="1"/>
  <c r="W190" i="1"/>
  <c r="W523" i="1"/>
  <c r="W304" i="1"/>
  <c r="W2" i="1"/>
  <c r="X2" i="1" s="1"/>
  <c r="W525" i="1"/>
  <c r="W471" i="1"/>
  <c r="W490" i="1"/>
  <c r="W352" i="1"/>
  <c r="W445" i="1"/>
  <c r="W102" i="1"/>
  <c r="W37" i="1"/>
  <c r="X37" i="1" s="1"/>
  <c r="W198" i="1"/>
  <c r="W282" i="1"/>
  <c r="X282" i="1" s="1"/>
  <c r="W43" i="1"/>
  <c r="W86" i="1"/>
  <c r="W479" i="1"/>
  <c r="W378" i="1"/>
  <c r="W410" i="1"/>
  <c r="W35" i="1"/>
  <c r="X35" i="1" s="1"/>
  <c r="W156" i="1"/>
  <c r="W161" i="1"/>
  <c r="W395" i="1"/>
  <c r="W13" i="1"/>
  <c r="W319" i="1"/>
  <c r="X319" i="1" s="1"/>
  <c r="W6" i="1"/>
  <c r="X6" i="1" s="1"/>
  <c r="W274" i="1"/>
  <c r="W8" i="1"/>
  <c r="W32" i="1"/>
  <c r="X32" i="1" s="1"/>
  <c r="W327" i="1"/>
  <c r="W246" i="1"/>
  <c r="W258" i="1"/>
  <c r="W394" i="1"/>
  <c r="W425" i="1"/>
  <c r="W199" i="1"/>
  <c r="W197" i="1"/>
  <c r="W80" i="1"/>
  <c r="W50" i="1"/>
  <c r="W260" i="1"/>
  <c r="W163" i="1"/>
  <c r="W422" i="1"/>
  <c r="W299" i="1"/>
  <c r="W529" i="1"/>
  <c r="W62" i="1"/>
  <c r="W25" i="1"/>
  <c r="W520" i="1"/>
  <c r="W257" i="1"/>
  <c r="W415" i="1"/>
  <c r="W473" i="1"/>
  <c r="W280" i="1"/>
  <c r="W343" i="1"/>
  <c r="W227" i="1"/>
  <c r="W79" i="1"/>
  <c r="W447" i="1"/>
  <c r="W61" i="1"/>
  <c r="W347" i="1"/>
  <c r="W346" i="1"/>
  <c r="W140" i="1"/>
  <c r="W458" i="1"/>
  <c r="W450" i="1"/>
  <c r="W48" i="1"/>
  <c r="W7" i="1"/>
  <c r="W478" i="1"/>
  <c r="W233" i="1"/>
  <c r="W200" i="1"/>
  <c r="W522" i="1"/>
  <c r="W165" i="1"/>
  <c r="W381" i="1"/>
  <c r="W421" i="1"/>
  <c r="W210" i="1"/>
  <c r="W110" i="1"/>
  <c r="W411" i="1"/>
  <c r="W82" i="1"/>
  <c r="W481" i="1"/>
  <c r="W483" i="1"/>
  <c r="W350" i="1"/>
  <c r="W306" i="1"/>
  <c r="W123" i="1"/>
  <c r="W340" i="1"/>
  <c r="W362" i="1"/>
  <c r="W277" i="1"/>
  <c r="W417" i="1"/>
  <c r="W147" i="1"/>
  <c r="W51" i="1"/>
  <c r="W213" i="1"/>
  <c r="W119" i="1"/>
  <c r="W323" i="1"/>
  <c r="W290" i="1"/>
  <c r="X290" i="1" s="1"/>
  <c r="W115" i="1"/>
  <c r="W178" i="1"/>
  <c r="W107" i="1"/>
  <c r="W370" i="1"/>
  <c r="W372" i="1"/>
  <c r="W106" i="1"/>
  <c r="W254" i="1"/>
  <c r="W465" i="1"/>
  <c r="W510" i="1"/>
  <c r="W402" i="1"/>
  <c r="W426" i="1"/>
  <c r="W341" i="1"/>
  <c r="X341" i="1" s="1"/>
  <c r="W452" i="1"/>
  <c r="W392" i="1"/>
  <c r="W434" i="1"/>
  <c r="W145" i="1"/>
  <c r="W288" i="1"/>
  <c r="X288" i="1" s="1"/>
  <c r="W10" i="1"/>
  <c r="X10" i="1" s="1"/>
  <c r="W466" i="1"/>
  <c r="W222" i="1"/>
  <c r="W467" i="1"/>
  <c r="W130" i="1"/>
  <c r="W418" i="1"/>
  <c r="W303" i="1"/>
  <c r="W391" i="1"/>
  <c r="W240" i="1"/>
  <c r="W491" i="1"/>
  <c r="W93" i="1"/>
  <c r="W349" i="1"/>
  <c r="W186" i="1"/>
  <c r="W320" i="1"/>
  <c r="W373" i="1"/>
  <c r="W314" i="1"/>
  <c r="W188" i="1"/>
  <c r="W208" i="1"/>
  <c r="W451" i="1"/>
  <c r="W420" i="1"/>
  <c r="W408" i="1"/>
  <c r="W339" i="1"/>
  <c r="W47" i="1"/>
  <c r="W278" i="1"/>
  <c r="W56" i="1"/>
  <c r="W128" i="1"/>
  <c r="W376" i="1"/>
  <c r="W182" i="1"/>
  <c r="W454" i="1"/>
  <c r="W83" i="1"/>
  <c r="W388" i="1"/>
  <c r="W398" i="1"/>
  <c r="W212" i="1"/>
  <c r="W443" i="1"/>
  <c r="W268" i="1"/>
  <c r="W406" i="1"/>
  <c r="W18" i="1"/>
  <c r="X18" i="1" s="1"/>
  <c r="W259" i="1"/>
  <c r="W511" i="1"/>
  <c r="W305" i="1"/>
  <c r="W309" i="1"/>
  <c r="X309" i="1" s="1"/>
  <c r="W329" i="1"/>
  <c r="W533" i="1"/>
  <c r="W459" i="1"/>
  <c r="W34" i="1"/>
  <c r="X34" i="1" s="1"/>
  <c r="W202" i="1"/>
  <c r="W193" i="1"/>
  <c r="W54" i="1"/>
  <c r="W162" i="1"/>
  <c r="W332" i="1"/>
  <c r="W527" i="1"/>
  <c r="W3" i="1"/>
  <c r="X3" i="1" s="1"/>
  <c r="W229" i="1"/>
  <c r="W14" i="1"/>
  <c r="W504" i="1"/>
  <c r="W248" i="1"/>
  <c r="W419" i="1"/>
  <c r="W152" i="1"/>
  <c r="W181" i="1"/>
  <c r="W40" i="1"/>
  <c r="X40" i="1" s="1"/>
  <c r="W65" i="1"/>
  <c r="W75" i="1"/>
  <c r="W390" i="1"/>
  <c r="W412" i="1"/>
  <c r="W27" i="1"/>
  <c r="W158" i="1"/>
  <c r="W118" i="1"/>
  <c r="W142" i="1"/>
  <c r="W283" i="1"/>
  <c r="W468" i="1"/>
  <c r="W36" i="1"/>
  <c r="X36" i="1" s="1"/>
  <c r="W488" i="1"/>
  <c r="W122" i="1"/>
  <c r="W495" i="1"/>
  <c r="W184" i="1"/>
  <c r="W53" i="1"/>
  <c r="W512" i="1"/>
  <c r="W470" i="1"/>
  <c r="W518" i="1"/>
  <c r="W367" i="1"/>
  <c r="W293" i="1"/>
  <c r="W456" i="1"/>
  <c r="W486" i="1"/>
  <c r="W218" i="1"/>
  <c r="W23" i="1"/>
  <c r="W255" i="1"/>
  <c r="W112" i="1"/>
  <c r="W177" i="1"/>
  <c r="W414" i="1"/>
  <c r="W291" i="1"/>
  <c r="W342" i="1"/>
  <c r="X342" i="1" s="1"/>
  <c r="W344" i="1"/>
  <c r="X344" i="1" s="1"/>
  <c r="W180" i="1"/>
  <c r="W307" i="1"/>
  <c r="W275" i="1"/>
  <c r="W174" i="1"/>
  <c r="W423" i="1"/>
  <c r="W540" i="1"/>
  <c r="W507" i="1"/>
  <c r="W405" i="1"/>
  <c r="W116" i="1"/>
  <c r="W41" i="1"/>
  <c r="X41" i="1" s="1"/>
  <c r="W46" i="1"/>
  <c r="W530" i="1"/>
  <c r="W155" i="1"/>
  <c r="W31" i="1"/>
  <c r="X31" i="1" s="1"/>
  <c r="W365" i="1"/>
  <c r="W126" i="1"/>
  <c r="W321" i="1"/>
  <c r="W374" i="1"/>
  <c r="W544" i="1"/>
  <c r="W201" i="1"/>
  <c r="W448" i="1"/>
  <c r="W20" i="1"/>
  <c r="X20" i="1" s="1"/>
  <c r="W404" i="1"/>
  <c r="W55" i="1"/>
  <c r="W11" i="1"/>
  <c r="W384" i="1"/>
  <c r="W506" i="1"/>
  <c r="W189" i="1"/>
  <c r="W359" i="1"/>
  <c r="W528" i="1"/>
  <c r="W64" i="1"/>
  <c r="W81" i="1"/>
  <c r="W379" i="1"/>
  <c r="W226" i="1"/>
  <c r="W515" i="1"/>
  <c r="W33" i="1"/>
  <c r="X33" i="1" s="1"/>
  <c r="W345" i="1"/>
  <c r="X345" i="1" s="1"/>
  <c r="W427" i="1"/>
  <c r="W271" i="1"/>
  <c r="W519" i="1"/>
  <c r="W166" i="1"/>
  <c r="W71" i="1"/>
  <c r="W26" i="1"/>
  <c r="W141" i="1"/>
  <c r="W236" i="1"/>
  <c r="W44" i="1"/>
  <c r="W482" i="1"/>
  <c r="W485" i="1"/>
  <c r="W124" i="1"/>
  <c r="W28" i="1"/>
  <c r="X28" i="1" s="1"/>
  <c r="W207" i="1"/>
  <c r="W537" i="1"/>
  <c r="W131" i="1"/>
  <c r="W442" i="1"/>
  <c r="W285" i="1"/>
  <c r="X285" i="1" s="1"/>
  <c r="W168" i="1"/>
  <c r="W313" i="1"/>
  <c r="W457" i="1"/>
  <c r="W214" i="1"/>
  <c r="W403" i="1"/>
  <c r="W337" i="1"/>
  <c r="W301" i="1"/>
  <c r="W476" i="1"/>
  <c r="W108" i="1"/>
  <c r="W153" i="1"/>
  <c r="W474" i="1"/>
  <c r="W195" i="1"/>
  <c r="W310" i="1"/>
  <c r="X310" i="1" s="1"/>
  <c r="W315" i="1"/>
  <c r="W203" i="1"/>
  <c r="W69" i="1"/>
  <c r="W377" i="1"/>
  <c r="W113" i="1"/>
  <c r="W244" i="1"/>
  <c r="W139" i="1"/>
  <c r="W266" i="1"/>
  <c r="W311" i="1"/>
  <c r="W256" i="1"/>
  <c r="W117" i="1"/>
  <c r="W144" i="1"/>
  <c r="W269" i="1"/>
  <c r="W109" i="1"/>
  <c r="W502" i="1"/>
  <c r="W484" i="1"/>
  <c r="W532" i="1"/>
  <c r="W524" i="1"/>
  <c r="W242" i="1"/>
  <c r="W397" i="1"/>
  <c r="W120" i="1"/>
  <c r="W151" i="1"/>
  <c r="W154" i="1"/>
  <c r="W57" i="1"/>
  <c r="W4" i="1"/>
  <c r="X4" i="1" s="1"/>
  <c r="W538" i="1"/>
  <c r="W143" i="1"/>
  <c r="W493" i="1"/>
  <c r="W100" i="1"/>
  <c r="W96" i="1"/>
  <c r="W292" i="1"/>
  <c r="W157" i="1"/>
  <c r="W265" i="1"/>
  <c r="W371" i="1"/>
  <c r="W386" i="1"/>
  <c r="W245" i="1"/>
  <c r="W217" i="1"/>
  <c r="W393" i="1"/>
  <c r="W67" i="1"/>
  <c r="W249" i="1"/>
  <c r="W273" i="1"/>
  <c r="W264" i="1"/>
  <c r="W383" i="1"/>
  <c r="W138" i="1"/>
  <c r="W220" i="1"/>
  <c r="W237" i="1"/>
  <c r="W59" i="1"/>
  <c r="W325" i="1"/>
  <c r="W382" i="1"/>
  <c r="W204" i="1"/>
  <c r="W449" i="1"/>
  <c r="W298" i="1"/>
  <c r="W462" i="1"/>
  <c r="W324" i="1"/>
  <c r="W300" i="1"/>
  <c r="W326" i="1"/>
  <c r="W503" i="1"/>
  <c r="W60" i="1"/>
  <c r="W206" i="1"/>
  <c r="W92" i="1"/>
  <c r="W505" i="1"/>
  <c r="W238" i="1"/>
  <c r="W239" i="1"/>
  <c r="W85" i="1"/>
  <c r="W95" i="1"/>
  <c r="W74" i="1"/>
  <c r="W356" i="1"/>
  <c r="W150" i="1"/>
  <c r="W428" i="1"/>
  <c r="W172" i="1"/>
  <c r="W135" i="1"/>
  <c r="W191" i="1"/>
  <c r="W9" i="1"/>
  <c r="W535" i="1"/>
  <c r="W137" i="1"/>
  <c r="W436" i="1"/>
  <c r="W89" i="1"/>
  <c r="W97" i="1"/>
  <c r="W78" i="1"/>
  <c r="W196" i="1"/>
  <c r="W499" i="1"/>
  <c r="W357" i="1"/>
  <c r="W439" i="1"/>
  <c r="W437" i="1"/>
  <c r="W440" i="1"/>
  <c r="W72" i="1"/>
  <c r="W88" i="1"/>
  <c r="W322" i="1"/>
  <c r="W460" i="1"/>
  <c r="W279" i="1"/>
  <c r="W133" i="1"/>
  <c r="W5" i="1"/>
  <c r="X5" i="1" s="1"/>
  <c r="W187" i="1"/>
  <c r="W171" i="1"/>
  <c r="W223" i="1"/>
  <c r="W368" i="1"/>
  <c r="W492" i="1"/>
  <c r="W241" i="1"/>
  <c r="W295" i="1"/>
  <c r="W375" i="1"/>
  <c r="W501" i="1"/>
  <c r="W99" i="1"/>
  <c r="W469" i="1"/>
  <c r="W251" i="1"/>
  <c r="W455" i="1"/>
  <c r="W472" i="1"/>
  <c r="W286" i="1"/>
  <c r="W416" i="1"/>
  <c r="W494" i="1"/>
  <c r="W183" i="1"/>
  <c r="W336" i="1"/>
  <c r="W90" i="1"/>
  <c r="W160" i="1"/>
  <c r="W429" i="1"/>
  <c r="W496" i="1"/>
  <c r="W235" i="1"/>
  <c r="W185" i="1"/>
  <c r="W338" i="1"/>
  <c r="W463" i="1"/>
  <c r="W247" i="1"/>
  <c r="W497" i="1"/>
  <c r="W432" i="1"/>
  <c r="W498" i="1"/>
  <c r="W21" i="1"/>
  <c r="X21" i="1" s="1"/>
  <c r="W91" i="1"/>
  <c r="W351" i="1"/>
  <c r="W132" i="1"/>
  <c r="W516" i="1"/>
  <c r="W438" i="1"/>
  <c r="W545" i="1"/>
  <c r="W42" i="1"/>
  <c r="W480" i="1"/>
  <c r="W353" i="1"/>
  <c r="W149" i="1"/>
  <c r="W317" i="1"/>
  <c r="X317" i="1" s="1"/>
  <c r="W536" i="1"/>
  <c r="W287" i="1"/>
  <c r="X287" i="1" s="1"/>
  <c r="W389" i="1"/>
  <c r="W63" i="1"/>
  <c r="W534" i="1"/>
  <c r="W355" i="1"/>
  <c r="W39" i="1"/>
  <c r="X39" i="1" s="1"/>
  <c r="W73" i="1"/>
  <c r="W104" i="1"/>
  <c r="W446" i="1"/>
  <c r="W369" i="1"/>
  <c r="W136" i="1"/>
  <c r="W407" i="1"/>
  <c r="W173" i="1"/>
  <c r="W225" i="1"/>
  <c r="W331" i="1"/>
  <c r="W98" i="1"/>
  <c r="W461" i="1"/>
  <c r="W175" i="1"/>
  <c r="W29" i="1"/>
  <c r="X29" i="1" s="1"/>
  <c r="W318" i="1"/>
  <c r="X318" i="1" s="1"/>
  <c r="W231" i="1"/>
  <c r="W360" i="1"/>
  <c r="W252" i="1"/>
  <c r="W464" i="1"/>
  <c r="W294" i="1"/>
  <c r="W146" i="1"/>
  <c r="W335" i="1"/>
  <c r="W215" i="1"/>
  <c r="W192" i="1"/>
  <c r="W127" i="1"/>
  <c r="W134" i="1"/>
  <c r="W267" i="1"/>
  <c r="W333" i="1"/>
  <c r="W453" i="1"/>
  <c r="W94" i="1"/>
  <c r="W209" i="1"/>
  <c r="W508" i="1"/>
  <c r="W284" i="1"/>
  <c r="X284" i="1" s="1"/>
  <c r="W385" i="1"/>
  <c r="W148" i="1"/>
  <c r="W15" i="1"/>
  <c r="W45" i="1"/>
  <c r="W328" i="1"/>
  <c r="W129" i="1"/>
  <c r="W103" i="1"/>
  <c r="W334" i="1"/>
  <c r="W170" i="1"/>
  <c r="W216" i="1"/>
  <c r="W302" i="1"/>
  <c r="W219" i="1"/>
  <c r="W17" i="1"/>
  <c r="X17" i="1" s="1"/>
  <c r="W211" i="1"/>
  <c r="W330" i="1"/>
  <c r="W125" i="1"/>
  <c r="W164" i="1"/>
  <c r="W232" i="1"/>
  <c r="W30" i="1"/>
  <c r="X30" i="1" s="1"/>
  <c r="W424" i="1"/>
  <c r="W253" i="1"/>
  <c r="W354" i="1"/>
  <c r="W16" i="1"/>
  <c r="W169" i="1"/>
  <c r="W441" i="1"/>
  <c r="W114" i="1"/>
  <c r="W509" i="1"/>
  <c r="W435" i="1"/>
  <c r="W263" i="1"/>
  <c r="W358" i="1"/>
  <c r="W401" i="1"/>
  <c r="W308" i="1"/>
  <c r="W475" i="1"/>
  <c r="W261" i="1"/>
  <c r="W500" i="1"/>
  <c r="W526" i="1"/>
  <c r="W272" i="1"/>
  <c r="W396" i="1"/>
  <c r="W296" i="1"/>
  <c r="W431" i="1"/>
  <c r="W513" i="1"/>
  <c r="W477" i="1"/>
  <c r="W281" i="1"/>
  <c r="W387" i="1"/>
  <c r="W541" i="1"/>
  <c r="W176" i="1"/>
  <c r="W70" i="1"/>
  <c r="W230" i="1"/>
  <c r="W312" i="1"/>
  <c r="W224" i="1"/>
  <c r="W517" i="1"/>
  <c r="W543" i="1"/>
  <c r="W514" i="1"/>
  <c r="W234" i="1"/>
  <c r="W68" i="1"/>
  <c r="W38" i="1"/>
  <c r="X38" i="1" s="1"/>
  <c r="W77" i="1"/>
  <c r="W101" i="1"/>
  <c r="W19" i="1"/>
  <c r="X19" i="1" s="1"/>
  <c r="W243" i="1"/>
  <c r="W521" i="1"/>
  <c r="W316" i="1"/>
  <c r="W399" i="1"/>
  <c r="W297" i="1"/>
  <c r="W52" i="1"/>
  <c r="W361" i="1"/>
  <c r="W433" i="1"/>
  <c r="W84" i="1"/>
  <c r="W76" i="1"/>
  <c r="W179" i="1"/>
  <c r="W194" i="1"/>
  <c r="W539" i="1"/>
  <c r="W364" i="1"/>
  <c r="W205" i="1"/>
  <c r="W363" i="1"/>
  <c r="W87" i="1"/>
  <c r="W487" i="1"/>
  <c r="W413" i="1"/>
  <c r="W276" i="1"/>
  <c r="W531" i="1"/>
  <c r="W24" i="1"/>
  <c r="W121" i="1"/>
  <c r="W22" i="1"/>
  <c r="W49" i="1"/>
  <c r="W400" i="1"/>
  <c r="W105" i="1"/>
  <c r="W111" i="1"/>
  <c r="W250" i="1"/>
  <c r="W262" i="1"/>
  <c r="W366" i="1"/>
  <c r="W489" i="1"/>
  <c r="W444" i="1"/>
  <c r="W12" i="1"/>
  <c r="W228" i="1"/>
  <c r="AK14" i="1"/>
  <c r="Z2" i="1" s="1"/>
  <c r="AA2" i="1" s="1"/>
  <c r="AK10" i="1"/>
  <c r="AK15" i="1"/>
  <c r="AC2" i="1" s="1"/>
  <c r="AD2" i="1" s="1"/>
  <c r="T2" i="1" l="1"/>
  <c r="U2" i="1" s="1"/>
  <c r="Z351" i="1"/>
  <c r="AA351" i="1" s="1"/>
  <c r="Z162" i="1"/>
  <c r="AA162" i="1" s="1"/>
  <c r="Z344" i="1"/>
  <c r="AA344" i="1" s="1"/>
  <c r="Z343" i="1"/>
  <c r="AA343" i="1" s="1"/>
  <c r="Z198" i="1"/>
  <c r="AA198" i="1" s="1"/>
  <c r="Z342" i="1"/>
  <c r="AA342" i="1" s="1"/>
  <c r="Z244" i="1"/>
  <c r="AA244" i="1" s="1"/>
  <c r="Z152" i="1"/>
  <c r="AA152" i="1" s="1"/>
  <c r="Z200" i="1"/>
  <c r="AA200" i="1" s="1"/>
  <c r="Z356" i="1"/>
  <c r="AA356" i="1" s="1"/>
  <c r="Z341" i="1"/>
  <c r="AA341" i="1" s="1"/>
  <c r="Z357" i="1"/>
  <c r="AA357" i="1" s="1"/>
  <c r="Z208" i="1"/>
  <c r="AA208" i="1" s="1"/>
  <c r="Z242" i="1"/>
  <c r="AA242" i="1" s="1"/>
  <c r="Z241" i="1"/>
  <c r="AA241" i="1" s="1"/>
  <c r="Z232" i="1"/>
  <c r="AA232" i="1" s="1"/>
  <c r="Z255" i="1"/>
  <c r="AA255" i="1" s="1"/>
  <c r="Z350" i="1"/>
  <c r="AA350" i="1" s="1"/>
  <c r="Z191" i="1"/>
  <c r="AA191" i="1" s="1"/>
  <c r="Z349" i="1"/>
  <c r="AA349" i="1" s="1"/>
  <c r="Z229" i="1"/>
  <c r="AA229" i="1" s="1"/>
  <c r="Z358" i="1"/>
  <c r="AA358" i="1" s="1"/>
  <c r="Z195" i="1"/>
  <c r="AA195" i="1" s="1"/>
  <c r="Z340" i="1"/>
  <c r="AA340" i="1" s="1"/>
  <c r="Z249" i="1"/>
  <c r="AA249" i="1" s="1"/>
  <c r="Z205" i="1"/>
  <c r="AA205" i="1" s="1"/>
  <c r="Z192" i="1"/>
  <c r="AA192" i="1" s="1"/>
  <c r="Z239" i="1"/>
  <c r="AA239" i="1" s="1"/>
  <c r="Z348" i="1"/>
  <c r="AA348" i="1" s="1"/>
  <c r="Z173" i="1"/>
  <c r="AA173" i="1" s="1"/>
  <c r="Z355" i="1"/>
  <c r="AA355" i="1" s="1"/>
  <c r="Z248" i="1"/>
  <c r="AA248" i="1" s="1"/>
  <c r="Z354" i="1"/>
  <c r="AA354" i="1" s="1"/>
  <c r="Z347" i="1"/>
  <c r="AA347" i="1" s="1"/>
  <c r="Z359" i="1"/>
  <c r="AA359" i="1" s="1"/>
  <c r="Z353" i="1"/>
  <c r="AA353" i="1" s="1"/>
  <c r="Z346" i="1"/>
  <c r="AA346" i="1" s="1"/>
  <c r="Z204" i="1"/>
  <c r="AA204" i="1" s="1"/>
  <c r="Z235" i="1"/>
  <c r="AA235" i="1" s="1"/>
  <c r="Z352" i="1"/>
  <c r="AA352" i="1" s="1"/>
  <c r="Z345" i="1"/>
  <c r="AA345" i="1" s="1"/>
  <c r="Z202" i="1"/>
  <c r="AA202" i="1" s="1"/>
  <c r="AC535" i="1"/>
  <c r="AD535" i="1" s="1"/>
  <c r="AC481" i="1"/>
  <c r="AD481" i="1" s="1"/>
  <c r="AC492" i="1"/>
  <c r="AD492" i="1" s="1"/>
  <c r="AC382" i="1"/>
  <c r="AD382" i="1" s="1"/>
  <c r="AC494" i="1"/>
  <c r="AD494" i="1" s="1"/>
  <c r="AC482" i="1"/>
  <c r="AD482" i="1" s="1"/>
  <c r="AC213" i="1"/>
  <c r="AD213" i="1" s="1"/>
  <c r="AC149" i="1"/>
  <c r="AD149" i="1" s="1"/>
  <c r="AC187" i="1"/>
  <c r="AD187" i="1" s="1"/>
  <c r="AC493" i="1"/>
  <c r="AD493" i="1" s="1"/>
  <c r="AC118" i="1"/>
  <c r="AD118" i="1" s="1"/>
  <c r="AC183" i="1"/>
  <c r="AD183" i="1" s="1"/>
  <c r="AC268" i="1"/>
  <c r="AD268" i="1" s="1"/>
  <c r="AC280" i="1"/>
  <c r="AD280" i="1" s="1"/>
  <c r="AC480" i="1"/>
  <c r="AD480" i="1" s="1"/>
  <c r="AC113" i="1"/>
  <c r="AD113" i="1" s="1"/>
  <c r="AC282" i="1"/>
  <c r="AD282" i="1" s="1"/>
  <c r="AC144" i="1"/>
  <c r="AD144" i="1" s="1"/>
  <c r="AC81" i="1"/>
  <c r="AD81" i="1" s="1"/>
  <c r="AC488" i="1"/>
  <c r="AD488" i="1" s="1"/>
  <c r="T247" i="1"/>
  <c r="U247" i="1" s="1"/>
  <c r="AC77" i="1"/>
  <c r="AD77" i="1" s="1"/>
  <c r="AC168" i="1"/>
  <c r="AD168" i="1" s="1"/>
  <c r="T406" i="1"/>
  <c r="U406" i="1" s="1"/>
  <c r="AC104" i="1"/>
  <c r="AD104" i="1" s="1"/>
  <c r="AC487" i="1"/>
  <c r="AD487" i="1" s="1"/>
  <c r="T358" i="1"/>
  <c r="U358" i="1" s="1"/>
  <c r="AC99" i="1"/>
  <c r="AD99" i="1" s="1"/>
  <c r="AC69" i="1"/>
  <c r="AD69" i="1" s="1"/>
  <c r="AC15" i="1"/>
  <c r="AD15" i="1" s="1"/>
  <c r="T242" i="1"/>
  <c r="U242" i="1" s="1"/>
  <c r="AC56" i="1"/>
  <c r="AD56" i="1" s="1"/>
  <c r="AC428" i="1"/>
  <c r="AD428" i="1" s="1"/>
  <c r="AC486" i="1"/>
  <c r="AD486" i="1" s="1"/>
  <c r="T396" i="1"/>
  <c r="U396" i="1" s="1"/>
  <c r="AC91" i="1"/>
  <c r="AD91" i="1" s="1"/>
  <c r="AC63" i="1"/>
  <c r="AD63" i="1" s="1"/>
  <c r="AC279" i="1"/>
  <c r="AD279" i="1" s="1"/>
  <c r="T357" i="1"/>
  <c r="U357" i="1" s="1"/>
  <c r="AC100" i="1"/>
  <c r="AD100" i="1" s="1"/>
  <c r="AC71" i="1"/>
  <c r="AD71" i="1" s="1"/>
  <c r="AC522" i="1"/>
  <c r="AD522" i="1" s="1"/>
  <c r="AC61" i="1"/>
  <c r="AD61" i="1" s="1"/>
  <c r="AC485" i="1"/>
  <c r="AD485" i="1" s="1"/>
  <c r="AC479" i="1"/>
  <c r="AD479" i="1" s="1"/>
  <c r="T240" i="1"/>
  <c r="U240" i="1" s="1"/>
  <c r="AC75" i="1"/>
  <c r="AD75" i="1" s="1"/>
  <c r="AC531" i="1"/>
  <c r="AD531" i="1" s="1"/>
  <c r="AC171" i="1"/>
  <c r="AD171" i="1" s="1"/>
  <c r="T237" i="1"/>
  <c r="U237" i="1" s="1"/>
  <c r="AC491" i="1"/>
  <c r="AD491" i="1" s="1"/>
  <c r="AC88" i="1"/>
  <c r="AD88" i="1" s="1"/>
  <c r="AC97" i="1"/>
  <c r="AD97" i="1" s="1"/>
  <c r="AC96" i="1"/>
  <c r="AD96" i="1" s="1"/>
  <c r="AC425" i="1"/>
  <c r="AD425" i="1" s="1"/>
  <c r="AC163" i="1"/>
  <c r="AD163" i="1" s="1"/>
  <c r="T238" i="1"/>
  <c r="U238" i="1" s="1"/>
  <c r="AC94" i="1"/>
  <c r="AD94" i="1" s="1"/>
  <c r="AC53" i="1"/>
  <c r="AD53" i="1" s="1"/>
  <c r="AC490" i="1"/>
  <c r="AD490" i="1" s="1"/>
  <c r="AC484" i="1"/>
  <c r="AD484" i="1" s="1"/>
  <c r="T360" i="1"/>
  <c r="U360" i="1" s="1"/>
  <c r="T356" i="1"/>
  <c r="U356" i="1" s="1"/>
  <c r="AC447" i="1"/>
  <c r="AD447" i="1" s="1"/>
  <c r="AC147" i="1"/>
  <c r="AD147" i="1" s="1"/>
  <c r="AC52" i="1"/>
  <c r="AD52" i="1" s="1"/>
  <c r="AC276" i="1"/>
  <c r="AD276" i="1" s="1"/>
  <c r="T258" i="1"/>
  <c r="U258" i="1" s="1"/>
  <c r="AC68" i="1"/>
  <c r="AD68" i="1" s="1"/>
  <c r="AC495" i="1"/>
  <c r="AD495" i="1" s="1"/>
  <c r="AC489" i="1"/>
  <c r="AD489" i="1" s="1"/>
  <c r="AC483" i="1"/>
  <c r="AD483" i="1" s="1"/>
  <c r="T255" i="1"/>
  <c r="U255" i="1" s="1"/>
  <c r="T228" i="1"/>
  <c r="U228" i="1" s="1"/>
  <c r="AC60" i="1"/>
  <c r="AD60" i="1" s="1"/>
  <c r="AC83" i="1"/>
  <c r="AD83" i="1" s="1"/>
  <c r="AC34" i="1"/>
  <c r="AD34" i="1" s="1"/>
  <c r="AC281" i="1"/>
  <c r="AD281" i="1" s="1"/>
  <c r="AC161" i="1"/>
  <c r="AD161" i="1" s="1"/>
  <c r="T359" i="1"/>
  <c r="U359" i="1" s="1"/>
  <c r="T355" i="1"/>
  <c r="U355" i="1" s="1"/>
  <c r="T3" i="1"/>
  <c r="U3" i="1" s="1"/>
  <c r="T121" i="1"/>
  <c r="U121" i="1" s="1"/>
  <c r="T12" i="1"/>
  <c r="U12" i="1" s="1"/>
  <c r="T59" i="1"/>
  <c r="U59" i="1" s="1"/>
  <c r="T64" i="1"/>
  <c r="U64" i="1" s="1"/>
  <c r="T66" i="1"/>
  <c r="U66" i="1" s="1"/>
  <c r="T153" i="1"/>
  <c r="U153" i="1" s="1"/>
  <c r="T129" i="1"/>
  <c r="U129" i="1" s="1"/>
  <c r="T72" i="1"/>
  <c r="U72" i="1" s="1"/>
  <c r="T154" i="1"/>
  <c r="U154" i="1" s="1"/>
  <c r="T131" i="1"/>
  <c r="U131" i="1" s="1"/>
  <c r="T73" i="1"/>
  <c r="U73" i="1" s="1"/>
  <c r="T155" i="1"/>
  <c r="U155" i="1" s="1"/>
  <c r="T139" i="1"/>
  <c r="U139" i="1" s="1"/>
  <c r="T75" i="1"/>
  <c r="U75" i="1" s="1"/>
  <c r="T156" i="1"/>
  <c r="U156" i="1" s="1"/>
  <c r="T144" i="1"/>
  <c r="U144" i="1" s="1"/>
  <c r="T91" i="1"/>
  <c r="U91" i="1" s="1"/>
  <c r="T157" i="1"/>
  <c r="U157" i="1" s="1"/>
  <c r="T94" i="1"/>
  <c r="U94" i="1" s="1"/>
  <c r="T105" i="1"/>
  <c r="U105" i="1" s="1"/>
  <c r="T158" i="1"/>
  <c r="U158" i="1" s="1"/>
  <c r="T107" i="1"/>
  <c r="U107" i="1" s="1"/>
  <c r="T110" i="1"/>
  <c r="U110" i="1" s="1"/>
  <c r="T159" i="1"/>
  <c r="U159" i="1" s="1"/>
  <c r="T113" i="1"/>
  <c r="U113" i="1" s="1"/>
  <c r="T116" i="1"/>
  <c r="U116" i="1" s="1"/>
  <c r="T160" i="1"/>
  <c r="U160" i="1" s="1"/>
  <c r="T167" i="1"/>
  <c r="U167" i="1" s="1"/>
  <c r="T120" i="1"/>
  <c r="U120" i="1" s="1"/>
  <c r="T161" i="1"/>
  <c r="U161" i="1" s="1"/>
  <c r="T133" i="1"/>
  <c r="U133" i="1" s="1"/>
  <c r="T303" i="1"/>
  <c r="U303" i="1" s="1"/>
  <c r="T171" i="1"/>
  <c r="U171" i="1" s="1"/>
  <c r="T137" i="1"/>
  <c r="U137" i="1" s="1"/>
  <c r="T304" i="1"/>
  <c r="U304" i="1" s="1"/>
  <c r="T142" i="1"/>
  <c r="U142" i="1" s="1"/>
  <c r="T143" i="1"/>
  <c r="U143" i="1" s="1"/>
  <c r="T305" i="1"/>
  <c r="U305" i="1" s="1"/>
  <c r="T165" i="1"/>
  <c r="U165" i="1" s="1"/>
  <c r="T178" i="1"/>
  <c r="U178" i="1" s="1"/>
  <c r="T306" i="1"/>
  <c r="U306" i="1" s="1"/>
  <c r="T185" i="1"/>
  <c r="U185" i="1" s="1"/>
  <c r="T187" i="1"/>
  <c r="U187" i="1" s="1"/>
  <c r="T307" i="1"/>
  <c r="U307" i="1" s="1"/>
  <c r="T23" i="1"/>
  <c r="U23" i="1" s="1"/>
  <c r="T26" i="1"/>
  <c r="U26" i="1" s="1"/>
  <c r="T308" i="1"/>
  <c r="U308" i="1" s="1"/>
  <c r="T57" i="1"/>
  <c r="U57" i="1" s="1"/>
  <c r="T67" i="1"/>
  <c r="U67" i="1" s="1"/>
  <c r="T309" i="1"/>
  <c r="U309" i="1" s="1"/>
  <c r="T198" i="1"/>
  <c r="U198" i="1" s="1"/>
  <c r="T71" i="1"/>
  <c r="U71" i="1" s="1"/>
  <c r="T310" i="1"/>
  <c r="U310" i="1" s="1"/>
  <c r="T78" i="1"/>
  <c r="U78" i="1" s="1"/>
  <c r="T106" i="1"/>
  <c r="U106" i="1" s="1"/>
  <c r="T311" i="1"/>
  <c r="U311" i="1" s="1"/>
  <c r="T204" i="1"/>
  <c r="U204" i="1" s="1"/>
  <c r="T122" i="1"/>
  <c r="U122" i="1" s="1"/>
  <c r="T312" i="1"/>
  <c r="U312" i="1" s="1"/>
  <c r="T128" i="1"/>
  <c r="U128" i="1" s="1"/>
  <c r="T134" i="1"/>
  <c r="U134" i="1" s="1"/>
  <c r="T313" i="1"/>
  <c r="U313" i="1" s="1"/>
  <c r="T182" i="1"/>
  <c r="U182" i="1" s="1"/>
  <c r="T215" i="1"/>
  <c r="U215" i="1" s="1"/>
  <c r="T314" i="1"/>
  <c r="U314" i="1" s="1"/>
  <c r="T216" i="1"/>
  <c r="U216" i="1" s="1"/>
  <c r="T221" i="1"/>
  <c r="U221" i="1" s="1"/>
  <c r="T315" i="1"/>
  <c r="U315" i="1" s="1"/>
  <c r="T199" i="1"/>
  <c r="U199" i="1" s="1"/>
  <c r="T200" i="1"/>
  <c r="U200" i="1" s="1"/>
  <c r="T316" i="1"/>
  <c r="U316" i="1" s="1"/>
  <c r="T205" i="1"/>
  <c r="U205" i="1" s="1"/>
  <c r="T208" i="1"/>
  <c r="U208" i="1" s="1"/>
  <c r="T317" i="1"/>
  <c r="U317" i="1" s="1"/>
  <c r="T209" i="1"/>
  <c r="U209" i="1" s="1"/>
  <c r="T219" i="1"/>
  <c r="U219" i="1" s="1"/>
  <c r="T318" i="1"/>
  <c r="U318" i="1" s="1"/>
  <c r="T218" i="1"/>
  <c r="U218" i="1" s="1"/>
  <c r="T220" i="1"/>
  <c r="U220" i="1" s="1"/>
  <c r="T319" i="1"/>
  <c r="U319" i="1" s="1"/>
  <c r="T222" i="1"/>
  <c r="U222" i="1" s="1"/>
  <c r="T226" i="1"/>
  <c r="U226" i="1" s="1"/>
  <c r="T320" i="1"/>
  <c r="U320" i="1" s="1"/>
  <c r="T224" i="1"/>
  <c r="U224" i="1" s="1"/>
  <c r="T229" i="1"/>
  <c r="U229" i="1" s="1"/>
  <c r="T321" i="1"/>
  <c r="U321" i="1" s="1"/>
  <c r="T230" i="1"/>
  <c r="U230" i="1" s="1"/>
  <c r="T225" i="1"/>
  <c r="U225" i="1" s="1"/>
  <c r="T322" i="1"/>
  <c r="U322" i="1" s="1"/>
  <c r="T231" i="1"/>
  <c r="U231" i="1" s="1"/>
  <c r="T232" i="1"/>
  <c r="U232" i="1" s="1"/>
  <c r="T323" i="1"/>
  <c r="U323" i="1" s="1"/>
  <c r="T244" i="1"/>
  <c r="U244" i="1" s="1"/>
  <c r="T233" i="1"/>
  <c r="U233" i="1" s="1"/>
  <c r="T324" i="1"/>
  <c r="U324" i="1" s="1"/>
  <c r="T235" i="1"/>
  <c r="U235" i="1" s="1"/>
  <c r="T245" i="1"/>
  <c r="U245" i="1" s="1"/>
  <c r="T325" i="1"/>
  <c r="U325" i="1" s="1"/>
  <c r="T248" i="1"/>
  <c r="U248" i="1" s="1"/>
  <c r="T243" i="1"/>
  <c r="U243" i="1" s="1"/>
  <c r="T326" i="1"/>
  <c r="U326" i="1" s="1"/>
  <c r="T257" i="1"/>
  <c r="U257" i="1" s="1"/>
  <c r="T246" i="1"/>
  <c r="U246" i="1" s="1"/>
  <c r="T327" i="1"/>
  <c r="U327" i="1" s="1"/>
  <c r="T260" i="1"/>
  <c r="U260" i="1" s="1"/>
  <c r="T261" i="1"/>
  <c r="U261" i="1" s="1"/>
  <c r="T328" i="1"/>
  <c r="U328" i="1" s="1"/>
  <c r="T265" i="1"/>
  <c r="U265" i="1" s="1"/>
  <c r="T268" i="1"/>
  <c r="U268" i="1" s="1"/>
  <c r="T329" i="1"/>
  <c r="U329" i="1" s="1"/>
  <c r="T251" i="1"/>
  <c r="U251" i="1" s="1"/>
  <c r="T269" i="1"/>
  <c r="U269" i="1" s="1"/>
  <c r="T330" i="1"/>
  <c r="U330" i="1" s="1"/>
  <c r="T275" i="1"/>
  <c r="U275" i="1" s="1"/>
  <c r="T252" i="1"/>
  <c r="U252" i="1" s="1"/>
  <c r="T331" i="1"/>
  <c r="U331" i="1" s="1"/>
  <c r="T277" i="1"/>
  <c r="U277" i="1" s="1"/>
  <c r="T280" i="1"/>
  <c r="U280" i="1" s="1"/>
  <c r="T332" i="1"/>
  <c r="U332" i="1" s="1"/>
  <c r="T281" i="1"/>
  <c r="U281" i="1" s="1"/>
  <c r="T293" i="1"/>
  <c r="U293" i="1" s="1"/>
  <c r="T333" i="1"/>
  <c r="U333" i="1" s="1"/>
  <c r="T422" i="1"/>
  <c r="U422" i="1" s="1"/>
  <c r="T294" i="1"/>
  <c r="U294" i="1" s="1"/>
  <c r="T334" i="1"/>
  <c r="U334" i="1" s="1"/>
  <c r="T296" i="1"/>
  <c r="U296" i="1" s="1"/>
  <c r="T166" i="1"/>
  <c r="U166" i="1" s="1"/>
  <c r="T335" i="1"/>
  <c r="U335" i="1" s="1"/>
  <c r="T170" i="1"/>
  <c r="U170" i="1" s="1"/>
  <c r="T299" i="1"/>
  <c r="U299" i="1" s="1"/>
  <c r="T336" i="1"/>
  <c r="U336" i="1" s="1"/>
  <c r="T300" i="1"/>
  <c r="U300" i="1" s="1"/>
  <c r="T56" i="1"/>
  <c r="U56" i="1" s="1"/>
  <c r="T337" i="1"/>
  <c r="U337" i="1" s="1"/>
  <c r="T389" i="1"/>
  <c r="U389" i="1" s="1"/>
  <c r="T391" i="1"/>
  <c r="U391" i="1" s="1"/>
  <c r="T338" i="1"/>
  <c r="U338" i="1" s="1"/>
  <c r="T397" i="1"/>
  <c r="U397" i="1" s="1"/>
  <c r="T398" i="1"/>
  <c r="U398" i="1" s="1"/>
  <c r="T339" i="1"/>
  <c r="U339" i="1" s="1"/>
  <c r="T399" i="1"/>
  <c r="U399" i="1" s="1"/>
  <c r="T409" i="1"/>
  <c r="U409" i="1" s="1"/>
  <c r="T340" i="1"/>
  <c r="U340" i="1" s="1"/>
  <c r="T415" i="1"/>
  <c r="U415" i="1" s="1"/>
  <c r="T418" i="1"/>
  <c r="U418" i="1" s="1"/>
  <c r="T341" i="1"/>
  <c r="U341" i="1" s="1"/>
  <c r="T424" i="1"/>
  <c r="U424" i="1" s="1"/>
  <c r="T428" i="1"/>
  <c r="U428" i="1" s="1"/>
  <c r="T342" i="1"/>
  <c r="U342" i="1" s="1"/>
  <c r="T124" i="1"/>
  <c r="U124" i="1" s="1"/>
  <c r="T162" i="1"/>
  <c r="U162" i="1" s="1"/>
  <c r="T343" i="1"/>
  <c r="U343" i="1" s="1"/>
  <c r="T434" i="1"/>
  <c r="U434" i="1" s="1"/>
  <c r="T176" i="1"/>
  <c r="U176" i="1" s="1"/>
  <c r="T344" i="1"/>
  <c r="U344" i="1" s="1"/>
  <c r="T439" i="1"/>
  <c r="U439" i="1" s="1"/>
  <c r="T446" i="1"/>
  <c r="U446" i="1" s="1"/>
  <c r="T345" i="1"/>
  <c r="U345" i="1" s="1"/>
  <c r="T521" i="1"/>
  <c r="U521" i="1" s="1"/>
  <c r="T526" i="1"/>
  <c r="U526" i="1" s="1"/>
  <c r="T346" i="1"/>
  <c r="U346" i="1" s="1"/>
  <c r="T264" i="1"/>
  <c r="U264" i="1" s="1"/>
  <c r="T538" i="1"/>
  <c r="U538" i="1" s="1"/>
  <c r="T347" i="1"/>
  <c r="U347" i="1" s="1"/>
  <c r="T539" i="1"/>
  <c r="U539" i="1" s="1"/>
  <c r="T541" i="1"/>
  <c r="U541" i="1" s="1"/>
  <c r="T348" i="1"/>
  <c r="U348" i="1" s="1"/>
  <c r="T545" i="1"/>
  <c r="U545" i="1" s="1"/>
  <c r="T30" i="1"/>
  <c r="U30" i="1" s="1"/>
  <c r="T349" i="1"/>
  <c r="U349" i="1" s="1"/>
  <c r="T274" i="1"/>
  <c r="U274" i="1" s="1"/>
  <c r="T34" i="1"/>
  <c r="U34" i="1" s="1"/>
  <c r="T350" i="1"/>
  <c r="U350" i="1" s="1"/>
  <c r="T44" i="1"/>
  <c r="U44" i="1" s="1"/>
  <c r="T61" i="1"/>
  <c r="U61" i="1" s="1"/>
  <c r="T351" i="1"/>
  <c r="U351" i="1" s="1"/>
  <c r="T76" i="1"/>
  <c r="U76" i="1" s="1"/>
  <c r="T85" i="1"/>
  <c r="U85" i="1" s="1"/>
  <c r="T352" i="1"/>
  <c r="U352" i="1" s="1"/>
  <c r="T149" i="1"/>
  <c r="U149" i="1" s="1"/>
  <c r="T286" i="1"/>
  <c r="U286" i="1" s="1"/>
  <c r="T353" i="1"/>
  <c r="U353" i="1" s="1"/>
  <c r="T290" i="1"/>
  <c r="U290" i="1" s="1"/>
  <c r="T164" i="1"/>
  <c r="U164" i="1" s="1"/>
  <c r="T354" i="1"/>
  <c r="U354" i="1" s="1"/>
  <c r="T201" i="1"/>
  <c r="U201" i="1" s="1"/>
  <c r="T227" i="1"/>
  <c r="U227" i="1" s="1"/>
  <c r="T425" i="1"/>
  <c r="U425" i="1" s="1"/>
  <c r="T431" i="1"/>
  <c r="U431" i="1" s="1"/>
  <c r="T361" i="1"/>
  <c r="U361" i="1" s="1"/>
  <c r="T259" i="1"/>
  <c r="U259" i="1" s="1"/>
  <c r="T262" i="1"/>
  <c r="U262" i="1" s="1"/>
  <c r="T362" i="1"/>
  <c r="U362" i="1" s="1"/>
  <c r="T266" i="1"/>
  <c r="U266" i="1" s="1"/>
  <c r="T270" i="1"/>
  <c r="U270" i="1" s="1"/>
  <c r="T363" i="1"/>
  <c r="U363" i="1" s="1"/>
  <c r="T278" i="1"/>
  <c r="U278" i="1" s="1"/>
  <c r="T279" i="1"/>
  <c r="U279" i="1" s="1"/>
  <c r="T364" i="1"/>
  <c r="U364" i="1" s="1"/>
  <c r="T282" i="1"/>
  <c r="U282" i="1" s="1"/>
  <c r="T524" i="1"/>
  <c r="U524" i="1" s="1"/>
  <c r="T365" i="1"/>
  <c r="U365" i="1" s="1"/>
  <c r="T283" i="1"/>
  <c r="U283" i="1" s="1"/>
  <c r="T284" i="1"/>
  <c r="U284" i="1" s="1"/>
  <c r="T366" i="1"/>
  <c r="U366" i="1" s="1"/>
  <c r="T285" i="1"/>
  <c r="U285" i="1" s="1"/>
  <c r="T288" i="1"/>
  <c r="U288" i="1" s="1"/>
  <c r="T367" i="1"/>
  <c r="U367" i="1" s="1"/>
  <c r="T377" i="1"/>
  <c r="U377" i="1" s="1"/>
  <c r="T295" i="1"/>
  <c r="U295" i="1" s="1"/>
  <c r="T368" i="1"/>
  <c r="U368" i="1" s="1"/>
  <c r="T381" i="1"/>
  <c r="U381" i="1" s="1"/>
  <c r="T383" i="1"/>
  <c r="U383" i="1" s="1"/>
  <c r="T369" i="1"/>
  <c r="U369" i="1" s="1"/>
  <c r="T386" i="1"/>
  <c r="U386" i="1" s="1"/>
  <c r="T387" i="1"/>
  <c r="U387" i="1" s="1"/>
  <c r="T370" i="1"/>
  <c r="U370" i="1" s="1"/>
  <c r="T378" i="1"/>
  <c r="U378" i="1" s="1"/>
  <c r="T382" i="1"/>
  <c r="U382" i="1" s="1"/>
  <c r="T371" i="1"/>
  <c r="U371" i="1" s="1"/>
  <c r="T384" i="1"/>
  <c r="U384" i="1" s="1"/>
  <c r="T390" i="1"/>
  <c r="U390" i="1" s="1"/>
  <c r="T372" i="1"/>
  <c r="U372" i="1" s="1"/>
  <c r="T385" i="1"/>
  <c r="U385" i="1" s="1"/>
  <c r="T401" i="1"/>
  <c r="U401" i="1" s="1"/>
  <c r="T373" i="1"/>
  <c r="U373" i="1" s="1"/>
  <c r="T392" i="1"/>
  <c r="U392" i="1" s="1"/>
  <c r="T393" i="1"/>
  <c r="U393" i="1" s="1"/>
  <c r="T374" i="1"/>
  <c r="U374" i="1" s="1"/>
  <c r="T402" i="1"/>
  <c r="U402" i="1" s="1"/>
  <c r="T403" i="1"/>
  <c r="U403" i="1" s="1"/>
  <c r="T375" i="1"/>
  <c r="U375" i="1" s="1"/>
  <c r="T404" i="1"/>
  <c r="U404" i="1" s="1"/>
  <c r="T223" i="1"/>
  <c r="U223" i="1" s="1"/>
  <c r="T376" i="1"/>
  <c r="U376" i="1" s="1"/>
  <c r="T405" i="1"/>
  <c r="U405" i="1" s="1"/>
  <c r="T416" i="1"/>
  <c r="U416" i="1" s="1"/>
  <c r="T453" i="1"/>
  <c r="U453" i="1" s="1"/>
  <c r="T407" i="1"/>
  <c r="U407" i="1" s="1"/>
  <c r="T419" i="1"/>
  <c r="U419" i="1" s="1"/>
  <c r="T454" i="1"/>
  <c r="U454" i="1" s="1"/>
  <c r="T423" i="1"/>
  <c r="U423" i="1" s="1"/>
  <c r="T408" i="1"/>
  <c r="U408" i="1" s="1"/>
  <c r="T455" i="1"/>
  <c r="U455" i="1" s="1"/>
  <c r="T411" i="1"/>
  <c r="U411" i="1" s="1"/>
  <c r="T412" i="1"/>
  <c r="U412" i="1" s="1"/>
  <c r="T456" i="1"/>
  <c r="U456" i="1" s="1"/>
  <c r="T413" i="1"/>
  <c r="U413" i="1" s="1"/>
  <c r="T426" i="1"/>
  <c r="U426" i="1" s="1"/>
  <c r="T457" i="1"/>
  <c r="U457" i="1" s="1"/>
  <c r="T427" i="1"/>
  <c r="U427" i="1" s="1"/>
  <c r="T420" i="1"/>
  <c r="U420" i="1" s="1"/>
  <c r="T458" i="1"/>
  <c r="U458" i="1" s="1"/>
  <c r="T421" i="1"/>
  <c r="U421" i="1" s="1"/>
  <c r="T433" i="1"/>
  <c r="U433" i="1" s="1"/>
  <c r="T459" i="1"/>
  <c r="U459" i="1" s="1"/>
  <c r="T440" i="1"/>
  <c r="U440" i="1" s="1"/>
  <c r="T442" i="1"/>
  <c r="U442" i="1" s="1"/>
  <c r="T460" i="1"/>
  <c r="U460" i="1" s="1"/>
  <c r="T528" i="1"/>
  <c r="U528" i="1" s="1"/>
  <c r="T533" i="1"/>
  <c r="U533" i="1" s="1"/>
  <c r="T461" i="1"/>
  <c r="U461" i="1" s="1"/>
  <c r="T429" i="1"/>
  <c r="U429" i="1" s="1"/>
  <c r="T430" i="1"/>
  <c r="U430" i="1" s="1"/>
  <c r="T462" i="1"/>
  <c r="U462" i="1" s="1"/>
  <c r="T535" i="1"/>
  <c r="U535" i="1" s="1"/>
  <c r="T432" i="1"/>
  <c r="U432" i="1" s="1"/>
  <c r="T463" i="1"/>
  <c r="U463" i="1" s="1"/>
  <c r="T543" i="1"/>
  <c r="U543" i="1" s="1"/>
  <c r="T436" i="1"/>
  <c r="U436" i="1" s="1"/>
  <c r="T464" i="1"/>
  <c r="U464" i="1" s="1"/>
  <c r="T437" i="1"/>
  <c r="U437" i="1" s="1"/>
  <c r="T438" i="1"/>
  <c r="U438" i="1" s="1"/>
  <c r="T465" i="1"/>
  <c r="U465" i="1" s="1"/>
  <c r="T441" i="1"/>
  <c r="U441" i="1" s="1"/>
  <c r="T46" i="1"/>
  <c r="U46" i="1" s="1"/>
  <c r="T466" i="1"/>
  <c r="U466" i="1" s="1"/>
  <c r="T48" i="1"/>
  <c r="U48" i="1" s="1"/>
  <c r="T52" i="1"/>
  <c r="U52" i="1" s="1"/>
  <c r="T467" i="1"/>
  <c r="U467" i="1" s="1"/>
  <c r="T54" i="1"/>
  <c r="U54" i="1" s="1"/>
  <c r="T55" i="1"/>
  <c r="U55" i="1" s="1"/>
  <c r="T468" i="1"/>
  <c r="U468" i="1" s="1"/>
  <c r="T447" i="1"/>
  <c r="U447" i="1" s="1"/>
  <c r="T449" i="1"/>
  <c r="U449" i="1" s="1"/>
  <c r="T469" i="1"/>
  <c r="U469" i="1" s="1"/>
  <c r="T135" i="1"/>
  <c r="U135" i="1" s="1"/>
  <c r="T450" i="1"/>
  <c r="U450" i="1" s="1"/>
  <c r="T470" i="1"/>
  <c r="U470" i="1" s="1"/>
  <c r="T451" i="1"/>
  <c r="U451" i="1" s="1"/>
  <c r="T152" i="1"/>
  <c r="U152" i="1" s="1"/>
  <c r="T471" i="1"/>
  <c r="U471" i="1" s="1"/>
  <c r="T173" i="1"/>
  <c r="U173" i="1" s="1"/>
  <c r="T452" i="1"/>
  <c r="U452" i="1" s="1"/>
  <c r="T472" i="1"/>
  <c r="U472" i="1" s="1"/>
  <c r="T217" i="1"/>
  <c r="U217" i="1" s="1"/>
  <c r="T70" i="1"/>
  <c r="U70" i="1" s="1"/>
  <c r="T473" i="1"/>
  <c r="U473" i="1" s="1"/>
  <c r="T81" i="1"/>
  <c r="U81" i="1" s="1"/>
  <c r="T525" i="1"/>
  <c r="U525" i="1" s="1"/>
  <c r="T474" i="1"/>
  <c r="U474" i="1" s="1"/>
  <c r="T87" i="1"/>
  <c r="U87" i="1" s="1"/>
  <c r="T99" i="1"/>
  <c r="U99" i="1" s="1"/>
  <c r="T475" i="1"/>
  <c r="U475" i="1" s="1"/>
  <c r="T100" i="1"/>
  <c r="U100" i="1" s="1"/>
  <c r="T102" i="1"/>
  <c r="U102" i="1" s="1"/>
  <c r="T476" i="1"/>
  <c r="U476" i="1" s="1"/>
  <c r="T531" i="1"/>
  <c r="U531" i="1" s="1"/>
  <c r="T109" i="1"/>
  <c r="U109" i="1" s="1"/>
  <c r="T477" i="1"/>
  <c r="U477" i="1" s="1"/>
  <c r="T112" i="1"/>
  <c r="U112" i="1" s="1"/>
  <c r="T115" i="1"/>
  <c r="U115" i="1" s="1"/>
  <c r="T478" i="1"/>
  <c r="U478" i="1" s="1"/>
  <c r="T127" i="1"/>
  <c r="U127" i="1" s="1"/>
  <c r="T536" i="1"/>
  <c r="U536" i="1" s="1"/>
  <c r="T479" i="1"/>
  <c r="U479" i="1" s="1"/>
  <c r="T138" i="1"/>
  <c r="U138" i="1" s="1"/>
  <c r="T146" i="1"/>
  <c r="U146" i="1" s="1"/>
  <c r="T480" i="1"/>
  <c r="U480" i="1" s="1"/>
  <c r="T172" i="1"/>
  <c r="U172" i="1" s="1"/>
  <c r="T540" i="1"/>
  <c r="U540" i="1" s="1"/>
  <c r="T481" i="1"/>
  <c r="U481" i="1" s="1"/>
  <c r="T177" i="1"/>
  <c r="U177" i="1" s="1"/>
  <c r="T542" i="1"/>
  <c r="U542" i="1" s="1"/>
  <c r="T482" i="1"/>
  <c r="U482" i="1" s="1"/>
  <c r="T544" i="1"/>
  <c r="U544" i="1" s="1"/>
  <c r="T180" i="1"/>
  <c r="U180" i="1" s="1"/>
  <c r="T483" i="1"/>
  <c r="U483" i="1" s="1"/>
  <c r="T532" i="1"/>
  <c r="U532" i="1" s="1"/>
  <c r="T181" i="1"/>
  <c r="U181" i="1" s="1"/>
  <c r="T484" i="1"/>
  <c r="U484" i="1" s="1"/>
  <c r="T184" i="1"/>
  <c r="U184" i="1" s="1"/>
  <c r="T202" i="1"/>
  <c r="U202" i="1" s="1"/>
  <c r="T485" i="1"/>
  <c r="U485" i="1" s="1"/>
  <c r="T537" i="1"/>
  <c r="U537" i="1" s="1"/>
  <c r="T206" i="1"/>
  <c r="U206" i="1" s="1"/>
  <c r="T486" i="1"/>
  <c r="U486" i="1" s="1"/>
  <c r="T207" i="1"/>
  <c r="U207" i="1" s="1"/>
  <c r="T9" i="1"/>
  <c r="U9" i="1" s="1"/>
  <c r="T487" i="1"/>
  <c r="U487" i="1" s="1"/>
  <c r="T210" i="1"/>
  <c r="U210" i="1" s="1"/>
  <c r="T10" i="1"/>
  <c r="U10" i="1" s="1"/>
  <c r="T488" i="1"/>
  <c r="U488" i="1" s="1"/>
  <c r="T11" i="1"/>
  <c r="U11" i="1" s="1"/>
  <c r="T212" i="1"/>
  <c r="U212" i="1" s="1"/>
  <c r="T489" i="1"/>
  <c r="U489" i="1" s="1"/>
  <c r="T253" i="1"/>
  <c r="U253" i="1" s="1"/>
  <c r="T14" i="1"/>
  <c r="U14" i="1" s="1"/>
  <c r="T490" i="1"/>
  <c r="U490" i="1" s="1"/>
  <c r="T254" i="1"/>
  <c r="U254" i="1" s="1"/>
  <c r="T16" i="1"/>
  <c r="U16" i="1" s="1"/>
  <c r="T491" i="1"/>
  <c r="U491" i="1" s="1"/>
  <c r="T272" i="1"/>
  <c r="U272" i="1" s="1"/>
  <c r="T287" i="1"/>
  <c r="U287" i="1" s="1"/>
  <c r="T492" i="1"/>
  <c r="U492" i="1" s="1"/>
  <c r="T297" i="1"/>
  <c r="U297" i="1" s="1"/>
  <c r="T298" i="1"/>
  <c r="U298" i="1" s="1"/>
  <c r="T493" i="1"/>
  <c r="U493" i="1" s="1"/>
  <c r="T301" i="1"/>
  <c r="U301" i="1" s="1"/>
  <c r="T388" i="1"/>
  <c r="U388" i="1" s="1"/>
  <c r="T494" i="1"/>
  <c r="U494" i="1" s="1"/>
  <c r="T394" i="1"/>
  <c r="U394" i="1" s="1"/>
  <c r="T32" i="1"/>
  <c r="U32" i="1" s="1"/>
  <c r="T495" i="1"/>
  <c r="U495" i="1" s="1"/>
  <c r="T33" i="1"/>
  <c r="U33" i="1" s="1"/>
  <c r="T400" i="1"/>
  <c r="U400" i="1" s="1"/>
  <c r="T496" i="1"/>
  <c r="U496" i="1" s="1"/>
  <c r="T414" i="1"/>
  <c r="U414" i="1" s="1"/>
  <c r="T417" i="1"/>
  <c r="U417" i="1" s="1"/>
  <c r="T497" i="1"/>
  <c r="U497" i="1" s="1"/>
  <c r="T36" i="1"/>
  <c r="U36" i="1" s="1"/>
  <c r="T435" i="1"/>
  <c r="U435" i="1" s="1"/>
  <c r="T498" i="1"/>
  <c r="U498" i="1" s="1"/>
  <c r="T38" i="1"/>
  <c r="U38" i="1" s="1"/>
  <c r="T443" i="1"/>
  <c r="U443" i="1" s="1"/>
  <c r="T499" i="1"/>
  <c r="U499" i="1" s="1"/>
  <c r="T448" i="1"/>
  <c r="U448" i="1" s="1"/>
  <c r="T529" i="1"/>
  <c r="U529" i="1" s="1"/>
  <c r="T500" i="1"/>
  <c r="U500" i="1" s="1"/>
  <c r="T43" i="1"/>
  <c r="U43" i="1" s="1"/>
  <c r="T534" i="1"/>
  <c r="U534" i="1" s="1"/>
  <c r="T501" i="1"/>
  <c r="U501" i="1" s="1"/>
  <c r="T49" i="1"/>
  <c r="U49" i="1" s="1"/>
  <c r="T111" i="1"/>
  <c r="U111" i="1" s="1"/>
  <c r="T502" i="1"/>
  <c r="U502" i="1" s="1"/>
  <c r="T234" i="1"/>
  <c r="U234" i="1" s="1"/>
  <c r="T163" i="1"/>
  <c r="U163" i="1" s="1"/>
  <c r="T503" i="1"/>
  <c r="U503" i="1" s="1"/>
  <c r="T203" i="1"/>
  <c r="U203" i="1" s="1"/>
  <c r="T241" i="1"/>
  <c r="U241" i="1" s="1"/>
  <c r="T504" i="1"/>
  <c r="U504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223" i="1"/>
  <c r="AD223" i="1" s="1"/>
  <c r="AC513" i="1"/>
  <c r="AD513" i="1" s="1"/>
  <c r="AC439" i="1"/>
  <c r="AD439" i="1" s="1"/>
  <c r="AC514" i="1"/>
  <c r="AD514" i="1" s="1"/>
  <c r="AC224" i="1"/>
  <c r="AD224" i="1" s="1"/>
  <c r="AC515" i="1"/>
  <c r="AD515" i="1" s="1"/>
  <c r="AC442" i="1"/>
  <c r="AD442" i="1" s="1"/>
  <c r="AC516" i="1"/>
  <c r="AD516" i="1" s="1"/>
  <c r="AC527" i="1"/>
  <c r="AD527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6" i="1"/>
  <c r="AD36" i="1" s="1"/>
  <c r="AC240" i="1"/>
  <c r="AD240" i="1" s="1"/>
  <c r="AC142" i="1"/>
  <c r="AD142" i="1" s="1"/>
  <c r="AC449" i="1"/>
  <c r="AD449" i="1" s="1"/>
  <c r="AC245" i="1"/>
  <c r="AD245" i="1" s="1"/>
  <c r="AC11" i="1"/>
  <c r="AD11" i="1" s="1"/>
  <c r="AC544" i="1"/>
  <c r="AD544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49" i="1"/>
  <c r="AD49" i="1" s="1"/>
  <c r="AC24" i="1"/>
  <c r="AD24" i="1" s="1"/>
  <c r="AC28" i="1"/>
  <c r="AD28" i="1" s="1"/>
  <c r="AC35" i="1"/>
  <c r="AD35" i="1" s="1"/>
  <c r="AC29" i="1"/>
  <c r="AD29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409" i="1"/>
  <c r="AD409" i="1" s="1"/>
  <c r="AC42" i="1"/>
  <c r="AD42" i="1" s="1"/>
  <c r="AC412" i="1"/>
  <c r="AD412" i="1" s="1"/>
  <c r="AC422" i="1"/>
  <c r="AD422" i="1" s="1"/>
  <c r="AC51" i="1"/>
  <c r="AD51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536" i="1"/>
  <c r="AD536" i="1" s="1"/>
  <c r="AC74" i="1"/>
  <c r="AD74" i="1" s="1"/>
  <c r="AC389" i="1"/>
  <c r="AD389" i="1" s="1"/>
  <c r="AC79" i="1"/>
  <c r="AD79" i="1" s="1"/>
  <c r="AC41" i="1"/>
  <c r="AD41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540" i="1"/>
  <c r="AD540" i="1" s="1"/>
  <c r="AC92" i="1"/>
  <c r="AD92" i="1" s="1"/>
  <c r="AC404" i="1"/>
  <c r="AD404" i="1" s="1"/>
  <c r="AC525" i="1"/>
  <c r="AD525" i="1" s="1"/>
  <c r="AC27" i="1"/>
  <c r="AD27" i="1" s="1"/>
  <c r="AC106" i="1"/>
  <c r="AD106" i="1" s="1"/>
  <c r="AC110" i="1"/>
  <c r="AD110" i="1" s="1"/>
  <c r="AC407" i="1"/>
  <c r="AD407" i="1" s="1"/>
  <c r="AC111" i="1"/>
  <c r="AD111" i="1" s="1"/>
  <c r="AC116" i="1"/>
  <c r="AD116" i="1" s="1"/>
  <c r="AC198" i="1"/>
  <c r="AD198" i="1" s="1"/>
  <c r="AC43" i="1"/>
  <c r="AD43" i="1" s="1"/>
  <c r="AC413" i="1"/>
  <c r="AD413" i="1" s="1"/>
  <c r="AC128" i="1"/>
  <c r="AD128" i="1" s="1"/>
  <c r="AC264" i="1"/>
  <c r="AD264" i="1" s="1"/>
  <c r="AC12" i="1"/>
  <c r="AD12" i="1" s="1"/>
  <c r="T45" i="1"/>
  <c r="U45" i="1" s="1"/>
  <c r="T250" i="1"/>
  <c r="U250" i="1" s="1"/>
  <c r="T505" i="1"/>
  <c r="U505" i="1" s="1"/>
  <c r="T256" i="1"/>
  <c r="U256" i="1" s="1"/>
  <c r="T263" i="1"/>
  <c r="U263" i="1" s="1"/>
  <c r="T506" i="1"/>
  <c r="U506" i="1" s="1"/>
  <c r="T267" i="1"/>
  <c r="U267" i="1" s="1"/>
  <c r="T271" i="1"/>
  <c r="U271" i="1" s="1"/>
  <c r="T507" i="1"/>
  <c r="U507" i="1" s="1"/>
  <c r="T289" i="1"/>
  <c r="U289" i="1" s="1"/>
  <c r="T291" i="1"/>
  <c r="U291" i="1" s="1"/>
  <c r="T508" i="1"/>
  <c r="U508" i="1" s="1"/>
  <c r="T379" i="1"/>
  <c r="U379" i="1" s="1"/>
  <c r="T380" i="1"/>
  <c r="U380" i="1" s="1"/>
  <c r="T509" i="1"/>
  <c r="U509" i="1" s="1"/>
  <c r="T395" i="1"/>
  <c r="U395" i="1" s="1"/>
  <c r="T410" i="1"/>
  <c r="U410" i="1" s="1"/>
  <c r="T510" i="1"/>
  <c r="U510" i="1" s="1"/>
  <c r="T150" i="1"/>
  <c r="U150" i="1" s="1"/>
  <c r="T194" i="1"/>
  <c r="U194" i="1" s="1"/>
  <c r="T511" i="1"/>
  <c r="U511" i="1" s="1"/>
  <c r="T196" i="1"/>
  <c r="U196" i="1" s="1"/>
  <c r="T5" i="1"/>
  <c r="U5" i="1" s="1"/>
  <c r="T512" i="1"/>
  <c r="U512" i="1" s="1"/>
  <c r="T83" i="1"/>
  <c r="U83" i="1" s="1"/>
  <c r="T98" i="1"/>
  <c r="U98" i="1" s="1"/>
  <c r="T513" i="1"/>
  <c r="U513" i="1" s="1"/>
  <c r="T101" i="1"/>
  <c r="U101" i="1" s="1"/>
  <c r="T136" i="1"/>
  <c r="U136" i="1" s="1"/>
  <c r="T514" i="1"/>
  <c r="U514" i="1" s="1"/>
  <c r="T151" i="1"/>
  <c r="U151" i="1" s="1"/>
  <c r="T179" i="1"/>
  <c r="U179" i="1" s="1"/>
  <c r="T515" i="1"/>
  <c r="U515" i="1" s="1"/>
  <c r="T186" i="1"/>
  <c r="U186" i="1" s="1"/>
  <c r="T211" i="1"/>
  <c r="U211" i="1" s="1"/>
  <c r="T516" i="1"/>
  <c r="U516" i="1" s="1"/>
  <c r="T53" i="1"/>
  <c r="U53" i="1" s="1"/>
  <c r="T60" i="1"/>
  <c r="U60" i="1" s="1"/>
  <c r="T517" i="1"/>
  <c r="U517" i="1" s="1"/>
  <c r="T74" i="1"/>
  <c r="U74" i="1" s="1"/>
  <c r="T82" i="1"/>
  <c r="U82" i="1" s="1"/>
  <c r="T518" i="1"/>
  <c r="U518" i="1" s="1"/>
  <c r="T90" i="1"/>
  <c r="U90" i="1" s="1"/>
  <c r="T96" i="1"/>
  <c r="U96" i="1" s="1"/>
  <c r="T519" i="1"/>
  <c r="U519" i="1" s="1"/>
  <c r="T97" i="1"/>
  <c r="U97" i="1" s="1"/>
  <c r="T103" i="1"/>
  <c r="U103" i="1" s="1"/>
  <c r="T520" i="1"/>
  <c r="U520" i="1" s="1"/>
  <c r="T31" i="1"/>
  <c r="U31" i="1" s="1"/>
  <c r="T108" i="1"/>
  <c r="U108" i="1" s="1"/>
  <c r="T37" i="1"/>
  <c r="U37" i="1" s="1"/>
  <c r="T114" i="1"/>
  <c r="U114" i="1" s="1"/>
  <c r="T35" i="1"/>
  <c r="U35" i="1" s="1"/>
  <c r="T68" i="1"/>
  <c r="U68" i="1" s="1"/>
  <c r="T119" i="1"/>
  <c r="U119" i="1" s="1"/>
  <c r="T92" i="1"/>
  <c r="U92" i="1" s="1"/>
  <c r="T4" i="1"/>
  <c r="U4" i="1" s="1"/>
  <c r="T123" i="1"/>
  <c r="U123" i="1" s="1"/>
  <c r="T125" i="1"/>
  <c r="U125" i="1" s="1"/>
  <c r="T8" i="1"/>
  <c r="U8" i="1" s="1"/>
  <c r="T126" i="1"/>
  <c r="U126" i="1" s="1"/>
  <c r="T13" i="1"/>
  <c r="U13" i="1" s="1"/>
  <c r="T130" i="1"/>
  <c r="U130" i="1" s="1"/>
  <c r="T132" i="1"/>
  <c r="U132" i="1" s="1"/>
  <c r="T140" i="1"/>
  <c r="U140" i="1" s="1"/>
  <c r="T15" i="1"/>
  <c r="U15" i="1" s="1"/>
  <c r="T141" i="1"/>
  <c r="U141" i="1" s="1"/>
  <c r="T147" i="1"/>
  <c r="U147" i="1" s="1"/>
  <c r="T17" i="1"/>
  <c r="U17" i="1" s="1"/>
  <c r="T20" i="1"/>
  <c r="U20" i="1" s="1"/>
  <c r="T21" i="1"/>
  <c r="U21" i="1" s="1"/>
  <c r="T148" i="1"/>
  <c r="U148" i="1" s="1"/>
  <c r="T168" i="1"/>
  <c r="U168" i="1" s="1"/>
  <c r="T25" i="1"/>
  <c r="U25" i="1" s="1"/>
  <c r="T27" i="1"/>
  <c r="U27" i="1" s="1"/>
  <c r="T174" i="1"/>
  <c r="U174" i="1" s="1"/>
  <c r="T189" i="1"/>
  <c r="U189" i="1" s="1"/>
  <c r="T190" i="1"/>
  <c r="U190" i="1" s="1"/>
  <c r="T195" i="1"/>
  <c r="U195" i="1" s="1"/>
  <c r="T197" i="1"/>
  <c r="U197" i="1" s="1"/>
  <c r="T214" i="1"/>
  <c r="U214" i="1" s="1"/>
  <c r="T236" i="1"/>
  <c r="U236" i="1" s="1"/>
  <c r="T239" i="1"/>
  <c r="U239" i="1" s="1"/>
  <c r="T249" i="1"/>
  <c r="U249" i="1" s="1"/>
  <c r="T273" i="1"/>
  <c r="U273" i="1" s="1"/>
  <c r="T40" i="1"/>
  <c r="U40" i="1" s="1"/>
  <c r="T41" i="1"/>
  <c r="U41" i="1" s="1"/>
  <c r="T276" i="1"/>
  <c r="U276" i="1" s="1"/>
  <c r="T292" i="1"/>
  <c r="U292" i="1" s="1"/>
  <c r="T302" i="1"/>
  <c r="U302" i="1" s="1"/>
  <c r="T47" i="1"/>
  <c r="U47" i="1" s="1"/>
  <c r="T145" i="1"/>
  <c r="U145" i="1" s="1"/>
  <c r="T169" i="1"/>
  <c r="U169" i="1" s="1"/>
  <c r="T62" i="1"/>
  <c r="U62" i="1" s="1"/>
  <c r="T175" i="1"/>
  <c r="U175" i="1" s="1"/>
  <c r="T183" i="1"/>
  <c r="U183" i="1" s="1"/>
  <c r="T63" i="1"/>
  <c r="U63" i="1" s="1"/>
  <c r="T65" i="1"/>
  <c r="U65" i="1" s="1"/>
  <c r="T188" i="1"/>
  <c r="U188" i="1" s="1"/>
  <c r="T69" i="1"/>
  <c r="U69" i="1" s="1"/>
  <c r="T191" i="1"/>
  <c r="U191" i="1" s="1"/>
  <c r="T193" i="1"/>
  <c r="U193" i="1" s="1"/>
  <c r="T6" i="1"/>
  <c r="U6" i="1" s="1"/>
  <c r="T51" i="1"/>
  <c r="U51" i="1" s="1"/>
  <c r="T77" i="1"/>
  <c r="U77" i="1" s="1"/>
  <c r="T89" i="1"/>
  <c r="U89" i="1" s="1"/>
  <c r="T79" i="1"/>
  <c r="U79" i="1" s="1"/>
  <c r="T104" i="1"/>
  <c r="U104" i="1" s="1"/>
  <c r="T80" i="1"/>
  <c r="U80" i="1" s="1"/>
  <c r="T192" i="1"/>
  <c r="U192" i="1" s="1"/>
  <c r="T213" i="1"/>
  <c r="U213" i="1" s="1"/>
  <c r="T84" i="1"/>
  <c r="U84" i="1" s="1"/>
  <c r="T444" i="1"/>
  <c r="U444" i="1" s="1"/>
  <c r="T445" i="1"/>
  <c r="U445" i="1" s="1"/>
  <c r="T86" i="1"/>
  <c r="U86" i="1" s="1"/>
  <c r="T522" i="1"/>
  <c r="U522" i="1" s="1"/>
  <c r="T523" i="1"/>
  <c r="U523" i="1" s="1"/>
  <c r="T88" i="1"/>
  <c r="U88" i="1" s="1"/>
  <c r="T527" i="1"/>
  <c r="U527" i="1" s="1"/>
  <c r="T530" i="1"/>
  <c r="U530" i="1" s="1"/>
  <c r="T7" i="1"/>
  <c r="U7" i="1" s="1"/>
  <c r="T18" i="1"/>
  <c r="U18" i="1" s="1"/>
  <c r="T93" i="1"/>
  <c r="U93" i="1" s="1"/>
  <c r="T95" i="1"/>
  <c r="U95" i="1" s="1"/>
  <c r="T19" i="1"/>
  <c r="U19" i="1" s="1"/>
  <c r="T22" i="1"/>
  <c r="U22" i="1" s="1"/>
  <c r="T24" i="1"/>
  <c r="U24" i="1" s="1"/>
  <c r="T28" i="1"/>
  <c r="U28" i="1" s="1"/>
  <c r="T29" i="1"/>
  <c r="U29" i="1" s="1"/>
  <c r="T39" i="1"/>
  <c r="U39" i="1" s="1"/>
  <c r="T42" i="1"/>
  <c r="U42" i="1" s="1"/>
  <c r="T50" i="1"/>
  <c r="U50" i="1" s="1"/>
  <c r="T117" i="1"/>
  <c r="U117" i="1" s="1"/>
  <c r="T58" i="1"/>
  <c r="U58" i="1" s="1"/>
  <c r="T118" i="1"/>
  <c r="U118" i="1" s="1"/>
  <c r="AC3" i="1"/>
  <c r="AD3" i="1" s="1"/>
  <c r="AC193" i="1"/>
  <c r="AD193" i="1" s="1"/>
  <c r="AC174" i="1"/>
  <c r="AD174" i="1" s="1"/>
  <c r="AC496" i="1"/>
  <c r="AD496" i="1" s="1"/>
  <c r="AC20" i="1"/>
  <c r="AD20" i="1" s="1"/>
  <c r="AC153" i="1"/>
  <c r="AD153" i="1" s="1"/>
  <c r="AC497" i="1"/>
  <c r="AD497" i="1" s="1"/>
  <c r="AC154" i="1"/>
  <c r="AD154" i="1" s="1"/>
  <c r="AC299" i="1"/>
  <c r="AD299" i="1" s="1"/>
  <c r="AC155" i="1"/>
  <c r="AD155" i="1" s="1"/>
  <c r="AC498" i="1"/>
  <c r="AD498" i="1" s="1"/>
  <c r="AC156" i="1"/>
  <c r="AD156" i="1" s="1"/>
  <c r="AC539" i="1"/>
  <c r="AD539" i="1" s="1"/>
  <c r="AC157" i="1"/>
  <c r="AD157" i="1" s="1"/>
  <c r="AC499" i="1"/>
  <c r="AD499" i="1" s="1"/>
  <c r="AC158" i="1"/>
  <c r="AD158" i="1" s="1"/>
  <c r="AC203" i="1"/>
  <c r="AD203" i="1" s="1"/>
  <c r="AC159" i="1"/>
  <c r="AD159" i="1" s="1"/>
  <c r="AC500" i="1"/>
  <c r="AD500" i="1" s="1"/>
  <c r="AC160" i="1"/>
  <c r="AD160" i="1" s="1"/>
  <c r="AC302" i="1"/>
  <c r="AD302" i="1" s="1"/>
  <c r="AC541" i="1"/>
  <c r="AD541" i="1" s="1"/>
  <c r="AC303" i="1"/>
  <c r="AD303" i="1" s="1"/>
  <c r="AC501" i="1"/>
  <c r="AD501" i="1" s="1"/>
  <c r="AC304" i="1"/>
  <c r="AD304" i="1" s="1"/>
  <c r="AC207" i="1"/>
  <c r="AD207" i="1" s="1"/>
  <c r="AC305" i="1"/>
  <c r="AD305" i="1" s="1"/>
  <c r="AC502" i="1"/>
  <c r="AD502" i="1" s="1"/>
  <c r="AC306" i="1"/>
  <c r="AD306" i="1" s="1"/>
  <c r="AC395" i="1"/>
  <c r="AD395" i="1" s="1"/>
  <c r="AC307" i="1"/>
  <c r="AD307" i="1" s="1"/>
  <c r="AC214" i="1"/>
  <c r="AD214" i="1" s="1"/>
  <c r="AC308" i="1"/>
  <c r="AD308" i="1" s="1"/>
  <c r="AC400" i="1"/>
  <c r="AD400" i="1" s="1"/>
  <c r="AC309" i="1"/>
  <c r="AD309" i="1" s="1"/>
  <c r="AC504" i="1"/>
  <c r="AD504" i="1" s="1"/>
  <c r="AC310" i="1"/>
  <c r="AD310" i="1" s="1"/>
  <c r="AC216" i="1"/>
  <c r="AD216" i="1" s="1"/>
  <c r="AC311" i="1"/>
  <c r="AD311" i="1" s="1"/>
  <c r="AC505" i="1"/>
  <c r="AD505" i="1" s="1"/>
  <c r="AC312" i="1"/>
  <c r="AD312" i="1" s="1"/>
  <c r="AC415" i="1"/>
  <c r="AD415" i="1" s="1"/>
  <c r="AC313" i="1"/>
  <c r="AD313" i="1" s="1"/>
  <c r="AC506" i="1"/>
  <c r="AD506" i="1" s="1"/>
  <c r="AC314" i="1"/>
  <c r="AD314" i="1" s="1"/>
  <c r="AC217" i="1"/>
  <c r="AD217" i="1" s="1"/>
  <c r="AC315" i="1"/>
  <c r="AD315" i="1" s="1"/>
  <c r="AC507" i="1"/>
  <c r="AD507" i="1" s="1"/>
  <c r="AC316" i="1"/>
  <c r="AD316" i="1" s="1"/>
  <c r="AC444" i="1"/>
  <c r="AD444" i="1" s="1"/>
  <c r="AC317" i="1"/>
  <c r="AD317" i="1" s="1"/>
  <c r="AC508" i="1"/>
  <c r="AD508" i="1" s="1"/>
  <c r="AC218" i="1"/>
  <c r="AD218" i="1" s="1"/>
  <c r="AC509" i="1"/>
  <c r="AD509" i="1" s="1"/>
  <c r="AC424" i="1"/>
  <c r="AD424" i="1" s="1"/>
  <c r="AC510" i="1"/>
  <c r="AD510" i="1" s="1"/>
  <c r="AC434" i="1"/>
  <c r="AD434" i="1" s="1"/>
  <c r="AC511" i="1"/>
  <c r="AD511" i="1" s="1"/>
  <c r="AC438" i="1"/>
  <c r="AD438" i="1" s="1"/>
  <c r="AC512" i="1"/>
  <c r="AD512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517" i="1"/>
  <c r="AD517" i="1" s="1"/>
  <c r="AC228" i="1"/>
  <c r="AD228" i="1" s="1"/>
  <c r="AC518" i="1"/>
  <c r="AD518" i="1" s="1"/>
  <c r="AC446" i="1"/>
  <c r="AD446" i="1" s="1"/>
  <c r="AC519" i="1"/>
  <c r="AD519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13" i="1"/>
  <c r="AD13" i="1" s="1"/>
  <c r="AC14" i="1"/>
  <c r="AD14" i="1" s="1"/>
  <c r="AC247" i="1"/>
  <c r="AD247" i="1" s="1"/>
  <c r="AC16" i="1"/>
  <c r="AD16" i="1" s="1"/>
  <c r="AC352" i="1"/>
  <c r="AD352" i="1" s="1"/>
  <c r="AC353" i="1"/>
  <c r="AD353" i="1" s="1"/>
  <c r="AC354" i="1"/>
  <c r="AD354" i="1" s="1"/>
  <c r="AC355" i="1"/>
  <c r="AD355" i="1" s="1"/>
  <c r="AC30" i="1"/>
  <c r="AD30" i="1" s="1"/>
  <c r="AC31" i="1"/>
  <c r="AD31" i="1" s="1"/>
  <c r="AC32" i="1"/>
  <c r="AD32" i="1" s="1"/>
  <c r="AC503" i="1"/>
  <c r="AD503" i="1" s="1"/>
  <c r="AC251" i="1"/>
  <c r="AD251" i="1" s="1"/>
  <c r="AC376" i="1"/>
  <c r="AD376" i="1" s="1"/>
  <c r="AC256" i="1"/>
  <c r="AD256" i="1" s="1"/>
  <c r="AC37" i="1"/>
  <c r="AD37" i="1" s="1"/>
  <c r="AC365" i="1"/>
  <c r="AD365" i="1" s="1"/>
  <c r="AC366" i="1"/>
  <c r="AD366" i="1" s="1"/>
  <c r="AC367" i="1"/>
  <c r="AD367" i="1" s="1"/>
  <c r="AC368" i="1"/>
  <c r="AD368" i="1" s="1"/>
  <c r="AC451" i="1"/>
  <c r="AD451" i="1" s="1"/>
  <c r="AC62" i="1"/>
  <c r="AD62" i="1" s="1"/>
  <c r="AC387" i="1"/>
  <c r="AD387" i="1" s="1"/>
  <c r="AC48" i="1"/>
  <c r="AD48" i="1" s="1"/>
  <c r="AC70" i="1"/>
  <c r="AD70" i="1" s="1"/>
  <c r="AC375" i="1"/>
  <c r="AD375" i="1" s="1"/>
  <c r="AC452" i="1"/>
  <c r="AD452" i="1" s="1"/>
  <c r="AC453" i="1"/>
  <c r="AD453" i="1" s="1"/>
  <c r="AC454" i="1"/>
  <c r="AD454" i="1" s="1"/>
  <c r="AC401" i="1"/>
  <c r="AD401" i="1" s="1"/>
  <c r="AC84" i="1"/>
  <c r="AD84" i="1" s="1"/>
  <c r="AC89" i="1"/>
  <c r="AD89" i="1" s="1"/>
  <c r="AC524" i="1"/>
  <c r="AD524" i="1" s="1"/>
  <c r="AC87" i="1"/>
  <c r="AD87" i="1" s="1"/>
  <c r="AC402" i="1"/>
  <c r="AD402" i="1" s="1"/>
  <c r="AC107" i="1"/>
  <c r="AD107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112" i="1"/>
  <c r="AD112" i="1" s="1"/>
  <c r="AC169" i="1"/>
  <c r="AD169" i="1" s="1"/>
  <c r="AC114" i="1"/>
  <c r="AD114" i="1" s="1"/>
  <c r="AC115" i="1"/>
  <c r="AD115" i="1" s="1"/>
  <c r="AC124" i="1"/>
  <c r="AD124" i="1" s="1"/>
  <c r="AC120" i="1"/>
  <c r="AD120" i="1" s="1"/>
  <c r="AC122" i="1"/>
  <c r="AD122" i="1" s="1"/>
  <c r="AC123" i="1"/>
  <c r="AD123" i="1" s="1"/>
  <c r="AC126" i="1"/>
  <c r="AD126" i="1" s="1"/>
  <c r="AC173" i="1"/>
  <c r="AD173" i="1" s="1"/>
  <c r="AC135" i="1"/>
  <c r="AD135" i="1" s="1"/>
  <c r="AC136" i="1"/>
  <c r="AD136" i="1" s="1"/>
  <c r="AC125" i="1"/>
  <c r="AD125" i="1" s="1"/>
  <c r="AC127" i="1"/>
  <c r="AD127" i="1" s="1"/>
  <c r="AC10" i="1"/>
  <c r="AD10" i="1" s="1"/>
  <c r="AC129" i="1"/>
  <c r="AD129" i="1" s="1"/>
  <c r="AC177" i="1"/>
  <c r="AD177" i="1" s="1"/>
  <c r="AC38" i="1"/>
  <c r="AD38" i="1" s="1"/>
  <c r="AC39" i="1"/>
  <c r="AD39" i="1" s="1"/>
  <c r="AC184" i="1"/>
  <c r="AD184" i="1" s="1"/>
  <c r="AC134" i="1"/>
  <c r="AD134" i="1" s="1"/>
  <c r="AC138" i="1"/>
  <c r="AD138" i="1" s="1"/>
  <c r="AC82" i="1"/>
  <c r="AD82" i="1" s="1"/>
  <c r="AC190" i="1"/>
  <c r="AD190" i="1" s="1"/>
  <c r="AC141" i="1"/>
  <c r="AD141" i="1" s="1"/>
  <c r="AC166" i="1"/>
  <c r="AD166" i="1" s="1"/>
  <c r="AC145" i="1"/>
  <c r="AD145" i="1" s="1"/>
  <c r="AC146" i="1"/>
  <c r="AD146" i="1" s="1"/>
  <c r="AC205" i="1"/>
  <c r="AD205" i="1" s="1"/>
  <c r="AC208" i="1"/>
  <c r="AD208" i="1" s="1"/>
  <c r="AC152" i="1"/>
  <c r="AD152" i="1" s="1"/>
  <c r="AC210" i="1"/>
  <c r="AD210" i="1" s="1"/>
  <c r="AC219" i="1"/>
  <c r="AD219" i="1" s="1"/>
  <c r="AC283" i="1"/>
  <c r="AD283" i="1" s="1"/>
  <c r="AC220" i="1"/>
  <c r="AD220" i="1" s="1"/>
  <c r="AC170" i="1"/>
  <c r="AD170" i="1" s="1"/>
  <c r="AC225" i="1"/>
  <c r="AD225" i="1" s="1"/>
  <c r="AC287" i="1"/>
  <c r="AD287" i="1" s="1"/>
  <c r="AC230" i="1"/>
  <c r="AD230" i="1" s="1"/>
  <c r="AC197" i="1"/>
  <c r="AD197" i="1" s="1"/>
  <c r="AC232" i="1"/>
  <c r="AD232" i="1" s="1"/>
  <c r="AC233" i="1"/>
  <c r="AD233" i="1" s="1"/>
  <c r="AC236" i="1"/>
  <c r="AD236" i="1" s="1"/>
  <c r="AC237" i="1"/>
  <c r="AD237" i="1" s="1"/>
  <c r="AC239" i="1"/>
  <c r="AD239" i="1" s="1"/>
  <c r="AC6" i="1"/>
  <c r="AD6" i="1" s="1"/>
  <c r="AC244" i="1"/>
  <c r="AD244" i="1" s="1"/>
  <c r="AC199" i="1"/>
  <c r="AD199" i="1" s="1"/>
  <c r="AC252" i="1"/>
  <c r="AD252" i="1" s="1"/>
  <c r="AC254" i="1"/>
  <c r="AD254" i="1" s="1"/>
  <c r="AC255" i="1"/>
  <c r="AD255" i="1" s="1"/>
  <c r="AC200" i="1"/>
  <c r="AD200" i="1" s="1"/>
  <c r="AC259" i="1"/>
  <c r="AD259" i="1" s="1"/>
  <c r="AC260" i="1"/>
  <c r="AD260" i="1" s="1"/>
  <c r="AC201" i="1"/>
  <c r="AD201" i="1" s="1"/>
  <c r="AC266" i="1"/>
  <c r="AD266" i="1" s="1"/>
  <c r="AC212" i="1"/>
  <c r="AD212" i="1" s="1"/>
  <c r="AC270" i="1"/>
  <c r="AD270" i="1" s="1"/>
  <c r="AC226" i="1"/>
  <c r="AD226" i="1" s="1"/>
  <c r="AC229" i="1"/>
  <c r="AD229" i="1" s="1"/>
  <c r="AC277" i="1"/>
  <c r="AD277" i="1" s="1"/>
  <c r="AC286" i="1"/>
  <c r="AD286" i="1" s="1"/>
  <c r="AC234" i="1"/>
  <c r="AD234" i="1" s="1"/>
  <c r="AC235" i="1"/>
  <c r="AD235" i="1" s="1"/>
  <c r="AC294" i="1"/>
  <c r="AD294" i="1" s="1"/>
  <c r="AC238" i="1"/>
  <c r="AD238" i="1" s="1"/>
  <c r="AC25" i="1"/>
  <c r="AD25" i="1" s="1"/>
  <c r="AC380" i="1"/>
  <c r="AD380" i="1" s="1"/>
  <c r="AC381" i="1"/>
  <c r="AD381" i="1" s="1"/>
  <c r="AC241" i="1"/>
  <c r="AD241" i="1" s="1"/>
  <c r="AC393" i="1"/>
  <c r="AD393" i="1" s="1"/>
  <c r="AC65" i="1"/>
  <c r="AD65" i="1" s="1"/>
  <c r="AC397" i="1"/>
  <c r="AD397" i="1" s="1"/>
  <c r="AC257" i="1"/>
  <c r="AD257" i="1" s="1"/>
  <c r="AC403" i="1"/>
  <c r="AD403" i="1" s="1"/>
  <c r="AC421" i="1"/>
  <c r="AD421" i="1" s="1"/>
  <c r="AC423" i="1"/>
  <c r="AD423" i="1" s="1"/>
  <c r="AC427" i="1"/>
  <c r="AD427" i="1" s="1"/>
  <c r="AC274" i="1"/>
  <c r="AD274" i="1" s="1"/>
  <c r="AC432" i="1"/>
  <c r="AD432" i="1" s="1"/>
  <c r="AC433" i="1"/>
  <c r="AD433" i="1" s="1"/>
  <c r="AC289" i="1"/>
  <c r="AD289" i="1" s="1"/>
  <c r="AC437" i="1"/>
  <c r="AD437" i="1" s="1"/>
  <c r="AC440" i="1"/>
  <c r="AD440" i="1" s="1"/>
  <c r="AC441" i="1"/>
  <c r="AD441" i="1" s="1"/>
  <c r="AC443" i="1"/>
  <c r="AD443" i="1" s="1"/>
  <c r="AC450" i="1"/>
  <c r="AD450" i="1" s="1"/>
  <c r="AC521" i="1"/>
  <c r="AD521" i="1" s="1"/>
  <c r="AC523" i="1"/>
  <c r="AD523" i="1" s="1"/>
  <c r="AC538" i="1"/>
  <c r="AD538" i="1" s="1"/>
  <c r="AC86" i="1"/>
  <c r="AD86" i="1" s="1"/>
  <c r="AC542" i="1"/>
  <c r="AD542" i="1" s="1"/>
  <c r="AC543" i="1"/>
  <c r="AD543" i="1" s="1"/>
  <c r="AC17" i="1"/>
  <c r="AD17" i="1" s="1"/>
  <c r="AC21" i="1"/>
  <c r="AD21" i="1" s="1"/>
  <c r="AC26" i="1"/>
  <c r="AD26" i="1" s="1"/>
  <c r="AC90" i="1"/>
  <c r="AD90" i="1" s="1"/>
  <c r="AC44" i="1"/>
  <c r="AD44" i="1" s="1"/>
  <c r="AC384" i="1"/>
  <c r="AD384" i="1" s="1"/>
  <c r="AC64" i="1"/>
  <c r="AD64" i="1" s="1"/>
  <c r="AC392" i="1"/>
  <c r="AD392" i="1" s="1"/>
  <c r="AC95" i="1"/>
  <c r="AD95" i="1" s="1"/>
  <c r="AC185" i="1"/>
  <c r="AD185" i="1" s="1"/>
  <c r="AC192" i="1"/>
  <c r="AD192" i="1" s="1"/>
  <c r="AC290" i="1"/>
  <c r="AD290" i="1" s="1"/>
  <c r="AC151" i="1"/>
  <c r="AD151" i="1" s="1"/>
  <c r="AC227" i="1"/>
  <c r="AD227" i="1" s="1"/>
  <c r="AC165" i="1"/>
  <c r="AD165" i="1" s="1"/>
  <c r="AC102" i="1"/>
  <c r="AD102" i="1" s="1"/>
  <c r="AC179" i="1"/>
  <c r="AD179" i="1" s="1"/>
  <c r="AC242" i="1"/>
  <c r="AD242" i="1" s="1"/>
  <c r="AC105" i="1"/>
  <c r="AD105" i="1" s="1"/>
  <c r="AC248" i="1"/>
  <c r="AD248" i="1" s="1"/>
  <c r="AC249" i="1"/>
  <c r="AD249" i="1" s="1"/>
  <c r="AC250" i="1"/>
  <c r="AD250" i="1" s="1"/>
  <c r="AC66" i="1"/>
  <c r="AD66" i="1" s="1"/>
  <c r="AC258" i="1"/>
  <c r="AD258" i="1" s="1"/>
  <c r="AC291" i="1"/>
  <c r="AD291" i="1" s="1"/>
  <c r="AC261" i="1"/>
  <c r="AD261" i="1" s="1"/>
  <c r="AC191" i="1"/>
  <c r="AD191" i="1" s="1"/>
  <c r="AC262" i="1"/>
  <c r="AD262" i="1" s="1"/>
  <c r="AC263" i="1"/>
  <c r="AD263" i="1" s="1"/>
  <c r="AC265" i="1"/>
  <c r="AD265" i="1" s="1"/>
  <c r="AC295" i="1"/>
  <c r="AD295" i="1" s="1"/>
  <c r="AC267" i="1"/>
  <c r="AD267" i="1" s="1"/>
  <c r="AC269" i="1"/>
  <c r="AD269" i="1" s="1"/>
  <c r="AC194" i="1"/>
  <c r="AD194" i="1" s="1"/>
  <c r="AC272" i="1"/>
  <c r="AD272" i="1" s="1"/>
  <c r="AC273" i="1"/>
  <c r="AD273" i="1" s="1"/>
  <c r="AC275" i="1"/>
  <c r="AD275" i="1" s="1"/>
  <c r="AC195" i="1"/>
  <c r="AD195" i="1" s="1"/>
  <c r="AC278" i="1"/>
  <c r="AD278" i="1" s="1"/>
  <c r="AC545" i="1"/>
  <c r="AD545" i="1" s="1"/>
  <c r="AC378" i="1"/>
  <c r="AD378" i="1" s="1"/>
  <c r="AC7" i="1"/>
  <c r="AD7" i="1" s="1"/>
  <c r="AC285" i="1"/>
  <c r="AD285" i="1" s="1"/>
  <c r="AC23" i="1"/>
  <c r="AD23" i="1" s="1"/>
  <c r="AC293" i="1"/>
  <c r="AD293" i="1" s="1"/>
  <c r="AC297" i="1"/>
  <c r="AD297" i="1" s="1"/>
  <c r="AC377" i="1"/>
  <c r="AD377" i="1" s="1"/>
  <c r="AC33" i="1"/>
  <c r="AD33" i="1" s="1"/>
  <c r="AC383" i="1"/>
  <c r="AD383" i="1" s="1"/>
  <c r="AC243" i="1"/>
  <c r="AD243" i="1" s="1"/>
  <c r="AC385" i="1"/>
  <c r="AD385" i="1" s="1"/>
  <c r="AC386" i="1"/>
  <c r="AD386" i="1" s="1"/>
  <c r="AC390" i="1"/>
  <c r="AD390" i="1" s="1"/>
  <c r="AC46" i="1"/>
  <c r="AD46" i="1" s="1"/>
  <c r="AC246" i="1"/>
  <c r="AD246" i="1" s="1"/>
  <c r="AC394" i="1"/>
  <c r="AD394" i="1" s="1"/>
  <c r="AC396" i="1"/>
  <c r="AD396" i="1" s="1"/>
  <c r="AC399" i="1"/>
  <c r="AD399" i="1" s="1"/>
  <c r="AC57" i="1"/>
  <c r="AD57" i="1" s="1"/>
  <c r="AC78" i="1"/>
  <c r="AD78" i="1" s="1"/>
  <c r="AC405" i="1"/>
  <c r="AD405" i="1" s="1"/>
  <c r="AC406" i="1"/>
  <c r="AD406" i="1" s="1"/>
  <c r="AC410" i="1"/>
  <c r="AD410" i="1" s="1"/>
  <c r="AC411" i="1"/>
  <c r="AD411" i="1" s="1"/>
  <c r="AC414" i="1"/>
  <c r="AD414" i="1" s="1"/>
  <c r="AC416" i="1"/>
  <c r="AD416" i="1" s="1"/>
  <c r="AC417" i="1"/>
  <c r="AD417" i="1" s="1"/>
  <c r="AC98" i="1"/>
  <c r="AD98" i="1" s="1"/>
  <c r="AC419" i="1"/>
  <c r="AD419" i="1" s="1"/>
  <c r="AC420" i="1"/>
  <c r="AD420" i="1" s="1"/>
  <c r="AC202" i="1"/>
  <c r="AD202" i="1" s="1"/>
  <c r="AC117" i="1"/>
  <c r="AD117" i="1" s="1"/>
  <c r="AC426" i="1"/>
  <c r="AD426" i="1" s="1"/>
  <c r="AC130" i="1"/>
  <c r="AD130" i="1" s="1"/>
  <c r="AC429" i="1"/>
  <c r="AD429" i="1" s="1"/>
  <c r="AC430" i="1"/>
  <c r="AD430" i="1" s="1"/>
  <c r="AC162" i="1"/>
  <c r="AD162" i="1" s="1"/>
  <c r="AC435" i="1"/>
  <c r="AD435" i="1" s="1"/>
  <c r="AC175" i="1"/>
  <c r="AD175" i="1" s="1"/>
  <c r="AC445" i="1"/>
  <c r="AD445" i="1" s="1"/>
  <c r="AC520" i="1"/>
  <c r="AD520" i="1" s="1"/>
  <c r="AC180" i="1"/>
  <c r="AD180" i="1" s="1"/>
  <c r="AC530" i="1"/>
  <c r="AD530" i="1" s="1"/>
  <c r="AC532" i="1"/>
  <c r="AD532" i="1" s="1"/>
  <c r="AC182" i="1"/>
  <c r="AD182" i="1" s="1"/>
  <c r="AC534" i="1"/>
  <c r="AD534" i="1" s="1"/>
  <c r="AC537" i="1"/>
  <c r="AD537" i="1" s="1"/>
  <c r="AC186" i="1"/>
  <c r="AD186" i="1" s="1"/>
  <c r="AC189" i="1"/>
  <c r="AD189" i="1" s="1"/>
  <c r="AC196" i="1"/>
  <c r="AD196" i="1" s="1"/>
  <c r="AC54" i="1"/>
  <c r="AD54" i="1" s="1"/>
  <c r="AC215" i="1"/>
  <c r="AD215" i="1" s="1"/>
  <c r="AC58" i="1"/>
  <c r="AD58" i="1" s="1"/>
  <c r="AC59" i="1"/>
  <c r="AD59" i="1" s="1"/>
  <c r="AC93" i="1"/>
  <c r="AD93" i="1" s="1"/>
  <c r="AC139" i="1"/>
  <c r="AD139" i="1" s="1"/>
  <c r="AC148" i="1"/>
  <c r="AD148" i="1" s="1"/>
  <c r="AC221" i="1"/>
  <c r="AD221" i="1" s="1"/>
  <c r="AC176" i="1"/>
  <c r="AD176" i="1" s="1"/>
  <c r="AC526" i="1"/>
  <c r="AD526" i="1" s="1"/>
  <c r="AC103" i="1"/>
  <c r="AD103" i="1" s="1"/>
  <c r="AC108" i="1"/>
  <c r="AD108" i="1" s="1"/>
  <c r="AC109" i="1"/>
  <c r="AD109" i="1" s="1"/>
  <c r="AC528" i="1"/>
  <c r="AD528" i="1" s="1"/>
  <c r="AC529" i="1"/>
  <c r="AD529" i="1" s="1"/>
  <c r="AC119" i="1"/>
  <c r="AD119" i="1" s="1"/>
  <c r="AC121" i="1"/>
  <c r="AD121" i="1" s="1"/>
  <c r="AC72" i="1"/>
  <c r="AD72" i="1" s="1"/>
  <c r="AC132" i="1"/>
  <c r="AD132" i="1" s="1"/>
  <c r="AC133" i="1"/>
  <c r="AD133" i="1" s="1"/>
  <c r="AC137" i="1"/>
  <c r="AD137" i="1" s="1"/>
  <c r="AC4" i="1"/>
  <c r="AD4" i="1" s="1"/>
  <c r="AC140" i="1"/>
  <c r="AD140" i="1" s="1"/>
  <c r="AC143" i="1"/>
  <c r="AD143" i="1" s="1"/>
  <c r="AC5" i="1"/>
  <c r="AD5" i="1" s="1"/>
  <c r="AC150" i="1"/>
  <c r="AD150" i="1" s="1"/>
  <c r="AC164" i="1"/>
  <c r="AD164" i="1" s="1"/>
  <c r="AC172" i="1"/>
  <c r="AD172" i="1" s="1"/>
  <c r="AC178" i="1"/>
  <c r="AD178" i="1" s="1"/>
  <c r="AC8" i="1"/>
  <c r="AD8" i="1" s="1"/>
  <c r="AC9" i="1"/>
  <c r="AD9" i="1" s="1"/>
  <c r="AC204" i="1"/>
  <c r="AD204" i="1" s="1"/>
  <c r="AC206" i="1"/>
  <c r="AD206" i="1" s="1"/>
  <c r="AC209" i="1"/>
  <c r="AD209" i="1" s="1"/>
  <c r="AC73" i="1"/>
  <c r="AD73" i="1" s="1"/>
  <c r="AC211" i="1"/>
  <c r="AD211" i="1" s="1"/>
  <c r="AC222" i="1"/>
  <c r="AD222" i="1" s="1"/>
  <c r="AC231" i="1"/>
  <c r="AD231" i="1" s="1"/>
  <c r="AC18" i="1"/>
  <c r="AD18" i="1" s="1"/>
  <c r="AC253" i="1"/>
  <c r="AD253" i="1" s="1"/>
  <c r="AC271" i="1"/>
  <c r="AD271" i="1" s="1"/>
  <c r="AC19" i="1"/>
  <c r="AD19" i="1" s="1"/>
  <c r="AC284" i="1"/>
  <c r="AD284" i="1" s="1"/>
  <c r="AC76" i="1"/>
  <c r="AD76" i="1" s="1"/>
  <c r="AC288" i="1"/>
  <c r="AD288" i="1" s="1"/>
  <c r="AC292" i="1"/>
  <c r="AD292" i="1" s="1"/>
  <c r="AC296" i="1"/>
  <c r="AD296" i="1" s="1"/>
  <c r="AC22" i="1"/>
  <c r="AD22" i="1" s="1"/>
  <c r="AC298" i="1"/>
  <c r="AD298" i="1" s="1"/>
  <c r="AC300" i="1"/>
  <c r="AD300" i="1" s="1"/>
  <c r="AC80" i="1"/>
  <c r="AD80" i="1" s="1"/>
  <c r="AC301" i="1"/>
  <c r="AD301" i="1" s="1"/>
  <c r="AC379" i="1"/>
  <c r="AD379" i="1" s="1"/>
  <c r="AC388" i="1"/>
  <c r="AD388" i="1" s="1"/>
  <c r="AC391" i="1"/>
  <c r="AD391" i="1" s="1"/>
  <c r="AC398" i="1"/>
  <c r="AD398" i="1" s="1"/>
  <c r="AC85" i="1"/>
  <c r="AD85" i="1" s="1"/>
  <c r="AC408" i="1"/>
  <c r="AD408" i="1" s="1"/>
  <c r="AC418" i="1"/>
  <c r="AD418" i="1" s="1"/>
  <c r="AC431" i="1"/>
  <c r="AD431" i="1" s="1"/>
  <c r="AC40" i="1"/>
  <c r="AD40" i="1" s="1"/>
  <c r="AC436" i="1"/>
  <c r="AD436" i="1" s="1"/>
  <c r="AC45" i="1"/>
  <c r="AD45" i="1" s="1"/>
  <c r="AC448" i="1"/>
  <c r="AD448" i="1" s="1"/>
  <c r="AC533" i="1"/>
  <c r="AD533" i="1" s="1"/>
  <c r="AC47" i="1"/>
  <c r="AD47" i="1" s="1"/>
  <c r="AC55" i="1"/>
  <c r="AD55" i="1" s="1"/>
  <c r="AC67" i="1"/>
  <c r="AD67" i="1" s="1"/>
  <c r="AC101" i="1"/>
  <c r="AD101" i="1" s="1"/>
  <c r="AC131" i="1"/>
  <c r="AD131" i="1" s="1"/>
  <c r="AC167" i="1"/>
  <c r="AD167" i="1" s="1"/>
  <c r="AC181" i="1"/>
  <c r="AD181" i="1" s="1"/>
  <c r="AC188" i="1"/>
  <c r="AD188" i="1" s="1"/>
  <c r="AC50" i="1"/>
  <c r="AD50" i="1" s="1"/>
  <c r="Z245" i="1"/>
  <c r="AA245" i="1" s="1"/>
  <c r="Z52" i="1"/>
  <c r="AA52" i="1" s="1"/>
  <c r="Z131" i="1"/>
  <c r="AA131" i="1" s="1"/>
  <c r="Z53" i="1"/>
  <c r="AA53" i="1" s="1"/>
  <c r="Z182" i="1"/>
  <c r="AA182" i="1" s="1"/>
  <c r="Z54" i="1"/>
  <c r="AA54" i="1" s="1"/>
  <c r="Z57" i="1"/>
  <c r="AA57" i="1" s="1"/>
  <c r="Z96" i="1"/>
  <c r="AA96" i="1" s="1"/>
  <c r="Z58" i="1"/>
  <c r="AA58" i="1" s="1"/>
  <c r="Z153" i="1"/>
  <c r="AA153" i="1" s="1"/>
  <c r="Z60" i="1"/>
  <c r="AA60" i="1" s="1"/>
  <c r="Z154" i="1"/>
  <c r="AA154" i="1" s="1"/>
  <c r="Z155" i="1"/>
  <c r="AA155" i="1" s="1"/>
  <c r="Z422" i="1"/>
  <c r="AA422" i="1" s="1"/>
  <c r="Z156" i="1"/>
  <c r="AA156" i="1" s="1"/>
  <c r="Z67" i="1"/>
  <c r="AA67" i="1" s="1"/>
  <c r="Z68" i="1"/>
  <c r="AA68" i="1" s="1"/>
  <c r="Z157" i="1"/>
  <c r="AA157" i="1" s="1"/>
  <c r="Z103" i="1"/>
  <c r="AA103" i="1" s="1"/>
  <c r="Z104" i="1"/>
  <c r="AA104" i="1" s="1"/>
  <c r="Z74" i="1"/>
  <c r="AA74" i="1" s="1"/>
  <c r="Z158" i="1"/>
  <c r="AA158" i="1" s="1"/>
  <c r="Z159" i="1"/>
  <c r="AA159" i="1" s="1"/>
  <c r="Z81" i="1"/>
  <c r="AA81" i="1" s="1"/>
  <c r="Z160" i="1"/>
  <c r="AA160" i="1" s="1"/>
  <c r="Z303" i="1"/>
  <c r="AA303" i="1" s="1"/>
  <c r="Z86" i="1"/>
  <c r="AA86" i="1" s="1"/>
  <c r="Z304" i="1"/>
  <c r="AA304" i="1" s="1"/>
  <c r="Z305" i="1"/>
  <c r="AA305" i="1" s="1"/>
  <c r="Z93" i="1"/>
  <c r="AA93" i="1" s="1"/>
  <c r="Z112" i="1"/>
  <c r="AA112" i="1" s="1"/>
  <c r="Z306" i="1"/>
  <c r="AA306" i="1" s="1"/>
  <c r="Z307" i="1"/>
  <c r="AA307" i="1" s="1"/>
  <c r="Z308" i="1"/>
  <c r="AA308" i="1" s="1"/>
  <c r="Z101" i="1"/>
  <c r="AA101" i="1" s="1"/>
  <c r="Z102" i="1"/>
  <c r="AA102" i="1" s="1"/>
  <c r="Z309" i="1"/>
  <c r="AA309" i="1" s="1"/>
  <c r="Z310" i="1"/>
  <c r="AA310" i="1" s="1"/>
  <c r="Z311" i="1"/>
  <c r="AA311" i="1" s="1"/>
  <c r="Z110" i="1"/>
  <c r="AA110" i="1" s="1"/>
  <c r="Z312" i="1"/>
  <c r="AA312" i="1" s="1"/>
  <c r="Z313" i="1"/>
  <c r="AA313" i="1" s="1"/>
  <c r="Z114" i="1"/>
  <c r="AA114" i="1" s="1"/>
  <c r="Z314" i="1"/>
  <c r="AA314" i="1" s="1"/>
  <c r="Z115" i="1"/>
  <c r="AA115" i="1" s="1"/>
  <c r="Z315" i="1"/>
  <c r="AA315" i="1" s="1"/>
  <c r="Z172" i="1"/>
  <c r="AA172" i="1" s="1"/>
  <c r="Z118" i="1"/>
  <c r="AA118" i="1" s="1"/>
  <c r="Z119" i="1"/>
  <c r="AA119" i="1" s="1"/>
  <c r="Z316" i="1"/>
  <c r="AA316" i="1" s="1"/>
  <c r="Z317" i="1"/>
  <c r="AA317" i="1" s="1"/>
  <c r="Z318" i="1"/>
  <c r="AA318" i="1" s="1"/>
  <c r="Z319" i="1"/>
  <c r="AA319" i="1" s="1"/>
  <c r="Z320" i="1"/>
  <c r="AA320" i="1" s="1"/>
  <c r="Z321" i="1"/>
  <c r="AA321" i="1" s="1"/>
  <c r="Z135" i="1"/>
  <c r="AA135" i="1" s="1"/>
  <c r="Z322" i="1"/>
  <c r="AA322" i="1" s="1"/>
  <c r="Z136" i="1"/>
  <c r="AA136" i="1" s="1"/>
  <c r="Z323" i="1"/>
  <c r="AA323" i="1" s="1"/>
  <c r="Z125" i="1"/>
  <c r="AA125" i="1" s="1"/>
  <c r="Z138" i="1"/>
  <c r="AA138" i="1" s="1"/>
  <c r="Z324" i="1"/>
  <c r="AA324" i="1" s="1"/>
  <c r="Z175" i="1"/>
  <c r="AA175" i="1" s="1"/>
  <c r="Z143" i="1"/>
  <c r="AA143" i="1" s="1"/>
  <c r="Z151" i="1"/>
  <c r="AA151" i="1" s="1"/>
  <c r="Z126" i="1"/>
  <c r="AA126" i="1" s="1"/>
  <c r="Z169" i="1"/>
  <c r="AA169" i="1" s="1"/>
  <c r="Z325" i="1"/>
  <c r="AA325" i="1" s="1"/>
  <c r="Z180" i="1"/>
  <c r="AA180" i="1" s="1"/>
  <c r="Z188" i="1"/>
  <c r="AA188" i="1" s="1"/>
  <c r="Z197" i="1"/>
  <c r="AA197" i="1" s="1"/>
  <c r="Z326" i="1"/>
  <c r="AA326" i="1" s="1"/>
  <c r="Z327" i="1"/>
  <c r="AA327" i="1" s="1"/>
  <c r="Z328" i="1"/>
  <c r="AA328" i="1" s="1"/>
  <c r="Z32" i="1"/>
  <c r="AA32" i="1" s="1"/>
  <c r="Z329" i="1"/>
  <c r="AA329" i="1" s="1"/>
  <c r="Z330" i="1"/>
  <c r="AA330" i="1" s="1"/>
  <c r="Z44" i="1"/>
  <c r="AA44" i="1" s="1"/>
  <c r="Z51" i="1"/>
  <c r="AA51" i="1" s="1"/>
  <c r="Z331" i="1"/>
  <c r="AA331" i="1" s="1"/>
  <c r="Z134" i="1"/>
  <c r="AA134" i="1" s="1"/>
  <c r="Z332" i="1"/>
  <c r="AA332" i="1" s="1"/>
  <c r="Z75" i="1"/>
  <c r="AA75" i="1" s="1"/>
  <c r="Z333" i="1"/>
  <c r="AA333" i="1" s="1"/>
  <c r="Z334" i="1"/>
  <c r="AA334" i="1" s="1"/>
  <c r="Z89" i="1"/>
  <c r="AA89" i="1" s="1"/>
  <c r="Z187" i="1"/>
  <c r="AA187" i="1" s="1"/>
  <c r="Z335" i="1"/>
  <c r="AA335" i="1" s="1"/>
  <c r="Z336" i="1"/>
  <c r="AA336" i="1" s="1"/>
  <c r="Z144" i="1"/>
  <c r="AA144" i="1" s="1"/>
  <c r="Z137" i="1"/>
  <c r="AA137" i="1" s="1"/>
  <c r="Z140" i="1"/>
  <c r="AA140" i="1" s="1"/>
  <c r="Z150" i="1"/>
  <c r="AA150" i="1" s="1"/>
  <c r="Z337" i="1"/>
  <c r="AA337" i="1" s="1"/>
  <c r="Z145" i="1"/>
  <c r="AA145" i="1" s="1"/>
  <c r="Z338" i="1"/>
  <c r="AA338" i="1" s="1"/>
  <c r="Z339" i="1"/>
  <c r="AA339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201" i="1"/>
  <c r="AA201" i="1" s="1"/>
  <c r="Z366" i="1"/>
  <c r="AA366" i="1" s="1"/>
  <c r="Z367" i="1"/>
  <c r="AA367" i="1" s="1"/>
  <c r="Z261" i="1"/>
  <c r="AA261" i="1" s="1"/>
  <c r="Z263" i="1"/>
  <c r="AA263" i="1" s="1"/>
  <c r="Z212" i="1"/>
  <c r="AA212" i="1" s="1"/>
  <c r="Z368" i="1"/>
  <c r="AA368" i="1" s="1"/>
  <c r="Z369" i="1"/>
  <c r="AA369" i="1" s="1"/>
  <c r="Z8" i="1"/>
  <c r="AA8" i="1" s="1"/>
  <c r="Z370" i="1"/>
  <c r="AA370" i="1" s="1"/>
  <c r="Z371" i="1"/>
  <c r="AA371" i="1" s="1"/>
  <c r="Z275" i="1"/>
  <c r="AA275" i="1" s="1"/>
  <c r="Z276" i="1"/>
  <c r="AA276" i="1" s="1"/>
  <c r="Z372" i="1"/>
  <c r="AA372" i="1" s="1"/>
  <c r="Z277" i="1"/>
  <c r="AA277" i="1" s="1"/>
  <c r="Z373" i="1"/>
  <c r="AA373" i="1" s="1"/>
  <c r="Z279" i="1"/>
  <c r="AA279" i="1" s="1"/>
  <c r="Z230" i="1"/>
  <c r="AA230" i="1" s="1"/>
  <c r="Z231" i="1"/>
  <c r="AA231" i="1" s="1"/>
  <c r="Z286" i="1"/>
  <c r="AA286" i="1" s="1"/>
  <c r="Z374" i="1"/>
  <c r="AA374" i="1" s="1"/>
  <c r="Z375" i="1"/>
  <c r="AA375" i="1" s="1"/>
  <c r="Z452" i="1"/>
  <c r="AA452" i="1" s="1"/>
  <c r="Z453" i="1"/>
  <c r="AA453" i="1" s="1"/>
  <c r="Z21" i="1"/>
  <c r="AA21" i="1" s="1"/>
  <c r="Z454" i="1"/>
  <c r="AA454" i="1" s="1"/>
  <c r="Z455" i="1"/>
  <c r="AA455" i="1" s="1"/>
  <c r="Z300" i="1"/>
  <c r="AA300" i="1" s="1"/>
  <c r="Z456" i="1"/>
  <c r="AA456" i="1" s="1"/>
  <c r="Z381" i="1"/>
  <c r="AA381" i="1" s="1"/>
  <c r="Z457" i="1"/>
  <c r="AA457" i="1" s="1"/>
  <c r="Z458" i="1"/>
  <c r="AA458" i="1" s="1"/>
  <c r="Z246" i="1"/>
  <c r="AA246" i="1" s="1"/>
  <c r="Z392" i="1"/>
  <c r="AA392" i="1" s="1"/>
  <c r="Z393" i="1"/>
  <c r="AA393" i="1" s="1"/>
  <c r="Z459" i="1"/>
  <c r="AA459" i="1" s="1"/>
  <c r="Z460" i="1"/>
  <c r="AA460" i="1" s="1"/>
  <c r="Z461" i="1"/>
  <c r="AA461" i="1" s="1"/>
  <c r="Z256" i="1"/>
  <c r="AA256" i="1" s="1"/>
  <c r="Z462" i="1"/>
  <c r="AA462" i="1" s="1"/>
  <c r="Z463" i="1"/>
  <c r="AA463" i="1" s="1"/>
  <c r="Z405" i="1"/>
  <c r="AA405" i="1" s="1"/>
  <c r="Z408" i="1"/>
  <c r="AA408" i="1" s="1"/>
  <c r="Z258" i="1"/>
  <c r="AA258" i="1" s="1"/>
  <c r="Z410" i="1"/>
  <c r="AA410" i="1" s="1"/>
  <c r="Z262" i="1"/>
  <c r="AA262" i="1" s="1"/>
  <c r="Z267" i="1"/>
  <c r="AA267" i="1" s="1"/>
  <c r="Z418" i="1"/>
  <c r="AA418" i="1" s="1"/>
  <c r="Z464" i="1"/>
  <c r="AA464" i="1" s="1"/>
  <c r="Z465" i="1"/>
  <c r="AA465" i="1" s="1"/>
  <c r="Z71" i="1"/>
  <c r="AA71" i="1" s="1"/>
  <c r="Z427" i="1"/>
  <c r="AA427" i="1" s="1"/>
  <c r="Z466" i="1"/>
  <c r="AA466" i="1" s="1"/>
  <c r="Z467" i="1"/>
  <c r="AA467" i="1" s="1"/>
  <c r="Z429" i="1"/>
  <c r="AA429" i="1" s="1"/>
  <c r="Z468" i="1"/>
  <c r="AA468" i="1" s="1"/>
  <c r="Z433" i="1"/>
  <c r="AA433" i="1" s="1"/>
  <c r="Z469" i="1"/>
  <c r="AA469" i="1" s="1"/>
  <c r="Z470" i="1"/>
  <c r="AA470" i="1" s="1"/>
  <c r="Z437" i="1"/>
  <c r="AA437" i="1" s="1"/>
  <c r="Z471" i="1"/>
  <c r="AA471" i="1" s="1"/>
  <c r="Z280" i="1"/>
  <c r="AA280" i="1" s="1"/>
  <c r="Z439" i="1"/>
  <c r="AA439" i="1" s="1"/>
  <c r="Z472" i="1"/>
  <c r="AA472" i="1" s="1"/>
  <c r="Z473" i="1"/>
  <c r="AA473" i="1" s="1"/>
  <c r="Z442" i="1"/>
  <c r="AA442" i="1" s="1"/>
  <c r="Z443" i="1"/>
  <c r="AA443" i="1" s="1"/>
  <c r="Z474" i="1"/>
  <c r="AA474" i="1" s="1"/>
  <c r="Z283" i="1"/>
  <c r="AA283" i="1" s="1"/>
  <c r="Z475" i="1"/>
  <c r="AA475" i="1" s="1"/>
  <c r="Z520" i="1"/>
  <c r="AA520" i="1" s="1"/>
  <c r="Z285" i="1"/>
  <c r="AA285" i="1" s="1"/>
  <c r="Z476" i="1"/>
  <c r="AA476" i="1" s="1"/>
  <c r="Z477" i="1"/>
  <c r="AA477" i="1" s="1"/>
  <c r="Z289" i="1"/>
  <c r="AA289" i="1" s="1"/>
  <c r="Z529" i="1"/>
  <c r="AA529" i="1" s="1"/>
  <c r="Z532" i="1"/>
  <c r="AA532" i="1" s="1"/>
  <c r="Z534" i="1"/>
  <c r="AA534" i="1" s="1"/>
  <c r="Z290" i="1"/>
  <c r="AA290" i="1" s="1"/>
  <c r="Z478" i="1"/>
  <c r="AA478" i="1" s="1"/>
  <c r="Z291" i="1"/>
  <c r="AA291" i="1" s="1"/>
  <c r="Z479" i="1"/>
  <c r="AA479" i="1" s="1"/>
  <c r="Z480" i="1"/>
  <c r="AA480" i="1" s="1"/>
  <c r="Z481" i="1"/>
  <c r="AA481" i="1" s="1"/>
  <c r="Z292" i="1"/>
  <c r="AA292" i="1" s="1"/>
  <c r="Z6" i="1"/>
  <c r="AA6" i="1" s="1"/>
  <c r="Z482" i="1"/>
  <c r="AA482" i="1" s="1"/>
  <c r="Z483" i="1"/>
  <c r="AA483" i="1" s="1"/>
  <c r="Z484" i="1"/>
  <c r="AA484" i="1" s="1"/>
  <c r="Z485" i="1"/>
  <c r="AA485" i="1" s="1"/>
  <c r="Z378" i="1"/>
  <c r="AA378" i="1" s="1"/>
  <c r="Z382" i="1"/>
  <c r="AA382" i="1" s="1"/>
  <c r="Z486" i="1"/>
  <c r="AA486" i="1" s="1"/>
  <c r="Z47" i="1"/>
  <c r="AA47" i="1" s="1"/>
  <c r="Z487" i="1"/>
  <c r="AA487" i="1" s="1"/>
  <c r="Z488" i="1"/>
  <c r="AA488" i="1" s="1"/>
  <c r="Z66" i="1"/>
  <c r="AA66" i="1" s="1"/>
  <c r="Z489" i="1"/>
  <c r="AA489" i="1" s="1"/>
  <c r="Z395" i="1"/>
  <c r="AA395" i="1" s="1"/>
  <c r="Z490" i="1"/>
  <c r="AA490" i="1" s="1"/>
  <c r="Z98" i="1"/>
  <c r="AA98" i="1" s="1"/>
  <c r="Z127" i="1"/>
  <c r="AA127" i="1" s="1"/>
  <c r="Z142" i="1"/>
  <c r="AA142" i="1" s="1"/>
  <c r="Z404" i="1"/>
  <c r="AA404" i="1" s="1"/>
  <c r="Z420" i="1"/>
  <c r="AA420" i="1" s="1"/>
  <c r="Z178" i="1"/>
  <c r="AA178" i="1" s="1"/>
  <c r="Z181" i="1"/>
  <c r="AA181" i="1" s="1"/>
  <c r="Z491" i="1"/>
  <c r="AA491" i="1" s="1"/>
  <c r="Z492" i="1"/>
  <c r="AA492" i="1" s="1"/>
  <c r="Z493" i="1"/>
  <c r="AA493" i="1" s="1"/>
  <c r="Z494" i="1"/>
  <c r="AA494" i="1" s="1"/>
  <c r="Z227" i="1"/>
  <c r="AA227" i="1" s="1"/>
  <c r="Z495" i="1"/>
  <c r="AA495" i="1" s="1"/>
  <c r="Z496" i="1"/>
  <c r="AA496" i="1" s="1"/>
  <c r="Z236" i="1"/>
  <c r="AA236" i="1" s="1"/>
  <c r="Z265" i="1"/>
  <c r="AA265" i="1" s="1"/>
  <c r="Z237" i="1"/>
  <c r="AA237" i="1" s="1"/>
  <c r="Z497" i="1"/>
  <c r="AA497" i="1" s="1"/>
  <c r="Z238" i="1"/>
  <c r="AA238" i="1" s="1"/>
  <c r="Z176" i="1"/>
  <c r="AA176" i="1" s="1"/>
  <c r="Z498" i="1"/>
  <c r="AA498" i="1" s="1"/>
  <c r="Z499" i="1"/>
  <c r="AA499" i="1" s="1"/>
  <c r="Z500" i="1"/>
  <c r="AA500" i="1" s="1"/>
  <c r="Z501" i="1"/>
  <c r="AA501" i="1" s="1"/>
  <c r="Z502" i="1"/>
  <c r="AA502" i="1" s="1"/>
  <c r="Z503" i="1"/>
  <c r="AA503" i="1" s="1"/>
  <c r="Z253" i="1"/>
  <c r="AA253" i="1" s="1"/>
  <c r="Z123" i="1"/>
  <c r="AA123" i="1" s="1"/>
  <c r="Z360" i="1"/>
  <c r="AA360" i="1" s="1"/>
  <c r="Z504" i="1"/>
  <c r="AA504" i="1" s="1"/>
  <c r="Z505" i="1"/>
  <c r="AA505" i="1" s="1"/>
  <c r="Z260" i="1"/>
  <c r="AA260" i="1" s="1"/>
  <c r="Z506" i="1"/>
  <c r="AA506" i="1" s="1"/>
  <c r="Z507" i="1"/>
  <c r="AA507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269" i="1"/>
  <c r="AA269" i="1" s="1"/>
  <c r="Z513" i="1"/>
  <c r="AA513" i="1" s="1"/>
  <c r="Z514" i="1"/>
  <c r="AA514" i="1" s="1"/>
  <c r="Z270" i="1"/>
  <c r="AA270" i="1" s="1"/>
  <c r="Z515" i="1"/>
  <c r="AA515" i="1" s="1"/>
  <c r="Z516" i="1"/>
  <c r="AA516" i="1" s="1"/>
  <c r="Z274" i="1"/>
  <c r="AA274" i="1" s="1"/>
  <c r="Z517" i="1"/>
  <c r="AA517" i="1" s="1"/>
  <c r="Z518" i="1"/>
  <c r="AA518" i="1" s="1"/>
  <c r="Z278" i="1"/>
  <c r="AA278" i="1" s="1"/>
  <c r="Z519" i="1"/>
  <c r="AA519" i="1" s="1"/>
  <c r="Z3" i="1"/>
  <c r="AA3" i="1" s="1"/>
  <c r="Z4" i="1"/>
  <c r="AA4" i="1" s="1"/>
  <c r="Z5" i="1"/>
  <c r="AA5" i="1" s="1"/>
  <c r="Z17" i="1"/>
  <c r="AA17" i="1" s="1"/>
  <c r="Z284" i="1"/>
  <c r="AA284" i="1" s="1"/>
  <c r="Z20" i="1"/>
  <c r="AA20" i="1" s="1"/>
  <c r="Z13" i="1"/>
  <c r="AA13" i="1" s="1"/>
  <c r="Z16" i="1"/>
  <c r="AA16" i="1" s="1"/>
  <c r="Z288" i="1"/>
  <c r="AA288" i="1" s="1"/>
  <c r="Z293" i="1"/>
  <c r="AA293" i="1" s="1"/>
  <c r="Z24" i="1"/>
  <c r="AA24" i="1" s="1"/>
  <c r="Z28" i="1"/>
  <c r="AA28" i="1" s="1"/>
  <c r="Z29" i="1"/>
  <c r="AA29" i="1" s="1"/>
  <c r="Z298" i="1"/>
  <c r="AA298" i="1" s="1"/>
  <c r="Z301" i="1"/>
  <c r="AA301" i="1" s="1"/>
  <c r="Z33" i="1"/>
  <c r="AA33" i="1" s="1"/>
  <c r="Z31" i="1"/>
  <c r="AA31" i="1" s="1"/>
  <c r="Z34" i="1"/>
  <c r="AA34" i="1" s="1"/>
  <c r="Z383" i="1"/>
  <c r="AA383" i="1" s="1"/>
  <c r="Z37" i="1"/>
  <c r="AA37" i="1" s="1"/>
  <c r="Z41" i="1"/>
  <c r="AA41" i="1" s="1"/>
  <c r="Z42" i="1"/>
  <c r="AA42" i="1" s="1"/>
  <c r="Z385" i="1"/>
  <c r="AA385" i="1" s="1"/>
  <c r="Z43" i="1"/>
  <c r="AA43" i="1" s="1"/>
  <c r="Z386" i="1"/>
  <c r="AA386" i="1" s="1"/>
  <c r="Z50" i="1"/>
  <c r="AA50" i="1" s="1"/>
  <c r="Z387" i="1"/>
  <c r="AA387" i="1" s="1"/>
  <c r="Z388" i="1"/>
  <c r="AA388" i="1" s="1"/>
  <c r="Z62" i="1"/>
  <c r="AA62" i="1" s="1"/>
  <c r="Z391" i="1"/>
  <c r="AA391" i="1" s="1"/>
  <c r="Z65" i="1"/>
  <c r="AA65" i="1" s="1"/>
  <c r="Z70" i="1"/>
  <c r="AA70" i="1" s="1"/>
  <c r="Z72" i="1"/>
  <c r="AA72" i="1" s="1"/>
  <c r="Z78" i="1"/>
  <c r="AA78" i="1" s="1"/>
  <c r="Z397" i="1"/>
  <c r="AA397" i="1" s="1"/>
  <c r="Z398" i="1"/>
  <c r="AA398" i="1" s="1"/>
  <c r="Z399" i="1"/>
  <c r="AA399" i="1" s="1"/>
  <c r="Z80" i="1"/>
  <c r="AA80" i="1" s="1"/>
  <c r="Z401" i="1"/>
  <c r="AA401" i="1" s="1"/>
  <c r="Z83" i="1"/>
  <c r="AA83" i="1" s="1"/>
  <c r="Z85" i="1"/>
  <c r="AA85" i="1" s="1"/>
  <c r="Z87" i="1"/>
  <c r="AA87" i="1" s="1"/>
  <c r="Z88" i="1"/>
  <c r="AA88" i="1" s="1"/>
  <c r="Z409" i="1"/>
  <c r="AA409" i="1" s="1"/>
  <c r="Z91" i="1"/>
  <c r="AA91" i="1" s="1"/>
  <c r="Z196" i="1"/>
  <c r="AA196" i="1" s="1"/>
  <c r="Z92" i="1"/>
  <c r="AA92" i="1" s="1"/>
  <c r="Z412" i="1"/>
  <c r="AA412" i="1" s="1"/>
  <c r="Z97" i="1"/>
  <c r="AA97" i="1" s="1"/>
  <c r="Z396" i="1"/>
  <c r="AA396" i="1" s="1"/>
  <c r="Z402" i="1"/>
  <c r="AA402" i="1" s="1"/>
  <c r="Z210" i="1"/>
  <c r="AA210" i="1" s="1"/>
  <c r="Z406" i="1"/>
  <c r="AA406" i="1" s="1"/>
  <c r="Z213" i="1"/>
  <c r="AA213" i="1" s="1"/>
  <c r="Z407" i="1"/>
  <c r="AA407" i="1" s="1"/>
  <c r="Z413" i="1"/>
  <c r="AA413" i="1" s="1"/>
  <c r="Z424" i="1"/>
  <c r="AA424" i="1" s="1"/>
  <c r="Z254" i="1"/>
  <c r="AA254" i="1" s="1"/>
  <c r="Z425" i="1"/>
  <c r="AA425" i="1" s="1"/>
  <c r="Z272" i="1"/>
  <c r="AA272" i="1" s="1"/>
  <c r="Z435" i="1"/>
  <c r="AA435" i="1" s="1"/>
  <c r="Z441" i="1"/>
  <c r="AA441" i="1" s="1"/>
  <c r="Z295" i="1"/>
  <c r="AA295" i="1" s="1"/>
  <c r="Z446" i="1"/>
  <c r="AA446" i="1" s="1"/>
  <c r="Z23" i="1"/>
  <c r="AA23" i="1" s="1"/>
  <c r="Z451" i="1"/>
  <c r="AA451" i="1" s="1"/>
  <c r="Z524" i="1"/>
  <c r="AA524" i="1" s="1"/>
  <c r="Z379" i="1"/>
  <c r="AA379" i="1" s="1"/>
  <c r="Z27" i="1"/>
  <c r="AA27" i="1" s="1"/>
  <c r="Z531" i="1"/>
  <c r="AA531" i="1" s="1"/>
  <c r="Z535" i="1"/>
  <c r="AA535" i="1" s="1"/>
  <c r="Z537" i="1"/>
  <c r="AA537" i="1" s="1"/>
  <c r="Z38" i="1"/>
  <c r="AA38" i="1" s="1"/>
  <c r="Z400" i="1"/>
  <c r="AA400" i="1" s="1"/>
  <c r="Z417" i="1"/>
  <c r="AA417" i="1" s="1"/>
  <c r="Z536" i="1"/>
  <c r="AA536" i="1" s="1"/>
  <c r="Z436" i="1"/>
  <c r="AA436" i="1" s="1"/>
  <c r="Z90" i="1"/>
  <c r="AA90" i="1" s="1"/>
  <c r="Z11" i="1"/>
  <c r="AA11" i="1" s="1"/>
  <c r="Z521" i="1"/>
  <c r="AA521" i="1" s="1"/>
  <c r="Z22" i="1"/>
  <c r="AA22" i="1" s="1"/>
  <c r="Z25" i="1"/>
  <c r="AA25" i="1" s="1"/>
  <c r="Z542" i="1"/>
  <c r="AA542" i="1" s="1"/>
  <c r="Z26" i="1"/>
  <c r="AA26" i="1" s="1"/>
  <c r="Z59" i="1"/>
  <c r="AA59" i="1" s="1"/>
  <c r="Z35" i="1"/>
  <c r="AA35" i="1" s="1"/>
  <c r="Z49" i="1"/>
  <c r="AA49" i="1" s="1"/>
  <c r="Z36" i="1"/>
  <c r="AA36" i="1" s="1"/>
  <c r="Z147" i="1"/>
  <c r="AA147" i="1" s="1"/>
  <c r="Z39" i="1"/>
  <c r="AA39" i="1" s="1"/>
  <c r="Z40" i="1"/>
  <c r="AA40" i="1" s="1"/>
  <c r="Z234" i="1"/>
  <c r="AA234" i="1" s="1"/>
  <c r="Z411" i="1"/>
  <c r="AA411" i="1" s="1"/>
  <c r="Z415" i="1"/>
  <c r="AA415" i="1" s="1"/>
  <c r="Z94" i="1"/>
  <c r="AA94" i="1" s="1"/>
  <c r="Z416" i="1"/>
  <c r="AA416" i="1" s="1"/>
  <c r="Z100" i="1"/>
  <c r="AA100" i="1" s="1"/>
  <c r="Z106" i="1"/>
  <c r="AA106" i="1" s="1"/>
  <c r="Z111" i="1"/>
  <c r="AA111" i="1" s="1"/>
  <c r="Z419" i="1"/>
  <c r="AA419" i="1" s="1"/>
  <c r="Z117" i="1"/>
  <c r="AA117" i="1" s="1"/>
  <c r="Z121" i="1"/>
  <c r="AA121" i="1" s="1"/>
  <c r="Z128" i="1"/>
  <c r="AA128" i="1" s="1"/>
  <c r="Z129" i="1"/>
  <c r="AA129" i="1" s="1"/>
  <c r="Z132" i="1"/>
  <c r="AA132" i="1" s="1"/>
  <c r="Z141" i="1"/>
  <c r="AA141" i="1" s="1"/>
  <c r="Z428" i="1"/>
  <c r="AA428" i="1" s="1"/>
  <c r="Z149" i="1"/>
  <c r="AA149" i="1" s="1"/>
  <c r="Z163" i="1"/>
  <c r="AA163" i="1" s="1"/>
  <c r="Z432" i="1"/>
  <c r="AA432" i="1" s="1"/>
  <c r="Z165" i="1"/>
  <c r="AA165" i="1" s="1"/>
  <c r="Z434" i="1"/>
  <c r="AA434" i="1" s="1"/>
  <c r="Z168" i="1"/>
  <c r="AA168" i="1" s="1"/>
  <c r="Z438" i="1"/>
  <c r="AA438" i="1" s="1"/>
  <c r="Z164" i="1"/>
  <c r="AA164" i="1" s="1"/>
  <c r="Z440" i="1"/>
  <c r="AA440" i="1" s="1"/>
  <c r="Z171" i="1"/>
  <c r="AA171" i="1" s="1"/>
  <c r="Z174" i="1"/>
  <c r="AA174" i="1" s="1"/>
  <c r="Z447" i="1"/>
  <c r="AA447" i="1" s="1"/>
  <c r="Z450" i="1"/>
  <c r="AA450" i="1" s="1"/>
  <c r="Z183" i="1"/>
  <c r="AA183" i="1" s="1"/>
  <c r="Z523" i="1"/>
  <c r="AA523" i="1" s="1"/>
  <c r="Z190" i="1"/>
  <c r="AA190" i="1" s="1"/>
  <c r="Z530" i="1"/>
  <c r="AA530" i="1" s="1"/>
  <c r="Z193" i="1"/>
  <c r="AA193" i="1" s="1"/>
  <c r="Z194" i="1"/>
  <c r="AA194" i="1" s="1"/>
  <c r="Z199" i="1"/>
  <c r="AA199" i="1" s="1"/>
  <c r="Z203" i="1"/>
  <c r="AA203" i="1" s="1"/>
  <c r="Z185" i="1"/>
  <c r="AA185" i="1" s="1"/>
  <c r="Z207" i="1"/>
  <c r="AA207" i="1" s="1"/>
  <c r="Z541" i="1"/>
  <c r="AA541" i="1" s="1"/>
  <c r="Z214" i="1"/>
  <c r="AA214" i="1" s="1"/>
  <c r="Z543" i="1"/>
  <c r="AA543" i="1" s="1"/>
  <c r="Z544" i="1"/>
  <c r="AA544" i="1" s="1"/>
  <c r="Z545" i="1"/>
  <c r="AA545" i="1" s="1"/>
  <c r="Z216" i="1"/>
  <c r="AA216" i="1" s="1"/>
  <c r="Z257" i="1"/>
  <c r="AA257" i="1" s="1"/>
  <c r="Z217" i="1"/>
  <c r="AA217" i="1" s="1"/>
  <c r="Z215" i="1"/>
  <c r="AA215" i="1" s="1"/>
  <c r="Z218" i="1"/>
  <c r="AA218" i="1" s="1"/>
  <c r="Z219" i="1"/>
  <c r="AA219" i="1" s="1"/>
  <c r="Z55" i="1"/>
  <c r="AA55" i="1" s="1"/>
  <c r="Z220" i="1"/>
  <c r="AA220" i="1" s="1"/>
  <c r="Z223" i="1"/>
  <c r="AA223" i="1" s="1"/>
  <c r="Z224" i="1"/>
  <c r="AA224" i="1" s="1"/>
  <c r="Z130" i="1"/>
  <c r="AA130" i="1" s="1"/>
  <c r="Z221" i="1"/>
  <c r="AA221" i="1" s="1"/>
  <c r="Z225" i="1"/>
  <c r="AA225" i="1" s="1"/>
  <c r="Z228" i="1"/>
  <c r="AA228" i="1" s="1"/>
  <c r="Z431" i="1"/>
  <c r="AA431" i="1" s="1"/>
  <c r="Z240" i="1"/>
  <c r="AA240" i="1" s="1"/>
  <c r="Z243" i="1"/>
  <c r="AA243" i="1" s="1"/>
  <c r="Z247" i="1"/>
  <c r="AA247" i="1" s="1"/>
  <c r="Z250" i="1"/>
  <c r="AA250" i="1" s="1"/>
  <c r="Z251" i="1"/>
  <c r="AA251" i="1" s="1"/>
  <c r="Z252" i="1"/>
  <c r="AA252" i="1" s="1"/>
  <c r="Z64" i="1"/>
  <c r="AA64" i="1" s="1"/>
  <c r="Z189" i="1"/>
  <c r="AA189" i="1" s="1"/>
  <c r="Z146" i="1"/>
  <c r="AA146" i="1" s="1"/>
  <c r="Z45" i="1"/>
  <c r="AA45" i="1" s="1"/>
  <c r="Z61" i="1"/>
  <c r="AA61" i="1" s="1"/>
  <c r="Z63" i="1"/>
  <c r="AA63" i="1" s="1"/>
  <c r="Z76" i="1"/>
  <c r="AA76" i="1" s="1"/>
  <c r="Z77" i="1"/>
  <c r="AA77" i="1" s="1"/>
  <c r="Z79" i="1"/>
  <c r="AA79" i="1" s="1"/>
  <c r="Z56" i="1"/>
  <c r="AA56" i="1" s="1"/>
  <c r="Z82" i="1"/>
  <c r="AA82" i="1" s="1"/>
  <c r="Z69" i="1"/>
  <c r="AA69" i="1" s="1"/>
  <c r="Z84" i="1"/>
  <c r="AA84" i="1" s="1"/>
  <c r="Z95" i="1"/>
  <c r="AA95" i="1" s="1"/>
  <c r="Z99" i="1"/>
  <c r="AA99" i="1" s="1"/>
  <c r="Z105" i="1"/>
  <c r="AA105" i="1" s="1"/>
  <c r="Z109" i="1"/>
  <c r="AA109" i="1" s="1"/>
  <c r="Z384" i="1"/>
  <c r="AA384" i="1" s="1"/>
  <c r="Z120" i="1"/>
  <c r="AA120" i="1" s="1"/>
  <c r="Z108" i="1"/>
  <c r="AA108" i="1" s="1"/>
  <c r="Z170" i="1"/>
  <c r="AA170" i="1" s="1"/>
  <c r="Z528" i="1"/>
  <c r="AA528" i="1" s="1"/>
  <c r="Z177" i="1"/>
  <c r="AA177" i="1" s="1"/>
  <c r="Z179" i="1"/>
  <c r="AA179" i="1" s="1"/>
  <c r="Z113" i="1"/>
  <c r="AA113" i="1" s="1"/>
  <c r="Z259" i="1"/>
  <c r="AA259" i="1" s="1"/>
  <c r="Z116" i="1"/>
  <c r="AA116" i="1" s="1"/>
  <c r="Z264" i="1"/>
  <c r="AA264" i="1" s="1"/>
  <c r="Z266" i="1"/>
  <c r="AA266" i="1" s="1"/>
  <c r="Z124" i="1"/>
  <c r="AA124" i="1" s="1"/>
  <c r="Z268" i="1"/>
  <c r="AA268" i="1" s="1"/>
  <c r="Z281" i="1"/>
  <c r="AA281" i="1" s="1"/>
  <c r="Z133" i="1"/>
  <c r="AA133" i="1" s="1"/>
  <c r="Z282" i="1"/>
  <c r="AA282" i="1" s="1"/>
  <c r="Z294" i="1"/>
  <c r="AA294" i="1" s="1"/>
  <c r="Z297" i="1"/>
  <c r="AA297" i="1" s="1"/>
  <c r="Z299" i="1"/>
  <c r="AA299" i="1" s="1"/>
  <c r="Z377" i="1"/>
  <c r="AA377" i="1" s="1"/>
  <c r="Z394" i="1"/>
  <c r="AA394" i="1" s="1"/>
  <c r="Z148" i="1"/>
  <c r="AA148" i="1" s="1"/>
  <c r="Z421" i="1"/>
  <c r="AA421" i="1" s="1"/>
  <c r="Z161" i="1"/>
  <c r="AA161" i="1" s="1"/>
  <c r="Z445" i="1"/>
  <c r="AA445" i="1" s="1"/>
  <c r="Z166" i="1"/>
  <c r="AA166" i="1" s="1"/>
  <c r="Z167" i="1"/>
  <c r="AA167" i="1" s="1"/>
  <c r="Z73" i="1"/>
  <c r="AA73" i="1" s="1"/>
  <c r="Z448" i="1"/>
  <c r="AA448" i="1" s="1"/>
  <c r="Z7" i="1"/>
  <c r="AA7" i="1" s="1"/>
  <c r="Z302" i="1"/>
  <c r="AA302" i="1" s="1"/>
  <c r="Z376" i="1"/>
  <c r="AA376" i="1" s="1"/>
  <c r="Z380" i="1"/>
  <c r="AA380" i="1" s="1"/>
  <c r="Z10" i="1"/>
  <c r="AA10" i="1" s="1"/>
  <c r="Z184" i="1"/>
  <c r="AA184" i="1" s="1"/>
  <c r="Z186" i="1"/>
  <c r="AA186" i="1" s="1"/>
  <c r="Z12" i="1"/>
  <c r="AA12" i="1" s="1"/>
  <c r="Z389" i="1"/>
  <c r="AA389" i="1" s="1"/>
  <c r="Z14" i="1"/>
  <c r="AA14" i="1" s="1"/>
  <c r="Z206" i="1"/>
  <c r="AA206" i="1" s="1"/>
  <c r="Z15" i="1"/>
  <c r="AA15" i="1" s="1"/>
  <c r="Z209" i="1"/>
  <c r="AA209" i="1" s="1"/>
  <c r="Z403" i="1"/>
  <c r="AA403" i="1" s="1"/>
  <c r="Z211" i="1"/>
  <c r="AA211" i="1" s="1"/>
  <c r="Z18" i="1"/>
  <c r="AA18" i="1" s="1"/>
  <c r="Z222" i="1"/>
  <c r="AA222" i="1" s="1"/>
  <c r="Z226" i="1"/>
  <c r="AA226" i="1" s="1"/>
  <c r="Z423" i="1"/>
  <c r="AA423" i="1" s="1"/>
  <c r="Z390" i="1"/>
  <c r="AA390" i="1" s="1"/>
  <c r="Z426" i="1"/>
  <c r="AA426" i="1" s="1"/>
  <c r="Z430" i="1"/>
  <c r="AA430" i="1" s="1"/>
  <c r="Z287" i="1"/>
  <c r="AA287" i="1" s="1"/>
  <c r="Z444" i="1"/>
  <c r="AA444" i="1" s="1"/>
  <c r="Z296" i="1"/>
  <c r="AA296" i="1" s="1"/>
  <c r="Z449" i="1"/>
  <c r="AA449" i="1" s="1"/>
  <c r="Z522" i="1"/>
  <c r="AA522" i="1" s="1"/>
  <c r="Z525" i="1"/>
  <c r="AA525" i="1" s="1"/>
  <c r="Z526" i="1"/>
  <c r="AA526" i="1" s="1"/>
  <c r="Z527" i="1"/>
  <c r="AA527" i="1" s="1"/>
  <c r="Z271" i="1"/>
  <c r="AA271" i="1" s="1"/>
  <c r="Z539" i="1"/>
  <c r="AA539" i="1" s="1"/>
  <c r="Z414" i="1"/>
  <c r="AA414" i="1" s="1"/>
  <c r="Z533" i="1"/>
  <c r="AA533" i="1" s="1"/>
  <c r="Z538" i="1"/>
  <c r="AA538" i="1" s="1"/>
  <c r="Z9" i="1"/>
  <c r="AA9" i="1" s="1"/>
  <c r="Z19" i="1"/>
  <c r="AA19" i="1" s="1"/>
  <c r="Z46" i="1"/>
  <c r="AA46" i="1" s="1"/>
  <c r="Z540" i="1"/>
  <c r="AA540" i="1" s="1"/>
  <c r="Z48" i="1"/>
  <c r="AA48" i="1" s="1"/>
  <c r="Z30" i="1"/>
  <c r="AA30" i="1" s="1"/>
  <c r="Z107" i="1"/>
  <c r="AA107" i="1" s="1"/>
  <c r="Z122" i="1"/>
  <c r="AA122" i="1" s="1"/>
  <c r="Z139" i="1"/>
  <c r="AA139" i="1" s="1"/>
  <c r="Z273" i="1"/>
  <c r="AA273" i="1" s="1"/>
  <c r="Z233" i="1"/>
  <c r="AA2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0B2B7851-9F7F-4C9A-85F2-289A14FFC3E4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<sst xmlns="http://schemas.openxmlformats.org/spreadsheetml/2006/main" count="2683" uniqueCount="1171">
  <si>
    <t>P Code</t>
  </si>
  <si>
    <t>ADM3_PCODE</t>
  </si>
  <si>
    <t>District</t>
  </si>
  <si>
    <t>Vul_INFORM</t>
  </si>
  <si>
    <t>Norm_Vul</t>
  </si>
  <si>
    <t>Wind Gust</t>
  </si>
  <si>
    <t>Norm_Wind Gust</t>
  </si>
  <si>
    <t>Rainfall</t>
  </si>
  <si>
    <t>Norm_Rainfall</t>
  </si>
  <si>
    <t>Storm Surge</t>
  </si>
  <si>
    <t>Norm_Storm Surge</t>
  </si>
  <si>
    <t>Norm_VCI</t>
  </si>
  <si>
    <t>fAPAR</t>
  </si>
  <si>
    <t>Norm_fAPAR</t>
  </si>
  <si>
    <t>Impact(VCI+fAPAR)</t>
  </si>
  <si>
    <t>Norm_Impact_VCI+F</t>
  </si>
  <si>
    <t>Classification</t>
  </si>
  <si>
    <t>Impact_fAPAR</t>
  </si>
  <si>
    <t>Norm_Impact_fAPAR</t>
  </si>
  <si>
    <t>Impact(VCI)</t>
  </si>
  <si>
    <t>Norm_Impact_VCI</t>
  </si>
  <si>
    <t>Total Number of House</t>
  </si>
  <si>
    <t>Norm_House</t>
  </si>
  <si>
    <t>Impact_House</t>
  </si>
  <si>
    <t>Norm_Impact_House</t>
  </si>
  <si>
    <t>BD100409</t>
  </si>
  <si>
    <t>Barguna</t>
  </si>
  <si>
    <t>Amtali</t>
  </si>
  <si>
    <t>BD100419</t>
  </si>
  <si>
    <t>Bamna</t>
  </si>
  <si>
    <t>BD100428</t>
  </si>
  <si>
    <t>Barguna Sadar</t>
  </si>
  <si>
    <t>BD100447</t>
  </si>
  <si>
    <t>Betagi</t>
  </si>
  <si>
    <t>BD100485</t>
  </si>
  <si>
    <t>Patharghata</t>
  </si>
  <si>
    <t>BD100602</t>
  </si>
  <si>
    <t>Barisal</t>
  </si>
  <si>
    <t>Agailjhara</t>
  </si>
  <si>
    <t>BD100603</t>
  </si>
  <si>
    <t>Babuganj</t>
  </si>
  <si>
    <t>BD100607</t>
  </si>
  <si>
    <t>Bakerganj</t>
  </si>
  <si>
    <t>BD100610</t>
  </si>
  <si>
    <t>Banari Para</t>
  </si>
  <si>
    <t>BD100632</t>
  </si>
  <si>
    <t>Gaurnadi</t>
  </si>
  <si>
    <t>BD100636</t>
  </si>
  <si>
    <t>Hizla</t>
  </si>
  <si>
    <t>BD100651</t>
  </si>
  <si>
    <t>BD100662</t>
  </si>
  <si>
    <t>Mehendiganj</t>
  </si>
  <si>
    <t>BD100669</t>
  </si>
  <si>
    <t>Muladi</t>
  </si>
  <si>
    <t>BD100694</t>
  </si>
  <si>
    <t>Wazirpur</t>
  </si>
  <si>
    <t>BD100918</t>
  </si>
  <si>
    <t>Bhola</t>
  </si>
  <si>
    <t>Bhola Sadar</t>
  </si>
  <si>
    <t>BD100921</t>
  </si>
  <si>
    <t>Burhanuddin</t>
  </si>
  <si>
    <t>BD100925</t>
  </si>
  <si>
    <t>Char Fasson</t>
  </si>
  <si>
    <t>BD100929</t>
  </si>
  <si>
    <t>BD100954</t>
  </si>
  <si>
    <t>Lalmohan</t>
  </si>
  <si>
    <t>BD100965</t>
  </si>
  <si>
    <t>Manpura</t>
  </si>
  <si>
    <t>BD100991</t>
  </si>
  <si>
    <t>Tazumuddin</t>
  </si>
  <si>
    <t>BD104240</t>
  </si>
  <si>
    <t>Jhalokati</t>
  </si>
  <si>
    <t>Jhalokati Sadar</t>
  </si>
  <si>
    <t>BD104243</t>
  </si>
  <si>
    <t>Kanthalia</t>
  </si>
  <si>
    <t>BD104273</t>
  </si>
  <si>
    <t>Nalchity</t>
  </si>
  <si>
    <t>BD104284</t>
  </si>
  <si>
    <t>Rajapur</t>
  </si>
  <si>
    <t>BD107838</t>
  </si>
  <si>
    <t>Patuakhali</t>
  </si>
  <si>
    <t>Bauphal</t>
  </si>
  <si>
    <t>BD107852</t>
  </si>
  <si>
    <t>Dashmina</t>
  </si>
  <si>
    <t>BD107855</t>
  </si>
  <si>
    <t>Dumki</t>
  </si>
  <si>
    <t>BD107857</t>
  </si>
  <si>
    <t>Galachipa</t>
  </si>
  <si>
    <t>BD107866</t>
  </si>
  <si>
    <t>Kala Para</t>
  </si>
  <si>
    <t>BD107876</t>
  </si>
  <si>
    <t>Mirzaganj</t>
  </si>
  <si>
    <t>BD107895</t>
  </si>
  <si>
    <t>Patuakhali Sadar</t>
  </si>
  <si>
    <t>BD107914</t>
  </si>
  <si>
    <t>Pirojpur</t>
  </si>
  <si>
    <t>Bhandaria</t>
  </si>
  <si>
    <t>BD107947</t>
  </si>
  <si>
    <t>Kawkhali</t>
  </si>
  <si>
    <t>BD107958</t>
  </si>
  <si>
    <t>Mathbaria</t>
  </si>
  <si>
    <t>BD107976</t>
  </si>
  <si>
    <t>Nazirpur</t>
  </si>
  <si>
    <t>BD107980</t>
  </si>
  <si>
    <t>Pirojpur Sadar</t>
  </si>
  <si>
    <t>BD107987</t>
  </si>
  <si>
    <t>BD107990</t>
  </si>
  <si>
    <t>Zianagar</t>
  </si>
  <si>
    <t>BD200304</t>
  </si>
  <si>
    <t>Bandarban</t>
  </si>
  <si>
    <t>Alikadam</t>
  </si>
  <si>
    <t>BD200314</t>
  </si>
  <si>
    <t>Bandarban Sadar</t>
  </si>
  <si>
    <t>BD200351</t>
  </si>
  <si>
    <t>Lama</t>
  </si>
  <si>
    <t>BD200373</t>
  </si>
  <si>
    <t>Naikhongchhari</t>
  </si>
  <si>
    <t>BD200389</t>
  </si>
  <si>
    <t>Rowangchhari</t>
  </si>
  <si>
    <t>BD200391</t>
  </si>
  <si>
    <t>Ruma</t>
  </si>
  <si>
    <t>BD200395</t>
  </si>
  <si>
    <t>Thanchi</t>
  </si>
  <si>
    <t>BD201202</t>
  </si>
  <si>
    <t>Akhaura</t>
  </si>
  <si>
    <t>BD201204</t>
  </si>
  <si>
    <t>Banchharampur</t>
  </si>
  <si>
    <t>BD201207</t>
  </si>
  <si>
    <t>BD201213</t>
  </si>
  <si>
    <t>Brahmanbaria Sadar</t>
  </si>
  <si>
    <t>BD201233</t>
  </si>
  <si>
    <t>Ashuganj</t>
  </si>
  <si>
    <t>BD201263</t>
  </si>
  <si>
    <t>Kasba</t>
  </si>
  <si>
    <t>BD201285</t>
  </si>
  <si>
    <t>Nabinagar</t>
  </si>
  <si>
    <t>BD201290</t>
  </si>
  <si>
    <t>Nasirnagar</t>
  </si>
  <si>
    <t>BD201294</t>
  </si>
  <si>
    <t>Sarail</t>
  </si>
  <si>
    <t>BD201322</t>
  </si>
  <si>
    <t>Chandpur</t>
  </si>
  <si>
    <t>Chandpur Sadar</t>
  </si>
  <si>
    <t>BD201345</t>
  </si>
  <si>
    <t>Faridganj</t>
  </si>
  <si>
    <t>BD201347</t>
  </si>
  <si>
    <t>Haim Char</t>
  </si>
  <si>
    <t>BD201349</t>
  </si>
  <si>
    <t>Hajiganj</t>
  </si>
  <si>
    <t>BD201358</t>
  </si>
  <si>
    <t>BD201376</t>
  </si>
  <si>
    <t>Matlab Dakshin</t>
  </si>
  <si>
    <t>BD201379</t>
  </si>
  <si>
    <t>BD201395</t>
  </si>
  <si>
    <t>Shahrasti</t>
  </si>
  <si>
    <t>BD201504</t>
  </si>
  <si>
    <t>Anowara</t>
  </si>
  <si>
    <t>BD201506</t>
  </si>
  <si>
    <t>Bayejid Bostami</t>
  </si>
  <si>
    <t>BD201508</t>
  </si>
  <si>
    <t>Banshkhali</t>
  </si>
  <si>
    <t>BD201510</t>
  </si>
  <si>
    <t>Bakalia</t>
  </si>
  <si>
    <t>BD201512</t>
  </si>
  <si>
    <t>Boalkhali</t>
  </si>
  <si>
    <t>BD201518</t>
  </si>
  <si>
    <t>Chandanaish</t>
  </si>
  <si>
    <t>BD201519</t>
  </si>
  <si>
    <t>Chandgaon</t>
  </si>
  <si>
    <t>BD201520</t>
  </si>
  <si>
    <t>Chittagong Port</t>
  </si>
  <si>
    <t>BD201528</t>
  </si>
  <si>
    <t>Double Mooring</t>
  </si>
  <si>
    <t>BD201533</t>
  </si>
  <si>
    <t>Fatikchhari</t>
  </si>
  <si>
    <t>BD201535</t>
  </si>
  <si>
    <t>Halishahar</t>
  </si>
  <si>
    <t>BD201537</t>
  </si>
  <si>
    <t>Hathazari</t>
  </si>
  <si>
    <t>BD201541</t>
  </si>
  <si>
    <t>BD201543</t>
  </si>
  <si>
    <t>Khulshi</t>
  </si>
  <si>
    <t>BD201547</t>
  </si>
  <si>
    <t>BD201553</t>
  </si>
  <si>
    <t>Mirsharai</t>
  </si>
  <si>
    <t>BD201555</t>
  </si>
  <si>
    <t>Pahartali</t>
  </si>
  <si>
    <t>BD201557</t>
  </si>
  <si>
    <t>Panchlaish</t>
  </si>
  <si>
    <t>BD201561</t>
  </si>
  <si>
    <t>Patiya</t>
  </si>
  <si>
    <t>BD201565</t>
  </si>
  <si>
    <t>Patenga</t>
  </si>
  <si>
    <t>BD201570</t>
  </si>
  <si>
    <t>Rangunia</t>
  </si>
  <si>
    <t>BD201574</t>
  </si>
  <si>
    <t>Raozan</t>
  </si>
  <si>
    <t>BD201578</t>
  </si>
  <si>
    <t>Sandwip</t>
  </si>
  <si>
    <t>BD201582</t>
  </si>
  <si>
    <t>Satkania</t>
  </si>
  <si>
    <t>BD201586</t>
  </si>
  <si>
    <t>Sitakunda</t>
  </si>
  <si>
    <t>BD201909</t>
  </si>
  <si>
    <t>Barura</t>
  </si>
  <si>
    <t>BD201915</t>
  </si>
  <si>
    <t>Brahman Para</t>
  </si>
  <si>
    <t>BD201918</t>
  </si>
  <si>
    <t>Burichang</t>
  </si>
  <si>
    <t>BD201927</t>
  </si>
  <si>
    <t>Chandina</t>
  </si>
  <si>
    <t>BD201931</t>
  </si>
  <si>
    <t>Chauddagram</t>
  </si>
  <si>
    <t>BD201933</t>
  </si>
  <si>
    <t>Comilla Sadar Dakshin</t>
  </si>
  <si>
    <t>BD201936</t>
  </si>
  <si>
    <t>Daudkandi</t>
  </si>
  <si>
    <t>BD201940</t>
  </si>
  <si>
    <t>Debidwar</t>
  </si>
  <si>
    <t>BD201954</t>
  </si>
  <si>
    <t>Homna</t>
  </si>
  <si>
    <t>BD201967</t>
  </si>
  <si>
    <t>Comilla Adarsha Sadar</t>
  </si>
  <si>
    <t>BD201972</t>
  </si>
  <si>
    <t>Laksam</t>
  </si>
  <si>
    <t>BD201974</t>
  </si>
  <si>
    <t>Manoharganj</t>
  </si>
  <si>
    <t>BD201975</t>
  </si>
  <si>
    <t>Meghna</t>
  </si>
  <si>
    <t>BD201981</t>
  </si>
  <si>
    <t>Muradnagar</t>
  </si>
  <si>
    <t>BD201987</t>
  </si>
  <si>
    <t>Nangalkot</t>
  </si>
  <si>
    <t>BD201994</t>
  </si>
  <si>
    <t>Titas</t>
  </si>
  <si>
    <t>BD202216</t>
  </si>
  <si>
    <t>Cox's Bazar</t>
  </si>
  <si>
    <t>Chakaria</t>
  </si>
  <si>
    <t>BD202224</t>
  </si>
  <si>
    <t>Cox's Bazar Sadar</t>
  </si>
  <si>
    <t>BD202245</t>
  </si>
  <si>
    <t>Kutubdia</t>
  </si>
  <si>
    <t>BD202249</t>
  </si>
  <si>
    <t>Maheshkhali</t>
  </si>
  <si>
    <t>BD202256</t>
  </si>
  <si>
    <t>Pekua</t>
  </si>
  <si>
    <t>BD202266</t>
  </si>
  <si>
    <t>Ramu</t>
  </si>
  <si>
    <t>BD202290</t>
  </si>
  <si>
    <t>Teknaf</t>
  </si>
  <si>
    <t>BD202294</t>
  </si>
  <si>
    <t>Ukhia</t>
  </si>
  <si>
    <t>BD203014</t>
  </si>
  <si>
    <t>Feni</t>
  </si>
  <si>
    <t>Chhagalnaiya</t>
  </si>
  <si>
    <t>BD203025</t>
  </si>
  <si>
    <t>Daganbhuiyan</t>
  </si>
  <si>
    <t>BD203029</t>
  </si>
  <si>
    <t>Feni Sadar</t>
  </si>
  <si>
    <t>BD203041</t>
  </si>
  <si>
    <t>Fulgazi</t>
  </si>
  <si>
    <t>BD203051</t>
  </si>
  <si>
    <t>Parshuram</t>
  </si>
  <si>
    <t>BD203094</t>
  </si>
  <si>
    <t>Sonagazi</t>
  </si>
  <si>
    <t>BD204643</t>
  </si>
  <si>
    <t>Khagrachhari</t>
  </si>
  <si>
    <t>Dighinala</t>
  </si>
  <si>
    <t>BD204649</t>
  </si>
  <si>
    <t>Khagrachhari Sadar</t>
  </si>
  <si>
    <t>BD204661</t>
  </si>
  <si>
    <t>Lakshmichhari</t>
  </si>
  <si>
    <t>BD204665</t>
  </si>
  <si>
    <t>Mahalchhari</t>
  </si>
  <si>
    <t>BD204667</t>
  </si>
  <si>
    <t>Manikchhari</t>
  </si>
  <si>
    <t>BD204670</t>
  </si>
  <si>
    <t>Matiranga</t>
  </si>
  <si>
    <t>BD204677</t>
  </si>
  <si>
    <t>Panchhari</t>
  </si>
  <si>
    <t>BD204680</t>
  </si>
  <si>
    <t>Ramgarh</t>
  </si>
  <si>
    <t>BD205133</t>
  </si>
  <si>
    <t>Lakshmipur</t>
  </si>
  <si>
    <t>Kamalnagar</t>
  </si>
  <si>
    <t>BD205143</t>
  </si>
  <si>
    <t>Lakshmipur Sadar</t>
  </si>
  <si>
    <t>BD205158</t>
  </si>
  <si>
    <t>Roypur</t>
  </si>
  <si>
    <t>BD205165</t>
  </si>
  <si>
    <t>Ramganj</t>
  </si>
  <si>
    <t>BD205173</t>
  </si>
  <si>
    <t>Ramgati</t>
  </si>
  <si>
    <t>BD207507</t>
  </si>
  <si>
    <t>Noakhali</t>
  </si>
  <si>
    <t>Begumganj</t>
  </si>
  <si>
    <t>BD207510</t>
  </si>
  <si>
    <t>Chatkhil</t>
  </si>
  <si>
    <t>BD207521</t>
  </si>
  <si>
    <t>BD207536</t>
  </si>
  <si>
    <t>Hatiya</t>
  </si>
  <si>
    <t>BD207547</t>
  </si>
  <si>
    <t>Kabirhat</t>
  </si>
  <si>
    <t>BD207580</t>
  </si>
  <si>
    <t>Senbagh</t>
  </si>
  <si>
    <t>BD207583</t>
  </si>
  <si>
    <t>Sonaimuri</t>
  </si>
  <si>
    <t>BD207585</t>
  </si>
  <si>
    <t>Subarnachar</t>
  </si>
  <si>
    <t>BD207587</t>
  </si>
  <si>
    <t>BD208407</t>
  </si>
  <si>
    <t>Rangamati</t>
  </si>
  <si>
    <t>Baghai Chhari</t>
  </si>
  <si>
    <t>BD208421</t>
  </si>
  <si>
    <t>Barkal</t>
  </si>
  <si>
    <t>BD208425</t>
  </si>
  <si>
    <t>BD208429</t>
  </si>
  <si>
    <t>Belai Chhari</t>
  </si>
  <si>
    <t>BD208436</t>
  </si>
  <si>
    <t>Kaptai</t>
  </si>
  <si>
    <t>BD208447</t>
  </si>
  <si>
    <t>Jurai Chhari</t>
  </si>
  <si>
    <t>BD208458</t>
  </si>
  <si>
    <t>Langadu</t>
  </si>
  <si>
    <t>BD208475</t>
  </si>
  <si>
    <t>Naniarchar</t>
  </si>
  <si>
    <t>BD208478</t>
  </si>
  <si>
    <t>Rajasthali</t>
  </si>
  <si>
    <t>BD208487</t>
  </si>
  <si>
    <t>Rangamati Sadar</t>
  </si>
  <si>
    <t>BD302602</t>
  </si>
  <si>
    <t>Dhaka</t>
  </si>
  <si>
    <t>Adabor</t>
  </si>
  <si>
    <t>BD302604</t>
  </si>
  <si>
    <t>Badda</t>
  </si>
  <si>
    <t>BD302605</t>
  </si>
  <si>
    <t>Bangshal</t>
  </si>
  <si>
    <t>BD302606</t>
  </si>
  <si>
    <t>BD302608</t>
  </si>
  <si>
    <t>Cantonment</t>
  </si>
  <si>
    <t>BD302609</t>
  </si>
  <si>
    <t>BD302610</t>
  </si>
  <si>
    <t>Dakshinkhan</t>
  </si>
  <si>
    <t>BD302611</t>
  </si>
  <si>
    <t>Darus Salam</t>
  </si>
  <si>
    <t>BD302612</t>
  </si>
  <si>
    <t>Demra</t>
  </si>
  <si>
    <t>BD302614</t>
  </si>
  <si>
    <t>Dhamrai</t>
  </si>
  <si>
    <t>BD302616</t>
  </si>
  <si>
    <t>Dhanmondi</t>
  </si>
  <si>
    <t>BD302618</t>
  </si>
  <si>
    <t>Dohar</t>
  </si>
  <si>
    <t>BD302624</t>
  </si>
  <si>
    <t>Gendaria</t>
  </si>
  <si>
    <t>BD302626</t>
  </si>
  <si>
    <t>Gulshan</t>
  </si>
  <si>
    <t>BD302628</t>
  </si>
  <si>
    <t>Hazaribagh</t>
  </si>
  <si>
    <t>BD302629</t>
  </si>
  <si>
    <t>Jatrabari</t>
  </si>
  <si>
    <t>BD302630</t>
  </si>
  <si>
    <t>Kafrul</t>
  </si>
  <si>
    <t>BD302632</t>
  </si>
  <si>
    <t>Kadamtali</t>
  </si>
  <si>
    <t>BD302633</t>
  </si>
  <si>
    <t>Kalabagan</t>
  </si>
  <si>
    <t>BD302634</t>
  </si>
  <si>
    <t>Kamrangir Char</t>
  </si>
  <si>
    <t>BD302636</t>
  </si>
  <si>
    <t>Khilgaon</t>
  </si>
  <si>
    <t>BD302637</t>
  </si>
  <si>
    <t>Khilkhet</t>
  </si>
  <si>
    <t>BD302638</t>
  </si>
  <si>
    <t>Keraniganj</t>
  </si>
  <si>
    <t>BD302640</t>
  </si>
  <si>
    <t>BD302642</t>
  </si>
  <si>
    <t>Lalbagh</t>
  </si>
  <si>
    <t>BD302648</t>
  </si>
  <si>
    <t>BD302650</t>
  </si>
  <si>
    <t>BD302654</t>
  </si>
  <si>
    <t>Motijheel</t>
  </si>
  <si>
    <t>BD302662</t>
  </si>
  <si>
    <t>Nawabganj</t>
  </si>
  <si>
    <t>BD302663</t>
  </si>
  <si>
    <t>New Market</t>
  </si>
  <si>
    <t>BD302664</t>
  </si>
  <si>
    <t>Pallabi</t>
  </si>
  <si>
    <t>BD302665</t>
  </si>
  <si>
    <t>Paltan</t>
  </si>
  <si>
    <t>BD302666</t>
  </si>
  <si>
    <t>Ramna</t>
  </si>
  <si>
    <t>BD302667</t>
  </si>
  <si>
    <t>Rampura</t>
  </si>
  <si>
    <t>BD302668</t>
  </si>
  <si>
    <t>Sabujbagh</t>
  </si>
  <si>
    <t>BD302672</t>
  </si>
  <si>
    <t>Savar</t>
  </si>
  <si>
    <t>BD302674</t>
  </si>
  <si>
    <t>Shah Ali</t>
  </si>
  <si>
    <t>BD302675</t>
  </si>
  <si>
    <t>Shahbagh</t>
  </si>
  <si>
    <t>BD302676</t>
  </si>
  <si>
    <t>Shyampur</t>
  </si>
  <si>
    <t>BD302680</t>
  </si>
  <si>
    <t>BD302688</t>
  </si>
  <si>
    <t>Sutrapur</t>
  </si>
  <si>
    <t>BD302690</t>
  </si>
  <si>
    <t>Tejgaon</t>
  </si>
  <si>
    <t>BD302692</t>
  </si>
  <si>
    <t>Tejgaon Ind. Area</t>
  </si>
  <si>
    <t>BD302693</t>
  </si>
  <si>
    <t>Turag</t>
  </si>
  <si>
    <t>BD302695</t>
  </si>
  <si>
    <t>Uttara</t>
  </si>
  <si>
    <t>BD302696</t>
  </si>
  <si>
    <t>Uttar Khan</t>
  </si>
  <si>
    <t>BD302903</t>
  </si>
  <si>
    <t>Faridpur</t>
  </si>
  <si>
    <t>Alfadanga</t>
  </si>
  <si>
    <t>BD302910</t>
  </si>
  <si>
    <t>Bhanga</t>
  </si>
  <si>
    <t>BD302918</t>
  </si>
  <si>
    <t>Boalmari</t>
  </si>
  <si>
    <t>BD302921</t>
  </si>
  <si>
    <t>Char Bhadrasan</t>
  </si>
  <si>
    <t>BD302947</t>
  </si>
  <si>
    <t>Faridpur Sadar</t>
  </si>
  <si>
    <t>BD302956</t>
  </si>
  <si>
    <t>Madhukhali</t>
  </si>
  <si>
    <t>BD302962</t>
  </si>
  <si>
    <t>Nagarkanda</t>
  </si>
  <si>
    <t>BD302984</t>
  </si>
  <si>
    <t>Sadarpur</t>
  </si>
  <si>
    <t>BD302990</t>
  </si>
  <si>
    <t>Saltha</t>
  </si>
  <si>
    <t>BD303330</t>
  </si>
  <si>
    <t>Gazipur</t>
  </si>
  <si>
    <t>Gazipur Sadar</t>
  </si>
  <si>
    <t>BD303332</t>
  </si>
  <si>
    <t>Kaliakair</t>
  </si>
  <si>
    <t>BD303334</t>
  </si>
  <si>
    <t>BD303336</t>
  </si>
  <si>
    <t>Kapasia</t>
  </si>
  <si>
    <t>BD303386</t>
  </si>
  <si>
    <t>BD303532</t>
  </si>
  <si>
    <t>Gopalganj</t>
  </si>
  <si>
    <t>Gopalganj Sadar</t>
  </si>
  <si>
    <t>BD303543</t>
  </si>
  <si>
    <t>Kashiani</t>
  </si>
  <si>
    <t>BD303551</t>
  </si>
  <si>
    <t>BD303558</t>
  </si>
  <si>
    <t>Muksudpur</t>
  </si>
  <si>
    <t>BD303591</t>
  </si>
  <si>
    <t>BD304802</t>
  </si>
  <si>
    <t>Kishoreganj</t>
  </si>
  <si>
    <t>Austagram</t>
  </si>
  <si>
    <t>BD304806</t>
  </si>
  <si>
    <t>Bajitpur</t>
  </si>
  <si>
    <t>BD304811</t>
  </si>
  <si>
    <t>Bhairab</t>
  </si>
  <si>
    <t>BD304827</t>
  </si>
  <si>
    <t>Hossainpur</t>
  </si>
  <si>
    <t>BD304833</t>
  </si>
  <si>
    <t>Itna</t>
  </si>
  <si>
    <t>BD304842</t>
  </si>
  <si>
    <t>Karimganj</t>
  </si>
  <si>
    <t>BD304845</t>
  </si>
  <si>
    <t>Katiadi</t>
  </si>
  <si>
    <t>BD304849</t>
  </si>
  <si>
    <t>Kishoreganj Sadar</t>
  </si>
  <si>
    <t>BD304854</t>
  </si>
  <si>
    <t>Kuliar Char</t>
  </si>
  <si>
    <t>BD304859</t>
  </si>
  <si>
    <t>Mithamain</t>
  </si>
  <si>
    <t>BD304876</t>
  </si>
  <si>
    <t>Nikli</t>
  </si>
  <si>
    <t>BD304879</t>
  </si>
  <si>
    <t>Pakundia</t>
  </si>
  <si>
    <t>BD304892</t>
  </si>
  <si>
    <t>Tarail</t>
  </si>
  <si>
    <t>BD305440</t>
  </si>
  <si>
    <t>Madaripur</t>
  </si>
  <si>
    <t>Kalkini</t>
  </si>
  <si>
    <t>BD305454</t>
  </si>
  <si>
    <t>Madaripur Sadar</t>
  </si>
  <si>
    <t>BD305480</t>
  </si>
  <si>
    <t>Rajoir</t>
  </si>
  <si>
    <t>BD305487</t>
  </si>
  <si>
    <t>Shib Char</t>
  </si>
  <si>
    <t>BD305610</t>
  </si>
  <si>
    <t>Manikganj</t>
  </si>
  <si>
    <t>BD305622</t>
  </si>
  <si>
    <t>Ghior</t>
  </si>
  <si>
    <t>BD305628</t>
  </si>
  <si>
    <t>Harirampur</t>
  </si>
  <si>
    <t>BD305646</t>
  </si>
  <si>
    <t>Manikganj Sadar</t>
  </si>
  <si>
    <t>BD305670</t>
  </si>
  <si>
    <t>Saturia</t>
  </si>
  <si>
    <t>BD305678</t>
  </si>
  <si>
    <t>Shibalaya</t>
  </si>
  <si>
    <t>BD305682</t>
  </si>
  <si>
    <t>Singair</t>
  </si>
  <si>
    <t>BD305924</t>
  </si>
  <si>
    <t>Munshiganj</t>
  </si>
  <si>
    <t>Gazaria</t>
  </si>
  <si>
    <t>BD305944</t>
  </si>
  <si>
    <t>Lohajang</t>
  </si>
  <si>
    <t>BD305956</t>
  </si>
  <si>
    <t>Munshiganj Sadar</t>
  </si>
  <si>
    <t>BD305974</t>
  </si>
  <si>
    <t>Serajdikhan</t>
  </si>
  <si>
    <t>BD305984</t>
  </si>
  <si>
    <t>Sreenagar</t>
  </si>
  <si>
    <t>BD305994</t>
  </si>
  <si>
    <t>Tongibari</t>
  </si>
  <si>
    <t>BD306702</t>
  </si>
  <si>
    <t>Narayanganj</t>
  </si>
  <si>
    <t>Araihazar</t>
  </si>
  <si>
    <t>BD306704</t>
  </si>
  <si>
    <t>Sonargaon</t>
  </si>
  <si>
    <t>BD306706</t>
  </si>
  <si>
    <t>Bandar</t>
  </si>
  <si>
    <t>BD306758</t>
  </si>
  <si>
    <t>Narayanganj Sadar</t>
  </si>
  <si>
    <t>BD306768</t>
  </si>
  <si>
    <t>Rupganj</t>
  </si>
  <si>
    <t>BD306807</t>
  </si>
  <si>
    <t>Narsingdi</t>
  </si>
  <si>
    <t>Belabo</t>
  </si>
  <si>
    <t>BD306852</t>
  </si>
  <si>
    <t>Manohardi</t>
  </si>
  <si>
    <t>BD306860</t>
  </si>
  <si>
    <t>Narsingdi Sadar</t>
  </si>
  <si>
    <t>BD306863</t>
  </si>
  <si>
    <t>Palash</t>
  </si>
  <si>
    <t>BD306864</t>
  </si>
  <si>
    <t>Roypura</t>
  </si>
  <si>
    <t>BD306876</t>
  </si>
  <si>
    <t>Shibpur</t>
  </si>
  <si>
    <t>BD308207</t>
  </si>
  <si>
    <t>Rajbari</t>
  </si>
  <si>
    <t>BD308229</t>
  </si>
  <si>
    <t>BD308247</t>
  </si>
  <si>
    <t>Kalukhali</t>
  </si>
  <si>
    <t>BD308273</t>
  </si>
  <si>
    <t>Pangsha</t>
  </si>
  <si>
    <t>BD308276</t>
  </si>
  <si>
    <t>Rajbari Sadar</t>
  </si>
  <si>
    <t>BD308614</t>
  </si>
  <si>
    <t>Shariatpur</t>
  </si>
  <si>
    <t>Bhedarganj</t>
  </si>
  <si>
    <t>BD308625</t>
  </si>
  <si>
    <t>Damudya</t>
  </si>
  <si>
    <t>BD308636</t>
  </si>
  <si>
    <t>Gosairhat</t>
  </si>
  <si>
    <t>BD308665</t>
  </si>
  <si>
    <t>Naria</t>
  </si>
  <si>
    <t>BD308669</t>
  </si>
  <si>
    <t>Shariatpur Sadar</t>
  </si>
  <si>
    <t>BD308694</t>
  </si>
  <si>
    <t>Zanjira</t>
  </si>
  <si>
    <t>BD309309</t>
  </si>
  <si>
    <t>Tangail</t>
  </si>
  <si>
    <t>Basail</t>
  </si>
  <si>
    <t>BD309319</t>
  </si>
  <si>
    <t>Bhuapur</t>
  </si>
  <si>
    <t>BD309323</t>
  </si>
  <si>
    <t>Delduar</t>
  </si>
  <si>
    <t>BD309325</t>
  </si>
  <si>
    <t>Dhanbari</t>
  </si>
  <si>
    <t>BD309328</t>
  </si>
  <si>
    <t>Ghatail</t>
  </si>
  <si>
    <t>BD309338</t>
  </si>
  <si>
    <t>Gopalpur</t>
  </si>
  <si>
    <t>BD309347</t>
  </si>
  <si>
    <t>Kalihati</t>
  </si>
  <si>
    <t>BD309357</t>
  </si>
  <si>
    <t>Madhupur</t>
  </si>
  <si>
    <t>BD309366</t>
  </si>
  <si>
    <t>Mirzapur</t>
  </si>
  <si>
    <t>BD309376</t>
  </si>
  <si>
    <t>Nagarpur</t>
  </si>
  <si>
    <t>BD309385</t>
  </si>
  <si>
    <t>BD309395</t>
  </si>
  <si>
    <t>Tangail Sadar</t>
  </si>
  <si>
    <t>BD400108</t>
  </si>
  <si>
    <t>Bagerhat</t>
  </si>
  <si>
    <t>Bagerhat Sadar</t>
  </si>
  <si>
    <t>BD400114</t>
  </si>
  <si>
    <t>Chitalmari</t>
  </si>
  <si>
    <t>BD400134</t>
  </si>
  <si>
    <t>Fakirhat</t>
  </si>
  <si>
    <t>BD400138</t>
  </si>
  <si>
    <t>BD400156</t>
  </si>
  <si>
    <t>Mollahat</t>
  </si>
  <si>
    <t>BD400158</t>
  </si>
  <si>
    <t>Mongla</t>
  </si>
  <si>
    <t>BD400160</t>
  </si>
  <si>
    <t>Morrelganj</t>
  </si>
  <si>
    <t>BD400173</t>
  </si>
  <si>
    <t>Rampal</t>
  </si>
  <si>
    <t>BD400177</t>
  </si>
  <si>
    <t>Sarankhola</t>
  </si>
  <si>
    <t>BD401807</t>
  </si>
  <si>
    <t>Chuadanga</t>
  </si>
  <si>
    <t>Alamdanga</t>
  </si>
  <si>
    <t>BD401823</t>
  </si>
  <si>
    <t>Chuadanga Sadar</t>
  </si>
  <si>
    <t>BD401831</t>
  </si>
  <si>
    <t>Damurhuda</t>
  </si>
  <si>
    <t>BD401855</t>
  </si>
  <si>
    <t>Jiban Nagar</t>
  </si>
  <si>
    <t>BD404104</t>
  </si>
  <si>
    <t>Abhaynagar</t>
  </si>
  <si>
    <t>BD404109</t>
  </si>
  <si>
    <t>Bagher Para</t>
  </si>
  <si>
    <t>BD404111</t>
  </si>
  <si>
    <t>Chaugachha</t>
  </si>
  <si>
    <t>BD404123</t>
  </si>
  <si>
    <t>Jhikargachha</t>
  </si>
  <si>
    <t>BD404138</t>
  </si>
  <si>
    <t>Keshabpur</t>
  </si>
  <si>
    <t>BD404147</t>
  </si>
  <si>
    <t>BD404161</t>
  </si>
  <si>
    <t>Manirampur</t>
  </si>
  <si>
    <t>BD404190</t>
  </si>
  <si>
    <t>Sharsha</t>
  </si>
  <si>
    <t>BD404414</t>
  </si>
  <si>
    <t>Jhenaidah</t>
  </si>
  <si>
    <t>Harinakunda</t>
  </si>
  <si>
    <t>BD404419</t>
  </si>
  <si>
    <t>BD404433</t>
  </si>
  <si>
    <t>BD404442</t>
  </si>
  <si>
    <t>Kotchandpur</t>
  </si>
  <si>
    <t>BD404471</t>
  </si>
  <si>
    <t>Maheshpur</t>
  </si>
  <si>
    <t>BD404480</t>
  </si>
  <si>
    <t>Shailkupa</t>
  </si>
  <si>
    <t>BD404712</t>
  </si>
  <si>
    <t>Khulna</t>
  </si>
  <si>
    <t>Batiaghata</t>
  </si>
  <si>
    <t>BD404717</t>
  </si>
  <si>
    <t>Dacope</t>
  </si>
  <si>
    <t>BD404721</t>
  </si>
  <si>
    <t>BD404730</t>
  </si>
  <si>
    <t>Dumuria</t>
  </si>
  <si>
    <t>BD404740</t>
  </si>
  <si>
    <t>Dighalia</t>
  </si>
  <si>
    <t>BD404745</t>
  </si>
  <si>
    <t>Khalishpur</t>
  </si>
  <si>
    <t>BD404748</t>
  </si>
  <si>
    <t>Khan Jahan Ali</t>
  </si>
  <si>
    <t>BD404751</t>
  </si>
  <si>
    <t>Khulna Sadar</t>
  </si>
  <si>
    <t>BD404753</t>
  </si>
  <si>
    <t>Koyra</t>
  </si>
  <si>
    <t>BD404764</t>
  </si>
  <si>
    <t>Paikgachha</t>
  </si>
  <si>
    <t>BD404769</t>
  </si>
  <si>
    <t>Phultala</t>
  </si>
  <si>
    <t>BD404775</t>
  </si>
  <si>
    <t>Rupsa</t>
  </si>
  <si>
    <t>BD404785</t>
  </si>
  <si>
    <t>Sonadanga</t>
  </si>
  <si>
    <t>BD404794</t>
  </si>
  <si>
    <t>Terokhada</t>
  </si>
  <si>
    <t>BD405015</t>
  </si>
  <si>
    <t>Kushtia</t>
  </si>
  <si>
    <t>Bheramara</t>
  </si>
  <si>
    <t>BD405039</t>
  </si>
  <si>
    <t>BD405063</t>
  </si>
  <si>
    <t>Khoksa</t>
  </si>
  <si>
    <t>BD405071</t>
  </si>
  <si>
    <t>Kumarkhali</t>
  </si>
  <si>
    <t>BD405079</t>
  </si>
  <si>
    <t>Kushtia Sadar</t>
  </si>
  <si>
    <t>BD405094</t>
  </si>
  <si>
    <t>BD405557</t>
  </si>
  <si>
    <t>Magura</t>
  </si>
  <si>
    <t>Magura Sadar</t>
  </si>
  <si>
    <t>BD405566</t>
  </si>
  <si>
    <t>BD405585</t>
  </si>
  <si>
    <t>Shalikha</t>
  </si>
  <si>
    <t>BD405595</t>
  </si>
  <si>
    <t>BD405747</t>
  </si>
  <si>
    <t>Meherpur</t>
  </si>
  <si>
    <t>Gangni</t>
  </si>
  <si>
    <t>BD405760</t>
  </si>
  <si>
    <t>Meherpur Sadar</t>
  </si>
  <si>
    <t>BD405787</t>
  </si>
  <si>
    <t>Mujib Nagar</t>
  </si>
  <si>
    <t>BD406528</t>
  </si>
  <si>
    <t>Narail</t>
  </si>
  <si>
    <t>Kalia</t>
  </si>
  <si>
    <t>BD406552</t>
  </si>
  <si>
    <t>BD406576</t>
  </si>
  <si>
    <t>Narail Sadar</t>
  </si>
  <si>
    <t>BD408704</t>
  </si>
  <si>
    <t>Satkhira</t>
  </si>
  <si>
    <t>Assasuni</t>
  </si>
  <si>
    <t>BD408725</t>
  </si>
  <si>
    <t>Debhata</t>
  </si>
  <si>
    <t>BD408743</t>
  </si>
  <si>
    <t>Kalaroa</t>
  </si>
  <si>
    <t>BD408747</t>
  </si>
  <si>
    <t>BD408782</t>
  </si>
  <si>
    <t>Satkhira Sadar</t>
  </si>
  <si>
    <t>BD408786</t>
  </si>
  <si>
    <t>Shyamnagar</t>
  </si>
  <si>
    <t>BD408790</t>
  </si>
  <si>
    <t>Tala</t>
  </si>
  <si>
    <t>BD453907</t>
  </si>
  <si>
    <t>Jamalpur</t>
  </si>
  <si>
    <t>Bakshiganj</t>
  </si>
  <si>
    <t>BD453915</t>
  </si>
  <si>
    <t>Dewanganj</t>
  </si>
  <si>
    <t>BD453929</t>
  </si>
  <si>
    <t>Islampur</t>
  </si>
  <si>
    <t>BD453936</t>
  </si>
  <si>
    <t>Jamalpur Sadar</t>
  </si>
  <si>
    <t>BD453958</t>
  </si>
  <si>
    <t>Madarganj</t>
  </si>
  <si>
    <t>BD453961</t>
  </si>
  <si>
    <t>Melandaha</t>
  </si>
  <si>
    <t>BD453985</t>
  </si>
  <si>
    <t>Sarishabari</t>
  </si>
  <si>
    <t>BD456113</t>
  </si>
  <si>
    <t>Mymensingh</t>
  </si>
  <si>
    <t>Bhaluka</t>
  </si>
  <si>
    <t>BD456116</t>
  </si>
  <si>
    <t>Dhobaura</t>
  </si>
  <si>
    <t>BD456120</t>
  </si>
  <si>
    <t>Fulbaria</t>
  </si>
  <si>
    <t>BD456122</t>
  </si>
  <si>
    <t>Gaffargaon</t>
  </si>
  <si>
    <t>BD456123</t>
  </si>
  <si>
    <t>Gauripur</t>
  </si>
  <si>
    <t>BD456124</t>
  </si>
  <si>
    <t>Haluaghat</t>
  </si>
  <si>
    <t>BD456131</t>
  </si>
  <si>
    <t>Ishwarganj</t>
  </si>
  <si>
    <t>BD456152</t>
  </si>
  <si>
    <t>Mymensingh Sadar</t>
  </si>
  <si>
    <t>BD456165</t>
  </si>
  <si>
    <t>Muktagachha</t>
  </si>
  <si>
    <t>BD456172</t>
  </si>
  <si>
    <t>Nandail</t>
  </si>
  <si>
    <t>BD456181</t>
  </si>
  <si>
    <t>Phulpur</t>
  </si>
  <si>
    <t>BD456194</t>
  </si>
  <si>
    <t>Trishal</t>
  </si>
  <si>
    <t>BD457204</t>
  </si>
  <si>
    <t>Netrakona</t>
  </si>
  <si>
    <t>Atpara</t>
  </si>
  <si>
    <t>BD457209</t>
  </si>
  <si>
    <t>Barhatta</t>
  </si>
  <si>
    <t>BD457218</t>
  </si>
  <si>
    <t>BD457238</t>
  </si>
  <si>
    <t>Khaliajuri</t>
  </si>
  <si>
    <t>BD457240</t>
  </si>
  <si>
    <t>Kalmakanda</t>
  </si>
  <si>
    <t>BD457247</t>
  </si>
  <si>
    <t>Kendua</t>
  </si>
  <si>
    <t>BD457256</t>
  </si>
  <si>
    <t>Madan</t>
  </si>
  <si>
    <t>BD457263</t>
  </si>
  <si>
    <t>BD457274</t>
  </si>
  <si>
    <t>Netrokona Sadar</t>
  </si>
  <si>
    <t>BD457283</t>
  </si>
  <si>
    <t>Purbadhala</t>
  </si>
  <si>
    <t>BD458937</t>
  </si>
  <si>
    <t>Sherpur</t>
  </si>
  <si>
    <t>Jhenaigati</t>
  </si>
  <si>
    <t>BD458967</t>
  </si>
  <si>
    <t>Nakla</t>
  </si>
  <si>
    <t>BD458970</t>
  </si>
  <si>
    <t>Nalitabari</t>
  </si>
  <si>
    <t>BD458988</t>
  </si>
  <si>
    <t>Sherpur Sadar</t>
  </si>
  <si>
    <t>BD458990</t>
  </si>
  <si>
    <t>Sreebardi</t>
  </si>
  <si>
    <t>BD501006</t>
  </si>
  <si>
    <t>Adamdighi</t>
  </si>
  <si>
    <t>BD501020</t>
  </si>
  <si>
    <t>Bogra Sadar</t>
  </si>
  <si>
    <t>BD501027</t>
  </si>
  <si>
    <t>Dhunat</t>
  </si>
  <si>
    <t>BD501033</t>
  </si>
  <si>
    <t>Dhupchanchia</t>
  </si>
  <si>
    <t>BD501040</t>
  </si>
  <si>
    <t>Gabtali</t>
  </si>
  <si>
    <t>BD501054</t>
  </si>
  <si>
    <t>Kahaloo</t>
  </si>
  <si>
    <t>BD501067</t>
  </si>
  <si>
    <t>Nandigram</t>
  </si>
  <si>
    <t>BD501081</t>
  </si>
  <si>
    <t>Sariakandi</t>
  </si>
  <si>
    <t>BD501085</t>
  </si>
  <si>
    <t>Shajahanpur</t>
  </si>
  <si>
    <t>BD501088</t>
  </si>
  <si>
    <t>BD501094</t>
  </si>
  <si>
    <t>BD501095</t>
  </si>
  <si>
    <t>Sonatola</t>
  </si>
  <si>
    <t>BD503813</t>
  </si>
  <si>
    <t>Joypurhat</t>
  </si>
  <si>
    <t>Akkelpur</t>
  </si>
  <si>
    <t>BD503847</t>
  </si>
  <si>
    <t>Joypurhat Sadar</t>
  </si>
  <si>
    <t>BD503858</t>
  </si>
  <si>
    <t>Kalai</t>
  </si>
  <si>
    <t>BD503861</t>
  </si>
  <si>
    <t>Khetlal</t>
  </si>
  <si>
    <t>BD503874</t>
  </si>
  <si>
    <t>Panchbibi</t>
  </si>
  <si>
    <t>BD506403</t>
  </si>
  <si>
    <t>Naogaon</t>
  </si>
  <si>
    <t>Atrai</t>
  </si>
  <si>
    <t>BD506406</t>
  </si>
  <si>
    <t>Badalgachhi</t>
  </si>
  <si>
    <t>BD506428</t>
  </si>
  <si>
    <t>Dhamoirhat</t>
  </si>
  <si>
    <t>BD506447</t>
  </si>
  <si>
    <t>Manda</t>
  </si>
  <si>
    <t>BD506450</t>
  </si>
  <si>
    <t>Mahadebpur</t>
  </si>
  <si>
    <t>BD506460</t>
  </si>
  <si>
    <t>Naogaon Sadar</t>
  </si>
  <si>
    <t>BD506469</t>
  </si>
  <si>
    <t>Niamatpur</t>
  </si>
  <si>
    <t>BD506475</t>
  </si>
  <si>
    <t>Patnitala</t>
  </si>
  <si>
    <t>BD506479</t>
  </si>
  <si>
    <t>Porsha</t>
  </si>
  <si>
    <t>BD506485</t>
  </si>
  <si>
    <t>Raninagar</t>
  </si>
  <si>
    <t>BD506486</t>
  </si>
  <si>
    <t>Sapahar</t>
  </si>
  <si>
    <t>BD506909</t>
  </si>
  <si>
    <t>Natore</t>
  </si>
  <si>
    <t>Bagati Para</t>
  </si>
  <si>
    <t>BD506915</t>
  </si>
  <si>
    <t>Baraigram</t>
  </si>
  <si>
    <t>BD506941</t>
  </si>
  <si>
    <t>Gurudaspur</t>
  </si>
  <si>
    <t>BD506944</t>
  </si>
  <si>
    <t>Lalpur</t>
  </si>
  <si>
    <t>BD506963</t>
  </si>
  <si>
    <t>Natore Sadar</t>
  </si>
  <si>
    <t>BD506991</t>
  </si>
  <si>
    <t>Singra</t>
  </si>
  <si>
    <t>BD507018</t>
  </si>
  <si>
    <t>Bholahat</t>
  </si>
  <si>
    <t>BD507037</t>
  </si>
  <si>
    <t>Gomastapur</t>
  </si>
  <si>
    <t>BD507056</t>
  </si>
  <si>
    <t>Nachole</t>
  </si>
  <si>
    <t>BD507066</t>
  </si>
  <si>
    <t>BD507088</t>
  </si>
  <si>
    <t>BD507605</t>
  </si>
  <si>
    <t>Pabna</t>
  </si>
  <si>
    <t>Atgharia</t>
  </si>
  <si>
    <t>BD507616</t>
  </si>
  <si>
    <t>Bera</t>
  </si>
  <si>
    <t>BD507619</t>
  </si>
  <si>
    <t>Bhangura</t>
  </si>
  <si>
    <t>BD507622</t>
  </si>
  <si>
    <t>Chatmohar</t>
  </si>
  <si>
    <t>BD507633</t>
  </si>
  <si>
    <t>BD507639</t>
  </si>
  <si>
    <t>Ishwardi</t>
  </si>
  <si>
    <t>BD507655</t>
  </si>
  <si>
    <t>Pabna Sadar</t>
  </si>
  <si>
    <t>BD507672</t>
  </si>
  <si>
    <t>Santhia</t>
  </si>
  <si>
    <t>BD507683</t>
  </si>
  <si>
    <t>Sujanagar</t>
  </si>
  <si>
    <t>BD508110</t>
  </si>
  <si>
    <t>Rajshahi</t>
  </si>
  <si>
    <t>Bagha</t>
  </si>
  <si>
    <t>BD508112</t>
  </si>
  <si>
    <t>Baghmara</t>
  </si>
  <si>
    <t>BD508122</t>
  </si>
  <si>
    <t>Boalia</t>
  </si>
  <si>
    <t>BD508125</t>
  </si>
  <si>
    <t>Charghat</t>
  </si>
  <si>
    <t>BD508131</t>
  </si>
  <si>
    <t>BD508134</t>
  </si>
  <si>
    <t>Godagari</t>
  </si>
  <si>
    <t>BD508140</t>
  </si>
  <si>
    <t>Matihar</t>
  </si>
  <si>
    <t>BD508153</t>
  </si>
  <si>
    <t>Mohanpur</t>
  </si>
  <si>
    <t>BD508172</t>
  </si>
  <si>
    <t>Paba</t>
  </si>
  <si>
    <t>BD508182</t>
  </si>
  <si>
    <t>Puthia</t>
  </si>
  <si>
    <t>BD508185</t>
  </si>
  <si>
    <t>Rajpara</t>
  </si>
  <si>
    <t>BD508190</t>
  </si>
  <si>
    <t>Shah Makhdum</t>
  </si>
  <si>
    <t>BD508194</t>
  </si>
  <si>
    <t>Tanore</t>
  </si>
  <si>
    <t>BD508811</t>
  </si>
  <si>
    <t>Sirajganj</t>
  </si>
  <si>
    <t>Belkuchi</t>
  </si>
  <si>
    <t>BD508827</t>
  </si>
  <si>
    <t>Chauhali</t>
  </si>
  <si>
    <t>BD508844</t>
  </si>
  <si>
    <t>Kamarkhanda</t>
  </si>
  <si>
    <t>BD508850</t>
  </si>
  <si>
    <t>Kazipur</t>
  </si>
  <si>
    <t>BD508861</t>
  </si>
  <si>
    <t>Royganj</t>
  </si>
  <si>
    <t>BD508867</t>
  </si>
  <si>
    <t>Shahjadpur</t>
  </si>
  <si>
    <t>BD508878</t>
  </si>
  <si>
    <t>Sirajganj Sadar</t>
  </si>
  <si>
    <t>BD508889</t>
  </si>
  <si>
    <t>Tarash</t>
  </si>
  <si>
    <t>BD508894</t>
  </si>
  <si>
    <t>Ullah Para</t>
  </si>
  <si>
    <t>BD552710</t>
  </si>
  <si>
    <t>Dinajpur</t>
  </si>
  <si>
    <t>Birampur</t>
  </si>
  <si>
    <t>BD552712</t>
  </si>
  <si>
    <t>Birganj</t>
  </si>
  <si>
    <t>BD552717</t>
  </si>
  <si>
    <t>Biral</t>
  </si>
  <si>
    <t>BD552721</t>
  </si>
  <si>
    <t>Bochaganj</t>
  </si>
  <si>
    <t>BD552730</t>
  </si>
  <si>
    <t>Chirirbandar</t>
  </si>
  <si>
    <t>BD552738</t>
  </si>
  <si>
    <t>Fulbari</t>
  </si>
  <si>
    <t>BD552743</t>
  </si>
  <si>
    <t>Ghoraghat</t>
  </si>
  <si>
    <t>BD552747</t>
  </si>
  <si>
    <t>Hakimpur</t>
  </si>
  <si>
    <t>BD552756</t>
  </si>
  <si>
    <t>Kaharole</t>
  </si>
  <si>
    <t>BD552760</t>
  </si>
  <si>
    <t>Khansama</t>
  </si>
  <si>
    <t>BD552764</t>
  </si>
  <si>
    <t>Dinajpur Sadar</t>
  </si>
  <si>
    <t>BD552769</t>
  </si>
  <si>
    <t>BD552777</t>
  </si>
  <si>
    <t>Parbatipur</t>
  </si>
  <si>
    <t>BD553221</t>
  </si>
  <si>
    <t>Gaibandha</t>
  </si>
  <si>
    <t>Fulchhari</t>
  </si>
  <si>
    <t>BD553224</t>
  </si>
  <si>
    <t>Gaibandha Sadar</t>
  </si>
  <si>
    <t>BD553230</t>
  </si>
  <si>
    <t>Gobindaganj</t>
  </si>
  <si>
    <t>BD553267</t>
  </si>
  <si>
    <t>Palashbari</t>
  </si>
  <si>
    <t>BD553282</t>
  </si>
  <si>
    <t>Sadullapur</t>
  </si>
  <si>
    <t>BD553288</t>
  </si>
  <si>
    <t>Saghatta</t>
  </si>
  <si>
    <t>BD553291</t>
  </si>
  <si>
    <t>Sundarganj</t>
  </si>
  <si>
    <t>BD554906</t>
  </si>
  <si>
    <t>Kurigram</t>
  </si>
  <si>
    <t>Bhurungamari</t>
  </si>
  <si>
    <t>BD554908</t>
  </si>
  <si>
    <t>Char Rajibpur</t>
  </si>
  <si>
    <t>BD554909</t>
  </si>
  <si>
    <t>Chilmari</t>
  </si>
  <si>
    <t>BD554918</t>
  </si>
  <si>
    <t>Phulbari</t>
  </si>
  <si>
    <t>BD554952</t>
  </si>
  <si>
    <t>Kurigram Sadar</t>
  </si>
  <si>
    <t>BD554961</t>
  </si>
  <si>
    <t>Nageshwari</t>
  </si>
  <si>
    <t>BD554977</t>
  </si>
  <si>
    <t>Rajarhat</t>
  </si>
  <si>
    <t>BD554979</t>
  </si>
  <si>
    <t>Raumari</t>
  </si>
  <si>
    <t>BD554994</t>
  </si>
  <si>
    <t>Ulipur</t>
  </si>
  <si>
    <t>BD555202</t>
  </si>
  <si>
    <t>Lalmonirhat</t>
  </si>
  <si>
    <t>Aditmari</t>
  </si>
  <si>
    <t>BD555233</t>
  </si>
  <si>
    <t>Hatibandha</t>
  </si>
  <si>
    <t>BD555239</t>
  </si>
  <si>
    <t>BD555255</t>
  </si>
  <si>
    <t>Lalmonirhat Sadar</t>
  </si>
  <si>
    <t>BD555270</t>
  </si>
  <si>
    <t>Patgram</t>
  </si>
  <si>
    <t>BD557312</t>
  </si>
  <si>
    <t>Nilphamari</t>
  </si>
  <si>
    <t>Dimla</t>
  </si>
  <si>
    <t>BD557315</t>
  </si>
  <si>
    <t>Domar</t>
  </si>
  <si>
    <t>BD557336</t>
  </si>
  <si>
    <t>Jaldhaka</t>
  </si>
  <si>
    <t>BD557345</t>
  </si>
  <si>
    <t>BD557364</t>
  </si>
  <si>
    <t>Nilphamari Sadar</t>
  </si>
  <si>
    <t>BD557385</t>
  </si>
  <si>
    <t>Saidpur</t>
  </si>
  <si>
    <t>BD557704</t>
  </si>
  <si>
    <t>Panchagarh</t>
  </si>
  <si>
    <t>Atwari</t>
  </si>
  <si>
    <t>BD557725</t>
  </si>
  <si>
    <t>Boda</t>
  </si>
  <si>
    <t>BD557734</t>
  </si>
  <si>
    <t>Debiganj</t>
  </si>
  <si>
    <t>BD557773</t>
  </si>
  <si>
    <t>Panchagarh Sadar</t>
  </si>
  <si>
    <t>BD557790</t>
  </si>
  <si>
    <t>Tentulia</t>
  </si>
  <si>
    <t>BD558503</t>
  </si>
  <si>
    <t>Rangpur</t>
  </si>
  <si>
    <t>Badarganj</t>
  </si>
  <si>
    <t>BD558527</t>
  </si>
  <si>
    <t>Gangachara</t>
  </si>
  <si>
    <t>BD558542</t>
  </si>
  <si>
    <t>Kaunia</t>
  </si>
  <si>
    <t>BD558549</t>
  </si>
  <si>
    <t>Rangpur Sadar</t>
  </si>
  <si>
    <t>BD558558</t>
  </si>
  <si>
    <t>Mitha Pukur</t>
  </si>
  <si>
    <t>BD558573</t>
  </si>
  <si>
    <t>Pirgachha</t>
  </si>
  <si>
    <t>BD558576</t>
  </si>
  <si>
    <t>BD558592</t>
  </si>
  <si>
    <t>Taraganj</t>
  </si>
  <si>
    <t>BD559408</t>
  </si>
  <si>
    <t>Thakurgaon</t>
  </si>
  <si>
    <t>Baliadangi</t>
  </si>
  <si>
    <t>BD559451</t>
  </si>
  <si>
    <t>Haripur</t>
  </si>
  <si>
    <t>BD559482</t>
  </si>
  <si>
    <t>BD559486</t>
  </si>
  <si>
    <t>Ranisankail</t>
  </si>
  <si>
    <t>BD559494</t>
  </si>
  <si>
    <t>Thakurgaon Sadar</t>
  </si>
  <si>
    <t>BD603602</t>
  </si>
  <si>
    <t>Habiganj</t>
  </si>
  <si>
    <t>Ajmiriganj</t>
  </si>
  <si>
    <t>BD603605</t>
  </si>
  <si>
    <t>Bahubal</t>
  </si>
  <si>
    <t>BD603611</t>
  </si>
  <si>
    <t>Baniachong</t>
  </si>
  <si>
    <t>BD603626</t>
  </si>
  <si>
    <t>Chunarughat</t>
  </si>
  <si>
    <t>BD603644</t>
  </si>
  <si>
    <t>Habiganj Sadar</t>
  </si>
  <si>
    <t>BD603668</t>
  </si>
  <si>
    <t>Lakhai</t>
  </si>
  <si>
    <t>BD603671</t>
  </si>
  <si>
    <t>Madhabpur</t>
  </si>
  <si>
    <t>BD603677</t>
  </si>
  <si>
    <t>Nabiganj</t>
  </si>
  <si>
    <t>BD605814</t>
  </si>
  <si>
    <t>Maulvibazar</t>
  </si>
  <si>
    <t>Barlekha</t>
  </si>
  <si>
    <t>BD605835</t>
  </si>
  <si>
    <t>Juri</t>
  </si>
  <si>
    <t>BD605856</t>
  </si>
  <si>
    <t>Kamalganj</t>
  </si>
  <si>
    <t>BD605865</t>
  </si>
  <si>
    <t>Kulaura</t>
  </si>
  <si>
    <t>BD605874</t>
  </si>
  <si>
    <t>Maulvi Bazar Sadar</t>
  </si>
  <si>
    <t>BD605880</t>
  </si>
  <si>
    <t>Rajnagar</t>
  </si>
  <si>
    <t>BD605883</t>
  </si>
  <si>
    <t>Sreemangal</t>
  </si>
  <si>
    <t>BD609018</t>
  </si>
  <si>
    <t>Sunamganj</t>
  </si>
  <si>
    <t>Bishwambarpur</t>
  </si>
  <si>
    <t>BD609023</t>
  </si>
  <si>
    <t>Chhatak</t>
  </si>
  <si>
    <t>BD609027</t>
  </si>
  <si>
    <t>Dakshin Sunamganj</t>
  </si>
  <si>
    <t>BD609029</t>
  </si>
  <si>
    <t>Derai</t>
  </si>
  <si>
    <t>BD609032</t>
  </si>
  <si>
    <t>Dharampasha</t>
  </si>
  <si>
    <t>BD609033</t>
  </si>
  <si>
    <t>Dowarabazar</t>
  </si>
  <si>
    <t>BD609047</t>
  </si>
  <si>
    <t>Jagannathpur</t>
  </si>
  <si>
    <t>BD609050</t>
  </si>
  <si>
    <t>Jamalganj</t>
  </si>
  <si>
    <t>BD609086</t>
  </si>
  <si>
    <t>Sulla</t>
  </si>
  <si>
    <t>BD609089</t>
  </si>
  <si>
    <t>Sunamganj Sadar</t>
  </si>
  <si>
    <t>BD609092</t>
  </si>
  <si>
    <t>Tahirpur</t>
  </si>
  <si>
    <t>BD609108</t>
  </si>
  <si>
    <t>Sylhet</t>
  </si>
  <si>
    <t>Balaganj</t>
  </si>
  <si>
    <t>BD609117</t>
  </si>
  <si>
    <t>Beani Bazar</t>
  </si>
  <si>
    <t>BD609120</t>
  </si>
  <si>
    <t>Bishwanath</t>
  </si>
  <si>
    <t>BD609127</t>
  </si>
  <si>
    <t>BD609131</t>
  </si>
  <si>
    <t>Dakshin Surma</t>
  </si>
  <si>
    <t>BD609135</t>
  </si>
  <si>
    <t>Fenchuganj</t>
  </si>
  <si>
    <t>BD609138</t>
  </si>
  <si>
    <t>Golabganj</t>
  </si>
  <si>
    <t>BD609141</t>
  </si>
  <si>
    <t>Gowainghat</t>
  </si>
  <si>
    <t>BD609153</t>
  </si>
  <si>
    <t>Jaintiapur</t>
  </si>
  <si>
    <t>BD609159</t>
  </si>
  <si>
    <t>Kanaighat</t>
  </si>
  <si>
    <t>BD609162</t>
  </si>
  <si>
    <t>Sylhet Sadar</t>
  </si>
  <si>
    <t>BD609194</t>
  </si>
  <si>
    <t>Zakiganj</t>
  </si>
  <si>
    <t>Upazila</t>
  </si>
  <si>
    <t>Max</t>
  </si>
  <si>
    <t>Min</t>
  </si>
  <si>
    <t>Change</t>
  </si>
  <si>
    <t>Impact_VCI+F</t>
  </si>
  <si>
    <t>VCI</t>
  </si>
  <si>
    <t>Impact_VCI</t>
  </si>
  <si>
    <t>Impact_house</t>
  </si>
  <si>
    <t>Impact_vci+fapar+house</t>
  </si>
  <si>
    <t>House</t>
  </si>
  <si>
    <t>Impact_VCI_fAPAR_house</t>
  </si>
  <si>
    <t>Norm_VCI_fAPAR_house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</si>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</sst>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166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165" fontId="1" fillId="0" borderId="0" xfId="0" applyNumberFormat="1" applyFont="1" applyFill="1" applyAlignment="1">
      <alignment wrapText="1"/>
    </xf>
    <xf numFmtId="166" fontId="1" fillId="0" borderId="0" xfId="0" applyNumberFormat="1" applyFont="1" applyFill="1"/>
    <xf numFmtId="1" fontId="0" fillId="0" borderId="0" xfId="0" applyNumberFormat="1" applyFill="1"/>
    <xf numFmtId="16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45"/>
  <sheetViews>
    <sheetView tabSelected="1" topLeftCell="J1" zoomScale="77" workbookViewId="0">
      <selection activeCell="Z49" sqref="Z49"/>
    </sheetView>
  </sheetViews>
  <sheetFormatPr defaultRowHeight="14.4" x14ac:dyDescent="0.3"/>
  <cols>
    <col min="1" max="1" width="9.77734375" style="2" bestFit="1" customWidth="1"/>
    <col min="2" max="2" width="12.6640625" style="2" bestFit="1" customWidth="1"/>
    <col min="3" max="3" width="12.44140625" style="2" bestFit="1" customWidth="1"/>
    <col min="4" max="4" width="23.109375" style="2" customWidth="1"/>
    <col min="5" max="5" width="11.44140625" style="2" customWidth="1"/>
    <col min="6" max="7" width="12" style="2" customWidth="1"/>
    <col min="8" max="8" width="15.109375" style="2" customWidth="1"/>
    <col min="9" max="9" width="7.109375" style="2" customWidth="1"/>
    <col min="10" max="10" width="12.77734375" style="10" customWidth="1"/>
    <col min="11" max="11" width="10.77734375" style="2" customWidth="1"/>
    <col min="12" max="12" width="16.5546875" style="2" customWidth="1"/>
    <col min="13" max="13" width="20.21875" style="2" customWidth="1"/>
    <col min="14" max="14" width="12" style="2" customWidth="1"/>
    <col min="15" max="15" width="13.88671875" style="2" customWidth="1"/>
    <col min="16" max="18" width="12" style="2" customWidth="1"/>
    <col min="19" max="19" width="16.6640625" style="2" customWidth="1"/>
    <col min="20" max="20" width="18.21875" style="10" customWidth="1"/>
    <col min="21" max="21" width="11.77734375" style="2" customWidth="1"/>
    <col min="22" max="22" width="12.6640625" style="2" bestFit="1" customWidth="1"/>
    <col min="23" max="23" width="18.5546875" style="2" bestFit="1" customWidth="1"/>
    <col min="24" max="24" width="11.77734375" style="2" bestFit="1" customWidth="1"/>
    <col min="25" max="25" width="12" style="2" bestFit="1" customWidth="1"/>
    <col min="26" max="26" width="19.44140625" style="2" bestFit="1" customWidth="1"/>
    <col min="27" max="27" width="11.77734375" style="2" bestFit="1" customWidth="1"/>
    <col min="28" max="28" width="26.33203125" style="2" bestFit="1" customWidth="1"/>
    <col min="29" max="29" width="20.44140625" style="2" bestFit="1" customWidth="1"/>
    <col min="30" max="30" width="11.77734375" style="2" bestFit="1" customWidth="1"/>
    <col min="31" max="31" width="12.77734375" style="2" bestFit="1" customWidth="1"/>
    <col min="32" max="32" width="18.6640625" style="2" bestFit="1" customWidth="1"/>
    <col min="33" max="33" width="11.77734375" style="2" bestFit="1" customWidth="1"/>
    <col min="34" max="34" width="22.109375" style="2" bestFit="1" customWidth="1"/>
    <col min="35" max="35" width="8.88671875" style="2"/>
    <col min="36" max="36" width="12.44140625" style="2" bestFit="1" customWidth="1"/>
    <col min="37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</v>
      </c>
      <c r="D1" s="1" t="s">
        <v>1121</v>
      </c>
      <c r="E1" s="6" t="s">
        <v>3</v>
      </c>
      <c r="F1" s="7" t="s">
        <v>4</v>
      </c>
      <c r="G1" s="1" t="s">
        <v>5</v>
      </c>
      <c r="H1" s="1" t="s">
        <v>6</v>
      </c>
      <c r="I1" s="1" t="s">
        <v>7</v>
      </c>
      <c r="J1" s="8" t="s">
        <v>8</v>
      </c>
      <c r="K1" s="1" t="s">
        <v>9</v>
      </c>
      <c r="L1" s="1" t="s">
        <v>10</v>
      </c>
      <c r="M1" s="1" t="s">
        <v>21</v>
      </c>
      <c r="N1" s="1" t="s">
        <v>22</v>
      </c>
      <c r="O1" s="1" t="s">
        <v>1126</v>
      </c>
      <c r="P1" s="1" t="s">
        <v>11</v>
      </c>
      <c r="Q1" s="1" t="s">
        <v>12</v>
      </c>
      <c r="R1" s="1" t="s">
        <v>13</v>
      </c>
      <c r="S1" s="1" t="s">
        <v>14</v>
      </c>
      <c r="T1" s="8" t="s">
        <v>15</v>
      </c>
      <c r="U1" s="1" t="s">
        <v>16</v>
      </c>
      <c r="V1" s="1" t="s">
        <v>17</v>
      </c>
      <c r="W1" s="1" t="s">
        <v>18</v>
      </c>
      <c r="X1" s="1" t="s">
        <v>16</v>
      </c>
      <c r="Y1" s="1" t="s">
        <v>19</v>
      </c>
      <c r="Z1" s="1" t="s">
        <v>20</v>
      </c>
      <c r="AA1" s="1" t="s">
        <v>16</v>
      </c>
      <c r="AB1" s="1" t="s">
        <v>1131</v>
      </c>
      <c r="AC1" s="1" t="s">
        <v>1132</v>
      </c>
      <c r="AD1" s="1" t="s">
        <v>16</v>
      </c>
      <c r="AE1" s="1" t="s">
        <v>23</v>
      </c>
      <c r="AF1" s="1" t="s">
        <v>24</v>
      </c>
      <c r="AG1" s="1" t="s">
        <v>16</v>
      </c>
    </row>
    <row r="2" spans="1:37" x14ac:dyDescent="0.3">
      <c r="A2" s="2">
        <v>100409</v>
      </c>
      <c r="B2" s="2" t="s">
        <v>25</v>
      </c>
      <c r="C2" s="2" t="s">
        <v>26</v>
      </c>
      <c r="D2" s="2" t="s">
        <v>27</v>
      </c>
      <c r="E2" s="3">
        <v>7.5</v>
      </c>
      <c r="F2" s="4">
        <f>(E2-$AJ$5)/$AK$5</f>
        <v>0.95555555555555549</v>
      </c>
      <c r="G2" s="2">
        <v>125.97614640000002</v>
      </c>
      <c r="H2" s="2">
        <f>(G2-$AJ$6)/$AK$6</f>
        <v>0.71718704355130392</v>
      </c>
      <c r="I2" s="2">
        <v>42.100000000000016</v>
      </c>
      <c r="J2" s="4">
        <f>(I2-$AJ$7)/$AK$7</f>
        <v>0.63884673748103216</v>
      </c>
      <c r="K2" s="2">
        <v>2</v>
      </c>
      <c r="L2" s="4">
        <f>(K2-$AJ$8)/$AK$8</f>
        <v>0.83333333333333337</v>
      </c>
      <c r="M2" s="2">
        <v>43022</v>
      </c>
      <c r="N2" s="2">
        <f>(M2-$AJ$9)/$AK$9</f>
        <v>0.2024243800655775</v>
      </c>
      <c r="O2" s="2">
        <v>0.24034106899999999</v>
      </c>
      <c r="P2" s="2">
        <f t="shared" ref="P2:P65" si="0">(O2-$AJ$11)/$AK$11</f>
        <v>0.20018911687010307</v>
      </c>
      <c r="Q2" s="2">
        <v>0.24390000000000001</v>
      </c>
      <c r="R2" s="2">
        <f>(Q2-$AJ$12)/$AK$12</f>
        <v>0.54690214244354374</v>
      </c>
      <c r="S2" s="2">
        <f>F2*(R2*0.5+P2*0.5)*(H2*0.35+J2*0.35+L2*0.3)</f>
        <v>0.25864555404475859</v>
      </c>
      <c r="T2" s="5">
        <f>(S2-$AJ$10)/$AK$10</f>
        <v>0.40448966435258332</v>
      </c>
      <c r="U2" s="2" t="str">
        <f>IF(T2&gt;0.7,"High",IF(T2&gt;0.3,"Moderate",IF(T2&gt;0.15,"Low","No Impact")))</f>
        <v>Moderate</v>
      </c>
      <c r="V2" s="2">
        <f>F2*(R2*1)*(H2*0.35+J2*0.35+L2*0.3)</f>
        <v>0.37867879158572826</v>
      </c>
      <c r="W2" s="2">
        <f t="shared" ref="W2" si="1">(V2-$AJ$13)/$AK$13</f>
        <v>0.55413907514134353</v>
      </c>
      <c r="X2" s="2" t="str">
        <f>IF(W2&gt;0.7,"High",IF(W2&gt;0.3,"Moderate",IF(W2&gt;0.15,"Low","No Impact")))</f>
        <v>Moderate</v>
      </c>
      <c r="Y2" s="2">
        <f t="shared" ref="Y2" si="2">F2*(P2*1)*(H2*0.35+J2*0.35+L2*0.3)</f>
        <v>0.13861231650378894</v>
      </c>
      <c r="Z2" s="2">
        <f>(Y2-$AJ$14)/$AK$14</f>
        <v>0.23276263399210911</v>
      </c>
      <c r="AA2" s="2" t="str">
        <f>IF(Z2&gt;0.7,"High",IF(Z2&gt;0.3,"Moderate",IF(Z2&gt;0.15,"Low","No Impact")))</f>
        <v>Low</v>
      </c>
      <c r="AB2" s="2">
        <f>F2*(R2*0.35+P2*0.3+N2*0.35)*(H2*0.35+J2*0.35+L2*0.3)</f>
        <v>0.22317728182698918</v>
      </c>
      <c r="AC2" s="2">
        <f>(AB2-$AJ$15)/$AK$15</f>
        <v>0.48248029123804237</v>
      </c>
      <c r="AD2" s="2" t="str">
        <f>IF(AC2&gt;0.7,"High",IF(AC2&gt;0.3,"Moderate",IF(AC2&gt;0.15,"Low","No Impact")))</f>
        <v>Moderate</v>
      </c>
      <c r="AE2" s="2">
        <f t="shared" ref="AE2" si="3">F2*(N2*1)*(H2*0.35+J2*0.35+L2*0.3)</f>
        <v>0.14016002805956457</v>
      </c>
      <c r="AF2" s="2">
        <f>(AE2-$AJ$16)/$AK$16</f>
        <v>0.95497962651735457</v>
      </c>
      <c r="AG2" s="2" t="str">
        <f>IF(AF2&gt;0.7,"High",IF(AF2&gt;0.3,"Moderate",IF(AF2&gt;0.15,"Low","No Impact")))</f>
        <v>High</v>
      </c>
    </row>
    <row r="3" spans="1:37" x14ac:dyDescent="0.3">
      <c r="A3" s="2">
        <v>100419</v>
      </c>
      <c r="B3" s="2" t="s">
        <v>28</v>
      </c>
      <c r="C3" s="2" t="s">
        <v>26</v>
      </c>
      <c r="D3" s="2" t="s">
        <v>29</v>
      </c>
      <c r="E3" s="3">
        <v>5.6</v>
      </c>
      <c r="F3" s="4">
        <f t="shared" ref="F3:F66" si="4">(E3-$AJ$5)/$AK$5</f>
        <v>0.53333333333333321</v>
      </c>
      <c r="G3" s="2">
        <v>120.09450600000001</v>
      </c>
      <c r="H3" s="2">
        <f t="shared" ref="H3:H66" si="5">(G3-$AJ$6)/$AK$6</f>
        <v>0.66970180329741857</v>
      </c>
      <c r="I3" s="2">
        <v>32.70000000000001</v>
      </c>
      <c r="J3" s="4">
        <f t="shared" ref="J3:J66" si="6">(I3-$AJ$7)/$AK$7</f>
        <v>0.49620637329286821</v>
      </c>
      <c r="K3" s="2">
        <v>2</v>
      </c>
      <c r="L3" s="4">
        <f t="shared" ref="L3:L66" si="7">(K3-$AJ$8)/$AK$8</f>
        <v>0.83333333333333337</v>
      </c>
      <c r="M3" s="2">
        <v>10180</v>
      </c>
      <c r="N3" s="2">
        <f t="shared" ref="N3:N66" si="8">(M3-$AJ$9)/$AK$9</f>
        <v>4.7035055097396299E-2</v>
      </c>
      <c r="O3" s="2">
        <v>0.293002027</v>
      </c>
      <c r="P3" s="2">
        <f t="shared" si="0"/>
        <v>0.26102253604754067</v>
      </c>
      <c r="Q3" s="2">
        <v>0.2737</v>
      </c>
      <c r="R3" s="2">
        <f t="shared" ref="R3:R66" si="9">(Q3-$AJ$12)/$AK$12</f>
        <v>0.63317892298784018</v>
      </c>
      <c r="S3" s="2">
        <f t="shared" ref="S3:S66" si="10">F3*(R3*0.5+P3*0.5)*(H3*0.35+J3*0.35+L3*0.3)</f>
        <v>0.15691873124580141</v>
      </c>
      <c r="T3" s="5">
        <f t="shared" ref="T3:T66" si="11">(S3-$AJ$10)/$AK$10</f>
        <v>0.24540149227256242</v>
      </c>
      <c r="U3" s="2" t="str">
        <f t="shared" ref="U3:U66" si="12">IF(T3&gt;0.7,"High",IF(T3&gt;0.3,"Moderate",IF(T3&gt;0.15,"Low","No Impact")))</f>
        <v>Low</v>
      </c>
      <c r="V3" s="2">
        <f t="shared" ref="V3:V66" si="13">F3*(R3*1)*(H3*0.35+J3*0.35+L3*0.3)</f>
        <v>0.22222650666219412</v>
      </c>
      <c r="W3" s="2">
        <f t="shared" ref="W3:W66" si="14">(V3-$AJ$13)/$AK$13</f>
        <v>0.32519484483936695</v>
      </c>
      <c r="X3" s="2" t="str">
        <f t="shared" ref="X3:X66" si="15">IF(W3&gt;0.7,"High",IF(W3&gt;0.3,"Moderate",IF(W3&gt;0.15,"Low","No Impact")))</f>
        <v>Moderate</v>
      </c>
      <c r="Y3" s="2">
        <f t="shared" ref="Y3:Y66" si="16">F3*(P3*1)*(H3*0.35+J3*0.35+L3*0.3)</f>
        <v>9.1610955829408688E-2</v>
      </c>
      <c r="Z3" s="2">
        <f t="shared" ref="Z3:Z66" si="17">(Y3-$AJ$14)/$AK$14</f>
        <v>0.15383631064852055</v>
      </c>
      <c r="AA3" s="2" t="str">
        <f t="shared" ref="AA3:AA66" si="18">IF(Z3&gt;0.7,"High",IF(Z3&gt;0.3,"Moderate",IF(Z3&gt;0.15,"Low","No Impact")))</f>
        <v>Low</v>
      </c>
      <c r="AB3" s="2">
        <f t="shared" ref="AB3:AB66" si="19">F3*(R3*0.35+P3*0.3+N3*0.35)*(H3*0.35+J3*0.35+L3*0.3)</f>
        <v>0.11104031893299843</v>
      </c>
      <c r="AC3" s="2">
        <f t="shared" ref="AC3:AC66" si="20">(AB3-$AJ$15)/$AK$15</f>
        <v>0.24005474472751337</v>
      </c>
      <c r="AD3" s="2" t="str">
        <f t="shared" ref="AD3:AD66" si="21">IF(AC3&gt;0.7,"High",IF(AC3&gt;0.3,"Moderate",IF(AC3&gt;0.15,"Low","No Impact")))</f>
        <v>Low</v>
      </c>
      <c r="AE3" s="2">
        <f t="shared" ref="AE3:AE66" si="22">F3*(N3*1)*(H3*0.35+J3*0.35+L3*0.3)</f>
        <v>1.6507871006879581E-2</v>
      </c>
      <c r="AF3" s="2">
        <f t="shared" ref="AF3:AF66" si="23">(AE3-$AJ$16)/$AK$16</f>
        <v>0.11247629375507064</v>
      </c>
      <c r="AG3" s="2" t="s">
        <v>1169</v>
      </c>
    </row>
    <row r="4" spans="1:37" x14ac:dyDescent="0.3">
      <c r="A4" s="2">
        <v>100428</v>
      </c>
      <c r="B4" s="2" t="s">
        <v>30</v>
      </c>
      <c r="C4" s="2" t="s">
        <v>26</v>
      </c>
      <c r="D4" s="2" t="s">
        <v>31</v>
      </c>
      <c r="E4" s="3">
        <v>7.5</v>
      </c>
      <c r="F4" s="4">
        <f t="shared" si="4"/>
        <v>0.95555555555555549</v>
      </c>
      <c r="G4" s="2">
        <v>123.455448</v>
      </c>
      <c r="H4" s="2">
        <f t="shared" si="5"/>
        <v>0.69683626366826568</v>
      </c>
      <c r="I4" s="2">
        <v>33.20000000000001</v>
      </c>
      <c r="J4" s="4">
        <f t="shared" si="6"/>
        <v>0.50379362670713224</v>
      </c>
      <c r="K4" s="2">
        <v>2</v>
      </c>
      <c r="L4" s="4">
        <f t="shared" si="7"/>
        <v>0.83333333333333337</v>
      </c>
      <c r="M4" s="2">
        <v>41704</v>
      </c>
      <c r="N4" s="2">
        <f t="shared" si="8"/>
        <v>0.19618836732859246</v>
      </c>
      <c r="O4" s="2">
        <v>0.31587732099999999</v>
      </c>
      <c r="P4" s="2">
        <f t="shared" si="0"/>
        <v>0.28744785000990958</v>
      </c>
      <c r="Q4" s="2">
        <v>0.28070000000000001</v>
      </c>
      <c r="R4" s="2">
        <f t="shared" si="9"/>
        <v>0.65344528083381592</v>
      </c>
      <c r="S4" s="2">
        <f t="shared" si="10"/>
        <v>0.3012894513943894</v>
      </c>
      <c r="T4" s="5">
        <f t="shared" si="11"/>
        <v>0.47117944678222157</v>
      </c>
      <c r="U4" s="2" t="str">
        <f t="shared" si="12"/>
        <v>Moderate</v>
      </c>
      <c r="V4" s="2">
        <f t="shared" si="13"/>
        <v>0.41848784675923545</v>
      </c>
      <c r="W4" s="2">
        <f t="shared" si="14"/>
        <v>0.61239359983685704</v>
      </c>
      <c r="X4" s="2" t="str">
        <f t="shared" si="15"/>
        <v>Moderate</v>
      </c>
      <c r="Y4" s="2">
        <f t="shared" si="16"/>
        <v>0.1840910560295434</v>
      </c>
      <c r="Z4" s="2">
        <f t="shared" si="17"/>
        <v>0.30913211882332386</v>
      </c>
      <c r="AA4" s="2" t="str">
        <f t="shared" si="18"/>
        <v>Moderate</v>
      </c>
      <c r="AB4" s="2">
        <f t="shared" si="19"/>
        <v>0.24567398194506321</v>
      </c>
      <c r="AC4" s="2">
        <f t="shared" si="20"/>
        <v>0.53111523443659625</v>
      </c>
      <c r="AD4" s="2" t="str">
        <f t="shared" si="21"/>
        <v>Moderate</v>
      </c>
      <c r="AE4" s="2">
        <f t="shared" si="22"/>
        <v>0.12564548220133656</v>
      </c>
      <c r="AF4" s="2">
        <f t="shared" si="23"/>
        <v>0.85608484335657375</v>
      </c>
      <c r="AG4" s="2" t="str">
        <f t="shared" ref="AG3:AG66" si="24">IF(AF4&gt;0.7,"High",IF(AF4&gt;0.3,"Moderate",IF(AF4&gt;0.15,"Low","No Impact")))</f>
        <v>High</v>
      </c>
      <c r="AI4" s="1" t="s">
        <v>1122</v>
      </c>
      <c r="AJ4" s="1" t="s">
        <v>1123</v>
      </c>
      <c r="AK4" s="1" t="s">
        <v>1124</v>
      </c>
    </row>
    <row r="5" spans="1:37" x14ac:dyDescent="0.3">
      <c r="A5" s="2">
        <v>100447</v>
      </c>
      <c r="B5" s="2" t="s">
        <v>32</v>
      </c>
      <c r="C5" s="2" t="s">
        <v>26</v>
      </c>
      <c r="D5" s="2" t="s">
        <v>33</v>
      </c>
      <c r="E5" s="3">
        <v>5.6</v>
      </c>
      <c r="F5" s="4">
        <f t="shared" si="4"/>
        <v>0.53333333333333321</v>
      </c>
      <c r="G5" s="2">
        <v>120.09450600000001</v>
      </c>
      <c r="H5" s="2">
        <f t="shared" si="5"/>
        <v>0.66970180329741857</v>
      </c>
      <c r="I5" s="2">
        <v>29.399999999999995</v>
      </c>
      <c r="J5" s="4">
        <f t="shared" si="6"/>
        <v>0.44613050075872535</v>
      </c>
      <c r="K5" s="2">
        <v>2</v>
      </c>
      <c r="L5" s="4">
        <f t="shared" si="7"/>
        <v>0.83333333333333337</v>
      </c>
      <c r="M5" s="2">
        <v>7682</v>
      </c>
      <c r="N5" s="2">
        <f t="shared" si="8"/>
        <v>3.521596570666137E-2</v>
      </c>
      <c r="O5" s="2">
        <v>0.28942751700000002</v>
      </c>
      <c r="P5" s="2">
        <f t="shared" si="0"/>
        <v>0.25689329735834054</v>
      </c>
      <c r="Q5" s="2">
        <v>0.28239999999999998</v>
      </c>
      <c r="R5" s="2">
        <f t="shared" si="9"/>
        <v>0.65836711059640995</v>
      </c>
      <c r="S5" s="2">
        <f t="shared" si="10"/>
        <v>0.15633655931347143</v>
      </c>
      <c r="T5" s="5">
        <f t="shared" si="11"/>
        <v>0.24449104735742228</v>
      </c>
      <c r="U5" s="2" t="str">
        <f t="shared" si="12"/>
        <v>Low</v>
      </c>
      <c r="V5" s="2">
        <f t="shared" si="13"/>
        <v>0.22491270886674922</v>
      </c>
      <c r="W5" s="2">
        <f t="shared" si="14"/>
        <v>0.32912569504368272</v>
      </c>
      <c r="X5" s="2" t="str">
        <f t="shared" si="15"/>
        <v>Moderate</v>
      </c>
      <c r="Y5" s="2">
        <f t="shared" si="16"/>
        <v>8.7760409760193656E-2</v>
      </c>
      <c r="Z5" s="2">
        <f t="shared" si="17"/>
        <v>0.14737033945645875</v>
      </c>
      <c r="AA5" s="2" t="str">
        <f t="shared" si="18"/>
        <v>No Impact</v>
      </c>
      <c r="AB5" s="2">
        <f t="shared" si="19"/>
        <v>0.10925826342512754</v>
      </c>
      <c r="AC5" s="2">
        <f t="shared" si="20"/>
        <v>0.23620217221923073</v>
      </c>
      <c r="AD5" s="2" t="str">
        <f t="shared" si="21"/>
        <v>Low</v>
      </c>
      <c r="AE5" s="2">
        <f t="shared" si="22"/>
        <v>1.2030549696306387E-2</v>
      </c>
      <c r="AF5" s="2">
        <f t="shared" si="23"/>
        <v>8.1970088154481785E-2</v>
      </c>
      <c r="AG5" s="2" t="s">
        <v>1169</v>
      </c>
      <c r="AH5" s="1" t="s">
        <v>1168</v>
      </c>
      <c r="AI5" s="3">
        <f>MAX(E2:E555)</f>
        <v>7.7</v>
      </c>
      <c r="AJ5" s="2">
        <f>MIN((E2:E555))</f>
        <v>3.2</v>
      </c>
      <c r="AK5" s="3">
        <f t="shared" ref="AK5:AK16" si="25">AI5-AJ5</f>
        <v>4.5</v>
      </c>
    </row>
    <row r="6" spans="1:37" x14ac:dyDescent="0.3">
      <c r="A6" s="2">
        <v>100485</v>
      </c>
      <c r="B6" s="2" t="s">
        <v>34</v>
      </c>
      <c r="C6" s="2" t="s">
        <v>26</v>
      </c>
      <c r="D6" s="2" t="s">
        <v>35</v>
      </c>
      <c r="E6" s="3">
        <v>7.5</v>
      </c>
      <c r="F6" s="4">
        <f t="shared" si="4"/>
        <v>0.95555555555555549</v>
      </c>
      <c r="G6" s="2">
        <v>123.455448</v>
      </c>
      <c r="H6" s="2">
        <f t="shared" si="5"/>
        <v>0.69683626366826568</v>
      </c>
      <c r="I6" s="2">
        <v>38.70000000000001</v>
      </c>
      <c r="J6" s="4">
        <f t="shared" si="6"/>
        <v>0.58725341426403666</v>
      </c>
      <c r="K6" s="2">
        <v>2</v>
      </c>
      <c r="L6" s="4">
        <f t="shared" si="7"/>
        <v>0.83333333333333337</v>
      </c>
      <c r="M6" s="2">
        <v>28660</v>
      </c>
      <c r="N6" s="2">
        <f t="shared" si="8"/>
        <v>0.13447171320019116</v>
      </c>
      <c r="O6" s="2">
        <v>0.48997155599999997</v>
      </c>
      <c r="P6" s="2">
        <f t="shared" si="0"/>
        <v>0.48855979282967982</v>
      </c>
      <c r="Q6" s="2">
        <v>0.26979999999999998</v>
      </c>
      <c r="R6" s="2">
        <f t="shared" si="9"/>
        <v>0.62188766647365379</v>
      </c>
      <c r="S6" s="2">
        <f t="shared" si="10"/>
        <v>0.37108130776881249</v>
      </c>
      <c r="T6" s="5">
        <f t="shared" si="11"/>
        <v>0.58032528021320673</v>
      </c>
      <c r="U6" s="2" t="str">
        <f t="shared" si="12"/>
        <v>Moderate</v>
      </c>
      <c r="V6" s="2">
        <f t="shared" si="13"/>
        <v>0.41563585314539481</v>
      </c>
      <c r="W6" s="2">
        <f t="shared" si="14"/>
        <v>0.60822013900778682</v>
      </c>
      <c r="X6" s="2" t="str">
        <f t="shared" si="15"/>
        <v>Moderate</v>
      </c>
      <c r="Y6" s="2">
        <f t="shared" si="16"/>
        <v>0.32652676239223027</v>
      </c>
      <c r="Z6" s="2">
        <f t="shared" si="17"/>
        <v>0.5483151223524465</v>
      </c>
      <c r="AA6" s="2" t="str">
        <f t="shared" si="18"/>
        <v>Moderate</v>
      </c>
      <c r="AB6" s="2">
        <f t="shared" si="19"/>
        <v>0.27488632710835992</v>
      </c>
      <c r="AC6" s="2">
        <f t="shared" si="20"/>
        <v>0.59426852982021783</v>
      </c>
      <c r="AD6" s="2" t="str">
        <f t="shared" si="21"/>
        <v>Moderate</v>
      </c>
      <c r="AE6" s="2">
        <f t="shared" si="22"/>
        <v>8.9873570828007621E-2</v>
      </c>
      <c r="AF6" s="2">
        <f t="shared" si="23"/>
        <v>0.61235311016516902</v>
      </c>
      <c r="AG6" s="2" t="str">
        <f t="shared" si="24"/>
        <v>Moderate</v>
      </c>
      <c r="AH6" s="1" t="s">
        <v>5</v>
      </c>
      <c r="AI6" s="2">
        <f>MAX(G1:G555)</f>
        <v>161.00606519999999</v>
      </c>
      <c r="AJ6" s="2">
        <f>MIN(G1:G555)</f>
        <v>37.143568799999997</v>
      </c>
      <c r="AK6" s="2">
        <f t="shared" si="25"/>
        <v>123.8624964</v>
      </c>
    </row>
    <row r="7" spans="1:37" x14ac:dyDescent="0.3">
      <c r="A7" s="2">
        <v>100602</v>
      </c>
      <c r="B7" s="2" t="s">
        <v>36</v>
      </c>
      <c r="C7" s="2" t="s">
        <v>37</v>
      </c>
      <c r="D7" s="2" t="s">
        <v>38</v>
      </c>
      <c r="E7" s="3">
        <v>6.7</v>
      </c>
      <c r="F7" s="4">
        <f t="shared" si="4"/>
        <v>0.77777777777777779</v>
      </c>
      <c r="G7" s="2">
        <v>100.846458</v>
      </c>
      <c r="H7" s="2">
        <f t="shared" si="5"/>
        <v>0.51430328833579042</v>
      </c>
      <c r="I7" s="2">
        <v>26.6</v>
      </c>
      <c r="J7" s="4">
        <f t="shared" si="6"/>
        <v>0.40364188163884679</v>
      </c>
      <c r="K7" s="2">
        <v>0</v>
      </c>
      <c r="L7" s="4">
        <f t="shared" si="7"/>
        <v>0</v>
      </c>
      <c r="M7" s="2">
        <v>14078</v>
      </c>
      <c r="N7" s="2">
        <f t="shared" si="8"/>
        <v>6.5478133738342964E-2</v>
      </c>
      <c r="O7" s="2">
        <v>0.32019587300000002</v>
      </c>
      <c r="P7" s="2">
        <f t="shared" si="0"/>
        <v>0.29243659867748151</v>
      </c>
      <c r="Q7" s="2">
        <v>0.28499999999999998</v>
      </c>
      <c r="R7" s="2">
        <f t="shared" si="9"/>
        <v>0.66589461493920088</v>
      </c>
      <c r="S7" s="2">
        <f t="shared" si="10"/>
        <v>0.11973633313886925</v>
      </c>
      <c r="T7" s="5">
        <f t="shared" si="11"/>
        <v>0.18725281933038429</v>
      </c>
      <c r="U7" s="2" t="str">
        <f t="shared" si="12"/>
        <v>Low</v>
      </c>
      <c r="V7" s="2">
        <f t="shared" si="13"/>
        <v>0.16639712516268035</v>
      </c>
      <c r="W7" s="2">
        <f t="shared" si="14"/>
        <v>0.24349699822825041</v>
      </c>
      <c r="X7" s="2" t="s">
        <v>1169</v>
      </c>
      <c r="Y7" s="2">
        <f t="shared" si="16"/>
        <v>7.3075541115058179E-2</v>
      </c>
      <c r="Z7" s="2">
        <f t="shared" si="17"/>
        <v>0.12271099610311081</v>
      </c>
      <c r="AA7" s="2" t="str">
        <f t="shared" si="18"/>
        <v>No Impact</v>
      </c>
      <c r="AB7" s="2">
        <f t="shared" si="19"/>
        <v>8.5888359045676224E-2</v>
      </c>
      <c r="AC7" s="2">
        <f t="shared" si="20"/>
        <v>0.18567947484206737</v>
      </c>
      <c r="AD7" s="2" t="str">
        <f t="shared" si="21"/>
        <v>Low</v>
      </c>
      <c r="AE7" s="2">
        <f t="shared" si="22"/>
        <v>1.6362008297773321E-2</v>
      </c>
      <c r="AF7" s="2">
        <f t="shared" si="23"/>
        <v>0.11148245894072609</v>
      </c>
      <c r="AG7" s="2" t="s">
        <v>1169</v>
      </c>
      <c r="AH7" s="1" t="s">
        <v>7</v>
      </c>
      <c r="AI7" s="2">
        <f>MAX(I1:I555)</f>
        <v>65.899999999999991</v>
      </c>
      <c r="AJ7" s="2">
        <f>MIN(K1:K555)</f>
        <v>0</v>
      </c>
      <c r="AK7" s="2">
        <f t="shared" si="25"/>
        <v>65.899999999999991</v>
      </c>
    </row>
    <row r="8" spans="1:37" x14ac:dyDescent="0.3">
      <c r="A8" s="2">
        <v>100603</v>
      </c>
      <c r="B8" s="2" t="s">
        <v>39</v>
      </c>
      <c r="C8" s="2" t="s">
        <v>37</v>
      </c>
      <c r="D8" s="2" t="s">
        <v>40</v>
      </c>
      <c r="E8" s="3">
        <v>6.7</v>
      </c>
      <c r="F8" s="4">
        <f t="shared" si="4"/>
        <v>0.77777777777777779</v>
      </c>
      <c r="G8" s="2">
        <v>93.790598400000007</v>
      </c>
      <c r="H8" s="2">
        <f t="shared" si="5"/>
        <v>0.4573380260080081</v>
      </c>
      <c r="I8" s="2">
        <v>25</v>
      </c>
      <c r="J8" s="4">
        <f t="shared" si="6"/>
        <v>0.37936267071320184</v>
      </c>
      <c r="K8" s="2">
        <v>0</v>
      </c>
      <c r="L8" s="4">
        <f t="shared" si="7"/>
        <v>0</v>
      </c>
      <c r="M8" s="2">
        <v>12897</v>
      </c>
      <c r="N8" s="2">
        <f t="shared" si="8"/>
        <v>5.9890325663700068E-2</v>
      </c>
      <c r="O8" s="2">
        <v>0.81442365999999999</v>
      </c>
      <c r="P8" s="2">
        <f t="shared" si="0"/>
        <v>0.86336366262698905</v>
      </c>
      <c r="Q8" s="2">
        <v>0.30549999999999999</v>
      </c>
      <c r="R8" s="2">
        <f t="shared" si="9"/>
        <v>0.72524609148812968</v>
      </c>
      <c r="S8" s="2">
        <f t="shared" si="10"/>
        <v>0.18091764865618129</v>
      </c>
      <c r="T8" s="5">
        <f t="shared" si="11"/>
        <v>0.28293283157588589</v>
      </c>
      <c r="U8" s="2" t="str">
        <f t="shared" si="12"/>
        <v>Low</v>
      </c>
      <c r="V8" s="2">
        <f t="shared" si="13"/>
        <v>0.16518823106711206</v>
      </c>
      <c r="W8" s="2">
        <f t="shared" si="14"/>
        <v>0.24172796475992006</v>
      </c>
      <c r="X8" s="2" t="s">
        <v>1169</v>
      </c>
      <c r="Y8" s="2">
        <f t="shared" si="16"/>
        <v>0.1966470662452505</v>
      </c>
      <c r="Z8" s="2">
        <f t="shared" si="17"/>
        <v>0.33021660888853338</v>
      </c>
      <c r="AA8" s="2" t="str">
        <f t="shared" si="18"/>
        <v>Moderate</v>
      </c>
      <c r="AB8" s="2">
        <f t="shared" si="19"/>
        <v>0.12158439660343089</v>
      </c>
      <c r="AC8" s="2">
        <f t="shared" si="20"/>
        <v>0.26284967091184858</v>
      </c>
      <c r="AD8" s="2" t="str">
        <f t="shared" si="21"/>
        <v>Low</v>
      </c>
      <c r="AE8" s="2">
        <f t="shared" si="22"/>
        <v>1.3641131018190122E-2</v>
      </c>
      <c r="AF8" s="2">
        <f t="shared" si="23"/>
        <v>9.2943775663981376E-2</v>
      </c>
      <c r="AG8" s="2" t="s">
        <v>1169</v>
      </c>
      <c r="AH8" s="1" t="s">
        <v>9</v>
      </c>
      <c r="AI8" s="2">
        <f>MAX(K1:K545)</f>
        <v>2.4</v>
      </c>
      <c r="AJ8" s="2">
        <f>MIN(K1:K555)</f>
        <v>0</v>
      </c>
      <c r="AK8" s="2">
        <f t="shared" si="25"/>
        <v>2.4</v>
      </c>
    </row>
    <row r="9" spans="1:37" x14ac:dyDescent="0.3">
      <c r="A9" s="2">
        <v>100607</v>
      </c>
      <c r="B9" s="2" t="s">
        <v>41</v>
      </c>
      <c r="C9" s="2" t="s">
        <v>37</v>
      </c>
      <c r="D9" s="2" t="s">
        <v>42</v>
      </c>
      <c r="E9" s="3">
        <v>6.7</v>
      </c>
      <c r="F9" s="4">
        <f t="shared" si="4"/>
        <v>0.77777777777777779</v>
      </c>
      <c r="G9" s="2">
        <v>95.548410000000004</v>
      </c>
      <c r="H9" s="2">
        <f t="shared" si="5"/>
        <v>0.47152966311439537</v>
      </c>
      <c r="I9" s="2">
        <v>26.199999999999996</v>
      </c>
      <c r="J9" s="4">
        <f t="shared" si="6"/>
        <v>0.39757207890743551</v>
      </c>
      <c r="K9" s="2">
        <v>0</v>
      </c>
      <c r="L9" s="4">
        <f t="shared" si="7"/>
        <v>0</v>
      </c>
      <c r="M9" s="2">
        <v>24771</v>
      </c>
      <c r="N9" s="2">
        <f t="shared" si="8"/>
        <v>0.11607121734728157</v>
      </c>
      <c r="O9" s="2">
        <v>0.68285429799999997</v>
      </c>
      <c r="P9" s="2">
        <f t="shared" si="0"/>
        <v>0.71137603358586854</v>
      </c>
      <c r="Q9" s="2">
        <v>0.29620000000000002</v>
      </c>
      <c r="R9" s="2">
        <f t="shared" si="9"/>
        <v>0.69832078749276216</v>
      </c>
      <c r="S9" s="2">
        <f t="shared" si="10"/>
        <v>0.16675924495328245</v>
      </c>
      <c r="T9" s="5">
        <f t="shared" si="11"/>
        <v>0.26079083890678756</v>
      </c>
      <c r="U9" s="2" t="str">
        <f t="shared" si="12"/>
        <v>Low</v>
      </c>
      <c r="V9" s="2">
        <f t="shared" si="13"/>
        <v>0.16521488240056001</v>
      </c>
      <c r="W9" s="2">
        <f t="shared" si="14"/>
        <v>0.24176696495110131</v>
      </c>
      <c r="X9" s="2" t="s">
        <v>1169</v>
      </c>
      <c r="Y9" s="2">
        <f t="shared" si="16"/>
        <v>0.1683036075060049</v>
      </c>
      <c r="Z9" s="2">
        <f t="shared" si="17"/>
        <v>0.28262128490148253</v>
      </c>
      <c r="AA9" s="2" t="str">
        <f t="shared" si="18"/>
        <v>Low</v>
      </c>
      <c r="AB9" s="2">
        <f t="shared" si="19"/>
        <v>0.11792769390808779</v>
      </c>
      <c r="AC9" s="2">
        <f t="shared" si="20"/>
        <v>0.25494435471220162</v>
      </c>
      <c r="AD9" s="2" t="str">
        <f t="shared" si="21"/>
        <v>Low</v>
      </c>
      <c r="AE9" s="2">
        <f t="shared" si="22"/>
        <v>2.7461150903115177E-2</v>
      </c>
      <c r="AF9" s="2">
        <f t="shared" si="23"/>
        <v>0.18710640969655581</v>
      </c>
      <c r="AG9" s="2" t="s">
        <v>1169</v>
      </c>
      <c r="AH9" s="1" t="s">
        <v>1130</v>
      </c>
      <c r="AI9" s="9">
        <f>MAX(M1:M555)</f>
        <v>211592</v>
      </c>
      <c r="AJ9" s="9">
        <f>MIN(M1:M555)</f>
        <v>239</v>
      </c>
      <c r="AK9" s="9">
        <f t="shared" si="25"/>
        <v>211353</v>
      </c>
    </row>
    <row r="10" spans="1:37" x14ac:dyDescent="0.3">
      <c r="A10" s="2">
        <v>100610</v>
      </c>
      <c r="B10" s="2" t="s">
        <v>43</v>
      </c>
      <c r="C10" s="2" t="s">
        <v>37</v>
      </c>
      <c r="D10" s="2" t="s">
        <v>44</v>
      </c>
      <c r="E10" s="3">
        <v>6.7</v>
      </c>
      <c r="F10" s="4">
        <f t="shared" si="4"/>
        <v>0.77777777777777779</v>
      </c>
      <c r="G10" s="2">
        <v>108.4753656</v>
      </c>
      <c r="H10" s="2">
        <f t="shared" si="5"/>
        <v>0.57589503581166324</v>
      </c>
      <c r="I10" s="2">
        <v>31.599999999999998</v>
      </c>
      <c r="J10" s="4">
        <f t="shared" si="6"/>
        <v>0.47951441578148712</v>
      </c>
      <c r="K10" s="2">
        <v>0</v>
      </c>
      <c r="L10" s="4">
        <f t="shared" si="7"/>
        <v>0</v>
      </c>
      <c r="M10" s="2">
        <v>9050</v>
      </c>
      <c r="N10" s="2">
        <f t="shared" si="8"/>
        <v>4.1688549488296832E-2</v>
      </c>
      <c r="O10" s="2">
        <v>0.40241617600000001</v>
      </c>
      <c r="P10" s="2">
        <f t="shared" si="0"/>
        <v>0.38741668159384107</v>
      </c>
      <c r="Q10" s="2">
        <v>0.308</v>
      </c>
      <c r="R10" s="2">
        <f t="shared" si="9"/>
        <v>0.73248407643312108</v>
      </c>
      <c r="S10" s="2">
        <f t="shared" si="10"/>
        <v>0.1608770511070319</v>
      </c>
      <c r="T10" s="5">
        <f t="shared" si="11"/>
        <v>0.25159181507931833</v>
      </c>
      <c r="U10" s="2" t="str">
        <f t="shared" si="12"/>
        <v>Low</v>
      </c>
      <c r="V10" s="2">
        <f t="shared" si="13"/>
        <v>0.21044700140578212</v>
      </c>
      <c r="W10" s="2">
        <f t="shared" si="14"/>
        <v>0.30795732244980634</v>
      </c>
      <c r="X10" s="2" t="str">
        <f t="shared" si="15"/>
        <v>Moderate</v>
      </c>
      <c r="Y10" s="2">
        <f t="shared" si="16"/>
        <v>0.1113071008082817</v>
      </c>
      <c r="Z10" s="2">
        <f t="shared" si="17"/>
        <v>0.18691076391795725</v>
      </c>
      <c r="AA10" s="2" t="str">
        <f t="shared" si="18"/>
        <v>Low</v>
      </c>
      <c r="AB10" s="2">
        <f t="shared" si="19"/>
        <v>0.11124065900660071</v>
      </c>
      <c r="AC10" s="2">
        <f t="shared" si="20"/>
        <v>0.24048785394126038</v>
      </c>
      <c r="AD10" s="2" t="str">
        <f t="shared" si="21"/>
        <v>Low</v>
      </c>
      <c r="AE10" s="2">
        <f t="shared" si="22"/>
        <v>1.1977366491692811E-2</v>
      </c>
      <c r="AF10" s="2">
        <f t="shared" si="23"/>
        <v>8.1607724664819192E-2</v>
      </c>
      <c r="AG10" s="2" t="s">
        <v>1169</v>
      </c>
      <c r="AH10" s="1" t="s">
        <v>1125</v>
      </c>
      <c r="AI10" s="4">
        <f>MAX(S2:S545)</f>
        <v>0.6394367442212413</v>
      </c>
      <c r="AJ10" s="4">
        <f>MIN(S2:S545)</f>
        <v>0</v>
      </c>
      <c r="AK10" s="4">
        <f t="shared" si="25"/>
        <v>0.6394367442212413</v>
      </c>
    </row>
    <row r="11" spans="1:37" x14ac:dyDescent="0.3">
      <c r="A11" s="2">
        <v>100632</v>
      </c>
      <c r="B11" s="2" t="s">
        <v>45</v>
      </c>
      <c r="C11" s="2" t="s">
        <v>37</v>
      </c>
      <c r="D11" s="2" t="s">
        <v>46</v>
      </c>
      <c r="E11" s="3">
        <v>6.7</v>
      </c>
      <c r="F11" s="4">
        <f t="shared" si="4"/>
        <v>0.77777777777777779</v>
      </c>
      <c r="G11" s="2">
        <v>88.155050400000007</v>
      </c>
      <c r="H11" s="2">
        <f t="shared" si="5"/>
        <v>0.41183960506709127</v>
      </c>
      <c r="I11" s="2">
        <v>23.400000000000002</v>
      </c>
      <c r="J11" s="4">
        <f t="shared" si="6"/>
        <v>0.35508345978755701</v>
      </c>
      <c r="K11" s="2">
        <v>0</v>
      </c>
      <c r="L11" s="4">
        <f t="shared" si="7"/>
        <v>0</v>
      </c>
      <c r="M11" s="2">
        <v>26617</v>
      </c>
      <c r="N11" s="2">
        <f t="shared" si="8"/>
        <v>0.12480542031577503</v>
      </c>
      <c r="O11" s="2">
        <v>0.77571899499999997</v>
      </c>
      <c r="P11" s="2">
        <f t="shared" si="0"/>
        <v>0.8186524154433108</v>
      </c>
      <c r="Q11" s="2">
        <v>0.29970000000000002</v>
      </c>
      <c r="R11" s="2">
        <f t="shared" si="9"/>
        <v>0.70845396641574998</v>
      </c>
      <c r="S11" s="2">
        <f t="shared" si="10"/>
        <v>0.15940967286107707</v>
      </c>
      <c r="T11" s="5">
        <f t="shared" si="11"/>
        <v>0.24929701694765646</v>
      </c>
      <c r="U11" s="2" t="str">
        <f t="shared" si="12"/>
        <v>Low</v>
      </c>
      <c r="V11" s="2">
        <f t="shared" si="13"/>
        <v>0.14790641485759976</v>
      </c>
      <c r="W11" s="2">
        <f t="shared" si="14"/>
        <v>0.21643864340395016</v>
      </c>
      <c r="X11" s="2" t="s">
        <v>1169</v>
      </c>
      <c r="Y11" s="2">
        <f t="shared" si="16"/>
        <v>0.17091293086455439</v>
      </c>
      <c r="Z11" s="2">
        <f t="shared" si="17"/>
        <v>0.28700295164793299</v>
      </c>
      <c r="AA11" s="2" t="str">
        <f t="shared" si="18"/>
        <v>Low</v>
      </c>
      <c r="AB11" s="2">
        <f t="shared" si="19"/>
        <v>0.11216074704909651</v>
      </c>
      <c r="AC11" s="2">
        <f t="shared" si="20"/>
        <v>0.24247696476416281</v>
      </c>
      <c r="AD11" s="2" t="str">
        <f t="shared" si="21"/>
        <v>Low</v>
      </c>
      <c r="AE11" s="2">
        <f t="shared" si="22"/>
        <v>2.6056064541629401E-2</v>
      </c>
      <c r="AF11" s="2">
        <f t="shared" si="23"/>
        <v>0.17753286103726137</v>
      </c>
      <c r="AG11" s="2" t="s">
        <v>1169</v>
      </c>
      <c r="AH11" s="1" t="s">
        <v>1126</v>
      </c>
      <c r="AI11" s="2">
        <f>MAX(O1:O555)</f>
        <v>0.93270404799999995</v>
      </c>
      <c r="AJ11" s="2">
        <f>MIN(O1:O555)</f>
        <v>6.7045685999999993E-2</v>
      </c>
      <c r="AK11" s="2">
        <f t="shared" si="25"/>
        <v>0.86565836200000001</v>
      </c>
    </row>
    <row r="12" spans="1:37" x14ac:dyDescent="0.3">
      <c r="A12" s="2">
        <v>100636</v>
      </c>
      <c r="B12" s="2" t="s">
        <v>47</v>
      </c>
      <c r="C12" s="2" t="s">
        <v>37</v>
      </c>
      <c r="D12" s="2" t="s">
        <v>48</v>
      </c>
      <c r="E12" s="3">
        <v>6.7</v>
      </c>
      <c r="F12" s="4">
        <f t="shared" si="4"/>
        <v>0.77777777777777779</v>
      </c>
      <c r="G12" s="2">
        <v>82.463256000000001</v>
      </c>
      <c r="H12" s="2">
        <f t="shared" si="5"/>
        <v>0.36588708057074171</v>
      </c>
      <c r="I12" s="2">
        <v>20.499999999999996</v>
      </c>
      <c r="J12" s="4">
        <f t="shared" si="6"/>
        <v>0.31107738998482548</v>
      </c>
      <c r="K12" s="2">
        <v>0</v>
      </c>
      <c r="L12" s="4">
        <f t="shared" si="7"/>
        <v>0</v>
      </c>
      <c r="M12" s="2">
        <v>4786</v>
      </c>
      <c r="N12" s="2">
        <f t="shared" si="8"/>
        <v>2.1513770800509101E-2</v>
      </c>
      <c r="O12" s="2">
        <v>0.783073774</v>
      </c>
      <c r="P12" s="2">
        <f t="shared" si="0"/>
        <v>0.82714858358868371</v>
      </c>
      <c r="Q12" s="2">
        <v>0.27460000000000001</v>
      </c>
      <c r="R12" s="2">
        <f t="shared" si="9"/>
        <v>0.63578459756803718</v>
      </c>
      <c r="S12" s="2">
        <f t="shared" si="10"/>
        <v>0.13479815426543507</v>
      </c>
      <c r="T12" s="5">
        <f t="shared" si="11"/>
        <v>0.21080764514026068</v>
      </c>
      <c r="U12" s="2" t="str">
        <f t="shared" si="12"/>
        <v>Low</v>
      </c>
      <c r="V12" s="2">
        <f t="shared" si="13"/>
        <v>0.11716541994734167</v>
      </c>
      <c r="W12" s="2">
        <f t="shared" si="14"/>
        <v>0.17145385189460394</v>
      </c>
      <c r="X12" s="2" t="s">
        <v>1169</v>
      </c>
      <c r="Y12" s="2">
        <f t="shared" si="16"/>
        <v>0.15243088858352852</v>
      </c>
      <c r="Z12" s="2">
        <f t="shared" si="17"/>
        <v>0.25596726195316105</v>
      </c>
      <c r="AA12" s="2" t="str">
        <f t="shared" si="18"/>
        <v>Low</v>
      </c>
      <c r="AB12" s="2">
        <f t="shared" si="19"/>
        <v>8.8124794682086408E-2</v>
      </c>
      <c r="AC12" s="2">
        <f t="shared" si="20"/>
        <v>0.19051435816153897</v>
      </c>
      <c r="AD12" s="2" t="str">
        <f t="shared" si="21"/>
        <v>Low</v>
      </c>
      <c r="AE12" s="2">
        <f t="shared" si="22"/>
        <v>3.9646603584522376E-3</v>
      </c>
      <c r="AF12" s="2">
        <f t="shared" si="23"/>
        <v>2.7013192853913025E-2</v>
      </c>
      <c r="AG12" s="2" t="s">
        <v>1170</v>
      </c>
      <c r="AH12" s="1" t="s">
        <v>12</v>
      </c>
      <c r="AI12" s="2">
        <f>MAX(Q1:Q555)</f>
        <v>0.40039999999999998</v>
      </c>
      <c r="AJ12" s="2">
        <f>MIN(Q1:Q545)</f>
        <v>5.5E-2</v>
      </c>
      <c r="AK12" s="2">
        <f t="shared" si="25"/>
        <v>0.34539999999999998</v>
      </c>
    </row>
    <row r="13" spans="1:37" x14ac:dyDescent="0.3">
      <c r="A13" s="2">
        <v>100651</v>
      </c>
      <c r="B13" s="2" t="s">
        <v>49</v>
      </c>
      <c r="C13" s="2" t="s">
        <v>37</v>
      </c>
      <c r="D13" s="2" t="s">
        <v>1133</v>
      </c>
      <c r="E13" s="3">
        <v>6.8</v>
      </c>
      <c r="F13" s="4">
        <f t="shared" si="4"/>
        <v>0.79999999999999993</v>
      </c>
      <c r="G13" s="2">
        <v>93.790598400000007</v>
      </c>
      <c r="H13" s="2">
        <f t="shared" si="5"/>
        <v>0.4573380260080081</v>
      </c>
      <c r="I13" s="2">
        <v>25.500000000000004</v>
      </c>
      <c r="J13" s="4">
        <f t="shared" si="6"/>
        <v>0.38694992412746598</v>
      </c>
      <c r="K13" s="2">
        <v>0</v>
      </c>
      <c r="L13" s="4">
        <f t="shared" si="7"/>
        <v>0</v>
      </c>
      <c r="M13" s="2">
        <v>47691</v>
      </c>
      <c r="N13" s="2">
        <f t="shared" si="8"/>
        <v>0.22451538421503361</v>
      </c>
      <c r="O13" s="2">
        <v>0.71435787299999998</v>
      </c>
      <c r="P13" s="2">
        <f t="shared" si="0"/>
        <v>0.74776865264082093</v>
      </c>
      <c r="Q13" s="2">
        <v>0.29680000000000001</v>
      </c>
      <c r="R13" s="2">
        <f t="shared" si="9"/>
        <v>0.70005790387956002</v>
      </c>
      <c r="S13" s="2">
        <f t="shared" si="10"/>
        <v>0.1711335521778812</v>
      </c>
      <c r="T13" s="5">
        <f t="shared" si="11"/>
        <v>0.26763171451196743</v>
      </c>
      <c r="U13" s="2" t="str">
        <f t="shared" si="12"/>
        <v>Low</v>
      </c>
      <c r="V13" s="2">
        <f t="shared" si="13"/>
        <v>0.16549412673993091</v>
      </c>
      <c r="W13" s="2">
        <f t="shared" si="14"/>
        <v>0.24217559676095121</v>
      </c>
      <c r="X13" s="2" t="s">
        <v>1169</v>
      </c>
      <c r="Y13" s="2">
        <f t="shared" si="16"/>
        <v>0.17677297761583152</v>
      </c>
      <c r="Z13" s="2">
        <f t="shared" si="17"/>
        <v>0.29684334643786409</v>
      </c>
      <c r="AA13" s="2" t="str">
        <f t="shared" si="18"/>
        <v>Low</v>
      </c>
      <c r="AB13" s="2">
        <f t="shared" si="19"/>
        <v>0.12953128972797859</v>
      </c>
      <c r="AC13" s="2">
        <f t="shared" si="20"/>
        <v>0.28002982149788236</v>
      </c>
      <c r="AD13" s="2" t="str">
        <f t="shared" si="21"/>
        <v>Low</v>
      </c>
      <c r="AE13" s="2">
        <f t="shared" si="22"/>
        <v>5.3075577383580944E-2</v>
      </c>
      <c r="AF13" s="2">
        <f t="shared" si="23"/>
        <v>0.36163017208747089</v>
      </c>
      <c r="AG13" s="2" t="str">
        <f t="shared" si="24"/>
        <v>Moderate</v>
      </c>
      <c r="AH13" s="1" t="s">
        <v>17</v>
      </c>
      <c r="AI13" s="2">
        <f>MAX(V1:V545)</f>
        <v>0.68336417439816732</v>
      </c>
      <c r="AJ13" s="2">
        <f>MIN(V1:V545)</f>
        <v>0</v>
      </c>
      <c r="AK13" s="2">
        <f t="shared" si="25"/>
        <v>0.68336417439816732</v>
      </c>
    </row>
    <row r="14" spans="1:37" x14ac:dyDescent="0.3">
      <c r="A14" s="2">
        <v>100662</v>
      </c>
      <c r="B14" s="2" t="s">
        <v>50</v>
      </c>
      <c r="C14" s="2" t="s">
        <v>37</v>
      </c>
      <c r="D14" s="2" t="s">
        <v>51</v>
      </c>
      <c r="E14" s="3">
        <v>6.7</v>
      </c>
      <c r="F14" s="4">
        <f t="shared" si="4"/>
        <v>0.77777777777777779</v>
      </c>
      <c r="G14" s="2">
        <v>88.86169439999999</v>
      </c>
      <c r="H14" s="2">
        <f t="shared" si="5"/>
        <v>0.41754467335279699</v>
      </c>
      <c r="I14" s="2">
        <v>19.799999999999997</v>
      </c>
      <c r="J14" s="4">
        <f t="shared" si="6"/>
        <v>0.30045523520485584</v>
      </c>
      <c r="K14" s="2">
        <v>0</v>
      </c>
      <c r="L14" s="4">
        <f t="shared" si="7"/>
        <v>0</v>
      </c>
      <c r="M14" s="2">
        <v>15037</v>
      </c>
      <c r="N14" s="2">
        <f t="shared" si="8"/>
        <v>7.0015566374737992E-2</v>
      </c>
      <c r="O14" s="2">
        <v>0.30477910699999999</v>
      </c>
      <c r="P14" s="2">
        <f t="shared" si="0"/>
        <v>0.27462730268179397</v>
      </c>
      <c r="Q14" s="2">
        <v>0.29299999999999998</v>
      </c>
      <c r="R14" s="2">
        <f t="shared" si="9"/>
        <v>0.68905616676317316</v>
      </c>
      <c r="S14" s="2">
        <f t="shared" si="10"/>
        <v>9.4178631955723305E-2</v>
      </c>
      <c r="T14" s="5">
        <f t="shared" si="11"/>
        <v>0.14728373495398953</v>
      </c>
      <c r="U14" s="2" t="str">
        <f t="shared" si="12"/>
        <v>No Impact</v>
      </c>
      <c r="V14" s="2">
        <f t="shared" si="13"/>
        <v>0.13467983873125114</v>
      </c>
      <c r="W14" s="2">
        <f t="shared" si="14"/>
        <v>0.19708355189948676</v>
      </c>
      <c r="X14" s="2" t="s">
        <v>1169</v>
      </c>
      <c r="Y14" s="2">
        <f t="shared" si="16"/>
        <v>5.3677425180195457E-2</v>
      </c>
      <c r="Z14" s="2">
        <f t="shared" si="17"/>
        <v>9.0137003593869905E-2</v>
      </c>
      <c r="AA14" s="2" t="str">
        <f t="shared" si="18"/>
        <v>No Impact</v>
      </c>
      <c r="AB14" s="2">
        <f t="shared" si="19"/>
        <v>6.8030896498150209E-2</v>
      </c>
      <c r="AC14" s="2">
        <f t="shared" si="20"/>
        <v>0.14707396060616071</v>
      </c>
      <c r="AD14" s="2" t="str">
        <f t="shared" si="21"/>
        <v>No Impact</v>
      </c>
      <c r="AE14" s="2">
        <f t="shared" si="22"/>
        <v>1.3684929680439072E-2</v>
      </c>
      <c r="AF14" s="2">
        <f t="shared" si="23"/>
        <v>9.324219762276327E-2</v>
      </c>
      <c r="AG14" s="2" t="s">
        <v>1169</v>
      </c>
      <c r="AH14" s="1" t="s">
        <v>1127</v>
      </c>
      <c r="AI14" s="2">
        <f>MAX(Y1:Y545)</f>
        <v>0.5955093140443154</v>
      </c>
      <c r="AJ14" s="2">
        <f>MIN(Y1:Y555)</f>
        <v>0</v>
      </c>
      <c r="AK14" s="2">
        <f t="shared" si="25"/>
        <v>0.5955093140443154</v>
      </c>
    </row>
    <row r="15" spans="1:37" x14ac:dyDescent="0.3">
      <c r="A15" s="2">
        <v>100669</v>
      </c>
      <c r="B15" s="2" t="s">
        <v>52</v>
      </c>
      <c r="C15" s="2" t="s">
        <v>37</v>
      </c>
      <c r="D15" s="2" t="s">
        <v>53</v>
      </c>
      <c r="E15" s="3">
        <v>6.7</v>
      </c>
      <c r="F15" s="4">
        <f t="shared" si="4"/>
        <v>0.77777777777777779</v>
      </c>
      <c r="G15" s="2">
        <v>93.790598400000007</v>
      </c>
      <c r="H15" s="2">
        <f t="shared" si="5"/>
        <v>0.4573380260080081</v>
      </c>
      <c r="I15" s="2">
        <v>24.700000000000003</v>
      </c>
      <c r="J15" s="4">
        <f t="shared" si="6"/>
        <v>0.37481031866464348</v>
      </c>
      <c r="K15" s="2">
        <v>0</v>
      </c>
      <c r="L15" s="4">
        <f t="shared" si="7"/>
        <v>0</v>
      </c>
      <c r="M15" s="2">
        <v>4807</v>
      </c>
      <c r="N15" s="2">
        <f t="shared" si="8"/>
        <v>2.1613130639262276E-2</v>
      </c>
      <c r="O15" s="2">
        <v>0.39679721000000001</v>
      </c>
      <c r="P15" s="2">
        <f t="shared" si="0"/>
        <v>0.38092570750214738</v>
      </c>
      <c r="Q15" s="2">
        <v>0.29380000000000001</v>
      </c>
      <c r="R15" s="2">
        <f t="shared" si="9"/>
        <v>0.69137232194557041</v>
      </c>
      <c r="S15" s="2">
        <f t="shared" si="10"/>
        <v>0.12145344577731268</v>
      </c>
      <c r="T15" s="5">
        <f t="shared" si="11"/>
        <v>0.18993817117161241</v>
      </c>
      <c r="U15" s="2" t="str">
        <f t="shared" si="12"/>
        <v>Low</v>
      </c>
      <c r="V15" s="2">
        <f t="shared" si="13"/>
        <v>0.1566160684984178</v>
      </c>
      <c r="W15" s="2">
        <f t="shared" si="14"/>
        <v>0.22918390276509323</v>
      </c>
      <c r="X15" s="2" t="s">
        <v>1169</v>
      </c>
      <c r="Y15" s="2">
        <f t="shared" si="16"/>
        <v>8.6290823056207555E-2</v>
      </c>
      <c r="Z15" s="2">
        <f t="shared" si="17"/>
        <v>0.14490255823234049</v>
      </c>
      <c r="AA15" s="2" t="str">
        <f t="shared" si="18"/>
        <v>No Impact</v>
      </c>
      <c r="AB15" s="2">
        <f t="shared" si="19"/>
        <v>8.2416473250596547E-2</v>
      </c>
      <c r="AC15" s="2">
        <f t="shared" si="20"/>
        <v>0.17817370877196242</v>
      </c>
      <c r="AD15" s="2" t="str">
        <f t="shared" si="21"/>
        <v>Low</v>
      </c>
      <c r="AE15" s="2">
        <f t="shared" si="22"/>
        <v>4.8960067408229868E-3</v>
      </c>
      <c r="AF15" s="2">
        <f t="shared" si="23"/>
        <v>3.3358916614875223E-2</v>
      </c>
      <c r="AG15" s="2" t="s">
        <v>1169</v>
      </c>
      <c r="AH15" s="1" t="s">
        <v>1129</v>
      </c>
      <c r="AI15" s="2">
        <f>MAX(AB1:AB545)</f>
        <v>0.46256248364947139</v>
      </c>
      <c r="AJ15" s="2">
        <f>MIN(AB1:AB555)</f>
        <v>0</v>
      </c>
      <c r="AK15" s="2">
        <f t="shared" si="25"/>
        <v>0.46256248364947139</v>
      </c>
    </row>
    <row r="16" spans="1:37" x14ac:dyDescent="0.3">
      <c r="A16" s="2">
        <v>100694</v>
      </c>
      <c r="B16" s="2" t="s">
        <v>54</v>
      </c>
      <c r="C16" s="2" t="s">
        <v>37</v>
      </c>
      <c r="D16" s="2" t="s">
        <v>55</v>
      </c>
      <c r="E16" s="3">
        <v>6.7</v>
      </c>
      <c r="F16" s="4">
        <f t="shared" si="4"/>
        <v>0.77777777777777779</v>
      </c>
      <c r="G16" s="2">
        <v>108.4753656</v>
      </c>
      <c r="H16" s="2">
        <f t="shared" si="5"/>
        <v>0.57589503581166324</v>
      </c>
      <c r="I16" s="2">
        <v>28.999999999999996</v>
      </c>
      <c r="J16" s="4">
        <f t="shared" si="6"/>
        <v>0.44006069802731412</v>
      </c>
      <c r="K16" s="2">
        <v>0</v>
      </c>
      <c r="L16" s="4">
        <f t="shared" si="7"/>
        <v>0</v>
      </c>
      <c r="M16" s="2">
        <v>26434</v>
      </c>
      <c r="N16" s="2">
        <f t="shared" si="8"/>
        <v>0.1239395702923545</v>
      </c>
      <c r="O16" s="2">
        <v>0.53448795299999996</v>
      </c>
      <c r="P16" s="2">
        <f t="shared" si="0"/>
        <v>0.53998469548660122</v>
      </c>
      <c r="Q16" s="2">
        <v>0.27650000000000002</v>
      </c>
      <c r="R16" s="2">
        <f t="shared" si="9"/>
        <v>0.64128546612623061</v>
      </c>
      <c r="S16" s="2">
        <f t="shared" si="10"/>
        <v>0.16334942083685874</v>
      </c>
      <c r="T16" s="5">
        <f t="shared" si="11"/>
        <v>0.25545829562203076</v>
      </c>
      <c r="U16" s="2" t="str">
        <f t="shared" si="12"/>
        <v>Low</v>
      </c>
      <c r="V16" s="2">
        <f t="shared" si="13"/>
        <v>0.17735758150327066</v>
      </c>
      <c r="W16" s="2">
        <f t="shared" si="14"/>
        <v>0.25953596654297523</v>
      </c>
      <c r="X16" s="2" t="s">
        <v>1169</v>
      </c>
      <c r="Y16" s="2">
        <f t="shared" si="16"/>
        <v>0.14934126017044683</v>
      </c>
      <c r="Z16" s="2">
        <f t="shared" si="17"/>
        <v>0.2507790502153816</v>
      </c>
      <c r="AA16" s="2" t="str">
        <f t="shared" si="18"/>
        <v>Low</v>
      </c>
      <c r="AB16" s="2">
        <f t="shared" si="19"/>
        <v>0.11887463467761306</v>
      </c>
      <c r="AC16" s="2">
        <f t="shared" si="20"/>
        <v>0.25699151764261091</v>
      </c>
      <c r="AD16" s="2" t="str">
        <f t="shared" si="21"/>
        <v>Low</v>
      </c>
      <c r="AE16" s="2">
        <f t="shared" si="22"/>
        <v>3.4277437429526499E-2</v>
      </c>
      <c r="AF16" s="2">
        <f t="shared" si="23"/>
        <v>0.23354914270215438</v>
      </c>
      <c r="AG16" s="2" t="s">
        <v>1169</v>
      </c>
      <c r="AH16" s="1" t="s">
        <v>1128</v>
      </c>
      <c r="AI16" s="2">
        <f>MAX(AE1:AE545)</f>
        <v>0.14676755835169378</v>
      </c>
      <c r="AJ16" s="2">
        <f>MIN(AE1:AE555)</f>
        <v>0</v>
      </c>
      <c r="AK16" s="2">
        <f t="shared" si="25"/>
        <v>0.14676755835169378</v>
      </c>
    </row>
    <row r="17" spans="1:33" x14ac:dyDescent="0.3">
      <c r="A17" s="2">
        <v>100918</v>
      </c>
      <c r="B17" s="2" t="s">
        <v>56</v>
      </c>
      <c r="C17" s="2" t="s">
        <v>57</v>
      </c>
      <c r="D17" s="2" t="s">
        <v>58</v>
      </c>
      <c r="E17" s="3">
        <v>7.2</v>
      </c>
      <c r="F17" s="4">
        <f t="shared" si="4"/>
        <v>0.88888888888888884</v>
      </c>
      <c r="G17" s="2">
        <v>90.749584799999994</v>
      </c>
      <c r="H17" s="2">
        <f t="shared" si="5"/>
        <v>0.43278649759234145</v>
      </c>
      <c r="I17" s="2">
        <v>21.799999999999997</v>
      </c>
      <c r="J17" s="4">
        <f t="shared" si="6"/>
        <v>0.33080424886191201</v>
      </c>
      <c r="K17" s="2">
        <v>1</v>
      </c>
      <c r="L17" s="4">
        <f t="shared" si="7"/>
        <v>0.41666666666666669</v>
      </c>
      <c r="M17" s="2">
        <v>36805</v>
      </c>
      <c r="N17" s="2">
        <f t="shared" si="8"/>
        <v>0.1730091363737444</v>
      </c>
      <c r="O17" s="2">
        <v>0.787296357</v>
      </c>
      <c r="P17" s="2">
        <f t="shared" si="0"/>
        <v>0.83202646981419681</v>
      </c>
      <c r="Q17" s="2">
        <v>0.30630000000000002</v>
      </c>
      <c r="R17" s="2">
        <f t="shared" si="9"/>
        <v>0.72756224667052705</v>
      </c>
      <c r="S17" s="2">
        <f t="shared" si="10"/>
        <v>0.27189298614416035</v>
      </c>
      <c r="T17" s="5">
        <f t="shared" si="11"/>
        <v>0.42520701007774275</v>
      </c>
      <c r="U17" s="2" t="str">
        <f t="shared" si="12"/>
        <v>Moderate</v>
      </c>
      <c r="V17" s="2">
        <f t="shared" si="13"/>
        <v>0.25368107599403938</v>
      </c>
      <c r="W17" s="2">
        <f t="shared" si="14"/>
        <v>0.37122384447129386</v>
      </c>
      <c r="X17" s="2" t="str">
        <f t="shared" si="15"/>
        <v>Moderate</v>
      </c>
      <c r="Y17" s="2">
        <f t="shared" si="16"/>
        <v>0.29010489629428132</v>
      </c>
      <c r="Z17" s="2">
        <f t="shared" si="17"/>
        <v>0.48715425510992577</v>
      </c>
      <c r="AA17" s="2" t="str">
        <f t="shared" si="18"/>
        <v>Moderate</v>
      </c>
      <c r="AB17" s="2">
        <f t="shared" si="19"/>
        <v>0.19693309102020964</v>
      </c>
      <c r="AC17" s="2">
        <f t="shared" si="20"/>
        <v>0.42574375999209874</v>
      </c>
      <c r="AD17" s="2" t="str">
        <f t="shared" si="21"/>
        <v>Moderate</v>
      </c>
      <c r="AE17" s="2">
        <f t="shared" si="22"/>
        <v>6.0323558668604144E-2</v>
      </c>
      <c r="AF17" s="2">
        <f t="shared" si="23"/>
        <v>0.411014255098889</v>
      </c>
      <c r="AG17" s="2" t="str">
        <f t="shared" si="24"/>
        <v>Moderate</v>
      </c>
    </row>
    <row r="18" spans="1:33" x14ac:dyDescent="0.3">
      <c r="A18" s="2">
        <v>100921</v>
      </c>
      <c r="B18" s="2" t="s">
        <v>59</v>
      </c>
      <c r="C18" s="2" t="s">
        <v>57</v>
      </c>
      <c r="D18" s="2" t="s">
        <v>60</v>
      </c>
      <c r="E18" s="3">
        <v>7.2</v>
      </c>
      <c r="F18" s="4">
        <f t="shared" si="4"/>
        <v>0.88888888888888884</v>
      </c>
      <c r="G18" s="2">
        <v>90.749584799999994</v>
      </c>
      <c r="H18" s="2">
        <f t="shared" si="5"/>
        <v>0.43278649759234145</v>
      </c>
      <c r="I18" s="2">
        <v>22.400000000000002</v>
      </c>
      <c r="J18" s="4">
        <f t="shared" si="6"/>
        <v>0.3399089529590289</v>
      </c>
      <c r="K18" s="2">
        <v>1</v>
      </c>
      <c r="L18" s="4">
        <f t="shared" si="7"/>
        <v>0.41666666666666669</v>
      </c>
      <c r="M18" s="2">
        <v>23768</v>
      </c>
      <c r="N18" s="2">
        <f t="shared" si="8"/>
        <v>0.11132560219159415</v>
      </c>
      <c r="O18" s="2">
        <v>0.22824382400000001</v>
      </c>
      <c r="P18" s="2">
        <f t="shared" si="0"/>
        <v>0.18621449878630067</v>
      </c>
      <c r="Q18" s="2">
        <v>0.29470000000000002</v>
      </c>
      <c r="R18" s="2">
        <f t="shared" si="9"/>
        <v>0.6939779965257673</v>
      </c>
      <c r="S18" s="2">
        <f t="shared" si="10"/>
        <v>0.15469614212088492</v>
      </c>
      <c r="T18" s="5">
        <f t="shared" si="11"/>
        <v>0.24192563770992956</v>
      </c>
      <c r="U18" s="2" t="str">
        <f t="shared" si="12"/>
        <v>Low</v>
      </c>
      <c r="V18" s="2">
        <f t="shared" si="13"/>
        <v>0.2439369100534188</v>
      </c>
      <c r="W18" s="2">
        <f t="shared" si="14"/>
        <v>0.35696473299650489</v>
      </c>
      <c r="X18" s="2" t="str">
        <f t="shared" si="15"/>
        <v>Moderate</v>
      </c>
      <c r="Y18" s="2">
        <f t="shared" si="16"/>
        <v>6.5455374188351054E-2</v>
      </c>
      <c r="Z18" s="2">
        <f t="shared" si="17"/>
        <v>0.10991494615561988</v>
      </c>
      <c r="AA18" s="2" t="str">
        <f t="shared" si="18"/>
        <v>No Impact</v>
      </c>
      <c r="AB18" s="2">
        <f t="shared" si="19"/>
        <v>0.11871056759559385</v>
      </c>
      <c r="AC18" s="2">
        <f t="shared" si="20"/>
        <v>0.25663682592458664</v>
      </c>
      <c r="AD18" s="2" t="str">
        <f t="shared" si="21"/>
        <v>Low</v>
      </c>
      <c r="AE18" s="2">
        <f t="shared" si="22"/>
        <v>3.9131533772548466E-2</v>
      </c>
      <c r="AF18" s="2">
        <f t="shared" si="23"/>
        <v>0.26662250303830082</v>
      </c>
      <c r="AG18" s="2" t="s">
        <v>1169</v>
      </c>
    </row>
    <row r="19" spans="1:33" x14ac:dyDescent="0.3">
      <c r="A19" s="2">
        <v>100925</v>
      </c>
      <c r="B19" s="2" t="s">
        <v>61</v>
      </c>
      <c r="C19" s="2" t="s">
        <v>57</v>
      </c>
      <c r="D19" s="2" t="s">
        <v>62</v>
      </c>
      <c r="E19" s="3">
        <v>7.2</v>
      </c>
      <c r="F19" s="4">
        <f t="shared" si="4"/>
        <v>0.88888888888888884</v>
      </c>
      <c r="G19" s="2">
        <v>104.8594068</v>
      </c>
      <c r="H19" s="2">
        <f t="shared" si="5"/>
        <v>0.54670170526290152</v>
      </c>
      <c r="I19" s="2">
        <v>20.299999999999997</v>
      </c>
      <c r="J19" s="4">
        <f t="shared" si="6"/>
        <v>0.30804248861911987</v>
      </c>
      <c r="K19" s="2">
        <v>1</v>
      </c>
      <c r="L19" s="4">
        <f t="shared" si="7"/>
        <v>0.41666666666666669</v>
      </c>
      <c r="M19" s="2">
        <v>19441</v>
      </c>
      <c r="N19" s="2">
        <f t="shared" si="8"/>
        <v>9.0852743987546905E-2</v>
      </c>
      <c r="O19" s="2">
        <v>0.35357063300000002</v>
      </c>
      <c r="P19" s="2">
        <f t="shared" si="0"/>
        <v>0.33099079218505839</v>
      </c>
      <c r="Q19" s="2">
        <v>0.27100000000000002</v>
      </c>
      <c r="R19" s="2">
        <f t="shared" si="9"/>
        <v>0.62536189924724972</v>
      </c>
      <c r="S19" s="2">
        <f t="shared" si="10"/>
        <v>0.18028755779371641</v>
      </c>
      <c r="T19" s="5">
        <f t="shared" si="11"/>
        <v>0.28194744737931104</v>
      </c>
      <c r="U19" s="2" t="str">
        <f t="shared" si="12"/>
        <v>Low</v>
      </c>
      <c r="V19" s="2">
        <f t="shared" si="13"/>
        <v>0.23578115179175407</v>
      </c>
      <c r="W19" s="2">
        <f t="shared" si="14"/>
        <v>0.34503001565659247</v>
      </c>
      <c r="X19" s="2" t="str">
        <f t="shared" si="15"/>
        <v>Moderate</v>
      </c>
      <c r="Y19" s="2">
        <f t="shared" si="16"/>
        <v>0.12479396379567873</v>
      </c>
      <c r="Z19" s="2">
        <f t="shared" si="17"/>
        <v>0.20955837440754463</v>
      </c>
      <c r="AA19" s="2" t="str">
        <f t="shared" si="18"/>
        <v>Low</v>
      </c>
      <c r="AB19" s="2">
        <f t="shared" si="19"/>
        <v>0.13195061434457472</v>
      </c>
      <c r="AC19" s="2">
        <f t="shared" si="20"/>
        <v>0.28526008703413686</v>
      </c>
      <c r="AD19" s="2" t="str">
        <f t="shared" si="21"/>
        <v>Low</v>
      </c>
      <c r="AE19" s="2">
        <f t="shared" si="22"/>
        <v>3.4254348796449126E-2</v>
      </c>
      <c r="AF19" s="2">
        <f t="shared" si="23"/>
        <v>0.23339182842005637</v>
      </c>
      <c r="AG19" s="2" t="s">
        <v>1169</v>
      </c>
    </row>
    <row r="20" spans="1:33" x14ac:dyDescent="0.3">
      <c r="A20" s="2">
        <v>100929</v>
      </c>
      <c r="B20" s="2" t="s">
        <v>63</v>
      </c>
      <c r="C20" s="2" t="s">
        <v>57</v>
      </c>
      <c r="D20" s="2" t="s">
        <v>1134</v>
      </c>
      <c r="E20" s="3">
        <v>7.2</v>
      </c>
      <c r="F20" s="4">
        <f t="shared" si="4"/>
        <v>0.88888888888888884</v>
      </c>
      <c r="G20" s="2">
        <v>88.86169439999999</v>
      </c>
      <c r="H20" s="2">
        <f t="shared" si="5"/>
        <v>0.41754467335279699</v>
      </c>
      <c r="I20" s="2">
        <v>18.700000000000003</v>
      </c>
      <c r="J20" s="4">
        <f t="shared" si="6"/>
        <v>0.28376327769347504</v>
      </c>
      <c r="K20" s="2">
        <v>1</v>
      </c>
      <c r="L20" s="4">
        <f t="shared" si="7"/>
        <v>0.41666666666666669</v>
      </c>
      <c r="M20" s="2">
        <v>11391</v>
      </c>
      <c r="N20" s="2">
        <f t="shared" si="8"/>
        <v>5.2764805798829445E-2</v>
      </c>
      <c r="O20" s="2">
        <v>0.26631723800000001</v>
      </c>
      <c r="P20" s="2">
        <f t="shared" si="0"/>
        <v>0.23019653104211568</v>
      </c>
      <c r="Q20" s="2">
        <v>0.31780000000000003</v>
      </c>
      <c r="R20" s="2">
        <f t="shared" si="9"/>
        <v>0.76085697741748715</v>
      </c>
      <c r="S20" s="2">
        <f t="shared" si="10"/>
        <v>0.16317488242031486</v>
      </c>
      <c r="T20" s="5">
        <f t="shared" si="11"/>
        <v>0.25518533912067043</v>
      </c>
      <c r="U20" s="2" t="str">
        <f t="shared" si="12"/>
        <v>Low</v>
      </c>
      <c r="V20" s="2">
        <f t="shared" si="13"/>
        <v>0.25054701238431737</v>
      </c>
      <c r="W20" s="2">
        <f t="shared" si="14"/>
        <v>0.36663761691190772</v>
      </c>
      <c r="X20" s="2" t="str">
        <f t="shared" si="15"/>
        <v>Moderate</v>
      </c>
      <c r="Y20" s="2">
        <f t="shared" si="16"/>
        <v>7.5802752456312392E-2</v>
      </c>
      <c r="Z20" s="2">
        <f t="shared" si="17"/>
        <v>0.12729062445977371</v>
      </c>
      <c r="AA20" s="2" t="str">
        <f t="shared" si="18"/>
        <v>No Impact</v>
      </c>
      <c r="AB20" s="2">
        <f t="shared" si="19"/>
        <v>0.11651361032861356</v>
      </c>
      <c r="AC20" s="2">
        <f t="shared" si="20"/>
        <v>0.25188728971134472</v>
      </c>
      <c r="AD20" s="2" t="str">
        <f t="shared" si="21"/>
        <v>Low</v>
      </c>
      <c r="AE20" s="2">
        <f t="shared" si="22"/>
        <v>1.7375229306310854E-2</v>
      </c>
      <c r="AF20" s="2">
        <f t="shared" si="23"/>
        <v>0.11838603504376098</v>
      </c>
      <c r="AG20" s="2" t="s">
        <v>1169</v>
      </c>
    </row>
    <row r="21" spans="1:33" x14ac:dyDescent="0.3">
      <c r="A21" s="2">
        <v>100954</v>
      </c>
      <c r="B21" s="2" t="s">
        <v>64</v>
      </c>
      <c r="C21" s="2" t="s">
        <v>57</v>
      </c>
      <c r="D21" s="2" t="s">
        <v>65</v>
      </c>
      <c r="E21" s="3">
        <v>7.2</v>
      </c>
      <c r="F21" s="4">
        <f t="shared" si="4"/>
        <v>0.88888888888888884</v>
      </c>
      <c r="G21" s="2">
        <v>91.828879200000003</v>
      </c>
      <c r="H21" s="2">
        <f t="shared" si="5"/>
        <v>0.44150014725522685</v>
      </c>
      <c r="I21" s="2">
        <v>19.200000000000003</v>
      </c>
      <c r="J21" s="4">
        <f t="shared" si="6"/>
        <v>0.29135053110773906</v>
      </c>
      <c r="K21" s="2">
        <v>1</v>
      </c>
      <c r="L21" s="4">
        <f t="shared" si="7"/>
        <v>0.41666666666666669</v>
      </c>
      <c r="M21" s="2">
        <v>17773</v>
      </c>
      <c r="N21" s="2">
        <f t="shared" si="8"/>
        <v>8.2960733938008929E-2</v>
      </c>
      <c r="O21" s="2">
        <v>0.45777481399999997</v>
      </c>
      <c r="P21" s="2">
        <f t="shared" si="0"/>
        <v>0.45136643409447014</v>
      </c>
      <c r="Q21" s="2">
        <v>0.30109999999999998</v>
      </c>
      <c r="R21" s="2">
        <f t="shared" si="9"/>
        <v>0.71250723798494497</v>
      </c>
      <c r="S21" s="2">
        <f t="shared" si="10"/>
        <v>0.19734007668853126</v>
      </c>
      <c r="T21" s="5">
        <f t="shared" si="11"/>
        <v>0.30861547834394198</v>
      </c>
      <c r="U21" s="2" t="str">
        <f t="shared" si="12"/>
        <v>Moderate</v>
      </c>
      <c r="V21" s="2">
        <f t="shared" si="13"/>
        <v>0.24161768817035081</v>
      </c>
      <c r="W21" s="2">
        <f t="shared" si="14"/>
        <v>0.35357090292762472</v>
      </c>
      <c r="X21" s="2" t="str">
        <f t="shared" si="15"/>
        <v>Moderate</v>
      </c>
      <c r="Y21" s="2">
        <f t="shared" si="16"/>
        <v>0.15306246520671168</v>
      </c>
      <c r="Z21" s="2">
        <f t="shared" si="17"/>
        <v>0.25702782743599772</v>
      </c>
      <c r="AA21" s="2" t="str">
        <f t="shared" si="18"/>
        <v>Low</v>
      </c>
      <c r="AB21" s="2">
        <f t="shared" si="19"/>
        <v>0.1403313893571233</v>
      </c>
      <c r="AC21" s="2">
        <f t="shared" si="20"/>
        <v>0.30337823389816038</v>
      </c>
      <c r="AD21" s="2" t="str">
        <f t="shared" si="21"/>
        <v>Moderate</v>
      </c>
      <c r="AE21" s="2">
        <f t="shared" si="22"/>
        <v>2.8132739815677241E-2</v>
      </c>
      <c r="AF21" s="2">
        <f t="shared" si="23"/>
        <v>0.19168227727999521</v>
      </c>
      <c r="AG21" s="2" t="s">
        <v>1169</v>
      </c>
    </row>
    <row r="22" spans="1:33" x14ac:dyDescent="0.3">
      <c r="A22" s="2">
        <v>100965</v>
      </c>
      <c r="B22" s="2" t="s">
        <v>66</v>
      </c>
      <c r="C22" s="2" t="s">
        <v>57</v>
      </c>
      <c r="D22" s="2" t="s">
        <v>67</v>
      </c>
      <c r="E22" s="3">
        <v>5.3</v>
      </c>
      <c r="F22" s="4">
        <f t="shared" si="4"/>
        <v>0.46666666666666656</v>
      </c>
      <c r="G22" s="2">
        <v>100.85348880000001</v>
      </c>
      <c r="H22" s="2">
        <f t="shared" si="5"/>
        <v>0.51436005128021955</v>
      </c>
      <c r="I22" s="2">
        <v>16.200000000000003</v>
      </c>
      <c r="J22" s="4">
        <f t="shared" si="6"/>
        <v>0.24582701062215487</v>
      </c>
      <c r="K22" s="2">
        <v>1</v>
      </c>
      <c r="L22" s="4">
        <f t="shared" si="7"/>
        <v>0.41666666666666669</v>
      </c>
      <c r="M22" s="2">
        <v>12816</v>
      </c>
      <c r="N22" s="2">
        <f t="shared" si="8"/>
        <v>5.9507080571366389E-2</v>
      </c>
      <c r="O22" s="2">
        <v>0.16869237100000001</v>
      </c>
      <c r="P22" s="2">
        <f t="shared" si="0"/>
        <v>0.11742124776009501</v>
      </c>
      <c r="Q22" s="2">
        <v>0.22570000000000001</v>
      </c>
      <c r="R22" s="2">
        <f t="shared" si="9"/>
        <v>0.49420961204400704</v>
      </c>
      <c r="S22" s="2">
        <f t="shared" si="10"/>
        <v>5.5810465824089411E-2</v>
      </c>
      <c r="T22" s="5">
        <f t="shared" si="11"/>
        <v>8.7280667444377139E-2</v>
      </c>
      <c r="U22" s="2" t="str">
        <f t="shared" si="12"/>
        <v>No Impact</v>
      </c>
      <c r="V22" s="2">
        <f t="shared" si="13"/>
        <v>9.0191880350029244E-2</v>
      </c>
      <c r="W22" s="2">
        <f t="shared" si="14"/>
        <v>0.13198216079948941</v>
      </c>
      <c r="X22" s="2" t="s">
        <v>1169</v>
      </c>
      <c r="Y22" s="2">
        <f t="shared" si="16"/>
        <v>2.1429051298149579E-2</v>
      </c>
      <c r="Z22" s="2">
        <f t="shared" si="17"/>
        <v>3.5984409971050284E-2</v>
      </c>
      <c r="AA22" s="2" t="str">
        <f t="shared" si="18"/>
        <v>No Impact</v>
      </c>
      <c r="AB22" s="2">
        <f t="shared" si="19"/>
        <v>4.1796830385367779E-2</v>
      </c>
      <c r="AC22" s="2">
        <f t="shared" si="20"/>
        <v>9.0359317633380107E-2</v>
      </c>
      <c r="AD22" s="2" t="str">
        <f t="shared" si="21"/>
        <v>No Impact</v>
      </c>
      <c r="AE22" s="2">
        <f t="shared" si="22"/>
        <v>1.0859876781179067E-2</v>
      </c>
      <c r="AF22" s="2">
        <f t="shared" si="23"/>
        <v>7.3993714299967692E-2</v>
      </c>
      <c r="AG22" s="2" t="s">
        <v>1169</v>
      </c>
    </row>
    <row r="23" spans="1:33" x14ac:dyDescent="0.3">
      <c r="A23" s="2">
        <v>100991</v>
      </c>
      <c r="B23" s="2" t="s">
        <v>68</v>
      </c>
      <c r="C23" s="2" t="s">
        <v>57</v>
      </c>
      <c r="D23" s="2" t="s">
        <v>69</v>
      </c>
      <c r="E23" s="3">
        <v>5.3</v>
      </c>
      <c r="F23" s="4">
        <f t="shared" si="4"/>
        <v>0.46666666666666656</v>
      </c>
      <c r="G23" s="2">
        <v>92.053879199999997</v>
      </c>
      <c r="H23" s="2">
        <f t="shared" si="5"/>
        <v>0.44331667773490802</v>
      </c>
      <c r="I23" s="2">
        <v>17.800000000000004</v>
      </c>
      <c r="J23" s="4">
        <f t="shared" si="6"/>
        <v>0.27010622154779979</v>
      </c>
      <c r="K23" s="2">
        <v>1</v>
      </c>
      <c r="L23" s="4">
        <f t="shared" si="7"/>
        <v>0.41666666666666669</v>
      </c>
      <c r="M23" s="2">
        <v>7108</v>
      </c>
      <c r="N23" s="2">
        <f t="shared" si="8"/>
        <v>3.2500130114074557E-2</v>
      </c>
      <c r="O23" s="2">
        <v>6.7045685999999993E-2</v>
      </c>
      <c r="P23" s="2">
        <f t="shared" si="0"/>
        <v>0</v>
      </c>
      <c r="Q23" s="2">
        <v>0.26540000000000002</v>
      </c>
      <c r="R23" s="2">
        <f t="shared" si="9"/>
        <v>0.60914881297046919</v>
      </c>
      <c r="S23" s="2">
        <f t="shared" si="10"/>
        <v>5.3257598544899656E-2</v>
      </c>
      <c r="T23" s="5">
        <f t="shared" si="11"/>
        <v>8.3288298688185561E-2</v>
      </c>
      <c r="U23" s="2" t="str">
        <f t="shared" si="12"/>
        <v>No Impact</v>
      </c>
      <c r="V23" s="2">
        <f t="shared" si="13"/>
        <v>0.10651519708979931</v>
      </c>
      <c r="W23" s="2">
        <f t="shared" si="14"/>
        <v>0.15586886330938593</v>
      </c>
      <c r="X23" s="2" t="s">
        <v>1169</v>
      </c>
      <c r="Y23" s="2">
        <f t="shared" si="16"/>
        <v>0</v>
      </c>
      <c r="Z23" s="2">
        <f t="shared" si="17"/>
        <v>0</v>
      </c>
      <c r="AA23" s="2" t="str">
        <f t="shared" si="18"/>
        <v>No Impact</v>
      </c>
      <c r="AB23" s="2">
        <f t="shared" si="19"/>
        <v>3.9269348906124713E-2</v>
      </c>
      <c r="AC23" s="2">
        <f t="shared" si="20"/>
        <v>8.4895231010310213E-2</v>
      </c>
      <c r="AD23" s="2" t="str">
        <f t="shared" si="21"/>
        <v>No Impact</v>
      </c>
      <c r="AE23" s="2">
        <f t="shared" si="22"/>
        <v>5.6829426419855713E-3</v>
      </c>
      <c r="AF23" s="2">
        <f t="shared" si="23"/>
        <v>3.8720700308768112E-2</v>
      </c>
      <c r="AG23" s="2" t="s">
        <v>1169</v>
      </c>
    </row>
    <row r="24" spans="1:33" x14ac:dyDescent="0.3">
      <c r="A24" s="2">
        <v>104240</v>
      </c>
      <c r="B24" s="2" t="s">
        <v>70</v>
      </c>
      <c r="C24" s="2" t="s">
        <v>71</v>
      </c>
      <c r="D24" s="2" t="s">
        <v>72</v>
      </c>
      <c r="E24" s="3">
        <v>5.9</v>
      </c>
      <c r="F24" s="4">
        <f t="shared" si="4"/>
        <v>0.60000000000000009</v>
      </c>
      <c r="G24" s="2">
        <v>112.64841</v>
      </c>
      <c r="H24" s="2">
        <f t="shared" si="5"/>
        <v>0.60958597957016469</v>
      </c>
      <c r="I24" s="2">
        <v>30.099999999999994</v>
      </c>
      <c r="J24" s="4">
        <f t="shared" si="6"/>
        <v>0.45675265553869498</v>
      </c>
      <c r="K24" s="2">
        <v>0</v>
      </c>
      <c r="L24" s="4">
        <f t="shared" si="7"/>
        <v>0</v>
      </c>
      <c r="M24" s="2">
        <v>18852</v>
      </c>
      <c r="N24" s="2">
        <f t="shared" si="8"/>
        <v>8.806593708156496E-2</v>
      </c>
      <c r="O24" s="2">
        <v>0.22696981099999999</v>
      </c>
      <c r="P24" s="2">
        <f t="shared" si="0"/>
        <v>0.18474277153693111</v>
      </c>
      <c r="Q24" s="2">
        <v>0.31990000000000002</v>
      </c>
      <c r="R24" s="2">
        <f t="shared" si="9"/>
        <v>0.76693688477127975</v>
      </c>
      <c r="S24" s="2">
        <f t="shared" si="10"/>
        <v>0.10655534250569947</v>
      </c>
      <c r="T24" s="5">
        <f t="shared" si="11"/>
        <v>0.16663937984275728</v>
      </c>
      <c r="U24" s="2" t="str">
        <f t="shared" si="12"/>
        <v>Low</v>
      </c>
      <c r="V24" s="2">
        <f t="shared" si="13"/>
        <v>0.17174103049354594</v>
      </c>
      <c r="W24" s="2">
        <f t="shared" si="14"/>
        <v>0.25131699455096063</v>
      </c>
      <c r="X24" s="2" t="s">
        <v>1169</v>
      </c>
      <c r="Y24" s="2">
        <f t="shared" si="16"/>
        <v>4.1369654517852995E-2</v>
      </c>
      <c r="Z24" s="2">
        <f t="shared" si="17"/>
        <v>6.946936604046873E-2</v>
      </c>
      <c r="AA24" s="2" t="str">
        <f t="shared" si="18"/>
        <v>No Impact</v>
      </c>
      <c r="AB24" s="2">
        <f t="shared" si="19"/>
        <v>7.9422503197411662E-2</v>
      </c>
      <c r="AC24" s="2">
        <f t="shared" si="20"/>
        <v>0.17170113445170324</v>
      </c>
      <c r="AD24" s="2" t="str">
        <f t="shared" si="21"/>
        <v>Low</v>
      </c>
      <c r="AE24" s="2">
        <f t="shared" si="22"/>
        <v>1.9720703340899128E-2</v>
      </c>
      <c r="AF24" s="2">
        <f t="shared" si="23"/>
        <v>0.13436691025167238</v>
      </c>
      <c r="AG24" s="2" t="s">
        <v>1169</v>
      </c>
    </row>
    <row r="25" spans="1:33" x14ac:dyDescent="0.3">
      <c r="A25" s="2">
        <v>104243</v>
      </c>
      <c r="B25" s="2" t="s">
        <v>73</v>
      </c>
      <c r="C25" s="2" t="s">
        <v>71</v>
      </c>
      <c r="D25" s="2" t="s">
        <v>74</v>
      </c>
      <c r="E25" s="3">
        <v>5.8</v>
      </c>
      <c r="F25" s="4">
        <f t="shared" si="4"/>
        <v>0.57777777777777772</v>
      </c>
      <c r="G25" s="2">
        <v>120.09450600000001</v>
      </c>
      <c r="H25" s="2">
        <f t="shared" si="5"/>
        <v>0.66970180329741857</v>
      </c>
      <c r="I25" s="2">
        <v>30</v>
      </c>
      <c r="J25" s="4">
        <f t="shared" si="6"/>
        <v>0.45523520485584223</v>
      </c>
      <c r="K25" s="2">
        <v>0</v>
      </c>
      <c r="L25" s="4">
        <f t="shared" si="7"/>
        <v>0</v>
      </c>
      <c r="M25" s="2">
        <v>10294</v>
      </c>
      <c r="N25" s="2">
        <f t="shared" si="8"/>
        <v>4.7574437079199255E-2</v>
      </c>
      <c r="O25" s="2">
        <v>0.77812197400000005</v>
      </c>
      <c r="P25" s="2">
        <f t="shared" si="0"/>
        <v>0.82142831307854924</v>
      </c>
      <c r="Q25" s="2">
        <v>0.29830000000000001</v>
      </c>
      <c r="R25" s="2">
        <f t="shared" si="9"/>
        <v>0.70440069484655476</v>
      </c>
      <c r="S25" s="2">
        <f t="shared" si="10"/>
        <v>0.17355333137857101</v>
      </c>
      <c r="T25" s="5">
        <f t="shared" si="11"/>
        <v>0.27141594997006085</v>
      </c>
      <c r="U25" s="2" t="str">
        <f t="shared" si="12"/>
        <v>Low</v>
      </c>
      <c r="V25" s="2">
        <f t="shared" si="13"/>
        <v>0.16024218517413394</v>
      </c>
      <c r="W25" s="2">
        <f t="shared" si="14"/>
        <v>0.2344901754840423</v>
      </c>
      <c r="X25" s="2" t="s">
        <v>1169</v>
      </c>
      <c r="Y25" s="2">
        <f t="shared" si="16"/>
        <v>0.18686447758300809</v>
      </c>
      <c r="Z25" s="2">
        <f t="shared" si="17"/>
        <v>0.31378934497924982</v>
      </c>
      <c r="AA25" s="2" t="str">
        <f t="shared" si="18"/>
        <v>Moderate</v>
      </c>
      <c r="AB25" s="2">
        <f t="shared" si="19"/>
        <v>0.11593201053131937</v>
      </c>
      <c r="AC25" s="2">
        <f t="shared" si="20"/>
        <v>0.25062994650290821</v>
      </c>
      <c r="AD25" s="2" t="str">
        <f t="shared" si="21"/>
        <v>Low</v>
      </c>
      <c r="AE25" s="2">
        <f t="shared" si="22"/>
        <v>1.0822578415628769E-2</v>
      </c>
      <c r="AF25" s="2">
        <f t="shared" si="23"/>
        <v>7.3739582079133698E-2</v>
      </c>
      <c r="AG25" s="2" t="s">
        <v>1169</v>
      </c>
    </row>
    <row r="26" spans="1:33" x14ac:dyDescent="0.3">
      <c r="A26" s="2">
        <v>104273</v>
      </c>
      <c r="B26" s="2" t="s">
        <v>75</v>
      </c>
      <c r="C26" s="2" t="s">
        <v>71</v>
      </c>
      <c r="D26" s="2" t="s">
        <v>76</v>
      </c>
      <c r="E26" s="3">
        <v>5.9</v>
      </c>
      <c r="F26" s="4">
        <f t="shared" si="4"/>
        <v>0.60000000000000009</v>
      </c>
      <c r="G26" s="2">
        <v>95.548410000000004</v>
      </c>
      <c r="H26" s="2">
        <f t="shared" si="5"/>
        <v>0.47152966311439537</v>
      </c>
      <c r="I26" s="2">
        <v>26.800000000000004</v>
      </c>
      <c r="J26" s="4">
        <f t="shared" si="6"/>
        <v>0.40667678300455246</v>
      </c>
      <c r="K26" s="2">
        <v>0</v>
      </c>
      <c r="L26" s="4">
        <f t="shared" si="7"/>
        <v>0</v>
      </c>
      <c r="M26" s="2">
        <v>19028</v>
      </c>
      <c r="N26" s="2">
        <f t="shared" si="8"/>
        <v>8.8898667158734443E-2</v>
      </c>
      <c r="O26" s="2">
        <v>0.54884711100000005</v>
      </c>
      <c r="P26" s="2">
        <f t="shared" si="0"/>
        <v>0.55657225315406822</v>
      </c>
      <c r="Q26" s="2">
        <v>0.30059999999999998</v>
      </c>
      <c r="R26" s="2">
        <f t="shared" si="9"/>
        <v>0.71105964099594676</v>
      </c>
      <c r="S26" s="2">
        <f t="shared" si="10"/>
        <v>0.11689046257859409</v>
      </c>
      <c r="T26" s="5">
        <f t="shared" si="11"/>
        <v>0.18280222967316792</v>
      </c>
      <c r="U26" s="2" t="str">
        <f t="shared" si="12"/>
        <v>Low</v>
      </c>
      <c r="V26" s="2">
        <f t="shared" si="13"/>
        <v>0.13113600366250971</v>
      </c>
      <c r="W26" s="2">
        <f t="shared" si="14"/>
        <v>0.19189768585395922</v>
      </c>
      <c r="X26" s="2" t="s">
        <v>1169</v>
      </c>
      <c r="Y26" s="2">
        <f t="shared" si="16"/>
        <v>0.10264492149467841</v>
      </c>
      <c r="Z26" s="2">
        <f t="shared" si="17"/>
        <v>0.17236493044513487</v>
      </c>
      <c r="AA26" s="2" t="str">
        <f t="shared" si="18"/>
        <v>Low</v>
      </c>
      <c r="AB26" s="2">
        <f t="shared" si="19"/>
        <v>8.2429324347720406E-2</v>
      </c>
      <c r="AC26" s="2">
        <f t="shared" si="20"/>
        <v>0.17820149117450937</v>
      </c>
      <c r="AD26" s="2" t="str">
        <f t="shared" si="21"/>
        <v>Low</v>
      </c>
      <c r="AE26" s="2">
        <f t="shared" si="22"/>
        <v>1.6394990335538515E-2</v>
      </c>
      <c r="AF26" s="2">
        <f t="shared" si="23"/>
        <v>0.11170718188451288</v>
      </c>
      <c r="AG26" s="2" t="s">
        <v>1169</v>
      </c>
    </row>
    <row r="27" spans="1:33" x14ac:dyDescent="0.3">
      <c r="A27" s="2">
        <v>104284</v>
      </c>
      <c r="B27" s="2" t="s">
        <v>77</v>
      </c>
      <c r="C27" s="2" t="s">
        <v>71</v>
      </c>
      <c r="D27" s="2" t="s">
        <v>78</v>
      </c>
      <c r="E27" s="3">
        <v>5.8</v>
      </c>
      <c r="F27" s="4">
        <f t="shared" si="4"/>
        <v>0.57777777777777772</v>
      </c>
      <c r="G27" s="2">
        <v>112.64841</v>
      </c>
      <c r="H27" s="2">
        <f t="shared" si="5"/>
        <v>0.60958597957016469</v>
      </c>
      <c r="I27" s="2">
        <v>28.200000000000003</v>
      </c>
      <c r="J27" s="4">
        <f t="shared" si="6"/>
        <v>0.42792109256449173</v>
      </c>
      <c r="K27" s="2">
        <v>0</v>
      </c>
      <c r="L27" s="4">
        <f t="shared" si="7"/>
        <v>0</v>
      </c>
      <c r="M27" s="2">
        <v>10861</v>
      </c>
      <c r="N27" s="2">
        <f t="shared" si="8"/>
        <v>5.0257152725535006E-2</v>
      </c>
      <c r="O27" s="2">
        <v>0.60058709200000004</v>
      </c>
      <c r="P27" s="2">
        <f t="shared" si="0"/>
        <v>0.61634176878661062</v>
      </c>
      <c r="Q27" s="2">
        <v>0.3014</v>
      </c>
      <c r="R27" s="2">
        <f t="shared" si="9"/>
        <v>0.71337579617834401</v>
      </c>
      <c r="S27" s="2">
        <f t="shared" si="10"/>
        <v>0.13949201706771794</v>
      </c>
      <c r="T27" s="5">
        <f t="shared" si="11"/>
        <v>0.21814826615508748</v>
      </c>
      <c r="U27" s="2" t="str">
        <f t="shared" si="12"/>
        <v>Low</v>
      </c>
      <c r="V27" s="2">
        <f t="shared" si="13"/>
        <v>0.14967122546633288</v>
      </c>
      <c r="W27" s="2">
        <f t="shared" si="14"/>
        <v>0.219021176517114</v>
      </c>
      <c r="X27" s="2" t="s">
        <v>1169</v>
      </c>
      <c r="Y27" s="2">
        <f t="shared" si="16"/>
        <v>0.129312808669103</v>
      </c>
      <c r="Z27" s="2">
        <f t="shared" si="17"/>
        <v>0.21714657624898215</v>
      </c>
      <c r="AA27" s="2" t="str">
        <f t="shared" si="18"/>
        <v>Low</v>
      </c>
      <c r="AB27" s="2">
        <f t="shared" si="19"/>
        <v>9.4869277117041392E-2</v>
      </c>
      <c r="AC27" s="2">
        <f t="shared" si="20"/>
        <v>0.20509505303705752</v>
      </c>
      <c r="AD27" s="2" t="str">
        <f t="shared" si="21"/>
        <v>Low</v>
      </c>
      <c r="AE27" s="2">
        <f t="shared" si="22"/>
        <v>1.0544301723125694E-2</v>
      </c>
      <c r="AF27" s="2">
        <f t="shared" si="23"/>
        <v>7.1843545273532219E-2</v>
      </c>
      <c r="AG27" s="2" t="s">
        <v>1169</v>
      </c>
    </row>
    <row r="28" spans="1:33" x14ac:dyDescent="0.3">
      <c r="A28" s="2">
        <v>107838</v>
      </c>
      <c r="B28" s="2" t="s">
        <v>79</v>
      </c>
      <c r="C28" s="2" t="s">
        <v>80</v>
      </c>
      <c r="D28" s="2" t="s">
        <v>81</v>
      </c>
      <c r="E28" s="3">
        <v>7.4</v>
      </c>
      <c r="F28" s="4">
        <f t="shared" si="4"/>
        <v>0.93333333333333335</v>
      </c>
      <c r="G28" s="2">
        <v>94.518334799999991</v>
      </c>
      <c r="H28" s="2">
        <f t="shared" si="5"/>
        <v>0.46321338312700111</v>
      </c>
      <c r="I28" s="2">
        <v>23.1</v>
      </c>
      <c r="J28" s="4">
        <f t="shared" si="6"/>
        <v>0.35053110773899854</v>
      </c>
      <c r="K28" s="2">
        <v>2</v>
      </c>
      <c r="L28" s="4">
        <f t="shared" si="7"/>
        <v>0.83333333333333337</v>
      </c>
      <c r="M28" s="2">
        <v>30925</v>
      </c>
      <c r="N28" s="2">
        <f t="shared" si="8"/>
        <v>0.14518838152285513</v>
      </c>
      <c r="O28" s="2">
        <v>0.71907382900000005</v>
      </c>
      <c r="P28" s="2">
        <f t="shared" si="0"/>
        <v>0.75321647848877371</v>
      </c>
      <c r="Q28" s="2">
        <v>0.28710000000000002</v>
      </c>
      <c r="R28" s="2">
        <f t="shared" si="9"/>
        <v>0.6719745222929937</v>
      </c>
      <c r="S28" s="2">
        <f t="shared" si="10"/>
        <v>0.35569669989314029</v>
      </c>
      <c r="T28" s="5">
        <f t="shared" si="11"/>
        <v>0.55626565584112153</v>
      </c>
      <c r="U28" s="2" t="str">
        <f t="shared" si="12"/>
        <v>Moderate</v>
      </c>
      <c r="V28" s="2">
        <f t="shared" si="13"/>
        <v>0.33542047327098878</v>
      </c>
      <c r="W28" s="2">
        <f t="shared" si="14"/>
        <v>0.49083707609692967</v>
      </c>
      <c r="X28" s="2" t="str">
        <f t="shared" si="15"/>
        <v>Moderate</v>
      </c>
      <c r="Y28" s="2">
        <f t="shared" si="16"/>
        <v>0.37597292651529179</v>
      </c>
      <c r="Z28" s="2">
        <f t="shared" si="17"/>
        <v>0.63134684487455961</v>
      </c>
      <c r="AA28" s="2" t="str">
        <f t="shared" si="18"/>
        <v>Moderate</v>
      </c>
      <c r="AB28" s="2">
        <f t="shared" si="19"/>
        <v>0.25555414883762578</v>
      </c>
      <c r="AC28" s="2">
        <f t="shared" si="20"/>
        <v>0.55247487176518195</v>
      </c>
      <c r="AD28" s="2" t="str">
        <f t="shared" si="21"/>
        <v>Moderate</v>
      </c>
      <c r="AE28" s="2">
        <f t="shared" si="22"/>
        <v>7.2471729251977798E-2</v>
      </c>
      <c r="AF28" s="2">
        <f t="shared" si="23"/>
        <v>0.49378575255927076</v>
      </c>
      <c r="AG28" s="2" t="str">
        <f t="shared" si="24"/>
        <v>Moderate</v>
      </c>
    </row>
    <row r="29" spans="1:33" x14ac:dyDescent="0.3">
      <c r="A29" s="2">
        <v>107852</v>
      </c>
      <c r="B29" s="2" t="s">
        <v>82</v>
      </c>
      <c r="C29" s="2" t="s">
        <v>80</v>
      </c>
      <c r="D29" s="2" t="s">
        <v>83</v>
      </c>
      <c r="E29" s="3">
        <v>6.4</v>
      </c>
      <c r="F29" s="4">
        <f t="shared" si="4"/>
        <v>0.71111111111111114</v>
      </c>
      <c r="G29" s="2">
        <v>102.4601292</v>
      </c>
      <c r="H29" s="2">
        <f t="shared" si="5"/>
        <v>0.52733121242016245</v>
      </c>
      <c r="I29" s="2">
        <v>23.3</v>
      </c>
      <c r="J29" s="4">
        <f t="shared" si="6"/>
        <v>0.35356600910470415</v>
      </c>
      <c r="K29" s="2">
        <v>2</v>
      </c>
      <c r="L29" s="4">
        <f t="shared" si="7"/>
        <v>0.83333333333333337</v>
      </c>
      <c r="M29" s="2">
        <v>16302</v>
      </c>
      <c r="N29" s="2">
        <f t="shared" si="8"/>
        <v>7.6000813804393594E-2</v>
      </c>
      <c r="O29" s="2">
        <v>0.354168918</v>
      </c>
      <c r="P29" s="2">
        <f t="shared" si="0"/>
        <v>0.3316819251149335</v>
      </c>
      <c r="Q29" s="2">
        <v>0.2838</v>
      </c>
      <c r="R29" s="2">
        <f t="shared" si="9"/>
        <v>0.66242038216560517</v>
      </c>
      <c r="S29" s="2">
        <f t="shared" si="10"/>
        <v>0.1973408934963003</v>
      </c>
      <c r="T29" s="5">
        <f t="shared" si="11"/>
        <v>0.3086167557302924</v>
      </c>
      <c r="U29" s="2" t="str">
        <f t="shared" si="12"/>
        <v>Moderate</v>
      </c>
      <c r="V29" s="2">
        <f t="shared" si="13"/>
        <v>0.26299633172429793</v>
      </c>
      <c r="W29" s="2">
        <f t="shared" si="14"/>
        <v>0.38485531079517948</v>
      </c>
      <c r="X29" s="2" t="str">
        <f t="shared" si="15"/>
        <v>Moderate</v>
      </c>
      <c r="Y29" s="2">
        <f t="shared" si="16"/>
        <v>0.13168545526830272</v>
      </c>
      <c r="Z29" s="2">
        <f t="shared" si="17"/>
        <v>0.22113080713042083</v>
      </c>
      <c r="AA29" s="2" t="str">
        <f t="shared" si="18"/>
        <v>Low</v>
      </c>
      <c r="AB29" s="2">
        <f t="shared" si="19"/>
        <v>0.1421152857740143</v>
      </c>
      <c r="AC29" s="2">
        <f t="shared" si="20"/>
        <v>0.30723478621259931</v>
      </c>
      <c r="AD29" s="2" t="str">
        <f t="shared" si="21"/>
        <v>Moderate</v>
      </c>
      <c r="AE29" s="2">
        <f t="shared" si="22"/>
        <v>3.0174094542912047E-2</v>
      </c>
      <c r="AF29" s="2">
        <f t="shared" si="23"/>
        <v>0.2055910371596355</v>
      </c>
      <c r="AG29" s="2" t="s">
        <v>1169</v>
      </c>
    </row>
    <row r="30" spans="1:33" x14ac:dyDescent="0.3">
      <c r="A30" s="2">
        <v>107855</v>
      </c>
      <c r="B30" s="2" t="s">
        <v>84</v>
      </c>
      <c r="C30" s="2" t="s">
        <v>80</v>
      </c>
      <c r="D30" s="2" t="s">
        <v>85</v>
      </c>
      <c r="E30" s="3">
        <v>7.4</v>
      </c>
      <c r="F30" s="4">
        <f t="shared" si="4"/>
        <v>0.93333333333333335</v>
      </c>
      <c r="G30" s="2">
        <v>95.548410000000004</v>
      </c>
      <c r="H30" s="2">
        <f t="shared" si="5"/>
        <v>0.47152966311439537</v>
      </c>
      <c r="I30" s="2">
        <v>26.600000000000005</v>
      </c>
      <c r="J30" s="4">
        <f t="shared" si="6"/>
        <v>0.40364188163884684</v>
      </c>
      <c r="K30" s="2">
        <v>2</v>
      </c>
      <c r="L30" s="4">
        <f t="shared" si="7"/>
        <v>0.83333333333333337</v>
      </c>
      <c r="M30" s="2">
        <v>9856</v>
      </c>
      <c r="N30" s="2">
        <f t="shared" si="8"/>
        <v>4.5502074728061587E-2</v>
      </c>
      <c r="O30" s="2">
        <v>0.32050952900000002</v>
      </c>
      <c r="P30" s="2">
        <f t="shared" si="0"/>
        <v>0.29279893099444237</v>
      </c>
      <c r="Q30" s="2">
        <v>0.28639999999999999</v>
      </c>
      <c r="R30" s="2">
        <f t="shared" si="9"/>
        <v>0.6699478865083961</v>
      </c>
      <c r="S30" s="2">
        <f t="shared" si="10"/>
        <v>0.24994000322376819</v>
      </c>
      <c r="T30" s="5">
        <f t="shared" si="11"/>
        <v>0.3908752593318135</v>
      </c>
      <c r="U30" s="2" t="str">
        <f t="shared" si="12"/>
        <v>Moderate</v>
      </c>
      <c r="V30" s="2">
        <f t="shared" si="13"/>
        <v>0.34785215358693522</v>
      </c>
      <c r="W30" s="2">
        <f t="shared" si="14"/>
        <v>0.5090289579392796</v>
      </c>
      <c r="X30" s="2" t="str">
        <f t="shared" si="15"/>
        <v>Moderate</v>
      </c>
      <c r="Y30" s="2">
        <f t="shared" si="16"/>
        <v>0.15202785286060122</v>
      </c>
      <c r="Z30" s="2">
        <f t="shared" si="17"/>
        <v>0.2552904703171241</v>
      </c>
      <c r="AA30" s="2" t="str">
        <f t="shared" si="18"/>
        <v>Low</v>
      </c>
      <c r="AB30" s="2">
        <f t="shared" si="19"/>
        <v>0.17562560822074194</v>
      </c>
      <c r="AC30" s="2">
        <f t="shared" si="20"/>
        <v>0.37967975014988581</v>
      </c>
      <c r="AD30" s="2" t="str">
        <f t="shared" si="21"/>
        <v>Moderate</v>
      </c>
      <c r="AE30" s="2">
        <f t="shared" si="22"/>
        <v>2.3625710306097843E-2</v>
      </c>
      <c r="AF30" s="2">
        <f t="shared" si="23"/>
        <v>0.16097365501907723</v>
      </c>
      <c r="AG30" s="2" t="s">
        <v>1169</v>
      </c>
    </row>
    <row r="31" spans="1:33" x14ac:dyDescent="0.3">
      <c r="A31" s="2">
        <v>107857</v>
      </c>
      <c r="B31" s="2" t="s">
        <v>86</v>
      </c>
      <c r="C31" s="2" t="s">
        <v>80</v>
      </c>
      <c r="D31" s="2" t="s">
        <v>87</v>
      </c>
      <c r="E31" s="3">
        <v>7.4</v>
      </c>
      <c r="F31" s="4">
        <f t="shared" si="4"/>
        <v>0.93333333333333335</v>
      </c>
      <c r="G31" s="2">
        <v>119.658564</v>
      </c>
      <c r="H31" s="2">
        <f t="shared" si="5"/>
        <v>0.66618223916242658</v>
      </c>
      <c r="I31" s="2">
        <v>25.499999999999996</v>
      </c>
      <c r="J31" s="4">
        <f t="shared" si="6"/>
        <v>0.38694992412746587</v>
      </c>
      <c r="K31" s="2">
        <v>2</v>
      </c>
      <c r="L31" s="4">
        <f t="shared" si="7"/>
        <v>0.83333333333333337</v>
      </c>
      <c r="M31" s="2">
        <v>50319</v>
      </c>
      <c r="N31" s="2">
        <f t="shared" si="8"/>
        <v>0.23694955832185963</v>
      </c>
      <c r="O31" s="2">
        <v>0.42191277799999999</v>
      </c>
      <c r="P31" s="2">
        <f t="shared" si="0"/>
        <v>0.40993896388885109</v>
      </c>
      <c r="Q31" s="2">
        <v>0.25509999999999999</v>
      </c>
      <c r="R31" s="2">
        <f t="shared" si="9"/>
        <v>0.5793283149971048</v>
      </c>
      <c r="S31" s="2">
        <f t="shared" si="10"/>
        <v>0.28557995015258991</v>
      </c>
      <c r="T31" s="5">
        <f t="shared" si="11"/>
        <v>0.4466117293593953</v>
      </c>
      <c r="U31" s="2" t="str">
        <f t="shared" si="12"/>
        <v>Moderate</v>
      </c>
      <c r="V31" s="2">
        <f t="shared" si="13"/>
        <v>0.33447897216446754</v>
      </c>
      <c r="W31" s="2">
        <f t="shared" si="14"/>
        <v>0.48945933178168166</v>
      </c>
      <c r="X31" s="2" t="str">
        <f t="shared" si="15"/>
        <v>Moderate</v>
      </c>
      <c r="Y31" s="2">
        <f t="shared" si="16"/>
        <v>0.23668092814071229</v>
      </c>
      <c r="Z31" s="2">
        <f t="shared" si="17"/>
        <v>0.39744286539085005</v>
      </c>
      <c r="AA31" s="2" t="str">
        <f t="shared" si="18"/>
        <v>Moderate</v>
      </c>
      <c r="AB31" s="2">
        <f t="shared" si="19"/>
        <v>0.23595344793756487</v>
      </c>
      <c r="AC31" s="2">
        <f t="shared" si="20"/>
        <v>0.51010070266824703</v>
      </c>
      <c r="AD31" s="2" t="str">
        <f t="shared" si="21"/>
        <v>Moderate</v>
      </c>
      <c r="AE31" s="2">
        <f t="shared" si="22"/>
        <v>0.13680436925082151</v>
      </c>
      <c r="AF31" s="2">
        <f t="shared" si="23"/>
        <v>0.93211586257367696</v>
      </c>
      <c r="AG31" s="2" t="str">
        <f t="shared" si="24"/>
        <v>High</v>
      </c>
    </row>
    <row r="32" spans="1:33" x14ac:dyDescent="0.3">
      <c r="A32" s="2">
        <v>107866</v>
      </c>
      <c r="B32" s="2" t="s">
        <v>88</v>
      </c>
      <c r="C32" s="2" t="s">
        <v>80</v>
      </c>
      <c r="D32" s="2" t="s">
        <v>89</v>
      </c>
      <c r="E32" s="3">
        <v>7.4</v>
      </c>
      <c r="F32" s="4">
        <f t="shared" si="4"/>
        <v>0.93333333333333335</v>
      </c>
      <c r="G32" s="2">
        <v>125.97614640000002</v>
      </c>
      <c r="H32" s="2">
        <f t="shared" si="5"/>
        <v>0.71718704355130392</v>
      </c>
      <c r="I32" s="2">
        <v>38.70000000000001</v>
      </c>
      <c r="J32" s="4">
        <f t="shared" si="6"/>
        <v>0.58725341426403666</v>
      </c>
      <c r="K32" s="2">
        <v>2</v>
      </c>
      <c r="L32" s="4">
        <f t="shared" si="7"/>
        <v>0.83333333333333337</v>
      </c>
      <c r="M32" s="2">
        <v>36052</v>
      </c>
      <c r="N32" s="2">
        <f t="shared" si="8"/>
        <v>0.16944637644130908</v>
      </c>
      <c r="O32" s="2">
        <v>0.26684560499999999</v>
      </c>
      <c r="P32" s="2">
        <f t="shared" si="0"/>
        <v>0.23080689538813695</v>
      </c>
      <c r="Q32" s="2">
        <v>0.20119999999999999</v>
      </c>
      <c r="R32" s="2">
        <f t="shared" si="9"/>
        <v>0.42327735958309209</v>
      </c>
      <c r="S32" s="2">
        <f t="shared" si="10"/>
        <v>0.21566811069737446</v>
      </c>
      <c r="T32" s="5">
        <f t="shared" si="11"/>
        <v>0.33727825722626065</v>
      </c>
      <c r="U32" s="2" t="str">
        <f t="shared" si="12"/>
        <v>Moderate</v>
      </c>
      <c r="V32" s="2">
        <f t="shared" si="13"/>
        <v>0.27913048739041768</v>
      </c>
      <c r="W32" s="2">
        <f t="shared" si="14"/>
        <v>0.40846520471496095</v>
      </c>
      <c r="X32" s="2" t="str">
        <f t="shared" si="15"/>
        <v>Moderate</v>
      </c>
      <c r="Y32" s="2">
        <f t="shared" si="16"/>
        <v>0.15220573400433129</v>
      </c>
      <c r="Z32" s="2">
        <f t="shared" si="17"/>
        <v>0.2555891745347324</v>
      </c>
      <c r="AA32" s="2" t="str">
        <f t="shared" si="18"/>
        <v>Low</v>
      </c>
      <c r="AB32" s="2">
        <f t="shared" si="19"/>
        <v>0.18246691791034125</v>
      </c>
      <c r="AC32" s="2">
        <f t="shared" si="20"/>
        <v>0.39446977297150237</v>
      </c>
      <c r="AD32" s="2" t="str">
        <f t="shared" si="21"/>
        <v>Moderate</v>
      </c>
      <c r="AE32" s="2">
        <f t="shared" si="22"/>
        <v>0.11174150606398769</v>
      </c>
      <c r="AF32" s="2">
        <f t="shared" si="23"/>
        <v>0.76135017383218695</v>
      </c>
      <c r="AG32" s="2" t="str">
        <f t="shared" si="24"/>
        <v>High</v>
      </c>
    </row>
    <row r="33" spans="1:33" x14ac:dyDescent="0.3">
      <c r="A33" s="2">
        <v>107876</v>
      </c>
      <c r="B33" s="2" t="s">
        <v>90</v>
      </c>
      <c r="C33" s="2" t="s">
        <v>80</v>
      </c>
      <c r="D33" s="2" t="s">
        <v>91</v>
      </c>
      <c r="E33" s="3">
        <v>7.4</v>
      </c>
      <c r="F33" s="4">
        <f t="shared" si="4"/>
        <v>0.93333333333333335</v>
      </c>
      <c r="G33" s="2">
        <v>104.01051960000001</v>
      </c>
      <c r="H33" s="2">
        <f t="shared" si="5"/>
        <v>0.53984824094018513</v>
      </c>
      <c r="I33" s="2">
        <v>27.899999999999995</v>
      </c>
      <c r="J33" s="4">
        <f t="shared" si="6"/>
        <v>0.42336874051593321</v>
      </c>
      <c r="K33" s="2">
        <v>2</v>
      </c>
      <c r="L33" s="4">
        <f t="shared" si="7"/>
        <v>0.83333333333333337</v>
      </c>
      <c r="M33" s="2">
        <v>16333</v>
      </c>
      <c r="N33" s="2">
        <f t="shared" si="8"/>
        <v>7.6147487852076853E-2</v>
      </c>
      <c r="O33" s="2">
        <v>0.24920603099999999</v>
      </c>
      <c r="P33" s="2">
        <f t="shared" si="0"/>
        <v>0.21042983351901129</v>
      </c>
      <c r="Q33" s="2">
        <v>0.27389999999999998</v>
      </c>
      <c r="R33" s="2">
        <f t="shared" si="9"/>
        <v>0.63375796178343946</v>
      </c>
      <c r="S33" s="2">
        <f t="shared" si="10"/>
        <v>0.23130079271426188</v>
      </c>
      <c r="T33" s="5">
        <f t="shared" si="11"/>
        <v>0.36172583888021481</v>
      </c>
      <c r="U33" s="2" t="str">
        <f t="shared" si="12"/>
        <v>Moderate</v>
      </c>
      <c r="V33" s="2">
        <f t="shared" si="13"/>
        <v>0.34728935851759257</v>
      </c>
      <c r="W33" s="2">
        <f t="shared" si="14"/>
        <v>0.50820539256897268</v>
      </c>
      <c r="X33" s="2" t="str">
        <f t="shared" si="15"/>
        <v>Moderate</v>
      </c>
      <c r="Y33" s="2">
        <f t="shared" si="16"/>
        <v>0.11531222691093118</v>
      </c>
      <c r="Z33" s="2">
        <f t="shared" si="17"/>
        <v>0.19363631129092654</v>
      </c>
      <c r="AA33" s="2" t="str">
        <f t="shared" si="18"/>
        <v>Low</v>
      </c>
      <c r="AB33" s="2">
        <f t="shared" si="19"/>
        <v>0.17074961100044303</v>
      </c>
      <c r="AC33" s="2">
        <f t="shared" si="20"/>
        <v>0.36913847758098045</v>
      </c>
      <c r="AD33" s="2" t="str">
        <f t="shared" si="21"/>
        <v>Moderate</v>
      </c>
      <c r="AE33" s="2">
        <f t="shared" si="22"/>
        <v>4.1727621274303607E-2</v>
      </c>
      <c r="AF33" s="2">
        <f t="shared" si="23"/>
        <v>0.28431093180901207</v>
      </c>
      <c r="AG33" s="2" t="s">
        <v>1169</v>
      </c>
    </row>
    <row r="34" spans="1:33" x14ac:dyDescent="0.3">
      <c r="A34" s="2">
        <v>107895</v>
      </c>
      <c r="B34" s="2" t="s">
        <v>92</v>
      </c>
      <c r="C34" s="2" t="s">
        <v>80</v>
      </c>
      <c r="D34" s="2" t="s">
        <v>93</v>
      </c>
      <c r="E34" s="3">
        <v>7.4</v>
      </c>
      <c r="F34" s="4">
        <f t="shared" si="4"/>
        <v>0.93333333333333335</v>
      </c>
      <c r="G34" s="2">
        <v>104.01051960000001</v>
      </c>
      <c r="H34" s="2">
        <f t="shared" si="5"/>
        <v>0.53984824094018513</v>
      </c>
      <c r="I34" s="2">
        <v>26.400000000000006</v>
      </c>
      <c r="J34" s="4">
        <f t="shared" si="6"/>
        <v>0.40060698027314123</v>
      </c>
      <c r="K34" s="2">
        <v>2</v>
      </c>
      <c r="L34" s="4">
        <f t="shared" si="7"/>
        <v>0.83333333333333337</v>
      </c>
      <c r="M34" s="2">
        <v>53541</v>
      </c>
      <c r="N34" s="2">
        <f t="shared" si="8"/>
        <v>0.25219419643913266</v>
      </c>
      <c r="O34" s="2">
        <v>0.27040786700000002</v>
      </c>
      <c r="P34" s="2">
        <f t="shared" si="0"/>
        <v>0.23492198530856451</v>
      </c>
      <c r="Q34" s="2">
        <v>0.27210000000000001</v>
      </c>
      <c r="R34" s="2">
        <f t="shared" si="9"/>
        <v>0.62854661262304579</v>
      </c>
      <c r="S34" s="2">
        <f t="shared" si="10"/>
        <v>0.233373416467515</v>
      </c>
      <c r="T34" s="5">
        <f t="shared" si="11"/>
        <v>0.36496716614516161</v>
      </c>
      <c r="U34" s="2" t="str">
        <f t="shared" si="12"/>
        <v>Moderate</v>
      </c>
      <c r="V34" s="2">
        <f t="shared" si="13"/>
        <v>0.3397600578603599</v>
      </c>
      <c r="W34" s="2">
        <f t="shared" si="14"/>
        <v>0.49718740108022713</v>
      </c>
      <c r="X34" s="2" t="str">
        <f t="shared" si="15"/>
        <v>Moderate</v>
      </c>
      <c r="Y34" s="2">
        <f t="shared" si="16"/>
        <v>0.12698677507467007</v>
      </c>
      <c r="Z34" s="2">
        <f t="shared" si="17"/>
        <v>0.2132406195501087</v>
      </c>
      <c r="AA34" s="2" t="str">
        <f t="shared" si="18"/>
        <v>Low</v>
      </c>
      <c r="AB34" s="2">
        <f t="shared" si="19"/>
        <v>0.20472518902895695</v>
      </c>
      <c r="AC34" s="2">
        <f t="shared" si="20"/>
        <v>0.44258926364658907</v>
      </c>
      <c r="AD34" s="2" t="str">
        <f t="shared" si="21"/>
        <v>Moderate</v>
      </c>
      <c r="AE34" s="2">
        <f t="shared" si="22"/>
        <v>0.13632324644408561</v>
      </c>
      <c r="AF34" s="2">
        <f t="shared" si="23"/>
        <v>0.92883773481752119</v>
      </c>
      <c r="AG34" s="2" t="str">
        <f t="shared" si="24"/>
        <v>High</v>
      </c>
    </row>
    <row r="35" spans="1:33" x14ac:dyDescent="0.3">
      <c r="A35" s="2">
        <v>107914</v>
      </c>
      <c r="B35" s="2" t="s">
        <v>94</v>
      </c>
      <c r="C35" s="2" t="s">
        <v>95</v>
      </c>
      <c r="D35" s="2" t="s">
        <v>96</v>
      </c>
      <c r="E35" s="3">
        <v>7.1</v>
      </c>
      <c r="F35" s="4">
        <f t="shared" si="4"/>
        <v>0.86666666666666659</v>
      </c>
      <c r="G35" s="2">
        <v>120.09450600000001</v>
      </c>
      <c r="H35" s="2">
        <f t="shared" si="5"/>
        <v>0.66970180329741857</v>
      </c>
      <c r="I35" s="2">
        <v>30</v>
      </c>
      <c r="J35" s="4">
        <f t="shared" si="6"/>
        <v>0.45523520485584223</v>
      </c>
      <c r="K35" s="2">
        <v>2</v>
      </c>
      <c r="L35" s="4">
        <f t="shared" si="7"/>
        <v>0.83333333333333337</v>
      </c>
      <c r="M35" s="2">
        <v>20310</v>
      </c>
      <c r="N35" s="2">
        <f t="shared" si="8"/>
        <v>9.4964348743571181E-2</v>
      </c>
      <c r="O35" s="2">
        <v>0.33011159299999998</v>
      </c>
      <c r="P35" s="2">
        <f t="shared" si="0"/>
        <v>0.30389114060218597</v>
      </c>
      <c r="Q35" s="2">
        <v>0.30020000000000002</v>
      </c>
      <c r="R35" s="2">
        <f t="shared" si="9"/>
        <v>0.70990156340474819</v>
      </c>
      <c r="S35" s="2">
        <f t="shared" si="10"/>
        <v>0.28279623751961447</v>
      </c>
      <c r="T35" s="5">
        <f t="shared" si="11"/>
        <v>0.44225834701449163</v>
      </c>
      <c r="U35" s="2" t="str">
        <f t="shared" si="12"/>
        <v>Moderate</v>
      </c>
      <c r="V35" s="2">
        <f t="shared" si="13"/>
        <v>0.3960523494530529</v>
      </c>
      <c r="W35" s="2">
        <f t="shared" si="14"/>
        <v>0.57956264652277478</v>
      </c>
      <c r="X35" s="2" t="str">
        <f t="shared" si="15"/>
        <v>Moderate</v>
      </c>
      <c r="Y35" s="2">
        <f t="shared" si="16"/>
        <v>0.16954012558617612</v>
      </c>
      <c r="Z35" s="2">
        <f t="shared" si="17"/>
        <v>0.28469768916756127</v>
      </c>
      <c r="AA35" s="2" t="str">
        <f t="shared" si="18"/>
        <v>Low</v>
      </c>
      <c r="AB35" s="2">
        <f t="shared" si="19"/>
        <v>0.20802349241369078</v>
      </c>
      <c r="AC35" s="2">
        <f t="shared" si="20"/>
        <v>0.449719767094926</v>
      </c>
      <c r="AD35" s="2" t="str">
        <f t="shared" si="21"/>
        <v>Moderate</v>
      </c>
      <c r="AE35" s="2">
        <f t="shared" si="22"/>
        <v>5.2980378369341219E-2</v>
      </c>
      <c r="AF35" s="2">
        <f t="shared" si="23"/>
        <v>0.36098153409615402</v>
      </c>
      <c r="AG35" s="2" t="str">
        <f t="shared" si="24"/>
        <v>Moderate</v>
      </c>
    </row>
    <row r="36" spans="1:33" x14ac:dyDescent="0.3">
      <c r="A36" s="2">
        <v>107947</v>
      </c>
      <c r="B36" s="2" t="s">
        <v>97</v>
      </c>
      <c r="C36" s="2" t="s">
        <v>95</v>
      </c>
      <c r="D36" s="2" t="s">
        <v>98</v>
      </c>
      <c r="E36" s="3">
        <v>7.2</v>
      </c>
      <c r="F36" s="4">
        <f t="shared" si="4"/>
        <v>0.88888888888888884</v>
      </c>
      <c r="G36" s="2">
        <v>112.64841</v>
      </c>
      <c r="H36" s="2">
        <f t="shared" si="5"/>
        <v>0.60958597957016469</v>
      </c>
      <c r="I36" s="2">
        <v>32.5</v>
      </c>
      <c r="J36" s="4">
        <f t="shared" si="6"/>
        <v>0.49317147192716243</v>
      </c>
      <c r="K36" s="2">
        <v>2</v>
      </c>
      <c r="L36" s="4">
        <f t="shared" si="7"/>
        <v>0.83333333333333337</v>
      </c>
      <c r="M36" s="2">
        <v>9387</v>
      </c>
      <c r="N36" s="2">
        <f t="shared" si="8"/>
        <v>4.3283038329240651E-2</v>
      </c>
      <c r="O36" s="2">
        <v>0.32624590999999997</v>
      </c>
      <c r="P36" s="2">
        <f t="shared" si="0"/>
        <v>0.29942554173582853</v>
      </c>
      <c r="Q36" s="2">
        <v>0.29949999999999999</v>
      </c>
      <c r="R36" s="2">
        <f t="shared" si="9"/>
        <v>0.70787492762015058</v>
      </c>
      <c r="S36" s="2">
        <f t="shared" si="10"/>
        <v>0.28471464524740714</v>
      </c>
      <c r="T36" s="5">
        <f t="shared" si="11"/>
        <v>0.44525849948481777</v>
      </c>
      <c r="U36" s="2" t="str">
        <f t="shared" si="12"/>
        <v>Moderate</v>
      </c>
      <c r="V36" s="2">
        <f t="shared" si="13"/>
        <v>0.40016333761020073</v>
      </c>
      <c r="W36" s="2">
        <f t="shared" si="14"/>
        <v>0.58557845523965457</v>
      </c>
      <c r="X36" s="2" t="str">
        <f t="shared" si="15"/>
        <v>Moderate</v>
      </c>
      <c r="Y36" s="2">
        <f t="shared" si="16"/>
        <v>0.16926595288461349</v>
      </c>
      <c r="Z36" s="2">
        <f t="shared" si="17"/>
        <v>0.28423728880925175</v>
      </c>
      <c r="AA36" s="2" t="str">
        <f t="shared" si="18"/>
        <v>Low</v>
      </c>
      <c r="AB36" s="2">
        <f t="shared" si="19"/>
        <v>0.19940075469680571</v>
      </c>
      <c r="AC36" s="2">
        <f t="shared" si="20"/>
        <v>0.43107852829653837</v>
      </c>
      <c r="AD36" s="2" t="str">
        <f t="shared" si="21"/>
        <v>Moderate</v>
      </c>
      <c r="AE36" s="2">
        <f t="shared" si="22"/>
        <v>2.4468001908146894E-2</v>
      </c>
      <c r="AF36" s="2">
        <f t="shared" si="23"/>
        <v>0.16671260449475564</v>
      </c>
      <c r="AG36" s="2" t="s">
        <v>1169</v>
      </c>
    </row>
    <row r="37" spans="1:33" x14ac:dyDescent="0.3">
      <c r="A37" s="2">
        <v>107958</v>
      </c>
      <c r="B37" s="2" t="s">
        <v>99</v>
      </c>
      <c r="C37" s="2" t="s">
        <v>95</v>
      </c>
      <c r="D37" s="2" t="s">
        <v>100</v>
      </c>
      <c r="E37" s="3">
        <v>7.1</v>
      </c>
      <c r="F37" s="4">
        <f t="shared" si="4"/>
        <v>0.86666666666666659</v>
      </c>
      <c r="G37" s="2">
        <v>136.15387920000001</v>
      </c>
      <c r="H37" s="2">
        <f t="shared" si="5"/>
        <v>0.79935665175241866</v>
      </c>
      <c r="I37" s="2">
        <v>38.400000000000006</v>
      </c>
      <c r="J37" s="4">
        <f t="shared" si="6"/>
        <v>0.58270106221547813</v>
      </c>
      <c r="K37" s="2">
        <v>2</v>
      </c>
      <c r="L37" s="4">
        <f t="shared" si="7"/>
        <v>0.83333333333333337</v>
      </c>
      <c r="M37" s="2">
        <v>34224</v>
      </c>
      <c r="N37" s="2">
        <f t="shared" si="8"/>
        <v>0.16079733904888976</v>
      </c>
      <c r="O37" s="2">
        <v>0.55139578199999995</v>
      </c>
      <c r="P37" s="2">
        <f t="shared" si="0"/>
        <v>0.55951645275044426</v>
      </c>
      <c r="Q37" s="2">
        <v>0.26869999999999999</v>
      </c>
      <c r="R37" s="2">
        <f t="shared" si="9"/>
        <v>0.61870295309785761</v>
      </c>
      <c r="S37" s="2">
        <f t="shared" si="10"/>
        <v>0.37460946378779586</v>
      </c>
      <c r="T37" s="5">
        <f t="shared" si="11"/>
        <v>0.58584287996152939</v>
      </c>
      <c r="U37" s="2" t="str">
        <f t="shared" si="12"/>
        <v>Moderate</v>
      </c>
      <c r="V37" s="2">
        <f t="shared" si="13"/>
        <v>0.39342754049623146</v>
      </c>
      <c r="W37" s="2">
        <f t="shared" si="14"/>
        <v>0.57572163604087023</v>
      </c>
      <c r="X37" s="2" t="str">
        <f t="shared" si="15"/>
        <v>Moderate</v>
      </c>
      <c r="Y37" s="2">
        <f t="shared" si="16"/>
        <v>0.35579138707936031</v>
      </c>
      <c r="Z37" s="2">
        <f t="shared" si="17"/>
        <v>0.59745730031165178</v>
      </c>
      <c r="AA37" s="2" t="str">
        <f t="shared" si="18"/>
        <v>Moderate</v>
      </c>
      <c r="AB37" s="2">
        <f t="shared" si="19"/>
        <v>0.28022439954121064</v>
      </c>
      <c r="AC37" s="2">
        <f t="shared" si="20"/>
        <v>0.60580874897230952</v>
      </c>
      <c r="AD37" s="2" t="str">
        <f t="shared" si="21"/>
        <v>Moderate</v>
      </c>
      <c r="AE37" s="2">
        <f t="shared" si="22"/>
        <v>0.1022495549820617</v>
      </c>
      <c r="AF37" s="2">
        <f t="shared" si="23"/>
        <v>0.69667681421152217</v>
      </c>
      <c r="AG37" s="2" t="str">
        <f t="shared" si="24"/>
        <v>Moderate</v>
      </c>
    </row>
    <row r="38" spans="1:33" x14ac:dyDescent="0.3">
      <c r="A38" s="2">
        <v>107976</v>
      </c>
      <c r="B38" s="2" t="s">
        <v>101</v>
      </c>
      <c r="C38" s="2" t="s">
        <v>95</v>
      </c>
      <c r="D38" s="2" t="s">
        <v>102</v>
      </c>
      <c r="E38" s="3">
        <v>7</v>
      </c>
      <c r="F38" s="4">
        <f t="shared" si="4"/>
        <v>0.84444444444444444</v>
      </c>
      <c r="G38" s="2">
        <v>123.230448</v>
      </c>
      <c r="H38" s="2">
        <f t="shared" si="5"/>
        <v>0.69501973318858445</v>
      </c>
      <c r="I38" s="2">
        <v>39.599999999999994</v>
      </c>
      <c r="J38" s="4">
        <f t="shared" si="6"/>
        <v>0.60091047040971168</v>
      </c>
      <c r="K38" s="2">
        <v>0</v>
      </c>
      <c r="L38" s="4">
        <f t="shared" si="7"/>
        <v>0</v>
      </c>
      <c r="M38" s="2">
        <v>7339</v>
      </c>
      <c r="N38" s="2">
        <f t="shared" si="8"/>
        <v>3.3593088340359491E-2</v>
      </c>
      <c r="O38" s="2">
        <v>0.67154465100000005</v>
      </c>
      <c r="P38" s="2">
        <f t="shared" si="0"/>
        <v>0.69831124094195496</v>
      </c>
      <c r="Q38" s="2">
        <v>0.2717</v>
      </c>
      <c r="R38" s="2">
        <f t="shared" si="9"/>
        <v>0.62738853503184722</v>
      </c>
      <c r="S38" s="2">
        <f t="shared" si="10"/>
        <v>0.25388434735355186</v>
      </c>
      <c r="T38" s="5">
        <f t="shared" si="11"/>
        <v>0.39704372582272091</v>
      </c>
      <c r="U38" s="2" t="str">
        <f t="shared" si="12"/>
        <v>Moderate</v>
      </c>
      <c r="V38" s="2">
        <f t="shared" si="13"/>
        <v>0.24030196223976616</v>
      </c>
      <c r="W38" s="2">
        <f t="shared" si="14"/>
        <v>0.35164553724432207</v>
      </c>
      <c r="X38" s="2" t="str">
        <f t="shared" si="15"/>
        <v>Moderate</v>
      </c>
      <c r="Y38" s="2">
        <f t="shared" si="16"/>
        <v>0.26746673246733754</v>
      </c>
      <c r="Z38" s="2">
        <f t="shared" si="17"/>
        <v>0.44913946123004511</v>
      </c>
      <c r="AA38" s="2" t="str">
        <f t="shared" si="18"/>
        <v>Moderate</v>
      </c>
      <c r="AB38" s="2">
        <f t="shared" si="19"/>
        <v>0.16884908777560395</v>
      </c>
      <c r="AC38" s="2">
        <f t="shared" si="20"/>
        <v>0.36502979325828194</v>
      </c>
      <c r="AD38" s="2" t="str">
        <f t="shared" si="21"/>
        <v>Moderate</v>
      </c>
      <c r="AE38" s="2">
        <f t="shared" si="22"/>
        <v>1.2866803575670096E-2</v>
      </c>
      <c r="AF38" s="2">
        <f t="shared" si="23"/>
        <v>8.76678996378603E-2</v>
      </c>
      <c r="AG38" s="2" t="s">
        <v>1169</v>
      </c>
    </row>
    <row r="39" spans="1:33" x14ac:dyDescent="0.3">
      <c r="A39" s="2">
        <v>107980</v>
      </c>
      <c r="B39" s="2" t="s">
        <v>103</v>
      </c>
      <c r="C39" s="2" t="s">
        <v>95</v>
      </c>
      <c r="D39" s="2" t="s">
        <v>104</v>
      </c>
      <c r="E39" s="3">
        <v>7.1</v>
      </c>
      <c r="F39" s="4">
        <f t="shared" si="4"/>
        <v>0.86666666666666659</v>
      </c>
      <c r="G39" s="2">
        <v>112.64841</v>
      </c>
      <c r="H39" s="2">
        <f t="shared" si="5"/>
        <v>0.60958597957016469</v>
      </c>
      <c r="I39" s="2">
        <v>32.5</v>
      </c>
      <c r="J39" s="4">
        <f t="shared" si="6"/>
        <v>0.49317147192716243</v>
      </c>
      <c r="K39" s="2">
        <v>0</v>
      </c>
      <c r="L39" s="4">
        <f t="shared" si="7"/>
        <v>0</v>
      </c>
      <c r="M39" s="2">
        <v>16497</v>
      </c>
      <c r="N39" s="2">
        <f t="shared" si="8"/>
        <v>7.692344087853023E-2</v>
      </c>
      <c r="O39" s="2">
        <v>0.44007054699999998</v>
      </c>
      <c r="P39" s="2">
        <f t="shared" si="0"/>
        <v>0.43091463950994557</v>
      </c>
      <c r="Q39" s="2">
        <v>0.31269999999999998</v>
      </c>
      <c r="R39" s="2">
        <f t="shared" si="9"/>
        <v>0.74609148812970472</v>
      </c>
      <c r="S39" s="2">
        <f t="shared" si="10"/>
        <v>0.1968560954530835</v>
      </c>
      <c r="T39" s="5">
        <f t="shared" si="11"/>
        <v>0.30785859153719897</v>
      </c>
      <c r="U39" s="2" t="str">
        <f t="shared" si="12"/>
        <v>Moderate</v>
      </c>
      <c r="V39" s="2">
        <f t="shared" si="13"/>
        <v>0.2495699109035743</v>
      </c>
      <c r="W39" s="2">
        <f t="shared" si="14"/>
        <v>0.36520777683929406</v>
      </c>
      <c r="X39" s="2" t="str">
        <f t="shared" si="15"/>
        <v>Moderate</v>
      </c>
      <c r="Y39" s="2">
        <f t="shared" si="16"/>
        <v>0.14414228000259269</v>
      </c>
      <c r="Z39" s="2">
        <f t="shared" si="17"/>
        <v>0.24204874147756184</v>
      </c>
      <c r="AA39" s="2" t="str">
        <f t="shared" si="18"/>
        <v>Low</v>
      </c>
      <c r="AB39" s="2">
        <f t="shared" si="19"/>
        <v>0.13959804794806907</v>
      </c>
      <c r="AC39" s="2">
        <f t="shared" si="20"/>
        <v>0.30179284503724713</v>
      </c>
      <c r="AD39" s="2" t="str">
        <f t="shared" si="21"/>
        <v>Moderate</v>
      </c>
      <c r="AE39" s="2">
        <f t="shared" si="22"/>
        <v>2.5731128945829369E-2</v>
      </c>
      <c r="AF39" s="2">
        <f t="shared" si="23"/>
        <v>0.17531891403528563</v>
      </c>
      <c r="AG39" s="2" t="s">
        <v>1169</v>
      </c>
    </row>
    <row r="40" spans="1:33" x14ac:dyDescent="0.3">
      <c r="A40" s="2">
        <v>107987</v>
      </c>
      <c r="B40" s="2" t="s">
        <v>105</v>
      </c>
      <c r="C40" s="2" t="s">
        <v>95</v>
      </c>
      <c r="D40" s="2" t="s">
        <v>1135</v>
      </c>
      <c r="E40" s="3">
        <v>7.1</v>
      </c>
      <c r="F40" s="4">
        <f t="shared" si="4"/>
        <v>0.86666666666666659</v>
      </c>
      <c r="G40" s="2">
        <v>108.4753656</v>
      </c>
      <c r="H40" s="2">
        <f t="shared" si="5"/>
        <v>0.57589503581166324</v>
      </c>
      <c r="I40" s="2">
        <v>31.599999999999998</v>
      </c>
      <c r="J40" s="4">
        <f t="shared" si="6"/>
        <v>0.47951441578148712</v>
      </c>
      <c r="K40" s="2">
        <v>0</v>
      </c>
      <c r="L40" s="4">
        <f t="shared" si="7"/>
        <v>0</v>
      </c>
      <c r="M40" s="2">
        <v>14296</v>
      </c>
      <c r="N40" s="2">
        <f t="shared" si="8"/>
        <v>6.650958349301879E-2</v>
      </c>
      <c r="O40" s="2">
        <v>0.70676014099999995</v>
      </c>
      <c r="P40" s="2">
        <f t="shared" si="0"/>
        <v>0.73899182758659698</v>
      </c>
      <c r="Q40" s="2">
        <v>0.3246</v>
      </c>
      <c r="R40" s="2">
        <f t="shared" si="9"/>
        <v>0.78054429646786339</v>
      </c>
      <c r="S40" s="2">
        <f t="shared" si="10"/>
        <v>0.24323280608358538</v>
      </c>
      <c r="T40" s="5">
        <f t="shared" si="11"/>
        <v>0.38038603236636692</v>
      </c>
      <c r="U40" s="2" t="str">
        <f t="shared" si="12"/>
        <v>Moderate</v>
      </c>
      <c r="V40" s="2">
        <f t="shared" si="13"/>
        <v>0.24988412779005706</v>
      </c>
      <c r="W40" s="2">
        <f t="shared" si="14"/>
        <v>0.36566758567659441</v>
      </c>
      <c r="X40" s="2" t="str">
        <f t="shared" si="15"/>
        <v>Moderate</v>
      </c>
      <c r="Y40" s="2">
        <f t="shared" si="16"/>
        <v>0.23658148437711368</v>
      </c>
      <c r="Z40" s="2">
        <f t="shared" si="17"/>
        <v>0.39727587595633851</v>
      </c>
      <c r="AA40" s="2" t="str">
        <f t="shared" si="18"/>
        <v>Moderate</v>
      </c>
      <c r="AB40" s="2">
        <f t="shared" si="19"/>
        <v>0.16588624254240666</v>
      </c>
      <c r="AC40" s="2">
        <f t="shared" si="20"/>
        <v>0.35862450675553448</v>
      </c>
      <c r="AD40" s="2" t="str">
        <f t="shared" si="21"/>
        <v>Moderate</v>
      </c>
      <c r="AE40" s="2">
        <f t="shared" si="22"/>
        <v>2.1292435722150262E-2</v>
      </c>
      <c r="AF40" s="2">
        <f t="shared" si="23"/>
        <v>0.14507590070503162</v>
      </c>
      <c r="AG40" s="2" t="s">
        <v>1169</v>
      </c>
    </row>
    <row r="41" spans="1:33" x14ac:dyDescent="0.3">
      <c r="A41" s="2">
        <v>107990</v>
      </c>
      <c r="B41" s="2" t="s">
        <v>106</v>
      </c>
      <c r="C41" s="2" t="s">
        <v>95</v>
      </c>
      <c r="D41" s="2" t="s">
        <v>107</v>
      </c>
      <c r="E41" s="3">
        <v>7.1</v>
      </c>
      <c r="F41" s="4">
        <f t="shared" si="4"/>
        <v>0.86666666666666659</v>
      </c>
      <c r="G41" s="2">
        <v>124.18669440000001</v>
      </c>
      <c r="H41" s="2">
        <f t="shared" si="5"/>
        <v>0.70273995866274186</v>
      </c>
      <c r="I41" s="2">
        <v>39.400000000000006</v>
      </c>
      <c r="J41" s="4">
        <f t="shared" si="6"/>
        <v>0.59787556904400618</v>
      </c>
      <c r="K41" s="2">
        <v>2</v>
      </c>
      <c r="L41" s="4">
        <f t="shared" si="7"/>
        <v>0.83333333333333337</v>
      </c>
      <c r="M41" s="2">
        <v>6600</v>
      </c>
      <c r="N41" s="2">
        <f t="shared" si="8"/>
        <v>3.0096568300426303E-2</v>
      </c>
      <c r="O41" s="2">
        <v>0.631419811</v>
      </c>
      <c r="P41" s="2">
        <f t="shared" si="0"/>
        <v>0.65195942160840592</v>
      </c>
      <c r="Q41" s="2">
        <v>0.28210000000000002</v>
      </c>
      <c r="R41" s="2">
        <f t="shared" si="9"/>
        <v>0.65749855240301114</v>
      </c>
      <c r="S41" s="2">
        <f t="shared" si="10"/>
        <v>0.40016165555616812</v>
      </c>
      <c r="T41" s="5">
        <f t="shared" si="11"/>
        <v>0.62580334829447115</v>
      </c>
      <c r="U41" s="2" t="str">
        <f t="shared" si="12"/>
        <v>Moderate</v>
      </c>
      <c r="V41" s="2">
        <f t="shared" si="13"/>
        <v>0.40185437711967215</v>
      </c>
      <c r="W41" s="2">
        <f t="shared" si="14"/>
        <v>0.58805303551884569</v>
      </c>
      <c r="X41" s="2" t="str">
        <f t="shared" si="15"/>
        <v>Moderate</v>
      </c>
      <c r="Y41" s="2">
        <f t="shared" si="16"/>
        <v>0.3984689339926642</v>
      </c>
      <c r="Z41" s="2">
        <f t="shared" si="17"/>
        <v>0.66912292485657365</v>
      </c>
      <c r="AA41" s="2" t="str">
        <f t="shared" si="18"/>
        <v>Moderate</v>
      </c>
      <c r="AB41" s="2">
        <f t="shared" si="19"/>
        <v>0.26662783008707264</v>
      </c>
      <c r="AC41" s="2">
        <f t="shared" si="20"/>
        <v>0.57641473208865446</v>
      </c>
      <c r="AD41" s="2" t="str">
        <f t="shared" si="21"/>
        <v>Moderate</v>
      </c>
      <c r="AE41" s="2">
        <f t="shared" si="22"/>
        <v>1.8394622563966109E-2</v>
      </c>
      <c r="AF41" s="2">
        <f t="shared" si="23"/>
        <v>0.12533166573424723</v>
      </c>
      <c r="AG41" s="2" t="s">
        <v>1169</v>
      </c>
    </row>
    <row r="42" spans="1:33" x14ac:dyDescent="0.3">
      <c r="A42" s="2">
        <v>200304</v>
      </c>
      <c r="B42" s="2" t="s">
        <v>108</v>
      </c>
      <c r="C42" s="2" t="s">
        <v>109</v>
      </c>
      <c r="D42" s="2" t="s">
        <v>110</v>
      </c>
      <c r="E42" s="3">
        <v>6</v>
      </c>
      <c r="F42" s="4">
        <f t="shared" si="4"/>
        <v>0.62222222222222223</v>
      </c>
      <c r="G42" s="2">
        <v>78.901703999999995</v>
      </c>
      <c r="H42" s="2">
        <f t="shared" si="5"/>
        <v>0.33713300162421078</v>
      </c>
      <c r="I42" s="2">
        <v>0.80000000000000038</v>
      </c>
      <c r="J42" s="4">
        <f t="shared" si="6"/>
        <v>1.2139605462822466E-2</v>
      </c>
      <c r="K42" s="2">
        <v>0</v>
      </c>
      <c r="L42" s="4">
        <f t="shared" si="7"/>
        <v>0</v>
      </c>
      <c r="M42" s="2">
        <v>7538</v>
      </c>
      <c r="N42" s="2">
        <f t="shared" si="8"/>
        <v>3.4534641098068163E-2</v>
      </c>
      <c r="O42" s="2">
        <v>0.83918279900000003</v>
      </c>
      <c r="P42" s="2">
        <f t="shared" si="0"/>
        <v>0.89196517574909084</v>
      </c>
      <c r="Q42" s="2">
        <v>0.35610000000000003</v>
      </c>
      <c r="R42" s="2">
        <f t="shared" si="9"/>
        <v>0.87174290677475408</v>
      </c>
      <c r="S42" s="2">
        <f t="shared" si="10"/>
        <v>6.7077180191233793E-2</v>
      </c>
      <c r="T42" s="5">
        <f t="shared" si="11"/>
        <v>0.10490041555701636</v>
      </c>
      <c r="U42" s="2" t="str">
        <f t="shared" si="12"/>
        <v>No Impact</v>
      </c>
      <c r="V42" s="2">
        <f t="shared" si="13"/>
        <v>6.6308088756371106E-2</v>
      </c>
      <c r="W42" s="2">
        <f t="shared" si="14"/>
        <v>9.7031848084175684E-2</v>
      </c>
      <c r="X42" s="2" t="s">
        <v>1169</v>
      </c>
      <c r="Y42" s="2">
        <f t="shared" si="16"/>
        <v>6.7846271626096494E-2</v>
      </c>
      <c r="Z42" s="2">
        <f t="shared" si="17"/>
        <v>0.11392982448138107</v>
      </c>
      <c r="AA42" s="2" t="str">
        <f t="shared" si="18"/>
        <v>No Impact</v>
      </c>
      <c r="AB42" s="2">
        <f t="shared" si="19"/>
        <v>4.4481105311887738E-2</v>
      </c>
      <c r="AC42" s="2">
        <f t="shared" si="20"/>
        <v>9.6162371321050322E-2</v>
      </c>
      <c r="AD42" s="2" t="str">
        <f t="shared" si="21"/>
        <v>No Impact</v>
      </c>
      <c r="AE42" s="2">
        <f t="shared" si="22"/>
        <v>2.6268364552254498E-3</v>
      </c>
      <c r="AF42" s="2">
        <f t="shared" si="23"/>
        <v>1.7897936606200513E-2</v>
      </c>
      <c r="AG42" s="2" t="s">
        <v>1170</v>
      </c>
    </row>
    <row r="43" spans="1:33" x14ac:dyDescent="0.3">
      <c r="A43" s="2">
        <v>200314</v>
      </c>
      <c r="B43" s="2" t="s">
        <v>111</v>
      </c>
      <c r="C43" s="2" t="s">
        <v>109</v>
      </c>
      <c r="D43" s="2" t="s">
        <v>112</v>
      </c>
      <c r="E43" s="3">
        <v>7.6</v>
      </c>
      <c r="F43" s="4">
        <f t="shared" si="4"/>
        <v>0.97777777777777763</v>
      </c>
      <c r="G43" s="2">
        <v>71.974249200000003</v>
      </c>
      <c r="H43" s="2">
        <f t="shared" si="5"/>
        <v>0.28120441144281672</v>
      </c>
      <c r="I43" s="2">
        <v>0.20000000000000009</v>
      </c>
      <c r="J43" s="4">
        <f t="shared" si="6"/>
        <v>3.0349013657056164E-3</v>
      </c>
      <c r="K43" s="2">
        <v>0</v>
      </c>
      <c r="L43" s="4">
        <f t="shared" si="7"/>
        <v>0</v>
      </c>
      <c r="M43" s="2">
        <v>10534</v>
      </c>
      <c r="N43" s="2">
        <f t="shared" si="8"/>
        <v>4.8709978093521268E-2</v>
      </c>
      <c r="O43" s="2">
        <v>0.71629425099999999</v>
      </c>
      <c r="P43" s="2">
        <f t="shared" si="0"/>
        <v>0.75000553740391174</v>
      </c>
      <c r="Q43" s="2">
        <v>0.3357</v>
      </c>
      <c r="R43" s="2">
        <f t="shared" si="9"/>
        <v>0.8126809496236248</v>
      </c>
      <c r="S43" s="2">
        <f t="shared" si="10"/>
        <v>7.6003608571124551E-2</v>
      </c>
      <c r="T43" s="5">
        <f t="shared" si="11"/>
        <v>0.11886024576784057</v>
      </c>
      <c r="U43" s="2" t="str">
        <f t="shared" si="12"/>
        <v>No Impact</v>
      </c>
      <c r="V43" s="2">
        <f t="shared" si="13"/>
        <v>7.9051921548119658E-2</v>
      </c>
      <c r="W43" s="2">
        <f t="shared" si="14"/>
        <v>0.11568051781137045</v>
      </c>
      <c r="X43" s="2" t="s">
        <v>1169</v>
      </c>
      <c r="Y43" s="2">
        <f t="shared" si="16"/>
        <v>7.295529559412943E-2</v>
      </c>
      <c r="Z43" s="2">
        <f t="shared" si="17"/>
        <v>0.12250907563252721</v>
      </c>
      <c r="AA43" s="2" t="str">
        <f t="shared" si="18"/>
        <v>No Impact</v>
      </c>
      <c r="AB43" s="2">
        <f t="shared" si="19"/>
        <v>5.1213119372840475E-2</v>
      </c>
      <c r="AC43" s="2">
        <f t="shared" si="20"/>
        <v>0.11071611119169283</v>
      </c>
      <c r="AD43" s="2" t="str">
        <f t="shared" si="21"/>
        <v>No Impact</v>
      </c>
      <c r="AE43" s="2">
        <f t="shared" si="22"/>
        <v>4.7381661507421811E-3</v>
      </c>
      <c r="AF43" s="2">
        <f t="shared" si="23"/>
        <v>3.2283470570439586E-2</v>
      </c>
      <c r="AG43" s="2" t="s">
        <v>1170</v>
      </c>
    </row>
    <row r="44" spans="1:33" x14ac:dyDescent="0.3">
      <c r="A44" s="2">
        <v>200351</v>
      </c>
      <c r="B44" s="2" t="s">
        <v>113</v>
      </c>
      <c r="C44" s="2" t="s">
        <v>109</v>
      </c>
      <c r="D44" s="2" t="s">
        <v>114</v>
      </c>
      <c r="E44" s="3">
        <v>7.7</v>
      </c>
      <c r="F44" s="4">
        <f t="shared" si="4"/>
        <v>1</v>
      </c>
      <c r="G44" s="2">
        <v>76.621906800000005</v>
      </c>
      <c r="H44" s="2">
        <f t="shared" si="5"/>
        <v>0.31872713006291392</v>
      </c>
      <c r="I44" s="2">
        <v>0.70000000000000007</v>
      </c>
      <c r="J44" s="4">
        <f t="shared" si="6"/>
        <v>1.0622154779969653E-2</v>
      </c>
      <c r="K44" s="2">
        <v>0</v>
      </c>
      <c r="L44" s="4">
        <f t="shared" si="7"/>
        <v>0</v>
      </c>
      <c r="M44" s="2">
        <v>14751</v>
      </c>
      <c r="N44" s="2">
        <f t="shared" si="8"/>
        <v>6.8662379999337594E-2</v>
      </c>
      <c r="O44" s="2">
        <v>0.12631827500000001</v>
      </c>
      <c r="P44" s="2">
        <f t="shared" si="0"/>
        <v>6.8471110084419209E-2</v>
      </c>
      <c r="Q44" s="2">
        <v>0.34039999999999998</v>
      </c>
      <c r="R44" s="2">
        <f t="shared" si="9"/>
        <v>0.82628836132020844</v>
      </c>
      <c r="S44" s="2">
        <f t="shared" si="10"/>
        <v>5.1570468602364361E-2</v>
      </c>
      <c r="T44" s="5">
        <f t="shared" si="11"/>
        <v>8.064983607592198E-2</v>
      </c>
      <c r="U44" s="2" t="str">
        <f t="shared" si="12"/>
        <v>No Impact</v>
      </c>
      <c r="V44" s="2">
        <f t="shared" si="13"/>
        <v>9.5248118306183086E-2</v>
      </c>
      <c r="W44" s="2">
        <f t="shared" si="14"/>
        <v>0.13938119947547331</v>
      </c>
      <c r="X44" s="2" t="s">
        <v>1169</v>
      </c>
      <c r="Y44" s="2">
        <f t="shared" si="16"/>
        <v>7.8928188985456366E-3</v>
      </c>
      <c r="Z44" s="2">
        <f t="shared" si="17"/>
        <v>1.3253896643434002E-2</v>
      </c>
      <c r="AA44" s="2" t="str">
        <f t="shared" si="18"/>
        <v>No Impact</v>
      </c>
      <c r="AB44" s="2">
        <f t="shared" si="19"/>
        <v>3.8474890530905803E-2</v>
      </c>
      <c r="AC44" s="2">
        <f t="shared" si="20"/>
        <v>8.3177715208010622E-2</v>
      </c>
      <c r="AD44" s="2" t="str">
        <f t="shared" si="21"/>
        <v>No Impact</v>
      </c>
      <c r="AE44" s="2">
        <f t="shared" si="22"/>
        <v>7.9148670119372506E-3</v>
      </c>
      <c r="AF44" s="2">
        <f t="shared" si="23"/>
        <v>5.3927905463761562E-2</v>
      </c>
      <c r="AG44" s="2" t="s">
        <v>1169</v>
      </c>
    </row>
    <row r="45" spans="1:33" x14ac:dyDescent="0.3">
      <c r="A45" s="2">
        <v>200373</v>
      </c>
      <c r="B45" s="2" t="s">
        <v>115</v>
      </c>
      <c r="C45" s="2" t="s">
        <v>109</v>
      </c>
      <c r="D45" s="2" t="s">
        <v>116</v>
      </c>
      <c r="E45" s="3">
        <v>7.7</v>
      </c>
      <c r="F45" s="4">
        <f t="shared" si="4"/>
        <v>1</v>
      </c>
      <c r="G45" s="2">
        <v>76.621906800000005</v>
      </c>
      <c r="H45" s="2">
        <f t="shared" si="5"/>
        <v>0.31872713006291392</v>
      </c>
      <c r="I45" s="2">
        <v>1.3</v>
      </c>
      <c r="J45" s="4">
        <f t="shared" si="6"/>
        <v>1.9726858877086497E-2</v>
      </c>
      <c r="K45" s="2">
        <v>0</v>
      </c>
      <c r="L45" s="4">
        <f t="shared" si="7"/>
        <v>0</v>
      </c>
      <c r="M45" s="2">
        <v>12144</v>
      </c>
      <c r="N45" s="2">
        <f t="shared" si="8"/>
        <v>5.6327565731264753E-2</v>
      </c>
      <c r="O45" s="2">
        <v>0.14690879000000001</v>
      </c>
      <c r="P45" s="2">
        <f t="shared" si="0"/>
        <v>9.2257069885498338E-2</v>
      </c>
      <c r="Q45" s="2">
        <v>0.37280000000000002</v>
      </c>
      <c r="R45" s="2">
        <f t="shared" si="9"/>
        <v>0.92009264620729603</v>
      </c>
      <c r="S45" s="2">
        <f t="shared" si="10"/>
        <v>5.9960914932429554E-2</v>
      </c>
      <c r="T45" s="5">
        <f t="shared" si="11"/>
        <v>9.3771456636347811E-2</v>
      </c>
      <c r="U45" s="2" t="str">
        <f t="shared" si="12"/>
        <v>No Impact</v>
      </c>
      <c r="V45" s="2">
        <f t="shared" si="13"/>
        <v>0.10899315920612695</v>
      </c>
      <c r="W45" s="2">
        <f t="shared" si="14"/>
        <v>0.15949498567453621</v>
      </c>
      <c r="X45" s="2" t="s">
        <v>1169</v>
      </c>
      <c r="Y45" s="2">
        <f t="shared" si="16"/>
        <v>1.0928670658732154E-2</v>
      </c>
      <c r="Z45" s="2">
        <f t="shared" si="17"/>
        <v>1.8351804750981419E-2</v>
      </c>
      <c r="AA45" s="2" t="str">
        <f t="shared" si="18"/>
        <v>No Impact</v>
      </c>
      <c r="AB45" s="2">
        <f t="shared" si="19"/>
        <v>4.376158236011983E-2</v>
      </c>
      <c r="AC45" s="2">
        <f t="shared" si="20"/>
        <v>9.4606856169689363E-2</v>
      </c>
      <c r="AD45" s="2" t="str">
        <f t="shared" si="21"/>
        <v>No Impact</v>
      </c>
      <c r="AE45" s="2">
        <f t="shared" si="22"/>
        <v>6.6725012581593194E-3</v>
      </c>
      <c r="AF45" s="2">
        <f t="shared" si="23"/>
        <v>4.5463052823773539E-2</v>
      </c>
      <c r="AG45" s="2" t="s">
        <v>1169</v>
      </c>
    </row>
    <row r="46" spans="1:33" x14ac:dyDescent="0.3">
      <c r="A46" s="2">
        <v>200389</v>
      </c>
      <c r="B46" s="2" t="s">
        <v>117</v>
      </c>
      <c r="C46" s="2" t="s">
        <v>109</v>
      </c>
      <c r="D46" s="2" t="s">
        <v>118</v>
      </c>
      <c r="E46" s="3">
        <v>5.9</v>
      </c>
      <c r="F46" s="4">
        <f t="shared" si="4"/>
        <v>0.60000000000000009</v>
      </c>
      <c r="G46" s="2">
        <v>71.974249200000003</v>
      </c>
      <c r="H46" s="2">
        <f t="shared" si="5"/>
        <v>0.28120441144281672</v>
      </c>
      <c r="I46" s="2">
        <v>0.20000000000000009</v>
      </c>
      <c r="J46" s="4">
        <f t="shared" si="6"/>
        <v>3.0349013657056164E-3</v>
      </c>
      <c r="K46" s="2">
        <v>0</v>
      </c>
      <c r="L46" s="4">
        <f t="shared" si="7"/>
        <v>0</v>
      </c>
      <c r="M46" s="2">
        <v>5632</v>
      </c>
      <c r="N46" s="2">
        <f t="shared" si="8"/>
        <v>2.5516552875994188E-2</v>
      </c>
      <c r="O46" s="2">
        <v>0.20773150900000001</v>
      </c>
      <c r="P46" s="2">
        <f t="shared" si="0"/>
        <v>0.16251887485377287</v>
      </c>
      <c r="Q46" s="2">
        <v>0.33529999999999999</v>
      </c>
      <c r="R46" s="2">
        <f t="shared" si="9"/>
        <v>0.81152287203242623</v>
      </c>
      <c r="S46" s="2">
        <f t="shared" si="10"/>
        <v>2.9070400462083316E-2</v>
      </c>
      <c r="T46" s="5">
        <f t="shared" si="11"/>
        <v>4.5462511694550241E-2</v>
      </c>
      <c r="U46" s="2" t="str">
        <f t="shared" si="12"/>
        <v>No Impact</v>
      </c>
      <c r="V46" s="2">
        <f t="shared" si="13"/>
        <v>4.8440007729728007E-2</v>
      </c>
      <c r="W46" s="2">
        <f t="shared" si="14"/>
        <v>7.0884616935601996E-2</v>
      </c>
      <c r="X46" s="2" t="s">
        <v>1170</v>
      </c>
      <c r="Y46" s="2">
        <f t="shared" si="16"/>
        <v>9.7007931944386346E-3</v>
      </c>
      <c r="Z46" s="2">
        <f t="shared" si="17"/>
        <v>1.6289910108302254E-2</v>
      </c>
      <c r="AA46" s="2" t="str">
        <f t="shared" si="18"/>
        <v>No Impact</v>
      </c>
      <c r="AB46" s="2">
        <f t="shared" si="19"/>
        <v>2.0397322011657937E-2</v>
      </c>
      <c r="AC46" s="2">
        <f t="shared" si="20"/>
        <v>4.409636045433156E-2</v>
      </c>
      <c r="AD46" s="2" t="str">
        <f t="shared" si="21"/>
        <v>No Impact</v>
      </c>
      <c r="AE46" s="2">
        <f t="shared" si="22"/>
        <v>1.5230895654901318E-3</v>
      </c>
      <c r="AF46" s="2">
        <f t="shared" si="23"/>
        <v>1.0377562879668595E-2</v>
      </c>
      <c r="AG46" s="2" t="s">
        <v>1170</v>
      </c>
    </row>
    <row r="47" spans="1:33" x14ac:dyDescent="0.3">
      <c r="A47" s="2">
        <v>200391</v>
      </c>
      <c r="B47" s="2" t="s">
        <v>119</v>
      </c>
      <c r="C47" s="2" t="s">
        <v>109</v>
      </c>
      <c r="D47" s="2" t="s">
        <v>120</v>
      </c>
      <c r="E47" s="3">
        <v>7.7</v>
      </c>
      <c r="F47" s="4">
        <f t="shared" si="4"/>
        <v>1</v>
      </c>
      <c r="G47" s="2">
        <v>78.901703999999995</v>
      </c>
      <c r="H47" s="2">
        <f t="shared" si="5"/>
        <v>0.33713300162421078</v>
      </c>
      <c r="I47" s="2">
        <v>0.19999999999999987</v>
      </c>
      <c r="J47" s="4">
        <f t="shared" si="6"/>
        <v>3.0349013657056129E-3</v>
      </c>
      <c r="K47" s="2">
        <v>0</v>
      </c>
      <c r="L47" s="4">
        <f t="shared" si="7"/>
        <v>0</v>
      </c>
      <c r="M47" s="2">
        <v>2880</v>
      </c>
      <c r="N47" s="2">
        <f t="shared" si="8"/>
        <v>1.2495682578435131E-2</v>
      </c>
      <c r="O47" s="2">
        <v>0.26962101199999999</v>
      </c>
      <c r="P47" s="2">
        <f t="shared" si="0"/>
        <v>0.23401301817494602</v>
      </c>
      <c r="Q47" s="2">
        <v>0.34620000000000001</v>
      </c>
      <c r="R47" s="2">
        <f t="shared" si="9"/>
        <v>0.84308048639258837</v>
      </c>
      <c r="S47" s="2">
        <f t="shared" si="10"/>
        <v>6.4118711785239674E-2</v>
      </c>
      <c r="T47" s="5">
        <f t="shared" si="11"/>
        <v>0.10027373679210243</v>
      </c>
      <c r="U47" s="2" t="str">
        <f t="shared" si="12"/>
        <v>No Impact</v>
      </c>
      <c r="V47" s="2">
        <f t="shared" si="13"/>
        <v>0.10037612238775992</v>
      </c>
      <c r="W47" s="2">
        <f t="shared" si="14"/>
        <v>0.14688525700979316</v>
      </c>
      <c r="X47" s="2" t="s">
        <v>1169</v>
      </c>
      <c r="Y47" s="2">
        <f t="shared" si="16"/>
        <v>2.78613011827194E-2</v>
      </c>
      <c r="Z47" s="2">
        <f t="shared" si="17"/>
        <v>4.6785668209794067E-2</v>
      </c>
      <c r="AA47" s="2" t="str">
        <f t="shared" si="18"/>
        <v>No Impact</v>
      </c>
      <c r="AB47" s="2">
        <f t="shared" si="19"/>
        <v>4.4010735382575696E-2</v>
      </c>
      <c r="AC47" s="2">
        <f t="shared" si="20"/>
        <v>9.5145492637762022E-2</v>
      </c>
      <c r="AD47" s="2" t="str">
        <f t="shared" si="21"/>
        <v>No Impact</v>
      </c>
      <c r="AE47" s="2">
        <f t="shared" si="22"/>
        <v>1.4877205486968682E-3</v>
      </c>
      <c r="AF47" s="2">
        <f t="shared" si="23"/>
        <v>1.0136576266615387E-2</v>
      </c>
      <c r="AG47" s="2" t="s">
        <v>1170</v>
      </c>
    </row>
    <row r="48" spans="1:33" x14ac:dyDescent="0.3">
      <c r="A48" s="2">
        <v>200395</v>
      </c>
      <c r="B48" s="2" t="s">
        <v>121</v>
      </c>
      <c r="C48" s="2" t="s">
        <v>109</v>
      </c>
      <c r="D48" s="2" t="s">
        <v>122</v>
      </c>
      <c r="E48" s="3">
        <v>7.7</v>
      </c>
      <c r="F48" s="4">
        <f t="shared" si="4"/>
        <v>1</v>
      </c>
      <c r="G48" s="2">
        <v>78.901703999999995</v>
      </c>
      <c r="H48" s="2">
        <f t="shared" si="5"/>
        <v>0.33713300162421078</v>
      </c>
      <c r="I48" s="2">
        <v>0.59999999999999987</v>
      </c>
      <c r="J48" s="4">
        <f t="shared" si="6"/>
        <v>9.1047040971168423E-3</v>
      </c>
      <c r="K48" s="2">
        <v>0</v>
      </c>
      <c r="L48" s="4">
        <f t="shared" si="7"/>
        <v>0</v>
      </c>
      <c r="M48" s="2">
        <v>2642</v>
      </c>
      <c r="N48" s="2">
        <f t="shared" si="8"/>
        <v>1.1369604405899136E-2</v>
      </c>
      <c r="O48" s="2">
        <v>0.126312644</v>
      </c>
      <c r="P48" s="2">
        <f t="shared" si="0"/>
        <v>6.846460520876943E-2</v>
      </c>
      <c r="Q48" s="2">
        <v>0.37540000000000001</v>
      </c>
      <c r="R48" s="2">
        <f t="shared" si="9"/>
        <v>0.92762015055008695</v>
      </c>
      <c r="S48" s="2">
        <f t="shared" si="10"/>
        <v>6.0354367594138689E-2</v>
      </c>
      <c r="T48" s="5">
        <f t="shared" si="11"/>
        <v>9.438676794784949E-2</v>
      </c>
      <c r="U48" s="2" t="str">
        <f t="shared" si="12"/>
        <v>No Impact</v>
      </c>
      <c r="V48" s="2">
        <f t="shared" si="13"/>
        <v>0.11241197544756712</v>
      </c>
      <c r="W48" s="2">
        <f t="shared" si="14"/>
        <v>0.16449790559560329</v>
      </c>
      <c r="X48" s="2" t="s">
        <v>1169</v>
      </c>
      <c r="Y48" s="2">
        <f t="shared" si="16"/>
        <v>8.2967597407102734E-3</v>
      </c>
      <c r="Z48" s="2">
        <f t="shared" si="17"/>
        <v>1.3932208187247365E-2</v>
      </c>
      <c r="AA48" s="2" t="str">
        <f t="shared" si="18"/>
        <v>No Impact</v>
      </c>
      <c r="AB48" s="2">
        <f t="shared" si="19"/>
        <v>4.2315451082557631E-2</v>
      </c>
      <c r="AC48" s="2">
        <f t="shared" si="20"/>
        <v>9.148050820875514E-2</v>
      </c>
      <c r="AD48" s="2" t="str">
        <f t="shared" si="21"/>
        <v>No Impact</v>
      </c>
      <c r="AE48" s="2">
        <f t="shared" si="22"/>
        <v>1.3778050105601651E-3</v>
      </c>
      <c r="AF48" s="2">
        <f t="shared" si="23"/>
        <v>9.3876673158149911E-3</v>
      </c>
      <c r="AG48" s="2" t="s">
        <v>1170</v>
      </c>
    </row>
    <row r="49" spans="1:33" x14ac:dyDescent="0.3">
      <c r="A49" s="2">
        <v>201202</v>
      </c>
      <c r="B49" s="2" t="s">
        <v>123</v>
      </c>
      <c r="C49" s="2" t="s">
        <v>1163</v>
      </c>
      <c r="D49" s="2" t="s">
        <v>124</v>
      </c>
      <c r="E49" s="3">
        <v>6</v>
      </c>
      <c r="F49" s="4">
        <f t="shared" si="4"/>
        <v>0.62222222222222223</v>
      </c>
      <c r="G49" s="2">
        <v>54.462924000000001</v>
      </c>
      <c r="H49" s="2">
        <f t="shared" si="5"/>
        <v>0.13982727381877638</v>
      </c>
      <c r="I49" s="2">
        <v>0.99999999999999911</v>
      </c>
      <c r="J49" s="4">
        <f t="shared" si="6"/>
        <v>1.5174506828528061E-2</v>
      </c>
      <c r="K49" s="2">
        <v>0</v>
      </c>
      <c r="L49" s="4">
        <f t="shared" si="7"/>
        <v>0</v>
      </c>
      <c r="M49" s="2">
        <v>17023</v>
      </c>
      <c r="N49" s="2">
        <f t="shared" si="8"/>
        <v>7.9412168268252634E-2</v>
      </c>
      <c r="O49" s="2">
        <v>0.138239841</v>
      </c>
      <c r="P49" s="2">
        <f t="shared" si="0"/>
        <v>8.2242785520507691E-2</v>
      </c>
      <c r="Q49" s="2">
        <v>0.20799999999999999</v>
      </c>
      <c r="R49" s="2">
        <f t="shared" si="9"/>
        <v>0.44296467863346844</v>
      </c>
      <c r="S49" s="2">
        <f t="shared" si="10"/>
        <v>8.8644367011176863E-3</v>
      </c>
      <c r="T49" s="5">
        <f t="shared" si="11"/>
        <v>1.3862882890650156E-2</v>
      </c>
      <c r="U49" s="2" t="str">
        <f t="shared" si="12"/>
        <v>No Impact</v>
      </c>
      <c r="V49" s="2">
        <f t="shared" si="13"/>
        <v>1.4952690594001689E-2</v>
      </c>
      <c r="W49" s="2">
        <f t="shared" si="14"/>
        <v>2.1880998674199435E-2</v>
      </c>
      <c r="X49" s="2" t="s">
        <v>1170</v>
      </c>
      <c r="Y49" s="2">
        <f t="shared" si="16"/>
        <v>2.7761828082336838E-3</v>
      </c>
      <c r="Z49" s="2">
        <f t="shared" si="17"/>
        <v>4.6618629511932224E-3</v>
      </c>
      <c r="AA49" s="2" t="str">
        <f t="shared" si="18"/>
        <v>No Impact</v>
      </c>
      <c r="AB49" s="2">
        <f t="shared" si="19"/>
        <v>7.0045179787970044E-3</v>
      </c>
      <c r="AC49" s="2">
        <f t="shared" si="20"/>
        <v>1.5142857941123062E-2</v>
      </c>
      <c r="AD49" s="2" t="str">
        <f t="shared" si="21"/>
        <v>No Impact</v>
      </c>
      <c r="AE49" s="2">
        <f t="shared" si="22"/>
        <v>2.680632652646594E-3</v>
      </c>
      <c r="AF49" s="2">
        <f t="shared" si="23"/>
        <v>1.8264476719188114E-2</v>
      </c>
      <c r="AG49" s="2" t="s">
        <v>1170</v>
      </c>
    </row>
    <row r="50" spans="1:33" x14ac:dyDescent="0.3">
      <c r="A50" s="2">
        <v>201204</v>
      </c>
      <c r="B50" s="2" t="s">
        <v>125</v>
      </c>
      <c r="C50" s="2" t="s">
        <v>1163</v>
      </c>
      <c r="D50" s="2" t="s">
        <v>126</v>
      </c>
      <c r="E50" s="3">
        <v>6</v>
      </c>
      <c r="F50" s="4">
        <f t="shared" si="4"/>
        <v>0.62222222222222223</v>
      </c>
      <c r="G50" s="2">
        <v>57.025814400000002</v>
      </c>
      <c r="H50" s="2">
        <f t="shared" si="5"/>
        <v>0.16051868949736431</v>
      </c>
      <c r="I50" s="2">
        <v>1.899999999999999</v>
      </c>
      <c r="J50" s="4">
        <f t="shared" si="6"/>
        <v>2.8831562974203327E-2</v>
      </c>
      <c r="K50" s="2">
        <v>0</v>
      </c>
      <c r="L50" s="4">
        <f t="shared" si="7"/>
        <v>0</v>
      </c>
      <c r="M50" s="2">
        <v>40696</v>
      </c>
      <c r="N50" s="2">
        <f t="shared" si="8"/>
        <v>0.19141909506844001</v>
      </c>
      <c r="O50" s="2">
        <v>0.229054796</v>
      </c>
      <c r="P50" s="2">
        <f t="shared" si="0"/>
        <v>0.18715132564040318</v>
      </c>
      <c r="Q50" s="2">
        <v>0.26750000000000002</v>
      </c>
      <c r="R50" s="2">
        <f t="shared" si="9"/>
        <v>0.61522872032426179</v>
      </c>
      <c r="S50" s="2">
        <f t="shared" si="10"/>
        <v>1.6543582999547356E-2</v>
      </c>
      <c r="T50" s="5">
        <f t="shared" si="11"/>
        <v>2.5872118155636323E-2</v>
      </c>
      <c r="U50" s="2" t="str">
        <f t="shared" si="12"/>
        <v>No Impact</v>
      </c>
      <c r="V50" s="2">
        <f t="shared" si="13"/>
        <v>2.5369742055718947E-2</v>
      </c>
      <c r="W50" s="2">
        <f t="shared" si="14"/>
        <v>3.7124776226470826E-2</v>
      </c>
      <c r="X50" s="2" t="s">
        <v>1170</v>
      </c>
      <c r="Y50" s="2">
        <f t="shared" si="16"/>
        <v>7.7174239433757631E-3</v>
      </c>
      <c r="Z50" s="2">
        <f t="shared" si="17"/>
        <v>1.2959367320326183E-2</v>
      </c>
      <c r="AA50" s="2" t="str">
        <f t="shared" si="18"/>
        <v>No Impact</v>
      </c>
      <c r="AB50" s="2">
        <f t="shared" si="19"/>
        <v>1.3957330705809299E-2</v>
      </c>
      <c r="AC50" s="2">
        <f t="shared" si="20"/>
        <v>3.0173935844710932E-2</v>
      </c>
      <c r="AD50" s="2" t="str">
        <f t="shared" si="21"/>
        <v>No Impact</v>
      </c>
      <c r="AE50" s="2">
        <f t="shared" si="22"/>
        <v>7.8934108665569686E-3</v>
      </c>
      <c r="AF50" s="2">
        <f t="shared" si="23"/>
        <v>5.3781714128147272E-2</v>
      </c>
      <c r="AG50" s="2" t="s">
        <v>1169</v>
      </c>
    </row>
    <row r="51" spans="1:33" x14ac:dyDescent="0.3">
      <c r="A51" s="2">
        <v>201207</v>
      </c>
      <c r="B51" s="2" t="s">
        <v>127</v>
      </c>
      <c r="C51" s="2" t="s">
        <v>1163</v>
      </c>
      <c r="D51" s="2" t="s">
        <v>1136</v>
      </c>
      <c r="E51" s="3">
        <v>5.2</v>
      </c>
      <c r="F51" s="4">
        <f t="shared" si="4"/>
        <v>0.44444444444444442</v>
      </c>
      <c r="G51" s="2">
        <v>43.176142800000001</v>
      </c>
      <c r="H51" s="2">
        <f t="shared" si="5"/>
        <v>4.8703797964143113E-2</v>
      </c>
      <c r="I51" s="2">
        <v>0.40000000000000102</v>
      </c>
      <c r="J51" s="4">
        <f t="shared" si="6"/>
        <v>6.0698027314112458E-3</v>
      </c>
      <c r="K51" s="2">
        <v>0</v>
      </c>
      <c r="L51" s="4">
        <f t="shared" si="7"/>
        <v>0</v>
      </c>
      <c r="M51" s="2">
        <v>16310</v>
      </c>
      <c r="N51" s="2">
        <f t="shared" si="8"/>
        <v>7.6038665171537664E-2</v>
      </c>
      <c r="O51" s="2">
        <v>0.33674959300000001</v>
      </c>
      <c r="P51" s="2">
        <f t="shared" si="0"/>
        <v>0.3115592927178355</v>
      </c>
      <c r="Q51" s="2">
        <v>0.18459999999999999</v>
      </c>
      <c r="R51" s="2">
        <f t="shared" si="9"/>
        <v>0.37521713954834973</v>
      </c>
      <c r="S51" s="2">
        <f t="shared" si="10"/>
        <v>2.9257836275162026E-3</v>
      </c>
      <c r="T51" s="5">
        <f t="shared" si="11"/>
        <v>4.5755638129295539E-3</v>
      </c>
      <c r="U51" s="2" t="str">
        <f t="shared" si="12"/>
        <v>No Impact</v>
      </c>
      <c r="V51" s="2">
        <f t="shared" si="13"/>
        <v>3.1969768095610179E-3</v>
      </c>
      <c r="W51" s="2">
        <f t="shared" si="14"/>
        <v>4.6782915015651308E-3</v>
      </c>
      <c r="X51" s="2" t="s">
        <v>1170</v>
      </c>
      <c r="Y51" s="2">
        <f t="shared" si="16"/>
        <v>2.6545904454713868E-3</v>
      </c>
      <c r="Z51" s="2">
        <f t="shared" si="17"/>
        <v>4.4576808168509067E-3</v>
      </c>
      <c r="AA51" s="2" t="str">
        <f t="shared" si="18"/>
        <v>No Impact</v>
      </c>
      <c r="AB51" s="2">
        <f t="shared" si="19"/>
        <v>2.1420753088687823E-3</v>
      </c>
      <c r="AC51" s="2">
        <f t="shared" si="20"/>
        <v>4.6308885493014634E-3</v>
      </c>
      <c r="AD51" s="2" t="str">
        <f t="shared" si="21"/>
        <v>No Impact</v>
      </c>
      <c r="AE51" s="2">
        <f t="shared" si="22"/>
        <v>6.4787511966002929E-4</v>
      </c>
      <c r="AF51" s="2">
        <f t="shared" si="23"/>
        <v>4.414293778108304E-3</v>
      </c>
      <c r="AG51" s="2" t="s">
        <v>1170</v>
      </c>
    </row>
    <row r="52" spans="1:33" x14ac:dyDescent="0.3">
      <c r="A52" s="2">
        <v>201213</v>
      </c>
      <c r="B52" s="2" t="s">
        <v>128</v>
      </c>
      <c r="C52" s="2" t="s">
        <v>1163</v>
      </c>
      <c r="D52" s="2" t="s">
        <v>129</v>
      </c>
      <c r="E52" s="3">
        <v>6</v>
      </c>
      <c r="F52" s="4">
        <f t="shared" si="4"/>
        <v>0.62222222222222223</v>
      </c>
      <c r="G52" s="2">
        <v>54.462924000000001</v>
      </c>
      <c r="H52" s="2">
        <f t="shared" si="5"/>
        <v>0.13982727381877638</v>
      </c>
      <c r="I52" s="2">
        <v>0.8999999999999998</v>
      </c>
      <c r="J52" s="4">
        <f t="shared" si="6"/>
        <v>1.3657056145675264E-2</v>
      </c>
      <c r="K52" s="2">
        <v>0</v>
      </c>
      <c r="L52" s="4">
        <f t="shared" si="7"/>
        <v>0</v>
      </c>
      <c r="M52" s="2">
        <v>60378</v>
      </c>
      <c r="N52" s="2">
        <f t="shared" si="8"/>
        <v>0.28454292108463092</v>
      </c>
      <c r="O52" s="2">
        <v>0.61514928899999999</v>
      </c>
      <c r="P52" s="2">
        <f t="shared" si="0"/>
        <v>0.63316387510388294</v>
      </c>
      <c r="Q52" s="2">
        <v>0.189</v>
      </c>
      <c r="R52" s="2">
        <f t="shared" si="9"/>
        <v>0.3879559930515345</v>
      </c>
      <c r="S52" s="2">
        <f t="shared" si="10"/>
        <v>1.706570897796433E-2</v>
      </c>
      <c r="T52" s="5">
        <f t="shared" si="11"/>
        <v>2.6688658623689753E-2</v>
      </c>
      <c r="U52" s="2" t="str">
        <f t="shared" si="12"/>
        <v>No Impact</v>
      </c>
      <c r="V52" s="2">
        <f t="shared" si="13"/>
        <v>1.2967613852494236E-2</v>
      </c>
      <c r="W52" s="2">
        <f t="shared" si="14"/>
        <v>1.8976139426557879E-2</v>
      </c>
      <c r="X52" s="2" t="s">
        <v>1170</v>
      </c>
      <c r="Y52" s="2">
        <f t="shared" si="16"/>
        <v>2.1163804103434426E-2</v>
      </c>
      <c r="Z52" s="2">
        <f t="shared" si="17"/>
        <v>3.5538997634988294E-2</v>
      </c>
      <c r="AA52" s="2" t="str">
        <f t="shared" si="18"/>
        <v>No Impact</v>
      </c>
      <c r="AB52" s="2">
        <f t="shared" si="19"/>
        <v>1.421665001250536E-2</v>
      </c>
      <c r="AC52" s="2">
        <f t="shared" si="20"/>
        <v>3.0734550498649389E-2</v>
      </c>
      <c r="AD52" s="2" t="str">
        <f t="shared" si="21"/>
        <v>No Impact</v>
      </c>
      <c r="AE52" s="2">
        <f t="shared" si="22"/>
        <v>9.5109826660058593E-3</v>
      </c>
      <c r="AF52" s="2">
        <f t="shared" si="23"/>
        <v>6.4803031220394339E-2</v>
      </c>
      <c r="AG52" s="2" t="s">
        <v>1169</v>
      </c>
    </row>
    <row r="53" spans="1:33" x14ac:dyDescent="0.3">
      <c r="A53" s="2">
        <v>201233</v>
      </c>
      <c r="B53" s="2" t="s">
        <v>130</v>
      </c>
      <c r="C53" s="2" t="s">
        <v>1163</v>
      </c>
      <c r="D53" s="2" t="s">
        <v>131</v>
      </c>
      <c r="E53" s="3">
        <v>6</v>
      </c>
      <c r="F53" s="4">
        <f t="shared" si="4"/>
        <v>0.62222222222222223</v>
      </c>
      <c r="G53" s="2">
        <v>43.176142800000001</v>
      </c>
      <c r="H53" s="2">
        <f t="shared" si="5"/>
        <v>4.8703797964143113E-2</v>
      </c>
      <c r="I53" s="2">
        <v>0.49999999999999956</v>
      </c>
      <c r="J53" s="4">
        <f t="shared" si="6"/>
        <v>7.5872534142640306E-3</v>
      </c>
      <c r="K53" s="2">
        <v>0</v>
      </c>
      <c r="L53" s="4">
        <f t="shared" si="7"/>
        <v>0</v>
      </c>
      <c r="M53" s="2">
        <v>21752</v>
      </c>
      <c r="N53" s="2">
        <f t="shared" si="8"/>
        <v>0.10178705767128926</v>
      </c>
      <c r="O53" s="2">
        <v>0.26164830300000003</v>
      </c>
      <c r="P53" s="2">
        <f t="shared" si="0"/>
        <v>0.22480302338949743</v>
      </c>
      <c r="Q53" s="2">
        <v>0.20979999999999999</v>
      </c>
      <c r="R53" s="2">
        <f t="shared" si="9"/>
        <v>0.44817602779386218</v>
      </c>
      <c r="S53" s="2">
        <f t="shared" si="10"/>
        <v>4.1250049310910105E-3</v>
      </c>
      <c r="T53" s="5">
        <f t="shared" si="11"/>
        <v>6.4509976449895461E-3</v>
      </c>
      <c r="U53" s="2" t="str">
        <f t="shared" si="12"/>
        <v>No Impact</v>
      </c>
      <c r="V53" s="2">
        <f t="shared" si="13"/>
        <v>5.4941630691049837E-3</v>
      </c>
      <c r="W53" s="2">
        <f t="shared" si="14"/>
        <v>8.039875771865922E-3</v>
      </c>
      <c r="X53" s="2" t="s">
        <v>1170</v>
      </c>
      <c r="Y53" s="2">
        <f t="shared" si="16"/>
        <v>2.7558467930770378E-3</v>
      </c>
      <c r="Z53" s="2">
        <f t="shared" si="17"/>
        <v>4.6277140056149631E-3</v>
      </c>
      <c r="AA53" s="2" t="str">
        <f t="shared" si="18"/>
        <v>No Impact</v>
      </c>
      <c r="AB53" s="2">
        <f t="shared" si="19"/>
        <v>3.186441616356474E-3</v>
      </c>
      <c r="AC53" s="2">
        <f t="shared" si="20"/>
        <v>6.888672836621897E-3</v>
      </c>
      <c r="AD53" s="2" t="str">
        <f t="shared" si="21"/>
        <v>No Impact</v>
      </c>
      <c r="AE53" s="2">
        <f t="shared" si="22"/>
        <v>1.2478014407046234E-3</v>
      </c>
      <c r="AF53" s="2">
        <f t="shared" si="23"/>
        <v>8.5018886647590195E-3</v>
      </c>
      <c r="AG53" s="2" t="s">
        <v>1170</v>
      </c>
    </row>
    <row r="54" spans="1:33" x14ac:dyDescent="0.3">
      <c r="A54" s="2">
        <v>201263</v>
      </c>
      <c r="B54" s="2" t="s">
        <v>132</v>
      </c>
      <c r="C54" s="2" t="s">
        <v>1163</v>
      </c>
      <c r="D54" s="2" t="s">
        <v>133</v>
      </c>
      <c r="E54" s="3">
        <v>5.9</v>
      </c>
      <c r="F54" s="4">
        <f t="shared" si="4"/>
        <v>0.60000000000000009</v>
      </c>
      <c r="G54" s="2">
        <v>54.462924000000001</v>
      </c>
      <c r="H54" s="2">
        <f t="shared" si="5"/>
        <v>0.13982727381877638</v>
      </c>
      <c r="I54" s="2">
        <v>1.3000000000000007</v>
      </c>
      <c r="J54" s="4">
        <f t="shared" si="6"/>
        <v>1.9726858877086507E-2</v>
      </c>
      <c r="K54" s="2">
        <v>0</v>
      </c>
      <c r="L54" s="4">
        <f t="shared" si="7"/>
        <v>0</v>
      </c>
      <c r="M54" s="2">
        <v>28839</v>
      </c>
      <c r="N54" s="2">
        <f t="shared" si="8"/>
        <v>0.13531863754003964</v>
      </c>
      <c r="O54" s="2">
        <v>0.32801445499999998</v>
      </c>
      <c r="P54" s="2">
        <f t="shared" si="0"/>
        <v>0.30146854747300411</v>
      </c>
      <c r="Q54" s="2">
        <v>0.22539999999999999</v>
      </c>
      <c r="R54" s="2">
        <f t="shared" si="9"/>
        <v>0.493341053850608</v>
      </c>
      <c r="S54" s="2">
        <f t="shared" si="10"/>
        <v>1.3315591442741017E-2</v>
      </c>
      <c r="T54" s="5">
        <f t="shared" si="11"/>
        <v>2.08239385100677E-2</v>
      </c>
      <c r="U54" s="2" t="str">
        <f t="shared" si="12"/>
        <v>No Impact</v>
      </c>
      <c r="V54" s="2">
        <f t="shared" si="13"/>
        <v>1.6530066833783316E-2</v>
      </c>
      <c r="W54" s="2">
        <f t="shared" si="14"/>
        <v>2.4189249968131848E-2</v>
      </c>
      <c r="X54" s="2" t="s">
        <v>1170</v>
      </c>
      <c r="Y54" s="2">
        <f t="shared" si="16"/>
        <v>1.0101116051698717E-2</v>
      </c>
      <c r="Z54" s="2">
        <f t="shared" si="17"/>
        <v>1.6962146205738493E-2</v>
      </c>
      <c r="AA54" s="2" t="str">
        <f t="shared" si="18"/>
        <v>No Impact</v>
      </c>
      <c r="AB54" s="2">
        <f t="shared" si="19"/>
        <v>1.0402770824329858E-2</v>
      </c>
      <c r="AC54" s="2">
        <f t="shared" si="20"/>
        <v>2.2489439139671021E-2</v>
      </c>
      <c r="AD54" s="2" t="str">
        <f t="shared" si="21"/>
        <v>No Impact</v>
      </c>
      <c r="AE54" s="2">
        <f t="shared" si="22"/>
        <v>4.5340360485602409E-3</v>
      </c>
      <c r="AF54" s="2">
        <f t="shared" si="23"/>
        <v>3.0892631174632576E-2</v>
      </c>
      <c r="AG54" s="2" t="s">
        <v>1170</v>
      </c>
    </row>
    <row r="55" spans="1:33" x14ac:dyDescent="0.3">
      <c r="A55" s="2">
        <v>201285</v>
      </c>
      <c r="B55" s="2" t="s">
        <v>134</v>
      </c>
      <c r="C55" s="2" t="s">
        <v>1163</v>
      </c>
      <c r="D55" s="2" t="s">
        <v>135</v>
      </c>
      <c r="E55" s="3">
        <v>6</v>
      </c>
      <c r="F55" s="4">
        <f t="shared" si="4"/>
        <v>0.62222222222222223</v>
      </c>
      <c r="G55" s="2">
        <v>57.025814400000002</v>
      </c>
      <c r="H55" s="2">
        <f t="shared" si="5"/>
        <v>0.16051868949736431</v>
      </c>
      <c r="I55" s="2">
        <v>1.1999999999999997</v>
      </c>
      <c r="J55" s="4">
        <f t="shared" si="6"/>
        <v>1.8209408194233685E-2</v>
      </c>
      <c r="K55" s="2">
        <v>0</v>
      </c>
      <c r="L55" s="4">
        <f t="shared" si="7"/>
        <v>0</v>
      </c>
      <c r="M55" s="2">
        <v>31740</v>
      </c>
      <c r="N55" s="2">
        <f t="shared" si="8"/>
        <v>0.14904448955065697</v>
      </c>
      <c r="O55" s="2">
        <v>0.53308235000000004</v>
      </c>
      <c r="P55" s="2">
        <f t="shared" si="0"/>
        <v>0.53836095676737661</v>
      </c>
      <c r="Q55" s="2">
        <v>0.2248</v>
      </c>
      <c r="R55" s="2">
        <f t="shared" si="9"/>
        <v>0.49160393746381009</v>
      </c>
      <c r="S55" s="2">
        <f t="shared" si="10"/>
        <v>2.0044665878929616E-2</v>
      </c>
      <c r="T55" s="5">
        <f t="shared" si="11"/>
        <v>3.1347378861284643E-2</v>
      </c>
      <c r="U55" s="2" t="str">
        <f t="shared" si="12"/>
        <v>No Impact</v>
      </c>
      <c r="V55" s="2">
        <f t="shared" si="13"/>
        <v>1.9134703962087544E-2</v>
      </c>
      <c r="W55" s="2">
        <f t="shared" si="14"/>
        <v>2.8000742033249412E-2</v>
      </c>
      <c r="X55" s="2" t="s">
        <v>1170</v>
      </c>
      <c r="Y55" s="2">
        <f t="shared" si="16"/>
        <v>2.0954627795771688E-2</v>
      </c>
      <c r="Z55" s="2">
        <f t="shared" si="17"/>
        <v>3.5187741487133703E-2</v>
      </c>
      <c r="AA55" s="2" t="str">
        <f t="shared" si="18"/>
        <v>No Impact</v>
      </c>
      <c r="AB55" s="2">
        <f t="shared" si="19"/>
        <v>1.5013975673119885E-2</v>
      </c>
      <c r="AC55" s="2">
        <f t="shared" si="20"/>
        <v>3.2458264999496667E-2</v>
      </c>
      <c r="AD55" s="2" t="str">
        <f t="shared" si="21"/>
        <v>No Impact</v>
      </c>
      <c r="AE55" s="2">
        <f t="shared" si="22"/>
        <v>5.801259850450686E-3</v>
      </c>
      <c r="AF55" s="2">
        <f t="shared" si="23"/>
        <v>3.9526853996912158E-2</v>
      </c>
      <c r="AG55" s="2" t="s">
        <v>1169</v>
      </c>
    </row>
    <row r="56" spans="1:33" x14ac:dyDescent="0.3">
      <c r="A56" s="2">
        <v>201290</v>
      </c>
      <c r="B56" s="2" t="s">
        <v>136</v>
      </c>
      <c r="C56" s="2" t="s">
        <v>1163</v>
      </c>
      <c r="D56" s="2" t="s">
        <v>137</v>
      </c>
      <c r="E56" s="3">
        <v>5.8</v>
      </c>
      <c r="F56" s="4">
        <f t="shared" si="4"/>
        <v>0.57777777777777772</v>
      </c>
      <c r="G56" s="2">
        <v>42.203937600000003</v>
      </c>
      <c r="H56" s="2">
        <f t="shared" si="5"/>
        <v>4.0854729616122985E-2</v>
      </c>
      <c r="I56" s="2">
        <v>0.20000000000000051</v>
      </c>
      <c r="J56" s="4">
        <f t="shared" si="6"/>
        <v>3.0349013657056229E-3</v>
      </c>
      <c r="K56" s="2">
        <v>0</v>
      </c>
      <c r="L56" s="4">
        <f t="shared" si="7"/>
        <v>0</v>
      </c>
      <c r="M56" s="2">
        <v>31073</v>
      </c>
      <c r="N56" s="2">
        <f t="shared" si="8"/>
        <v>0.14588863181502038</v>
      </c>
      <c r="O56" s="2">
        <v>0.271907805</v>
      </c>
      <c r="P56" s="2">
        <f t="shared" si="0"/>
        <v>0.23665469888916754</v>
      </c>
      <c r="Q56" s="2">
        <v>0.18099999999999999</v>
      </c>
      <c r="R56" s="2">
        <f t="shared" si="9"/>
        <v>0.36479444122756227</v>
      </c>
      <c r="S56" s="2">
        <f t="shared" si="10"/>
        <v>2.6690685045328748E-3</v>
      </c>
      <c r="T56" s="5">
        <f t="shared" si="11"/>
        <v>4.1740931040543912E-3</v>
      </c>
      <c r="U56" s="2" t="str">
        <f t="shared" si="12"/>
        <v>No Impact</v>
      </c>
      <c r="V56" s="2">
        <f t="shared" si="13"/>
        <v>3.2377180006282363E-3</v>
      </c>
      <c r="W56" s="2">
        <f t="shared" si="14"/>
        <v>4.737910066004946E-3</v>
      </c>
      <c r="X56" s="2" t="s">
        <v>1170</v>
      </c>
      <c r="Y56" s="2">
        <f t="shared" si="16"/>
        <v>2.1004190084375129E-3</v>
      </c>
      <c r="Z56" s="2">
        <f t="shared" si="17"/>
        <v>3.5270968209931445E-3</v>
      </c>
      <c r="AA56" s="2" t="str">
        <f t="shared" si="18"/>
        <v>No Impact</v>
      </c>
      <c r="AB56" s="2">
        <f t="shared" si="19"/>
        <v>2.2165169875101201E-3</v>
      </c>
      <c r="AC56" s="2">
        <f t="shared" si="20"/>
        <v>4.7918217881020176E-3</v>
      </c>
      <c r="AD56" s="2" t="str">
        <f t="shared" si="21"/>
        <v>No Impact</v>
      </c>
      <c r="AE56" s="2">
        <f t="shared" si="22"/>
        <v>1.2948285278828102E-3</v>
      </c>
      <c r="AF56" s="2">
        <f t="shared" si="23"/>
        <v>8.8223074801044212E-3</v>
      </c>
      <c r="AG56" s="2" t="s">
        <v>1170</v>
      </c>
    </row>
    <row r="57" spans="1:33" x14ac:dyDescent="0.3">
      <c r="A57" s="2">
        <v>201294</v>
      </c>
      <c r="B57" s="2" t="s">
        <v>138</v>
      </c>
      <c r="C57" s="2" t="s">
        <v>1163</v>
      </c>
      <c r="D57" s="2" t="s">
        <v>139</v>
      </c>
      <c r="E57" s="3">
        <v>5.5</v>
      </c>
      <c r="F57" s="4">
        <f t="shared" si="4"/>
        <v>0.51111111111111107</v>
      </c>
      <c r="G57" s="2">
        <v>43.176142800000001</v>
      </c>
      <c r="H57" s="2">
        <f t="shared" si="5"/>
        <v>4.8703797964143113E-2</v>
      </c>
      <c r="I57" s="2">
        <v>0.29999999999999993</v>
      </c>
      <c r="J57" s="4">
        <f t="shared" si="6"/>
        <v>4.5523520485584211E-3</v>
      </c>
      <c r="K57" s="2">
        <v>0</v>
      </c>
      <c r="L57" s="4">
        <f t="shared" si="7"/>
        <v>0</v>
      </c>
      <c r="M57" s="2">
        <v>26913</v>
      </c>
      <c r="N57" s="2">
        <f t="shared" si="8"/>
        <v>0.12620592090010552</v>
      </c>
      <c r="O57" s="2">
        <v>0.52946543499999998</v>
      </c>
      <c r="P57" s="2">
        <f t="shared" si="0"/>
        <v>0.53418273224050483</v>
      </c>
      <c r="Q57" s="2">
        <v>0.15870000000000001</v>
      </c>
      <c r="R57" s="2">
        <f t="shared" si="9"/>
        <v>0.30023161551823979</v>
      </c>
      <c r="S57" s="2">
        <f t="shared" si="10"/>
        <v>3.9747050022196796E-3</v>
      </c>
      <c r="T57" s="5">
        <f t="shared" si="11"/>
        <v>6.2159471411990918E-3</v>
      </c>
      <c r="U57" s="2" t="str">
        <f t="shared" si="12"/>
        <v>No Impact</v>
      </c>
      <c r="V57" s="2">
        <f t="shared" si="13"/>
        <v>2.860286636322013E-3</v>
      </c>
      <c r="W57" s="2">
        <f t="shared" si="14"/>
        <v>4.1855964118122551E-3</v>
      </c>
      <c r="X57" s="2" t="s">
        <v>1170</v>
      </c>
      <c r="Y57" s="2">
        <f t="shared" si="16"/>
        <v>5.0891233681173449E-3</v>
      </c>
      <c r="Z57" s="2">
        <f t="shared" si="17"/>
        <v>8.5458333700195212E-3</v>
      </c>
      <c r="AA57" s="2" t="str">
        <f t="shared" si="18"/>
        <v>No Impact</v>
      </c>
      <c r="AB57" s="2">
        <f t="shared" si="19"/>
        <v>2.9486617287508218E-3</v>
      </c>
      <c r="AC57" s="2">
        <f t="shared" si="20"/>
        <v>6.3746236086567494E-3</v>
      </c>
      <c r="AD57" s="2" t="str">
        <f t="shared" si="21"/>
        <v>No Impact</v>
      </c>
      <c r="AE57" s="2">
        <f t="shared" si="22"/>
        <v>1.2023554160083257E-3</v>
      </c>
      <c r="AF57" s="2">
        <f t="shared" si="23"/>
        <v>8.1922424104594362E-3</v>
      </c>
      <c r="AG57" s="2" t="s">
        <v>1170</v>
      </c>
    </row>
    <row r="58" spans="1:33" x14ac:dyDescent="0.3">
      <c r="A58" s="2">
        <v>201322</v>
      </c>
      <c r="B58" s="2" t="s">
        <v>140</v>
      </c>
      <c r="C58" s="2" t="s">
        <v>141</v>
      </c>
      <c r="D58" s="2" t="s">
        <v>142</v>
      </c>
      <c r="E58" s="3">
        <v>6</v>
      </c>
      <c r="F58" s="4">
        <f t="shared" si="4"/>
        <v>0.62222222222222223</v>
      </c>
      <c r="G58" s="2">
        <v>75.558567600000003</v>
      </c>
      <c r="H58" s="2">
        <f t="shared" si="5"/>
        <v>0.3101422942094037</v>
      </c>
      <c r="I58" s="2">
        <v>12.799999999999999</v>
      </c>
      <c r="J58" s="4">
        <f t="shared" si="6"/>
        <v>0.19423368740515934</v>
      </c>
      <c r="K58" s="2">
        <v>0</v>
      </c>
      <c r="L58" s="4">
        <f t="shared" si="7"/>
        <v>0</v>
      </c>
      <c r="M58" s="2">
        <v>31606</v>
      </c>
      <c r="N58" s="2">
        <f t="shared" si="8"/>
        <v>0.14841047915099384</v>
      </c>
      <c r="O58" s="2">
        <v>0.56187791600000003</v>
      </c>
      <c r="P58" s="2">
        <f t="shared" si="0"/>
        <v>0.57162531054023369</v>
      </c>
      <c r="Q58" s="2">
        <v>0.30790000000000001</v>
      </c>
      <c r="R58" s="2">
        <f t="shared" si="9"/>
        <v>0.73219455703532144</v>
      </c>
      <c r="S58" s="2">
        <f t="shared" si="10"/>
        <v>7.1607013005094505E-2</v>
      </c>
      <c r="T58" s="5">
        <f t="shared" si="11"/>
        <v>0.11198451395267162</v>
      </c>
      <c r="U58" s="2" t="str">
        <f t="shared" si="12"/>
        <v>No Impact</v>
      </c>
      <c r="V58" s="2">
        <f t="shared" si="13"/>
        <v>8.0425626993062188E-2</v>
      </c>
      <c r="W58" s="2">
        <f t="shared" si="14"/>
        <v>0.11769072773516744</v>
      </c>
      <c r="X58" s="2" t="s">
        <v>1169</v>
      </c>
      <c r="Y58" s="2">
        <f t="shared" si="16"/>
        <v>6.2788399017126795E-2</v>
      </c>
      <c r="Z58" s="2">
        <f t="shared" si="17"/>
        <v>0.10543646847554485</v>
      </c>
      <c r="AA58" s="2" t="str">
        <f t="shared" si="18"/>
        <v>No Impact</v>
      </c>
      <c r="AB58" s="2">
        <f t="shared" si="19"/>
        <v>5.2691079290167323E-2</v>
      </c>
      <c r="AC58" s="2">
        <f t="shared" si="20"/>
        <v>0.1139112685370664</v>
      </c>
      <c r="AD58" s="2" t="str">
        <f t="shared" si="21"/>
        <v>No Impact</v>
      </c>
      <c r="AE58" s="2">
        <f t="shared" si="22"/>
        <v>1.6301686107021502E-2</v>
      </c>
      <c r="AF58" s="2">
        <f t="shared" si="23"/>
        <v>0.11107145400592114</v>
      </c>
      <c r="AG58" s="2" t="s">
        <v>1169</v>
      </c>
    </row>
    <row r="59" spans="1:33" x14ac:dyDescent="0.3">
      <c r="A59" s="2">
        <v>201345</v>
      </c>
      <c r="B59" s="2" t="s">
        <v>143</v>
      </c>
      <c r="C59" s="2" t="s">
        <v>141</v>
      </c>
      <c r="D59" s="2" t="s">
        <v>144</v>
      </c>
      <c r="E59" s="3">
        <v>6</v>
      </c>
      <c r="F59" s="4">
        <f t="shared" si="4"/>
        <v>0.62222222222222223</v>
      </c>
      <c r="G59" s="2">
        <v>69.631225200000003</v>
      </c>
      <c r="H59" s="2">
        <f t="shared" si="5"/>
        <v>0.26228808028448558</v>
      </c>
      <c r="I59" s="2">
        <v>10.400000000000002</v>
      </c>
      <c r="J59" s="4">
        <f t="shared" si="6"/>
        <v>0.157814871016692</v>
      </c>
      <c r="K59" s="2">
        <v>0</v>
      </c>
      <c r="L59" s="4">
        <f t="shared" si="7"/>
        <v>0</v>
      </c>
      <c r="M59" s="2">
        <v>25019</v>
      </c>
      <c r="N59" s="2">
        <f t="shared" si="8"/>
        <v>0.11724460972874765</v>
      </c>
      <c r="O59" s="2">
        <v>0.51858346</v>
      </c>
      <c r="P59" s="2">
        <f t="shared" si="0"/>
        <v>0.5216119820719759</v>
      </c>
      <c r="Q59" s="2">
        <v>0.32340000000000002</v>
      </c>
      <c r="R59" s="2">
        <f t="shared" si="9"/>
        <v>0.77707006369426768</v>
      </c>
      <c r="S59" s="2">
        <f t="shared" si="10"/>
        <v>5.9407617447076094E-2</v>
      </c>
      <c r="T59" s="5">
        <f t="shared" si="11"/>
        <v>9.2906167785880969E-2</v>
      </c>
      <c r="U59" s="2" t="str">
        <f t="shared" si="12"/>
        <v>No Impact</v>
      </c>
      <c r="V59" s="2">
        <f t="shared" si="13"/>
        <v>7.1093430796275725E-2</v>
      </c>
      <c r="W59" s="2">
        <f t="shared" si="14"/>
        <v>0.10403447160350053</v>
      </c>
      <c r="X59" s="2" t="s">
        <v>1169</v>
      </c>
      <c r="Y59" s="2">
        <f t="shared" si="16"/>
        <v>4.772180409787647E-2</v>
      </c>
      <c r="Z59" s="2">
        <f t="shared" si="17"/>
        <v>8.0136117055467596E-2</v>
      </c>
      <c r="AA59" s="2" t="str">
        <f t="shared" si="18"/>
        <v>No Impact</v>
      </c>
      <c r="AB59" s="2">
        <f t="shared" si="19"/>
        <v>4.2953552820042151E-2</v>
      </c>
      <c r="AC59" s="2">
        <f t="shared" si="20"/>
        <v>9.2860001271941106E-2</v>
      </c>
      <c r="AD59" s="2" t="str">
        <f t="shared" si="21"/>
        <v>No Impact</v>
      </c>
      <c r="AE59" s="2">
        <f t="shared" si="22"/>
        <v>1.072660231995058E-2</v>
      </c>
      <c r="AF59" s="2">
        <f t="shared" si="23"/>
        <v>7.3085649447453577E-2</v>
      </c>
      <c r="AG59" s="2" t="s">
        <v>1169</v>
      </c>
    </row>
    <row r="60" spans="1:33" x14ac:dyDescent="0.3">
      <c r="A60" s="2">
        <v>201347</v>
      </c>
      <c r="B60" s="2" t="s">
        <v>145</v>
      </c>
      <c r="C60" s="2" t="s">
        <v>141</v>
      </c>
      <c r="D60" s="2" t="s">
        <v>146</v>
      </c>
      <c r="E60" s="3">
        <v>6</v>
      </c>
      <c r="F60" s="4">
        <f t="shared" si="4"/>
        <v>0.62222222222222223</v>
      </c>
      <c r="G60" s="2">
        <v>82.463256000000001</v>
      </c>
      <c r="H60" s="2">
        <f t="shared" si="5"/>
        <v>0.36588708057074171</v>
      </c>
      <c r="I60" s="2">
        <v>15.600000000000001</v>
      </c>
      <c r="J60" s="4">
        <f t="shared" si="6"/>
        <v>0.23672230652503798</v>
      </c>
      <c r="K60" s="2">
        <v>0</v>
      </c>
      <c r="L60" s="4">
        <f t="shared" si="7"/>
        <v>0</v>
      </c>
      <c r="M60" s="2">
        <v>5413</v>
      </c>
      <c r="N60" s="2">
        <f t="shared" si="8"/>
        <v>2.4480371700425354E-2</v>
      </c>
      <c r="O60" s="2">
        <v>0.57652104299999996</v>
      </c>
      <c r="P60" s="2">
        <f t="shared" si="0"/>
        <v>0.5885409063951258</v>
      </c>
      <c r="Q60" s="2">
        <v>0.25659999999999999</v>
      </c>
      <c r="R60" s="2">
        <f t="shared" si="9"/>
        <v>0.58367110596409966</v>
      </c>
      <c r="S60" s="2">
        <f t="shared" si="10"/>
        <v>7.6917582563091252E-2</v>
      </c>
      <c r="T60" s="5">
        <f t="shared" si="11"/>
        <v>0.12028958807609315</v>
      </c>
      <c r="U60" s="2" t="str">
        <f t="shared" si="12"/>
        <v>No Impact</v>
      </c>
      <c r="V60" s="2">
        <f t="shared" si="13"/>
        <v>7.6598038595984699E-2</v>
      </c>
      <c r="W60" s="2">
        <f t="shared" si="14"/>
        <v>0.11208963165715251</v>
      </c>
      <c r="X60" s="2" t="s">
        <v>1169</v>
      </c>
      <c r="Y60" s="2">
        <f t="shared" si="16"/>
        <v>7.7237126530197819E-2</v>
      </c>
      <c r="Z60" s="2">
        <f t="shared" si="17"/>
        <v>0.12969927540789083</v>
      </c>
      <c r="AA60" s="2" t="str">
        <f t="shared" si="18"/>
        <v>No Impact</v>
      </c>
      <c r="AB60" s="2">
        <f t="shared" si="19"/>
        <v>5.1104889448251922E-2</v>
      </c>
      <c r="AC60" s="2">
        <f t="shared" si="20"/>
        <v>0.11048213215445088</v>
      </c>
      <c r="AD60" s="2" t="str">
        <f t="shared" si="21"/>
        <v>No Impact</v>
      </c>
      <c r="AE60" s="2">
        <f t="shared" si="22"/>
        <v>3.2126799445655087E-3</v>
      </c>
      <c r="AF60" s="2">
        <f t="shared" si="23"/>
        <v>2.188957819184455E-2</v>
      </c>
      <c r="AG60" s="2" t="s">
        <v>1170</v>
      </c>
    </row>
    <row r="61" spans="1:33" x14ac:dyDescent="0.3">
      <c r="A61" s="2">
        <v>201349</v>
      </c>
      <c r="B61" s="2" t="s">
        <v>147</v>
      </c>
      <c r="C61" s="2" t="s">
        <v>141</v>
      </c>
      <c r="D61" s="2" t="s">
        <v>148</v>
      </c>
      <c r="E61" s="3">
        <v>4.5999999999999996</v>
      </c>
      <c r="F61" s="4">
        <f t="shared" si="4"/>
        <v>0.31111111111111101</v>
      </c>
      <c r="G61" s="2">
        <v>65.640988800000002</v>
      </c>
      <c r="H61" s="2">
        <f t="shared" si="5"/>
        <v>0.23007303121011541</v>
      </c>
      <c r="I61" s="2">
        <v>6.6</v>
      </c>
      <c r="J61" s="4">
        <f t="shared" si="6"/>
        <v>0.10015174506828529</v>
      </c>
      <c r="K61" s="2">
        <v>0</v>
      </c>
      <c r="L61" s="4">
        <f t="shared" si="7"/>
        <v>0</v>
      </c>
      <c r="M61" s="2">
        <v>29282</v>
      </c>
      <c r="N61" s="2">
        <f t="shared" si="8"/>
        <v>0.13741465699564237</v>
      </c>
      <c r="O61" s="2">
        <v>0.61689506999999999</v>
      </c>
      <c r="P61" s="2">
        <f t="shared" si="0"/>
        <v>0.63518058409282718</v>
      </c>
      <c r="Q61" s="2">
        <v>0.26519999999999999</v>
      </c>
      <c r="R61" s="2">
        <f t="shared" si="9"/>
        <v>0.60856977417486968</v>
      </c>
      <c r="S61" s="2">
        <f t="shared" si="10"/>
        <v>2.2361268896057118E-2</v>
      </c>
      <c r="T61" s="5">
        <f t="shared" si="11"/>
        <v>3.497025952628123E-2</v>
      </c>
      <c r="U61" s="2" t="str">
        <f t="shared" si="12"/>
        <v>No Impact</v>
      </c>
      <c r="V61" s="2">
        <f t="shared" si="13"/>
        <v>2.1882835686239915E-2</v>
      </c>
      <c r="W61" s="2">
        <f t="shared" si="14"/>
        <v>3.2022216712650951E-2</v>
      </c>
      <c r="X61" s="2" t="s">
        <v>1170</v>
      </c>
      <c r="Y61" s="2">
        <f t="shared" si="16"/>
        <v>2.2839702105874323E-2</v>
      </c>
      <c r="Z61" s="2">
        <f t="shared" si="17"/>
        <v>3.8353223983621329E-2</v>
      </c>
      <c r="AA61" s="2" t="str">
        <f t="shared" si="18"/>
        <v>No Impact</v>
      </c>
      <c r="AB61" s="2">
        <f t="shared" si="19"/>
        <v>1.6240298617142861E-2</v>
      </c>
      <c r="AC61" s="2">
        <f t="shared" si="20"/>
        <v>3.5109415897744349E-2</v>
      </c>
      <c r="AD61" s="2" t="str">
        <f t="shared" si="21"/>
        <v>No Impact</v>
      </c>
      <c r="AE61" s="2">
        <f t="shared" si="22"/>
        <v>4.9411299862759965E-3</v>
      </c>
      <c r="AF61" s="2">
        <f t="shared" si="23"/>
        <v>3.3666363614469529E-2</v>
      </c>
      <c r="AG61" s="2" t="s">
        <v>1169</v>
      </c>
    </row>
    <row r="62" spans="1:33" x14ac:dyDescent="0.3">
      <c r="A62" s="2">
        <v>201358</v>
      </c>
      <c r="B62" s="2" t="s">
        <v>149</v>
      </c>
      <c r="C62" s="2" t="s">
        <v>588</v>
      </c>
      <c r="D62" s="2" t="s">
        <v>1137</v>
      </c>
      <c r="E62" s="3">
        <v>5.6</v>
      </c>
      <c r="F62" s="4">
        <f t="shared" si="4"/>
        <v>0.53333333333333321</v>
      </c>
      <c r="G62" s="2">
        <v>65.640988800000002</v>
      </c>
      <c r="H62" s="2">
        <f t="shared" si="5"/>
        <v>0.23007303121011541</v>
      </c>
      <c r="I62" s="2">
        <v>5.3000000000000007</v>
      </c>
      <c r="J62" s="4">
        <f t="shared" si="6"/>
        <v>8.0424886191198808E-2</v>
      </c>
      <c r="K62" s="2">
        <v>0</v>
      </c>
      <c r="L62" s="4">
        <f t="shared" si="7"/>
        <v>0</v>
      </c>
      <c r="M62" s="2">
        <v>41920</v>
      </c>
      <c r="N62" s="2">
        <f t="shared" si="8"/>
        <v>0.19721035424148226</v>
      </c>
      <c r="O62" s="2">
        <v>0.69719438899999997</v>
      </c>
      <c r="P62" s="2">
        <f t="shared" si="0"/>
        <v>0.72794156524303277</v>
      </c>
      <c r="Q62" s="2">
        <v>0.254</v>
      </c>
      <c r="R62" s="2">
        <f t="shared" si="9"/>
        <v>0.57614360162130873</v>
      </c>
      <c r="S62" s="2">
        <f t="shared" si="10"/>
        <v>3.7792134653030177E-2</v>
      </c>
      <c r="T62" s="5">
        <f t="shared" si="11"/>
        <v>5.9102225504817599E-2</v>
      </c>
      <c r="U62" s="2" t="str">
        <f t="shared" si="12"/>
        <v>No Impact</v>
      </c>
      <c r="V62" s="2">
        <f t="shared" si="13"/>
        <v>3.3393059173134974E-2</v>
      </c>
      <c r="W62" s="2">
        <f t="shared" si="14"/>
        <v>4.8865686004894743E-2</v>
      </c>
      <c r="X62" s="2" t="s">
        <v>1170</v>
      </c>
      <c r="Y62" s="2">
        <f t="shared" si="16"/>
        <v>4.2191210132925379E-2</v>
      </c>
      <c r="Z62" s="2">
        <f t="shared" si="17"/>
        <v>7.0848950869281752E-2</v>
      </c>
      <c r="AA62" s="2" t="str">
        <f t="shared" si="18"/>
        <v>No Impact</v>
      </c>
      <c r="AB62" s="2">
        <f t="shared" si="19"/>
        <v>2.8345516163562619E-2</v>
      </c>
      <c r="AC62" s="2">
        <f t="shared" si="20"/>
        <v>6.1279323692499832E-2</v>
      </c>
      <c r="AD62" s="2" t="str">
        <f t="shared" si="21"/>
        <v>No Impact</v>
      </c>
      <c r="AE62" s="2">
        <f t="shared" si="22"/>
        <v>1.1430235465965057E-2</v>
      </c>
      <c r="AF62" s="2">
        <f t="shared" si="23"/>
        <v>7.7879850249843355E-2</v>
      </c>
      <c r="AG62" s="2" t="s">
        <v>1169</v>
      </c>
    </row>
    <row r="63" spans="1:33" x14ac:dyDescent="0.3">
      <c r="A63" s="2">
        <v>201376</v>
      </c>
      <c r="B63" s="2" t="s">
        <v>150</v>
      </c>
      <c r="C63" s="2" t="s">
        <v>141</v>
      </c>
      <c r="D63" s="2" t="s">
        <v>151</v>
      </c>
      <c r="E63" s="3">
        <v>6</v>
      </c>
      <c r="F63" s="4">
        <f t="shared" si="4"/>
        <v>0.62222222222222223</v>
      </c>
      <c r="G63" s="2">
        <v>65.640988800000002</v>
      </c>
      <c r="H63" s="2">
        <f t="shared" si="5"/>
        <v>0.23007303121011541</v>
      </c>
      <c r="I63" s="2">
        <v>6</v>
      </c>
      <c r="J63" s="4">
        <f t="shared" si="6"/>
        <v>9.1047040971168447E-2</v>
      </c>
      <c r="K63" s="2">
        <v>0</v>
      </c>
      <c r="L63" s="4">
        <f t="shared" si="7"/>
        <v>0</v>
      </c>
      <c r="M63" s="2">
        <v>14716</v>
      </c>
      <c r="N63" s="2">
        <f t="shared" si="8"/>
        <v>6.8496780268082313E-2</v>
      </c>
      <c r="O63" s="2">
        <v>0.67070708300000004</v>
      </c>
      <c r="P63" s="2">
        <f t="shared" si="0"/>
        <v>0.69734369065102375</v>
      </c>
      <c r="Q63" s="2">
        <v>0.2772</v>
      </c>
      <c r="R63" s="2">
        <f t="shared" si="9"/>
        <v>0.6433121019108281</v>
      </c>
      <c r="S63" s="2">
        <f t="shared" si="10"/>
        <v>4.6877917242240427E-2</v>
      </c>
      <c r="T63" s="5">
        <f t="shared" si="11"/>
        <v>7.3311265994468633E-2</v>
      </c>
      <c r="U63" s="2" t="str">
        <f t="shared" si="12"/>
        <v>No Impact</v>
      </c>
      <c r="V63" s="2">
        <f t="shared" si="13"/>
        <v>4.4988626673041023E-2</v>
      </c>
      <c r="W63" s="2">
        <f t="shared" si="14"/>
        <v>6.5834043338110465E-2</v>
      </c>
      <c r="X63" s="2" t="s">
        <v>1170</v>
      </c>
      <c r="Y63" s="2">
        <f t="shared" si="16"/>
        <v>4.8767207811439832E-2</v>
      </c>
      <c r="Z63" s="2">
        <f t="shared" si="17"/>
        <v>8.1891595414762514E-2</v>
      </c>
      <c r="AA63" s="2" t="str">
        <f t="shared" si="18"/>
        <v>No Impact</v>
      </c>
      <c r="AB63" s="2">
        <f t="shared" si="19"/>
        <v>3.2052742128149223E-2</v>
      </c>
      <c r="AC63" s="2">
        <f t="shared" si="20"/>
        <v>6.9293864636974553E-2</v>
      </c>
      <c r="AD63" s="2" t="str">
        <f t="shared" si="21"/>
        <v>No Impact</v>
      </c>
      <c r="AE63" s="2">
        <f t="shared" si="22"/>
        <v>4.7901727118654864E-3</v>
      </c>
      <c r="AF63" s="2">
        <f t="shared" si="23"/>
        <v>3.2637817005764784E-2</v>
      </c>
      <c r="AG63" s="2" t="s">
        <v>1169</v>
      </c>
    </row>
    <row r="64" spans="1:33" x14ac:dyDescent="0.3">
      <c r="A64" s="2">
        <v>201379</v>
      </c>
      <c r="B64" s="2" t="s">
        <v>152</v>
      </c>
      <c r="C64" s="2" t="s">
        <v>141</v>
      </c>
      <c r="D64" s="2" t="s">
        <v>1138</v>
      </c>
      <c r="E64" s="3">
        <v>5.3</v>
      </c>
      <c r="F64" s="4">
        <f t="shared" si="4"/>
        <v>0.46666666666666656</v>
      </c>
      <c r="G64" s="2">
        <v>75.558567600000003</v>
      </c>
      <c r="H64" s="2">
        <f t="shared" si="5"/>
        <v>0.3101422942094037</v>
      </c>
      <c r="I64" s="2">
        <v>9.9</v>
      </c>
      <c r="J64" s="4">
        <f t="shared" si="6"/>
        <v>0.15022761760242795</v>
      </c>
      <c r="K64" s="2">
        <v>0</v>
      </c>
      <c r="L64" s="4">
        <f t="shared" si="7"/>
        <v>0</v>
      </c>
      <c r="M64" s="2">
        <v>26290</v>
      </c>
      <c r="N64" s="2">
        <f t="shared" si="8"/>
        <v>0.12325824568376129</v>
      </c>
      <c r="O64" s="2">
        <v>0.61544966899999998</v>
      </c>
      <c r="P64" s="2">
        <f t="shared" si="0"/>
        <v>0.63351087111661264</v>
      </c>
      <c r="Q64" s="2">
        <v>0.27010000000000001</v>
      </c>
      <c r="R64" s="2">
        <f t="shared" si="9"/>
        <v>0.62275622466705272</v>
      </c>
      <c r="S64" s="2">
        <f t="shared" si="10"/>
        <v>4.7231718388005925E-2</v>
      </c>
      <c r="T64" s="5">
        <f t="shared" si="11"/>
        <v>7.386456723804416E-2</v>
      </c>
      <c r="U64" s="2" t="str">
        <f t="shared" si="12"/>
        <v>No Impact</v>
      </c>
      <c r="V64" s="2">
        <f t="shared" si="13"/>
        <v>4.68273772776059E-2</v>
      </c>
      <c r="W64" s="2">
        <f t="shared" si="14"/>
        <v>6.8524776439804369E-2</v>
      </c>
      <c r="X64" s="2" t="s">
        <v>1170</v>
      </c>
      <c r="Y64" s="2">
        <f t="shared" si="16"/>
        <v>4.763605949840595E-2</v>
      </c>
      <c r="Z64" s="2">
        <f t="shared" si="17"/>
        <v>7.9992131734922062E-2</v>
      </c>
      <c r="AA64" s="2" t="str">
        <f t="shared" si="18"/>
        <v>No Impact</v>
      </c>
      <c r="AB64" s="2">
        <f t="shared" si="19"/>
        <v>3.3924287393277422E-2</v>
      </c>
      <c r="AC64" s="2">
        <f t="shared" si="20"/>
        <v>7.3339902375189503E-2</v>
      </c>
      <c r="AD64" s="2" t="str">
        <f t="shared" si="21"/>
        <v>No Impact</v>
      </c>
      <c r="AE64" s="2">
        <f t="shared" si="22"/>
        <v>9.2682499902673292E-3</v>
      </c>
      <c r="AF64" s="2">
        <f t="shared" si="23"/>
        <v>6.3149173389245583E-2</v>
      </c>
      <c r="AG64" s="2" t="s">
        <v>1169</v>
      </c>
    </row>
    <row r="65" spans="1:33" x14ac:dyDescent="0.3">
      <c r="A65" s="2">
        <v>201395</v>
      </c>
      <c r="B65" s="2" t="s">
        <v>153</v>
      </c>
      <c r="C65" s="2" t="s">
        <v>141</v>
      </c>
      <c r="D65" s="2" t="s">
        <v>154</v>
      </c>
      <c r="E65" s="3">
        <v>6</v>
      </c>
      <c r="F65" s="4">
        <f t="shared" si="4"/>
        <v>0.62222222222222223</v>
      </c>
      <c r="G65" s="2">
        <v>65.640988800000002</v>
      </c>
      <c r="H65" s="2">
        <f t="shared" si="5"/>
        <v>0.23007303121011541</v>
      </c>
      <c r="I65" s="2">
        <v>6.6</v>
      </c>
      <c r="J65" s="4">
        <f t="shared" si="6"/>
        <v>0.10015174506828529</v>
      </c>
      <c r="K65" s="2">
        <v>0</v>
      </c>
      <c r="L65" s="4">
        <f t="shared" si="7"/>
        <v>0</v>
      </c>
      <c r="M65" s="2">
        <v>14024</v>
      </c>
      <c r="N65" s="2">
        <f t="shared" si="8"/>
        <v>6.5222637010120516E-2</v>
      </c>
      <c r="O65" s="2">
        <v>0.64029064999999996</v>
      </c>
      <c r="P65" s="2">
        <f t="shared" si="0"/>
        <v>0.66220692730973685</v>
      </c>
      <c r="Q65" s="2">
        <v>0.2465</v>
      </c>
      <c r="R65" s="2">
        <f t="shared" si="9"/>
        <v>0.55442964678633477</v>
      </c>
      <c r="S65" s="2">
        <f t="shared" si="10"/>
        <v>4.374758552034836E-2</v>
      </c>
      <c r="T65" s="5">
        <f t="shared" si="11"/>
        <v>6.8415814254821669E-2</v>
      </c>
      <c r="U65" s="2" t="str">
        <f t="shared" si="12"/>
        <v>No Impact</v>
      </c>
      <c r="V65" s="2">
        <f t="shared" si="13"/>
        <v>3.9872150655708337E-2</v>
      </c>
      <c r="W65" s="2">
        <f t="shared" si="14"/>
        <v>5.8346855380329792E-2</v>
      </c>
      <c r="X65" s="2" t="s">
        <v>1170</v>
      </c>
      <c r="Y65" s="2">
        <f t="shared" si="16"/>
        <v>4.7623020384988377E-2</v>
      </c>
      <c r="Z65" s="2">
        <f t="shared" si="17"/>
        <v>7.997023600111898E-2</v>
      </c>
      <c r="AA65" s="2" t="str">
        <f t="shared" si="18"/>
        <v>No Impact</v>
      </c>
      <c r="AB65" s="2">
        <f t="shared" si="19"/>
        <v>2.9883843030600953E-2</v>
      </c>
      <c r="AC65" s="2">
        <f t="shared" si="20"/>
        <v>6.4604986541119597E-2</v>
      </c>
      <c r="AD65" s="2" t="str">
        <f t="shared" si="21"/>
        <v>No Impact</v>
      </c>
      <c r="AE65" s="2">
        <f t="shared" si="22"/>
        <v>4.6905262445900656E-3</v>
      </c>
      <c r="AF65" s="2">
        <f t="shared" si="23"/>
        <v>3.1958876316183771E-2</v>
      </c>
      <c r="AG65" s="2" t="s">
        <v>1170</v>
      </c>
    </row>
    <row r="66" spans="1:33" x14ac:dyDescent="0.3">
      <c r="A66" s="2">
        <v>201504</v>
      </c>
      <c r="B66" s="2" t="s">
        <v>155</v>
      </c>
      <c r="C66" s="2" t="s">
        <v>1164</v>
      </c>
      <c r="D66" s="2" t="s">
        <v>156</v>
      </c>
      <c r="E66" s="3">
        <v>5.2</v>
      </c>
      <c r="F66" s="4">
        <f t="shared" si="4"/>
        <v>0.44444444444444442</v>
      </c>
      <c r="G66" s="2">
        <v>76.808232000000004</v>
      </c>
      <c r="H66" s="2">
        <f t="shared" si="5"/>
        <v>0.32023142075150368</v>
      </c>
      <c r="I66" s="2">
        <v>1.6000000000000003</v>
      </c>
      <c r="J66" s="4">
        <f t="shared" si="6"/>
        <v>2.4279210925644924E-2</v>
      </c>
      <c r="K66" s="2">
        <v>0</v>
      </c>
      <c r="L66" s="4">
        <f t="shared" si="7"/>
        <v>0</v>
      </c>
      <c r="M66" s="2">
        <v>33279</v>
      </c>
      <c r="N66" s="2">
        <f t="shared" si="8"/>
        <v>0.15632614630499686</v>
      </c>
      <c r="O66" s="2">
        <v>0.54515739299999999</v>
      </c>
      <c r="P66" s="2">
        <f t="shared" ref="P66:P129" si="26">(O66-$AJ$11)/$AK$11</f>
        <v>0.55230992731980333</v>
      </c>
      <c r="Q66" s="2">
        <v>0.27939999999999998</v>
      </c>
      <c r="R66" s="2">
        <f t="shared" si="9"/>
        <v>0.64968152866242035</v>
      </c>
      <c r="S66" s="2">
        <f t="shared" si="10"/>
        <v>3.2207687226631108E-2</v>
      </c>
      <c r="T66" s="5">
        <f t="shared" si="11"/>
        <v>5.0368840260902242E-2</v>
      </c>
      <c r="U66" s="2" t="str">
        <f t="shared" si="12"/>
        <v>No Impact</v>
      </c>
      <c r="V66" s="2">
        <f t="shared" si="13"/>
        <v>3.4816785706650262E-2</v>
      </c>
      <c r="W66" s="2">
        <f t="shared" si="14"/>
        <v>5.0949094218047199E-2</v>
      </c>
      <c r="X66" s="2" t="s">
        <v>1170</v>
      </c>
      <c r="Y66" s="2">
        <f t="shared" si="16"/>
        <v>2.9598588746611962E-2</v>
      </c>
      <c r="Z66" s="2">
        <f t="shared" si="17"/>
        <v>4.9702982050099986E-2</v>
      </c>
      <c r="AA66" s="2" t="str">
        <f t="shared" si="18"/>
        <v>No Impact</v>
      </c>
      <c r="AB66" s="2">
        <f t="shared" si="19"/>
        <v>2.3997612678142568E-2</v>
      </c>
      <c r="AC66" s="2">
        <f t="shared" si="20"/>
        <v>5.1879721175848527E-2</v>
      </c>
      <c r="AD66" s="2" t="str">
        <f t="shared" si="21"/>
        <v>No Impact</v>
      </c>
      <c r="AE66" s="2">
        <f t="shared" si="22"/>
        <v>8.3776030195182594E-3</v>
      </c>
      <c r="AF66" s="2">
        <f t="shared" si="23"/>
        <v>5.7080754858940375E-2</v>
      </c>
      <c r="AG66" s="2" t="s">
        <v>1169</v>
      </c>
    </row>
    <row r="67" spans="1:33" x14ac:dyDescent="0.3">
      <c r="A67" s="2">
        <v>201506</v>
      </c>
      <c r="B67" s="2" t="s">
        <v>157</v>
      </c>
      <c r="C67" s="2" t="s">
        <v>1164</v>
      </c>
      <c r="D67" s="2" t="s">
        <v>158</v>
      </c>
      <c r="E67" s="3">
        <v>5.3</v>
      </c>
      <c r="F67" s="4">
        <f t="shared" ref="F67:F130" si="27">(E67-$AJ$5)/$AK$5</f>
        <v>0.46666666666666656</v>
      </c>
      <c r="G67" s="2">
        <v>67.843393199999994</v>
      </c>
      <c r="H67" s="2">
        <f t="shared" ref="H67:H130" si="28">(G67-$AJ$6)/$AK$6</f>
        <v>0.24785407441537727</v>
      </c>
      <c r="I67" s="2">
        <v>1.2000000000000006</v>
      </c>
      <c r="J67" s="4">
        <f t="shared" ref="J67:J130" si="29">(I67-$AJ$7)/$AK$7</f>
        <v>1.8209408194233698E-2</v>
      </c>
      <c r="K67" s="2">
        <v>0</v>
      </c>
      <c r="L67" s="4">
        <f t="shared" ref="L67:L130" si="30">(K67-$AJ$8)/$AK$8</f>
        <v>0</v>
      </c>
      <c r="M67" s="2">
        <v>20965</v>
      </c>
      <c r="N67" s="2">
        <f t="shared" ref="N67:N130" si="31">(M67-$AJ$9)/$AK$9</f>
        <v>9.8063429428491666E-2</v>
      </c>
      <c r="O67" s="2">
        <v>0.36708175799999998</v>
      </c>
      <c r="P67" s="2">
        <f t="shared" si="26"/>
        <v>0.34659871049683222</v>
      </c>
      <c r="Q67" s="2">
        <v>0.31059999999999999</v>
      </c>
      <c r="R67" s="2">
        <f t="shared" ref="R67:R130" si="32">(Q67-$AJ$12)/$AK$12</f>
        <v>0.740011580775912</v>
      </c>
      <c r="S67" s="2">
        <f t="shared" ref="S67:S130" si="33">F67*(R67*0.5+P67*0.5)*(H67*0.35+J67*0.35+L67*0.3)</f>
        <v>2.3610430997396716E-2</v>
      </c>
      <c r="T67" s="5">
        <f t="shared" ref="T67:T130" si="34">(S67-$AJ$10)/$AK$10</f>
        <v>3.6923794590740078E-2</v>
      </c>
      <c r="U67" s="2" t="str">
        <f t="shared" ref="U67:U130" si="35">IF(T67&gt;0.7,"High",IF(T67&gt;0.3,"Moderate",IF(T67&gt;0.15,"Low","No Impact")))</f>
        <v>No Impact</v>
      </c>
      <c r="V67" s="2">
        <f t="shared" ref="V67:V130" si="36">F67*(R67*1)*(H67*0.35+J67*0.35+L67*0.3)</f>
        <v>3.2158709530938148E-2</v>
      </c>
      <c r="W67" s="2">
        <f t="shared" ref="W67:W130" si="37">(V67-$AJ$13)/$AK$13</f>
        <v>4.7059402198337416E-2</v>
      </c>
      <c r="X67" s="2" t="s">
        <v>1170</v>
      </c>
      <c r="Y67" s="2">
        <f t="shared" ref="Y67:Y130" si="38">F67*(P67*1)*(H67*0.35+J67*0.35+L67*0.3)</f>
        <v>1.506215246385529E-2</v>
      </c>
      <c r="Z67" s="2">
        <f t="shared" ref="Z67:Z130" si="39">(Y67-$AJ$14)/$AK$14</f>
        <v>2.5292891494110913E-2</v>
      </c>
      <c r="AA67" s="2" t="str">
        <f t="shared" ref="AA67:AA130" si="40">IF(Z67&gt;0.7,"High",IF(Z67&gt;0.3,"Moderate",IF(Z67&gt;0.15,"Low","No Impact")))</f>
        <v>No Impact</v>
      </c>
      <c r="AB67" s="2">
        <f t="shared" ref="AB67:AB130" si="41">F67*(R67*0.35+P67*0.3+N67*0.35)*(H67*0.35+J67*0.35+L67*0.3)</f>
        <v>1.7265735151615353E-2</v>
      </c>
      <c r="AC67" s="2">
        <f t="shared" ref="AC67:AC130" si="42">(AB67-$AJ$15)/$AK$15</f>
        <v>3.7326276474897349E-2</v>
      </c>
      <c r="AD67" s="2" t="str">
        <f t="shared" ref="AD67:AD130" si="43">IF(AC67&gt;0.7,"High",IF(AC67&gt;0.3,"Moderate",IF(AC67&gt;0.15,"Low","No Impact")))</f>
        <v>No Impact</v>
      </c>
      <c r="AE67" s="2">
        <f t="shared" ref="AE67:AE130" si="44">F67*(N67*1)*(H67*0.35+J67*0.35+L67*0.3)</f>
        <v>4.261545933229762E-3</v>
      </c>
      <c r="AF67" s="2">
        <f t="shared" ref="AF67:AF130" si="45">(AE67-$AJ$16)/$AK$16</f>
        <v>2.9036021182678354E-2</v>
      </c>
      <c r="AG67" s="2" t="s">
        <v>1170</v>
      </c>
    </row>
    <row r="68" spans="1:33" x14ac:dyDescent="0.3">
      <c r="A68" s="2">
        <v>201508</v>
      </c>
      <c r="B68" s="2" t="s">
        <v>159</v>
      </c>
      <c r="C68" s="2" t="s">
        <v>1164</v>
      </c>
      <c r="D68" s="2" t="s">
        <v>160</v>
      </c>
      <c r="E68" s="3">
        <v>5.7</v>
      </c>
      <c r="F68" s="4">
        <f t="shared" si="27"/>
        <v>0.55555555555555558</v>
      </c>
      <c r="G68" s="2">
        <v>76.808232000000004</v>
      </c>
      <c r="H68" s="2">
        <f t="shared" si="28"/>
        <v>0.32023142075150368</v>
      </c>
      <c r="I68" s="2">
        <v>1.5</v>
      </c>
      <c r="J68" s="4">
        <f t="shared" si="29"/>
        <v>2.2761760242792112E-2</v>
      </c>
      <c r="K68" s="2">
        <v>0</v>
      </c>
      <c r="L68" s="4">
        <f t="shared" si="30"/>
        <v>0</v>
      </c>
      <c r="M68" s="2">
        <v>56891</v>
      </c>
      <c r="N68" s="2">
        <f t="shared" si="31"/>
        <v>0.26804445643071073</v>
      </c>
      <c r="O68" s="2">
        <v>0.63871297199999999</v>
      </c>
      <c r="P68" s="2">
        <f t="shared" si="26"/>
        <v>0.66038440924804476</v>
      </c>
      <c r="Q68" s="2">
        <v>0.26250000000000001</v>
      </c>
      <c r="R68" s="2">
        <f t="shared" si="32"/>
        <v>0.60075275043427923</v>
      </c>
      <c r="S68" s="2">
        <f t="shared" si="33"/>
        <v>4.2054585034539731E-2</v>
      </c>
      <c r="T68" s="5">
        <f t="shared" si="34"/>
        <v>6.5768170838786041E-2</v>
      </c>
      <c r="U68" s="2" t="str">
        <f t="shared" si="35"/>
        <v>No Impact</v>
      </c>
      <c r="V68" s="2">
        <f t="shared" si="36"/>
        <v>4.0066074389935563E-2</v>
      </c>
      <c r="W68" s="2">
        <f t="shared" si="37"/>
        <v>5.8630633403077351E-2</v>
      </c>
      <c r="X68" s="2" t="s">
        <v>1170</v>
      </c>
      <c r="Y68" s="2">
        <f t="shared" si="38"/>
        <v>4.4043095679143891E-2</v>
      </c>
      <c r="Z68" s="2">
        <f t="shared" si="39"/>
        <v>7.3958701636472446E-2</v>
      </c>
      <c r="AA68" s="2" t="str">
        <f t="shared" si="40"/>
        <v>No Impact</v>
      </c>
      <c r="AB68" s="2">
        <f t="shared" si="41"/>
        <v>3.3492906986323061E-2</v>
      </c>
      <c r="AC68" s="2">
        <f t="shared" si="42"/>
        <v>7.240731397426492E-2</v>
      </c>
      <c r="AD68" s="2" t="str">
        <f t="shared" si="43"/>
        <v>No Impact</v>
      </c>
      <c r="AE68" s="2">
        <f t="shared" si="44"/>
        <v>1.7876720703149857E-2</v>
      </c>
      <c r="AF68" s="2">
        <f t="shared" si="45"/>
        <v>0.12180294408327294</v>
      </c>
      <c r="AG68" s="2" t="s">
        <v>1169</v>
      </c>
    </row>
    <row r="69" spans="1:33" x14ac:dyDescent="0.3">
      <c r="A69" s="2">
        <v>201510</v>
      </c>
      <c r="B69" s="2" t="s">
        <v>161</v>
      </c>
      <c r="C69" s="2" t="s">
        <v>1164</v>
      </c>
      <c r="D69" s="2" t="s">
        <v>162</v>
      </c>
      <c r="E69" s="3">
        <v>5.6</v>
      </c>
      <c r="F69" s="4">
        <f t="shared" si="27"/>
        <v>0.53333333333333321</v>
      </c>
      <c r="G69" s="2">
        <v>67.843393199999994</v>
      </c>
      <c r="H69" s="2">
        <f t="shared" si="28"/>
        <v>0.24785407441537727</v>
      </c>
      <c r="I69" s="2">
        <v>1.5999999999999999</v>
      </c>
      <c r="J69" s="4">
        <f t="shared" si="29"/>
        <v>2.4279210925644917E-2</v>
      </c>
      <c r="K69" s="2">
        <v>0</v>
      </c>
      <c r="L69" s="4">
        <f t="shared" si="30"/>
        <v>0</v>
      </c>
      <c r="M69" s="2">
        <v>9263</v>
      </c>
      <c r="N69" s="2">
        <f t="shared" si="31"/>
        <v>4.2696342138507613E-2</v>
      </c>
      <c r="O69" s="2">
        <v>0.79905724199999995</v>
      </c>
      <c r="P69" s="2">
        <f t="shared" si="26"/>
        <v>0.84561252814421495</v>
      </c>
      <c r="Q69" s="2">
        <v>0.1229</v>
      </c>
      <c r="R69" s="2">
        <f t="shared" si="32"/>
        <v>0.19658367110596409</v>
      </c>
      <c r="S69" s="2">
        <f t="shared" si="33"/>
        <v>2.6470852396041921E-2</v>
      </c>
      <c r="T69" s="5">
        <f t="shared" si="34"/>
        <v>4.1397139959919421E-2</v>
      </c>
      <c r="U69" s="2" t="str">
        <f t="shared" si="35"/>
        <v>No Impact</v>
      </c>
      <c r="V69" s="2">
        <f t="shared" si="36"/>
        <v>9.9860992489934595E-3</v>
      </c>
      <c r="W69" s="2">
        <f t="shared" si="37"/>
        <v>1.4613144240094423E-2</v>
      </c>
      <c r="X69" s="2" t="s">
        <v>1170</v>
      </c>
      <c r="Y69" s="2">
        <f t="shared" si="38"/>
        <v>4.2955605543090372E-2</v>
      </c>
      <c r="Z69" s="2">
        <f t="shared" si="39"/>
        <v>7.2132550289370934E-2</v>
      </c>
      <c r="AA69" s="2" t="str">
        <f t="shared" si="40"/>
        <v>No Impact</v>
      </c>
      <c r="AB69" s="2">
        <f t="shared" si="41"/>
        <v>1.7140930662810319E-2</v>
      </c>
      <c r="AC69" s="2">
        <f t="shared" si="42"/>
        <v>3.7056465382954991E-2</v>
      </c>
      <c r="AD69" s="2" t="str">
        <f t="shared" si="43"/>
        <v>No Impact</v>
      </c>
      <c r="AE69" s="2">
        <f t="shared" si="44"/>
        <v>2.1688978935299943E-3</v>
      </c>
      <c r="AF69" s="2">
        <f t="shared" si="45"/>
        <v>1.4777774583758781E-2</v>
      </c>
      <c r="AG69" s="2" t="s">
        <v>1170</v>
      </c>
    </row>
    <row r="70" spans="1:33" x14ac:dyDescent="0.3">
      <c r="A70" s="2">
        <v>201512</v>
      </c>
      <c r="B70" s="2" t="s">
        <v>163</v>
      </c>
      <c r="C70" s="2" t="s">
        <v>1164</v>
      </c>
      <c r="D70" s="2" t="s">
        <v>164</v>
      </c>
      <c r="E70" s="3">
        <v>5.8</v>
      </c>
      <c r="F70" s="4">
        <f t="shared" si="27"/>
        <v>0.57777777777777772</v>
      </c>
      <c r="G70" s="2">
        <v>67.843393199999994</v>
      </c>
      <c r="H70" s="2">
        <f t="shared" si="28"/>
        <v>0.24785407441537727</v>
      </c>
      <c r="I70" s="2">
        <v>1</v>
      </c>
      <c r="J70" s="4">
        <f t="shared" si="29"/>
        <v>1.5174506828528075E-2</v>
      </c>
      <c r="K70" s="2">
        <v>0</v>
      </c>
      <c r="L70" s="4">
        <f t="shared" si="30"/>
        <v>0</v>
      </c>
      <c r="M70" s="2">
        <v>21163</v>
      </c>
      <c r="N70" s="2">
        <f t="shared" si="31"/>
        <v>9.9000250765307329E-2</v>
      </c>
      <c r="O70" s="2">
        <v>0.61542324299999995</v>
      </c>
      <c r="P70" s="2">
        <f t="shared" si="26"/>
        <v>0.63348034406210707</v>
      </c>
      <c r="Q70" s="2">
        <v>0.32169999999999999</v>
      </c>
      <c r="R70" s="2">
        <f t="shared" si="32"/>
        <v>0.77214823393167342</v>
      </c>
      <c r="S70" s="2">
        <f t="shared" si="33"/>
        <v>3.7382849607698762E-2</v>
      </c>
      <c r="T70" s="5">
        <f t="shared" si="34"/>
        <v>5.8462154303044744E-2</v>
      </c>
      <c r="U70" s="2" t="str">
        <f t="shared" si="35"/>
        <v>No Impact</v>
      </c>
      <c r="V70" s="2">
        <f t="shared" si="36"/>
        <v>4.1070737683942662E-2</v>
      </c>
      <c r="W70" s="2">
        <f t="shared" si="37"/>
        <v>6.0100806016225965E-2</v>
      </c>
      <c r="X70" s="2" t="s">
        <v>1170</v>
      </c>
      <c r="Y70" s="2">
        <f t="shared" si="38"/>
        <v>3.3694961531454862E-2</v>
      </c>
      <c r="Z70" s="2">
        <f t="shared" si="39"/>
        <v>5.6581754032729401E-2</v>
      </c>
      <c r="AA70" s="2" t="str">
        <f t="shared" si="40"/>
        <v>No Impact</v>
      </c>
      <c r="AB70" s="2">
        <f t="shared" si="41"/>
        <v>2.6326292585984457E-2</v>
      </c>
      <c r="AC70" s="2">
        <f t="shared" si="42"/>
        <v>5.6914024627069522E-2</v>
      </c>
      <c r="AD70" s="2" t="str">
        <f t="shared" si="43"/>
        <v>No Impact</v>
      </c>
      <c r="AE70" s="2">
        <f t="shared" si="44"/>
        <v>5.2658455347659033E-3</v>
      </c>
      <c r="AF70" s="2">
        <f t="shared" si="45"/>
        <v>3.5878811325235432E-2</v>
      </c>
      <c r="AG70" s="2" t="s">
        <v>1169</v>
      </c>
    </row>
    <row r="71" spans="1:33" x14ac:dyDescent="0.3">
      <c r="A71" s="2">
        <v>201518</v>
      </c>
      <c r="B71" s="2" t="s">
        <v>165</v>
      </c>
      <c r="C71" s="2" t="s">
        <v>1164</v>
      </c>
      <c r="D71" s="2" t="s">
        <v>166</v>
      </c>
      <c r="E71" s="3">
        <v>5.7</v>
      </c>
      <c r="F71" s="4">
        <f t="shared" si="27"/>
        <v>0.55555555555555558</v>
      </c>
      <c r="G71" s="2">
        <v>63.615761999999997</v>
      </c>
      <c r="H71" s="2">
        <f t="shared" si="28"/>
        <v>0.21372242583026124</v>
      </c>
      <c r="I71" s="2">
        <v>0.5</v>
      </c>
      <c r="J71" s="4">
        <f t="shared" si="29"/>
        <v>7.5872534142640375E-3</v>
      </c>
      <c r="K71" s="2">
        <v>0</v>
      </c>
      <c r="L71" s="4">
        <f t="shared" si="30"/>
        <v>0</v>
      </c>
      <c r="M71" s="2">
        <v>25017</v>
      </c>
      <c r="N71" s="2">
        <f t="shared" si="31"/>
        <v>0.11723514688696163</v>
      </c>
      <c r="O71" s="2">
        <v>0.765131703</v>
      </c>
      <c r="P71" s="2">
        <f t="shared" si="26"/>
        <v>0.80642208016931283</v>
      </c>
      <c r="Q71" s="2">
        <v>0.32919999999999999</v>
      </c>
      <c r="R71" s="2">
        <f t="shared" si="32"/>
        <v>0.79386218876664738</v>
      </c>
      <c r="S71" s="2">
        <f t="shared" si="33"/>
        <v>3.4432066497332478E-2</v>
      </c>
      <c r="T71" s="5">
        <f t="shared" si="34"/>
        <v>5.3847494390186608E-2</v>
      </c>
      <c r="U71" s="2" t="str">
        <f t="shared" si="35"/>
        <v>No Impact</v>
      </c>
      <c r="V71" s="2">
        <f t="shared" si="36"/>
        <v>3.4161825125614567E-2</v>
      </c>
      <c r="W71" s="2">
        <f t="shared" si="37"/>
        <v>4.9990658576300959E-2</v>
      </c>
      <c r="X71" s="2" t="s">
        <v>1170</v>
      </c>
      <c r="Y71" s="2">
        <f t="shared" si="38"/>
        <v>3.4702307869050389E-2</v>
      </c>
      <c r="Z71" s="2">
        <f t="shared" si="39"/>
        <v>5.8273325119593315E-2</v>
      </c>
      <c r="AA71" s="2" t="str">
        <f t="shared" si="40"/>
        <v>No Impact</v>
      </c>
      <c r="AB71" s="2">
        <f t="shared" si="41"/>
        <v>2.4133051105976293E-2</v>
      </c>
      <c r="AC71" s="2">
        <f t="shared" si="42"/>
        <v>5.2172521462558241E-2</v>
      </c>
      <c r="AD71" s="2" t="str">
        <f t="shared" si="43"/>
        <v>No Impact</v>
      </c>
      <c r="AE71" s="2">
        <f t="shared" si="44"/>
        <v>5.0449141465602216E-3</v>
      </c>
      <c r="AF71" s="2">
        <f t="shared" si="45"/>
        <v>3.4373496453973001E-2</v>
      </c>
      <c r="AG71" s="2" t="s">
        <v>1169</v>
      </c>
    </row>
    <row r="72" spans="1:33" x14ac:dyDescent="0.3">
      <c r="A72" s="2">
        <v>201519</v>
      </c>
      <c r="B72" s="2" t="s">
        <v>167</v>
      </c>
      <c r="C72" s="2" t="s">
        <v>1164</v>
      </c>
      <c r="D72" s="2" t="s">
        <v>168</v>
      </c>
      <c r="E72" s="3">
        <v>5.7</v>
      </c>
      <c r="F72" s="4">
        <f t="shared" si="27"/>
        <v>0.55555555555555558</v>
      </c>
      <c r="G72" s="2">
        <v>67.843393199999994</v>
      </c>
      <c r="H72" s="2">
        <f t="shared" si="28"/>
        <v>0.24785407441537727</v>
      </c>
      <c r="I72" s="2">
        <v>1</v>
      </c>
      <c r="J72" s="4">
        <f t="shared" si="29"/>
        <v>1.5174506828528075E-2</v>
      </c>
      <c r="K72" s="2">
        <v>0</v>
      </c>
      <c r="L72" s="4">
        <f t="shared" si="30"/>
        <v>0</v>
      </c>
      <c r="M72" s="2">
        <v>16713</v>
      </c>
      <c r="N72" s="2">
        <f t="shared" si="31"/>
        <v>7.7945427791420038E-2</v>
      </c>
      <c r="O72" s="2">
        <v>0.71712173099999998</v>
      </c>
      <c r="P72" s="2">
        <f t="shared" si="26"/>
        <v>0.75096143413676175</v>
      </c>
      <c r="Q72" s="2">
        <v>0.19270000000000001</v>
      </c>
      <c r="R72" s="2">
        <f t="shared" si="32"/>
        <v>0.39866821077012166</v>
      </c>
      <c r="S72" s="2">
        <f t="shared" si="33"/>
        <v>2.9398585849868687E-2</v>
      </c>
      <c r="T72" s="5">
        <f t="shared" si="34"/>
        <v>4.5975753060097768E-2</v>
      </c>
      <c r="U72" s="2" t="str">
        <f t="shared" si="35"/>
        <v>No Impact</v>
      </c>
      <c r="V72" s="2">
        <f t="shared" si="36"/>
        <v>2.0389664918371641E-2</v>
      </c>
      <c r="W72" s="2">
        <f t="shared" si="37"/>
        <v>2.9837187377182356E-2</v>
      </c>
      <c r="X72" s="2" t="s">
        <v>1170</v>
      </c>
      <c r="Y72" s="2">
        <f t="shared" si="38"/>
        <v>3.840750678136573E-2</v>
      </c>
      <c r="Z72" s="2">
        <f t="shared" si="39"/>
        <v>6.4495224298889139E-2</v>
      </c>
      <c r="AA72" s="2" t="str">
        <f t="shared" si="40"/>
        <v>No Impact</v>
      </c>
      <c r="AB72" s="2">
        <f t="shared" si="41"/>
        <v>2.0053901268388259E-2</v>
      </c>
      <c r="AC72" s="2">
        <f t="shared" si="42"/>
        <v>4.3353929419803643E-2</v>
      </c>
      <c r="AD72" s="2" t="str">
        <f t="shared" si="43"/>
        <v>No Impact</v>
      </c>
      <c r="AE72" s="2">
        <f t="shared" si="44"/>
        <v>3.9864757501384823E-3</v>
      </c>
      <c r="AF72" s="2">
        <f t="shared" si="45"/>
        <v>2.7161831912375589E-2</v>
      </c>
      <c r="AG72" s="2" t="s">
        <v>1170</v>
      </c>
    </row>
    <row r="73" spans="1:33" x14ac:dyDescent="0.3">
      <c r="A73" s="2">
        <v>201520</v>
      </c>
      <c r="B73" s="2" t="s">
        <v>169</v>
      </c>
      <c r="C73" s="2" t="s">
        <v>1164</v>
      </c>
      <c r="D73" s="2" t="s">
        <v>170</v>
      </c>
      <c r="E73" s="3">
        <v>5.5</v>
      </c>
      <c r="F73" s="4">
        <f t="shared" si="27"/>
        <v>0.51111111111111107</v>
      </c>
      <c r="G73" s="2">
        <v>67.843393199999994</v>
      </c>
      <c r="H73" s="2">
        <f t="shared" si="28"/>
        <v>0.24785407441537727</v>
      </c>
      <c r="I73" s="2">
        <v>1.5999999999999999</v>
      </c>
      <c r="J73" s="4">
        <f t="shared" si="29"/>
        <v>2.4279210925644917E-2</v>
      </c>
      <c r="K73" s="2">
        <v>0</v>
      </c>
      <c r="L73" s="4">
        <f t="shared" si="30"/>
        <v>0</v>
      </c>
      <c r="M73" s="2">
        <v>10040</v>
      </c>
      <c r="N73" s="2">
        <f t="shared" si="31"/>
        <v>4.6372656172375126E-2</v>
      </c>
      <c r="O73" s="2">
        <v>0.51985339200000003</v>
      </c>
      <c r="P73" s="2">
        <f t="shared" si="26"/>
        <v>0.52307899499040478</v>
      </c>
      <c r="Q73" s="2">
        <v>0.13569999999999999</v>
      </c>
      <c r="R73" s="2">
        <f t="shared" si="32"/>
        <v>0.23364215402431962</v>
      </c>
      <c r="S73" s="2">
        <f t="shared" si="33"/>
        <v>1.8419206106285571E-2</v>
      </c>
      <c r="T73" s="5">
        <f t="shared" si="34"/>
        <v>2.8805360769059332E-2</v>
      </c>
      <c r="U73" s="2" t="str">
        <f t="shared" si="35"/>
        <v>No Impact</v>
      </c>
      <c r="V73" s="2">
        <f t="shared" si="36"/>
        <v>1.1374078802194872E-2</v>
      </c>
      <c r="W73" s="2">
        <f t="shared" si="37"/>
        <v>1.6644242160063369E-2</v>
      </c>
      <c r="X73" s="2" t="s">
        <v>1170</v>
      </c>
      <c r="Y73" s="2">
        <f t="shared" si="38"/>
        <v>2.5464333410376273E-2</v>
      </c>
      <c r="Z73" s="2">
        <f t="shared" si="39"/>
        <v>4.2760596366560474E-2</v>
      </c>
      <c r="AA73" s="2" t="str">
        <f t="shared" si="40"/>
        <v>No Impact</v>
      </c>
      <c r="AB73" s="2">
        <f t="shared" si="41"/>
        <v>1.2410351229992124E-2</v>
      </c>
      <c r="AC73" s="2">
        <f t="shared" si="42"/>
        <v>2.6829567179937262E-2</v>
      </c>
      <c r="AD73" s="2" t="str">
        <f t="shared" si="43"/>
        <v>No Impact</v>
      </c>
      <c r="AE73" s="2">
        <f t="shared" si="44"/>
        <v>2.2574960746029661E-3</v>
      </c>
      <c r="AF73" s="2">
        <f t="shared" si="45"/>
        <v>1.5381437832422136E-2</v>
      </c>
      <c r="AG73" s="2" t="s">
        <v>1170</v>
      </c>
    </row>
    <row r="74" spans="1:33" x14ac:dyDescent="0.3">
      <c r="A74" s="2">
        <v>201528</v>
      </c>
      <c r="B74" s="2" t="s">
        <v>171</v>
      </c>
      <c r="C74" s="2" t="s">
        <v>1164</v>
      </c>
      <c r="D74" s="2" t="s">
        <v>172</v>
      </c>
      <c r="E74" s="3">
        <v>5.7</v>
      </c>
      <c r="F74" s="4">
        <f t="shared" si="27"/>
        <v>0.55555555555555558</v>
      </c>
      <c r="G74" s="2">
        <v>67.843393199999994</v>
      </c>
      <c r="H74" s="2">
        <f t="shared" si="28"/>
        <v>0.24785407441537727</v>
      </c>
      <c r="I74" s="2">
        <v>1.5999999999999999</v>
      </c>
      <c r="J74" s="4">
        <f t="shared" si="29"/>
        <v>2.4279210925644917E-2</v>
      </c>
      <c r="K74" s="2">
        <v>0</v>
      </c>
      <c r="L74" s="4">
        <f t="shared" si="30"/>
        <v>0</v>
      </c>
      <c r="M74" s="2">
        <v>11215</v>
      </c>
      <c r="N74" s="2">
        <f t="shared" si="31"/>
        <v>5.1932075721659969E-2</v>
      </c>
      <c r="O74" s="2">
        <v>0.81998052099999996</v>
      </c>
      <c r="P74" s="2">
        <f t="shared" si="26"/>
        <v>0.8697828936353531</v>
      </c>
      <c r="Q74" s="2">
        <v>0.10929999999999999</v>
      </c>
      <c r="R74" s="2">
        <f t="shared" si="32"/>
        <v>0.15720903300521133</v>
      </c>
      <c r="S74" s="2">
        <f t="shared" si="33"/>
        <v>2.7171539015386388E-2</v>
      </c>
      <c r="T74" s="5">
        <f t="shared" si="34"/>
        <v>4.2492927190911002E-2</v>
      </c>
      <c r="U74" s="2" t="str">
        <f t="shared" si="35"/>
        <v>No Impact</v>
      </c>
      <c r="V74" s="2">
        <f t="shared" si="36"/>
        <v>8.3186854016375957E-3</v>
      </c>
      <c r="W74" s="2">
        <f t="shared" si="37"/>
        <v>1.2173136540211208E-2</v>
      </c>
      <c r="X74" s="2" t="s">
        <v>1170</v>
      </c>
      <c r="Y74" s="2">
        <f t="shared" si="38"/>
        <v>4.6024392629135172E-2</v>
      </c>
      <c r="Z74" s="2">
        <f t="shared" si="39"/>
        <v>7.7285764544247279E-2</v>
      </c>
      <c r="AA74" s="2" t="str">
        <f t="shared" si="40"/>
        <v>No Impact</v>
      </c>
      <c r="AB74" s="2">
        <f t="shared" si="41"/>
        <v>1.7680649169112307E-2</v>
      </c>
      <c r="AC74" s="2">
        <f t="shared" si="42"/>
        <v>3.8223266680898087E-2</v>
      </c>
      <c r="AD74" s="2" t="str">
        <f t="shared" si="43"/>
        <v>No Impact</v>
      </c>
      <c r="AE74" s="2">
        <f t="shared" si="44"/>
        <v>2.7479756851388451E-3</v>
      </c>
      <c r="AF74" s="2">
        <f t="shared" si="45"/>
        <v>1.8723318122891783E-2</v>
      </c>
      <c r="AG74" s="2" t="s">
        <v>1170</v>
      </c>
    </row>
    <row r="75" spans="1:33" x14ac:dyDescent="0.3">
      <c r="A75" s="2">
        <v>201533</v>
      </c>
      <c r="B75" s="2" t="s">
        <v>173</v>
      </c>
      <c r="C75" s="2" t="s">
        <v>1164</v>
      </c>
      <c r="D75" s="2" t="s">
        <v>174</v>
      </c>
      <c r="E75" s="3">
        <v>5.6</v>
      </c>
      <c r="F75" s="4">
        <f t="shared" si="27"/>
        <v>0.53333333333333321</v>
      </c>
      <c r="G75" s="2">
        <v>63.587638800000008</v>
      </c>
      <c r="H75" s="2">
        <f t="shared" si="28"/>
        <v>0.21349537405254501</v>
      </c>
      <c r="I75" s="2">
        <v>0.99999999999999911</v>
      </c>
      <c r="J75" s="4">
        <f t="shared" si="29"/>
        <v>1.5174506828528061E-2</v>
      </c>
      <c r="K75" s="2">
        <v>0</v>
      </c>
      <c r="L75" s="4">
        <f t="shared" si="30"/>
        <v>0</v>
      </c>
      <c r="M75" s="2">
        <v>78242</v>
      </c>
      <c r="N75" s="2">
        <f t="shared" si="31"/>
        <v>0.36906502391733259</v>
      </c>
      <c r="O75" s="2">
        <v>0.63255740699999996</v>
      </c>
      <c r="P75" s="2">
        <f t="shared" si="26"/>
        <v>0.65327356128513892</v>
      </c>
      <c r="Q75" s="2">
        <v>0.33129999999999998</v>
      </c>
      <c r="R75" s="2">
        <f t="shared" si="32"/>
        <v>0.79994209612044009</v>
      </c>
      <c r="S75" s="2">
        <f t="shared" si="33"/>
        <v>3.1015287452188098E-2</v>
      </c>
      <c r="T75" s="5">
        <f t="shared" si="34"/>
        <v>4.8504074456905147E-2</v>
      </c>
      <c r="U75" s="2" t="str">
        <f t="shared" si="35"/>
        <v>No Impact</v>
      </c>
      <c r="V75" s="2">
        <f t="shared" si="36"/>
        <v>3.4145563915235148E-2</v>
      </c>
      <c r="W75" s="2">
        <f t="shared" si="37"/>
        <v>4.9966862757045816E-2</v>
      </c>
      <c r="X75" s="2" t="s">
        <v>1170</v>
      </c>
      <c r="Y75" s="2">
        <f t="shared" si="38"/>
        <v>2.7885010989141049E-2</v>
      </c>
      <c r="Z75" s="2">
        <f t="shared" si="39"/>
        <v>4.6825482543277161E-2</v>
      </c>
      <c r="AA75" s="2" t="str">
        <f t="shared" si="40"/>
        <v>No Impact</v>
      </c>
      <c r="AB75" s="2">
        <f t="shared" si="41"/>
        <v>2.5830195597435674E-2</v>
      </c>
      <c r="AC75" s="2">
        <f t="shared" si="42"/>
        <v>5.5841527383811193E-2</v>
      </c>
      <c r="AD75" s="2" t="str">
        <f t="shared" si="43"/>
        <v>No Impact</v>
      </c>
      <c r="AE75" s="2">
        <f t="shared" si="44"/>
        <v>1.5753556943888736E-2</v>
      </c>
      <c r="AF75" s="2">
        <f t="shared" si="45"/>
        <v>0.10733677878689689</v>
      </c>
      <c r="AG75" s="2" t="s">
        <v>1169</v>
      </c>
    </row>
    <row r="76" spans="1:33" x14ac:dyDescent="0.3">
      <c r="A76" s="2">
        <v>201535</v>
      </c>
      <c r="B76" s="2" t="s">
        <v>175</v>
      </c>
      <c r="C76" s="2" t="s">
        <v>1164</v>
      </c>
      <c r="D76" s="2" t="s">
        <v>176</v>
      </c>
      <c r="E76" s="3">
        <v>5.7</v>
      </c>
      <c r="F76" s="4">
        <f t="shared" si="27"/>
        <v>0.55555555555555558</v>
      </c>
      <c r="G76" s="2">
        <v>67.843393199999994</v>
      </c>
      <c r="H76" s="2">
        <f t="shared" si="28"/>
        <v>0.24785407441537727</v>
      </c>
      <c r="I76" s="2">
        <v>1.5999999999999999</v>
      </c>
      <c r="J76" s="4">
        <f t="shared" si="29"/>
        <v>2.4279210925644917E-2</v>
      </c>
      <c r="K76" s="2">
        <v>0</v>
      </c>
      <c r="L76" s="4">
        <f t="shared" si="30"/>
        <v>0</v>
      </c>
      <c r="M76" s="2">
        <v>11544</v>
      </c>
      <c r="N76" s="2">
        <f t="shared" si="31"/>
        <v>5.3488713195459732E-2</v>
      </c>
      <c r="O76" s="2">
        <v>0.65034656700000004</v>
      </c>
      <c r="P76" s="2">
        <f t="shared" si="26"/>
        <v>0.67382342342578794</v>
      </c>
      <c r="Q76" s="2">
        <v>0.16689999999999999</v>
      </c>
      <c r="R76" s="2">
        <f t="shared" si="32"/>
        <v>0.32397220613781125</v>
      </c>
      <c r="S76" s="2">
        <f t="shared" si="33"/>
        <v>2.639908082506098E-2</v>
      </c>
      <c r="T76" s="5">
        <f t="shared" si="34"/>
        <v>4.1284898097640528E-2</v>
      </c>
      <c r="U76" s="2" t="str">
        <f t="shared" si="35"/>
        <v>No Impact</v>
      </c>
      <c r="V76" s="2">
        <f t="shared" si="36"/>
        <v>1.7142926269673057E-2</v>
      </c>
      <c r="W76" s="2">
        <f t="shared" si="37"/>
        <v>2.5086076958556802E-2</v>
      </c>
      <c r="X76" s="2" t="s">
        <v>1170</v>
      </c>
      <c r="Y76" s="2">
        <f t="shared" si="38"/>
        <v>3.5655235380448902E-2</v>
      </c>
      <c r="Z76" s="2">
        <f t="shared" si="39"/>
        <v>5.9873514216430182E-2</v>
      </c>
      <c r="AA76" s="2" t="str">
        <f t="shared" si="40"/>
        <v>No Impact</v>
      </c>
      <c r="AB76" s="2">
        <f t="shared" si="41"/>
        <v>1.7687215507515605E-2</v>
      </c>
      <c r="AC76" s="2">
        <f t="shared" si="42"/>
        <v>3.8237462251519146E-2</v>
      </c>
      <c r="AD76" s="2" t="str">
        <f t="shared" si="43"/>
        <v>No Impact</v>
      </c>
      <c r="AE76" s="2">
        <f t="shared" si="44"/>
        <v>2.830344854272472E-3</v>
      </c>
      <c r="AF76" s="2">
        <f t="shared" si="45"/>
        <v>1.928454003091214E-2</v>
      </c>
      <c r="AG76" s="2" t="s">
        <v>1170</v>
      </c>
    </row>
    <row r="77" spans="1:33" x14ac:dyDescent="0.3">
      <c r="A77" s="2">
        <v>201537</v>
      </c>
      <c r="B77" s="2" t="s">
        <v>177</v>
      </c>
      <c r="C77" s="2" t="s">
        <v>1164</v>
      </c>
      <c r="D77" s="2" t="s">
        <v>178</v>
      </c>
      <c r="E77" s="3">
        <v>5.8</v>
      </c>
      <c r="F77" s="4">
        <f t="shared" si="27"/>
        <v>0.57777777777777772</v>
      </c>
      <c r="G77" s="2">
        <v>63.587638800000008</v>
      </c>
      <c r="H77" s="2">
        <f t="shared" si="28"/>
        <v>0.21349537405254501</v>
      </c>
      <c r="I77" s="2">
        <v>0.60000000000000075</v>
      </c>
      <c r="J77" s="4">
        <f t="shared" si="29"/>
        <v>9.1047040971168561E-3</v>
      </c>
      <c r="K77" s="2">
        <v>0</v>
      </c>
      <c r="L77" s="4">
        <f t="shared" si="30"/>
        <v>0</v>
      </c>
      <c r="M77" s="2">
        <v>46431</v>
      </c>
      <c r="N77" s="2">
        <f t="shared" si="31"/>
        <v>0.21855379388984306</v>
      </c>
      <c r="O77" s="2">
        <v>0.53333786000000005</v>
      </c>
      <c r="P77" s="2">
        <f t="shared" si="26"/>
        <v>0.53865611939875202</v>
      </c>
      <c r="Q77" s="2">
        <v>0.32429999999999998</v>
      </c>
      <c r="R77" s="2">
        <f t="shared" si="32"/>
        <v>0.77967573827446435</v>
      </c>
      <c r="S77" s="2">
        <f t="shared" si="33"/>
        <v>2.9672144981797179E-2</v>
      </c>
      <c r="T77" s="5">
        <f t="shared" si="34"/>
        <v>4.6403565716159084E-2</v>
      </c>
      <c r="U77" s="2" t="str">
        <f t="shared" si="35"/>
        <v>No Impact</v>
      </c>
      <c r="V77" s="2">
        <f t="shared" si="36"/>
        <v>3.5096855788194409E-2</v>
      </c>
      <c r="W77" s="2">
        <f t="shared" si="37"/>
        <v>5.1358934376540731E-2</v>
      </c>
      <c r="X77" s="2" t="s">
        <v>1170</v>
      </c>
      <c r="Y77" s="2">
        <f t="shared" si="38"/>
        <v>2.4247434175399943E-2</v>
      </c>
      <c r="Z77" s="2">
        <f t="shared" si="39"/>
        <v>4.0717136749259218E-2</v>
      </c>
      <c r="AA77" s="2" t="str">
        <f t="shared" si="40"/>
        <v>No Impact</v>
      </c>
      <c r="AB77" s="2">
        <f t="shared" si="41"/>
        <v>2.3001475150606084E-2</v>
      </c>
      <c r="AC77" s="2">
        <f t="shared" si="42"/>
        <v>4.9726201245573864E-2</v>
      </c>
      <c r="AD77" s="2" t="str">
        <f t="shared" si="43"/>
        <v>No Impact</v>
      </c>
      <c r="AE77" s="2">
        <f t="shared" si="44"/>
        <v>9.8381296346230166E-3</v>
      </c>
      <c r="AF77" s="2">
        <f t="shared" si="45"/>
        <v>6.703204539962615E-2</v>
      </c>
      <c r="AG77" s="2" t="s">
        <v>1169</v>
      </c>
    </row>
    <row r="78" spans="1:33" x14ac:dyDescent="0.3">
      <c r="A78" s="2">
        <v>201541</v>
      </c>
      <c r="B78" s="2" t="s">
        <v>179</v>
      </c>
      <c r="C78" s="2" t="s">
        <v>1164</v>
      </c>
      <c r="D78" s="2" t="s">
        <v>1139</v>
      </c>
      <c r="E78" s="3">
        <v>5.7</v>
      </c>
      <c r="F78" s="4">
        <f t="shared" si="27"/>
        <v>0.55555555555555558</v>
      </c>
      <c r="G78" s="2">
        <v>67.843393199999994</v>
      </c>
      <c r="H78" s="2">
        <f t="shared" si="28"/>
        <v>0.24785407441537727</v>
      </c>
      <c r="I78" s="2">
        <v>1.5999999999999999</v>
      </c>
      <c r="J78" s="4">
        <f t="shared" si="29"/>
        <v>2.4279210925644917E-2</v>
      </c>
      <c r="K78" s="2">
        <v>0</v>
      </c>
      <c r="L78" s="4">
        <f t="shared" si="30"/>
        <v>0</v>
      </c>
      <c r="M78" s="2">
        <v>9508</v>
      </c>
      <c r="N78" s="2">
        <f t="shared" si="31"/>
        <v>4.385554025729467E-2</v>
      </c>
      <c r="O78" s="2">
        <v>0.65585028999999995</v>
      </c>
      <c r="P78" s="2">
        <f t="shared" si="26"/>
        <v>0.680181269940762</v>
      </c>
      <c r="Q78" s="2">
        <v>7.8E-2</v>
      </c>
      <c r="R78" s="2">
        <f t="shared" si="32"/>
        <v>6.6589461493920088E-2</v>
      </c>
      <c r="S78" s="2">
        <f t="shared" si="33"/>
        <v>1.9757613997123155E-2</v>
      </c>
      <c r="T78" s="5">
        <f t="shared" si="34"/>
        <v>3.0898465212826649E-2</v>
      </c>
      <c r="U78" s="2" t="str">
        <f t="shared" si="35"/>
        <v>No Impact</v>
      </c>
      <c r="V78" s="2">
        <f t="shared" si="36"/>
        <v>3.5235684021669373E-3</v>
      </c>
      <c r="W78" s="2">
        <f t="shared" si="37"/>
        <v>5.1562088476032738E-3</v>
      </c>
      <c r="X78" s="2" t="s">
        <v>1170</v>
      </c>
      <c r="Y78" s="2">
        <f t="shared" si="38"/>
        <v>3.5991659592079374E-2</v>
      </c>
      <c r="Z78" s="2">
        <f t="shared" si="39"/>
        <v>6.0438449480575245E-2</v>
      </c>
      <c r="AA78" s="2" t="str">
        <f t="shared" si="40"/>
        <v>No Impact</v>
      </c>
      <c r="AB78" s="2">
        <f t="shared" si="41"/>
        <v>1.2842959402105196E-2</v>
      </c>
      <c r="AC78" s="2">
        <f t="shared" si="42"/>
        <v>2.7764809849640887E-2</v>
      </c>
      <c r="AD78" s="2" t="str">
        <f t="shared" si="43"/>
        <v>No Impact</v>
      </c>
      <c r="AE78" s="2">
        <f t="shared" si="44"/>
        <v>2.3206073820655941E-3</v>
      </c>
      <c r="AF78" s="2">
        <f t="shared" si="45"/>
        <v>1.5811446399515667E-2</v>
      </c>
      <c r="AG78" s="2" t="s">
        <v>1170</v>
      </c>
    </row>
    <row r="79" spans="1:33" x14ac:dyDescent="0.3">
      <c r="A79" s="2">
        <v>201543</v>
      </c>
      <c r="B79" s="2" t="s">
        <v>180</v>
      </c>
      <c r="C79" s="2" t="s">
        <v>1164</v>
      </c>
      <c r="D79" s="2" t="s">
        <v>181</v>
      </c>
      <c r="E79" s="3">
        <v>5.3</v>
      </c>
      <c r="F79" s="4">
        <f t="shared" si="27"/>
        <v>0.46666666666666656</v>
      </c>
      <c r="G79" s="2">
        <v>67.843393199999994</v>
      </c>
      <c r="H79" s="2">
        <f t="shared" si="28"/>
        <v>0.24785407441537727</v>
      </c>
      <c r="I79" s="2">
        <v>1.2000000000000006</v>
      </c>
      <c r="J79" s="4">
        <f t="shared" si="29"/>
        <v>1.8209408194233698E-2</v>
      </c>
      <c r="K79" s="2">
        <v>0</v>
      </c>
      <c r="L79" s="4">
        <f t="shared" si="30"/>
        <v>0</v>
      </c>
      <c r="M79" s="2">
        <v>12037</v>
      </c>
      <c r="N79" s="2">
        <f t="shared" si="31"/>
        <v>5.5821303695712858E-2</v>
      </c>
      <c r="O79" s="2">
        <v>0.70920560399999999</v>
      </c>
      <c r="P79" s="2">
        <f t="shared" si="26"/>
        <v>0.7418168023195274</v>
      </c>
      <c r="Q79" s="2">
        <v>0.2762</v>
      </c>
      <c r="R79" s="2">
        <f t="shared" si="32"/>
        <v>0.64041690793283157</v>
      </c>
      <c r="S79" s="2">
        <f t="shared" si="33"/>
        <v>3.0033889702961964E-2</v>
      </c>
      <c r="T79" s="5">
        <f t="shared" si="34"/>
        <v>4.6969289729416011E-2</v>
      </c>
      <c r="U79" s="2" t="str">
        <f t="shared" si="35"/>
        <v>No Impact</v>
      </c>
      <c r="V79" s="2">
        <f t="shared" si="36"/>
        <v>2.7830620298292325E-2</v>
      </c>
      <c r="W79" s="2">
        <f t="shared" si="37"/>
        <v>4.0725898929077603E-2</v>
      </c>
      <c r="X79" s="2" t="s">
        <v>1170</v>
      </c>
      <c r="Y79" s="2">
        <f t="shared" si="38"/>
        <v>3.2237159107631599E-2</v>
      </c>
      <c r="Z79" s="2">
        <f t="shared" si="39"/>
        <v>5.4133761382668552E-2</v>
      </c>
      <c r="AA79" s="2" t="str">
        <f t="shared" si="40"/>
        <v>No Impact</v>
      </c>
      <c r="AB79" s="2">
        <f t="shared" si="41"/>
        <v>2.0260904768279443E-2</v>
      </c>
      <c r="AC79" s="2">
        <f t="shared" si="42"/>
        <v>4.3801444095568076E-2</v>
      </c>
      <c r="AD79" s="2" t="str">
        <f t="shared" si="43"/>
        <v>No Impact</v>
      </c>
      <c r="AE79" s="2">
        <f t="shared" si="44"/>
        <v>2.4258283759647174E-3</v>
      </c>
      <c r="AF79" s="2">
        <f t="shared" si="45"/>
        <v>1.652836909742542E-2</v>
      </c>
      <c r="AG79" s="2" t="s">
        <v>1170</v>
      </c>
    </row>
    <row r="80" spans="1:33" x14ac:dyDescent="0.3">
      <c r="A80" s="2">
        <v>201547</v>
      </c>
      <c r="B80" s="2" t="s">
        <v>182</v>
      </c>
      <c r="C80" s="2" t="s">
        <v>1164</v>
      </c>
      <c r="D80" s="2" t="s">
        <v>1140</v>
      </c>
      <c r="E80" s="3">
        <v>5.7</v>
      </c>
      <c r="F80" s="4">
        <f t="shared" si="27"/>
        <v>0.55555555555555558</v>
      </c>
      <c r="G80" s="2">
        <v>71.974249200000003</v>
      </c>
      <c r="H80" s="2">
        <f t="shared" si="28"/>
        <v>0.28120441144281672</v>
      </c>
      <c r="I80" s="2">
        <v>0.80000000000000016</v>
      </c>
      <c r="J80" s="4">
        <f t="shared" si="29"/>
        <v>1.2139605462822462E-2</v>
      </c>
      <c r="K80" s="2">
        <v>0</v>
      </c>
      <c r="L80" s="4">
        <f t="shared" si="30"/>
        <v>0</v>
      </c>
      <c r="M80" s="2">
        <v>21502</v>
      </c>
      <c r="N80" s="2">
        <f t="shared" si="31"/>
        <v>0.10060420244803717</v>
      </c>
      <c r="O80" s="2">
        <v>0.74926095999999998</v>
      </c>
      <c r="P80" s="2">
        <f t="shared" si="26"/>
        <v>0.7880883544217413</v>
      </c>
      <c r="Q80" s="2">
        <v>0.2964</v>
      </c>
      <c r="R80" s="2">
        <f t="shared" si="32"/>
        <v>0.69889982628836134</v>
      </c>
      <c r="S80" s="2">
        <f t="shared" si="33"/>
        <v>4.240824447423569E-2</v>
      </c>
      <c r="T80" s="5">
        <f t="shared" si="34"/>
        <v>6.6321250471591126E-2</v>
      </c>
      <c r="U80" s="2" t="str">
        <f t="shared" si="35"/>
        <v>No Impact</v>
      </c>
      <c r="V80" s="2">
        <f t="shared" si="36"/>
        <v>3.9864627144626928E-2</v>
      </c>
      <c r="W80" s="2">
        <f t="shared" si="37"/>
        <v>5.8335845861008657E-2</v>
      </c>
      <c r="X80" s="2" t="s">
        <v>1170</v>
      </c>
      <c r="Y80" s="2">
        <f t="shared" si="38"/>
        <v>4.4951861803844459E-2</v>
      </c>
      <c r="Z80" s="2">
        <f t="shared" si="39"/>
        <v>7.5484733393270359E-2</v>
      </c>
      <c r="AA80" s="2" t="str">
        <f t="shared" si="40"/>
        <v>No Impact</v>
      </c>
      <c r="AB80" s="2">
        <f t="shared" si="41"/>
        <v>2.9446609156107584E-2</v>
      </c>
      <c r="AC80" s="2">
        <f t="shared" si="42"/>
        <v>6.3659743703776348E-2</v>
      </c>
      <c r="AD80" s="2" t="str">
        <f t="shared" si="43"/>
        <v>No Impact</v>
      </c>
      <c r="AE80" s="2">
        <f t="shared" si="44"/>
        <v>5.7383746123852095E-3</v>
      </c>
      <c r="AF80" s="2">
        <f t="shared" si="45"/>
        <v>3.909838575248728E-2</v>
      </c>
      <c r="AG80" s="2" t="s">
        <v>1169</v>
      </c>
    </row>
    <row r="81" spans="1:33" x14ac:dyDescent="0.3">
      <c r="A81" s="2">
        <v>201553</v>
      </c>
      <c r="B81" s="2" t="s">
        <v>183</v>
      </c>
      <c r="C81" s="2" t="s">
        <v>1164</v>
      </c>
      <c r="D81" s="2" t="s">
        <v>184</v>
      </c>
      <c r="E81" s="3">
        <v>5.8</v>
      </c>
      <c r="F81" s="4">
        <f t="shared" si="27"/>
        <v>0.57777777777777772</v>
      </c>
      <c r="G81" s="2">
        <v>60.383232</v>
      </c>
      <c r="H81" s="2">
        <f t="shared" si="28"/>
        <v>0.18762469573477775</v>
      </c>
      <c r="I81" s="2">
        <v>1.3000000000000007</v>
      </c>
      <c r="J81" s="4">
        <f t="shared" si="29"/>
        <v>1.9726858877086507E-2</v>
      </c>
      <c r="K81" s="2">
        <v>0</v>
      </c>
      <c r="L81" s="4">
        <f t="shared" si="30"/>
        <v>0</v>
      </c>
      <c r="M81" s="2">
        <v>64375</v>
      </c>
      <c r="N81" s="2">
        <f t="shared" si="31"/>
        <v>0.30345441039398541</v>
      </c>
      <c r="O81" s="2">
        <v>0.72666092900000001</v>
      </c>
      <c r="P81" s="2">
        <f t="shared" si="26"/>
        <v>0.76198102156148284</v>
      </c>
      <c r="Q81" s="2">
        <v>0.30530000000000002</v>
      </c>
      <c r="R81" s="2">
        <f t="shared" si="32"/>
        <v>0.72466705269253051</v>
      </c>
      <c r="S81" s="2">
        <f t="shared" si="33"/>
        <v>3.1168388701682939E-2</v>
      </c>
      <c r="T81" s="5">
        <f t="shared" si="34"/>
        <v>4.8743505879760424E-2</v>
      </c>
      <c r="U81" s="2" t="str">
        <f t="shared" si="35"/>
        <v>No Impact</v>
      </c>
      <c r="V81" s="2">
        <f t="shared" si="36"/>
        <v>3.0386080968029437E-2</v>
      </c>
      <c r="W81" s="2">
        <f t="shared" si="37"/>
        <v>4.4465428692966213E-2</v>
      </c>
      <c r="X81" s="2" t="s">
        <v>1170</v>
      </c>
      <c r="Y81" s="2">
        <f t="shared" si="38"/>
        <v>3.1950696435336448E-2</v>
      </c>
      <c r="Z81" s="2">
        <f t="shared" si="39"/>
        <v>5.3652723277068354E-2</v>
      </c>
      <c r="AA81" s="2" t="str">
        <f t="shared" si="40"/>
        <v>No Impact</v>
      </c>
      <c r="AB81" s="2">
        <f t="shared" si="41"/>
        <v>2.4673798465869614E-2</v>
      </c>
      <c r="AC81" s="2">
        <f t="shared" si="42"/>
        <v>5.3341547008311535E-2</v>
      </c>
      <c r="AD81" s="2" t="str">
        <f t="shared" si="43"/>
        <v>No Impact</v>
      </c>
      <c r="AE81" s="2">
        <f t="shared" si="44"/>
        <v>1.2724174847023949E-2</v>
      </c>
      <c r="AF81" s="2">
        <f t="shared" si="45"/>
        <v>8.6696099532660137E-2</v>
      </c>
      <c r="AG81" s="2" t="s">
        <v>1169</v>
      </c>
    </row>
    <row r="82" spans="1:33" x14ac:dyDescent="0.3">
      <c r="A82" s="2">
        <v>201555</v>
      </c>
      <c r="B82" s="2" t="s">
        <v>185</v>
      </c>
      <c r="C82" s="2" t="s">
        <v>1164</v>
      </c>
      <c r="D82" s="2" t="s">
        <v>186</v>
      </c>
      <c r="E82" s="3">
        <v>5.8</v>
      </c>
      <c r="F82" s="4">
        <f t="shared" si="27"/>
        <v>0.57777777777777772</v>
      </c>
      <c r="G82" s="2">
        <v>67.843393199999994</v>
      </c>
      <c r="H82" s="2">
        <f t="shared" si="28"/>
        <v>0.24785407441537727</v>
      </c>
      <c r="I82" s="2">
        <v>1.2000000000000006</v>
      </c>
      <c r="J82" s="4">
        <f t="shared" si="29"/>
        <v>1.8209408194233698E-2</v>
      </c>
      <c r="K82" s="2">
        <v>0</v>
      </c>
      <c r="L82" s="4">
        <f t="shared" si="30"/>
        <v>0</v>
      </c>
      <c r="M82" s="2">
        <v>9603</v>
      </c>
      <c r="N82" s="2">
        <f t="shared" si="31"/>
        <v>4.4305025242130466E-2</v>
      </c>
      <c r="O82" s="2">
        <v>0.46336362800000003</v>
      </c>
      <c r="P82" s="2">
        <f t="shared" si="26"/>
        <v>0.45782257689321554</v>
      </c>
      <c r="Q82" s="2">
        <v>0.23749999999999999</v>
      </c>
      <c r="R82" s="2">
        <f t="shared" si="32"/>
        <v>0.52837290098436596</v>
      </c>
      <c r="S82" s="2">
        <f t="shared" si="33"/>
        <v>2.6530605452660283E-2</v>
      </c>
      <c r="T82" s="5">
        <f t="shared" si="34"/>
        <v>4.149058635185477E-2</v>
      </c>
      <c r="U82" s="2" t="str">
        <f t="shared" si="35"/>
        <v>No Impact</v>
      </c>
      <c r="V82" s="2">
        <f t="shared" si="36"/>
        <v>2.8428548461938583E-2</v>
      </c>
      <c r="W82" s="2">
        <f t="shared" si="37"/>
        <v>4.1600876263341358E-2</v>
      </c>
      <c r="X82" s="2" t="s">
        <v>1170</v>
      </c>
      <c r="Y82" s="2">
        <f t="shared" si="38"/>
        <v>2.4632662443381987E-2</v>
      </c>
      <c r="Z82" s="2">
        <f t="shared" si="39"/>
        <v>4.1364025486172198E-2</v>
      </c>
      <c r="AA82" s="2" t="str">
        <f t="shared" si="40"/>
        <v>No Impact</v>
      </c>
      <c r="AB82" s="2">
        <f t="shared" si="41"/>
        <v>1.8174115551626298E-2</v>
      </c>
      <c r="AC82" s="2">
        <f t="shared" si="42"/>
        <v>3.9290076895640749E-2</v>
      </c>
      <c r="AD82" s="2" t="str">
        <f t="shared" si="43"/>
        <v>No Impact</v>
      </c>
      <c r="AE82" s="2">
        <f t="shared" si="44"/>
        <v>2.3837853055234302E-3</v>
      </c>
      <c r="AF82" s="2">
        <f t="shared" si="45"/>
        <v>1.6241908854348123E-2</v>
      </c>
      <c r="AG82" s="2" t="s">
        <v>1170</v>
      </c>
    </row>
    <row r="83" spans="1:33" x14ac:dyDescent="0.3">
      <c r="A83" s="2">
        <v>201557</v>
      </c>
      <c r="B83" s="2" t="s">
        <v>187</v>
      </c>
      <c r="C83" s="2" t="s">
        <v>1164</v>
      </c>
      <c r="D83" s="2" t="s">
        <v>188</v>
      </c>
      <c r="E83" s="3">
        <v>5.7</v>
      </c>
      <c r="F83" s="4">
        <f t="shared" si="27"/>
        <v>0.55555555555555558</v>
      </c>
      <c r="G83" s="2">
        <v>67.843393199999994</v>
      </c>
      <c r="H83" s="2">
        <f t="shared" si="28"/>
        <v>0.24785407441537727</v>
      </c>
      <c r="I83" s="2">
        <v>1.2000000000000006</v>
      </c>
      <c r="J83" s="4">
        <f t="shared" si="29"/>
        <v>1.8209408194233698E-2</v>
      </c>
      <c r="K83" s="2">
        <v>0</v>
      </c>
      <c r="L83" s="4">
        <f t="shared" si="30"/>
        <v>0</v>
      </c>
      <c r="M83" s="2">
        <v>8383</v>
      </c>
      <c r="N83" s="2">
        <f t="shared" si="31"/>
        <v>3.8532691752660241E-2</v>
      </c>
      <c r="O83" s="2">
        <v>0.55080065499999997</v>
      </c>
      <c r="P83" s="2">
        <f t="shared" si="26"/>
        <v>0.55882896791101522</v>
      </c>
      <c r="Q83" s="2">
        <v>0.23749999999999999</v>
      </c>
      <c r="R83" s="2">
        <f t="shared" si="32"/>
        <v>0.52837290098436596</v>
      </c>
      <c r="S83" s="2">
        <f t="shared" si="33"/>
        <v>2.8122958455081667E-2</v>
      </c>
      <c r="T83" s="5">
        <f t="shared" si="34"/>
        <v>4.3980829549187264E-2</v>
      </c>
      <c r="U83" s="2" t="str">
        <f t="shared" si="35"/>
        <v>No Impact</v>
      </c>
      <c r="V83" s="2">
        <f t="shared" si="36"/>
        <v>2.7335142751864022E-2</v>
      </c>
      <c r="W83" s="2">
        <f t="shared" si="37"/>
        <v>4.000084256090515E-2</v>
      </c>
      <c r="X83" s="2" t="s">
        <v>1170</v>
      </c>
      <c r="Y83" s="2">
        <f t="shared" si="38"/>
        <v>2.8910774158299297E-2</v>
      </c>
      <c r="Z83" s="2">
        <f t="shared" si="39"/>
        <v>4.8547979815724382E-2</v>
      </c>
      <c r="AA83" s="2" t="str">
        <f t="shared" si="40"/>
        <v>No Impact</v>
      </c>
      <c r="AB83" s="2">
        <f t="shared" si="41"/>
        <v>1.893824744111405E-2</v>
      </c>
      <c r="AC83" s="2">
        <f t="shared" si="42"/>
        <v>4.0942030775382561E-2</v>
      </c>
      <c r="AD83" s="2" t="str">
        <f t="shared" si="43"/>
        <v>No Impact</v>
      </c>
      <c r="AE83" s="2">
        <f t="shared" si="44"/>
        <v>1.9934720870624424E-3</v>
      </c>
      <c r="AF83" s="2">
        <f t="shared" si="45"/>
        <v>1.358251175839253E-2</v>
      </c>
      <c r="AG83" s="2" t="s">
        <v>1170</v>
      </c>
    </row>
    <row r="84" spans="1:33" x14ac:dyDescent="0.3">
      <c r="A84" s="2">
        <v>201561</v>
      </c>
      <c r="B84" s="2" t="s">
        <v>189</v>
      </c>
      <c r="C84" s="2" t="s">
        <v>1164</v>
      </c>
      <c r="D84" s="2" t="s">
        <v>190</v>
      </c>
      <c r="E84" s="3">
        <v>5.0999999999999996</v>
      </c>
      <c r="F84" s="4">
        <f t="shared" si="27"/>
        <v>0.42222222222222211</v>
      </c>
      <c r="G84" s="2">
        <v>67.843393199999994</v>
      </c>
      <c r="H84" s="2">
        <f t="shared" si="28"/>
        <v>0.24785407441537727</v>
      </c>
      <c r="I84" s="2">
        <v>1.4000000000000001</v>
      </c>
      <c r="J84" s="4">
        <f t="shared" si="29"/>
        <v>2.1244309559939306E-2</v>
      </c>
      <c r="K84" s="2">
        <v>0</v>
      </c>
      <c r="L84" s="4">
        <f t="shared" si="30"/>
        <v>0</v>
      </c>
      <c r="M84" s="2">
        <v>61378</v>
      </c>
      <c r="N84" s="2">
        <f t="shared" si="31"/>
        <v>0.28927434197763929</v>
      </c>
      <c r="O84" s="2">
        <v>0.76839469100000002</v>
      </c>
      <c r="P84" s="2">
        <f t="shared" si="26"/>
        <v>0.81019145171729989</v>
      </c>
      <c r="Q84" s="2">
        <v>0.31609999999999999</v>
      </c>
      <c r="R84" s="2">
        <f t="shared" si="32"/>
        <v>0.75593514765489289</v>
      </c>
      <c r="S84" s="2">
        <f t="shared" si="33"/>
        <v>3.1139891233284107E-2</v>
      </c>
      <c r="T84" s="5">
        <f t="shared" si="34"/>
        <v>4.8698939362968312E-2</v>
      </c>
      <c r="U84" s="2" t="str">
        <f t="shared" si="35"/>
        <v>No Impact</v>
      </c>
      <c r="V84" s="2">
        <f t="shared" si="36"/>
        <v>3.0061092490002033E-2</v>
      </c>
      <c r="W84" s="2">
        <f t="shared" si="37"/>
        <v>4.3989857262383657E-2</v>
      </c>
      <c r="X84" s="2" t="s">
        <v>1170</v>
      </c>
      <c r="Y84" s="2">
        <f t="shared" si="38"/>
        <v>3.2218689976566177E-2</v>
      </c>
      <c r="Z84" s="2">
        <f t="shared" si="39"/>
        <v>5.4102747373937117E-2</v>
      </c>
      <c r="AA84" s="2" t="str">
        <f t="shared" si="40"/>
        <v>No Impact</v>
      </c>
      <c r="AB84" s="2">
        <f t="shared" si="41"/>
        <v>2.4213215650750453E-2</v>
      </c>
      <c r="AC84" s="2">
        <f t="shared" si="42"/>
        <v>5.2345826794503211E-2</v>
      </c>
      <c r="AD84" s="2" t="str">
        <f t="shared" si="43"/>
        <v>No Impact</v>
      </c>
      <c r="AE84" s="2">
        <f t="shared" si="44"/>
        <v>1.1503503675085411E-2</v>
      </c>
      <c r="AF84" s="2">
        <f t="shared" si="45"/>
        <v>7.8379062813867778E-2</v>
      </c>
      <c r="AG84" s="2" t="s">
        <v>1169</v>
      </c>
    </row>
    <row r="85" spans="1:33" x14ac:dyDescent="0.3">
      <c r="A85" s="2">
        <v>201565</v>
      </c>
      <c r="B85" s="2" t="s">
        <v>191</v>
      </c>
      <c r="C85" s="2" t="s">
        <v>1164</v>
      </c>
      <c r="D85" s="2" t="s">
        <v>192</v>
      </c>
      <c r="E85" s="3">
        <v>4.0999999999999996</v>
      </c>
      <c r="F85" s="4">
        <f t="shared" si="27"/>
        <v>0.19999999999999987</v>
      </c>
      <c r="G85" s="2">
        <v>67.843393199999994</v>
      </c>
      <c r="H85" s="2">
        <f t="shared" si="28"/>
        <v>0.24785407441537727</v>
      </c>
      <c r="I85" s="2">
        <v>1.5999999999999999</v>
      </c>
      <c r="J85" s="4">
        <f t="shared" si="29"/>
        <v>2.4279210925644917E-2</v>
      </c>
      <c r="K85" s="2">
        <v>0</v>
      </c>
      <c r="L85" s="4">
        <f t="shared" si="30"/>
        <v>0</v>
      </c>
      <c r="M85" s="2">
        <v>13802</v>
      </c>
      <c r="N85" s="2">
        <f t="shared" si="31"/>
        <v>6.4172261571872655E-2</v>
      </c>
      <c r="O85" s="2">
        <v>0.77632389099999999</v>
      </c>
      <c r="P85" s="2">
        <f t="shared" si="26"/>
        <v>0.81935118533516793</v>
      </c>
      <c r="Q85" s="2">
        <v>0.1711</v>
      </c>
      <c r="R85" s="2">
        <f t="shared" si="32"/>
        <v>0.33613202084539667</v>
      </c>
      <c r="S85" s="2">
        <f t="shared" si="33"/>
        <v>1.1005590436900308E-2</v>
      </c>
      <c r="T85" s="5">
        <f t="shared" si="34"/>
        <v>1.7211382574368356E-2</v>
      </c>
      <c r="U85" s="2" t="str">
        <f t="shared" si="35"/>
        <v>No Impact</v>
      </c>
      <c r="V85" s="2">
        <f t="shared" si="36"/>
        <v>6.403089779868228E-3</v>
      </c>
      <c r="W85" s="2">
        <f t="shared" si="37"/>
        <v>9.3699523910620152E-3</v>
      </c>
      <c r="X85" s="2" t="s">
        <v>1170</v>
      </c>
      <c r="Y85" s="2">
        <f t="shared" si="38"/>
        <v>1.5608091093932391E-2</v>
      </c>
      <c r="Z85" s="2">
        <f t="shared" si="39"/>
        <v>2.6209650673525653E-2</v>
      </c>
      <c r="AA85" s="2" t="str">
        <f t="shared" si="40"/>
        <v>No Impact</v>
      </c>
      <c r="AB85" s="2">
        <f t="shared" si="41"/>
        <v>7.3513622561818658E-3</v>
      </c>
      <c r="AC85" s="2">
        <f t="shared" si="42"/>
        <v>1.5892690211670318E-2</v>
      </c>
      <c r="AD85" s="2" t="str">
        <f t="shared" si="43"/>
        <v>No Impact</v>
      </c>
      <c r="AE85" s="2">
        <f t="shared" si="44"/>
        <v>1.2224385858521985E-3</v>
      </c>
      <c r="AF85" s="2">
        <f t="shared" si="45"/>
        <v>8.3290789843550664E-3</v>
      </c>
      <c r="AG85" s="2" t="s">
        <v>1170</v>
      </c>
    </row>
    <row r="86" spans="1:33" x14ac:dyDescent="0.3">
      <c r="A86" s="2">
        <v>201570</v>
      </c>
      <c r="B86" s="2" t="s">
        <v>193</v>
      </c>
      <c r="C86" s="2" t="s">
        <v>1164</v>
      </c>
      <c r="D86" s="2" t="s">
        <v>194</v>
      </c>
      <c r="E86" s="3">
        <v>5.7</v>
      </c>
      <c r="F86" s="4">
        <f t="shared" si="27"/>
        <v>0.55555555555555558</v>
      </c>
      <c r="G86" s="2">
        <v>63.615761999999997</v>
      </c>
      <c r="H86" s="2">
        <f t="shared" si="28"/>
        <v>0.21372242583026124</v>
      </c>
      <c r="I86" s="2">
        <v>0.40000000000000019</v>
      </c>
      <c r="J86" s="4">
        <f t="shared" si="29"/>
        <v>6.0698027314112328E-3</v>
      </c>
      <c r="K86" s="2">
        <v>0</v>
      </c>
      <c r="L86" s="4">
        <f t="shared" si="30"/>
        <v>0</v>
      </c>
      <c r="M86" s="2">
        <v>39341</v>
      </c>
      <c r="N86" s="2">
        <f t="shared" si="31"/>
        <v>0.18500801975841366</v>
      </c>
      <c r="O86" s="2">
        <v>0.64260529099999997</v>
      </c>
      <c r="P86" s="2">
        <f t="shared" si="26"/>
        <v>0.66488077775883603</v>
      </c>
      <c r="Q86" s="2">
        <v>0.29980000000000001</v>
      </c>
      <c r="R86" s="2">
        <f t="shared" si="32"/>
        <v>0.70874348581354962</v>
      </c>
      <c r="S86" s="2">
        <f t="shared" si="33"/>
        <v>2.9352549537204523E-2</v>
      </c>
      <c r="T86" s="5">
        <f t="shared" si="34"/>
        <v>4.5903757959596884E-2</v>
      </c>
      <c r="U86" s="2" t="str">
        <f t="shared" si="35"/>
        <v>No Impact</v>
      </c>
      <c r="V86" s="2">
        <f t="shared" si="36"/>
        <v>3.0289838099408252E-2</v>
      </c>
      <c r="W86" s="2">
        <f t="shared" si="37"/>
        <v>4.4324591827021427E-2</v>
      </c>
      <c r="X86" s="2" t="s">
        <v>1170</v>
      </c>
      <c r="Y86" s="2">
        <f t="shared" si="38"/>
        <v>2.8415260975000793E-2</v>
      </c>
      <c r="Z86" s="2">
        <f t="shared" si="39"/>
        <v>4.771589680440539E-2</v>
      </c>
      <c r="AA86" s="2" t="str">
        <f t="shared" si="40"/>
        <v>No Impact</v>
      </c>
      <c r="AB86" s="2">
        <f t="shared" si="41"/>
        <v>2.1893386798487156E-2</v>
      </c>
      <c r="AC86" s="2">
        <f t="shared" si="42"/>
        <v>4.7330658175637752E-2</v>
      </c>
      <c r="AD86" s="2" t="str">
        <f t="shared" si="43"/>
        <v>No Impact</v>
      </c>
      <c r="AE86" s="2">
        <f t="shared" si="44"/>
        <v>7.9067576319829368E-3</v>
      </c>
      <c r="AF86" s="2">
        <f t="shared" si="45"/>
        <v>5.3872652245370606E-2</v>
      </c>
      <c r="AG86" s="2" t="s">
        <v>1169</v>
      </c>
    </row>
    <row r="87" spans="1:33" x14ac:dyDescent="0.3">
      <c r="A87" s="2">
        <v>201574</v>
      </c>
      <c r="B87" s="2" t="s">
        <v>195</v>
      </c>
      <c r="C87" s="2" t="s">
        <v>1164</v>
      </c>
      <c r="D87" s="2" t="s">
        <v>196</v>
      </c>
      <c r="E87" s="3">
        <v>5.5</v>
      </c>
      <c r="F87" s="4">
        <f t="shared" si="27"/>
        <v>0.51111111111111107</v>
      </c>
      <c r="G87" s="2">
        <v>63.587638800000008</v>
      </c>
      <c r="H87" s="2">
        <f t="shared" si="28"/>
        <v>0.21349537405254501</v>
      </c>
      <c r="I87" s="2">
        <v>0.49999999999999956</v>
      </c>
      <c r="J87" s="4">
        <f t="shared" si="29"/>
        <v>7.5872534142640306E-3</v>
      </c>
      <c r="K87" s="2">
        <v>0</v>
      </c>
      <c r="L87" s="4">
        <f t="shared" si="30"/>
        <v>0</v>
      </c>
      <c r="M87" s="2">
        <v>34140</v>
      </c>
      <c r="N87" s="2">
        <f t="shared" si="31"/>
        <v>0.16039989969387708</v>
      </c>
      <c r="O87" s="2">
        <v>0.54628781000000004</v>
      </c>
      <c r="P87" s="2">
        <f t="shared" si="26"/>
        <v>0.5536157738865578</v>
      </c>
      <c r="Q87" s="2">
        <v>0.3251</v>
      </c>
      <c r="R87" s="2">
        <f t="shared" si="32"/>
        <v>0.78199189345686171</v>
      </c>
      <c r="S87" s="2">
        <f t="shared" si="33"/>
        <v>2.641112446118719E-2</v>
      </c>
      <c r="T87" s="5">
        <f t="shared" si="34"/>
        <v>4.1303732855316022E-2</v>
      </c>
      <c r="U87" s="2" t="str">
        <f t="shared" si="35"/>
        <v>No Impact</v>
      </c>
      <c r="V87" s="2">
        <f t="shared" si="36"/>
        <v>3.0927173796192513E-2</v>
      </c>
      <c r="W87" s="2">
        <f t="shared" si="37"/>
        <v>4.525723611927681E-2</v>
      </c>
      <c r="X87" s="2" t="s">
        <v>1170</v>
      </c>
      <c r="Y87" s="2">
        <f t="shared" si="38"/>
        <v>2.189507512618186E-2</v>
      </c>
      <c r="Z87" s="2">
        <f t="shared" si="39"/>
        <v>3.6766973428987403E-2</v>
      </c>
      <c r="AA87" s="2" t="str">
        <f t="shared" si="40"/>
        <v>No Impact</v>
      </c>
      <c r="AB87" s="2">
        <f t="shared" si="41"/>
        <v>1.9613325502132566E-2</v>
      </c>
      <c r="AC87" s="2">
        <f t="shared" si="42"/>
        <v>4.2401461846602095E-2</v>
      </c>
      <c r="AD87" s="2" t="str">
        <f t="shared" si="43"/>
        <v>No Impact</v>
      </c>
      <c r="AE87" s="2">
        <f t="shared" si="44"/>
        <v>6.3436918160303651E-3</v>
      </c>
      <c r="AF87" s="2">
        <f t="shared" si="45"/>
        <v>4.3222711389864554E-2</v>
      </c>
      <c r="AG87" s="2" t="s">
        <v>1169</v>
      </c>
    </row>
    <row r="88" spans="1:33" x14ac:dyDescent="0.3">
      <c r="A88" s="2">
        <v>201578</v>
      </c>
      <c r="B88" s="2" t="s">
        <v>197</v>
      </c>
      <c r="C88" s="2" t="s">
        <v>1164</v>
      </c>
      <c r="D88" s="2" t="s">
        <v>198</v>
      </c>
      <c r="E88" s="3">
        <v>5.8</v>
      </c>
      <c r="F88" s="4">
        <f t="shared" si="27"/>
        <v>0.57777777777777772</v>
      </c>
      <c r="G88" s="2">
        <v>101.80973880000001</v>
      </c>
      <c r="H88" s="2">
        <f t="shared" si="28"/>
        <v>0.52208030581886455</v>
      </c>
      <c r="I88" s="2">
        <v>4</v>
      </c>
      <c r="J88" s="4">
        <f t="shared" si="29"/>
        <v>6.06980273141123E-2</v>
      </c>
      <c r="K88" s="2">
        <v>0</v>
      </c>
      <c r="L88" s="4">
        <f t="shared" si="30"/>
        <v>0</v>
      </c>
      <c r="M88" s="2">
        <v>39476</v>
      </c>
      <c r="N88" s="2">
        <f t="shared" si="31"/>
        <v>0.18564676157896978</v>
      </c>
      <c r="O88" s="2">
        <v>0.48367260699999998</v>
      </c>
      <c r="P88" s="2">
        <f t="shared" si="26"/>
        <v>0.48128330908446765</v>
      </c>
      <c r="Q88" s="2">
        <v>0.25440000000000002</v>
      </c>
      <c r="R88" s="2">
        <f t="shared" si="32"/>
        <v>0.5773016792125073</v>
      </c>
      <c r="S88" s="2">
        <f t="shared" si="33"/>
        <v>6.2377506601440612E-2</v>
      </c>
      <c r="T88" s="5">
        <f t="shared" si="34"/>
        <v>9.7550707189041935E-2</v>
      </c>
      <c r="U88" s="2" t="str">
        <f t="shared" si="35"/>
        <v>No Impact</v>
      </c>
      <c r="V88" s="2">
        <f t="shared" si="36"/>
        <v>6.80354240882141E-2</v>
      </c>
      <c r="W88" s="2">
        <f t="shared" si="37"/>
        <v>9.9559541803800708E-2</v>
      </c>
      <c r="X88" s="2" t="s">
        <v>1169</v>
      </c>
      <c r="Y88" s="2">
        <f t="shared" si="38"/>
        <v>5.6719589114667124E-2</v>
      </c>
      <c r="Z88" s="2">
        <f t="shared" si="39"/>
        <v>9.5245511324523607E-2</v>
      </c>
      <c r="AA88" s="2" t="str">
        <f t="shared" si="40"/>
        <v>No Impact</v>
      </c>
      <c r="AB88" s="2">
        <f t="shared" si="41"/>
        <v>4.8485787369553265E-2</v>
      </c>
      <c r="AC88" s="2">
        <f t="shared" si="42"/>
        <v>0.1048199736974252</v>
      </c>
      <c r="AD88" s="2" t="str">
        <f t="shared" si="43"/>
        <v>No Impact</v>
      </c>
      <c r="AE88" s="2">
        <f t="shared" si="44"/>
        <v>2.1878606297937715E-2</v>
      </c>
      <c r="AF88" s="2">
        <f t="shared" si="45"/>
        <v>0.14906977089249385</v>
      </c>
      <c r="AG88" s="2" t="s">
        <v>1169</v>
      </c>
    </row>
    <row r="89" spans="1:33" x14ac:dyDescent="0.3">
      <c r="A89" s="2">
        <v>201582</v>
      </c>
      <c r="B89" s="2" t="s">
        <v>199</v>
      </c>
      <c r="C89" s="2" t="s">
        <v>1164</v>
      </c>
      <c r="D89" s="2" t="s">
        <v>200</v>
      </c>
      <c r="E89" s="3">
        <v>5.7</v>
      </c>
      <c r="F89" s="4">
        <f t="shared" si="27"/>
        <v>0.55555555555555558</v>
      </c>
      <c r="G89" s="2">
        <v>71.974249200000003</v>
      </c>
      <c r="H89" s="2">
        <f t="shared" si="28"/>
        <v>0.28120441144281672</v>
      </c>
      <c r="I89" s="2">
        <v>0.70000000000000007</v>
      </c>
      <c r="J89" s="4">
        <f t="shared" si="29"/>
        <v>1.0622154779969653E-2</v>
      </c>
      <c r="K89" s="2">
        <v>0</v>
      </c>
      <c r="L89" s="4">
        <f t="shared" si="30"/>
        <v>0</v>
      </c>
      <c r="M89" s="2">
        <v>40219</v>
      </c>
      <c r="N89" s="2">
        <f t="shared" si="31"/>
        <v>0.18916220730247502</v>
      </c>
      <c r="O89" s="2">
        <v>0.70288504699999999</v>
      </c>
      <c r="P89" s="2">
        <f t="shared" si="26"/>
        <v>0.73451535722587979</v>
      </c>
      <c r="Q89" s="2">
        <v>0.30199999999999999</v>
      </c>
      <c r="R89" s="2">
        <f t="shared" si="32"/>
        <v>0.71511291256514187</v>
      </c>
      <c r="S89" s="2">
        <f t="shared" si="33"/>
        <v>4.1128892804279858E-2</v>
      </c>
      <c r="T89" s="5">
        <f t="shared" si="34"/>
        <v>6.4320502654832593E-2</v>
      </c>
      <c r="U89" s="2" t="str">
        <f t="shared" si="35"/>
        <v>No Impact</v>
      </c>
      <c r="V89" s="2">
        <f t="shared" si="36"/>
        <v>4.0578406115228532E-2</v>
      </c>
      <c r="W89" s="2">
        <f t="shared" si="37"/>
        <v>5.9380353310100824E-2</v>
      </c>
      <c r="X89" s="2" t="s">
        <v>1170</v>
      </c>
      <c r="Y89" s="2">
        <f t="shared" si="38"/>
        <v>4.1679379493331177E-2</v>
      </c>
      <c r="Z89" s="2">
        <f t="shared" si="39"/>
        <v>6.9989467016513471E-2</v>
      </c>
      <c r="AA89" s="2" t="str">
        <f t="shared" si="40"/>
        <v>No Impact</v>
      </c>
      <c r="AB89" s="2">
        <f t="shared" si="41"/>
        <v>3.0463096701376566E-2</v>
      </c>
      <c r="AC89" s="2">
        <f t="shared" si="42"/>
        <v>6.5857257728798899E-2</v>
      </c>
      <c r="AD89" s="2" t="str">
        <f t="shared" si="43"/>
        <v>No Impact</v>
      </c>
      <c r="AE89" s="2">
        <f t="shared" si="44"/>
        <v>1.0733830608706365E-2</v>
      </c>
      <c r="AF89" s="2">
        <f t="shared" si="45"/>
        <v>7.3134899355518854E-2</v>
      </c>
      <c r="AG89" s="2" t="s">
        <v>1169</v>
      </c>
    </row>
    <row r="90" spans="1:33" x14ac:dyDescent="0.3">
      <c r="A90" s="2">
        <v>201586</v>
      </c>
      <c r="B90" s="2" t="s">
        <v>201</v>
      </c>
      <c r="C90" s="2" t="s">
        <v>1164</v>
      </c>
      <c r="D90" s="2" t="s">
        <v>202</v>
      </c>
      <c r="E90" s="3">
        <v>5.8</v>
      </c>
      <c r="F90" s="4">
        <f t="shared" si="27"/>
        <v>0.57777777777777772</v>
      </c>
      <c r="G90" s="2">
        <v>80.397687599999998</v>
      </c>
      <c r="H90" s="2">
        <f t="shared" si="28"/>
        <v>0.34921077854200266</v>
      </c>
      <c r="I90" s="2">
        <v>1.4000000000000001</v>
      </c>
      <c r="J90" s="4">
        <f t="shared" si="29"/>
        <v>2.1244309559939306E-2</v>
      </c>
      <c r="K90" s="2">
        <v>0</v>
      </c>
      <c r="L90" s="4">
        <f t="shared" si="30"/>
        <v>0</v>
      </c>
      <c r="M90" s="2">
        <v>54977</v>
      </c>
      <c r="N90" s="2">
        <f t="shared" si="31"/>
        <v>0.25898851684149266</v>
      </c>
      <c r="O90" s="2">
        <v>0.39355948000000002</v>
      </c>
      <c r="P90" s="2">
        <f t="shared" si="26"/>
        <v>0.37718551374658821</v>
      </c>
      <c r="Q90" s="2">
        <v>0.31819999999999998</v>
      </c>
      <c r="R90" s="2">
        <f t="shared" si="32"/>
        <v>0.7620150550086856</v>
      </c>
      <c r="S90" s="2">
        <f t="shared" si="33"/>
        <v>4.2671178758695083E-2</v>
      </c>
      <c r="T90" s="5">
        <f t="shared" si="34"/>
        <v>6.673244717999989E-2</v>
      </c>
      <c r="U90" s="2" t="str">
        <f t="shared" si="35"/>
        <v>No Impact</v>
      </c>
      <c r="V90" s="2">
        <f t="shared" si="36"/>
        <v>5.7085787210623636E-2</v>
      </c>
      <c r="W90" s="2">
        <f t="shared" si="37"/>
        <v>8.3536406134984434E-2</v>
      </c>
      <c r="X90" s="2" t="s">
        <v>1170</v>
      </c>
      <c r="Y90" s="2">
        <f t="shared" si="38"/>
        <v>2.8256570306766531E-2</v>
      </c>
      <c r="Z90" s="2">
        <f t="shared" si="39"/>
        <v>4.7449417902242566E-2</v>
      </c>
      <c r="AA90" s="2" t="str">
        <f t="shared" si="40"/>
        <v>No Impact</v>
      </c>
      <c r="AB90" s="2">
        <f t="shared" si="41"/>
        <v>3.5247672394173604E-2</v>
      </c>
      <c r="AC90" s="2">
        <f t="shared" si="42"/>
        <v>7.6200888831451791E-2</v>
      </c>
      <c r="AD90" s="2" t="str">
        <f t="shared" si="43"/>
        <v>No Impact</v>
      </c>
      <c r="AE90" s="2">
        <f t="shared" si="44"/>
        <v>1.9401930795501079E-2</v>
      </c>
      <c r="AF90" s="2">
        <f t="shared" si="45"/>
        <v>0.13219495516174587</v>
      </c>
      <c r="AG90" s="2" t="s">
        <v>1169</v>
      </c>
    </row>
    <row r="91" spans="1:33" x14ac:dyDescent="0.3">
      <c r="A91" s="2">
        <v>201909</v>
      </c>
      <c r="B91" s="2" t="s">
        <v>203</v>
      </c>
      <c r="C91" s="2" t="s">
        <v>1165</v>
      </c>
      <c r="D91" s="2" t="s">
        <v>204</v>
      </c>
      <c r="E91" s="3">
        <v>4.4000000000000004</v>
      </c>
      <c r="F91" s="4">
        <f t="shared" si="27"/>
        <v>0.26666666666666672</v>
      </c>
      <c r="G91" s="2">
        <v>59.379433200000001</v>
      </c>
      <c r="H91" s="2">
        <f t="shared" si="28"/>
        <v>0.1795205574429227</v>
      </c>
      <c r="I91" s="2">
        <v>4.0000000000000018</v>
      </c>
      <c r="J91" s="4">
        <f t="shared" si="29"/>
        <v>6.0698027314112328E-2</v>
      </c>
      <c r="K91" s="2">
        <v>0</v>
      </c>
      <c r="L91" s="4">
        <f t="shared" si="30"/>
        <v>0</v>
      </c>
      <c r="M91" s="2">
        <v>52813</v>
      </c>
      <c r="N91" s="2">
        <f t="shared" si="31"/>
        <v>0.24874972202902254</v>
      </c>
      <c r="O91" s="2">
        <v>0.53868295200000005</v>
      </c>
      <c r="P91" s="2">
        <f t="shared" si="26"/>
        <v>0.54483071694743246</v>
      </c>
      <c r="Q91" s="2">
        <v>0.24510000000000001</v>
      </c>
      <c r="R91" s="2">
        <f t="shared" si="32"/>
        <v>0.55037637521713967</v>
      </c>
      <c r="S91" s="2">
        <f t="shared" si="33"/>
        <v>1.227749122579659E-2</v>
      </c>
      <c r="T91" s="5">
        <f t="shared" si="34"/>
        <v>1.9200478134469939E-2</v>
      </c>
      <c r="U91" s="2" t="str">
        <f t="shared" si="35"/>
        <v>No Impact</v>
      </c>
      <c r="V91" s="2">
        <f t="shared" si="36"/>
        <v>1.2339659167581032E-2</v>
      </c>
      <c r="W91" s="2">
        <f t="shared" si="37"/>
        <v>1.8057222824782202E-2</v>
      </c>
      <c r="X91" s="2" t="s">
        <v>1170</v>
      </c>
      <c r="Y91" s="2">
        <f t="shared" si="38"/>
        <v>1.2215323284012144E-2</v>
      </c>
      <c r="Z91" s="2">
        <f t="shared" si="39"/>
        <v>2.0512396692930868E-2</v>
      </c>
      <c r="AA91" s="2" t="str">
        <f t="shared" si="40"/>
        <v>No Impact</v>
      </c>
      <c r="AB91" s="2">
        <f t="shared" si="41"/>
        <v>9.9354516958845788E-3</v>
      </c>
      <c r="AC91" s="2">
        <f t="shared" si="42"/>
        <v>2.1479155891539266E-2</v>
      </c>
      <c r="AD91" s="2" t="str">
        <f t="shared" si="43"/>
        <v>No Impact</v>
      </c>
      <c r="AE91" s="2">
        <f t="shared" si="44"/>
        <v>5.5770685772216482E-3</v>
      </c>
      <c r="AF91" s="2">
        <f t="shared" si="45"/>
        <v>3.7999327915897607E-2</v>
      </c>
      <c r="AG91" s="2" t="s">
        <v>1169</v>
      </c>
    </row>
    <row r="92" spans="1:33" x14ac:dyDescent="0.3">
      <c r="A92" s="2">
        <v>201915</v>
      </c>
      <c r="B92" s="2" t="s">
        <v>205</v>
      </c>
      <c r="C92" s="2" t="s">
        <v>1165</v>
      </c>
      <c r="D92" s="2" t="s">
        <v>206</v>
      </c>
      <c r="E92" s="3">
        <v>4.4000000000000004</v>
      </c>
      <c r="F92" s="4">
        <f t="shared" si="27"/>
        <v>0.26666666666666672</v>
      </c>
      <c r="G92" s="2">
        <v>57.308731199999997</v>
      </c>
      <c r="H92" s="2">
        <f t="shared" si="28"/>
        <v>0.16280280945475922</v>
      </c>
      <c r="I92" s="2">
        <v>2</v>
      </c>
      <c r="J92" s="4">
        <f t="shared" si="29"/>
        <v>3.034901365705615E-2</v>
      </c>
      <c r="K92" s="2">
        <v>0</v>
      </c>
      <c r="L92" s="4">
        <f t="shared" si="30"/>
        <v>0</v>
      </c>
      <c r="M92" s="2">
        <v>14956</v>
      </c>
      <c r="N92" s="2">
        <f t="shared" si="31"/>
        <v>6.9632321282404319E-2</v>
      </c>
      <c r="O92" s="2">
        <v>0.62444501900000005</v>
      </c>
      <c r="P92" s="2">
        <f t="shared" si="26"/>
        <v>0.64390221069683373</v>
      </c>
      <c r="Q92" s="2">
        <v>0.23230000000000001</v>
      </c>
      <c r="R92" s="2">
        <f t="shared" si="32"/>
        <v>0.51331789229878411</v>
      </c>
      <c r="S92" s="2">
        <f t="shared" si="33"/>
        <v>1.0430894722978165E-2</v>
      </c>
      <c r="T92" s="5">
        <f t="shared" si="34"/>
        <v>1.6312629540364883E-2</v>
      </c>
      <c r="U92" s="2" t="str">
        <f t="shared" si="35"/>
        <v>No Impact</v>
      </c>
      <c r="V92" s="2">
        <f t="shared" si="36"/>
        <v>9.2538400951196354E-3</v>
      </c>
      <c r="W92" s="2">
        <f t="shared" si="37"/>
        <v>1.3541593840896633E-2</v>
      </c>
      <c r="X92" s="2" t="s">
        <v>1170</v>
      </c>
      <c r="Y92" s="2">
        <f t="shared" si="38"/>
        <v>1.1607949350836692E-2</v>
      </c>
      <c r="Z92" s="2">
        <f t="shared" si="39"/>
        <v>1.9492473210877229E-2</v>
      </c>
      <c r="AA92" s="2" t="str">
        <f t="shared" si="40"/>
        <v>No Impact</v>
      </c>
      <c r="AB92" s="2">
        <f t="shared" si="41"/>
        <v>7.1605827587808788E-3</v>
      </c>
      <c r="AC92" s="2">
        <f t="shared" si="42"/>
        <v>1.5480249721694138E-2</v>
      </c>
      <c r="AD92" s="2" t="str">
        <f t="shared" si="43"/>
        <v>No Impact</v>
      </c>
      <c r="AE92" s="2">
        <f t="shared" si="44"/>
        <v>1.2552969149657121E-3</v>
      </c>
      <c r="AF92" s="2">
        <f t="shared" si="45"/>
        <v>8.5529590398832518E-3</v>
      </c>
      <c r="AG92" s="2" t="s">
        <v>1170</v>
      </c>
    </row>
    <row r="93" spans="1:33" x14ac:dyDescent="0.3">
      <c r="A93" s="2">
        <v>201918</v>
      </c>
      <c r="B93" s="2" t="s">
        <v>207</v>
      </c>
      <c r="C93" s="2" t="s">
        <v>1165</v>
      </c>
      <c r="D93" s="2" t="s">
        <v>208</v>
      </c>
      <c r="E93" s="3">
        <v>4.3</v>
      </c>
      <c r="F93" s="4">
        <f t="shared" si="27"/>
        <v>0.24444444444444435</v>
      </c>
      <c r="G93" s="2">
        <v>57.308731199999997</v>
      </c>
      <c r="H93" s="2">
        <f t="shared" si="28"/>
        <v>0.16280280945475922</v>
      </c>
      <c r="I93" s="2">
        <v>2.6</v>
      </c>
      <c r="J93" s="4">
        <f t="shared" si="29"/>
        <v>3.9453717754172994E-2</v>
      </c>
      <c r="K93" s="2">
        <v>0</v>
      </c>
      <c r="L93" s="4">
        <f t="shared" si="30"/>
        <v>0</v>
      </c>
      <c r="M93" s="2">
        <v>36049</v>
      </c>
      <c r="N93" s="2">
        <f t="shared" si="31"/>
        <v>0.16943218217863007</v>
      </c>
      <c r="O93" s="2">
        <v>0.50130479999999999</v>
      </c>
      <c r="P93" s="2">
        <f t="shared" si="26"/>
        <v>0.5016518444952075</v>
      </c>
      <c r="Q93" s="2">
        <v>0.23449999999999999</v>
      </c>
      <c r="R93" s="2">
        <f t="shared" si="32"/>
        <v>0.51968731905037635</v>
      </c>
      <c r="S93" s="2">
        <f t="shared" si="33"/>
        <v>8.8367130270737854E-3</v>
      </c>
      <c r="T93" s="5">
        <f t="shared" si="34"/>
        <v>1.3819526492547534E-2</v>
      </c>
      <c r="U93" s="2" t="str">
        <f t="shared" si="35"/>
        <v>No Impact</v>
      </c>
      <c r="V93" s="2">
        <f t="shared" si="36"/>
        <v>8.9927574818833393E-3</v>
      </c>
      <c r="W93" s="2">
        <f t="shared" si="37"/>
        <v>1.3159538967349555E-2</v>
      </c>
      <c r="X93" s="2" t="s">
        <v>1170</v>
      </c>
      <c r="Y93" s="2">
        <f t="shared" si="38"/>
        <v>8.6806685722642298E-3</v>
      </c>
      <c r="Z93" s="2">
        <f t="shared" si="39"/>
        <v>1.4576881280513859E-2</v>
      </c>
      <c r="AA93" s="2" t="str">
        <f t="shared" si="40"/>
        <v>No Impact</v>
      </c>
      <c r="AB93" s="2">
        <f t="shared" si="41"/>
        <v>6.7778248130201486E-3</v>
      </c>
      <c r="AC93" s="2">
        <f t="shared" si="42"/>
        <v>1.465277676551989E-2</v>
      </c>
      <c r="AD93" s="2" t="str">
        <f t="shared" si="43"/>
        <v>No Impact</v>
      </c>
      <c r="AE93" s="2">
        <f t="shared" si="44"/>
        <v>2.9318832076620275E-3</v>
      </c>
      <c r="AF93" s="2">
        <f t="shared" si="45"/>
        <v>1.9976371076750231E-2</v>
      </c>
      <c r="AG93" s="2" t="s">
        <v>1170</v>
      </c>
    </row>
    <row r="94" spans="1:33" x14ac:dyDescent="0.3">
      <c r="A94" s="2">
        <v>201927</v>
      </c>
      <c r="B94" s="2" t="s">
        <v>209</v>
      </c>
      <c r="C94" s="2" t="s">
        <v>1165</v>
      </c>
      <c r="D94" s="2" t="s">
        <v>210</v>
      </c>
      <c r="E94" s="3">
        <v>3.8</v>
      </c>
      <c r="F94" s="4">
        <f t="shared" si="27"/>
        <v>0.13333333333333325</v>
      </c>
      <c r="G94" s="2">
        <v>59.379433200000001</v>
      </c>
      <c r="H94" s="2">
        <f t="shared" si="28"/>
        <v>0.1795205574429227</v>
      </c>
      <c r="I94" s="2">
        <v>4.4999999999999991</v>
      </c>
      <c r="J94" s="4">
        <f t="shared" si="29"/>
        <v>6.8285280728376321E-2</v>
      </c>
      <c r="K94" s="2">
        <v>0</v>
      </c>
      <c r="L94" s="4">
        <f t="shared" si="30"/>
        <v>0</v>
      </c>
      <c r="M94" s="2">
        <v>52969</v>
      </c>
      <c r="N94" s="2">
        <f t="shared" si="31"/>
        <v>0.24948782368833183</v>
      </c>
      <c r="O94" s="2">
        <v>0.42705352699999999</v>
      </c>
      <c r="P94" s="2">
        <f t="shared" si="26"/>
        <v>0.4158775064197901</v>
      </c>
      <c r="Q94" s="2">
        <v>0.23180000000000001</v>
      </c>
      <c r="R94" s="2">
        <f t="shared" si="32"/>
        <v>0.51187029530978578</v>
      </c>
      <c r="S94" s="2">
        <f t="shared" si="33"/>
        <v>5.3643641711141436E-3</v>
      </c>
      <c r="T94" s="5">
        <f t="shared" si="34"/>
        <v>8.3892022464979055E-3</v>
      </c>
      <c r="U94" s="2" t="str">
        <f t="shared" si="35"/>
        <v>No Impact</v>
      </c>
      <c r="V94" s="2">
        <f t="shared" si="36"/>
        <v>5.9194075529974809E-3</v>
      </c>
      <c r="W94" s="2">
        <f t="shared" si="37"/>
        <v>8.6621566871143783E-3</v>
      </c>
      <c r="X94" s="2" t="s">
        <v>1170</v>
      </c>
      <c r="Y94" s="2">
        <f t="shared" si="38"/>
        <v>4.8093207892308046E-3</v>
      </c>
      <c r="Z94" s="2">
        <f t="shared" si="39"/>
        <v>8.0759791254464142E-3</v>
      </c>
      <c r="AA94" s="2" t="str">
        <f t="shared" si="40"/>
        <v>No Impact</v>
      </c>
      <c r="AB94" s="2">
        <f t="shared" si="41"/>
        <v>4.5243896882744905E-3</v>
      </c>
      <c r="AC94" s="2">
        <f t="shared" si="42"/>
        <v>9.7811427606028269E-3</v>
      </c>
      <c r="AD94" s="2" t="str">
        <f t="shared" si="43"/>
        <v>No Impact</v>
      </c>
      <c r="AE94" s="2">
        <f t="shared" si="44"/>
        <v>2.8851451655889475E-3</v>
      </c>
      <c r="AF94" s="2">
        <f t="shared" si="45"/>
        <v>1.9657921668734032E-2</v>
      </c>
      <c r="AG94" s="2" t="s">
        <v>1170</v>
      </c>
    </row>
    <row r="95" spans="1:33" x14ac:dyDescent="0.3">
      <c r="A95" s="2">
        <v>201931</v>
      </c>
      <c r="B95" s="2" t="s">
        <v>211</v>
      </c>
      <c r="C95" s="2" t="s">
        <v>1165</v>
      </c>
      <c r="D95" s="2" t="s">
        <v>212</v>
      </c>
      <c r="E95" s="3">
        <v>4.5</v>
      </c>
      <c r="F95" s="4">
        <f t="shared" si="27"/>
        <v>0.28888888888888886</v>
      </c>
      <c r="G95" s="2">
        <v>58.180608000000007</v>
      </c>
      <c r="H95" s="2">
        <f t="shared" si="28"/>
        <v>0.16984187959576769</v>
      </c>
      <c r="I95" s="2">
        <v>3.4000000000000004</v>
      </c>
      <c r="J95" s="4">
        <f t="shared" si="29"/>
        <v>5.159332321699546E-2</v>
      </c>
      <c r="K95" s="2">
        <v>0</v>
      </c>
      <c r="L95" s="4">
        <f t="shared" si="30"/>
        <v>0</v>
      </c>
      <c r="M95" s="2">
        <v>58877</v>
      </c>
      <c r="N95" s="2">
        <f t="shared" si="31"/>
        <v>0.27744105832422533</v>
      </c>
      <c r="O95" s="2">
        <v>0.53783734599999999</v>
      </c>
      <c r="P95" s="2">
        <f t="shared" si="26"/>
        <v>0.54385388123819678</v>
      </c>
      <c r="Q95" s="2">
        <v>0.2445</v>
      </c>
      <c r="R95" s="2">
        <f t="shared" si="32"/>
        <v>0.5486392588303417</v>
      </c>
      <c r="S95" s="2">
        <f t="shared" si="33"/>
        <v>1.2230220024377365E-2</v>
      </c>
      <c r="T95" s="5">
        <f t="shared" si="34"/>
        <v>1.9126551820653242E-2</v>
      </c>
      <c r="U95" s="2" t="str">
        <f t="shared" si="35"/>
        <v>No Impact</v>
      </c>
      <c r="V95" s="2">
        <f t="shared" si="36"/>
        <v>1.2283791272292009E-2</v>
      </c>
      <c r="W95" s="2">
        <f t="shared" si="37"/>
        <v>1.797546861907157E-2</v>
      </c>
      <c r="X95" s="2" t="s">
        <v>1170</v>
      </c>
      <c r="Y95" s="2">
        <f t="shared" si="38"/>
        <v>1.2176648776462724E-2</v>
      </c>
      <c r="Z95" s="2">
        <f t="shared" si="39"/>
        <v>2.0447453111634435E-2</v>
      </c>
      <c r="AA95" s="2" t="str">
        <f t="shared" si="40"/>
        <v>No Impact</v>
      </c>
      <c r="AB95" s="2">
        <f t="shared" si="41"/>
        <v>1.0126445647177473E-2</v>
      </c>
      <c r="AC95" s="2">
        <f t="shared" si="42"/>
        <v>2.1892060002970899E-2</v>
      </c>
      <c r="AD95" s="2" t="str">
        <f t="shared" si="43"/>
        <v>No Impact</v>
      </c>
      <c r="AE95" s="2">
        <f t="shared" si="44"/>
        <v>6.2117830541041493E-3</v>
      </c>
      <c r="AF95" s="2">
        <f t="shared" si="45"/>
        <v>4.2323951722485417E-2</v>
      </c>
      <c r="AG95" s="2" t="s">
        <v>1169</v>
      </c>
    </row>
    <row r="96" spans="1:33" x14ac:dyDescent="0.3">
      <c r="A96" s="2">
        <v>201933</v>
      </c>
      <c r="B96" s="2" t="s">
        <v>213</v>
      </c>
      <c r="C96" s="2" t="s">
        <v>1165</v>
      </c>
      <c r="D96" s="2" t="s">
        <v>214</v>
      </c>
      <c r="E96" s="3">
        <v>4.4000000000000004</v>
      </c>
      <c r="F96" s="4">
        <f t="shared" si="27"/>
        <v>0.26666666666666672</v>
      </c>
      <c r="G96" s="2">
        <v>59.379433200000001</v>
      </c>
      <c r="H96" s="2">
        <f t="shared" si="28"/>
        <v>0.1795205574429227</v>
      </c>
      <c r="I96" s="2">
        <v>3.4999999999999996</v>
      </c>
      <c r="J96" s="4">
        <f t="shared" si="29"/>
        <v>5.3110773899848258E-2</v>
      </c>
      <c r="K96" s="2">
        <v>0</v>
      </c>
      <c r="L96" s="4">
        <f t="shared" si="30"/>
        <v>0</v>
      </c>
      <c r="M96" s="2">
        <v>63237</v>
      </c>
      <c r="N96" s="2">
        <f t="shared" si="31"/>
        <v>0.2980700534177419</v>
      </c>
      <c r="O96" s="2">
        <v>0.62370599000000004</v>
      </c>
      <c r="P96" s="2">
        <f t="shared" si="26"/>
        <v>0.64304849168660838</v>
      </c>
      <c r="Q96" s="2">
        <v>0.25219999999999998</v>
      </c>
      <c r="R96" s="2">
        <f t="shared" si="32"/>
        <v>0.57093225246091484</v>
      </c>
      <c r="S96" s="2">
        <f t="shared" si="33"/>
        <v>1.3179131314324556E-2</v>
      </c>
      <c r="T96" s="5">
        <f t="shared" si="34"/>
        <v>2.0610531742862519E-2</v>
      </c>
      <c r="U96" s="2" t="str">
        <f t="shared" si="35"/>
        <v>No Impact</v>
      </c>
      <c r="V96" s="2">
        <f t="shared" si="36"/>
        <v>1.2396228133007569E-2</v>
      </c>
      <c r="W96" s="2">
        <f t="shared" si="37"/>
        <v>1.8140002940488963E-2</v>
      </c>
      <c r="X96" s="2" t="s">
        <v>1170</v>
      </c>
      <c r="Y96" s="2">
        <f t="shared" si="38"/>
        <v>1.3962034495641542E-2</v>
      </c>
      <c r="Z96" s="2">
        <f t="shared" si="39"/>
        <v>2.3445535051031197E-2</v>
      </c>
      <c r="AA96" s="2" t="str">
        <f t="shared" si="40"/>
        <v>No Impact</v>
      </c>
      <c r="AB96" s="2">
        <f t="shared" si="41"/>
        <v>1.0792411018337797E-2</v>
      </c>
      <c r="AC96" s="2">
        <f t="shared" si="42"/>
        <v>2.3331790622510271E-2</v>
      </c>
      <c r="AD96" s="2" t="str">
        <f t="shared" si="43"/>
        <v>No Impact</v>
      </c>
      <c r="AE96" s="2">
        <f t="shared" si="44"/>
        <v>6.4717737802648164E-3</v>
      </c>
      <c r="AF96" s="2">
        <f t="shared" si="45"/>
        <v>4.409539719095646E-2</v>
      </c>
      <c r="AG96" s="2" t="s">
        <v>1169</v>
      </c>
    </row>
    <row r="97" spans="1:33" x14ac:dyDescent="0.3">
      <c r="A97" s="2">
        <v>201936</v>
      </c>
      <c r="B97" s="2" t="s">
        <v>215</v>
      </c>
      <c r="C97" s="2" t="s">
        <v>1165</v>
      </c>
      <c r="D97" s="2" t="s">
        <v>216</v>
      </c>
      <c r="E97" s="3">
        <v>4.3</v>
      </c>
      <c r="F97" s="4">
        <f t="shared" si="27"/>
        <v>0.24444444444444435</v>
      </c>
      <c r="G97" s="2">
        <v>58.954042800000003</v>
      </c>
      <c r="H97" s="2">
        <f t="shared" si="28"/>
        <v>0.17608618132130596</v>
      </c>
      <c r="I97" s="2">
        <v>3.8000000000000012</v>
      </c>
      <c r="J97" s="4">
        <f t="shared" si="29"/>
        <v>5.7663125948406703E-2</v>
      </c>
      <c r="K97" s="2">
        <v>0</v>
      </c>
      <c r="L97" s="4">
        <f t="shared" si="30"/>
        <v>0</v>
      </c>
      <c r="M97" s="2">
        <v>46512</v>
      </c>
      <c r="N97" s="2">
        <f t="shared" si="31"/>
        <v>0.21893703898217673</v>
      </c>
      <c r="O97" s="2">
        <v>0.33959003700000001</v>
      </c>
      <c r="P97" s="2">
        <f t="shared" si="26"/>
        <v>0.31484054560544983</v>
      </c>
      <c r="Q97" s="2">
        <v>0.24310000000000001</v>
      </c>
      <c r="R97" s="2">
        <f t="shared" si="32"/>
        <v>0.5445859872611466</v>
      </c>
      <c r="S97" s="2">
        <f t="shared" si="33"/>
        <v>8.5936430369010497E-3</v>
      </c>
      <c r="T97" s="5">
        <f t="shared" si="34"/>
        <v>1.343939508413314E-2</v>
      </c>
      <c r="U97" s="2" t="str">
        <f t="shared" si="35"/>
        <v>No Impact</v>
      </c>
      <c r="V97" s="2">
        <f t="shared" si="36"/>
        <v>1.0890931099859539E-2</v>
      </c>
      <c r="W97" s="2">
        <f t="shared" si="37"/>
        <v>1.5937228651840118E-2</v>
      </c>
      <c r="X97" s="2" t="s">
        <v>1170</v>
      </c>
      <c r="Y97" s="2">
        <f t="shared" si="38"/>
        <v>6.2963549739425591E-3</v>
      </c>
      <c r="Z97" s="2">
        <f t="shared" si="39"/>
        <v>1.0573058767430144E-2</v>
      </c>
      <c r="AA97" s="2" t="str">
        <f t="shared" si="40"/>
        <v>No Impact</v>
      </c>
      <c r="AB97" s="2">
        <f t="shared" si="41"/>
        <v>7.2331806807778174E-3</v>
      </c>
      <c r="AC97" s="2">
        <f t="shared" si="42"/>
        <v>1.5637196998144583E-2</v>
      </c>
      <c r="AD97" s="2" t="str">
        <f t="shared" si="43"/>
        <v>No Impact</v>
      </c>
      <c r="AE97" s="2">
        <f t="shared" si="44"/>
        <v>4.3784237246977465E-3</v>
      </c>
      <c r="AF97" s="2">
        <f t="shared" si="45"/>
        <v>2.9832367410554644E-2</v>
      </c>
      <c r="AG97" s="2" t="s">
        <v>1170</v>
      </c>
    </row>
    <row r="98" spans="1:33" x14ac:dyDescent="0.3">
      <c r="A98" s="2">
        <v>201940</v>
      </c>
      <c r="B98" s="2" t="s">
        <v>217</v>
      </c>
      <c r="C98" s="2" t="s">
        <v>1165</v>
      </c>
      <c r="D98" s="2" t="s">
        <v>218</v>
      </c>
      <c r="E98" s="3">
        <v>4.4000000000000004</v>
      </c>
      <c r="F98" s="4">
        <f t="shared" si="27"/>
        <v>0.26666666666666672</v>
      </c>
      <c r="G98" s="2">
        <v>57.308731199999997</v>
      </c>
      <c r="H98" s="2">
        <f t="shared" si="28"/>
        <v>0.16280280945475922</v>
      </c>
      <c r="I98" s="2">
        <v>2.5000000000000022</v>
      </c>
      <c r="J98" s="4">
        <f t="shared" si="29"/>
        <v>3.7936267071320223E-2</v>
      </c>
      <c r="K98" s="2">
        <v>0</v>
      </c>
      <c r="L98" s="4">
        <f t="shared" si="30"/>
        <v>0</v>
      </c>
      <c r="M98" s="2">
        <v>53195</v>
      </c>
      <c r="N98" s="2">
        <f t="shared" si="31"/>
        <v>0.25055712481015174</v>
      </c>
      <c r="O98" s="2">
        <v>0.52645777199999999</v>
      </c>
      <c r="P98" s="2">
        <f t="shared" si="26"/>
        <v>0.53070830961371807</v>
      </c>
      <c r="Q98" s="2">
        <v>0.24390000000000001</v>
      </c>
      <c r="R98" s="2">
        <f t="shared" si="32"/>
        <v>0.54690214244354374</v>
      </c>
      <c r="S98" s="2">
        <f t="shared" si="33"/>
        <v>1.0094864593371871E-2</v>
      </c>
      <c r="T98" s="5">
        <f t="shared" si="34"/>
        <v>1.57871199686315E-2</v>
      </c>
      <c r="U98" s="2" t="str">
        <f t="shared" si="35"/>
        <v>No Impact</v>
      </c>
      <c r="V98" s="2">
        <f t="shared" si="36"/>
        <v>1.0246565562263459E-2</v>
      </c>
      <c r="W98" s="2">
        <f t="shared" si="37"/>
        <v>1.4994297251955762E-2</v>
      </c>
      <c r="X98" s="2" t="s">
        <v>1170</v>
      </c>
      <c r="Y98" s="2">
        <f t="shared" si="38"/>
        <v>9.9431636244802814E-3</v>
      </c>
      <c r="Z98" s="2">
        <f t="shared" si="39"/>
        <v>1.669690698362503E-2</v>
      </c>
      <c r="AA98" s="2" t="str">
        <f t="shared" si="40"/>
        <v>No Impact</v>
      </c>
      <c r="AB98" s="2">
        <f t="shared" si="41"/>
        <v>8.2122694919493314E-3</v>
      </c>
      <c r="AC98" s="2">
        <f t="shared" si="42"/>
        <v>1.7753859818369029E-2</v>
      </c>
      <c r="AD98" s="2" t="str">
        <f t="shared" si="43"/>
        <v>No Impact</v>
      </c>
      <c r="AE98" s="2">
        <f t="shared" si="44"/>
        <v>4.6943498794658209E-3</v>
      </c>
      <c r="AF98" s="2">
        <f t="shared" si="45"/>
        <v>3.1984928632640471E-2</v>
      </c>
      <c r="AG98" s="2" t="s">
        <v>1170</v>
      </c>
    </row>
    <row r="99" spans="1:33" x14ac:dyDescent="0.3">
      <c r="A99" s="2">
        <v>201954</v>
      </c>
      <c r="B99" s="2" t="s">
        <v>219</v>
      </c>
      <c r="C99" s="2" t="s">
        <v>1165</v>
      </c>
      <c r="D99" s="2" t="s">
        <v>220</v>
      </c>
      <c r="E99" s="3">
        <v>4.4000000000000004</v>
      </c>
      <c r="F99" s="4">
        <f t="shared" si="27"/>
        <v>0.26666666666666672</v>
      </c>
      <c r="G99" s="2">
        <v>58.954042800000003</v>
      </c>
      <c r="H99" s="2">
        <f t="shared" si="28"/>
        <v>0.17608618132130596</v>
      </c>
      <c r="I99" s="2">
        <v>2.7999999999999985</v>
      </c>
      <c r="J99" s="4">
        <f t="shared" si="29"/>
        <v>4.2488619119878585E-2</v>
      </c>
      <c r="K99" s="2">
        <v>0</v>
      </c>
      <c r="L99" s="4">
        <f t="shared" si="30"/>
        <v>0</v>
      </c>
      <c r="M99" s="2">
        <v>23236</v>
      </c>
      <c r="N99" s="2">
        <f t="shared" si="31"/>
        <v>0.1088084862765137</v>
      </c>
      <c r="O99" s="2">
        <v>0.57651813500000004</v>
      </c>
      <c r="P99" s="2">
        <f t="shared" si="26"/>
        <v>0.58853754710221351</v>
      </c>
      <c r="Q99" s="2">
        <v>0.2515</v>
      </c>
      <c r="R99" s="2">
        <f t="shared" si="32"/>
        <v>0.56890561667631734</v>
      </c>
      <c r="S99" s="2">
        <f t="shared" si="33"/>
        <v>1.1806102398762265E-2</v>
      </c>
      <c r="T99" s="5">
        <f t="shared" si="34"/>
        <v>1.8463284297402564E-2</v>
      </c>
      <c r="U99" s="2" t="str">
        <f t="shared" si="35"/>
        <v>No Impact</v>
      </c>
      <c r="V99" s="2">
        <f t="shared" si="36"/>
        <v>1.1605853619256876E-2</v>
      </c>
      <c r="W99" s="2">
        <f t="shared" si="37"/>
        <v>1.698340951144834E-2</v>
      </c>
      <c r="X99" s="2" t="s">
        <v>1170</v>
      </c>
      <c r="Y99" s="2">
        <f t="shared" si="38"/>
        <v>1.2006351178267654E-2</v>
      </c>
      <c r="Z99" s="2">
        <f t="shared" si="39"/>
        <v>2.0161483448056013E-2</v>
      </c>
      <c r="AA99" s="2" t="str">
        <f t="shared" si="40"/>
        <v>No Impact</v>
      </c>
      <c r="AB99" s="2">
        <f t="shared" si="41"/>
        <v>8.4408586972439508E-3</v>
      </c>
      <c r="AC99" s="2">
        <f t="shared" si="42"/>
        <v>1.8248039985102663E-2</v>
      </c>
      <c r="AD99" s="2" t="str">
        <f t="shared" si="43"/>
        <v>No Impact</v>
      </c>
      <c r="AE99" s="2">
        <f t="shared" si="44"/>
        <v>2.2197273629249925E-3</v>
      </c>
      <c r="AF99" s="2">
        <f t="shared" si="45"/>
        <v>1.5124100910679049E-2</v>
      </c>
      <c r="AG99" s="2" t="s">
        <v>1170</v>
      </c>
    </row>
    <row r="100" spans="1:33" x14ac:dyDescent="0.3">
      <c r="A100" s="2">
        <v>201967</v>
      </c>
      <c r="B100" s="2" t="s">
        <v>221</v>
      </c>
      <c r="C100" s="2" t="s">
        <v>1165</v>
      </c>
      <c r="D100" s="2" t="s">
        <v>222</v>
      </c>
      <c r="E100" s="3">
        <v>4.4000000000000004</v>
      </c>
      <c r="F100" s="4">
        <f t="shared" si="27"/>
        <v>0.26666666666666672</v>
      </c>
      <c r="G100" s="2">
        <v>57.308731199999997</v>
      </c>
      <c r="H100" s="2">
        <f t="shared" si="28"/>
        <v>0.16280280945475922</v>
      </c>
      <c r="I100" s="2">
        <v>2.6</v>
      </c>
      <c r="J100" s="4">
        <f t="shared" si="29"/>
        <v>3.9453717754172994E-2</v>
      </c>
      <c r="K100" s="2">
        <v>0</v>
      </c>
      <c r="L100" s="4">
        <f t="shared" si="30"/>
        <v>0</v>
      </c>
      <c r="M100" s="2">
        <v>64652</v>
      </c>
      <c r="N100" s="2">
        <f t="shared" si="31"/>
        <v>0.30476501398134875</v>
      </c>
      <c r="O100" s="2">
        <v>0.467173277</v>
      </c>
      <c r="P100" s="2">
        <f t="shared" si="26"/>
        <v>0.46222344583555236</v>
      </c>
      <c r="Q100" s="2">
        <v>0.24790000000000001</v>
      </c>
      <c r="R100" s="2">
        <f t="shared" si="32"/>
        <v>0.55848291835552988</v>
      </c>
      <c r="S100" s="2">
        <f t="shared" si="33"/>
        <v>9.6340778109960511E-3</v>
      </c>
      <c r="T100" s="5">
        <f t="shared" si="34"/>
        <v>1.5066506418440536E-2</v>
      </c>
      <c r="U100" s="2" t="str">
        <f t="shared" si="35"/>
        <v>No Impact</v>
      </c>
      <c r="V100" s="2">
        <f t="shared" si="36"/>
        <v>1.0542636120062584E-2</v>
      </c>
      <c r="W100" s="2">
        <f t="shared" si="37"/>
        <v>1.5427551684791478E-2</v>
      </c>
      <c r="X100" s="2" t="s">
        <v>1170</v>
      </c>
      <c r="Y100" s="2">
        <f t="shared" si="38"/>
        <v>8.7255195019295163E-3</v>
      </c>
      <c r="Z100" s="2">
        <f t="shared" si="39"/>
        <v>1.4652196525141501E-2</v>
      </c>
      <c r="AA100" s="2" t="str">
        <f t="shared" si="40"/>
        <v>No Impact</v>
      </c>
      <c r="AB100" s="2">
        <f t="shared" si="41"/>
        <v>8.3211751284606363E-3</v>
      </c>
      <c r="AC100" s="2">
        <f t="shared" si="42"/>
        <v>1.7989299657008934E-2</v>
      </c>
      <c r="AD100" s="2" t="str">
        <f t="shared" si="43"/>
        <v>No Impact</v>
      </c>
      <c r="AE100" s="2">
        <f t="shared" si="44"/>
        <v>5.7531332453139329E-3</v>
      </c>
      <c r="AF100" s="2">
        <f t="shared" si="45"/>
        <v>3.9198943621640885E-2</v>
      </c>
      <c r="AG100" s="2" t="s">
        <v>1169</v>
      </c>
    </row>
    <row r="101" spans="1:33" x14ac:dyDescent="0.3">
      <c r="A101" s="2">
        <v>201972</v>
      </c>
      <c r="B101" s="2" t="s">
        <v>223</v>
      </c>
      <c r="C101" s="2" t="s">
        <v>1165</v>
      </c>
      <c r="D101" s="2" t="s">
        <v>224</v>
      </c>
      <c r="E101" s="3">
        <v>4.4000000000000004</v>
      </c>
      <c r="F101" s="4">
        <f t="shared" si="27"/>
        <v>0.26666666666666672</v>
      </c>
      <c r="G101" s="2">
        <v>59.379433200000001</v>
      </c>
      <c r="H101" s="2">
        <f t="shared" si="28"/>
        <v>0.1795205574429227</v>
      </c>
      <c r="I101" s="2">
        <v>4.3999999999999995</v>
      </c>
      <c r="J101" s="4">
        <f t="shared" si="29"/>
        <v>6.6767830045523516E-2</v>
      </c>
      <c r="K101" s="2">
        <v>0</v>
      </c>
      <c r="L101" s="4">
        <f t="shared" si="30"/>
        <v>0</v>
      </c>
      <c r="M101" s="2">
        <v>22886</v>
      </c>
      <c r="N101" s="2">
        <f t="shared" si="31"/>
        <v>0.10715248896396076</v>
      </c>
      <c r="O101" s="2">
        <v>0.53604333400000004</v>
      </c>
      <c r="P101" s="2">
        <f t="shared" si="26"/>
        <v>0.5417814562738551</v>
      </c>
      <c r="Q101" s="2">
        <v>0.21959999999999999</v>
      </c>
      <c r="R101" s="2">
        <f t="shared" si="32"/>
        <v>0.47654892877822813</v>
      </c>
      <c r="S101" s="2">
        <f t="shared" si="33"/>
        <v>1.1704137595031755E-2</v>
      </c>
      <c r="T101" s="5">
        <f t="shared" si="34"/>
        <v>1.8303823952572535E-2</v>
      </c>
      <c r="U101" s="2" t="str">
        <f t="shared" si="35"/>
        <v>No Impact</v>
      </c>
      <c r="V101" s="2">
        <f t="shared" si="36"/>
        <v>1.0954390274626047E-2</v>
      </c>
      <c r="W101" s="2">
        <f t="shared" si="37"/>
        <v>1.6030091545658622E-2</v>
      </c>
      <c r="X101" s="2" t="s">
        <v>1170</v>
      </c>
      <c r="Y101" s="2">
        <f t="shared" si="38"/>
        <v>1.2453884915437459E-2</v>
      </c>
      <c r="Z101" s="2">
        <f t="shared" si="39"/>
        <v>2.0912997700839809E-2</v>
      </c>
      <c r="AA101" s="2" t="str">
        <f t="shared" si="40"/>
        <v>No Impact</v>
      </c>
      <c r="AB101" s="2">
        <f t="shared" si="41"/>
        <v>8.432288919012397E-3</v>
      </c>
      <c r="AC101" s="2">
        <f t="shared" si="42"/>
        <v>1.8229513237831806E-2</v>
      </c>
      <c r="AD101" s="2" t="str">
        <f t="shared" si="43"/>
        <v>No Impact</v>
      </c>
      <c r="AE101" s="2">
        <f t="shared" si="44"/>
        <v>2.4631052807486931E-3</v>
      </c>
      <c r="AF101" s="2">
        <f t="shared" si="45"/>
        <v>1.678235509543903E-2</v>
      </c>
      <c r="AG101" s="2" t="s">
        <v>1170</v>
      </c>
    </row>
    <row r="102" spans="1:33" x14ac:dyDescent="0.3">
      <c r="A102" s="2">
        <v>201974</v>
      </c>
      <c r="B102" s="2" t="s">
        <v>225</v>
      </c>
      <c r="C102" s="2" t="s">
        <v>1165</v>
      </c>
      <c r="D102" s="2" t="s">
        <v>226</v>
      </c>
      <c r="E102" s="3">
        <v>4.4000000000000004</v>
      </c>
      <c r="F102" s="4">
        <f t="shared" si="27"/>
        <v>0.26666666666666672</v>
      </c>
      <c r="G102" s="2">
        <v>67.04182800000001</v>
      </c>
      <c r="H102" s="2">
        <f t="shared" si="28"/>
        <v>0.24138266278314743</v>
      </c>
      <c r="I102" s="2">
        <v>5.2</v>
      </c>
      <c r="J102" s="4">
        <f t="shared" si="29"/>
        <v>7.8907435508345988E-2</v>
      </c>
      <c r="K102" s="2">
        <v>0</v>
      </c>
      <c r="L102" s="4">
        <f t="shared" si="30"/>
        <v>0</v>
      </c>
      <c r="M102" s="2">
        <v>12259</v>
      </c>
      <c r="N102" s="2">
        <f t="shared" si="31"/>
        <v>5.6871679133960719E-2</v>
      </c>
      <c r="O102" s="2">
        <v>0.56567894399999996</v>
      </c>
      <c r="P102" s="2">
        <f t="shared" si="26"/>
        <v>0.57601622058841728</v>
      </c>
      <c r="Q102" s="2">
        <v>0.22919999999999999</v>
      </c>
      <c r="R102" s="2">
        <f t="shared" si="32"/>
        <v>0.50434279096699475</v>
      </c>
      <c r="S102" s="2">
        <f t="shared" si="33"/>
        <v>1.614798705338857E-2</v>
      </c>
      <c r="T102" s="5">
        <f t="shared" si="34"/>
        <v>2.5253455012277905E-2</v>
      </c>
      <c r="U102" s="2" t="str">
        <f t="shared" si="35"/>
        <v>No Impact</v>
      </c>
      <c r="V102" s="2">
        <f t="shared" si="36"/>
        <v>1.507669352853299E-2</v>
      </c>
      <c r="W102" s="2">
        <f t="shared" si="37"/>
        <v>2.2062458193408952E-2</v>
      </c>
      <c r="X102" s="2" t="s">
        <v>1170</v>
      </c>
      <c r="Y102" s="2">
        <f t="shared" si="38"/>
        <v>1.721928057824415E-2</v>
      </c>
      <c r="Z102" s="2">
        <f t="shared" si="39"/>
        <v>2.8915216222735286E-2</v>
      </c>
      <c r="AA102" s="2" t="str">
        <f t="shared" si="40"/>
        <v>No Impact</v>
      </c>
      <c r="AB102" s="2">
        <f t="shared" si="41"/>
        <v>1.1037664474653864E-2</v>
      </c>
      <c r="AC102" s="2">
        <f t="shared" si="42"/>
        <v>2.3861996735165786E-2</v>
      </c>
      <c r="AD102" s="2" t="str">
        <f t="shared" si="43"/>
        <v>No Impact</v>
      </c>
      <c r="AE102" s="2">
        <f t="shared" si="44"/>
        <v>1.7001073319830654E-3</v>
      </c>
      <c r="AF102" s="2">
        <f t="shared" si="45"/>
        <v>1.1583672516436907E-2</v>
      </c>
      <c r="AG102" s="2" t="s">
        <v>1170</v>
      </c>
    </row>
    <row r="103" spans="1:33" x14ac:dyDescent="0.3">
      <c r="A103" s="2">
        <v>201975</v>
      </c>
      <c r="B103" s="2" t="s">
        <v>227</v>
      </c>
      <c r="C103" s="2" t="s">
        <v>1165</v>
      </c>
      <c r="D103" s="2" t="s">
        <v>228</v>
      </c>
      <c r="E103" s="3">
        <v>3.2</v>
      </c>
      <c r="F103" s="4">
        <f t="shared" si="27"/>
        <v>0</v>
      </c>
      <c r="G103" s="2">
        <v>58.954042800000003</v>
      </c>
      <c r="H103" s="2">
        <f t="shared" si="28"/>
        <v>0.17608618132130596</v>
      </c>
      <c r="I103" s="2">
        <v>3.2999999999999989</v>
      </c>
      <c r="J103" s="4">
        <f t="shared" si="29"/>
        <v>5.0075872534142633E-2</v>
      </c>
      <c r="K103" s="2">
        <v>0</v>
      </c>
      <c r="L103" s="4">
        <f t="shared" si="30"/>
        <v>0</v>
      </c>
      <c r="M103" s="2">
        <v>18727</v>
      </c>
      <c r="N103" s="2">
        <f t="shared" si="31"/>
        <v>8.7474509469938913E-2</v>
      </c>
      <c r="O103" s="2">
        <v>0.40820194199999998</v>
      </c>
      <c r="P103" s="2">
        <f t="shared" si="26"/>
        <v>0.39410034140004069</v>
      </c>
      <c r="Q103" s="2">
        <v>0.21029999999999999</v>
      </c>
      <c r="R103" s="2">
        <f t="shared" si="32"/>
        <v>0.44962362478286044</v>
      </c>
      <c r="S103" s="2">
        <f t="shared" si="33"/>
        <v>0</v>
      </c>
      <c r="T103" s="5">
        <f t="shared" si="34"/>
        <v>0</v>
      </c>
      <c r="U103" s="2" t="str">
        <f t="shared" si="35"/>
        <v>No Impact</v>
      </c>
      <c r="V103" s="2">
        <f t="shared" si="36"/>
        <v>0</v>
      </c>
      <c r="W103" s="2">
        <f t="shared" si="37"/>
        <v>0</v>
      </c>
      <c r="X103" s="2" t="s">
        <v>1170</v>
      </c>
      <c r="Y103" s="2">
        <f t="shared" si="38"/>
        <v>0</v>
      </c>
      <c r="Z103" s="2">
        <f t="shared" si="39"/>
        <v>0</v>
      </c>
      <c r="AA103" s="2" t="str">
        <f t="shared" si="40"/>
        <v>No Impact</v>
      </c>
      <c r="AB103" s="2">
        <f t="shared" si="41"/>
        <v>0</v>
      </c>
      <c r="AC103" s="2">
        <f t="shared" si="42"/>
        <v>0</v>
      </c>
      <c r="AD103" s="2" t="str">
        <f t="shared" si="43"/>
        <v>No Impact</v>
      </c>
      <c r="AE103" s="2">
        <f t="shared" si="44"/>
        <v>0</v>
      </c>
      <c r="AF103" s="2">
        <f t="shared" si="45"/>
        <v>0</v>
      </c>
      <c r="AG103" s="2" t="s">
        <v>1170</v>
      </c>
    </row>
    <row r="104" spans="1:33" x14ac:dyDescent="0.3">
      <c r="A104" s="2">
        <v>201981</v>
      </c>
      <c r="B104" s="2" t="s">
        <v>229</v>
      </c>
      <c r="C104" s="2" t="s">
        <v>1165</v>
      </c>
      <c r="D104" s="2" t="s">
        <v>230</v>
      </c>
      <c r="E104" s="3">
        <v>4.4000000000000004</v>
      </c>
      <c r="F104" s="4">
        <f t="shared" si="27"/>
        <v>0.26666666666666672</v>
      </c>
      <c r="G104" s="2">
        <v>58.954042800000003</v>
      </c>
      <c r="H104" s="2">
        <f t="shared" si="28"/>
        <v>0.17608618132130596</v>
      </c>
      <c r="I104" s="2">
        <v>2.9000000000000017</v>
      </c>
      <c r="J104" s="4">
        <f t="shared" si="29"/>
        <v>4.4006069802731446E-2</v>
      </c>
      <c r="K104" s="2">
        <v>0</v>
      </c>
      <c r="L104" s="4">
        <f t="shared" si="30"/>
        <v>0</v>
      </c>
      <c r="M104" s="2">
        <v>60123</v>
      </c>
      <c r="N104" s="2">
        <f t="shared" si="31"/>
        <v>0.28333640875691379</v>
      </c>
      <c r="O104" s="2">
        <v>0.17864665699999999</v>
      </c>
      <c r="P104" s="2">
        <f t="shared" si="26"/>
        <v>0.12892034074754308</v>
      </c>
      <c r="Q104" s="2">
        <v>0.24490000000000001</v>
      </c>
      <c r="R104" s="2">
        <f t="shared" si="32"/>
        <v>0.54979733642154027</v>
      </c>
      <c r="S104" s="2">
        <f t="shared" si="33"/>
        <v>6.9710900674716586E-3</v>
      </c>
      <c r="T104" s="5">
        <f t="shared" si="34"/>
        <v>1.0901922872702014E-2</v>
      </c>
      <c r="U104" s="2" t="str">
        <f t="shared" si="35"/>
        <v>No Impact</v>
      </c>
      <c r="V104" s="2">
        <f t="shared" si="36"/>
        <v>1.1293905787268209E-2</v>
      </c>
      <c r="W104" s="2">
        <f t="shared" si="37"/>
        <v>1.6526921091838988E-2</v>
      </c>
      <c r="X104" s="2" t="s">
        <v>1170</v>
      </c>
      <c r="Y104" s="2">
        <f t="shared" si="38"/>
        <v>2.6482743476751078E-3</v>
      </c>
      <c r="Z104" s="2">
        <f t="shared" si="39"/>
        <v>4.4470746052479608E-3</v>
      </c>
      <c r="AA104" s="2" t="str">
        <f t="shared" si="40"/>
        <v>No Impact</v>
      </c>
      <c r="AB104" s="2">
        <f t="shared" si="41"/>
        <v>6.7844474987842525E-3</v>
      </c>
      <c r="AC104" s="2">
        <f t="shared" si="42"/>
        <v>1.4667094151815149E-2</v>
      </c>
      <c r="AD104" s="2" t="str">
        <f t="shared" si="43"/>
        <v>No Impact</v>
      </c>
      <c r="AE104" s="2">
        <f t="shared" si="44"/>
        <v>5.820280482679561E-3</v>
      </c>
      <c r="AF104" s="2">
        <f t="shared" si="45"/>
        <v>3.9656450976261623E-2</v>
      </c>
      <c r="AG104" s="2" t="s">
        <v>1169</v>
      </c>
    </row>
    <row r="105" spans="1:33" x14ac:dyDescent="0.3">
      <c r="A105" s="2">
        <v>201987</v>
      </c>
      <c r="B105" s="2" t="s">
        <v>231</v>
      </c>
      <c r="C105" s="2" t="s">
        <v>1165</v>
      </c>
      <c r="D105" s="2" t="s">
        <v>232</v>
      </c>
      <c r="E105" s="3">
        <v>4.4000000000000004</v>
      </c>
      <c r="F105" s="4">
        <f t="shared" si="27"/>
        <v>0.26666666666666672</v>
      </c>
      <c r="G105" s="2">
        <v>59.379433200000001</v>
      </c>
      <c r="H105" s="2">
        <f t="shared" si="28"/>
        <v>0.1795205574429227</v>
      </c>
      <c r="I105" s="2">
        <v>4.0999999999999996</v>
      </c>
      <c r="J105" s="4">
        <f t="shared" si="29"/>
        <v>6.2215477996965099E-2</v>
      </c>
      <c r="K105" s="2">
        <v>0</v>
      </c>
      <c r="L105" s="4">
        <f t="shared" si="30"/>
        <v>0</v>
      </c>
      <c r="M105" s="2">
        <v>33417</v>
      </c>
      <c r="N105" s="2">
        <f t="shared" si="31"/>
        <v>0.15697908238823202</v>
      </c>
      <c r="O105" s="2">
        <v>0.58042974300000005</v>
      </c>
      <c r="P105" s="2">
        <f t="shared" si="26"/>
        <v>0.59305619807551757</v>
      </c>
      <c r="Q105" s="2">
        <v>0.2266</v>
      </c>
      <c r="R105" s="2">
        <f t="shared" si="32"/>
        <v>0.49681528662420388</v>
      </c>
      <c r="S105" s="2">
        <f t="shared" si="33"/>
        <v>1.2294856553013768E-2</v>
      </c>
      <c r="T105" s="5">
        <f t="shared" si="34"/>
        <v>1.922763535897121E-2</v>
      </c>
      <c r="U105" s="2" t="str">
        <f t="shared" si="35"/>
        <v>No Impact</v>
      </c>
      <c r="V105" s="2">
        <f t="shared" si="36"/>
        <v>1.1209161388550215E-2</v>
      </c>
      <c r="W105" s="2">
        <f t="shared" si="37"/>
        <v>1.6402910495596324E-2</v>
      </c>
      <c r="X105" s="2" t="s">
        <v>1170</v>
      </c>
      <c r="Y105" s="2">
        <f t="shared" si="38"/>
        <v>1.3380551717477322E-2</v>
      </c>
      <c r="Z105" s="2">
        <f t="shared" si="39"/>
        <v>2.2469088899055564E-2</v>
      </c>
      <c r="AA105" s="2" t="str">
        <f t="shared" si="40"/>
        <v>No Impact</v>
      </c>
      <c r="AB105" s="2">
        <f t="shared" si="41"/>
        <v>9.1769903680041821E-3</v>
      </c>
      <c r="AC105" s="2">
        <f t="shared" si="42"/>
        <v>1.9839461029352481E-2</v>
      </c>
      <c r="AD105" s="2" t="str">
        <f t="shared" si="43"/>
        <v>No Impact</v>
      </c>
      <c r="AE105" s="2">
        <f t="shared" si="44"/>
        <v>3.5417667621954548E-3</v>
      </c>
      <c r="AF105" s="2">
        <f t="shared" si="45"/>
        <v>2.4131809522295433E-2</v>
      </c>
      <c r="AG105" s="2" t="s">
        <v>1170</v>
      </c>
    </row>
    <row r="106" spans="1:33" x14ac:dyDescent="0.3">
      <c r="A106" s="2">
        <v>201994</v>
      </c>
      <c r="B106" s="2" t="s">
        <v>233</v>
      </c>
      <c r="C106" s="2" t="s">
        <v>1165</v>
      </c>
      <c r="D106" s="2" t="s">
        <v>234</v>
      </c>
      <c r="E106" s="3">
        <v>4.3</v>
      </c>
      <c r="F106" s="4">
        <f t="shared" si="27"/>
        <v>0.24444444444444435</v>
      </c>
      <c r="G106" s="2">
        <v>58.954042800000003</v>
      </c>
      <c r="H106" s="2">
        <f t="shared" si="28"/>
        <v>0.17608618132130596</v>
      </c>
      <c r="I106" s="2">
        <v>3.2999999999999989</v>
      </c>
      <c r="J106" s="4">
        <f t="shared" si="29"/>
        <v>5.0075872534142633E-2</v>
      </c>
      <c r="K106" s="2">
        <v>0</v>
      </c>
      <c r="L106" s="4">
        <f t="shared" si="30"/>
        <v>0</v>
      </c>
      <c r="M106" s="2">
        <v>27825</v>
      </c>
      <c r="N106" s="2">
        <f t="shared" si="31"/>
        <v>0.13052097675452914</v>
      </c>
      <c r="O106" s="2">
        <v>0.49506799099999999</v>
      </c>
      <c r="P106" s="2">
        <f t="shared" si="26"/>
        <v>0.49444714426497965</v>
      </c>
      <c r="Q106" s="2">
        <v>0.24149999999999999</v>
      </c>
      <c r="R106" s="2">
        <f t="shared" si="32"/>
        <v>0.5399536768963521</v>
      </c>
      <c r="S106" s="2">
        <f t="shared" si="33"/>
        <v>1.0007528052898841E-2</v>
      </c>
      <c r="T106" s="5">
        <f t="shared" si="34"/>
        <v>1.5650536418714618E-2</v>
      </c>
      <c r="U106" s="2" t="str">
        <f t="shared" si="35"/>
        <v>No Impact</v>
      </c>
      <c r="V106" s="2">
        <f t="shared" si="36"/>
        <v>1.0447790562925973E-2</v>
      </c>
      <c r="W106" s="2">
        <f t="shared" si="37"/>
        <v>1.5288759572635263E-2</v>
      </c>
      <c r="X106" s="2" t="s">
        <v>1170</v>
      </c>
      <c r="Y106" s="2">
        <f t="shared" si="38"/>
        <v>9.5672655428717061E-3</v>
      </c>
      <c r="Z106" s="2">
        <f t="shared" si="39"/>
        <v>1.6065685820926972E-2</v>
      </c>
      <c r="AA106" s="2" t="str">
        <f t="shared" si="40"/>
        <v>No Impact</v>
      </c>
      <c r="AB106" s="2">
        <f t="shared" si="41"/>
        <v>7.4108331866521975E-3</v>
      </c>
      <c r="AC106" s="2">
        <f t="shared" si="42"/>
        <v>1.6021258637715433E-2</v>
      </c>
      <c r="AD106" s="2" t="str">
        <f t="shared" si="43"/>
        <v>No Impact</v>
      </c>
      <c r="AE106" s="2">
        <f t="shared" si="44"/>
        <v>2.5255052193331267E-3</v>
      </c>
      <c r="AF106" s="2">
        <f t="shared" si="45"/>
        <v>1.7207516754358956E-2</v>
      </c>
      <c r="AG106" s="2" t="s">
        <v>1170</v>
      </c>
    </row>
    <row r="107" spans="1:33" x14ac:dyDescent="0.3">
      <c r="A107" s="2">
        <v>202216</v>
      </c>
      <c r="B107" s="2" t="s">
        <v>235</v>
      </c>
      <c r="C107" s="2" t="s">
        <v>236</v>
      </c>
      <c r="D107" s="2" t="s">
        <v>237</v>
      </c>
      <c r="E107" s="3">
        <v>7.1</v>
      </c>
      <c r="F107" s="4">
        <f t="shared" si="27"/>
        <v>0.86666666666666659</v>
      </c>
      <c r="G107" s="2">
        <v>83.120450399999996</v>
      </c>
      <c r="H107" s="2">
        <f t="shared" si="28"/>
        <v>0.37119291905374513</v>
      </c>
      <c r="I107" s="2">
        <v>0.8999999999999998</v>
      </c>
      <c r="J107" s="4">
        <f t="shared" si="29"/>
        <v>1.3657056145675264E-2</v>
      </c>
      <c r="K107" s="2">
        <v>0</v>
      </c>
      <c r="L107" s="4">
        <f t="shared" si="30"/>
        <v>0</v>
      </c>
      <c r="M107" s="2">
        <v>58413</v>
      </c>
      <c r="N107" s="2">
        <f t="shared" si="31"/>
        <v>0.27524567902986946</v>
      </c>
      <c r="O107" s="2">
        <v>0.39757646800000002</v>
      </c>
      <c r="P107" s="2">
        <f t="shared" si="26"/>
        <v>0.38182589865631084</v>
      </c>
      <c r="Q107" s="2">
        <v>0.26290000000000002</v>
      </c>
      <c r="R107" s="2">
        <f t="shared" si="32"/>
        <v>0.6019108280254778</v>
      </c>
      <c r="S107" s="2">
        <f t="shared" si="33"/>
        <v>5.741964332138054E-2</v>
      </c>
      <c r="T107" s="5">
        <f t="shared" si="34"/>
        <v>8.9797222071294799E-2</v>
      </c>
      <c r="U107" s="2" t="str">
        <f t="shared" si="35"/>
        <v>No Impact</v>
      </c>
      <c r="V107" s="2">
        <f t="shared" si="36"/>
        <v>7.0265761395486528E-2</v>
      </c>
      <c r="W107" s="2">
        <f t="shared" si="37"/>
        <v>0.10282330275415587</v>
      </c>
      <c r="X107" s="2" t="s">
        <v>1169</v>
      </c>
      <c r="Y107" s="2">
        <f t="shared" si="38"/>
        <v>4.4573525247274544E-2</v>
      </c>
      <c r="Z107" s="2">
        <f t="shared" si="39"/>
        <v>7.4849417458410339E-2</v>
      </c>
      <c r="AA107" s="2" t="str">
        <f t="shared" si="40"/>
        <v>No Impact</v>
      </c>
      <c r="AB107" s="2">
        <f t="shared" si="41"/>
        <v>4.9211127809390354E-2</v>
      </c>
      <c r="AC107" s="2">
        <f t="shared" si="42"/>
        <v>0.10638806550226501</v>
      </c>
      <c r="AD107" s="2" t="str">
        <f t="shared" si="43"/>
        <v>No Impact</v>
      </c>
      <c r="AE107" s="2">
        <f t="shared" si="44"/>
        <v>3.2131582133679171E-2</v>
      </c>
      <c r="AF107" s="2">
        <f t="shared" si="45"/>
        <v>0.21892836873856977</v>
      </c>
      <c r="AG107" s="2" t="s">
        <v>1169</v>
      </c>
    </row>
    <row r="108" spans="1:33" x14ac:dyDescent="0.3">
      <c r="A108" s="2">
        <v>202224</v>
      </c>
      <c r="B108" s="2" t="s">
        <v>238</v>
      </c>
      <c r="C108" s="2" t="s">
        <v>236</v>
      </c>
      <c r="D108" s="2" t="s">
        <v>239</v>
      </c>
      <c r="E108" s="3">
        <v>7.1</v>
      </c>
      <c r="F108" s="4">
        <f t="shared" si="27"/>
        <v>0.86666666666666659</v>
      </c>
      <c r="G108" s="2">
        <v>83.120450399999996</v>
      </c>
      <c r="H108" s="2">
        <f t="shared" si="28"/>
        <v>0.37119291905374513</v>
      </c>
      <c r="I108" s="2">
        <v>0.80000000000000038</v>
      </c>
      <c r="J108" s="4">
        <f t="shared" si="29"/>
        <v>1.2139605462822466E-2</v>
      </c>
      <c r="K108" s="2">
        <v>0</v>
      </c>
      <c r="L108" s="4">
        <f t="shared" si="30"/>
        <v>0</v>
      </c>
      <c r="M108" s="2">
        <v>44313</v>
      </c>
      <c r="N108" s="2">
        <f t="shared" si="31"/>
        <v>0.20853264443845132</v>
      </c>
      <c r="O108" s="2">
        <v>0.47690485999999999</v>
      </c>
      <c r="P108" s="2">
        <f t="shared" si="26"/>
        <v>0.4734652745143817</v>
      </c>
      <c r="Q108" s="2">
        <v>0.2409</v>
      </c>
      <c r="R108" s="2">
        <f t="shared" si="32"/>
        <v>0.53821656050955424</v>
      </c>
      <c r="S108" s="2">
        <f t="shared" si="33"/>
        <v>5.8817933693803989E-2</v>
      </c>
      <c r="T108" s="5">
        <f t="shared" si="34"/>
        <v>9.1983975311642915E-2</v>
      </c>
      <c r="U108" s="2" t="str">
        <f t="shared" si="35"/>
        <v>No Impact</v>
      </c>
      <c r="V108" s="2">
        <f t="shared" si="36"/>
        <v>6.2582493572614584E-2</v>
      </c>
      <c r="W108" s="2">
        <f t="shared" si="37"/>
        <v>9.158000363090503E-2</v>
      </c>
      <c r="X108" s="2" t="s">
        <v>1169</v>
      </c>
      <c r="Y108" s="2">
        <f t="shared" si="38"/>
        <v>5.5053373814993374E-2</v>
      </c>
      <c r="Z108" s="2">
        <f t="shared" si="39"/>
        <v>9.2447544507921031E-2</v>
      </c>
      <c r="AA108" s="2" t="str">
        <f t="shared" si="40"/>
        <v>No Impact</v>
      </c>
      <c r="AB108" s="2">
        <f t="shared" si="41"/>
        <v>4.6906566359643541E-2</v>
      </c>
      <c r="AC108" s="2">
        <f t="shared" si="42"/>
        <v>0.10140590302431274</v>
      </c>
      <c r="AD108" s="2" t="str">
        <f t="shared" si="43"/>
        <v>No Impact</v>
      </c>
      <c r="AE108" s="2">
        <f t="shared" si="44"/>
        <v>2.4247661327801217E-2</v>
      </c>
      <c r="AF108" s="2">
        <f t="shared" si="45"/>
        <v>0.1652113150897927</v>
      </c>
      <c r="AG108" s="2" t="s">
        <v>1169</v>
      </c>
    </row>
    <row r="109" spans="1:33" x14ac:dyDescent="0.3">
      <c r="A109" s="2">
        <v>202245</v>
      </c>
      <c r="B109" s="2" t="s">
        <v>240</v>
      </c>
      <c r="C109" s="2" t="s">
        <v>236</v>
      </c>
      <c r="D109" s="2" t="s">
        <v>241</v>
      </c>
      <c r="E109" s="3">
        <v>6.2</v>
      </c>
      <c r="F109" s="4">
        <f t="shared" si="27"/>
        <v>0.66666666666666663</v>
      </c>
      <c r="G109" s="2">
        <v>78.928156799999996</v>
      </c>
      <c r="H109" s="2">
        <f t="shared" si="28"/>
        <v>0.33734656747964592</v>
      </c>
      <c r="I109" s="2">
        <v>2.1</v>
      </c>
      <c r="J109" s="4">
        <f t="shared" si="29"/>
        <v>3.1866464339908959E-2</v>
      </c>
      <c r="K109" s="2">
        <v>0</v>
      </c>
      <c r="L109" s="4">
        <f t="shared" si="30"/>
        <v>0</v>
      </c>
      <c r="M109" s="2">
        <v>10526</v>
      </c>
      <c r="N109" s="2">
        <f t="shared" si="31"/>
        <v>4.8672126726377198E-2</v>
      </c>
      <c r="O109" s="2">
        <v>0.53253236999999998</v>
      </c>
      <c r="P109" s="2">
        <f t="shared" si="26"/>
        <v>0.53772562529696899</v>
      </c>
      <c r="Q109" s="2">
        <v>0.1188</v>
      </c>
      <c r="R109" s="2">
        <f t="shared" si="32"/>
        <v>0.18471337579617833</v>
      </c>
      <c r="S109" s="2">
        <f t="shared" si="33"/>
        <v>3.1118954288134017E-2</v>
      </c>
      <c r="T109" s="5">
        <f t="shared" si="34"/>
        <v>4.8666196569659509E-2</v>
      </c>
      <c r="U109" s="2" t="str">
        <f t="shared" si="35"/>
        <v>No Impact</v>
      </c>
      <c r="V109" s="2">
        <f t="shared" si="36"/>
        <v>1.5913003282244081E-2</v>
      </c>
      <c r="W109" s="2">
        <f t="shared" si="37"/>
        <v>2.3286270891005545E-2</v>
      </c>
      <c r="X109" s="2" t="s">
        <v>1170</v>
      </c>
      <c r="Y109" s="2">
        <f t="shared" si="38"/>
        <v>4.6324905294023958E-2</v>
      </c>
      <c r="Z109" s="2">
        <f t="shared" si="39"/>
        <v>7.7790395887202948E-2</v>
      </c>
      <c r="AA109" s="2" t="str">
        <f t="shared" si="40"/>
        <v>No Impact</v>
      </c>
      <c r="AB109" s="2">
        <f t="shared" si="41"/>
        <v>2.0934604054015635E-2</v>
      </c>
      <c r="AC109" s="2">
        <f t="shared" si="42"/>
        <v>4.5257894433738427E-2</v>
      </c>
      <c r="AD109" s="2" t="str">
        <f t="shared" si="43"/>
        <v>No Impact</v>
      </c>
      <c r="AE109" s="2">
        <f t="shared" si="44"/>
        <v>4.1930894772086386E-3</v>
      </c>
      <c r="AF109" s="2">
        <f t="shared" si="45"/>
        <v>2.8569593473517427E-2</v>
      </c>
      <c r="AG109" s="2" t="s">
        <v>1170</v>
      </c>
    </row>
    <row r="110" spans="1:33" x14ac:dyDescent="0.3">
      <c r="A110" s="2">
        <v>202249</v>
      </c>
      <c r="B110" s="2" t="s">
        <v>242</v>
      </c>
      <c r="C110" s="2" t="s">
        <v>236</v>
      </c>
      <c r="D110" s="2" t="s">
        <v>243</v>
      </c>
      <c r="E110" s="3">
        <v>6.2</v>
      </c>
      <c r="F110" s="4">
        <f t="shared" si="27"/>
        <v>0.66666666666666663</v>
      </c>
      <c r="G110" s="2">
        <v>91.869174000000001</v>
      </c>
      <c r="H110" s="2">
        <f t="shared" si="28"/>
        <v>0.441825466065772</v>
      </c>
      <c r="I110" s="2">
        <v>2.9</v>
      </c>
      <c r="J110" s="4">
        <f t="shared" si="29"/>
        <v>4.4006069802731418E-2</v>
      </c>
      <c r="K110" s="2">
        <v>0</v>
      </c>
      <c r="L110" s="4">
        <f t="shared" si="30"/>
        <v>0</v>
      </c>
      <c r="M110" s="2">
        <v>24265</v>
      </c>
      <c r="N110" s="2">
        <f t="shared" si="31"/>
        <v>0.11367711837541933</v>
      </c>
      <c r="O110" s="2">
        <v>0.40944507800000002</v>
      </c>
      <c r="P110" s="2">
        <f t="shared" si="26"/>
        <v>0.39553639984361405</v>
      </c>
      <c r="Q110" s="2">
        <v>0.25540000000000002</v>
      </c>
      <c r="R110" s="2">
        <f t="shared" si="32"/>
        <v>0.58019687319050384</v>
      </c>
      <c r="S110" s="2">
        <f t="shared" si="33"/>
        <v>5.5304899374219507E-2</v>
      </c>
      <c r="T110" s="5">
        <f t="shared" si="34"/>
        <v>8.6490024031343968E-2</v>
      </c>
      <c r="U110" s="2" t="str">
        <f t="shared" si="35"/>
        <v>No Impact</v>
      </c>
      <c r="V110" s="2">
        <f t="shared" si="36"/>
        <v>6.5771518868590673E-2</v>
      </c>
      <c r="W110" s="2">
        <f t="shared" si="37"/>
        <v>9.6246659296289644E-2</v>
      </c>
      <c r="X110" s="2" t="s">
        <v>1169</v>
      </c>
      <c r="Y110" s="2">
        <f t="shared" si="38"/>
        <v>4.4838279879848335E-2</v>
      </c>
      <c r="Z110" s="2">
        <f t="shared" si="39"/>
        <v>7.5294002666953505E-2</v>
      </c>
      <c r="AA110" s="2" t="str">
        <f t="shared" si="40"/>
        <v>No Impact</v>
      </c>
      <c r="AB110" s="2">
        <f t="shared" si="41"/>
        <v>4.0981796437391811E-2</v>
      </c>
      <c r="AC110" s="2">
        <f t="shared" si="42"/>
        <v>8.859732011567048E-2</v>
      </c>
      <c r="AD110" s="2" t="str">
        <f t="shared" si="43"/>
        <v>No Impact</v>
      </c>
      <c r="AE110" s="2">
        <f t="shared" si="44"/>
        <v>1.2886516769801648E-2</v>
      </c>
      <c r="AF110" s="2">
        <f t="shared" si="45"/>
        <v>8.7802215384152921E-2</v>
      </c>
      <c r="AG110" s="2" t="s">
        <v>1169</v>
      </c>
    </row>
    <row r="111" spans="1:33" x14ac:dyDescent="0.3">
      <c r="A111" s="2">
        <v>202256</v>
      </c>
      <c r="B111" s="2" t="s">
        <v>244</v>
      </c>
      <c r="C111" s="2" t="s">
        <v>236</v>
      </c>
      <c r="D111" s="2" t="s">
        <v>245</v>
      </c>
      <c r="E111" s="3">
        <v>7</v>
      </c>
      <c r="F111" s="4">
        <f t="shared" si="27"/>
        <v>0.84444444444444444</v>
      </c>
      <c r="G111" s="2">
        <v>73.594954799999996</v>
      </c>
      <c r="H111" s="2">
        <f t="shared" si="28"/>
        <v>0.29428912753610542</v>
      </c>
      <c r="I111" s="2">
        <v>1.3</v>
      </c>
      <c r="J111" s="4">
        <f t="shared" si="29"/>
        <v>1.9726858877086497E-2</v>
      </c>
      <c r="K111" s="2">
        <v>0</v>
      </c>
      <c r="L111" s="4">
        <f t="shared" si="30"/>
        <v>0</v>
      </c>
      <c r="M111" s="2">
        <v>24564</v>
      </c>
      <c r="N111" s="2">
        <f t="shared" si="31"/>
        <v>0.11509181322242883</v>
      </c>
      <c r="O111" s="2">
        <v>0.57244345200000002</v>
      </c>
      <c r="P111" s="2">
        <f t="shared" si="26"/>
        <v>0.58383051349765624</v>
      </c>
      <c r="Q111" s="2">
        <v>0.18129999999999999</v>
      </c>
      <c r="R111" s="2">
        <f t="shared" si="32"/>
        <v>0.3656629994209612</v>
      </c>
      <c r="S111" s="2">
        <f t="shared" si="33"/>
        <v>4.4060852103249816E-2</v>
      </c>
      <c r="T111" s="5">
        <f t="shared" si="34"/>
        <v>6.8905724454278505E-2</v>
      </c>
      <c r="U111" s="2" t="str">
        <f t="shared" si="35"/>
        <v>No Impact</v>
      </c>
      <c r="V111" s="2">
        <f t="shared" si="36"/>
        <v>3.3936879226469513E-2</v>
      </c>
      <c r="W111" s="2">
        <f t="shared" si="37"/>
        <v>4.9661484312310371E-2</v>
      </c>
      <c r="X111" s="2" t="s">
        <v>1170</v>
      </c>
      <c r="Y111" s="2">
        <f t="shared" si="38"/>
        <v>5.4184824980030119E-2</v>
      </c>
      <c r="Z111" s="2">
        <f t="shared" si="39"/>
        <v>9.09890470260519E-2</v>
      </c>
      <c r="AA111" s="2" t="str">
        <f t="shared" si="40"/>
        <v>No Impact</v>
      </c>
      <c r="AB111" s="2">
        <f t="shared" si="41"/>
        <v>3.1871906676426955E-2</v>
      </c>
      <c r="AC111" s="2">
        <f t="shared" si="42"/>
        <v>6.8902921881964382E-2</v>
      </c>
      <c r="AD111" s="2" t="str">
        <f t="shared" si="43"/>
        <v>No Impact</v>
      </c>
      <c r="AE111" s="2">
        <f t="shared" si="44"/>
        <v>1.0681575580438822E-2</v>
      </c>
      <c r="AF111" s="2">
        <f t="shared" si="45"/>
        <v>7.2778859990591041E-2</v>
      </c>
      <c r="AG111" s="2" t="s">
        <v>1169</v>
      </c>
    </row>
    <row r="112" spans="1:33" x14ac:dyDescent="0.3">
      <c r="A112" s="2">
        <v>202266</v>
      </c>
      <c r="B112" s="2" t="s">
        <v>246</v>
      </c>
      <c r="C112" s="2" t="s">
        <v>236</v>
      </c>
      <c r="D112" s="2" t="s">
        <v>247</v>
      </c>
      <c r="E112" s="3">
        <v>7</v>
      </c>
      <c r="F112" s="4">
        <f t="shared" si="27"/>
        <v>0.84444444444444444</v>
      </c>
      <c r="G112" s="2">
        <v>83.120450399999996</v>
      </c>
      <c r="H112" s="2">
        <f t="shared" si="28"/>
        <v>0.37119291905374513</v>
      </c>
      <c r="I112" s="2">
        <v>2</v>
      </c>
      <c r="J112" s="4">
        <f t="shared" si="29"/>
        <v>3.034901365705615E-2</v>
      </c>
      <c r="K112" s="2">
        <v>0</v>
      </c>
      <c r="L112" s="4">
        <f t="shared" si="30"/>
        <v>0</v>
      </c>
      <c r="M112" s="2">
        <v>42505</v>
      </c>
      <c r="N112" s="2">
        <f t="shared" si="31"/>
        <v>0.19997823546389215</v>
      </c>
      <c r="O112" s="2">
        <v>0.533609954</v>
      </c>
      <c r="P112" s="2">
        <f t="shared" si="26"/>
        <v>0.53897043970332492</v>
      </c>
      <c r="Q112" s="2">
        <v>0.31759999999999999</v>
      </c>
      <c r="R112" s="2">
        <f t="shared" si="32"/>
        <v>0.76027793862188775</v>
      </c>
      <c r="S112" s="2">
        <f t="shared" si="33"/>
        <v>7.7096066391380738E-2</v>
      </c>
      <c r="T112" s="5">
        <f t="shared" si="34"/>
        <v>0.12056871471356354</v>
      </c>
      <c r="U112" s="2" t="str">
        <f t="shared" si="35"/>
        <v>No Impact</v>
      </c>
      <c r="V112" s="2">
        <f t="shared" si="36"/>
        <v>9.0228226426500052E-2</v>
      </c>
      <c r="W112" s="2">
        <f t="shared" si="37"/>
        <v>0.13203534777918852</v>
      </c>
      <c r="X112" s="2" t="s">
        <v>1169</v>
      </c>
      <c r="Y112" s="2">
        <f t="shared" si="38"/>
        <v>6.3963906356261424E-2</v>
      </c>
      <c r="Z112" s="2">
        <f t="shared" si="39"/>
        <v>0.10741042137839928</v>
      </c>
      <c r="AA112" s="2" t="str">
        <f t="shared" si="40"/>
        <v>No Impact</v>
      </c>
      <c r="AB112" s="2">
        <f t="shared" si="41"/>
        <v>5.9075603546559718E-2</v>
      </c>
      <c r="AC112" s="2">
        <f t="shared" si="42"/>
        <v>0.12771378059126615</v>
      </c>
      <c r="AD112" s="2" t="str">
        <f t="shared" si="43"/>
        <v>No Impact</v>
      </c>
      <c r="AE112" s="2">
        <f t="shared" si="44"/>
        <v>2.3733006829732228E-2</v>
      </c>
      <c r="AF112" s="2">
        <f t="shared" si="45"/>
        <v>0.16170471932810712</v>
      </c>
      <c r="AG112" s="2" t="s">
        <v>1169</v>
      </c>
    </row>
    <row r="113" spans="1:33" x14ac:dyDescent="0.3">
      <c r="A113" s="2">
        <v>202290</v>
      </c>
      <c r="B113" s="2" t="s">
        <v>248</v>
      </c>
      <c r="C113" s="2" t="s">
        <v>236</v>
      </c>
      <c r="D113" s="2" t="s">
        <v>249</v>
      </c>
      <c r="E113" s="3">
        <v>7.2</v>
      </c>
      <c r="F113" s="4">
        <f t="shared" si="27"/>
        <v>0.88888888888888884</v>
      </c>
      <c r="G113" s="2">
        <v>97.815762000000007</v>
      </c>
      <c r="H113" s="2">
        <f t="shared" si="28"/>
        <v>0.48983505874180017</v>
      </c>
      <c r="I113" s="2">
        <v>5.6000000000000005</v>
      </c>
      <c r="J113" s="4">
        <f t="shared" si="29"/>
        <v>8.4977238239757225E-2</v>
      </c>
      <c r="K113" s="2">
        <v>0</v>
      </c>
      <c r="L113" s="4">
        <f t="shared" si="30"/>
        <v>0</v>
      </c>
      <c r="M113" s="2">
        <v>42859</v>
      </c>
      <c r="N113" s="2">
        <f t="shared" si="31"/>
        <v>0.20165315846001713</v>
      </c>
      <c r="O113" s="2">
        <v>0.64497165700000003</v>
      </c>
      <c r="P113" s="2">
        <f t="shared" si="26"/>
        <v>0.66761438041766408</v>
      </c>
      <c r="Q113" s="2">
        <v>0.31759999999999999</v>
      </c>
      <c r="R113" s="2">
        <f t="shared" si="32"/>
        <v>0.76027793862188775</v>
      </c>
      <c r="S113" s="2">
        <f t="shared" si="33"/>
        <v>0.12767534324991406</v>
      </c>
      <c r="T113" s="5">
        <f t="shared" si="34"/>
        <v>0.19966844946548637</v>
      </c>
      <c r="U113" s="2" t="str">
        <f t="shared" si="35"/>
        <v>Low</v>
      </c>
      <c r="V113" s="2">
        <f t="shared" si="36"/>
        <v>0.1359608781202469</v>
      </c>
      <c r="W113" s="2">
        <f t="shared" si="37"/>
        <v>0.19895815908111722</v>
      </c>
      <c r="X113" s="2" t="s">
        <v>1169</v>
      </c>
      <c r="Y113" s="2">
        <f t="shared" si="38"/>
        <v>0.1193898083795812</v>
      </c>
      <c r="Z113" s="2">
        <f t="shared" si="39"/>
        <v>0.20048352824032689</v>
      </c>
      <c r="AA113" s="2" t="str">
        <f t="shared" si="40"/>
        <v>Low</v>
      </c>
      <c r="AB113" s="2">
        <f t="shared" si="41"/>
        <v>9.6024856623052837E-2</v>
      </c>
      <c r="AC113" s="2">
        <f t="shared" si="42"/>
        <v>0.2075932658123226</v>
      </c>
      <c r="AD113" s="2" t="str">
        <f t="shared" si="43"/>
        <v>Low</v>
      </c>
      <c r="AE113" s="2">
        <f t="shared" si="44"/>
        <v>3.6061733620263062E-2</v>
      </c>
      <c r="AF113" s="2">
        <f t="shared" si="45"/>
        <v>0.24570643557242833</v>
      </c>
      <c r="AG113" s="2" t="s">
        <v>1169</v>
      </c>
    </row>
    <row r="114" spans="1:33" x14ac:dyDescent="0.3">
      <c r="A114" s="2">
        <v>202294</v>
      </c>
      <c r="B114" s="2" t="s">
        <v>250</v>
      </c>
      <c r="C114" s="2" t="s">
        <v>236</v>
      </c>
      <c r="D114" s="2" t="s">
        <v>251</v>
      </c>
      <c r="E114" s="3">
        <v>7</v>
      </c>
      <c r="F114" s="4">
        <f t="shared" si="27"/>
        <v>0.84444444444444444</v>
      </c>
      <c r="G114" s="2">
        <v>97.815762000000007</v>
      </c>
      <c r="H114" s="2">
        <f t="shared" si="28"/>
        <v>0.48983505874180017</v>
      </c>
      <c r="I114" s="2">
        <v>4.5999999999999996</v>
      </c>
      <c r="J114" s="4">
        <f t="shared" si="29"/>
        <v>6.9802731411229141E-2</v>
      </c>
      <c r="K114" s="2">
        <v>0</v>
      </c>
      <c r="L114" s="4">
        <f t="shared" si="30"/>
        <v>0</v>
      </c>
      <c r="M114" s="2">
        <v>79128</v>
      </c>
      <c r="N114" s="2">
        <f t="shared" si="31"/>
        <v>0.37325706282853804</v>
      </c>
      <c r="O114" s="2">
        <v>0.324338022</v>
      </c>
      <c r="P114" s="2">
        <f t="shared" si="26"/>
        <v>0.29722156833968177</v>
      </c>
      <c r="Q114" s="2">
        <v>0.31</v>
      </c>
      <c r="R114" s="2">
        <f t="shared" si="32"/>
        <v>0.73827446438911415</v>
      </c>
      <c r="S114" s="2">
        <f t="shared" si="33"/>
        <v>8.563762291702233E-2</v>
      </c>
      <c r="T114" s="5">
        <f t="shared" si="34"/>
        <v>0.13392665293471503</v>
      </c>
      <c r="U114" s="2" t="str">
        <f t="shared" si="35"/>
        <v>No Impact</v>
      </c>
      <c r="V114" s="2">
        <f t="shared" si="36"/>
        <v>0.12211359231190883</v>
      </c>
      <c r="W114" s="2">
        <f t="shared" si="37"/>
        <v>0.17869475293967987</v>
      </c>
      <c r="X114" s="2" t="s">
        <v>1169</v>
      </c>
      <c r="Y114" s="2">
        <f t="shared" si="38"/>
        <v>4.9161653522135848E-2</v>
      </c>
      <c r="Z114" s="2">
        <f t="shared" si="39"/>
        <v>8.2553962402807088E-2</v>
      </c>
      <c r="AA114" s="2" t="str">
        <f t="shared" si="40"/>
        <v>No Impact</v>
      </c>
      <c r="AB114" s="2">
        <f t="shared" si="41"/>
        <v>7.9096634867158594E-2</v>
      </c>
      <c r="AC114" s="2">
        <f t="shared" si="42"/>
        <v>0.17099664945395315</v>
      </c>
      <c r="AD114" s="2" t="str">
        <f t="shared" si="43"/>
        <v>Low</v>
      </c>
      <c r="AE114" s="2">
        <f t="shared" si="44"/>
        <v>6.1738232860999255E-2</v>
      </c>
      <c r="AF114" s="2">
        <f t="shared" si="45"/>
        <v>0.42065313039451241</v>
      </c>
      <c r="AG114" s="2" t="str">
        <f t="shared" ref="AG67:AG130" si="46">IF(AF114&gt;0.7,"High",IF(AF114&gt;0.3,"Moderate",IF(AF114&gt;0.15,"Low","No Impact")))</f>
        <v>Moderate</v>
      </c>
    </row>
    <row r="115" spans="1:33" x14ac:dyDescent="0.3">
      <c r="A115" s="2">
        <v>203014</v>
      </c>
      <c r="B115" s="2" t="s">
        <v>252</v>
      </c>
      <c r="C115" s="2" t="s">
        <v>253</v>
      </c>
      <c r="D115" s="2" t="s">
        <v>254</v>
      </c>
      <c r="E115" s="3">
        <v>5.5</v>
      </c>
      <c r="F115" s="4">
        <f t="shared" si="27"/>
        <v>0.51111111111111107</v>
      </c>
      <c r="G115" s="2">
        <v>54.2747484</v>
      </c>
      <c r="H115" s="2">
        <f t="shared" si="28"/>
        <v>0.13830804398352173</v>
      </c>
      <c r="I115" s="2">
        <v>2.0999999999999996</v>
      </c>
      <c r="J115" s="4">
        <f t="shared" si="29"/>
        <v>3.1866464339908952E-2</v>
      </c>
      <c r="K115" s="2">
        <v>0</v>
      </c>
      <c r="L115" s="4">
        <f t="shared" si="30"/>
        <v>0</v>
      </c>
      <c r="M115" s="2">
        <v>24400</v>
      </c>
      <c r="N115" s="2">
        <f t="shared" si="31"/>
        <v>0.11431586019597545</v>
      </c>
      <c r="O115" s="2">
        <v>0.38334942100000002</v>
      </c>
      <c r="P115" s="2">
        <f t="shared" si="26"/>
        <v>0.36539095431275925</v>
      </c>
      <c r="Q115" s="2">
        <v>0.28420000000000001</v>
      </c>
      <c r="R115" s="2">
        <f t="shared" si="32"/>
        <v>0.66357845975680374</v>
      </c>
      <c r="S115" s="2">
        <f t="shared" si="33"/>
        <v>1.5662112568433872E-2</v>
      </c>
      <c r="T115" s="5">
        <f t="shared" si="34"/>
        <v>2.4493607397411112E-2</v>
      </c>
      <c r="U115" s="2" t="str">
        <f t="shared" si="35"/>
        <v>No Impact</v>
      </c>
      <c r="V115" s="2">
        <f t="shared" si="36"/>
        <v>2.0200873597582773E-2</v>
      </c>
      <c r="W115" s="2">
        <f t="shared" si="37"/>
        <v>2.9560919864395144E-2</v>
      </c>
      <c r="X115" s="2" t="s">
        <v>1170</v>
      </c>
      <c r="Y115" s="2">
        <f t="shared" si="38"/>
        <v>1.1123351539284969E-2</v>
      </c>
      <c r="Z115" s="2">
        <f t="shared" si="39"/>
        <v>1.8678719672312657E-2</v>
      </c>
      <c r="AA115" s="2" t="str">
        <f t="shared" si="40"/>
        <v>No Impact</v>
      </c>
      <c r="AB115" s="2">
        <f t="shared" si="41"/>
        <v>1.1625325568485435E-2</v>
      </c>
      <c r="AC115" s="2">
        <f t="shared" si="42"/>
        <v>2.5132443679317225E-2</v>
      </c>
      <c r="AD115" s="2" t="str">
        <f t="shared" si="43"/>
        <v>No Impact</v>
      </c>
      <c r="AE115" s="2">
        <f t="shared" si="44"/>
        <v>3.4800409929884959E-3</v>
      </c>
      <c r="AF115" s="2">
        <f t="shared" si="45"/>
        <v>2.3711241312943287E-2</v>
      </c>
      <c r="AG115" s="2" t="s">
        <v>1170</v>
      </c>
    </row>
    <row r="116" spans="1:33" x14ac:dyDescent="0.3">
      <c r="A116" s="2">
        <v>203025</v>
      </c>
      <c r="B116" s="2" t="s">
        <v>255</v>
      </c>
      <c r="C116" s="2" t="s">
        <v>253</v>
      </c>
      <c r="D116" s="2" t="s">
        <v>256</v>
      </c>
      <c r="E116" s="3">
        <v>5.6</v>
      </c>
      <c r="F116" s="4">
        <f t="shared" si="27"/>
        <v>0.53333333333333321</v>
      </c>
      <c r="G116" s="2">
        <v>58.180608000000007</v>
      </c>
      <c r="H116" s="2">
        <f t="shared" si="28"/>
        <v>0.16984187959576769</v>
      </c>
      <c r="I116" s="2">
        <v>3.600000000000001</v>
      </c>
      <c r="J116" s="4">
        <f t="shared" si="29"/>
        <v>5.4628224582701085E-2</v>
      </c>
      <c r="K116" s="2">
        <v>0</v>
      </c>
      <c r="L116" s="4">
        <f t="shared" si="30"/>
        <v>0</v>
      </c>
      <c r="M116" s="2">
        <v>37243</v>
      </c>
      <c r="N116" s="2">
        <f t="shared" si="31"/>
        <v>0.17508149872488207</v>
      </c>
      <c r="O116" s="2">
        <v>0.41889696300000001</v>
      </c>
      <c r="P116" s="2">
        <f t="shared" si="26"/>
        <v>0.4064551241520844</v>
      </c>
      <c r="Q116" s="2">
        <v>0.2782</v>
      </c>
      <c r="R116" s="2">
        <f t="shared" si="32"/>
        <v>0.64620729588882464</v>
      </c>
      <c r="S116" s="2">
        <f t="shared" si="33"/>
        <v>2.2053849355191901E-2</v>
      </c>
      <c r="T116" s="5">
        <f t="shared" si="34"/>
        <v>3.4489493377567619E-2</v>
      </c>
      <c r="U116" s="2" t="str">
        <f t="shared" si="35"/>
        <v>No Impact</v>
      </c>
      <c r="V116" s="2">
        <f t="shared" si="36"/>
        <v>2.7076787552089518E-2</v>
      </c>
      <c r="W116" s="2">
        <f t="shared" si="37"/>
        <v>3.9622778843997494E-2</v>
      </c>
      <c r="X116" s="2" t="s">
        <v>1170</v>
      </c>
      <c r="Y116" s="2">
        <f t="shared" si="38"/>
        <v>1.7030911158294287E-2</v>
      </c>
      <c r="Z116" s="2">
        <f t="shared" si="39"/>
        <v>2.8598899726070305E-2</v>
      </c>
      <c r="AA116" s="2" t="str">
        <f t="shared" si="40"/>
        <v>No Impact</v>
      </c>
      <c r="AB116" s="2">
        <f t="shared" si="41"/>
        <v>1.7153785724941403E-2</v>
      </c>
      <c r="AC116" s="2">
        <f t="shared" si="42"/>
        <v>3.7084256357332465E-2</v>
      </c>
      <c r="AD116" s="2" t="str">
        <f t="shared" si="43"/>
        <v>No Impact</v>
      </c>
      <c r="AE116" s="2">
        <f t="shared" si="44"/>
        <v>7.3361049549193862E-3</v>
      </c>
      <c r="AF116" s="2">
        <f t="shared" si="45"/>
        <v>4.9984513180631809E-2</v>
      </c>
      <c r="AG116" s="2" t="s">
        <v>1169</v>
      </c>
    </row>
    <row r="117" spans="1:33" x14ac:dyDescent="0.3">
      <c r="A117" s="2">
        <v>203029</v>
      </c>
      <c r="B117" s="2" t="s">
        <v>257</v>
      </c>
      <c r="C117" s="2" t="s">
        <v>253</v>
      </c>
      <c r="D117" s="2" t="s">
        <v>258</v>
      </c>
      <c r="E117" s="3">
        <v>5.6</v>
      </c>
      <c r="F117" s="4">
        <f t="shared" si="27"/>
        <v>0.53333333333333321</v>
      </c>
      <c r="G117" s="2">
        <v>58.180608000000007</v>
      </c>
      <c r="H117" s="2">
        <f t="shared" si="28"/>
        <v>0.16984187959576769</v>
      </c>
      <c r="I117" s="2">
        <v>2.8000000000000003</v>
      </c>
      <c r="J117" s="4">
        <f t="shared" si="29"/>
        <v>4.2488619119878612E-2</v>
      </c>
      <c r="K117" s="2">
        <v>0</v>
      </c>
      <c r="L117" s="4">
        <f t="shared" si="30"/>
        <v>0</v>
      </c>
      <c r="M117" s="2">
        <v>65689</v>
      </c>
      <c r="N117" s="2">
        <f t="shared" si="31"/>
        <v>0.30967149744739841</v>
      </c>
      <c r="O117" s="2">
        <v>0.37266564200000002</v>
      </c>
      <c r="P117" s="2">
        <f t="shared" si="26"/>
        <v>0.35304915820821242</v>
      </c>
      <c r="Q117" s="2">
        <v>0.28960000000000002</v>
      </c>
      <c r="R117" s="2">
        <f t="shared" si="32"/>
        <v>0.6792125072379851</v>
      </c>
      <c r="S117" s="2">
        <f t="shared" si="33"/>
        <v>2.0456859194728567E-2</v>
      </c>
      <c r="T117" s="5">
        <f t="shared" si="34"/>
        <v>3.1991998238453771E-2</v>
      </c>
      <c r="U117" s="2" t="str">
        <f t="shared" si="35"/>
        <v>No Impact</v>
      </c>
      <c r="V117" s="2">
        <f t="shared" si="36"/>
        <v>2.6920605673872559E-2</v>
      </c>
      <c r="W117" s="2">
        <f t="shared" si="37"/>
        <v>3.939423031296789E-2</v>
      </c>
      <c r="X117" s="2" t="s">
        <v>1170</v>
      </c>
      <c r="Y117" s="2">
        <f t="shared" si="38"/>
        <v>1.399311271558458E-2</v>
      </c>
      <c r="Z117" s="2">
        <f t="shared" si="39"/>
        <v>2.3497722681367277E-2</v>
      </c>
      <c r="AA117" s="2" t="str">
        <f t="shared" si="40"/>
        <v>No Impact</v>
      </c>
      <c r="AB117" s="2">
        <f t="shared" si="41"/>
        <v>1.7915989095277869E-2</v>
      </c>
      <c r="AC117" s="2">
        <f t="shared" si="42"/>
        <v>3.873204102919544E-2</v>
      </c>
      <c r="AD117" s="2" t="str">
        <f t="shared" si="43"/>
        <v>No Impact</v>
      </c>
      <c r="AE117" s="2">
        <f t="shared" si="44"/>
        <v>1.2273837984991719E-2</v>
      </c>
      <c r="AF117" s="2">
        <f t="shared" si="45"/>
        <v>8.3627731651570891E-2</v>
      </c>
      <c r="AG117" s="2" t="s">
        <v>1169</v>
      </c>
    </row>
    <row r="118" spans="1:33" x14ac:dyDescent="0.3">
      <c r="A118" s="2">
        <v>203041</v>
      </c>
      <c r="B118" s="2" t="s">
        <v>259</v>
      </c>
      <c r="C118" s="2" t="s">
        <v>253</v>
      </c>
      <c r="D118" s="2" t="s">
        <v>260</v>
      </c>
      <c r="E118" s="3">
        <v>5.5</v>
      </c>
      <c r="F118" s="4">
        <f t="shared" si="27"/>
        <v>0.51111111111111107</v>
      </c>
      <c r="G118" s="2">
        <v>54.2747484</v>
      </c>
      <c r="H118" s="2">
        <f t="shared" si="28"/>
        <v>0.13830804398352173</v>
      </c>
      <c r="I118" s="2">
        <v>1.9000000000000006</v>
      </c>
      <c r="J118" s="4">
        <f t="shared" si="29"/>
        <v>2.8831562974203351E-2</v>
      </c>
      <c r="K118" s="2">
        <v>0</v>
      </c>
      <c r="L118" s="4">
        <f t="shared" si="30"/>
        <v>0</v>
      </c>
      <c r="M118" s="2">
        <v>9161</v>
      </c>
      <c r="N118" s="2">
        <f t="shared" si="31"/>
        <v>4.2213737207420762E-2</v>
      </c>
      <c r="O118" s="2">
        <v>0.25673790699999999</v>
      </c>
      <c r="P118" s="2">
        <f t="shared" si="26"/>
        <v>0.21913058237170935</v>
      </c>
      <c r="Q118" s="2">
        <v>0.26240000000000002</v>
      </c>
      <c r="R118" s="2">
        <f t="shared" si="32"/>
        <v>0.60046323103647958</v>
      </c>
      <c r="S118" s="2">
        <f t="shared" si="33"/>
        <v>1.2252689245512481E-2</v>
      </c>
      <c r="T118" s="5">
        <f t="shared" si="34"/>
        <v>1.9161690904132847E-2</v>
      </c>
      <c r="U118" s="2" t="str">
        <f t="shared" si="35"/>
        <v>No Impact</v>
      </c>
      <c r="V118" s="2">
        <f t="shared" si="36"/>
        <v>1.7953501485453844E-2</v>
      </c>
      <c r="W118" s="2">
        <f t="shared" si="37"/>
        <v>2.6272231056398782E-2</v>
      </c>
      <c r="X118" s="2" t="s">
        <v>1170</v>
      </c>
      <c r="Y118" s="2">
        <f t="shared" si="38"/>
        <v>6.5518770055711202E-3</v>
      </c>
      <c r="Z118" s="2">
        <f t="shared" si="39"/>
        <v>1.1002140270611378E-2</v>
      </c>
      <c r="AA118" s="2" t="str">
        <f t="shared" si="40"/>
        <v>No Impact</v>
      </c>
      <c r="AB118" s="2">
        <f t="shared" si="41"/>
        <v>8.6910467910573056E-3</v>
      </c>
      <c r="AC118" s="2">
        <f t="shared" si="42"/>
        <v>1.8788914142988208E-2</v>
      </c>
      <c r="AD118" s="2" t="str">
        <f t="shared" si="43"/>
        <v>No Impact</v>
      </c>
      <c r="AE118" s="2">
        <f t="shared" si="44"/>
        <v>1.2621661985060722E-3</v>
      </c>
      <c r="AF118" s="2">
        <f t="shared" si="45"/>
        <v>8.599762867769381E-3</v>
      </c>
      <c r="AG118" s="2" t="s">
        <v>1170</v>
      </c>
    </row>
    <row r="119" spans="1:33" x14ac:dyDescent="0.3">
      <c r="A119" s="2">
        <v>203051</v>
      </c>
      <c r="B119" s="2" t="s">
        <v>261</v>
      </c>
      <c r="C119" s="2" t="s">
        <v>253</v>
      </c>
      <c r="D119" s="2" t="s">
        <v>262</v>
      </c>
      <c r="E119" s="3">
        <v>5.7</v>
      </c>
      <c r="F119" s="4">
        <f t="shared" si="27"/>
        <v>0.55555555555555558</v>
      </c>
      <c r="G119" s="2">
        <v>53.9829504</v>
      </c>
      <c r="H119" s="2">
        <f t="shared" si="28"/>
        <v>0.13595222193503281</v>
      </c>
      <c r="I119" s="2">
        <v>1.9000000000000006</v>
      </c>
      <c r="J119" s="4">
        <f t="shared" si="29"/>
        <v>2.8831562974203351E-2</v>
      </c>
      <c r="K119" s="2">
        <v>0</v>
      </c>
      <c r="L119" s="4">
        <f t="shared" si="30"/>
        <v>0</v>
      </c>
      <c r="M119" s="2">
        <v>14970</v>
      </c>
      <c r="N119" s="2">
        <f t="shared" si="31"/>
        <v>6.9698561174906443E-2</v>
      </c>
      <c r="O119" s="2">
        <v>0.30088562200000002</v>
      </c>
      <c r="P119" s="2">
        <f t="shared" si="26"/>
        <v>0.27012958721930536</v>
      </c>
      <c r="Q119" s="2">
        <v>0.2621</v>
      </c>
      <c r="R119" s="2">
        <f t="shared" si="32"/>
        <v>0.59959467284308055</v>
      </c>
      <c r="S119" s="2">
        <f t="shared" si="33"/>
        <v>1.3933544275045185E-2</v>
      </c>
      <c r="T119" s="5">
        <f t="shared" si="34"/>
        <v>2.1790340328369153E-2</v>
      </c>
      <c r="U119" s="2" t="str">
        <f t="shared" si="35"/>
        <v>No Impact</v>
      </c>
      <c r="V119" s="2">
        <f t="shared" si="36"/>
        <v>1.9211787700485723E-2</v>
      </c>
      <c r="W119" s="2">
        <f t="shared" si="37"/>
        <v>2.8113542413026511E-2</v>
      </c>
      <c r="X119" s="2" t="s">
        <v>1170</v>
      </c>
      <c r="Y119" s="2">
        <f t="shared" si="38"/>
        <v>8.6553008496046482E-3</v>
      </c>
      <c r="Z119" s="2">
        <f t="shared" si="39"/>
        <v>1.4534282916287949E-2</v>
      </c>
      <c r="AA119" s="2" t="str">
        <f t="shared" si="40"/>
        <v>No Impact</v>
      </c>
      <c r="AB119" s="2">
        <f t="shared" si="41"/>
        <v>1.0102347120806012E-2</v>
      </c>
      <c r="AC119" s="2">
        <f t="shared" si="42"/>
        <v>2.1839962119499391E-2</v>
      </c>
      <c r="AD119" s="2" t="str">
        <f t="shared" si="43"/>
        <v>No Impact</v>
      </c>
      <c r="AE119" s="2">
        <f t="shared" si="44"/>
        <v>2.2332319164417541E-3</v>
      </c>
      <c r="AF119" s="2">
        <f t="shared" si="45"/>
        <v>1.5216114116243191E-2</v>
      </c>
      <c r="AG119" s="2" t="s">
        <v>1170</v>
      </c>
    </row>
    <row r="120" spans="1:33" x14ac:dyDescent="0.3">
      <c r="A120" s="2">
        <v>203094</v>
      </c>
      <c r="B120" s="2" t="s">
        <v>263</v>
      </c>
      <c r="C120" s="2" t="s">
        <v>253</v>
      </c>
      <c r="D120" s="2" t="s">
        <v>264</v>
      </c>
      <c r="E120" s="3">
        <v>5.4</v>
      </c>
      <c r="F120" s="4">
        <f t="shared" si="27"/>
        <v>0.48888888888888893</v>
      </c>
      <c r="G120" s="2">
        <v>71.687865599999995</v>
      </c>
      <c r="H120" s="2">
        <f t="shared" si="28"/>
        <v>0.27889230238379081</v>
      </c>
      <c r="I120" s="2">
        <v>2.9999999999999991</v>
      </c>
      <c r="J120" s="4">
        <f t="shared" si="29"/>
        <v>4.552352048558421E-2</v>
      </c>
      <c r="K120" s="2">
        <v>0</v>
      </c>
      <c r="L120" s="4">
        <f t="shared" si="30"/>
        <v>0</v>
      </c>
      <c r="M120" s="2">
        <v>40135</v>
      </c>
      <c r="N120" s="2">
        <f t="shared" si="31"/>
        <v>0.1887647679474623</v>
      </c>
      <c r="O120" s="2">
        <v>0.273289956</v>
      </c>
      <c r="P120" s="2">
        <f t="shared" si="26"/>
        <v>0.23825134608934789</v>
      </c>
      <c r="Q120" s="2">
        <v>0.27139999999999997</v>
      </c>
      <c r="R120" s="2">
        <f t="shared" si="32"/>
        <v>0.62651997683844818</v>
      </c>
      <c r="S120" s="2">
        <f t="shared" si="33"/>
        <v>2.4002226138613716E-2</v>
      </c>
      <c r="T120" s="5">
        <f t="shared" si="34"/>
        <v>3.7536513745148631E-2</v>
      </c>
      <c r="U120" s="2" t="str">
        <f t="shared" si="35"/>
        <v>No Impact</v>
      </c>
      <c r="V120" s="2">
        <f t="shared" si="36"/>
        <v>3.4778845610936256E-2</v>
      </c>
      <c r="W120" s="2">
        <f t="shared" si="37"/>
        <v>5.0893574632538602E-2</v>
      </c>
      <c r="X120" s="2" t="s">
        <v>1170</v>
      </c>
      <c r="Y120" s="2">
        <f t="shared" si="38"/>
        <v>1.3225606666291174E-2</v>
      </c>
      <c r="Z120" s="2">
        <f t="shared" si="39"/>
        <v>2.2208899767614681E-2</v>
      </c>
      <c r="AA120" s="2" t="str">
        <f t="shared" si="40"/>
        <v>No Impact</v>
      </c>
      <c r="AB120" s="2">
        <f t="shared" si="41"/>
        <v>1.9807770362002351E-2</v>
      </c>
      <c r="AC120" s="2">
        <f t="shared" si="42"/>
        <v>4.2821826374083174E-2</v>
      </c>
      <c r="AD120" s="2" t="str">
        <f t="shared" si="43"/>
        <v>No Impact</v>
      </c>
      <c r="AE120" s="2">
        <f t="shared" si="44"/>
        <v>1.0478549709392314E-2</v>
      </c>
      <c r="AF120" s="2">
        <f t="shared" si="45"/>
        <v>7.1395544267916111E-2</v>
      </c>
      <c r="AG120" s="2" t="s">
        <v>1169</v>
      </c>
    </row>
    <row r="121" spans="1:33" x14ac:dyDescent="0.3">
      <c r="A121" s="2">
        <v>204643</v>
      </c>
      <c r="B121" s="2" t="s">
        <v>265</v>
      </c>
      <c r="C121" s="2" t="s">
        <v>266</v>
      </c>
      <c r="D121" s="2" t="s">
        <v>267</v>
      </c>
      <c r="E121" s="3">
        <v>6.2</v>
      </c>
      <c r="F121" s="4">
        <f t="shared" si="27"/>
        <v>0.66666666666666663</v>
      </c>
      <c r="G121" s="2">
        <v>49.192999199999996</v>
      </c>
      <c r="H121" s="2">
        <f t="shared" si="28"/>
        <v>9.7280700375097548E-2</v>
      </c>
      <c r="I121" s="2">
        <v>0.10000000000000113</v>
      </c>
      <c r="J121" s="4">
        <f t="shared" si="29"/>
        <v>1.5174506828528247E-3</v>
      </c>
      <c r="K121" s="2">
        <v>0</v>
      </c>
      <c r="L121" s="4">
        <f t="shared" si="30"/>
        <v>0</v>
      </c>
      <c r="M121" s="2">
        <v>15793</v>
      </c>
      <c r="N121" s="2">
        <f t="shared" si="31"/>
        <v>7.3592520569852327E-2</v>
      </c>
      <c r="O121" s="2">
        <v>0.26245808599999998</v>
      </c>
      <c r="P121" s="2">
        <f t="shared" si="26"/>
        <v>0.22573847672252947</v>
      </c>
      <c r="Q121" s="2">
        <v>0.39119999999999999</v>
      </c>
      <c r="R121" s="2">
        <f t="shared" si="32"/>
        <v>0.97336421540243201</v>
      </c>
      <c r="S121" s="2">
        <f t="shared" si="33"/>
        <v>1.3821398372898305E-2</v>
      </c>
      <c r="T121" s="5">
        <f t="shared" si="34"/>
        <v>2.1614958004534352E-2</v>
      </c>
      <c r="U121" s="2" t="str">
        <f t="shared" si="35"/>
        <v>No Impact</v>
      </c>
      <c r="V121" s="2">
        <f t="shared" si="36"/>
        <v>2.2438869783804324E-2</v>
      </c>
      <c r="W121" s="2">
        <f t="shared" si="37"/>
        <v>3.2835888424449573E-2</v>
      </c>
      <c r="X121" s="2" t="s">
        <v>1170</v>
      </c>
      <c r="Y121" s="2">
        <f t="shared" si="38"/>
        <v>5.2039269619922855E-3</v>
      </c>
      <c r="Z121" s="2">
        <f t="shared" si="39"/>
        <v>8.7386155669851202E-3</v>
      </c>
      <c r="AA121" s="2" t="str">
        <f t="shared" si="40"/>
        <v>No Impact</v>
      </c>
      <c r="AB121" s="2">
        <f t="shared" si="41"/>
        <v>1.0008564918322173E-2</v>
      </c>
      <c r="AC121" s="2">
        <f t="shared" si="42"/>
        <v>2.163721718060178E-2</v>
      </c>
      <c r="AD121" s="2" t="str">
        <f t="shared" si="43"/>
        <v>No Impact</v>
      </c>
      <c r="AE121" s="2">
        <f t="shared" si="44"/>
        <v>1.6965211582656377E-3</v>
      </c>
      <c r="AF121" s="2">
        <f t="shared" si="45"/>
        <v>1.1559238140354734E-2</v>
      </c>
      <c r="AG121" s="2" t="s">
        <v>1170</v>
      </c>
    </row>
    <row r="122" spans="1:33" x14ac:dyDescent="0.3">
      <c r="A122" s="2">
        <v>204649</v>
      </c>
      <c r="B122" s="2" t="s">
        <v>268</v>
      </c>
      <c r="C122" s="2" t="s">
        <v>266</v>
      </c>
      <c r="D122" s="2" t="s">
        <v>269</v>
      </c>
      <c r="E122" s="3">
        <v>6.2</v>
      </c>
      <c r="F122" s="4">
        <f t="shared" si="27"/>
        <v>0.66666666666666663</v>
      </c>
      <c r="G122" s="2">
        <v>49.192999199999996</v>
      </c>
      <c r="H122" s="2">
        <f t="shared" si="28"/>
        <v>9.7280700375097548E-2</v>
      </c>
      <c r="I122" s="2">
        <v>0</v>
      </c>
      <c r="J122" s="4">
        <f t="shared" si="29"/>
        <v>0</v>
      </c>
      <c r="K122" s="2">
        <v>0</v>
      </c>
      <c r="L122" s="4">
        <f t="shared" si="30"/>
        <v>0</v>
      </c>
      <c r="M122" s="2">
        <v>15837</v>
      </c>
      <c r="N122" s="2">
        <f t="shared" si="31"/>
        <v>7.3800703089144701E-2</v>
      </c>
      <c r="O122" s="2">
        <v>0.48774538200000001</v>
      </c>
      <c r="P122" s="2">
        <f t="shared" si="26"/>
        <v>0.48598813858624751</v>
      </c>
      <c r="Q122" s="2">
        <v>0.3412</v>
      </c>
      <c r="R122" s="2">
        <f t="shared" si="32"/>
        <v>0.82860451650260569</v>
      </c>
      <c r="S122" s="2">
        <f t="shared" si="33"/>
        <v>1.4919857656083646E-2</v>
      </c>
      <c r="T122" s="5">
        <f t="shared" si="34"/>
        <v>2.333281249618252E-2</v>
      </c>
      <c r="U122" s="2" t="str">
        <f t="shared" si="35"/>
        <v>No Impact</v>
      </c>
      <c r="V122" s="2">
        <f t="shared" si="36"/>
        <v>1.8808353129846595E-2</v>
      </c>
      <c r="W122" s="2">
        <f t="shared" si="37"/>
        <v>2.7523177003551499E-2</v>
      </c>
      <c r="X122" s="2" t="s">
        <v>1170</v>
      </c>
      <c r="Y122" s="2">
        <f t="shared" si="38"/>
        <v>1.1031362182320696E-2</v>
      </c>
      <c r="Z122" s="2">
        <f t="shared" si="39"/>
        <v>1.8524247937287151E-2</v>
      </c>
      <c r="AA122" s="2" t="str">
        <f t="shared" si="40"/>
        <v>No Impact</v>
      </c>
      <c r="AB122" s="2">
        <f t="shared" si="41"/>
        <v>1.047864861705859E-2</v>
      </c>
      <c r="AC122" s="2">
        <f t="shared" si="42"/>
        <v>2.2653477070568657E-2</v>
      </c>
      <c r="AD122" s="2" t="str">
        <f t="shared" si="43"/>
        <v>No Impact</v>
      </c>
      <c r="AE122" s="2">
        <f t="shared" si="44"/>
        <v>1.6751896197602116E-3</v>
      </c>
      <c r="AF122" s="2">
        <f t="shared" si="45"/>
        <v>1.1413895813038024E-2</v>
      </c>
      <c r="AG122" s="2" t="s">
        <v>1170</v>
      </c>
    </row>
    <row r="123" spans="1:33" x14ac:dyDescent="0.3">
      <c r="A123" s="2">
        <v>204661</v>
      </c>
      <c r="B123" s="2" t="s">
        <v>270</v>
      </c>
      <c r="C123" s="2" t="s">
        <v>266</v>
      </c>
      <c r="D123" s="2" t="s">
        <v>271</v>
      </c>
      <c r="E123" s="3">
        <v>5</v>
      </c>
      <c r="F123" s="4">
        <f t="shared" si="27"/>
        <v>0.39999999999999997</v>
      </c>
      <c r="G123" s="2">
        <v>57.945059999999998</v>
      </c>
      <c r="H123" s="2">
        <f t="shared" si="28"/>
        <v>0.16794019016719899</v>
      </c>
      <c r="I123" s="2">
        <v>0.29999999999999993</v>
      </c>
      <c r="J123" s="4">
        <f t="shared" si="29"/>
        <v>4.5523520485584211E-3</v>
      </c>
      <c r="K123" s="2">
        <v>0</v>
      </c>
      <c r="L123" s="4">
        <f t="shared" si="30"/>
        <v>0</v>
      </c>
      <c r="M123" s="2">
        <v>2349</v>
      </c>
      <c r="N123" s="2">
        <f t="shared" si="31"/>
        <v>9.9832980842476798E-3</v>
      </c>
      <c r="O123" s="2">
        <v>0.55264292699999995</v>
      </c>
      <c r="P123" s="2">
        <f t="shared" si="26"/>
        <v>0.56095714235126859</v>
      </c>
      <c r="Q123" s="2">
        <v>0.38400000000000001</v>
      </c>
      <c r="R123" s="2">
        <f t="shared" si="32"/>
        <v>0.95251881876085709</v>
      </c>
      <c r="S123" s="2">
        <f t="shared" si="33"/>
        <v>1.8274432128026711E-2</v>
      </c>
      <c r="T123" s="5">
        <f t="shared" si="34"/>
        <v>2.8578952168729087E-2</v>
      </c>
      <c r="U123" s="2" t="str">
        <f t="shared" si="35"/>
        <v>No Impact</v>
      </c>
      <c r="V123" s="2">
        <f t="shared" si="36"/>
        <v>2.3002334957897472E-2</v>
      </c>
      <c r="W123" s="2">
        <f t="shared" si="37"/>
        <v>3.366043439159716E-2</v>
      </c>
      <c r="X123" s="2" t="s">
        <v>1170</v>
      </c>
      <c r="Y123" s="2">
        <f t="shared" si="38"/>
        <v>1.3546529298155956E-2</v>
      </c>
      <c r="Z123" s="2">
        <f t="shared" si="39"/>
        <v>2.2747804238621661E-2</v>
      </c>
      <c r="AA123" s="2" t="str">
        <f t="shared" si="40"/>
        <v>No Impact</v>
      </c>
      <c r="AB123" s="2">
        <f t="shared" si="41"/>
        <v>1.2199156203557132E-2</v>
      </c>
      <c r="AC123" s="2">
        <f t="shared" si="42"/>
        <v>2.6372990968289638E-2</v>
      </c>
      <c r="AD123" s="2" t="str">
        <f t="shared" si="43"/>
        <v>No Impact</v>
      </c>
      <c r="AE123" s="2">
        <f t="shared" si="44"/>
        <v>2.4108622527494161E-4</v>
      </c>
      <c r="AF123" s="2">
        <f t="shared" si="45"/>
        <v>1.6426397494277E-3</v>
      </c>
      <c r="AG123" s="2" t="s">
        <v>1170</v>
      </c>
    </row>
    <row r="124" spans="1:33" x14ac:dyDescent="0.3">
      <c r="A124" s="2">
        <v>204665</v>
      </c>
      <c r="B124" s="2" t="s">
        <v>272</v>
      </c>
      <c r="C124" s="2" t="s">
        <v>266</v>
      </c>
      <c r="D124" s="2" t="s">
        <v>273</v>
      </c>
      <c r="E124" s="3">
        <v>6</v>
      </c>
      <c r="F124" s="4">
        <f t="shared" si="27"/>
        <v>0.62222222222222223</v>
      </c>
      <c r="G124" s="2">
        <v>57.521516400000003</v>
      </c>
      <c r="H124" s="2">
        <f t="shared" si="28"/>
        <v>0.1645207241277595</v>
      </c>
      <c r="I124" s="2">
        <v>0.20000000000000051</v>
      </c>
      <c r="J124" s="4">
        <f t="shared" si="29"/>
        <v>3.0349013657056229E-3</v>
      </c>
      <c r="K124" s="2">
        <v>0</v>
      </c>
      <c r="L124" s="4">
        <f t="shared" si="30"/>
        <v>0</v>
      </c>
      <c r="M124" s="2">
        <v>8061</v>
      </c>
      <c r="N124" s="2">
        <f t="shared" si="31"/>
        <v>3.7009174225111546E-2</v>
      </c>
      <c r="O124" s="2">
        <v>0.18172930800000001</v>
      </c>
      <c r="P124" s="2">
        <f t="shared" si="26"/>
        <v>0.13248138877216784</v>
      </c>
      <c r="Q124" s="2">
        <v>0.34420000000000001</v>
      </c>
      <c r="R124" s="2">
        <f t="shared" si="32"/>
        <v>0.8372900984365953</v>
      </c>
      <c r="S124" s="2">
        <f t="shared" si="33"/>
        <v>1.7693428306943596E-2</v>
      </c>
      <c r="T124" s="5">
        <f t="shared" si="34"/>
        <v>2.7670334035139174E-2</v>
      </c>
      <c r="U124" s="2" t="str">
        <f t="shared" si="35"/>
        <v>No Impact</v>
      </c>
      <c r="V124" s="2">
        <f t="shared" si="36"/>
        <v>3.0552625075504027E-2</v>
      </c>
      <c r="W124" s="2">
        <f t="shared" si="37"/>
        <v>4.470914077755312E-2</v>
      </c>
      <c r="X124" s="2" t="s">
        <v>1170</v>
      </c>
      <c r="Y124" s="2">
        <f t="shared" si="38"/>
        <v>4.8342315383831632E-3</v>
      </c>
      <c r="Z124" s="2">
        <f t="shared" si="39"/>
        <v>8.1178101238285911E-3</v>
      </c>
      <c r="AA124" s="2" t="str">
        <f t="shared" si="40"/>
        <v>No Impact</v>
      </c>
      <c r="AB124" s="2">
        <f t="shared" si="41"/>
        <v>1.2616349504684874E-2</v>
      </c>
      <c r="AC124" s="2">
        <f t="shared" si="42"/>
        <v>2.7274908689407483E-2</v>
      </c>
      <c r="AD124" s="2" t="str">
        <f t="shared" si="43"/>
        <v>No Impact</v>
      </c>
      <c r="AE124" s="2">
        <f t="shared" si="44"/>
        <v>1.3504607621243308E-3</v>
      </c>
      <c r="AF124" s="2">
        <f t="shared" si="45"/>
        <v>9.2013574204748341E-3</v>
      </c>
      <c r="AG124" s="2" t="s">
        <v>1170</v>
      </c>
    </row>
    <row r="125" spans="1:33" x14ac:dyDescent="0.3">
      <c r="A125" s="2">
        <v>204667</v>
      </c>
      <c r="B125" s="2" t="s">
        <v>274</v>
      </c>
      <c r="C125" s="2" t="s">
        <v>266</v>
      </c>
      <c r="D125" s="2" t="s">
        <v>275</v>
      </c>
      <c r="E125" s="3">
        <v>6.2</v>
      </c>
      <c r="F125" s="4">
        <f t="shared" si="27"/>
        <v>0.66666666666666663</v>
      </c>
      <c r="G125" s="2">
        <v>57.945059999999998</v>
      </c>
      <c r="H125" s="2">
        <f t="shared" si="28"/>
        <v>0.16794019016719899</v>
      </c>
      <c r="I125" s="2">
        <v>0.3999999999999993</v>
      </c>
      <c r="J125" s="4">
        <f t="shared" si="29"/>
        <v>6.0698027314112189E-3</v>
      </c>
      <c r="K125" s="2">
        <v>0</v>
      </c>
      <c r="L125" s="4">
        <f t="shared" si="30"/>
        <v>0</v>
      </c>
      <c r="M125" s="2">
        <v>12067</v>
      </c>
      <c r="N125" s="2">
        <f t="shared" si="31"/>
        <v>5.5963246322503109E-2</v>
      </c>
      <c r="O125" s="2">
        <v>0.24649091000000001</v>
      </c>
      <c r="P125" s="2">
        <f t="shared" si="26"/>
        <v>0.20729335252467648</v>
      </c>
      <c r="Q125" s="2">
        <v>0.34470000000000001</v>
      </c>
      <c r="R125" s="2">
        <f t="shared" si="32"/>
        <v>0.83873769542559362</v>
      </c>
      <c r="S125" s="2">
        <f t="shared" si="33"/>
        <v>2.1235649776314435E-2</v>
      </c>
      <c r="T125" s="5">
        <f t="shared" si="34"/>
        <v>3.3209930408639496E-2</v>
      </c>
      <c r="U125" s="2" t="str">
        <f t="shared" si="35"/>
        <v>No Impact</v>
      </c>
      <c r="V125" s="2">
        <f t="shared" si="36"/>
        <v>3.4054706099120986E-2</v>
      </c>
      <c r="W125" s="2">
        <f t="shared" si="37"/>
        <v>4.9833906100085888E-2</v>
      </c>
      <c r="X125" s="2" t="s">
        <v>1170</v>
      </c>
      <c r="Y125" s="2">
        <f t="shared" si="38"/>
        <v>8.4165934535078788E-3</v>
      </c>
      <c r="Z125" s="2">
        <f t="shared" si="39"/>
        <v>1.4133437135261245E-2</v>
      </c>
      <c r="AA125" s="2" t="str">
        <f t="shared" si="40"/>
        <v>No Impact</v>
      </c>
      <c r="AB125" s="2">
        <f t="shared" si="41"/>
        <v>1.5239408571849602E-2</v>
      </c>
      <c r="AC125" s="2">
        <f t="shared" si="42"/>
        <v>3.2945621641460192E-2</v>
      </c>
      <c r="AD125" s="2" t="str">
        <f t="shared" si="43"/>
        <v>No Impact</v>
      </c>
      <c r="AE125" s="2">
        <f t="shared" si="44"/>
        <v>2.2722382888711191E-3</v>
      </c>
      <c r="AF125" s="2">
        <f t="shared" si="45"/>
        <v>1.5481883833116831E-2</v>
      </c>
      <c r="AG125" s="2" t="s">
        <v>1170</v>
      </c>
    </row>
    <row r="126" spans="1:33" x14ac:dyDescent="0.3">
      <c r="A126" s="2">
        <v>204670</v>
      </c>
      <c r="B126" s="2" t="s">
        <v>276</v>
      </c>
      <c r="C126" s="2" t="s">
        <v>266</v>
      </c>
      <c r="D126" s="2" t="s">
        <v>277</v>
      </c>
      <c r="E126" s="3">
        <v>6.2</v>
      </c>
      <c r="F126" s="4">
        <f t="shared" si="27"/>
        <v>0.66666666666666663</v>
      </c>
      <c r="G126" s="2">
        <v>52.357064399999999</v>
      </c>
      <c r="H126" s="2">
        <f t="shared" si="28"/>
        <v>0.12282568204397988</v>
      </c>
      <c r="I126" s="2">
        <v>0.29999999999999993</v>
      </c>
      <c r="J126" s="4">
        <f t="shared" si="29"/>
        <v>4.5523520485584211E-3</v>
      </c>
      <c r="K126" s="2">
        <v>0</v>
      </c>
      <c r="L126" s="4">
        <f t="shared" si="30"/>
        <v>0</v>
      </c>
      <c r="M126" s="2">
        <v>9838</v>
      </c>
      <c r="N126" s="2">
        <f t="shared" si="31"/>
        <v>4.5416909151987435E-2</v>
      </c>
      <c r="O126" s="2">
        <v>0.25113012099999998</v>
      </c>
      <c r="P126" s="2">
        <f t="shared" si="26"/>
        <v>0.21265252330572415</v>
      </c>
      <c r="Q126" s="2">
        <v>0.3448</v>
      </c>
      <c r="R126" s="2">
        <f t="shared" si="32"/>
        <v>0.83902721482339326</v>
      </c>
      <c r="S126" s="2">
        <f t="shared" si="33"/>
        <v>1.5628771379414954E-2</v>
      </c>
      <c r="T126" s="5">
        <f t="shared" si="34"/>
        <v>2.4441465900507418E-2</v>
      </c>
      <c r="U126" s="2" t="str">
        <f t="shared" si="35"/>
        <v>No Impact</v>
      </c>
      <c r="V126" s="2">
        <f t="shared" si="36"/>
        <v>2.4937182007346383E-2</v>
      </c>
      <c r="W126" s="2">
        <f t="shared" si="37"/>
        <v>3.6491790090266783E-2</v>
      </c>
      <c r="X126" s="2" t="s">
        <v>1170</v>
      </c>
      <c r="Y126" s="2">
        <f t="shared" si="38"/>
        <v>6.3203607514835261E-3</v>
      </c>
      <c r="Z126" s="2">
        <f t="shared" si="39"/>
        <v>1.0613370105934548E-2</v>
      </c>
      <c r="AA126" s="2" t="str">
        <f t="shared" si="40"/>
        <v>No Impact</v>
      </c>
      <c r="AB126" s="2">
        <f t="shared" si="41"/>
        <v>1.1096573117207357E-2</v>
      </c>
      <c r="AC126" s="2">
        <f t="shared" si="42"/>
        <v>2.3989349567779279E-2</v>
      </c>
      <c r="AD126" s="2" t="str">
        <f t="shared" si="43"/>
        <v>No Impact</v>
      </c>
      <c r="AE126" s="2">
        <f t="shared" si="44"/>
        <v>1.3498605405458997E-3</v>
      </c>
      <c r="AF126" s="2">
        <f t="shared" si="45"/>
        <v>9.1972678138535074E-3</v>
      </c>
      <c r="AG126" s="2" t="s">
        <v>1170</v>
      </c>
    </row>
    <row r="127" spans="1:33" x14ac:dyDescent="0.3">
      <c r="A127" s="2">
        <v>204677</v>
      </c>
      <c r="B127" s="2" t="s">
        <v>278</v>
      </c>
      <c r="C127" s="2" t="s">
        <v>266</v>
      </c>
      <c r="D127" s="2" t="s">
        <v>279</v>
      </c>
      <c r="E127" s="3">
        <v>6.2</v>
      </c>
      <c r="F127" s="4">
        <f t="shared" si="27"/>
        <v>0.66666666666666663</v>
      </c>
      <c r="G127" s="2">
        <v>45.628156799999999</v>
      </c>
      <c r="H127" s="2">
        <f t="shared" si="28"/>
        <v>6.8500056486831815E-2</v>
      </c>
      <c r="I127" s="2">
        <v>0.20000000000000051</v>
      </c>
      <c r="J127" s="4">
        <f t="shared" si="29"/>
        <v>3.0349013657056229E-3</v>
      </c>
      <c r="K127" s="2">
        <v>0</v>
      </c>
      <c r="L127" s="4">
        <f t="shared" si="30"/>
        <v>0</v>
      </c>
      <c r="M127" s="2">
        <v>7474</v>
      </c>
      <c r="N127" s="2">
        <f t="shared" si="31"/>
        <v>3.4231830160915626E-2</v>
      </c>
      <c r="O127" s="2">
        <v>0.40916495000000003</v>
      </c>
      <c r="P127" s="2">
        <f t="shared" si="26"/>
        <v>0.39521279874149706</v>
      </c>
      <c r="Q127" s="2">
        <v>0.3528</v>
      </c>
      <c r="R127" s="2">
        <f t="shared" si="32"/>
        <v>0.86218876664736543</v>
      </c>
      <c r="S127" s="2">
        <f t="shared" si="33"/>
        <v>1.0493952931444134E-2</v>
      </c>
      <c r="T127" s="5">
        <f t="shared" si="34"/>
        <v>1.6411244781099552E-2</v>
      </c>
      <c r="U127" s="2" t="str">
        <f t="shared" si="35"/>
        <v>No Impact</v>
      </c>
      <c r="V127" s="2">
        <f t="shared" si="36"/>
        <v>1.4391215319378453E-2</v>
      </c>
      <c r="W127" s="2">
        <f t="shared" si="37"/>
        <v>2.1059364623632292E-2</v>
      </c>
      <c r="X127" s="2" t="s">
        <v>1170</v>
      </c>
      <c r="Y127" s="2">
        <f t="shared" si="38"/>
        <v>6.596690543509815E-3</v>
      </c>
      <c r="Z127" s="2">
        <f t="shared" si="39"/>
        <v>1.1077392725748226E-2</v>
      </c>
      <c r="AA127" s="2" t="str">
        <f t="shared" si="40"/>
        <v>No Impact</v>
      </c>
      <c r="AB127" s="2">
        <f t="shared" si="41"/>
        <v>7.2159156146038017E-3</v>
      </c>
      <c r="AC127" s="2">
        <f t="shared" si="42"/>
        <v>1.5599872167912353E-2</v>
      </c>
      <c r="AD127" s="2" t="str">
        <f t="shared" si="43"/>
        <v>No Impact</v>
      </c>
      <c r="AE127" s="2">
        <f t="shared" si="44"/>
        <v>5.7138025648114103E-4</v>
      </c>
      <c r="AF127" s="2">
        <f t="shared" si="45"/>
        <v>3.8930964233387546E-3</v>
      </c>
      <c r="AG127" s="2" t="s">
        <v>1170</v>
      </c>
    </row>
    <row r="128" spans="1:33" x14ac:dyDescent="0.3">
      <c r="A128" s="2">
        <v>204680</v>
      </c>
      <c r="B128" s="2" t="s">
        <v>280</v>
      </c>
      <c r="C128" s="2" t="s">
        <v>266</v>
      </c>
      <c r="D128" s="2" t="s">
        <v>281</v>
      </c>
      <c r="E128" s="3">
        <v>6.2</v>
      </c>
      <c r="F128" s="4">
        <f t="shared" si="27"/>
        <v>0.66666666666666663</v>
      </c>
      <c r="G128" s="2">
        <v>57.945059999999998</v>
      </c>
      <c r="H128" s="2">
        <f t="shared" si="28"/>
        <v>0.16794019016719899</v>
      </c>
      <c r="I128" s="2">
        <v>0.40000000000000019</v>
      </c>
      <c r="J128" s="4">
        <f t="shared" si="29"/>
        <v>6.0698027314112328E-3</v>
      </c>
      <c r="K128" s="2">
        <v>0</v>
      </c>
      <c r="L128" s="4">
        <f t="shared" si="30"/>
        <v>0</v>
      </c>
      <c r="M128" s="2">
        <v>11497</v>
      </c>
      <c r="N128" s="2">
        <f t="shared" si="31"/>
        <v>5.3266336413488331E-2</v>
      </c>
      <c r="O128" s="2">
        <v>0.38124245000000001</v>
      </c>
      <c r="P128" s="2">
        <f t="shared" si="26"/>
        <v>0.36295700219898069</v>
      </c>
      <c r="Q128" s="2">
        <v>0.35449999999999998</v>
      </c>
      <c r="R128" s="2">
        <f t="shared" si="32"/>
        <v>0.86711059640995947</v>
      </c>
      <c r="S128" s="2">
        <f t="shared" si="33"/>
        <v>2.4971806311521093E-2</v>
      </c>
      <c r="T128" s="5">
        <f t="shared" si="34"/>
        <v>3.9052817244548267E-2</v>
      </c>
      <c r="U128" s="2" t="str">
        <f t="shared" si="35"/>
        <v>No Impact</v>
      </c>
      <c r="V128" s="2">
        <f t="shared" si="36"/>
        <v>3.5206712035508236E-2</v>
      </c>
      <c r="W128" s="2">
        <f t="shared" si="37"/>
        <v>5.151969236097937E-2</v>
      </c>
      <c r="X128" s="2" t="s">
        <v>1170</v>
      </c>
      <c r="Y128" s="2">
        <f t="shared" si="38"/>
        <v>1.4736900587533946E-2</v>
      </c>
      <c r="Z128" s="2">
        <f t="shared" si="39"/>
        <v>2.4746717204892087E-2</v>
      </c>
      <c r="AA128" s="2" t="str">
        <f t="shared" si="40"/>
        <v>No Impact</v>
      </c>
      <c r="AB128" s="2">
        <f t="shared" si="41"/>
        <v>1.7500377499073492E-2</v>
      </c>
      <c r="AC128" s="2">
        <f t="shared" si="42"/>
        <v>3.7833542748648918E-2</v>
      </c>
      <c r="AD128" s="2" t="str">
        <f t="shared" si="43"/>
        <v>No Impact</v>
      </c>
      <c r="AE128" s="2">
        <f t="shared" si="44"/>
        <v>2.1627374582440873E-3</v>
      </c>
      <c r="AF128" s="2">
        <f t="shared" si="45"/>
        <v>1.4735800489789426E-2</v>
      </c>
      <c r="AG128" s="2" t="s">
        <v>1170</v>
      </c>
    </row>
    <row r="129" spans="1:33" x14ac:dyDescent="0.3">
      <c r="A129" s="2">
        <v>205133</v>
      </c>
      <c r="B129" s="2" t="s">
        <v>282</v>
      </c>
      <c r="C129" s="2" t="s">
        <v>283</v>
      </c>
      <c r="D129" s="2" t="s">
        <v>284</v>
      </c>
      <c r="E129" s="3">
        <v>6.5</v>
      </c>
      <c r="F129" s="4">
        <f t="shared" si="27"/>
        <v>0.73333333333333328</v>
      </c>
      <c r="G129" s="2">
        <v>88.86169439999999</v>
      </c>
      <c r="H129" s="2">
        <f t="shared" si="28"/>
        <v>0.41754467335279699</v>
      </c>
      <c r="I129" s="2">
        <v>14.399999999999997</v>
      </c>
      <c r="J129" s="4">
        <f t="shared" si="29"/>
        <v>0.21851289833080423</v>
      </c>
      <c r="K129" s="2">
        <v>0.9</v>
      </c>
      <c r="L129" s="4">
        <f t="shared" si="30"/>
        <v>0.375</v>
      </c>
      <c r="M129" s="2">
        <v>17191</v>
      </c>
      <c r="N129" s="2">
        <f t="shared" si="31"/>
        <v>8.0207046978278046E-2</v>
      </c>
      <c r="O129" s="2">
        <v>0.44828280199999998</v>
      </c>
      <c r="P129" s="2">
        <f t="shared" si="26"/>
        <v>0.44040135547145559</v>
      </c>
      <c r="Q129" s="2">
        <v>0.26750000000000002</v>
      </c>
      <c r="R129" s="2">
        <f t="shared" si="32"/>
        <v>0.61522872032426179</v>
      </c>
      <c r="S129" s="2">
        <f t="shared" si="33"/>
        <v>0.12971306679444597</v>
      </c>
      <c r="T129" s="5">
        <f t="shared" si="34"/>
        <v>0.20285519711949182</v>
      </c>
      <c r="U129" s="2" t="str">
        <f t="shared" si="35"/>
        <v>Low</v>
      </c>
      <c r="V129" s="2">
        <f t="shared" si="36"/>
        <v>0.15119539680247948</v>
      </c>
      <c r="W129" s="2">
        <f t="shared" si="37"/>
        <v>0.22125157049041369</v>
      </c>
      <c r="X129" s="2" t="s">
        <v>1169</v>
      </c>
      <c r="Y129" s="2">
        <f t="shared" si="38"/>
        <v>0.10823073678641246</v>
      </c>
      <c r="Z129" s="2">
        <f t="shared" si="39"/>
        <v>0.1817448262083074</v>
      </c>
      <c r="AA129" s="2" t="str">
        <f t="shared" si="40"/>
        <v>Low</v>
      </c>
      <c r="AB129" s="2">
        <f t="shared" si="41"/>
        <v>9.2286552639662942E-2</v>
      </c>
      <c r="AC129" s="2">
        <f t="shared" si="42"/>
        <v>0.19951153822841683</v>
      </c>
      <c r="AD129" s="2" t="str">
        <f t="shared" si="43"/>
        <v>Low</v>
      </c>
      <c r="AE129" s="2">
        <f t="shared" si="44"/>
        <v>1.9711264922489723E-2</v>
      </c>
      <c r="AF129" s="2">
        <f t="shared" si="45"/>
        <v>0.13430260163663915</v>
      </c>
      <c r="AG129" s="2" t="s">
        <v>1169</v>
      </c>
    </row>
    <row r="130" spans="1:33" x14ac:dyDescent="0.3">
      <c r="A130" s="2">
        <v>205143</v>
      </c>
      <c r="B130" s="2" t="s">
        <v>285</v>
      </c>
      <c r="C130" s="2" t="s">
        <v>283</v>
      </c>
      <c r="D130" s="2" t="s">
        <v>286</v>
      </c>
      <c r="E130" s="3">
        <v>6.5</v>
      </c>
      <c r="F130" s="4">
        <f t="shared" si="27"/>
        <v>0.73333333333333328</v>
      </c>
      <c r="G130" s="2">
        <v>88.86169439999999</v>
      </c>
      <c r="H130" s="2">
        <f t="shared" si="28"/>
        <v>0.41754467335279699</v>
      </c>
      <c r="I130" s="2">
        <v>12.6</v>
      </c>
      <c r="J130" s="4">
        <f t="shared" si="29"/>
        <v>0.19119878603945373</v>
      </c>
      <c r="K130" s="2">
        <v>0.9</v>
      </c>
      <c r="L130" s="4">
        <f t="shared" si="30"/>
        <v>0.375</v>
      </c>
      <c r="M130" s="2">
        <v>40462</v>
      </c>
      <c r="N130" s="2">
        <f t="shared" si="31"/>
        <v>0.19031194257947603</v>
      </c>
      <c r="O130" s="2">
        <v>0.376349343</v>
      </c>
      <c r="P130" s="2">
        <f t="shared" ref="P130:P193" si="47">(O130-$AJ$11)/$AK$11</f>
        <v>0.35730453326343542</v>
      </c>
      <c r="Q130" s="2">
        <v>0.31269999999999998</v>
      </c>
      <c r="R130" s="2">
        <f t="shared" si="32"/>
        <v>0.74609148812970472</v>
      </c>
      <c r="S130" s="2">
        <f t="shared" si="33"/>
        <v>0.13171467514575527</v>
      </c>
      <c r="T130" s="5">
        <f t="shared" si="34"/>
        <v>0.20598546507703158</v>
      </c>
      <c r="U130" s="2" t="str">
        <f t="shared" si="35"/>
        <v>Low</v>
      </c>
      <c r="V130" s="2">
        <f t="shared" si="36"/>
        <v>0.17812498157087905</v>
      </c>
      <c r="W130" s="2">
        <f t="shared" si="37"/>
        <v>0.2606589403486832</v>
      </c>
      <c r="X130" s="2" t="s">
        <v>1169</v>
      </c>
      <c r="Y130" s="2">
        <f t="shared" si="38"/>
        <v>8.5304368720631477E-2</v>
      </c>
      <c r="Z130" s="2">
        <f t="shared" si="39"/>
        <v>0.14324606972357692</v>
      </c>
      <c r="AA130" s="2" t="str">
        <f t="shared" si="40"/>
        <v>No Impact</v>
      </c>
      <c r="AB130" s="2">
        <f t="shared" si="41"/>
        <v>0.1038376065089853</v>
      </c>
      <c r="AC130" s="2">
        <f t="shared" si="42"/>
        <v>0.22448341614248413</v>
      </c>
      <c r="AD130" s="2" t="str">
        <f t="shared" si="43"/>
        <v>Low</v>
      </c>
      <c r="AE130" s="2">
        <f t="shared" si="44"/>
        <v>4.5435863837109097E-2</v>
      </c>
      <c r="AF130" s="2">
        <f t="shared" si="45"/>
        <v>0.3095770233380376</v>
      </c>
      <c r="AG130" s="2" t="str">
        <f t="shared" si="46"/>
        <v>Moderate</v>
      </c>
    </row>
    <row r="131" spans="1:33" x14ac:dyDescent="0.3">
      <c r="A131" s="2">
        <v>205158</v>
      </c>
      <c r="B131" s="2" t="s">
        <v>287</v>
      </c>
      <c r="C131" s="2" t="s">
        <v>283</v>
      </c>
      <c r="D131" s="2" t="s">
        <v>288</v>
      </c>
      <c r="E131" s="3">
        <v>5</v>
      </c>
      <c r="F131" s="4">
        <f t="shared" ref="F131:F194" si="48">(E131-$AJ$5)/$AK$5</f>
        <v>0.39999999999999997</v>
      </c>
      <c r="G131" s="2">
        <v>69.631225200000003</v>
      </c>
      <c r="H131" s="2">
        <f t="shared" ref="H131:H194" si="49">(G131-$AJ$6)/$AK$6</f>
        <v>0.26228808028448558</v>
      </c>
      <c r="I131" s="2">
        <v>13.3</v>
      </c>
      <c r="J131" s="4">
        <f t="shared" ref="J131:J194" si="50">(I131-$AJ$7)/$AK$7</f>
        <v>0.20182094081942339</v>
      </c>
      <c r="K131" s="2">
        <v>0.9</v>
      </c>
      <c r="L131" s="4">
        <f t="shared" ref="L131:L194" si="51">(K131-$AJ$8)/$AK$8</f>
        <v>0.375</v>
      </c>
      <c r="M131" s="2">
        <v>15111</v>
      </c>
      <c r="N131" s="2">
        <f t="shared" ref="N131:N194" si="52">(M131-$AJ$9)/$AK$9</f>
        <v>7.0365691520820617E-2</v>
      </c>
      <c r="O131" s="2">
        <v>0.12437026599999999</v>
      </c>
      <c r="P131" s="2">
        <f t="shared" si="47"/>
        <v>6.6220789304868979E-2</v>
      </c>
      <c r="Q131" s="2">
        <v>0.34649999999999997</v>
      </c>
      <c r="R131" s="2">
        <f t="shared" ref="R131:R194" si="53">(Q131-$AJ$12)/$AK$12</f>
        <v>0.8439490445859873</v>
      </c>
      <c r="S131" s="2">
        <f t="shared" ref="S131:S194" si="54">F131*(R131*0.5+P131*0.5)*(H131*0.35+J131*0.35+L131*0.3)</f>
        <v>5.0048083407721752E-2</v>
      </c>
      <c r="T131" s="5">
        <f t="shared" ref="T131:T194" si="55">(S131-$AJ$10)/$AK$10</f>
        <v>7.8269013878260046E-2</v>
      </c>
      <c r="U131" s="2" t="str">
        <f t="shared" ref="U131:U194" si="56">IF(T131&gt;0.7,"High",IF(T131&gt;0.3,"Moderate",IF(T131&gt;0.15,"Low","No Impact")))</f>
        <v>No Impact</v>
      </c>
      <c r="V131" s="2">
        <f t="shared" ref="V131:V194" si="57">F131*(R131*1)*(H131*0.35+J131*0.35+L131*0.3)</f>
        <v>9.2813518098582862E-2</v>
      </c>
      <c r="W131" s="2">
        <f t="shared" ref="W131:W194" si="58">(V131-$AJ$13)/$AK$13</f>
        <v>0.13581853069825162</v>
      </c>
      <c r="X131" s="2" t="s">
        <v>1169</v>
      </c>
      <c r="Y131" s="2">
        <f t="shared" ref="Y131:Y194" si="59">F131*(P131*1)*(H131*0.35+J131*0.35+L131*0.3)</f>
        <v>7.282648716860636E-3</v>
      </c>
      <c r="Z131" s="2">
        <f t="shared" ref="Z131:Z194" si="60">(Y131-$AJ$14)/$AK$14</f>
        <v>1.2229277603404018E-2</v>
      </c>
      <c r="AA131" s="2" t="str">
        <f t="shared" ref="AA131:AA194" si="61">IF(Z131&gt;0.7,"High",IF(Z131&gt;0.3,"Moderate",IF(Z131&gt;0.15,"Low","No Impact")))</f>
        <v>No Impact</v>
      </c>
      <c r="AB131" s="2">
        <f t="shared" ref="AB131:AB194" si="62">F131*(R131*0.35+P131*0.3+N131*0.35)*(H131*0.35+J131*0.35+L131*0.3)</f>
        <v>3.7377995849355479E-2</v>
      </c>
      <c r="AC131" s="2">
        <f t="shared" ref="AC131:AC194" si="63">(AB131-$AJ$15)/$AK$15</f>
        <v>8.0806371399718663E-2</v>
      </c>
      <c r="AD131" s="2" t="str">
        <f t="shared" ref="AD131:AD194" si="64">IF(AC131&gt;0.7,"High",IF(AC131&gt;0.3,"Moderate",IF(AC131&gt;0.15,"Low","No Impact")))</f>
        <v>No Impact</v>
      </c>
      <c r="AE131" s="2">
        <f t="shared" ref="AE131:AE194" si="65">F131*(N131*1)*(H131*0.35+J131*0.35+L131*0.3)</f>
        <v>7.7384854279808016E-3</v>
      </c>
      <c r="AF131" s="2">
        <f t="shared" ref="AF131:AF194" si="66">(AE131-$AJ$16)/$AK$16</f>
        <v>5.2726130453416342E-2</v>
      </c>
      <c r="AG131" s="2" t="s">
        <v>1169</v>
      </c>
    </row>
    <row r="132" spans="1:33" x14ac:dyDescent="0.3">
      <c r="A132" s="2">
        <v>205165</v>
      </c>
      <c r="B132" s="2" t="s">
        <v>289</v>
      </c>
      <c r="C132" s="2" t="s">
        <v>283</v>
      </c>
      <c r="D132" s="2" t="s">
        <v>290</v>
      </c>
      <c r="E132" s="3">
        <v>6.5</v>
      </c>
      <c r="F132" s="4">
        <f t="shared" si="48"/>
        <v>0.73333333333333328</v>
      </c>
      <c r="G132" s="2">
        <v>69.631225200000003</v>
      </c>
      <c r="H132" s="2">
        <f t="shared" si="49"/>
        <v>0.26228808028448558</v>
      </c>
      <c r="I132" s="2">
        <v>8.6999999999999993</v>
      </c>
      <c r="J132" s="4">
        <f t="shared" si="50"/>
        <v>0.13201820940819425</v>
      </c>
      <c r="K132" s="2">
        <v>0</v>
      </c>
      <c r="L132" s="4">
        <f t="shared" si="51"/>
        <v>0</v>
      </c>
      <c r="M132" s="2">
        <v>18858</v>
      </c>
      <c r="N132" s="2">
        <f t="shared" si="52"/>
        <v>8.8094325606923013E-2</v>
      </c>
      <c r="O132" s="2">
        <v>0.267525344</v>
      </c>
      <c r="P132" s="2">
        <f t="shared" si="47"/>
        <v>0.23159212317526254</v>
      </c>
      <c r="Q132" s="2">
        <v>0.31459999999999999</v>
      </c>
      <c r="R132" s="2">
        <f t="shared" si="53"/>
        <v>0.75159235668789814</v>
      </c>
      <c r="S132" s="2">
        <f t="shared" si="54"/>
        <v>4.9751730790078004E-2</v>
      </c>
      <c r="T132" s="5">
        <f t="shared" si="55"/>
        <v>7.7805555029011916E-2</v>
      </c>
      <c r="U132" s="2" t="str">
        <f t="shared" si="56"/>
        <v>No Impact</v>
      </c>
      <c r="V132" s="2">
        <f t="shared" si="57"/>
        <v>7.6065115671925448E-2</v>
      </c>
      <c r="W132" s="2">
        <f t="shared" si="58"/>
        <v>0.11130977964847998</v>
      </c>
      <c r="X132" s="2" t="s">
        <v>1169</v>
      </c>
      <c r="Y132" s="2">
        <f t="shared" si="59"/>
        <v>2.3438345908230549E-2</v>
      </c>
      <c r="Z132" s="2">
        <f t="shared" si="60"/>
        <v>3.9358487525665072E-2</v>
      </c>
      <c r="AA132" s="2" t="str">
        <f t="shared" si="61"/>
        <v>No Impact</v>
      </c>
      <c r="AB132" s="2">
        <f t="shared" si="62"/>
        <v>3.6774758100438246E-2</v>
      </c>
      <c r="AC132" s="2">
        <f t="shared" si="63"/>
        <v>7.950224975077326E-2</v>
      </c>
      <c r="AD132" s="2" t="str">
        <f t="shared" si="64"/>
        <v>No Impact</v>
      </c>
      <c r="AE132" s="2">
        <f t="shared" si="65"/>
        <v>8.9156109794147915E-3</v>
      </c>
      <c r="AF132" s="2">
        <f t="shared" si="66"/>
        <v>6.0746469312043992E-2</v>
      </c>
      <c r="AG132" s="2" t="s">
        <v>1169</v>
      </c>
    </row>
    <row r="133" spans="1:33" x14ac:dyDescent="0.3">
      <c r="A133" s="2">
        <v>205173</v>
      </c>
      <c r="B133" s="2" t="s">
        <v>291</v>
      </c>
      <c r="C133" s="2" t="s">
        <v>283</v>
      </c>
      <c r="D133" s="2" t="s">
        <v>292</v>
      </c>
      <c r="E133" s="3">
        <v>6.5</v>
      </c>
      <c r="F133" s="4">
        <f t="shared" si="48"/>
        <v>0.73333333333333328</v>
      </c>
      <c r="G133" s="2">
        <v>92.053879199999997</v>
      </c>
      <c r="H133" s="2">
        <f t="shared" si="49"/>
        <v>0.44331667773490802</v>
      </c>
      <c r="I133" s="2">
        <v>13.999999999999998</v>
      </c>
      <c r="J133" s="4">
        <f t="shared" si="50"/>
        <v>0.21244309559939303</v>
      </c>
      <c r="K133" s="2">
        <v>0.9</v>
      </c>
      <c r="L133" s="4">
        <f t="shared" si="51"/>
        <v>0.375</v>
      </c>
      <c r="M133" s="2">
        <v>8289</v>
      </c>
      <c r="N133" s="2">
        <f t="shared" si="52"/>
        <v>3.8087938188717453E-2</v>
      </c>
      <c r="O133" s="2">
        <v>0.33163387999999999</v>
      </c>
      <c r="P133" s="2">
        <f t="shared" si="47"/>
        <v>0.30564967152711453</v>
      </c>
      <c r="Q133" s="2">
        <v>0.27060000000000001</v>
      </c>
      <c r="R133" s="2">
        <f t="shared" si="53"/>
        <v>0.62420382165605104</v>
      </c>
      <c r="S133" s="2">
        <f t="shared" si="54"/>
        <v>0.11660905613737282</v>
      </c>
      <c r="T133" s="5">
        <f t="shared" si="55"/>
        <v>0.18236214479571225</v>
      </c>
      <c r="U133" s="2" t="str">
        <f t="shared" si="56"/>
        <v>Low</v>
      </c>
      <c r="V133" s="2">
        <f t="shared" si="57"/>
        <v>0.15655760614820882</v>
      </c>
      <c r="W133" s="2">
        <f t="shared" si="58"/>
        <v>0.22909835196743772</v>
      </c>
      <c r="X133" s="2" t="s">
        <v>1169</v>
      </c>
      <c r="Y133" s="2">
        <f t="shared" si="59"/>
        <v>7.6660506126536826E-2</v>
      </c>
      <c r="Z133" s="2">
        <f t="shared" si="60"/>
        <v>0.12873099432468668</v>
      </c>
      <c r="AA133" s="2" t="str">
        <f t="shared" si="61"/>
        <v>No Impact</v>
      </c>
      <c r="AB133" s="2">
        <f t="shared" si="62"/>
        <v>8.1136828842954159E-2</v>
      </c>
      <c r="AC133" s="2">
        <f t="shared" si="63"/>
        <v>0.17540728379614856</v>
      </c>
      <c r="AD133" s="2" t="str">
        <f t="shared" si="64"/>
        <v>Low</v>
      </c>
      <c r="AE133" s="2">
        <f t="shared" si="65"/>
        <v>9.5528995803429405E-3</v>
      </c>
      <c r="AF133" s="2">
        <f t="shared" si="66"/>
        <v>6.5088631899507879E-2</v>
      </c>
      <c r="AG133" s="2" t="s">
        <v>1169</v>
      </c>
    </row>
    <row r="134" spans="1:33" x14ac:dyDescent="0.3">
      <c r="A134" s="2">
        <v>207507</v>
      </c>
      <c r="B134" s="2" t="s">
        <v>293</v>
      </c>
      <c r="C134" s="2" t="s">
        <v>294</v>
      </c>
      <c r="D134" s="2" t="s">
        <v>295</v>
      </c>
      <c r="E134" s="3">
        <v>6.6</v>
      </c>
      <c r="F134" s="4">
        <f t="shared" si="48"/>
        <v>0.75555555555555542</v>
      </c>
      <c r="G134" s="2">
        <v>75.783567599999998</v>
      </c>
      <c r="H134" s="2">
        <f t="shared" si="49"/>
        <v>0.31195882468908481</v>
      </c>
      <c r="I134" s="2">
        <v>7.5999999999999988</v>
      </c>
      <c r="J134" s="4">
        <f t="shared" si="50"/>
        <v>0.11532625189681335</v>
      </c>
      <c r="K134" s="2">
        <v>0</v>
      </c>
      <c r="L134" s="4">
        <f t="shared" si="51"/>
        <v>0</v>
      </c>
      <c r="M134" s="2">
        <v>35521</v>
      </c>
      <c r="N134" s="2">
        <f t="shared" si="52"/>
        <v>0.16693399194712163</v>
      </c>
      <c r="O134" s="2">
        <v>0.28711009999999998</v>
      </c>
      <c r="P134" s="2">
        <f t="shared" si="47"/>
        <v>0.25421624010142696</v>
      </c>
      <c r="Q134" s="2">
        <v>0.2717</v>
      </c>
      <c r="R134" s="2">
        <f t="shared" si="53"/>
        <v>0.62738853503184722</v>
      </c>
      <c r="S134" s="2">
        <f t="shared" si="54"/>
        <v>4.9807656777218247E-2</v>
      </c>
      <c r="T134" s="5">
        <f t="shared" si="55"/>
        <v>7.7893016357510253E-2</v>
      </c>
      <c r="U134" s="2" t="str">
        <f t="shared" si="56"/>
        <v>No Impact</v>
      </c>
      <c r="V134" s="2">
        <f t="shared" si="57"/>
        <v>7.0890616067963264E-2</v>
      </c>
      <c r="W134" s="2">
        <f t="shared" si="58"/>
        <v>0.10373768295710847</v>
      </c>
      <c r="X134" s="2" t="s">
        <v>1169</v>
      </c>
      <c r="Y134" s="2">
        <f t="shared" si="59"/>
        <v>2.8724697486473234E-2</v>
      </c>
      <c r="Z134" s="2">
        <f t="shared" si="60"/>
        <v>4.8235513381635634E-2</v>
      </c>
      <c r="AA134" s="2" t="str">
        <f t="shared" si="61"/>
        <v>No Impact</v>
      </c>
      <c r="AB134" s="2">
        <f t="shared" si="62"/>
        <v>4.0030964885701521E-2</v>
      </c>
      <c r="AC134" s="2">
        <f t="shared" si="63"/>
        <v>8.6541745819656402E-2</v>
      </c>
      <c r="AD134" s="2" t="str">
        <f t="shared" si="64"/>
        <v>No Impact</v>
      </c>
      <c r="AE134" s="2">
        <f t="shared" si="65"/>
        <v>1.8862400045635448E-2</v>
      </c>
      <c r="AF134" s="2">
        <f t="shared" si="66"/>
        <v>0.12851886518706104</v>
      </c>
      <c r="AG134" s="2" t="s">
        <v>1169</v>
      </c>
    </row>
    <row r="135" spans="1:33" x14ac:dyDescent="0.3">
      <c r="A135" s="2">
        <v>207510</v>
      </c>
      <c r="B135" s="2" t="s">
        <v>296</v>
      </c>
      <c r="C135" s="2" t="s">
        <v>294</v>
      </c>
      <c r="D135" s="2" t="s">
        <v>297</v>
      </c>
      <c r="E135" s="3">
        <v>6.5</v>
      </c>
      <c r="F135" s="4">
        <f t="shared" si="48"/>
        <v>0.73333333333333328</v>
      </c>
      <c r="G135" s="2">
        <v>67.04182800000001</v>
      </c>
      <c r="H135" s="2">
        <f t="shared" si="49"/>
        <v>0.24138266278314743</v>
      </c>
      <c r="I135" s="2">
        <v>6.9999999999999991</v>
      </c>
      <c r="J135" s="4">
        <f t="shared" si="50"/>
        <v>0.10622154779969652</v>
      </c>
      <c r="K135" s="2">
        <v>0</v>
      </c>
      <c r="L135" s="4">
        <f t="shared" si="51"/>
        <v>0</v>
      </c>
      <c r="M135" s="2">
        <v>14588</v>
      </c>
      <c r="N135" s="2">
        <f t="shared" si="52"/>
        <v>6.789115839377724E-2</v>
      </c>
      <c r="O135" s="2">
        <v>0.242151486</v>
      </c>
      <c r="P135" s="2">
        <f t="shared" si="47"/>
        <v>0.20228049272860835</v>
      </c>
      <c r="Q135" s="2">
        <v>0.32990000000000003</v>
      </c>
      <c r="R135" s="2">
        <f t="shared" si="53"/>
        <v>0.7958888245512451</v>
      </c>
      <c r="S135" s="2">
        <f t="shared" si="54"/>
        <v>4.4527541720338563E-2</v>
      </c>
      <c r="T135" s="5">
        <f t="shared" si="55"/>
        <v>6.9635569308060127E-2</v>
      </c>
      <c r="U135" s="2" t="str">
        <f t="shared" si="56"/>
        <v>No Impact</v>
      </c>
      <c r="V135" s="2">
        <f t="shared" si="57"/>
        <v>7.1007938686259736E-2</v>
      </c>
      <c r="W135" s="2">
        <f t="shared" si="58"/>
        <v>0.10390936684498538</v>
      </c>
      <c r="X135" s="2" t="s">
        <v>1169</v>
      </c>
      <c r="Y135" s="2">
        <f t="shared" si="59"/>
        <v>1.8047144754417398E-2</v>
      </c>
      <c r="Z135" s="2">
        <f t="shared" si="60"/>
        <v>3.0305394607269571E-2</v>
      </c>
      <c r="AA135" s="2" t="str">
        <f t="shared" si="61"/>
        <v>No Impact</v>
      </c>
      <c r="AB135" s="2">
        <f t="shared" si="62"/>
        <v>3.2386921484475091E-2</v>
      </c>
      <c r="AC135" s="2">
        <f t="shared" si="63"/>
        <v>7.0016316993441713E-2</v>
      </c>
      <c r="AD135" s="2" t="str">
        <f t="shared" si="64"/>
        <v>No Impact</v>
      </c>
      <c r="AE135" s="2">
        <f t="shared" si="65"/>
        <v>6.057141479882764E-3</v>
      </c>
      <c r="AF135" s="2">
        <f t="shared" si="66"/>
        <v>4.1270302156068139E-2</v>
      </c>
      <c r="AG135" s="2" t="s">
        <v>1169</v>
      </c>
    </row>
    <row r="136" spans="1:33" x14ac:dyDescent="0.3">
      <c r="A136" s="2">
        <v>207521</v>
      </c>
      <c r="B136" s="2" t="s">
        <v>298</v>
      </c>
      <c r="C136" s="2" t="s">
        <v>294</v>
      </c>
      <c r="D136" s="2" t="s">
        <v>1141</v>
      </c>
      <c r="E136" s="3">
        <v>6.4</v>
      </c>
      <c r="F136" s="4">
        <f t="shared" si="48"/>
        <v>0.71111111111111114</v>
      </c>
      <c r="G136" s="2">
        <v>71.687865599999995</v>
      </c>
      <c r="H136" s="2">
        <f t="shared" si="49"/>
        <v>0.27889230238379081</v>
      </c>
      <c r="I136" s="2">
        <v>3.3999999999999986</v>
      </c>
      <c r="J136" s="4">
        <f t="shared" si="50"/>
        <v>5.1593323216995432E-2</v>
      </c>
      <c r="K136" s="2">
        <v>0.8</v>
      </c>
      <c r="L136" s="4">
        <f t="shared" si="51"/>
        <v>0.33333333333333337</v>
      </c>
      <c r="M136" s="2">
        <v>38608</v>
      </c>
      <c r="N136" s="2">
        <f t="shared" si="52"/>
        <v>0.18153988824383852</v>
      </c>
      <c r="O136" s="2">
        <v>0.14102393299999999</v>
      </c>
      <c r="P136" s="2">
        <f t="shared" si="47"/>
        <v>8.5458941133638583E-2</v>
      </c>
      <c r="Q136" s="2">
        <v>0.21809999999999999</v>
      </c>
      <c r="R136" s="2">
        <f t="shared" si="53"/>
        <v>0.47220613781123338</v>
      </c>
      <c r="S136" s="2">
        <f t="shared" si="54"/>
        <v>4.276323920578487E-2</v>
      </c>
      <c r="T136" s="5">
        <f t="shared" si="55"/>
        <v>6.6876418335742441E-2</v>
      </c>
      <c r="U136" s="2" t="str">
        <f t="shared" si="56"/>
        <v>No Impact</v>
      </c>
      <c r="V136" s="2">
        <f t="shared" si="57"/>
        <v>7.242004130460454E-2</v>
      </c>
      <c r="W136" s="2">
        <f t="shared" si="58"/>
        <v>0.10597576521828089</v>
      </c>
      <c r="X136" s="2" t="s">
        <v>1169</v>
      </c>
      <c r="Y136" s="2">
        <f t="shared" si="59"/>
        <v>1.3106437106965204E-2</v>
      </c>
      <c r="Z136" s="2">
        <f t="shared" si="60"/>
        <v>2.200878608926321E-2</v>
      </c>
      <c r="AA136" s="2" t="str">
        <f t="shared" si="61"/>
        <v>No Impact</v>
      </c>
      <c r="AB136" s="2">
        <f t="shared" si="62"/>
        <v>3.9023618102059489E-2</v>
      </c>
      <c r="AC136" s="2">
        <f t="shared" si="63"/>
        <v>8.4363992933831358E-2</v>
      </c>
      <c r="AD136" s="2" t="str">
        <f t="shared" si="64"/>
        <v>No Impact</v>
      </c>
      <c r="AE136" s="2">
        <f t="shared" si="65"/>
        <v>2.7841921466738119E-2</v>
      </c>
      <c r="AF136" s="2">
        <f t="shared" si="66"/>
        <v>0.18970078796311057</v>
      </c>
      <c r="AG136" s="2" t="s">
        <v>1169</v>
      </c>
    </row>
    <row r="137" spans="1:33" x14ac:dyDescent="0.3">
      <c r="A137" s="2">
        <v>207536</v>
      </c>
      <c r="B137" s="2" t="s">
        <v>299</v>
      </c>
      <c r="C137" s="2" t="s">
        <v>294</v>
      </c>
      <c r="D137" s="2" t="s">
        <v>300</v>
      </c>
      <c r="E137" s="3">
        <v>6.5</v>
      </c>
      <c r="F137" s="4">
        <f t="shared" si="48"/>
        <v>0.73333333333333328</v>
      </c>
      <c r="G137" s="2">
        <v>101.80973880000001</v>
      </c>
      <c r="H137" s="2">
        <f t="shared" si="49"/>
        <v>0.52208030581886455</v>
      </c>
      <c r="I137" s="2">
        <v>10.8</v>
      </c>
      <c r="J137" s="4">
        <f t="shared" si="50"/>
        <v>0.16388467374810323</v>
      </c>
      <c r="K137" s="2">
        <v>0.8</v>
      </c>
      <c r="L137" s="4">
        <f t="shared" si="51"/>
        <v>0.33333333333333337</v>
      </c>
      <c r="M137" s="2">
        <v>64514</v>
      </c>
      <c r="N137" s="2">
        <f t="shared" si="52"/>
        <v>0.30411207789811356</v>
      </c>
      <c r="O137" s="2">
        <v>0.16654503000000001</v>
      </c>
      <c r="P137" s="2">
        <f t="shared" si="47"/>
        <v>0.1149406606205694</v>
      </c>
      <c r="Q137" s="2">
        <v>0.23</v>
      </c>
      <c r="R137" s="2">
        <f t="shared" si="53"/>
        <v>0.50665894614939211</v>
      </c>
      <c r="S137" s="2">
        <f t="shared" si="54"/>
        <v>7.7512749314686866E-2</v>
      </c>
      <c r="T137" s="5">
        <f t="shared" si="55"/>
        <v>0.12122035528172262</v>
      </c>
      <c r="U137" s="2" t="str">
        <f t="shared" si="56"/>
        <v>No Impact</v>
      </c>
      <c r="V137" s="2">
        <f t="shared" si="57"/>
        <v>0.12635956475260463</v>
      </c>
      <c r="W137" s="2">
        <f t="shared" si="58"/>
        <v>0.18490809071735193</v>
      </c>
      <c r="X137" s="2" t="s">
        <v>1169</v>
      </c>
      <c r="Y137" s="2">
        <f t="shared" si="59"/>
        <v>2.8665933876769103E-2</v>
      </c>
      <c r="Z137" s="2">
        <f t="shared" si="60"/>
        <v>4.8136835479681346E-2</v>
      </c>
      <c r="AA137" s="2" t="str">
        <f t="shared" si="61"/>
        <v>No Impact</v>
      </c>
      <c r="AB137" s="2">
        <f t="shared" si="62"/>
        <v>7.9371323963740623E-2</v>
      </c>
      <c r="AC137" s="2">
        <f t="shared" si="63"/>
        <v>0.17159049159699688</v>
      </c>
      <c r="AD137" s="2" t="str">
        <f t="shared" si="64"/>
        <v>Low</v>
      </c>
      <c r="AE137" s="2">
        <f t="shared" si="65"/>
        <v>7.5844846106566527E-2</v>
      </c>
      <c r="AF137" s="2">
        <f t="shared" si="66"/>
        <v>0.51676846680805488</v>
      </c>
      <c r="AG137" s="2" t="str">
        <f t="shared" ref="AG131:AG194" si="67">IF(AF137&gt;0.7,"High",IF(AF137&gt;0.3,"Moderate",IF(AF137&gt;0.15,"Low","No Impact")))</f>
        <v>Moderate</v>
      </c>
    </row>
    <row r="138" spans="1:33" x14ac:dyDescent="0.3">
      <c r="A138" s="2">
        <v>207547</v>
      </c>
      <c r="B138" s="2" t="s">
        <v>301</v>
      </c>
      <c r="C138" s="2" t="s">
        <v>294</v>
      </c>
      <c r="D138" s="2" t="s">
        <v>302</v>
      </c>
      <c r="E138" s="3">
        <v>6.5</v>
      </c>
      <c r="F138" s="4">
        <f t="shared" si="48"/>
        <v>0.73333333333333328</v>
      </c>
      <c r="G138" s="2">
        <v>71.687865599999995</v>
      </c>
      <c r="H138" s="2">
        <f t="shared" si="49"/>
        <v>0.27889230238379081</v>
      </c>
      <c r="I138" s="2">
        <v>4</v>
      </c>
      <c r="J138" s="4">
        <f t="shared" si="50"/>
        <v>6.06980273141123E-2</v>
      </c>
      <c r="K138" s="2">
        <v>0.8</v>
      </c>
      <c r="L138" s="4">
        <f t="shared" si="51"/>
        <v>0.33333333333333337</v>
      </c>
      <c r="M138" s="2">
        <v>22882</v>
      </c>
      <c r="N138" s="2">
        <f t="shared" si="52"/>
        <v>0.10713356328038873</v>
      </c>
      <c r="O138" s="2">
        <v>0.36309759699999999</v>
      </c>
      <c r="P138" s="2">
        <f t="shared" si="47"/>
        <v>0.34199624701366887</v>
      </c>
      <c r="Q138" s="2">
        <v>0.27239999999999998</v>
      </c>
      <c r="R138" s="2">
        <f t="shared" si="53"/>
        <v>0.62941517081644471</v>
      </c>
      <c r="S138" s="2">
        <f t="shared" si="54"/>
        <v>7.795326552260276E-2</v>
      </c>
      <c r="T138" s="5">
        <f t="shared" si="55"/>
        <v>0.12190926815996579</v>
      </c>
      <c r="U138" s="2" t="str">
        <f t="shared" si="56"/>
        <v>No Impact</v>
      </c>
      <c r="V138" s="2">
        <f t="shared" si="57"/>
        <v>0.10101789423930668</v>
      </c>
      <c r="W138" s="2">
        <f t="shared" si="58"/>
        <v>0.14782439294285837</v>
      </c>
      <c r="X138" s="2" t="s">
        <v>1169</v>
      </c>
      <c r="Y138" s="2">
        <f t="shared" si="59"/>
        <v>5.4888636805898831E-2</v>
      </c>
      <c r="Z138" s="2">
        <f t="shared" si="60"/>
        <v>9.2170912379406111E-2</v>
      </c>
      <c r="AA138" s="2" t="str">
        <f t="shared" si="61"/>
        <v>No Impact</v>
      </c>
      <c r="AB138" s="2">
        <f t="shared" si="62"/>
        <v>5.7840888882893134E-2</v>
      </c>
      <c r="AC138" s="2">
        <f t="shared" si="63"/>
        <v>0.12504448788528386</v>
      </c>
      <c r="AD138" s="2" t="str">
        <f t="shared" si="64"/>
        <v>No Impact</v>
      </c>
      <c r="AE138" s="2">
        <f t="shared" si="65"/>
        <v>1.7194385306760422E-2</v>
      </c>
      <c r="AF138" s="2">
        <f t="shared" si="66"/>
        <v>0.1171538553878381</v>
      </c>
      <c r="AG138" s="2" t="s">
        <v>1169</v>
      </c>
    </row>
    <row r="139" spans="1:33" x14ac:dyDescent="0.3">
      <c r="A139" s="2">
        <v>207580</v>
      </c>
      <c r="B139" s="2" t="s">
        <v>303</v>
      </c>
      <c r="C139" s="2" t="s">
        <v>294</v>
      </c>
      <c r="D139" s="2" t="s">
        <v>304</v>
      </c>
      <c r="E139" s="3">
        <v>6.6</v>
      </c>
      <c r="F139" s="4">
        <f t="shared" si="48"/>
        <v>0.75555555555555542</v>
      </c>
      <c r="G139" s="2">
        <v>71.687865599999995</v>
      </c>
      <c r="H139" s="2">
        <f t="shared" si="49"/>
        <v>0.27889230238379081</v>
      </c>
      <c r="I139" s="2">
        <v>5.4999999999999982</v>
      </c>
      <c r="J139" s="4">
        <f t="shared" si="50"/>
        <v>8.3459787556904391E-2</v>
      </c>
      <c r="K139" s="2">
        <v>0</v>
      </c>
      <c r="L139" s="4">
        <f t="shared" si="51"/>
        <v>0</v>
      </c>
      <c r="M139" s="2">
        <v>19359</v>
      </c>
      <c r="N139" s="2">
        <f t="shared" si="52"/>
        <v>9.046476747432021E-2</v>
      </c>
      <c r="O139" s="2">
        <v>0.14980753199999999</v>
      </c>
      <c r="P139" s="2">
        <f t="shared" si="47"/>
        <v>9.5605668047598666E-2</v>
      </c>
      <c r="Q139" s="2">
        <v>0.2445</v>
      </c>
      <c r="R139" s="2">
        <f t="shared" si="53"/>
        <v>0.5486392588303417</v>
      </c>
      <c r="S139" s="2">
        <f t="shared" si="54"/>
        <v>3.0866417763179475E-2</v>
      </c>
      <c r="T139" s="5">
        <f t="shared" si="55"/>
        <v>4.8271260671407204E-2</v>
      </c>
      <c r="U139" s="2" t="str">
        <f t="shared" si="56"/>
        <v>No Impact</v>
      </c>
      <c r="V139" s="2">
        <f t="shared" si="57"/>
        <v>5.257170947827091E-2</v>
      </c>
      <c r="W139" s="2">
        <f t="shared" si="58"/>
        <v>7.6930736857211371E-2</v>
      </c>
      <c r="X139" s="2" t="s">
        <v>1170</v>
      </c>
      <c r="Y139" s="2">
        <f t="shared" si="59"/>
        <v>9.1611260480880495E-3</v>
      </c>
      <c r="Z139" s="2">
        <f t="shared" si="60"/>
        <v>1.5383682222989237E-2</v>
      </c>
      <c r="AA139" s="2" t="str">
        <f t="shared" si="61"/>
        <v>No Impact</v>
      </c>
      <c r="AB139" s="2">
        <f t="shared" si="62"/>
        <v>2.4182416272681858E-2</v>
      </c>
      <c r="AC139" s="2">
        <f t="shared" si="63"/>
        <v>5.2279242540143461E-2</v>
      </c>
      <c r="AD139" s="2" t="str">
        <f t="shared" si="64"/>
        <v>No Impact</v>
      </c>
      <c r="AE139" s="2">
        <f t="shared" si="65"/>
        <v>8.6685146881732324E-3</v>
      </c>
      <c r="AF139" s="2">
        <f t="shared" si="66"/>
        <v>5.9062880009226458E-2</v>
      </c>
      <c r="AG139" s="2" t="s">
        <v>1169</v>
      </c>
    </row>
    <row r="140" spans="1:33" x14ac:dyDescent="0.3">
      <c r="A140" s="2">
        <v>207583</v>
      </c>
      <c r="B140" s="2" t="s">
        <v>305</v>
      </c>
      <c r="C140" s="2" t="s">
        <v>294</v>
      </c>
      <c r="D140" s="2" t="s">
        <v>306</v>
      </c>
      <c r="E140" s="3">
        <v>6.5</v>
      </c>
      <c r="F140" s="4">
        <f t="shared" si="48"/>
        <v>0.73333333333333328</v>
      </c>
      <c r="G140" s="2">
        <v>67.04182800000001</v>
      </c>
      <c r="H140" s="2">
        <f t="shared" si="49"/>
        <v>0.24138266278314743</v>
      </c>
      <c r="I140" s="2">
        <v>5.9999999999999982</v>
      </c>
      <c r="J140" s="4">
        <f t="shared" si="50"/>
        <v>9.1047040971168419E-2</v>
      </c>
      <c r="K140" s="2">
        <v>0</v>
      </c>
      <c r="L140" s="4">
        <f t="shared" si="51"/>
        <v>0</v>
      </c>
      <c r="M140" s="2">
        <v>20762</v>
      </c>
      <c r="N140" s="2">
        <f t="shared" si="52"/>
        <v>9.7102950987210973E-2</v>
      </c>
      <c r="O140" s="2">
        <v>0.32153397099999997</v>
      </c>
      <c r="P140" s="2">
        <f t="shared" si="47"/>
        <v>0.29398235628664787</v>
      </c>
      <c r="Q140" s="2">
        <v>0.26829999999999998</v>
      </c>
      <c r="R140" s="2">
        <f t="shared" si="53"/>
        <v>0.61754487550665893</v>
      </c>
      <c r="S140" s="2">
        <f t="shared" si="54"/>
        <v>3.8887403379060201E-2</v>
      </c>
      <c r="T140" s="5">
        <f t="shared" si="55"/>
        <v>6.0815090359595272E-2</v>
      </c>
      <c r="U140" s="2" t="str">
        <f t="shared" si="56"/>
        <v>No Impact</v>
      </c>
      <c r="V140" s="2">
        <f t="shared" si="57"/>
        <v>5.2691166738383116E-2</v>
      </c>
      <c r="W140" s="2">
        <f t="shared" si="58"/>
        <v>7.7105544470176174E-2</v>
      </c>
      <c r="X140" s="2" t="s">
        <v>1170</v>
      </c>
      <c r="Y140" s="2">
        <f t="shared" si="59"/>
        <v>2.5083640019737296E-2</v>
      </c>
      <c r="Z140" s="2">
        <f t="shared" si="60"/>
        <v>4.2121322753770854E-2</v>
      </c>
      <c r="AA140" s="2" t="str">
        <f t="shared" si="61"/>
        <v>No Impact</v>
      </c>
      <c r="AB140" s="2">
        <f t="shared" si="62"/>
        <v>2.8866811850881573E-2</v>
      </c>
      <c r="AC140" s="2">
        <f t="shared" si="63"/>
        <v>6.2406297249036666E-2</v>
      </c>
      <c r="AD140" s="2" t="str">
        <f t="shared" si="64"/>
        <v>No Impact</v>
      </c>
      <c r="AE140" s="2">
        <f t="shared" si="65"/>
        <v>8.2851756757894197E-3</v>
      </c>
      <c r="AF140" s="2">
        <f t="shared" si="66"/>
        <v>5.6451001630319103E-2</v>
      </c>
      <c r="AG140" s="2" t="s">
        <v>1169</v>
      </c>
    </row>
    <row r="141" spans="1:33" x14ac:dyDescent="0.3">
      <c r="A141" s="2">
        <v>207585</v>
      </c>
      <c r="B141" s="2" t="s">
        <v>307</v>
      </c>
      <c r="C141" s="2" t="s">
        <v>294</v>
      </c>
      <c r="D141" s="2" t="s">
        <v>308</v>
      </c>
      <c r="E141" s="3">
        <v>6.5</v>
      </c>
      <c r="F141" s="4">
        <f t="shared" si="48"/>
        <v>0.73333333333333328</v>
      </c>
      <c r="G141" s="2">
        <v>92.053879199999997</v>
      </c>
      <c r="H141" s="2">
        <f t="shared" si="49"/>
        <v>0.44331667773490802</v>
      </c>
      <c r="I141" s="2">
        <v>8.4999999999999964</v>
      </c>
      <c r="J141" s="4">
        <f t="shared" si="50"/>
        <v>0.12898330804248859</v>
      </c>
      <c r="K141" s="2">
        <v>0.8</v>
      </c>
      <c r="L141" s="4">
        <f t="shared" si="51"/>
        <v>0.33333333333333337</v>
      </c>
      <c r="M141" s="2">
        <v>36232</v>
      </c>
      <c r="N141" s="2">
        <f t="shared" si="52"/>
        <v>0.17029803220205059</v>
      </c>
      <c r="O141" s="2">
        <v>0.23003343400000001</v>
      </c>
      <c r="P141" s="2">
        <f t="shared" si="47"/>
        <v>0.18828183860366846</v>
      </c>
      <c r="Q141" s="2">
        <v>0.2452</v>
      </c>
      <c r="R141" s="2">
        <f t="shared" si="53"/>
        <v>0.5506658946149392</v>
      </c>
      <c r="S141" s="2">
        <f t="shared" si="54"/>
        <v>8.1366888293459172E-2</v>
      </c>
      <c r="T141" s="5">
        <f t="shared" si="55"/>
        <v>0.12724775207054212</v>
      </c>
      <c r="U141" s="2" t="str">
        <f t="shared" si="56"/>
        <v>No Impact</v>
      </c>
      <c r="V141" s="2">
        <f t="shared" si="57"/>
        <v>0.12126966041019381</v>
      </c>
      <c r="W141" s="2">
        <f t="shared" si="58"/>
        <v>0.17745978638256082</v>
      </c>
      <c r="X141" s="2" t="s">
        <v>1169</v>
      </c>
      <c r="Y141" s="2">
        <f t="shared" si="59"/>
        <v>4.1464116176724547E-2</v>
      </c>
      <c r="Z141" s="2">
        <f t="shared" si="60"/>
        <v>6.9627989351043057E-2</v>
      </c>
      <c r="AA141" s="2" t="str">
        <f t="shared" si="61"/>
        <v>No Impact</v>
      </c>
      <c r="AB141" s="2">
        <f t="shared" si="62"/>
        <v>6.8009895756180327E-2</v>
      </c>
      <c r="AC141" s="2">
        <f t="shared" si="63"/>
        <v>0.14702855973014459</v>
      </c>
      <c r="AD141" s="2" t="str">
        <f t="shared" si="64"/>
        <v>No Impact</v>
      </c>
      <c r="AE141" s="2">
        <f t="shared" si="65"/>
        <v>3.7503656455986099E-2</v>
      </c>
      <c r="AF141" s="2">
        <f t="shared" si="66"/>
        <v>0.25553096935848346</v>
      </c>
      <c r="AG141" s="2" t="s">
        <v>1169</v>
      </c>
    </row>
    <row r="142" spans="1:33" x14ac:dyDescent="0.3">
      <c r="A142" s="2">
        <v>207587</v>
      </c>
      <c r="B142" s="2" t="s">
        <v>309</v>
      </c>
      <c r="C142" s="2" t="s">
        <v>294</v>
      </c>
      <c r="D142" s="2" t="s">
        <v>1142</v>
      </c>
      <c r="E142" s="3">
        <v>6.6</v>
      </c>
      <c r="F142" s="4">
        <f t="shared" si="48"/>
        <v>0.75555555555555542</v>
      </c>
      <c r="G142" s="2">
        <v>75.783567599999998</v>
      </c>
      <c r="H142" s="2">
        <f t="shared" si="49"/>
        <v>0.31195882468908481</v>
      </c>
      <c r="I142" s="2">
        <v>6.8999999999999995</v>
      </c>
      <c r="J142" s="4">
        <f t="shared" si="50"/>
        <v>0.10470409711684371</v>
      </c>
      <c r="K142" s="2">
        <v>0</v>
      </c>
      <c r="L142" s="4">
        <f t="shared" si="51"/>
        <v>0</v>
      </c>
      <c r="M142" s="2">
        <v>46149</v>
      </c>
      <c r="N142" s="2">
        <f t="shared" si="52"/>
        <v>0.21721953319801471</v>
      </c>
      <c r="O142" s="2">
        <v>0.23030001899999999</v>
      </c>
      <c r="P142" s="2">
        <f t="shared" si="47"/>
        <v>0.18858979496578812</v>
      </c>
      <c r="Q142" s="2">
        <v>0.29170000000000001</v>
      </c>
      <c r="R142" s="2">
        <f t="shared" si="53"/>
        <v>0.6852924145917777</v>
      </c>
      <c r="S142" s="2">
        <f t="shared" si="54"/>
        <v>4.8144003838965159E-2</v>
      </c>
      <c r="T142" s="5">
        <f t="shared" si="55"/>
        <v>7.5291268876953407E-2</v>
      </c>
      <c r="U142" s="2" t="str">
        <f t="shared" si="56"/>
        <v>No Impact</v>
      </c>
      <c r="V142" s="2">
        <f t="shared" si="57"/>
        <v>7.5508392957499393E-2</v>
      </c>
      <c r="W142" s="2">
        <f t="shared" si="58"/>
        <v>0.11049510025016888</v>
      </c>
      <c r="X142" s="2" t="s">
        <v>1169</v>
      </c>
      <c r="Y142" s="2">
        <f t="shared" si="59"/>
        <v>2.0779614720430942E-2</v>
      </c>
      <c r="Z142" s="2">
        <f t="shared" si="60"/>
        <v>3.4893853429947538E-2</v>
      </c>
      <c r="AA142" s="2" t="str">
        <f t="shared" si="61"/>
        <v>No Impact</v>
      </c>
      <c r="AB142" s="2">
        <f t="shared" si="62"/>
        <v>4.1038777733240585E-2</v>
      </c>
      <c r="AC142" s="2">
        <f t="shared" si="63"/>
        <v>8.8720506275082309E-2</v>
      </c>
      <c r="AD142" s="2" t="str">
        <f t="shared" si="64"/>
        <v>No Impact</v>
      </c>
      <c r="AE142" s="2">
        <f t="shared" si="65"/>
        <v>2.3934159377104348E-2</v>
      </c>
      <c r="AF142" s="2">
        <f t="shared" si="66"/>
        <v>0.16307527116961223</v>
      </c>
      <c r="AG142" s="2" t="s">
        <v>1169</v>
      </c>
    </row>
    <row r="143" spans="1:33" x14ac:dyDescent="0.3">
      <c r="A143" s="2">
        <v>208407</v>
      </c>
      <c r="B143" s="2" t="s">
        <v>310</v>
      </c>
      <c r="C143" s="2" t="s">
        <v>311</v>
      </c>
      <c r="D143" s="2" t="s">
        <v>312</v>
      </c>
      <c r="E143" s="3">
        <v>6.2</v>
      </c>
      <c r="F143" s="4">
        <f t="shared" si="48"/>
        <v>0.66666666666666663</v>
      </c>
      <c r="G143" s="2">
        <v>45.171126000000001</v>
      </c>
      <c r="H143" s="2">
        <f t="shared" si="49"/>
        <v>6.4810232583040403E-2</v>
      </c>
      <c r="I143" s="2">
        <v>9.9999999999999395E-2</v>
      </c>
      <c r="J143" s="4">
        <f t="shared" si="50"/>
        <v>1.5174506828527982E-3</v>
      </c>
      <c r="K143" s="2">
        <v>0</v>
      </c>
      <c r="L143" s="4">
        <f t="shared" si="51"/>
        <v>0</v>
      </c>
      <c r="M143" s="2">
        <v>3903</v>
      </c>
      <c r="N143" s="2">
        <f t="shared" si="52"/>
        <v>1.7335926151982702E-2</v>
      </c>
      <c r="O143" s="2">
        <v>0.326368137</v>
      </c>
      <c r="P143" s="2">
        <f t="shared" si="47"/>
        <v>0.2995667371604504</v>
      </c>
      <c r="Q143" s="2">
        <v>0.40039999999999998</v>
      </c>
      <c r="R143" s="2">
        <f t="shared" si="53"/>
        <v>1</v>
      </c>
      <c r="S143" s="2">
        <f t="shared" si="54"/>
        <v>1.0056345941281341E-2</v>
      </c>
      <c r="T143" s="5">
        <f t="shared" si="55"/>
        <v>1.572688155969014E-2</v>
      </c>
      <c r="U143" s="2" t="str">
        <f t="shared" si="56"/>
        <v>No Impact</v>
      </c>
      <c r="V143" s="2">
        <f t="shared" si="57"/>
        <v>1.5476459428708414E-2</v>
      </c>
      <c r="W143" s="2">
        <f t="shared" si="58"/>
        <v>2.264745505913943E-2</v>
      </c>
      <c r="X143" s="2" t="s">
        <v>1170</v>
      </c>
      <c r="Y143" s="2">
        <f t="shared" si="59"/>
        <v>4.6362324538542681E-3</v>
      </c>
      <c r="Z143" s="2">
        <f t="shared" si="60"/>
        <v>7.7853231587058916E-3</v>
      </c>
      <c r="AA143" s="2" t="str">
        <f t="shared" si="61"/>
        <v>No Impact</v>
      </c>
      <c r="AB143" s="2">
        <f t="shared" si="62"/>
        <v>6.9015351014168102E-3</v>
      </c>
      <c r="AC143" s="2">
        <f t="shared" si="63"/>
        <v>1.4920222338322566E-2</v>
      </c>
      <c r="AD143" s="2" t="str">
        <f t="shared" si="64"/>
        <v>No Impact</v>
      </c>
      <c r="AE143" s="2">
        <f t="shared" si="65"/>
        <v>2.6829875775024546E-4</v>
      </c>
      <c r="AF143" s="2">
        <f t="shared" si="66"/>
        <v>1.8280521987517901E-3</v>
      </c>
      <c r="AG143" s="2" t="s">
        <v>1170</v>
      </c>
    </row>
    <row r="144" spans="1:33" x14ac:dyDescent="0.3">
      <c r="A144" s="2">
        <v>208421</v>
      </c>
      <c r="B144" s="2" t="s">
        <v>313</v>
      </c>
      <c r="C144" s="2" t="s">
        <v>311</v>
      </c>
      <c r="D144" s="2" t="s">
        <v>314</v>
      </c>
      <c r="E144" s="3">
        <v>6.2</v>
      </c>
      <c r="F144" s="4">
        <f t="shared" si="48"/>
        <v>0.66666666666666663</v>
      </c>
      <c r="G144" s="2">
        <v>52.659406799999999</v>
      </c>
      <c r="H144" s="2">
        <f t="shared" si="49"/>
        <v>0.12526663397686857</v>
      </c>
      <c r="I144" s="2">
        <v>0</v>
      </c>
      <c r="J144" s="4">
        <f t="shared" si="50"/>
        <v>0</v>
      </c>
      <c r="K144" s="2">
        <v>0</v>
      </c>
      <c r="L144" s="4">
        <f t="shared" si="51"/>
        <v>0</v>
      </c>
      <c r="M144" s="2">
        <v>239</v>
      </c>
      <c r="N144" s="2">
        <f t="shared" si="52"/>
        <v>0</v>
      </c>
      <c r="O144" s="2">
        <v>0.36749565499999998</v>
      </c>
      <c r="P144" s="2">
        <f t="shared" si="47"/>
        <v>0.34707684022810836</v>
      </c>
      <c r="Q144" s="2">
        <v>0.37980000000000003</v>
      </c>
      <c r="R144" s="2">
        <f t="shared" si="53"/>
        <v>0.94035900405327166</v>
      </c>
      <c r="S144" s="2">
        <f t="shared" si="54"/>
        <v>1.8815154712001247E-2</v>
      </c>
      <c r="T144" s="5">
        <f t="shared" si="55"/>
        <v>2.9424575428357486E-2</v>
      </c>
      <c r="U144" s="2" t="str">
        <f t="shared" si="56"/>
        <v>No Impact</v>
      </c>
      <c r="V144" s="2">
        <f t="shared" si="57"/>
        <v>2.7485641672438565E-2</v>
      </c>
      <c r="W144" s="2">
        <f t="shared" si="58"/>
        <v>4.0221074943890531E-2</v>
      </c>
      <c r="X144" s="2" t="s">
        <v>1170</v>
      </c>
      <c r="Y144" s="2">
        <f t="shared" si="59"/>
        <v>1.0144667751563927E-2</v>
      </c>
      <c r="Z144" s="2">
        <f t="shared" si="60"/>
        <v>1.7035279738393819E-2</v>
      </c>
      <c r="AA144" s="2" t="str">
        <f t="shared" si="61"/>
        <v>No Impact</v>
      </c>
      <c r="AB144" s="2">
        <f t="shared" si="62"/>
        <v>1.2663374910822674E-2</v>
      </c>
      <c r="AC144" s="2">
        <f t="shared" si="63"/>
        <v>2.7376571508594169E-2</v>
      </c>
      <c r="AD144" s="2" t="str">
        <f t="shared" si="64"/>
        <v>No Impact</v>
      </c>
      <c r="AE144" s="2">
        <f t="shared" si="65"/>
        <v>0</v>
      </c>
      <c r="AF144" s="2">
        <f t="shared" si="66"/>
        <v>0</v>
      </c>
      <c r="AG144" s="2" t="s">
        <v>1170</v>
      </c>
    </row>
    <row r="145" spans="1:33" x14ac:dyDescent="0.3">
      <c r="A145" s="2">
        <v>208425</v>
      </c>
      <c r="B145" s="2" t="s">
        <v>315</v>
      </c>
      <c r="C145" s="2" t="s">
        <v>311</v>
      </c>
      <c r="D145" s="2" t="s">
        <v>1143</v>
      </c>
      <c r="E145" s="3">
        <v>6.3</v>
      </c>
      <c r="F145" s="4">
        <f t="shared" si="48"/>
        <v>0.68888888888888877</v>
      </c>
      <c r="G145" s="2">
        <v>57.604042800000002</v>
      </c>
      <c r="H145" s="2">
        <f t="shared" si="49"/>
        <v>0.16518699844321888</v>
      </c>
      <c r="I145" s="2">
        <v>0.29999999999999993</v>
      </c>
      <c r="J145" s="4">
        <f t="shared" si="50"/>
        <v>4.5523520485584211E-3</v>
      </c>
      <c r="K145" s="2">
        <v>0</v>
      </c>
      <c r="L145" s="4">
        <f t="shared" si="51"/>
        <v>0</v>
      </c>
      <c r="M145" s="2">
        <v>5340</v>
      </c>
      <c r="N145" s="2">
        <f t="shared" si="52"/>
        <v>2.4134977975235745E-2</v>
      </c>
      <c r="O145" s="2">
        <v>0.65133871399999999</v>
      </c>
      <c r="P145" s="2">
        <f t="shared" si="47"/>
        <v>0.67496954185258595</v>
      </c>
      <c r="Q145" s="2">
        <v>0.35770000000000002</v>
      </c>
      <c r="R145" s="2">
        <f t="shared" si="53"/>
        <v>0.87637521713954847</v>
      </c>
      <c r="S145" s="2">
        <f t="shared" si="54"/>
        <v>3.174520146460668E-2</v>
      </c>
      <c r="T145" s="5">
        <f t="shared" si="55"/>
        <v>4.9645569716623962E-2</v>
      </c>
      <c r="U145" s="2" t="str">
        <f t="shared" si="56"/>
        <v>No Impact</v>
      </c>
      <c r="V145" s="2">
        <f t="shared" si="57"/>
        <v>3.5866570168139468E-2</v>
      </c>
      <c r="W145" s="2">
        <f t="shared" si="58"/>
        <v>5.2485294827939781E-2</v>
      </c>
      <c r="X145" s="2" t="s">
        <v>1170</v>
      </c>
      <c r="Y145" s="2">
        <f t="shared" si="59"/>
        <v>2.762383276107391E-2</v>
      </c>
      <c r="Z145" s="2">
        <f t="shared" si="60"/>
        <v>4.638690295785744E-2</v>
      </c>
      <c r="AA145" s="2" t="str">
        <f t="shared" si="61"/>
        <v>No Impact</v>
      </c>
      <c r="AB145" s="2">
        <f t="shared" si="62"/>
        <v>2.1186161591765552E-2</v>
      </c>
      <c r="AC145" s="2">
        <f t="shared" si="63"/>
        <v>4.5801729151515813E-2</v>
      </c>
      <c r="AD145" s="2" t="str">
        <f t="shared" si="64"/>
        <v>No Impact</v>
      </c>
      <c r="AE145" s="2">
        <f t="shared" si="65"/>
        <v>9.8774915598446732E-4</v>
      </c>
      <c r="AF145" s="2">
        <f t="shared" si="66"/>
        <v>6.7300237673611754E-3</v>
      </c>
      <c r="AG145" s="2" t="s">
        <v>1170</v>
      </c>
    </row>
    <row r="146" spans="1:33" x14ac:dyDescent="0.3">
      <c r="A146" s="2">
        <v>208429</v>
      </c>
      <c r="B146" s="2" t="s">
        <v>316</v>
      </c>
      <c r="C146" s="2" t="s">
        <v>311</v>
      </c>
      <c r="D146" s="2" t="s">
        <v>317</v>
      </c>
      <c r="E146" s="3">
        <v>6.2</v>
      </c>
      <c r="F146" s="4">
        <f t="shared" si="48"/>
        <v>0.66666666666666663</v>
      </c>
      <c r="G146" s="2">
        <v>78.901703999999995</v>
      </c>
      <c r="H146" s="2">
        <f t="shared" si="49"/>
        <v>0.33713300162421078</v>
      </c>
      <c r="I146" s="2">
        <v>0.10000000000000026</v>
      </c>
      <c r="J146" s="4">
        <f t="shared" si="50"/>
        <v>1.5174506828528115E-3</v>
      </c>
      <c r="K146" s="2">
        <v>0</v>
      </c>
      <c r="L146" s="4">
        <f t="shared" si="51"/>
        <v>0</v>
      </c>
      <c r="M146" s="2">
        <v>952</v>
      </c>
      <c r="N146" s="2">
        <f t="shared" si="52"/>
        <v>3.3735030967149745E-3</v>
      </c>
      <c r="O146" s="2">
        <v>0.37960215899999999</v>
      </c>
      <c r="P146" s="2">
        <f t="shared" si="47"/>
        <v>0.36106215421737009</v>
      </c>
      <c r="Q146" s="2">
        <v>0.3659</v>
      </c>
      <c r="R146" s="2">
        <f t="shared" si="53"/>
        <v>0.90011580775911992</v>
      </c>
      <c r="S146" s="2">
        <f t="shared" si="54"/>
        <v>4.9828156847354539E-2</v>
      </c>
      <c r="T146" s="5">
        <f t="shared" si="55"/>
        <v>7.7925075932318164E-2</v>
      </c>
      <c r="U146" s="2" t="str">
        <f t="shared" si="56"/>
        <v>No Impact</v>
      </c>
      <c r="V146" s="2">
        <f t="shared" si="57"/>
        <v>7.1125745932818216E-2</v>
      </c>
      <c r="W146" s="2">
        <f t="shared" si="58"/>
        <v>0.10408175991294542</v>
      </c>
      <c r="X146" s="2" t="s">
        <v>1169</v>
      </c>
      <c r="Y146" s="2">
        <f t="shared" si="59"/>
        <v>2.8530567761890863E-2</v>
      </c>
      <c r="Z146" s="2">
        <f t="shared" si="60"/>
        <v>4.790952398062364E-2</v>
      </c>
      <c r="AA146" s="2" t="str">
        <f t="shared" si="61"/>
        <v>No Impact</v>
      </c>
      <c r="AB146" s="2">
        <f t="shared" si="62"/>
        <v>3.3546480536934514E-2</v>
      </c>
      <c r="AC146" s="2">
        <f t="shared" si="63"/>
        <v>7.2523133031160272E-2</v>
      </c>
      <c r="AD146" s="2" t="str">
        <f t="shared" si="64"/>
        <v>No Impact</v>
      </c>
      <c r="AE146" s="2">
        <f t="shared" si="65"/>
        <v>2.6656894823108801E-4</v>
      </c>
      <c r="AF146" s="2">
        <f t="shared" si="66"/>
        <v>1.8162661505366092E-3</v>
      </c>
      <c r="AG146" s="2" t="s">
        <v>1170</v>
      </c>
    </row>
    <row r="147" spans="1:33" x14ac:dyDescent="0.3">
      <c r="A147" s="2">
        <v>208436</v>
      </c>
      <c r="B147" s="2" t="s">
        <v>318</v>
      </c>
      <c r="C147" s="2" t="s">
        <v>311</v>
      </c>
      <c r="D147" s="2" t="s">
        <v>319</v>
      </c>
      <c r="E147" s="3">
        <v>6.2</v>
      </c>
      <c r="F147" s="4">
        <f t="shared" si="48"/>
        <v>0.66666666666666663</v>
      </c>
      <c r="G147" s="2">
        <v>60.334016400000003</v>
      </c>
      <c r="H147" s="2">
        <f t="shared" si="49"/>
        <v>0.18722735512377423</v>
      </c>
      <c r="I147" s="2">
        <v>0.19999999999999965</v>
      </c>
      <c r="J147" s="4">
        <f t="shared" si="50"/>
        <v>3.0349013657056095E-3</v>
      </c>
      <c r="K147" s="2">
        <v>0</v>
      </c>
      <c r="L147" s="4">
        <f t="shared" si="51"/>
        <v>0</v>
      </c>
      <c r="M147" s="2">
        <v>8318</v>
      </c>
      <c r="N147" s="2">
        <f t="shared" si="52"/>
        <v>3.8225149394614695E-2</v>
      </c>
      <c r="O147" s="2">
        <v>0.182054048</v>
      </c>
      <c r="P147" s="2">
        <f t="shared" si="47"/>
        <v>0.13285652521658423</v>
      </c>
      <c r="Q147" s="2">
        <v>0.35349999999999998</v>
      </c>
      <c r="R147" s="2">
        <f t="shared" si="53"/>
        <v>0.86421540243196293</v>
      </c>
      <c r="S147" s="2">
        <f t="shared" si="54"/>
        <v>2.2132268064284925E-2</v>
      </c>
      <c r="T147" s="5">
        <f t="shared" si="55"/>
        <v>3.4612130541918452E-2</v>
      </c>
      <c r="U147" s="2" t="str">
        <f t="shared" si="56"/>
        <v>No Impact</v>
      </c>
      <c r="V147" s="2">
        <f t="shared" si="57"/>
        <v>3.8366433597256139E-2</v>
      </c>
      <c r="W147" s="2">
        <f t="shared" si="58"/>
        <v>5.6143466448244979E-2</v>
      </c>
      <c r="X147" s="2" t="s">
        <v>1170</v>
      </c>
      <c r="Y147" s="2">
        <f t="shared" si="59"/>
        <v>5.8981025313137175E-3</v>
      </c>
      <c r="Z147" s="2">
        <f t="shared" si="60"/>
        <v>9.9042993824187357E-3</v>
      </c>
      <c r="AA147" s="2" t="str">
        <f t="shared" si="61"/>
        <v>No Impact</v>
      </c>
      <c r="AB147" s="2">
        <f t="shared" si="62"/>
        <v>1.5791628111341889E-2</v>
      </c>
      <c r="AC147" s="2">
        <f t="shared" si="63"/>
        <v>3.4139448549201284E-2</v>
      </c>
      <c r="AD147" s="2" t="str">
        <f t="shared" si="64"/>
        <v>No Impact</v>
      </c>
      <c r="AE147" s="2">
        <f t="shared" si="65"/>
        <v>1.6969874083089353E-3</v>
      </c>
      <c r="AF147" s="2">
        <f t="shared" si="66"/>
        <v>1.1562414932614099E-2</v>
      </c>
      <c r="AG147" s="2" t="s">
        <v>1170</v>
      </c>
    </row>
    <row r="148" spans="1:33" x14ac:dyDescent="0.3">
      <c r="A148" s="2">
        <v>208447</v>
      </c>
      <c r="B148" s="2" t="s">
        <v>320</v>
      </c>
      <c r="C148" s="2" t="s">
        <v>311</v>
      </c>
      <c r="D148" s="2" t="s">
        <v>321</v>
      </c>
      <c r="E148" s="3">
        <v>5</v>
      </c>
      <c r="F148" s="4">
        <f t="shared" si="48"/>
        <v>0.39999999999999997</v>
      </c>
      <c r="G148" s="2">
        <v>59.715266400000004</v>
      </c>
      <c r="H148" s="2">
        <f t="shared" si="49"/>
        <v>0.182231896304651</v>
      </c>
      <c r="I148" s="2">
        <v>9.9999999999999825E-2</v>
      </c>
      <c r="J148" s="4">
        <f t="shared" si="50"/>
        <v>1.5174506828528047E-3</v>
      </c>
      <c r="K148" s="2">
        <v>0</v>
      </c>
      <c r="L148" s="4">
        <f t="shared" si="51"/>
        <v>0</v>
      </c>
      <c r="M148" s="2">
        <v>1297</v>
      </c>
      <c r="N148" s="2">
        <f t="shared" si="52"/>
        <v>5.0058433048028655E-3</v>
      </c>
      <c r="O148" s="2">
        <v>0.17664280700000001</v>
      </c>
      <c r="P148" s="2">
        <f t="shared" si="47"/>
        <v>0.12660551299566838</v>
      </c>
      <c r="Q148" s="2">
        <v>0.36380000000000001</v>
      </c>
      <c r="R148" s="2">
        <f t="shared" si="53"/>
        <v>0.89403590040532721</v>
      </c>
      <c r="S148" s="2">
        <f t="shared" si="54"/>
        <v>1.3127953525458504E-2</v>
      </c>
      <c r="T148" s="5">
        <f t="shared" si="55"/>
        <v>2.0530496009338355E-2</v>
      </c>
      <c r="U148" s="2" t="str">
        <f t="shared" si="56"/>
        <v>No Impact</v>
      </c>
      <c r="V148" s="2">
        <f t="shared" si="57"/>
        <v>2.2998991803600932E-2</v>
      </c>
      <c r="W148" s="2">
        <f t="shared" si="58"/>
        <v>3.3655542191476366E-2</v>
      </c>
      <c r="X148" s="2" t="s">
        <v>1170</v>
      </c>
      <c r="Y148" s="2">
        <f t="shared" si="59"/>
        <v>3.2569152473160778E-3</v>
      </c>
      <c r="Z148" s="2">
        <f t="shared" si="60"/>
        <v>5.4691256215578035E-3</v>
      </c>
      <c r="AA148" s="2" t="str">
        <f t="shared" si="61"/>
        <v>No Impact</v>
      </c>
      <c r="AB148" s="2">
        <f t="shared" si="62"/>
        <v>9.0717929069357335E-3</v>
      </c>
      <c r="AC148" s="2">
        <f t="shared" si="63"/>
        <v>1.9612037784305727E-2</v>
      </c>
      <c r="AD148" s="2" t="str">
        <f t="shared" si="64"/>
        <v>No Impact</v>
      </c>
      <c r="AE148" s="2">
        <f t="shared" si="65"/>
        <v>1.2877486137310119E-4</v>
      </c>
      <c r="AF148" s="2">
        <f t="shared" si="66"/>
        <v>8.7740685216362781E-4</v>
      </c>
      <c r="AG148" s="2" t="s">
        <v>1170</v>
      </c>
    </row>
    <row r="149" spans="1:33" x14ac:dyDescent="0.3">
      <c r="A149" s="2">
        <v>208458</v>
      </c>
      <c r="B149" s="2" t="s">
        <v>322</v>
      </c>
      <c r="C149" s="2" t="s">
        <v>311</v>
      </c>
      <c r="D149" s="2" t="s">
        <v>323</v>
      </c>
      <c r="E149" s="3">
        <v>6.3</v>
      </c>
      <c r="F149" s="4">
        <f t="shared" si="48"/>
        <v>0.68888888888888877</v>
      </c>
      <c r="G149" s="2">
        <v>52.659406799999999</v>
      </c>
      <c r="H149" s="2">
        <f t="shared" si="49"/>
        <v>0.12526663397686857</v>
      </c>
      <c r="I149" s="2">
        <v>0</v>
      </c>
      <c r="J149" s="4">
        <f t="shared" si="50"/>
        <v>0</v>
      </c>
      <c r="K149" s="2">
        <v>0</v>
      </c>
      <c r="L149" s="4">
        <f t="shared" si="51"/>
        <v>0</v>
      </c>
      <c r="M149" s="2">
        <v>5825</v>
      </c>
      <c r="N149" s="2">
        <f t="shared" si="52"/>
        <v>2.6429717108344807E-2</v>
      </c>
      <c r="O149" s="2">
        <v>0.142101802</v>
      </c>
      <c r="P149" s="2">
        <f t="shared" si="47"/>
        <v>8.6704084769182885E-2</v>
      </c>
      <c r="Q149" s="2">
        <v>0.35680000000000001</v>
      </c>
      <c r="R149" s="2">
        <f t="shared" si="53"/>
        <v>0.87376954255935158</v>
      </c>
      <c r="S149" s="2">
        <f t="shared" si="54"/>
        <v>1.4504677630679298E-2</v>
      </c>
      <c r="T149" s="5">
        <f t="shared" si="55"/>
        <v>2.2683522274504708E-2</v>
      </c>
      <c r="U149" s="2" t="str">
        <f t="shared" si="56"/>
        <v>No Impact</v>
      </c>
      <c r="V149" s="2">
        <f t="shared" si="57"/>
        <v>2.63906164161536E-2</v>
      </c>
      <c r="W149" s="2">
        <f t="shared" si="58"/>
        <v>3.8618671280793403E-2</v>
      </c>
      <c r="X149" s="2" t="s">
        <v>1170</v>
      </c>
      <c r="Y149" s="2">
        <f t="shared" si="59"/>
        <v>2.6187388452049926E-3</v>
      </c>
      <c r="Z149" s="2">
        <f t="shared" si="60"/>
        <v>4.3974775598725844E-3</v>
      </c>
      <c r="AA149" s="2" t="str">
        <f t="shared" si="61"/>
        <v>No Impact</v>
      </c>
      <c r="AB149" s="2">
        <f t="shared" si="62"/>
        <v>1.0301728900380154E-2</v>
      </c>
      <c r="AC149" s="2">
        <f t="shared" si="63"/>
        <v>2.2270999626045715E-2</v>
      </c>
      <c r="AD149" s="2" t="str">
        <f t="shared" si="64"/>
        <v>No Impact</v>
      </c>
      <c r="AE149" s="2">
        <f t="shared" si="65"/>
        <v>7.9826143189970717E-4</v>
      </c>
      <c r="AF149" s="2">
        <f t="shared" si="66"/>
        <v>5.438950139014115E-3</v>
      </c>
      <c r="AG149" s="2" t="s">
        <v>1170</v>
      </c>
    </row>
    <row r="150" spans="1:33" x14ac:dyDescent="0.3">
      <c r="A150" s="2">
        <v>208475</v>
      </c>
      <c r="B150" s="2" t="s">
        <v>324</v>
      </c>
      <c r="C150" s="2" t="s">
        <v>311</v>
      </c>
      <c r="D150" s="2" t="s">
        <v>325</v>
      </c>
      <c r="E150" s="3">
        <v>6.2</v>
      </c>
      <c r="F150" s="4">
        <f t="shared" si="48"/>
        <v>0.66666666666666663</v>
      </c>
      <c r="G150" s="2">
        <v>57.521516400000003</v>
      </c>
      <c r="H150" s="2">
        <f t="shared" si="49"/>
        <v>0.1645207241277595</v>
      </c>
      <c r="I150" s="2">
        <v>0</v>
      </c>
      <c r="J150" s="4">
        <f t="shared" si="50"/>
        <v>0</v>
      </c>
      <c r="K150" s="2">
        <v>0</v>
      </c>
      <c r="L150" s="4">
        <f t="shared" si="51"/>
        <v>0</v>
      </c>
      <c r="M150" s="2">
        <v>3524</v>
      </c>
      <c r="N150" s="2">
        <f t="shared" si="52"/>
        <v>1.5542717633532526E-2</v>
      </c>
      <c r="O150" s="2">
        <v>0.17569464900000001</v>
      </c>
      <c r="P150" s="2">
        <f t="shared" si="47"/>
        <v>0.12551021022771569</v>
      </c>
      <c r="Q150" s="2">
        <v>0.36859999999999998</v>
      </c>
      <c r="R150" s="2">
        <f t="shared" si="53"/>
        <v>0.90793283149971049</v>
      </c>
      <c r="S150" s="2">
        <f t="shared" si="54"/>
        <v>1.9835993049808889E-2</v>
      </c>
      <c r="T150" s="5">
        <f t="shared" si="55"/>
        <v>3.1021040359460097E-2</v>
      </c>
      <c r="U150" s="2" t="str">
        <f t="shared" si="56"/>
        <v>No Impact</v>
      </c>
      <c r="V150" s="2">
        <f t="shared" si="57"/>
        <v>3.4853878942796526E-2</v>
      </c>
      <c r="W150" s="2">
        <f t="shared" si="58"/>
        <v>5.1003374552802717E-2</v>
      </c>
      <c r="X150" s="2" t="s">
        <v>1170</v>
      </c>
      <c r="Y150" s="2">
        <f t="shared" si="59"/>
        <v>4.8181071568212585E-3</v>
      </c>
      <c r="Z150" s="2">
        <f t="shared" si="60"/>
        <v>8.0907335002030119E-3</v>
      </c>
      <c r="AA150" s="2" t="str">
        <f t="shared" si="61"/>
        <v>No Impact</v>
      </c>
      <c r="AB150" s="2">
        <f t="shared" si="62"/>
        <v>1.3853119541757032E-2</v>
      </c>
      <c r="AC150" s="2">
        <f t="shared" si="63"/>
        <v>2.9948644845687246E-2</v>
      </c>
      <c r="AD150" s="2" t="str">
        <f t="shared" si="64"/>
        <v>No Impact</v>
      </c>
      <c r="AE150" s="2">
        <f t="shared" si="65"/>
        <v>5.9665647066248239E-4</v>
      </c>
      <c r="AF150" s="2">
        <f t="shared" si="66"/>
        <v>4.0653157779782382E-3</v>
      </c>
      <c r="AG150" s="2" t="s">
        <v>1170</v>
      </c>
    </row>
    <row r="151" spans="1:33" x14ac:dyDescent="0.3">
      <c r="A151" s="2">
        <v>208478</v>
      </c>
      <c r="B151" s="2" t="s">
        <v>326</v>
      </c>
      <c r="C151" s="2" t="s">
        <v>311</v>
      </c>
      <c r="D151" s="2" t="s">
        <v>327</v>
      </c>
      <c r="E151" s="3">
        <v>6.3</v>
      </c>
      <c r="F151" s="4">
        <f t="shared" si="48"/>
        <v>0.68888888888888877</v>
      </c>
      <c r="G151" s="2">
        <v>63.615761999999997</v>
      </c>
      <c r="H151" s="2">
        <f t="shared" si="49"/>
        <v>0.21372242583026124</v>
      </c>
      <c r="I151" s="2">
        <v>0.40000000000000019</v>
      </c>
      <c r="J151" s="4">
        <f t="shared" si="50"/>
        <v>6.0698027314112328E-3</v>
      </c>
      <c r="K151" s="2">
        <v>0</v>
      </c>
      <c r="L151" s="4">
        <f t="shared" si="51"/>
        <v>0</v>
      </c>
      <c r="M151" s="2">
        <v>5481</v>
      </c>
      <c r="N151" s="2">
        <f t="shared" si="52"/>
        <v>2.4802108321149926E-2</v>
      </c>
      <c r="O151" s="2">
        <v>0.56342436900000004</v>
      </c>
      <c r="P151" s="2">
        <f t="shared" si="47"/>
        <v>0.57341175778996289</v>
      </c>
      <c r="Q151" s="2">
        <v>0.3397</v>
      </c>
      <c r="R151" s="2">
        <f t="shared" si="53"/>
        <v>0.82426172553561095</v>
      </c>
      <c r="S151" s="2">
        <f t="shared" si="54"/>
        <v>3.7034397791814049E-2</v>
      </c>
      <c r="T151" s="5">
        <f t="shared" si="55"/>
        <v>5.7917218749944668E-2</v>
      </c>
      <c r="U151" s="2" t="str">
        <f t="shared" si="56"/>
        <v>No Impact</v>
      </c>
      <c r="V151" s="2">
        <f t="shared" si="57"/>
        <v>4.3681213090514273E-2</v>
      </c>
      <c r="W151" s="2">
        <f t="shared" si="58"/>
        <v>6.3920841517605048E-2</v>
      </c>
      <c r="X151" s="2" t="s">
        <v>1170</v>
      </c>
      <c r="Y151" s="2">
        <f t="shared" si="59"/>
        <v>3.0387582493113827E-2</v>
      </c>
      <c r="Z151" s="2">
        <f t="shared" si="60"/>
        <v>5.1027887854080661E-2</v>
      </c>
      <c r="AA151" s="2" t="str">
        <f t="shared" si="61"/>
        <v>No Impact</v>
      </c>
      <c r="AB151" s="2">
        <f t="shared" si="62"/>
        <v>2.4864729379278479E-2</v>
      </c>
      <c r="AC151" s="2">
        <f t="shared" si="63"/>
        <v>5.37543148400269E-2</v>
      </c>
      <c r="AD151" s="2" t="str">
        <f t="shared" si="64"/>
        <v>No Impact</v>
      </c>
      <c r="AE151" s="2">
        <f t="shared" si="65"/>
        <v>1.3143715704695316E-3</v>
      </c>
      <c r="AF151" s="2">
        <f t="shared" si="66"/>
        <v>8.9554638997260596E-3</v>
      </c>
      <c r="AG151" s="2" t="s">
        <v>1170</v>
      </c>
    </row>
    <row r="152" spans="1:33" x14ac:dyDescent="0.3">
      <c r="A152" s="2">
        <v>208487</v>
      </c>
      <c r="B152" s="2" t="s">
        <v>328</v>
      </c>
      <c r="C152" s="2" t="s">
        <v>311</v>
      </c>
      <c r="D152" s="2" t="s">
        <v>329</v>
      </c>
      <c r="E152" s="3">
        <v>6.2</v>
      </c>
      <c r="F152" s="4">
        <f t="shared" si="48"/>
        <v>0.66666666666666663</v>
      </c>
      <c r="G152" s="2">
        <v>59.715266400000004</v>
      </c>
      <c r="H152" s="2">
        <f t="shared" si="49"/>
        <v>0.182231896304651</v>
      </c>
      <c r="I152" s="2">
        <v>0.19999999999999965</v>
      </c>
      <c r="J152" s="4">
        <f t="shared" si="50"/>
        <v>3.0349013657056095E-3</v>
      </c>
      <c r="K152" s="2">
        <v>0</v>
      </c>
      <c r="L152" s="4">
        <f t="shared" si="51"/>
        <v>0</v>
      </c>
      <c r="M152" s="2">
        <v>13916</v>
      </c>
      <c r="N152" s="2">
        <f t="shared" si="52"/>
        <v>6.4711643553675605E-2</v>
      </c>
      <c r="O152" s="2">
        <v>0.38758617499999998</v>
      </c>
      <c r="P152" s="2">
        <f t="shared" si="47"/>
        <v>0.37028521073767434</v>
      </c>
      <c r="Q152" s="2">
        <v>0.36220000000000002</v>
      </c>
      <c r="R152" s="2">
        <f t="shared" si="53"/>
        <v>0.88940359004053282</v>
      </c>
      <c r="S152" s="2">
        <f t="shared" si="54"/>
        <v>2.7227492854495529E-2</v>
      </c>
      <c r="T152" s="5">
        <f t="shared" si="55"/>
        <v>4.2580432076444734E-2</v>
      </c>
      <c r="U152" s="2" t="str">
        <f t="shared" si="56"/>
        <v>No Impact</v>
      </c>
      <c r="V152" s="2">
        <f t="shared" si="57"/>
        <v>3.8447956158109906E-2</v>
      </c>
      <c r="W152" s="2">
        <f t="shared" si="58"/>
        <v>5.6262762372596829E-2</v>
      </c>
      <c r="X152" s="2" t="s">
        <v>1170</v>
      </c>
      <c r="Y152" s="2">
        <f t="shared" si="59"/>
        <v>1.6007029550881149E-2</v>
      </c>
      <c r="Z152" s="2">
        <f t="shared" si="60"/>
        <v>2.6879562037697986E-2</v>
      </c>
      <c r="AA152" s="2" t="str">
        <f t="shared" si="61"/>
        <v>No Impact</v>
      </c>
      <c r="AB152" s="2">
        <f t="shared" si="62"/>
        <v>1.9237988570078773E-2</v>
      </c>
      <c r="AC152" s="2">
        <f t="shared" si="63"/>
        <v>4.1590032158027909E-2</v>
      </c>
      <c r="AD152" s="2" t="str">
        <f t="shared" si="64"/>
        <v>No Impact</v>
      </c>
      <c r="AE152" s="2">
        <f t="shared" si="65"/>
        <v>2.7974144270741792E-3</v>
      </c>
      <c r="AF152" s="2">
        <f t="shared" si="66"/>
        <v>1.9060168735456077E-2</v>
      </c>
      <c r="AG152" s="2" t="s">
        <v>1170</v>
      </c>
    </row>
    <row r="153" spans="1:33" x14ac:dyDescent="0.3">
      <c r="A153" s="2">
        <v>302602</v>
      </c>
      <c r="B153" s="2" t="s">
        <v>330</v>
      </c>
      <c r="C153" s="2" t="s">
        <v>331</v>
      </c>
      <c r="D153" s="2" t="s">
        <v>332</v>
      </c>
      <c r="E153" s="3">
        <v>5.8</v>
      </c>
      <c r="F153" s="4">
        <f t="shared" si="48"/>
        <v>0.57777777777777772</v>
      </c>
      <c r="G153" s="2">
        <v>67.082396399999993</v>
      </c>
      <c r="H153" s="2">
        <f t="shared" si="49"/>
        <v>0.24171019049475573</v>
      </c>
      <c r="I153" s="2">
        <v>7.8000000000000016</v>
      </c>
      <c r="J153" s="4">
        <f t="shared" si="50"/>
        <v>0.118361153262519</v>
      </c>
      <c r="K153" s="2">
        <v>0</v>
      </c>
      <c r="L153" s="4">
        <f t="shared" si="51"/>
        <v>0</v>
      </c>
      <c r="M153" s="2">
        <v>1837</v>
      </c>
      <c r="N153" s="2">
        <f t="shared" si="52"/>
        <v>7.5608105870273905E-3</v>
      </c>
      <c r="O153" s="2">
        <v>0.13183542000000001</v>
      </c>
      <c r="P153" s="2">
        <f t="shared" si="47"/>
        <v>7.484446156138444E-2</v>
      </c>
      <c r="Q153" s="2">
        <v>0.06</v>
      </c>
      <c r="R153" s="2">
        <f t="shared" si="53"/>
        <v>1.4475969889982622E-2</v>
      </c>
      <c r="S153" s="2">
        <f t="shared" si="54"/>
        <v>3.2519080308536313E-3</v>
      </c>
      <c r="T153" s="5">
        <f t="shared" si="55"/>
        <v>5.085582053646405E-3</v>
      </c>
      <c r="U153" s="2" t="str">
        <f t="shared" si="56"/>
        <v>No Impact</v>
      </c>
      <c r="V153" s="2">
        <f t="shared" si="57"/>
        <v>1.0540594570517911E-3</v>
      </c>
      <c r="W153" s="2">
        <f t="shared" si="58"/>
        <v>1.5424564186147039E-3</v>
      </c>
      <c r="X153" s="2" t="s">
        <v>1170</v>
      </c>
      <c r="Y153" s="2">
        <f t="shared" si="59"/>
        <v>5.4497566046554716E-3</v>
      </c>
      <c r="Z153" s="2">
        <f t="shared" si="60"/>
        <v>9.1514212727324736E-3</v>
      </c>
      <c r="AA153" s="2" t="str">
        <f t="shared" si="61"/>
        <v>No Impact</v>
      </c>
      <c r="AB153" s="2">
        <f t="shared" si="62"/>
        <v>2.1965354238329703E-3</v>
      </c>
      <c r="AC153" s="2">
        <f t="shared" si="63"/>
        <v>4.748624243157383E-3</v>
      </c>
      <c r="AD153" s="2" t="str">
        <f t="shared" si="64"/>
        <v>No Impact</v>
      </c>
      <c r="AE153" s="2">
        <f t="shared" si="65"/>
        <v>5.5053609276629217E-4</v>
      </c>
      <c r="AF153" s="2">
        <f t="shared" si="66"/>
        <v>3.7510748216377796E-3</v>
      </c>
      <c r="AG153" s="2" t="s">
        <v>1170</v>
      </c>
    </row>
    <row r="154" spans="1:33" x14ac:dyDescent="0.3">
      <c r="A154" s="2">
        <v>302604</v>
      </c>
      <c r="B154" s="2" t="s">
        <v>333</v>
      </c>
      <c r="C154" s="2" t="s">
        <v>331</v>
      </c>
      <c r="D154" s="2" t="s">
        <v>334</v>
      </c>
      <c r="E154" s="3">
        <v>5.8</v>
      </c>
      <c r="F154" s="4">
        <f t="shared" si="48"/>
        <v>0.57777777777777772</v>
      </c>
      <c r="G154" s="2">
        <v>62.522629200000004</v>
      </c>
      <c r="H154" s="2">
        <f t="shared" si="49"/>
        <v>0.20489705227675362</v>
      </c>
      <c r="I154" s="2">
        <v>5.5</v>
      </c>
      <c r="J154" s="4">
        <f t="shared" si="50"/>
        <v>8.3459787556904405E-2</v>
      </c>
      <c r="K154" s="2">
        <v>0</v>
      </c>
      <c r="L154" s="4">
        <f t="shared" si="51"/>
        <v>0</v>
      </c>
      <c r="M154" s="2">
        <v>22100</v>
      </c>
      <c r="N154" s="2">
        <f t="shared" si="52"/>
        <v>0.10343359214205618</v>
      </c>
      <c r="O154" s="2">
        <v>0.42310773600000001</v>
      </c>
      <c r="P154" s="2">
        <f t="shared" si="47"/>
        <v>0.41131936758210397</v>
      </c>
      <c r="Q154" s="2">
        <v>0.15429999999999999</v>
      </c>
      <c r="R154" s="2">
        <f t="shared" si="53"/>
        <v>0.28749276201505503</v>
      </c>
      <c r="S154" s="2">
        <f t="shared" si="54"/>
        <v>2.0374622685393279E-2</v>
      </c>
      <c r="T154" s="5">
        <f t="shared" si="55"/>
        <v>3.1863390506604639E-2</v>
      </c>
      <c r="U154" s="2" t="str">
        <f t="shared" si="56"/>
        <v>No Impact</v>
      </c>
      <c r="V154" s="2">
        <f t="shared" si="57"/>
        <v>1.6764324208897147E-2</v>
      </c>
      <c r="W154" s="2">
        <f t="shared" si="58"/>
        <v>2.4532050167337695E-2</v>
      </c>
      <c r="X154" s="2" t="s">
        <v>1170</v>
      </c>
      <c r="Y154" s="2">
        <f t="shared" si="59"/>
        <v>2.3984921161889411E-2</v>
      </c>
      <c r="Z154" s="2">
        <f t="shared" si="60"/>
        <v>4.0276315745591429E-2</v>
      </c>
      <c r="AA154" s="2" t="str">
        <f t="shared" si="61"/>
        <v>No Impact</v>
      </c>
      <c r="AB154" s="2">
        <f t="shared" si="62"/>
        <v>1.5173992516887155E-2</v>
      </c>
      <c r="AC154" s="2">
        <f t="shared" si="63"/>
        <v>3.2804200628570576E-2</v>
      </c>
      <c r="AD154" s="2" t="str">
        <f t="shared" si="64"/>
        <v>No Impact</v>
      </c>
      <c r="AE154" s="2">
        <f t="shared" si="65"/>
        <v>6.0314362720180854E-3</v>
      </c>
      <c r="AF154" s="2">
        <f t="shared" si="66"/>
        <v>4.1095159855185255E-2</v>
      </c>
      <c r="AG154" s="2" t="s">
        <v>1169</v>
      </c>
    </row>
    <row r="155" spans="1:33" x14ac:dyDescent="0.3">
      <c r="A155" s="2">
        <v>302605</v>
      </c>
      <c r="B155" s="2" t="s">
        <v>335</v>
      </c>
      <c r="C155" s="2" t="s">
        <v>331</v>
      </c>
      <c r="D155" s="2" t="s">
        <v>336</v>
      </c>
      <c r="E155" s="3">
        <v>5.8</v>
      </c>
      <c r="F155" s="4">
        <f t="shared" si="48"/>
        <v>0.57777777777777772</v>
      </c>
      <c r="G155" s="2">
        <v>62.522629200000004</v>
      </c>
      <c r="H155" s="2">
        <f t="shared" si="49"/>
        <v>0.20489705227675362</v>
      </c>
      <c r="I155" s="2">
        <v>5.5</v>
      </c>
      <c r="J155" s="4">
        <f t="shared" si="50"/>
        <v>8.3459787556904405E-2</v>
      </c>
      <c r="K155" s="2">
        <v>0</v>
      </c>
      <c r="L155" s="4">
        <f t="shared" si="51"/>
        <v>0</v>
      </c>
      <c r="M155" s="2">
        <v>763</v>
      </c>
      <c r="N155" s="2">
        <f t="shared" si="52"/>
        <v>2.4792645479363908E-3</v>
      </c>
      <c r="O155" s="2">
        <v>0.70945563599999995</v>
      </c>
      <c r="P155" s="2">
        <f t="shared" si="47"/>
        <v>0.74210563681934372</v>
      </c>
      <c r="Q155" s="2">
        <v>0.06</v>
      </c>
      <c r="R155" s="2">
        <f t="shared" si="53"/>
        <v>1.4475969889982622E-2</v>
      </c>
      <c r="S155" s="2">
        <f t="shared" si="54"/>
        <v>2.2058954208905031E-2</v>
      </c>
      <c r="T155" s="5">
        <f t="shared" si="55"/>
        <v>3.4497476737546946E-2</v>
      </c>
      <c r="U155" s="2" t="str">
        <f t="shared" si="56"/>
        <v>No Impact</v>
      </c>
      <c r="V155" s="2">
        <f t="shared" si="57"/>
        <v>8.4412508604718732E-4</v>
      </c>
      <c r="W155" s="2">
        <f t="shared" si="58"/>
        <v>1.2352492531388563E-3</v>
      </c>
      <c r="X155" s="2" t="s">
        <v>1170</v>
      </c>
      <c r="Y155" s="2">
        <f t="shared" si="59"/>
        <v>4.327378333176287E-2</v>
      </c>
      <c r="Z155" s="2">
        <f t="shared" si="60"/>
        <v>7.2666845524002349E-2</v>
      </c>
      <c r="AA155" s="2" t="str">
        <f t="shared" si="61"/>
        <v>No Impact</v>
      </c>
      <c r="AB155" s="2">
        <f t="shared" si="62"/>
        <v>1.3328178725315203E-2</v>
      </c>
      <c r="AC155" s="2">
        <f t="shared" si="63"/>
        <v>2.8813790993510967E-2</v>
      </c>
      <c r="AD155" s="2" t="str">
        <f t="shared" si="64"/>
        <v>No Impact</v>
      </c>
      <c r="AE155" s="2">
        <f t="shared" si="65"/>
        <v>1.4457127334236664E-4</v>
      </c>
      <c r="AF155" s="2">
        <f t="shared" si="66"/>
        <v>9.8503562344435646E-4</v>
      </c>
      <c r="AG155" s="2" t="s">
        <v>1170</v>
      </c>
    </row>
    <row r="156" spans="1:33" x14ac:dyDescent="0.3">
      <c r="A156" s="2">
        <v>302606</v>
      </c>
      <c r="B156" s="2" t="s">
        <v>337</v>
      </c>
      <c r="C156" s="2" t="s">
        <v>331</v>
      </c>
      <c r="D156" s="2" t="s">
        <v>1144</v>
      </c>
      <c r="E156" s="3">
        <v>5.8</v>
      </c>
      <c r="F156" s="4">
        <f t="shared" si="48"/>
        <v>0.57777777777777772</v>
      </c>
      <c r="G156" s="2">
        <v>62.522629200000004</v>
      </c>
      <c r="H156" s="2">
        <f t="shared" si="49"/>
        <v>0.20489705227675362</v>
      </c>
      <c r="I156" s="2">
        <v>5.5</v>
      </c>
      <c r="J156" s="4">
        <f t="shared" si="50"/>
        <v>8.3459787556904405E-2</v>
      </c>
      <c r="K156" s="2">
        <v>0</v>
      </c>
      <c r="L156" s="4">
        <f t="shared" si="51"/>
        <v>0</v>
      </c>
      <c r="M156" s="2">
        <v>2282</v>
      </c>
      <c r="N156" s="2">
        <f t="shared" si="52"/>
        <v>9.6662928844161184E-3</v>
      </c>
      <c r="O156" s="2">
        <v>0.54941506399999995</v>
      </c>
      <c r="P156" s="2">
        <f t="shared" si="47"/>
        <v>0.5572283468567707</v>
      </c>
      <c r="Q156" s="2">
        <v>0.1777</v>
      </c>
      <c r="R156" s="2">
        <f t="shared" si="53"/>
        <v>0.35524030110017374</v>
      </c>
      <c r="S156" s="2">
        <f t="shared" si="54"/>
        <v>2.6604009328073455E-2</v>
      </c>
      <c r="T156" s="5">
        <f t="shared" si="55"/>
        <v>4.1605380936427114E-2</v>
      </c>
      <c r="U156" s="2" t="str">
        <f t="shared" si="56"/>
        <v>No Impact</v>
      </c>
      <c r="V156" s="2">
        <f t="shared" si="57"/>
        <v>2.0714829611597985E-2</v>
      </c>
      <c r="W156" s="2">
        <f t="shared" si="58"/>
        <v>3.0313016672027543E-2</v>
      </c>
      <c r="X156" s="2" t="s">
        <v>1170</v>
      </c>
      <c r="Y156" s="2">
        <f t="shared" si="59"/>
        <v>3.2493189044548926E-2</v>
      </c>
      <c r="Z156" s="2">
        <f t="shared" si="60"/>
        <v>5.4563695778116601E-2</v>
      </c>
      <c r="AA156" s="2" t="str">
        <f t="shared" si="61"/>
        <v>No Impact</v>
      </c>
      <c r="AB156" s="2">
        <f t="shared" si="62"/>
        <v>1.7195428926667214E-2</v>
      </c>
      <c r="AC156" s="2">
        <f t="shared" si="63"/>
        <v>3.717428354976117E-2</v>
      </c>
      <c r="AD156" s="2" t="str">
        <f t="shared" si="64"/>
        <v>No Impact</v>
      </c>
      <c r="AE156" s="2">
        <f t="shared" si="65"/>
        <v>5.6366242640926525E-4</v>
      </c>
      <c r="AF156" s="2">
        <f t="shared" si="66"/>
        <v>3.8405110280473661E-3</v>
      </c>
      <c r="AG156" s="2" t="s">
        <v>1170</v>
      </c>
    </row>
    <row r="157" spans="1:33" x14ac:dyDescent="0.3">
      <c r="A157" s="2">
        <v>302608</v>
      </c>
      <c r="B157" s="2" t="s">
        <v>338</v>
      </c>
      <c r="C157" s="2" t="s">
        <v>331</v>
      </c>
      <c r="D157" s="2" t="s">
        <v>339</v>
      </c>
      <c r="E157" s="3">
        <v>5.8</v>
      </c>
      <c r="F157" s="4">
        <f t="shared" si="48"/>
        <v>0.57777777777777772</v>
      </c>
      <c r="G157" s="2">
        <v>62.522629200000004</v>
      </c>
      <c r="H157" s="2">
        <f t="shared" si="49"/>
        <v>0.20489705227675362</v>
      </c>
      <c r="I157" s="2">
        <v>5.5</v>
      </c>
      <c r="J157" s="4">
        <f t="shared" si="50"/>
        <v>8.3459787556904405E-2</v>
      </c>
      <c r="K157" s="2">
        <v>0</v>
      </c>
      <c r="L157" s="4">
        <f t="shared" si="51"/>
        <v>0</v>
      </c>
      <c r="M157" s="2">
        <v>5168</v>
      </c>
      <c r="N157" s="2">
        <f t="shared" si="52"/>
        <v>2.3321173581638301E-2</v>
      </c>
      <c r="O157" s="2">
        <v>0.55044098399999997</v>
      </c>
      <c r="P157" s="2">
        <f t="shared" si="47"/>
        <v>0.55841347951999565</v>
      </c>
      <c r="Q157" s="2">
        <v>0.18590000000000001</v>
      </c>
      <c r="R157" s="2">
        <f t="shared" si="53"/>
        <v>0.37898089171974531</v>
      </c>
      <c r="S157" s="2">
        <f t="shared" si="54"/>
        <v>2.733074572193122E-2</v>
      </c>
      <c r="T157" s="5">
        <f t="shared" si="55"/>
        <v>4.2741906793637346E-2</v>
      </c>
      <c r="U157" s="2" t="str">
        <f t="shared" si="56"/>
        <v>No Impact</v>
      </c>
      <c r="V157" s="2">
        <f t="shared" si="57"/>
        <v>2.2099194752715375E-2</v>
      </c>
      <c r="W157" s="2">
        <f t="shared" si="58"/>
        <v>3.2338825447175271E-2</v>
      </c>
      <c r="X157" s="2" t="s">
        <v>1170</v>
      </c>
      <c r="Y157" s="2">
        <f t="shared" si="59"/>
        <v>3.2562296691147061E-2</v>
      </c>
      <c r="Z157" s="2">
        <f t="shared" si="60"/>
        <v>5.4679743747423411E-2</v>
      </c>
      <c r="AA157" s="2" t="str">
        <f t="shared" si="61"/>
        <v>No Impact</v>
      </c>
      <c r="AB157" s="2">
        <f t="shared" si="62"/>
        <v>1.7979374980349048E-2</v>
      </c>
      <c r="AC157" s="2">
        <f t="shared" si="63"/>
        <v>3.8869073078511424E-2</v>
      </c>
      <c r="AD157" s="2" t="str">
        <f t="shared" si="64"/>
        <v>No Impact</v>
      </c>
      <c r="AE157" s="2">
        <f t="shared" si="65"/>
        <v>1.3599080272987121E-3</v>
      </c>
      <c r="AF157" s="2">
        <f t="shared" si="66"/>
        <v>9.2657263128954823E-3</v>
      </c>
      <c r="AG157" s="2" t="s">
        <v>1170</v>
      </c>
    </row>
    <row r="158" spans="1:33" x14ac:dyDescent="0.3">
      <c r="A158" s="2">
        <v>302609</v>
      </c>
      <c r="B158" s="2" t="s">
        <v>340</v>
      </c>
      <c r="C158" s="2" t="s">
        <v>331</v>
      </c>
      <c r="D158" s="2" t="s">
        <v>1145</v>
      </c>
      <c r="E158" s="3">
        <v>5.8</v>
      </c>
      <c r="F158" s="4">
        <f t="shared" si="48"/>
        <v>0.57777777777777772</v>
      </c>
      <c r="G158" s="2">
        <v>62.522629200000004</v>
      </c>
      <c r="H158" s="2">
        <f t="shared" si="49"/>
        <v>0.20489705227675362</v>
      </c>
      <c r="I158" s="2">
        <v>5.5</v>
      </c>
      <c r="J158" s="4">
        <f t="shared" si="50"/>
        <v>8.3459787556904405E-2</v>
      </c>
      <c r="K158" s="2">
        <v>0</v>
      </c>
      <c r="L158" s="4">
        <f t="shared" si="51"/>
        <v>0</v>
      </c>
      <c r="M158" s="2">
        <v>943</v>
      </c>
      <c r="N158" s="2">
        <f t="shared" si="52"/>
        <v>3.330920308677899E-3</v>
      </c>
      <c r="O158" s="2">
        <v>0.39968980999999998</v>
      </c>
      <c r="P158" s="2">
        <f t="shared" si="47"/>
        <v>0.38426721048643897</v>
      </c>
      <c r="Q158" s="2">
        <v>0.06</v>
      </c>
      <c r="R158" s="2">
        <f t="shared" si="53"/>
        <v>1.4475969889982622E-2</v>
      </c>
      <c r="S158" s="2">
        <f t="shared" si="54"/>
        <v>1.1625788254744016E-2</v>
      </c>
      <c r="T158" s="5">
        <f t="shared" si="55"/>
        <v>1.8181295272455537E-2</v>
      </c>
      <c r="U158" s="2" t="str">
        <f t="shared" si="56"/>
        <v>No Impact</v>
      </c>
      <c r="V158" s="2">
        <f t="shared" si="57"/>
        <v>8.4412508604718732E-4</v>
      </c>
      <c r="W158" s="2">
        <f t="shared" si="58"/>
        <v>1.2352492531388563E-3</v>
      </c>
      <c r="X158" s="2" t="s">
        <v>1170</v>
      </c>
      <c r="Y158" s="2">
        <f t="shared" si="59"/>
        <v>2.2407451423440843E-2</v>
      </c>
      <c r="Z158" s="2">
        <f t="shared" si="60"/>
        <v>3.7627373569128375E-2</v>
      </c>
      <c r="AA158" s="2" t="str">
        <f t="shared" si="61"/>
        <v>No Impact</v>
      </c>
      <c r="AB158" s="2">
        <f t="shared" si="62"/>
        <v>7.0856608135448735E-3</v>
      </c>
      <c r="AC158" s="2">
        <f t="shared" si="63"/>
        <v>1.5318278208905434E-2</v>
      </c>
      <c r="AD158" s="2" t="str">
        <f t="shared" si="64"/>
        <v>No Impact</v>
      </c>
      <c r="AE158" s="2">
        <f t="shared" si="65"/>
        <v>1.942331611317292E-4</v>
      </c>
      <c r="AF158" s="2">
        <f t="shared" si="66"/>
        <v>1.3234066391313488E-3</v>
      </c>
      <c r="AG158" s="2" t="s">
        <v>1170</v>
      </c>
    </row>
    <row r="159" spans="1:33" x14ac:dyDescent="0.3">
      <c r="A159" s="2">
        <v>302610</v>
      </c>
      <c r="B159" s="2" t="s">
        <v>341</v>
      </c>
      <c r="C159" s="2" t="s">
        <v>331</v>
      </c>
      <c r="D159" s="2" t="s">
        <v>342</v>
      </c>
      <c r="E159" s="3">
        <v>5.8</v>
      </c>
      <c r="F159" s="4">
        <f t="shared" si="48"/>
        <v>0.57777777777777772</v>
      </c>
      <c r="G159" s="2">
        <v>62.522629200000004</v>
      </c>
      <c r="H159" s="2">
        <f t="shared" si="49"/>
        <v>0.20489705227675362</v>
      </c>
      <c r="I159" s="2">
        <v>3.0999999999999996</v>
      </c>
      <c r="J159" s="4">
        <f t="shared" si="50"/>
        <v>4.7040971168437029E-2</v>
      </c>
      <c r="K159" s="2">
        <v>0</v>
      </c>
      <c r="L159" s="4">
        <f t="shared" si="51"/>
        <v>0</v>
      </c>
      <c r="M159" s="2">
        <v>9039</v>
      </c>
      <c r="N159" s="2">
        <f t="shared" si="52"/>
        <v>4.1636503858473735E-2</v>
      </c>
      <c r="O159" s="2">
        <v>0.40422114799999997</v>
      </c>
      <c r="P159" s="2">
        <f t="shared" si="47"/>
        <v>0.38950176744206161</v>
      </c>
      <c r="Q159" s="2">
        <v>0.19500000000000001</v>
      </c>
      <c r="R159" s="2">
        <f t="shared" si="53"/>
        <v>0.40532715691951365</v>
      </c>
      <c r="S159" s="2">
        <f t="shared" si="54"/>
        <v>2.0247260182717466E-2</v>
      </c>
      <c r="T159" s="5">
        <f t="shared" si="55"/>
        <v>3.1664211301113521E-2</v>
      </c>
      <c r="U159" s="2" t="str">
        <f t="shared" si="56"/>
        <v>No Impact</v>
      </c>
      <c r="V159" s="2">
        <f t="shared" si="57"/>
        <v>2.0650391936509867E-2</v>
      </c>
      <c r="W159" s="2">
        <f t="shared" si="58"/>
        <v>3.0218721891144617E-2</v>
      </c>
      <c r="X159" s="2" t="s">
        <v>1170</v>
      </c>
      <c r="Y159" s="2">
        <f t="shared" si="59"/>
        <v>1.9844128428925065E-2</v>
      </c>
      <c r="Z159" s="2">
        <f t="shared" si="60"/>
        <v>3.3322952237567094E-2</v>
      </c>
      <c r="AA159" s="2" t="str">
        <f t="shared" si="61"/>
        <v>No Impact</v>
      </c>
      <c r="AB159" s="2">
        <f t="shared" si="62"/>
        <v>1.3923321748135776E-2</v>
      </c>
      <c r="AC159" s="2">
        <f t="shared" si="63"/>
        <v>3.0100412896189029E-2</v>
      </c>
      <c r="AD159" s="2" t="str">
        <f t="shared" si="64"/>
        <v>No Impact</v>
      </c>
      <c r="AE159" s="2">
        <f t="shared" si="65"/>
        <v>2.1212744047994338E-3</v>
      </c>
      <c r="AF159" s="2">
        <f t="shared" si="66"/>
        <v>1.4453292189519846E-2</v>
      </c>
      <c r="AG159" s="2" t="s">
        <v>1170</v>
      </c>
    </row>
    <row r="160" spans="1:33" x14ac:dyDescent="0.3">
      <c r="A160" s="2">
        <v>302611</v>
      </c>
      <c r="B160" s="2" t="s">
        <v>343</v>
      </c>
      <c r="C160" s="2" t="s">
        <v>331</v>
      </c>
      <c r="D160" s="2" t="s">
        <v>344</v>
      </c>
      <c r="E160" s="3">
        <v>5.8</v>
      </c>
      <c r="F160" s="4">
        <f t="shared" si="48"/>
        <v>0.57777777777777772</v>
      </c>
      <c r="G160" s="2">
        <v>67.082396399999993</v>
      </c>
      <c r="H160" s="2">
        <f t="shared" si="49"/>
        <v>0.24171019049475573</v>
      </c>
      <c r="I160" s="2">
        <v>7.8000000000000016</v>
      </c>
      <c r="J160" s="4">
        <f t="shared" si="50"/>
        <v>0.118361153262519</v>
      </c>
      <c r="K160" s="2">
        <v>0</v>
      </c>
      <c r="L160" s="4">
        <f t="shared" si="51"/>
        <v>0</v>
      </c>
      <c r="M160" s="2">
        <v>3309</v>
      </c>
      <c r="N160" s="2">
        <f t="shared" si="52"/>
        <v>1.4525462141535725E-2</v>
      </c>
      <c r="O160" s="2">
        <v>0.60111583700000004</v>
      </c>
      <c r="P160" s="2">
        <f t="shared" si="47"/>
        <v>0.61695256979450297</v>
      </c>
      <c r="Q160" s="2">
        <v>7.6700000000000004E-2</v>
      </c>
      <c r="R160" s="2">
        <f t="shared" si="53"/>
        <v>6.2825709322524625E-2</v>
      </c>
      <c r="S160" s="2">
        <f t="shared" si="54"/>
        <v>2.4748833040110555E-2</v>
      </c>
      <c r="T160" s="5">
        <f t="shared" si="55"/>
        <v>3.8704114619268121E-2</v>
      </c>
      <c r="U160" s="2" t="str">
        <f t="shared" si="56"/>
        <v>No Impact</v>
      </c>
      <c r="V160" s="2">
        <f t="shared" si="57"/>
        <v>4.5746180436047768E-3</v>
      </c>
      <c r="W160" s="2">
        <f t="shared" si="58"/>
        <v>6.69426085678782E-3</v>
      </c>
      <c r="X160" s="2" t="s">
        <v>1170</v>
      </c>
      <c r="Y160" s="2">
        <f t="shared" si="59"/>
        <v>4.4923048036616335E-2</v>
      </c>
      <c r="Z160" s="2">
        <f t="shared" si="60"/>
        <v>7.5436348310873508E-2</v>
      </c>
      <c r="AA160" s="2" t="str">
        <f t="shared" si="61"/>
        <v>No Impact</v>
      </c>
      <c r="AB160" s="2">
        <f t="shared" si="62"/>
        <v>1.5448212848698E-2</v>
      </c>
      <c r="AC160" s="2">
        <f t="shared" si="63"/>
        <v>3.3397029363074364E-2</v>
      </c>
      <c r="AD160" s="2" t="str">
        <f t="shared" si="64"/>
        <v>No Impact</v>
      </c>
      <c r="AE160" s="2">
        <f t="shared" si="65"/>
        <v>1.0576632070040781E-3</v>
      </c>
      <c r="AF160" s="2">
        <f t="shared" si="66"/>
        <v>7.2063827925081241E-3</v>
      </c>
      <c r="AG160" s="2" t="s">
        <v>1170</v>
      </c>
    </row>
    <row r="161" spans="1:33" x14ac:dyDescent="0.3">
      <c r="A161" s="2">
        <v>302612</v>
      </c>
      <c r="B161" s="2" t="s">
        <v>345</v>
      </c>
      <c r="C161" s="2" t="s">
        <v>331</v>
      </c>
      <c r="D161" s="2" t="s">
        <v>346</v>
      </c>
      <c r="E161" s="3">
        <v>5.8</v>
      </c>
      <c r="F161" s="4">
        <f t="shared" si="48"/>
        <v>0.57777777777777772</v>
      </c>
      <c r="G161" s="2">
        <v>62.522629200000004</v>
      </c>
      <c r="H161" s="2">
        <f t="shared" si="49"/>
        <v>0.20489705227675362</v>
      </c>
      <c r="I161" s="2">
        <v>5.5</v>
      </c>
      <c r="J161" s="4">
        <f t="shared" si="50"/>
        <v>8.3459787556904405E-2</v>
      </c>
      <c r="K161" s="2">
        <v>0</v>
      </c>
      <c r="L161" s="4">
        <f t="shared" si="51"/>
        <v>0</v>
      </c>
      <c r="M161" s="2">
        <v>15140</v>
      </c>
      <c r="N161" s="2">
        <f t="shared" si="52"/>
        <v>7.0502902726717859E-2</v>
      </c>
      <c r="O161" s="2">
        <v>0.50757058300000002</v>
      </c>
      <c r="P161" s="2">
        <f t="shared" si="47"/>
        <v>0.50889001520440469</v>
      </c>
      <c r="Q161" s="2">
        <v>0.16120000000000001</v>
      </c>
      <c r="R161" s="2">
        <f t="shared" si="53"/>
        <v>0.30746960046323107</v>
      </c>
      <c r="S161" s="2">
        <f t="shared" si="54"/>
        <v>2.3801846648553612E-2</v>
      </c>
      <c r="T161" s="5">
        <f t="shared" si="55"/>
        <v>3.7223145000122665E-2</v>
      </c>
      <c r="U161" s="2" t="str">
        <f t="shared" si="56"/>
        <v>No Impact</v>
      </c>
      <c r="V161" s="2">
        <f t="shared" si="57"/>
        <v>1.7929216827642265E-2</v>
      </c>
      <c r="W161" s="2">
        <f t="shared" si="58"/>
        <v>2.6236694136669316E-2</v>
      </c>
      <c r="X161" s="2" t="s">
        <v>1170</v>
      </c>
      <c r="Y161" s="2">
        <f t="shared" si="59"/>
        <v>2.9674476469464955E-2</v>
      </c>
      <c r="Z161" s="2">
        <f t="shared" si="60"/>
        <v>4.9830415359811989E-2</v>
      </c>
      <c r="AA161" s="2" t="str">
        <f t="shared" si="61"/>
        <v>No Impact</v>
      </c>
      <c r="AB161" s="2">
        <f t="shared" si="62"/>
        <v>1.6616480644304567E-2</v>
      </c>
      <c r="AC161" s="2">
        <f t="shared" si="63"/>
        <v>3.5922672572158906E-2</v>
      </c>
      <c r="AD161" s="2" t="str">
        <f t="shared" si="64"/>
        <v>No Impact</v>
      </c>
      <c r="AE161" s="2">
        <f t="shared" si="65"/>
        <v>4.1111766108293995E-3</v>
      </c>
      <c r="AF161" s="2">
        <f t="shared" si="66"/>
        <v>2.8011480581954875E-2</v>
      </c>
      <c r="AG161" s="2" t="s">
        <v>1170</v>
      </c>
    </row>
    <row r="162" spans="1:33" x14ac:dyDescent="0.3">
      <c r="A162" s="2">
        <v>302614</v>
      </c>
      <c r="B162" s="2" t="s">
        <v>347</v>
      </c>
      <c r="C162" s="2" t="s">
        <v>331</v>
      </c>
      <c r="D162" s="2" t="s">
        <v>348</v>
      </c>
      <c r="E162" s="3">
        <v>5.6</v>
      </c>
      <c r="F162" s="4">
        <f t="shared" si="48"/>
        <v>0.53333333333333321</v>
      </c>
      <c r="G162" s="2">
        <v>73.501927199999997</v>
      </c>
      <c r="H162" s="2">
        <f t="shared" si="49"/>
        <v>0.29353807211009836</v>
      </c>
      <c r="I162" s="2">
        <v>6.3</v>
      </c>
      <c r="J162" s="4">
        <f t="shared" si="50"/>
        <v>9.5599393019726864E-2</v>
      </c>
      <c r="K162" s="2">
        <v>0</v>
      </c>
      <c r="L162" s="4">
        <f t="shared" si="51"/>
        <v>0</v>
      </c>
      <c r="M162" s="2">
        <v>70768</v>
      </c>
      <c r="N162" s="2">
        <f t="shared" si="52"/>
        <v>0.33370238416298798</v>
      </c>
      <c r="O162" s="2">
        <v>0.61146082999999996</v>
      </c>
      <c r="P162" s="2">
        <f t="shared" si="47"/>
        <v>0.62890300365399809</v>
      </c>
      <c r="Q162" s="2">
        <v>0.25030000000000002</v>
      </c>
      <c r="R162" s="2">
        <f t="shared" si="53"/>
        <v>0.56543138390272163</v>
      </c>
      <c r="S162" s="2">
        <f t="shared" si="54"/>
        <v>4.3377623901845706E-2</v>
      </c>
      <c r="T162" s="5">
        <f t="shared" si="55"/>
        <v>6.7837240030168347E-2</v>
      </c>
      <c r="U162" s="2" t="str">
        <f t="shared" si="56"/>
        <v>No Impact</v>
      </c>
      <c r="V162" s="2">
        <f t="shared" si="57"/>
        <v>4.1072366614860766E-2</v>
      </c>
      <c r="W162" s="2">
        <f t="shared" si="58"/>
        <v>6.0103189709985641E-2</v>
      </c>
      <c r="X162" s="2" t="s">
        <v>1170</v>
      </c>
      <c r="Y162" s="2">
        <f t="shared" si="59"/>
        <v>4.5682881188830654E-2</v>
      </c>
      <c r="Z162" s="2">
        <f t="shared" si="60"/>
        <v>7.6712286628368528E-2</v>
      </c>
      <c r="AA162" s="2" t="str">
        <f t="shared" si="61"/>
        <v>No Impact</v>
      </c>
      <c r="AB162" s="2">
        <f t="shared" si="62"/>
        <v>3.6564124530740115E-2</v>
      </c>
      <c r="AC162" s="2">
        <f t="shared" si="63"/>
        <v>7.9046887335654112E-2</v>
      </c>
      <c r="AD162" s="2" t="str">
        <f t="shared" si="64"/>
        <v>No Impact</v>
      </c>
      <c r="AE162" s="2">
        <f t="shared" si="65"/>
        <v>2.4239805311113322E-2</v>
      </c>
      <c r="AF162" s="2">
        <f t="shared" si="66"/>
        <v>0.16515778816070753</v>
      </c>
      <c r="AG162" s="2" t="s">
        <v>1169</v>
      </c>
    </row>
    <row r="163" spans="1:33" x14ac:dyDescent="0.3">
      <c r="A163" s="2">
        <v>302616</v>
      </c>
      <c r="B163" s="2" t="s">
        <v>349</v>
      </c>
      <c r="C163" s="2" t="s">
        <v>331</v>
      </c>
      <c r="D163" s="2" t="s">
        <v>350</v>
      </c>
      <c r="E163" s="3">
        <v>5.8</v>
      </c>
      <c r="F163" s="4">
        <f t="shared" si="48"/>
        <v>0.57777777777777772</v>
      </c>
      <c r="G163" s="2">
        <v>67.082396399999993</v>
      </c>
      <c r="H163" s="2">
        <f t="shared" si="49"/>
        <v>0.24171019049475573</v>
      </c>
      <c r="I163" s="2">
        <v>6.6999999999999993</v>
      </c>
      <c r="J163" s="4">
        <f t="shared" si="50"/>
        <v>0.10166919575113809</v>
      </c>
      <c r="K163" s="2">
        <v>0</v>
      </c>
      <c r="L163" s="4">
        <f t="shared" si="51"/>
        <v>0</v>
      </c>
      <c r="M163" s="2">
        <v>1742</v>
      </c>
      <c r="N163" s="2">
        <f t="shared" si="52"/>
        <v>7.1113256021915943E-3</v>
      </c>
      <c r="O163" s="2">
        <v>0.631479664</v>
      </c>
      <c r="P163" s="2">
        <f t="shared" si="47"/>
        <v>0.65202856320355174</v>
      </c>
      <c r="Q163" s="2">
        <v>0.06</v>
      </c>
      <c r="R163" s="2">
        <f t="shared" si="53"/>
        <v>1.4475969889982622E-2</v>
      </c>
      <c r="S163" s="2">
        <f t="shared" si="54"/>
        <v>2.3140684992047231E-2</v>
      </c>
      <c r="T163" s="5">
        <f t="shared" si="55"/>
        <v>3.6189169923648762E-2</v>
      </c>
      <c r="U163" s="2" t="str">
        <f t="shared" si="56"/>
        <v>No Impact</v>
      </c>
      <c r="V163" s="2">
        <f t="shared" si="57"/>
        <v>1.0051960415742237E-3</v>
      </c>
      <c r="W163" s="2">
        <f t="shared" si="58"/>
        <v>1.4709522085489641E-3</v>
      </c>
      <c r="X163" s="2" t="s">
        <v>1170</v>
      </c>
      <c r="Y163" s="2">
        <f t="shared" si="59"/>
        <v>4.5276173942520231E-2</v>
      </c>
      <c r="Z163" s="2">
        <f t="shared" si="60"/>
        <v>7.6029329642274851E-2</v>
      </c>
      <c r="AA163" s="2" t="str">
        <f t="shared" si="61"/>
        <v>No Impact</v>
      </c>
      <c r="AB163" s="2">
        <f t="shared" si="62"/>
        <v>1.4107501822792618E-2</v>
      </c>
      <c r="AC163" s="2">
        <f t="shared" si="63"/>
        <v>3.0498586291497098E-2</v>
      </c>
      <c r="AD163" s="2" t="str">
        <f t="shared" si="64"/>
        <v>No Impact</v>
      </c>
      <c r="AE163" s="2">
        <f t="shared" si="65"/>
        <v>4.9380292995877481E-4</v>
      </c>
      <c r="AF163" s="2">
        <f t="shared" si="66"/>
        <v>3.3645237101750563E-3</v>
      </c>
      <c r="AG163" s="2" t="s">
        <v>1170</v>
      </c>
    </row>
    <row r="164" spans="1:33" x14ac:dyDescent="0.3">
      <c r="A164" s="2">
        <v>302618</v>
      </c>
      <c r="B164" s="2" t="s">
        <v>351</v>
      </c>
      <c r="C164" s="2" t="s">
        <v>331</v>
      </c>
      <c r="D164" s="2" t="s">
        <v>352</v>
      </c>
      <c r="E164" s="3">
        <v>5.8</v>
      </c>
      <c r="F164" s="4">
        <f t="shared" si="48"/>
        <v>0.57777777777777772</v>
      </c>
      <c r="G164" s="2">
        <v>82.997629200000006</v>
      </c>
      <c r="H164" s="2">
        <f t="shared" si="49"/>
        <v>0.37020132592774069</v>
      </c>
      <c r="I164" s="2">
        <v>11.899999999999999</v>
      </c>
      <c r="J164" s="4">
        <f t="shared" si="50"/>
        <v>0.18057663125948406</v>
      </c>
      <c r="K164" s="2">
        <v>0</v>
      </c>
      <c r="L164" s="4">
        <f t="shared" si="51"/>
        <v>0</v>
      </c>
      <c r="M164" s="2">
        <v>27219</v>
      </c>
      <c r="N164" s="2">
        <f t="shared" si="52"/>
        <v>0.12765373569336608</v>
      </c>
      <c r="O164" s="2">
        <v>0.63313887899999999</v>
      </c>
      <c r="P164" s="2">
        <f t="shared" si="47"/>
        <v>0.65394527200327546</v>
      </c>
      <c r="Q164" s="2">
        <v>0.26229999999999998</v>
      </c>
      <c r="R164" s="2">
        <f t="shared" si="53"/>
        <v>0.60017371163867972</v>
      </c>
      <c r="S164" s="2">
        <f t="shared" si="54"/>
        <v>6.9841599290092371E-2</v>
      </c>
      <c r="T164" s="5">
        <f t="shared" si="55"/>
        <v>0.10922362520025529</v>
      </c>
      <c r="U164" s="2" t="str">
        <f t="shared" si="56"/>
        <v>No Impact</v>
      </c>
      <c r="V164" s="2">
        <f t="shared" si="57"/>
        <v>6.6847073394884909E-2</v>
      </c>
      <c r="W164" s="2">
        <f t="shared" si="58"/>
        <v>9.7820570494138837E-2</v>
      </c>
      <c r="X164" s="2" t="s">
        <v>1169</v>
      </c>
      <c r="Y164" s="2">
        <f t="shared" si="59"/>
        <v>7.2836125185299846E-2</v>
      </c>
      <c r="Z164" s="2">
        <f t="shared" si="60"/>
        <v>0.12230896052765965</v>
      </c>
      <c r="AA164" s="2" t="str">
        <f t="shared" si="61"/>
        <v>No Impact</v>
      </c>
      <c r="AB164" s="2">
        <f t="shared" si="62"/>
        <v>5.022361837969843E-2</v>
      </c>
      <c r="AC164" s="2">
        <f t="shared" si="63"/>
        <v>0.1085769385866532</v>
      </c>
      <c r="AD164" s="2" t="str">
        <f t="shared" si="64"/>
        <v>No Impact</v>
      </c>
      <c r="AE164" s="2">
        <f t="shared" si="65"/>
        <v>1.4218014673996483E-2</v>
      </c>
      <c r="AF164" s="2">
        <f t="shared" si="66"/>
        <v>9.6874369470168406E-2</v>
      </c>
      <c r="AG164" s="2" t="s">
        <v>1169</v>
      </c>
    </row>
    <row r="165" spans="1:33" x14ac:dyDescent="0.3">
      <c r="A165" s="2">
        <v>302624</v>
      </c>
      <c r="B165" s="2" t="s">
        <v>353</v>
      </c>
      <c r="C165" s="2" t="s">
        <v>331</v>
      </c>
      <c r="D165" s="2" t="s">
        <v>354</v>
      </c>
      <c r="E165" s="3">
        <v>5.7</v>
      </c>
      <c r="F165" s="4">
        <f t="shared" si="48"/>
        <v>0.55555555555555558</v>
      </c>
      <c r="G165" s="2">
        <v>62.522629200000004</v>
      </c>
      <c r="H165" s="2">
        <f t="shared" si="49"/>
        <v>0.20489705227675362</v>
      </c>
      <c r="I165" s="2">
        <v>5.5</v>
      </c>
      <c r="J165" s="4">
        <f t="shared" si="50"/>
        <v>8.3459787556904405E-2</v>
      </c>
      <c r="K165" s="2">
        <v>0</v>
      </c>
      <c r="L165" s="4">
        <f t="shared" si="51"/>
        <v>0</v>
      </c>
      <c r="M165" s="2">
        <v>1598</v>
      </c>
      <c r="N165" s="2">
        <f t="shared" si="52"/>
        <v>6.4300009935983875E-3</v>
      </c>
      <c r="O165" s="2">
        <v>0.73194421300000001</v>
      </c>
      <c r="P165" s="2">
        <f t="shared" si="47"/>
        <v>0.76808421911830393</v>
      </c>
      <c r="Q165" s="2">
        <v>0.06</v>
      </c>
      <c r="R165" s="2">
        <f t="shared" si="53"/>
        <v>1.4475969889982622E-2</v>
      </c>
      <c r="S165" s="2">
        <f t="shared" si="54"/>
        <v>2.1938834466311351E-2</v>
      </c>
      <c r="T165" s="5">
        <f t="shared" si="55"/>
        <v>3.4309624313238786E-2</v>
      </c>
      <c r="U165" s="2" t="str">
        <f t="shared" si="56"/>
        <v>No Impact</v>
      </c>
      <c r="V165" s="2">
        <f t="shared" si="57"/>
        <v>8.116587365838339E-4</v>
      </c>
      <c r="W165" s="2">
        <f t="shared" si="58"/>
        <v>1.1877396664796694E-3</v>
      </c>
      <c r="X165" s="2" t="s">
        <v>1170</v>
      </c>
      <c r="Y165" s="2">
        <f t="shared" si="59"/>
        <v>4.3066010196038867E-2</v>
      </c>
      <c r="Z165" s="2">
        <f t="shared" si="60"/>
        <v>7.2317945631382802E-2</v>
      </c>
      <c r="AA165" s="2" t="str">
        <f t="shared" si="61"/>
        <v>No Impact</v>
      </c>
      <c r="AB165" s="2">
        <f t="shared" si="62"/>
        <v>1.3330067788234647E-2</v>
      </c>
      <c r="AC165" s="2">
        <f t="shared" si="63"/>
        <v>2.8817874902142163E-2</v>
      </c>
      <c r="AD165" s="2" t="str">
        <f t="shared" si="64"/>
        <v>No Impact</v>
      </c>
      <c r="AE165" s="2">
        <f t="shared" si="65"/>
        <v>3.6052620462469957E-4</v>
      </c>
      <c r="AF165" s="2">
        <f t="shared" si="66"/>
        <v>2.4564434311892258E-3</v>
      </c>
      <c r="AG165" s="2" t="s">
        <v>1170</v>
      </c>
    </row>
    <row r="166" spans="1:33" x14ac:dyDescent="0.3">
      <c r="A166" s="2">
        <v>302626</v>
      </c>
      <c r="B166" s="2" t="s">
        <v>355</v>
      </c>
      <c r="C166" s="2" t="s">
        <v>331</v>
      </c>
      <c r="D166" s="2" t="s">
        <v>356</v>
      </c>
      <c r="E166" s="3">
        <v>5.7</v>
      </c>
      <c r="F166" s="4">
        <f t="shared" si="48"/>
        <v>0.55555555555555558</v>
      </c>
      <c r="G166" s="2">
        <v>62.522629200000004</v>
      </c>
      <c r="H166" s="2">
        <f t="shared" si="49"/>
        <v>0.20489705227675362</v>
      </c>
      <c r="I166" s="2">
        <v>5.5</v>
      </c>
      <c r="J166" s="4">
        <f t="shared" si="50"/>
        <v>8.3459787556904405E-2</v>
      </c>
      <c r="K166" s="2">
        <v>0</v>
      </c>
      <c r="L166" s="4">
        <f t="shared" si="51"/>
        <v>0</v>
      </c>
      <c r="M166" s="2">
        <v>6565</v>
      </c>
      <c r="N166" s="2">
        <f t="shared" si="52"/>
        <v>2.9930968569171008E-2</v>
      </c>
      <c r="O166" s="2">
        <v>0.50751764200000005</v>
      </c>
      <c r="P166" s="2">
        <f t="shared" si="47"/>
        <v>0.50882885828347146</v>
      </c>
      <c r="Q166" s="2">
        <v>0.06</v>
      </c>
      <c r="R166" s="2">
        <f t="shared" si="53"/>
        <v>1.4475969889982622E-2</v>
      </c>
      <c r="S166" s="2">
        <f t="shared" si="54"/>
        <v>1.4670690078507615E-2</v>
      </c>
      <c r="T166" s="5">
        <f t="shared" si="55"/>
        <v>2.2943145215051395E-2</v>
      </c>
      <c r="U166" s="2" t="str">
        <f t="shared" si="56"/>
        <v>No Impact</v>
      </c>
      <c r="V166" s="2">
        <f t="shared" si="57"/>
        <v>8.116587365838339E-4</v>
      </c>
      <c r="W166" s="2">
        <f t="shared" si="58"/>
        <v>1.1877396664796694E-3</v>
      </c>
      <c r="X166" s="2" t="s">
        <v>1170</v>
      </c>
      <c r="Y166" s="2">
        <f t="shared" si="59"/>
        <v>2.8529721420431399E-2</v>
      </c>
      <c r="Z166" s="2">
        <f t="shared" si="60"/>
        <v>4.7908102774540877E-2</v>
      </c>
      <c r="AA166" s="2" t="str">
        <f t="shared" si="61"/>
        <v>No Impact</v>
      </c>
      <c r="AB166" s="2">
        <f t="shared" si="62"/>
        <v>9.4303708394595492E-3</v>
      </c>
      <c r="AC166" s="2">
        <f t="shared" si="63"/>
        <v>2.0387236692990994E-2</v>
      </c>
      <c r="AD166" s="2" t="str">
        <f t="shared" si="64"/>
        <v>No Impact</v>
      </c>
      <c r="AE166" s="2">
        <f t="shared" si="65"/>
        <v>1.6782110157879686E-3</v>
      </c>
      <c r="AF166" s="2">
        <f t="shared" si="66"/>
        <v>1.1434482079251686E-2</v>
      </c>
      <c r="AG166" s="2" t="s">
        <v>1170</v>
      </c>
    </row>
    <row r="167" spans="1:33" x14ac:dyDescent="0.3">
      <c r="A167" s="2">
        <v>302628</v>
      </c>
      <c r="B167" s="2" t="s">
        <v>357</v>
      </c>
      <c r="C167" s="2" t="s">
        <v>331</v>
      </c>
      <c r="D167" s="2" t="s">
        <v>358</v>
      </c>
      <c r="E167" s="3">
        <v>5.9</v>
      </c>
      <c r="F167" s="4">
        <f t="shared" si="48"/>
        <v>0.60000000000000009</v>
      </c>
      <c r="G167" s="2">
        <v>67.082396399999993</v>
      </c>
      <c r="H167" s="2">
        <f t="shared" si="49"/>
        <v>0.24171019049475573</v>
      </c>
      <c r="I167" s="2">
        <v>6.6999999999999993</v>
      </c>
      <c r="J167" s="4">
        <f t="shared" si="50"/>
        <v>0.10166919575113809</v>
      </c>
      <c r="K167" s="2">
        <v>0</v>
      </c>
      <c r="L167" s="4">
        <f t="shared" si="51"/>
        <v>0</v>
      </c>
      <c r="M167" s="2">
        <v>4547</v>
      </c>
      <c r="N167" s="2">
        <f t="shared" si="52"/>
        <v>2.0382961207080098E-2</v>
      </c>
      <c r="O167" s="2">
        <v>0.59607095300000001</v>
      </c>
      <c r="P167" s="2">
        <f t="shared" si="47"/>
        <v>0.6111247695658486</v>
      </c>
      <c r="Q167" s="2">
        <v>8.6400000000000005E-2</v>
      </c>
      <c r="R167" s="2">
        <f t="shared" si="53"/>
        <v>9.0909090909090925E-2</v>
      </c>
      <c r="S167" s="2">
        <f t="shared" si="54"/>
        <v>2.5311715394040622E-2</v>
      </c>
      <c r="T167" s="5">
        <f t="shared" si="55"/>
        <v>3.9584393018995669E-2</v>
      </c>
      <c r="U167" s="2" t="str">
        <f t="shared" si="56"/>
        <v>No Impact</v>
      </c>
      <c r="V167" s="2">
        <f t="shared" si="57"/>
        <v>6.5554246465125195E-3</v>
      </c>
      <c r="W167" s="2">
        <f t="shared" si="58"/>
        <v>9.5928714031370214E-3</v>
      </c>
      <c r="X167" s="2" t="s">
        <v>1170</v>
      </c>
      <c r="Y167" s="2">
        <f t="shared" si="59"/>
        <v>4.4068006141568715E-2</v>
      </c>
      <c r="Z167" s="2">
        <f t="shared" si="60"/>
        <v>7.4000532153371754E-2</v>
      </c>
      <c r="AA167" s="2" t="str">
        <f t="shared" si="61"/>
        <v>No Impact</v>
      </c>
      <c r="AB167" s="2">
        <f t="shared" si="62"/>
        <v>1.6029233488873331E-2</v>
      </c>
      <c r="AC167" s="2">
        <f t="shared" si="63"/>
        <v>3.4653120509055897E-2</v>
      </c>
      <c r="AD167" s="2" t="str">
        <f t="shared" si="64"/>
        <v>No Impact</v>
      </c>
      <c r="AE167" s="2">
        <f t="shared" si="65"/>
        <v>1.4698086289238156E-3</v>
      </c>
      <c r="AF167" s="2">
        <f t="shared" si="66"/>
        <v>1.0014533493851322E-2</v>
      </c>
      <c r="AG167" s="2" t="s">
        <v>1170</v>
      </c>
    </row>
    <row r="168" spans="1:33" x14ac:dyDescent="0.3">
      <c r="A168" s="2">
        <v>302629</v>
      </c>
      <c r="B168" s="2" t="s">
        <v>359</v>
      </c>
      <c r="C168" s="2" t="s">
        <v>331</v>
      </c>
      <c r="D168" s="2" t="s">
        <v>360</v>
      </c>
      <c r="E168" s="3">
        <v>5.8</v>
      </c>
      <c r="F168" s="4">
        <f t="shared" si="48"/>
        <v>0.57777777777777772</v>
      </c>
      <c r="G168" s="2">
        <v>62.522629200000004</v>
      </c>
      <c r="H168" s="2">
        <f t="shared" si="49"/>
        <v>0.20489705227675362</v>
      </c>
      <c r="I168" s="2">
        <v>5.5</v>
      </c>
      <c r="J168" s="4">
        <f t="shared" si="50"/>
        <v>8.3459787556904405E-2</v>
      </c>
      <c r="K168" s="2">
        <v>0</v>
      </c>
      <c r="L168" s="4">
        <f t="shared" si="51"/>
        <v>0</v>
      </c>
      <c r="M168" s="2">
        <v>7826</v>
      </c>
      <c r="N168" s="2">
        <f t="shared" si="52"/>
        <v>3.5897290315254571E-2</v>
      </c>
      <c r="O168" s="2">
        <v>0.36270054299999999</v>
      </c>
      <c r="P168" s="2">
        <f t="shared" si="47"/>
        <v>0.34153757414983532</v>
      </c>
      <c r="Q168" s="2">
        <v>0.12959999999999999</v>
      </c>
      <c r="R168" s="2">
        <f t="shared" si="53"/>
        <v>0.21598147075854082</v>
      </c>
      <c r="S168" s="2">
        <f t="shared" si="54"/>
        <v>1.6255070138060143E-2</v>
      </c>
      <c r="T168" s="5">
        <f t="shared" si="55"/>
        <v>2.5420919715611442E-2</v>
      </c>
      <c r="U168" s="2" t="str">
        <f t="shared" si="56"/>
        <v>No Impact</v>
      </c>
      <c r="V168" s="2">
        <f t="shared" si="57"/>
        <v>1.259434628382404E-2</v>
      </c>
      <c r="W168" s="2">
        <f t="shared" si="58"/>
        <v>1.8429918856831744E-2</v>
      </c>
      <c r="X168" s="2" t="s">
        <v>1170</v>
      </c>
      <c r="Y168" s="2">
        <f t="shared" si="59"/>
        <v>1.9915793992296253E-2</v>
      </c>
      <c r="Z168" s="2">
        <f t="shared" si="60"/>
        <v>3.3443295549889923E-2</v>
      </c>
      <c r="AA168" s="2" t="str">
        <f t="shared" si="61"/>
        <v>No Impact</v>
      </c>
      <c r="AB168" s="2">
        <f t="shared" si="62"/>
        <v>1.1115396396639859E-2</v>
      </c>
      <c r="AC168" s="2">
        <f t="shared" si="63"/>
        <v>2.4030043052655083E-2</v>
      </c>
      <c r="AD168" s="2" t="str">
        <f t="shared" si="64"/>
        <v>No Impact</v>
      </c>
      <c r="AE168" s="2">
        <f t="shared" si="65"/>
        <v>2.0932485703216326E-3</v>
      </c>
      <c r="AF168" s="2">
        <f t="shared" si="66"/>
        <v>1.4262338311206739E-2</v>
      </c>
      <c r="AG168" s="2" t="s">
        <v>1170</v>
      </c>
    </row>
    <row r="169" spans="1:33" x14ac:dyDescent="0.3">
      <c r="A169" s="2">
        <v>302630</v>
      </c>
      <c r="B169" s="2" t="s">
        <v>361</v>
      </c>
      <c r="C169" s="2" t="s">
        <v>331</v>
      </c>
      <c r="D169" s="2" t="s">
        <v>362</v>
      </c>
      <c r="E169" s="3">
        <v>5.8</v>
      </c>
      <c r="F169" s="4">
        <f t="shared" si="48"/>
        <v>0.57777777777777772</v>
      </c>
      <c r="G169" s="2">
        <v>67.082396399999993</v>
      </c>
      <c r="H169" s="2">
        <f t="shared" si="49"/>
        <v>0.24171019049475573</v>
      </c>
      <c r="I169" s="2">
        <v>6.6999999999999993</v>
      </c>
      <c r="J169" s="4">
        <f t="shared" si="50"/>
        <v>0.10166919575113809</v>
      </c>
      <c r="K169" s="2">
        <v>0</v>
      </c>
      <c r="L169" s="4">
        <f t="shared" si="51"/>
        <v>0</v>
      </c>
      <c r="M169" s="2">
        <v>6991</v>
      </c>
      <c r="N169" s="2">
        <f t="shared" si="52"/>
        <v>3.1946553869592574E-2</v>
      </c>
      <c r="O169" s="2">
        <v>0.66694276799999996</v>
      </c>
      <c r="P169" s="2">
        <f t="shared" si="47"/>
        <v>0.6929951910982638</v>
      </c>
      <c r="Q169" s="2">
        <v>0.105</v>
      </c>
      <c r="R169" s="2">
        <f t="shared" si="53"/>
        <v>0.14475969889982629</v>
      </c>
      <c r="S169" s="2">
        <f t="shared" si="54"/>
        <v>2.9086406839595198E-2</v>
      </c>
      <c r="T169" s="5">
        <f t="shared" si="55"/>
        <v>4.5487543689749978E-2</v>
      </c>
      <c r="U169" s="2" t="str">
        <f t="shared" si="56"/>
        <v>No Impact</v>
      </c>
      <c r="V169" s="2">
        <f t="shared" si="57"/>
        <v>1.0051960415742241E-2</v>
      </c>
      <c r="W169" s="2">
        <f t="shared" si="58"/>
        <v>1.4709522085489648E-2</v>
      </c>
      <c r="X169" s="2" t="s">
        <v>1170</v>
      </c>
      <c r="Y169" s="2">
        <f t="shared" si="59"/>
        <v>4.812085326344815E-2</v>
      </c>
      <c r="Z169" s="2">
        <f t="shared" si="60"/>
        <v>8.0806214325418915E-2</v>
      </c>
      <c r="AA169" s="2" t="str">
        <f t="shared" si="61"/>
        <v>No Impact</v>
      </c>
      <c r="AB169" s="2">
        <f t="shared" si="62"/>
        <v>1.8730859346153397E-2</v>
      </c>
      <c r="AC169" s="2">
        <f t="shared" si="63"/>
        <v>4.049368465503915E-2</v>
      </c>
      <c r="AD169" s="2" t="str">
        <f t="shared" si="64"/>
        <v>No Impact</v>
      </c>
      <c r="AE169" s="2">
        <f t="shared" si="65"/>
        <v>2.2183349188833316E-3</v>
      </c>
      <c r="AF169" s="2">
        <f t="shared" si="66"/>
        <v>1.5114613500400519E-2</v>
      </c>
      <c r="AG169" s="2" t="s">
        <v>1170</v>
      </c>
    </row>
    <row r="170" spans="1:33" x14ac:dyDescent="0.3">
      <c r="A170" s="2">
        <v>302632</v>
      </c>
      <c r="B170" s="2" t="s">
        <v>363</v>
      </c>
      <c r="C170" s="2" t="s">
        <v>331</v>
      </c>
      <c r="D170" s="2" t="s">
        <v>364</v>
      </c>
      <c r="E170" s="3">
        <v>5.8</v>
      </c>
      <c r="F170" s="4">
        <f t="shared" si="48"/>
        <v>0.57777777777777772</v>
      </c>
      <c r="G170" s="2">
        <v>62.522629200000004</v>
      </c>
      <c r="H170" s="2">
        <f t="shared" si="49"/>
        <v>0.20489705227675362</v>
      </c>
      <c r="I170" s="2">
        <v>5.5</v>
      </c>
      <c r="J170" s="4">
        <f t="shared" si="50"/>
        <v>8.3459787556904405E-2</v>
      </c>
      <c r="K170" s="2">
        <v>0</v>
      </c>
      <c r="L170" s="4">
        <f t="shared" si="51"/>
        <v>0</v>
      </c>
      <c r="M170" s="2">
        <v>4323</v>
      </c>
      <c r="N170" s="2">
        <f t="shared" si="52"/>
        <v>1.9323122927046223E-2</v>
      </c>
      <c r="O170" s="2">
        <v>0.71773662699999996</v>
      </c>
      <c r="P170" s="2">
        <f t="shared" si="47"/>
        <v>0.75167175592996804</v>
      </c>
      <c r="Q170" s="2">
        <v>7.7299999999999994E-2</v>
      </c>
      <c r="R170" s="2">
        <f t="shared" si="53"/>
        <v>6.4562825709322508E-2</v>
      </c>
      <c r="S170" s="2">
        <f t="shared" si="54"/>
        <v>2.3798201146361431E-2</v>
      </c>
      <c r="T170" s="5">
        <f t="shared" si="55"/>
        <v>3.721744388546961E-2</v>
      </c>
      <c r="U170" s="2" t="str">
        <f t="shared" si="56"/>
        <v>No Impact</v>
      </c>
      <c r="V170" s="2">
        <f t="shared" si="57"/>
        <v>3.7647978837704555E-3</v>
      </c>
      <c r="W170" s="2">
        <f t="shared" si="58"/>
        <v>5.5092116689992995E-3</v>
      </c>
      <c r="X170" s="2" t="s">
        <v>1170</v>
      </c>
      <c r="Y170" s="2">
        <f t="shared" si="59"/>
        <v>4.383160440895241E-2</v>
      </c>
      <c r="Z170" s="2">
        <f t="shared" si="60"/>
        <v>7.3603558122838419E-2</v>
      </c>
      <c r="AA170" s="2" t="str">
        <f t="shared" si="61"/>
        <v>No Impact</v>
      </c>
      <c r="AB170" s="2">
        <f t="shared" si="62"/>
        <v>1.4861531150928243E-2</v>
      </c>
      <c r="AC170" s="2">
        <f t="shared" si="63"/>
        <v>3.2128699745979122E-2</v>
      </c>
      <c r="AD170" s="2" t="str">
        <f t="shared" si="64"/>
        <v>No Impact</v>
      </c>
      <c r="AE170" s="2">
        <f t="shared" si="65"/>
        <v>1.1267730540653156E-3</v>
      </c>
      <c r="AF170" s="2">
        <f t="shared" si="66"/>
        <v>7.6772623781426559E-3</v>
      </c>
      <c r="AG170" s="2" t="s">
        <v>1170</v>
      </c>
    </row>
    <row r="171" spans="1:33" x14ac:dyDescent="0.3">
      <c r="A171" s="2">
        <v>302633</v>
      </c>
      <c r="B171" s="2" t="s">
        <v>365</v>
      </c>
      <c r="C171" s="2" t="s">
        <v>331</v>
      </c>
      <c r="D171" s="2" t="s">
        <v>366</v>
      </c>
      <c r="E171" s="3">
        <v>5.7</v>
      </c>
      <c r="F171" s="4">
        <f t="shared" si="48"/>
        <v>0.55555555555555558</v>
      </c>
      <c r="G171" s="2">
        <v>62.522629200000004</v>
      </c>
      <c r="H171" s="2">
        <f t="shared" si="49"/>
        <v>0.20489705227675362</v>
      </c>
      <c r="I171" s="2">
        <v>5.5</v>
      </c>
      <c r="J171" s="4">
        <f t="shared" si="50"/>
        <v>8.3459787556904405E-2</v>
      </c>
      <c r="K171" s="2">
        <v>0</v>
      </c>
      <c r="L171" s="4">
        <f t="shared" si="51"/>
        <v>0</v>
      </c>
      <c r="M171" s="2">
        <v>731</v>
      </c>
      <c r="N171" s="2">
        <f t="shared" si="52"/>
        <v>2.3278590793601225E-3</v>
      </c>
      <c r="O171" s="2">
        <v>0.32664743000000002</v>
      </c>
      <c r="P171" s="2">
        <f t="shared" si="47"/>
        <v>0.29988937367880475</v>
      </c>
      <c r="Q171" s="2">
        <v>0.06</v>
      </c>
      <c r="R171" s="2">
        <f t="shared" si="53"/>
        <v>1.4475969889982622E-2</v>
      </c>
      <c r="S171" s="2">
        <f t="shared" si="54"/>
        <v>8.8131358218475533E-3</v>
      </c>
      <c r="T171" s="5">
        <f t="shared" si="55"/>
        <v>1.3782654658954445E-2</v>
      </c>
      <c r="U171" s="2" t="str">
        <f t="shared" si="56"/>
        <v>No Impact</v>
      </c>
      <c r="V171" s="2">
        <f t="shared" si="57"/>
        <v>8.116587365838339E-4</v>
      </c>
      <c r="W171" s="2">
        <f t="shared" si="58"/>
        <v>1.1877396664796694E-3</v>
      </c>
      <c r="X171" s="2" t="s">
        <v>1170</v>
      </c>
      <c r="Y171" s="2">
        <f t="shared" si="59"/>
        <v>1.6814612907111271E-2</v>
      </c>
      <c r="Z171" s="2">
        <f t="shared" si="60"/>
        <v>2.82356841623807E-2</v>
      </c>
      <c r="AA171" s="2" t="str">
        <f t="shared" si="61"/>
        <v>No Impact</v>
      </c>
      <c r="AB171" s="2">
        <f t="shared" si="62"/>
        <v>5.3741469997952464E-3</v>
      </c>
      <c r="AC171" s="2">
        <f t="shared" si="63"/>
        <v>1.1618207679522407E-2</v>
      </c>
      <c r="AD171" s="2" t="str">
        <f t="shared" si="64"/>
        <v>No Impact</v>
      </c>
      <c r="AE171" s="2">
        <f t="shared" si="65"/>
        <v>1.3052162816435038E-4</v>
      </c>
      <c r="AF171" s="2">
        <f t="shared" si="66"/>
        <v>8.8930843866453189E-4</v>
      </c>
      <c r="AG171" s="2" t="s">
        <v>1170</v>
      </c>
    </row>
    <row r="172" spans="1:33" x14ac:dyDescent="0.3">
      <c r="A172" s="2">
        <v>302634</v>
      </c>
      <c r="B172" s="2" t="s">
        <v>367</v>
      </c>
      <c r="C172" s="2" t="s">
        <v>331</v>
      </c>
      <c r="D172" s="2" t="s">
        <v>368</v>
      </c>
      <c r="E172" s="3">
        <v>3.7</v>
      </c>
      <c r="F172" s="4">
        <f t="shared" si="48"/>
        <v>0.1111111111111111</v>
      </c>
      <c r="G172" s="2">
        <v>67.082396399999993</v>
      </c>
      <c r="H172" s="2">
        <f t="shared" si="49"/>
        <v>0.24171019049475573</v>
      </c>
      <c r="I172" s="2">
        <v>6.6999999999999993</v>
      </c>
      <c r="J172" s="4">
        <f t="shared" si="50"/>
        <v>0.10166919575113809</v>
      </c>
      <c r="K172" s="2">
        <v>0</v>
      </c>
      <c r="L172" s="4">
        <f t="shared" si="51"/>
        <v>0</v>
      </c>
      <c r="M172" s="2">
        <v>2173</v>
      </c>
      <c r="N172" s="2">
        <f t="shared" si="52"/>
        <v>9.1505680070782056E-3</v>
      </c>
      <c r="O172" s="2">
        <v>0.59125960399999999</v>
      </c>
      <c r="P172" s="2">
        <f t="shared" si="47"/>
        <v>0.60556674666535482</v>
      </c>
      <c r="Q172" s="2">
        <v>6.3700000000000007E-2</v>
      </c>
      <c r="R172" s="2">
        <f t="shared" si="53"/>
        <v>2.5188187608569793E-2</v>
      </c>
      <c r="S172" s="2">
        <f t="shared" si="54"/>
        <v>4.2114380428273472E-3</v>
      </c>
      <c r="T172" s="5">
        <f t="shared" si="55"/>
        <v>6.5861683440734753E-3</v>
      </c>
      <c r="U172" s="2" t="str">
        <f t="shared" si="56"/>
        <v>No Impact</v>
      </c>
      <c r="V172" s="2">
        <f t="shared" si="57"/>
        <v>3.3635406006522138E-4</v>
      </c>
      <c r="W172" s="2">
        <f t="shared" si="58"/>
        <v>4.9220323901446163E-4</v>
      </c>
      <c r="X172" s="2" t="s">
        <v>1170</v>
      </c>
      <c r="Y172" s="2">
        <f t="shared" si="59"/>
        <v>8.0865220255894737E-3</v>
      </c>
      <c r="Z172" s="2">
        <f t="shared" si="60"/>
        <v>1.3579169686987814E-2</v>
      </c>
      <c r="AA172" s="2" t="str">
        <f t="shared" si="61"/>
        <v>No Impact</v>
      </c>
      <c r="AB172" s="2">
        <f t="shared" si="62"/>
        <v>2.5864482244989805E-3</v>
      </c>
      <c r="AC172" s="2">
        <f t="shared" si="63"/>
        <v>5.5915650661781382E-3</v>
      </c>
      <c r="AD172" s="2" t="str">
        <f t="shared" si="64"/>
        <v>No Impact</v>
      </c>
      <c r="AE172" s="2">
        <f t="shared" si="65"/>
        <v>1.2219341656945988E-4</v>
      </c>
      <c r="AF172" s="2">
        <f t="shared" si="66"/>
        <v>8.3256421202192535E-4</v>
      </c>
      <c r="AG172" s="2" t="s">
        <v>1170</v>
      </c>
    </row>
    <row r="173" spans="1:33" x14ac:dyDescent="0.3">
      <c r="A173" s="2">
        <v>302636</v>
      </c>
      <c r="B173" s="2" t="s">
        <v>369</v>
      </c>
      <c r="C173" s="2" t="s">
        <v>331</v>
      </c>
      <c r="D173" s="2" t="s">
        <v>370</v>
      </c>
      <c r="E173" s="3">
        <v>5.9</v>
      </c>
      <c r="F173" s="4">
        <f t="shared" si="48"/>
        <v>0.60000000000000009</v>
      </c>
      <c r="G173" s="2">
        <v>62.522629200000004</v>
      </c>
      <c r="H173" s="2">
        <f t="shared" si="49"/>
        <v>0.20489705227675362</v>
      </c>
      <c r="I173" s="2">
        <v>5.5</v>
      </c>
      <c r="J173" s="4">
        <f t="shared" si="50"/>
        <v>8.3459787556904405E-2</v>
      </c>
      <c r="K173" s="2">
        <v>0</v>
      </c>
      <c r="L173" s="4">
        <f t="shared" si="51"/>
        <v>0</v>
      </c>
      <c r="M173" s="2">
        <v>13317</v>
      </c>
      <c r="N173" s="2">
        <f t="shared" si="52"/>
        <v>6.1877522438763585E-2</v>
      </c>
      <c r="O173" s="2">
        <v>0.64071530300000001</v>
      </c>
      <c r="P173" s="2">
        <f t="shared" si="47"/>
        <v>0.66269748226610437</v>
      </c>
      <c r="Q173" s="2">
        <v>0.1772</v>
      </c>
      <c r="R173" s="2">
        <f t="shared" si="53"/>
        <v>0.35379270411117547</v>
      </c>
      <c r="S173" s="2">
        <f t="shared" si="54"/>
        <v>3.0776749275896246E-2</v>
      </c>
      <c r="T173" s="5">
        <f t="shared" si="55"/>
        <v>4.8131030245030265E-2</v>
      </c>
      <c r="U173" s="2" t="str">
        <f t="shared" si="56"/>
        <v>No Impact</v>
      </c>
      <c r="V173" s="2">
        <f t="shared" si="57"/>
        <v>2.1423894683877627E-2</v>
      </c>
      <c r="W173" s="2">
        <f t="shared" si="58"/>
        <v>3.1350626044664189E-2</v>
      </c>
      <c r="X173" s="2" t="s">
        <v>1170</v>
      </c>
      <c r="Y173" s="2">
        <f t="shared" si="59"/>
        <v>4.0129603867914851E-2</v>
      </c>
      <c r="Z173" s="2">
        <f t="shared" si="60"/>
        <v>6.7387029760089645E-2</v>
      </c>
      <c r="AA173" s="2" t="str">
        <f t="shared" si="61"/>
        <v>No Impact</v>
      </c>
      <c r="AB173" s="2">
        <f t="shared" si="62"/>
        <v>2.0848690601529218E-2</v>
      </c>
      <c r="AC173" s="2">
        <f t="shared" si="63"/>
        <v>4.5072160710137268E-2</v>
      </c>
      <c r="AD173" s="2" t="str">
        <f t="shared" si="64"/>
        <v>No Impact</v>
      </c>
      <c r="AE173" s="2">
        <f t="shared" si="65"/>
        <v>3.7469894337074073E-3</v>
      </c>
      <c r="AF173" s="2">
        <f t="shared" si="66"/>
        <v>2.5530093133583596E-2</v>
      </c>
      <c r="AG173" s="2" t="s">
        <v>1170</v>
      </c>
    </row>
    <row r="174" spans="1:33" x14ac:dyDescent="0.3">
      <c r="A174" s="2">
        <v>302637</v>
      </c>
      <c r="B174" s="2" t="s">
        <v>371</v>
      </c>
      <c r="C174" s="2" t="s">
        <v>331</v>
      </c>
      <c r="D174" s="2" t="s">
        <v>372</v>
      </c>
      <c r="E174" s="3">
        <v>5.8</v>
      </c>
      <c r="F174" s="4">
        <f t="shared" si="48"/>
        <v>0.57777777777777772</v>
      </c>
      <c r="G174" s="2">
        <v>62.522629200000004</v>
      </c>
      <c r="H174" s="2">
        <f t="shared" si="49"/>
        <v>0.20489705227675362</v>
      </c>
      <c r="I174" s="2">
        <v>5.5</v>
      </c>
      <c r="J174" s="4">
        <f t="shared" si="50"/>
        <v>8.3459787556904405E-2</v>
      </c>
      <c r="K174" s="2">
        <v>0</v>
      </c>
      <c r="L174" s="4">
        <f t="shared" si="51"/>
        <v>0</v>
      </c>
      <c r="M174" s="2">
        <v>9630</v>
      </c>
      <c r="N174" s="2">
        <f t="shared" si="52"/>
        <v>4.4432773606241691E-2</v>
      </c>
      <c r="O174" s="2">
        <v>0.38758400100000001</v>
      </c>
      <c r="P174" s="2">
        <f t="shared" si="47"/>
        <v>0.37028269935432107</v>
      </c>
      <c r="Q174" s="2">
        <v>0.1852</v>
      </c>
      <c r="R174" s="2">
        <f t="shared" si="53"/>
        <v>0.3769542559351477</v>
      </c>
      <c r="S174" s="2">
        <f t="shared" si="54"/>
        <v>2.1786500800124221E-2</v>
      </c>
      <c r="T174" s="5">
        <f t="shared" si="55"/>
        <v>3.4071393295763155E-2</v>
      </c>
      <c r="U174" s="2" t="str">
        <f t="shared" si="56"/>
        <v>No Impact</v>
      </c>
      <c r="V174" s="2">
        <f t="shared" si="57"/>
        <v>2.1981017240668768E-2</v>
      </c>
      <c r="W174" s="2">
        <f t="shared" si="58"/>
        <v>3.2165890551735833E-2</v>
      </c>
      <c r="X174" s="2" t="s">
        <v>1170</v>
      </c>
      <c r="Y174" s="2">
        <f t="shared" si="59"/>
        <v>2.159198435957967E-2</v>
      </c>
      <c r="Z174" s="2">
        <f t="shared" si="60"/>
        <v>3.6258012847760229E-2</v>
      </c>
      <c r="AA174" s="2" t="str">
        <f t="shared" si="61"/>
        <v>No Impact</v>
      </c>
      <c r="AB174" s="2">
        <f t="shared" si="62"/>
        <v>1.507779120811056E-2</v>
      </c>
      <c r="AC174" s="2">
        <f t="shared" si="63"/>
        <v>3.2596225896124487E-2</v>
      </c>
      <c r="AD174" s="2" t="str">
        <f t="shared" si="64"/>
        <v>No Impact</v>
      </c>
      <c r="AE174" s="2">
        <f t="shared" si="65"/>
        <v>2.5909710457216891E-3</v>
      </c>
      <c r="AF174" s="2">
        <f t="shared" si="66"/>
        <v>1.7653567823980823E-2</v>
      </c>
      <c r="AG174" s="2" t="s">
        <v>1170</v>
      </c>
    </row>
    <row r="175" spans="1:33" x14ac:dyDescent="0.3">
      <c r="A175" s="2">
        <v>302638</v>
      </c>
      <c r="B175" s="2" t="s">
        <v>373</v>
      </c>
      <c r="C175" s="2" t="s">
        <v>331</v>
      </c>
      <c r="D175" s="2" t="s">
        <v>374</v>
      </c>
      <c r="E175" s="3">
        <v>5.6</v>
      </c>
      <c r="F175" s="4">
        <f t="shared" si="48"/>
        <v>0.53333333333333321</v>
      </c>
      <c r="G175" s="2">
        <v>67.082396399999993</v>
      </c>
      <c r="H175" s="2">
        <f t="shared" si="49"/>
        <v>0.24171019049475573</v>
      </c>
      <c r="I175" s="2">
        <v>7.9</v>
      </c>
      <c r="J175" s="4">
        <f t="shared" si="50"/>
        <v>0.11987860394537179</v>
      </c>
      <c r="K175" s="2">
        <v>0</v>
      </c>
      <c r="L175" s="4">
        <f t="shared" si="51"/>
        <v>0</v>
      </c>
      <c r="M175" s="2">
        <v>88374</v>
      </c>
      <c r="N175" s="2">
        <f t="shared" si="52"/>
        <v>0.41700378040529351</v>
      </c>
      <c r="O175" s="2">
        <v>0.74142641899999995</v>
      </c>
      <c r="P175" s="2">
        <f t="shared" si="47"/>
        <v>0.77903796994685537</v>
      </c>
      <c r="Q175" s="2">
        <v>0.219</v>
      </c>
      <c r="R175" s="2">
        <f t="shared" si="53"/>
        <v>0.47481181239143028</v>
      </c>
      <c r="S175" s="2">
        <f t="shared" si="54"/>
        <v>4.2315282912440244E-2</v>
      </c>
      <c r="T175" s="5">
        <f t="shared" si="55"/>
        <v>6.6175870083874017E-2</v>
      </c>
      <c r="U175" s="2" t="str">
        <f t="shared" si="56"/>
        <v>No Impact</v>
      </c>
      <c r="V175" s="2">
        <f t="shared" si="57"/>
        <v>3.2048171087995854E-2</v>
      </c>
      <c r="W175" s="2">
        <f t="shared" si="58"/>
        <v>4.6897645923888807E-2</v>
      </c>
      <c r="X175" s="2" t="s">
        <v>1170</v>
      </c>
      <c r="Y175" s="2">
        <f t="shared" si="59"/>
        <v>5.2582394736884627E-2</v>
      </c>
      <c r="Z175" s="2">
        <f t="shared" si="60"/>
        <v>8.8298190299961721E-2</v>
      </c>
      <c r="AA175" s="2" t="str">
        <f t="shared" si="61"/>
        <v>No Impact</v>
      </c>
      <c r="AB175" s="2">
        <f t="shared" si="62"/>
        <v>3.6842792725134015E-2</v>
      </c>
      <c r="AC175" s="2">
        <f t="shared" si="63"/>
        <v>7.9649331771258353E-2</v>
      </c>
      <c r="AD175" s="2" t="str">
        <f t="shared" si="64"/>
        <v>No Impact</v>
      </c>
      <c r="AE175" s="2">
        <f t="shared" si="65"/>
        <v>2.8146326923628798E-2</v>
      </c>
      <c r="AF175" s="2">
        <f t="shared" si="66"/>
        <v>0.19177485296977398</v>
      </c>
      <c r="AG175" s="2" t="s">
        <v>1169</v>
      </c>
    </row>
    <row r="176" spans="1:33" x14ac:dyDescent="0.3">
      <c r="A176" s="2">
        <v>302640</v>
      </c>
      <c r="B176" s="2" t="s">
        <v>375</v>
      </c>
      <c r="C176" s="2" t="s">
        <v>331</v>
      </c>
      <c r="D176" s="2" t="s">
        <v>1139</v>
      </c>
      <c r="E176" s="3">
        <v>5.7</v>
      </c>
      <c r="F176" s="4">
        <f t="shared" si="48"/>
        <v>0.55555555555555558</v>
      </c>
      <c r="G176" s="2">
        <v>62.522629200000004</v>
      </c>
      <c r="H176" s="2">
        <f t="shared" si="49"/>
        <v>0.20489705227675362</v>
      </c>
      <c r="I176" s="2">
        <v>5.5</v>
      </c>
      <c r="J176" s="4">
        <f t="shared" si="50"/>
        <v>8.3459787556904405E-2</v>
      </c>
      <c r="K176" s="2">
        <v>0</v>
      </c>
      <c r="L176" s="4">
        <f t="shared" si="51"/>
        <v>0</v>
      </c>
      <c r="M176" s="2">
        <v>383</v>
      </c>
      <c r="N176" s="2">
        <f t="shared" si="52"/>
        <v>6.8132460859320662E-4</v>
      </c>
      <c r="O176" s="2">
        <v>0.43836721899999997</v>
      </c>
      <c r="P176" s="2">
        <f t="shared" si="47"/>
        <v>0.42894697180779962</v>
      </c>
      <c r="Q176" s="2">
        <v>0.2596</v>
      </c>
      <c r="R176" s="2">
        <f t="shared" si="53"/>
        <v>0.59235668789808926</v>
      </c>
      <c r="S176" s="2">
        <f t="shared" si="54"/>
        <v>2.8631934316158028E-2</v>
      </c>
      <c r="T176" s="5">
        <f t="shared" si="55"/>
        <v>4.4776804859765061E-2</v>
      </c>
      <c r="U176" s="2" t="str">
        <f t="shared" si="56"/>
        <v>No Impact</v>
      </c>
      <c r="V176" s="2">
        <f t="shared" si="57"/>
        <v>3.3213075501010506E-2</v>
      </c>
      <c r="W176" s="2">
        <f t="shared" si="58"/>
        <v>4.8602307152348104E-2</v>
      </c>
      <c r="X176" s="2" t="s">
        <v>1170</v>
      </c>
      <c r="Y176" s="2">
        <f t="shared" si="59"/>
        <v>2.4050793131305558E-2</v>
      </c>
      <c r="Z176" s="2">
        <f t="shared" si="60"/>
        <v>4.0386930252976357E-2</v>
      </c>
      <c r="AA176" s="2" t="str">
        <f t="shared" si="61"/>
        <v>No Impact</v>
      </c>
      <c r="AB176" s="2">
        <f t="shared" si="62"/>
        <v>1.8853184872996323E-2</v>
      </c>
      <c r="AC176" s="2">
        <f t="shared" si="63"/>
        <v>4.0758136553251507E-2</v>
      </c>
      <c r="AD176" s="2" t="str">
        <f t="shared" si="64"/>
        <v>No Impact</v>
      </c>
      <c r="AE176" s="2">
        <f t="shared" si="65"/>
        <v>3.820145214566353E-5</v>
      </c>
      <c r="AF176" s="2">
        <f t="shared" si="66"/>
        <v>2.6028539668230204E-4</v>
      </c>
      <c r="AG176" s="2" t="s">
        <v>1170</v>
      </c>
    </row>
    <row r="177" spans="1:33" x14ac:dyDescent="0.3">
      <c r="A177" s="2">
        <v>302642</v>
      </c>
      <c r="B177" s="2" t="s">
        <v>376</v>
      </c>
      <c r="C177" s="2" t="s">
        <v>331</v>
      </c>
      <c r="D177" s="2" t="s">
        <v>377</v>
      </c>
      <c r="E177" s="3">
        <v>5.8</v>
      </c>
      <c r="F177" s="4">
        <f t="shared" si="48"/>
        <v>0.57777777777777772</v>
      </c>
      <c r="G177" s="2">
        <v>67.082396399999993</v>
      </c>
      <c r="H177" s="2">
        <f t="shared" si="49"/>
        <v>0.24171019049475573</v>
      </c>
      <c r="I177" s="2">
        <v>6.6999999999999993</v>
      </c>
      <c r="J177" s="4">
        <f t="shared" si="50"/>
        <v>0.10166919575113809</v>
      </c>
      <c r="K177" s="2">
        <v>0</v>
      </c>
      <c r="L177" s="4">
        <f t="shared" si="51"/>
        <v>0</v>
      </c>
      <c r="M177" s="2">
        <v>3930</v>
      </c>
      <c r="N177" s="2">
        <f t="shared" si="52"/>
        <v>1.7463674516093926E-2</v>
      </c>
      <c r="O177" s="2">
        <v>0.39637735600000001</v>
      </c>
      <c r="P177" s="2">
        <f t="shared" si="47"/>
        <v>0.38044069630323746</v>
      </c>
      <c r="Q177" s="2">
        <v>5.7500000000000002E-2</v>
      </c>
      <c r="R177" s="2">
        <f t="shared" si="53"/>
        <v>7.2379849449913216E-3</v>
      </c>
      <c r="S177" s="2">
        <f t="shared" si="54"/>
        <v>1.3459998837905243E-2</v>
      </c>
      <c r="T177" s="5">
        <f t="shared" si="55"/>
        <v>2.1049773819766859E-2</v>
      </c>
      <c r="U177" s="2" t="str">
        <f t="shared" si="56"/>
        <v>No Impact</v>
      </c>
      <c r="V177" s="2">
        <f t="shared" si="57"/>
        <v>5.0259802078711252E-4</v>
      </c>
      <c r="W177" s="2">
        <f t="shared" si="58"/>
        <v>7.3547610427448303E-4</v>
      </c>
      <c r="X177" s="2" t="s">
        <v>1170</v>
      </c>
      <c r="Y177" s="2">
        <f t="shared" si="59"/>
        <v>2.6417399655023373E-2</v>
      </c>
      <c r="Z177" s="2">
        <f t="shared" si="60"/>
        <v>4.4361018429104698E-2</v>
      </c>
      <c r="AA177" s="2" t="str">
        <f t="shared" si="61"/>
        <v>No Impact</v>
      </c>
      <c r="AB177" s="2">
        <f t="shared" si="62"/>
        <v>8.525559885796636E-3</v>
      </c>
      <c r="AC177" s="2">
        <f t="shared" si="63"/>
        <v>1.8431152951559476E-2</v>
      </c>
      <c r="AD177" s="2" t="str">
        <f t="shared" si="64"/>
        <v>No Impact</v>
      </c>
      <c r="AE177" s="2">
        <f t="shared" si="65"/>
        <v>1.212659091468954E-3</v>
      </c>
      <c r="AF177" s="2">
        <f t="shared" si="66"/>
        <v>8.262446449937547E-3</v>
      </c>
      <c r="AG177" s="2" t="s">
        <v>1170</v>
      </c>
    </row>
    <row r="178" spans="1:33" x14ac:dyDescent="0.3">
      <c r="A178" s="2">
        <v>302648</v>
      </c>
      <c r="B178" s="2" t="s">
        <v>378</v>
      </c>
      <c r="C178" s="2" t="s">
        <v>331</v>
      </c>
      <c r="D178" s="2" t="s">
        <v>1146</v>
      </c>
      <c r="E178" s="3">
        <v>5.7</v>
      </c>
      <c r="F178" s="4">
        <f t="shared" si="48"/>
        <v>0.55555555555555558</v>
      </c>
      <c r="G178" s="2">
        <v>67.082396399999993</v>
      </c>
      <c r="H178" s="2">
        <f t="shared" si="49"/>
        <v>0.24171019049475573</v>
      </c>
      <c r="I178" s="2">
        <v>6.6999999999999993</v>
      </c>
      <c r="J178" s="4">
        <f t="shared" si="50"/>
        <v>0.10166919575113809</v>
      </c>
      <c r="K178" s="2">
        <v>0</v>
      </c>
      <c r="L178" s="4">
        <f t="shared" si="51"/>
        <v>0</v>
      </c>
      <c r="M178" s="2">
        <v>5661</v>
      </c>
      <c r="N178" s="2">
        <f t="shared" si="52"/>
        <v>2.5653764081891434E-2</v>
      </c>
      <c r="O178" s="2">
        <v>0.93270404799999995</v>
      </c>
      <c r="P178" s="2">
        <f t="shared" si="47"/>
        <v>1</v>
      </c>
      <c r="Q178" s="2">
        <v>0.21249999999999999</v>
      </c>
      <c r="R178" s="2">
        <f t="shared" si="53"/>
        <v>0.45599305153445285</v>
      </c>
      <c r="S178" s="2">
        <f t="shared" si="54"/>
        <v>4.8607027818045899E-2</v>
      </c>
      <c r="T178" s="5">
        <f t="shared" si="55"/>
        <v>7.6015381126155857E-2</v>
      </c>
      <c r="U178" s="2" t="str">
        <f t="shared" si="56"/>
        <v>No Impact</v>
      </c>
      <c r="V178" s="2">
        <f t="shared" si="57"/>
        <v>3.0445841643834681E-2</v>
      </c>
      <c r="W178" s="2">
        <f t="shared" si="58"/>
        <v>4.4552879393550383E-2</v>
      </c>
      <c r="X178" s="2" t="s">
        <v>1170</v>
      </c>
      <c r="Y178" s="2">
        <f t="shared" si="59"/>
        <v>6.676821399225713E-2</v>
      </c>
      <c r="Z178" s="2">
        <f t="shared" si="60"/>
        <v>0.11211951252082097</v>
      </c>
      <c r="AA178" s="2" t="str">
        <f t="shared" si="61"/>
        <v>No Impact</v>
      </c>
      <c r="AB178" s="2">
        <f t="shared" si="62"/>
        <v>3.128600837649359E-2</v>
      </c>
      <c r="AC178" s="2">
        <f t="shared" si="63"/>
        <v>6.7636285869223337E-2</v>
      </c>
      <c r="AD178" s="2" t="str">
        <f t="shared" si="64"/>
        <v>No Impact</v>
      </c>
      <c r="AE178" s="2">
        <f t="shared" si="65"/>
        <v>1.7128560099266069E-3</v>
      </c>
      <c r="AF178" s="2">
        <f t="shared" si="66"/>
        <v>1.1670535567691003E-2</v>
      </c>
      <c r="AG178" s="2" t="s">
        <v>1170</v>
      </c>
    </row>
    <row r="179" spans="1:33" x14ac:dyDescent="0.3">
      <c r="A179" s="2">
        <v>302650</v>
      </c>
      <c r="B179" s="2" t="s">
        <v>379</v>
      </c>
      <c r="C179" s="2" t="s">
        <v>331</v>
      </c>
      <c r="D179" s="2" t="s">
        <v>1147</v>
      </c>
      <c r="E179" s="3">
        <v>5.8</v>
      </c>
      <c r="F179" s="4">
        <f t="shared" si="48"/>
        <v>0.57777777777777772</v>
      </c>
      <c r="G179" s="2">
        <v>67.082396399999993</v>
      </c>
      <c r="H179" s="2">
        <f t="shared" si="49"/>
        <v>0.24171019049475573</v>
      </c>
      <c r="I179" s="2">
        <v>6.6999999999999993</v>
      </c>
      <c r="J179" s="4">
        <f t="shared" si="50"/>
        <v>0.10166919575113809</v>
      </c>
      <c r="K179" s="2">
        <v>0</v>
      </c>
      <c r="L179" s="4">
        <f t="shared" si="51"/>
        <v>0</v>
      </c>
      <c r="M179" s="2">
        <v>4452</v>
      </c>
      <c r="N179" s="2">
        <f t="shared" si="52"/>
        <v>1.9933476222244301E-2</v>
      </c>
      <c r="O179" s="2">
        <v>0.64759064799999999</v>
      </c>
      <c r="P179" s="2">
        <f t="shared" si="47"/>
        <v>0.6706398129843284</v>
      </c>
      <c r="Q179" s="2">
        <v>9.2299999999999993E-2</v>
      </c>
      <c r="R179" s="2">
        <f t="shared" si="53"/>
        <v>0.1079907353792704</v>
      </c>
      <c r="S179" s="2">
        <f t="shared" si="54"/>
        <v>2.703364095850562E-2</v>
      </c>
      <c r="T179" s="5">
        <f t="shared" si="55"/>
        <v>4.2277271681391115E-2</v>
      </c>
      <c r="U179" s="2" t="str">
        <f t="shared" si="56"/>
        <v>No Impact</v>
      </c>
      <c r="V179" s="2">
        <f t="shared" si="57"/>
        <v>7.4987624701437113E-3</v>
      </c>
      <c r="W179" s="2">
        <f t="shared" si="58"/>
        <v>1.0973303475775275E-2</v>
      </c>
      <c r="X179" s="2" t="s">
        <v>1170</v>
      </c>
      <c r="Y179" s="2">
        <f t="shared" si="59"/>
        <v>4.6568519446867532E-2</v>
      </c>
      <c r="Z179" s="2">
        <f t="shared" si="60"/>
        <v>7.8199481265211729E-2</v>
      </c>
      <c r="AA179" s="2" t="str">
        <f t="shared" si="61"/>
        <v>No Impact</v>
      </c>
      <c r="AB179" s="2">
        <f t="shared" si="62"/>
        <v>1.7079578527200517E-2</v>
      </c>
      <c r="AC179" s="2">
        <f t="shared" si="63"/>
        <v>3.6923830035778205E-2</v>
      </c>
      <c r="AD179" s="2" t="str">
        <f t="shared" si="64"/>
        <v>No Impact</v>
      </c>
      <c r="AE179" s="2">
        <f t="shared" si="65"/>
        <v>1.3841595102570315E-3</v>
      </c>
      <c r="AF179" s="2">
        <f t="shared" si="66"/>
        <v>9.4309636666450522E-3</v>
      </c>
      <c r="AG179" s="2" t="s">
        <v>1170</v>
      </c>
    </row>
    <row r="180" spans="1:33" x14ac:dyDescent="0.3">
      <c r="A180" s="2">
        <v>302654</v>
      </c>
      <c r="B180" s="2" t="s">
        <v>380</v>
      </c>
      <c r="C180" s="2" t="s">
        <v>331</v>
      </c>
      <c r="D180" s="2" t="s">
        <v>381</v>
      </c>
      <c r="E180" s="3">
        <v>5.8</v>
      </c>
      <c r="F180" s="4">
        <f t="shared" si="48"/>
        <v>0.57777777777777772</v>
      </c>
      <c r="G180" s="2">
        <v>62.522629200000004</v>
      </c>
      <c r="H180" s="2">
        <f t="shared" si="49"/>
        <v>0.20489705227675362</v>
      </c>
      <c r="I180" s="2">
        <v>5.5</v>
      </c>
      <c r="J180" s="4">
        <f t="shared" si="50"/>
        <v>8.3459787556904405E-2</v>
      </c>
      <c r="K180" s="2">
        <v>0</v>
      </c>
      <c r="L180" s="4">
        <f t="shared" si="51"/>
        <v>0</v>
      </c>
      <c r="M180" s="2">
        <v>2689</v>
      </c>
      <c r="N180" s="2">
        <f t="shared" si="52"/>
        <v>1.1591981187870529E-2</v>
      </c>
      <c r="O180" s="2">
        <v>0.91085916499999997</v>
      </c>
      <c r="P180" s="2">
        <f t="shared" si="47"/>
        <v>0.97476500665975196</v>
      </c>
      <c r="Q180" s="2">
        <v>0.06</v>
      </c>
      <c r="R180" s="2">
        <f t="shared" si="53"/>
        <v>1.4475969889982622E-2</v>
      </c>
      <c r="S180" s="2">
        <f t="shared" si="54"/>
        <v>2.8842389518553037E-2</v>
      </c>
      <c r="T180" s="5">
        <f t="shared" si="55"/>
        <v>4.5105930772995649E-2</v>
      </c>
      <c r="U180" s="2" t="str">
        <f t="shared" si="56"/>
        <v>No Impact</v>
      </c>
      <c r="V180" s="2">
        <f t="shared" si="57"/>
        <v>8.4412508604718732E-4</v>
      </c>
      <c r="W180" s="2">
        <f t="shared" si="58"/>
        <v>1.2352492531388563E-3</v>
      </c>
      <c r="X180" s="2" t="s">
        <v>1170</v>
      </c>
      <c r="Y180" s="2">
        <f t="shared" si="59"/>
        <v>5.6840653951058882E-2</v>
      </c>
      <c r="Z180" s="2">
        <f t="shared" si="60"/>
        <v>9.5448807618194589E-2</v>
      </c>
      <c r="AA180" s="2" t="str">
        <f t="shared" si="61"/>
        <v>No Impact</v>
      </c>
      <c r="AB180" s="2">
        <f t="shared" si="62"/>
        <v>1.7584223680875168E-2</v>
      </c>
      <c r="AC180" s="2">
        <f t="shared" si="63"/>
        <v>3.8014807301580571E-2</v>
      </c>
      <c r="AD180" s="2" t="str">
        <f t="shared" si="64"/>
        <v>No Impact</v>
      </c>
      <c r="AE180" s="2">
        <f t="shared" si="65"/>
        <v>6.7595347268854626E-4</v>
      </c>
      <c r="AF180" s="2">
        <f t="shared" si="66"/>
        <v>4.6056054912951777E-3</v>
      </c>
      <c r="AG180" s="2" t="s">
        <v>1170</v>
      </c>
    </row>
    <row r="181" spans="1:33" x14ac:dyDescent="0.3">
      <c r="A181" s="2">
        <v>302662</v>
      </c>
      <c r="B181" s="2" t="s">
        <v>382</v>
      </c>
      <c r="C181" s="2" t="s">
        <v>331</v>
      </c>
      <c r="D181" s="2" t="s">
        <v>383</v>
      </c>
      <c r="E181" s="3">
        <v>5.6</v>
      </c>
      <c r="F181" s="4">
        <f t="shared" si="48"/>
        <v>0.53333333333333321</v>
      </c>
      <c r="G181" s="2">
        <v>77.133567600000006</v>
      </c>
      <c r="H181" s="2">
        <f t="shared" si="49"/>
        <v>0.32285800756717198</v>
      </c>
      <c r="I181" s="2">
        <v>11.100000000000001</v>
      </c>
      <c r="J181" s="4">
        <f t="shared" si="50"/>
        <v>0.16843702579666164</v>
      </c>
      <c r="K181" s="2">
        <v>0</v>
      </c>
      <c r="L181" s="4">
        <f t="shared" si="51"/>
        <v>0</v>
      </c>
      <c r="M181" s="2">
        <v>31650</v>
      </c>
      <c r="N181" s="2">
        <f t="shared" si="52"/>
        <v>0.1486186616702862</v>
      </c>
      <c r="O181" s="2">
        <v>0.73357502799999996</v>
      </c>
      <c r="P181" s="2">
        <f t="shared" si="47"/>
        <v>0.76996812051819585</v>
      </c>
      <c r="Q181" s="2">
        <v>0.248</v>
      </c>
      <c r="R181" s="2">
        <f t="shared" si="53"/>
        <v>0.55877243775332952</v>
      </c>
      <c r="S181" s="2">
        <f t="shared" si="54"/>
        <v>6.092833944473619E-2</v>
      </c>
      <c r="T181" s="5">
        <f t="shared" si="55"/>
        <v>9.5284388949120738E-2</v>
      </c>
      <c r="U181" s="2" t="str">
        <f t="shared" si="56"/>
        <v>No Impact</v>
      </c>
      <c r="V181" s="2">
        <f t="shared" si="57"/>
        <v>5.1244129710445015E-2</v>
      </c>
      <c r="W181" s="2">
        <f t="shared" si="58"/>
        <v>7.4988024877914117E-2</v>
      </c>
      <c r="X181" s="2" t="s">
        <v>1170</v>
      </c>
      <c r="Y181" s="2">
        <f t="shared" si="59"/>
        <v>7.0612549179027373E-2</v>
      </c>
      <c r="Z181" s="2">
        <f t="shared" si="60"/>
        <v>0.11857505418256593</v>
      </c>
      <c r="AA181" s="2" t="str">
        <f t="shared" si="61"/>
        <v>No Impact</v>
      </c>
      <c r="AB181" s="2">
        <f t="shared" si="62"/>
        <v>4.3889563361491683E-2</v>
      </c>
      <c r="AC181" s="2">
        <f t="shared" si="63"/>
        <v>9.4883534469153097E-2</v>
      </c>
      <c r="AD181" s="2" t="str">
        <f t="shared" si="64"/>
        <v>No Impact</v>
      </c>
      <c r="AE181" s="2">
        <f t="shared" si="65"/>
        <v>1.3629580597507756E-2</v>
      </c>
      <c r="AF181" s="2">
        <f t="shared" si="66"/>
        <v>9.2865076932380969E-2</v>
      </c>
      <c r="AG181" s="2" t="s">
        <v>1169</v>
      </c>
    </row>
    <row r="182" spans="1:33" x14ac:dyDescent="0.3">
      <c r="A182" s="2">
        <v>302663</v>
      </c>
      <c r="B182" s="2" t="s">
        <v>384</v>
      </c>
      <c r="C182" s="2" t="s">
        <v>331</v>
      </c>
      <c r="D182" s="2" t="s">
        <v>385</v>
      </c>
      <c r="E182" s="3">
        <v>5.8</v>
      </c>
      <c r="F182" s="4">
        <f t="shared" si="48"/>
        <v>0.57777777777777772</v>
      </c>
      <c r="G182" s="2">
        <v>67.082396399999993</v>
      </c>
      <c r="H182" s="2">
        <f t="shared" si="49"/>
        <v>0.24171019049475573</v>
      </c>
      <c r="I182" s="2">
        <v>6.6999999999999993</v>
      </c>
      <c r="J182" s="4">
        <f t="shared" si="50"/>
        <v>0.10166919575113809</v>
      </c>
      <c r="K182" s="2">
        <v>0</v>
      </c>
      <c r="L182" s="4">
        <f t="shared" si="51"/>
        <v>0</v>
      </c>
      <c r="M182" s="2">
        <v>580</v>
      </c>
      <c r="N182" s="2">
        <f t="shared" si="52"/>
        <v>1.6134145245158573E-3</v>
      </c>
      <c r="O182" s="2">
        <v>0.67860092000000005</v>
      </c>
      <c r="P182" s="2">
        <f t="shared" si="47"/>
        <v>0.70646257328015061</v>
      </c>
      <c r="Q182" s="2">
        <v>0.06</v>
      </c>
      <c r="R182" s="2">
        <f t="shared" si="53"/>
        <v>1.4475969889982622E-2</v>
      </c>
      <c r="S182" s="2">
        <f t="shared" si="54"/>
        <v>2.5030605041337767E-2</v>
      </c>
      <c r="T182" s="5">
        <f t="shared" si="55"/>
        <v>3.914477118737069E-2</v>
      </c>
      <c r="U182" s="2" t="str">
        <f t="shared" si="56"/>
        <v>No Impact</v>
      </c>
      <c r="V182" s="2">
        <f t="shared" si="57"/>
        <v>1.0051960415742237E-3</v>
      </c>
      <c r="W182" s="2">
        <f t="shared" si="58"/>
        <v>1.4709522085489641E-3</v>
      </c>
      <c r="X182" s="2" t="s">
        <v>1170</v>
      </c>
      <c r="Y182" s="2">
        <f t="shared" si="59"/>
        <v>4.9056014041101312E-2</v>
      </c>
      <c r="Z182" s="2">
        <f t="shared" si="60"/>
        <v>8.2376568903590255E-2</v>
      </c>
      <c r="AA182" s="2" t="str">
        <f t="shared" si="61"/>
        <v>No Impact</v>
      </c>
      <c r="AB182" s="2">
        <f t="shared" si="62"/>
        <v>1.5107834656349489E-2</v>
      </c>
      <c r="AC182" s="2">
        <f t="shared" si="63"/>
        <v>3.2661175928392336E-2</v>
      </c>
      <c r="AD182" s="2" t="str">
        <f t="shared" si="64"/>
        <v>No Impact</v>
      </c>
      <c r="AE182" s="2">
        <f t="shared" si="65"/>
        <v>1.1203379848033414E-4</v>
      </c>
      <c r="AF182" s="2">
        <f t="shared" si="66"/>
        <v>7.6334170669973005E-4</v>
      </c>
      <c r="AG182" s="2" t="s">
        <v>1170</v>
      </c>
    </row>
    <row r="183" spans="1:33" x14ac:dyDescent="0.3">
      <c r="A183" s="2">
        <v>302664</v>
      </c>
      <c r="B183" s="2" t="s">
        <v>386</v>
      </c>
      <c r="C183" s="2" t="s">
        <v>331</v>
      </c>
      <c r="D183" s="2" t="s">
        <v>387</v>
      </c>
      <c r="E183" s="3">
        <v>5.4</v>
      </c>
      <c r="F183" s="4">
        <f t="shared" si="48"/>
        <v>0.48888888888888893</v>
      </c>
      <c r="G183" s="2">
        <v>67.082396399999993</v>
      </c>
      <c r="H183" s="2">
        <f t="shared" si="49"/>
        <v>0.24171019049475573</v>
      </c>
      <c r="I183" s="2">
        <v>6.6999999999999993</v>
      </c>
      <c r="J183" s="4">
        <f t="shared" si="50"/>
        <v>0.10166919575113809</v>
      </c>
      <c r="K183" s="2">
        <v>0</v>
      </c>
      <c r="L183" s="4">
        <f t="shared" si="51"/>
        <v>0</v>
      </c>
      <c r="M183" s="2">
        <v>9521</v>
      </c>
      <c r="N183" s="2">
        <f t="shared" si="52"/>
        <v>4.3917048728903778E-2</v>
      </c>
      <c r="O183" s="2">
        <v>0.50863918500000005</v>
      </c>
      <c r="P183" s="2">
        <f t="shared" si="47"/>
        <v>0.51012445369296855</v>
      </c>
      <c r="Q183" s="2">
        <v>0.1464</v>
      </c>
      <c r="R183" s="2">
        <f t="shared" si="53"/>
        <v>0.2646207295888825</v>
      </c>
      <c r="S183" s="2">
        <f t="shared" si="54"/>
        <v>2.2760474962206564E-2</v>
      </c>
      <c r="T183" s="5">
        <f t="shared" si="55"/>
        <v>3.5594568450904619E-2</v>
      </c>
      <c r="U183" s="2" t="str">
        <f t="shared" si="56"/>
        <v>No Impact</v>
      </c>
      <c r="V183" s="2">
        <f t="shared" si="57"/>
        <v>1.5548063079980386E-2</v>
      </c>
      <c r="W183" s="2">
        <f t="shared" si="58"/>
        <v>2.2752236161155837E-2</v>
      </c>
      <c r="X183" s="2" t="s">
        <v>1170</v>
      </c>
      <c r="Y183" s="2">
        <f t="shared" si="59"/>
        <v>2.997288684443274E-2</v>
      </c>
      <c r="Z183" s="2">
        <f t="shared" si="60"/>
        <v>5.0331516464245059E-2</v>
      </c>
      <c r="AA183" s="2" t="str">
        <f t="shared" si="61"/>
        <v>No Impact</v>
      </c>
      <c r="AB183" s="2">
        <f t="shared" si="62"/>
        <v>1.5336825106814424E-2</v>
      </c>
      <c r="AC183" s="2">
        <f t="shared" si="63"/>
        <v>3.315622353506003E-2</v>
      </c>
      <c r="AD183" s="2" t="str">
        <f t="shared" si="64"/>
        <v>No Impact</v>
      </c>
      <c r="AE183" s="2">
        <f t="shared" si="65"/>
        <v>2.5803913585470514E-3</v>
      </c>
      <c r="AF183" s="2">
        <f t="shared" si="66"/>
        <v>1.7581483180116365E-2</v>
      </c>
      <c r="AG183" s="2" t="s">
        <v>1170</v>
      </c>
    </row>
    <row r="184" spans="1:33" x14ac:dyDescent="0.3">
      <c r="A184" s="2">
        <v>302665</v>
      </c>
      <c r="B184" s="2" t="s">
        <v>388</v>
      </c>
      <c r="C184" s="2" t="s">
        <v>331</v>
      </c>
      <c r="D184" s="2" t="s">
        <v>389</v>
      </c>
      <c r="E184" s="3">
        <v>5.7</v>
      </c>
      <c r="F184" s="4">
        <f t="shared" si="48"/>
        <v>0.55555555555555558</v>
      </c>
      <c r="G184" s="2">
        <v>62.522629200000004</v>
      </c>
      <c r="H184" s="2">
        <f t="shared" si="49"/>
        <v>0.20489705227675362</v>
      </c>
      <c r="I184" s="2">
        <v>5.5</v>
      </c>
      <c r="J184" s="4">
        <f t="shared" si="50"/>
        <v>8.3459787556904405E-2</v>
      </c>
      <c r="K184" s="2">
        <v>0</v>
      </c>
      <c r="L184" s="4">
        <f t="shared" si="51"/>
        <v>0</v>
      </c>
      <c r="M184" s="2">
        <v>723</v>
      </c>
      <c r="N184" s="2">
        <f t="shared" si="52"/>
        <v>2.2900077122160558E-3</v>
      </c>
      <c r="O184" s="2">
        <v>0.36898089000000001</v>
      </c>
      <c r="P184" s="2">
        <f t="shared" si="47"/>
        <v>0.34879256904815759</v>
      </c>
      <c r="Q184" s="2">
        <v>0.06</v>
      </c>
      <c r="R184" s="2">
        <f>(Q184-$AJ$12)/$AK$12</f>
        <v>1.4475969889982622E-2</v>
      </c>
      <c r="S184" s="2">
        <f t="shared" si="54"/>
        <v>1.0184121879088135E-2</v>
      </c>
      <c r="T184" s="5">
        <f t="shared" si="55"/>
        <v>1.5926707326603815E-2</v>
      </c>
      <c r="U184" s="2" t="str">
        <f t="shared" si="56"/>
        <v>No Impact</v>
      </c>
      <c r="V184" s="2">
        <f t="shared" si="57"/>
        <v>8.116587365838339E-4</v>
      </c>
      <c r="W184" s="2">
        <f t="shared" si="58"/>
        <v>1.1877396664796694E-3</v>
      </c>
      <c r="X184" s="2" t="s">
        <v>1170</v>
      </c>
      <c r="Y184" s="2">
        <f t="shared" si="59"/>
        <v>1.9556585021592434E-2</v>
      </c>
      <c r="Z184" s="2">
        <f t="shared" si="60"/>
        <v>3.2840099324016804E-2</v>
      </c>
      <c r="AA184" s="2" t="str">
        <f t="shared" si="61"/>
        <v>No Impact</v>
      </c>
      <c r="AB184" s="2">
        <f t="shared" si="62"/>
        <v>6.1959958281256524E-3</v>
      </c>
      <c r="AC184" s="2">
        <f t="shared" si="63"/>
        <v>1.3394938083264361E-2</v>
      </c>
      <c r="AD184" s="2" t="str">
        <f t="shared" si="64"/>
        <v>No Impact</v>
      </c>
      <c r="AE184" s="2">
        <f t="shared" si="65"/>
        <v>1.283993252673691E-4</v>
      </c>
      <c r="AF184" s="2">
        <f t="shared" si="66"/>
        <v>8.7484813884884866E-4</v>
      </c>
      <c r="AG184" s="2" t="s">
        <v>1170</v>
      </c>
    </row>
    <row r="185" spans="1:33" x14ac:dyDescent="0.3">
      <c r="A185" s="2">
        <v>302666</v>
      </c>
      <c r="B185" s="2" t="s">
        <v>390</v>
      </c>
      <c r="C185" s="2" t="s">
        <v>331</v>
      </c>
      <c r="D185" s="2" t="s">
        <v>391</v>
      </c>
      <c r="E185" s="3">
        <v>5.7</v>
      </c>
      <c r="F185" s="4">
        <f t="shared" si="48"/>
        <v>0.55555555555555558</v>
      </c>
      <c r="G185" s="2">
        <v>62.522629200000004</v>
      </c>
      <c r="H185" s="2">
        <f t="shared" si="49"/>
        <v>0.20489705227675362</v>
      </c>
      <c r="I185" s="2">
        <v>5.5</v>
      </c>
      <c r="J185" s="4">
        <f t="shared" si="50"/>
        <v>8.3459787556904405E-2</v>
      </c>
      <c r="K185" s="2">
        <v>0</v>
      </c>
      <c r="L185" s="4">
        <f t="shared" si="51"/>
        <v>0</v>
      </c>
      <c r="M185" s="2">
        <v>2576</v>
      </c>
      <c r="N185" s="2">
        <f t="shared" si="52"/>
        <v>1.1057330626960583E-2</v>
      </c>
      <c r="O185" s="2">
        <v>0.65787553700000001</v>
      </c>
      <c r="P185" s="2">
        <f t="shared" si="47"/>
        <v>0.68252081529595399</v>
      </c>
      <c r="Q185" s="2">
        <v>0.06</v>
      </c>
      <c r="R185" s="2">
        <f>(Q185-$AJ$12)/$AK$12</f>
        <v>1.4475969889982622E-2</v>
      </c>
      <c r="S185" s="2">
        <f t="shared" si="54"/>
        <v>1.9540090728514578E-2</v>
      </c>
      <c r="T185" s="5">
        <f t="shared" si="55"/>
        <v>3.0558285718022209E-2</v>
      </c>
      <c r="U185" s="2" t="str">
        <f t="shared" si="56"/>
        <v>No Impact</v>
      </c>
      <c r="V185" s="2">
        <f t="shared" si="57"/>
        <v>8.116587365838339E-4</v>
      </c>
      <c r="W185" s="2">
        <f t="shared" si="58"/>
        <v>1.1877396664796694E-3</v>
      </c>
      <c r="X185" s="2" t="s">
        <v>1170</v>
      </c>
      <c r="Y185" s="2">
        <f t="shared" si="59"/>
        <v>3.8268522720445321E-2</v>
      </c>
      <c r="Z185" s="2">
        <f t="shared" si="60"/>
        <v>6.4261837418713372E-2</v>
      </c>
      <c r="AA185" s="2" t="str">
        <f t="shared" si="61"/>
        <v>No Impact</v>
      </c>
      <c r="AB185" s="2">
        <f t="shared" si="62"/>
        <v>1.1981629580761171E-2</v>
      </c>
      <c r="AC185" s="2">
        <f t="shared" si="63"/>
        <v>2.5902726667822066E-2</v>
      </c>
      <c r="AD185" s="2" t="str">
        <f t="shared" si="64"/>
        <v>No Impact</v>
      </c>
      <c r="AE185" s="2">
        <f t="shared" si="65"/>
        <v>6.1997773378066445E-4</v>
      </c>
      <c r="AF185" s="2">
        <f t="shared" si="66"/>
        <v>4.2242150836565278E-3</v>
      </c>
      <c r="AG185" s="2" t="s">
        <v>1170</v>
      </c>
    </row>
    <row r="186" spans="1:33" x14ac:dyDescent="0.3">
      <c r="A186" s="2">
        <v>302667</v>
      </c>
      <c r="B186" s="2" t="s">
        <v>392</v>
      </c>
      <c r="C186" s="2" t="s">
        <v>331</v>
      </c>
      <c r="D186" s="2" t="s">
        <v>393</v>
      </c>
      <c r="E186" s="3">
        <v>5.8</v>
      </c>
      <c r="F186" s="4">
        <f t="shared" si="48"/>
        <v>0.57777777777777772</v>
      </c>
      <c r="G186" s="2">
        <v>62.522629200000004</v>
      </c>
      <c r="H186" s="2">
        <f t="shared" si="49"/>
        <v>0.20489705227675362</v>
      </c>
      <c r="I186" s="2">
        <v>5.5</v>
      </c>
      <c r="J186" s="4">
        <f t="shared" si="50"/>
        <v>8.3459787556904405E-2</v>
      </c>
      <c r="K186" s="2">
        <v>0</v>
      </c>
      <c r="L186" s="4">
        <f t="shared" si="51"/>
        <v>0</v>
      </c>
      <c r="M186" s="2">
        <v>3584</v>
      </c>
      <c r="N186" s="2">
        <f t="shared" si="52"/>
        <v>1.5826602887113028E-2</v>
      </c>
      <c r="O186" s="2">
        <v>0.569527652</v>
      </c>
      <c r="P186" s="2">
        <f t="shared" si="47"/>
        <v>0.5804622101022342</v>
      </c>
      <c r="Q186" s="2">
        <v>0.06</v>
      </c>
      <c r="R186" s="2">
        <f t="shared" si="53"/>
        <v>1.4475969889982622E-2</v>
      </c>
      <c r="S186" s="2">
        <f t="shared" si="54"/>
        <v>1.7346065451759859E-2</v>
      </c>
      <c r="T186" s="5">
        <f t="shared" si="55"/>
        <v>2.7127101481922697E-2</v>
      </c>
      <c r="U186" s="2" t="str">
        <f t="shared" si="56"/>
        <v>No Impact</v>
      </c>
      <c r="V186" s="2">
        <f t="shared" si="57"/>
        <v>8.4412508604718732E-4</v>
      </c>
      <c r="W186" s="2">
        <f t="shared" si="58"/>
        <v>1.2352492531388563E-3</v>
      </c>
      <c r="X186" s="2" t="s">
        <v>1170</v>
      </c>
      <c r="Y186" s="2">
        <f t="shared" si="59"/>
        <v>3.3848005817472521E-2</v>
      </c>
      <c r="Z186" s="2">
        <f t="shared" si="60"/>
        <v>5.6838751333037403E-2</v>
      </c>
      <c r="AA186" s="2" t="str">
        <f t="shared" si="61"/>
        <v>No Impact</v>
      </c>
      <c r="AB186" s="2">
        <f t="shared" si="62"/>
        <v>1.0772854720521585E-2</v>
      </c>
      <c r="AC186" s="2">
        <f t="shared" si="63"/>
        <v>2.3289512447112391E-2</v>
      </c>
      <c r="AD186" s="2" t="str">
        <f t="shared" si="64"/>
        <v>No Impact</v>
      </c>
      <c r="AE186" s="2">
        <f t="shared" si="65"/>
        <v>9.2288341475232124E-4</v>
      </c>
      <c r="AF186" s="2">
        <f t="shared" si="66"/>
        <v>6.2880613748499455E-3</v>
      </c>
      <c r="AG186" s="2" t="s">
        <v>1170</v>
      </c>
    </row>
    <row r="187" spans="1:33" x14ac:dyDescent="0.3">
      <c r="A187" s="2">
        <v>302668</v>
      </c>
      <c r="B187" s="2" t="s">
        <v>394</v>
      </c>
      <c r="C187" s="2" t="s">
        <v>331</v>
      </c>
      <c r="D187" s="2" t="s">
        <v>395</v>
      </c>
      <c r="E187" s="3">
        <v>5.8</v>
      </c>
      <c r="F187" s="4">
        <f t="shared" si="48"/>
        <v>0.57777777777777772</v>
      </c>
      <c r="G187" s="2">
        <v>62.522629200000004</v>
      </c>
      <c r="H187" s="2">
        <f t="shared" si="49"/>
        <v>0.20489705227675362</v>
      </c>
      <c r="I187" s="2">
        <v>5.5</v>
      </c>
      <c r="J187" s="4">
        <f t="shared" si="50"/>
        <v>8.3459787556904405E-2</v>
      </c>
      <c r="K187" s="2">
        <v>0</v>
      </c>
      <c r="L187" s="4">
        <f t="shared" si="51"/>
        <v>0</v>
      </c>
      <c r="M187" s="2">
        <v>8555</v>
      </c>
      <c r="N187" s="2">
        <f t="shared" si="52"/>
        <v>3.9346496146257681E-2</v>
      </c>
      <c r="O187" s="2">
        <v>0.83119712899999998</v>
      </c>
      <c r="P187" s="2">
        <f t="shared" si="47"/>
        <v>0.88274020854430335</v>
      </c>
      <c r="Q187" s="2">
        <v>0.1615</v>
      </c>
      <c r="R187" s="2">
        <f t="shared" si="53"/>
        <v>0.30833815865663006</v>
      </c>
      <c r="S187" s="2">
        <f t="shared" si="54"/>
        <v>3.4727176722651985E-2</v>
      </c>
      <c r="T187" s="5">
        <f t="shared" si="55"/>
        <v>5.4309010291464559E-2</v>
      </c>
      <c r="U187" s="2" t="str">
        <f t="shared" si="56"/>
        <v>No Impact</v>
      </c>
      <c r="V187" s="2">
        <f t="shared" si="57"/>
        <v>1.7979864332805098E-2</v>
      </c>
      <c r="W187" s="2">
        <f t="shared" si="58"/>
        <v>2.6310809091857651E-2</v>
      </c>
      <c r="X187" s="2" t="s">
        <v>1170</v>
      </c>
      <c r="Y187" s="2">
        <f t="shared" si="59"/>
        <v>5.1474489112498877E-2</v>
      </c>
      <c r="Z187" s="2">
        <f t="shared" si="60"/>
        <v>8.6437756553155026E-2</v>
      </c>
      <c r="AA187" s="2" t="str">
        <f t="shared" si="61"/>
        <v>No Impact</v>
      </c>
      <c r="AB187" s="2">
        <f t="shared" si="62"/>
        <v>2.253833197578544E-2</v>
      </c>
      <c r="AC187" s="2">
        <f t="shared" si="63"/>
        <v>4.8724945866697067E-2</v>
      </c>
      <c r="AD187" s="2" t="str">
        <f t="shared" si="64"/>
        <v>No Impact</v>
      </c>
      <c r="AE187" s="2">
        <f t="shared" si="65"/>
        <v>2.2943792158685509E-3</v>
      </c>
      <c r="AF187" s="2">
        <f t="shared" si="66"/>
        <v>1.5632740924739059E-2</v>
      </c>
      <c r="AG187" s="2" t="s">
        <v>1170</v>
      </c>
    </row>
    <row r="188" spans="1:33" x14ac:dyDescent="0.3">
      <c r="A188" s="2">
        <v>302672</v>
      </c>
      <c r="B188" s="2" t="s">
        <v>396</v>
      </c>
      <c r="C188" s="2" t="s">
        <v>331</v>
      </c>
      <c r="D188" s="2" t="s">
        <v>397</v>
      </c>
      <c r="E188" s="3">
        <v>5.7</v>
      </c>
      <c r="F188" s="4">
        <f t="shared" si="48"/>
        <v>0.55555555555555558</v>
      </c>
      <c r="G188" s="2">
        <v>67.082396399999993</v>
      </c>
      <c r="H188" s="2">
        <f t="shared" si="49"/>
        <v>0.24171019049475573</v>
      </c>
      <c r="I188" s="2">
        <v>4.8000000000000007</v>
      </c>
      <c r="J188" s="4">
        <f t="shared" si="50"/>
        <v>7.2837632776934766E-2</v>
      </c>
      <c r="K188" s="2">
        <v>0</v>
      </c>
      <c r="L188" s="4">
        <f t="shared" si="51"/>
        <v>0</v>
      </c>
      <c r="M188" s="2">
        <v>146872</v>
      </c>
      <c r="N188" s="2">
        <f t="shared" si="52"/>
        <v>0.69378243980449772</v>
      </c>
      <c r="O188" s="2">
        <v>0.67893549499999994</v>
      </c>
      <c r="P188" s="2">
        <f t="shared" si="47"/>
        <v>0.70684907101954386</v>
      </c>
      <c r="Q188" s="2">
        <v>0.21249999999999999</v>
      </c>
      <c r="R188" s="2">
        <f t="shared" si="53"/>
        <v>0.45599305153445285</v>
      </c>
      <c r="S188" s="2">
        <f t="shared" si="54"/>
        <v>3.5560919572304769E-2</v>
      </c>
      <c r="T188" s="5">
        <f t="shared" si="55"/>
        <v>5.5612881013920749E-2</v>
      </c>
      <c r="U188" s="2" t="str">
        <f t="shared" si="56"/>
        <v>No Impact</v>
      </c>
      <c r="V188" s="2">
        <f t="shared" si="57"/>
        <v>2.7889482014173485E-2</v>
      </c>
      <c r="W188" s="2">
        <f t="shared" si="58"/>
        <v>4.08120341379258E-2</v>
      </c>
      <c r="X188" s="2" t="s">
        <v>1170</v>
      </c>
      <c r="Y188" s="2">
        <f t="shared" si="59"/>
        <v>4.3232357130436064E-2</v>
      </c>
      <c r="Z188" s="2">
        <f t="shared" si="60"/>
        <v>7.2597281202589029E-2</v>
      </c>
      <c r="AA188" s="2" t="str">
        <f t="shared" si="61"/>
        <v>No Impact</v>
      </c>
      <c r="AB188" s="2">
        <f t="shared" si="62"/>
        <v>3.7582637034323123E-2</v>
      </c>
      <c r="AC188" s="2">
        <f t="shared" si="63"/>
        <v>8.1248779057497333E-2</v>
      </c>
      <c r="AD188" s="2" t="str">
        <f t="shared" si="64"/>
        <v>No Impact</v>
      </c>
      <c r="AE188" s="2">
        <f t="shared" si="65"/>
        <v>4.2433174829233103E-2</v>
      </c>
      <c r="AF188" s="2">
        <f t="shared" si="66"/>
        <v>0.28911821730761522</v>
      </c>
      <c r="AG188" s="2" t="s">
        <v>1169</v>
      </c>
    </row>
    <row r="189" spans="1:33" x14ac:dyDescent="0.3">
      <c r="A189" s="2">
        <v>302674</v>
      </c>
      <c r="B189" s="2" t="s">
        <v>398</v>
      </c>
      <c r="C189" s="2" t="s">
        <v>331</v>
      </c>
      <c r="D189" s="2" t="s">
        <v>399</v>
      </c>
      <c r="E189" s="3">
        <v>5.8</v>
      </c>
      <c r="F189" s="4">
        <f t="shared" si="48"/>
        <v>0.57777777777777772</v>
      </c>
      <c r="G189" s="2">
        <v>67.082396399999993</v>
      </c>
      <c r="H189" s="2">
        <f t="shared" si="49"/>
        <v>0.24171019049475573</v>
      </c>
      <c r="I189" s="2">
        <v>7.8000000000000016</v>
      </c>
      <c r="J189" s="4">
        <f t="shared" si="50"/>
        <v>0.118361153262519</v>
      </c>
      <c r="K189" s="2">
        <v>0</v>
      </c>
      <c r="L189" s="4">
        <f t="shared" si="51"/>
        <v>0</v>
      </c>
      <c r="M189" s="2">
        <v>2058</v>
      </c>
      <c r="N189" s="2">
        <f t="shared" si="52"/>
        <v>8.6064546043822417E-3</v>
      </c>
      <c r="O189" s="2">
        <v>0.74024021100000004</v>
      </c>
      <c r="P189" s="2">
        <f t="shared" si="47"/>
        <v>0.77766767416728311</v>
      </c>
      <c r="Q189" s="2">
        <v>0.23300000000000001</v>
      </c>
      <c r="R189" s="2">
        <f t="shared" si="53"/>
        <v>0.51534452808338171</v>
      </c>
      <c r="S189" s="2">
        <f t="shared" si="54"/>
        <v>4.7074971494960489E-2</v>
      </c>
      <c r="T189" s="5">
        <f t="shared" si="55"/>
        <v>7.361943447946874E-2</v>
      </c>
      <c r="U189" s="2" t="str">
        <f t="shared" si="56"/>
        <v>No Impact</v>
      </c>
      <c r="V189" s="2">
        <f t="shared" si="57"/>
        <v>3.7524516671043791E-2</v>
      </c>
      <c r="W189" s="2">
        <f t="shared" si="58"/>
        <v>5.4911448502683501E-2</v>
      </c>
      <c r="X189" s="2" t="s">
        <v>1170</v>
      </c>
      <c r="Y189" s="2">
        <f t="shared" si="59"/>
        <v>5.6625426318877188E-2</v>
      </c>
      <c r="Z189" s="2">
        <f t="shared" si="60"/>
        <v>9.5087389875254502E-2</v>
      </c>
      <c r="AA189" s="2" t="str">
        <f t="shared" si="61"/>
        <v>No Impact</v>
      </c>
      <c r="AB189" s="2">
        <f t="shared" si="62"/>
        <v>3.0340544652593348E-2</v>
      </c>
      <c r="AC189" s="2">
        <f t="shared" si="63"/>
        <v>6.5592316119578192E-2</v>
      </c>
      <c r="AD189" s="2" t="str">
        <f t="shared" si="64"/>
        <v>No Impact</v>
      </c>
      <c r="AE189" s="2">
        <f t="shared" si="65"/>
        <v>6.2667406304248152E-4</v>
      </c>
      <c r="AF189" s="2">
        <f t="shared" si="66"/>
        <v>4.2698404884600263E-3</v>
      </c>
      <c r="AG189" s="2" t="s">
        <v>1170</v>
      </c>
    </row>
    <row r="190" spans="1:33" x14ac:dyDescent="0.3">
      <c r="A190" s="2">
        <v>302675</v>
      </c>
      <c r="B190" s="2" t="s">
        <v>400</v>
      </c>
      <c r="C190" s="2" t="s">
        <v>331</v>
      </c>
      <c r="D190" s="2" t="s">
        <v>401</v>
      </c>
      <c r="E190" s="3">
        <v>5.8</v>
      </c>
      <c r="F190" s="4">
        <f t="shared" si="48"/>
        <v>0.57777777777777772</v>
      </c>
      <c r="G190" s="2">
        <v>62.522629200000004</v>
      </c>
      <c r="H190" s="2">
        <f t="shared" si="49"/>
        <v>0.20489705227675362</v>
      </c>
      <c r="I190" s="2">
        <v>5.5</v>
      </c>
      <c r="J190" s="4">
        <f t="shared" si="50"/>
        <v>8.3459787556904405E-2</v>
      </c>
      <c r="K190" s="2">
        <v>0</v>
      </c>
      <c r="L190" s="4">
        <f t="shared" si="51"/>
        <v>0</v>
      </c>
      <c r="M190" s="2">
        <v>1343</v>
      </c>
      <c r="N190" s="2">
        <f t="shared" si="52"/>
        <v>5.2234886658812504E-3</v>
      </c>
      <c r="O190" s="2">
        <v>0.49125635699999998</v>
      </c>
      <c r="P190" s="2">
        <f t="shared" si="47"/>
        <v>0.49004398227022494</v>
      </c>
      <c r="Q190" s="2">
        <v>0.06</v>
      </c>
      <c r="R190" s="2">
        <f t="shared" si="53"/>
        <v>1.4475969889982622E-2</v>
      </c>
      <c r="S190" s="2">
        <f t="shared" si="54"/>
        <v>1.470982432494785E-2</v>
      </c>
      <c r="T190" s="5">
        <f t="shared" si="55"/>
        <v>2.3004346337435901E-2</v>
      </c>
      <c r="U190" s="2" t="str">
        <f t="shared" si="56"/>
        <v>No Impact</v>
      </c>
      <c r="V190" s="2">
        <f t="shared" si="57"/>
        <v>8.4412508604718732E-4</v>
      </c>
      <c r="W190" s="2">
        <f t="shared" si="58"/>
        <v>1.2352492531388563E-3</v>
      </c>
      <c r="X190" s="2" t="s">
        <v>1170</v>
      </c>
      <c r="Y190" s="2">
        <f t="shared" si="59"/>
        <v>2.8575523563848512E-2</v>
      </c>
      <c r="Z190" s="2">
        <f t="shared" si="60"/>
        <v>4.7985015330460533E-2</v>
      </c>
      <c r="AA190" s="2" t="str">
        <f t="shared" si="61"/>
        <v>No Impact</v>
      </c>
      <c r="AB190" s="2">
        <f t="shared" si="62"/>
        <v>8.9747083683922313E-3</v>
      </c>
      <c r="AC190" s="2">
        <f t="shared" si="63"/>
        <v>1.9402153623840453E-2</v>
      </c>
      <c r="AD190" s="2" t="str">
        <f t="shared" si="64"/>
        <v>No Impact</v>
      </c>
      <c r="AE190" s="2">
        <f t="shared" si="65"/>
        <v>3.0459291177475716E-4</v>
      </c>
      <c r="AF190" s="2">
        <f t="shared" si="66"/>
        <v>2.075342229546888E-3</v>
      </c>
      <c r="AG190" s="2" t="s">
        <v>1170</v>
      </c>
    </row>
    <row r="191" spans="1:33" x14ac:dyDescent="0.3">
      <c r="A191" s="2">
        <v>302676</v>
      </c>
      <c r="B191" s="2" t="s">
        <v>402</v>
      </c>
      <c r="C191" s="2" t="s">
        <v>331</v>
      </c>
      <c r="D191" s="2" t="s">
        <v>403</v>
      </c>
      <c r="E191" s="3">
        <v>5.8</v>
      </c>
      <c r="F191" s="4">
        <f t="shared" si="48"/>
        <v>0.57777777777777772</v>
      </c>
      <c r="G191" s="2">
        <v>62.522629200000004</v>
      </c>
      <c r="H191" s="2">
        <f t="shared" si="49"/>
        <v>0.20489705227675362</v>
      </c>
      <c r="I191" s="2">
        <v>5.5</v>
      </c>
      <c r="J191" s="4">
        <f t="shared" si="50"/>
        <v>8.3459787556904405E-2</v>
      </c>
      <c r="K191" s="2">
        <v>0</v>
      </c>
      <c r="L191" s="4">
        <f t="shared" si="51"/>
        <v>0</v>
      </c>
      <c r="M191" s="2">
        <v>2470</v>
      </c>
      <c r="N191" s="2">
        <f t="shared" si="52"/>
        <v>1.0555800012301695E-2</v>
      </c>
      <c r="O191" s="2">
        <v>0.62011421899999997</v>
      </c>
      <c r="P191" s="2">
        <f t="shared" si="47"/>
        <v>0.63889931326048932</v>
      </c>
      <c r="Q191" s="2">
        <v>0.06</v>
      </c>
      <c r="R191" s="2">
        <f t="shared" si="53"/>
        <v>1.4475969889982622E-2</v>
      </c>
      <c r="S191" s="2">
        <f t="shared" si="54"/>
        <v>1.9049862333996595E-2</v>
      </c>
      <c r="T191" s="5">
        <f t="shared" si="55"/>
        <v>2.9791629126970309E-2</v>
      </c>
      <c r="U191" s="2" t="str">
        <f t="shared" si="56"/>
        <v>No Impact</v>
      </c>
      <c r="V191" s="2">
        <f t="shared" si="57"/>
        <v>8.4412508604718732E-4</v>
      </c>
      <c r="W191" s="2">
        <f t="shared" si="58"/>
        <v>1.2352492531388563E-3</v>
      </c>
      <c r="X191" s="2" t="s">
        <v>1170</v>
      </c>
      <c r="Y191" s="2">
        <f t="shared" si="59"/>
        <v>3.7255599581945992E-2</v>
      </c>
      <c r="Z191" s="2">
        <f t="shared" si="60"/>
        <v>6.256090157336075E-2</v>
      </c>
      <c r="AA191" s="2" t="str">
        <f t="shared" si="61"/>
        <v>No Impact</v>
      </c>
      <c r="AB191" s="2">
        <f t="shared" si="62"/>
        <v>1.1687559682924334E-2</v>
      </c>
      <c r="AC191" s="2">
        <f t="shared" si="63"/>
        <v>2.5266985750148158E-2</v>
      </c>
      <c r="AD191" s="2" t="str">
        <f t="shared" si="64"/>
        <v>No Impact</v>
      </c>
      <c r="AE191" s="2">
        <f t="shared" si="65"/>
        <v>6.155315092114884E-4</v>
      </c>
      <c r="AF191" s="2">
        <f t="shared" si="66"/>
        <v>4.1939207555426695E-3</v>
      </c>
      <c r="AG191" s="2" t="s">
        <v>1170</v>
      </c>
    </row>
    <row r="192" spans="1:33" x14ac:dyDescent="0.3">
      <c r="A192" s="2">
        <v>302680</v>
      </c>
      <c r="B192" s="2" t="s">
        <v>404</v>
      </c>
      <c r="C192" s="2" t="s">
        <v>331</v>
      </c>
      <c r="D192" s="2" t="s">
        <v>1148</v>
      </c>
      <c r="E192" s="3">
        <v>5.8</v>
      </c>
      <c r="F192" s="4">
        <f t="shared" si="48"/>
        <v>0.57777777777777772</v>
      </c>
      <c r="G192" s="2">
        <v>67.082396399999993</v>
      </c>
      <c r="H192" s="2">
        <f t="shared" si="49"/>
        <v>0.24171019049475573</v>
      </c>
      <c r="I192" s="2">
        <v>6.6999999999999993</v>
      </c>
      <c r="J192" s="4">
        <f t="shared" si="50"/>
        <v>0.10166919575113809</v>
      </c>
      <c r="K192" s="2">
        <v>0</v>
      </c>
      <c r="L192" s="4">
        <f t="shared" si="51"/>
        <v>0</v>
      </c>
      <c r="M192" s="2">
        <v>2247</v>
      </c>
      <c r="N192" s="2">
        <f t="shared" si="52"/>
        <v>9.5006931531608253E-3</v>
      </c>
      <c r="O192" s="2">
        <v>0.49188169700000001</v>
      </c>
      <c r="P192" s="2">
        <f t="shared" si="47"/>
        <v>0.49076636886920061</v>
      </c>
      <c r="Q192" s="2">
        <v>0.06</v>
      </c>
      <c r="R192" s="2">
        <f t="shared" si="53"/>
        <v>1.4475969889982622E-2</v>
      </c>
      <c r="S192" s="2">
        <f t="shared" si="54"/>
        <v>1.7541746867955236E-2</v>
      </c>
      <c r="T192" s="5">
        <f t="shared" si="55"/>
        <v>2.7433123020352886E-2</v>
      </c>
      <c r="U192" s="2" t="str">
        <f t="shared" si="56"/>
        <v>No Impact</v>
      </c>
      <c r="V192" s="2">
        <f t="shared" si="57"/>
        <v>1.0051960415742237E-3</v>
      </c>
      <c r="W192" s="2">
        <f t="shared" si="58"/>
        <v>1.4709522085489641E-3</v>
      </c>
      <c r="X192" s="2" t="s">
        <v>1170</v>
      </c>
      <c r="Y192" s="2">
        <f t="shared" si="59"/>
        <v>3.4078297694336249E-2</v>
      </c>
      <c r="Z192" s="2">
        <f t="shared" si="60"/>
        <v>5.7225465480797301E-2</v>
      </c>
      <c r="AA192" s="2" t="str">
        <f t="shared" si="61"/>
        <v>No Impact</v>
      </c>
      <c r="AB192" s="2">
        <f t="shared" si="62"/>
        <v>1.0806209252974958E-2</v>
      </c>
      <c r="AC192" s="2">
        <f t="shared" si="63"/>
        <v>2.3361620613322101E-2</v>
      </c>
      <c r="AD192" s="2" t="str">
        <f t="shared" si="64"/>
        <v>No Impact</v>
      </c>
      <c r="AE192" s="2">
        <f t="shared" si="65"/>
        <v>6.5971808606601456E-4</v>
      </c>
      <c r="AF192" s="2">
        <f t="shared" si="66"/>
        <v>4.4949857684840411E-3</v>
      </c>
      <c r="AG192" s="2" t="s">
        <v>1170</v>
      </c>
    </row>
    <row r="193" spans="1:33" x14ac:dyDescent="0.3">
      <c r="A193" s="2">
        <v>302688</v>
      </c>
      <c r="B193" s="2" t="s">
        <v>405</v>
      </c>
      <c r="C193" s="2" t="s">
        <v>331</v>
      </c>
      <c r="D193" s="2" t="s">
        <v>406</v>
      </c>
      <c r="E193" s="3">
        <v>5.7</v>
      </c>
      <c r="F193" s="4">
        <f t="shared" si="48"/>
        <v>0.55555555555555558</v>
      </c>
      <c r="G193" s="2">
        <v>62.522629200000004</v>
      </c>
      <c r="H193" s="2">
        <f t="shared" si="49"/>
        <v>0.20489705227675362</v>
      </c>
      <c r="I193" s="2">
        <v>5.5</v>
      </c>
      <c r="J193" s="4">
        <f t="shared" si="50"/>
        <v>8.3459787556904405E-2</v>
      </c>
      <c r="K193" s="2">
        <v>0</v>
      </c>
      <c r="L193" s="4">
        <f t="shared" si="51"/>
        <v>0</v>
      </c>
      <c r="M193" s="2">
        <v>1739</v>
      </c>
      <c r="N193" s="2">
        <f t="shared" si="52"/>
        <v>7.0971313395125687E-3</v>
      </c>
      <c r="O193" s="2">
        <v>0.80548892400000005</v>
      </c>
      <c r="P193" s="2">
        <f t="shared" si="47"/>
        <v>0.85304234374160659</v>
      </c>
      <c r="Q193" s="2">
        <v>5.5E-2</v>
      </c>
      <c r="R193" s="2">
        <f t="shared" si="53"/>
        <v>0</v>
      </c>
      <c r="S193" s="2">
        <f t="shared" si="54"/>
        <v>2.3914780019435925E-2</v>
      </c>
      <c r="T193" s="5">
        <f t="shared" si="55"/>
        <v>3.7399758827687188E-2</v>
      </c>
      <c r="U193" s="2" t="str">
        <f t="shared" si="56"/>
        <v>No Impact</v>
      </c>
      <c r="V193" s="2">
        <f t="shared" si="57"/>
        <v>0</v>
      </c>
      <c r="W193" s="2">
        <f t="shared" si="58"/>
        <v>0</v>
      </c>
      <c r="X193" s="2" t="s">
        <v>1170</v>
      </c>
      <c r="Y193" s="2">
        <f t="shared" si="59"/>
        <v>4.782956003887185E-2</v>
      </c>
      <c r="Z193" s="2">
        <f t="shared" si="60"/>
        <v>8.0317064588031895E-2</v>
      </c>
      <c r="AA193" s="2" t="str">
        <f t="shared" si="61"/>
        <v>No Impact</v>
      </c>
      <c r="AB193" s="2">
        <f t="shared" si="62"/>
        <v>1.4488144139275955E-2</v>
      </c>
      <c r="AC193" s="2">
        <f t="shared" si="63"/>
        <v>3.1321485532006595E-2</v>
      </c>
      <c r="AD193" s="2" t="str">
        <f t="shared" si="64"/>
        <v>No Impact</v>
      </c>
      <c r="AE193" s="2">
        <f t="shared" si="65"/>
        <v>3.9793179318399507E-4</v>
      </c>
      <c r="AF193" s="2">
        <f t="shared" si="66"/>
        <v>2.7113062154406464E-3</v>
      </c>
      <c r="AG193" s="2" t="s">
        <v>1170</v>
      </c>
    </row>
    <row r="194" spans="1:33" x14ac:dyDescent="0.3">
      <c r="A194" s="2">
        <v>302690</v>
      </c>
      <c r="B194" s="2" t="s">
        <v>407</v>
      </c>
      <c r="C194" s="2" t="s">
        <v>331</v>
      </c>
      <c r="D194" s="2" t="s">
        <v>408</v>
      </c>
      <c r="E194" s="3">
        <v>5.8</v>
      </c>
      <c r="F194" s="4">
        <f t="shared" si="48"/>
        <v>0.57777777777777772</v>
      </c>
      <c r="G194" s="2">
        <v>62.522629200000004</v>
      </c>
      <c r="H194" s="2">
        <f t="shared" si="49"/>
        <v>0.20489705227675362</v>
      </c>
      <c r="I194" s="2">
        <v>5.5</v>
      </c>
      <c r="J194" s="4">
        <f t="shared" si="50"/>
        <v>8.3459787556904405E-2</v>
      </c>
      <c r="K194" s="2">
        <v>0</v>
      </c>
      <c r="L194" s="4">
        <f t="shared" si="51"/>
        <v>0</v>
      </c>
      <c r="M194" s="2">
        <v>1906</v>
      </c>
      <c r="N194" s="2">
        <f t="shared" si="52"/>
        <v>7.8872786286449687E-3</v>
      </c>
      <c r="O194" s="2">
        <v>0.65010484599999996</v>
      </c>
      <c r="P194" s="2">
        <f t="shared" ref="P194:P257" si="68">(O194-$AJ$11)/$AK$11</f>
        <v>0.67354418971118302</v>
      </c>
      <c r="Q194" s="2">
        <v>0.06</v>
      </c>
      <c r="R194" s="2">
        <f t="shared" si="53"/>
        <v>1.4475969889982622E-2</v>
      </c>
      <c r="S194" s="2">
        <f t="shared" si="54"/>
        <v>2.0059971139737936E-2</v>
      </c>
      <c r="T194" s="5">
        <f t="shared" si="55"/>
        <v>3.1371314396654852E-2</v>
      </c>
      <c r="U194" s="2" t="str">
        <f t="shared" si="56"/>
        <v>No Impact</v>
      </c>
      <c r="V194" s="2">
        <f t="shared" si="57"/>
        <v>8.4412508604718732E-4</v>
      </c>
      <c r="W194" s="2">
        <f t="shared" si="58"/>
        <v>1.2352492531388563E-3</v>
      </c>
      <c r="X194" s="2" t="s">
        <v>1170</v>
      </c>
      <c r="Y194" s="2">
        <f t="shared" si="59"/>
        <v>3.927581719342868E-2</v>
      </c>
      <c r="Z194" s="2">
        <f t="shared" si="60"/>
        <v>6.5953321412712498E-2</v>
      </c>
      <c r="AA194" s="2" t="str">
        <f t="shared" si="61"/>
        <v>No Impact</v>
      </c>
      <c r="AB194" s="2">
        <f t="shared" si="62"/>
        <v>1.2239162429426804E-2</v>
      </c>
      <c r="AC194" s="2">
        <f t="shared" si="63"/>
        <v>2.6459479231570385E-2</v>
      </c>
      <c r="AD194" s="2" t="str">
        <f t="shared" si="64"/>
        <v>No Impact</v>
      </c>
      <c r="AE194" s="2">
        <f t="shared" si="65"/>
        <v>4.5992426080481905E-4</v>
      </c>
      <c r="AF194" s="2">
        <f t="shared" si="66"/>
        <v>3.1336915730567597E-3</v>
      </c>
      <c r="AG194" s="2" t="s">
        <v>1170</v>
      </c>
    </row>
    <row r="195" spans="1:33" x14ac:dyDescent="0.3">
      <c r="A195" s="2">
        <v>302692</v>
      </c>
      <c r="B195" s="2" t="s">
        <v>409</v>
      </c>
      <c r="C195" s="2" t="s">
        <v>331</v>
      </c>
      <c r="D195" s="2" t="s">
        <v>410</v>
      </c>
      <c r="E195" s="3">
        <v>5.7</v>
      </c>
      <c r="F195" s="4">
        <f t="shared" ref="F195:F258" si="69">(E195-$AJ$5)/$AK$5</f>
        <v>0.55555555555555558</v>
      </c>
      <c r="G195" s="2">
        <v>62.522629200000004</v>
      </c>
      <c r="H195" s="2">
        <f t="shared" ref="H195:H258" si="70">(G195-$AJ$6)/$AK$6</f>
        <v>0.20489705227675362</v>
      </c>
      <c r="I195" s="2">
        <v>5.5</v>
      </c>
      <c r="J195" s="4">
        <f t="shared" ref="J195:J258" si="71">(I195-$AJ$7)/$AK$7</f>
        <v>8.3459787556904405E-2</v>
      </c>
      <c r="K195" s="2">
        <v>0</v>
      </c>
      <c r="L195" s="4">
        <f t="shared" ref="L195:L258" si="72">(K195-$AJ$8)/$AK$8</f>
        <v>0</v>
      </c>
      <c r="M195" s="2">
        <v>1942</v>
      </c>
      <c r="N195" s="2">
        <f t="shared" ref="N195:N258" si="73">(M195-$AJ$9)/$AK$9</f>
        <v>8.0576097807932706E-3</v>
      </c>
      <c r="O195" s="2">
        <v>0.860462069</v>
      </c>
      <c r="P195" s="2">
        <f t="shared" si="68"/>
        <v>0.91654677853155198</v>
      </c>
      <c r="Q195" s="2">
        <v>0.06</v>
      </c>
      <c r="R195" s="2">
        <f t="shared" ref="R195:R258" si="74">(Q195-$AJ$12)/$AK$12</f>
        <v>1.4475969889982622E-2</v>
      </c>
      <c r="S195" s="2">
        <f t="shared" ref="S195:S258" si="75">F195*(R195*0.5+P195*0.5)*(H195*0.35+J195*0.35+L195*0.3)</f>
        <v>2.6100936706063387E-2</v>
      </c>
      <c r="T195" s="5">
        <f t="shared" ref="T195:T258" si="76">(S195-$AJ$10)/$AK$10</f>
        <v>4.0818637561798633E-2</v>
      </c>
      <c r="U195" s="2" t="str">
        <f t="shared" ref="U195:U258" si="77">IF(T195&gt;0.7,"High",IF(T195&gt;0.3,"Moderate",IF(T195&gt;0.15,"Low","No Impact")))</f>
        <v>No Impact</v>
      </c>
      <c r="V195" s="2">
        <f t="shared" ref="V195:V258" si="78">F195*(R195*1)*(H195*0.35+J195*0.35+L195*0.3)</f>
        <v>8.116587365838339E-4</v>
      </c>
      <c r="W195" s="2">
        <f t="shared" ref="W195:W258" si="79">(V195-$AJ$13)/$AK$13</f>
        <v>1.1877396664796694E-3</v>
      </c>
      <c r="X195" s="2" t="s">
        <v>1170</v>
      </c>
      <c r="Y195" s="2">
        <f t="shared" ref="Y195:Y258" si="80">F195*(P195*1)*(H195*0.35+J195*0.35+L195*0.3)</f>
        <v>5.1390214675542938E-2</v>
      </c>
      <c r="Z195" s="2">
        <f t="shared" ref="Z195:Z258" si="81">(Y195-$AJ$14)/$AK$14</f>
        <v>8.6296239980754835E-2</v>
      </c>
      <c r="AA195" s="2" t="str">
        <f t="shared" ref="AA195:AA258" si="82">IF(Z195&gt;0.7,"High",IF(Z195&gt;0.3,"Moderate",IF(Z195&gt;0.15,"Low","No Impact")))</f>
        <v>No Impact</v>
      </c>
      <c r="AB195" s="2">
        <f t="shared" ref="AB195:AB258" si="83">F195*(R195*0.35+P195*0.3+N195*0.35)*(H195*0.35+J195*0.35+L195*0.3)</f>
        <v>1.5859269790685433E-2</v>
      </c>
      <c r="AC195" s="2">
        <f t="shared" ref="AC195:AC258" si="84">(AB195-$AJ$15)/$AK$15</f>
        <v>3.4285681072880839E-2</v>
      </c>
      <c r="AD195" s="2" t="str">
        <f t="shared" ref="AD195:AD258" si="85">IF(AC195&gt;0.7,"High",IF(AC195&gt;0.3,"Moderate",IF(AC195&gt;0.15,"Low","No Impact")))</f>
        <v>No Impact</v>
      </c>
      <c r="AE195" s="2">
        <f t="shared" ref="AE195:AE258" si="86">F195*(N195*1)*(H195*0.35+J195*0.35+L195*0.3)</f>
        <v>4.5178522919489577E-4</v>
      </c>
      <c r="AF195" s="2">
        <f t="shared" ref="AF195:AF258" si="87">(AE195-$AJ$16)/$AK$16</f>
        <v>3.078236323263614E-3</v>
      </c>
      <c r="AG195" s="2" t="s">
        <v>1170</v>
      </c>
    </row>
    <row r="196" spans="1:33" x14ac:dyDescent="0.3">
      <c r="A196" s="2">
        <v>302693</v>
      </c>
      <c r="B196" s="2" t="s">
        <v>411</v>
      </c>
      <c r="C196" s="2" t="s">
        <v>331</v>
      </c>
      <c r="D196" s="2" t="s">
        <v>412</v>
      </c>
      <c r="E196" s="3">
        <v>5.8</v>
      </c>
      <c r="F196" s="4">
        <f t="shared" si="69"/>
        <v>0.57777777777777772</v>
      </c>
      <c r="G196" s="2">
        <v>67.082396399999993</v>
      </c>
      <c r="H196" s="2">
        <f t="shared" si="70"/>
        <v>0.24171019049475573</v>
      </c>
      <c r="I196" s="2">
        <v>3.9</v>
      </c>
      <c r="J196" s="4">
        <f t="shared" si="71"/>
        <v>5.9180576631259488E-2</v>
      </c>
      <c r="K196" s="2">
        <v>0</v>
      </c>
      <c r="L196" s="4">
        <f t="shared" si="72"/>
        <v>0</v>
      </c>
      <c r="M196" s="2">
        <v>15432</v>
      </c>
      <c r="N196" s="2">
        <f t="shared" si="73"/>
        <v>7.1884477627476309E-2</v>
      </c>
      <c r="O196" s="2">
        <v>0.62564129800000001</v>
      </c>
      <c r="P196" s="2">
        <f t="shared" si="68"/>
        <v>0.64528414039625481</v>
      </c>
      <c r="Q196" s="2">
        <v>0.1734</v>
      </c>
      <c r="R196" s="2">
        <f t="shared" si="74"/>
        <v>0.34279096699478867</v>
      </c>
      <c r="S196" s="2">
        <f t="shared" si="75"/>
        <v>3.0060604011924431E-2</v>
      </c>
      <c r="T196" s="5">
        <f t="shared" si="76"/>
        <v>4.7011067605341808E-2</v>
      </c>
      <c r="U196" s="2" t="str">
        <f t="shared" si="77"/>
        <v>No Impact</v>
      </c>
      <c r="V196" s="2">
        <f t="shared" si="78"/>
        <v>2.0857733264637055E-2</v>
      </c>
      <c r="W196" s="2">
        <f t="shared" si="79"/>
        <v>3.0522134530986018E-2</v>
      </c>
      <c r="X196" s="2" t="s">
        <v>1170</v>
      </c>
      <c r="Y196" s="2">
        <f t="shared" si="80"/>
        <v>3.9263474759211804E-2</v>
      </c>
      <c r="Z196" s="2">
        <f t="shared" si="81"/>
        <v>6.5932595566909932E-2</v>
      </c>
      <c r="AA196" s="2" t="str">
        <f t="shared" si="82"/>
        <v>No Impact</v>
      </c>
      <c r="AB196" s="2">
        <f t="shared" si="83"/>
        <v>2.0610128211334129E-2</v>
      </c>
      <c r="AC196" s="2">
        <f t="shared" si="84"/>
        <v>4.4556419813225556E-2</v>
      </c>
      <c r="AD196" s="2" t="str">
        <f t="shared" si="85"/>
        <v>No Impact</v>
      </c>
      <c r="AE196" s="2">
        <f t="shared" si="86"/>
        <v>4.3739404027074756E-3</v>
      </c>
      <c r="AF196" s="2">
        <f t="shared" si="87"/>
        <v>2.980182031935396E-2</v>
      </c>
      <c r="AG196" s="2" t="s">
        <v>1170</v>
      </c>
    </row>
    <row r="197" spans="1:33" x14ac:dyDescent="0.3">
      <c r="A197" s="2">
        <v>302695</v>
      </c>
      <c r="B197" s="2" t="s">
        <v>413</v>
      </c>
      <c r="C197" s="2" t="s">
        <v>331</v>
      </c>
      <c r="D197" s="2" t="s">
        <v>414</v>
      </c>
      <c r="E197" s="3">
        <v>5.7</v>
      </c>
      <c r="F197" s="4">
        <f t="shared" si="69"/>
        <v>0.55555555555555558</v>
      </c>
      <c r="G197" s="2">
        <v>62.522629200000004</v>
      </c>
      <c r="H197" s="2">
        <f t="shared" si="70"/>
        <v>0.20489705227675362</v>
      </c>
      <c r="I197" s="2">
        <v>3.0999999999999996</v>
      </c>
      <c r="J197" s="4">
        <f t="shared" si="71"/>
        <v>4.7040971168437029E-2</v>
      </c>
      <c r="K197" s="2">
        <v>0</v>
      </c>
      <c r="L197" s="4">
        <f t="shared" si="72"/>
        <v>0</v>
      </c>
      <c r="M197" s="2">
        <v>7916</v>
      </c>
      <c r="N197" s="2">
        <f t="shared" si="73"/>
        <v>3.632311819562533E-2</v>
      </c>
      <c r="O197" s="2">
        <v>0.68300635300000001</v>
      </c>
      <c r="P197" s="2">
        <f t="shared" si="68"/>
        <v>0.71155168602183494</v>
      </c>
      <c r="Q197" s="2">
        <v>0.1125</v>
      </c>
      <c r="R197" s="2">
        <f t="shared" si="74"/>
        <v>0.16647365373480025</v>
      </c>
      <c r="S197" s="2">
        <f t="shared" si="75"/>
        <v>2.1506330283771535E-2</v>
      </c>
      <c r="T197" s="5">
        <f t="shared" si="76"/>
        <v>3.3633241251976712E-2</v>
      </c>
      <c r="U197" s="2" t="str">
        <f t="shared" si="77"/>
        <v>No Impact</v>
      </c>
      <c r="V197" s="2">
        <f t="shared" si="78"/>
        <v>8.155202859542016E-3</v>
      </c>
      <c r="W197" s="2">
        <f t="shared" si="79"/>
        <v>1.1933904593000108E-2</v>
      </c>
      <c r="X197" s="2" t="s">
        <v>1170</v>
      </c>
      <c r="Y197" s="2">
        <f t="shared" si="80"/>
        <v>3.4857457708001055E-2</v>
      </c>
      <c r="Z197" s="2">
        <f t="shared" si="81"/>
        <v>5.8533858137787421E-2</v>
      </c>
      <c r="AA197" s="2" t="str">
        <f t="shared" si="82"/>
        <v>No Impact</v>
      </c>
      <c r="AB197" s="2">
        <f t="shared" si="83"/>
        <v>1.3934346584871995E-2</v>
      </c>
      <c r="AC197" s="2">
        <f t="shared" si="84"/>
        <v>3.01242471610201E-2</v>
      </c>
      <c r="AD197" s="2" t="str">
        <f t="shared" si="85"/>
        <v>No Impact</v>
      </c>
      <c r="AE197" s="2">
        <f t="shared" si="86"/>
        <v>1.7793950618056444E-3</v>
      </c>
      <c r="AF197" s="2">
        <f t="shared" si="87"/>
        <v>1.2123899053643344E-2</v>
      </c>
      <c r="AG197" s="2" t="s">
        <v>1170</v>
      </c>
    </row>
    <row r="198" spans="1:33" x14ac:dyDescent="0.3">
      <c r="A198" s="2">
        <v>302696</v>
      </c>
      <c r="B198" s="2" t="s">
        <v>415</v>
      </c>
      <c r="C198" s="2" t="s">
        <v>331</v>
      </c>
      <c r="D198" s="2" t="s">
        <v>416</v>
      </c>
      <c r="E198" s="3">
        <v>5.8</v>
      </c>
      <c r="F198" s="4">
        <f t="shared" si="69"/>
        <v>0.57777777777777772</v>
      </c>
      <c r="G198" s="2">
        <v>62.522629200000004</v>
      </c>
      <c r="H198" s="2">
        <f t="shared" si="70"/>
        <v>0.20489705227675362</v>
      </c>
      <c r="I198" s="2">
        <v>3.0999999999999996</v>
      </c>
      <c r="J198" s="4">
        <f t="shared" si="71"/>
        <v>4.7040971168437029E-2</v>
      </c>
      <c r="K198" s="2">
        <v>0</v>
      </c>
      <c r="L198" s="4">
        <f t="shared" si="72"/>
        <v>0</v>
      </c>
      <c r="M198" s="2">
        <v>14687</v>
      </c>
      <c r="N198" s="2">
        <f t="shared" si="73"/>
        <v>6.8359569062185072E-2</v>
      </c>
      <c r="O198" s="2">
        <v>0.37784135200000002</v>
      </c>
      <c r="P198" s="2">
        <f t="shared" si="68"/>
        <v>0.35902808734145863</v>
      </c>
      <c r="Q198" s="2">
        <v>0.246</v>
      </c>
      <c r="R198" s="2">
        <f t="shared" si="74"/>
        <v>0.55298204979733645</v>
      </c>
      <c r="S198" s="2">
        <f t="shared" si="75"/>
        <v>2.3232303166064443E-2</v>
      </c>
      <c r="T198" s="5">
        <f t="shared" si="76"/>
        <v>3.6332449418993981E-2</v>
      </c>
      <c r="U198" s="2" t="str">
        <f t="shared" si="77"/>
        <v>No Impact</v>
      </c>
      <c r="V198" s="2">
        <f t="shared" si="78"/>
        <v>2.8173034713381315E-2</v>
      </c>
      <c r="W198" s="2">
        <f t="shared" si="79"/>
        <v>4.1226970580061584E-2</v>
      </c>
      <c r="X198" s="2" t="s">
        <v>1170</v>
      </c>
      <c r="Y198" s="2">
        <f t="shared" si="80"/>
        <v>1.829157161874757E-2</v>
      </c>
      <c r="Z198" s="2">
        <f t="shared" si="81"/>
        <v>3.0715844718738328E-2</v>
      </c>
      <c r="AA198" s="2" t="str">
        <f t="shared" si="82"/>
        <v>No Impact</v>
      </c>
      <c r="AB198" s="2">
        <f t="shared" si="83"/>
        <v>1.6566995045556566E-2</v>
      </c>
      <c r="AC198" s="2">
        <f t="shared" si="84"/>
        <v>3.5815691136142788E-2</v>
      </c>
      <c r="AD198" s="2" t="str">
        <f t="shared" si="85"/>
        <v>No Impact</v>
      </c>
      <c r="AE198" s="2">
        <f t="shared" si="86"/>
        <v>3.4827468864252527E-3</v>
      </c>
      <c r="AF198" s="2">
        <f t="shared" si="87"/>
        <v>2.3729677903884402E-2</v>
      </c>
      <c r="AG198" s="2" t="s">
        <v>1170</v>
      </c>
    </row>
    <row r="199" spans="1:33" x14ac:dyDescent="0.3">
      <c r="A199" s="2">
        <v>302903</v>
      </c>
      <c r="B199" s="2" t="s">
        <v>417</v>
      </c>
      <c r="C199" s="2" t="s">
        <v>418</v>
      </c>
      <c r="D199" s="2" t="s">
        <v>419</v>
      </c>
      <c r="E199" s="3">
        <v>5.4</v>
      </c>
      <c r="F199" s="4">
        <f t="shared" si="69"/>
        <v>0.48888888888888893</v>
      </c>
      <c r="G199" s="2">
        <v>118.484352</v>
      </c>
      <c r="H199" s="2">
        <f t="shared" si="70"/>
        <v>0.6567022752175049</v>
      </c>
      <c r="I199" s="2">
        <v>29.4</v>
      </c>
      <c r="J199" s="4">
        <f t="shared" si="71"/>
        <v>0.4461305007587254</v>
      </c>
      <c r="K199" s="2">
        <v>0</v>
      </c>
      <c r="L199" s="4">
        <f t="shared" si="72"/>
        <v>0</v>
      </c>
      <c r="M199" s="2">
        <v>9951</v>
      </c>
      <c r="N199" s="2">
        <f t="shared" si="73"/>
        <v>4.5951559712897383E-2</v>
      </c>
      <c r="O199" s="2">
        <v>0.59138735200000003</v>
      </c>
      <c r="P199" s="2">
        <f t="shared" si="68"/>
        <v>0.60571431989471147</v>
      </c>
      <c r="Q199" s="2">
        <v>0.2928</v>
      </c>
      <c r="R199" s="2">
        <f t="shared" si="74"/>
        <v>0.68847712796757388</v>
      </c>
      <c r="S199" s="2">
        <f t="shared" si="75"/>
        <v>0.12211145502886765</v>
      </c>
      <c r="T199" s="5">
        <f t="shared" si="76"/>
        <v>0.19096721627654512</v>
      </c>
      <c r="U199" s="2" t="str">
        <f t="shared" si="77"/>
        <v>Low</v>
      </c>
      <c r="V199" s="2">
        <f t="shared" si="78"/>
        <v>0.12992041322647085</v>
      </c>
      <c r="W199" s="2">
        <f t="shared" si="79"/>
        <v>0.19011885330525352</v>
      </c>
      <c r="X199" s="2" t="s">
        <v>1169</v>
      </c>
      <c r="Y199" s="2">
        <f t="shared" si="80"/>
        <v>0.11430249683126445</v>
      </c>
      <c r="Z199" s="2">
        <f t="shared" si="81"/>
        <v>0.19194073734127778</v>
      </c>
      <c r="AA199" s="2" t="str">
        <f t="shared" si="82"/>
        <v>Low</v>
      </c>
      <c r="AB199" s="2">
        <f t="shared" si="83"/>
        <v>8.2797876083032129E-2</v>
      </c>
      <c r="AC199" s="2">
        <f t="shared" si="84"/>
        <v>0.17899825214916507</v>
      </c>
      <c r="AD199" s="2" t="str">
        <f t="shared" si="85"/>
        <v>Low</v>
      </c>
      <c r="AE199" s="2">
        <f t="shared" si="86"/>
        <v>8.6713782982514084E-3</v>
      </c>
      <c r="AF199" s="2">
        <f t="shared" si="87"/>
        <v>5.9082391201688449E-2</v>
      </c>
      <c r="AG199" s="2" t="s">
        <v>1169</v>
      </c>
    </row>
    <row r="200" spans="1:33" x14ac:dyDescent="0.3">
      <c r="A200" s="2">
        <v>302910</v>
      </c>
      <c r="B200" s="2" t="s">
        <v>420</v>
      </c>
      <c r="C200" s="2" t="s">
        <v>418</v>
      </c>
      <c r="D200" s="2" t="s">
        <v>421</v>
      </c>
      <c r="E200" s="3">
        <v>5.4</v>
      </c>
      <c r="F200" s="4">
        <f t="shared" si="69"/>
        <v>0.48888888888888893</v>
      </c>
      <c r="G200" s="2">
        <v>94.803098399999996</v>
      </c>
      <c r="H200" s="2">
        <f t="shared" si="70"/>
        <v>0.46551241316657332</v>
      </c>
      <c r="I200" s="2">
        <v>21.199999999999996</v>
      </c>
      <c r="J200" s="4">
        <f t="shared" si="71"/>
        <v>0.32169954476479512</v>
      </c>
      <c r="K200" s="2">
        <v>0</v>
      </c>
      <c r="L200" s="4">
        <f t="shared" si="72"/>
        <v>0</v>
      </c>
      <c r="M200" s="2">
        <v>18588</v>
      </c>
      <c r="N200" s="2">
        <f t="shared" si="73"/>
        <v>8.6816841965810757E-2</v>
      </c>
      <c r="O200" s="2">
        <v>0.314918421</v>
      </c>
      <c r="P200" s="2">
        <f t="shared" si="68"/>
        <v>0.28634013818952747</v>
      </c>
      <c r="Q200" s="2">
        <v>0.32190000000000002</v>
      </c>
      <c r="R200" s="2">
        <f t="shared" si="74"/>
        <v>0.77272727272727282</v>
      </c>
      <c r="S200" s="2">
        <f t="shared" si="75"/>
        <v>7.1328567577713567E-2</v>
      </c>
      <c r="T200" s="5">
        <f t="shared" si="76"/>
        <v>0.11154905973472538</v>
      </c>
      <c r="U200" s="2" t="str">
        <f t="shared" si="77"/>
        <v>No Impact</v>
      </c>
      <c r="V200" s="2">
        <f t="shared" si="78"/>
        <v>0.10408691443759208</v>
      </c>
      <c r="W200" s="2">
        <f t="shared" si="79"/>
        <v>0.15231543931793101</v>
      </c>
      <c r="X200" s="2" t="s">
        <v>1169</v>
      </c>
      <c r="Y200" s="2">
        <f t="shared" si="80"/>
        <v>3.8570220717835051E-2</v>
      </c>
      <c r="Z200" s="2">
        <f t="shared" si="81"/>
        <v>6.4768459213326107E-2</v>
      </c>
      <c r="AA200" s="2" t="str">
        <f t="shared" si="82"/>
        <v>No Impact</v>
      </c>
      <c r="AB200" s="2">
        <f t="shared" si="83"/>
        <v>5.2094487942099921E-2</v>
      </c>
      <c r="AC200" s="2">
        <f t="shared" si="84"/>
        <v>0.11262151554335086</v>
      </c>
      <c r="AD200" s="2" t="str">
        <f t="shared" si="85"/>
        <v>No Impact</v>
      </c>
      <c r="AE200" s="2">
        <f t="shared" si="86"/>
        <v>1.1694290495977677E-2</v>
      </c>
      <c r="AF200" s="2">
        <f t="shared" si="87"/>
        <v>7.967898783159609E-2</v>
      </c>
      <c r="AG200" s="2" t="s">
        <v>1169</v>
      </c>
    </row>
    <row r="201" spans="1:33" x14ac:dyDescent="0.3">
      <c r="A201" s="2">
        <v>302918</v>
      </c>
      <c r="B201" s="2" t="s">
        <v>422</v>
      </c>
      <c r="C201" s="2" t="s">
        <v>418</v>
      </c>
      <c r="D201" s="2" t="s">
        <v>423</v>
      </c>
      <c r="E201" s="3">
        <v>5.5</v>
      </c>
      <c r="F201" s="4">
        <f t="shared" si="69"/>
        <v>0.51111111111111107</v>
      </c>
      <c r="G201" s="2">
        <v>103.83122519999999</v>
      </c>
      <c r="H201" s="2">
        <f t="shared" si="70"/>
        <v>0.53840071319602434</v>
      </c>
      <c r="I201" s="2">
        <v>26.300000000000004</v>
      </c>
      <c r="J201" s="4">
        <f t="shared" si="71"/>
        <v>0.39908952959028843</v>
      </c>
      <c r="K201" s="2">
        <v>0</v>
      </c>
      <c r="L201" s="4">
        <f t="shared" si="72"/>
        <v>0</v>
      </c>
      <c r="M201" s="2">
        <v>27398</v>
      </c>
      <c r="N201" s="2">
        <f t="shared" si="73"/>
        <v>0.12850066003321459</v>
      </c>
      <c r="O201" s="2">
        <v>0.210512849</v>
      </c>
      <c r="P201" s="2">
        <f t="shared" si="68"/>
        <v>0.16573185138365243</v>
      </c>
      <c r="Q201" s="2">
        <v>0.32919999999999999</v>
      </c>
      <c r="R201" s="2">
        <f t="shared" si="74"/>
        <v>0.79386218876664738</v>
      </c>
      <c r="S201" s="2">
        <f t="shared" si="75"/>
        <v>8.0465121109980733E-2</v>
      </c>
      <c r="T201" s="5">
        <f t="shared" si="76"/>
        <v>0.1258374997013626</v>
      </c>
      <c r="U201" s="2" t="str">
        <f t="shared" si="77"/>
        <v>No Impact</v>
      </c>
      <c r="V201" s="2">
        <f t="shared" si="78"/>
        <v>0.13313591892200063</v>
      </c>
      <c r="W201" s="2">
        <f t="shared" si="79"/>
        <v>0.19482425902594652</v>
      </c>
      <c r="X201" s="2" t="s">
        <v>1169</v>
      </c>
      <c r="Y201" s="2">
        <f t="shared" si="80"/>
        <v>2.7794323297960832E-2</v>
      </c>
      <c r="Z201" s="2">
        <f t="shared" si="81"/>
        <v>4.6673196610813199E-2</v>
      </c>
      <c r="AA201" s="2" t="str">
        <f t="shared" si="82"/>
        <v>No Impact</v>
      </c>
      <c r="AB201" s="2">
        <f t="shared" si="83"/>
        <v>6.2478511143992776E-2</v>
      </c>
      <c r="AC201" s="2">
        <f t="shared" si="84"/>
        <v>0.13507042475874206</v>
      </c>
      <c r="AD201" s="2" t="str">
        <f t="shared" si="85"/>
        <v>No Impact</v>
      </c>
      <c r="AE201" s="2">
        <f t="shared" si="86"/>
        <v>2.1550407234012334E-2</v>
      </c>
      <c r="AF201" s="2">
        <f t="shared" si="87"/>
        <v>0.1468335882673191</v>
      </c>
      <c r="AG201" s="2" t="s">
        <v>1169</v>
      </c>
    </row>
    <row r="202" spans="1:33" x14ac:dyDescent="0.3">
      <c r="A202" s="2">
        <v>302921</v>
      </c>
      <c r="B202" s="2" t="s">
        <v>424</v>
      </c>
      <c r="C202" s="2" t="s">
        <v>418</v>
      </c>
      <c r="D202" s="2" t="s">
        <v>425</v>
      </c>
      <c r="E202" s="3">
        <v>5.4</v>
      </c>
      <c r="F202" s="4">
        <f t="shared" si="69"/>
        <v>0.48888888888888893</v>
      </c>
      <c r="G202" s="2">
        <v>82.997629200000006</v>
      </c>
      <c r="H202" s="2">
        <f t="shared" si="70"/>
        <v>0.37020132592774069</v>
      </c>
      <c r="I202" s="2">
        <v>12.6</v>
      </c>
      <c r="J202" s="4">
        <f t="shared" si="71"/>
        <v>0.19119878603945373</v>
      </c>
      <c r="K202" s="2">
        <v>0</v>
      </c>
      <c r="L202" s="4">
        <f t="shared" si="72"/>
        <v>0</v>
      </c>
      <c r="M202" s="2">
        <v>8877</v>
      </c>
      <c r="N202" s="2">
        <f t="shared" si="73"/>
        <v>4.0870013673806382E-2</v>
      </c>
      <c r="O202" s="2">
        <v>0.34518075599999998</v>
      </c>
      <c r="P202" s="2">
        <f t="shared" si="68"/>
        <v>0.32129888904140219</v>
      </c>
      <c r="Q202" s="2">
        <v>0.22620000000000001</v>
      </c>
      <c r="R202" s="2">
        <f t="shared" si="74"/>
        <v>0.49565720903300531</v>
      </c>
      <c r="S202" s="2">
        <f t="shared" si="75"/>
        <v>3.9239135399674011E-2</v>
      </c>
      <c r="T202" s="5">
        <f t="shared" si="76"/>
        <v>6.1365155747286092E-2</v>
      </c>
      <c r="U202" s="2" t="str">
        <f t="shared" si="77"/>
        <v>No Impact</v>
      </c>
      <c r="V202" s="2">
        <f t="shared" si="78"/>
        <v>4.7613722164294832E-2</v>
      </c>
      <c r="W202" s="2">
        <f t="shared" si="79"/>
        <v>6.9675473119772208E-2</v>
      </c>
      <c r="X202" s="2" t="s">
        <v>1170</v>
      </c>
      <c r="Y202" s="2">
        <f t="shared" si="80"/>
        <v>3.0864548635053189E-2</v>
      </c>
      <c r="Z202" s="2">
        <f t="shared" si="81"/>
        <v>5.1828826026986997E-2</v>
      </c>
      <c r="AA202" s="2" t="str">
        <f t="shared" si="82"/>
        <v>No Impact</v>
      </c>
      <c r="AB202" s="2">
        <f t="shared" si="83"/>
        <v>2.729828378203451E-2</v>
      </c>
      <c r="AC202" s="2">
        <f t="shared" si="84"/>
        <v>5.9015343325424283E-2</v>
      </c>
      <c r="AD202" s="2" t="str">
        <f t="shared" si="85"/>
        <v>No Impact</v>
      </c>
      <c r="AE202" s="2">
        <f t="shared" si="86"/>
        <v>3.9260469543296143E-3</v>
      </c>
      <c r="AF202" s="2">
        <f t="shared" si="87"/>
        <v>2.6750100624565617E-2</v>
      </c>
      <c r="AG202" s="2" t="s">
        <v>1170</v>
      </c>
    </row>
    <row r="203" spans="1:33" x14ac:dyDescent="0.3">
      <c r="A203" s="2">
        <v>302947</v>
      </c>
      <c r="B203" s="2" t="s">
        <v>426</v>
      </c>
      <c r="C203" s="2" t="s">
        <v>418</v>
      </c>
      <c r="D203" s="2" t="s">
        <v>427</v>
      </c>
      <c r="E203" s="3">
        <v>5.5</v>
      </c>
      <c r="F203" s="4">
        <f t="shared" si="69"/>
        <v>0.51111111111111107</v>
      </c>
      <c r="G203" s="2">
        <v>88.5769272</v>
      </c>
      <c r="H203" s="2">
        <f t="shared" si="70"/>
        <v>0.41524561424873724</v>
      </c>
      <c r="I203" s="2">
        <v>14.5</v>
      </c>
      <c r="J203" s="4">
        <f t="shared" si="71"/>
        <v>0.22003034901365709</v>
      </c>
      <c r="K203" s="2">
        <v>0</v>
      </c>
      <c r="L203" s="4">
        <f t="shared" si="72"/>
        <v>0</v>
      </c>
      <c r="M203" s="2">
        <v>53061</v>
      </c>
      <c r="N203" s="2">
        <f t="shared" si="73"/>
        <v>0.24992311441048862</v>
      </c>
      <c r="O203" s="2">
        <v>0.17755600099999999</v>
      </c>
      <c r="P203" s="2">
        <f t="shared" si="68"/>
        <v>0.12766042569574346</v>
      </c>
      <c r="Q203" s="2">
        <v>0.28889999999999999</v>
      </c>
      <c r="R203" s="2">
        <f t="shared" si="74"/>
        <v>0.67718587145338738</v>
      </c>
      <c r="S203" s="2">
        <f t="shared" si="75"/>
        <v>4.5732900321462905E-2</v>
      </c>
      <c r="T203" s="5">
        <f t="shared" si="76"/>
        <v>7.1520601114595309E-2</v>
      </c>
      <c r="U203" s="2" t="str">
        <f t="shared" si="77"/>
        <v>No Impact</v>
      </c>
      <c r="V203" s="2">
        <f t="shared" si="78"/>
        <v>7.6957983326703089E-2</v>
      </c>
      <c r="W203" s="2">
        <f t="shared" si="79"/>
        <v>0.11261635627076777</v>
      </c>
      <c r="X203" s="2" t="s">
        <v>1169</v>
      </c>
      <c r="Y203" s="2">
        <f t="shared" si="80"/>
        <v>1.4507817316222742E-2</v>
      </c>
      <c r="Z203" s="2">
        <f t="shared" si="81"/>
        <v>2.4362032589708794E-2</v>
      </c>
      <c r="AA203" s="2" t="str">
        <f t="shared" si="82"/>
        <v>No Impact</v>
      </c>
      <c r="AB203" s="2">
        <f t="shared" si="83"/>
        <v>4.122841468972626E-2</v>
      </c>
      <c r="AC203" s="2">
        <f t="shared" si="84"/>
        <v>8.913047674002253E-2</v>
      </c>
      <c r="AD203" s="2" t="str">
        <f t="shared" si="85"/>
        <v>No Impact</v>
      </c>
      <c r="AE203" s="2">
        <f t="shared" si="86"/>
        <v>2.8402215230038198E-2</v>
      </c>
      <c r="AF203" s="2">
        <f t="shared" si="87"/>
        <v>0.19351834662248044</v>
      </c>
      <c r="AG203" s="2" t="s">
        <v>1169</v>
      </c>
    </row>
    <row r="204" spans="1:33" x14ac:dyDescent="0.3">
      <c r="A204" s="2">
        <v>302956</v>
      </c>
      <c r="B204" s="2" t="s">
        <v>428</v>
      </c>
      <c r="C204" s="2" t="s">
        <v>418</v>
      </c>
      <c r="D204" s="2" t="s">
        <v>429</v>
      </c>
      <c r="E204" s="3">
        <v>5.5</v>
      </c>
      <c r="F204" s="4">
        <f t="shared" si="69"/>
        <v>0.51111111111111107</v>
      </c>
      <c r="G204" s="2">
        <v>101.2155984</v>
      </c>
      <c r="H204" s="2">
        <f t="shared" si="70"/>
        <v>0.51728353183748688</v>
      </c>
      <c r="I204" s="2">
        <v>22.8</v>
      </c>
      <c r="J204" s="4">
        <f t="shared" si="71"/>
        <v>0.34597875569044012</v>
      </c>
      <c r="K204" s="2">
        <v>0</v>
      </c>
      <c r="L204" s="4">
        <f t="shared" si="72"/>
        <v>0</v>
      </c>
      <c r="M204" s="2">
        <v>19899</v>
      </c>
      <c r="N204" s="2">
        <f t="shared" si="73"/>
        <v>9.3019734756544736E-2</v>
      </c>
      <c r="O204" s="2">
        <v>0.41403199000000002</v>
      </c>
      <c r="P204" s="2">
        <f t="shared" si="68"/>
        <v>0.40083515533579517</v>
      </c>
      <c r="Q204" s="2">
        <v>0.29730000000000001</v>
      </c>
      <c r="R204" s="2">
        <f t="shared" si="74"/>
        <v>0.70150550086855823</v>
      </c>
      <c r="S204" s="2">
        <f t="shared" si="75"/>
        <v>8.5116148754506113E-2</v>
      </c>
      <c r="T204" s="5">
        <f t="shared" si="76"/>
        <v>0.13311113182613171</v>
      </c>
      <c r="U204" s="2" t="str">
        <f t="shared" si="77"/>
        <v>No Impact</v>
      </c>
      <c r="V204" s="2">
        <f t="shared" si="78"/>
        <v>0.10833211354034193</v>
      </c>
      <c r="W204" s="2">
        <f t="shared" si="79"/>
        <v>0.15852764543261147</v>
      </c>
      <c r="X204" s="2" t="s">
        <v>1169</v>
      </c>
      <c r="Y204" s="2">
        <f t="shared" si="80"/>
        <v>6.1900183968670294E-2</v>
      </c>
      <c r="Z204" s="2">
        <f t="shared" si="81"/>
        <v>0.10394494680240036</v>
      </c>
      <c r="AA204" s="2" t="str">
        <f t="shared" si="82"/>
        <v>No Impact</v>
      </c>
      <c r="AB204" s="2">
        <f t="shared" si="83"/>
        <v>6.1513994012809381E-2</v>
      </c>
      <c r="AC204" s="2">
        <f t="shared" si="84"/>
        <v>0.132985264017703</v>
      </c>
      <c r="AD204" s="2" t="str">
        <f t="shared" si="85"/>
        <v>No Impact</v>
      </c>
      <c r="AE204" s="2">
        <f t="shared" si="86"/>
        <v>1.4364854523110341E-2</v>
      </c>
      <c r="AF204" s="2">
        <f t="shared" si="87"/>
        <v>9.7874862022902645E-2</v>
      </c>
      <c r="AG204" s="2" t="s">
        <v>1169</v>
      </c>
    </row>
    <row r="205" spans="1:33" x14ac:dyDescent="0.3">
      <c r="A205" s="2">
        <v>302962</v>
      </c>
      <c r="B205" s="2" t="s">
        <v>430</v>
      </c>
      <c r="C205" s="2" t="s">
        <v>418</v>
      </c>
      <c r="D205" s="2" t="s">
        <v>431</v>
      </c>
      <c r="E205" s="3">
        <v>5.4</v>
      </c>
      <c r="F205" s="4">
        <f t="shared" si="69"/>
        <v>0.48888888888888893</v>
      </c>
      <c r="G205" s="2">
        <v>103.83122519999999</v>
      </c>
      <c r="H205" s="2">
        <f t="shared" si="70"/>
        <v>0.53840071319602434</v>
      </c>
      <c r="I205" s="2">
        <v>23.900000000000006</v>
      </c>
      <c r="J205" s="4">
        <f t="shared" si="71"/>
        <v>0.36267071320182109</v>
      </c>
      <c r="K205" s="2">
        <v>0</v>
      </c>
      <c r="L205" s="4">
        <f t="shared" si="72"/>
        <v>0</v>
      </c>
      <c r="M205" s="2">
        <v>16580</v>
      </c>
      <c r="N205" s="2">
        <f t="shared" si="73"/>
        <v>7.7316148812649921E-2</v>
      </c>
      <c r="O205" s="2">
        <v>0.29647875099999998</v>
      </c>
      <c r="P205" s="2">
        <f t="shared" si="68"/>
        <v>0.26503881331420676</v>
      </c>
      <c r="Q205" s="2">
        <v>0.33800000000000002</v>
      </c>
      <c r="R205" s="2">
        <f t="shared" si="74"/>
        <v>0.81933989577301691</v>
      </c>
      <c r="S205" s="2">
        <f t="shared" si="75"/>
        <v>8.3596561779729198E-2</v>
      </c>
      <c r="T205" s="5">
        <f t="shared" si="76"/>
        <v>0.1307346856983328</v>
      </c>
      <c r="U205" s="2" t="str">
        <f t="shared" si="77"/>
        <v>No Impact</v>
      </c>
      <c r="V205" s="2">
        <f t="shared" si="78"/>
        <v>0.12632855595853731</v>
      </c>
      <c r="W205" s="2">
        <f t="shared" si="79"/>
        <v>0.18486271404232413</v>
      </c>
      <c r="X205" s="2" t="s">
        <v>1169</v>
      </c>
      <c r="Y205" s="2">
        <f t="shared" si="80"/>
        <v>4.0864567600921095E-2</v>
      </c>
      <c r="Z205" s="2">
        <f t="shared" si="81"/>
        <v>6.8621206481885716E-2</v>
      </c>
      <c r="AA205" s="2" t="str">
        <f t="shared" si="82"/>
        <v>No Impact</v>
      </c>
      <c r="AB205" s="2">
        <f t="shared" si="83"/>
        <v>6.064666639625052E-2</v>
      </c>
      <c r="AC205" s="2">
        <f t="shared" si="84"/>
        <v>0.13111021438177939</v>
      </c>
      <c r="AD205" s="2" t="str">
        <f t="shared" si="85"/>
        <v>No Impact</v>
      </c>
      <c r="AE205" s="2">
        <f t="shared" si="86"/>
        <v>1.1920861515674659E-2</v>
      </c>
      <c r="AF205" s="2">
        <f t="shared" si="87"/>
        <v>8.1222728302866018E-2</v>
      </c>
      <c r="AG205" s="2" t="s">
        <v>1169</v>
      </c>
    </row>
    <row r="206" spans="1:33" x14ac:dyDescent="0.3">
      <c r="A206" s="2">
        <v>302984</v>
      </c>
      <c r="B206" s="2" t="s">
        <v>432</v>
      </c>
      <c r="C206" s="2" t="s">
        <v>418</v>
      </c>
      <c r="D206" s="2" t="s">
        <v>433</v>
      </c>
      <c r="E206" s="3">
        <v>5.4</v>
      </c>
      <c r="F206" s="4">
        <f t="shared" si="69"/>
        <v>0.48888888888888893</v>
      </c>
      <c r="G206" s="2">
        <v>94.803098399999996</v>
      </c>
      <c r="H206" s="2">
        <f t="shared" si="70"/>
        <v>0.46551241316657332</v>
      </c>
      <c r="I206" s="2">
        <v>18.899999999999999</v>
      </c>
      <c r="J206" s="4">
        <f t="shared" si="71"/>
        <v>0.28679817905918059</v>
      </c>
      <c r="K206" s="2">
        <v>0</v>
      </c>
      <c r="L206" s="4">
        <f t="shared" si="72"/>
        <v>0</v>
      </c>
      <c r="M206" s="2">
        <v>32677</v>
      </c>
      <c r="N206" s="2">
        <f t="shared" si="73"/>
        <v>0.1534778309274058</v>
      </c>
      <c r="O206" s="2">
        <v>0.16589859400000001</v>
      </c>
      <c r="P206" s="2">
        <f t="shared" si="68"/>
        <v>0.11419390413050734</v>
      </c>
      <c r="Q206" s="2">
        <v>0.28960000000000002</v>
      </c>
      <c r="R206" s="2">
        <f t="shared" si="74"/>
        <v>0.6792125072379851</v>
      </c>
      <c r="S206" s="2">
        <f t="shared" si="75"/>
        <v>5.1067088483722489E-2</v>
      </c>
      <c r="T206" s="5">
        <f t="shared" si="76"/>
        <v>7.9862611814584095E-2</v>
      </c>
      <c r="U206" s="2" t="str">
        <f t="shared" si="77"/>
        <v>No Impact</v>
      </c>
      <c r="V206" s="2">
        <f t="shared" si="78"/>
        <v>8.7434143988190632E-2</v>
      </c>
      <c r="W206" s="2">
        <f t="shared" si="79"/>
        <v>0.12794663118708718</v>
      </c>
      <c r="X206" s="2" t="s">
        <v>1169</v>
      </c>
      <c r="Y206" s="2">
        <f t="shared" si="80"/>
        <v>1.4700032979254351E-2</v>
      </c>
      <c r="Z206" s="2">
        <f t="shared" si="81"/>
        <v>2.4684807831839274E-2</v>
      </c>
      <c r="AA206" s="2" t="str">
        <f t="shared" si="82"/>
        <v>No Impact</v>
      </c>
      <c r="AB206" s="2">
        <f t="shared" si="83"/>
        <v>4.1926910940367768E-2</v>
      </c>
      <c r="AC206" s="2">
        <f t="shared" si="84"/>
        <v>9.0640534895043215E-2</v>
      </c>
      <c r="AD206" s="2" t="str">
        <f t="shared" si="85"/>
        <v>No Impact</v>
      </c>
      <c r="AE206" s="2">
        <f t="shared" si="86"/>
        <v>1.9757001859213561E-2</v>
      </c>
      <c r="AF206" s="2">
        <f t="shared" si="87"/>
        <v>0.13461423001853431</v>
      </c>
      <c r="AG206" s="2" t="s">
        <v>1169</v>
      </c>
    </row>
    <row r="207" spans="1:33" x14ac:dyDescent="0.3">
      <c r="A207" s="2">
        <v>302990</v>
      </c>
      <c r="B207" s="2" t="s">
        <v>434</v>
      </c>
      <c r="C207" s="2" t="s">
        <v>418</v>
      </c>
      <c r="D207" s="2" t="s">
        <v>435</v>
      </c>
      <c r="E207" s="3">
        <v>5.4</v>
      </c>
      <c r="F207" s="4">
        <f t="shared" si="69"/>
        <v>0.48888888888888893</v>
      </c>
      <c r="G207" s="2">
        <v>103.83122519999999</v>
      </c>
      <c r="H207" s="2">
        <f t="shared" si="70"/>
        <v>0.53840071319602434</v>
      </c>
      <c r="I207" s="2">
        <v>27.099999999999998</v>
      </c>
      <c r="J207" s="4">
        <f t="shared" si="71"/>
        <v>0.41122913505311082</v>
      </c>
      <c r="K207" s="2">
        <v>0</v>
      </c>
      <c r="L207" s="4">
        <f t="shared" si="72"/>
        <v>0</v>
      </c>
      <c r="M207" s="2">
        <v>15640</v>
      </c>
      <c r="N207" s="2">
        <f t="shared" si="73"/>
        <v>7.2868613173222047E-2</v>
      </c>
      <c r="O207" s="2">
        <v>0.37743609299999997</v>
      </c>
      <c r="P207" s="2">
        <f t="shared" si="68"/>
        <v>0.35855993614256798</v>
      </c>
      <c r="Q207" s="2">
        <v>0.36020000000000002</v>
      </c>
      <c r="R207" s="2">
        <f t="shared" si="74"/>
        <v>0.88361320208453975</v>
      </c>
      <c r="S207" s="2">
        <f t="shared" si="75"/>
        <v>0.10092173448226617</v>
      </c>
      <c r="T207" s="5">
        <f t="shared" si="76"/>
        <v>0.15782911350391191</v>
      </c>
      <c r="U207" s="2" t="str">
        <f t="shared" si="77"/>
        <v>Low</v>
      </c>
      <c r="V207" s="2">
        <f t="shared" si="78"/>
        <v>0.14358026948332997</v>
      </c>
      <c r="W207" s="2">
        <f t="shared" si="79"/>
        <v>0.21010798467710107</v>
      </c>
      <c r="X207" s="2" t="s">
        <v>1169</v>
      </c>
      <c r="Y207" s="2">
        <f t="shared" si="80"/>
        <v>5.8263199481202343E-2</v>
      </c>
      <c r="Z207" s="2">
        <f t="shared" si="81"/>
        <v>9.7837595663309185E-2</v>
      </c>
      <c r="AA207" s="2" t="str">
        <f t="shared" si="82"/>
        <v>No Impact</v>
      </c>
      <c r="AB207" s="2">
        <f t="shared" si="83"/>
        <v>7.1876258077707145E-2</v>
      </c>
      <c r="AC207" s="2">
        <f t="shared" si="84"/>
        <v>0.15538713280555363</v>
      </c>
      <c r="AD207" s="2" t="str">
        <f t="shared" si="85"/>
        <v>Low</v>
      </c>
      <c r="AE207" s="2">
        <f t="shared" si="86"/>
        <v>1.1840582611945573E-2</v>
      </c>
      <c r="AF207" s="2">
        <f t="shared" si="87"/>
        <v>8.0675748407372253E-2</v>
      </c>
      <c r="AG207" s="2" t="s">
        <v>1169</v>
      </c>
    </row>
    <row r="208" spans="1:33" x14ac:dyDescent="0.3">
      <c r="A208" s="2">
        <v>303330</v>
      </c>
      <c r="B208" s="2" t="s">
        <v>436</v>
      </c>
      <c r="C208" s="2" t="s">
        <v>437</v>
      </c>
      <c r="D208" s="2" t="s">
        <v>438</v>
      </c>
      <c r="E208" s="3">
        <v>4.8</v>
      </c>
      <c r="F208" s="4">
        <f t="shared" si="69"/>
        <v>0.35555555555555546</v>
      </c>
      <c r="G208" s="2">
        <v>54.5034852</v>
      </c>
      <c r="H208" s="2">
        <f t="shared" si="70"/>
        <v>0.14015474340140946</v>
      </c>
      <c r="I208" s="2">
        <v>0.59999999999999987</v>
      </c>
      <c r="J208" s="4">
        <f t="shared" si="71"/>
        <v>9.1047040971168423E-3</v>
      </c>
      <c r="K208" s="2">
        <v>0</v>
      </c>
      <c r="L208" s="4">
        <f t="shared" si="72"/>
        <v>0</v>
      </c>
      <c r="M208" s="2">
        <v>211592</v>
      </c>
      <c r="N208" s="2">
        <f t="shared" si="73"/>
        <v>1</v>
      </c>
      <c r="O208" s="2">
        <v>0.42393068299999997</v>
      </c>
      <c r="P208" s="2">
        <f t="shared" si="68"/>
        <v>0.41227002783807221</v>
      </c>
      <c r="Q208" s="2">
        <v>0.24709999999999999</v>
      </c>
      <c r="R208" s="2">
        <f t="shared" si="74"/>
        <v>0.55616676317313263</v>
      </c>
      <c r="S208" s="2">
        <f t="shared" si="75"/>
        <v>8.9941189559559747E-3</v>
      </c>
      <c r="T208" s="5">
        <f t="shared" si="76"/>
        <v>1.4065689901680193E-2</v>
      </c>
      <c r="U208" s="2" t="str">
        <f t="shared" si="77"/>
        <v>No Impact</v>
      </c>
      <c r="V208" s="2">
        <f t="shared" si="78"/>
        <v>1.0330524560317481E-2</v>
      </c>
      <c r="W208" s="2">
        <f t="shared" si="79"/>
        <v>1.5117158533245441E-2</v>
      </c>
      <c r="X208" s="2" t="s">
        <v>1170</v>
      </c>
      <c r="Y208" s="2">
        <f t="shared" si="80"/>
        <v>7.6577133515944688E-3</v>
      </c>
      <c r="Z208" s="2">
        <f t="shared" si="81"/>
        <v>1.2859099213055487E-2</v>
      </c>
      <c r="AA208" s="2" t="str">
        <f t="shared" si="82"/>
        <v>No Impact</v>
      </c>
      <c r="AB208" s="2">
        <f t="shared" si="83"/>
        <v>1.2414075759303046E-2</v>
      </c>
      <c r="AC208" s="2">
        <f t="shared" si="84"/>
        <v>2.6837619128468704E-2</v>
      </c>
      <c r="AD208" s="2" t="str">
        <f t="shared" si="85"/>
        <v>No Impact</v>
      </c>
      <c r="AE208" s="2">
        <f t="shared" si="86"/>
        <v>1.8574509022038822E-2</v>
      </c>
      <c r="AF208" s="2">
        <f t="shared" si="87"/>
        <v>0.12655732118626242</v>
      </c>
      <c r="AG208" s="2" t="s">
        <v>1169</v>
      </c>
    </row>
    <row r="209" spans="1:33" x14ac:dyDescent="0.3">
      <c r="A209" s="2">
        <v>303332</v>
      </c>
      <c r="B209" s="2" t="s">
        <v>439</v>
      </c>
      <c r="C209" s="2" t="s">
        <v>437</v>
      </c>
      <c r="D209" s="2" t="s">
        <v>440</v>
      </c>
      <c r="E209" s="3">
        <v>4.8</v>
      </c>
      <c r="F209" s="4">
        <f t="shared" si="69"/>
        <v>0.35555555555555546</v>
      </c>
      <c r="G209" s="2">
        <v>54.5034852</v>
      </c>
      <c r="H209" s="2">
        <f t="shared" si="70"/>
        <v>0.14015474340140946</v>
      </c>
      <c r="I209" s="2">
        <v>1</v>
      </c>
      <c r="J209" s="4">
        <f t="shared" si="71"/>
        <v>1.5174506828528075E-2</v>
      </c>
      <c r="K209" s="2">
        <v>0</v>
      </c>
      <c r="L209" s="4">
        <f t="shared" si="72"/>
        <v>0</v>
      </c>
      <c r="M209" s="2">
        <v>85598</v>
      </c>
      <c r="N209" s="2">
        <f t="shared" si="73"/>
        <v>0.40386935600630225</v>
      </c>
      <c r="O209" s="2">
        <v>0.22940716999999999</v>
      </c>
      <c r="P209" s="2">
        <f t="shared" si="68"/>
        <v>0.18755838460900814</v>
      </c>
      <c r="Q209" s="2">
        <v>0.23710000000000001</v>
      </c>
      <c r="R209" s="2">
        <f t="shared" si="74"/>
        <v>0.52721482339316739</v>
      </c>
      <c r="S209" s="2">
        <f t="shared" si="75"/>
        <v>6.9082338256353376E-3</v>
      </c>
      <c r="T209" s="5">
        <f t="shared" si="76"/>
        <v>1.0803623482802437E-2</v>
      </c>
      <c r="U209" s="2" t="str">
        <f t="shared" si="77"/>
        <v>No Impact</v>
      </c>
      <c r="V209" s="2">
        <f t="shared" si="78"/>
        <v>1.0190989912789106E-2</v>
      </c>
      <c r="W209" s="2">
        <f t="shared" si="79"/>
        <v>1.4912970703745509E-2</v>
      </c>
      <c r="X209" s="2" t="s">
        <v>1170</v>
      </c>
      <c r="Y209" s="2">
        <f t="shared" si="80"/>
        <v>3.6254777384815708E-3</v>
      </c>
      <c r="Z209" s="2">
        <f t="shared" si="81"/>
        <v>6.0880286050602013E-3</v>
      </c>
      <c r="AA209" s="2" t="str">
        <f t="shared" si="82"/>
        <v>No Impact</v>
      </c>
      <c r="AB209" s="2">
        <f t="shared" si="83"/>
        <v>7.386848447648235E-3</v>
      </c>
      <c r="AC209" s="2">
        <f t="shared" si="84"/>
        <v>1.5969406747750794E-2</v>
      </c>
      <c r="AD209" s="2" t="str">
        <f t="shared" si="85"/>
        <v>No Impact</v>
      </c>
      <c r="AE209" s="2">
        <f t="shared" si="86"/>
        <v>7.8067390189359362E-3</v>
      </c>
      <c r="AF209" s="2">
        <f t="shared" si="87"/>
        <v>5.3191175942499024E-2</v>
      </c>
      <c r="AG209" s="2" t="s">
        <v>1169</v>
      </c>
    </row>
    <row r="210" spans="1:33" x14ac:dyDescent="0.3">
      <c r="A210" s="2">
        <v>303334</v>
      </c>
      <c r="B210" s="2" t="s">
        <v>441</v>
      </c>
      <c r="C210" s="2" t="s">
        <v>437</v>
      </c>
      <c r="D210" s="2" t="s">
        <v>1149</v>
      </c>
      <c r="E210" s="3">
        <v>4.8</v>
      </c>
      <c r="F210" s="4">
        <f t="shared" si="69"/>
        <v>0.35555555555555546</v>
      </c>
      <c r="G210" s="2">
        <v>62.522629200000004</v>
      </c>
      <c r="H210" s="2">
        <f t="shared" si="70"/>
        <v>0.20489705227675362</v>
      </c>
      <c r="I210" s="2">
        <v>2.2000000000000006</v>
      </c>
      <c r="J210" s="4">
        <f t="shared" si="71"/>
        <v>3.3383915022761772E-2</v>
      </c>
      <c r="K210" s="2">
        <v>0</v>
      </c>
      <c r="L210" s="4">
        <f t="shared" si="72"/>
        <v>0</v>
      </c>
      <c r="M210" s="2">
        <v>42892</v>
      </c>
      <c r="N210" s="2">
        <f t="shared" si="73"/>
        <v>0.20180929534948641</v>
      </c>
      <c r="O210" s="2">
        <v>0.28873875599999999</v>
      </c>
      <c r="P210" s="2">
        <f t="shared" si="68"/>
        <v>0.25609764744581764</v>
      </c>
      <c r="Q210" s="2">
        <v>0.2225</v>
      </c>
      <c r="R210" s="2">
        <f t="shared" si="74"/>
        <v>0.48494499131441809</v>
      </c>
      <c r="S210" s="2">
        <f t="shared" si="75"/>
        <v>1.0986973310380621E-2</v>
      </c>
      <c r="T210" s="5">
        <f t="shared" si="76"/>
        <v>1.7182267690546094E-2</v>
      </c>
      <c r="U210" s="2" t="str">
        <f t="shared" si="77"/>
        <v>No Impact</v>
      </c>
      <c r="V210" s="2">
        <f t="shared" si="78"/>
        <v>1.4379949001283237E-2</v>
      </c>
      <c r="W210" s="2">
        <f t="shared" si="79"/>
        <v>2.1042878072950678E-2</v>
      </c>
      <c r="X210" s="2" t="s">
        <v>1170</v>
      </c>
      <c r="Y210" s="2">
        <f t="shared" si="80"/>
        <v>7.5939976194780035E-3</v>
      </c>
      <c r="Z210" s="2">
        <f t="shared" si="81"/>
        <v>1.2752105534512075E-2</v>
      </c>
      <c r="AA210" s="2" t="str">
        <f t="shared" si="82"/>
        <v>No Impact</v>
      </c>
      <c r="AB210" s="2">
        <f t="shared" si="83"/>
        <v>9.4056511173499138E-3</v>
      </c>
      <c r="AC210" s="2">
        <f t="shared" si="84"/>
        <v>2.0333795865030618E-2</v>
      </c>
      <c r="AD210" s="2" t="str">
        <f t="shared" si="85"/>
        <v>No Impact</v>
      </c>
      <c r="AE210" s="2">
        <f t="shared" si="86"/>
        <v>5.9841990887353662E-3</v>
      </c>
      <c r="AF210" s="2">
        <f t="shared" si="87"/>
        <v>4.0773309551117874E-2</v>
      </c>
      <c r="AG210" s="2" t="s">
        <v>1169</v>
      </c>
    </row>
    <row r="211" spans="1:33" x14ac:dyDescent="0.3">
      <c r="A211" s="2">
        <v>303336</v>
      </c>
      <c r="B211" s="2" t="s">
        <v>442</v>
      </c>
      <c r="C211" s="2" t="s">
        <v>437</v>
      </c>
      <c r="D211" s="2" t="s">
        <v>443</v>
      </c>
      <c r="E211" s="3">
        <v>4.8</v>
      </c>
      <c r="F211" s="4">
        <f t="shared" si="69"/>
        <v>0.35555555555555546</v>
      </c>
      <c r="G211" s="2">
        <v>52.119892800000002</v>
      </c>
      <c r="H211" s="2">
        <f t="shared" si="70"/>
        <v>0.12091088453146989</v>
      </c>
      <c r="I211" s="2">
        <v>0.40000000000000019</v>
      </c>
      <c r="J211" s="4">
        <f t="shared" si="71"/>
        <v>6.0698027314112328E-3</v>
      </c>
      <c r="K211" s="2">
        <v>0</v>
      </c>
      <c r="L211" s="4">
        <f t="shared" si="72"/>
        <v>0</v>
      </c>
      <c r="M211" s="2">
        <v>53557</v>
      </c>
      <c r="N211" s="2">
        <f t="shared" si="73"/>
        <v>0.2522698991734208</v>
      </c>
      <c r="O211" s="2">
        <v>0.44531024299999999</v>
      </c>
      <c r="P211" s="2">
        <f t="shared" si="68"/>
        <v>0.43696748463916529</v>
      </c>
      <c r="Q211" s="2">
        <v>0.28610000000000002</v>
      </c>
      <c r="R211" s="2">
        <f t="shared" si="74"/>
        <v>0.66907932831499717</v>
      </c>
      <c r="S211" s="2">
        <f t="shared" si="75"/>
        <v>8.7388985882388606E-3</v>
      </c>
      <c r="T211" s="5">
        <f t="shared" si="76"/>
        <v>1.3666556805211141E-2</v>
      </c>
      <c r="U211" s="2" t="str">
        <f t="shared" si="77"/>
        <v>No Impact</v>
      </c>
      <c r="V211" s="2">
        <f t="shared" si="78"/>
        <v>1.0572819032884912E-2</v>
      </c>
      <c r="W211" s="2">
        <f t="shared" si="79"/>
        <v>1.5471719807665216E-2</v>
      </c>
      <c r="X211" s="2" t="s">
        <v>1170</v>
      </c>
      <c r="Y211" s="2">
        <f t="shared" si="80"/>
        <v>6.9049781435928086E-3</v>
      </c>
      <c r="Z211" s="2">
        <f t="shared" si="81"/>
        <v>1.1595080010921488E-2</v>
      </c>
      <c r="AA211" s="2" t="str">
        <f t="shared" si="82"/>
        <v>No Impact</v>
      </c>
      <c r="AB211" s="2">
        <f t="shared" si="83"/>
        <v>7.167212863224145E-3</v>
      </c>
      <c r="AC211" s="2">
        <f t="shared" si="84"/>
        <v>1.5494583146210016E-2</v>
      </c>
      <c r="AD211" s="2" t="str">
        <f t="shared" si="85"/>
        <v>No Impact</v>
      </c>
      <c r="AE211" s="2">
        <f t="shared" si="86"/>
        <v>3.9863793103902369E-3</v>
      </c>
      <c r="AF211" s="2">
        <f t="shared" si="87"/>
        <v>2.7161174820649538E-2</v>
      </c>
      <c r="AG211" s="2" t="s">
        <v>1170</v>
      </c>
    </row>
    <row r="212" spans="1:33" x14ac:dyDescent="0.3">
      <c r="A212" s="2">
        <v>303386</v>
      </c>
      <c r="B212" s="2" t="s">
        <v>444</v>
      </c>
      <c r="C212" s="2" t="s">
        <v>437</v>
      </c>
      <c r="D212" s="2" t="s">
        <v>1150</v>
      </c>
      <c r="E212" s="3">
        <v>4.7</v>
      </c>
      <c r="F212" s="4">
        <f t="shared" si="69"/>
        <v>0.33333333333333331</v>
      </c>
      <c r="G212" s="2">
        <v>52.119892800000002</v>
      </c>
      <c r="H212" s="2">
        <f t="shared" si="70"/>
        <v>0.12091088453146989</v>
      </c>
      <c r="I212" s="2">
        <v>0.30000000000000077</v>
      </c>
      <c r="J212" s="4">
        <f t="shared" si="71"/>
        <v>4.5523520485584341E-3</v>
      </c>
      <c r="K212" s="2">
        <v>0</v>
      </c>
      <c r="L212" s="4">
        <f t="shared" si="72"/>
        <v>0</v>
      </c>
      <c r="M212" s="2">
        <v>93377</v>
      </c>
      <c r="N212" s="2">
        <f t="shared" si="73"/>
        <v>0.44067507913301446</v>
      </c>
      <c r="O212" s="2">
        <v>0.27834631500000001</v>
      </c>
      <c r="P212" s="2">
        <f t="shared" si="68"/>
        <v>0.24409240212480038</v>
      </c>
      <c r="Q212" s="2">
        <v>0.28070000000000001</v>
      </c>
      <c r="R212" s="2">
        <f t="shared" si="74"/>
        <v>0.65344528083381592</v>
      </c>
      <c r="S212" s="2">
        <f t="shared" si="75"/>
        <v>6.5687989882974264E-3</v>
      </c>
      <c r="T212" s="5">
        <f t="shared" si="76"/>
        <v>1.0272789369177479E-2</v>
      </c>
      <c r="U212" s="2" t="str">
        <f t="shared" si="77"/>
        <v>No Impact</v>
      </c>
      <c r="V212" s="2">
        <f t="shared" si="78"/>
        <v>9.564725317158209E-3</v>
      </c>
      <c r="W212" s="2">
        <f t="shared" si="79"/>
        <v>1.3996527291735445E-2</v>
      </c>
      <c r="X212" s="2" t="s">
        <v>1170</v>
      </c>
      <c r="Y212" s="2">
        <f t="shared" si="80"/>
        <v>3.5728726594366437E-3</v>
      </c>
      <c r="Z212" s="2">
        <f t="shared" si="81"/>
        <v>5.9996923224793844E-3</v>
      </c>
      <c r="AA212" s="2" t="str">
        <f t="shared" si="82"/>
        <v>No Impact</v>
      </c>
      <c r="AB212" s="2">
        <f t="shared" si="83"/>
        <v>6.6771302952540459E-3</v>
      </c>
      <c r="AC212" s="2">
        <f t="shared" si="84"/>
        <v>1.4435088298933377E-2</v>
      </c>
      <c r="AD212" s="2" t="str">
        <f t="shared" si="85"/>
        <v>No Impact</v>
      </c>
      <c r="AE212" s="2">
        <f t="shared" si="86"/>
        <v>6.4503275326219427E-3</v>
      </c>
      <c r="AF212" s="2">
        <f t="shared" si="87"/>
        <v>4.3949273293524833E-2</v>
      </c>
      <c r="AG212" s="2" t="s">
        <v>1169</v>
      </c>
    </row>
    <row r="213" spans="1:33" x14ac:dyDescent="0.3">
      <c r="A213" s="2">
        <v>303532</v>
      </c>
      <c r="B213" s="2" t="s">
        <v>445</v>
      </c>
      <c r="C213" s="2" t="s">
        <v>446</v>
      </c>
      <c r="D213" s="2" t="s">
        <v>447</v>
      </c>
      <c r="E213" s="3">
        <v>6</v>
      </c>
      <c r="F213" s="4">
        <f t="shared" si="69"/>
        <v>0.62222222222222223</v>
      </c>
      <c r="G213" s="2">
        <v>109.03435200000001</v>
      </c>
      <c r="H213" s="2">
        <f t="shared" si="70"/>
        <v>0.58040799507089558</v>
      </c>
      <c r="I213" s="2">
        <v>32</v>
      </c>
      <c r="J213" s="4">
        <f t="shared" si="71"/>
        <v>0.4855842185128984</v>
      </c>
      <c r="K213" s="2">
        <v>0</v>
      </c>
      <c r="L213" s="4">
        <f t="shared" si="72"/>
        <v>0</v>
      </c>
      <c r="M213" s="2">
        <v>31655</v>
      </c>
      <c r="N213" s="2">
        <f t="shared" si="73"/>
        <v>0.14864231877475126</v>
      </c>
      <c r="O213" s="2">
        <v>0.27454942999999998</v>
      </c>
      <c r="P213" s="2">
        <f t="shared" si="68"/>
        <v>0.23970627802934569</v>
      </c>
      <c r="Q213" s="2">
        <v>0.246</v>
      </c>
      <c r="R213" s="2">
        <f t="shared" si="74"/>
        <v>0.55298204979733645</v>
      </c>
      <c r="S213" s="2">
        <f t="shared" si="75"/>
        <v>9.2011065950751217E-2</v>
      </c>
      <c r="T213" s="5">
        <f t="shared" si="76"/>
        <v>0.14389392974720255</v>
      </c>
      <c r="U213" s="2" t="str">
        <f t="shared" si="77"/>
        <v>No Impact</v>
      </c>
      <c r="V213" s="2">
        <f t="shared" si="78"/>
        <v>0.12837445958863447</v>
      </c>
      <c r="W213" s="2">
        <f t="shared" si="79"/>
        <v>0.18785658423152296</v>
      </c>
      <c r="X213" s="2" t="s">
        <v>1169</v>
      </c>
      <c r="Y213" s="2">
        <f t="shared" si="80"/>
        <v>5.564767231286797E-2</v>
      </c>
      <c r="Z213" s="2">
        <f t="shared" si="81"/>
        <v>9.3445511263198971E-2</v>
      </c>
      <c r="AA213" s="2" t="str">
        <f t="shared" si="82"/>
        <v>No Impact</v>
      </c>
      <c r="AB213" s="2">
        <f t="shared" si="83"/>
        <v>7.3702892142563189E-2</v>
      </c>
      <c r="AC213" s="2">
        <f t="shared" si="84"/>
        <v>0.15933607836301536</v>
      </c>
      <c r="AD213" s="2" t="str">
        <f t="shared" si="85"/>
        <v>Low</v>
      </c>
      <c r="AE213" s="2">
        <f t="shared" si="86"/>
        <v>3.4507227407659227E-2</v>
      </c>
      <c r="AF213" s="2">
        <f t="shared" si="87"/>
        <v>0.23511481553008334</v>
      </c>
      <c r="AG213" s="2" t="s">
        <v>1169</v>
      </c>
    </row>
    <row r="214" spans="1:33" x14ac:dyDescent="0.3">
      <c r="A214" s="2">
        <v>303543</v>
      </c>
      <c r="B214" s="2" t="s">
        <v>448</v>
      </c>
      <c r="C214" s="2" t="s">
        <v>446</v>
      </c>
      <c r="D214" s="2" t="s">
        <v>449</v>
      </c>
      <c r="E214" s="3">
        <v>6</v>
      </c>
      <c r="F214" s="4">
        <f t="shared" si="69"/>
        <v>0.62222222222222223</v>
      </c>
      <c r="G214" s="2">
        <v>109.03435200000001</v>
      </c>
      <c r="H214" s="2">
        <f t="shared" si="70"/>
        <v>0.58040799507089558</v>
      </c>
      <c r="I214" s="2">
        <v>32</v>
      </c>
      <c r="J214" s="4">
        <f t="shared" si="71"/>
        <v>0.4855842185128984</v>
      </c>
      <c r="K214" s="2">
        <v>0</v>
      </c>
      <c r="L214" s="4">
        <f t="shared" si="72"/>
        <v>0</v>
      </c>
      <c r="M214" s="2">
        <v>27057</v>
      </c>
      <c r="N214" s="2">
        <f t="shared" si="73"/>
        <v>0.1268872455086987</v>
      </c>
      <c r="O214" s="2">
        <v>0.21422947000000001</v>
      </c>
      <c r="P214" s="2">
        <f t="shared" si="68"/>
        <v>0.17002525529811727</v>
      </c>
      <c r="Q214" s="2">
        <v>0.28170000000000001</v>
      </c>
      <c r="R214" s="2">
        <f t="shared" si="74"/>
        <v>0.65634047481181246</v>
      </c>
      <c r="S214" s="2">
        <f t="shared" si="75"/>
        <v>9.592016057691985E-2</v>
      </c>
      <c r="T214" s="5">
        <f t="shared" si="76"/>
        <v>0.15000727037314585</v>
      </c>
      <c r="U214" s="2" t="str">
        <f t="shared" si="77"/>
        <v>Low</v>
      </c>
      <c r="V214" s="2">
        <f t="shared" si="78"/>
        <v>0.15236905753268815</v>
      </c>
      <c r="W214" s="2">
        <f t="shared" si="79"/>
        <v>0.22296904526327885</v>
      </c>
      <c r="X214" s="2" t="s">
        <v>1169</v>
      </c>
      <c r="Y214" s="2">
        <f t="shared" si="80"/>
        <v>3.9471263621151539E-2</v>
      </c>
      <c r="Z214" s="2">
        <f t="shared" si="81"/>
        <v>6.6281521867539162E-2</v>
      </c>
      <c r="AA214" s="2" t="str">
        <f t="shared" si="82"/>
        <v>No Impact</v>
      </c>
      <c r="AB214" s="2">
        <f t="shared" si="83"/>
        <v>7.5480429176202138E-2</v>
      </c>
      <c r="AC214" s="2">
        <f t="shared" si="84"/>
        <v>0.16317888251698554</v>
      </c>
      <c r="AD214" s="2" t="str">
        <f t="shared" si="85"/>
        <v>Low</v>
      </c>
      <c r="AE214" s="2">
        <f t="shared" si="86"/>
        <v>2.9456799866902372E-2</v>
      </c>
      <c r="AF214" s="2">
        <f t="shared" si="87"/>
        <v>0.20070375359325737</v>
      </c>
      <c r="AG214" s="2" t="s">
        <v>1169</v>
      </c>
    </row>
    <row r="215" spans="1:33" x14ac:dyDescent="0.3">
      <c r="A215" s="2">
        <v>303551</v>
      </c>
      <c r="B215" s="2" t="s">
        <v>450</v>
      </c>
      <c r="C215" s="2" t="s">
        <v>446</v>
      </c>
      <c r="D215" s="2" t="s">
        <v>1151</v>
      </c>
      <c r="E215" s="3">
        <v>5.9</v>
      </c>
      <c r="F215" s="4">
        <f t="shared" si="69"/>
        <v>0.60000000000000009</v>
      </c>
      <c r="G215" s="2">
        <v>108.4753656</v>
      </c>
      <c r="H215" s="2">
        <f t="shared" si="70"/>
        <v>0.57589503581166324</v>
      </c>
      <c r="I215" s="2">
        <v>29.3</v>
      </c>
      <c r="J215" s="4">
        <f t="shared" si="71"/>
        <v>0.4446130500758726</v>
      </c>
      <c r="K215" s="2">
        <v>0</v>
      </c>
      <c r="L215" s="4">
        <f t="shared" si="72"/>
        <v>0</v>
      </c>
      <c r="M215" s="2">
        <v>16777</v>
      </c>
      <c r="N215" s="2">
        <f t="shared" si="73"/>
        <v>7.8248238728572575E-2</v>
      </c>
      <c r="O215" s="2">
        <v>0.44293940199999998</v>
      </c>
      <c r="P215" s="2">
        <f t="shared" si="68"/>
        <v>0.43422871250448336</v>
      </c>
      <c r="Q215" s="2">
        <v>0.24249999999999999</v>
      </c>
      <c r="R215" s="2">
        <f t="shared" si="74"/>
        <v>0.54284887087434863</v>
      </c>
      <c r="S215" s="2">
        <f t="shared" si="75"/>
        <v>0.10469713530964288</v>
      </c>
      <c r="T215" s="5">
        <f t="shared" si="76"/>
        <v>0.16373337356011916</v>
      </c>
      <c r="U215" s="2" t="str">
        <f t="shared" si="77"/>
        <v>Low</v>
      </c>
      <c r="V215" s="2">
        <f t="shared" si="78"/>
        <v>0.11633614904986024</v>
      </c>
      <c r="W215" s="2">
        <f t="shared" si="79"/>
        <v>0.17024033949733527</v>
      </c>
      <c r="X215" s="2" t="s">
        <v>1169</v>
      </c>
      <c r="Y215" s="2">
        <f t="shared" si="80"/>
        <v>9.3058121569425487E-2</v>
      </c>
      <c r="Z215" s="2">
        <f t="shared" si="81"/>
        <v>0.1562664418083316</v>
      </c>
      <c r="AA215" s="2" t="str">
        <f t="shared" si="82"/>
        <v>Low</v>
      </c>
      <c r="AB215" s="2">
        <f t="shared" si="83"/>
        <v>7.4504281222457766E-2</v>
      </c>
      <c r="AC215" s="2">
        <f t="shared" si="84"/>
        <v>0.16106857744848349</v>
      </c>
      <c r="AD215" s="2" t="str">
        <f t="shared" si="85"/>
        <v>Low</v>
      </c>
      <c r="AE215" s="2">
        <f t="shared" si="86"/>
        <v>1.6769121669082978E-2</v>
      </c>
      <c r="AF215" s="2">
        <f t="shared" si="87"/>
        <v>0.1142563237912546</v>
      </c>
      <c r="AG215" s="2" t="s">
        <v>1169</v>
      </c>
    </row>
    <row r="216" spans="1:33" x14ac:dyDescent="0.3">
      <c r="A216" s="2">
        <v>303558</v>
      </c>
      <c r="B216" s="2" t="s">
        <v>451</v>
      </c>
      <c r="C216" s="2" t="s">
        <v>446</v>
      </c>
      <c r="D216" s="2" t="s">
        <v>452</v>
      </c>
      <c r="E216" s="3">
        <v>6</v>
      </c>
      <c r="F216" s="4">
        <f t="shared" si="69"/>
        <v>0.62222222222222223</v>
      </c>
      <c r="G216" s="2">
        <v>103.83122519999999</v>
      </c>
      <c r="H216" s="2">
        <f t="shared" si="70"/>
        <v>0.53840071319602434</v>
      </c>
      <c r="I216" s="2">
        <v>30.500000000000004</v>
      </c>
      <c r="J216" s="4">
        <f t="shared" si="71"/>
        <v>0.46282245827010632</v>
      </c>
      <c r="K216" s="2">
        <v>0</v>
      </c>
      <c r="L216" s="4">
        <f t="shared" si="72"/>
        <v>0</v>
      </c>
      <c r="M216" s="2">
        <v>27947</v>
      </c>
      <c r="N216" s="2">
        <f t="shared" si="73"/>
        <v>0.13109821010347616</v>
      </c>
      <c r="O216" s="2">
        <v>0.440725115</v>
      </c>
      <c r="P216" s="2">
        <f t="shared" si="68"/>
        <v>0.43167079000618491</v>
      </c>
      <c r="Q216" s="2">
        <v>0.30680000000000002</v>
      </c>
      <c r="R216" s="2">
        <f t="shared" si="74"/>
        <v>0.72900984365952526</v>
      </c>
      <c r="S216" s="2">
        <f t="shared" si="75"/>
        <v>0.12653981535512648</v>
      </c>
      <c r="T216" s="5">
        <f t="shared" si="76"/>
        <v>0.1978926242489194</v>
      </c>
      <c r="U216" s="2" t="str">
        <f t="shared" si="77"/>
        <v>Low</v>
      </c>
      <c r="V216" s="2">
        <f t="shared" si="78"/>
        <v>0.15895633705440923</v>
      </c>
      <c r="W216" s="2">
        <f t="shared" si="79"/>
        <v>0.23260853145308744</v>
      </c>
      <c r="X216" s="2" t="s">
        <v>1169</v>
      </c>
      <c r="Y216" s="2">
        <f t="shared" si="80"/>
        <v>9.4123293655843737E-2</v>
      </c>
      <c r="Z216" s="2">
        <f t="shared" si="81"/>
        <v>0.1580551159084633</v>
      </c>
      <c r="AA216" s="2" t="str">
        <f t="shared" si="82"/>
        <v>Low</v>
      </c>
      <c r="AB216" s="2">
        <f t="shared" si="83"/>
        <v>9.3876525628643917E-2</v>
      </c>
      <c r="AC216" s="2">
        <f t="shared" si="84"/>
        <v>0.20294885328353454</v>
      </c>
      <c r="AD216" s="2" t="str">
        <f t="shared" si="85"/>
        <v>Low</v>
      </c>
      <c r="AE216" s="2">
        <f t="shared" si="86"/>
        <v>2.8585198750993069E-2</v>
      </c>
      <c r="AF216" s="2">
        <f t="shared" si="87"/>
        <v>0.19476510389643054</v>
      </c>
      <c r="AG216" s="2" t="s">
        <v>1169</v>
      </c>
    </row>
    <row r="217" spans="1:33" x14ac:dyDescent="0.3">
      <c r="A217" s="2">
        <v>303591</v>
      </c>
      <c r="B217" s="2" t="s">
        <v>453</v>
      </c>
      <c r="C217" s="2" t="s">
        <v>446</v>
      </c>
      <c r="D217" s="2" t="s">
        <v>1152</v>
      </c>
      <c r="E217" s="3">
        <v>6</v>
      </c>
      <c r="F217" s="4">
        <f t="shared" si="69"/>
        <v>0.62222222222222223</v>
      </c>
      <c r="G217" s="2">
        <v>109.03435200000001</v>
      </c>
      <c r="H217" s="2">
        <f t="shared" si="70"/>
        <v>0.58040799507089558</v>
      </c>
      <c r="I217" s="2">
        <v>34.300000000000004</v>
      </c>
      <c r="J217" s="4">
        <f t="shared" si="71"/>
        <v>0.52048558421851299</v>
      </c>
      <c r="K217" s="2">
        <v>0</v>
      </c>
      <c r="L217" s="4">
        <f t="shared" si="72"/>
        <v>0</v>
      </c>
      <c r="M217" s="2">
        <v>5557</v>
      </c>
      <c r="N217" s="2">
        <f t="shared" si="73"/>
        <v>2.5161696309018561E-2</v>
      </c>
      <c r="O217" s="2">
        <v>0.73285283899999998</v>
      </c>
      <c r="P217" s="2">
        <f t="shared" si="68"/>
        <v>0.76913385490984265</v>
      </c>
      <c r="Q217" s="2">
        <v>0.25059999999999999</v>
      </c>
      <c r="R217" s="2">
        <f t="shared" si="74"/>
        <v>0.56629994209612045</v>
      </c>
      <c r="S217" s="2">
        <f t="shared" si="75"/>
        <v>0.1600852314262379</v>
      </c>
      <c r="T217" s="5">
        <f t="shared" si="76"/>
        <v>0.25035350700905196</v>
      </c>
      <c r="U217" s="2" t="str">
        <f t="shared" si="77"/>
        <v>Low</v>
      </c>
      <c r="V217" s="2">
        <f t="shared" si="78"/>
        <v>0.13577050017810469</v>
      </c>
      <c r="W217" s="2">
        <f t="shared" si="79"/>
        <v>0.19867956978821219</v>
      </c>
      <c r="X217" s="2" t="s">
        <v>1169</v>
      </c>
      <c r="Y217" s="2">
        <f t="shared" si="80"/>
        <v>0.18439996267437112</v>
      </c>
      <c r="Z217" s="2">
        <f t="shared" si="81"/>
        <v>0.30965084563001277</v>
      </c>
      <c r="AA217" s="2" t="str">
        <f t="shared" si="82"/>
        <v>Moderate</v>
      </c>
      <c r="AB217" s="2">
        <f t="shared" si="83"/>
        <v>0.10495104609116922</v>
      </c>
      <c r="AC217" s="2">
        <f t="shared" si="84"/>
        <v>0.22689052787666378</v>
      </c>
      <c r="AD217" s="2" t="str">
        <f t="shared" si="85"/>
        <v>Low</v>
      </c>
      <c r="AE217" s="2">
        <f t="shared" si="86"/>
        <v>6.032520647203549E-3</v>
      </c>
      <c r="AF217" s="2">
        <f t="shared" si="87"/>
        <v>4.110254823990489E-2</v>
      </c>
      <c r="AG217" s="2" t="s">
        <v>1169</v>
      </c>
    </row>
    <row r="218" spans="1:33" x14ac:dyDescent="0.3">
      <c r="A218" s="2">
        <v>304802</v>
      </c>
      <c r="B218" s="2" t="s">
        <v>454</v>
      </c>
      <c r="C218" s="2" t="s">
        <v>455</v>
      </c>
      <c r="D218" s="2" t="s">
        <v>456</v>
      </c>
      <c r="E218" s="3">
        <v>6.2</v>
      </c>
      <c r="F218" s="4">
        <f t="shared" si="69"/>
        <v>0.66666666666666663</v>
      </c>
      <c r="G218" s="2">
        <v>48.405499200000001</v>
      </c>
      <c r="H218" s="2">
        <f t="shared" si="70"/>
        <v>9.0922843696213479E-2</v>
      </c>
      <c r="I218" s="2">
        <v>0.10000000000000026</v>
      </c>
      <c r="J218" s="4">
        <f t="shared" si="71"/>
        <v>1.5174506828528115E-3</v>
      </c>
      <c r="K218" s="2">
        <v>0</v>
      </c>
      <c r="L218" s="4">
        <f t="shared" si="72"/>
        <v>0</v>
      </c>
      <c r="M218" s="2">
        <v>7200</v>
      </c>
      <c r="N218" s="2">
        <f t="shared" si="73"/>
        <v>3.2935420836231327E-2</v>
      </c>
      <c r="O218" s="2">
        <v>0.47760546500000001</v>
      </c>
      <c r="P218" s="2">
        <f t="shared" si="68"/>
        <v>0.47427460649886266</v>
      </c>
      <c r="Q218" s="2">
        <v>0.14580000000000001</v>
      </c>
      <c r="R218" s="2">
        <f t="shared" si="74"/>
        <v>0.26288361320208459</v>
      </c>
      <c r="S218" s="2">
        <f t="shared" si="75"/>
        <v>7.9500309971954636E-3</v>
      </c>
      <c r="T218" s="5">
        <f t="shared" si="76"/>
        <v>1.2432865438281414E-2</v>
      </c>
      <c r="U218" s="2" t="str">
        <f t="shared" si="77"/>
        <v>No Impact</v>
      </c>
      <c r="V218" s="2">
        <f t="shared" si="78"/>
        <v>5.6702423380944359E-3</v>
      </c>
      <c r="W218" s="2">
        <f t="shared" si="79"/>
        <v>8.2975411215962074E-3</v>
      </c>
      <c r="X218" s="2" t="s">
        <v>1170</v>
      </c>
      <c r="Y218" s="2">
        <f t="shared" si="80"/>
        <v>1.0229819656296494E-2</v>
      </c>
      <c r="Z218" s="2">
        <f t="shared" si="81"/>
        <v>1.7178269785273641E-2</v>
      </c>
      <c r="AA218" s="2" t="str">
        <f t="shared" si="82"/>
        <v>No Impact</v>
      </c>
      <c r="AB218" s="2">
        <f t="shared" si="83"/>
        <v>5.3021697816926384E-3</v>
      </c>
      <c r="AC218" s="2">
        <f t="shared" si="84"/>
        <v>1.1462602284258333E-2</v>
      </c>
      <c r="AD218" s="2" t="str">
        <f t="shared" si="85"/>
        <v>No Impact</v>
      </c>
      <c r="AE218" s="2">
        <f t="shared" si="86"/>
        <v>7.1039733277325338E-4</v>
      </c>
      <c r="AF218" s="2">
        <f t="shared" si="87"/>
        <v>4.8402885538979534E-3</v>
      </c>
      <c r="AG218" s="2" t="s">
        <v>1170</v>
      </c>
    </row>
    <row r="219" spans="1:33" x14ac:dyDescent="0.3">
      <c r="A219" s="2">
        <v>304806</v>
      </c>
      <c r="B219" s="2" t="s">
        <v>457</v>
      </c>
      <c r="C219" s="2" t="s">
        <v>455</v>
      </c>
      <c r="D219" s="2" t="s">
        <v>458</v>
      </c>
      <c r="E219" s="3">
        <v>6.3</v>
      </c>
      <c r="F219" s="4">
        <f t="shared" si="69"/>
        <v>0.68888888888888877</v>
      </c>
      <c r="G219" s="2">
        <v>46.027314000000004</v>
      </c>
      <c r="H219" s="2">
        <f t="shared" si="70"/>
        <v>7.1722639686761611E-2</v>
      </c>
      <c r="I219" s="2">
        <v>0.29999999999999993</v>
      </c>
      <c r="J219" s="4">
        <f t="shared" si="71"/>
        <v>4.5523520485584211E-3</v>
      </c>
      <c r="K219" s="2">
        <v>0</v>
      </c>
      <c r="L219" s="4">
        <f t="shared" si="72"/>
        <v>0</v>
      </c>
      <c r="M219" s="2">
        <v>27557</v>
      </c>
      <c r="N219" s="2">
        <f t="shared" si="73"/>
        <v>0.12925295595520292</v>
      </c>
      <c r="O219" s="2">
        <v>0.59530444000000005</v>
      </c>
      <c r="P219" s="2">
        <f t="shared" si="68"/>
        <v>0.61023930130995496</v>
      </c>
      <c r="Q219" s="2">
        <v>0.2384</v>
      </c>
      <c r="R219" s="2">
        <f t="shared" si="74"/>
        <v>0.53097857556456285</v>
      </c>
      <c r="S219" s="2">
        <f t="shared" si="75"/>
        <v>1.0493925197509064E-2</v>
      </c>
      <c r="T219" s="5">
        <f t="shared" si="76"/>
        <v>1.6411201408654472E-2</v>
      </c>
      <c r="U219" s="2" t="str">
        <f t="shared" si="77"/>
        <v>No Impact</v>
      </c>
      <c r="V219" s="2">
        <f t="shared" si="78"/>
        <v>9.7650931804796979E-3</v>
      </c>
      <c r="W219" s="2">
        <f t="shared" si="79"/>
        <v>1.4289735321696849E-2</v>
      </c>
      <c r="X219" s="2" t="s">
        <v>1170</v>
      </c>
      <c r="Y219" s="2">
        <f t="shared" si="80"/>
        <v>1.122275721453843E-2</v>
      </c>
      <c r="Z219" s="2">
        <f t="shared" si="81"/>
        <v>1.8845645147547226E-2</v>
      </c>
      <c r="AA219" s="2" t="str">
        <f t="shared" si="82"/>
        <v>No Impact</v>
      </c>
      <c r="AB219" s="2">
        <f t="shared" si="83"/>
        <v>7.6165802672889171E-3</v>
      </c>
      <c r="AC219" s="2">
        <f t="shared" si="84"/>
        <v>1.6466057098268136E-2</v>
      </c>
      <c r="AD219" s="2" t="str">
        <f t="shared" si="85"/>
        <v>No Impact</v>
      </c>
      <c r="AE219" s="2">
        <f t="shared" si="86"/>
        <v>2.3770585421699843E-3</v>
      </c>
      <c r="AF219" s="2">
        <f t="shared" si="87"/>
        <v>1.6196076087018667E-2</v>
      </c>
      <c r="AG219" s="2" t="s">
        <v>1170</v>
      </c>
    </row>
    <row r="220" spans="1:33" x14ac:dyDescent="0.3">
      <c r="A220" s="2">
        <v>304811</v>
      </c>
      <c r="B220" s="2" t="s">
        <v>459</v>
      </c>
      <c r="C220" s="2" t="s">
        <v>455</v>
      </c>
      <c r="D220" s="2" t="s">
        <v>460</v>
      </c>
      <c r="E220" s="3">
        <v>6.2</v>
      </c>
      <c r="F220" s="4">
        <f t="shared" si="69"/>
        <v>0.66666666666666663</v>
      </c>
      <c r="G220" s="2">
        <v>43.176142800000001</v>
      </c>
      <c r="H220" s="2">
        <f t="shared" si="70"/>
        <v>4.8703797964143113E-2</v>
      </c>
      <c r="I220" s="2">
        <v>0.3999999999999993</v>
      </c>
      <c r="J220" s="4">
        <f t="shared" si="71"/>
        <v>6.0698027314112189E-3</v>
      </c>
      <c r="K220" s="2">
        <v>0</v>
      </c>
      <c r="L220" s="4">
        <f t="shared" si="72"/>
        <v>0</v>
      </c>
      <c r="M220" s="2">
        <v>22574</v>
      </c>
      <c r="N220" s="2">
        <f t="shared" si="73"/>
        <v>0.10567628564534215</v>
      </c>
      <c r="O220" s="2">
        <v>0.378419901</v>
      </c>
      <c r="P220" s="2">
        <f t="shared" si="68"/>
        <v>0.35969642143883085</v>
      </c>
      <c r="Q220" s="2">
        <v>0.23219999999999999</v>
      </c>
      <c r="R220" s="2">
        <f t="shared" si="74"/>
        <v>0.51302837290098435</v>
      </c>
      <c r="S220" s="2">
        <f t="shared" si="75"/>
        <v>5.5769325969325266E-3</v>
      </c>
      <c r="T220" s="5">
        <f t="shared" si="76"/>
        <v>8.7216329798572561E-3</v>
      </c>
      <c r="U220" s="2" t="str">
        <f t="shared" si="77"/>
        <v>No Impact</v>
      </c>
      <c r="V220" s="2">
        <f t="shared" si="78"/>
        <v>6.5567626233126401E-3</v>
      </c>
      <c r="W220" s="2">
        <f t="shared" si="79"/>
        <v>9.5948293295988508E-3</v>
      </c>
      <c r="X220" s="2" t="s">
        <v>1170</v>
      </c>
      <c r="Y220" s="2">
        <f t="shared" si="80"/>
        <v>4.597102570552414E-3</v>
      </c>
      <c r="Z220" s="2">
        <f t="shared" si="81"/>
        <v>7.7196148945712648E-3</v>
      </c>
      <c r="AA220" s="2" t="str">
        <f t="shared" si="82"/>
        <v>No Impact</v>
      </c>
      <c r="AB220" s="2">
        <f t="shared" si="83"/>
        <v>4.1467064609475449E-3</v>
      </c>
      <c r="AC220" s="2">
        <f t="shared" si="84"/>
        <v>8.9646406864459585E-3</v>
      </c>
      <c r="AD220" s="2" t="str">
        <f t="shared" si="85"/>
        <v>No Impact</v>
      </c>
      <c r="AE220" s="2">
        <f t="shared" si="86"/>
        <v>1.3505964903497056E-3</v>
      </c>
      <c r="AF220" s="2">
        <f t="shared" si="87"/>
        <v>9.2022822040366738E-3</v>
      </c>
      <c r="AG220" s="2" t="s">
        <v>1170</v>
      </c>
    </row>
    <row r="221" spans="1:33" x14ac:dyDescent="0.3">
      <c r="A221" s="2">
        <v>304827</v>
      </c>
      <c r="B221" s="2" t="s">
        <v>461</v>
      </c>
      <c r="C221" s="2" t="s">
        <v>455</v>
      </c>
      <c r="D221" s="2" t="s">
        <v>462</v>
      </c>
      <c r="E221" s="3">
        <v>6.3</v>
      </c>
      <c r="F221" s="4">
        <f t="shared" si="69"/>
        <v>0.68888888888888877</v>
      </c>
      <c r="G221" s="2">
        <v>46.431612000000001</v>
      </c>
      <c r="H221" s="2">
        <f t="shared" si="70"/>
        <v>7.4986726975091095E-2</v>
      </c>
      <c r="I221" s="2">
        <v>0</v>
      </c>
      <c r="J221" s="4">
        <f t="shared" si="71"/>
        <v>0</v>
      </c>
      <c r="K221" s="2">
        <v>0</v>
      </c>
      <c r="L221" s="4">
        <f t="shared" si="72"/>
        <v>0</v>
      </c>
      <c r="M221" s="2">
        <v>17728</v>
      </c>
      <c r="N221" s="2">
        <f t="shared" si="73"/>
        <v>8.2747819997823546E-2</v>
      </c>
      <c r="O221" s="2">
        <v>0.68966272200000001</v>
      </c>
      <c r="P221" s="2">
        <f t="shared" si="68"/>
        <v>0.71924105782507308</v>
      </c>
      <c r="Q221" s="2">
        <v>0.2442</v>
      </c>
      <c r="R221" s="2">
        <f t="shared" si="74"/>
        <v>0.54777070063694266</v>
      </c>
      <c r="S221" s="2">
        <f t="shared" si="75"/>
        <v>1.145387059050367E-2</v>
      </c>
      <c r="T221" s="5">
        <f t="shared" si="76"/>
        <v>1.7912437303635304E-2</v>
      </c>
      <c r="U221" s="2" t="str">
        <f t="shared" si="77"/>
        <v>No Impact</v>
      </c>
      <c r="V221" s="2">
        <f t="shared" si="78"/>
        <v>9.9037671536387102E-3</v>
      </c>
      <c r="W221" s="2">
        <f t="shared" si="79"/>
        <v>1.4492663684573264E-2</v>
      </c>
      <c r="X221" s="2" t="s">
        <v>1170</v>
      </c>
      <c r="Y221" s="2">
        <f t="shared" si="80"/>
        <v>1.3003974027368628E-2</v>
      </c>
      <c r="Z221" s="2">
        <f t="shared" si="81"/>
        <v>2.1836726514072497E-2</v>
      </c>
      <c r="AA221" s="2" t="str">
        <f t="shared" si="82"/>
        <v>No Impact</v>
      </c>
      <c r="AB221" s="2">
        <f t="shared" si="83"/>
        <v>7.8911427705660488E-3</v>
      </c>
      <c r="AC221" s="2">
        <f t="shared" si="84"/>
        <v>1.7059625563031904E-2</v>
      </c>
      <c r="AD221" s="2" t="str">
        <f t="shared" si="85"/>
        <v>No Impact</v>
      </c>
      <c r="AE221" s="2">
        <f t="shared" si="86"/>
        <v>1.4960915959483204E-3</v>
      </c>
      <c r="AF221" s="2">
        <f t="shared" si="87"/>
        <v>1.0193612353782504E-2</v>
      </c>
      <c r="AG221" s="2" t="s">
        <v>1170</v>
      </c>
    </row>
    <row r="222" spans="1:33" x14ac:dyDescent="0.3">
      <c r="A222" s="2">
        <v>304833</v>
      </c>
      <c r="B222" s="2" t="s">
        <v>463</v>
      </c>
      <c r="C222" s="2" t="s">
        <v>455</v>
      </c>
      <c r="D222" s="2" t="s">
        <v>464</v>
      </c>
      <c r="E222" s="3">
        <v>5.8</v>
      </c>
      <c r="F222" s="4">
        <f t="shared" si="69"/>
        <v>0.57777777777777772</v>
      </c>
      <c r="G222" s="2">
        <v>48.405499200000001</v>
      </c>
      <c r="H222" s="2">
        <f t="shared" si="70"/>
        <v>9.0922843696213479E-2</v>
      </c>
      <c r="I222" s="2">
        <v>0</v>
      </c>
      <c r="J222" s="4">
        <f t="shared" si="71"/>
        <v>0</v>
      </c>
      <c r="K222" s="2">
        <v>0</v>
      </c>
      <c r="L222" s="4">
        <f t="shared" si="72"/>
        <v>0</v>
      </c>
      <c r="M222" s="2">
        <v>5943</v>
      </c>
      <c r="N222" s="2">
        <f t="shared" si="73"/>
        <v>2.6988024773719796E-2</v>
      </c>
      <c r="O222" s="2">
        <v>0.56994384200000003</v>
      </c>
      <c r="P222" s="2">
        <f t="shared" si="68"/>
        <v>0.5809429886844899</v>
      </c>
      <c r="Q222" s="2">
        <v>0.15090000000000001</v>
      </c>
      <c r="R222" s="2">
        <f t="shared" si="74"/>
        <v>0.27764910248986685</v>
      </c>
      <c r="S222" s="2">
        <f t="shared" si="75"/>
        <v>7.8933030443591665E-3</v>
      </c>
      <c r="T222" s="5">
        <f t="shared" si="76"/>
        <v>1.2344149934599521E-2</v>
      </c>
      <c r="U222" s="2" t="str">
        <f t="shared" si="77"/>
        <v>No Impact</v>
      </c>
      <c r="V222" s="2">
        <f t="shared" si="78"/>
        <v>5.105028402833979E-3</v>
      </c>
      <c r="W222" s="2">
        <f t="shared" si="79"/>
        <v>7.4704361072629125E-3</v>
      </c>
      <c r="X222" s="2" t="s">
        <v>1170</v>
      </c>
      <c r="Y222" s="2">
        <f t="shared" si="80"/>
        <v>1.0681577685884354E-2</v>
      </c>
      <c r="Z222" s="2">
        <f t="shared" si="81"/>
        <v>1.7936877617147521E-2</v>
      </c>
      <c r="AA222" s="2" t="str">
        <f t="shared" si="82"/>
        <v>No Impact</v>
      </c>
      <c r="AB222" s="2">
        <f t="shared" si="83"/>
        <v>5.1649097366854857E-3</v>
      </c>
      <c r="AC222" s="2">
        <f t="shared" si="84"/>
        <v>1.1165863897858695E-2</v>
      </c>
      <c r="AD222" s="2" t="str">
        <f t="shared" si="85"/>
        <v>No Impact</v>
      </c>
      <c r="AE222" s="2">
        <f t="shared" si="86"/>
        <v>4.9621854265224897E-4</v>
      </c>
      <c r="AF222" s="2">
        <f t="shared" si="87"/>
        <v>3.3809824747726503E-3</v>
      </c>
      <c r="AG222" s="2" t="s">
        <v>1170</v>
      </c>
    </row>
    <row r="223" spans="1:33" x14ac:dyDescent="0.3">
      <c r="A223" s="2">
        <v>304842</v>
      </c>
      <c r="B223" s="2" t="s">
        <v>465</v>
      </c>
      <c r="C223" s="2" t="s">
        <v>455</v>
      </c>
      <c r="D223" s="2" t="s">
        <v>466</v>
      </c>
      <c r="E223" s="3">
        <v>5.7</v>
      </c>
      <c r="F223" s="4">
        <f t="shared" si="69"/>
        <v>0.55555555555555558</v>
      </c>
      <c r="G223" s="2">
        <v>48.405499200000001</v>
      </c>
      <c r="H223" s="2">
        <f t="shared" si="70"/>
        <v>9.0922843696213479E-2</v>
      </c>
      <c r="I223" s="2">
        <v>0.10000000000000026</v>
      </c>
      <c r="J223" s="4">
        <f t="shared" si="71"/>
        <v>1.5174506828528115E-3</v>
      </c>
      <c r="K223" s="2">
        <v>0</v>
      </c>
      <c r="L223" s="4">
        <f t="shared" si="72"/>
        <v>0</v>
      </c>
      <c r="M223" s="2">
        <v>9163</v>
      </c>
      <c r="N223" s="2">
        <f t="shared" si="73"/>
        <v>4.222320004920678E-2</v>
      </c>
      <c r="O223" s="2">
        <v>0.22518833299999999</v>
      </c>
      <c r="P223" s="2">
        <f t="shared" si="68"/>
        <v>0.18268482572574052</v>
      </c>
      <c r="Q223" s="2">
        <v>0.24829999999999999</v>
      </c>
      <c r="R223" s="2">
        <f t="shared" si="74"/>
        <v>0.55964099594672845</v>
      </c>
      <c r="S223" s="2">
        <f t="shared" si="75"/>
        <v>6.671468366168015E-3</v>
      </c>
      <c r="T223" s="5">
        <f t="shared" si="76"/>
        <v>1.0433351580840225E-2</v>
      </c>
      <c r="U223" s="2" t="str">
        <f t="shared" si="77"/>
        <v>No Impact</v>
      </c>
      <c r="V223" s="2">
        <f t="shared" si="78"/>
        <v>1.0059268024537943E-2</v>
      </c>
      <c r="W223" s="2">
        <f t="shared" si="79"/>
        <v>1.4720215664505751E-2</v>
      </c>
      <c r="X223" s="2" t="s">
        <v>1170</v>
      </c>
      <c r="Y223" s="2">
        <f t="shared" si="80"/>
        <v>3.2836687077980866E-3</v>
      </c>
      <c r="Z223" s="2">
        <f t="shared" si="81"/>
        <v>5.5140509650428897E-3</v>
      </c>
      <c r="AA223" s="2" t="str">
        <f t="shared" si="82"/>
        <v>No Impact</v>
      </c>
      <c r="AB223" s="2">
        <f t="shared" si="83"/>
        <v>4.7714737640757185E-3</v>
      </c>
      <c r="AC223" s="2">
        <f t="shared" si="84"/>
        <v>1.0315306434776773E-2</v>
      </c>
      <c r="AD223" s="2" t="str">
        <f t="shared" si="85"/>
        <v>No Impact</v>
      </c>
      <c r="AE223" s="2">
        <f t="shared" si="86"/>
        <v>7.5894098042289353E-4</v>
      </c>
      <c r="AF223" s="2">
        <f t="shared" si="87"/>
        <v>5.1710404461745609E-3</v>
      </c>
      <c r="AG223" s="2" t="s">
        <v>1170</v>
      </c>
    </row>
    <row r="224" spans="1:33" x14ac:dyDescent="0.3">
      <c r="A224" s="2">
        <v>304845</v>
      </c>
      <c r="B224" s="2" t="s">
        <v>467</v>
      </c>
      <c r="C224" s="2" t="s">
        <v>455</v>
      </c>
      <c r="D224" s="2" t="s">
        <v>468</v>
      </c>
      <c r="E224" s="3">
        <v>6.3</v>
      </c>
      <c r="F224" s="4">
        <f t="shared" si="69"/>
        <v>0.68888888888888877</v>
      </c>
      <c r="G224" s="2">
        <v>48.405499200000001</v>
      </c>
      <c r="H224" s="2">
        <f t="shared" si="70"/>
        <v>9.0922843696213479E-2</v>
      </c>
      <c r="I224" s="2">
        <v>0.10000000000000026</v>
      </c>
      <c r="J224" s="4">
        <f t="shared" si="71"/>
        <v>1.5174506828528115E-3</v>
      </c>
      <c r="K224" s="2">
        <v>0</v>
      </c>
      <c r="L224" s="4">
        <f t="shared" si="72"/>
        <v>0</v>
      </c>
      <c r="M224" s="2">
        <v>30895</v>
      </c>
      <c r="N224" s="2">
        <f t="shared" si="73"/>
        <v>0.14504643889606489</v>
      </c>
      <c r="O224" s="2">
        <v>0.16234143100000001</v>
      </c>
      <c r="P224" s="2">
        <f t="shared" si="68"/>
        <v>0.1100847045245778</v>
      </c>
      <c r="Q224" s="2">
        <v>0.23419999999999999</v>
      </c>
      <c r="R224" s="2">
        <f t="shared" si="74"/>
        <v>0.51881876085697742</v>
      </c>
      <c r="S224" s="2">
        <f t="shared" si="75"/>
        <v>7.0086203668151313E-3</v>
      </c>
      <c r="T224" s="5">
        <f t="shared" si="76"/>
        <v>1.096061562015928E-2</v>
      </c>
      <c r="U224" s="2" t="str">
        <f t="shared" si="77"/>
        <v>No Impact</v>
      </c>
      <c r="V224" s="2">
        <f t="shared" si="78"/>
        <v>1.1563630777012553E-2</v>
      </c>
      <c r="W224" s="2">
        <f t="shared" si="79"/>
        <v>1.6921622774849938E-2</v>
      </c>
      <c r="X224" s="2" t="s">
        <v>1170</v>
      </c>
      <c r="Y224" s="2">
        <f t="shared" si="80"/>
        <v>2.4536099566177076E-3</v>
      </c>
      <c r="Z224" s="2">
        <f t="shared" si="81"/>
        <v>4.120187373652261E-3</v>
      </c>
      <c r="AA224" s="2" t="str">
        <f t="shared" si="82"/>
        <v>No Impact</v>
      </c>
      <c r="AB224" s="2">
        <f t="shared" si="83"/>
        <v>5.9148514167160831E-3</v>
      </c>
      <c r="AC224" s="2">
        <f t="shared" si="84"/>
        <v>1.2787140388147737E-2</v>
      </c>
      <c r="AD224" s="2" t="str">
        <f t="shared" si="85"/>
        <v>No Impact</v>
      </c>
      <c r="AE224" s="2">
        <f t="shared" si="86"/>
        <v>3.2328504507896493E-3</v>
      </c>
      <c r="AF224" s="2">
        <f t="shared" si="87"/>
        <v>2.2027009831715582E-2</v>
      </c>
      <c r="AG224" s="2" t="s">
        <v>1170</v>
      </c>
    </row>
    <row r="225" spans="1:33" x14ac:dyDescent="0.3">
      <c r="A225" s="2">
        <v>304849</v>
      </c>
      <c r="B225" s="2" t="s">
        <v>469</v>
      </c>
      <c r="C225" s="2" t="s">
        <v>455</v>
      </c>
      <c r="D225" s="2" t="s">
        <v>470</v>
      </c>
      <c r="E225" s="3">
        <v>6.3</v>
      </c>
      <c r="F225" s="4">
        <f t="shared" si="69"/>
        <v>0.68888888888888877</v>
      </c>
      <c r="G225" s="2">
        <v>46.027314000000004</v>
      </c>
      <c r="H225" s="2">
        <f t="shared" si="70"/>
        <v>7.1722639686761611E-2</v>
      </c>
      <c r="I225" s="2">
        <v>0.19999999999999965</v>
      </c>
      <c r="J225" s="4">
        <f t="shared" si="71"/>
        <v>3.0349013657056095E-3</v>
      </c>
      <c r="K225" s="2">
        <v>0</v>
      </c>
      <c r="L225" s="4">
        <f t="shared" si="72"/>
        <v>0</v>
      </c>
      <c r="M225" s="2">
        <v>49962</v>
      </c>
      <c r="N225" s="2">
        <f t="shared" si="73"/>
        <v>0.23526044106305566</v>
      </c>
      <c r="O225" s="2">
        <v>0.20890495000000001</v>
      </c>
      <c r="P225" s="2">
        <f t="shared" si="68"/>
        <v>0.16387442232089247</v>
      </c>
      <c r="Q225" s="2">
        <v>0.2334</v>
      </c>
      <c r="R225" s="2">
        <f t="shared" si="74"/>
        <v>0.51650260567458017</v>
      </c>
      <c r="S225" s="2">
        <f t="shared" si="75"/>
        <v>6.1318550286285529E-3</v>
      </c>
      <c r="T225" s="5">
        <f t="shared" si="76"/>
        <v>9.5894630454751717E-3</v>
      </c>
      <c r="U225" s="2" t="str">
        <f t="shared" si="77"/>
        <v>No Impact</v>
      </c>
      <c r="V225" s="2">
        <f t="shared" si="78"/>
        <v>9.3098942779899375E-3</v>
      </c>
      <c r="W225" s="2">
        <f t="shared" si="79"/>
        <v>1.3623620650276374E-2</v>
      </c>
      <c r="X225" s="2" t="s">
        <v>1170</v>
      </c>
      <c r="Y225" s="2">
        <f t="shared" si="80"/>
        <v>2.9538157792671693E-3</v>
      </c>
      <c r="Z225" s="2">
        <f t="shared" si="81"/>
        <v>4.9601504285579625E-3</v>
      </c>
      <c r="AA225" s="2" t="str">
        <f t="shared" si="82"/>
        <v>No Impact</v>
      </c>
      <c r="AB225" s="2">
        <f t="shared" si="83"/>
        <v>5.6287966461168754E-3</v>
      </c>
      <c r="AC225" s="2">
        <f t="shared" si="84"/>
        <v>1.2168727134348323E-2</v>
      </c>
      <c r="AD225" s="2" t="str">
        <f t="shared" si="85"/>
        <v>No Impact</v>
      </c>
      <c r="AE225" s="2">
        <f t="shared" si="86"/>
        <v>4.2405397572578491E-3</v>
      </c>
      <c r="AF225" s="2">
        <f t="shared" si="87"/>
        <v>2.8892895711301523E-2</v>
      </c>
      <c r="AG225" s="2" t="s">
        <v>1170</v>
      </c>
    </row>
    <row r="226" spans="1:33" x14ac:dyDescent="0.3">
      <c r="A226" s="2">
        <v>304854</v>
      </c>
      <c r="B226" s="2" t="s">
        <v>471</v>
      </c>
      <c r="C226" s="2" t="s">
        <v>455</v>
      </c>
      <c r="D226" s="2" t="s">
        <v>472</v>
      </c>
      <c r="E226" s="3">
        <v>6.3</v>
      </c>
      <c r="F226" s="4">
        <f t="shared" si="69"/>
        <v>0.68888888888888877</v>
      </c>
      <c r="G226" s="2">
        <v>46.027314000000004</v>
      </c>
      <c r="H226" s="2">
        <f t="shared" si="70"/>
        <v>7.1722639686761611E-2</v>
      </c>
      <c r="I226" s="2">
        <v>0.3999999999999993</v>
      </c>
      <c r="J226" s="4">
        <f t="shared" si="71"/>
        <v>6.0698027314112189E-3</v>
      </c>
      <c r="K226" s="2">
        <v>0</v>
      </c>
      <c r="L226" s="4">
        <f t="shared" si="72"/>
        <v>0</v>
      </c>
      <c r="M226" s="2">
        <v>20678</v>
      </c>
      <c r="N226" s="2">
        <f t="shared" si="73"/>
        <v>9.670551163219826E-2</v>
      </c>
      <c r="O226" s="2">
        <v>0.395461795</v>
      </c>
      <c r="P226" s="2">
        <f t="shared" si="68"/>
        <v>0.379383049268113</v>
      </c>
      <c r="Q226" s="2">
        <v>0.26650000000000001</v>
      </c>
      <c r="R226" s="2">
        <f t="shared" si="74"/>
        <v>0.61233352634626526</v>
      </c>
      <c r="S226" s="2">
        <f t="shared" si="75"/>
        <v>9.3006265827708344E-3</v>
      </c>
      <c r="T226" s="5">
        <f t="shared" si="76"/>
        <v>1.4545029929579513E-2</v>
      </c>
      <c r="U226" s="2" t="str">
        <f t="shared" si="77"/>
        <v>No Impact</v>
      </c>
      <c r="V226" s="2">
        <f t="shared" si="78"/>
        <v>1.1485308630905394E-2</v>
      </c>
      <c r="W226" s="2">
        <f t="shared" si="79"/>
        <v>1.680701017289998E-2</v>
      </c>
      <c r="X226" s="2" t="s">
        <v>1170</v>
      </c>
      <c r="Y226" s="2">
        <f t="shared" si="80"/>
        <v>7.1159445346362761E-3</v>
      </c>
      <c r="Z226" s="2">
        <f t="shared" si="81"/>
        <v>1.1949342129192519E-2</v>
      </c>
      <c r="AA226" s="2" t="str">
        <f t="shared" si="82"/>
        <v>No Impact</v>
      </c>
      <c r="AB226" s="2">
        <f t="shared" si="83"/>
        <v>6.7894954433583132E-3</v>
      </c>
      <c r="AC226" s="2">
        <f t="shared" si="84"/>
        <v>1.4678007152225891E-2</v>
      </c>
      <c r="AD226" s="2" t="str">
        <f t="shared" si="85"/>
        <v>No Impact</v>
      </c>
      <c r="AE226" s="2">
        <f t="shared" si="86"/>
        <v>1.813868749001551E-3</v>
      </c>
      <c r="AF226" s="2">
        <f t="shared" si="87"/>
        <v>1.2358785343114064E-2</v>
      </c>
      <c r="AG226" s="2" t="s">
        <v>1170</v>
      </c>
    </row>
    <row r="227" spans="1:33" x14ac:dyDescent="0.3">
      <c r="A227" s="2">
        <v>304859</v>
      </c>
      <c r="B227" s="2" t="s">
        <v>473</v>
      </c>
      <c r="C227" s="2" t="s">
        <v>455</v>
      </c>
      <c r="D227" s="2" t="s">
        <v>474</v>
      </c>
      <c r="E227" s="3">
        <v>5.9</v>
      </c>
      <c r="F227" s="4">
        <f t="shared" si="69"/>
        <v>0.60000000000000009</v>
      </c>
      <c r="G227" s="2">
        <v>48.405499200000001</v>
      </c>
      <c r="H227" s="2">
        <f t="shared" si="70"/>
        <v>9.0922843696213479E-2</v>
      </c>
      <c r="I227" s="2">
        <v>0.10000000000000026</v>
      </c>
      <c r="J227" s="4">
        <f t="shared" si="71"/>
        <v>1.5174506828528115E-3</v>
      </c>
      <c r="K227" s="2">
        <v>0</v>
      </c>
      <c r="L227" s="4">
        <f t="shared" si="72"/>
        <v>0</v>
      </c>
      <c r="M227" s="2">
        <v>2267</v>
      </c>
      <c r="N227" s="2">
        <f t="shared" si="73"/>
        <v>9.595321571020993E-3</v>
      </c>
      <c r="O227" s="2">
        <v>0.181822136</v>
      </c>
      <c r="P227" s="2">
        <f t="shared" si="68"/>
        <v>0.13258862276201289</v>
      </c>
      <c r="Q227" s="2">
        <v>0.1447</v>
      </c>
      <c r="R227" s="2">
        <f t="shared" si="74"/>
        <v>0.25969889982628835</v>
      </c>
      <c r="S227" s="2">
        <f t="shared" si="75"/>
        <v>3.8076332772762045E-3</v>
      </c>
      <c r="T227" s="5">
        <f t="shared" si="76"/>
        <v>5.9546676222265796E-3</v>
      </c>
      <c r="U227" s="2" t="str">
        <f t="shared" si="77"/>
        <v>No Impact</v>
      </c>
      <c r="V227" s="2">
        <f t="shared" si="78"/>
        <v>5.0413949774709664E-3</v>
      </c>
      <c r="W227" s="2">
        <f t="shared" si="79"/>
        <v>7.3773182240799758E-3</v>
      </c>
      <c r="X227" s="2" t="s">
        <v>1170</v>
      </c>
      <c r="Y227" s="2">
        <f t="shared" si="80"/>
        <v>2.5738715770814427E-3</v>
      </c>
      <c r="Z227" s="2">
        <f t="shared" si="81"/>
        <v>4.3221348791362578E-3</v>
      </c>
      <c r="AA227" s="2" t="str">
        <f t="shared" si="82"/>
        <v>No Impact</v>
      </c>
      <c r="AB227" s="2">
        <f t="shared" si="83"/>
        <v>2.6018438000147645E-3</v>
      </c>
      <c r="AC227" s="2">
        <f t="shared" si="84"/>
        <v>5.6248483004653592E-3</v>
      </c>
      <c r="AD227" s="2" t="str">
        <f t="shared" si="85"/>
        <v>No Impact</v>
      </c>
      <c r="AE227" s="2">
        <f t="shared" si="86"/>
        <v>1.8626881364426696E-4</v>
      </c>
      <c r="AF227" s="2">
        <f t="shared" si="87"/>
        <v>1.2691415987034257E-3</v>
      </c>
      <c r="AG227" s="2" t="s">
        <v>1170</v>
      </c>
    </row>
    <row r="228" spans="1:33" x14ac:dyDescent="0.3">
      <c r="A228" s="2">
        <v>304876</v>
      </c>
      <c r="B228" s="2" t="s">
        <v>475</v>
      </c>
      <c r="C228" s="2" t="s">
        <v>455</v>
      </c>
      <c r="D228" s="2" t="s">
        <v>476</v>
      </c>
      <c r="E228" s="3">
        <v>6.2</v>
      </c>
      <c r="F228" s="4">
        <f t="shared" si="69"/>
        <v>0.66666666666666663</v>
      </c>
      <c r="G228" s="2">
        <v>48.405499200000001</v>
      </c>
      <c r="H228" s="2">
        <f t="shared" si="70"/>
        <v>9.0922843696213479E-2</v>
      </c>
      <c r="I228" s="2">
        <v>0.10000000000000026</v>
      </c>
      <c r="J228" s="4">
        <f t="shared" si="71"/>
        <v>1.5174506828528115E-3</v>
      </c>
      <c r="K228" s="2">
        <v>0</v>
      </c>
      <c r="L228" s="4">
        <f t="shared" si="72"/>
        <v>0</v>
      </c>
      <c r="M228" s="2">
        <v>6692</v>
      </c>
      <c r="N228" s="2">
        <f t="shared" si="73"/>
        <v>3.0531859022583072E-2</v>
      </c>
      <c r="O228" s="2">
        <v>0.36259102199999999</v>
      </c>
      <c r="P228" s="2">
        <f t="shared" si="68"/>
        <v>0.34141105657106791</v>
      </c>
      <c r="Q228" s="2">
        <v>0.16830000000000001</v>
      </c>
      <c r="R228" s="2">
        <f t="shared" si="74"/>
        <v>0.32802547770700641</v>
      </c>
      <c r="S228" s="2">
        <f t="shared" si="75"/>
        <v>7.2196728679561608E-3</v>
      </c>
      <c r="T228" s="5">
        <f t="shared" si="76"/>
        <v>1.1290675634771149E-2</v>
      </c>
      <c r="U228" s="2" t="str">
        <f t="shared" si="77"/>
        <v>No Impact</v>
      </c>
      <c r="V228" s="2">
        <f t="shared" si="78"/>
        <v>7.0753134020495531E-3</v>
      </c>
      <c r="W228" s="2">
        <f t="shared" si="79"/>
        <v>1.0353649879700992E-2</v>
      </c>
      <c r="X228" s="2" t="s">
        <v>1170</v>
      </c>
      <c r="Y228" s="2">
        <f t="shared" si="80"/>
        <v>7.3640323338627659E-3</v>
      </c>
      <c r="Z228" s="2">
        <f t="shared" si="81"/>
        <v>1.2365939810161835E-2</v>
      </c>
      <c r="AA228" s="2" t="str">
        <f t="shared" si="82"/>
        <v>No Impact</v>
      </c>
      <c r="AB228" s="2">
        <f t="shared" si="83"/>
        <v>4.9160632704818383E-3</v>
      </c>
      <c r="AC228" s="2">
        <f t="shared" si="84"/>
        <v>1.0627890164579837E-2</v>
      </c>
      <c r="AD228" s="2" t="str">
        <f t="shared" si="85"/>
        <v>No Impact</v>
      </c>
      <c r="AE228" s="2">
        <f t="shared" si="86"/>
        <v>6.5855394173047039E-4</v>
      </c>
      <c r="AF228" s="2">
        <f t="shared" si="87"/>
        <v>4.487053877072762E-3</v>
      </c>
      <c r="AG228" s="2" t="s">
        <v>1170</v>
      </c>
    </row>
    <row r="229" spans="1:33" x14ac:dyDescent="0.3">
      <c r="A229" s="2">
        <v>304879</v>
      </c>
      <c r="B229" s="2" t="s">
        <v>477</v>
      </c>
      <c r="C229" s="2" t="s">
        <v>455</v>
      </c>
      <c r="D229" s="2" t="s">
        <v>478</v>
      </c>
      <c r="E229" s="3">
        <v>6.3</v>
      </c>
      <c r="F229" s="4">
        <f t="shared" si="69"/>
        <v>0.68888888888888877</v>
      </c>
      <c r="G229" s="2">
        <v>48.913642799999998</v>
      </c>
      <c r="H229" s="2">
        <f t="shared" si="70"/>
        <v>9.5025325196013088E-2</v>
      </c>
      <c r="I229" s="2">
        <v>0.10000000000000026</v>
      </c>
      <c r="J229" s="4">
        <f t="shared" si="71"/>
        <v>1.5174506828528115E-3</v>
      </c>
      <c r="K229" s="2">
        <v>0</v>
      </c>
      <c r="L229" s="4">
        <f t="shared" si="72"/>
        <v>0</v>
      </c>
      <c r="M229" s="2">
        <v>22012</v>
      </c>
      <c r="N229" s="2">
        <f t="shared" si="73"/>
        <v>0.10301722710347144</v>
      </c>
      <c r="O229" s="2">
        <v>0.24983388400000001</v>
      </c>
      <c r="P229" s="2">
        <f t="shared" si="68"/>
        <v>0.21115512311079601</v>
      </c>
      <c r="Q229" s="2">
        <v>0.25629999999999997</v>
      </c>
      <c r="R229" s="2">
        <f t="shared" si="74"/>
        <v>0.58280254777070062</v>
      </c>
      <c r="S229" s="2">
        <f t="shared" si="75"/>
        <v>9.2406891180869186E-3</v>
      </c>
      <c r="T229" s="5">
        <f t="shared" si="76"/>
        <v>1.4451295146232158E-2</v>
      </c>
      <c r="U229" s="2" t="str">
        <f t="shared" si="77"/>
        <v>No Impact</v>
      </c>
      <c r="V229" s="2">
        <f t="shared" si="78"/>
        <v>1.3566207264421948E-2</v>
      </c>
      <c r="W229" s="2">
        <f t="shared" si="79"/>
        <v>1.9852090250955259E-2</v>
      </c>
      <c r="X229" s="2" t="s">
        <v>1170</v>
      </c>
      <c r="Y229" s="2">
        <f t="shared" si="80"/>
        <v>4.9151709717518898E-3</v>
      </c>
      <c r="Z229" s="2">
        <f t="shared" si="81"/>
        <v>8.2537264419446556E-3</v>
      </c>
      <c r="AA229" s="2" t="str">
        <f t="shared" si="82"/>
        <v>No Impact</v>
      </c>
      <c r="AB229" s="2">
        <f t="shared" si="83"/>
        <v>7.062019357082101E-3</v>
      </c>
      <c r="AC229" s="2">
        <f t="shared" si="84"/>
        <v>1.526716845120038E-2</v>
      </c>
      <c r="AD229" s="2" t="str">
        <f t="shared" si="85"/>
        <v>No Impact</v>
      </c>
      <c r="AE229" s="2">
        <f t="shared" si="86"/>
        <v>2.3979872085967218E-3</v>
      </c>
      <c r="AF229" s="2">
        <f t="shared" si="87"/>
        <v>1.633867344751019E-2</v>
      </c>
      <c r="AG229" s="2" t="s">
        <v>1170</v>
      </c>
    </row>
    <row r="230" spans="1:33" x14ac:dyDescent="0.3">
      <c r="A230" s="2">
        <v>304892</v>
      </c>
      <c r="B230" s="2" t="s">
        <v>479</v>
      </c>
      <c r="C230" s="2" t="s">
        <v>455</v>
      </c>
      <c r="D230" s="2" t="s">
        <v>480</v>
      </c>
      <c r="E230" s="3">
        <v>6.3</v>
      </c>
      <c r="F230" s="4">
        <f t="shared" si="69"/>
        <v>0.68888888888888877</v>
      </c>
      <c r="G230" s="2">
        <v>48.405499200000001</v>
      </c>
      <c r="H230" s="2">
        <f t="shared" si="70"/>
        <v>9.0922843696213479E-2</v>
      </c>
      <c r="I230" s="2">
        <v>0</v>
      </c>
      <c r="J230" s="4">
        <f t="shared" si="71"/>
        <v>0</v>
      </c>
      <c r="K230" s="2">
        <v>0</v>
      </c>
      <c r="L230" s="4">
        <f t="shared" si="72"/>
        <v>0</v>
      </c>
      <c r="M230" s="2">
        <v>17053</v>
      </c>
      <c r="N230" s="2">
        <f t="shared" si="73"/>
        <v>7.9554110895042884E-2</v>
      </c>
      <c r="O230" s="2">
        <v>0.33179571400000002</v>
      </c>
      <c r="P230" s="2">
        <f t="shared" si="68"/>
        <v>0.30583662056741046</v>
      </c>
      <c r="Q230" s="2">
        <v>0.2074</v>
      </c>
      <c r="R230" s="2">
        <f t="shared" si="74"/>
        <v>0.44122756224667059</v>
      </c>
      <c r="S230" s="2">
        <f t="shared" si="75"/>
        <v>8.1887602131858767E-3</v>
      </c>
      <c r="T230" s="5">
        <f t="shared" si="76"/>
        <v>1.2806208412622304E-2</v>
      </c>
      <c r="U230" s="2" t="str">
        <f t="shared" si="77"/>
        <v>No Impact</v>
      </c>
      <c r="V230" s="2">
        <f t="shared" si="78"/>
        <v>9.6728147053616945E-3</v>
      </c>
      <c r="W230" s="2">
        <f t="shared" si="79"/>
        <v>1.4154699745388986E-2</v>
      </c>
      <c r="X230" s="2" t="s">
        <v>1170</v>
      </c>
      <c r="Y230" s="2">
        <f t="shared" si="80"/>
        <v>6.7047057210100555E-3</v>
      </c>
      <c r="Z230" s="2">
        <f t="shared" si="81"/>
        <v>1.1258775577288651E-2</v>
      </c>
      <c r="AA230" s="2" t="str">
        <f t="shared" si="82"/>
        <v>No Impact</v>
      </c>
      <c r="AB230" s="2">
        <f t="shared" si="83"/>
        <v>6.0073058309166958E-3</v>
      </c>
      <c r="AC230" s="2">
        <f t="shared" si="84"/>
        <v>1.29870148212647E-2</v>
      </c>
      <c r="AD230" s="2" t="str">
        <f t="shared" si="85"/>
        <v>No Impact</v>
      </c>
      <c r="AE230" s="2">
        <f t="shared" si="86"/>
        <v>1.74402562210596E-3</v>
      </c>
      <c r="AF230" s="2">
        <f t="shared" si="87"/>
        <v>1.1882909559119425E-2</v>
      </c>
      <c r="AG230" s="2" t="s">
        <v>1170</v>
      </c>
    </row>
    <row r="231" spans="1:33" x14ac:dyDescent="0.3">
      <c r="A231" s="2">
        <v>305440</v>
      </c>
      <c r="B231" s="2" t="s">
        <v>481</v>
      </c>
      <c r="C231" s="2" t="s">
        <v>482</v>
      </c>
      <c r="D231" s="2" t="s">
        <v>483</v>
      </c>
      <c r="E231" s="3">
        <v>6.4</v>
      </c>
      <c r="F231" s="4">
        <f t="shared" si="69"/>
        <v>0.71111111111111114</v>
      </c>
      <c r="G231" s="2">
        <v>100.846458</v>
      </c>
      <c r="H231" s="2">
        <f t="shared" si="70"/>
        <v>0.51430328833579042</v>
      </c>
      <c r="I231" s="2">
        <v>24.7</v>
      </c>
      <c r="J231" s="4">
        <f t="shared" si="71"/>
        <v>0.37481031866464343</v>
      </c>
      <c r="K231" s="2">
        <v>0</v>
      </c>
      <c r="L231" s="4">
        <f t="shared" si="72"/>
        <v>0</v>
      </c>
      <c r="M231" s="2">
        <v>17400</v>
      </c>
      <c r="N231" s="2">
        <f t="shared" si="73"/>
        <v>8.1195913944916792E-2</v>
      </c>
      <c r="O231" s="2">
        <v>0.31231489699999998</v>
      </c>
      <c r="P231" s="2">
        <f t="shared" si="68"/>
        <v>0.28333257294868014</v>
      </c>
      <c r="Q231" s="2">
        <v>0.2969</v>
      </c>
      <c r="R231" s="2">
        <f t="shared" si="74"/>
        <v>0.70034742327735966</v>
      </c>
      <c r="S231" s="2">
        <f t="shared" si="75"/>
        <v>0.10883951799201694</v>
      </c>
      <c r="T231" s="5">
        <f t="shared" si="76"/>
        <v>0.17021154785931275</v>
      </c>
      <c r="U231" s="2" t="str">
        <f t="shared" si="77"/>
        <v>Low</v>
      </c>
      <c r="V231" s="2">
        <f t="shared" si="78"/>
        <v>0.15498022988960533</v>
      </c>
      <c r="W231" s="2">
        <f t="shared" si="79"/>
        <v>0.22679010064596233</v>
      </c>
      <c r="X231" s="2" t="s">
        <v>1169</v>
      </c>
      <c r="Y231" s="2">
        <f t="shared" si="80"/>
        <v>6.2698806094428516E-2</v>
      </c>
      <c r="Z231" s="2">
        <f t="shared" si="81"/>
        <v>0.10528602091648012</v>
      </c>
      <c r="AA231" s="2" t="str">
        <f t="shared" si="82"/>
        <v>No Impact</v>
      </c>
      <c r="AB231" s="2">
        <f t="shared" si="83"/>
        <v>7.9341481763720342E-2</v>
      </c>
      <c r="AC231" s="2">
        <f t="shared" si="84"/>
        <v>0.17152597663723437</v>
      </c>
      <c r="AD231" s="2" t="str">
        <f t="shared" si="85"/>
        <v>Low</v>
      </c>
      <c r="AE231" s="2">
        <f t="shared" si="86"/>
        <v>1.7967884211514049E-2</v>
      </c>
      <c r="AF231" s="2">
        <f t="shared" si="87"/>
        <v>0.12242408617617158</v>
      </c>
      <c r="AG231" s="2" t="s">
        <v>1169</v>
      </c>
    </row>
    <row r="232" spans="1:33" x14ac:dyDescent="0.3">
      <c r="A232" s="2">
        <v>305454</v>
      </c>
      <c r="B232" s="2" t="s">
        <v>484</v>
      </c>
      <c r="C232" s="2" t="s">
        <v>482</v>
      </c>
      <c r="D232" s="2" t="s">
        <v>485</v>
      </c>
      <c r="E232" s="3">
        <v>6.4</v>
      </c>
      <c r="F232" s="4">
        <f t="shared" si="69"/>
        <v>0.71111111111111114</v>
      </c>
      <c r="G232" s="2">
        <v>100.846458</v>
      </c>
      <c r="H232" s="2">
        <f t="shared" si="70"/>
        <v>0.51430328833579042</v>
      </c>
      <c r="I232" s="2">
        <v>25.500000000000004</v>
      </c>
      <c r="J232" s="4">
        <f t="shared" si="71"/>
        <v>0.38694992412746598</v>
      </c>
      <c r="K232" s="2">
        <v>0</v>
      </c>
      <c r="L232" s="4">
        <f t="shared" si="72"/>
        <v>0</v>
      </c>
      <c r="M232" s="2">
        <v>27938</v>
      </c>
      <c r="N232" s="2">
        <f t="shared" si="73"/>
        <v>0.1310556273154391</v>
      </c>
      <c r="O232" s="2">
        <v>0.34327026199999999</v>
      </c>
      <c r="P232" s="2">
        <f t="shared" si="68"/>
        <v>0.31909190521976383</v>
      </c>
      <c r="Q232" s="2">
        <v>0.29870000000000002</v>
      </c>
      <c r="R232" s="2">
        <f t="shared" si="74"/>
        <v>0.70555877243775345</v>
      </c>
      <c r="S232" s="2">
        <f t="shared" si="75"/>
        <v>0.11492067563094101</v>
      </c>
      <c r="T232" s="5">
        <f t="shared" si="76"/>
        <v>0.17972172645614989</v>
      </c>
      <c r="U232" s="2" t="str">
        <f t="shared" si="77"/>
        <v>Low</v>
      </c>
      <c r="V232" s="2">
        <f t="shared" si="78"/>
        <v>0.15826523632668799</v>
      </c>
      <c r="W232" s="2">
        <f t="shared" si="79"/>
        <v>0.23159721017870266</v>
      </c>
      <c r="X232" s="2" t="s">
        <v>1169</v>
      </c>
      <c r="Y232" s="2">
        <f t="shared" si="80"/>
        <v>7.1576114935194016E-2</v>
      </c>
      <c r="Z232" s="2">
        <f t="shared" si="81"/>
        <v>0.12019310739087384</v>
      </c>
      <c r="AA232" s="2" t="str">
        <f t="shared" si="82"/>
        <v>No Impact</v>
      </c>
      <c r="AB232" s="2">
        <f t="shared" si="83"/>
        <v>8.715473555284016E-2</v>
      </c>
      <c r="AC232" s="2">
        <f t="shared" si="84"/>
        <v>0.18841721634062694</v>
      </c>
      <c r="AD232" s="2" t="str">
        <f t="shared" si="85"/>
        <v>Low</v>
      </c>
      <c r="AE232" s="2">
        <f t="shared" si="86"/>
        <v>2.9397338165546225E-2</v>
      </c>
      <c r="AF232" s="2">
        <f t="shared" si="87"/>
        <v>0.20029861159850088</v>
      </c>
      <c r="AG232" s="2" t="s">
        <v>1169</v>
      </c>
    </row>
    <row r="233" spans="1:33" x14ac:dyDescent="0.3">
      <c r="A233" s="2">
        <v>305480</v>
      </c>
      <c r="B233" s="2" t="s">
        <v>486</v>
      </c>
      <c r="C233" s="2" t="s">
        <v>482</v>
      </c>
      <c r="D233" s="2" t="s">
        <v>487</v>
      </c>
      <c r="E233" s="3">
        <v>6.4</v>
      </c>
      <c r="F233" s="4">
        <f t="shared" si="69"/>
        <v>0.71111111111111114</v>
      </c>
      <c r="G233" s="2">
        <v>100.846458</v>
      </c>
      <c r="H233" s="2">
        <f t="shared" si="70"/>
        <v>0.51430328833579042</v>
      </c>
      <c r="I233" s="2">
        <v>28.9</v>
      </c>
      <c r="J233" s="4">
        <f t="shared" si="71"/>
        <v>0.43854324734446132</v>
      </c>
      <c r="K233" s="2">
        <v>0</v>
      </c>
      <c r="L233" s="4">
        <f t="shared" si="72"/>
        <v>0</v>
      </c>
      <c r="M233" s="2">
        <v>12683</v>
      </c>
      <c r="N233" s="2">
        <f t="shared" si="73"/>
        <v>5.8877801592596271E-2</v>
      </c>
      <c r="O233" s="2">
        <v>0.55463829200000003</v>
      </c>
      <c r="P233" s="2">
        <f t="shared" si="68"/>
        <v>0.56326216831484843</v>
      </c>
      <c r="Q233" s="2">
        <v>0.29010000000000002</v>
      </c>
      <c r="R233" s="2">
        <f t="shared" si="74"/>
        <v>0.68066010422698331</v>
      </c>
      <c r="S233" s="2">
        <f t="shared" si="75"/>
        <v>0.14749989682362546</v>
      </c>
      <c r="T233" s="5">
        <f t="shared" si="76"/>
        <v>0.23067159989885</v>
      </c>
      <c r="U233" s="2" t="str">
        <f t="shared" si="77"/>
        <v>Low</v>
      </c>
      <c r="V233" s="2">
        <f t="shared" si="78"/>
        <v>0.16142052821401176</v>
      </c>
      <c r="W233" s="2">
        <f t="shared" si="79"/>
        <v>0.23621450210815245</v>
      </c>
      <c r="X233" s="2" t="s">
        <v>1169</v>
      </c>
      <c r="Y233" s="2">
        <f t="shared" si="80"/>
        <v>0.13357926543323917</v>
      </c>
      <c r="Z233" s="2">
        <f t="shared" si="81"/>
        <v>0.22431095917888322</v>
      </c>
      <c r="AA233" s="2" t="str">
        <f t="shared" si="82"/>
        <v>Low</v>
      </c>
      <c r="AB233" s="2">
        <f t="shared" si="83"/>
        <v>0.10145802931291632</v>
      </c>
      <c r="AC233" s="2">
        <f t="shared" si="84"/>
        <v>0.21933907936598021</v>
      </c>
      <c r="AD233" s="2" t="str">
        <f t="shared" si="85"/>
        <v>Low</v>
      </c>
      <c r="AE233" s="2">
        <f t="shared" si="86"/>
        <v>1.3963042308687005E-2</v>
      </c>
      <c r="AF233" s="2">
        <f t="shared" si="87"/>
        <v>9.5137116577410613E-2</v>
      </c>
      <c r="AG233" s="2" t="s">
        <v>1169</v>
      </c>
    </row>
    <row r="234" spans="1:33" x14ac:dyDescent="0.3">
      <c r="A234" s="2">
        <v>305487</v>
      </c>
      <c r="B234" s="2" t="s">
        <v>488</v>
      </c>
      <c r="C234" s="2" t="s">
        <v>482</v>
      </c>
      <c r="D234" s="2" t="s">
        <v>489</v>
      </c>
      <c r="E234" s="3">
        <v>6.4</v>
      </c>
      <c r="F234" s="4">
        <f t="shared" si="69"/>
        <v>0.71111111111111114</v>
      </c>
      <c r="G234" s="2">
        <v>94.803098399999996</v>
      </c>
      <c r="H234" s="2">
        <f t="shared" si="70"/>
        <v>0.46551241316657332</v>
      </c>
      <c r="I234" s="2">
        <v>19.400000000000002</v>
      </c>
      <c r="J234" s="4">
        <f t="shared" si="71"/>
        <v>0.29438543247344467</v>
      </c>
      <c r="K234" s="2">
        <v>0</v>
      </c>
      <c r="L234" s="4">
        <f t="shared" si="72"/>
        <v>0</v>
      </c>
      <c r="M234" s="2">
        <v>29231</v>
      </c>
      <c r="N234" s="2">
        <f t="shared" si="73"/>
        <v>0.13717335453009893</v>
      </c>
      <c r="O234" s="2">
        <v>0.50431269899999998</v>
      </c>
      <c r="P234" s="2">
        <f t="shared" si="68"/>
        <v>0.50512653974686605</v>
      </c>
      <c r="Q234" s="2">
        <v>0.31619999999999998</v>
      </c>
      <c r="R234" s="2">
        <f t="shared" si="74"/>
        <v>0.75622466705269253</v>
      </c>
      <c r="S234" s="2">
        <f t="shared" si="75"/>
        <v>0.11927975915550135</v>
      </c>
      <c r="T234" s="5">
        <f t="shared" si="76"/>
        <v>0.18653879407691851</v>
      </c>
      <c r="U234" s="2" t="str">
        <f t="shared" si="77"/>
        <v>Low</v>
      </c>
      <c r="V234" s="2">
        <f t="shared" si="78"/>
        <v>0.14302486994461391</v>
      </c>
      <c r="W234" s="2">
        <f t="shared" si="79"/>
        <v>0.20929524154609749</v>
      </c>
      <c r="X234" s="2" t="s">
        <v>1169</v>
      </c>
      <c r="Y234" s="2">
        <f t="shared" si="80"/>
        <v>9.5534648366388739E-2</v>
      </c>
      <c r="Z234" s="2">
        <f t="shared" si="81"/>
        <v>0.16042511193918865</v>
      </c>
      <c r="AA234" s="2" t="str">
        <f t="shared" si="82"/>
        <v>Low</v>
      </c>
      <c r="AB234" s="2">
        <f t="shared" si="83"/>
        <v>8.7799364044300721E-2</v>
      </c>
      <c r="AC234" s="2">
        <f t="shared" si="84"/>
        <v>0.18981081939804448</v>
      </c>
      <c r="AD234" s="2" t="str">
        <f t="shared" si="85"/>
        <v>Low</v>
      </c>
      <c r="AE234" s="2">
        <f t="shared" si="86"/>
        <v>2.5943614439340665E-2</v>
      </c>
      <c r="AF234" s="2">
        <f t="shared" si="87"/>
        <v>0.17676668284671551</v>
      </c>
      <c r="AG234" s="2" t="s">
        <v>1169</v>
      </c>
    </row>
    <row r="235" spans="1:33" x14ac:dyDescent="0.3">
      <c r="A235" s="2">
        <v>305610</v>
      </c>
      <c r="B235" s="2" t="s">
        <v>490</v>
      </c>
      <c r="C235" s="2" t="s">
        <v>641</v>
      </c>
      <c r="D235" s="2" t="s">
        <v>1153</v>
      </c>
      <c r="E235" s="3">
        <v>5.2</v>
      </c>
      <c r="F235" s="4">
        <f t="shared" si="69"/>
        <v>0.44444444444444442</v>
      </c>
      <c r="G235" s="2">
        <v>72.440207999999998</v>
      </c>
      <c r="H235" s="2">
        <f t="shared" si="70"/>
        <v>0.28496631527604188</v>
      </c>
      <c r="I235" s="2">
        <v>5.1000000000000005</v>
      </c>
      <c r="J235" s="4">
        <f t="shared" si="71"/>
        <v>7.7389984825493183E-2</v>
      </c>
      <c r="K235" s="2">
        <v>0</v>
      </c>
      <c r="L235" s="4">
        <f t="shared" si="72"/>
        <v>0</v>
      </c>
      <c r="M235" s="2">
        <v>16413</v>
      </c>
      <c r="N235" s="2">
        <f t="shared" si="73"/>
        <v>7.6526001523517531E-2</v>
      </c>
      <c r="O235" s="2">
        <v>0.41988146700000001</v>
      </c>
      <c r="P235" s="2">
        <f t="shared" si="68"/>
        <v>0.40759241346068115</v>
      </c>
      <c r="Q235" s="2">
        <v>0.23169999999999999</v>
      </c>
      <c r="R235" s="2">
        <f t="shared" si="74"/>
        <v>0.51158077591198614</v>
      </c>
      <c r="S235" s="2">
        <f t="shared" si="75"/>
        <v>2.5905304137502791E-2</v>
      </c>
      <c r="T235" s="5">
        <f t="shared" si="76"/>
        <v>4.0512692415029111E-2</v>
      </c>
      <c r="U235" s="2" t="str">
        <f t="shared" si="77"/>
        <v>No Impact</v>
      </c>
      <c r="V235" s="2">
        <f t="shared" si="78"/>
        <v>2.8836036003061741E-2</v>
      </c>
      <c r="W235" s="2">
        <f t="shared" si="79"/>
        <v>4.2197172581453189E-2</v>
      </c>
      <c r="X235" s="2" t="s">
        <v>1170</v>
      </c>
      <c r="Y235" s="2">
        <f t="shared" si="80"/>
        <v>2.2974572271943834E-2</v>
      </c>
      <c r="Z235" s="2">
        <f t="shared" si="81"/>
        <v>3.8579702668150306E-2</v>
      </c>
      <c r="AA235" s="2" t="str">
        <f t="shared" si="82"/>
        <v>No Impact</v>
      </c>
      <c r="AB235" s="2">
        <f t="shared" si="83"/>
        <v>1.8494711238107746E-2</v>
      </c>
      <c r="AC235" s="2">
        <f t="shared" si="84"/>
        <v>3.9983163122504738E-2</v>
      </c>
      <c r="AD235" s="2" t="str">
        <f t="shared" si="85"/>
        <v>No Impact</v>
      </c>
      <c r="AE235" s="2">
        <f t="shared" si="86"/>
        <v>4.3135055870085265E-3</v>
      </c>
      <c r="AF235" s="2">
        <f t="shared" si="87"/>
        <v>2.9390048015054047E-2</v>
      </c>
      <c r="AG235" s="2" t="s">
        <v>1170</v>
      </c>
    </row>
    <row r="236" spans="1:33" x14ac:dyDescent="0.3">
      <c r="A236" s="2">
        <v>305622</v>
      </c>
      <c r="B236" s="2" t="s">
        <v>492</v>
      </c>
      <c r="C236" s="2" t="s">
        <v>491</v>
      </c>
      <c r="D236" s="2" t="s">
        <v>493</v>
      </c>
      <c r="E236" s="3">
        <v>5.9</v>
      </c>
      <c r="F236" s="4">
        <f t="shared" si="69"/>
        <v>0.60000000000000009</v>
      </c>
      <c r="G236" s="2">
        <v>80.427707999999996</v>
      </c>
      <c r="H236" s="2">
        <f t="shared" si="70"/>
        <v>0.3494531473047236</v>
      </c>
      <c r="I236" s="2">
        <v>8.5</v>
      </c>
      <c r="J236" s="4">
        <f t="shared" si="71"/>
        <v>0.12898330804248864</v>
      </c>
      <c r="K236" s="2">
        <v>0</v>
      </c>
      <c r="L236" s="4">
        <f t="shared" si="72"/>
        <v>0</v>
      </c>
      <c r="M236" s="2">
        <v>22617</v>
      </c>
      <c r="N236" s="2">
        <f t="shared" si="73"/>
        <v>0.10587973674374151</v>
      </c>
      <c r="O236" s="2">
        <v>0.43239641699999998</v>
      </c>
      <c r="P236" s="2">
        <f t="shared" si="68"/>
        <v>0.42204956023979351</v>
      </c>
      <c r="Q236" s="2">
        <v>0.2913</v>
      </c>
      <c r="R236" s="2">
        <f t="shared" si="74"/>
        <v>0.68413433700057913</v>
      </c>
      <c r="S236" s="2">
        <f t="shared" si="75"/>
        <v>5.5570063789574117E-2</v>
      </c>
      <c r="T236" s="5">
        <f t="shared" si="76"/>
        <v>8.690470838871156E-2</v>
      </c>
      <c r="U236" s="2" t="str">
        <f t="shared" si="77"/>
        <v>No Impact</v>
      </c>
      <c r="V236" s="2">
        <f t="shared" si="78"/>
        <v>6.8736109506933166E-2</v>
      </c>
      <c r="W236" s="2">
        <f t="shared" si="79"/>
        <v>0.10058488882222782</v>
      </c>
      <c r="X236" s="2" t="s">
        <v>1169</v>
      </c>
      <c r="Y236" s="2">
        <f t="shared" si="80"/>
        <v>4.2404018072215069E-2</v>
      </c>
      <c r="Z236" s="2">
        <f t="shared" si="81"/>
        <v>7.120630537956546E-2</v>
      </c>
      <c r="AA236" s="2" t="str">
        <f t="shared" si="82"/>
        <v>No Impact</v>
      </c>
      <c r="AB236" s="2">
        <f t="shared" si="83"/>
        <v>4.0502113105737848E-2</v>
      </c>
      <c r="AC236" s="2">
        <f t="shared" si="84"/>
        <v>8.7560307066385956E-2</v>
      </c>
      <c r="AD236" s="2" t="str">
        <f t="shared" si="85"/>
        <v>No Impact</v>
      </c>
      <c r="AE236" s="2">
        <f t="shared" si="86"/>
        <v>1.0637912447562051E-2</v>
      </c>
      <c r="AF236" s="2">
        <f t="shared" si="87"/>
        <v>7.2481361460485755E-2</v>
      </c>
      <c r="AG236" s="2" t="s">
        <v>1169</v>
      </c>
    </row>
    <row r="237" spans="1:33" x14ac:dyDescent="0.3">
      <c r="A237" s="2">
        <v>305628</v>
      </c>
      <c r="B237" s="2" t="s">
        <v>494</v>
      </c>
      <c r="C237" s="2" t="s">
        <v>491</v>
      </c>
      <c r="D237" s="2" t="s">
        <v>495</v>
      </c>
      <c r="E237" s="3">
        <v>5.9</v>
      </c>
      <c r="F237" s="4">
        <f t="shared" si="69"/>
        <v>0.60000000000000009</v>
      </c>
      <c r="G237" s="2">
        <v>80.427707999999996</v>
      </c>
      <c r="H237" s="2">
        <f t="shared" si="70"/>
        <v>0.3494531473047236</v>
      </c>
      <c r="I237" s="2">
        <v>11.799999999999999</v>
      </c>
      <c r="J237" s="4">
        <f t="shared" si="71"/>
        <v>0.17905918057663125</v>
      </c>
      <c r="K237" s="2">
        <v>0</v>
      </c>
      <c r="L237" s="4">
        <f t="shared" si="72"/>
        <v>0</v>
      </c>
      <c r="M237" s="2">
        <v>12495</v>
      </c>
      <c r="N237" s="2">
        <f t="shared" si="73"/>
        <v>5.7988294464710696E-2</v>
      </c>
      <c r="O237" s="2">
        <v>0.55128769600000005</v>
      </c>
      <c r="P237" s="2">
        <f t="shared" si="68"/>
        <v>0.55939159286952056</v>
      </c>
      <c r="Q237" s="2">
        <v>0.25540000000000002</v>
      </c>
      <c r="R237" s="2">
        <f t="shared" si="74"/>
        <v>0.58019687319050384</v>
      </c>
      <c r="S237" s="2">
        <f t="shared" si="75"/>
        <v>6.3240088067533215E-2</v>
      </c>
      <c r="T237" s="5">
        <f t="shared" si="76"/>
        <v>9.8899677941642533E-2</v>
      </c>
      <c r="U237" s="2" t="str">
        <f t="shared" si="77"/>
        <v>No Impact</v>
      </c>
      <c r="V237" s="2">
        <f t="shared" si="78"/>
        <v>6.4394652016673257E-2</v>
      </c>
      <c r="W237" s="2">
        <f t="shared" si="79"/>
        <v>9.4231823132058468E-2</v>
      </c>
      <c r="X237" s="2" t="s">
        <v>1169</v>
      </c>
      <c r="Y237" s="2">
        <f t="shared" si="80"/>
        <v>6.2085524118393173E-2</v>
      </c>
      <c r="Z237" s="2">
        <f t="shared" si="81"/>
        <v>0.10425617644289778</v>
      </c>
      <c r="AA237" s="2" t="str">
        <f t="shared" si="82"/>
        <v>No Impact</v>
      </c>
      <c r="AB237" s="2">
        <f t="shared" si="83"/>
        <v>4.3416378785913499E-2</v>
      </c>
      <c r="AC237" s="2">
        <f t="shared" si="84"/>
        <v>9.3860570886276876E-2</v>
      </c>
      <c r="AD237" s="2" t="str">
        <f t="shared" si="85"/>
        <v>No Impact</v>
      </c>
      <c r="AE237" s="2">
        <f t="shared" si="86"/>
        <v>6.4359809844568841E-3</v>
      </c>
      <c r="AF237" s="2">
        <f t="shared" si="87"/>
        <v>4.3851523161777865E-2</v>
      </c>
      <c r="AG237" s="2" t="s">
        <v>1169</v>
      </c>
    </row>
    <row r="238" spans="1:33" x14ac:dyDescent="0.3">
      <c r="A238" s="2">
        <v>305646</v>
      </c>
      <c r="B238" s="2" t="s">
        <v>496</v>
      </c>
      <c r="C238" s="2" t="s">
        <v>491</v>
      </c>
      <c r="D238" s="2" t="s">
        <v>497</v>
      </c>
      <c r="E238" s="3">
        <v>5.9</v>
      </c>
      <c r="F238" s="4">
        <f t="shared" si="69"/>
        <v>0.60000000000000009</v>
      </c>
      <c r="G238" s="2">
        <v>73.501927199999997</v>
      </c>
      <c r="H238" s="2">
        <f t="shared" si="70"/>
        <v>0.29353807211009836</v>
      </c>
      <c r="I238" s="2">
        <v>7.9</v>
      </c>
      <c r="J238" s="4">
        <f t="shared" si="71"/>
        <v>0.11987860394537179</v>
      </c>
      <c r="K238" s="2">
        <v>0</v>
      </c>
      <c r="L238" s="4">
        <f t="shared" si="72"/>
        <v>0</v>
      </c>
      <c r="M238" s="2">
        <v>45062</v>
      </c>
      <c r="N238" s="2">
        <f t="shared" si="73"/>
        <v>0.21207647868731458</v>
      </c>
      <c r="O238" s="2">
        <v>0.41765406700000002</v>
      </c>
      <c r="P238" s="2">
        <f t="shared" si="68"/>
        <v>0.40501934295414338</v>
      </c>
      <c r="Q238" s="2">
        <v>0.2591</v>
      </c>
      <c r="R238" s="2">
        <f t="shared" si="74"/>
        <v>0.59090909090909094</v>
      </c>
      <c r="S238" s="2">
        <f t="shared" si="75"/>
        <v>4.3232009385271199E-2</v>
      </c>
      <c r="T238" s="5">
        <f t="shared" si="76"/>
        <v>6.7609516931847108E-2</v>
      </c>
      <c r="U238" s="2" t="str">
        <f t="shared" si="77"/>
        <v>No Impact</v>
      </c>
      <c r="V238" s="2">
        <f t="shared" si="78"/>
        <v>5.1301251165065162E-2</v>
      </c>
      <c r="W238" s="2">
        <f t="shared" si="79"/>
        <v>7.5071613477902491E-2</v>
      </c>
      <c r="X238" s="2" t="s">
        <v>1170</v>
      </c>
      <c r="Y238" s="2">
        <f t="shared" si="80"/>
        <v>3.5162767605477221E-2</v>
      </c>
      <c r="Z238" s="2">
        <f t="shared" si="81"/>
        <v>5.9046545160938574E-2</v>
      </c>
      <c r="AA238" s="2" t="str">
        <f t="shared" si="82"/>
        <v>No Impact</v>
      </c>
      <c r="AB238" s="2">
        <f t="shared" si="83"/>
        <v>3.4948450726717664E-2</v>
      </c>
      <c r="AC238" s="2">
        <f t="shared" si="84"/>
        <v>7.555401045710726E-2</v>
      </c>
      <c r="AD238" s="2" t="str">
        <f t="shared" si="85"/>
        <v>No Impact</v>
      </c>
      <c r="AE238" s="2">
        <f t="shared" si="86"/>
        <v>1.8411950106576255E-2</v>
      </c>
      <c r="AF238" s="2">
        <f t="shared" si="87"/>
        <v>0.12544972685623321</v>
      </c>
      <c r="AG238" s="2" t="s">
        <v>1169</v>
      </c>
    </row>
    <row r="239" spans="1:33" x14ac:dyDescent="0.3">
      <c r="A239" s="2">
        <v>305670</v>
      </c>
      <c r="B239" s="2" t="s">
        <v>498</v>
      </c>
      <c r="C239" s="2" t="s">
        <v>491</v>
      </c>
      <c r="D239" s="2" t="s">
        <v>499</v>
      </c>
      <c r="E239" s="3">
        <v>5.9</v>
      </c>
      <c r="F239" s="4">
        <f t="shared" si="69"/>
        <v>0.60000000000000009</v>
      </c>
      <c r="G239" s="2">
        <v>62.607005999999998</v>
      </c>
      <c r="H239" s="2">
        <f t="shared" si="70"/>
        <v>0.20557826573887786</v>
      </c>
      <c r="I239" s="2">
        <v>4.7999999999999989</v>
      </c>
      <c r="J239" s="4">
        <f t="shared" si="71"/>
        <v>7.2837632776934738E-2</v>
      </c>
      <c r="K239" s="2">
        <v>0</v>
      </c>
      <c r="L239" s="4">
        <f t="shared" si="72"/>
        <v>0</v>
      </c>
      <c r="M239" s="2">
        <v>15842</v>
      </c>
      <c r="N239" s="2">
        <f t="shared" si="73"/>
        <v>7.3824360193609745E-2</v>
      </c>
      <c r="O239" s="2">
        <v>0.54290676999999998</v>
      </c>
      <c r="P239" s="2">
        <f t="shared" si="68"/>
        <v>0.54971002983276207</v>
      </c>
      <c r="Q239" s="2">
        <v>0.26490000000000002</v>
      </c>
      <c r="R239" s="2">
        <f t="shared" si="74"/>
        <v>0.60770121598147087</v>
      </c>
      <c r="S239" s="2">
        <f t="shared" si="75"/>
        <v>3.3835377655345951E-2</v>
      </c>
      <c r="T239" s="5">
        <f t="shared" si="76"/>
        <v>5.2914346823396047E-2</v>
      </c>
      <c r="U239" s="2" t="str">
        <f t="shared" si="77"/>
        <v>No Impact</v>
      </c>
      <c r="V239" s="2">
        <f t="shared" si="78"/>
        <v>3.5530672816092956E-2</v>
      </c>
      <c r="W239" s="2">
        <f t="shared" si="79"/>
        <v>5.1993759911959828E-2</v>
      </c>
      <c r="X239" s="2" t="s">
        <v>1170</v>
      </c>
      <c r="Y239" s="2">
        <f t="shared" si="80"/>
        <v>3.2140082494598946E-2</v>
      </c>
      <c r="Z239" s="2">
        <f t="shared" si="81"/>
        <v>5.397074694990784E-2</v>
      </c>
      <c r="AA239" s="2" t="str">
        <f t="shared" si="82"/>
        <v>No Impact</v>
      </c>
      <c r="AB239" s="2">
        <f t="shared" si="83"/>
        <v>2.358847008882314E-2</v>
      </c>
      <c r="AC239" s="2">
        <f t="shared" si="84"/>
        <v>5.0995208047824342E-2</v>
      </c>
      <c r="AD239" s="2" t="str">
        <f t="shared" si="85"/>
        <v>No Impact</v>
      </c>
      <c r="AE239" s="2">
        <f t="shared" si="86"/>
        <v>4.3163138708883584E-3</v>
      </c>
      <c r="AF239" s="2">
        <f t="shared" si="87"/>
        <v>2.9409182242749667E-2</v>
      </c>
      <c r="AG239" s="2" t="s">
        <v>1170</v>
      </c>
    </row>
    <row r="240" spans="1:33" x14ac:dyDescent="0.3">
      <c r="A240" s="2">
        <v>305678</v>
      </c>
      <c r="B240" s="2" t="s">
        <v>500</v>
      </c>
      <c r="C240" s="2" t="s">
        <v>491</v>
      </c>
      <c r="D240" s="2" t="s">
        <v>501</v>
      </c>
      <c r="E240" s="3">
        <v>5.9</v>
      </c>
      <c r="F240" s="4">
        <f t="shared" si="69"/>
        <v>0.60000000000000009</v>
      </c>
      <c r="G240" s="2">
        <v>80.427707999999996</v>
      </c>
      <c r="H240" s="2">
        <f t="shared" si="70"/>
        <v>0.3494531473047236</v>
      </c>
      <c r="I240" s="2">
        <v>9.7000000000000011</v>
      </c>
      <c r="J240" s="4">
        <f t="shared" si="71"/>
        <v>0.14719271623672234</v>
      </c>
      <c r="K240" s="2">
        <v>0</v>
      </c>
      <c r="L240" s="4">
        <f t="shared" si="72"/>
        <v>0</v>
      </c>
      <c r="M240" s="2">
        <v>16520</v>
      </c>
      <c r="N240" s="2">
        <f t="shared" si="73"/>
        <v>7.7032263559069419E-2</v>
      </c>
      <c r="O240" s="2">
        <v>0.50426728499999995</v>
      </c>
      <c r="P240" s="2">
        <f t="shared" si="68"/>
        <v>0.50507407794207848</v>
      </c>
      <c r="Q240" s="2">
        <v>0.24349999999999999</v>
      </c>
      <c r="R240" s="2">
        <f t="shared" si="74"/>
        <v>0.54574406485234517</v>
      </c>
      <c r="S240" s="2">
        <f t="shared" si="75"/>
        <v>5.4797870815081272E-2</v>
      </c>
      <c r="T240" s="5">
        <f t="shared" si="76"/>
        <v>8.5697094060208617E-2</v>
      </c>
      <c r="U240" s="2" t="str">
        <f t="shared" si="77"/>
        <v>No Impact</v>
      </c>
      <c r="V240" s="2">
        <f t="shared" si="78"/>
        <v>5.6918721795854485E-2</v>
      </c>
      <c r="W240" s="2">
        <f t="shared" si="79"/>
        <v>8.3291931196103883E-2</v>
      </c>
      <c r="X240" s="2" t="s">
        <v>1170</v>
      </c>
      <c r="Y240" s="2">
        <f t="shared" si="80"/>
        <v>5.2677019834308059E-2</v>
      </c>
      <c r="Z240" s="2">
        <f t="shared" si="81"/>
        <v>8.8457088062249931E-2</v>
      </c>
      <c r="AA240" s="2" t="str">
        <f t="shared" si="82"/>
        <v>No Impact</v>
      </c>
      <c r="AB240" s="2">
        <f t="shared" si="83"/>
        <v>3.8536603575446193E-2</v>
      </c>
      <c r="AC240" s="2">
        <f t="shared" si="84"/>
        <v>8.3311130793411098E-2</v>
      </c>
      <c r="AD240" s="2" t="str">
        <f t="shared" si="85"/>
        <v>No Impact</v>
      </c>
      <c r="AE240" s="2">
        <f t="shared" si="86"/>
        <v>8.0341285617277214E-3</v>
      </c>
      <c r="AF240" s="2">
        <f t="shared" si="87"/>
        <v>5.4740493416643415E-2</v>
      </c>
      <c r="AG240" s="2" t="s">
        <v>1169</v>
      </c>
    </row>
    <row r="241" spans="1:33" x14ac:dyDescent="0.3">
      <c r="A241" s="2">
        <v>305682</v>
      </c>
      <c r="B241" s="2" t="s">
        <v>502</v>
      </c>
      <c r="C241" s="2" t="s">
        <v>491</v>
      </c>
      <c r="D241" s="2" t="s">
        <v>503</v>
      </c>
      <c r="E241" s="3">
        <v>5.9</v>
      </c>
      <c r="F241" s="4">
        <f t="shared" si="69"/>
        <v>0.60000000000000009</v>
      </c>
      <c r="G241" s="2">
        <v>73.501927199999997</v>
      </c>
      <c r="H241" s="2">
        <f t="shared" si="70"/>
        <v>0.29353807211009836</v>
      </c>
      <c r="I241" s="2">
        <v>9.3999999999999986</v>
      </c>
      <c r="J241" s="4">
        <f t="shared" si="71"/>
        <v>0.14264036418816389</v>
      </c>
      <c r="K241" s="2">
        <v>0</v>
      </c>
      <c r="L241" s="4">
        <f t="shared" si="72"/>
        <v>0</v>
      </c>
      <c r="M241" s="2">
        <v>54363</v>
      </c>
      <c r="N241" s="2">
        <f t="shared" si="73"/>
        <v>0.25608342441318555</v>
      </c>
      <c r="O241" s="2">
        <v>0.50357364800000004</v>
      </c>
      <c r="P241" s="2">
        <f t="shared" si="68"/>
        <v>0.50427279532245772</v>
      </c>
      <c r="Q241" s="2">
        <v>0.27460000000000001</v>
      </c>
      <c r="R241" s="2">
        <f t="shared" si="74"/>
        <v>0.63578459756803718</v>
      </c>
      <c r="S241" s="2">
        <f t="shared" si="75"/>
        <v>5.2213187346731214E-2</v>
      </c>
      <c r="T241" s="5">
        <f t="shared" si="76"/>
        <v>8.1654968718322146E-2</v>
      </c>
      <c r="U241" s="2" t="str">
        <f t="shared" si="77"/>
        <v>No Impact</v>
      </c>
      <c r="V241" s="2">
        <f t="shared" si="78"/>
        <v>5.8236261633846743E-2</v>
      </c>
      <c r="W241" s="2">
        <f t="shared" si="79"/>
        <v>8.5219951258250978E-2</v>
      </c>
      <c r="X241" s="2" t="s">
        <v>1170</v>
      </c>
      <c r="Y241" s="2">
        <f t="shared" si="80"/>
        <v>4.6190113059615685E-2</v>
      </c>
      <c r="Z241" s="2">
        <f t="shared" si="81"/>
        <v>7.756404806823626E-2</v>
      </c>
      <c r="AA241" s="2" t="str">
        <f t="shared" si="82"/>
        <v>No Impact</v>
      </c>
      <c r="AB241" s="2">
        <f t="shared" si="83"/>
        <v>4.2449533459980954E-2</v>
      </c>
      <c r="AC241" s="2">
        <f t="shared" si="84"/>
        <v>9.1770376890636676E-2</v>
      </c>
      <c r="AD241" s="2" t="str">
        <f t="shared" si="85"/>
        <v>No Impact</v>
      </c>
      <c r="AE241" s="2">
        <f t="shared" si="86"/>
        <v>2.3456594200713977E-2</v>
      </c>
      <c r="AF241" s="2">
        <f t="shared" si="87"/>
        <v>0.15982138330942178</v>
      </c>
      <c r="AG241" s="2" t="s">
        <v>1169</v>
      </c>
    </row>
    <row r="242" spans="1:33" x14ac:dyDescent="0.3">
      <c r="A242" s="2">
        <v>305924</v>
      </c>
      <c r="B242" s="2" t="s">
        <v>504</v>
      </c>
      <c r="C242" s="2" t="s">
        <v>505</v>
      </c>
      <c r="D242" s="2" t="s">
        <v>506</v>
      </c>
      <c r="E242" s="3">
        <v>5.2</v>
      </c>
      <c r="F242" s="4">
        <f t="shared" si="69"/>
        <v>0.44444444444444442</v>
      </c>
      <c r="G242" s="2">
        <v>63.447238800000001</v>
      </c>
      <c r="H242" s="2">
        <f t="shared" si="70"/>
        <v>0.21236185903322391</v>
      </c>
      <c r="I242" s="2">
        <v>7.2999999999999989</v>
      </c>
      <c r="J242" s="4">
        <f t="shared" si="71"/>
        <v>0.11077389984825493</v>
      </c>
      <c r="K242" s="2">
        <v>0</v>
      </c>
      <c r="L242" s="4">
        <f t="shared" si="72"/>
        <v>0</v>
      </c>
      <c r="M242" s="2">
        <v>21467</v>
      </c>
      <c r="N242" s="2">
        <f t="shared" si="73"/>
        <v>0.10043860271678187</v>
      </c>
      <c r="O242" s="2">
        <v>0.49729267300000002</v>
      </c>
      <c r="P242" s="2">
        <f t="shared" si="68"/>
        <v>0.49701707496473074</v>
      </c>
      <c r="Q242" s="2">
        <v>0.2291</v>
      </c>
      <c r="R242" s="2">
        <f t="shared" si="74"/>
        <v>0.50405327156919522</v>
      </c>
      <c r="S242" s="2">
        <f t="shared" si="75"/>
        <v>2.5159682031632175E-2</v>
      </c>
      <c r="T242" s="5">
        <f t="shared" si="76"/>
        <v>3.9346631639496581E-2</v>
      </c>
      <c r="U242" s="2" t="str">
        <f t="shared" si="77"/>
        <v>No Impact</v>
      </c>
      <c r="V242" s="2">
        <f t="shared" si="78"/>
        <v>2.5336521221698403E-2</v>
      </c>
      <c r="W242" s="2">
        <f t="shared" si="79"/>
        <v>3.7076162565899871E-2</v>
      </c>
      <c r="X242" s="2" t="s">
        <v>1170</v>
      </c>
      <c r="Y242" s="2">
        <f t="shared" si="80"/>
        <v>2.4982842841565947E-2</v>
      </c>
      <c r="Z242" s="2">
        <f t="shared" si="81"/>
        <v>4.1952060618327833E-2</v>
      </c>
      <c r="AA242" s="2" t="str">
        <f t="shared" si="82"/>
        <v>No Impact</v>
      </c>
      <c r="AB242" s="2">
        <f t="shared" si="83"/>
        <v>1.8129646281602282E-2</v>
      </c>
      <c r="AC242" s="2">
        <f t="shared" si="84"/>
        <v>3.9193940110674605E-2</v>
      </c>
      <c r="AD242" s="2" t="str">
        <f t="shared" si="85"/>
        <v>No Impact</v>
      </c>
      <c r="AE242" s="2">
        <f t="shared" si="86"/>
        <v>5.0486028615373034E-3</v>
      </c>
      <c r="AF242" s="2">
        <f t="shared" si="87"/>
        <v>3.4398629494397662E-2</v>
      </c>
      <c r="AG242" s="2" t="s">
        <v>1169</v>
      </c>
    </row>
    <row r="243" spans="1:33" x14ac:dyDescent="0.3">
      <c r="A243" s="2">
        <v>305944</v>
      </c>
      <c r="B243" s="2" t="s">
        <v>507</v>
      </c>
      <c r="C243" s="2" t="s">
        <v>505</v>
      </c>
      <c r="D243" s="2" t="s">
        <v>508</v>
      </c>
      <c r="E243" s="3">
        <v>5.2</v>
      </c>
      <c r="F243" s="4">
        <f t="shared" si="69"/>
        <v>0.44444444444444442</v>
      </c>
      <c r="G243" s="2">
        <v>77.133567600000006</v>
      </c>
      <c r="H243" s="2">
        <f t="shared" si="70"/>
        <v>0.32285800756717198</v>
      </c>
      <c r="I243" s="2">
        <v>12.400000000000002</v>
      </c>
      <c r="J243" s="4">
        <f t="shared" si="71"/>
        <v>0.18816388467374817</v>
      </c>
      <c r="K243" s="2">
        <v>0</v>
      </c>
      <c r="L243" s="4">
        <f t="shared" si="72"/>
        <v>0</v>
      </c>
      <c r="M243" s="2">
        <v>27501</v>
      </c>
      <c r="N243" s="2">
        <f t="shared" si="73"/>
        <v>0.12898799638519443</v>
      </c>
      <c r="O243" s="2">
        <v>0.60663896699999997</v>
      </c>
      <c r="P243" s="2">
        <f t="shared" si="68"/>
        <v>0.6233328350844255</v>
      </c>
      <c r="Q243" s="2">
        <v>0.24410000000000001</v>
      </c>
      <c r="R243" s="2">
        <f t="shared" si="74"/>
        <v>0.54748118123914313</v>
      </c>
      <c r="S243" s="2">
        <f t="shared" si="75"/>
        <v>4.6535346206522561E-2</v>
      </c>
      <c r="T243" s="5">
        <f t="shared" si="76"/>
        <v>7.2775527254376249E-2</v>
      </c>
      <c r="U243" s="2" t="str">
        <f t="shared" si="77"/>
        <v>No Impact</v>
      </c>
      <c r="V243" s="2">
        <f t="shared" si="78"/>
        <v>4.3520535209374385E-2</v>
      </c>
      <c r="W243" s="2">
        <f t="shared" si="79"/>
        <v>6.368571376704453E-2</v>
      </c>
      <c r="X243" s="2" t="s">
        <v>1170</v>
      </c>
      <c r="Y243" s="2">
        <f t="shared" si="80"/>
        <v>4.9550157203670737E-2</v>
      </c>
      <c r="Z243" s="2">
        <f t="shared" si="81"/>
        <v>8.320635132834113E-2</v>
      </c>
      <c r="AA243" s="2" t="str">
        <f t="shared" si="82"/>
        <v>No Impact</v>
      </c>
      <c r="AB243" s="2">
        <f t="shared" si="83"/>
        <v>3.3685977606012503E-2</v>
      </c>
      <c r="AC243" s="2">
        <f t="shared" si="84"/>
        <v>7.2824707572998179E-2</v>
      </c>
      <c r="AD243" s="2" t="str">
        <f t="shared" si="85"/>
        <v>No Impact</v>
      </c>
      <c r="AE243" s="2">
        <f t="shared" si="86"/>
        <v>1.0253551776086424E-2</v>
      </c>
      <c r="AF243" s="2">
        <f t="shared" si="87"/>
        <v>6.9862522012638581E-2</v>
      </c>
      <c r="AG243" s="2" t="s">
        <v>1169</v>
      </c>
    </row>
    <row r="244" spans="1:33" x14ac:dyDescent="0.3">
      <c r="A244" s="2">
        <v>305956</v>
      </c>
      <c r="B244" s="2" t="s">
        <v>509</v>
      </c>
      <c r="C244" s="2" t="s">
        <v>505</v>
      </c>
      <c r="D244" s="2" t="s">
        <v>510</v>
      </c>
      <c r="E244" s="3">
        <v>5.3</v>
      </c>
      <c r="F244" s="4">
        <f t="shared" si="69"/>
        <v>0.46666666666666656</v>
      </c>
      <c r="G244" s="2">
        <v>63.447238800000001</v>
      </c>
      <c r="H244" s="2">
        <f t="shared" si="70"/>
        <v>0.21236185903322391</v>
      </c>
      <c r="I244" s="2">
        <v>10.200000000000001</v>
      </c>
      <c r="J244" s="4">
        <f t="shared" si="71"/>
        <v>0.15477996965098637</v>
      </c>
      <c r="K244" s="2">
        <v>0</v>
      </c>
      <c r="L244" s="4">
        <f t="shared" si="72"/>
        <v>0</v>
      </c>
      <c r="M244" s="2">
        <v>39821</v>
      </c>
      <c r="N244" s="2">
        <f t="shared" si="73"/>
        <v>0.18727910178705767</v>
      </c>
      <c r="O244" s="2">
        <v>0.60621122999999999</v>
      </c>
      <c r="P244" s="2">
        <f t="shared" si="68"/>
        <v>0.62283871752168207</v>
      </c>
      <c r="Q244" s="2">
        <v>0.24479999999999999</v>
      </c>
      <c r="R244" s="2">
        <f t="shared" si="74"/>
        <v>0.54950781702374063</v>
      </c>
      <c r="S244" s="2">
        <f t="shared" si="75"/>
        <v>3.5150758461142587E-2</v>
      </c>
      <c r="T244" s="5">
        <f t="shared" si="76"/>
        <v>5.4971439753516316E-2</v>
      </c>
      <c r="U244" s="2" t="str">
        <f t="shared" si="77"/>
        <v>No Impact</v>
      </c>
      <c r="V244" s="2">
        <f t="shared" si="78"/>
        <v>3.2952059786999534E-2</v>
      </c>
      <c r="W244" s="2">
        <f t="shared" si="79"/>
        <v>4.8220350175687973E-2</v>
      </c>
      <c r="X244" s="2" t="s">
        <v>1170</v>
      </c>
      <c r="Y244" s="2">
        <f t="shared" si="80"/>
        <v>3.7349457135285632E-2</v>
      </c>
      <c r="Z244" s="2">
        <f t="shared" si="81"/>
        <v>6.2718510448866352E-2</v>
      </c>
      <c r="AA244" s="2" t="str">
        <f t="shared" si="82"/>
        <v>No Impact</v>
      </c>
      <c r="AB244" s="2">
        <f t="shared" si="83"/>
        <v>2.6668723269905825E-2</v>
      </c>
      <c r="AC244" s="2">
        <f t="shared" si="84"/>
        <v>5.7654315281901056E-2</v>
      </c>
      <c r="AD244" s="2" t="str">
        <f t="shared" si="85"/>
        <v>No Impact</v>
      </c>
      <c r="AE244" s="2">
        <f t="shared" si="86"/>
        <v>1.1230472011057991E-2</v>
      </c>
      <c r="AF244" s="2">
        <f t="shared" si="87"/>
        <v>7.651876298266691E-2</v>
      </c>
      <c r="AG244" s="2" t="s">
        <v>1169</v>
      </c>
    </row>
    <row r="245" spans="1:33" x14ac:dyDescent="0.3">
      <c r="A245" s="2">
        <v>305974</v>
      </c>
      <c r="B245" s="2" t="s">
        <v>511</v>
      </c>
      <c r="C245" s="2" t="s">
        <v>505</v>
      </c>
      <c r="D245" s="2" t="s">
        <v>512</v>
      </c>
      <c r="E245" s="3">
        <v>5.2</v>
      </c>
      <c r="F245" s="4">
        <f t="shared" si="69"/>
        <v>0.44444444444444442</v>
      </c>
      <c r="G245" s="2">
        <v>77.133567600000006</v>
      </c>
      <c r="H245" s="2">
        <f t="shared" si="70"/>
        <v>0.32285800756717198</v>
      </c>
      <c r="I245" s="2">
        <v>9.5</v>
      </c>
      <c r="J245" s="4">
        <f t="shared" si="71"/>
        <v>0.1441578148710167</v>
      </c>
      <c r="K245" s="2">
        <v>0</v>
      </c>
      <c r="L245" s="4">
        <f t="shared" si="72"/>
        <v>0</v>
      </c>
      <c r="M245" s="2">
        <v>40362</v>
      </c>
      <c r="N245" s="2">
        <f t="shared" si="73"/>
        <v>0.18983880049017521</v>
      </c>
      <c r="O245" s="2">
        <v>0.63376100300000004</v>
      </c>
      <c r="P245" s="2">
        <f t="shared" si="68"/>
        <v>0.65466394351077739</v>
      </c>
      <c r="Q245" s="2">
        <v>0.25390000000000001</v>
      </c>
      <c r="R245" s="2">
        <f t="shared" si="74"/>
        <v>0.57585408222350909</v>
      </c>
      <c r="S245" s="2">
        <f t="shared" si="75"/>
        <v>4.4696663496591085E-2</v>
      </c>
      <c r="T245" s="5">
        <f t="shared" si="76"/>
        <v>6.9900054853785989E-2</v>
      </c>
      <c r="U245" s="2" t="str">
        <f t="shared" si="77"/>
        <v>No Impact</v>
      </c>
      <c r="V245" s="2">
        <f t="shared" si="78"/>
        <v>4.1834017215511166E-2</v>
      </c>
      <c r="W245" s="2">
        <f t="shared" si="79"/>
        <v>6.1217750041336318E-2</v>
      </c>
      <c r="X245" s="2" t="s">
        <v>1170</v>
      </c>
      <c r="Y245" s="2">
        <f t="shared" si="80"/>
        <v>4.7559309777670991E-2</v>
      </c>
      <c r="Z245" s="2">
        <f t="shared" si="81"/>
        <v>7.9863250928316837E-2</v>
      </c>
      <c r="AA245" s="2" t="str">
        <f t="shared" si="82"/>
        <v>No Impact</v>
      </c>
      <c r="AB245" s="2">
        <f t="shared" si="83"/>
        <v>3.3736619462661675E-2</v>
      </c>
      <c r="AC245" s="2">
        <f t="shared" si="84"/>
        <v>7.2934188688391757E-2</v>
      </c>
      <c r="AD245" s="2" t="str">
        <f t="shared" si="85"/>
        <v>No Impact</v>
      </c>
      <c r="AE245" s="2">
        <f t="shared" si="86"/>
        <v>1.3791201439804193E-2</v>
      </c>
      <c r="AF245" s="2">
        <f t="shared" si="87"/>
        <v>9.3966279705742853E-2</v>
      </c>
      <c r="AG245" s="2" t="s">
        <v>1169</v>
      </c>
    </row>
    <row r="246" spans="1:33" x14ac:dyDescent="0.3">
      <c r="A246" s="2">
        <v>305984</v>
      </c>
      <c r="B246" s="2" t="s">
        <v>513</v>
      </c>
      <c r="C246" s="2" t="s">
        <v>505</v>
      </c>
      <c r="D246" s="2" t="s">
        <v>514</v>
      </c>
      <c r="E246" s="3">
        <v>5.2</v>
      </c>
      <c r="F246" s="4">
        <f t="shared" si="69"/>
        <v>0.44444444444444442</v>
      </c>
      <c r="G246" s="2">
        <v>77.133567600000006</v>
      </c>
      <c r="H246" s="2">
        <f t="shared" si="70"/>
        <v>0.32285800756717198</v>
      </c>
      <c r="I246" s="2">
        <v>11.200000000000001</v>
      </c>
      <c r="J246" s="4">
        <f t="shared" si="71"/>
        <v>0.16995447647951445</v>
      </c>
      <c r="K246" s="2">
        <v>0</v>
      </c>
      <c r="L246" s="4">
        <f t="shared" si="72"/>
        <v>0</v>
      </c>
      <c r="M246" s="2">
        <v>39492</v>
      </c>
      <c r="N246" s="2">
        <f t="shared" si="73"/>
        <v>0.18572246431325792</v>
      </c>
      <c r="O246" s="2">
        <v>0.41339350899999999</v>
      </c>
      <c r="P246" s="2">
        <f t="shared" si="68"/>
        <v>0.40009758838325643</v>
      </c>
      <c r="Q246" s="2">
        <v>0.254</v>
      </c>
      <c r="R246" s="2">
        <f t="shared" si="74"/>
        <v>0.57614360162130873</v>
      </c>
      <c r="S246" s="2">
        <f t="shared" si="75"/>
        <v>3.7419188012487781E-2</v>
      </c>
      <c r="T246" s="5">
        <f t="shared" si="76"/>
        <v>5.8518983074799601E-2</v>
      </c>
      <c r="U246" s="2" t="str">
        <f t="shared" si="77"/>
        <v>No Impact</v>
      </c>
      <c r="V246" s="2">
        <f t="shared" si="78"/>
        <v>4.4167007030626926E-2</v>
      </c>
      <c r="W246" s="2">
        <f t="shared" si="79"/>
        <v>6.4631727394144439E-2</v>
      </c>
      <c r="X246" s="2" t="s">
        <v>1170</v>
      </c>
      <c r="Y246" s="2">
        <f t="shared" si="80"/>
        <v>3.0671368994348639E-2</v>
      </c>
      <c r="Z246" s="2">
        <f t="shared" si="81"/>
        <v>5.1504432039943204E-2</v>
      </c>
      <c r="AA246" s="2" t="str">
        <f t="shared" si="82"/>
        <v>No Impact</v>
      </c>
      <c r="AB246" s="2">
        <f t="shared" si="83"/>
        <v>2.9642964381349508E-2</v>
      </c>
      <c r="AC246" s="2">
        <f t="shared" si="84"/>
        <v>6.4084238193024029E-2</v>
      </c>
      <c r="AD246" s="2" t="str">
        <f t="shared" si="85"/>
        <v>No Impact</v>
      </c>
      <c r="AE246" s="2">
        <f t="shared" si="86"/>
        <v>1.423743206378713E-2</v>
      </c>
      <c r="AF246" s="2">
        <f t="shared" si="87"/>
        <v>9.7006669755113642E-2</v>
      </c>
      <c r="AG246" s="2" t="s">
        <v>1169</v>
      </c>
    </row>
    <row r="247" spans="1:33" x14ac:dyDescent="0.3">
      <c r="A247" s="2">
        <v>305994</v>
      </c>
      <c r="B247" s="2" t="s">
        <v>515</v>
      </c>
      <c r="C247" s="2" t="s">
        <v>505</v>
      </c>
      <c r="D247" s="2" t="s">
        <v>516</v>
      </c>
      <c r="E247" s="3">
        <v>5.2</v>
      </c>
      <c r="F247" s="4">
        <f t="shared" si="69"/>
        <v>0.44444444444444442</v>
      </c>
      <c r="G247" s="2">
        <v>63.447238800000001</v>
      </c>
      <c r="H247" s="2">
        <f t="shared" si="70"/>
        <v>0.21236185903322391</v>
      </c>
      <c r="I247" s="2">
        <v>10.200000000000001</v>
      </c>
      <c r="J247" s="4">
        <f t="shared" si="71"/>
        <v>0.15477996965098637</v>
      </c>
      <c r="K247" s="2">
        <v>0</v>
      </c>
      <c r="L247" s="4">
        <f t="shared" si="72"/>
        <v>0</v>
      </c>
      <c r="M247" s="2">
        <v>26166</v>
      </c>
      <c r="N247" s="2">
        <f t="shared" si="73"/>
        <v>0.12267154949302825</v>
      </c>
      <c r="O247" s="2">
        <v>0.50702342499999997</v>
      </c>
      <c r="P247" s="2">
        <f t="shared" si="68"/>
        <v>0.50825794368055788</v>
      </c>
      <c r="Q247" s="2">
        <v>0.25559999999999999</v>
      </c>
      <c r="R247" s="2">
        <f t="shared" si="74"/>
        <v>0.58077591198610312</v>
      </c>
      <c r="S247" s="2">
        <f t="shared" si="75"/>
        <v>3.109787965421466E-2</v>
      </c>
      <c r="T247" s="5">
        <f t="shared" si="76"/>
        <v>4.8633238448141131E-2</v>
      </c>
      <c r="U247" s="2" t="str">
        <f t="shared" si="77"/>
        <v>No Impact</v>
      </c>
      <c r="V247" s="2">
        <f t="shared" si="78"/>
        <v>3.3168664726138331E-2</v>
      </c>
      <c r="W247" s="2">
        <f t="shared" si="79"/>
        <v>4.853731870762712E-2</v>
      </c>
      <c r="X247" s="2" t="s">
        <v>1170</v>
      </c>
      <c r="Y247" s="2">
        <f t="shared" si="80"/>
        <v>2.902709458229099E-2</v>
      </c>
      <c r="Z247" s="2">
        <f t="shared" si="81"/>
        <v>4.8743309126699753E-2</v>
      </c>
      <c r="AA247" s="2" t="str">
        <f t="shared" si="82"/>
        <v>No Impact</v>
      </c>
      <c r="AB247" s="2">
        <f t="shared" si="83"/>
        <v>2.2769222132626162E-2</v>
      </c>
      <c r="AC247" s="2">
        <f t="shared" si="84"/>
        <v>4.9224100391765918E-2</v>
      </c>
      <c r="AD247" s="2" t="str">
        <f t="shared" si="85"/>
        <v>No Impact</v>
      </c>
      <c r="AE247" s="2">
        <f t="shared" si="86"/>
        <v>7.0058888679727102E-3</v>
      </c>
      <c r="AF247" s="2">
        <f t="shared" si="87"/>
        <v>4.773458757953003E-2</v>
      </c>
      <c r="AG247" s="2" t="s">
        <v>1169</v>
      </c>
    </row>
    <row r="248" spans="1:33" x14ac:dyDescent="0.3">
      <c r="A248" s="2">
        <v>306702</v>
      </c>
      <c r="B248" s="2" t="s">
        <v>517</v>
      </c>
      <c r="C248" s="2" t="s">
        <v>518</v>
      </c>
      <c r="D248" s="2" t="s">
        <v>519</v>
      </c>
      <c r="E248" s="3">
        <v>4.4000000000000004</v>
      </c>
      <c r="F248" s="4">
        <f t="shared" si="69"/>
        <v>0.26666666666666672</v>
      </c>
      <c r="G248" s="2">
        <v>62.522629200000004</v>
      </c>
      <c r="H248" s="2">
        <f t="shared" si="70"/>
        <v>0.20489705227675362</v>
      </c>
      <c r="I248" s="2">
        <v>3.7</v>
      </c>
      <c r="J248" s="4">
        <f t="shared" si="71"/>
        <v>5.6145675265553877E-2</v>
      </c>
      <c r="K248" s="2">
        <v>0</v>
      </c>
      <c r="L248" s="4">
        <f t="shared" si="72"/>
        <v>0</v>
      </c>
      <c r="M248" s="2">
        <v>60872</v>
      </c>
      <c r="N248" s="2">
        <f t="shared" si="73"/>
        <v>0.28688024300577708</v>
      </c>
      <c r="O248" s="2">
        <v>0.63608018799999999</v>
      </c>
      <c r="P248" s="2">
        <f t="shared" si="68"/>
        <v>0.65734304314384939</v>
      </c>
      <c r="Q248" s="2">
        <v>0.25140000000000001</v>
      </c>
      <c r="R248" s="2">
        <f t="shared" si="74"/>
        <v>0.5686160972785177</v>
      </c>
      <c r="S248" s="2">
        <f t="shared" si="75"/>
        <v>1.4934626833992951E-2</v>
      </c>
      <c r="T248" s="5">
        <f t="shared" si="76"/>
        <v>2.3355909664186672E-2</v>
      </c>
      <c r="U248" s="2" t="str">
        <f t="shared" si="77"/>
        <v>No Impact</v>
      </c>
      <c r="V248" s="2">
        <f t="shared" si="78"/>
        <v>1.3853755716084324E-2</v>
      </c>
      <c r="W248" s="2">
        <f t="shared" si="79"/>
        <v>2.027287387180518E-2</v>
      </c>
      <c r="X248" s="2" t="s">
        <v>1170</v>
      </c>
      <c r="Y248" s="2">
        <f t="shared" si="80"/>
        <v>1.6015497951901578E-2</v>
      </c>
      <c r="Z248" s="2">
        <f t="shared" si="81"/>
        <v>2.6893782471905669E-2</v>
      </c>
      <c r="AA248" s="2" t="str">
        <f t="shared" si="82"/>
        <v>No Impact</v>
      </c>
      <c r="AB248" s="2">
        <f t="shared" si="83"/>
        <v>1.2099805255866103E-2</v>
      </c>
      <c r="AC248" s="2">
        <f t="shared" si="84"/>
        <v>2.6158207125667594E-2</v>
      </c>
      <c r="AD248" s="2" t="str">
        <f t="shared" si="85"/>
        <v>No Impact</v>
      </c>
      <c r="AE248" s="2">
        <f t="shared" si="86"/>
        <v>6.9895467704746174E-3</v>
      </c>
      <c r="AF248" s="2">
        <f t="shared" si="87"/>
        <v>4.7623240782719976E-2</v>
      </c>
      <c r="AG248" s="2" t="s">
        <v>1169</v>
      </c>
    </row>
    <row r="249" spans="1:33" x14ac:dyDescent="0.3">
      <c r="A249" s="2">
        <v>306704</v>
      </c>
      <c r="B249" s="2" t="s">
        <v>520</v>
      </c>
      <c r="C249" s="2" t="s">
        <v>518</v>
      </c>
      <c r="D249" s="2" t="s">
        <v>521</v>
      </c>
      <c r="E249" s="3">
        <v>4.3</v>
      </c>
      <c r="F249" s="4">
        <f t="shared" si="69"/>
        <v>0.24444444444444435</v>
      </c>
      <c r="G249" s="2">
        <v>63.447238800000001</v>
      </c>
      <c r="H249" s="2">
        <f t="shared" si="70"/>
        <v>0.21236185903322391</v>
      </c>
      <c r="I249" s="2">
        <v>5.6000000000000005</v>
      </c>
      <c r="J249" s="4">
        <f t="shared" si="71"/>
        <v>8.4977238239757225E-2</v>
      </c>
      <c r="K249" s="2">
        <v>0</v>
      </c>
      <c r="L249" s="4">
        <f t="shared" si="72"/>
        <v>0</v>
      </c>
      <c r="M249" s="2">
        <v>54149</v>
      </c>
      <c r="N249" s="2">
        <f t="shared" si="73"/>
        <v>0.25507090034208174</v>
      </c>
      <c r="O249" s="2">
        <v>0.37712475600000001</v>
      </c>
      <c r="P249" s="2">
        <f t="shared" si="68"/>
        <v>0.35820028271153004</v>
      </c>
      <c r="Q249" s="2">
        <v>0.25040000000000001</v>
      </c>
      <c r="R249" s="2">
        <f t="shared" si="74"/>
        <v>0.56572090330052116</v>
      </c>
      <c r="S249" s="2">
        <f t="shared" si="75"/>
        <v>1.1751820909897669E-2</v>
      </c>
      <c r="T249" s="5">
        <f t="shared" si="76"/>
        <v>1.8378394760860988E-2</v>
      </c>
      <c r="U249" s="2" t="str">
        <f t="shared" si="77"/>
        <v>No Impact</v>
      </c>
      <c r="V249" s="2">
        <f t="shared" si="78"/>
        <v>1.4391380652865656E-2</v>
      </c>
      <c r="W249" s="2">
        <f t="shared" si="79"/>
        <v>2.1059606564157413E-2</v>
      </c>
      <c r="X249" s="2" t="s">
        <v>1170</v>
      </c>
      <c r="Y249" s="2">
        <f t="shared" si="80"/>
        <v>9.1122611669296836E-3</v>
      </c>
      <c r="Z249" s="2">
        <f t="shared" si="81"/>
        <v>1.5301626611085358E-2</v>
      </c>
      <c r="AA249" s="2" t="str">
        <f t="shared" si="82"/>
        <v>No Impact</v>
      </c>
      <c r="AB249" s="2">
        <f t="shared" si="83"/>
        <v>1.0041724640962165E-2</v>
      </c>
      <c r="AC249" s="2">
        <f t="shared" si="84"/>
        <v>2.1708904193301931E-2</v>
      </c>
      <c r="AD249" s="2" t="str">
        <f t="shared" si="85"/>
        <v>No Impact</v>
      </c>
      <c r="AE249" s="2">
        <f t="shared" si="86"/>
        <v>6.4887516068008041E-3</v>
      </c>
      <c r="AF249" s="2">
        <f t="shared" si="87"/>
        <v>4.421107552427931E-2</v>
      </c>
      <c r="AG249" s="2" t="s">
        <v>1169</v>
      </c>
    </row>
    <row r="250" spans="1:33" x14ac:dyDescent="0.3">
      <c r="A250" s="2">
        <v>306706</v>
      </c>
      <c r="B250" s="2" t="s">
        <v>522</v>
      </c>
      <c r="C250" s="2" t="s">
        <v>518</v>
      </c>
      <c r="D250" s="2" t="s">
        <v>523</v>
      </c>
      <c r="E250" s="3">
        <v>4.4000000000000004</v>
      </c>
      <c r="F250" s="4">
        <f t="shared" si="69"/>
        <v>0.26666666666666672</v>
      </c>
      <c r="G250" s="2">
        <v>63.447238800000001</v>
      </c>
      <c r="H250" s="2">
        <f t="shared" si="70"/>
        <v>0.21236185903322391</v>
      </c>
      <c r="I250" s="2">
        <v>7.8000000000000016</v>
      </c>
      <c r="J250" s="4">
        <f t="shared" si="71"/>
        <v>0.118361153262519</v>
      </c>
      <c r="K250" s="2">
        <v>0</v>
      </c>
      <c r="L250" s="4">
        <f t="shared" si="72"/>
        <v>0</v>
      </c>
      <c r="M250" s="2">
        <v>35234</v>
      </c>
      <c r="N250" s="2">
        <f t="shared" si="73"/>
        <v>0.16557607415082823</v>
      </c>
      <c r="O250" s="2">
        <v>0.59599566900000001</v>
      </c>
      <c r="P250" s="2">
        <f t="shared" si="68"/>
        <v>0.61103780223173065</v>
      </c>
      <c r="Q250" s="2">
        <v>0.21640000000000001</v>
      </c>
      <c r="R250" s="2">
        <f t="shared" si="74"/>
        <v>0.46728430804863935</v>
      </c>
      <c r="S250" s="2">
        <f t="shared" si="75"/>
        <v>1.6642543705061224E-2</v>
      </c>
      <c r="T250" s="5">
        <f t="shared" si="76"/>
        <v>2.6026880462319824E-2</v>
      </c>
      <c r="U250" s="2" t="str">
        <f t="shared" si="77"/>
        <v>No Impact</v>
      </c>
      <c r="V250" s="2">
        <f t="shared" si="78"/>
        <v>1.4423889569261935E-2</v>
      </c>
      <c r="W250" s="2">
        <f t="shared" si="79"/>
        <v>2.110717844107781E-2</v>
      </c>
      <c r="X250" s="2" t="s">
        <v>1170</v>
      </c>
      <c r="Y250" s="2">
        <f t="shared" si="80"/>
        <v>1.8861197840860516E-2</v>
      </c>
      <c r="Z250" s="2">
        <f t="shared" si="81"/>
        <v>3.167238092846511E-2</v>
      </c>
      <c r="AA250" s="2" t="str">
        <f t="shared" si="82"/>
        <v>No Impact</v>
      </c>
      <c r="AB250" s="2">
        <f t="shared" si="83"/>
        <v>1.2495541423070494E-2</v>
      </c>
      <c r="AC250" s="2">
        <f t="shared" si="84"/>
        <v>2.7013737310653974E-2</v>
      </c>
      <c r="AD250" s="2" t="str">
        <f t="shared" si="85"/>
        <v>No Impact</v>
      </c>
      <c r="AE250" s="2">
        <f t="shared" si="86"/>
        <v>5.1109163473447529E-3</v>
      </c>
      <c r="AF250" s="2">
        <f t="shared" si="87"/>
        <v>3.4823202107768597E-2</v>
      </c>
      <c r="AG250" s="2" t="s">
        <v>1169</v>
      </c>
    </row>
    <row r="251" spans="1:33" x14ac:dyDescent="0.3">
      <c r="A251" s="2">
        <v>306758</v>
      </c>
      <c r="B251" s="2" t="s">
        <v>524</v>
      </c>
      <c r="C251" s="2" t="s">
        <v>518</v>
      </c>
      <c r="D251" s="2" t="s">
        <v>525</v>
      </c>
      <c r="E251" s="3">
        <v>4.4000000000000004</v>
      </c>
      <c r="F251" s="4">
        <f t="shared" si="69"/>
        <v>0.26666666666666672</v>
      </c>
      <c r="G251" s="2">
        <v>63.447238800000001</v>
      </c>
      <c r="H251" s="2">
        <f t="shared" si="70"/>
        <v>0.21236185903322391</v>
      </c>
      <c r="I251" s="2">
        <v>7.8000000000000016</v>
      </c>
      <c r="J251" s="4">
        <f t="shared" si="71"/>
        <v>0.118361153262519</v>
      </c>
      <c r="K251" s="2">
        <v>0</v>
      </c>
      <c r="L251" s="4">
        <f t="shared" si="72"/>
        <v>0</v>
      </c>
      <c r="M251" s="2">
        <v>84610</v>
      </c>
      <c r="N251" s="2">
        <f t="shared" si="73"/>
        <v>0.39919471216400998</v>
      </c>
      <c r="O251" s="2">
        <v>0.448007286</v>
      </c>
      <c r="P251" s="2">
        <f t="shared" si="68"/>
        <v>0.44008308210624092</v>
      </c>
      <c r="Q251" s="2">
        <v>0.1676</v>
      </c>
      <c r="R251" s="2">
        <f t="shared" si="74"/>
        <v>0.32599884192240886</v>
      </c>
      <c r="S251" s="2">
        <f t="shared" si="75"/>
        <v>1.1823509673736765E-2</v>
      </c>
      <c r="T251" s="5">
        <f t="shared" si="76"/>
        <v>1.8490507123009342E-2</v>
      </c>
      <c r="U251" s="2" t="str">
        <f t="shared" si="77"/>
        <v>No Impact</v>
      </c>
      <c r="V251" s="2">
        <f t="shared" si="78"/>
        <v>1.006276310718026E-2</v>
      </c>
      <c r="W251" s="2">
        <f t="shared" si="79"/>
        <v>1.4725330188756889E-2</v>
      </c>
      <c r="X251" s="2" t="s">
        <v>1170</v>
      </c>
      <c r="Y251" s="2">
        <f t="shared" si="80"/>
        <v>1.3584256240293271E-2</v>
      </c>
      <c r="Z251" s="2">
        <f t="shared" si="81"/>
        <v>2.2811156635045318E-2</v>
      </c>
      <c r="AA251" s="2" t="str">
        <f t="shared" si="82"/>
        <v>No Impact</v>
      </c>
      <c r="AB251" s="2">
        <f t="shared" si="83"/>
        <v>1.1909991297781908E-2</v>
      </c>
      <c r="AC251" s="2">
        <f t="shared" si="84"/>
        <v>2.5747854006264951E-2</v>
      </c>
      <c r="AD251" s="2" t="str">
        <f t="shared" si="85"/>
        <v>No Impact</v>
      </c>
      <c r="AE251" s="2">
        <f t="shared" si="86"/>
        <v>1.2322135251945254E-2</v>
      </c>
      <c r="AF251" s="2">
        <f t="shared" si="87"/>
        <v>8.3956804830248449E-2</v>
      </c>
      <c r="AG251" s="2" t="s">
        <v>1169</v>
      </c>
    </row>
    <row r="252" spans="1:33" x14ac:dyDescent="0.3">
      <c r="A252" s="2">
        <v>306768</v>
      </c>
      <c r="B252" s="2" t="s">
        <v>526</v>
      </c>
      <c r="C252" s="2" t="s">
        <v>518</v>
      </c>
      <c r="D252" s="2" t="s">
        <v>527</v>
      </c>
      <c r="E252" s="3">
        <v>4.4000000000000004</v>
      </c>
      <c r="F252" s="4">
        <f t="shared" si="69"/>
        <v>0.26666666666666672</v>
      </c>
      <c r="G252" s="2">
        <v>62.522629200000004</v>
      </c>
      <c r="H252" s="2">
        <f t="shared" si="70"/>
        <v>0.20489705227675362</v>
      </c>
      <c r="I252" s="2">
        <v>3.0999999999999996</v>
      </c>
      <c r="J252" s="4">
        <f t="shared" si="71"/>
        <v>4.7040971168437029E-2</v>
      </c>
      <c r="K252" s="2">
        <v>0</v>
      </c>
      <c r="L252" s="4">
        <f t="shared" si="72"/>
        <v>0</v>
      </c>
      <c r="M252" s="2">
        <v>72027</v>
      </c>
      <c r="N252" s="2">
        <f t="shared" si="73"/>
        <v>0.33965924306728551</v>
      </c>
      <c r="O252" s="2">
        <v>0.36961733400000002</v>
      </c>
      <c r="P252" s="2">
        <f t="shared" si="68"/>
        <v>0.34952778287839148</v>
      </c>
      <c r="Q252" s="2">
        <v>0.2056</v>
      </c>
      <c r="R252" s="2">
        <f t="shared" si="74"/>
        <v>0.43601621308627686</v>
      </c>
      <c r="S252" s="2">
        <f t="shared" si="75"/>
        <v>9.2357254113868519E-3</v>
      </c>
      <c r="T252" s="5">
        <f t="shared" si="76"/>
        <v>1.4443532522728075E-2</v>
      </c>
      <c r="U252" s="2" t="str">
        <f t="shared" si="77"/>
        <v>No Impact</v>
      </c>
      <c r="V252" s="2">
        <f t="shared" si="78"/>
        <v>1.0252579205401275E-2</v>
      </c>
      <c r="W252" s="2">
        <f t="shared" si="79"/>
        <v>1.5003097308152904E-2</v>
      </c>
      <c r="X252" s="2" t="s">
        <v>1170</v>
      </c>
      <c r="Y252" s="2">
        <f t="shared" si="80"/>
        <v>8.2188716173724266E-3</v>
      </c>
      <c r="Z252" s="2">
        <f t="shared" si="81"/>
        <v>1.3801415735305881E-2</v>
      </c>
      <c r="AA252" s="2" t="str">
        <f t="shared" si="82"/>
        <v>No Impact</v>
      </c>
      <c r="AB252" s="2">
        <f t="shared" si="83"/>
        <v>8.849451432982049E-3</v>
      </c>
      <c r="AC252" s="2">
        <f t="shared" si="84"/>
        <v>1.9131364401113297E-2</v>
      </c>
      <c r="AD252" s="2" t="str">
        <f t="shared" si="85"/>
        <v>No Impact</v>
      </c>
      <c r="AE252" s="2">
        <f t="shared" si="86"/>
        <v>7.9868206453710729E-3</v>
      </c>
      <c r="AF252" s="2">
        <f t="shared" si="87"/>
        <v>5.4418161173142528E-2</v>
      </c>
      <c r="AG252" s="2" t="s">
        <v>1169</v>
      </c>
    </row>
    <row r="253" spans="1:33" x14ac:dyDescent="0.3">
      <c r="A253" s="2">
        <v>306807</v>
      </c>
      <c r="B253" s="2" t="s">
        <v>528</v>
      </c>
      <c r="C253" s="2" t="s">
        <v>529</v>
      </c>
      <c r="D253" s="2" t="s">
        <v>530</v>
      </c>
      <c r="E253" s="3">
        <v>4.4000000000000004</v>
      </c>
      <c r="F253" s="4">
        <f t="shared" si="69"/>
        <v>0.26666666666666672</v>
      </c>
      <c r="G253" s="2">
        <v>46.027314000000004</v>
      </c>
      <c r="H253" s="2">
        <f t="shared" si="70"/>
        <v>7.1722639686761611E-2</v>
      </c>
      <c r="I253" s="2">
        <v>0.49999999999999956</v>
      </c>
      <c r="J253" s="4">
        <f t="shared" si="71"/>
        <v>7.5872534142640306E-3</v>
      </c>
      <c r="K253" s="2">
        <v>0</v>
      </c>
      <c r="L253" s="4">
        <f t="shared" si="72"/>
        <v>0</v>
      </c>
      <c r="M253" s="2">
        <v>27160</v>
      </c>
      <c r="N253" s="2">
        <f t="shared" si="73"/>
        <v>0.12737458186067857</v>
      </c>
      <c r="O253" s="2">
        <v>0.56178408499999999</v>
      </c>
      <c r="P253" s="2">
        <f t="shared" si="68"/>
        <v>0.57151691789468329</v>
      </c>
      <c r="Q253" s="2">
        <v>0.3105</v>
      </c>
      <c r="R253" s="2">
        <f t="shared" si="74"/>
        <v>0.73972206137811236</v>
      </c>
      <c r="S253" s="2">
        <f t="shared" si="75"/>
        <v>4.853063752881092E-3</v>
      </c>
      <c r="T253" s="5">
        <f t="shared" si="76"/>
        <v>7.589591615964379E-3</v>
      </c>
      <c r="U253" s="2" t="str">
        <f t="shared" si="77"/>
        <v>No Impact</v>
      </c>
      <c r="V253" s="2">
        <f t="shared" si="78"/>
        <v>5.4756125771543863E-3</v>
      </c>
      <c r="W253" s="2">
        <f t="shared" si="79"/>
        <v>8.0127299356550392E-3</v>
      </c>
      <c r="X253" s="2" t="s">
        <v>1170</v>
      </c>
      <c r="Y253" s="2">
        <f t="shared" si="80"/>
        <v>4.2305149286077986E-3</v>
      </c>
      <c r="Z253" s="2">
        <f t="shared" si="81"/>
        <v>7.1040281467251425E-3</v>
      </c>
      <c r="AA253" s="2" t="str">
        <f t="shared" si="82"/>
        <v>No Impact</v>
      </c>
      <c r="AB253" s="2">
        <f t="shared" si="83"/>
        <v>3.5156196533108778E-3</v>
      </c>
      <c r="AC253" s="2">
        <f t="shared" si="84"/>
        <v>7.6003129903094453E-3</v>
      </c>
      <c r="AD253" s="2" t="str">
        <f t="shared" si="85"/>
        <v>No Impact</v>
      </c>
      <c r="AE253" s="2">
        <f t="shared" si="86"/>
        <v>9.4285935064143743E-4</v>
      </c>
      <c r="AF253" s="2">
        <f t="shared" si="87"/>
        <v>6.4241673107492715E-3</v>
      </c>
      <c r="AG253" s="2" t="s">
        <v>1170</v>
      </c>
    </row>
    <row r="254" spans="1:33" x14ac:dyDescent="0.3">
      <c r="A254" s="2">
        <v>306852</v>
      </c>
      <c r="B254" s="2" t="s">
        <v>531</v>
      </c>
      <c r="C254" s="2" t="s">
        <v>529</v>
      </c>
      <c r="D254" s="2" t="s">
        <v>532</v>
      </c>
      <c r="E254" s="3">
        <v>4.5</v>
      </c>
      <c r="F254" s="4">
        <f t="shared" si="69"/>
        <v>0.28888888888888886</v>
      </c>
      <c r="G254" s="2">
        <v>46.027314000000004</v>
      </c>
      <c r="H254" s="2">
        <f t="shared" si="70"/>
        <v>7.1722639686761611E-2</v>
      </c>
      <c r="I254" s="2">
        <v>0.29999999999999993</v>
      </c>
      <c r="J254" s="4">
        <f t="shared" si="71"/>
        <v>4.5523520485584211E-3</v>
      </c>
      <c r="K254" s="2">
        <v>0</v>
      </c>
      <c r="L254" s="4">
        <f t="shared" si="72"/>
        <v>0</v>
      </c>
      <c r="M254" s="2">
        <v>22807</v>
      </c>
      <c r="N254" s="2">
        <f t="shared" si="73"/>
        <v>0.10677870671341311</v>
      </c>
      <c r="O254" s="2">
        <v>0.32644362900000001</v>
      </c>
      <c r="P254" s="2">
        <f t="shared" si="68"/>
        <v>0.29965394477411633</v>
      </c>
      <c r="Q254" s="2">
        <v>0.27600000000000002</v>
      </c>
      <c r="R254" s="2">
        <f t="shared" si="74"/>
        <v>0.63983786913723228</v>
      </c>
      <c r="S254" s="2">
        <f t="shared" si="75"/>
        <v>3.6227974783752735E-3</v>
      </c>
      <c r="T254" s="5">
        <f t="shared" si="76"/>
        <v>5.6656072881570395E-3</v>
      </c>
      <c r="U254" s="2" t="str">
        <f t="shared" si="77"/>
        <v>No Impact</v>
      </c>
      <c r="V254" s="2">
        <f t="shared" si="78"/>
        <v>4.9345890715724794E-3</v>
      </c>
      <c r="W254" s="2">
        <f t="shared" si="79"/>
        <v>7.2210239524457473E-3</v>
      </c>
      <c r="X254" s="2" t="s">
        <v>1170</v>
      </c>
      <c r="Y254" s="2">
        <f t="shared" si="80"/>
        <v>2.3110058851780672E-3</v>
      </c>
      <c r="Z254" s="2">
        <f t="shared" si="81"/>
        <v>3.8807216456165981E-3</v>
      </c>
      <c r="AA254" s="2" t="str">
        <f t="shared" si="82"/>
        <v>No Impact</v>
      </c>
      <c r="AB254" s="2">
        <f t="shared" si="83"/>
        <v>2.708634337671064E-3</v>
      </c>
      <c r="AC254" s="2">
        <f t="shared" si="84"/>
        <v>5.8557155701448108E-3</v>
      </c>
      <c r="AD254" s="2" t="str">
        <f t="shared" si="85"/>
        <v>No Impact</v>
      </c>
      <c r="AE254" s="2">
        <f t="shared" si="86"/>
        <v>8.2350399162078977E-4</v>
      </c>
      <c r="AF254" s="2">
        <f t="shared" si="87"/>
        <v>5.6109401891626283E-3</v>
      </c>
      <c r="AG254" s="2" t="s">
        <v>1170</v>
      </c>
    </row>
    <row r="255" spans="1:33" x14ac:dyDescent="0.3">
      <c r="A255" s="2">
        <v>306860</v>
      </c>
      <c r="B255" s="2" t="s">
        <v>533</v>
      </c>
      <c r="C255" s="2" t="s">
        <v>529</v>
      </c>
      <c r="D255" s="2" t="s">
        <v>534</v>
      </c>
      <c r="E255" s="3">
        <v>4.4000000000000004</v>
      </c>
      <c r="F255" s="4">
        <f t="shared" si="69"/>
        <v>0.26666666666666672</v>
      </c>
      <c r="G255" s="2">
        <v>62.522629200000004</v>
      </c>
      <c r="H255" s="2">
        <f t="shared" si="70"/>
        <v>0.20489705227675362</v>
      </c>
      <c r="I255" s="2">
        <v>2.1999999999999988</v>
      </c>
      <c r="J255" s="4">
        <f t="shared" si="71"/>
        <v>3.3383915022761744E-2</v>
      </c>
      <c r="K255" s="2">
        <v>0</v>
      </c>
      <c r="L255" s="4">
        <f t="shared" si="72"/>
        <v>0</v>
      </c>
      <c r="M255" s="2">
        <v>70583</v>
      </c>
      <c r="N255" s="2">
        <f t="shared" si="73"/>
        <v>0.33282707129778144</v>
      </c>
      <c r="O255" s="2">
        <v>0.187955236</v>
      </c>
      <c r="P255" s="2">
        <f t="shared" si="68"/>
        <v>0.13967351937853748</v>
      </c>
      <c r="Q255" s="2">
        <v>0.23830000000000001</v>
      </c>
      <c r="R255" s="2">
        <f t="shared" si="74"/>
        <v>0.53068905616676321</v>
      </c>
      <c r="S255" s="2">
        <f t="shared" si="75"/>
        <v>7.4542833373086731E-3</v>
      </c>
      <c r="T255" s="5">
        <f t="shared" si="76"/>
        <v>1.1657577398663745E-2</v>
      </c>
      <c r="U255" s="2" t="str">
        <f t="shared" si="77"/>
        <v>No Impact</v>
      </c>
      <c r="V255" s="2">
        <f t="shared" si="78"/>
        <v>1.1802289486277097E-2</v>
      </c>
      <c r="W255" s="2">
        <f t="shared" si="79"/>
        <v>1.7270863660172511E-2</v>
      </c>
      <c r="X255" s="2" t="s">
        <v>1170</v>
      </c>
      <c r="Y255" s="2">
        <f t="shared" si="80"/>
        <v>3.1062771883402481E-3</v>
      </c>
      <c r="Z255" s="2">
        <f t="shared" si="81"/>
        <v>5.2161689415811414E-3</v>
      </c>
      <c r="AA255" s="2" t="str">
        <f t="shared" si="82"/>
        <v>No Impact</v>
      </c>
      <c r="AB255" s="2">
        <f t="shared" si="83"/>
        <v>7.6533587887808625E-3</v>
      </c>
      <c r="AC255" s="2">
        <f t="shared" si="84"/>
        <v>1.6545567483982462E-2</v>
      </c>
      <c r="AD255" s="2" t="str">
        <f t="shared" si="85"/>
        <v>No Impact</v>
      </c>
      <c r="AE255" s="2">
        <f t="shared" si="86"/>
        <v>7.4019266059480119E-3</v>
      </c>
      <c r="AF255" s="2">
        <f t="shared" si="87"/>
        <v>5.0432988659599033E-2</v>
      </c>
      <c r="AG255" s="2" t="s">
        <v>1169</v>
      </c>
    </row>
    <row r="256" spans="1:33" x14ac:dyDescent="0.3">
      <c r="A256" s="2">
        <v>306863</v>
      </c>
      <c r="B256" s="2" t="s">
        <v>535</v>
      </c>
      <c r="C256" s="2" t="s">
        <v>529</v>
      </c>
      <c r="D256" s="2" t="s">
        <v>536</v>
      </c>
      <c r="E256" s="3">
        <v>4</v>
      </c>
      <c r="F256" s="4">
        <f t="shared" si="69"/>
        <v>0.17777777777777773</v>
      </c>
      <c r="G256" s="2">
        <v>52.119892800000002</v>
      </c>
      <c r="H256" s="2">
        <f t="shared" si="70"/>
        <v>0.12091088453146989</v>
      </c>
      <c r="I256" s="2">
        <v>0.60000000000000075</v>
      </c>
      <c r="J256" s="4">
        <f t="shared" si="71"/>
        <v>9.1047040971168561E-3</v>
      </c>
      <c r="K256" s="2">
        <v>0</v>
      </c>
      <c r="L256" s="4">
        <f t="shared" si="72"/>
        <v>0</v>
      </c>
      <c r="M256" s="2">
        <v>31340</v>
      </c>
      <c r="N256" s="2">
        <f t="shared" si="73"/>
        <v>0.14715192119345361</v>
      </c>
      <c r="O256" s="2">
        <v>0.30908217599999999</v>
      </c>
      <c r="P256" s="2">
        <f t="shared" si="68"/>
        <v>0.27959816554050682</v>
      </c>
      <c r="Q256" s="2">
        <v>0.2591</v>
      </c>
      <c r="R256" s="2">
        <f t="shared" si="74"/>
        <v>0.59090909090909094</v>
      </c>
      <c r="S256" s="2">
        <f t="shared" si="75"/>
        <v>3.5211404154189053E-3</v>
      </c>
      <c r="T256" s="5">
        <f t="shared" si="76"/>
        <v>5.5066282118448476E-3</v>
      </c>
      <c r="U256" s="2" t="str">
        <f t="shared" si="77"/>
        <v>No Impact</v>
      </c>
      <c r="V256" s="2">
        <f t="shared" si="78"/>
        <v>4.7803711374551075E-3</v>
      </c>
      <c r="W256" s="2">
        <f t="shared" si="79"/>
        <v>6.9953493562420616E-3</v>
      </c>
      <c r="X256" s="2" t="s">
        <v>1170</v>
      </c>
      <c r="Y256" s="2">
        <f t="shared" si="80"/>
        <v>2.2619096933827031E-3</v>
      </c>
      <c r="Z256" s="2">
        <f t="shared" si="81"/>
        <v>3.7982776088274261E-3</v>
      </c>
      <c r="AA256" s="2" t="str">
        <f t="shared" si="82"/>
        <v>No Impact</v>
      </c>
      <c r="AB256" s="2">
        <f t="shared" si="83"/>
        <v>2.7683562012076179E-3</v>
      </c>
      <c r="AC256" s="2">
        <f t="shared" si="84"/>
        <v>5.9848264808813828E-3</v>
      </c>
      <c r="AD256" s="2" t="str">
        <f t="shared" si="85"/>
        <v>No Impact</v>
      </c>
      <c r="AE256" s="2">
        <f t="shared" si="86"/>
        <v>1.1904382716671992E-3</v>
      </c>
      <c r="AF256" s="2">
        <f t="shared" si="87"/>
        <v>8.111045009106135E-3</v>
      </c>
      <c r="AG256" s="2" t="s">
        <v>1170</v>
      </c>
    </row>
    <row r="257" spans="1:33" x14ac:dyDescent="0.3">
      <c r="A257" s="2">
        <v>306864</v>
      </c>
      <c r="B257" s="2" t="s">
        <v>537</v>
      </c>
      <c r="C257" s="2" t="s">
        <v>529</v>
      </c>
      <c r="D257" s="2" t="s">
        <v>538</v>
      </c>
      <c r="E257" s="3">
        <v>4.5</v>
      </c>
      <c r="F257" s="4">
        <f t="shared" si="69"/>
        <v>0.28888888888888886</v>
      </c>
      <c r="G257" s="2">
        <v>57.025814400000002</v>
      </c>
      <c r="H257" s="2">
        <f t="shared" si="70"/>
        <v>0.16051868949736431</v>
      </c>
      <c r="I257" s="2">
        <v>1.1999999999999997</v>
      </c>
      <c r="J257" s="4">
        <f t="shared" si="71"/>
        <v>1.8209408194233685E-2</v>
      </c>
      <c r="K257" s="2">
        <v>0</v>
      </c>
      <c r="L257" s="4">
        <f t="shared" si="72"/>
        <v>0</v>
      </c>
      <c r="M257" s="2">
        <v>38383</v>
      </c>
      <c r="N257" s="2">
        <f t="shared" si="73"/>
        <v>0.18047531854291163</v>
      </c>
      <c r="O257" s="2">
        <v>0.55348882899999996</v>
      </c>
      <c r="P257" s="2">
        <f t="shared" si="68"/>
        <v>0.56193431999678412</v>
      </c>
      <c r="Q257" s="2">
        <v>0.2636</v>
      </c>
      <c r="R257" s="2">
        <f t="shared" si="74"/>
        <v>0.60393746381007529</v>
      </c>
      <c r="S257" s="2">
        <f t="shared" si="75"/>
        <v>1.0534465662534449E-2</v>
      </c>
      <c r="T257" s="5">
        <f t="shared" si="76"/>
        <v>1.6474601683023688E-2</v>
      </c>
      <c r="U257" s="2" t="str">
        <f t="shared" si="77"/>
        <v>No Impact</v>
      </c>
      <c r="V257" s="2">
        <f t="shared" si="78"/>
        <v>1.0913993396514596E-2</v>
      </c>
      <c r="W257" s="2">
        <f t="shared" si="79"/>
        <v>1.5970976831096613E-2</v>
      </c>
      <c r="X257" s="2" t="s">
        <v>1170</v>
      </c>
      <c r="Y257" s="2">
        <f t="shared" si="80"/>
        <v>1.0154937928554297E-2</v>
      </c>
      <c r="Z257" s="2">
        <f t="shared" si="81"/>
        <v>1.7052525777621352E-2</v>
      </c>
      <c r="AA257" s="2" t="str">
        <f t="shared" si="82"/>
        <v>No Impact</v>
      </c>
      <c r="AB257" s="2">
        <f t="shared" si="83"/>
        <v>8.0078834340977234E-3</v>
      </c>
      <c r="AC257" s="2">
        <f t="shared" si="84"/>
        <v>1.7312003712272688E-2</v>
      </c>
      <c r="AD257" s="2" t="str">
        <f t="shared" si="85"/>
        <v>No Impact</v>
      </c>
      <c r="AE257" s="2">
        <f t="shared" si="86"/>
        <v>3.2614410478609321E-3</v>
      </c>
      <c r="AF257" s="2">
        <f t="shared" si="87"/>
        <v>2.2221811717039398E-2</v>
      </c>
      <c r="AG257" s="2" t="s">
        <v>1170</v>
      </c>
    </row>
    <row r="258" spans="1:33" x14ac:dyDescent="0.3">
      <c r="A258" s="2">
        <v>306876</v>
      </c>
      <c r="B258" s="2" t="s">
        <v>539</v>
      </c>
      <c r="C258" s="2" t="s">
        <v>529</v>
      </c>
      <c r="D258" s="2" t="s">
        <v>540</v>
      </c>
      <c r="E258" s="3">
        <v>4.4000000000000004</v>
      </c>
      <c r="F258" s="4">
        <f t="shared" si="69"/>
        <v>0.26666666666666672</v>
      </c>
      <c r="G258" s="2">
        <v>45.981611999999998</v>
      </c>
      <c r="H258" s="2">
        <f t="shared" si="70"/>
        <v>7.135366601572872E-2</v>
      </c>
      <c r="I258" s="2">
        <v>0.40000000000000102</v>
      </c>
      <c r="J258" s="4">
        <f t="shared" si="71"/>
        <v>6.0698027314112458E-3</v>
      </c>
      <c r="K258" s="2">
        <v>0</v>
      </c>
      <c r="L258" s="4">
        <f t="shared" si="72"/>
        <v>0</v>
      </c>
      <c r="M258" s="2">
        <v>46047</v>
      </c>
      <c r="N258" s="2">
        <f t="shared" si="73"/>
        <v>0.21673692826692784</v>
      </c>
      <c r="O258" s="2">
        <v>0.31808093599999998</v>
      </c>
      <c r="P258" s="2">
        <f t="shared" ref="P258:P321" si="88">(O258-$AJ$11)/$AK$11</f>
        <v>0.28999344431908808</v>
      </c>
      <c r="Q258" s="2">
        <v>0.28699999999999998</v>
      </c>
      <c r="R258" s="2">
        <f t="shared" si="74"/>
        <v>0.67168500289519395</v>
      </c>
      <c r="S258" s="2">
        <f t="shared" si="75"/>
        <v>3.4746357894590105E-3</v>
      </c>
      <c r="T258" s="5">
        <f t="shared" si="76"/>
        <v>5.4339007272575617E-3</v>
      </c>
      <c r="U258" s="2" t="str">
        <f t="shared" si="77"/>
        <v>No Impact</v>
      </c>
      <c r="V258" s="2">
        <f t="shared" si="78"/>
        <v>4.8537237307606767E-3</v>
      </c>
      <c r="W258" s="2">
        <f t="shared" si="79"/>
        <v>7.1026897701146063E-3</v>
      </c>
      <c r="X258" s="2" t="s">
        <v>1170</v>
      </c>
      <c r="Y258" s="2">
        <f t="shared" si="80"/>
        <v>2.0955478481573435E-3</v>
      </c>
      <c r="Z258" s="2">
        <f t="shared" si="81"/>
        <v>3.5189169988387474E-3</v>
      </c>
      <c r="AA258" s="2" t="str">
        <f t="shared" si="82"/>
        <v>No Impact</v>
      </c>
      <c r="AB258" s="2">
        <f t="shared" si="83"/>
        <v>2.8756314700862763E-3</v>
      </c>
      <c r="AC258" s="2">
        <f t="shared" si="84"/>
        <v>6.2167416764940713E-3</v>
      </c>
      <c r="AD258" s="2" t="str">
        <f t="shared" si="85"/>
        <v>No Impact</v>
      </c>
      <c r="AE258" s="2">
        <f t="shared" si="86"/>
        <v>1.56618231392239E-3</v>
      </c>
      <c r="AF258" s="2">
        <f t="shared" si="87"/>
        <v>1.0671175098310242E-2</v>
      </c>
      <c r="AG258" s="2" t="s">
        <v>1170</v>
      </c>
    </row>
    <row r="259" spans="1:33" x14ac:dyDescent="0.3">
      <c r="A259" s="2">
        <v>308207</v>
      </c>
      <c r="B259" s="2" t="s">
        <v>541</v>
      </c>
      <c r="C259" s="2" t="s">
        <v>1033</v>
      </c>
      <c r="D259" s="2" t="s">
        <v>1034</v>
      </c>
      <c r="E259" s="3">
        <v>5.4</v>
      </c>
      <c r="F259" s="4">
        <f t="shared" ref="F259:F322" si="89">(E259-$AJ$5)/$AK$5</f>
        <v>0.48888888888888893</v>
      </c>
      <c r="G259" s="2">
        <v>101.2155984</v>
      </c>
      <c r="H259" s="2">
        <f t="shared" ref="H259:H322" si="90">(G259-$AJ$6)/$AK$6</f>
        <v>0.51728353183748688</v>
      </c>
      <c r="I259" s="2">
        <v>18.8</v>
      </c>
      <c r="J259" s="4">
        <f t="shared" ref="J259:J322" si="91">(I259-$AJ$7)/$AK$7</f>
        <v>0.28528072837632784</v>
      </c>
      <c r="K259" s="2">
        <v>0</v>
      </c>
      <c r="L259" s="4">
        <f t="shared" ref="L259:L322" si="92">(K259-$AJ$8)/$AK$8</f>
        <v>0</v>
      </c>
      <c r="M259" s="2">
        <v>27077</v>
      </c>
      <c r="N259" s="2">
        <f t="shared" ref="N259:N322" si="93">(M259-$AJ$9)/$AK$9</f>
        <v>0.12698187392655888</v>
      </c>
      <c r="O259" s="2">
        <v>0.50474936699999995</v>
      </c>
      <c r="P259" s="2">
        <f t="shared" si="88"/>
        <v>0.50563097431270465</v>
      </c>
      <c r="Q259" s="2">
        <v>0.26879999999999998</v>
      </c>
      <c r="R259" s="2">
        <f t="shared" ref="R259:R322" si="94">(Q259-$AJ$12)/$AK$12</f>
        <v>0.61899247249565725</v>
      </c>
      <c r="S259" s="2">
        <f t="shared" ref="S259:S322" si="95">F259*(R259*0.5+P259*0.5)*(H259*0.35+J259*0.35+L259*0.3)</f>
        <v>7.7220954460809427E-2</v>
      </c>
      <c r="T259" s="5">
        <f t="shared" ref="T259:T322" si="96">(S259-$AJ$10)/$AK$10</f>
        <v>0.12076402421142604</v>
      </c>
      <c r="U259" s="2" t="str">
        <f t="shared" ref="U259:U322" si="97">IF(T259&gt;0.7,"High",IF(T259&gt;0.3,"Moderate",IF(T259&gt;0.15,"Low","No Impact")))</f>
        <v>No Impact</v>
      </c>
      <c r="V259" s="2">
        <f t="shared" ref="V259:V322" si="98">F259*(R259*1)*(H259*0.35+J259*0.35+L259*0.3)</f>
        <v>8.5004789231139091E-2</v>
      </c>
      <c r="W259" s="2">
        <f t="shared" ref="W259:W322" si="99">(V259-$AJ$13)/$AK$13</f>
        <v>0.12439163833252166</v>
      </c>
      <c r="X259" s="2" t="s">
        <v>1169</v>
      </c>
      <c r="Y259" s="2">
        <f t="shared" ref="Y259:Y322" si="100">F259*(P259*1)*(H259*0.35+J259*0.35+L259*0.3)</f>
        <v>6.9437119690479776E-2</v>
      </c>
      <c r="Z259" s="2">
        <f t="shared" ref="Z259:Z322" si="101">(Y259-$AJ$14)/$AK$14</f>
        <v>0.11660123200913117</v>
      </c>
      <c r="AA259" s="2" t="str">
        <f t="shared" ref="AA259:AA322" si="102">IF(Z259&gt;0.7,"High",IF(Z259&gt;0.3,"Moderate",IF(Z259&gt;0.15,"Low","No Impact")))</f>
        <v>No Impact</v>
      </c>
      <c r="AB259" s="2">
        <f t="shared" ref="AB259:AB322" si="103">F259*(R259*0.35+P259*0.3+N259*0.35)*(H259*0.35+J259*0.35+L259*0.3)</f>
        <v>5.6686155503469844E-2</v>
      </c>
      <c r="AC259" s="2">
        <f t="shared" ref="AC259:AC322" si="104">(AB259-$AJ$15)/$AK$15</f>
        <v>0.12254810432578545</v>
      </c>
      <c r="AD259" s="2" t="str">
        <f t="shared" ref="AD259:AD322" si="105">IF(AC259&gt;0.7,"High",IF(AC259&gt;0.3,"Moderate",IF(AC259&gt;0.15,"Low","No Impact")))</f>
        <v>No Impact</v>
      </c>
      <c r="AE259" s="2">
        <f t="shared" ref="AE259:AE322" si="106">F259*(N259*1)*(H259*0.35+J259*0.35+L259*0.3)</f>
        <v>1.7438123901220692E-2</v>
      </c>
      <c r="AF259" s="2">
        <f t="shared" ref="AF259:AF322" si="107">(AE259-$AJ$16)/$AK$16</f>
        <v>0.11881456704099654</v>
      </c>
      <c r="AG259" s="2" t="s">
        <v>1169</v>
      </c>
    </row>
    <row r="260" spans="1:33" x14ac:dyDescent="0.3">
      <c r="A260" s="2">
        <v>308229</v>
      </c>
      <c r="B260" s="2" t="s">
        <v>543</v>
      </c>
      <c r="C260" s="2" t="s">
        <v>542</v>
      </c>
      <c r="D260" s="2" t="s">
        <v>1154</v>
      </c>
      <c r="E260" s="3">
        <v>5.4</v>
      </c>
      <c r="F260" s="4">
        <f t="shared" si="89"/>
        <v>0.48888888888888893</v>
      </c>
      <c r="G260" s="2">
        <v>80.427707999999996</v>
      </c>
      <c r="H260" s="2">
        <f t="shared" si="90"/>
        <v>0.3494531473047236</v>
      </c>
      <c r="I260" s="2">
        <v>12.700000000000001</v>
      </c>
      <c r="J260" s="4">
        <f t="shared" si="91"/>
        <v>0.19271623672230656</v>
      </c>
      <c r="K260" s="2">
        <v>0</v>
      </c>
      <c r="L260" s="4">
        <f t="shared" si="92"/>
        <v>0</v>
      </c>
      <c r="M260" s="2">
        <v>14728</v>
      </c>
      <c r="N260" s="2">
        <f t="shared" si="93"/>
        <v>6.8553557318798405E-2</v>
      </c>
      <c r="O260" s="2">
        <v>0.32035223899999998</v>
      </c>
      <c r="P260" s="2">
        <f t="shared" si="88"/>
        <v>0.29261723113811955</v>
      </c>
      <c r="Q260" s="2">
        <v>0.25480000000000003</v>
      </c>
      <c r="R260" s="2">
        <f t="shared" si="94"/>
        <v>0.57845975680370598</v>
      </c>
      <c r="S260" s="2">
        <f t="shared" si="95"/>
        <v>4.0405431219361784E-2</v>
      </c>
      <c r="T260" s="5">
        <f t="shared" si="96"/>
        <v>6.3189098193865673E-2</v>
      </c>
      <c r="U260" s="2" t="str">
        <f t="shared" si="97"/>
        <v>No Impact</v>
      </c>
      <c r="V260" s="2">
        <f t="shared" si="98"/>
        <v>5.3664409094140456E-2</v>
      </c>
      <c r="W260" s="2">
        <f t="shared" si="99"/>
        <v>7.8529737297689362E-2</v>
      </c>
      <c r="X260" s="2" t="s">
        <v>1170</v>
      </c>
      <c r="Y260" s="2">
        <f t="shared" si="100"/>
        <v>2.714645334458312E-2</v>
      </c>
      <c r="Z260" s="2">
        <f t="shared" si="101"/>
        <v>4.558527079991731E-2</v>
      </c>
      <c r="AA260" s="2" t="str">
        <f t="shared" si="102"/>
        <v>No Impact</v>
      </c>
      <c r="AB260" s="2">
        <f t="shared" si="103"/>
        <v>2.9152407845216173E-2</v>
      </c>
      <c r="AC260" s="2">
        <f t="shared" si="104"/>
        <v>6.3023718688149793E-2</v>
      </c>
      <c r="AD260" s="2" t="str">
        <f t="shared" si="105"/>
        <v>No Impact</v>
      </c>
      <c r="AE260" s="2">
        <f t="shared" si="106"/>
        <v>6.3597961682630823E-3</v>
      </c>
      <c r="AF260" s="2">
        <f t="shared" si="107"/>
        <v>4.3332438310538172E-2</v>
      </c>
      <c r="AG260" s="2" t="s">
        <v>1169</v>
      </c>
    </row>
    <row r="261" spans="1:33" x14ac:dyDescent="0.3">
      <c r="A261" s="2">
        <v>308247</v>
      </c>
      <c r="B261" s="2" t="s">
        <v>544</v>
      </c>
      <c r="C261" s="2" t="s">
        <v>542</v>
      </c>
      <c r="D261" s="2" t="s">
        <v>545</v>
      </c>
      <c r="E261" s="3">
        <v>5.6</v>
      </c>
      <c r="F261" s="4">
        <f t="shared" si="89"/>
        <v>0.53333333333333321</v>
      </c>
      <c r="G261" s="2">
        <v>91.523019599999998</v>
      </c>
      <c r="H261" s="2">
        <f t="shared" si="90"/>
        <v>0.43903079931787975</v>
      </c>
      <c r="I261" s="2">
        <v>17.5</v>
      </c>
      <c r="J261" s="4">
        <f t="shared" si="91"/>
        <v>0.26555386949924131</v>
      </c>
      <c r="K261" s="2">
        <v>0</v>
      </c>
      <c r="L261" s="4">
        <f t="shared" si="92"/>
        <v>0</v>
      </c>
      <c r="M261" s="2">
        <v>15025</v>
      </c>
      <c r="N261" s="2">
        <f t="shared" si="93"/>
        <v>6.99587893240219E-2</v>
      </c>
      <c r="O261" s="2">
        <v>0.25794140999999998</v>
      </c>
      <c r="P261" s="2">
        <f t="shared" si="88"/>
        <v>0.22052085716466513</v>
      </c>
      <c r="Q261" s="2">
        <v>0.2944</v>
      </c>
      <c r="R261" s="2">
        <f t="shared" si="94"/>
        <v>0.69310943833236827</v>
      </c>
      <c r="S261" s="2">
        <f t="shared" si="95"/>
        <v>6.0081457256246126E-2</v>
      </c>
      <c r="T261" s="5">
        <f t="shared" si="96"/>
        <v>9.3959969925435344E-2</v>
      </c>
      <c r="U261" s="2" t="str">
        <f t="shared" si="97"/>
        <v>No Impact</v>
      </c>
      <c r="V261" s="2">
        <f t="shared" si="98"/>
        <v>9.1159466358134045E-2</v>
      </c>
      <c r="W261" s="2">
        <f t="shared" si="99"/>
        <v>0.13339807641864948</v>
      </c>
      <c r="X261" s="2" t="s">
        <v>1169</v>
      </c>
      <c r="Y261" s="2">
        <f t="shared" si="100"/>
        <v>2.9003448154358197E-2</v>
      </c>
      <c r="Z261" s="2">
        <f t="shared" si="101"/>
        <v>4.8703601220584564E-2</v>
      </c>
      <c r="AA261" s="2" t="str">
        <f t="shared" si="102"/>
        <v>No Impact</v>
      </c>
      <c r="AB261" s="2">
        <f t="shared" si="103"/>
        <v>4.3827251178226265E-2</v>
      </c>
      <c r="AC261" s="2">
        <f t="shared" si="104"/>
        <v>9.4748823623660841E-2</v>
      </c>
      <c r="AD261" s="2" t="str">
        <f t="shared" si="105"/>
        <v>No Impact</v>
      </c>
      <c r="AE261" s="2">
        <f t="shared" si="106"/>
        <v>9.2011528759197037E-3</v>
      </c>
      <c r="AF261" s="2">
        <f t="shared" si="107"/>
        <v>6.2692007547548861E-2</v>
      </c>
      <c r="AG261" s="2" t="s">
        <v>1169</v>
      </c>
    </row>
    <row r="262" spans="1:33" x14ac:dyDescent="0.3">
      <c r="A262" s="2">
        <v>308273</v>
      </c>
      <c r="B262" s="2" t="s">
        <v>546</v>
      </c>
      <c r="C262" s="2" t="s">
        <v>542</v>
      </c>
      <c r="D262" s="2" t="s">
        <v>547</v>
      </c>
      <c r="E262" s="3">
        <v>5.6</v>
      </c>
      <c r="F262" s="4">
        <f t="shared" si="89"/>
        <v>0.53333333333333321</v>
      </c>
      <c r="G262" s="2">
        <v>91.523019599999998</v>
      </c>
      <c r="H262" s="2">
        <f t="shared" si="90"/>
        <v>0.43903079931787975</v>
      </c>
      <c r="I262" s="2">
        <v>13.100000000000001</v>
      </c>
      <c r="J262" s="4">
        <f t="shared" si="91"/>
        <v>0.19878603945371781</v>
      </c>
      <c r="K262" s="2">
        <v>0</v>
      </c>
      <c r="L262" s="4">
        <f t="shared" si="92"/>
        <v>0</v>
      </c>
      <c r="M262" s="2">
        <v>21428</v>
      </c>
      <c r="N262" s="2">
        <f t="shared" si="93"/>
        <v>0.10025407730195456</v>
      </c>
      <c r="O262" s="2">
        <v>0.43020465400000002</v>
      </c>
      <c r="P262" s="2">
        <f t="shared" si="88"/>
        <v>0.41951765724409418</v>
      </c>
      <c r="Q262" s="2">
        <v>0.29570000000000002</v>
      </c>
      <c r="R262" s="2">
        <f t="shared" si="94"/>
        <v>0.69687319050376384</v>
      </c>
      <c r="S262" s="2">
        <f t="shared" si="95"/>
        <v>6.6458268925447705E-2</v>
      </c>
      <c r="T262" s="5">
        <f t="shared" si="96"/>
        <v>0.1039325148672619</v>
      </c>
      <c r="U262" s="2" t="str">
        <f t="shared" si="97"/>
        <v>No Impact</v>
      </c>
      <c r="V262" s="2">
        <f t="shared" si="98"/>
        <v>8.2969125006467054E-2</v>
      </c>
      <c r="W262" s="2">
        <f t="shared" si="99"/>
        <v>0.12141275196279819</v>
      </c>
      <c r="X262" s="2" t="s">
        <v>1169</v>
      </c>
      <c r="Y262" s="2">
        <f t="shared" si="100"/>
        <v>4.9947412844428336E-2</v>
      </c>
      <c r="Z262" s="2">
        <f t="shared" si="101"/>
        <v>8.3873436848901167E-2</v>
      </c>
      <c r="AA262" s="2" t="str">
        <f t="shared" si="102"/>
        <v>No Impact</v>
      </c>
      <c r="AB262" s="2">
        <f t="shared" si="103"/>
        <v>4.820107519796011E-2</v>
      </c>
      <c r="AC262" s="2">
        <f t="shared" si="104"/>
        <v>0.10420446296826517</v>
      </c>
      <c r="AD262" s="2" t="str">
        <f t="shared" si="105"/>
        <v>No Impact</v>
      </c>
      <c r="AE262" s="2">
        <f t="shared" si="106"/>
        <v>1.1936164549623254E-2</v>
      </c>
      <c r="AF262" s="2">
        <f t="shared" si="107"/>
        <v>8.1326995445553815E-2</v>
      </c>
      <c r="AG262" s="2" t="s">
        <v>1169</v>
      </c>
    </row>
    <row r="263" spans="1:33" x14ac:dyDescent="0.3">
      <c r="A263" s="2">
        <v>308276</v>
      </c>
      <c r="B263" s="2" t="s">
        <v>548</v>
      </c>
      <c r="C263" s="2" t="s">
        <v>542</v>
      </c>
      <c r="D263" s="2" t="s">
        <v>549</v>
      </c>
      <c r="E263" s="3">
        <v>5.6</v>
      </c>
      <c r="F263" s="4">
        <f t="shared" si="89"/>
        <v>0.53333333333333321</v>
      </c>
      <c r="G263" s="2">
        <v>88.5769272</v>
      </c>
      <c r="H263" s="2">
        <f t="shared" si="90"/>
        <v>0.41524561424873724</v>
      </c>
      <c r="I263" s="2">
        <v>16.600000000000001</v>
      </c>
      <c r="J263" s="4">
        <f t="shared" si="91"/>
        <v>0.25189681335356606</v>
      </c>
      <c r="K263" s="2">
        <v>0</v>
      </c>
      <c r="L263" s="4">
        <f t="shared" si="92"/>
        <v>0</v>
      </c>
      <c r="M263" s="2">
        <v>45411</v>
      </c>
      <c r="N263" s="2">
        <f t="shared" si="93"/>
        <v>0.2137277445789745</v>
      </c>
      <c r="O263" s="2">
        <v>0.371754786</v>
      </c>
      <c r="P263" s="2">
        <f t="shared" si="88"/>
        <v>0.35199694634267276</v>
      </c>
      <c r="Q263" s="2">
        <v>0.29480000000000001</v>
      </c>
      <c r="R263" s="2">
        <f t="shared" si="94"/>
        <v>0.69426751592356695</v>
      </c>
      <c r="S263" s="2">
        <f t="shared" si="95"/>
        <v>6.5147358571896311E-2</v>
      </c>
      <c r="T263" s="5">
        <f t="shared" si="96"/>
        <v>0.10188241317167053</v>
      </c>
      <c r="U263" s="2" t="str">
        <f t="shared" si="97"/>
        <v>No Impact</v>
      </c>
      <c r="V263" s="2">
        <f t="shared" si="98"/>
        <v>8.6459392316018235E-2</v>
      </c>
      <c r="W263" s="2">
        <f t="shared" si="99"/>
        <v>0.1265202297035285</v>
      </c>
      <c r="X263" s="2" t="s">
        <v>1169</v>
      </c>
      <c r="Y263" s="2">
        <f t="shared" si="100"/>
        <v>4.3835324827774358E-2</v>
      </c>
      <c r="Z263" s="2">
        <f t="shared" si="101"/>
        <v>7.3609805579820553E-2</v>
      </c>
      <c r="AA263" s="2" t="str">
        <f t="shared" si="102"/>
        <v>No Impact</v>
      </c>
      <c r="AB263" s="2">
        <f t="shared" si="103"/>
        <v>5.2727058721411639E-2</v>
      </c>
      <c r="AC263" s="2">
        <f t="shared" si="104"/>
        <v>0.11398905139347199</v>
      </c>
      <c r="AD263" s="2" t="str">
        <f t="shared" si="105"/>
        <v>No Impact</v>
      </c>
      <c r="AE263" s="2">
        <f t="shared" si="106"/>
        <v>2.6616211321351311E-2</v>
      </c>
      <c r="AF263" s="2">
        <f t="shared" si="107"/>
        <v>0.18134941822478132</v>
      </c>
      <c r="AG263" s="2" t="s">
        <v>1169</v>
      </c>
    </row>
    <row r="264" spans="1:33" x14ac:dyDescent="0.3">
      <c r="A264" s="2">
        <v>308614</v>
      </c>
      <c r="B264" s="2" t="s">
        <v>550</v>
      </c>
      <c r="C264" s="2" t="s">
        <v>551</v>
      </c>
      <c r="D264" s="2" t="s">
        <v>552</v>
      </c>
      <c r="E264" s="3">
        <v>6.5</v>
      </c>
      <c r="F264" s="4">
        <f t="shared" si="89"/>
        <v>0.73333333333333328</v>
      </c>
      <c r="G264" s="2">
        <v>75.558567600000003</v>
      </c>
      <c r="H264" s="2">
        <f t="shared" si="90"/>
        <v>0.3101422942094037</v>
      </c>
      <c r="I264" s="2">
        <v>13.9</v>
      </c>
      <c r="J264" s="4">
        <f t="shared" si="91"/>
        <v>0.21092564491654026</v>
      </c>
      <c r="K264" s="2">
        <v>0</v>
      </c>
      <c r="L264" s="4">
        <f t="shared" si="92"/>
        <v>0</v>
      </c>
      <c r="M264" s="2">
        <v>19841</v>
      </c>
      <c r="N264" s="2">
        <f t="shared" si="93"/>
        <v>9.2745312344750253E-2</v>
      </c>
      <c r="O264" s="2">
        <v>0.28689072700000001</v>
      </c>
      <c r="P264" s="2">
        <f t="shared" si="88"/>
        <v>0.25396282257595754</v>
      </c>
      <c r="Q264" s="2">
        <v>0.2636</v>
      </c>
      <c r="R264" s="2">
        <f t="shared" si="94"/>
        <v>0.60393746381007529</v>
      </c>
      <c r="S264" s="2">
        <f t="shared" si="95"/>
        <v>5.736812288934999E-2</v>
      </c>
      <c r="T264" s="5">
        <f t="shared" si="96"/>
        <v>8.9716650486230051E-2</v>
      </c>
      <c r="U264" s="2" t="str">
        <f t="shared" si="97"/>
        <v>No Impact</v>
      </c>
      <c r="V264" s="2">
        <f t="shared" si="98"/>
        <v>8.0771062071306091E-2</v>
      </c>
      <c r="W264" s="2">
        <f t="shared" si="99"/>
        <v>0.11819621966931532</v>
      </c>
      <c r="X264" s="2" t="s">
        <v>1169</v>
      </c>
      <c r="Y264" s="2">
        <f t="shared" si="100"/>
        <v>3.3965183707393896E-2</v>
      </c>
      <c r="Z264" s="2">
        <f t="shared" si="101"/>
        <v>5.7035520530693738E-2</v>
      </c>
      <c r="AA264" s="2" t="str">
        <f t="shared" si="102"/>
        <v>No Impact</v>
      </c>
      <c r="AB264" s="2">
        <f t="shared" si="103"/>
        <v>4.280076719141717E-2</v>
      </c>
      <c r="AC264" s="2">
        <f t="shared" si="104"/>
        <v>9.2529698590626472E-2</v>
      </c>
      <c r="AD264" s="2" t="str">
        <f t="shared" si="105"/>
        <v>No Impact</v>
      </c>
      <c r="AE264" s="2">
        <f t="shared" si="106"/>
        <v>1.2403829583548218E-2</v>
      </c>
      <c r="AF264" s="2">
        <f t="shared" si="107"/>
        <v>8.4513428736242735E-2</v>
      </c>
      <c r="AG264" s="2" t="s">
        <v>1169</v>
      </c>
    </row>
    <row r="265" spans="1:33" x14ac:dyDescent="0.3">
      <c r="A265" s="2">
        <v>308625</v>
      </c>
      <c r="B265" s="2" t="s">
        <v>553</v>
      </c>
      <c r="C265" s="2" t="s">
        <v>551</v>
      </c>
      <c r="D265" s="2" t="s">
        <v>554</v>
      </c>
      <c r="E265" s="3">
        <v>6.5</v>
      </c>
      <c r="F265" s="4">
        <f t="shared" si="89"/>
        <v>0.73333333333333328</v>
      </c>
      <c r="G265" s="2">
        <v>88.155050400000007</v>
      </c>
      <c r="H265" s="2">
        <f t="shared" si="90"/>
        <v>0.41183960506709127</v>
      </c>
      <c r="I265" s="2">
        <v>21.5</v>
      </c>
      <c r="J265" s="4">
        <f t="shared" si="91"/>
        <v>0.32625189681335359</v>
      </c>
      <c r="K265" s="2">
        <v>0</v>
      </c>
      <c r="L265" s="4">
        <f t="shared" si="92"/>
        <v>0</v>
      </c>
      <c r="M265" s="2">
        <v>5388</v>
      </c>
      <c r="N265" s="2">
        <f t="shared" si="93"/>
        <v>2.4362086178100144E-2</v>
      </c>
      <c r="O265" s="2">
        <v>0.41456011700000001</v>
      </c>
      <c r="P265" s="2">
        <f t="shared" si="88"/>
        <v>0.40144524243618407</v>
      </c>
      <c r="Q265" s="2">
        <v>0.29039999999999999</v>
      </c>
      <c r="R265" s="2">
        <f t="shared" si="94"/>
        <v>0.68152866242038224</v>
      </c>
      <c r="S265" s="2">
        <f t="shared" si="95"/>
        <v>0.10258117561139048</v>
      </c>
      <c r="T265" s="5">
        <f t="shared" si="96"/>
        <v>0.16042427423579211</v>
      </c>
      <c r="U265" s="2" t="str">
        <f t="shared" si="97"/>
        <v>Low</v>
      </c>
      <c r="V265" s="2">
        <f t="shared" si="98"/>
        <v>0.12911116526524383</v>
      </c>
      <c r="W265" s="2">
        <f t="shared" si="99"/>
        <v>0.18893464144348929</v>
      </c>
      <c r="X265" s="2" t="s">
        <v>1169</v>
      </c>
      <c r="Y265" s="2">
        <f t="shared" si="100"/>
        <v>7.6051185957537126E-2</v>
      </c>
      <c r="Z265" s="2">
        <f t="shared" si="101"/>
        <v>0.12770780265558987</v>
      </c>
      <c r="AA265" s="2" t="str">
        <f t="shared" si="102"/>
        <v>No Impact</v>
      </c>
      <c r="AB265" s="2">
        <f t="shared" si="103"/>
        <v>6.9619597111819254E-2</v>
      </c>
      <c r="AC265" s="2">
        <f t="shared" si="104"/>
        <v>0.15050852495114325</v>
      </c>
      <c r="AD265" s="2" t="str">
        <f t="shared" si="105"/>
        <v>Low</v>
      </c>
      <c r="AE265" s="2">
        <f t="shared" si="106"/>
        <v>4.6152385192079213E-3</v>
      </c>
      <c r="AF265" s="2">
        <f t="shared" si="107"/>
        <v>3.1445903788551097E-2</v>
      </c>
      <c r="AG265" s="2" t="s">
        <v>1170</v>
      </c>
    </row>
    <row r="266" spans="1:33" x14ac:dyDescent="0.3">
      <c r="A266" s="2">
        <v>308636</v>
      </c>
      <c r="B266" s="2" t="s">
        <v>555</v>
      </c>
      <c r="C266" s="2" t="s">
        <v>551</v>
      </c>
      <c r="D266" s="2" t="s">
        <v>556</v>
      </c>
      <c r="E266" s="3">
        <v>6.4</v>
      </c>
      <c r="F266" s="4">
        <f t="shared" si="89"/>
        <v>0.71111111111111114</v>
      </c>
      <c r="G266" s="2">
        <v>88.155050400000007</v>
      </c>
      <c r="H266" s="2">
        <f t="shared" si="90"/>
        <v>0.41183960506709127</v>
      </c>
      <c r="I266" s="2">
        <v>21.699999999999996</v>
      </c>
      <c r="J266" s="4">
        <f t="shared" si="91"/>
        <v>0.32928679817905915</v>
      </c>
      <c r="K266" s="2">
        <v>0</v>
      </c>
      <c r="L266" s="4">
        <f t="shared" si="92"/>
        <v>0</v>
      </c>
      <c r="M266" s="2">
        <v>3568</v>
      </c>
      <c r="N266" s="2">
        <f t="shared" si="93"/>
        <v>1.5750900152824893E-2</v>
      </c>
      <c r="O266" s="2">
        <v>0.44414229500000002</v>
      </c>
      <c r="P266" s="2">
        <f t="shared" si="88"/>
        <v>0.43561828263145691</v>
      </c>
      <c r="Q266" s="2">
        <v>0.2777</v>
      </c>
      <c r="R266" s="2">
        <f t="shared" si="94"/>
        <v>0.64475969889982632</v>
      </c>
      <c r="S266" s="2">
        <f t="shared" si="95"/>
        <v>9.9642249478938849E-2</v>
      </c>
      <c r="T266" s="5">
        <f t="shared" si="96"/>
        <v>0.15582815717024737</v>
      </c>
      <c r="U266" s="2" t="str">
        <f t="shared" si="97"/>
        <v>Low</v>
      </c>
      <c r="V266" s="2">
        <f t="shared" si="98"/>
        <v>0.11893116644358734</v>
      </c>
      <c r="W266" s="2">
        <f t="shared" si="99"/>
        <v>0.17403775453743817</v>
      </c>
      <c r="X266" s="2" t="s">
        <v>1169</v>
      </c>
      <c r="Y266" s="2">
        <f t="shared" si="100"/>
        <v>8.035333251429036E-2</v>
      </c>
      <c r="Z266" s="2">
        <f t="shared" si="101"/>
        <v>0.13493211712942377</v>
      </c>
      <c r="AA266" s="2" t="str">
        <f t="shared" si="102"/>
        <v>No Impact</v>
      </c>
      <c r="AB266" s="2">
        <f t="shared" si="103"/>
        <v>6.6748791548972841E-2</v>
      </c>
      <c r="AC266" s="2">
        <f t="shared" si="104"/>
        <v>0.14430221625918738</v>
      </c>
      <c r="AD266" s="2" t="str">
        <f t="shared" si="105"/>
        <v>No Impact</v>
      </c>
      <c r="AE266" s="2">
        <f t="shared" si="106"/>
        <v>2.9053815412290302E-3</v>
      </c>
      <c r="AF266" s="2">
        <f t="shared" si="107"/>
        <v>1.9795802109530022E-2</v>
      </c>
      <c r="AG266" s="2" t="s">
        <v>1170</v>
      </c>
    </row>
    <row r="267" spans="1:33" x14ac:dyDescent="0.3">
      <c r="A267" s="2">
        <v>308665</v>
      </c>
      <c r="B267" s="2" t="s">
        <v>557</v>
      </c>
      <c r="C267" s="2" t="s">
        <v>551</v>
      </c>
      <c r="D267" s="2" t="s">
        <v>558</v>
      </c>
      <c r="E267" s="3">
        <v>6.5</v>
      </c>
      <c r="F267" s="4">
        <f t="shared" si="89"/>
        <v>0.73333333333333328</v>
      </c>
      <c r="G267" s="2">
        <v>81.668725199999997</v>
      </c>
      <c r="H267" s="2">
        <f t="shared" si="90"/>
        <v>0.35947246094742846</v>
      </c>
      <c r="I267" s="2">
        <v>16.2</v>
      </c>
      <c r="J267" s="4">
        <f t="shared" si="91"/>
        <v>0.24582701062215481</v>
      </c>
      <c r="K267" s="2">
        <v>0</v>
      </c>
      <c r="L267" s="4">
        <f t="shared" si="92"/>
        <v>0</v>
      </c>
      <c r="M267" s="2">
        <v>22687</v>
      </c>
      <c r="N267" s="2">
        <f t="shared" si="93"/>
        <v>0.1062109362062521</v>
      </c>
      <c r="O267" s="2">
        <v>0.49966044599999998</v>
      </c>
      <c r="P267" s="2">
        <f t="shared" si="88"/>
        <v>0.49975230297607864</v>
      </c>
      <c r="Q267" s="2">
        <v>0.28089999999999998</v>
      </c>
      <c r="R267" s="2">
        <f t="shared" si="94"/>
        <v>0.65402431962941521</v>
      </c>
      <c r="S267" s="2">
        <f t="shared" si="95"/>
        <v>8.9625482096463635E-2</v>
      </c>
      <c r="T267" s="5">
        <f t="shared" si="96"/>
        <v>0.14016317158254163</v>
      </c>
      <c r="U267" s="2" t="str">
        <f t="shared" si="97"/>
        <v>No Impact</v>
      </c>
      <c r="V267" s="2">
        <f t="shared" si="98"/>
        <v>0.10160934760010425</v>
      </c>
      <c r="W267" s="2">
        <f t="shared" si="99"/>
        <v>0.14868989538351302</v>
      </c>
      <c r="X267" s="2" t="s">
        <v>1169</v>
      </c>
      <c r="Y267" s="2">
        <f t="shared" si="100"/>
        <v>7.764161659282301E-2</v>
      </c>
      <c r="Z267" s="2">
        <f t="shared" si="101"/>
        <v>0.13037850922184777</v>
      </c>
      <c r="AA267" s="2" t="str">
        <f t="shared" si="102"/>
        <v>No Impact</v>
      </c>
      <c r="AB267" s="2">
        <f t="shared" si="103"/>
        <v>6.463108985440659E-2</v>
      </c>
      <c r="AC267" s="2">
        <f t="shared" si="104"/>
        <v>0.13972402029772882</v>
      </c>
      <c r="AD267" s="2" t="str">
        <f t="shared" si="105"/>
        <v>No Impact</v>
      </c>
      <c r="AE267" s="2">
        <f t="shared" si="106"/>
        <v>1.6500952047209146E-2</v>
      </c>
      <c r="AF267" s="2">
        <f t="shared" si="107"/>
        <v>0.11242915145912909</v>
      </c>
      <c r="AG267" s="2" t="s">
        <v>1169</v>
      </c>
    </row>
    <row r="268" spans="1:33" x14ac:dyDescent="0.3">
      <c r="A268" s="2">
        <v>308669</v>
      </c>
      <c r="B268" s="2" t="s">
        <v>559</v>
      </c>
      <c r="C268" s="2" t="s">
        <v>551</v>
      </c>
      <c r="D268" s="2" t="s">
        <v>560</v>
      </c>
      <c r="E268" s="3">
        <v>6.4</v>
      </c>
      <c r="F268" s="4">
        <f t="shared" si="89"/>
        <v>0.71111111111111114</v>
      </c>
      <c r="G268" s="2">
        <v>81.668725199999997</v>
      </c>
      <c r="H268" s="2">
        <f t="shared" si="90"/>
        <v>0.35947246094742846</v>
      </c>
      <c r="I268" s="2">
        <v>19.299999999999997</v>
      </c>
      <c r="J268" s="4">
        <f t="shared" si="91"/>
        <v>0.29286798179059181</v>
      </c>
      <c r="K268" s="2">
        <v>0</v>
      </c>
      <c r="L268" s="4">
        <f t="shared" si="92"/>
        <v>0</v>
      </c>
      <c r="M268" s="2">
        <v>23823</v>
      </c>
      <c r="N268" s="2">
        <f t="shared" si="93"/>
        <v>0.11158583034070962</v>
      </c>
      <c r="O268" s="2">
        <v>0.53887619899999994</v>
      </c>
      <c r="P268" s="2">
        <f t="shared" si="88"/>
        <v>0.54505395397543677</v>
      </c>
      <c r="Q268" s="2">
        <v>0.32069999999999999</v>
      </c>
      <c r="R268" s="2">
        <f t="shared" si="94"/>
        <v>0.76925303995367689</v>
      </c>
      <c r="S268" s="2">
        <f t="shared" si="95"/>
        <v>0.10669563100788909</v>
      </c>
      <c r="T268" s="5">
        <f t="shared" si="96"/>
        <v>0.16685877371315566</v>
      </c>
      <c r="U268" s="2" t="str">
        <f t="shared" si="97"/>
        <v>Low</v>
      </c>
      <c r="V268" s="2">
        <f t="shared" si="98"/>
        <v>0.12489614508894743</v>
      </c>
      <c r="W268" s="2">
        <f t="shared" si="99"/>
        <v>0.18276659761823533</v>
      </c>
      <c r="X268" s="2" t="s">
        <v>1169</v>
      </c>
      <c r="Y268" s="2">
        <f t="shared" si="100"/>
        <v>8.8495116926830722E-2</v>
      </c>
      <c r="Z268" s="2">
        <f t="shared" si="101"/>
        <v>0.14860408534306363</v>
      </c>
      <c r="AA268" s="2" t="str">
        <f t="shared" si="102"/>
        <v>No Impact</v>
      </c>
      <c r="AB268" s="2">
        <f t="shared" si="103"/>
        <v>7.660317350081576E-2</v>
      </c>
      <c r="AC268" s="2">
        <f t="shared" si="104"/>
        <v>0.16560610989555616</v>
      </c>
      <c r="AD268" s="2" t="str">
        <f t="shared" si="105"/>
        <v>Low</v>
      </c>
      <c r="AE268" s="2">
        <f t="shared" si="106"/>
        <v>1.8117107547528422E-2</v>
      </c>
      <c r="AF268" s="2">
        <f t="shared" si="107"/>
        <v>0.12344081860457919</v>
      </c>
      <c r="AG268" s="2" t="s">
        <v>1169</v>
      </c>
    </row>
    <row r="269" spans="1:33" x14ac:dyDescent="0.3">
      <c r="A269" s="2">
        <v>308694</v>
      </c>
      <c r="B269" s="2" t="s">
        <v>561</v>
      </c>
      <c r="C269" s="2" t="s">
        <v>551</v>
      </c>
      <c r="D269" s="2" t="s">
        <v>562</v>
      </c>
      <c r="E269" s="3">
        <v>6.4</v>
      </c>
      <c r="F269" s="4">
        <f t="shared" si="89"/>
        <v>0.71111111111111114</v>
      </c>
      <c r="G269" s="2">
        <v>81.668725199999997</v>
      </c>
      <c r="H269" s="2">
        <f t="shared" si="90"/>
        <v>0.35947246094742846</v>
      </c>
      <c r="I269" s="2">
        <v>15.8</v>
      </c>
      <c r="J269" s="4">
        <f t="shared" si="91"/>
        <v>0.23975720789074359</v>
      </c>
      <c r="K269" s="2">
        <v>0</v>
      </c>
      <c r="L269" s="4">
        <f t="shared" si="92"/>
        <v>0</v>
      </c>
      <c r="M269" s="2">
        <v>35519</v>
      </c>
      <c r="N269" s="2">
        <f t="shared" si="93"/>
        <v>0.16692452910533562</v>
      </c>
      <c r="O269" s="2">
        <v>0.482092462</v>
      </c>
      <c r="P269" s="2">
        <f t="shared" si="88"/>
        <v>0.47945794116871249</v>
      </c>
      <c r="Q269" s="2">
        <v>0.26950000000000002</v>
      </c>
      <c r="R269" s="2">
        <f t="shared" si="94"/>
        <v>0.62101910828025486</v>
      </c>
      <c r="S269" s="2">
        <f t="shared" si="95"/>
        <v>8.2063457517105656E-2</v>
      </c>
      <c r="T269" s="5">
        <f t="shared" si="96"/>
        <v>0.12833710020378838</v>
      </c>
      <c r="U269" s="2" t="str">
        <f t="shared" si="97"/>
        <v>No Impact</v>
      </c>
      <c r="V269" s="2">
        <f t="shared" si="98"/>
        <v>9.2619787455241881E-2</v>
      </c>
      <c r="W269" s="2">
        <f t="shared" si="99"/>
        <v>0.13553503523477989</v>
      </c>
      <c r="X269" s="2" t="s">
        <v>1169</v>
      </c>
      <c r="Y269" s="2">
        <f t="shared" si="100"/>
        <v>7.1507127578969432E-2</v>
      </c>
      <c r="Z269" s="2">
        <f t="shared" si="101"/>
        <v>0.1200772614173557</v>
      </c>
      <c r="AA269" s="2" t="str">
        <f t="shared" si="102"/>
        <v>No Impact</v>
      </c>
      <c r="AB269" s="2">
        <f t="shared" si="103"/>
        <v>6.258245123332086E-2</v>
      </c>
      <c r="AC269" s="2">
        <f t="shared" si="104"/>
        <v>0.13529512972942628</v>
      </c>
      <c r="AD269" s="2" t="str">
        <f t="shared" si="105"/>
        <v>No Impact</v>
      </c>
      <c r="AE269" s="2">
        <f t="shared" si="106"/>
        <v>2.4895392429415342E-2</v>
      </c>
      <c r="AF269" s="2">
        <f t="shared" si="107"/>
        <v>0.16962462760168986</v>
      </c>
      <c r="AG269" s="2" t="s">
        <v>1169</v>
      </c>
    </row>
    <row r="270" spans="1:33" x14ac:dyDescent="0.3">
      <c r="A270" s="2">
        <v>309309</v>
      </c>
      <c r="B270" s="2" t="s">
        <v>563</v>
      </c>
      <c r="C270" s="2" t="s">
        <v>564</v>
      </c>
      <c r="D270" s="2" t="s">
        <v>565</v>
      </c>
      <c r="E270" s="3">
        <v>5.9</v>
      </c>
      <c r="F270" s="4">
        <f t="shared" si="89"/>
        <v>0.60000000000000009</v>
      </c>
      <c r="G270" s="2">
        <v>59.671458000000001</v>
      </c>
      <c r="H270" s="2">
        <f t="shared" si="90"/>
        <v>0.18187821055413514</v>
      </c>
      <c r="I270" s="2">
        <v>0.90000000000000024</v>
      </c>
      <c r="J270" s="4">
        <f t="shared" si="91"/>
        <v>1.3657056145675271E-2</v>
      </c>
      <c r="K270" s="2">
        <v>0</v>
      </c>
      <c r="L270" s="4">
        <f t="shared" si="92"/>
        <v>0</v>
      </c>
      <c r="M270" s="2">
        <v>14864</v>
      </c>
      <c r="N270" s="2">
        <f t="shared" si="93"/>
        <v>6.9197030560247549E-2</v>
      </c>
      <c r="O270" s="2">
        <v>0.51767582099999998</v>
      </c>
      <c r="P270" s="2">
        <f t="shared" si="88"/>
        <v>0.52056348645310024</v>
      </c>
      <c r="Q270" s="2">
        <v>0.22739999999999999</v>
      </c>
      <c r="R270" s="2">
        <f t="shared" si="94"/>
        <v>0.49913144180660107</v>
      </c>
      <c r="S270" s="2">
        <f t="shared" si="95"/>
        <v>2.0935563573719E-2</v>
      </c>
      <c r="T270" s="5">
        <f t="shared" si="96"/>
        <v>3.2740632694194097E-2</v>
      </c>
      <c r="U270" s="2" t="str">
        <f t="shared" si="97"/>
        <v>No Impact</v>
      </c>
      <c r="V270" s="2">
        <f t="shared" si="98"/>
        <v>2.0495537914302076E-2</v>
      </c>
      <c r="W270" s="2">
        <f t="shared" si="99"/>
        <v>2.9992116476331689E-2</v>
      </c>
      <c r="X270" s="2" t="s">
        <v>1170</v>
      </c>
      <c r="Y270" s="2">
        <f t="shared" si="100"/>
        <v>2.1375589233135921E-2</v>
      </c>
      <c r="Z270" s="2">
        <f t="shared" si="101"/>
        <v>3.5894634607755667E-2</v>
      </c>
      <c r="AA270" s="2" t="str">
        <f t="shared" si="102"/>
        <v>No Impact</v>
      </c>
      <c r="AB270" s="2">
        <f t="shared" si="103"/>
        <v>1.4580603837115824E-2</v>
      </c>
      <c r="AC270" s="2">
        <f t="shared" si="104"/>
        <v>3.1521371387665253E-2</v>
      </c>
      <c r="AD270" s="2" t="str">
        <f t="shared" si="105"/>
        <v>No Impact</v>
      </c>
      <c r="AE270" s="2">
        <f t="shared" si="106"/>
        <v>2.8413965633409164E-3</v>
      </c>
      <c r="AF270" s="2">
        <f t="shared" si="107"/>
        <v>1.9359840793509563E-2</v>
      </c>
      <c r="AG270" s="2" t="s">
        <v>1170</v>
      </c>
    </row>
    <row r="271" spans="1:33" x14ac:dyDescent="0.3">
      <c r="A271" s="2">
        <v>309319</v>
      </c>
      <c r="B271" s="2" t="s">
        <v>566</v>
      </c>
      <c r="C271" s="2" t="s">
        <v>564</v>
      </c>
      <c r="D271" s="2" t="s">
        <v>567</v>
      </c>
      <c r="E271" s="3">
        <v>5.9</v>
      </c>
      <c r="F271" s="4">
        <f t="shared" si="89"/>
        <v>0.60000000000000009</v>
      </c>
      <c r="G271" s="2">
        <v>52.587471600000001</v>
      </c>
      <c r="H271" s="2">
        <f t="shared" si="90"/>
        <v>0.12468586738414876</v>
      </c>
      <c r="I271" s="2">
        <v>0</v>
      </c>
      <c r="J271" s="4">
        <f t="shared" si="91"/>
        <v>0</v>
      </c>
      <c r="K271" s="2">
        <v>0</v>
      </c>
      <c r="L271" s="4">
        <f t="shared" si="92"/>
        <v>0</v>
      </c>
      <c r="M271" s="2">
        <v>8293</v>
      </c>
      <c r="N271" s="2">
        <f t="shared" si="93"/>
        <v>3.8106863872289488E-2</v>
      </c>
      <c r="O271" s="2">
        <v>0.45000120500000002</v>
      </c>
      <c r="P271" s="2">
        <f t="shared" si="88"/>
        <v>0.44238643766488567</v>
      </c>
      <c r="Q271" s="2">
        <v>0.18279999999999999</v>
      </c>
      <c r="R271" s="2">
        <f t="shared" si="94"/>
        <v>0.370005790387956</v>
      </c>
      <c r="S271" s="2">
        <f t="shared" si="95"/>
        <v>1.0635852109145525E-2</v>
      </c>
      <c r="T271" s="5">
        <f t="shared" si="96"/>
        <v>1.6633157548834234E-2</v>
      </c>
      <c r="U271" s="2" t="str">
        <f t="shared" si="97"/>
        <v>No Impact</v>
      </c>
      <c r="V271" s="2">
        <f t="shared" si="98"/>
        <v>9.6882435114527647E-3</v>
      </c>
      <c r="W271" s="2">
        <f t="shared" si="99"/>
        <v>1.4177277467003759E-2</v>
      </c>
      <c r="X271" s="2" t="s">
        <v>1170</v>
      </c>
      <c r="Y271" s="2">
        <f t="shared" si="100"/>
        <v>1.1583460706838284E-2</v>
      </c>
      <c r="Z271" s="2">
        <f t="shared" si="101"/>
        <v>1.9451351026184435E-2</v>
      </c>
      <c r="AA271" s="2" t="str">
        <f t="shared" si="102"/>
        <v>No Impact</v>
      </c>
      <c r="AB271" s="2">
        <f t="shared" si="103"/>
        <v>7.2151504131376014E-3</v>
      </c>
      <c r="AC271" s="2">
        <f t="shared" si="104"/>
        <v>1.5598217901746703E-2</v>
      </c>
      <c r="AD271" s="2" t="str">
        <f t="shared" si="105"/>
        <v>No Impact</v>
      </c>
      <c r="AE271" s="2">
        <f t="shared" si="106"/>
        <v>9.9779134879328032E-4</v>
      </c>
      <c r="AF271" s="2">
        <f t="shared" si="107"/>
        <v>6.7984461961430815E-3</v>
      </c>
      <c r="AG271" s="2" t="s">
        <v>1170</v>
      </c>
    </row>
    <row r="272" spans="1:33" x14ac:dyDescent="0.3">
      <c r="A272" s="2">
        <v>309323</v>
      </c>
      <c r="B272" s="2" t="s">
        <v>568</v>
      </c>
      <c r="C272" s="2" t="s">
        <v>564</v>
      </c>
      <c r="D272" s="2" t="s">
        <v>569</v>
      </c>
      <c r="E272" s="3">
        <v>5.9</v>
      </c>
      <c r="F272" s="4">
        <f t="shared" si="89"/>
        <v>0.60000000000000009</v>
      </c>
      <c r="G272" s="2">
        <v>72.440207999999998</v>
      </c>
      <c r="H272" s="2">
        <f t="shared" si="90"/>
        <v>0.28496631527604188</v>
      </c>
      <c r="I272" s="2">
        <v>3.0999999999999996</v>
      </c>
      <c r="J272" s="4">
        <f t="shared" si="91"/>
        <v>4.7040971168437029E-2</v>
      </c>
      <c r="K272" s="2">
        <v>0</v>
      </c>
      <c r="L272" s="4">
        <f t="shared" si="92"/>
        <v>0</v>
      </c>
      <c r="M272" s="2">
        <v>27551</v>
      </c>
      <c r="N272" s="2">
        <f t="shared" si="93"/>
        <v>0.12922456742984487</v>
      </c>
      <c r="O272" s="2">
        <v>0.80807754700000001</v>
      </c>
      <c r="P272" s="2">
        <f t="shared" si="88"/>
        <v>0.85603269549425309</v>
      </c>
      <c r="Q272" s="2">
        <v>0.25600000000000001</v>
      </c>
      <c r="R272" s="2">
        <f t="shared" si="94"/>
        <v>0.58193398957730169</v>
      </c>
      <c r="S272" s="2">
        <f t="shared" si="95"/>
        <v>5.0128618796357806E-2</v>
      </c>
      <c r="T272" s="5">
        <f t="shared" si="96"/>
        <v>7.839496126768343E-2</v>
      </c>
      <c r="U272" s="2" t="str">
        <f t="shared" si="97"/>
        <v>No Impact</v>
      </c>
      <c r="V272" s="2">
        <f t="shared" si="98"/>
        <v>4.0573328201567622E-2</v>
      </c>
      <c r="W272" s="2">
        <f t="shared" si="99"/>
        <v>5.9372922552312885E-2</v>
      </c>
      <c r="X272" s="2" t="s">
        <v>1170</v>
      </c>
      <c r="Y272" s="2">
        <f t="shared" si="100"/>
        <v>5.9683909391147975E-2</v>
      </c>
      <c r="Z272" s="2">
        <f t="shared" si="101"/>
        <v>0.10022330127099664</v>
      </c>
      <c r="AA272" s="2" t="str">
        <f t="shared" si="102"/>
        <v>No Impact</v>
      </c>
      <c r="AB272" s="2">
        <f t="shared" si="103"/>
        <v>3.5259244789007375E-2</v>
      </c>
      <c r="AC272" s="2">
        <f t="shared" si="104"/>
        <v>7.6225906845758667E-2</v>
      </c>
      <c r="AD272" s="2" t="str">
        <f t="shared" si="105"/>
        <v>No Impact</v>
      </c>
      <c r="AE272" s="2">
        <f t="shared" si="106"/>
        <v>9.0097345746123214E-3</v>
      </c>
      <c r="AF272" s="2">
        <f t="shared" si="107"/>
        <v>6.1387779941277087E-2</v>
      </c>
      <c r="AG272" s="2" t="s">
        <v>1169</v>
      </c>
    </row>
    <row r="273" spans="1:33" x14ac:dyDescent="0.3">
      <c r="A273" s="2">
        <v>309325</v>
      </c>
      <c r="B273" s="2" t="s">
        <v>570</v>
      </c>
      <c r="C273" s="2" t="s">
        <v>564</v>
      </c>
      <c r="D273" s="2" t="s">
        <v>571</v>
      </c>
      <c r="E273" s="3">
        <v>5</v>
      </c>
      <c r="F273" s="4">
        <f t="shared" si="89"/>
        <v>0.39999999999999997</v>
      </c>
      <c r="G273" s="2">
        <v>52.587471600000001</v>
      </c>
      <c r="H273" s="2">
        <f t="shared" si="90"/>
        <v>0.12468586738414876</v>
      </c>
      <c r="I273" s="2">
        <v>0</v>
      </c>
      <c r="J273" s="4">
        <f t="shared" si="91"/>
        <v>0</v>
      </c>
      <c r="K273" s="2">
        <v>0</v>
      </c>
      <c r="L273" s="4">
        <f t="shared" si="92"/>
        <v>0</v>
      </c>
      <c r="M273" s="2">
        <v>20219</v>
      </c>
      <c r="N273" s="2">
        <f t="shared" si="93"/>
        <v>9.453378944230742E-2</v>
      </c>
      <c r="O273" s="2">
        <v>0.47338655699999999</v>
      </c>
      <c r="P273" s="2">
        <f t="shared" si="88"/>
        <v>0.46940096559709543</v>
      </c>
      <c r="Q273" s="2">
        <v>0.2432</v>
      </c>
      <c r="R273" s="2">
        <f t="shared" si="94"/>
        <v>0.54487550665894624</v>
      </c>
      <c r="S273" s="2">
        <f t="shared" si="95"/>
        <v>8.8526159197405297E-3</v>
      </c>
      <c r="T273" s="5">
        <f t="shared" si="96"/>
        <v>1.3844396650245637E-2</v>
      </c>
      <c r="U273" s="2" t="str">
        <f t="shared" si="97"/>
        <v>No Impact</v>
      </c>
      <c r="V273" s="2">
        <f t="shared" si="98"/>
        <v>9.5113585229807517E-3</v>
      </c>
      <c r="W273" s="2">
        <f t="shared" si="99"/>
        <v>1.3918433068805984E-2</v>
      </c>
      <c r="X273" s="2" t="s">
        <v>1170</v>
      </c>
      <c r="Y273" s="2">
        <f t="shared" si="100"/>
        <v>8.1938733165003129E-3</v>
      </c>
      <c r="Z273" s="2">
        <f t="shared" si="101"/>
        <v>1.3759437717023782E-2</v>
      </c>
      <c r="AA273" s="2" t="str">
        <f t="shared" si="102"/>
        <v>No Impact</v>
      </c>
      <c r="AB273" s="2">
        <f t="shared" si="103"/>
        <v>6.36470182714586E-3</v>
      </c>
      <c r="AC273" s="2">
        <f t="shared" si="104"/>
        <v>1.3759658537221565E-2</v>
      </c>
      <c r="AD273" s="2" t="str">
        <f t="shared" si="105"/>
        <v>No Impact</v>
      </c>
      <c r="AE273" s="2">
        <f t="shared" si="106"/>
        <v>1.6501838547214416E-3</v>
      </c>
      <c r="AF273" s="2">
        <f t="shared" si="107"/>
        <v>1.1243519162233154E-2</v>
      </c>
      <c r="AG273" s="2" t="s">
        <v>1170</v>
      </c>
    </row>
    <row r="274" spans="1:33" x14ac:dyDescent="0.3">
      <c r="A274" s="2">
        <v>309328</v>
      </c>
      <c r="B274" s="2" t="s">
        <v>572</v>
      </c>
      <c r="C274" s="2" t="s">
        <v>564</v>
      </c>
      <c r="D274" s="2" t="s">
        <v>573</v>
      </c>
      <c r="E274" s="3">
        <v>5.9</v>
      </c>
      <c r="F274" s="4">
        <f t="shared" si="89"/>
        <v>0.60000000000000009</v>
      </c>
      <c r="G274" s="2">
        <v>52.587471600000001</v>
      </c>
      <c r="H274" s="2">
        <f t="shared" si="90"/>
        <v>0.12468586738414876</v>
      </c>
      <c r="I274" s="2">
        <v>9.9999999999999825E-2</v>
      </c>
      <c r="J274" s="4">
        <f t="shared" si="91"/>
        <v>1.5174506828528047E-3</v>
      </c>
      <c r="K274" s="2">
        <v>0</v>
      </c>
      <c r="L274" s="4">
        <f t="shared" si="92"/>
        <v>0</v>
      </c>
      <c r="M274" s="2">
        <v>34950</v>
      </c>
      <c r="N274" s="2">
        <f t="shared" si="93"/>
        <v>0.16423235061721386</v>
      </c>
      <c r="O274" s="2">
        <v>0.64504028599999996</v>
      </c>
      <c r="P274" s="2">
        <f t="shared" si="88"/>
        <v>0.66769365996143404</v>
      </c>
      <c r="Q274" s="2">
        <v>0.25330000000000003</v>
      </c>
      <c r="R274" s="2">
        <f t="shared" si="94"/>
        <v>0.57411696583671112</v>
      </c>
      <c r="S274" s="2">
        <f t="shared" si="95"/>
        <v>1.6455665245591486E-2</v>
      </c>
      <c r="T274" s="5">
        <f t="shared" si="96"/>
        <v>2.5734625659700788E-2</v>
      </c>
      <c r="U274" s="2" t="str">
        <f t="shared" si="97"/>
        <v>No Impact</v>
      </c>
      <c r="V274" s="2">
        <f t="shared" si="98"/>
        <v>1.521564786990199E-2</v>
      </c>
      <c r="W274" s="2">
        <f t="shared" si="99"/>
        <v>2.2265796832709694E-2</v>
      </c>
      <c r="X274" s="2" t="s">
        <v>1170</v>
      </c>
      <c r="Y274" s="2">
        <f t="shared" si="100"/>
        <v>1.7695682621280982E-2</v>
      </c>
      <c r="Z274" s="2">
        <f t="shared" si="101"/>
        <v>2.9715207141099629E-2</v>
      </c>
      <c r="AA274" s="2" t="str">
        <f t="shared" si="102"/>
        <v>No Impact</v>
      </c>
      <c r="AB274" s="2">
        <f t="shared" si="103"/>
        <v>1.2157591608114906E-2</v>
      </c>
      <c r="AC274" s="2">
        <f t="shared" si="104"/>
        <v>2.6283133712434615E-2</v>
      </c>
      <c r="AD274" s="2" t="str">
        <f t="shared" si="105"/>
        <v>No Impact</v>
      </c>
      <c r="AE274" s="2">
        <f t="shared" si="106"/>
        <v>4.3526001921854679E-3</v>
      </c>
      <c r="AF274" s="2">
        <f t="shared" si="107"/>
        <v>2.9656418905297108E-2</v>
      </c>
      <c r="AG274" s="2" t="s">
        <v>1170</v>
      </c>
    </row>
    <row r="275" spans="1:33" x14ac:dyDescent="0.3">
      <c r="A275" s="2">
        <v>309338</v>
      </c>
      <c r="B275" s="2" t="s">
        <v>574</v>
      </c>
      <c r="C275" s="2" t="s">
        <v>564</v>
      </c>
      <c r="D275" s="2" t="s">
        <v>575</v>
      </c>
      <c r="E275" s="3">
        <v>5.9</v>
      </c>
      <c r="F275" s="4">
        <f t="shared" si="89"/>
        <v>0.60000000000000009</v>
      </c>
      <c r="G275" s="2">
        <v>52.587471600000001</v>
      </c>
      <c r="H275" s="2">
        <f t="shared" si="90"/>
        <v>0.12468586738414876</v>
      </c>
      <c r="I275" s="2">
        <v>9.9999999999999825E-2</v>
      </c>
      <c r="J275" s="4">
        <f t="shared" si="91"/>
        <v>1.5174506828528047E-3</v>
      </c>
      <c r="K275" s="2">
        <v>0</v>
      </c>
      <c r="L275" s="4">
        <f t="shared" si="92"/>
        <v>0</v>
      </c>
      <c r="M275" s="2">
        <v>19705</v>
      </c>
      <c r="N275" s="2">
        <f t="shared" si="93"/>
        <v>9.2101839103301109E-2</v>
      </c>
      <c r="O275" s="2">
        <v>0.71237718800000005</v>
      </c>
      <c r="P275" s="2">
        <f t="shared" si="88"/>
        <v>0.74548058486842195</v>
      </c>
      <c r="Q275" s="2">
        <v>0.23230000000000001</v>
      </c>
      <c r="R275" s="2">
        <f t="shared" si="94"/>
        <v>0.51331789229878411</v>
      </c>
      <c r="S275" s="2">
        <f t="shared" si="95"/>
        <v>1.6680777182599964E-2</v>
      </c>
      <c r="T275" s="5">
        <f t="shared" si="96"/>
        <v>2.6086672893524735E-2</v>
      </c>
      <c r="U275" s="2" t="str">
        <f t="shared" si="97"/>
        <v>No Impact</v>
      </c>
      <c r="V275" s="2">
        <f t="shared" si="98"/>
        <v>1.3604308458565926E-2</v>
      </c>
      <c r="W275" s="2">
        <f t="shared" si="99"/>
        <v>1.990784557962395E-2</v>
      </c>
      <c r="X275" s="2" t="s">
        <v>1170</v>
      </c>
      <c r="Y275" s="2">
        <f t="shared" si="100"/>
        <v>1.9757245906634E-2</v>
      </c>
      <c r="Z275" s="2">
        <f t="shared" si="101"/>
        <v>3.3177056077352544E-2</v>
      </c>
      <c r="AA275" s="2" t="str">
        <f t="shared" si="102"/>
        <v>No Impact</v>
      </c>
      <c r="AB275" s="2">
        <f t="shared" si="103"/>
        <v>1.154301322306414E-2</v>
      </c>
      <c r="AC275" s="2">
        <f t="shared" si="104"/>
        <v>2.4954495081385381E-2</v>
      </c>
      <c r="AD275" s="2" t="str">
        <f t="shared" si="105"/>
        <v>No Impact</v>
      </c>
      <c r="AE275" s="2">
        <f t="shared" si="106"/>
        <v>2.4409471159310397E-3</v>
      </c>
      <c r="AF275" s="2">
        <f t="shared" si="107"/>
        <v>1.6631380554017847E-2</v>
      </c>
      <c r="AG275" s="2" t="s">
        <v>1170</v>
      </c>
    </row>
    <row r="276" spans="1:33" x14ac:dyDescent="0.3">
      <c r="A276" s="2">
        <v>309347</v>
      </c>
      <c r="B276" s="2" t="s">
        <v>576</v>
      </c>
      <c r="C276" s="2" t="s">
        <v>564</v>
      </c>
      <c r="D276" s="2" t="s">
        <v>577</v>
      </c>
      <c r="E276" s="3">
        <v>5.9</v>
      </c>
      <c r="F276" s="4">
        <f t="shared" si="89"/>
        <v>0.60000000000000009</v>
      </c>
      <c r="G276" s="2">
        <v>61.2956772</v>
      </c>
      <c r="H276" s="2">
        <f t="shared" si="90"/>
        <v>0.19499129358739459</v>
      </c>
      <c r="I276" s="2">
        <v>0.5</v>
      </c>
      <c r="J276" s="4">
        <f t="shared" si="91"/>
        <v>7.5872534142640375E-3</v>
      </c>
      <c r="K276" s="2">
        <v>0</v>
      </c>
      <c r="L276" s="4">
        <f t="shared" si="92"/>
        <v>0</v>
      </c>
      <c r="M276" s="2">
        <v>36750</v>
      </c>
      <c r="N276" s="2">
        <f t="shared" si="93"/>
        <v>0.17274890822462893</v>
      </c>
      <c r="O276" s="2">
        <v>0.55803476600000002</v>
      </c>
      <c r="P276" s="2">
        <f t="shared" si="88"/>
        <v>0.56718574157318657</v>
      </c>
      <c r="Q276" s="2">
        <v>0.2198</v>
      </c>
      <c r="R276" s="2">
        <f t="shared" si="94"/>
        <v>0.47712796757382747</v>
      </c>
      <c r="S276" s="2">
        <f t="shared" si="95"/>
        <v>2.2213333150356059E-2</v>
      </c>
      <c r="T276" s="5">
        <f t="shared" si="96"/>
        <v>3.4738906312631886E-2</v>
      </c>
      <c r="U276" s="2" t="str">
        <f t="shared" si="97"/>
        <v>No Impact</v>
      </c>
      <c r="V276" s="2">
        <f t="shared" si="98"/>
        <v>2.0297736985041698E-2</v>
      </c>
      <c r="W276" s="2">
        <f t="shared" si="99"/>
        <v>2.9702664765705242E-2</v>
      </c>
      <c r="X276" s="2" t="s">
        <v>1170</v>
      </c>
      <c r="Y276" s="2">
        <f t="shared" si="100"/>
        <v>2.4128929315670424E-2</v>
      </c>
      <c r="Z276" s="2">
        <f t="shared" si="101"/>
        <v>4.0518139257641986E-2</v>
      </c>
      <c r="AA276" s="2" t="str">
        <f t="shared" si="102"/>
        <v>No Impact</v>
      </c>
      <c r="AB276" s="2">
        <f t="shared" si="103"/>
        <v>1.6915035617049434E-2</v>
      </c>
      <c r="AC276" s="2">
        <f t="shared" si="104"/>
        <v>3.6568109639145752E-2</v>
      </c>
      <c r="AD276" s="2" t="str">
        <f t="shared" si="105"/>
        <v>No Impact</v>
      </c>
      <c r="AE276" s="2">
        <f t="shared" si="106"/>
        <v>7.348996793096323E-3</v>
      </c>
      <c r="AF276" s="2">
        <f t="shared" si="107"/>
        <v>5.007235165339597E-2</v>
      </c>
      <c r="AG276" s="2" t="s">
        <v>1169</v>
      </c>
    </row>
    <row r="277" spans="1:33" x14ac:dyDescent="0.3">
      <c r="A277" s="2">
        <v>309357</v>
      </c>
      <c r="B277" s="2" t="s">
        <v>578</v>
      </c>
      <c r="C277" s="2" t="s">
        <v>564</v>
      </c>
      <c r="D277" s="2" t="s">
        <v>579</v>
      </c>
      <c r="E277" s="3">
        <v>5.3</v>
      </c>
      <c r="F277" s="4">
        <f t="shared" si="89"/>
        <v>0.46666666666666656</v>
      </c>
      <c r="G277" s="2">
        <v>52.587471600000001</v>
      </c>
      <c r="H277" s="2">
        <f t="shared" si="90"/>
        <v>0.12468586738414876</v>
      </c>
      <c r="I277" s="2">
        <v>0</v>
      </c>
      <c r="J277" s="4">
        <f t="shared" si="91"/>
        <v>0</v>
      </c>
      <c r="K277" s="2">
        <v>0</v>
      </c>
      <c r="L277" s="4">
        <f t="shared" si="92"/>
        <v>0</v>
      </c>
      <c r="M277" s="2">
        <v>40172</v>
      </c>
      <c r="N277" s="2">
        <f t="shared" si="93"/>
        <v>0.18893983052050362</v>
      </c>
      <c r="O277" s="2">
        <v>0.64604982</v>
      </c>
      <c r="P277" s="2">
        <f t="shared" si="88"/>
        <v>0.6688598636791081</v>
      </c>
      <c r="Q277" s="2">
        <v>0.26679999999999998</v>
      </c>
      <c r="R277" s="2">
        <f t="shared" si="94"/>
        <v>0.61320208453966418</v>
      </c>
      <c r="S277" s="2">
        <f t="shared" si="95"/>
        <v>1.3054825494399316E-2</v>
      </c>
      <c r="T277" s="5">
        <f t="shared" si="96"/>
        <v>2.0416132811226787E-2</v>
      </c>
      <c r="U277" s="2" t="str">
        <f t="shared" si="97"/>
        <v>No Impact</v>
      </c>
      <c r="V277" s="2">
        <f t="shared" si="98"/>
        <v>1.2488080186124033E-2</v>
      </c>
      <c r="W277" s="2">
        <f t="shared" si="99"/>
        <v>1.8274414512762793E-2</v>
      </c>
      <c r="X277" s="2" t="s">
        <v>1170</v>
      </c>
      <c r="Y277" s="2">
        <f t="shared" si="100"/>
        <v>1.36215708026746E-2</v>
      </c>
      <c r="Z277" s="2">
        <f t="shared" si="101"/>
        <v>2.2873816549006887E-2</v>
      </c>
      <c r="AA277" s="2" t="str">
        <f t="shared" si="102"/>
        <v>No Impact</v>
      </c>
      <c r="AB277" s="2">
        <f t="shared" si="103"/>
        <v>9.8040388795439613E-3</v>
      </c>
      <c r="AC277" s="2">
        <f t="shared" si="104"/>
        <v>2.1195058453926486E-2</v>
      </c>
      <c r="AD277" s="2" t="str">
        <f t="shared" si="105"/>
        <v>No Impact</v>
      </c>
      <c r="AE277" s="2">
        <f t="shared" si="106"/>
        <v>3.8478273531376314E-3</v>
      </c>
      <c r="AF277" s="2">
        <f t="shared" si="107"/>
        <v>2.6217151776261223E-2</v>
      </c>
      <c r="AG277" s="2" t="s">
        <v>1170</v>
      </c>
    </row>
    <row r="278" spans="1:33" x14ac:dyDescent="0.3">
      <c r="A278" s="2">
        <v>309366</v>
      </c>
      <c r="B278" s="2" t="s">
        <v>580</v>
      </c>
      <c r="C278" s="2" t="s">
        <v>564</v>
      </c>
      <c r="D278" s="2" t="s">
        <v>581</v>
      </c>
      <c r="E278" s="3">
        <v>5.9</v>
      </c>
      <c r="F278" s="4">
        <f t="shared" si="89"/>
        <v>0.60000000000000009</v>
      </c>
      <c r="G278" s="2">
        <v>62.607005999999998</v>
      </c>
      <c r="H278" s="2">
        <f t="shared" si="90"/>
        <v>0.20557826573887786</v>
      </c>
      <c r="I278" s="2">
        <v>1.9000000000000006</v>
      </c>
      <c r="J278" s="4">
        <f t="shared" si="91"/>
        <v>2.8831562974203351E-2</v>
      </c>
      <c r="K278" s="2">
        <v>0</v>
      </c>
      <c r="L278" s="4">
        <f t="shared" si="92"/>
        <v>0</v>
      </c>
      <c r="M278" s="2">
        <v>80305</v>
      </c>
      <c r="N278" s="2">
        <f t="shared" si="93"/>
        <v>0.37882594521960888</v>
      </c>
      <c r="O278" s="2">
        <v>0.62998493700000002</v>
      </c>
      <c r="P278" s="2">
        <f t="shared" si="88"/>
        <v>0.65030186931874168</v>
      </c>
      <c r="Q278" s="2">
        <v>0.24299999999999999</v>
      </c>
      <c r="R278" s="2">
        <f t="shared" si="94"/>
        <v>0.54429646786334684</v>
      </c>
      <c r="S278" s="2">
        <f t="shared" si="95"/>
        <v>2.940268711797743E-2</v>
      </c>
      <c r="T278" s="5">
        <f t="shared" si="96"/>
        <v>4.5982166936287719E-2</v>
      </c>
      <c r="U278" s="2" t="str">
        <f t="shared" si="97"/>
        <v>No Impact</v>
      </c>
      <c r="V278" s="2">
        <f t="shared" si="98"/>
        <v>2.6793572778206272E-2</v>
      </c>
      <c r="W278" s="2">
        <f t="shared" si="99"/>
        <v>3.9208336904408447E-2</v>
      </c>
      <c r="X278" s="2" t="s">
        <v>1170</v>
      </c>
      <c r="Y278" s="2">
        <f t="shared" si="100"/>
        <v>3.2011801457748582E-2</v>
      </c>
      <c r="Z278" s="2">
        <f t="shared" si="101"/>
        <v>5.3755332960865147E-2</v>
      </c>
      <c r="AA278" s="2" t="str">
        <f t="shared" si="102"/>
        <v>No Impact</v>
      </c>
      <c r="AB278" s="2">
        <f t="shared" si="103"/>
        <v>2.5508129492125244E-2</v>
      </c>
      <c r="AC278" s="2">
        <f t="shared" si="104"/>
        <v>5.51452623024552E-2</v>
      </c>
      <c r="AD278" s="2" t="str">
        <f t="shared" si="105"/>
        <v>No Impact</v>
      </c>
      <c r="AE278" s="2">
        <f t="shared" si="106"/>
        <v>1.864811023550992E-2</v>
      </c>
      <c r="AF278" s="2">
        <f t="shared" si="107"/>
        <v>0.12705880267370892</v>
      </c>
      <c r="AG278" s="2" t="s">
        <v>1169</v>
      </c>
    </row>
    <row r="279" spans="1:33" x14ac:dyDescent="0.3">
      <c r="A279" s="2">
        <v>309376</v>
      </c>
      <c r="B279" s="2" t="s">
        <v>582</v>
      </c>
      <c r="C279" s="2" t="s">
        <v>564</v>
      </c>
      <c r="D279" s="2" t="s">
        <v>583</v>
      </c>
      <c r="E279" s="3">
        <v>5.2</v>
      </c>
      <c r="F279" s="4">
        <f t="shared" si="89"/>
        <v>0.44444444444444442</v>
      </c>
      <c r="G279" s="2">
        <v>72.440207999999998</v>
      </c>
      <c r="H279" s="2">
        <f t="shared" si="90"/>
        <v>0.28496631527604188</v>
      </c>
      <c r="I279" s="2">
        <v>3.0999999999999996</v>
      </c>
      <c r="J279" s="4">
        <f t="shared" si="91"/>
        <v>4.7040971168437029E-2</v>
      </c>
      <c r="K279" s="2">
        <v>0</v>
      </c>
      <c r="L279" s="4">
        <f t="shared" si="92"/>
        <v>0</v>
      </c>
      <c r="M279" s="2">
        <v>29372</v>
      </c>
      <c r="N279" s="2">
        <f t="shared" si="93"/>
        <v>0.13784048487601311</v>
      </c>
      <c r="O279" s="2">
        <v>0.37781035000000002</v>
      </c>
      <c r="P279" s="2">
        <f t="shared" si="88"/>
        <v>0.35899227413689561</v>
      </c>
      <c r="Q279" s="2">
        <v>0.249</v>
      </c>
      <c r="R279" s="2">
        <f t="shared" si="94"/>
        <v>0.56166763173132606</v>
      </c>
      <c r="S279" s="2">
        <f t="shared" si="95"/>
        <v>2.377400643998626E-2</v>
      </c>
      <c r="T279" s="5">
        <f t="shared" si="96"/>
        <v>3.7179606356435149E-2</v>
      </c>
      <c r="U279" s="2" t="str">
        <f t="shared" si="97"/>
        <v>No Impact</v>
      </c>
      <c r="V279" s="2">
        <f t="shared" si="98"/>
        <v>2.9007649423637802E-2</v>
      </c>
      <c r="W279" s="2">
        <f t="shared" si="99"/>
        <v>4.2448302838211528E-2</v>
      </c>
      <c r="X279" s="2" t="s">
        <v>1170</v>
      </c>
      <c r="Y279" s="2">
        <f t="shared" si="100"/>
        <v>1.8540363456334717E-2</v>
      </c>
      <c r="Z279" s="2">
        <f t="shared" si="101"/>
        <v>3.1133624645466113E-2</v>
      </c>
      <c r="AA279" s="2" t="str">
        <f t="shared" si="102"/>
        <v>No Impact</v>
      </c>
      <c r="AB279" s="2">
        <f t="shared" si="103"/>
        <v>1.8206384359560245E-2</v>
      </c>
      <c r="AC279" s="2">
        <f t="shared" si="104"/>
        <v>3.935983786648161E-2</v>
      </c>
      <c r="AD279" s="2" t="str">
        <f t="shared" si="105"/>
        <v>No Impact</v>
      </c>
      <c r="AE279" s="2">
        <f t="shared" si="106"/>
        <v>7.118851498247431E-3</v>
      </c>
      <c r="AF279" s="2">
        <f t="shared" si="107"/>
        <v>4.8504257876858491E-2</v>
      </c>
      <c r="AG279" s="2" t="s">
        <v>1169</v>
      </c>
    </row>
    <row r="280" spans="1:33" x14ac:dyDescent="0.3">
      <c r="A280" s="2">
        <v>309385</v>
      </c>
      <c r="B280" s="2" t="s">
        <v>584</v>
      </c>
      <c r="C280" s="2" t="s">
        <v>564</v>
      </c>
      <c r="D280" s="2" t="s">
        <v>1155</v>
      </c>
      <c r="E280" s="3">
        <v>5.9</v>
      </c>
      <c r="F280" s="4">
        <f t="shared" si="89"/>
        <v>0.60000000000000009</v>
      </c>
      <c r="G280" s="2">
        <v>59.671458000000001</v>
      </c>
      <c r="H280" s="2">
        <f t="shared" si="90"/>
        <v>0.18187821055413514</v>
      </c>
      <c r="I280" s="2">
        <v>0.20000000000000009</v>
      </c>
      <c r="J280" s="4">
        <f t="shared" si="91"/>
        <v>3.0349013657056164E-3</v>
      </c>
      <c r="K280" s="2">
        <v>0</v>
      </c>
      <c r="L280" s="4">
        <f t="shared" si="92"/>
        <v>0</v>
      </c>
      <c r="M280" s="2">
        <v>55940</v>
      </c>
      <c r="N280" s="2">
        <f t="shared" si="93"/>
        <v>0.26354487516145975</v>
      </c>
      <c r="O280" s="2">
        <v>0.80603027999999999</v>
      </c>
      <c r="P280" s="2">
        <f t="shared" si="88"/>
        <v>0.85366771285229026</v>
      </c>
      <c r="Q280" s="2">
        <v>0.28649999999999998</v>
      </c>
      <c r="R280" s="2">
        <f t="shared" si="94"/>
        <v>0.67023740590619574</v>
      </c>
      <c r="S280" s="2">
        <f t="shared" si="95"/>
        <v>2.9587953966921647E-2</v>
      </c>
      <c r="T280" s="5">
        <f t="shared" si="96"/>
        <v>4.6271901379324534E-2</v>
      </c>
      <c r="U280" s="2" t="str">
        <f t="shared" si="97"/>
        <v>No Impact</v>
      </c>
      <c r="V280" s="2">
        <f t="shared" si="98"/>
        <v>2.6026493734751181E-2</v>
      </c>
      <c r="W280" s="2">
        <f t="shared" si="99"/>
        <v>3.8085832868942071E-2</v>
      </c>
      <c r="X280" s="2" t="s">
        <v>1170</v>
      </c>
      <c r="Y280" s="2">
        <f t="shared" si="100"/>
        <v>3.3149414199092106E-2</v>
      </c>
      <c r="Z280" s="2">
        <f t="shared" si="101"/>
        <v>5.5665651934077492E-2</v>
      </c>
      <c r="AA280" s="2" t="str">
        <f t="shared" si="102"/>
        <v>No Impact</v>
      </c>
      <c r="AB280" s="2">
        <f t="shared" si="103"/>
        <v>2.2635965437142958E-2</v>
      </c>
      <c r="AC280" s="2">
        <f t="shared" si="104"/>
        <v>4.8936016726977866E-2</v>
      </c>
      <c r="AD280" s="2" t="str">
        <f t="shared" si="105"/>
        <v>No Impact</v>
      </c>
      <c r="AE280" s="2">
        <f t="shared" si="106"/>
        <v>1.0233909629292609E-2</v>
      </c>
      <c r="AF280" s="2">
        <f t="shared" si="107"/>
        <v>6.9728690347014302E-2</v>
      </c>
      <c r="AG280" s="2" t="s">
        <v>1169</v>
      </c>
    </row>
    <row r="281" spans="1:33" x14ac:dyDescent="0.3">
      <c r="A281" s="2">
        <v>309395</v>
      </c>
      <c r="B281" s="2" t="s">
        <v>585</v>
      </c>
      <c r="C281" s="2" t="s">
        <v>564</v>
      </c>
      <c r="D281" s="2" t="s">
        <v>586</v>
      </c>
      <c r="E281" s="3">
        <v>5.9</v>
      </c>
      <c r="F281" s="4">
        <f t="shared" si="89"/>
        <v>0.60000000000000009</v>
      </c>
      <c r="G281" s="2">
        <v>61.2956772</v>
      </c>
      <c r="H281" s="2">
        <f t="shared" si="90"/>
        <v>0.19499129358739459</v>
      </c>
      <c r="I281" s="2">
        <v>1</v>
      </c>
      <c r="J281" s="4">
        <f t="shared" si="91"/>
        <v>1.5174506828528075E-2</v>
      </c>
      <c r="K281" s="2">
        <v>0</v>
      </c>
      <c r="L281" s="4">
        <f t="shared" si="92"/>
        <v>0</v>
      </c>
      <c r="M281" s="2">
        <v>51021</v>
      </c>
      <c r="N281" s="2">
        <f t="shared" si="93"/>
        <v>0.24027101578875151</v>
      </c>
      <c r="O281" s="2">
        <v>0.68154551299999999</v>
      </c>
      <c r="P281" s="2">
        <f t="shared" si="88"/>
        <v>0.70986413806512727</v>
      </c>
      <c r="Q281" s="2">
        <v>0.23799999999999999</v>
      </c>
      <c r="R281" s="2">
        <f t="shared" si="94"/>
        <v>0.52982049797336428</v>
      </c>
      <c r="S281" s="2">
        <f t="shared" si="95"/>
        <v>2.7356627948616895E-2</v>
      </c>
      <c r="T281" s="5">
        <f t="shared" si="96"/>
        <v>4.2782383395771305E-2</v>
      </c>
      <c r="U281" s="2" t="str">
        <f t="shared" si="97"/>
        <v>No Impact</v>
      </c>
      <c r="V281" s="2">
        <f t="shared" si="98"/>
        <v>2.3383531297000316E-2</v>
      </c>
      <c r="W281" s="2">
        <f t="shared" si="99"/>
        <v>3.4218257516344018E-2</v>
      </c>
      <c r="X281" s="2" t="s">
        <v>1170</v>
      </c>
      <c r="Y281" s="2">
        <f t="shared" si="100"/>
        <v>3.132972460023347E-2</v>
      </c>
      <c r="Z281" s="2">
        <f t="shared" si="101"/>
        <v>5.2609965724065968E-2</v>
      </c>
      <c r="AA281" s="2" t="str">
        <f t="shared" si="102"/>
        <v>No Impact</v>
      </c>
      <c r="AB281" s="2">
        <f t="shared" si="103"/>
        <v>2.1294664484744395E-2</v>
      </c>
      <c r="AC281" s="2">
        <f t="shared" si="104"/>
        <v>4.6036298310957346E-2</v>
      </c>
      <c r="AD281" s="2" t="str">
        <f t="shared" si="105"/>
        <v>No Impact</v>
      </c>
      <c r="AE281" s="2">
        <f t="shared" si="106"/>
        <v>1.0604317573497848E-2</v>
      </c>
      <c r="AF281" s="2">
        <f t="shared" si="107"/>
        <v>7.225246295974419E-2</v>
      </c>
      <c r="AG281" s="2" t="s">
        <v>1169</v>
      </c>
    </row>
    <row r="282" spans="1:33" x14ac:dyDescent="0.3">
      <c r="A282" s="2">
        <v>400108</v>
      </c>
      <c r="B282" s="2" t="s">
        <v>587</v>
      </c>
      <c r="C282" s="2" t="s">
        <v>588</v>
      </c>
      <c r="D282" s="2" t="s">
        <v>589</v>
      </c>
      <c r="E282" s="3">
        <v>6.9</v>
      </c>
      <c r="F282" s="4">
        <f t="shared" si="89"/>
        <v>0.8222222222222223</v>
      </c>
      <c r="G282" s="2">
        <v>124.18669440000001</v>
      </c>
      <c r="H282" s="2">
        <f t="shared" si="90"/>
        <v>0.70273995866274186</v>
      </c>
      <c r="I282" s="2">
        <v>46.4</v>
      </c>
      <c r="J282" s="4">
        <f t="shared" si="91"/>
        <v>0.70409711684370269</v>
      </c>
      <c r="K282" s="2">
        <v>1</v>
      </c>
      <c r="L282" s="4">
        <f t="shared" si="92"/>
        <v>0.41666666666666669</v>
      </c>
      <c r="M282" s="2">
        <v>24641</v>
      </c>
      <c r="N282" s="2">
        <f t="shared" si="93"/>
        <v>0.11545613263119048</v>
      </c>
      <c r="O282" s="2">
        <v>0.51801354700000002</v>
      </c>
      <c r="P282" s="2">
        <f t="shared" si="88"/>
        <v>0.52095362419660884</v>
      </c>
      <c r="Q282" s="2">
        <v>0.20669999999999999</v>
      </c>
      <c r="R282" s="2">
        <f t="shared" si="94"/>
        <v>0.43920092646207298</v>
      </c>
      <c r="S282" s="2">
        <f t="shared" si="95"/>
        <v>0.24370365563188331</v>
      </c>
      <c r="T282" s="5">
        <f t="shared" si="96"/>
        <v>0.38112238283817373</v>
      </c>
      <c r="U282" s="2" t="str">
        <f t="shared" si="97"/>
        <v>Moderate</v>
      </c>
      <c r="V282" s="2">
        <f t="shared" si="98"/>
        <v>0.22295342195126699</v>
      </c>
      <c r="W282" s="2">
        <f t="shared" si="99"/>
        <v>0.32625857530155145</v>
      </c>
      <c r="X282" s="2" t="str">
        <f t="shared" ref="X259:X322" si="108">IF(W282&gt;0.7,"High",IF(W282&gt;0.3,"Moderate",IF(W282&gt;0.15,"Low","No Impact")))</f>
        <v>Moderate</v>
      </c>
      <c r="Y282" s="2">
        <f t="shared" si="100"/>
        <v>0.26445388931249958</v>
      </c>
      <c r="Z282" s="2">
        <f t="shared" si="101"/>
        <v>0.44408018997469451</v>
      </c>
      <c r="AA282" s="2" t="str">
        <f t="shared" si="102"/>
        <v>Moderate</v>
      </c>
      <c r="AB282" s="2">
        <f t="shared" si="103"/>
        <v>0.17788318402262135</v>
      </c>
      <c r="AC282" s="2">
        <f t="shared" si="104"/>
        <v>0.38456033576086718</v>
      </c>
      <c r="AD282" s="2" t="str">
        <f t="shared" si="105"/>
        <v>Moderate</v>
      </c>
      <c r="AE282" s="2">
        <f t="shared" si="106"/>
        <v>5.8609484416937224E-2</v>
      </c>
      <c r="AF282" s="2">
        <f t="shared" si="107"/>
        <v>0.39933541904739905</v>
      </c>
      <c r="AG282" s="2" t="str">
        <f t="shared" ref="AG259:AG322" si="109">IF(AF282&gt;0.7,"High",IF(AF282&gt;0.3,"Moderate",IF(AF282&gt;0.15,"Low","No Impact")))</f>
        <v>Moderate</v>
      </c>
    </row>
    <row r="283" spans="1:33" x14ac:dyDescent="0.3">
      <c r="A283" s="2">
        <v>400114</v>
      </c>
      <c r="B283" s="2" t="s">
        <v>590</v>
      </c>
      <c r="C283" s="2" t="s">
        <v>588</v>
      </c>
      <c r="D283" s="2" t="s">
        <v>591</v>
      </c>
      <c r="E283" s="3">
        <v>6.8</v>
      </c>
      <c r="F283" s="4">
        <f t="shared" si="89"/>
        <v>0.79999999999999993</v>
      </c>
      <c r="G283" s="2">
        <v>123.230448</v>
      </c>
      <c r="H283" s="2">
        <f t="shared" si="90"/>
        <v>0.69501973318858445</v>
      </c>
      <c r="I283" s="2">
        <v>36.6</v>
      </c>
      <c r="J283" s="4">
        <f t="shared" si="91"/>
        <v>0.55538694992412752</v>
      </c>
      <c r="K283" s="2">
        <v>0</v>
      </c>
      <c r="L283" s="4">
        <f t="shared" si="92"/>
        <v>0</v>
      </c>
      <c r="M283" s="2">
        <v>9991</v>
      </c>
      <c r="N283" s="2">
        <f t="shared" si="93"/>
        <v>4.6140816548617715E-2</v>
      </c>
      <c r="O283" s="2">
        <v>0.60079026599999996</v>
      </c>
      <c r="P283" s="2">
        <f t="shared" si="88"/>
        <v>0.61657647338708432</v>
      </c>
      <c r="Q283" s="2">
        <v>0.21179999999999999</v>
      </c>
      <c r="R283" s="2">
        <f t="shared" si="94"/>
        <v>0.45396641574985525</v>
      </c>
      <c r="S283" s="2">
        <f t="shared" si="95"/>
        <v>0.18740595763898679</v>
      </c>
      <c r="T283" s="5">
        <f t="shared" si="96"/>
        <v>0.29307974452926566</v>
      </c>
      <c r="U283" s="2" t="str">
        <f t="shared" si="97"/>
        <v>Low</v>
      </c>
      <c r="V283" s="2">
        <f t="shared" si="98"/>
        <v>0.15893993924545599</v>
      </c>
      <c r="W283" s="2">
        <f t="shared" si="99"/>
        <v>0.2325845357425021</v>
      </c>
      <c r="X283" s="2" t="s">
        <v>1169</v>
      </c>
      <c r="Y283" s="2">
        <f t="shared" si="100"/>
        <v>0.21587197603251765</v>
      </c>
      <c r="Z283" s="2">
        <f t="shared" si="101"/>
        <v>0.36249974759664855</v>
      </c>
      <c r="AA283" s="2" t="str">
        <f t="shared" si="102"/>
        <v>Moderate</v>
      </c>
      <c r="AB283" s="2">
        <f t="shared" si="103"/>
        <v>0.12604466051257848</v>
      </c>
      <c r="AC283" s="2">
        <f t="shared" si="104"/>
        <v>0.27249218206830361</v>
      </c>
      <c r="AD283" s="2" t="str">
        <f t="shared" si="105"/>
        <v>Low</v>
      </c>
      <c r="AE283" s="2">
        <f t="shared" si="106"/>
        <v>1.6154539905467377E-2</v>
      </c>
      <c r="AF283" s="2">
        <f t="shared" si="107"/>
        <v>0.11006887412241906</v>
      </c>
      <c r="AG283" s="2" t="s">
        <v>1169</v>
      </c>
    </row>
    <row r="284" spans="1:33" x14ac:dyDescent="0.3">
      <c r="A284" s="2">
        <v>400134</v>
      </c>
      <c r="B284" s="2" t="s">
        <v>592</v>
      </c>
      <c r="C284" s="2" t="s">
        <v>588</v>
      </c>
      <c r="D284" s="2" t="s">
        <v>593</v>
      </c>
      <c r="E284" s="3">
        <v>6.9</v>
      </c>
      <c r="F284" s="4">
        <f t="shared" si="89"/>
        <v>0.8222222222222223</v>
      </c>
      <c r="G284" s="2">
        <v>129.432006</v>
      </c>
      <c r="H284" s="2">
        <f t="shared" si="90"/>
        <v>0.74508781820418735</v>
      </c>
      <c r="I284" s="2">
        <v>47.2</v>
      </c>
      <c r="J284" s="4">
        <f t="shared" si="91"/>
        <v>0.71623672230652513</v>
      </c>
      <c r="K284" s="2">
        <v>1</v>
      </c>
      <c r="L284" s="4">
        <f t="shared" si="92"/>
        <v>0.41666666666666669</v>
      </c>
      <c r="M284" s="2">
        <v>15140</v>
      </c>
      <c r="N284" s="2">
        <f t="shared" si="93"/>
        <v>7.0502902726717859E-2</v>
      </c>
      <c r="O284" s="2">
        <v>0.790922071</v>
      </c>
      <c r="P284" s="2">
        <f t="shared" si="88"/>
        <v>0.83621485885906577</v>
      </c>
      <c r="Q284" s="2">
        <v>0.27800000000000002</v>
      </c>
      <c r="R284" s="2">
        <f t="shared" si="94"/>
        <v>0.64562825709322536</v>
      </c>
      <c r="S284" s="2">
        <f t="shared" si="95"/>
        <v>0.38773499958462476</v>
      </c>
      <c r="T284" s="5">
        <f t="shared" si="96"/>
        <v>0.60636959494224929</v>
      </c>
      <c r="U284" s="2" t="str">
        <f t="shared" si="97"/>
        <v>Moderate</v>
      </c>
      <c r="V284" s="2">
        <f t="shared" si="98"/>
        <v>0.33786663284525909</v>
      </c>
      <c r="W284" s="2">
        <f t="shared" si="99"/>
        <v>0.49441666025705133</v>
      </c>
      <c r="X284" s="2" t="str">
        <f t="shared" si="108"/>
        <v>Moderate</v>
      </c>
      <c r="Y284" s="2">
        <f t="shared" si="100"/>
        <v>0.43760336632399033</v>
      </c>
      <c r="Z284" s="2">
        <f t="shared" si="101"/>
        <v>0.73483882788007182</v>
      </c>
      <c r="AA284" s="2" t="str">
        <f t="shared" si="102"/>
        <v>High</v>
      </c>
      <c r="AB284" s="2">
        <f t="shared" si="103"/>
        <v>0.26244764850847607</v>
      </c>
      <c r="AC284" s="2">
        <f t="shared" si="104"/>
        <v>0.56737772254647045</v>
      </c>
      <c r="AD284" s="2" t="str">
        <f t="shared" si="105"/>
        <v>Moderate</v>
      </c>
      <c r="AE284" s="2">
        <f t="shared" si="106"/>
        <v>3.689519175839516E-2</v>
      </c>
      <c r="AF284" s="2">
        <f t="shared" si="107"/>
        <v>0.25138519828738004</v>
      </c>
      <c r="AG284" s="2" t="s">
        <v>1169</v>
      </c>
    </row>
    <row r="285" spans="1:33" x14ac:dyDescent="0.3">
      <c r="A285" s="2">
        <v>400138</v>
      </c>
      <c r="B285" s="2" t="s">
        <v>594</v>
      </c>
      <c r="C285" s="2" t="s">
        <v>141</v>
      </c>
      <c r="D285" s="2" t="s">
        <v>1137</v>
      </c>
      <c r="E285" s="3">
        <v>6.9</v>
      </c>
      <c r="F285" s="4">
        <f t="shared" si="89"/>
        <v>0.8222222222222223</v>
      </c>
      <c r="G285" s="2">
        <v>124.18669440000001</v>
      </c>
      <c r="H285" s="2">
        <f t="shared" si="90"/>
        <v>0.70273995866274186</v>
      </c>
      <c r="I285" s="2">
        <v>39.500000000000007</v>
      </c>
      <c r="J285" s="4">
        <f t="shared" si="91"/>
        <v>0.5993930197268591</v>
      </c>
      <c r="K285" s="2">
        <v>0</v>
      </c>
      <c r="L285" s="4">
        <f t="shared" si="92"/>
        <v>0</v>
      </c>
      <c r="M285" s="2">
        <v>6938</v>
      </c>
      <c r="N285" s="2">
        <f t="shared" si="93"/>
        <v>3.1695788562263134E-2</v>
      </c>
      <c r="O285" s="2">
        <v>0.72552366400000001</v>
      </c>
      <c r="P285" s="2">
        <f t="shared" si="88"/>
        <v>0.76066726425268461</v>
      </c>
      <c r="Q285" s="2">
        <v>0.24859999999999999</v>
      </c>
      <c r="R285" s="2">
        <f t="shared" si="94"/>
        <v>0.56050955414012738</v>
      </c>
      <c r="S285" s="2">
        <f t="shared" si="95"/>
        <v>0.24753894862661141</v>
      </c>
      <c r="T285" s="5">
        <f t="shared" si="96"/>
        <v>0.38712030683830145</v>
      </c>
      <c r="U285" s="2" t="str">
        <f t="shared" si="97"/>
        <v>Moderate</v>
      </c>
      <c r="V285" s="2">
        <f t="shared" si="98"/>
        <v>0.21003690618156962</v>
      </c>
      <c r="W285" s="2">
        <f t="shared" si="99"/>
        <v>0.30735721018232659</v>
      </c>
      <c r="X285" s="2" t="str">
        <f t="shared" si="108"/>
        <v>Moderate</v>
      </c>
      <c r="Y285" s="2">
        <f t="shared" si="100"/>
        <v>0.28504099107165315</v>
      </c>
      <c r="Z285" s="2">
        <f t="shared" si="101"/>
        <v>0.47865076892893327</v>
      </c>
      <c r="AA285" s="2" t="str">
        <f t="shared" si="102"/>
        <v>Moderate</v>
      </c>
      <c r="AB285" s="2">
        <f t="shared" si="103"/>
        <v>0.16318223529191722</v>
      </c>
      <c r="AC285" s="2">
        <f t="shared" si="104"/>
        <v>0.35277879434678988</v>
      </c>
      <c r="AD285" s="2" t="str">
        <f t="shared" si="105"/>
        <v>Moderate</v>
      </c>
      <c r="AE285" s="2">
        <f t="shared" si="106"/>
        <v>1.1877202305348408E-2</v>
      </c>
      <c r="AF285" s="2">
        <f t="shared" si="107"/>
        <v>8.0925256499038423E-2</v>
      </c>
      <c r="AG285" s="2" t="s">
        <v>1169</v>
      </c>
    </row>
    <row r="286" spans="1:33" x14ac:dyDescent="0.3">
      <c r="A286" s="2">
        <v>400156</v>
      </c>
      <c r="B286" s="2" t="s">
        <v>595</v>
      </c>
      <c r="C286" s="2" t="s">
        <v>588</v>
      </c>
      <c r="D286" s="2" t="s">
        <v>596</v>
      </c>
      <c r="E286" s="3">
        <v>6.9</v>
      </c>
      <c r="F286" s="4">
        <f t="shared" si="89"/>
        <v>0.8222222222222223</v>
      </c>
      <c r="G286" s="2">
        <v>123.230448</v>
      </c>
      <c r="H286" s="2">
        <f t="shared" si="90"/>
        <v>0.69501973318858445</v>
      </c>
      <c r="I286" s="2">
        <v>40.199999999999996</v>
      </c>
      <c r="J286" s="4">
        <f t="shared" si="91"/>
        <v>0.61001517450682852</v>
      </c>
      <c r="K286" s="2">
        <v>0</v>
      </c>
      <c r="L286" s="4">
        <f t="shared" si="92"/>
        <v>0</v>
      </c>
      <c r="M286" s="2">
        <v>11647</v>
      </c>
      <c r="N286" s="2">
        <f t="shared" si="93"/>
        <v>5.3976049547439592E-2</v>
      </c>
      <c r="O286" s="2">
        <v>0.760101841</v>
      </c>
      <c r="P286" s="2">
        <f t="shared" si="88"/>
        <v>0.80061163320686557</v>
      </c>
      <c r="Q286" s="2">
        <v>0.2364</v>
      </c>
      <c r="R286" s="2">
        <f t="shared" si="94"/>
        <v>0.52518818760856978</v>
      </c>
      <c r="S286" s="2">
        <f t="shared" si="95"/>
        <v>0.24895872062007826</v>
      </c>
      <c r="T286" s="5">
        <f t="shared" si="96"/>
        <v>0.38934065467770496</v>
      </c>
      <c r="U286" s="2" t="str">
        <f t="shared" si="97"/>
        <v>Moderate</v>
      </c>
      <c r="V286" s="2">
        <f t="shared" si="98"/>
        <v>0.19723969971784891</v>
      </c>
      <c r="W286" s="2">
        <f t="shared" si="99"/>
        <v>0.28863043616759121</v>
      </c>
      <c r="X286" s="2" t="s">
        <v>1169</v>
      </c>
      <c r="Y286" s="2">
        <f t="shared" si="100"/>
        <v>0.3006777415223077</v>
      </c>
      <c r="Z286" s="2">
        <f t="shared" si="101"/>
        <v>0.50490854539335128</v>
      </c>
      <c r="AA286" s="2" t="str">
        <f t="shared" si="102"/>
        <v>Moderate</v>
      </c>
      <c r="AB286" s="2">
        <f t="shared" si="103"/>
        <v>0.16633215402932475</v>
      </c>
      <c r="AC286" s="2">
        <f t="shared" si="104"/>
        <v>0.35958850946366588</v>
      </c>
      <c r="AD286" s="2" t="str">
        <f t="shared" si="105"/>
        <v>Moderate</v>
      </c>
      <c r="AE286" s="2">
        <f t="shared" si="106"/>
        <v>2.027124763252958E-2</v>
      </c>
      <c r="AF286" s="2">
        <f t="shared" si="107"/>
        <v>0.13811804093622873</v>
      </c>
      <c r="AG286" s="2" t="s">
        <v>1169</v>
      </c>
    </row>
    <row r="287" spans="1:33" x14ac:dyDescent="0.3">
      <c r="A287" s="2">
        <v>400158</v>
      </c>
      <c r="B287" s="2" t="s">
        <v>597</v>
      </c>
      <c r="C287" s="2" t="s">
        <v>588</v>
      </c>
      <c r="D287" s="2" t="s">
        <v>598</v>
      </c>
      <c r="E287" s="3">
        <v>6.9</v>
      </c>
      <c r="F287" s="4">
        <f t="shared" si="89"/>
        <v>0.8222222222222223</v>
      </c>
      <c r="G287" s="2">
        <v>161.00606519999999</v>
      </c>
      <c r="H287" s="2">
        <f t="shared" si="90"/>
        <v>1</v>
      </c>
      <c r="I287" s="2">
        <v>55.999999999999993</v>
      </c>
      <c r="J287" s="4">
        <f t="shared" si="91"/>
        <v>0.84977238239757213</v>
      </c>
      <c r="K287" s="2">
        <v>2.4</v>
      </c>
      <c r="L287" s="4">
        <f t="shared" si="92"/>
        <v>1</v>
      </c>
      <c r="M287" s="2">
        <v>34915</v>
      </c>
      <c r="N287" s="2">
        <f t="shared" si="93"/>
        <v>0.16406675088595857</v>
      </c>
      <c r="O287" s="2">
        <v>0.72880974300000001</v>
      </c>
      <c r="P287" s="2">
        <f t="shared" si="88"/>
        <v>0.76446331029607739</v>
      </c>
      <c r="Q287" s="2">
        <v>0.35799999999999998</v>
      </c>
      <c r="R287" s="2">
        <f t="shared" si="94"/>
        <v>0.87724377533294728</v>
      </c>
      <c r="S287" s="2">
        <f t="shared" si="95"/>
        <v>0.6394367442212413</v>
      </c>
      <c r="T287" s="5">
        <f t="shared" si="96"/>
        <v>1</v>
      </c>
      <c r="U287" s="2" t="str">
        <f t="shared" si="97"/>
        <v>High</v>
      </c>
      <c r="V287" s="2">
        <f t="shared" si="98"/>
        <v>0.68336417439816732</v>
      </c>
      <c r="W287" s="2">
        <f t="shared" si="99"/>
        <v>1</v>
      </c>
      <c r="X287" s="2" t="str">
        <f t="shared" si="108"/>
        <v>High</v>
      </c>
      <c r="Y287" s="2">
        <f t="shared" si="100"/>
        <v>0.5955093140443154</v>
      </c>
      <c r="Z287" s="2">
        <f t="shared" si="101"/>
        <v>1</v>
      </c>
      <c r="AA287" s="2" t="str">
        <f t="shared" si="102"/>
        <v>High</v>
      </c>
      <c r="AB287" s="2">
        <f t="shared" si="103"/>
        <v>0.46256248364947139</v>
      </c>
      <c r="AC287" s="2">
        <f t="shared" si="104"/>
        <v>1</v>
      </c>
      <c r="AD287" s="2" t="str">
        <f t="shared" si="105"/>
        <v>High</v>
      </c>
      <c r="AE287" s="2">
        <f t="shared" si="106"/>
        <v>0.12780636684805211</v>
      </c>
      <c r="AF287" s="2">
        <f t="shared" si="107"/>
        <v>0.87080801972459299</v>
      </c>
      <c r="AG287" s="2" t="str">
        <f t="shared" si="109"/>
        <v>High</v>
      </c>
    </row>
    <row r="288" spans="1:33" x14ac:dyDescent="0.3">
      <c r="A288" s="2">
        <v>400160</v>
      </c>
      <c r="B288" s="2" t="s">
        <v>599</v>
      </c>
      <c r="C288" s="2" t="s">
        <v>588</v>
      </c>
      <c r="D288" s="2" t="s">
        <v>600</v>
      </c>
      <c r="E288" s="3">
        <v>6.9</v>
      </c>
      <c r="F288" s="4">
        <f t="shared" si="89"/>
        <v>0.8222222222222223</v>
      </c>
      <c r="G288" s="2">
        <v>136.15387920000001</v>
      </c>
      <c r="H288" s="2">
        <f t="shared" si="90"/>
        <v>0.79935665175241866</v>
      </c>
      <c r="I288" s="2">
        <v>41.2</v>
      </c>
      <c r="J288" s="4">
        <f t="shared" si="91"/>
        <v>0.62518968133535668</v>
      </c>
      <c r="K288" s="2">
        <v>2.4</v>
      </c>
      <c r="L288" s="4">
        <f t="shared" si="92"/>
        <v>1</v>
      </c>
      <c r="M288" s="2">
        <v>36030</v>
      </c>
      <c r="N288" s="2">
        <f t="shared" si="93"/>
        <v>0.16934228518166292</v>
      </c>
      <c r="O288" s="2">
        <v>0.57720619699999998</v>
      </c>
      <c r="P288" s="2">
        <f t="shared" si="88"/>
        <v>0.58933238953683209</v>
      </c>
      <c r="Q288" s="2">
        <v>0.2072</v>
      </c>
      <c r="R288" s="2">
        <f t="shared" si="94"/>
        <v>0.44064852345107125</v>
      </c>
      <c r="S288" s="2">
        <f t="shared" si="95"/>
        <v>0.33815274759159425</v>
      </c>
      <c r="T288" s="5">
        <f t="shared" si="96"/>
        <v>0.5288290837953401</v>
      </c>
      <c r="U288" s="2" t="str">
        <f t="shared" si="97"/>
        <v>Moderate</v>
      </c>
      <c r="V288" s="2">
        <f t="shared" si="98"/>
        <v>0.28933838879577145</v>
      </c>
      <c r="W288" s="2">
        <f t="shared" si="99"/>
        <v>0.42340292282747943</v>
      </c>
      <c r="X288" s="2" t="str">
        <f t="shared" si="108"/>
        <v>Moderate</v>
      </c>
      <c r="Y288" s="2">
        <f t="shared" si="100"/>
        <v>0.38696710638741705</v>
      </c>
      <c r="Z288" s="2">
        <f t="shared" si="101"/>
        <v>0.64980865498036611</v>
      </c>
      <c r="AA288" s="2" t="str">
        <f t="shared" si="102"/>
        <v>Moderate</v>
      </c>
      <c r="AB288" s="2">
        <f t="shared" si="103"/>
        <v>0.2562762710384362</v>
      </c>
      <c r="AC288" s="2">
        <f t="shared" si="104"/>
        <v>0.55403600615531468</v>
      </c>
      <c r="AD288" s="2" t="str">
        <f t="shared" si="105"/>
        <v>Moderate</v>
      </c>
      <c r="AE288" s="2">
        <f t="shared" si="106"/>
        <v>0.11119343726768879</v>
      </c>
      <c r="AF288" s="2">
        <f t="shared" si="107"/>
        <v>0.75761590992227312</v>
      </c>
      <c r="AG288" s="2" t="str">
        <f t="shared" si="109"/>
        <v>High</v>
      </c>
    </row>
    <row r="289" spans="1:33" x14ac:dyDescent="0.3">
      <c r="A289" s="2">
        <v>400173</v>
      </c>
      <c r="B289" s="2" t="s">
        <v>601</v>
      </c>
      <c r="C289" s="2" t="s">
        <v>588</v>
      </c>
      <c r="D289" s="2" t="s">
        <v>602</v>
      </c>
      <c r="E289" s="3">
        <v>6.8</v>
      </c>
      <c r="F289" s="4">
        <f t="shared" si="89"/>
        <v>0.79999999999999993</v>
      </c>
      <c r="G289" s="2">
        <v>135.98864640000002</v>
      </c>
      <c r="H289" s="2">
        <f t="shared" si="90"/>
        <v>0.79802264989711624</v>
      </c>
      <c r="I289" s="2">
        <v>48.099999999999987</v>
      </c>
      <c r="J289" s="4">
        <f>(I289-$AJ$7)/$AK$7</f>
        <v>0.72989377845220016</v>
      </c>
      <c r="K289" s="2">
        <v>2.4</v>
      </c>
      <c r="L289" s="4">
        <f t="shared" si="92"/>
        <v>1</v>
      </c>
      <c r="M289" s="2">
        <v>24278</v>
      </c>
      <c r="N289" s="2">
        <f t="shared" si="93"/>
        <v>0.11373862684702843</v>
      </c>
      <c r="O289" s="2">
        <v>0.61359024600000001</v>
      </c>
      <c r="P289" s="2">
        <f t="shared" si="88"/>
        <v>0.63136288401035523</v>
      </c>
      <c r="Q289" s="2">
        <v>0.1694</v>
      </c>
      <c r="R289" s="2">
        <f t="shared" si="94"/>
        <v>0.33121019108280259</v>
      </c>
      <c r="S289" s="2">
        <f t="shared" si="95"/>
        <v>0.32141113910019675</v>
      </c>
      <c r="T289" s="5">
        <f t="shared" si="96"/>
        <v>0.50264727825680033</v>
      </c>
      <c r="U289" s="2" t="str">
        <f t="shared" si="97"/>
        <v>Moderate</v>
      </c>
      <c r="V289" s="2">
        <f>F289*(R289*1)*(H289*0.35+J289*0.35+L289*0.3)</f>
        <v>0.2211876636736691</v>
      </c>
      <c r="W289" s="2">
        <f>(V289-$AJ$13)/$AK$13</f>
        <v>0.32367465541849205</v>
      </c>
      <c r="X289" s="2" t="str">
        <f t="shared" si="108"/>
        <v>Moderate</v>
      </c>
      <c r="Y289" s="2">
        <f t="shared" si="100"/>
        <v>0.42163461452672446</v>
      </c>
      <c r="Z289" s="2">
        <f t="shared" si="101"/>
        <v>0.70802354318063299</v>
      </c>
      <c r="AA289" s="2" t="str">
        <f t="shared" si="102"/>
        <v>High</v>
      </c>
      <c r="AB289" s="2">
        <f t="shared" si="103"/>
        <v>0.23049085671570371</v>
      </c>
      <c r="AC289" s="2">
        <f t="shared" si="104"/>
        <v>0.49829129007005474</v>
      </c>
      <c r="AD289" s="2" t="str">
        <f t="shared" si="105"/>
        <v>Moderate</v>
      </c>
      <c r="AE289" s="2">
        <f t="shared" si="106"/>
        <v>7.5956543062577667E-2</v>
      </c>
      <c r="AF289" s="2">
        <f t="shared" si="107"/>
        <v>0.51752951344033238</v>
      </c>
      <c r="AG289" s="2" t="str">
        <f t="shared" si="109"/>
        <v>Moderate</v>
      </c>
    </row>
    <row r="290" spans="1:33" x14ac:dyDescent="0.3">
      <c r="A290" s="2">
        <v>400177</v>
      </c>
      <c r="B290" s="2" t="s">
        <v>603</v>
      </c>
      <c r="C290" s="2" t="s">
        <v>588</v>
      </c>
      <c r="D290" s="2" t="s">
        <v>604</v>
      </c>
      <c r="E290" s="3">
        <v>6.9</v>
      </c>
      <c r="F290" s="4">
        <f t="shared" si="89"/>
        <v>0.8222222222222223</v>
      </c>
      <c r="G290" s="2">
        <v>142.66833480000003</v>
      </c>
      <c r="H290" s="2">
        <f t="shared" si="90"/>
        <v>0.85195090577877319</v>
      </c>
      <c r="I290" s="2">
        <v>45.4</v>
      </c>
      <c r="J290" s="4">
        <f t="shared" si="91"/>
        <v>0.68892261001517452</v>
      </c>
      <c r="K290" s="2">
        <v>2.4</v>
      </c>
      <c r="L290" s="4">
        <f t="shared" si="92"/>
        <v>1</v>
      </c>
      <c r="M290" s="2">
        <v>16547</v>
      </c>
      <c r="N290" s="2">
        <f t="shared" si="93"/>
        <v>7.7160011923180644E-2</v>
      </c>
      <c r="O290" s="2">
        <v>0.69603377499999997</v>
      </c>
      <c r="P290" s="2">
        <f t="shared" si="88"/>
        <v>0.72660083539977394</v>
      </c>
      <c r="Q290" s="2">
        <v>0.3664</v>
      </c>
      <c r="R290" s="2">
        <f t="shared" si="94"/>
        <v>0.90156340474811825</v>
      </c>
      <c r="S290" s="2">
        <f t="shared" si="95"/>
        <v>0.56179467054308785</v>
      </c>
      <c r="T290" s="5">
        <f t="shared" si="96"/>
        <v>0.87857739740509855</v>
      </c>
      <c r="U290" s="2" t="str">
        <f t="shared" si="97"/>
        <v>High</v>
      </c>
      <c r="V290" s="2">
        <f t="shared" si="98"/>
        <v>0.62216513967677722</v>
      </c>
      <c r="W290" s="2">
        <f t="shared" si="99"/>
        <v>0.91044447892620717</v>
      </c>
      <c r="X290" s="2" t="str">
        <f t="shared" si="108"/>
        <v>High</v>
      </c>
      <c r="Y290" s="2">
        <f t="shared" si="100"/>
        <v>0.50142420140939836</v>
      </c>
      <c r="Z290" s="2">
        <f t="shared" si="101"/>
        <v>0.84200899899289294</v>
      </c>
      <c r="AA290" s="2" t="str">
        <f t="shared" si="102"/>
        <v>High</v>
      </c>
      <c r="AB290" s="2">
        <f t="shared" si="103"/>
        <v>0.38682178998219585</v>
      </c>
      <c r="AC290" s="2">
        <f t="shared" si="104"/>
        <v>0.83625845946323729</v>
      </c>
      <c r="AD290" s="2" t="str">
        <f t="shared" si="105"/>
        <v>High</v>
      </c>
      <c r="AE290" s="2">
        <f t="shared" si="106"/>
        <v>5.3247801921440713E-2</v>
      </c>
      <c r="AF290" s="2">
        <f t="shared" si="107"/>
        <v>0.36280362308572944</v>
      </c>
      <c r="AG290" s="2" t="str">
        <f t="shared" si="109"/>
        <v>Moderate</v>
      </c>
    </row>
    <row r="291" spans="1:33" x14ac:dyDescent="0.3">
      <c r="A291" s="2">
        <v>401807</v>
      </c>
      <c r="B291" s="2" t="s">
        <v>605</v>
      </c>
      <c r="C291" s="2" t="s">
        <v>606</v>
      </c>
      <c r="D291" s="2" t="s">
        <v>607</v>
      </c>
      <c r="E291" s="3">
        <v>6.3</v>
      </c>
      <c r="F291" s="4">
        <f t="shared" si="89"/>
        <v>0.68888888888888877</v>
      </c>
      <c r="G291" s="2">
        <v>112.2019272</v>
      </c>
      <c r="H291" s="2">
        <f t="shared" si="90"/>
        <v>0.60598131461526072</v>
      </c>
      <c r="I291" s="2">
        <v>23.1</v>
      </c>
      <c r="J291" s="4">
        <f t="shared" si="91"/>
        <v>0.35053110773899854</v>
      </c>
      <c r="K291" s="2">
        <v>0</v>
      </c>
      <c r="L291" s="4">
        <f t="shared" si="92"/>
        <v>0</v>
      </c>
      <c r="M291" s="2">
        <v>51862</v>
      </c>
      <c r="N291" s="2">
        <f t="shared" si="93"/>
        <v>0.24425014075977156</v>
      </c>
      <c r="O291" s="2">
        <v>0.58041230399999999</v>
      </c>
      <c r="P291" s="2">
        <f t="shared" si="88"/>
        <v>0.59303605271475446</v>
      </c>
      <c r="Q291" s="2">
        <v>0.2145</v>
      </c>
      <c r="R291" s="2">
        <f t="shared" si="94"/>
        <v>0.46178343949044587</v>
      </c>
      <c r="S291" s="2">
        <f t="shared" si="95"/>
        <v>0.12163428035385766</v>
      </c>
      <c r="T291" s="5">
        <f t="shared" si="96"/>
        <v>0.19022097408867847</v>
      </c>
      <c r="U291" s="2" t="str">
        <f t="shared" si="97"/>
        <v>Low</v>
      </c>
      <c r="V291" s="2">
        <f t="shared" si="98"/>
        <v>0.10649916266587672</v>
      </c>
      <c r="W291" s="2">
        <f t="shared" si="99"/>
        <v>0.15584539935777228</v>
      </c>
      <c r="X291" s="2" t="s">
        <v>1169</v>
      </c>
      <c r="Y291" s="2">
        <f t="shared" si="100"/>
        <v>0.1367693980418386</v>
      </c>
      <c r="Z291" s="2">
        <f t="shared" si="101"/>
        <v>0.22966794106542013</v>
      </c>
      <c r="AA291" s="2" t="str">
        <f t="shared" si="102"/>
        <v>Low</v>
      </c>
      <c r="AB291" s="2">
        <f t="shared" si="103"/>
        <v>9.8021158472270553E-2</v>
      </c>
      <c r="AC291" s="2">
        <f t="shared" si="104"/>
        <v>0.21190901107870808</v>
      </c>
      <c r="AD291" s="2" t="str">
        <f t="shared" si="105"/>
        <v>Low</v>
      </c>
      <c r="AE291" s="2">
        <f t="shared" si="106"/>
        <v>5.6330377504748917E-2</v>
      </c>
      <c r="AF291" s="2">
        <f t="shared" si="107"/>
        <v>0.38380673588482322</v>
      </c>
      <c r="AG291" s="2" t="str">
        <f t="shared" si="109"/>
        <v>Moderate</v>
      </c>
    </row>
    <row r="292" spans="1:33" x14ac:dyDescent="0.3">
      <c r="A292" s="2">
        <v>401823</v>
      </c>
      <c r="B292" s="2" t="s">
        <v>608</v>
      </c>
      <c r="C292" s="2" t="s">
        <v>606</v>
      </c>
      <c r="D292" s="2" t="s">
        <v>609</v>
      </c>
      <c r="E292" s="3">
        <v>6.3</v>
      </c>
      <c r="F292" s="4">
        <f t="shared" si="89"/>
        <v>0.68888888888888877</v>
      </c>
      <c r="G292" s="2">
        <v>112.50778680000001</v>
      </c>
      <c r="H292" s="2">
        <f t="shared" si="90"/>
        <v>0.60845066255260793</v>
      </c>
      <c r="I292" s="2">
        <v>24.6</v>
      </c>
      <c r="J292" s="4">
        <f t="shared" si="91"/>
        <v>0.37329286798179068</v>
      </c>
      <c r="K292" s="2">
        <v>0</v>
      </c>
      <c r="L292" s="4">
        <f t="shared" si="92"/>
        <v>0</v>
      </c>
      <c r="M292" s="2">
        <v>55839</v>
      </c>
      <c r="N292" s="2">
        <f t="shared" si="93"/>
        <v>0.2630670016512659</v>
      </c>
      <c r="O292" s="2">
        <v>0.56507036399999999</v>
      </c>
      <c r="P292" s="2">
        <f t="shared" si="88"/>
        <v>0.575313194976103</v>
      </c>
      <c r="Q292" s="2">
        <v>0.21540000000000001</v>
      </c>
      <c r="R292" s="2">
        <f t="shared" si="94"/>
        <v>0.46438911407064282</v>
      </c>
      <c r="S292" s="2">
        <f t="shared" si="95"/>
        <v>0.12305358910148062</v>
      </c>
      <c r="T292" s="5">
        <f t="shared" si="96"/>
        <v>0.19244059746886363</v>
      </c>
      <c r="U292" s="2" t="str">
        <f t="shared" si="97"/>
        <v>Low</v>
      </c>
      <c r="V292" s="2">
        <f t="shared" si="98"/>
        <v>0.10992520980056845</v>
      </c>
      <c r="W292" s="2">
        <f t="shared" si="99"/>
        <v>0.16085890059627225</v>
      </c>
      <c r="X292" s="2" t="s">
        <v>1169</v>
      </c>
      <c r="Y292" s="2">
        <f t="shared" si="100"/>
        <v>0.1361819684023928</v>
      </c>
      <c r="Z292" s="2">
        <f t="shared" si="101"/>
        <v>0.22868150873666887</v>
      </c>
      <c r="AA292" s="2" t="str">
        <f t="shared" si="102"/>
        <v>Low</v>
      </c>
      <c r="AB292" s="2">
        <f t="shared" si="103"/>
        <v>0.10112305354340093</v>
      </c>
      <c r="AC292" s="2">
        <f t="shared" si="104"/>
        <v>0.21861490526765612</v>
      </c>
      <c r="AD292" s="2" t="str">
        <f t="shared" si="105"/>
        <v>Low</v>
      </c>
      <c r="AE292" s="2">
        <f t="shared" si="106"/>
        <v>6.2270398835668948E-2</v>
      </c>
      <c r="AF292" s="2">
        <f t="shared" si="107"/>
        <v>0.42427904051147769</v>
      </c>
      <c r="AG292" s="2" t="str">
        <f t="shared" si="109"/>
        <v>Moderate</v>
      </c>
    </row>
    <row r="293" spans="1:33" x14ac:dyDescent="0.3">
      <c r="A293" s="2">
        <v>401831</v>
      </c>
      <c r="B293" s="2" t="s">
        <v>610</v>
      </c>
      <c r="C293" s="2" t="s">
        <v>606</v>
      </c>
      <c r="D293" s="2" t="s">
        <v>611</v>
      </c>
      <c r="E293" s="3">
        <v>5.7</v>
      </c>
      <c r="F293" s="4">
        <f t="shared" si="89"/>
        <v>0.55555555555555558</v>
      </c>
      <c r="G293" s="2">
        <v>112.50778680000001</v>
      </c>
      <c r="H293" s="2">
        <f t="shared" si="90"/>
        <v>0.60845066255260793</v>
      </c>
      <c r="I293" s="2">
        <v>24.3</v>
      </c>
      <c r="J293" s="4">
        <f t="shared" si="91"/>
        <v>0.3687405159332322</v>
      </c>
      <c r="K293" s="2">
        <v>0</v>
      </c>
      <c r="L293" s="4">
        <f t="shared" si="92"/>
        <v>0</v>
      </c>
      <c r="M293" s="2">
        <v>46381</v>
      </c>
      <c r="N293" s="2">
        <f t="shared" si="93"/>
        <v>0.21831722284519264</v>
      </c>
      <c r="O293" s="2">
        <v>0.42488198199999999</v>
      </c>
      <c r="P293" s="2">
        <f t="shared" si="88"/>
        <v>0.41336895905823873</v>
      </c>
      <c r="Q293" s="2">
        <v>0.22789999999999999</v>
      </c>
      <c r="R293" s="2">
        <f t="shared" si="94"/>
        <v>0.50057903879559928</v>
      </c>
      <c r="S293" s="2">
        <f t="shared" si="95"/>
        <v>8.6829353440041168E-2</v>
      </c>
      <c r="T293" s="5">
        <f t="shared" si="96"/>
        <v>0.13579037211223935</v>
      </c>
      <c r="U293" s="2" t="str">
        <f t="shared" si="97"/>
        <v>No Impact</v>
      </c>
      <c r="V293" s="2">
        <f t="shared" si="98"/>
        <v>9.5114720720051837E-2</v>
      </c>
      <c r="W293" s="2">
        <f t="shared" si="99"/>
        <v>0.13918599230610607</v>
      </c>
      <c r="X293" s="2" t="s">
        <v>1169</v>
      </c>
      <c r="Y293" s="2">
        <f t="shared" si="100"/>
        <v>7.8543986160030485E-2</v>
      </c>
      <c r="Z293" s="2">
        <f t="shared" si="101"/>
        <v>0.13189379965631495</v>
      </c>
      <c r="AA293" s="2" t="str">
        <f t="shared" si="102"/>
        <v>No Impact</v>
      </c>
      <c r="AB293" s="2">
        <f t="shared" si="103"/>
        <v>7.1372161363244813E-2</v>
      </c>
      <c r="AC293" s="2">
        <f t="shared" si="104"/>
        <v>0.15429734119408275</v>
      </c>
      <c r="AD293" s="2" t="str">
        <f t="shared" si="105"/>
        <v>Low</v>
      </c>
      <c r="AE293" s="2">
        <f t="shared" si="106"/>
        <v>4.1482323609192975E-2</v>
      </c>
      <c r="AF293" s="2">
        <f t="shared" si="107"/>
        <v>0.28263959743603823</v>
      </c>
      <c r="AG293" s="2" t="s">
        <v>1169</v>
      </c>
    </row>
    <row r="294" spans="1:33" x14ac:dyDescent="0.3">
      <c r="A294" s="2">
        <v>401855</v>
      </c>
      <c r="B294" s="2" t="s">
        <v>612</v>
      </c>
      <c r="C294" s="2" t="s">
        <v>606</v>
      </c>
      <c r="D294" s="2" t="s">
        <v>613</v>
      </c>
      <c r="E294" s="3">
        <v>6.3</v>
      </c>
      <c r="F294" s="4">
        <f t="shared" si="89"/>
        <v>0.68888888888888877</v>
      </c>
      <c r="G294" s="2">
        <v>125.39958480000001</v>
      </c>
      <c r="H294" s="2">
        <f t="shared" si="90"/>
        <v>0.71253219146324276</v>
      </c>
      <c r="I294" s="2">
        <v>31.200000000000006</v>
      </c>
      <c r="J294" s="4">
        <f t="shared" si="91"/>
        <v>0.47344461305007601</v>
      </c>
      <c r="K294" s="2">
        <v>0</v>
      </c>
      <c r="L294" s="4">
        <f t="shared" si="92"/>
        <v>0</v>
      </c>
      <c r="M294" s="2">
        <v>28593</v>
      </c>
      <c r="N294" s="2">
        <f t="shared" si="93"/>
        <v>0.13415470800035958</v>
      </c>
      <c r="O294" s="2">
        <v>0.42239408699999997</v>
      </c>
      <c r="P294" s="2">
        <f t="shared" si="88"/>
        <v>0.41049496729750296</v>
      </c>
      <c r="Q294" s="2">
        <v>0.2515</v>
      </c>
      <c r="R294" s="2">
        <f t="shared" si="94"/>
        <v>0.56890561667631734</v>
      </c>
      <c r="S294" s="2">
        <f t="shared" si="95"/>
        <v>0.14003086853199201</v>
      </c>
      <c r="T294" s="5">
        <f t="shared" si="96"/>
        <v>0.21899096321487299</v>
      </c>
      <c r="U294" s="2" t="str">
        <f t="shared" si="97"/>
        <v>Low</v>
      </c>
      <c r="V294" s="2">
        <f t="shared" si="98"/>
        <v>0.16267980419754924</v>
      </c>
      <c r="W294" s="2">
        <f t="shared" si="99"/>
        <v>0.23805726184112574</v>
      </c>
      <c r="X294" s="2" t="s">
        <v>1169</v>
      </c>
      <c r="Y294" s="2">
        <f t="shared" si="100"/>
        <v>0.11738193286643478</v>
      </c>
      <c r="Z294" s="2">
        <f t="shared" si="101"/>
        <v>0.19711183368275528</v>
      </c>
      <c r="AA294" s="2" t="str">
        <f t="shared" si="102"/>
        <v>Low</v>
      </c>
      <c r="AB294" s="2">
        <f t="shared" si="103"/>
        <v>0.1055791524914735</v>
      </c>
      <c r="AC294" s="2">
        <f t="shared" si="104"/>
        <v>0.2282484123193205</v>
      </c>
      <c r="AD294" s="2" t="str">
        <f t="shared" si="105"/>
        <v>Low</v>
      </c>
      <c r="AE294" s="2">
        <f t="shared" si="106"/>
        <v>3.8361831892573757E-2</v>
      </c>
      <c r="AF294" s="2">
        <f t="shared" si="107"/>
        <v>0.26137814325866682</v>
      </c>
      <c r="AG294" s="2" t="s">
        <v>1169</v>
      </c>
    </row>
    <row r="295" spans="1:33" x14ac:dyDescent="0.3">
      <c r="A295" s="2">
        <v>404104</v>
      </c>
      <c r="B295" s="2" t="s">
        <v>614</v>
      </c>
      <c r="C295" s="2" t="s">
        <v>1166</v>
      </c>
      <c r="D295" s="2" t="s">
        <v>615</v>
      </c>
      <c r="E295" s="3">
        <v>5.8</v>
      </c>
      <c r="F295" s="4">
        <f t="shared" si="89"/>
        <v>0.57777777777777772</v>
      </c>
      <c r="G295" s="2">
        <v>127.05895800000002</v>
      </c>
      <c r="H295" s="2">
        <f t="shared" si="90"/>
        <v>0.72592908921864763</v>
      </c>
      <c r="I295" s="2">
        <v>44.699999999999996</v>
      </c>
      <c r="J295" s="4">
        <f t="shared" si="91"/>
        <v>0.67830045523520488</v>
      </c>
      <c r="K295" s="2">
        <v>0</v>
      </c>
      <c r="L295" s="4">
        <f t="shared" si="92"/>
        <v>0</v>
      </c>
      <c r="M295" s="2">
        <v>51104</v>
      </c>
      <c r="N295" s="2">
        <f t="shared" si="93"/>
        <v>0.2406637237228712</v>
      </c>
      <c r="O295" s="2">
        <v>0.40040139699999999</v>
      </c>
      <c r="P295" s="2">
        <f t="shared" si="88"/>
        <v>0.38508922876898172</v>
      </c>
      <c r="Q295" s="2">
        <v>0.2404</v>
      </c>
      <c r="R295" s="2">
        <f t="shared" si="94"/>
        <v>0.53676896352055592</v>
      </c>
      <c r="S295" s="2">
        <f t="shared" si="95"/>
        <v>0.13088838484032314</v>
      </c>
      <c r="T295" s="5">
        <f t="shared" si="96"/>
        <v>0.20469324921221063</v>
      </c>
      <c r="U295" s="2" t="str">
        <f t="shared" si="97"/>
        <v>Low</v>
      </c>
      <c r="V295" s="2">
        <f t="shared" si="98"/>
        <v>0.15242436039566834</v>
      </c>
      <c r="W295" s="2">
        <f t="shared" si="99"/>
        <v>0.22304997262975793</v>
      </c>
      <c r="X295" s="2" t="s">
        <v>1169</v>
      </c>
      <c r="Y295" s="2">
        <f t="shared" si="100"/>
        <v>0.10935240928497796</v>
      </c>
      <c r="Z295" s="2">
        <f t="shared" si="101"/>
        <v>0.18362837777015925</v>
      </c>
      <c r="AA295" s="2" t="str">
        <f t="shared" si="102"/>
        <v>Low</v>
      </c>
      <c r="AB295" s="2">
        <f t="shared" si="103"/>
        <v>0.11007339445617381</v>
      </c>
      <c r="AC295" s="2">
        <f t="shared" si="104"/>
        <v>0.23796437961792669</v>
      </c>
      <c r="AD295" s="2" t="str">
        <f t="shared" si="105"/>
        <v>Low</v>
      </c>
      <c r="AE295" s="2">
        <f t="shared" si="106"/>
        <v>6.8340415806275784E-2</v>
      </c>
      <c r="AF295" s="2">
        <f t="shared" si="107"/>
        <v>0.4656370697570244</v>
      </c>
      <c r="AG295" s="2" t="str">
        <f t="shared" si="109"/>
        <v>Moderate</v>
      </c>
    </row>
    <row r="296" spans="1:33" x14ac:dyDescent="0.3">
      <c r="A296" s="2">
        <v>404109</v>
      </c>
      <c r="B296" s="2" t="s">
        <v>616</v>
      </c>
      <c r="C296" s="2" t="s">
        <v>1166</v>
      </c>
      <c r="D296" s="2" t="s">
        <v>617</v>
      </c>
      <c r="E296" s="3">
        <v>5.7</v>
      </c>
      <c r="F296" s="4">
        <f t="shared" si="89"/>
        <v>0.55555555555555558</v>
      </c>
      <c r="G296" s="2">
        <v>126.03590999999999</v>
      </c>
      <c r="H296" s="2">
        <f t="shared" si="90"/>
        <v>0.71766954311119469</v>
      </c>
      <c r="I296" s="2">
        <v>40.799999999999997</v>
      </c>
      <c r="J296" s="4">
        <f t="shared" si="91"/>
        <v>0.61911987860394546</v>
      </c>
      <c r="K296" s="2">
        <v>0</v>
      </c>
      <c r="L296" s="4">
        <f t="shared" si="92"/>
        <v>0</v>
      </c>
      <c r="M296" s="2">
        <v>40351</v>
      </c>
      <c r="N296" s="2">
        <f t="shared" si="93"/>
        <v>0.18978675486035212</v>
      </c>
      <c r="O296" s="2">
        <v>0.25991775700000003</v>
      </c>
      <c r="P296" s="2">
        <f t="shared" si="88"/>
        <v>0.22280391372225897</v>
      </c>
      <c r="Q296" s="2">
        <v>0.27460000000000001</v>
      </c>
      <c r="R296" s="2">
        <f t="shared" si="94"/>
        <v>0.63578459756803718</v>
      </c>
      <c r="S296" s="2">
        <f t="shared" si="95"/>
        <v>0.11158700384018232</v>
      </c>
      <c r="T296" s="5">
        <f t="shared" si="96"/>
        <v>0.17450827599230656</v>
      </c>
      <c r="U296" s="2" t="str">
        <f t="shared" si="97"/>
        <v>Low</v>
      </c>
      <c r="V296" s="2">
        <f t="shared" si="98"/>
        <v>0.16526030198968297</v>
      </c>
      <c r="W296" s="2">
        <f t="shared" si="99"/>
        <v>0.24183342964273219</v>
      </c>
      <c r="X296" s="2" t="s">
        <v>1169</v>
      </c>
      <c r="Y296" s="2">
        <f t="shared" si="100"/>
        <v>5.7913705690681661E-2</v>
      </c>
      <c r="Z296" s="2">
        <f t="shared" si="101"/>
        <v>9.7250713506677341E-2</v>
      </c>
      <c r="AA296" s="2" t="str">
        <f t="shared" si="102"/>
        <v>No Impact</v>
      </c>
      <c r="AB296" s="2">
        <f t="shared" si="103"/>
        <v>9.2481247108689629E-2</v>
      </c>
      <c r="AC296" s="2">
        <f t="shared" si="104"/>
        <v>0.19993244237846938</v>
      </c>
      <c r="AD296" s="2" t="str">
        <f t="shared" si="105"/>
        <v>Low</v>
      </c>
      <c r="AE296" s="2">
        <f t="shared" si="106"/>
        <v>4.9331513443131726E-2</v>
      </c>
      <c r="AF296" s="2">
        <f t="shared" si="107"/>
        <v>0.33612001178707634</v>
      </c>
      <c r="AG296" s="2" t="str">
        <f t="shared" si="109"/>
        <v>Moderate</v>
      </c>
    </row>
    <row r="297" spans="1:33" x14ac:dyDescent="0.3">
      <c r="A297" s="2">
        <v>404111</v>
      </c>
      <c r="B297" s="2" t="s">
        <v>618</v>
      </c>
      <c r="C297" s="2" t="s">
        <v>1166</v>
      </c>
      <c r="D297" s="2" t="s">
        <v>619</v>
      </c>
      <c r="E297" s="3">
        <v>5.8</v>
      </c>
      <c r="F297" s="4">
        <f t="shared" si="89"/>
        <v>0.57777777777777772</v>
      </c>
      <c r="G297" s="2">
        <v>129.9030984</v>
      </c>
      <c r="H297" s="2">
        <f t="shared" si="90"/>
        <v>0.74889116799683697</v>
      </c>
      <c r="I297" s="2">
        <v>41</v>
      </c>
      <c r="J297" s="4">
        <f t="shared" si="91"/>
        <v>0.62215477996965107</v>
      </c>
      <c r="K297" s="2">
        <v>0</v>
      </c>
      <c r="L297" s="4">
        <f t="shared" si="92"/>
        <v>0</v>
      </c>
      <c r="M297" s="2">
        <v>18322</v>
      </c>
      <c r="N297" s="2">
        <f t="shared" si="93"/>
        <v>8.5558284008270521E-2</v>
      </c>
      <c r="O297" s="2">
        <v>0.45861526499999999</v>
      </c>
      <c r="P297" s="2">
        <f t="shared" si="88"/>
        <v>0.45233731479856021</v>
      </c>
      <c r="Q297" s="2">
        <v>0.25330000000000003</v>
      </c>
      <c r="R297" s="2">
        <f t="shared" si="94"/>
        <v>0.57411696583671112</v>
      </c>
      <c r="S297" s="2">
        <f t="shared" si="95"/>
        <v>0.14229528264849317</v>
      </c>
      <c r="T297" s="5">
        <f t="shared" si="96"/>
        <v>0.22253222689257884</v>
      </c>
      <c r="U297" s="2" t="str">
        <f t="shared" si="97"/>
        <v>Low</v>
      </c>
      <c r="V297" s="2">
        <f t="shared" si="98"/>
        <v>0.15917734957755686</v>
      </c>
      <c r="W297" s="2">
        <f t="shared" si="99"/>
        <v>0.23293194981686435</v>
      </c>
      <c r="X297" s="2" t="s">
        <v>1169</v>
      </c>
      <c r="Y297" s="2">
        <f t="shared" si="100"/>
        <v>0.12541321571942954</v>
      </c>
      <c r="Z297" s="2">
        <f t="shared" si="101"/>
        <v>0.2105982438254472</v>
      </c>
      <c r="AA297" s="2" t="str">
        <f t="shared" si="102"/>
        <v>Low</v>
      </c>
      <c r="AB297" s="2">
        <f t="shared" si="103"/>
        <v>0.10163857747809263</v>
      </c>
      <c r="AC297" s="2">
        <f t="shared" si="104"/>
        <v>0.21972940104479824</v>
      </c>
      <c r="AD297" s="2" t="str">
        <f t="shared" si="105"/>
        <v>Low</v>
      </c>
      <c r="AE297" s="2">
        <f t="shared" si="106"/>
        <v>2.3721544028911058E-2</v>
      </c>
      <c r="AF297" s="2">
        <f t="shared" si="107"/>
        <v>0.16162661759397798</v>
      </c>
      <c r="AG297" s="2" t="s">
        <v>1169</v>
      </c>
    </row>
    <row r="298" spans="1:33" x14ac:dyDescent="0.3">
      <c r="A298" s="2">
        <v>404123</v>
      </c>
      <c r="B298" s="2" t="s">
        <v>620</v>
      </c>
      <c r="C298" s="2" t="s">
        <v>1166</v>
      </c>
      <c r="D298" s="2" t="s">
        <v>621</v>
      </c>
      <c r="E298" s="3">
        <v>5.8</v>
      </c>
      <c r="F298" s="4">
        <f t="shared" si="89"/>
        <v>0.57777777777777772</v>
      </c>
      <c r="G298" s="2">
        <v>133.77380400000001</v>
      </c>
      <c r="H298" s="2">
        <f t="shared" si="90"/>
        <v>0.78014118888693751</v>
      </c>
      <c r="I298" s="2">
        <v>41.999999999999993</v>
      </c>
      <c r="J298" s="4">
        <f t="shared" si="91"/>
        <v>0.63732928679817902</v>
      </c>
      <c r="K298" s="2">
        <v>0</v>
      </c>
      <c r="L298" s="4">
        <f t="shared" si="92"/>
        <v>0</v>
      </c>
      <c r="M298" s="2">
        <v>65394</v>
      </c>
      <c r="N298" s="2">
        <f t="shared" si="93"/>
        <v>0.30827572828396094</v>
      </c>
      <c r="O298" s="2">
        <v>0.27359148900000002</v>
      </c>
      <c r="P298" s="2">
        <f t="shared" si="88"/>
        <v>0.23859967403630306</v>
      </c>
      <c r="Q298" s="2">
        <v>0.26989999999999997</v>
      </c>
      <c r="R298" s="2">
        <f t="shared" si="94"/>
        <v>0.62217718587145332</v>
      </c>
      <c r="S298" s="2">
        <f t="shared" si="95"/>
        <v>0.12336827382396567</v>
      </c>
      <c r="T298" s="5">
        <f t="shared" si="96"/>
        <v>0.1929327254632727</v>
      </c>
      <c r="U298" s="2" t="str">
        <f t="shared" si="97"/>
        <v>Low</v>
      </c>
      <c r="V298" s="2">
        <f t="shared" si="98"/>
        <v>0.17834337563823305</v>
      </c>
      <c r="W298" s="2">
        <f t="shared" si="99"/>
        <v>0.26097852699887064</v>
      </c>
      <c r="X298" s="2" t="s">
        <v>1169</v>
      </c>
      <c r="Y298" s="2">
        <f t="shared" si="100"/>
        <v>6.8393172009698328E-2</v>
      </c>
      <c r="Z298" s="2">
        <f t="shared" si="101"/>
        <v>0.11484819867084192</v>
      </c>
      <c r="AA298" s="2" t="str">
        <f t="shared" si="102"/>
        <v>No Impact</v>
      </c>
      <c r="AB298" s="2">
        <f t="shared" si="103"/>
        <v>0.11386602201257773</v>
      </c>
      <c r="AC298" s="2">
        <f t="shared" si="104"/>
        <v>0.24616354770972973</v>
      </c>
      <c r="AD298" s="2" t="str">
        <f t="shared" si="105"/>
        <v>Low</v>
      </c>
      <c r="AE298" s="2">
        <f t="shared" si="106"/>
        <v>8.8365396960819118E-2</v>
      </c>
      <c r="AF298" s="2">
        <f t="shared" si="107"/>
        <v>0.60207717531876026</v>
      </c>
      <c r="AG298" s="2" t="str">
        <f t="shared" si="109"/>
        <v>Moderate</v>
      </c>
    </row>
    <row r="299" spans="1:33" x14ac:dyDescent="0.3">
      <c r="A299" s="2">
        <v>404138</v>
      </c>
      <c r="B299" s="2" t="s">
        <v>622</v>
      </c>
      <c r="C299" s="2" t="s">
        <v>1166</v>
      </c>
      <c r="D299" s="2" t="s">
        <v>623</v>
      </c>
      <c r="E299" s="3">
        <v>5.8</v>
      </c>
      <c r="F299" s="4">
        <f t="shared" si="89"/>
        <v>0.57777777777777772</v>
      </c>
      <c r="G299" s="2">
        <v>139.70114640000003</v>
      </c>
      <c r="H299" s="2">
        <f t="shared" si="90"/>
        <v>0.8279954028118558</v>
      </c>
      <c r="I299" s="2">
        <v>39.300000000000004</v>
      </c>
      <c r="J299" s="4">
        <f t="shared" si="91"/>
        <v>0.59635811836115338</v>
      </c>
      <c r="K299" s="2">
        <v>0</v>
      </c>
      <c r="L299" s="4">
        <f t="shared" si="92"/>
        <v>0</v>
      </c>
      <c r="M299" s="2">
        <v>45853</v>
      </c>
      <c r="N299" s="2">
        <f t="shared" si="93"/>
        <v>0.21581903261368421</v>
      </c>
      <c r="O299" s="2">
        <v>0.36480931</v>
      </c>
      <c r="P299" s="2">
        <f t="shared" si="88"/>
        <v>0.34397360098509622</v>
      </c>
      <c r="Q299" s="2">
        <v>0.24229999999999999</v>
      </c>
      <c r="R299" s="2">
        <f t="shared" si="94"/>
        <v>0.54226983207874924</v>
      </c>
      <c r="S299" s="2">
        <f t="shared" si="95"/>
        <v>0.12763497762176212</v>
      </c>
      <c r="T299" s="5">
        <f t="shared" si="96"/>
        <v>0.19960532261436822</v>
      </c>
      <c r="U299" s="2" t="str">
        <f t="shared" si="97"/>
        <v>Low</v>
      </c>
      <c r="V299" s="2">
        <f t="shared" si="98"/>
        <v>0.15619319771555756</v>
      </c>
      <c r="W299" s="2">
        <f t="shared" si="99"/>
        <v>0.22856509540189973</v>
      </c>
      <c r="X299" s="2" t="s">
        <v>1169</v>
      </c>
      <c r="Y299" s="2">
        <f t="shared" si="100"/>
        <v>9.9076757527966672E-2</v>
      </c>
      <c r="Z299" s="2">
        <f t="shared" si="101"/>
        <v>0.16637314512362736</v>
      </c>
      <c r="AA299" s="2" t="str">
        <f t="shared" si="102"/>
        <v>Low</v>
      </c>
      <c r="AB299" s="2">
        <f t="shared" si="103"/>
        <v>0.10614791930196092</v>
      </c>
      <c r="AC299" s="2">
        <f t="shared" si="104"/>
        <v>0.229478012277363</v>
      </c>
      <c r="AD299" s="2" t="str">
        <f t="shared" si="105"/>
        <v>Low</v>
      </c>
      <c r="AE299" s="2">
        <f t="shared" si="106"/>
        <v>6.2163636694645051E-2</v>
      </c>
      <c r="AF299" s="2">
        <f t="shared" si="107"/>
        <v>0.42355161721560142</v>
      </c>
      <c r="AG299" s="2" t="str">
        <f t="shared" si="109"/>
        <v>Moderate</v>
      </c>
    </row>
    <row r="300" spans="1:33" x14ac:dyDescent="0.3">
      <c r="A300" s="2">
        <v>404147</v>
      </c>
      <c r="B300" s="2" t="s">
        <v>624</v>
      </c>
      <c r="C300" s="2" t="s">
        <v>1166</v>
      </c>
      <c r="D300" s="2" t="s">
        <v>1139</v>
      </c>
      <c r="E300" s="3">
        <v>5.8</v>
      </c>
      <c r="F300" s="4">
        <f t="shared" si="89"/>
        <v>0.57777777777777772</v>
      </c>
      <c r="G300" s="2">
        <v>129.9030984</v>
      </c>
      <c r="H300" s="2">
        <f t="shared" si="90"/>
        <v>0.74889116799683697</v>
      </c>
      <c r="I300" s="2">
        <v>41.999999999999993</v>
      </c>
      <c r="J300" s="4">
        <f t="shared" si="91"/>
        <v>0.63732928679817902</v>
      </c>
      <c r="K300" s="2">
        <v>0</v>
      </c>
      <c r="L300" s="4">
        <f t="shared" si="92"/>
        <v>0</v>
      </c>
      <c r="M300" s="2">
        <v>77221</v>
      </c>
      <c r="N300" s="2">
        <f t="shared" si="93"/>
        <v>0.36423424318557107</v>
      </c>
      <c r="O300" s="2">
        <v>0.29103323199999998</v>
      </c>
      <c r="P300" s="2">
        <f t="shared" si="88"/>
        <v>0.25874820348584582</v>
      </c>
      <c r="Q300" s="2">
        <v>0.24229999999999999</v>
      </c>
      <c r="R300" s="2">
        <f t="shared" si="94"/>
        <v>0.54226983207874924</v>
      </c>
      <c r="S300" s="2">
        <f t="shared" si="95"/>
        <v>0.11227252253989115</v>
      </c>
      <c r="T300" s="5">
        <f t="shared" si="96"/>
        <v>0.17558034247253942</v>
      </c>
      <c r="U300" s="2" t="str">
        <f t="shared" si="97"/>
        <v>Low</v>
      </c>
      <c r="V300" s="2">
        <f t="shared" si="98"/>
        <v>0.15201156338971039</v>
      </c>
      <c r="W300" s="2">
        <f t="shared" si="99"/>
        <v>0.2224459067137747</v>
      </c>
      <c r="X300" s="2" t="s">
        <v>1169</v>
      </c>
      <c r="Y300" s="2">
        <f t="shared" si="100"/>
        <v>7.2533481690071913E-2</v>
      </c>
      <c r="Z300" s="2">
        <f t="shared" si="101"/>
        <v>0.12180075102011631</v>
      </c>
      <c r="AA300" s="2" t="str">
        <f t="shared" si="102"/>
        <v>No Impact</v>
      </c>
      <c r="AB300" s="2">
        <f t="shared" si="103"/>
        <v>0.11070042573778414</v>
      </c>
      <c r="AC300" s="2">
        <f t="shared" si="104"/>
        <v>0.2393199397936315</v>
      </c>
      <c r="AD300" s="2" t="str">
        <f t="shared" si="105"/>
        <v>Low</v>
      </c>
      <c r="AE300" s="2">
        <f t="shared" si="106"/>
        <v>0.10210381155532551</v>
      </c>
      <c r="AF300" s="2">
        <f t="shared" si="107"/>
        <v>0.69568379212698928</v>
      </c>
      <c r="AG300" s="2" t="str">
        <f t="shared" si="109"/>
        <v>Moderate</v>
      </c>
    </row>
    <row r="301" spans="1:33" x14ac:dyDescent="0.3">
      <c r="A301" s="2">
        <v>404161</v>
      </c>
      <c r="B301" s="2" t="s">
        <v>625</v>
      </c>
      <c r="C301" s="2" t="s">
        <v>1166</v>
      </c>
      <c r="D301" s="2" t="s">
        <v>626</v>
      </c>
      <c r="E301" s="3">
        <v>5.8</v>
      </c>
      <c r="F301" s="4">
        <f t="shared" si="89"/>
        <v>0.57777777777777772</v>
      </c>
      <c r="G301" s="2">
        <v>133.77380400000001</v>
      </c>
      <c r="H301" s="2">
        <f t="shared" si="90"/>
        <v>0.78014118888693751</v>
      </c>
      <c r="I301" s="2">
        <v>43.000000000000007</v>
      </c>
      <c r="J301" s="4">
        <f t="shared" si="91"/>
        <v>0.6525037936267073</v>
      </c>
      <c r="K301" s="2">
        <v>0</v>
      </c>
      <c r="L301" s="4">
        <f t="shared" si="92"/>
        <v>0</v>
      </c>
      <c r="M301" s="2">
        <v>71555</v>
      </c>
      <c r="N301" s="2">
        <f t="shared" si="93"/>
        <v>0.33742601240578557</v>
      </c>
      <c r="O301" s="2">
        <v>0.36750103000000001</v>
      </c>
      <c r="P301" s="2">
        <f t="shared" si="88"/>
        <v>0.34708304937508361</v>
      </c>
      <c r="Q301" s="2">
        <v>0.25640000000000002</v>
      </c>
      <c r="R301" s="2">
        <f t="shared" si="94"/>
        <v>0.58309206716850037</v>
      </c>
      <c r="S301" s="2">
        <f t="shared" si="95"/>
        <v>0.13474174992816013</v>
      </c>
      <c r="T301" s="5">
        <f t="shared" si="96"/>
        <v>0.21071943573130086</v>
      </c>
      <c r="U301" s="2" t="str">
        <f t="shared" si="97"/>
        <v>Low</v>
      </c>
      <c r="V301" s="2">
        <f t="shared" si="98"/>
        <v>0.16892914915087548</v>
      </c>
      <c r="W301" s="2">
        <f t="shared" si="99"/>
        <v>0.24720223195728669</v>
      </c>
      <c r="X301" s="2" t="s">
        <v>1169</v>
      </c>
      <c r="Y301" s="2">
        <f t="shared" si="100"/>
        <v>0.10055435070544483</v>
      </c>
      <c r="Z301" s="2">
        <f t="shared" si="101"/>
        <v>0.16885437109714455</v>
      </c>
      <c r="AA301" s="2" t="str">
        <f t="shared" si="102"/>
        <v>Low</v>
      </c>
      <c r="AB301" s="2">
        <f t="shared" si="103"/>
        <v>0.12350631213448679</v>
      </c>
      <c r="AC301" s="2">
        <f t="shared" si="104"/>
        <v>0.26700460262159859</v>
      </c>
      <c r="AD301" s="2" t="str">
        <f t="shared" si="105"/>
        <v>Low</v>
      </c>
      <c r="AE301" s="2">
        <f t="shared" si="106"/>
        <v>9.7756584914419853E-2</v>
      </c>
      <c r="AF301" s="2">
        <f t="shared" si="107"/>
        <v>0.66606398588555449</v>
      </c>
      <c r="AG301" s="2" t="str">
        <f t="shared" si="109"/>
        <v>Moderate</v>
      </c>
    </row>
    <row r="302" spans="1:33" x14ac:dyDescent="0.3">
      <c r="A302" s="2">
        <v>404190</v>
      </c>
      <c r="B302" s="2" t="s">
        <v>627</v>
      </c>
      <c r="C302" s="2" t="s">
        <v>1166</v>
      </c>
      <c r="D302" s="2" t="s">
        <v>628</v>
      </c>
      <c r="E302" s="3">
        <v>5.8</v>
      </c>
      <c r="F302" s="4">
        <f t="shared" si="89"/>
        <v>0.57777777777777772</v>
      </c>
      <c r="G302" s="2">
        <v>133.77380400000001</v>
      </c>
      <c r="H302" s="2">
        <f t="shared" si="90"/>
        <v>0.78014118888693751</v>
      </c>
      <c r="I302" s="2">
        <v>41.099999999999994</v>
      </c>
      <c r="J302" s="4">
        <f t="shared" si="91"/>
        <v>0.62367223065250377</v>
      </c>
      <c r="K302" s="2">
        <v>0</v>
      </c>
      <c r="L302" s="4">
        <f t="shared" si="92"/>
        <v>0</v>
      </c>
      <c r="M302" s="2">
        <v>72161</v>
      </c>
      <c r="N302" s="2">
        <f t="shared" si="93"/>
        <v>0.34029325346694866</v>
      </c>
      <c r="O302" s="2">
        <v>0.36351896700000003</v>
      </c>
      <c r="P302" s="2">
        <f t="shared" si="88"/>
        <v>0.34248300948082339</v>
      </c>
      <c r="Q302" s="2">
        <v>0.26050000000000001</v>
      </c>
      <c r="R302" s="2">
        <f t="shared" si="94"/>
        <v>0.59496236247828616</v>
      </c>
      <c r="S302" s="2">
        <f t="shared" si="95"/>
        <v>0.13306205976106888</v>
      </c>
      <c r="T302" s="5">
        <f t="shared" si="96"/>
        <v>0.20809260800788484</v>
      </c>
      <c r="U302" s="2" t="str">
        <f t="shared" si="97"/>
        <v>Low</v>
      </c>
      <c r="V302" s="2">
        <f t="shared" si="98"/>
        <v>0.16889926559928789</v>
      </c>
      <c r="W302" s="2">
        <f t="shared" si="99"/>
        <v>0.24715850190425326</v>
      </c>
      <c r="X302" s="2" t="s">
        <v>1169</v>
      </c>
      <c r="Y302" s="2">
        <f t="shared" si="100"/>
        <v>9.722485392284988E-2</v>
      </c>
      <c r="Z302" s="2">
        <f t="shared" si="101"/>
        <v>0.16326336403130515</v>
      </c>
      <c r="AA302" s="2" t="str">
        <f t="shared" si="102"/>
        <v>Low</v>
      </c>
      <c r="AB302" s="2">
        <f t="shared" si="103"/>
        <v>0.12209332649236374</v>
      </c>
      <c r="AC302" s="2">
        <f t="shared" si="104"/>
        <v>0.26394991121866623</v>
      </c>
      <c r="AD302" s="2" t="str">
        <f t="shared" si="105"/>
        <v>Low</v>
      </c>
      <c r="AE302" s="2">
        <f t="shared" si="106"/>
        <v>9.6603221016451427E-2</v>
      </c>
      <c r="AF302" s="2">
        <f t="shared" si="107"/>
        <v>0.65820554692996003</v>
      </c>
      <c r="AG302" s="2" t="str">
        <f t="shared" si="109"/>
        <v>Moderate</v>
      </c>
    </row>
    <row r="303" spans="1:33" x14ac:dyDescent="0.3">
      <c r="A303" s="2">
        <v>404414</v>
      </c>
      <c r="B303" s="2" t="s">
        <v>629</v>
      </c>
      <c r="C303" s="2" t="s">
        <v>630</v>
      </c>
      <c r="D303" s="2" t="s">
        <v>631</v>
      </c>
      <c r="E303" s="3">
        <v>4.7</v>
      </c>
      <c r="F303" s="4">
        <f t="shared" si="89"/>
        <v>0.33333333333333331</v>
      </c>
      <c r="G303" s="2">
        <v>112.2019272</v>
      </c>
      <c r="H303" s="2">
        <f t="shared" si="90"/>
        <v>0.60598131461526072</v>
      </c>
      <c r="I303" s="2">
        <v>24.499999999999996</v>
      </c>
      <c r="J303" s="4">
        <f t="shared" si="91"/>
        <v>0.37177541729893776</v>
      </c>
      <c r="K303" s="2">
        <v>0</v>
      </c>
      <c r="L303" s="4">
        <f t="shared" si="92"/>
        <v>0</v>
      </c>
      <c r="M303" s="2">
        <v>28168</v>
      </c>
      <c r="N303" s="2">
        <f t="shared" si="93"/>
        <v>0.13214385412083102</v>
      </c>
      <c r="O303" s="2">
        <v>0.30674729899999997</v>
      </c>
      <c r="P303" s="2">
        <f t="shared" si="88"/>
        <v>0.27690093866383741</v>
      </c>
      <c r="Q303" s="2">
        <v>0.251</v>
      </c>
      <c r="R303" s="2">
        <f t="shared" si="94"/>
        <v>0.56745801968731913</v>
      </c>
      <c r="S303" s="2">
        <f t="shared" si="95"/>
        <v>4.8158696581327716E-2</v>
      </c>
      <c r="T303" s="5">
        <f t="shared" si="96"/>
        <v>7.5314246509213881E-2</v>
      </c>
      <c r="U303" s="2" t="str">
        <f t="shared" si="97"/>
        <v>No Impact</v>
      </c>
      <c r="V303" s="2">
        <f t="shared" si="98"/>
        <v>6.4730854863263868E-2</v>
      </c>
      <c r="W303" s="2">
        <f t="shared" si="99"/>
        <v>9.4723805093048299E-2</v>
      </c>
      <c r="X303" s="2" t="s">
        <v>1169</v>
      </c>
      <c r="Y303" s="2">
        <f t="shared" si="100"/>
        <v>3.1586538299391551E-2</v>
      </c>
      <c r="Z303" s="2">
        <f t="shared" si="101"/>
        <v>5.3041216240391174E-2</v>
      </c>
      <c r="AA303" s="2" t="str">
        <f t="shared" si="102"/>
        <v>No Impact</v>
      </c>
      <c r="AB303" s="2">
        <f t="shared" si="103"/>
        <v>3.7407612862325475E-2</v>
      </c>
      <c r="AC303" s="2">
        <f t="shared" si="104"/>
        <v>8.0870399534331588E-2</v>
      </c>
      <c r="AD303" s="2" t="str">
        <f t="shared" si="105"/>
        <v>No Impact</v>
      </c>
      <c r="AE303" s="2">
        <f t="shared" si="106"/>
        <v>1.5073863343901872E-2</v>
      </c>
      <c r="AF303" s="2">
        <f t="shared" si="107"/>
        <v>0.10270568995759213</v>
      </c>
      <c r="AG303" s="2" t="s">
        <v>1169</v>
      </c>
    </row>
    <row r="304" spans="1:33" x14ac:dyDescent="0.3">
      <c r="A304" s="2">
        <v>404419</v>
      </c>
      <c r="B304" s="2" t="s">
        <v>632</v>
      </c>
      <c r="C304" s="2" t="s">
        <v>630</v>
      </c>
      <c r="D304" s="2" t="s">
        <v>1156</v>
      </c>
      <c r="E304" s="3">
        <v>4.5999999999999996</v>
      </c>
      <c r="F304" s="4">
        <f t="shared" si="89"/>
        <v>0.31111111111111101</v>
      </c>
      <c r="G304" s="2">
        <v>112.2019272</v>
      </c>
      <c r="H304" s="2">
        <f t="shared" si="90"/>
        <v>0.60598131461526072</v>
      </c>
      <c r="I304" s="2">
        <v>30.000000000000004</v>
      </c>
      <c r="J304" s="4">
        <f t="shared" si="91"/>
        <v>0.45523520485584229</v>
      </c>
      <c r="K304" s="2">
        <v>0</v>
      </c>
      <c r="L304" s="4">
        <f t="shared" si="92"/>
        <v>0</v>
      </c>
      <c r="M304" s="2">
        <v>45089</v>
      </c>
      <c r="N304" s="2">
        <f t="shared" si="93"/>
        <v>0.2122042270514258</v>
      </c>
      <c r="O304" s="2">
        <v>0.28617822300000001</v>
      </c>
      <c r="P304" s="2">
        <f t="shared" si="88"/>
        <v>0.25313974498406105</v>
      </c>
      <c r="Q304" s="2">
        <v>0.24909999999999999</v>
      </c>
      <c r="R304" s="2">
        <f t="shared" si="94"/>
        <v>0.5619571511291257</v>
      </c>
      <c r="S304" s="2">
        <f t="shared" si="95"/>
        <v>4.7094133627913135E-2</v>
      </c>
      <c r="T304" s="5">
        <f t="shared" si="96"/>
        <v>7.3649401685960736E-2</v>
      </c>
      <c r="U304" s="2" t="str">
        <f t="shared" si="97"/>
        <v>No Impact</v>
      </c>
      <c r="V304" s="2">
        <f t="shared" si="98"/>
        <v>6.4936783085876026E-2</v>
      </c>
      <c r="W304" s="2">
        <f t="shared" si="99"/>
        <v>9.5025149866928962E-2</v>
      </c>
      <c r="X304" s="2" t="s">
        <v>1169</v>
      </c>
      <c r="Y304" s="2">
        <f t="shared" si="100"/>
        <v>2.9251484169950225E-2</v>
      </c>
      <c r="Z304" s="2">
        <f t="shared" si="101"/>
        <v>4.9120111944669684E-2</v>
      </c>
      <c r="AA304" s="2" t="str">
        <f t="shared" si="102"/>
        <v>No Impact</v>
      </c>
      <c r="AB304" s="2">
        <f t="shared" si="103"/>
        <v>4.0085736944181612E-2</v>
      </c>
      <c r="AC304" s="2">
        <f t="shared" si="104"/>
        <v>8.6660155894870361E-2</v>
      </c>
      <c r="AD304" s="2" t="str">
        <f t="shared" si="105"/>
        <v>No Impact</v>
      </c>
      <c r="AE304" s="2">
        <f t="shared" si="106"/>
        <v>2.4521193180399813E-2</v>
      </c>
      <c r="AF304" s="2">
        <f t="shared" si="107"/>
        <v>0.16707502295323717</v>
      </c>
      <c r="AG304" s="2" t="s">
        <v>1169</v>
      </c>
    </row>
    <row r="305" spans="1:33" x14ac:dyDescent="0.3">
      <c r="A305" s="2">
        <v>404433</v>
      </c>
      <c r="B305" s="2" t="s">
        <v>633</v>
      </c>
      <c r="C305" s="2" t="s">
        <v>630</v>
      </c>
      <c r="D305" s="2" t="s">
        <v>1149</v>
      </c>
      <c r="E305" s="3">
        <v>4.5999999999999996</v>
      </c>
      <c r="F305" s="4">
        <f t="shared" si="89"/>
        <v>0.31111111111111101</v>
      </c>
      <c r="G305" s="2">
        <v>129.9030984</v>
      </c>
      <c r="H305" s="2">
        <f t="shared" si="90"/>
        <v>0.74889116799683697</v>
      </c>
      <c r="I305" s="2">
        <v>35.500000000000007</v>
      </c>
      <c r="J305" s="4">
        <f t="shared" si="91"/>
        <v>0.53869499241274676</v>
      </c>
      <c r="K305" s="2">
        <v>0</v>
      </c>
      <c r="L305" s="4">
        <f t="shared" si="92"/>
        <v>0</v>
      </c>
      <c r="M305" s="2">
        <v>31560</v>
      </c>
      <c r="N305" s="2">
        <f t="shared" si="93"/>
        <v>0.14819283378991546</v>
      </c>
      <c r="O305" s="2">
        <v>0.31026662799999999</v>
      </c>
      <c r="P305" s="2">
        <f t="shared" si="88"/>
        <v>0.28096643280620209</v>
      </c>
      <c r="Q305" s="2">
        <v>0.2021</v>
      </c>
      <c r="R305" s="2">
        <f t="shared" si="94"/>
        <v>0.42588303416328899</v>
      </c>
      <c r="S305" s="2">
        <f t="shared" si="95"/>
        <v>4.9551499963308411E-2</v>
      </c>
      <c r="T305" s="5">
        <f t="shared" si="96"/>
        <v>7.7492418774989705E-2</v>
      </c>
      <c r="U305" s="2" t="str">
        <f t="shared" si="97"/>
        <v>No Impact</v>
      </c>
      <c r="V305" s="2">
        <f t="shared" si="98"/>
        <v>5.9710430969672754E-2</v>
      </c>
      <c r="W305" s="2">
        <f t="shared" si="99"/>
        <v>8.7377174874962091E-2</v>
      </c>
      <c r="X305" s="2" t="s">
        <v>1169</v>
      </c>
      <c r="Y305" s="2">
        <f t="shared" si="100"/>
        <v>3.9392568956944068E-2</v>
      </c>
      <c r="Z305" s="2">
        <f t="shared" si="101"/>
        <v>6.6149375044052855E-2</v>
      </c>
      <c r="AA305" s="2" t="str">
        <f t="shared" si="102"/>
        <v>No Impact</v>
      </c>
      <c r="AB305" s="2">
        <f t="shared" si="103"/>
        <v>3.9988442344013352E-2</v>
      </c>
      <c r="AC305" s="2">
        <f t="shared" si="104"/>
        <v>8.6449817608460627E-2</v>
      </c>
      <c r="AD305" s="2" t="str">
        <f t="shared" si="105"/>
        <v>No Impact</v>
      </c>
      <c r="AE305" s="2">
        <f t="shared" si="106"/>
        <v>2.0777202335841925E-2</v>
      </c>
      <c r="AF305" s="2">
        <f t="shared" si="107"/>
        <v>0.14156536069132028</v>
      </c>
      <c r="AG305" s="2" t="s">
        <v>1169</v>
      </c>
    </row>
    <row r="306" spans="1:33" x14ac:dyDescent="0.3">
      <c r="A306" s="2">
        <v>404442</v>
      </c>
      <c r="B306" s="2" t="s">
        <v>634</v>
      </c>
      <c r="C306" s="2" t="s">
        <v>630</v>
      </c>
      <c r="D306" s="2" t="s">
        <v>635</v>
      </c>
      <c r="E306" s="3">
        <v>4.5999999999999996</v>
      </c>
      <c r="F306" s="4">
        <f t="shared" si="89"/>
        <v>0.31111111111111101</v>
      </c>
      <c r="G306" s="2">
        <v>129.9030984</v>
      </c>
      <c r="H306" s="2">
        <f t="shared" si="90"/>
        <v>0.74889116799683697</v>
      </c>
      <c r="I306" s="2">
        <v>34.5</v>
      </c>
      <c r="J306" s="4">
        <f t="shared" si="91"/>
        <v>0.5235204855842186</v>
      </c>
      <c r="K306" s="2">
        <v>0</v>
      </c>
      <c r="L306" s="4">
        <f t="shared" si="92"/>
        <v>0</v>
      </c>
      <c r="M306" s="2">
        <v>23944</v>
      </c>
      <c r="N306" s="2">
        <f t="shared" si="93"/>
        <v>0.11215833226876364</v>
      </c>
      <c r="O306" s="2">
        <v>0.28074116799999999</v>
      </c>
      <c r="P306" s="2">
        <f t="shared" si="88"/>
        <v>0.24685891268500215</v>
      </c>
      <c r="Q306" s="2">
        <v>0.2442</v>
      </c>
      <c r="R306" s="2">
        <f t="shared" si="94"/>
        <v>0.54777070063694266</v>
      </c>
      <c r="S306" s="2">
        <f t="shared" si="95"/>
        <v>5.5048558925890063E-2</v>
      </c>
      <c r="T306" s="5">
        <f t="shared" si="96"/>
        <v>8.6089139267298012E-2</v>
      </c>
      <c r="U306" s="2" t="str">
        <f t="shared" si="97"/>
        <v>No Impact</v>
      </c>
      <c r="V306" s="2">
        <f t="shared" si="98"/>
        <v>7.5894447391232356E-2</v>
      </c>
      <c r="W306" s="2">
        <f t="shared" si="99"/>
        <v>0.11106003246083526</v>
      </c>
      <c r="X306" s="2" t="s">
        <v>1169</v>
      </c>
      <c r="Y306" s="2">
        <f t="shared" si="100"/>
        <v>3.4202670460547771E-2</v>
      </c>
      <c r="Z306" s="2">
        <f t="shared" si="101"/>
        <v>5.7434316565538296E-2</v>
      </c>
      <c r="AA306" s="2" t="str">
        <f t="shared" si="102"/>
        <v>No Impact</v>
      </c>
      <c r="AB306" s="2">
        <f t="shared" si="103"/>
        <v>4.2262754189048082E-2</v>
      </c>
      <c r="AC306" s="2">
        <f t="shared" si="104"/>
        <v>9.1366584370631068E-2</v>
      </c>
      <c r="AD306" s="2" t="str">
        <f t="shared" si="105"/>
        <v>No Impact</v>
      </c>
      <c r="AE306" s="2">
        <f t="shared" si="106"/>
        <v>1.5539704182721234E-2</v>
      </c>
      <c r="AF306" s="2">
        <f t="shared" si="107"/>
        <v>0.10587969410436061</v>
      </c>
      <c r="AG306" s="2" t="s">
        <v>1169</v>
      </c>
    </row>
    <row r="307" spans="1:33" x14ac:dyDescent="0.3">
      <c r="A307" s="2">
        <v>404471</v>
      </c>
      <c r="B307" s="2" t="s">
        <v>636</v>
      </c>
      <c r="C307" s="2" t="s">
        <v>630</v>
      </c>
      <c r="D307" s="2" t="s">
        <v>637</v>
      </c>
      <c r="E307" s="3">
        <v>4.5999999999999996</v>
      </c>
      <c r="F307" s="4">
        <f t="shared" si="89"/>
        <v>0.31111111111111101</v>
      </c>
      <c r="G307" s="2">
        <v>129.9030984</v>
      </c>
      <c r="H307" s="2">
        <f t="shared" si="90"/>
        <v>0.74889116799683697</v>
      </c>
      <c r="I307" s="2">
        <v>33.199999999999996</v>
      </c>
      <c r="J307" s="4">
        <f t="shared" si="91"/>
        <v>0.50379362670713201</v>
      </c>
      <c r="K307" s="2">
        <v>0</v>
      </c>
      <c r="L307" s="4">
        <f t="shared" si="92"/>
        <v>0</v>
      </c>
      <c r="M307" s="2">
        <v>47194</v>
      </c>
      <c r="N307" s="2">
        <f t="shared" si="93"/>
        <v>0.22216386803120844</v>
      </c>
      <c r="O307" s="2">
        <v>0.22264962799999999</v>
      </c>
      <c r="P307" s="2">
        <f t="shared" si="88"/>
        <v>0.17975213875424909</v>
      </c>
      <c r="Q307" s="2">
        <v>0.2407</v>
      </c>
      <c r="R307" s="2">
        <f t="shared" si="94"/>
        <v>0.53763752171395485</v>
      </c>
      <c r="S307" s="2">
        <f t="shared" si="95"/>
        <v>4.8927214286413022E-2</v>
      </c>
      <c r="T307" s="5">
        <f t="shared" si="96"/>
        <v>7.6516113170819744E-2</v>
      </c>
      <c r="U307" s="2" t="str">
        <f t="shared" si="97"/>
        <v>No Impact</v>
      </c>
      <c r="V307" s="2">
        <f t="shared" si="98"/>
        <v>7.3335615727014206E-2</v>
      </c>
      <c r="W307" s="2">
        <f t="shared" si="99"/>
        <v>0.10731556975693117</v>
      </c>
      <c r="X307" s="2" t="s">
        <v>1169</v>
      </c>
      <c r="Y307" s="2">
        <f t="shared" si="100"/>
        <v>2.4518812845811828E-2</v>
      </c>
      <c r="Z307" s="2">
        <f t="shared" si="101"/>
        <v>4.1172845273058548E-2</v>
      </c>
      <c r="AA307" s="2" t="str">
        <f t="shared" si="102"/>
        <v>No Impact</v>
      </c>
      <c r="AB307" s="2">
        <f t="shared" si="103"/>
        <v>4.3629481102582149E-2</v>
      </c>
      <c r="AC307" s="2">
        <f t="shared" si="104"/>
        <v>9.4321270411641192E-2</v>
      </c>
      <c r="AD307" s="2" t="str">
        <f t="shared" si="105"/>
        <v>No Impact</v>
      </c>
      <c r="AE307" s="2">
        <f t="shared" si="106"/>
        <v>3.0303919269667506E-2</v>
      </c>
      <c r="AF307" s="2">
        <f t="shared" si="107"/>
        <v>0.20647559726415371</v>
      </c>
      <c r="AG307" s="2" t="s">
        <v>1169</v>
      </c>
    </row>
    <row r="308" spans="1:33" x14ac:dyDescent="0.3">
      <c r="A308" s="2">
        <v>404480</v>
      </c>
      <c r="B308" s="2" t="s">
        <v>638</v>
      </c>
      <c r="C308" s="2" t="s">
        <v>630</v>
      </c>
      <c r="D308" s="2" t="s">
        <v>639</v>
      </c>
      <c r="E308" s="3">
        <v>4.5999999999999996</v>
      </c>
      <c r="F308" s="4">
        <f t="shared" si="89"/>
        <v>0.31111111111111101</v>
      </c>
      <c r="G308" s="2">
        <v>107.775756</v>
      </c>
      <c r="H308" s="2">
        <f t="shared" si="90"/>
        <v>0.57024675953487403</v>
      </c>
      <c r="I308" s="2">
        <v>21.2</v>
      </c>
      <c r="J308" s="4">
        <f t="shared" si="91"/>
        <v>0.32169954476479518</v>
      </c>
      <c r="K308" s="2">
        <v>0</v>
      </c>
      <c r="L308" s="4">
        <f t="shared" si="92"/>
        <v>0</v>
      </c>
      <c r="M308" s="2">
        <v>21848</v>
      </c>
      <c r="N308" s="2">
        <f t="shared" si="93"/>
        <v>0.10224127407701807</v>
      </c>
      <c r="O308" s="2">
        <v>0.24534339099999999</v>
      </c>
      <c r="P308" s="2">
        <f t="shared" si="88"/>
        <v>0.20596774989623445</v>
      </c>
      <c r="Q308" s="2">
        <v>0.27429999999999999</v>
      </c>
      <c r="R308" s="2">
        <f t="shared" si="94"/>
        <v>0.63491603937463814</v>
      </c>
      <c r="S308" s="2">
        <f t="shared" si="95"/>
        <v>4.0834595801219072E-2</v>
      </c>
      <c r="T308" s="5">
        <f t="shared" si="96"/>
        <v>6.3860258532610292E-2</v>
      </c>
      <c r="U308" s="2" t="str">
        <f t="shared" si="97"/>
        <v>No Impact</v>
      </c>
      <c r="V308" s="2">
        <f t="shared" si="98"/>
        <v>6.1664977173730637E-2</v>
      </c>
      <c r="W308" s="2">
        <f t="shared" si="99"/>
        <v>9.0237357303722315E-2</v>
      </c>
      <c r="X308" s="2" t="s">
        <v>1169</v>
      </c>
      <c r="Y308" s="2">
        <f t="shared" si="100"/>
        <v>2.0004214428707503E-2</v>
      </c>
      <c r="Z308" s="2">
        <f t="shared" si="101"/>
        <v>3.3591774229107807E-2</v>
      </c>
      <c r="AA308" s="2" t="str">
        <f t="shared" si="102"/>
        <v>No Impact</v>
      </c>
      <c r="AB308" s="2">
        <f t="shared" si="103"/>
        <v>3.1059500584978066E-2</v>
      </c>
      <c r="AC308" s="2">
        <f t="shared" si="104"/>
        <v>6.7146605448691929E-2</v>
      </c>
      <c r="AD308" s="2" t="str">
        <f t="shared" si="105"/>
        <v>No Impact</v>
      </c>
      <c r="AE308" s="2">
        <f t="shared" si="106"/>
        <v>9.9299835587431211E-3</v>
      </c>
      <c r="AF308" s="2">
        <f t="shared" si="107"/>
        <v>6.7657891636708031E-2</v>
      </c>
      <c r="AG308" s="2" t="s">
        <v>1169</v>
      </c>
    </row>
    <row r="309" spans="1:33" x14ac:dyDescent="0.3">
      <c r="A309" s="2">
        <v>404712</v>
      </c>
      <c r="B309" s="2" t="s">
        <v>640</v>
      </c>
      <c r="C309" s="2" t="s">
        <v>641</v>
      </c>
      <c r="D309" s="2" t="s">
        <v>642</v>
      </c>
      <c r="E309" s="3">
        <v>6.9</v>
      </c>
      <c r="F309" s="4">
        <f t="shared" si="89"/>
        <v>0.8222222222222223</v>
      </c>
      <c r="G309" s="2">
        <v>135.98864640000002</v>
      </c>
      <c r="H309" s="2">
        <f t="shared" si="90"/>
        <v>0.79802264989711624</v>
      </c>
      <c r="I309" s="2">
        <v>49.599999999999994</v>
      </c>
      <c r="J309" s="4">
        <f t="shared" si="91"/>
        <v>0.75265553869499247</v>
      </c>
      <c r="K309" s="2">
        <v>1.2</v>
      </c>
      <c r="L309" s="4">
        <f t="shared" si="92"/>
        <v>0.5</v>
      </c>
      <c r="M309" s="2">
        <v>34844</v>
      </c>
      <c r="N309" s="2">
        <f t="shared" si="93"/>
        <v>0.16373082000255496</v>
      </c>
      <c r="O309" s="2">
        <v>0.25517379499999998</v>
      </c>
      <c r="P309" s="2">
        <f t="shared" si="88"/>
        <v>0.21732373561938745</v>
      </c>
      <c r="Q309" s="2">
        <v>0.22109999999999999</v>
      </c>
      <c r="R309" s="2">
        <f t="shared" si="94"/>
        <v>0.48089171974522293</v>
      </c>
      <c r="S309" s="2">
        <f t="shared" si="95"/>
        <v>0.19884619568698342</v>
      </c>
      <c r="T309" s="5">
        <f t="shared" si="96"/>
        <v>0.31097086222211812</v>
      </c>
      <c r="U309" s="2" t="str">
        <f t="shared" si="97"/>
        <v>Moderate</v>
      </c>
      <c r="V309" s="2">
        <f t="shared" si="98"/>
        <v>0.27390825646726397</v>
      </c>
      <c r="W309" s="2">
        <f t="shared" si="99"/>
        <v>0.40082326046502587</v>
      </c>
      <c r="X309" s="2" t="str">
        <f t="shared" si="108"/>
        <v>Moderate</v>
      </c>
      <c r="Y309" s="2">
        <f t="shared" si="100"/>
        <v>0.12378413490670291</v>
      </c>
      <c r="Z309" s="2">
        <f t="shared" si="101"/>
        <v>0.20786263453385953</v>
      </c>
      <c r="AA309" s="2" t="str">
        <f t="shared" si="102"/>
        <v>Low</v>
      </c>
      <c r="AB309" s="2">
        <f t="shared" si="103"/>
        <v>0.16564359285615188</v>
      </c>
      <c r="AC309" s="2">
        <f t="shared" si="104"/>
        <v>0.35809992965550608</v>
      </c>
      <c r="AD309" s="2" t="str">
        <f t="shared" si="105"/>
        <v>Moderate</v>
      </c>
      <c r="AE309" s="2">
        <f t="shared" si="106"/>
        <v>9.3258464630281784E-2</v>
      </c>
      <c r="AF309" s="2">
        <f t="shared" si="107"/>
        <v>0.63541606658611782</v>
      </c>
      <c r="AG309" s="2" t="str">
        <f t="shared" si="109"/>
        <v>Moderate</v>
      </c>
    </row>
    <row r="310" spans="1:33" x14ac:dyDescent="0.3">
      <c r="A310" s="2">
        <v>404717</v>
      </c>
      <c r="B310" s="2" t="s">
        <v>643</v>
      </c>
      <c r="C310" s="2" t="s">
        <v>641</v>
      </c>
      <c r="D310" s="2" t="s">
        <v>644</v>
      </c>
      <c r="E310" s="3">
        <v>6.9</v>
      </c>
      <c r="F310" s="4">
        <f t="shared" si="89"/>
        <v>0.8222222222222223</v>
      </c>
      <c r="G310" s="2">
        <v>149.68903680000003</v>
      </c>
      <c r="H310" s="2">
        <f t="shared" si="90"/>
        <v>0.90863232431992247</v>
      </c>
      <c r="I310" s="2">
        <v>54.500000000000007</v>
      </c>
      <c r="J310" s="4">
        <f t="shared" si="91"/>
        <v>0.82701062215478016</v>
      </c>
      <c r="K310" s="2">
        <v>1.2</v>
      </c>
      <c r="L310" s="4">
        <f t="shared" si="92"/>
        <v>0.5</v>
      </c>
      <c r="M310" s="2">
        <v>30636</v>
      </c>
      <c r="N310" s="2">
        <f t="shared" si="93"/>
        <v>0.1438210008847757</v>
      </c>
      <c r="O310" s="2">
        <v>0.250517557</v>
      </c>
      <c r="P310" s="2">
        <f t="shared" si="88"/>
        <v>0.21194489541591235</v>
      </c>
      <c r="Q310" s="2">
        <v>0.31530000000000002</v>
      </c>
      <c r="R310" s="2">
        <f t="shared" si="94"/>
        <v>0.75361899247249575</v>
      </c>
      <c r="S310" s="2">
        <f t="shared" si="95"/>
        <v>0.30068277598006821</v>
      </c>
      <c r="T310" s="5">
        <f t="shared" si="96"/>
        <v>0.47023068145116442</v>
      </c>
      <c r="U310" s="2" t="str">
        <f t="shared" si="97"/>
        <v>Moderate</v>
      </c>
      <c r="V310" s="2">
        <f t="shared" si="98"/>
        <v>0.46936355746171132</v>
      </c>
      <c r="W310" s="2">
        <f t="shared" si="99"/>
        <v>0.68684249927950292</v>
      </c>
      <c r="X310" s="2" t="str">
        <f t="shared" si="108"/>
        <v>Moderate</v>
      </c>
      <c r="Y310" s="2">
        <f t="shared" si="100"/>
        <v>0.13200199449842501</v>
      </c>
      <c r="Z310" s="2">
        <f t="shared" si="101"/>
        <v>0.22166235084041347</v>
      </c>
      <c r="AA310" s="2" t="str">
        <f t="shared" si="102"/>
        <v>Low</v>
      </c>
      <c r="AB310" s="2">
        <f t="shared" si="103"/>
        <v>0.23522858972752453</v>
      </c>
      <c r="AC310" s="2">
        <f t="shared" si="104"/>
        <v>0.50853365338158318</v>
      </c>
      <c r="AD310" s="2" t="str">
        <f t="shared" si="105"/>
        <v>Moderate</v>
      </c>
      <c r="AE310" s="2">
        <f t="shared" si="106"/>
        <v>8.9573560761137413E-2</v>
      </c>
      <c r="AF310" s="2">
        <f t="shared" si="107"/>
        <v>0.61030899312568476</v>
      </c>
      <c r="AG310" s="2" t="str">
        <f t="shared" si="109"/>
        <v>Moderate</v>
      </c>
    </row>
    <row r="311" spans="1:33" x14ac:dyDescent="0.3">
      <c r="A311" s="2">
        <v>404721</v>
      </c>
      <c r="B311" s="2" t="s">
        <v>645</v>
      </c>
      <c r="C311" s="2" t="s">
        <v>669</v>
      </c>
      <c r="D311" s="2" t="s">
        <v>1153</v>
      </c>
      <c r="E311" s="3">
        <v>5.0999999999999996</v>
      </c>
      <c r="F311" s="4">
        <f t="shared" si="89"/>
        <v>0.42222222222222211</v>
      </c>
      <c r="G311" s="2">
        <v>129.432006</v>
      </c>
      <c r="H311" s="2">
        <f t="shared" si="90"/>
        <v>0.74508781820418735</v>
      </c>
      <c r="I311" s="2">
        <v>48.70000000000001</v>
      </c>
      <c r="J311" s="4">
        <f t="shared" si="91"/>
        <v>0.73899848254931744</v>
      </c>
      <c r="K311" s="2">
        <v>0</v>
      </c>
      <c r="L311" s="4">
        <f t="shared" si="92"/>
        <v>0</v>
      </c>
      <c r="M311" s="2">
        <v>15743</v>
      </c>
      <c r="N311" s="2">
        <f t="shared" si="93"/>
        <v>7.3355949525201913E-2</v>
      </c>
      <c r="O311" s="2">
        <v>0.66743674099999994</v>
      </c>
      <c r="P311" s="2">
        <f t="shared" si="88"/>
        <v>0.69356582383478438</v>
      </c>
      <c r="Q311" s="2">
        <v>0.23139999999999999</v>
      </c>
      <c r="R311" s="2">
        <f t="shared" si="94"/>
        <v>0.51071221771858721</v>
      </c>
      <c r="S311" s="2">
        <f t="shared" si="95"/>
        <v>0.13205810462282955</v>
      </c>
      <c r="T311" s="5">
        <f t="shared" si="96"/>
        <v>0.20652254631325695</v>
      </c>
      <c r="U311" s="2" t="str">
        <f t="shared" si="97"/>
        <v>Low</v>
      </c>
      <c r="V311" s="2">
        <f t="shared" si="98"/>
        <v>0.11200683754499813</v>
      </c>
      <c r="W311" s="2">
        <f t="shared" si="99"/>
        <v>0.16390504761775307</v>
      </c>
      <c r="X311" s="2" t="s">
        <v>1169</v>
      </c>
      <c r="Y311" s="2">
        <f t="shared" si="100"/>
        <v>0.15210937170066099</v>
      </c>
      <c r="Z311" s="2">
        <f t="shared" si="101"/>
        <v>0.25542735959515428</v>
      </c>
      <c r="AA311" s="2" t="str">
        <f t="shared" si="102"/>
        <v>Low</v>
      </c>
      <c r="AB311" s="2">
        <f t="shared" si="103"/>
        <v>9.0466025047894791E-2</v>
      </c>
      <c r="AC311" s="2">
        <f t="shared" si="104"/>
        <v>0.19557579407250353</v>
      </c>
      <c r="AD311" s="2" t="str">
        <f t="shared" si="105"/>
        <v>Low</v>
      </c>
      <c r="AE311" s="2">
        <f t="shared" si="106"/>
        <v>1.6088058276991835E-2</v>
      </c>
      <c r="AF311" s="2">
        <f t="shared" si="107"/>
        <v>0.10961590189052954</v>
      </c>
      <c r="AG311" s="2" t="s">
        <v>1169</v>
      </c>
    </row>
    <row r="312" spans="1:33" x14ac:dyDescent="0.3">
      <c r="A312" s="2">
        <v>404730</v>
      </c>
      <c r="B312" s="2" t="s">
        <v>646</v>
      </c>
      <c r="C312" s="2" t="s">
        <v>641</v>
      </c>
      <c r="D312" s="2" t="s">
        <v>647</v>
      </c>
      <c r="E312" s="3">
        <v>6.9</v>
      </c>
      <c r="F312" s="4">
        <f t="shared" si="89"/>
        <v>0.8222222222222223</v>
      </c>
      <c r="G312" s="2">
        <v>139.70114640000003</v>
      </c>
      <c r="H312" s="2">
        <f t="shared" si="90"/>
        <v>0.8279954028118558</v>
      </c>
      <c r="I312" s="2">
        <v>47.1</v>
      </c>
      <c r="J312" s="4">
        <f t="shared" si="91"/>
        <v>0.71471927162367233</v>
      </c>
      <c r="K312" s="2">
        <v>0</v>
      </c>
      <c r="L312" s="4">
        <f t="shared" si="92"/>
        <v>0</v>
      </c>
      <c r="M312" s="2">
        <v>69387</v>
      </c>
      <c r="N312" s="2">
        <f t="shared" si="93"/>
        <v>0.32716829190974339</v>
      </c>
      <c r="O312" s="2">
        <v>0.63466354700000005</v>
      </c>
      <c r="P312" s="2">
        <f t="shared" si="88"/>
        <v>0.65570655343591544</v>
      </c>
      <c r="Q312" s="2">
        <v>0.20180000000000001</v>
      </c>
      <c r="R312" s="2">
        <f t="shared" si="94"/>
        <v>0.42501447596989006</v>
      </c>
      <c r="S312" s="2">
        <f t="shared" si="95"/>
        <v>0.23989791415453895</v>
      </c>
      <c r="T312" s="5">
        <f t="shared" si="96"/>
        <v>0.37517067375711477</v>
      </c>
      <c r="U312" s="2" t="str">
        <f t="shared" si="97"/>
        <v>Moderate</v>
      </c>
      <c r="V312" s="2">
        <f t="shared" si="98"/>
        <v>0.18868900205767264</v>
      </c>
      <c r="W312" s="2">
        <f t="shared" si="99"/>
        <v>0.2761177848163453</v>
      </c>
      <c r="X312" s="2" t="s">
        <v>1169</v>
      </c>
      <c r="Y312" s="2">
        <f t="shared" si="100"/>
        <v>0.29110682625140538</v>
      </c>
      <c r="Z312" s="2">
        <f t="shared" si="101"/>
        <v>0.48883673082188334</v>
      </c>
      <c r="AA312" s="2" t="str">
        <f t="shared" si="102"/>
        <v>Moderate</v>
      </c>
      <c r="AB312" s="2">
        <f t="shared" si="103"/>
        <v>0.20421045637975765</v>
      </c>
      <c r="AC312" s="2">
        <f t="shared" si="104"/>
        <v>0.44147647852588884</v>
      </c>
      <c r="AD312" s="2" t="str">
        <f t="shared" si="105"/>
        <v>Moderate</v>
      </c>
      <c r="AE312" s="2">
        <f t="shared" si="106"/>
        <v>0.14524930795471599</v>
      </c>
      <c r="AF312" s="2">
        <f t="shared" si="107"/>
        <v>0.98965540876997049</v>
      </c>
      <c r="AG312" s="2" t="str">
        <f t="shared" si="109"/>
        <v>High</v>
      </c>
    </row>
    <row r="313" spans="1:33" x14ac:dyDescent="0.3">
      <c r="A313" s="2">
        <v>404740</v>
      </c>
      <c r="B313" s="2" t="s">
        <v>648</v>
      </c>
      <c r="C313" s="2" t="s">
        <v>641</v>
      </c>
      <c r="D313" s="2" t="s">
        <v>649</v>
      </c>
      <c r="E313" s="3">
        <v>6.9</v>
      </c>
      <c r="F313" s="4">
        <f t="shared" si="89"/>
        <v>0.8222222222222223</v>
      </c>
      <c r="G313" s="2">
        <v>129.432006</v>
      </c>
      <c r="H313" s="2">
        <f t="shared" si="90"/>
        <v>0.74508781820418735</v>
      </c>
      <c r="I313" s="2">
        <v>48.70000000000001</v>
      </c>
      <c r="J313" s="4">
        <f t="shared" si="91"/>
        <v>0.73899848254931744</v>
      </c>
      <c r="K313" s="2">
        <v>0</v>
      </c>
      <c r="L313" s="4">
        <f t="shared" si="92"/>
        <v>0</v>
      </c>
      <c r="M313" s="2">
        <v>17988</v>
      </c>
      <c r="N313" s="2">
        <f t="shared" si="93"/>
        <v>8.3977989430005728E-2</v>
      </c>
      <c r="O313" s="2">
        <v>0.725192638</v>
      </c>
      <c r="P313" s="2">
        <f t="shared" si="88"/>
        <v>0.76028486628308001</v>
      </c>
      <c r="Q313" s="2">
        <v>0.1832</v>
      </c>
      <c r="R313" s="2">
        <f t="shared" si="94"/>
        <v>0.37116386797915463</v>
      </c>
      <c r="S313" s="2">
        <f t="shared" si="95"/>
        <v>0.24161355540532223</v>
      </c>
      <c r="T313" s="5">
        <f t="shared" si="96"/>
        <v>0.37785372452998317</v>
      </c>
      <c r="U313" s="2" t="str">
        <f t="shared" si="97"/>
        <v>Moderate</v>
      </c>
      <c r="V313" s="2">
        <f t="shared" si="98"/>
        <v>0.1585192842853993</v>
      </c>
      <c r="W313" s="2">
        <f t="shared" si="99"/>
        <v>0.23196897090048041</v>
      </c>
      <c r="X313" s="2" t="s">
        <v>1169</v>
      </c>
      <c r="Y313" s="2">
        <f t="shared" si="100"/>
        <v>0.32470782652524521</v>
      </c>
      <c r="Z313" s="2">
        <f t="shared" si="101"/>
        <v>0.54526070183527264</v>
      </c>
      <c r="AA313" s="2" t="str">
        <f t="shared" si="102"/>
        <v>Moderate</v>
      </c>
      <c r="AB313" s="2">
        <f t="shared" si="103"/>
        <v>0.16544716680235341</v>
      </c>
      <c r="AC313" s="2">
        <f t="shared" si="104"/>
        <v>0.35767528204412019</v>
      </c>
      <c r="AD313" s="2" t="str">
        <f t="shared" si="105"/>
        <v>Moderate</v>
      </c>
      <c r="AE313" s="2">
        <f t="shared" si="106"/>
        <v>3.5865912413971753E-2</v>
      </c>
      <c r="AF313" s="2">
        <f t="shared" si="107"/>
        <v>0.24437220879581281</v>
      </c>
      <c r="AG313" s="2" t="s">
        <v>1169</v>
      </c>
    </row>
    <row r="314" spans="1:33" x14ac:dyDescent="0.3">
      <c r="A314" s="2">
        <v>404745</v>
      </c>
      <c r="B314" s="2" t="s">
        <v>650</v>
      </c>
      <c r="C314" s="2" t="s">
        <v>641</v>
      </c>
      <c r="D314" s="2" t="s">
        <v>651</v>
      </c>
      <c r="E314" s="3">
        <v>6.9</v>
      </c>
      <c r="F314" s="4">
        <f t="shared" si="89"/>
        <v>0.8222222222222223</v>
      </c>
      <c r="G314" s="2">
        <v>129.432006</v>
      </c>
      <c r="H314" s="2">
        <f t="shared" si="90"/>
        <v>0.74508781820418735</v>
      </c>
      <c r="I314" s="2">
        <v>50.999999999999993</v>
      </c>
      <c r="J314" s="4">
        <f t="shared" si="91"/>
        <v>0.77389984825493174</v>
      </c>
      <c r="K314" s="2">
        <v>0</v>
      </c>
      <c r="L314" s="4">
        <f t="shared" si="92"/>
        <v>0</v>
      </c>
      <c r="M314" s="2">
        <v>14171</v>
      </c>
      <c r="N314" s="2">
        <f t="shared" si="93"/>
        <v>6.5918155881392743E-2</v>
      </c>
      <c r="O314" s="2">
        <v>0.59899438699999996</v>
      </c>
      <c r="P314" s="2">
        <f t="shared" si="88"/>
        <v>0.61450189168276048</v>
      </c>
      <c r="Q314" s="2">
        <v>0.15629999999999999</v>
      </c>
      <c r="R314" s="2">
        <f t="shared" si="94"/>
        <v>0.2932831499710481</v>
      </c>
      <c r="S314" s="2">
        <f t="shared" si="95"/>
        <v>0.19841044391981508</v>
      </c>
      <c r="T314" s="5">
        <f t="shared" si="96"/>
        <v>0.31028940034006902</v>
      </c>
      <c r="U314" s="2" t="str">
        <f t="shared" si="97"/>
        <v>Moderate</v>
      </c>
      <c r="V314" s="2">
        <f t="shared" si="98"/>
        <v>0.12820312587205809</v>
      </c>
      <c r="W314" s="2">
        <f t="shared" si="99"/>
        <v>0.18760586327921774</v>
      </c>
      <c r="X314" s="2" t="s">
        <v>1169</v>
      </c>
      <c r="Y314" s="2">
        <f t="shared" si="100"/>
        <v>0.26861776196757209</v>
      </c>
      <c r="Z314" s="2">
        <f t="shared" si="101"/>
        <v>0.45107231009250454</v>
      </c>
      <c r="AA314" s="2" t="str">
        <f t="shared" si="102"/>
        <v>Moderate</v>
      </c>
      <c r="AB314" s="2">
        <f t="shared" si="103"/>
        <v>0.13554162451540039</v>
      </c>
      <c r="AC314" s="2">
        <f t="shared" si="104"/>
        <v>0.29302338452963139</v>
      </c>
      <c r="AD314" s="2" t="str">
        <f t="shared" si="105"/>
        <v>Low</v>
      </c>
      <c r="AE314" s="2">
        <f t="shared" si="106"/>
        <v>2.8814862485452654E-2</v>
      </c>
      <c r="AF314" s="2">
        <f t="shared" si="107"/>
        <v>0.19632991656374527</v>
      </c>
      <c r="AG314" s="2" t="s">
        <v>1169</v>
      </c>
    </row>
    <row r="315" spans="1:33" x14ac:dyDescent="0.3">
      <c r="A315" s="2">
        <v>404748</v>
      </c>
      <c r="B315" s="2" t="s">
        <v>652</v>
      </c>
      <c r="C315" s="2" t="s">
        <v>641</v>
      </c>
      <c r="D315" s="2" t="s">
        <v>653</v>
      </c>
      <c r="E315" s="3">
        <v>6</v>
      </c>
      <c r="F315" s="4">
        <f t="shared" si="89"/>
        <v>0.62222222222222223</v>
      </c>
      <c r="G315" s="2">
        <v>125.21325600000002</v>
      </c>
      <c r="H315" s="2">
        <f t="shared" si="90"/>
        <v>0.71102787171016535</v>
      </c>
      <c r="I315" s="2">
        <v>46.300000000000004</v>
      </c>
      <c r="J315" s="4">
        <f t="shared" si="91"/>
        <v>0.70257966616084988</v>
      </c>
      <c r="K315" s="2">
        <v>0</v>
      </c>
      <c r="L315" s="4">
        <f t="shared" si="92"/>
        <v>0</v>
      </c>
      <c r="M315" s="2">
        <v>12622</v>
      </c>
      <c r="N315" s="2">
        <f t="shared" si="93"/>
        <v>5.8589184918122761E-2</v>
      </c>
      <c r="O315" s="2">
        <v>0.65296287099999994</v>
      </c>
      <c r="P315" s="2">
        <f t="shared" si="88"/>
        <v>0.67684575199655961</v>
      </c>
      <c r="Q315" s="2">
        <v>0.2263</v>
      </c>
      <c r="R315" s="2">
        <f t="shared" si="94"/>
        <v>0.4959467284308049</v>
      </c>
      <c r="S315" s="2">
        <f t="shared" si="95"/>
        <v>0.18052343609741733</v>
      </c>
      <c r="T315" s="5">
        <f t="shared" si="96"/>
        <v>0.28231633187935368</v>
      </c>
      <c r="U315" s="2" t="str">
        <f t="shared" si="97"/>
        <v>Low</v>
      </c>
      <c r="V315" s="2">
        <f t="shared" si="98"/>
        <v>0.1526783451152022</v>
      </c>
      <c r="W315" s="2">
        <f t="shared" si="99"/>
        <v>0.22342164081057461</v>
      </c>
      <c r="X315" s="2" t="s">
        <v>1169</v>
      </c>
      <c r="Y315" s="2">
        <f t="shared" si="100"/>
        <v>0.20836852707963247</v>
      </c>
      <c r="Z315" s="2">
        <f t="shared" si="101"/>
        <v>0.34989969453966679</v>
      </c>
      <c r="AA315" s="2" t="str">
        <f t="shared" si="102"/>
        <v>Moderate</v>
      </c>
      <c r="AB315" s="2">
        <f t="shared" si="103"/>
        <v>0.12226086444959409</v>
      </c>
      <c r="AC315" s="2">
        <f t="shared" si="104"/>
        <v>0.26431210651800946</v>
      </c>
      <c r="AD315" s="2" t="str">
        <f t="shared" si="105"/>
        <v>Low</v>
      </c>
      <c r="AE315" s="2">
        <f t="shared" si="106"/>
        <v>1.8036815815381687E-2</v>
      </c>
      <c r="AF315" s="2">
        <f t="shared" si="107"/>
        <v>0.12289375130272809</v>
      </c>
      <c r="AG315" s="2" t="s">
        <v>1169</v>
      </c>
    </row>
    <row r="316" spans="1:33" x14ac:dyDescent="0.3">
      <c r="A316" s="2">
        <v>404751</v>
      </c>
      <c r="B316" s="2" t="s">
        <v>654</v>
      </c>
      <c r="C316" s="2" t="s">
        <v>641</v>
      </c>
      <c r="D316" s="2" t="s">
        <v>655</v>
      </c>
      <c r="E316" s="3">
        <v>6.9</v>
      </c>
      <c r="F316" s="4">
        <f t="shared" si="89"/>
        <v>0.8222222222222223</v>
      </c>
      <c r="G316" s="2">
        <v>129.432006</v>
      </c>
      <c r="H316" s="2">
        <f t="shared" si="90"/>
        <v>0.74508781820418735</v>
      </c>
      <c r="I316" s="2">
        <v>50.999999999999993</v>
      </c>
      <c r="J316" s="4">
        <f t="shared" si="91"/>
        <v>0.77389984825493174</v>
      </c>
      <c r="K316" s="2">
        <v>0</v>
      </c>
      <c r="L316" s="4">
        <f t="shared" si="92"/>
        <v>0</v>
      </c>
      <c r="M316" s="2">
        <v>21594</v>
      </c>
      <c r="N316" s="2">
        <f t="shared" si="93"/>
        <v>0.10103949317019394</v>
      </c>
      <c r="O316" s="2">
        <v>0.72464412300000003</v>
      </c>
      <c r="P316" s="2">
        <f t="shared" si="88"/>
        <v>0.75965122716622024</v>
      </c>
      <c r="Q316" s="2">
        <v>0.14599999999999999</v>
      </c>
      <c r="R316" s="2">
        <f t="shared" si="94"/>
        <v>0.26346265199768387</v>
      </c>
      <c r="S316" s="2">
        <f t="shared" si="95"/>
        <v>0.22361734290709831</v>
      </c>
      <c r="T316" s="5">
        <f t="shared" si="96"/>
        <v>0.34970987345970855</v>
      </c>
      <c r="U316" s="2" t="str">
        <f t="shared" si="97"/>
        <v>Moderate</v>
      </c>
      <c r="V316" s="2">
        <f t="shared" si="98"/>
        <v>0.11516766489987448</v>
      </c>
      <c r="W316" s="2">
        <f t="shared" si="99"/>
        <v>0.16853043986583233</v>
      </c>
      <c r="X316" s="2" t="s">
        <v>1169</v>
      </c>
      <c r="Y316" s="2">
        <f t="shared" si="100"/>
        <v>0.33206702091432216</v>
      </c>
      <c r="Z316" s="2">
        <f t="shared" si="101"/>
        <v>0.55761851759989611</v>
      </c>
      <c r="AA316" s="2" t="str">
        <f t="shared" si="102"/>
        <v>Moderate</v>
      </c>
      <c r="AB316" s="2">
        <f t="shared" si="103"/>
        <v>0.15538740842163101</v>
      </c>
      <c r="AC316" s="2">
        <f t="shared" si="104"/>
        <v>0.33592739124814797</v>
      </c>
      <c r="AD316" s="2" t="str">
        <f t="shared" si="105"/>
        <v>Moderate</v>
      </c>
      <c r="AE316" s="2">
        <f t="shared" si="106"/>
        <v>4.4167484092509431E-2</v>
      </c>
      <c r="AF316" s="2">
        <f t="shared" si="107"/>
        <v>0.30093492450608528</v>
      </c>
      <c r="AG316" s="2" t="str">
        <f t="shared" si="109"/>
        <v>Moderate</v>
      </c>
    </row>
    <row r="317" spans="1:33" x14ac:dyDescent="0.3">
      <c r="A317" s="2">
        <v>404753</v>
      </c>
      <c r="B317" s="2" t="s">
        <v>656</v>
      </c>
      <c r="C317" s="2" t="s">
        <v>641</v>
      </c>
      <c r="D317" s="2" t="s">
        <v>657</v>
      </c>
      <c r="E317" s="3">
        <v>6.9</v>
      </c>
      <c r="F317" s="4">
        <f t="shared" si="89"/>
        <v>0.8222222222222223</v>
      </c>
      <c r="G317" s="2">
        <v>161.00606519999999</v>
      </c>
      <c r="H317" s="2">
        <f t="shared" si="90"/>
        <v>1</v>
      </c>
      <c r="I317" s="2">
        <v>65.899999999999991</v>
      </c>
      <c r="J317" s="4">
        <f t="shared" si="91"/>
        <v>1</v>
      </c>
      <c r="K317" s="2">
        <v>1.2</v>
      </c>
      <c r="L317" s="4">
        <f t="shared" si="92"/>
        <v>0.5</v>
      </c>
      <c r="M317" s="2">
        <v>26404</v>
      </c>
      <c r="N317" s="2">
        <f t="shared" si="93"/>
        <v>0.12379762766556425</v>
      </c>
      <c r="O317" s="2">
        <v>0.61498952399999995</v>
      </c>
      <c r="P317" s="2">
        <f t="shared" si="88"/>
        <v>0.63297931615197622</v>
      </c>
      <c r="Q317" s="2">
        <v>0.26429999999999998</v>
      </c>
      <c r="R317" s="2">
        <f t="shared" si="94"/>
        <v>0.60596409959467279</v>
      </c>
      <c r="S317" s="2">
        <f t="shared" si="95"/>
        <v>0.43294189361369018</v>
      </c>
      <c r="T317" s="5">
        <f t="shared" si="96"/>
        <v>0.67706758725753624</v>
      </c>
      <c r="U317" s="2" t="str">
        <f t="shared" si="97"/>
        <v>Moderate</v>
      </c>
      <c r="V317" s="2">
        <f t="shared" si="98"/>
        <v>0.42350157627227691</v>
      </c>
      <c r="W317" s="2">
        <f t="shared" si="99"/>
        <v>0.61973043384261539</v>
      </c>
      <c r="X317" s="2" t="str">
        <f t="shared" si="108"/>
        <v>Moderate</v>
      </c>
      <c r="Y317" s="2">
        <f t="shared" si="100"/>
        <v>0.44238221095510344</v>
      </c>
      <c r="Z317" s="2">
        <f t="shared" si="101"/>
        <v>0.74286363037838754</v>
      </c>
      <c r="AA317" s="2" t="str">
        <f t="shared" si="102"/>
        <v>High</v>
      </c>
      <c r="AB317" s="2">
        <f t="shared" si="103"/>
        <v>0.31122249023802123</v>
      </c>
      <c r="AC317" s="2">
        <f t="shared" si="104"/>
        <v>0.67282259422029733</v>
      </c>
      <c r="AD317" s="2" t="str">
        <f t="shared" si="105"/>
        <v>Moderate</v>
      </c>
      <c r="AE317" s="2">
        <f t="shared" si="106"/>
        <v>8.6520786446266582E-2</v>
      </c>
      <c r="AF317" s="2">
        <f t="shared" si="107"/>
        <v>0.58950893111500813</v>
      </c>
      <c r="AG317" s="2" t="str">
        <f t="shared" si="109"/>
        <v>Moderate</v>
      </c>
    </row>
    <row r="318" spans="1:33" x14ac:dyDescent="0.3">
      <c r="A318" s="2">
        <v>404764</v>
      </c>
      <c r="B318" s="2" t="s">
        <v>658</v>
      </c>
      <c r="C318" s="2" t="s">
        <v>641</v>
      </c>
      <c r="D318" s="2" t="s">
        <v>659</v>
      </c>
      <c r="E318" s="3">
        <v>6.9</v>
      </c>
      <c r="F318" s="4">
        <f t="shared" si="89"/>
        <v>0.8222222222222223</v>
      </c>
      <c r="G318" s="2">
        <v>139.70114640000003</v>
      </c>
      <c r="H318" s="2">
        <f t="shared" si="90"/>
        <v>0.8279954028118558</v>
      </c>
      <c r="I318" s="2">
        <v>47.8</v>
      </c>
      <c r="J318" s="4">
        <f t="shared" si="91"/>
        <v>0.72534142640364196</v>
      </c>
      <c r="K318" s="2">
        <v>1.2</v>
      </c>
      <c r="L318" s="4">
        <f t="shared" si="92"/>
        <v>0.5</v>
      </c>
      <c r="M318" s="2">
        <v>42872</v>
      </c>
      <c r="N318" s="2">
        <f t="shared" si="93"/>
        <v>0.20171466693162624</v>
      </c>
      <c r="O318" s="2">
        <v>0.70813871699999997</v>
      </c>
      <c r="P318" s="2">
        <f t="shared" si="88"/>
        <v>0.74058434498204506</v>
      </c>
      <c r="Q318" s="2">
        <v>0.2094</v>
      </c>
      <c r="R318" s="2">
        <f t="shared" si="94"/>
        <v>0.44701795020266361</v>
      </c>
      <c r="S318" s="2">
        <f t="shared" si="95"/>
        <v>0.3386739822835888</v>
      </c>
      <c r="T318" s="5">
        <f t="shared" si="96"/>
        <v>0.52964423040163866</v>
      </c>
      <c r="U318" s="2" t="str">
        <f t="shared" si="97"/>
        <v>Moderate</v>
      </c>
      <c r="V318" s="2">
        <f t="shared" si="98"/>
        <v>0.25495630980375755</v>
      </c>
      <c r="W318" s="2">
        <f t="shared" si="99"/>
        <v>0.37308995606668333</v>
      </c>
      <c r="X318" s="2" t="str">
        <f t="shared" si="108"/>
        <v>Moderate</v>
      </c>
      <c r="Y318" s="2">
        <f t="shared" si="100"/>
        <v>0.42239165476341994</v>
      </c>
      <c r="Z318" s="2">
        <f t="shared" si="101"/>
        <v>0.70929479153702579</v>
      </c>
      <c r="AA318" s="2" t="str">
        <f t="shared" si="102"/>
        <v>High</v>
      </c>
      <c r="AB318" s="2">
        <f t="shared" si="103"/>
        <v>0.25621893124527245</v>
      </c>
      <c r="AC318" s="2">
        <f t="shared" si="104"/>
        <v>0.55391204497127888</v>
      </c>
      <c r="AD318" s="2" t="str">
        <f t="shared" si="105"/>
        <v>Moderate</v>
      </c>
      <c r="AE318" s="2">
        <f t="shared" si="106"/>
        <v>0.11504778967123237</v>
      </c>
      <c r="AF318" s="2">
        <f t="shared" si="107"/>
        <v>0.78387752009573897</v>
      </c>
      <c r="AG318" s="2" t="str">
        <f t="shared" si="109"/>
        <v>High</v>
      </c>
    </row>
    <row r="319" spans="1:33" x14ac:dyDescent="0.3">
      <c r="A319" s="2">
        <v>404769</v>
      </c>
      <c r="B319" s="2" t="s">
        <v>660</v>
      </c>
      <c r="C319" s="2" t="s">
        <v>641</v>
      </c>
      <c r="D319" s="2" t="s">
        <v>661</v>
      </c>
      <c r="E319" s="3">
        <v>6.9</v>
      </c>
      <c r="F319" s="4">
        <f t="shared" si="89"/>
        <v>0.8222222222222223</v>
      </c>
      <c r="G319" s="2">
        <v>125.21325600000002</v>
      </c>
      <c r="H319" s="2">
        <f t="shared" si="90"/>
        <v>0.71102787171016535</v>
      </c>
      <c r="I319" s="2">
        <v>46.300000000000004</v>
      </c>
      <c r="J319" s="4">
        <f t="shared" si="91"/>
        <v>0.70257966616084988</v>
      </c>
      <c r="K319" s="2">
        <v>0</v>
      </c>
      <c r="L319" s="4">
        <f t="shared" si="92"/>
        <v>0</v>
      </c>
      <c r="M319" s="2">
        <v>16829</v>
      </c>
      <c r="N319" s="2">
        <f t="shared" si="93"/>
        <v>7.849427261500902E-2</v>
      </c>
      <c r="O319" s="2">
        <v>0.63000545600000002</v>
      </c>
      <c r="P319" s="2">
        <f t="shared" si="88"/>
        <v>0.65032557266512026</v>
      </c>
      <c r="Q319" s="2">
        <v>0.25719999999999998</v>
      </c>
      <c r="R319" s="2">
        <f t="shared" si="94"/>
        <v>0.58540822235089751</v>
      </c>
      <c r="S319" s="2">
        <f t="shared" si="95"/>
        <v>0.25135124184782165</v>
      </c>
      <c r="T319" s="5">
        <f t="shared" si="96"/>
        <v>0.39308226203662705</v>
      </c>
      <c r="U319" s="2" t="str">
        <f t="shared" si="97"/>
        <v>Moderate</v>
      </c>
      <c r="V319" s="2">
        <f t="shared" si="98"/>
        <v>0.23814689582705234</v>
      </c>
      <c r="W319" s="2">
        <f t="shared" si="99"/>
        <v>0.34849192385127031</v>
      </c>
      <c r="X319" s="2" t="str">
        <f t="shared" si="108"/>
        <v>Moderate</v>
      </c>
      <c r="Y319" s="2">
        <f t="shared" si="100"/>
        <v>0.26455558786859107</v>
      </c>
      <c r="Z319" s="2">
        <f t="shared" si="101"/>
        <v>0.44425096573536366</v>
      </c>
      <c r="AA319" s="2" t="str">
        <f t="shared" si="102"/>
        <v>Moderate</v>
      </c>
      <c r="AB319" s="2">
        <f t="shared" si="103"/>
        <v>0.17389423729158621</v>
      </c>
      <c r="AC319" s="2">
        <f t="shared" si="104"/>
        <v>0.37593675111655356</v>
      </c>
      <c r="AD319" s="2" t="str">
        <f t="shared" si="105"/>
        <v>Moderate</v>
      </c>
      <c r="AE319" s="2">
        <f t="shared" si="106"/>
        <v>3.1931849690115893E-2</v>
      </c>
      <c r="AF319" s="2">
        <f t="shared" si="107"/>
        <v>0.21756749276702389</v>
      </c>
      <c r="AG319" s="2" t="s">
        <v>1169</v>
      </c>
    </row>
    <row r="320" spans="1:33" x14ac:dyDescent="0.3">
      <c r="A320" s="2">
        <v>404775</v>
      </c>
      <c r="B320" s="2" t="s">
        <v>662</v>
      </c>
      <c r="C320" s="2" t="s">
        <v>641</v>
      </c>
      <c r="D320" s="2" t="s">
        <v>663</v>
      </c>
      <c r="E320" s="3">
        <v>6.4</v>
      </c>
      <c r="F320" s="4">
        <f t="shared" si="89"/>
        <v>0.71111111111111114</v>
      </c>
      <c r="G320" s="2">
        <v>129.432006</v>
      </c>
      <c r="H320" s="2">
        <f t="shared" si="90"/>
        <v>0.74508781820418735</v>
      </c>
      <c r="I320" s="2">
        <v>43.8</v>
      </c>
      <c r="J320" s="4">
        <f t="shared" si="91"/>
        <v>0.66464339908952963</v>
      </c>
      <c r="K320" s="2">
        <v>0</v>
      </c>
      <c r="L320" s="4">
        <f t="shared" si="92"/>
        <v>0</v>
      </c>
      <c r="M320" s="2">
        <v>27731</v>
      </c>
      <c r="N320" s="2">
        <f t="shared" si="93"/>
        <v>0.13007622319058637</v>
      </c>
      <c r="O320" s="2">
        <v>0.56979338000000002</v>
      </c>
      <c r="P320" s="2">
        <f t="shared" si="88"/>
        <v>0.58076917646640835</v>
      </c>
      <c r="Q320" s="2">
        <v>0.22600000000000001</v>
      </c>
      <c r="R320" s="2">
        <f t="shared" si="94"/>
        <v>0.49507817023740597</v>
      </c>
      <c r="S320" s="2">
        <f t="shared" si="95"/>
        <v>0.18873936227265575</v>
      </c>
      <c r="T320" s="5">
        <f t="shared" si="96"/>
        <v>0.29516502449748661</v>
      </c>
      <c r="U320" s="2" t="str">
        <f t="shared" si="97"/>
        <v>Low</v>
      </c>
      <c r="V320" s="2">
        <f t="shared" si="98"/>
        <v>0.17370631328320962</v>
      </c>
      <c r="W320" s="2">
        <f t="shared" si="99"/>
        <v>0.25419288834711184</v>
      </c>
      <c r="X320" s="2" t="s">
        <v>1169</v>
      </c>
      <c r="Y320" s="2">
        <f t="shared" si="100"/>
        <v>0.20377241126210188</v>
      </c>
      <c r="Z320" s="2">
        <f t="shared" si="101"/>
        <v>0.34218173663516865</v>
      </c>
      <c r="AA320" s="2" t="str">
        <f t="shared" si="102"/>
        <v>Moderate</v>
      </c>
      <c r="AB320" s="2">
        <f t="shared" si="103"/>
        <v>0.1379027163353313</v>
      </c>
      <c r="AC320" s="2">
        <f t="shared" si="104"/>
        <v>0.29812775832428645</v>
      </c>
      <c r="AD320" s="2" t="str">
        <f t="shared" si="105"/>
        <v>Low</v>
      </c>
      <c r="AE320" s="2">
        <f t="shared" si="106"/>
        <v>4.5639380878792594E-2</v>
      </c>
      <c r="AF320" s="2">
        <f t="shared" si="107"/>
        <v>0.31096368564930815</v>
      </c>
      <c r="AG320" s="2" t="str">
        <f t="shared" si="109"/>
        <v>Moderate</v>
      </c>
    </row>
    <row r="321" spans="1:33" x14ac:dyDescent="0.3">
      <c r="A321" s="2">
        <v>404785</v>
      </c>
      <c r="B321" s="2" t="s">
        <v>664</v>
      </c>
      <c r="C321" s="2" t="s">
        <v>641</v>
      </c>
      <c r="D321" s="2" t="s">
        <v>665</v>
      </c>
      <c r="E321" s="3">
        <v>6.9</v>
      </c>
      <c r="F321" s="4">
        <f t="shared" si="89"/>
        <v>0.8222222222222223</v>
      </c>
      <c r="G321" s="2">
        <v>129.432006</v>
      </c>
      <c r="H321" s="2">
        <f t="shared" si="90"/>
        <v>0.74508781820418735</v>
      </c>
      <c r="I321" s="2">
        <v>50.999999999999993</v>
      </c>
      <c r="J321" s="4">
        <f t="shared" si="91"/>
        <v>0.77389984825493174</v>
      </c>
      <c r="K321" s="2">
        <v>0</v>
      </c>
      <c r="L321" s="4">
        <f t="shared" si="92"/>
        <v>0</v>
      </c>
      <c r="M321" s="2">
        <v>16022</v>
      </c>
      <c r="N321" s="2">
        <f t="shared" si="93"/>
        <v>7.4676015954351249E-2</v>
      </c>
      <c r="O321" s="2">
        <v>0.454001773</v>
      </c>
      <c r="P321" s="2">
        <f t="shared" si="88"/>
        <v>0.44700785435259272</v>
      </c>
      <c r="Q321" s="2">
        <v>0.18390000000000001</v>
      </c>
      <c r="R321" s="2">
        <f t="shared" si="94"/>
        <v>0.37319050376375223</v>
      </c>
      <c r="S321" s="2">
        <f t="shared" si="95"/>
        <v>0.17926702123191426</v>
      </c>
      <c r="T321" s="5">
        <f t="shared" si="96"/>
        <v>0.28035145438856568</v>
      </c>
      <c r="U321" s="2" t="str">
        <f t="shared" si="97"/>
        <v>Low</v>
      </c>
      <c r="V321" s="2">
        <f t="shared" si="98"/>
        <v>0.16313309896256947</v>
      </c>
      <c r="W321" s="2">
        <f t="shared" si="99"/>
        <v>0.23872059009566798</v>
      </c>
      <c r="X321" s="2" t="s">
        <v>1169</v>
      </c>
      <c r="Y321" s="2">
        <f t="shared" si="100"/>
        <v>0.19540094350125903</v>
      </c>
      <c r="Z321" s="2">
        <f t="shared" si="101"/>
        <v>0.32812407613614264</v>
      </c>
      <c r="AA321" s="2" t="str">
        <f t="shared" si="102"/>
        <v>Moderate</v>
      </c>
      <c r="AB321" s="2">
        <f t="shared" si="103"/>
        <v>0.12714198548176198</v>
      </c>
      <c r="AC321" s="2">
        <f t="shared" si="104"/>
        <v>0.27486445610256155</v>
      </c>
      <c r="AD321" s="2" t="str">
        <f t="shared" si="105"/>
        <v>Low</v>
      </c>
      <c r="AE321" s="2">
        <f t="shared" si="106"/>
        <v>3.2643193698528514E-2</v>
      </c>
      <c r="AF321" s="2">
        <f t="shared" si="107"/>
        <v>0.22241423149049611</v>
      </c>
      <c r="AG321" s="2" t="s">
        <v>1169</v>
      </c>
    </row>
    <row r="322" spans="1:33" x14ac:dyDescent="0.3">
      <c r="A322" s="2">
        <v>404794</v>
      </c>
      <c r="B322" s="2" t="s">
        <v>666</v>
      </c>
      <c r="C322" s="2" t="s">
        <v>641</v>
      </c>
      <c r="D322" s="2" t="s">
        <v>667</v>
      </c>
      <c r="E322" s="3">
        <v>6.9</v>
      </c>
      <c r="F322" s="4">
        <f t="shared" si="89"/>
        <v>0.8222222222222223</v>
      </c>
      <c r="G322" s="2">
        <v>129.432006</v>
      </c>
      <c r="H322" s="2">
        <f t="shared" si="90"/>
        <v>0.74508781820418735</v>
      </c>
      <c r="I322" s="2">
        <v>44.4</v>
      </c>
      <c r="J322" s="4">
        <f t="shared" si="91"/>
        <v>0.67374810318664646</v>
      </c>
      <c r="K322" s="2">
        <v>0</v>
      </c>
      <c r="L322" s="4">
        <f t="shared" si="92"/>
        <v>0</v>
      </c>
      <c r="M322" s="2">
        <v>14270</v>
      </c>
      <c r="N322" s="2">
        <f t="shared" si="93"/>
        <v>6.6386566549800574E-2</v>
      </c>
      <c r="O322" s="2">
        <v>0.71954688300000003</v>
      </c>
      <c r="P322" s="2">
        <f t="shared" ref="P322:P385" si="110">(O322-$AJ$11)/$AK$11</f>
        <v>0.75376294580286174</v>
      </c>
      <c r="Q322" s="2">
        <v>0.21460000000000001</v>
      </c>
      <c r="R322" s="2">
        <f t="shared" si="94"/>
        <v>0.46207295888824557</v>
      </c>
      <c r="S322" s="2">
        <f t="shared" si="95"/>
        <v>0.2482186438488603</v>
      </c>
      <c r="T322" s="5">
        <f t="shared" si="96"/>
        <v>0.38818326611987458</v>
      </c>
      <c r="U322" s="2" t="str">
        <f t="shared" si="97"/>
        <v>Moderate</v>
      </c>
      <c r="V322" s="2">
        <f t="shared" si="98"/>
        <v>0.18866875500540459</v>
      </c>
      <c r="W322" s="2">
        <f t="shared" si="99"/>
        <v>0.27608815632098865</v>
      </c>
      <c r="X322" s="2" t="s">
        <v>1169</v>
      </c>
      <c r="Y322" s="2">
        <f t="shared" si="100"/>
        <v>0.30776853269231597</v>
      </c>
      <c r="Z322" s="2">
        <f t="shared" si="101"/>
        <v>0.51681564911579714</v>
      </c>
      <c r="AA322" s="2" t="str">
        <f t="shared" si="102"/>
        <v>Moderate</v>
      </c>
      <c r="AB322" s="2">
        <f t="shared" si="103"/>
        <v>0.16785181589084922</v>
      </c>
      <c r="AC322" s="2">
        <f t="shared" si="104"/>
        <v>0.36287382099506121</v>
      </c>
      <c r="AD322" s="2" t="str">
        <f t="shared" si="105"/>
        <v>Moderate</v>
      </c>
      <c r="AE322" s="2">
        <f t="shared" si="106"/>
        <v>2.7106262375036657E-2</v>
      </c>
      <c r="AF322" s="2">
        <f t="shared" si="107"/>
        <v>0.18468837854536563</v>
      </c>
      <c r="AG322" s="2" t="s">
        <v>1169</v>
      </c>
    </row>
    <row r="323" spans="1:33" x14ac:dyDescent="0.3">
      <c r="A323" s="2">
        <v>405015</v>
      </c>
      <c r="B323" s="2" t="s">
        <v>668</v>
      </c>
      <c r="C323" s="2" t="s">
        <v>669</v>
      </c>
      <c r="D323" s="2" t="s">
        <v>670</v>
      </c>
      <c r="E323" s="3">
        <v>5.6</v>
      </c>
      <c r="F323" s="4">
        <f t="shared" ref="F323:F386" si="111">(E323-$AJ$5)/$AK$5</f>
        <v>0.53333333333333321</v>
      </c>
      <c r="G323" s="2">
        <v>80.536694400000002</v>
      </c>
      <c r="H323" s="2">
        <f t="shared" ref="H323:H386" si="112">(G323-$AJ$6)/$AK$6</f>
        <v>0.35033304560459355</v>
      </c>
      <c r="I323" s="2">
        <v>8.6</v>
      </c>
      <c r="J323" s="4">
        <f t="shared" ref="J323:J386" si="113">(I323-$AJ$7)/$AK$7</f>
        <v>0.13050075872534145</v>
      </c>
      <c r="K323" s="2">
        <v>0</v>
      </c>
      <c r="L323" s="4">
        <f t="shared" ref="L323:L386" si="114">(K323-$AJ$8)/$AK$8</f>
        <v>0</v>
      </c>
      <c r="M323" s="2">
        <v>38100</v>
      </c>
      <c r="N323" s="2">
        <f t="shared" ref="N323:N386" si="115">(M323-$AJ$9)/$AK$9</f>
        <v>0.17913632643019026</v>
      </c>
      <c r="O323" s="2">
        <v>0.78116169000000002</v>
      </c>
      <c r="P323" s="2">
        <f t="shared" si="110"/>
        <v>0.82493976301473082</v>
      </c>
      <c r="Q323" s="2">
        <v>0.22189999999999999</v>
      </c>
      <c r="R323" s="2">
        <f t="shared" ref="R323:R386" si="116">(Q323-$AJ$12)/$AK$12</f>
        <v>0.48320787492762013</v>
      </c>
      <c r="S323" s="2">
        <f t="shared" ref="S323:S386" si="117">F323*(R323*0.5+P323*0.5)*(H323*0.35+J323*0.35+L323*0.3)</f>
        <v>5.8706816501856961E-2</v>
      </c>
      <c r="T323" s="5">
        <f t="shared" ref="T323:T386" si="118">(S323-$AJ$10)/$AK$10</f>
        <v>9.1810201763358079E-2</v>
      </c>
      <c r="U323" s="2" t="str">
        <f t="shared" ref="U323:U386" si="119">IF(T323&gt;0.7,"High",IF(T323&gt;0.3,"Moderate",IF(T323&gt;0.15,"Low","No Impact")))</f>
        <v>No Impact</v>
      </c>
      <c r="V323" s="2">
        <f t="shared" ref="V323:V386" si="120">F323*(R323*1)*(H323*0.35+J323*0.35+L323*0.3)</f>
        <v>4.3370633746277781E-2</v>
      </c>
      <c r="W323" s="2">
        <f t="shared" ref="W323:W386" si="121">(V323-$AJ$13)/$AK$13</f>
        <v>6.3466355672616159E-2</v>
      </c>
      <c r="X323" s="2" t="s">
        <v>1170</v>
      </c>
      <c r="Y323" s="2">
        <f t="shared" ref="Y323:Y386" si="122">F323*(P323*1)*(H323*0.35+J323*0.35+L323*0.3)</f>
        <v>7.404299925743614E-2</v>
      </c>
      <c r="Z323" s="2">
        <f t="shared" ref="Z323:Z386" si="123">(Y323-$AJ$14)/$AK$14</f>
        <v>0.12433558554203597</v>
      </c>
      <c r="AA323" s="2" t="str">
        <f t="shared" ref="AA323:AA386" si="124">IF(Z323&gt;0.7,"High",IF(Z323&gt;0.3,"Moderate",IF(Z323&gt;0.15,"Low","No Impact")))</f>
        <v>No Impact</v>
      </c>
      <c r="AB323" s="2">
        <f t="shared" ref="AB323:AB386" si="125">F323*(R323*0.35+P323*0.3+N323*0.35)*(H323*0.35+J323*0.35+L323*0.3)</f>
        <v>4.3020095275394403E-2</v>
      </c>
      <c r="AC323" s="2">
        <f t="shared" ref="AC323:AC386" si="126">(AB323-$AJ$15)/$AK$15</f>
        <v>9.3003857416147293E-2</v>
      </c>
      <c r="AD323" s="2" t="str">
        <f t="shared" ref="AD323:AD386" si="127">IF(AC323&gt;0.7,"High",IF(AC323&gt;0.3,"Moderate",IF(AC323&gt;0.15,"Low","No Impact")))</f>
        <v>No Impact</v>
      </c>
      <c r="AE323" s="2">
        <f t="shared" ref="AE323:AE386" si="128">F323*(N323*1)*(H323*0.35+J323*0.35+L323*0.3)</f>
        <v>1.6078496248475255E-2</v>
      </c>
      <c r="AF323" s="2">
        <f t="shared" ref="AF323:AF386" si="129">(AE323-$AJ$16)/$AK$16</f>
        <v>0.10955075105867018</v>
      </c>
      <c r="AG323" s="2" t="s">
        <v>1169</v>
      </c>
    </row>
    <row r="324" spans="1:33" x14ac:dyDescent="0.3">
      <c r="A324" s="2">
        <v>405039</v>
      </c>
      <c r="B324" s="2" t="s">
        <v>671</v>
      </c>
      <c r="C324" s="2" t="s">
        <v>491</v>
      </c>
      <c r="D324" s="2" t="s">
        <v>1153</v>
      </c>
      <c r="E324" s="3">
        <v>5.5</v>
      </c>
      <c r="F324" s="4">
        <f t="shared" si="111"/>
        <v>0.51111111111111107</v>
      </c>
      <c r="G324" s="2">
        <v>95.790988800000008</v>
      </c>
      <c r="H324" s="2">
        <f t="shared" si="112"/>
        <v>0.47348811548739311</v>
      </c>
      <c r="I324" s="2">
        <v>10.200000000000001</v>
      </c>
      <c r="J324" s="4">
        <f t="shared" si="113"/>
        <v>0.15477996965098637</v>
      </c>
      <c r="K324" s="2">
        <v>0</v>
      </c>
      <c r="L324" s="4">
        <f t="shared" si="114"/>
        <v>0</v>
      </c>
      <c r="M324" s="2">
        <v>80319</v>
      </c>
      <c r="N324" s="2">
        <f t="shared" si="115"/>
        <v>0.37889218511211104</v>
      </c>
      <c r="O324" s="2">
        <v>0.64021672100000004</v>
      </c>
      <c r="P324" s="2">
        <f t="shared" si="110"/>
        <v>0.66212152525825207</v>
      </c>
      <c r="Q324" s="2">
        <v>0.22500000000000001</v>
      </c>
      <c r="R324" s="2">
        <f t="shared" si="116"/>
        <v>0.49218297625940943</v>
      </c>
      <c r="S324" s="2">
        <f t="shared" si="117"/>
        <v>6.4866245162473968E-2</v>
      </c>
      <c r="T324" s="5">
        <f t="shared" si="118"/>
        <v>0.10144278655971424</v>
      </c>
      <c r="U324" s="2" t="str">
        <f t="shared" si="119"/>
        <v>No Impact</v>
      </c>
      <c r="V324" s="2">
        <f t="shared" si="120"/>
        <v>5.5316533134650479E-2</v>
      </c>
      <c r="W324" s="2">
        <f t="shared" si="121"/>
        <v>8.0947370680307107E-2</v>
      </c>
      <c r="X324" s="2" t="s">
        <v>1170</v>
      </c>
      <c r="Y324" s="2">
        <f t="shared" si="122"/>
        <v>7.4415957190297477E-2</v>
      </c>
      <c r="Z324" s="2">
        <f t="shared" si="123"/>
        <v>0.1249618695044621</v>
      </c>
      <c r="AA324" s="2" t="str">
        <f t="shared" si="124"/>
        <v>No Impact</v>
      </c>
      <c r="AB324" s="2">
        <f t="shared" si="125"/>
        <v>5.6589890020955588E-2</v>
      </c>
      <c r="AC324" s="2">
        <f t="shared" si="126"/>
        <v>0.12233999085805509</v>
      </c>
      <c r="AD324" s="2" t="str">
        <f t="shared" si="127"/>
        <v>No Impact</v>
      </c>
      <c r="AE324" s="2">
        <f t="shared" si="128"/>
        <v>4.2583760762110519E-2</v>
      </c>
      <c r="AF324" s="2">
        <f t="shared" si="129"/>
        <v>0.29014423378270421</v>
      </c>
      <c r="AG324" s="2" t="s">
        <v>1169</v>
      </c>
    </row>
    <row r="325" spans="1:33" x14ac:dyDescent="0.3">
      <c r="A325" s="2">
        <v>405063</v>
      </c>
      <c r="B325" s="2" t="s">
        <v>672</v>
      </c>
      <c r="C325" s="2" t="s">
        <v>669</v>
      </c>
      <c r="D325" s="2" t="s">
        <v>673</v>
      </c>
      <c r="E325" s="3">
        <v>5.5</v>
      </c>
      <c r="F325" s="4">
        <f t="shared" si="111"/>
        <v>0.51111111111111107</v>
      </c>
      <c r="G325" s="2">
        <v>91.523019599999998</v>
      </c>
      <c r="H325" s="2">
        <f t="shared" si="112"/>
        <v>0.43903079931787975</v>
      </c>
      <c r="I325" s="2">
        <v>13.9</v>
      </c>
      <c r="J325" s="4">
        <f t="shared" si="113"/>
        <v>0.21092564491654026</v>
      </c>
      <c r="K325" s="2">
        <v>0</v>
      </c>
      <c r="L325" s="4">
        <f t="shared" si="114"/>
        <v>0</v>
      </c>
      <c r="M325" s="2">
        <v>11398</v>
      </c>
      <c r="N325" s="2">
        <f t="shared" si="115"/>
        <v>5.2797925745080507E-2</v>
      </c>
      <c r="O325" s="2">
        <v>0.42017280800000001</v>
      </c>
      <c r="P325" s="2">
        <f t="shared" si="110"/>
        <v>0.4079289677097811</v>
      </c>
      <c r="Q325" s="2">
        <v>0.27650000000000002</v>
      </c>
      <c r="R325" s="2">
        <f t="shared" si="116"/>
        <v>0.64128546612623061</v>
      </c>
      <c r="S325" s="2">
        <f t="shared" si="117"/>
        <v>6.0996073837518303E-2</v>
      </c>
      <c r="T325" s="5">
        <f t="shared" si="118"/>
        <v>9.5390317163903907E-2</v>
      </c>
      <c r="U325" s="2" t="str">
        <f t="shared" si="119"/>
        <v>No Impact</v>
      </c>
      <c r="V325" s="2">
        <f t="shared" si="120"/>
        <v>7.4562252255246E-2</v>
      </c>
      <c r="W325" s="2">
        <f t="shared" si="121"/>
        <v>0.10911056658905526</v>
      </c>
      <c r="X325" s="2" t="s">
        <v>1169</v>
      </c>
      <c r="Y325" s="2">
        <f t="shared" si="122"/>
        <v>4.7429895419790626E-2</v>
      </c>
      <c r="Z325" s="2">
        <f t="shared" si="123"/>
        <v>7.9645933827092216E-2</v>
      </c>
      <c r="AA325" s="2" t="str">
        <f t="shared" si="124"/>
        <v>No Impact</v>
      </c>
      <c r="AB325" s="2">
        <f t="shared" si="125"/>
        <v>4.2474341848296293E-2</v>
      </c>
      <c r="AC325" s="2">
        <f t="shared" si="126"/>
        <v>9.1824009403415507E-2</v>
      </c>
      <c r="AD325" s="2" t="str">
        <f t="shared" si="127"/>
        <v>No Impact</v>
      </c>
      <c r="AE325" s="2">
        <f t="shared" si="128"/>
        <v>6.1388140943514436E-3</v>
      </c>
      <c r="AF325" s="2">
        <f t="shared" si="129"/>
        <v>4.1826778092480262E-2</v>
      </c>
      <c r="AG325" s="2" t="s">
        <v>1169</v>
      </c>
    </row>
    <row r="326" spans="1:33" x14ac:dyDescent="0.3">
      <c r="A326" s="2">
        <v>405071</v>
      </c>
      <c r="B326" s="2" t="s">
        <v>674</v>
      </c>
      <c r="C326" s="2" t="s">
        <v>669</v>
      </c>
      <c r="D326" s="2" t="s">
        <v>675</v>
      </c>
      <c r="E326" s="3">
        <v>5.5</v>
      </c>
      <c r="F326" s="4">
        <f t="shared" si="111"/>
        <v>0.51111111111111107</v>
      </c>
      <c r="G326" s="2">
        <v>91.523019599999998</v>
      </c>
      <c r="H326" s="2">
        <f t="shared" si="112"/>
        <v>0.43903079931787975</v>
      </c>
      <c r="I326" s="2">
        <v>13.9</v>
      </c>
      <c r="J326" s="4">
        <f t="shared" si="113"/>
        <v>0.21092564491654026</v>
      </c>
      <c r="K326" s="2">
        <v>0</v>
      </c>
      <c r="L326" s="4">
        <f t="shared" si="114"/>
        <v>0</v>
      </c>
      <c r="M326" s="2">
        <v>32093</v>
      </c>
      <c r="N326" s="2">
        <f t="shared" si="115"/>
        <v>0.15071468112588893</v>
      </c>
      <c r="O326" s="2">
        <v>0.26753194899999999</v>
      </c>
      <c r="P326" s="2">
        <f t="shared" si="110"/>
        <v>0.23159975320610371</v>
      </c>
      <c r="Q326" s="2">
        <v>0.24629999999999999</v>
      </c>
      <c r="R326" s="2">
        <f t="shared" si="116"/>
        <v>0.55385060799073538</v>
      </c>
      <c r="S326" s="2">
        <f t="shared" si="117"/>
        <v>4.5662151303149039E-2</v>
      </c>
      <c r="T326" s="5">
        <f t="shared" si="118"/>
        <v>7.1409958398246515E-2</v>
      </c>
      <c r="U326" s="2" t="str">
        <f t="shared" si="119"/>
        <v>No Impact</v>
      </c>
      <c r="V326" s="2">
        <f t="shared" si="120"/>
        <v>6.4396202512092812E-2</v>
      </c>
      <c r="W326" s="2">
        <f t="shared" si="121"/>
        <v>9.4234092047342066E-2</v>
      </c>
      <c r="X326" s="2" t="s">
        <v>1169</v>
      </c>
      <c r="Y326" s="2">
        <f t="shared" si="122"/>
        <v>2.6928100094205275E-2</v>
      </c>
      <c r="Z326" s="2">
        <f t="shared" si="123"/>
        <v>4.5218604409941091E-2</v>
      </c>
      <c r="AA326" s="2" t="str">
        <f t="shared" si="124"/>
        <v>No Impact</v>
      </c>
      <c r="AB326" s="2">
        <f t="shared" si="125"/>
        <v>3.6750358767205032E-2</v>
      </c>
      <c r="AC326" s="2">
        <f t="shared" si="126"/>
        <v>7.9449501561943262E-2</v>
      </c>
      <c r="AD326" s="2" t="str">
        <f t="shared" si="127"/>
        <v>No Impact</v>
      </c>
      <c r="AE326" s="2">
        <f t="shared" si="128"/>
        <v>1.752359388488851E-2</v>
      </c>
      <c r="AF326" s="2">
        <f t="shared" si="129"/>
        <v>0.11939691633281353</v>
      </c>
      <c r="AG326" s="2" t="s">
        <v>1169</v>
      </c>
    </row>
    <row r="327" spans="1:33" x14ac:dyDescent="0.3">
      <c r="A327" s="2">
        <v>405079</v>
      </c>
      <c r="B327" s="2" t="s">
        <v>676</v>
      </c>
      <c r="C327" s="2" t="s">
        <v>669</v>
      </c>
      <c r="D327" s="2" t="s">
        <v>677</v>
      </c>
      <c r="E327" s="3">
        <v>5.5</v>
      </c>
      <c r="F327" s="4">
        <f t="shared" si="111"/>
        <v>0.51111111111111107</v>
      </c>
      <c r="G327" s="2">
        <v>95.569506000000004</v>
      </c>
      <c r="H327" s="2">
        <f t="shared" si="112"/>
        <v>0.47169998101217026</v>
      </c>
      <c r="I327" s="2">
        <v>15.700000000000003</v>
      </c>
      <c r="J327" s="4">
        <f t="shared" si="113"/>
        <v>0.23823975720789081</v>
      </c>
      <c r="K327" s="2">
        <v>0</v>
      </c>
      <c r="L327" s="4">
        <f t="shared" si="114"/>
        <v>0</v>
      </c>
      <c r="M327" s="2">
        <v>55212</v>
      </c>
      <c r="N327" s="2">
        <f t="shared" si="115"/>
        <v>0.26010040075134966</v>
      </c>
      <c r="O327" s="2">
        <v>0.372812751</v>
      </c>
      <c r="P327" s="2">
        <f t="shared" si="110"/>
        <v>0.35321909707377147</v>
      </c>
      <c r="Q327" s="2">
        <v>0.24060000000000001</v>
      </c>
      <c r="R327" s="2">
        <f t="shared" si="116"/>
        <v>0.5373480023161552</v>
      </c>
      <c r="S327" s="2">
        <f t="shared" si="117"/>
        <v>5.6551158177074248E-2</v>
      </c>
      <c r="T327" s="5">
        <f t="shared" si="118"/>
        <v>8.8439018695972663E-2</v>
      </c>
      <c r="U327" s="2" t="str">
        <f t="shared" si="119"/>
        <v>No Impact</v>
      </c>
      <c r="V327" s="2">
        <f t="shared" si="120"/>
        <v>6.8243374128535594E-2</v>
      </c>
      <c r="W327" s="2">
        <f t="shared" si="121"/>
        <v>9.9863845201772425E-2</v>
      </c>
      <c r="X327" s="2" t="s">
        <v>1169</v>
      </c>
      <c r="Y327" s="2">
        <f t="shared" si="122"/>
        <v>4.4858942225612909E-2</v>
      </c>
      <c r="Z327" s="2">
        <f t="shared" si="123"/>
        <v>7.5328699598264701E-2</v>
      </c>
      <c r="AA327" s="2" t="str">
        <f t="shared" si="124"/>
        <v>No Impact</v>
      </c>
      <c r="AB327" s="2">
        <f t="shared" si="125"/>
        <v>4.890435655398967E-2</v>
      </c>
      <c r="AC327" s="2">
        <f t="shared" si="126"/>
        <v>0.10572486589952085</v>
      </c>
      <c r="AD327" s="2" t="str">
        <f t="shared" si="127"/>
        <v>No Impact</v>
      </c>
      <c r="AE327" s="2">
        <f t="shared" si="128"/>
        <v>3.3032836975195254E-2</v>
      </c>
      <c r="AF327" s="2">
        <f t="shared" si="129"/>
        <v>0.22506906394150036</v>
      </c>
      <c r="AG327" s="2" t="s">
        <v>1169</v>
      </c>
    </row>
    <row r="328" spans="1:33" x14ac:dyDescent="0.3">
      <c r="A328" s="2">
        <v>405094</v>
      </c>
      <c r="B328" s="2" t="s">
        <v>678</v>
      </c>
      <c r="C328" s="2" t="s">
        <v>669</v>
      </c>
      <c r="D328" s="2" t="s">
        <v>1146</v>
      </c>
      <c r="E328" s="3">
        <v>5.2</v>
      </c>
      <c r="F328" s="4">
        <f t="shared" si="111"/>
        <v>0.44444444444444442</v>
      </c>
      <c r="G328" s="2">
        <v>95.790988800000008</v>
      </c>
      <c r="H328" s="2">
        <f t="shared" si="112"/>
        <v>0.47348811548739311</v>
      </c>
      <c r="I328" s="2">
        <v>18.000000000000004</v>
      </c>
      <c r="J328" s="4">
        <f t="shared" si="113"/>
        <v>0.2731411229135054</v>
      </c>
      <c r="K328" s="2">
        <v>0</v>
      </c>
      <c r="L328" s="4">
        <f t="shared" si="114"/>
        <v>0</v>
      </c>
      <c r="M328" s="2">
        <v>51537</v>
      </c>
      <c r="N328" s="2">
        <f t="shared" si="115"/>
        <v>0.24271242896954384</v>
      </c>
      <c r="O328" s="2">
        <v>0.34081370100000002</v>
      </c>
      <c r="P328" s="2">
        <f t="shared" si="110"/>
        <v>0.31625411018671595</v>
      </c>
      <c r="Q328" s="2">
        <v>0.24060000000000001</v>
      </c>
      <c r="R328" s="2">
        <f t="shared" si="116"/>
        <v>0.5373480023161552</v>
      </c>
      <c r="S328" s="2">
        <f t="shared" si="117"/>
        <v>4.9569667400976861E-2</v>
      </c>
      <c r="T328" s="5">
        <f t="shared" si="118"/>
        <v>7.7520830401053786E-2</v>
      </c>
      <c r="U328" s="2" t="str">
        <f t="shared" si="119"/>
        <v>No Impact</v>
      </c>
      <c r="V328" s="2">
        <f t="shared" si="120"/>
        <v>6.240884684619747E-2</v>
      </c>
      <c r="W328" s="2">
        <f t="shared" si="121"/>
        <v>9.1325897938914311E-2</v>
      </c>
      <c r="X328" s="2" t="s">
        <v>1169</v>
      </c>
      <c r="Y328" s="2">
        <f t="shared" si="122"/>
        <v>3.6730487955756244E-2</v>
      </c>
      <c r="Z328" s="2">
        <f t="shared" si="123"/>
        <v>6.1679115824917072E-2</v>
      </c>
      <c r="AA328" s="2" t="str">
        <f t="shared" si="124"/>
        <v>No Impact</v>
      </c>
      <c r="AB328" s="2">
        <f t="shared" si="125"/>
        <v>4.2728457898013952E-2</v>
      </c>
      <c r="AC328" s="2">
        <f t="shared" si="126"/>
        <v>9.2373375291701046E-2</v>
      </c>
      <c r="AD328" s="2" t="str">
        <f t="shared" si="127"/>
        <v>No Impact</v>
      </c>
      <c r="AE328" s="2">
        <f t="shared" si="128"/>
        <v>2.8189186043194193E-2</v>
      </c>
      <c r="AF328" s="2">
        <f t="shared" si="129"/>
        <v>0.1920668733593392</v>
      </c>
      <c r="AG328" s="2" t="s">
        <v>1169</v>
      </c>
    </row>
    <row r="329" spans="1:33" x14ac:dyDescent="0.3">
      <c r="A329" s="2">
        <v>405557</v>
      </c>
      <c r="B329" s="2" t="s">
        <v>679</v>
      </c>
      <c r="C329" s="2" t="s">
        <v>680</v>
      </c>
      <c r="D329" s="2" t="s">
        <v>681</v>
      </c>
      <c r="E329" s="3">
        <v>4.9000000000000004</v>
      </c>
      <c r="F329" s="4">
        <f t="shared" si="111"/>
        <v>0.37777777777777782</v>
      </c>
      <c r="G329" s="2">
        <v>118.484352</v>
      </c>
      <c r="H329" s="2">
        <f t="shared" si="112"/>
        <v>0.6567022752175049</v>
      </c>
      <c r="I329" s="2">
        <v>31.5</v>
      </c>
      <c r="J329" s="4">
        <f t="shared" si="113"/>
        <v>0.47799696509863437</v>
      </c>
      <c r="K329" s="2">
        <v>0</v>
      </c>
      <c r="L329" s="4">
        <f t="shared" si="114"/>
        <v>0</v>
      </c>
      <c r="M329" s="2">
        <v>51857</v>
      </c>
      <c r="N329" s="2">
        <f t="shared" si="115"/>
        <v>0.24422648365530653</v>
      </c>
      <c r="O329" s="2">
        <v>0.50164850000000005</v>
      </c>
      <c r="P329" s="2">
        <f t="shared" si="110"/>
        <v>0.50204888334458209</v>
      </c>
      <c r="Q329" s="2">
        <v>0.28420000000000001</v>
      </c>
      <c r="R329" s="2">
        <f t="shared" si="116"/>
        <v>0.66357845975680374</v>
      </c>
      <c r="S329" s="2">
        <f t="shared" si="117"/>
        <v>8.7440966013530338E-2</v>
      </c>
      <c r="T329" s="5">
        <f t="shared" si="118"/>
        <v>0.13674685854974308</v>
      </c>
      <c r="U329" s="2" t="str">
        <f t="shared" si="119"/>
        <v>No Impact</v>
      </c>
      <c r="V329" s="2">
        <f t="shared" si="120"/>
        <v>9.955830547440854E-2</v>
      </c>
      <c r="W329" s="2">
        <f t="shared" si="121"/>
        <v>0.14568850578403331</v>
      </c>
      <c r="X329" s="2" t="s">
        <v>1169</v>
      </c>
      <c r="Y329" s="2">
        <f t="shared" si="122"/>
        <v>7.5323626552652151E-2</v>
      </c>
      <c r="Z329" s="2">
        <f t="shared" si="123"/>
        <v>0.12648605953969491</v>
      </c>
      <c r="AA329" s="2" t="str">
        <f t="shared" si="124"/>
        <v>No Impact</v>
      </c>
      <c r="AB329" s="2">
        <f t="shared" si="125"/>
        <v>7.0267159512698393E-2</v>
      </c>
      <c r="AC329" s="2">
        <f t="shared" si="126"/>
        <v>0.15190847073959127</v>
      </c>
      <c r="AD329" s="2" t="str">
        <f t="shared" si="127"/>
        <v>Low</v>
      </c>
      <c r="AE329" s="2">
        <f t="shared" si="128"/>
        <v>3.6641898945313597E-2</v>
      </c>
      <c r="AF329" s="2">
        <f t="shared" si="129"/>
        <v>0.24965938901504339</v>
      </c>
      <c r="AG329" s="2" t="s">
        <v>1169</v>
      </c>
    </row>
    <row r="330" spans="1:33" x14ac:dyDescent="0.3">
      <c r="A330" s="2">
        <v>405566</v>
      </c>
      <c r="B330" s="2" t="s">
        <v>682</v>
      </c>
      <c r="C330" s="2" t="s">
        <v>680</v>
      </c>
      <c r="D330" s="2" t="s">
        <v>1147</v>
      </c>
      <c r="E330" s="3">
        <v>4.8</v>
      </c>
      <c r="F330" s="4">
        <f t="shared" si="111"/>
        <v>0.35555555555555546</v>
      </c>
      <c r="G330" s="2">
        <v>118.484352</v>
      </c>
      <c r="H330" s="2">
        <f t="shared" si="112"/>
        <v>0.6567022752175049</v>
      </c>
      <c r="I330" s="2">
        <v>32.6</v>
      </c>
      <c r="J330" s="4">
        <f t="shared" si="113"/>
        <v>0.49468892261001524</v>
      </c>
      <c r="K330" s="2">
        <v>0</v>
      </c>
      <c r="L330" s="4">
        <f t="shared" si="114"/>
        <v>0</v>
      </c>
      <c r="M330" s="2">
        <v>16134</v>
      </c>
      <c r="N330" s="2">
        <f t="shared" si="115"/>
        <v>7.5205935094368195E-2</v>
      </c>
      <c r="O330" s="2">
        <v>0.59765024</v>
      </c>
      <c r="P330" s="2">
        <f t="shared" si="110"/>
        <v>0.61294914632846798</v>
      </c>
      <c r="Q330" s="2">
        <v>0.3145</v>
      </c>
      <c r="R330" s="2">
        <f t="shared" si="116"/>
        <v>0.7513028372900985</v>
      </c>
      <c r="S330" s="2">
        <f t="shared" si="117"/>
        <v>9.7737902923556066E-2</v>
      </c>
      <c r="T330" s="5">
        <f t="shared" si="118"/>
        <v>0.15284999463487092</v>
      </c>
      <c r="U330" s="2" t="str">
        <f t="shared" si="119"/>
        <v>Low</v>
      </c>
      <c r="V330" s="2">
        <f t="shared" si="120"/>
        <v>0.10764985451218888</v>
      </c>
      <c r="W330" s="2">
        <f t="shared" si="121"/>
        <v>0.15752926264680928</v>
      </c>
      <c r="X330" s="2" t="s">
        <v>1169</v>
      </c>
      <c r="Y330" s="2">
        <f t="shared" si="122"/>
        <v>8.7825951334923255E-2</v>
      </c>
      <c r="Z330" s="2">
        <f t="shared" si="123"/>
        <v>0.14748039915356823</v>
      </c>
      <c r="AA330" s="2" t="str">
        <f t="shared" si="124"/>
        <v>No Impact</v>
      </c>
      <c r="AB330" s="2">
        <f t="shared" si="125"/>
        <v>6.7796773264552079E-2</v>
      </c>
      <c r="AC330" s="2">
        <f t="shared" si="126"/>
        <v>0.14656781658913845</v>
      </c>
      <c r="AD330" s="2" t="str">
        <f t="shared" si="127"/>
        <v>No Impact</v>
      </c>
      <c r="AE330" s="2">
        <f t="shared" si="128"/>
        <v>1.0775825099454277E-2</v>
      </c>
      <c r="AF330" s="2">
        <f t="shared" si="129"/>
        <v>7.3421028601106511E-2</v>
      </c>
      <c r="AG330" s="2" t="s">
        <v>1169</v>
      </c>
    </row>
    <row r="331" spans="1:33" x14ac:dyDescent="0.3">
      <c r="A331" s="2">
        <v>405585</v>
      </c>
      <c r="B331" s="2" t="s">
        <v>683</v>
      </c>
      <c r="C331" s="2" t="s">
        <v>680</v>
      </c>
      <c r="D331" s="2" t="s">
        <v>684</v>
      </c>
      <c r="E331" s="3">
        <v>4.9000000000000004</v>
      </c>
      <c r="F331" s="4">
        <f t="shared" si="111"/>
        <v>0.37777777777777782</v>
      </c>
      <c r="G331" s="2">
        <v>126.03590999999999</v>
      </c>
      <c r="H331" s="2">
        <f t="shared" si="112"/>
        <v>0.71766954311119469</v>
      </c>
      <c r="I331" s="2">
        <v>34.299999999999997</v>
      </c>
      <c r="J331" s="4">
        <f t="shared" si="113"/>
        <v>0.52048558421851288</v>
      </c>
      <c r="K331" s="2">
        <v>0</v>
      </c>
      <c r="L331" s="4">
        <f t="shared" si="114"/>
        <v>0</v>
      </c>
      <c r="M331" s="2">
        <v>23104</v>
      </c>
      <c r="N331" s="2">
        <f t="shared" si="115"/>
        <v>0.10818393871863659</v>
      </c>
      <c r="O331" s="2">
        <v>0.22540707800000001</v>
      </c>
      <c r="P331" s="2">
        <f t="shared" si="110"/>
        <v>0.18293751779180528</v>
      </c>
      <c r="Q331" s="2">
        <v>0.25919999999999999</v>
      </c>
      <c r="R331" s="2">
        <f t="shared" si="116"/>
        <v>0.59119861030689058</v>
      </c>
      <c r="S331" s="2">
        <f t="shared" si="117"/>
        <v>6.3367540741406408E-2</v>
      </c>
      <c r="T331" s="5">
        <f t="shared" si="118"/>
        <v>9.9098998163736449E-2</v>
      </c>
      <c r="U331" s="2" t="str">
        <f t="shared" si="119"/>
        <v>No Impact</v>
      </c>
      <c r="V331" s="2">
        <f t="shared" si="120"/>
        <v>9.6786083648865817E-2</v>
      </c>
      <c r="W331" s="2">
        <f t="shared" si="121"/>
        <v>0.14163177888876666</v>
      </c>
      <c r="X331" s="2" t="s">
        <v>1169</v>
      </c>
      <c r="Y331" s="2">
        <f t="shared" si="122"/>
        <v>2.9948997833947007E-2</v>
      </c>
      <c r="Z331" s="2">
        <f t="shared" si="123"/>
        <v>5.0291401205050379E-2</v>
      </c>
      <c r="AA331" s="2" t="str">
        <f t="shared" si="124"/>
        <v>No Impact</v>
      </c>
      <c r="AB331" s="2">
        <f t="shared" si="125"/>
        <v>4.9058667470798026E-2</v>
      </c>
      <c r="AC331" s="2">
        <f t="shared" si="126"/>
        <v>0.10605846605574384</v>
      </c>
      <c r="AD331" s="2" t="str">
        <f t="shared" si="127"/>
        <v>No Impact</v>
      </c>
      <c r="AE331" s="2">
        <f t="shared" si="128"/>
        <v>1.7710968124316807E-2</v>
      </c>
      <c r="AF331" s="2">
        <f t="shared" si="129"/>
        <v>0.1206735897443811</v>
      </c>
      <c r="AG331" s="2" t="s">
        <v>1169</v>
      </c>
    </row>
    <row r="332" spans="1:33" x14ac:dyDescent="0.3">
      <c r="A332" s="2">
        <v>405595</v>
      </c>
      <c r="B332" s="2" t="s">
        <v>685</v>
      </c>
      <c r="C332" s="2" t="s">
        <v>680</v>
      </c>
      <c r="D332" s="2" t="s">
        <v>1150</v>
      </c>
      <c r="E332" s="3">
        <v>3.8</v>
      </c>
      <c r="F332" s="4">
        <f t="shared" si="111"/>
        <v>0.13333333333333325</v>
      </c>
      <c r="G332" s="2">
        <v>107.775756</v>
      </c>
      <c r="H332" s="2">
        <f t="shared" si="112"/>
        <v>0.57024675953487403</v>
      </c>
      <c r="I332" s="2">
        <v>22.700000000000006</v>
      </c>
      <c r="J332" s="4">
        <f t="shared" si="113"/>
        <v>0.34446130500758737</v>
      </c>
      <c r="K332" s="2">
        <v>0</v>
      </c>
      <c r="L332" s="4">
        <f t="shared" si="114"/>
        <v>0</v>
      </c>
      <c r="M332" s="2">
        <v>24428</v>
      </c>
      <c r="N332" s="2">
        <f t="shared" si="115"/>
        <v>0.11444833998097968</v>
      </c>
      <c r="O332" s="2">
        <v>0.20688532600000001</v>
      </c>
      <c r="P332" s="2">
        <f t="shared" si="110"/>
        <v>0.16154137259982942</v>
      </c>
      <c r="Q332" s="2">
        <v>0.2908</v>
      </c>
      <c r="R332" s="2">
        <f t="shared" si="116"/>
        <v>0.68268674001158081</v>
      </c>
      <c r="S332" s="2">
        <f t="shared" si="117"/>
        <v>1.8018519468112743E-2</v>
      </c>
      <c r="T332" s="5">
        <f t="shared" si="118"/>
        <v>2.8178736412867826E-2</v>
      </c>
      <c r="U332" s="2" t="str">
        <f t="shared" si="119"/>
        <v>No Impact</v>
      </c>
      <c r="V332" s="2">
        <f t="shared" si="120"/>
        <v>2.914142311009044E-2</v>
      </c>
      <c r="W332" s="2">
        <f t="shared" si="121"/>
        <v>4.264406037345319E-2</v>
      </c>
      <c r="X332" s="2" t="s">
        <v>1170</v>
      </c>
      <c r="Y332" s="2">
        <f t="shared" si="122"/>
        <v>6.8956158261350492E-3</v>
      </c>
      <c r="Z332" s="2">
        <f t="shared" si="123"/>
        <v>1.157935848106971E-2</v>
      </c>
      <c r="AA332" s="2" t="str">
        <f t="shared" si="124"/>
        <v>No Impact</v>
      </c>
      <c r="AB332" s="2">
        <f t="shared" si="125"/>
        <v>1.3978067555755794E-2</v>
      </c>
      <c r="AC332" s="2">
        <f t="shared" si="126"/>
        <v>3.021876622045366E-2</v>
      </c>
      <c r="AD332" s="2" t="str">
        <f t="shared" si="127"/>
        <v>No Impact</v>
      </c>
      <c r="AE332" s="2">
        <f t="shared" si="128"/>
        <v>4.8853849125246413E-3</v>
      </c>
      <c r="AF332" s="2">
        <f t="shared" si="129"/>
        <v>3.3286544842682265E-2</v>
      </c>
      <c r="AG332" s="2" t="s">
        <v>1169</v>
      </c>
    </row>
    <row r="333" spans="1:33" x14ac:dyDescent="0.3">
      <c r="A333" s="2">
        <v>405747</v>
      </c>
      <c r="B333" s="2" t="s">
        <v>686</v>
      </c>
      <c r="C333" s="2" t="s">
        <v>687</v>
      </c>
      <c r="D333" s="2" t="s">
        <v>688</v>
      </c>
      <c r="E333" s="3">
        <v>4.9000000000000004</v>
      </c>
      <c r="F333" s="4">
        <f t="shared" si="111"/>
        <v>0.37777777777777782</v>
      </c>
      <c r="G333" s="2">
        <v>95.790988800000008</v>
      </c>
      <c r="H333" s="2">
        <f t="shared" si="112"/>
        <v>0.47348811548739311</v>
      </c>
      <c r="I333" s="2">
        <v>16.5</v>
      </c>
      <c r="J333" s="4">
        <f t="shared" si="113"/>
        <v>0.25037936267071326</v>
      </c>
      <c r="K333" s="2">
        <v>0</v>
      </c>
      <c r="L333" s="4">
        <f t="shared" si="114"/>
        <v>0</v>
      </c>
      <c r="M333" s="2">
        <v>56017</v>
      </c>
      <c r="N333" s="2">
        <f t="shared" si="115"/>
        <v>0.26390919457022138</v>
      </c>
      <c r="O333" s="2">
        <v>0.212554406</v>
      </c>
      <c r="P333" s="2">
        <f t="shared" si="110"/>
        <v>0.16809023788994487</v>
      </c>
      <c r="Q333" s="2">
        <v>0.21740000000000001</v>
      </c>
      <c r="R333" s="2">
        <f t="shared" si="116"/>
        <v>0.47017950202663583</v>
      </c>
      <c r="S333" s="2">
        <f t="shared" si="117"/>
        <v>3.0544834519526359E-2</v>
      </c>
      <c r="T333" s="5">
        <f t="shared" si="118"/>
        <v>4.77683442429108E-2</v>
      </c>
      <c r="U333" s="2" t="str">
        <f t="shared" si="119"/>
        <v>No Impact</v>
      </c>
      <c r="V333" s="2">
        <f t="shared" si="120"/>
        <v>4.5001522665805517E-2</v>
      </c>
      <c r="W333" s="2">
        <f t="shared" si="121"/>
        <v>6.5852914670918986E-2</v>
      </c>
      <c r="X333" s="2" t="s">
        <v>1170</v>
      </c>
      <c r="Y333" s="2">
        <f t="shared" si="122"/>
        <v>1.6088146373247202E-2</v>
      </c>
      <c r="Z333" s="2">
        <f t="shared" si="123"/>
        <v>2.7015776233602261E-2</v>
      </c>
      <c r="AA333" s="2" t="str">
        <f t="shared" si="124"/>
        <v>No Impact</v>
      </c>
      <c r="AB333" s="2">
        <f t="shared" si="125"/>
        <v>2.9417665225701863E-2</v>
      </c>
      <c r="AC333" s="2">
        <f t="shared" si="126"/>
        <v>6.3597170686229901E-2</v>
      </c>
      <c r="AD333" s="2" t="str">
        <f t="shared" si="127"/>
        <v>No Impact</v>
      </c>
      <c r="AE333" s="2">
        <f t="shared" si="128"/>
        <v>2.525910965913078E-2</v>
      </c>
      <c r="AF333" s="2">
        <f t="shared" si="129"/>
        <v>0.17210281306583633</v>
      </c>
      <c r="AG333" s="2" t="s">
        <v>1169</v>
      </c>
    </row>
    <row r="334" spans="1:33" x14ac:dyDescent="0.3">
      <c r="A334" s="2">
        <v>405760</v>
      </c>
      <c r="B334" s="2" t="s">
        <v>689</v>
      </c>
      <c r="C334" s="2" t="s">
        <v>687</v>
      </c>
      <c r="D334" s="2" t="s">
        <v>690</v>
      </c>
      <c r="E334" s="3">
        <v>5.4</v>
      </c>
      <c r="F334" s="4">
        <f t="shared" si="111"/>
        <v>0.48888888888888893</v>
      </c>
      <c r="G334" s="2">
        <v>112.50778680000001</v>
      </c>
      <c r="H334" s="2">
        <f t="shared" si="112"/>
        <v>0.60845066255260793</v>
      </c>
      <c r="I334" s="2">
        <v>23.200000000000003</v>
      </c>
      <c r="J334" s="4">
        <f t="shared" si="113"/>
        <v>0.3520485584218514</v>
      </c>
      <c r="K334" s="2">
        <v>0</v>
      </c>
      <c r="L334" s="4">
        <f t="shared" si="114"/>
        <v>0</v>
      </c>
      <c r="M334" s="2">
        <v>60437</v>
      </c>
      <c r="N334" s="2">
        <f t="shared" si="115"/>
        <v>0.28482207491731842</v>
      </c>
      <c r="O334" s="2">
        <v>0.20150099499999999</v>
      </c>
      <c r="P334" s="2">
        <f t="shared" si="110"/>
        <v>0.15532144654544444</v>
      </c>
      <c r="Q334" s="2">
        <v>0.22459999999999999</v>
      </c>
      <c r="R334" s="2">
        <f t="shared" si="116"/>
        <v>0.49102489866821081</v>
      </c>
      <c r="S334" s="2">
        <f t="shared" si="117"/>
        <v>5.3114186001577975E-2</v>
      </c>
      <c r="T334" s="5">
        <f t="shared" si="118"/>
        <v>8.3064019203752198E-2</v>
      </c>
      <c r="U334" s="2" t="str">
        <f t="shared" si="119"/>
        <v>No Impact</v>
      </c>
      <c r="V334" s="2">
        <f t="shared" si="120"/>
        <v>8.0700967808979354E-2</v>
      </c>
      <c r="W334" s="2">
        <f t="shared" si="121"/>
        <v>0.11809364732948134</v>
      </c>
      <c r="X334" s="2" t="s">
        <v>1169</v>
      </c>
      <c r="Y334" s="2">
        <f t="shared" si="122"/>
        <v>2.5527404194176588E-2</v>
      </c>
      <c r="Z334" s="2">
        <f t="shared" si="123"/>
        <v>4.286650702540807E-2</v>
      </c>
      <c r="AA334" s="2" t="str">
        <f t="shared" si="124"/>
        <v>No Impact</v>
      </c>
      <c r="AB334" s="2">
        <f t="shared" si="125"/>
        <v>5.2287446035741168E-2</v>
      </c>
      <c r="AC334" s="2">
        <f t="shared" si="126"/>
        <v>0.11303866587538572</v>
      </c>
      <c r="AD334" s="2" t="str">
        <f t="shared" si="127"/>
        <v>No Impact</v>
      </c>
      <c r="AE334" s="2">
        <f t="shared" si="128"/>
        <v>4.6811102983844083E-2</v>
      </c>
      <c r="AF334" s="2">
        <f t="shared" si="129"/>
        <v>0.31894720815394595</v>
      </c>
      <c r="AG334" s="2" t="str">
        <f t="shared" ref="AG323:AG386" si="130">IF(AF334&gt;0.7,"High",IF(AF334&gt;0.3,"Moderate",IF(AF334&gt;0.15,"Low","No Impact")))</f>
        <v>Moderate</v>
      </c>
    </row>
    <row r="335" spans="1:33" x14ac:dyDescent="0.3">
      <c r="A335" s="2">
        <v>405787</v>
      </c>
      <c r="B335" s="2" t="s">
        <v>691</v>
      </c>
      <c r="C335" s="2" t="s">
        <v>687</v>
      </c>
      <c r="D335" s="2" t="s">
        <v>692</v>
      </c>
      <c r="E335" s="3">
        <v>5.4</v>
      </c>
      <c r="F335" s="4">
        <f t="shared" si="111"/>
        <v>0.48888888888888893</v>
      </c>
      <c r="G335" s="2">
        <v>95.790988800000008</v>
      </c>
      <c r="H335" s="2">
        <f t="shared" si="112"/>
        <v>0.47348811548739311</v>
      </c>
      <c r="I335" s="2">
        <v>14.5</v>
      </c>
      <c r="J335" s="4">
        <f t="shared" si="113"/>
        <v>0.22003034901365709</v>
      </c>
      <c r="K335" s="2">
        <v>0</v>
      </c>
      <c r="L335" s="4">
        <f t="shared" si="114"/>
        <v>0</v>
      </c>
      <c r="M335" s="2">
        <v>21638</v>
      </c>
      <c r="N335" s="2">
        <f t="shared" si="115"/>
        <v>0.10124767568948631</v>
      </c>
      <c r="O335" s="2">
        <v>0.35461685300000001</v>
      </c>
      <c r="P335" s="2">
        <f t="shared" si="110"/>
        <v>0.33219937520802234</v>
      </c>
      <c r="Q335" s="2">
        <v>0.25690000000000002</v>
      </c>
      <c r="R335" s="2">
        <f t="shared" si="116"/>
        <v>0.5845396641574987</v>
      </c>
      <c r="S335" s="2">
        <f t="shared" si="117"/>
        <v>5.4394121912809651E-2</v>
      </c>
      <c r="T335" s="5">
        <f t="shared" si="118"/>
        <v>8.506568070162325E-2</v>
      </c>
      <c r="U335" s="2" t="str">
        <f t="shared" si="119"/>
        <v>No Impact</v>
      </c>
      <c r="V335" s="2">
        <f t="shared" si="120"/>
        <v>6.936657083364009E-2</v>
      </c>
      <c r="W335" s="2">
        <f t="shared" si="121"/>
        <v>0.10150747351473408</v>
      </c>
      <c r="X335" s="2" t="s">
        <v>1169</v>
      </c>
      <c r="Y335" s="2">
        <f t="shared" si="122"/>
        <v>3.9421672991979205E-2</v>
      </c>
      <c r="Z335" s="2">
        <f t="shared" si="123"/>
        <v>6.6198247554270159E-2</v>
      </c>
      <c r="AA335" s="2" t="str">
        <f t="shared" si="124"/>
        <v>No Impact</v>
      </c>
      <c r="AB335" s="2">
        <f t="shared" si="125"/>
        <v>4.0310027740456333E-2</v>
      </c>
      <c r="AC335" s="2">
        <f t="shared" si="126"/>
        <v>8.7145043459692165E-2</v>
      </c>
      <c r="AD335" s="2" t="str">
        <f t="shared" si="127"/>
        <v>No Impact</v>
      </c>
      <c r="AE335" s="2">
        <f t="shared" si="128"/>
        <v>1.2014931574538687E-2</v>
      </c>
      <c r="AF335" s="2">
        <f t="shared" si="129"/>
        <v>8.186367416256761E-2</v>
      </c>
      <c r="AG335" s="2" t="s">
        <v>1169</v>
      </c>
    </row>
    <row r="336" spans="1:33" x14ac:dyDescent="0.3">
      <c r="A336" s="2">
        <v>406528</v>
      </c>
      <c r="B336" s="2" t="s">
        <v>693</v>
      </c>
      <c r="C336" s="2" t="s">
        <v>694</v>
      </c>
      <c r="D336" s="2" t="s">
        <v>695</v>
      </c>
      <c r="E336" s="3">
        <v>5.5</v>
      </c>
      <c r="F336" s="4">
        <f t="shared" si="111"/>
        <v>0.51111111111111107</v>
      </c>
      <c r="G336" s="2">
        <v>125.21325600000002</v>
      </c>
      <c r="H336" s="2">
        <f t="shared" si="112"/>
        <v>0.71102787171016535</v>
      </c>
      <c r="I336" s="2">
        <v>41.699999999999996</v>
      </c>
      <c r="J336" s="4">
        <f t="shared" si="113"/>
        <v>0.6327769347496206</v>
      </c>
      <c r="K336" s="2">
        <v>0</v>
      </c>
      <c r="L336" s="4">
        <f t="shared" si="114"/>
        <v>0</v>
      </c>
      <c r="M336" s="2">
        <v>44158</v>
      </c>
      <c r="N336" s="2">
        <f t="shared" si="115"/>
        <v>0.20779927420003502</v>
      </c>
      <c r="O336" s="2">
        <v>0.37309673399999999</v>
      </c>
      <c r="P336" s="2">
        <f t="shared" si="110"/>
        <v>0.35354715143385862</v>
      </c>
      <c r="Q336" s="2">
        <v>0.2235</v>
      </c>
      <c r="R336" s="2">
        <f t="shared" si="116"/>
        <v>0.48784018529241463</v>
      </c>
      <c r="S336" s="2">
        <f t="shared" si="117"/>
        <v>0.10113128660951858</v>
      </c>
      <c r="T336" s="5">
        <f t="shared" si="118"/>
        <v>0.15815682711928697</v>
      </c>
      <c r="U336" s="2" t="str">
        <f t="shared" si="119"/>
        <v>Low</v>
      </c>
      <c r="V336" s="2">
        <f t="shared" si="120"/>
        <v>0.11727275523400983</v>
      </c>
      <c r="W336" s="2">
        <f t="shared" si="121"/>
        <v>0.1716109208348402</v>
      </c>
      <c r="X336" s="2" t="s">
        <v>1169</v>
      </c>
      <c r="Y336" s="2">
        <f t="shared" si="122"/>
        <v>8.4989817985027305E-2</v>
      </c>
      <c r="Z336" s="2">
        <f t="shared" si="123"/>
        <v>0.14271786516289939</v>
      </c>
      <c r="AA336" s="2" t="str">
        <f t="shared" si="124"/>
        <v>No Impact</v>
      </c>
      <c r="AB336" s="2">
        <f t="shared" si="125"/>
        <v>8.4026040544459821E-2</v>
      </c>
      <c r="AC336" s="2">
        <f t="shared" si="126"/>
        <v>0.18165338416881757</v>
      </c>
      <c r="AD336" s="2" t="str">
        <f t="shared" si="127"/>
        <v>Low</v>
      </c>
      <c r="AE336" s="2">
        <f t="shared" si="128"/>
        <v>4.9953230905851985E-2</v>
      </c>
      <c r="AF336" s="2">
        <f t="shared" si="129"/>
        <v>0.34035608050486793</v>
      </c>
      <c r="AG336" s="2" t="str">
        <f t="shared" si="130"/>
        <v>Moderate</v>
      </c>
    </row>
    <row r="337" spans="1:33" x14ac:dyDescent="0.3">
      <c r="A337" s="2">
        <v>406552</v>
      </c>
      <c r="B337" s="2" t="s">
        <v>696</v>
      </c>
      <c r="C337" s="2" t="s">
        <v>694</v>
      </c>
      <c r="D337" s="2" t="s">
        <v>1140</v>
      </c>
      <c r="E337" s="3">
        <v>5.4</v>
      </c>
      <c r="F337" s="4">
        <f t="shared" si="111"/>
        <v>0.48888888888888893</v>
      </c>
      <c r="G337" s="2">
        <v>125.21325600000002</v>
      </c>
      <c r="H337" s="2">
        <f t="shared" si="112"/>
        <v>0.71102787171016535</v>
      </c>
      <c r="I337" s="2">
        <v>38.799999999999997</v>
      </c>
      <c r="J337" s="4">
        <f t="shared" si="113"/>
        <v>0.58877086494688924</v>
      </c>
      <c r="K337" s="2">
        <v>0</v>
      </c>
      <c r="L337" s="4">
        <f t="shared" si="114"/>
        <v>0</v>
      </c>
      <c r="M337" s="2">
        <v>38864</v>
      </c>
      <c r="N337" s="2">
        <f t="shared" si="115"/>
        <v>0.18275113199244866</v>
      </c>
      <c r="O337" s="2">
        <v>0.493462503</v>
      </c>
      <c r="P337" s="2">
        <f t="shared" si="110"/>
        <v>0.49259250036563501</v>
      </c>
      <c r="Q337" s="2">
        <v>0.27760000000000001</v>
      </c>
      <c r="R337" s="2">
        <f t="shared" si="116"/>
        <v>0.64447017950202667</v>
      </c>
      <c r="S337" s="2">
        <f t="shared" si="117"/>
        <v>0.12644705875441567</v>
      </c>
      <c r="T337" s="5">
        <f t="shared" si="118"/>
        <v>0.19774756439499469</v>
      </c>
      <c r="U337" s="2" t="str">
        <f t="shared" si="119"/>
        <v>Low</v>
      </c>
      <c r="V337" s="2">
        <f t="shared" si="120"/>
        <v>0.14333661652222382</v>
      </c>
      <c r="W337" s="2">
        <f t="shared" si="121"/>
        <v>0.20975143546039576</v>
      </c>
      <c r="X337" s="2" t="s">
        <v>1169</v>
      </c>
      <c r="Y337" s="2">
        <f t="shared" si="122"/>
        <v>0.10955750098660753</v>
      </c>
      <c r="Z337" s="2">
        <f t="shared" si="123"/>
        <v>0.18397277490517086</v>
      </c>
      <c r="AA337" s="2" t="str">
        <f t="shared" si="124"/>
        <v>Low</v>
      </c>
      <c r="AB337" s="2">
        <f t="shared" si="125"/>
        <v>9.7261054209003536E-2</v>
      </c>
      <c r="AC337" s="2">
        <f t="shared" si="126"/>
        <v>0.21026576440364261</v>
      </c>
      <c r="AD337" s="2" t="str">
        <f t="shared" si="127"/>
        <v>Low</v>
      </c>
      <c r="AE337" s="2">
        <f t="shared" si="128"/>
        <v>4.0645680372122704E-2</v>
      </c>
      <c r="AF337" s="2">
        <f t="shared" si="129"/>
        <v>0.27693913306593909</v>
      </c>
      <c r="AG337" s="2" t="s">
        <v>1169</v>
      </c>
    </row>
    <row r="338" spans="1:33" x14ac:dyDescent="0.3">
      <c r="A338" s="2">
        <v>406576</v>
      </c>
      <c r="B338" s="2" t="s">
        <v>697</v>
      </c>
      <c r="C338" s="2" t="s">
        <v>694</v>
      </c>
      <c r="D338" s="2" t="s">
        <v>698</v>
      </c>
      <c r="E338" s="3">
        <v>5.5</v>
      </c>
      <c r="F338" s="4">
        <f t="shared" si="111"/>
        <v>0.51111111111111107</v>
      </c>
      <c r="G338" s="2">
        <v>125.21325600000002</v>
      </c>
      <c r="H338" s="2">
        <f t="shared" si="112"/>
        <v>0.71102787171016535</v>
      </c>
      <c r="I338" s="2">
        <v>42.499999999999993</v>
      </c>
      <c r="J338" s="4">
        <f t="shared" si="113"/>
        <v>0.64491654021244305</v>
      </c>
      <c r="K338" s="2">
        <v>0</v>
      </c>
      <c r="L338" s="4">
        <f t="shared" si="114"/>
        <v>0</v>
      </c>
      <c r="M338" s="2">
        <v>41242</v>
      </c>
      <c r="N338" s="2">
        <f t="shared" si="115"/>
        <v>0.19400245087602258</v>
      </c>
      <c r="O338" s="2">
        <v>0.445470268</v>
      </c>
      <c r="P338" s="2">
        <f t="shared" si="110"/>
        <v>0.43715234394050712</v>
      </c>
      <c r="Q338" s="2">
        <v>0.25840000000000002</v>
      </c>
      <c r="R338" s="2">
        <f t="shared" si="116"/>
        <v>0.58888245512449344</v>
      </c>
      <c r="S338" s="2">
        <f t="shared" si="117"/>
        <v>0.12443923917171228</v>
      </c>
      <c r="T338" s="5">
        <f t="shared" si="118"/>
        <v>0.19460758283958896</v>
      </c>
      <c r="U338" s="2" t="str">
        <f t="shared" si="119"/>
        <v>Low</v>
      </c>
      <c r="V338" s="2">
        <f t="shared" si="120"/>
        <v>0.14284132418128556</v>
      </c>
      <c r="W338" s="2">
        <f t="shared" si="121"/>
        <v>0.20902665011241572</v>
      </c>
      <c r="X338" s="2" t="s">
        <v>1169</v>
      </c>
      <c r="Y338" s="2">
        <f t="shared" si="122"/>
        <v>0.10603715416213901</v>
      </c>
      <c r="Z338" s="2">
        <f t="shared" si="123"/>
        <v>0.17806128579585601</v>
      </c>
      <c r="AA338" s="2" t="str">
        <f t="shared" si="124"/>
        <v>Low</v>
      </c>
      <c r="AB338" s="2">
        <f t="shared" si="125"/>
        <v>9.8275871914232843E-2</v>
      </c>
      <c r="AC338" s="2">
        <f t="shared" si="126"/>
        <v>0.21245966845142167</v>
      </c>
      <c r="AD338" s="2" t="str">
        <f t="shared" si="127"/>
        <v>Low</v>
      </c>
      <c r="AE338" s="2">
        <f t="shared" si="128"/>
        <v>4.7057892006117701E-2</v>
      </c>
      <c r="AF338" s="2">
        <f t="shared" si="129"/>
        <v>0.3206287038812391</v>
      </c>
      <c r="AG338" s="2" t="str">
        <f t="shared" si="130"/>
        <v>Moderate</v>
      </c>
    </row>
    <row r="339" spans="1:33" x14ac:dyDescent="0.3">
      <c r="A339" s="2">
        <v>408704</v>
      </c>
      <c r="B339" s="2" t="s">
        <v>699</v>
      </c>
      <c r="C339" s="2" t="s">
        <v>700</v>
      </c>
      <c r="D339" s="2" t="s">
        <v>701</v>
      </c>
      <c r="E339" s="3">
        <v>6.9</v>
      </c>
      <c r="F339" s="4">
        <f t="shared" si="111"/>
        <v>0.8222222222222223</v>
      </c>
      <c r="G339" s="2">
        <v>139.70114640000003</v>
      </c>
      <c r="H339" s="2">
        <f t="shared" si="112"/>
        <v>0.8279954028118558</v>
      </c>
      <c r="I339" s="2">
        <v>37.20000000000001</v>
      </c>
      <c r="J339" s="4">
        <f t="shared" si="113"/>
        <v>0.56449165402124457</v>
      </c>
      <c r="K339" s="2">
        <v>1</v>
      </c>
      <c r="L339" s="4">
        <f t="shared" si="114"/>
        <v>0.41666666666666669</v>
      </c>
      <c r="M339" s="2">
        <v>39423</v>
      </c>
      <c r="N339" s="2">
        <f t="shared" si="115"/>
        <v>0.18539599627164033</v>
      </c>
      <c r="O339" s="2">
        <v>0.28199001099999998</v>
      </c>
      <c r="P339" s="2">
        <f t="shared" si="110"/>
        <v>0.24830156379867557</v>
      </c>
      <c r="Q339" s="2">
        <v>0.1522</v>
      </c>
      <c r="R339" s="2">
        <f t="shared" si="116"/>
        <v>0.28141285466126237</v>
      </c>
      <c r="S339" s="2">
        <f t="shared" si="117"/>
        <v>0.13335682546227132</v>
      </c>
      <c r="T339" s="5">
        <f t="shared" si="118"/>
        <v>0.20855358511604496</v>
      </c>
      <c r="U339" s="2" t="str">
        <f t="shared" si="119"/>
        <v>Low</v>
      </c>
      <c r="V339" s="2">
        <f t="shared" si="120"/>
        <v>0.14169266923490298</v>
      </c>
      <c r="W339" s="2">
        <f t="shared" si="121"/>
        <v>0.20734576751801548</v>
      </c>
      <c r="X339" s="2" t="s">
        <v>1169</v>
      </c>
      <c r="Y339" s="2">
        <f t="shared" si="122"/>
        <v>0.12502098168963963</v>
      </c>
      <c r="Z339" s="2">
        <f t="shared" si="123"/>
        <v>0.20993959076908086</v>
      </c>
      <c r="AA339" s="2" t="str">
        <f t="shared" si="124"/>
        <v>Low</v>
      </c>
      <c r="AB339" s="2">
        <f t="shared" si="125"/>
        <v>0.11977043722621536</v>
      </c>
      <c r="AC339" s="2">
        <f t="shared" si="126"/>
        <v>0.25892812638254742</v>
      </c>
      <c r="AD339" s="2" t="str">
        <f t="shared" si="127"/>
        <v>Low</v>
      </c>
      <c r="AE339" s="2">
        <f t="shared" si="128"/>
        <v>9.3347738534592647E-2</v>
      </c>
      <c r="AF339" s="2">
        <f t="shared" si="129"/>
        <v>0.63602433387156887</v>
      </c>
      <c r="AG339" s="2" t="str">
        <f t="shared" si="130"/>
        <v>Moderate</v>
      </c>
    </row>
    <row r="340" spans="1:33" x14ac:dyDescent="0.3">
      <c r="A340" s="2">
        <v>408725</v>
      </c>
      <c r="B340" s="2" t="s">
        <v>702</v>
      </c>
      <c r="C340" s="2" t="s">
        <v>700</v>
      </c>
      <c r="D340" s="2" t="s">
        <v>703</v>
      </c>
      <c r="E340" s="3">
        <v>6.7</v>
      </c>
      <c r="F340" s="4">
        <f t="shared" si="111"/>
        <v>0.77777777777777779</v>
      </c>
      <c r="G340" s="2">
        <v>133.17262919999999</v>
      </c>
      <c r="H340" s="2">
        <f t="shared" si="112"/>
        <v>0.77528762289664299</v>
      </c>
      <c r="I340" s="2">
        <v>14.600000000000001</v>
      </c>
      <c r="J340" s="4">
        <f t="shared" si="113"/>
        <v>0.22154779969650992</v>
      </c>
      <c r="K340" s="2">
        <v>0</v>
      </c>
      <c r="L340" s="4">
        <f t="shared" si="114"/>
        <v>0</v>
      </c>
      <c r="M340" s="2">
        <v>18680</v>
      </c>
      <c r="N340" s="2">
        <f t="shared" si="115"/>
        <v>8.7252132687967526E-2</v>
      </c>
      <c r="O340" s="2">
        <v>0.294554975</v>
      </c>
      <c r="P340" s="2">
        <f t="shared" si="110"/>
        <v>0.26281648625719622</v>
      </c>
      <c r="Q340" s="2">
        <v>0.20319999999999999</v>
      </c>
      <c r="R340" s="2">
        <f t="shared" si="116"/>
        <v>0.42906774753908511</v>
      </c>
      <c r="S340" s="2">
        <f t="shared" si="117"/>
        <v>9.3875113656974846E-2</v>
      </c>
      <c r="T340" s="5">
        <f t="shared" si="118"/>
        <v>0.14680906986554812</v>
      </c>
      <c r="U340" s="2" t="str">
        <f t="shared" si="119"/>
        <v>No Impact</v>
      </c>
      <c r="V340" s="2">
        <f t="shared" si="120"/>
        <v>0.11643214745845328</v>
      </c>
      <c r="W340" s="2">
        <f t="shared" si="121"/>
        <v>0.17038081863304294</v>
      </c>
      <c r="X340" s="2" t="s">
        <v>1169</v>
      </c>
      <c r="Y340" s="2">
        <f t="shared" si="122"/>
        <v>7.1318079855496375E-2</v>
      </c>
      <c r="Z340" s="2">
        <f t="shared" si="123"/>
        <v>0.11975980588976845</v>
      </c>
      <c r="AA340" s="2" t="str">
        <f t="shared" si="124"/>
        <v>No Impact</v>
      </c>
      <c r="AB340" s="2">
        <f t="shared" si="125"/>
        <v>7.0433557144923192E-2</v>
      </c>
      <c r="AC340" s="2">
        <f t="shared" si="126"/>
        <v>0.15226820080440756</v>
      </c>
      <c r="AD340" s="2" t="str">
        <f t="shared" si="127"/>
        <v>Low</v>
      </c>
      <c r="AE340" s="2">
        <f t="shared" si="128"/>
        <v>2.3676804508044633E-2</v>
      </c>
      <c r="AF340" s="2">
        <f t="shared" si="129"/>
        <v>0.16132178509987041</v>
      </c>
      <c r="AG340" s="2" t="s">
        <v>1169</v>
      </c>
    </row>
    <row r="341" spans="1:33" x14ac:dyDescent="0.3">
      <c r="A341" s="2">
        <v>408743</v>
      </c>
      <c r="B341" s="2" t="s">
        <v>704</v>
      </c>
      <c r="C341" s="2" t="s">
        <v>700</v>
      </c>
      <c r="D341" s="2" t="s">
        <v>705</v>
      </c>
      <c r="E341" s="3">
        <v>6.5</v>
      </c>
      <c r="F341" s="4">
        <f t="shared" si="111"/>
        <v>0.73333333333333328</v>
      </c>
      <c r="G341" s="2">
        <v>139.70114640000003</v>
      </c>
      <c r="H341" s="2">
        <f t="shared" si="112"/>
        <v>0.8279954028118558</v>
      </c>
      <c r="I341" s="2">
        <v>39.300000000000004</v>
      </c>
      <c r="J341" s="4">
        <f t="shared" si="113"/>
        <v>0.59635811836115338</v>
      </c>
      <c r="K341" s="2">
        <v>0</v>
      </c>
      <c r="L341" s="4">
        <f t="shared" si="114"/>
        <v>0</v>
      </c>
      <c r="M341" s="2">
        <v>48599</v>
      </c>
      <c r="N341" s="2">
        <f t="shared" si="115"/>
        <v>0.22881151438588523</v>
      </c>
      <c r="O341" s="2">
        <v>0.52139542699999997</v>
      </c>
      <c r="P341" s="2">
        <f t="shared" si="110"/>
        <v>0.52486033861011783</v>
      </c>
      <c r="Q341" s="2">
        <v>0.2661</v>
      </c>
      <c r="R341" s="2">
        <f t="shared" si="116"/>
        <v>0.61117544875506669</v>
      </c>
      <c r="S341" s="2">
        <f t="shared" si="117"/>
        <v>0.20765829365205951</v>
      </c>
      <c r="T341" s="5">
        <f t="shared" si="118"/>
        <v>0.32475189380141561</v>
      </c>
      <c r="U341" s="2" t="str">
        <f t="shared" si="119"/>
        <v>Moderate</v>
      </c>
      <c r="V341" s="2">
        <f t="shared" si="120"/>
        <v>0.22343600830545174</v>
      </c>
      <c r="W341" s="2">
        <f t="shared" si="121"/>
        <v>0.3269647673617509</v>
      </c>
      <c r="X341" s="2" t="str">
        <f t="shared" ref="X323:X386" si="131">IF(W341&gt;0.7,"High",IF(W341&gt;0.3,"Moderate",IF(W341&gt;0.15,"Low","No Impact")))</f>
        <v>Moderate</v>
      </c>
      <c r="Y341" s="2">
        <f t="shared" si="122"/>
        <v>0.19188057899866731</v>
      </c>
      <c r="Z341" s="2">
        <f t="shared" si="123"/>
        <v>0.32221255734110704</v>
      </c>
      <c r="AA341" s="2" t="str">
        <f t="shared" si="124"/>
        <v>Moderate</v>
      </c>
      <c r="AB341" s="2">
        <f t="shared" si="125"/>
        <v>0.16504422228351667</v>
      </c>
      <c r="AC341" s="2">
        <f t="shared" si="126"/>
        <v>0.35680416833931294</v>
      </c>
      <c r="AD341" s="2" t="str">
        <f t="shared" si="127"/>
        <v>Moderate</v>
      </c>
      <c r="AE341" s="2">
        <f t="shared" si="128"/>
        <v>8.3649844791452474E-2</v>
      </c>
      <c r="AF341" s="2">
        <f t="shared" si="129"/>
        <v>0.56994778499350229</v>
      </c>
      <c r="AG341" s="2" t="str">
        <f t="shared" si="130"/>
        <v>Moderate</v>
      </c>
    </row>
    <row r="342" spans="1:33" x14ac:dyDescent="0.3">
      <c r="A342" s="2">
        <v>408747</v>
      </c>
      <c r="B342" s="2" t="s">
        <v>706</v>
      </c>
      <c r="C342" s="2" t="s">
        <v>984</v>
      </c>
      <c r="D342" s="2" t="s">
        <v>1149</v>
      </c>
      <c r="E342" s="3">
        <v>6.9</v>
      </c>
      <c r="F342" s="4">
        <f t="shared" si="111"/>
        <v>0.8222222222222223</v>
      </c>
      <c r="G342" s="2">
        <v>137.8449</v>
      </c>
      <c r="H342" s="2">
        <f t="shared" si="112"/>
        <v>0.8130090554189735</v>
      </c>
      <c r="I342" s="2">
        <v>25.500000000000007</v>
      </c>
      <c r="J342" s="4">
        <f t="shared" si="113"/>
        <v>0.38694992412746604</v>
      </c>
      <c r="K342" s="2">
        <v>1</v>
      </c>
      <c r="L342" s="4">
        <f t="shared" si="114"/>
        <v>0.41666666666666669</v>
      </c>
      <c r="M342" s="2">
        <v>39782</v>
      </c>
      <c r="N342" s="2">
        <f t="shared" si="115"/>
        <v>0.18709457637223034</v>
      </c>
      <c r="O342" s="2">
        <v>0.48282998199999999</v>
      </c>
      <c r="P342" s="2">
        <f t="shared" si="110"/>
        <v>0.4803099169970243</v>
      </c>
      <c r="Q342" s="2">
        <v>0.2636</v>
      </c>
      <c r="R342" s="2">
        <f t="shared" si="116"/>
        <v>0.60393746381007529</v>
      </c>
      <c r="S342" s="2">
        <f t="shared" si="117"/>
        <v>0.2429252496182201</v>
      </c>
      <c r="T342" s="5">
        <f t="shared" si="118"/>
        <v>0.37990505208466624</v>
      </c>
      <c r="U342" s="2" t="str">
        <f t="shared" si="119"/>
        <v>Moderate</v>
      </c>
      <c r="V342" s="2">
        <f t="shared" si="120"/>
        <v>0.27062395860370364</v>
      </c>
      <c r="W342" s="2">
        <f t="shared" si="121"/>
        <v>0.39601718782234924</v>
      </c>
      <c r="X342" s="2" t="str">
        <f t="shared" si="131"/>
        <v>Moderate</v>
      </c>
      <c r="Y342" s="2">
        <f t="shared" si="122"/>
        <v>0.21522654063273655</v>
      </c>
      <c r="Z342" s="2">
        <f t="shared" si="123"/>
        <v>0.36141590997302231</v>
      </c>
      <c r="AA342" s="2" t="str">
        <f t="shared" si="124"/>
        <v>Moderate</v>
      </c>
      <c r="AB342" s="2">
        <f t="shared" si="125"/>
        <v>0.18862928016319502</v>
      </c>
      <c r="AC342" s="2">
        <f t="shared" si="126"/>
        <v>0.40779199963423274</v>
      </c>
      <c r="AD342" s="2" t="str">
        <f t="shared" si="127"/>
        <v>Moderate</v>
      </c>
      <c r="AE342" s="2">
        <f t="shared" si="128"/>
        <v>8.3836949891650775E-2</v>
      </c>
      <c r="AF342" s="2">
        <f t="shared" si="129"/>
        <v>0.57122262462631779</v>
      </c>
      <c r="AG342" s="2" t="str">
        <f t="shared" si="130"/>
        <v>Moderate</v>
      </c>
    </row>
    <row r="343" spans="1:33" x14ac:dyDescent="0.3">
      <c r="A343" s="2">
        <v>408782</v>
      </c>
      <c r="B343" s="2" t="s">
        <v>707</v>
      </c>
      <c r="C343" s="2" t="s">
        <v>700</v>
      </c>
      <c r="D343" s="2" t="s">
        <v>708</v>
      </c>
      <c r="E343" s="3">
        <v>7</v>
      </c>
      <c r="F343" s="4">
        <f t="shared" si="111"/>
        <v>0.84444444444444444</v>
      </c>
      <c r="G343" s="2">
        <v>139.70114640000003</v>
      </c>
      <c r="H343" s="2">
        <f t="shared" si="112"/>
        <v>0.8279954028118558</v>
      </c>
      <c r="I343" s="2">
        <v>30.200000000000003</v>
      </c>
      <c r="J343" s="4">
        <f t="shared" si="113"/>
        <v>0.4582701062215479</v>
      </c>
      <c r="K343" s="2">
        <v>0</v>
      </c>
      <c r="L343" s="4">
        <f t="shared" si="114"/>
        <v>0</v>
      </c>
      <c r="M343" s="2">
        <v>45523</v>
      </c>
      <c r="N343" s="2">
        <f t="shared" si="115"/>
        <v>0.21425766371899144</v>
      </c>
      <c r="O343" s="2">
        <v>0.34313562800000003</v>
      </c>
      <c r="P343" s="2">
        <f t="shared" si="110"/>
        <v>0.318936377351138</v>
      </c>
      <c r="Q343" s="2">
        <v>0.21709999999999999</v>
      </c>
      <c r="R343" s="2">
        <f t="shared" si="116"/>
        <v>0.46931094383323685</v>
      </c>
      <c r="S343" s="2">
        <f t="shared" si="117"/>
        <v>0.14983120051449897</v>
      </c>
      <c r="T343" s="5">
        <f t="shared" si="118"/>
        <v>0.23431747059981006</v>
      </c>
      <c r="U343" s="2" t="str">
        <f t="shared" si="119"/>
        <v>Low</v>
      </c>
      <c r="V343" s="2">
        <f t="shared" si="120"/>
        <v>0.17841461744131673</v>
      </c>
      <c r="W343" s="2">
        <f t="shared" si="121"/>
        <v>0.26108277859085149</v>
      </c>
      <c r="X343" s="2" t="s">
        <v>1169</v>
      </c>
      <c r="Y343" s="2">
        <f t="shared" si="122"/>
        <v>0.12124778358768123</v>
      </c>
      <c r="Z343" s="2">
        <f t="shared" si="123"/>
        <v>0.20360350498003876</v>
      </c>
      <c r="AA343" s="2" t="str">
        <f t="shared" si="124"/>
        <v>Low</v>
      </c>
      <c r="AB343" s="2">
        <f t="shared" si="125"/>
        <v>0.12732793763949377</v>
      </c>
      <c r="AC343" s="2">
        <f t="shared" si="126"/>
        <v>0.2752664605112734</v>
      </c>
      <c r="AD343" s="2" t="str">
        <f t="shared" si="127"/>
        <v>Low</v>
      </c>
      <c r="AE343" s="2">
        <f t="shared" si="128"/>
        <v>8.1452818453510156E-2</v>
      </c>
      <c r="AF343" s="2">
        <f t="shared" si="129"/>
        <v>0.55497835739917212</v>
      </c>
      <c r="AG343" s="2" t="str">
        <f t="shared" si="130"/>
        <v>Moderate</v>
      </c>
    </row>
    <row r="344" spans="1:33" x14ac:dyDescent="0.3">
      <c r="A344" s="2">
        <v>408786</v>
      </c>
      <c r="B344" s="2" t="s">
        <v>709</v>
      </c>
      <c r="C344" s="2" t="s">
        <v>700</v>
      </c>
      <c r="D344" s="2" t="s">
        <v>710</v>
      </c>
      <c r="E344" s="3">
        <v>6.9</v>
      </c>
      <c r="F344" s="4">
        <f t="shared" si="111"/>
        <v>0.8222222222222223</v>
      </c>
      <c r="G344" s="2">
        <v>151.14801600000001</v>
      </c>
      <c r="H344" s="2">
        <f t="shared" si="112"/>
        <v>0.92041134736890395</v>
      </c>
      <c r="I344" s="2">
        <v>43.300000000000004</v>
      </c>
      <c r="J344" s="4">
        <f t="shared" si="113"/>
        <v>0.65705614567526571</v>
      </c>
      <c r="K344" s="2">
        <v>1</v>
      </c>
      <c r="L344" s="4">
        <f t="shared" si="114"/>
        <v>0.41666666666666669</v>
      </c>
      <c r="M344" s="2">
        <v>55956</v>
      </c>
      <c r="N344" s="2">
        <f t="shared" si="115"/>
        <v>0.26362057789574789</v>
      </c>
      <c r="O344" s="2">
        <v>0.40875665799999999</v>
      </c>
      <c r="P344" s="2">
        <f t="shared" si="110"/>
        <v>0.39474114385092718</v>
      </c>
      <c r="Q344" s="2">
        <v>0.2243</v>
      </c>
      <c r="R344" s="2">
        <f t="shared" si="116"/>
        <v>0.49015634047481182</v>
      </c>
      <c r="S344" s="2">
        <f t="shared" si="117"/>
        <v>0.24632796916446587</v>
      </c>
      <c r="T344" s="5">
        <f t="shared" si="118"/>
        <v>0.38522648470016269</v>
      </c>
      <c r="U344" s="2" t="str">
        <f t="shared" si="119"/>
        <v>Moderate</v>
      </c>
      <c r="V344" s="2">
        <f t="shared" si="120"/>
        <v>0.27288859570947011</v>
      </c>
      <c r="W344" s="2">
        <f t="shared" si="121"/>
        <v>0.39933114133441461</v>
      </c>
      <c r="X344" s="2" t="str">
        <f t="shared" si="131"/>
        <v>Moderate</v>
      </c>
      <c r="Y344" s="2">
        <f t="shared" si="122"/>
        <v>0.21976734261946163</v>
      </c>
      <c r="Z344" s="2">
        <f t="shared" si="123"/>
        <v>0.36904098296455434</v>
      </c>
      <c r="AA344" s="2" t="str">
        <f t="shared" si="124"/>
        <v>Moderate</v>
      </c>
      <c r="AB344" s="2">
        <f t="shared" si="125"/>
        <v>0.21280985670724581</v>
      </c>
      <c r="AC344" s="2">
        <f t="shared" si="126"/>
        <v>0.46006726492006766</v>
      </c>
      <c r="AD344" s="2" t="str">
        <f t="shared" si="127"/>
        <v>Moderate</v>
      </c>
      <c r="AE344" s="2">
        <f t="shared" si="128"/>
        <v>0.14676755835169378</v>
      </c>
      <c r="AF344" s="2">
        <f t="shared" si="129"/>
        <v>1</v>
      </c>
      <c r="AG344" s="2" t="str">
        <f t="shared" si="130"/>
        <v>High</v>
      </c>
    </row>
    <row r="345" spans="1:33" x14ac:dyDescent="0.3">
      <c r="A345" s="2">
        <v>408790</v>
      </c>
      <c r="B345" s="2" t="s">
        <v>711</v>
      </c>
      <c r="C345" s="2" t="s">
        <v>700</v>
      </c>
      <c r="D345" s="2" t="s">
        <v>712</v>
      </c>
      <c r="E345" s="3">
        <v>7</v>
      </c>
      <c r="F345" s="4">
        <f t="shared" si="111"/>
        <v>0.84444444444444444</v>
      </c>
      <c r="G345" s="2">
        <v>139.70114640000003</v>
      </c>
      <c r="H345" s="2">
        <f t="shared" si="112"/>
        <v>0.8279954028118558</v>
      </c>
      <c r="I345" s="2">
        <v>38.400000000000006</v>
      </c>
      <c r="J345" s="4">
        <f t="shared" si="113"/>
        <v>0.58270106221547813</v>
      </c>
      <c r="K345" s="2">
        <v>0</v>
      </c>
      <c r="L345" s="4">
        <f t="shared" si="114"/>
        <v>0</v>
      </c>
      <c r="M345" s="2">
        <v>36530</v>
      </c>
      <c r="N345" s="2">
        <f t="shared" si="115"/>
        <v>0.1717079956281671</v>
      </c>
      <c r="O345" s="2">
        <v>0.39832599400000002</v>
      </c>
      <c r="P345" s="2">
        <f t="shared" si="110"/>
        <v>0.38269174369738257</v>
      </c>
      <c r="Q345" s="2">
        <v>0.2296</v>
      </c>
      <c r="R345" s="2">
        <f t="shared" si="116"/>
        <v>0.50550086855819343</v>
      </c>
      <c r="S345" s="2">
        <f t="shared" si="117"/>
        <v>0.18516114858168942</v>
      </c>
      <c r="T345" s="5">
        <f t="shared" si="118"/>
        <v>0.28956914073993967</v>
      </c>
      <c r="U345" s="2" t="str">
        <f t="shared" si="119"/>
        <v>Low</v>
      </c>
      <c r="V345" s="2">
        <f t="shared" si="120"/>
        <v>0.21076311633257247</v>
      </c>
      <c r="W345" s="2">
        <f t="shared" si="121"/>
        <v>0.30841990878171166</v>
      </c>
      <c r="X345" s="2" t="str">
        <f t="shared" si="131"/>
        <v>Moderate</v>
      </c>
      <c r="Y345" s="2">
        <f t="shared" si="122"/>
        <v>0.15955918083080634</v>
      </c>
      <c r="Z345" s="2">
        <f t="shared" si="123"/>
        <v>0.26793733879187082</v>
      </c>
      <c r="AA345" s="2" t="str">
        <f t="shared" si="124"/>
        <v>Low</v>
      </c>
      <c r="AB345" s="2">
        <f t="shared" si="125"/>
        <v>0.14669197162570483</v>
      </c>
      <c r="AC345" s="2">
        <f t="shared" si="126"/>
        <v>0.31712898648492127</v>
      </c>
      <c r="AD345" s="2" t="str">
        <f t="shared" si="127"/>
        <v>Moderate</v>
      </c>
      <c r="AE345" s="2">
        <f t="shared" si="128"/>
        <v>7.1591790457321558E-2</v>
      </c>
      <c r="AF345" s="2">
        <f t="shared" si="129"/>
        <v>0.48779029413140979</v>
      </c>
      <c r="AG345" s="2" t="str">
        <f t="shared" si="130"/>
        <v>Moderate</v>
      </c>
    </row>
    <row r="346" spans="1:33" x14ac:dyDescent="0.3">
      <c r="A346" s="2">
        <v>453907</v>
      </c>
      <c r="B346" s="2" t="s">
        <v>713</v>
      </c>
      <c r="C346" s="2" t="s">
        <v>714</v>
      </c>
      <c r="D346" s="2" t="s">
        <v>715</v>
      </c>
      <c r="E346" s="3">
        <v>6.7</v>
      </c>
      <c r="F346" s="4">
        <f t="shared" si="111"/>
        <v>0.77777777777777779</v>
      </c>
      <c r="G346" s="2">
        <v>37.463252400000002</v>
      </c>
      <c r="H346" s="2">
        <f t="shared" si="112"/>
        <v>2.5809555700187286E-3</v>
      </c>
      <c r="I346" s="2">
        <v>0</v>
      </c>
      <c r="J346" s="4">
        <f t="shared" si="113"/>
        <v>0</v>
      </c>
      <c r="K346" s="2">
        <v>0</v>
      </c>
      <c r="L346" s="4">
        <f t="shared" si="114"/>
        <v>0</v>
      </c>
      <c r="M346" s="2">
        <v>31094</v>
      </c>
      <c r="N346" s="2">
        <f t="shared" si="115"/>
        <v>0.14598799165377355</v>
      </c>
      <c r="O346" s="2">
        <v>0.44590688899999997</v>
      </c>
      <c r="P346" s="2">
        <f t="shared" si="110"/>
        <v>0.43765672421240931</v>
      </c>
      <c r="Q346" s="2">
        <v>0.25969999999999999</v>
      </c>
      <c r="R346" s="2">
        <f t="shared" si="116"/>
        <v>0.59264620729588879</v>
      </c>
      <c r="S346" s="2">
        <f t="shared" si="117"/>
        <v>3.619420511229593E-4</v>
      </c>
      <c r="T346" s="5">
        <f t="shared" si="118"/>
        <v>5.6603261291116784E-4</v>
      </c>
      <c r="U346" s="2" t="str">
        <f t="shared" si="119"/>
        <v>No Impact</v>
      </c>
      <c r="V346" s="2">
        <f t="shared" si="120"/>
        <v>4.1638934977093951E-4</v>
      </c>
      <c r="W346" s="2">
        <f t="shared" si="121"/>
        <v>6.093227672311763E-4</v>
      </c>
      <c r="X346" s="2" t="s">
        <v>1170</v>
      </c>
      <c r="Y346" s="2">
        <f t="shared" si="122"/>
        <v>3.0749475247497914E-4</v>
      </c>
      <c r="Z346" s="2">
        <f t="shared" si="123"/>
        <v>5.1635590783068197E-4</v>
      </c>
      <c r="AA346" s="2" t="str">
        <f t="shared" si="124"/>
        <v>No Impact</v>
      </c>
      <c r="AB346" s="2">
        <f t="shared" si="125"/>
        <v>2.7388427106055216E-4</v>
      </c>
      <c r="AC346" s="2">
        <f t="shared" si="126"/>
        <v>5.9210221481796805E-4</v>
      </c>
      <c r="AD346" s="2" t="str">
        <f t="shared" si="127"/>
        <v>No Impact</v>
      </c>
      <c r="AE346" s="2">
        <f t="shared" si="128"/>
        <v>1.0257020828065594E-4</v>
      </c>
      <c r="AF346" s="2">
        <f t="shared" si="129"/>
        <v>6.9886158380362681E-4</v>
      </c>
      <c r="AG346" s="2" t="s">
        <v>1170</v>
      </c>
    </row>
    <row r="347" spans="1:33" x14ac:dyDescent="0.3">
      <c r="A347" s="2">
        <v>453915</v>
      </c>
      <c r="B347" s="2" t="s">
        <v>716</v>
      </c>
      <c r="C347" s="2" t="s">
        <v>714</v>
      </c>
      <c r="D347" s="2" t="s">
        <v>717</v>
      </c>
      <c r="E347" s="3">
        <v>6.7</v>
      </c>
      <c r="F347" s="4">
        <f t="shared" si="111"/>
        <v>0.77777777777777779</v>
      </c>
      <c r="G347" s="2">
        <v>37.463252400000002</v>
      </c>
      <c r="H347" s="2">
        <f t="shared" si="112"/>
        <v>2.5809555700187286E-3</v>
      </c>
      <c r="I347" s="2">
        <v>0</v>
      </c>
      <c r="J347" s="4">
        <f t="shared" si="113"/>
        <v>0</v>
      </c>
      <c r="K347" s="2">
        <v>0</v>
      </c>
      <c r="L347" s="4">
        <f t="shared" si="114"/>
        <v>0</v>
      </c>
      <c r="M347" s="2">
        <v>33936</v>
      </c>
      <c r="N347" s="2">
        <f t="shared" si="115"/>
        <v>0.15943468983170336</v>
      </c>
      <c r="O347" s="2">
        <v>0.58724859500000004</v>
      </c>
      <c r="P347" s="2">
        <f t="shared" si="110"/>
        <v>0.60093326863744889</v>
      </c>
      <c r="Q347" s="2">
        <v>0.23680000000000001</v>
      </c>
      <c r="R347" s="2">
        <f t="shared" si="116"/>
        <v>0.52634626519976846</v>
      </c>
      <c r="S347" s="2">
        <f t="shared" si="117"/>
        <v>3.9600961444288552E-4</v>
      </c>
      <c r="T347" s="5">
        <f t="shared" si="118"/>
        <v>6.1931006940362584E-4</v>
      </c>
      <c r="U347" s="2" t="str">
        <f t="shared" si="119"/>
        <v>No Impact</v>
      </c>
      <c r="V347" s="2">
        <f t="shared" si="120"/>
        <v>3.6980744400760536E-4</v>
      </c>
      <c r="W347" s="2">
        <f t="shared" si="121"/>
        <v>5.4115720118528524E-4</v>
      </c>
      <c r="X347" s="2" t="s">
        <v>1170</v>
      </c>
      <c r="Y347" s="2">
        <f t="shared" si="122"/>
        <v>4.222117848781658E-4</v>
      </c>
      <c r="Z347" s="2">
        <f t="shared" si="123"/>
        <v>7.089927477553214E-4</v>
      </c>
      <c r="AA347" s="2" t="str">
        <f t="shared" si="124"/>
        <v>No Impact</v>
      </c>
      <c r="AB347" s="2">
        <f t="shared" si="125"/>
        <v>2.9530236053720681E-4</v>
      </c>
      <c r="AC347" s="2">
        <f t="shared" si="126"/>
        <v>6.384053419277862E-4</v>
      </c>
      <c r="AD347" s="2" t="str">
        <f t="shared" si="127"/>
        <v>No Impact</v>
      </c>
      <c r="AE347" s="2">
        <f t="shared" si="128"/>
        <v>1.120177704888434E-4</v>
      </c>
      <c r="AF347" s="2">
        <f t="shared" si="129"/>
        <v>7.6323250006257704E-4</v>
      </c>
      <c r="AG347" s="2" t="s">
        <v>1170</v>
      </c>
    </row>
    <row r="348" spans="1:33" x14ac:dyDescent="0.3">
      <c r="A348" s="2">
        <v>453929</v>
      </c>
      <c r="B348" s="2" t="s">
        <v>718</v>
      </c>
      <c r="C348" s="2" t="s">
        <v>714</v>
      </c>
      <c r="D348" s="2" t="s">
        <v>719</v>
      </c>
      <c r="E348" s="3">
        <v>6.7</v>
      </c>
      <c r="F348" s="4">
        <f t="shared" si="111"/>
        <v>0.77777777777777779</v>
      </c>
      <c r="G348" s="2">
        <v>37.463252400000002</v>
      </c>
      <c r="H348" s="2">
        <f t="shared" si="112"/>
        <v>2.5809555700187286E-3</v>
      </c>
      <c r="I348" s="2">
        <v>0</v>
      </c>
      <c r="J348" s="4">
        <f t="shared" si="113"/>
        <v>0</v>
      </c>
      <c r="K348" s="2">
        <v>0</v>
      </c>
      <c r="L348" s="4">
        <f t="shared" si="114"/>
        <v>0</v>
      </c>
      <c r="M348" s="2">
        <v>49714</v>
      </c>
      <c r="N348" s="2">
        <f t="shared" si="115"/>
        <v>0.23408704868158955</v>
      </c>
      <c r="O348" s="2">
        <v>0.44299260299999998</v>
      </c>
      <c r="P348" s="2">
        <f t="shared" si="110"/>
        <v>0.43429016977485163</v>
      </c>
      <c r="Q348" s="2">
        <v>0.219</v>
      </c>
      <c r="R348" s="2">
        <f t="shared" si="116"/>
        <v>0.47481181239143028</v>
      </c>
      <c r="S348" s="2">
        <f t="shared" si="117"/>
        <v>3.1936455390213736E-4</v>
      </c>
      <c r="T348" s="5">
        <f t="shared" si="118"/>
        <v>4.9944667207244367E-4</v>
      </c>
      <c r="U348" s="2" t="str">
        <f t="shared" si="119"/>
        <v>No Impact</v>
      </c>
      <c r="V348" s="2">
        <f t="shared" si="120"/>
        <v>3.3359967446230622E-4</v>
      </c>
      <c r="W348" s="2">
        <f t="shared" si="121"/>
        <v>4.8817261273040026E-4</v>
      </c>
      <c r="X348" s="2" t="s">
        <v>1170</v>
      </c>
      <c r="Y348" s="2">
        <f t="shared" si="122"/>
        <v>3.051294333419686E-4</v>
      </c>
      <c r="Z348" s="2">
        <f t="shared" si="123"/>
        <v>5.1238398148590854E-4</v>
      </c>
      <c r="AA348" s="2" t="str">
        <f t="shared" si="124"/>
        <v>No Impact</v>
      </c>
      <c r="AB348" s="2">
        <f t="shared" si="125"/>
        <v>2.6586252644002266E-4</v>
      </c>
      <c r="AC348" s="2">
        <f t="shared" si="126"/>
        <v>5.7476024502128148E-4</v>
      </c>
      <c r="AD348" s="2" t="str">
        <f t="shared" si="127"/>
        <v>No Impact</v>
      </c>
      <c r="AE348" s="2">
        <f t="shared" si="128"/>
        <v>1.6446802964464275E-4</v>
      </c>
      <c r="AF348" s="2">
        <f t="shared" si="129"/>
        <v>1.120602069638128E-3</v>
      </c>
      <c r="AG348" s="2" t="s">
        <v>1170</v>
      </c>
    </row>
    <row r="349" spans="1:33" x14ac:dyDescent="0.3">
      <c r="A349" s="2">
        <v>453936</v>
      </c>
      <c r="B349" s="2" t="s">
        <v>720</v>
      </c>
      <c r="C349" s="2" t="s">
        <v>714</v>
      </c>
      <c r="D349" s="2" t="s">
        <v>721</v>
      </c>
      <c r="E349" s="3">
        <v>6.7</v>
      </c>
      <c r="F349" s="4">
        <f t="shared" si="111"/>
        <v>0.77777777777777779</v>
      </c>
      <c r="G349" s="2">
        <v>51.241226400000002</v>
      </c>
      <c r="H349" s="2">
        <f t="shared" si="112"/>
        <v>0.11381699876670663</v>
      </c>
      <c r="I349" s="2">
        <v>0</v>
      </c>
      <c r="J349" s="4">
        <f t="shared" si="113"/>
        <v>0</v>
      </c>
      <c r="K349" s="2">
        <v>0</v>
      </c>
      <c r="L349" s="4">
        <f t="shared" si="114"/>
        <v>0</v>
      </c>
      <c r="M349" s="2">
        <v>72151</v>
      </c>
      <c r="N349" s="2">
        <f t="shared" si="115"/>
        <v>0.34024593925801855</v>
      </c>
      <c r="O349" s="2">
        <v>0.49431894599999998</v>
      </c>
      <c r="P349" s="2">
        <f t="shared" si="110"/>
        <v>0.49358185487036282</v>
      </c>
      <c r="Q349" s="2">
        <v>0.24079999999999999</v>
      </c>
      <c r="R349" s="2">
        <f t="shared" si="116"/>
        <v>0.53792704111175449</v>
      </c>
      <c r="S349" s="2">
        <f t="shared" si="117"/>
        <v>1.5979886362084261E-2</v>
      </c>
      <c r="T349" s="5">
        <f t="shared" si="118"/>
        <v>2.4990566317151325E-2</v>
      </c>
      <c r="U349" s="2" t="str">
        <f t="shared" si="119"/>
        <v>No Impact</v>
      </c>
      <c r="V349" s="2">
        <f t="shared" si="120"/>
        <v>1.6666871263138556E-2</v>
      </c>
      <c r="W349" s="2">
        <f t="shared" si="121"/>
        <v>2.4389442536721973E-2</v>
      </c>
      <c r="X349" s="2" t="s">
        <v>1170</v>
      </c>
      <c r="Y349" s="2">
        <f t="shared" si="122"/>
        <v>1.5292901461029965E-2</v>
      </c>
      <c r="Z349" s="2">
        <f t="shared" si="123"/>
        <v>2.5680373254232475E-2</v>
      </c>
      <c r="AA349" s="2" t="str">
        <f t="shared" si="124"/>
        <v>No Impact</v>
      </c>
      <c r="AB349" s="2">
        <f t="shared" si="125"/>
        <v>1.4110980845844995E-2</v>
      </c>
      <c r="AC349" s="2">
        <f t="shared" si="126"/>
        <v>3.0506107487390306E-2</v>
      </c>
      <c r="AD349" s="2" t="str">
        <f t="shared" si="127"/>
        <v>No Impact</v>
      </c>
      <c r="AE349" s="2">
        <f t="shared" si="128"/>
        <v>1.0542015615535749E-2</v>
      </c>
      <c r="AF349" s="2">
        <f t="shared" si="129"/>
        <v>7.1827968891287952E-2</v>
      </c>
      <c r="AG349" s="2" t="s">
        <v>1169</v>
      </c>
    </row>
    <row r="350" spans="1:33" x14ac:dyDescent="0.3">
      <c r="A350" s="2">
        <v>453958</v>
      </c>
      <c r="B350" s="2" t="s">
        <v>722</v>
      </c>
      <c r="C350" s="2" t="s">
        <v>714</v>
      </c>
      <c r="D350" s="2" t="s">
        <v>723</v>
      </c>
      <c r="E350" s="3">
        <v>5.7</v>
      </c>
      <c r="F350" s="4">
        <f t="shared" si="111"/>
        <v>0.55555555555555558</v>
      </c>
      <c r="G350" s="2">
        <v>51.241226400000002</v>
      </c>
      <c r="H350" s="2">
        <f t="shared" si="112"/>
        <v>0.11381699876670663</v>
      </c>
      <c r="I350" s="2">
        <v>0</v>
      </c>
      <c r="J350" s="4">
        <f t="shared" si="113"/>
        <v>0</v>
      </c>
      <c r="K350" s="2">
        <v>0</v>
      </c>
      <c r="L350" s="4">
        <f t="shared" si="114"/>
        <v>0</v>
      </c>
      <c r="M350" s="2">
        <v>42481</v>
      </c>
      <c r="N350" s="2">
        <f t="shared" si="115"/>
        <v>0.19986468136245997</v>
      </c>
      <c r="O350" s="2">
        <v>0.70818958799999998</v>
      </c>
      <c r="P350" s="2">
        <f t="shared" si="110"/>
        <v>0.74064311065939892</v>
      </c>
      <c r="Q350" s="2">
        <v>0.24909999999999999</v>
      </c>
      <c r="R350" s="2">
        <f t="shared" si="116"/>
        <v>0.5619571511291257</v>
      </c>
      <c r="S350" s="2">
        <f t="shared" si="117"/>
        <v>1.4413977315645466E-2</v>
      </c>
      <c r="T350" s="5">
        <f t="shared" si="118"/>
        <v>2.2541678197113921E-2</v>
      </c>
      <c r="U350" s="2" t="str">
        <f t="shared" si="119"/>
        <v>No Impact</v>
      </c>
      <c r="V350" s="2">
        <f t="shared" si="120"/>
        <v>1.2436720406639991E-2</v>
      </c>
      <c r="W350" s="2">
        <f t="shared" si="121"/>
        <v>1.8199257251951931E-2</v>
      </c>
      <c r="X350" s="2" t="s">
        <v>1170</v>
      </c>
      <c r="Y350" s="2">
        <f t="shared" si="122"/>
        <v>1.6391234224650941E-2</v>
      </c>
      <c r="Z350" s="2">
        <f t="shared" si="123"/>
        <v>2.7524731919526573E-2</v>
      </c>
      <c r="AA350" s="2" t="str">
        <f t="shared" si="124"/>
        <v>No Impact</v>
      </c>
      <c r="AB350" s="2">
        <f t="shared" si="125"/>
        <v>1.0818350064462091E-2</v>
      </c>
      <c r="AC350" s="2">
        <f t="shared" si="126"/>
        <v>2.3387867470592811E-2</v>
      </c>
      <c r="AD350" s="2" t="str">
        <f t="shared" si="127"/>
        <v>No Impact</v>
      </c>
      <c r="AE350" s="2">
        <f t="shared" si="128"/>
        <v>4.4232218706937564E-3</v>
      </c>
      <c r="AF350" s="2">
        <f t="shared" si="129"/>
        <v>3.0137599346679533E-2</v>
      </c>
      <c r="AG350" s="2" t="s">
        <v>1170</v>
      </c>
    </row>
    <row r="351" spans="1:33" x14ac:dyDescent="0.3">
      <c r="A351" s="2">
        <v>453961</v>
      </c>
      <c r="B351" s="2" t="s">
        <v>724</v>
      </c>
      <c r="C351" s="2" t="s">
        <v>714</v>
      </c>
      <c r="D351" s="2" t="s">
        <v>725</v>
      </c>
      <c r="E351" s="3">
        <v>5.9</v>
      </c>
      <c r="F351" s="4">
        <f t="shared" si="111"/>
        <v>0.60000000000000009</v>
      </c>
      <c r="G351" s="2">
        <v>51.241226400000002</v>
      </c>
      <c r="H351" s="2">
        <f t="shared" si="112"/>
        <v>0.11381699876670663</v>
      </c>
      <c r="I351" s="2">
        <v>0</v>
      </c>
      <c r="J351" s="4">
        <f t="shared" si="113"/>
        <v>0</v>
      </c>
      <c r="K351" s="2">
        <v>0</v>
      </c>
      <c r="L351" s="4">
        <f t="shared" si="114"/>
        <v>0</v>
      </c>
      <c r="M351" s="2">
        <v>49997</v>
      </c>
      <c r="N351" s="2">
        <f t="shared" si="115"/>
        <v>0.23542604079431093</v>
      </c>
      <c r="O351" s="2">
        <v>0.57369328600000002</v>
      </c>
      <c r="P351" s="2">
        <f t="shared" si="110"/>
        <v>0.58527430940475333</v>
      </c>
      <c r="Q351" s="2">
        <v>0.2329</v>
      </c>
      <c r="R351" s="2">
        <f t="shared" si="116"/>
        <v>0.51505500868558196</v>
      </c>
      <c r="S351" s="2">
        <f t="shared" si="117"/>
        <v>1.3149798967206179E-2</v>
      </c>
      <c r="T351" s="5">
        <f t="shared" si="118"/>
        <v>2.0564659578987888E-2</v>
      </c>
      <c r="U351" s="2" t="str">
        <f t="shared" si="119"/>
        <v>No Impact</v>
      </c>
      <c r="V351" s="2">
        <f t="shared" si="120"/>
        <v>1.2310623210554122E-2</v>
      </c>
      <c r="W351" s="2">
        <f t="shared" si="121"/>
        <v>1.8014733098052699E-2</v>
      </c>
      <c r="X351" s="2" t="s">
        <v>1170</v>
      </c>
      <c r="Y351" s="2">
        <f t="shared" si="122"/>
        <v>1.3988974723858237E-2</v>
      </c>
      <c r="Z351" s="2">
        <f t="shared" si="123"/>
        <v>2.3490774021407219E-2</v>
      </c>
      <c r="AA351" s="2" t="str">
        <f t="shared" si="124"/>
        <v>No Impact</v>
      </c>
      <c r="AB351" s="2">
        <f t="shared" si="125"/>
        <v>1.0474878717364562E-2</v>
      </c>
      <c r="AC351" s="2">
        <f t="shared" si="126"/>
        <v>2.2645327037162825E-2</v>
      </c>
      <c r="AD351" s="2" t="str">
        <f t="shared" si="127"/>
        <v>No Impact</v>
      </c>
      <c r="AE351" s="2">
        <f t="shared" si="128"/>
        <v>5.6270519328947095E-3</v>
      </c>
      <c r="AF351" s="2">
        <f t="shared" si="129"/>
        <v>3.8339889251348104E-2</v>
      </c>
      <c r="AG351" s="2" t="s">
        <v>1169</v>
      </c>
    </row>
    <row r="352" spans="1:33" x14ac:dyDescent="0.3">
      <c r="A352" s="2">
        <v>453985</v>
      </c>
      <c r="B352" s="2" t="s">
        <v>726</v>
      </c>
      <c r="C352" s="2" t="s">
        <v>714</v>
      </c>
      <c r="D352" s="2" t="s">
        <v>727</v>
      </c>
      <c r="E352" s="3">
        <v>6.7</v>
      </c>
      <c r="F352" s="4">
        <f t="shared" si="111"/>
        <v>0.77777777777777779</v>
      </c>
      <c r="G352" s="2">
        <v>52.063642800000004</v>
      </c>
      <c r="H352" s="2">
        <f t="shared" si="112"/>
        <v>0.12045675191154961</v>
      </c>
      <c r="I352" s="2">
        <v>0</v>
      </c>
      <c r="J352" s="4">
        <f t="shared" si="113"/>
        <v>0</v>
      </c>
      <c r="K352" s="2">
        <v>0</v>
      </c>
      <c r="L352" s="4">
        <f t="shared" si="114"/>
        <v>0</v>
      </c>
      <c r="M352" s="2">
        <v>35824</v>
      </c>
      <c r="N352" s="2">
        <f t="shared" si="115"/>
        <v>0.16836761247770318</v>
      </c>
      <c r="O352" s="2">
        <v>0.71828706899999994</v>
      </c>
      <c r="P352" s="2">
        <f t="shared" si="110"/>
        <v>0.7523076210982178</v>
      </c>
      <c r="Q352" s="2">
        <v>0.24229999999999999</v>
      </c>
      <c r="R352" s="2">
        <f t="shared" si="116"/>
        <v>0.54226983207874924</v>
      </c>
      <c r="S352" s="2">
        <f t="shared" si="117"/>
        <v>2.1225247667426554E-2</v>
      </c>
      <c r="T352" s="5">
        <f t="shared" si="118"/>
        <v>3.3193662796585782E-2</v>
      </c>
      <c r="U352" s="2" t="str">
        <f t="shared" si="119"/>
        <v>No Impact</v>
      </c>
      <c r="V352" s="2">
        <f t="shared" si="120"/>
        <v>1.7781572605330837E-2</v>
      </c>
      <c r="W352" s="2">
        <f t="shared" si="121"/>
        <v>2.6020639172357706E-2</v>
      </c>
      <c r="X352" s="2" t="s">
        <v>1170</v>
      </c>
      <c r="Y352" s="2">
        <f t="shared" si="122"/>
        <v>2.4668922729522265E-2</v>
      </c>
      <c r="Z352" s="2">
        <f t="shared" si="123"/>
        <v>4.1424915022717015E-2</v>
      </c>
      <c r="AA352" s="2" t="str">
        <f t="shared" si="124"/>
        <v>No Impact</v>
      </c>
      <c r="AB352" s="2">
        <f t="shared" si="125"/>
        <v>1.5556557340187792E-2</v>
      </c>
      <c r="AC352" s="2">
        <f t="shared" si="126"/>
        <v>3.3631256079073871E-2</v>
      </c>
      <c r="AD352" s="2" t="str">
        <f t="shared" si="127"/>
        <v>No Impact</v>
      </c>
      <c r="AE352" s="2">
        <f t="shared" si="128"/>
        <v>5.5209431699009123E-3</v>
      </c>
      <c r="AF352" s="2">
        <f t="shared" si="129"/>
        <v>3.7616917743301802E-2</v>
      </c>
      <c r="AG352" s="2" t="s">
        <v>1169</v>
      </c>
    </row>
    <row r="353" spans="1:33" x14ac:dyDescent="0.3">
      <c r="A353" s="2">
        <v>456113</v>
      </c>
      <c r="B353" s="2" t="s">
        <v>728</v>
      </c>
      <c r="C353" s="2" t="s">
        <v>729</v>
      </c>
      <c r="D353" s="2" t="s">
        <v>730</v>
      </c>
      <c r="E353" s="3">
        <v>4.4000000000000004</v>
      </c>
      <c r="F353" s="4">
        <f t="shared" si="111"/>
        <v>0.26666666666666672</v>
      </c>
      <c r="G353" s="2">
        <v>51.648800399999999</v>
      </c>
      <c r="H353" s="2">
        <f t="shared" si="112"/>
        <v>0.11710753473882028</v>
      </c>
      <c r="I353" s="2">
        <v>0</v>
      </c>
      <c r="J353" s="4">
        <f t="shared" si="113"/>
        <v>0</v>
      </c>
      <c r="K353" s="2">
        <v>0</v>
      </c>
      <c r="L353" s="4">
        <f t="shared" si="114"/>
        <v>0</v>
      </c>
      <c r="M353" s="2">
        <v>67704</v>
      </c>
      <c r="N353" s="2">
        <f t="shared" si="115"/>
        <v>0.31920531054681034</v>
      </c>
      <c r="O353" s="2">
        <v>0.60988778600000004</v>
      </c>
      <c r="P353" s="2">
        <f t="shared" si="110"/>
        <v>0.62708583874339108</v>
      </c>
      <c r="Q353" s="2">
        <v>0.25380000000000003</v>
      </c>
      <c r="R353" s="2">
        <f t="shared" si="116"/>
        <v>0.57556456282570945</v>
      </c>
      <c r="S353" s="2">
        <f t="shared" si="117"/>
        <v>6.5725064384191149E-3</v>
      </c>
      <c r="T353" s="5">
        <f t="shared" si="118"/>
        <v>1.0278587362732265E-2</v>
      </c>
      <c r="U353" s="2" t="str">
        <f t="shared" si="119"/>
        <v>No Impact</v>
      </c>
      <c r="V353" s="2">
        <f t="shared" si="120"/>
        <v>6.2909417233175972E-3</v>
      </c>
      <c r="W353" s="2">
        <f t="shared" si="121"/>
        <v>9.205840690811708E-3</v>
      </c>
      <c r="X353" s="2" t="s">
        <v>1170</v>
      </c>
      <c r="Y353" s="2">
        <f t="shared" si="122"/>
        <v>6.8540711535206335E-3</v>
      </c>
      <c r="Z353" s="2">
        <f t="shared" si="123"/>
        <v>1.1509595218540244E-2</v>
      </c>
      <c r="AA353" s="2" t="str">
        <f t="shared" si="124"/>
        <v>No Impact</v>
      </c>
      <c r="AB353" s="2">
        <f t="shared" si="125"/>
        <v>5.4791749510107821E-3</v>
      </c>
      <c r="AC353" s="2">
        <f t="shared" si="126"/>
        <v>1.1845264466287513E-2</v>
      </c>
      <c r="AD353" s="2" t="str">
        <f t="shared" si="127"/>
        <v>No Impact</v>
      </c>
      <c r="AE353" s="2">
        <f t="shared" si="128"/>
        <v>3.4889257194098077E-3</v>
      </c>
      <c r="AF353" s="2">
        <f t="shared" si="129"/>
        <v>2.3771777350478376E-2</v>
      </c>
      <c r="AG353" s="2" t="s">
        <v>1170</v>
      </c>
    </row>
    <row r="354" spans="1:33" x14ac:dyDescent="0.3">
      <c r="A354" s="2">
        <v>456116</v>
      </c>
      <c r="B354" s="2" t="s">
        <v>731</v>
      </c>
      <c r="C354" s="2" t="s">
        <v>729</v>
      </c>
      <c r="D354" s="2" t="s">
        <v>732</v>
      </c>
      <c r="E354" s="3">
        <v>5.3</v>
      </c>
      <c r="F354" s="4">
        <f t="shared" si="111"/>
        <v>0.46666666666666656</v>
      </c>
      <c r="G354" s="2">
        <v>48.210757199999996</v>
      </c>
      <c r="H354" s="2">
        <f t="shared" si="112"/>
        <v>8.9350600235439781E-2</v>
      </c>
      <c r="I354" s="2">
        <v>0</v>
      </c>
      <c r="J354" s="4">
        <f t="shared" si="113"/>
        <v>0</v>
      </c>
      <c r="K354" s="2">
        <v>0</v>
      </c>
      <c r="L354" s="4">
        <f t="shared" si="114"/>
        <v>0</v>
      </c>
      <c r="M354" s="2">
        <v>30622</v>
      </c>
      <c r="N354" s="2">
        <f t="shared" si="115"/>
        <v>0.14375476099227358</v>
      </c>
      <c r="O354" s="2">
        <v>0.345899717</v>
      </c>
      <c r="P354" s="2">
        <f t="shared" si="110"/>
        <v>0.32212942569599989</v>
      </c>
      <c r="Q354" s="2">
        <v>0.1865</v>
      </c>
      <c r="R354" s="2">
        <f t="shared" si="116"/>
        <v>0.38071800810654316</v>
      </c>
      <c r="S354" s="2">
        <f t="shared" si="117"/>
        <v>5.1286536068759839E-3</v>
      </c>
      <c r="T354" s="5">
        <f t="shared" si="118"/>
        <v>8.0205800702336568E-3</v>
      </c>
      <c r="U354" s="2" t="str">
        <f t="shared" si="119"/>
        <v>No Impact</v>
      </c>
      <c r="V354" s="2">
        <f t="shared" si="120"/>
        <v>5.5561724823109055E-3</v>
      </c>
      <c r="W354" s="2">
        <f t="shared" si="121"/>
        <v>8.1306171591511607E-3</v>
      </c>
      <c r="X354" s="2" t="s">
        <v>1170</v>
      </c>
      <c r="Y354" s="2">
        <f t="shared" si="122"/>
        <v>4.7011347314410631E-3</v>
      </c>
      <c r="Z354" s="2">
        <f t="shared" si="123"/>
        <v>7.8943093257668566E-3</v>
      </c>
      <c r="AA354" s="2" t="str">
        <f t="shared" si="124"/>
        <v>No Impact</v>
      </c>
      <c r="AB354" s="2">
        <f t="shared" si="125"/>
        <v>4.0892822789423194E-3</v>
      </c>
      <c r="AC354" s="2">
        <f t="shared" si="126"/>
        <v>8.8404970646974619E-3</v>
      </c>
      <c r="AD354" s="2" t="str">
        <f t="shared" si="127"/>
        <v>No Impact</v>
      </c>
      <c r="AE354" s="2">
        <f t="shared" si="128"/>
        <v>2.0979471162890979E-3</v>
      </c>
      <c r="AF354" s="2">
        <f t="shared" si="129"/>
        <v>1.4294351829863269E-2</v>
      </c>
      <c r="AG354" s="2" t="s">
        <v>1170</v>
      </c>
    </row>
    <row r="355" spans="1:33" x14ac:dyDescent="0.3">
      <c r="A355" s="2">
        <v>456120</v>
      </c>
      <c r="B355" s="2" t="s">
        <v>733</v>
      </c>
      <c r="C355" s="2" t="s">
        <v>729</v>
      </c>
      <c r="D355" s="2" t="s">
        <v>734</v>
      </c>
      <c r="E355" s="3">
        <v>5.4</v>
      </c>
      <c r="F355" s="4">
        <f t="shared" si="111"/>
        <v>0.48888888888888893</v>
      </c>
      <c r="G355" s="2">
        <v>52.587471600000001</v>
      </c>
      <c r="H355" s="2">
        <f t="shared" si="112"/>
        <v>0.12468586738414876</v>
      </c>
      <c r="I355" s="2">
        <v>0</v>
      </c>
      <c r="J355" s="4">
        <f t="shared" si="113"/>
        <v>0</v>
      </c>
      <c r="K355" s="2">
        <v>0</v>
      </c>
      <c r="L355" s="4">
        <f t="shared" si="114"/>
        <v>0</v>
      </c>
      <c r="M355" s="2">
        <v>47760</v>
      </c>
      <c r="N355" s="2">
        <f t="shared" si="115"/>
        <v>0.22484185225665118</v>
      </c>
      <c r="O355" s="2">
        <v>0.41156439900000003</v>
      </c>
      <c r="P355" s="2">
        <f t="shared" si="110"/>
        <v>0.397984618555559</v>
      </c>
      <c r="Q355" s="2">
        <v>0.24210000000000001</v>
      </c>
      <c r="R355" s="2">
        <f t="shared" si="116"/>
        <v>0.54169079328315006</v>
      </c>
      <c r="S355" s="2">
        <f t="shared" si="117"/>
        <v>1.0024051968243703E-2</v>
      </c>
      <c r="T355" s="5">
        <f t="shared" si="118"/>
        <v>1.567637777909028E-2</v>
      </c>
      <c r="U355" s="2" t="str">
        <f t="shared" si="119"/>
        <v>No Impact</v>
      </c>
      <c r="V355" s="2">
        <f t="shared" si="120"/>
        <v>1.1557047453150719E-2</v>
      </c>
      <c r="W355" s="2">
        <f t="shared" si="121"/>
        <v>1.6911989077169443E-2</v>
      </c>
      <c r="X355" s="2" t="s">
        <v>1170</v>
      </c>
      <c r="Y355" s="2">
        <f t="shared" si="122"/>
        <v>8.4910564833366852E-3</v>
      </c>
      <c r="Z355" s="2">
        <f t="shared" si="123"/>
        <v>1.4258478050781277E-2</v>
      </c>
      <c r="AA355" s="2" t="str">
        <f t="shared" si="124"/>
        <v>No Impact</v>
      </c>
      <c r="AB355" s="2">
        <f t="shared" si="125"/>
        <v>8.2712446802684098E-3</v>
      </c>
      <c r="AC355" s="2">
        <f t="shared" si="126"/>
        <v>1.7881356514283023E-2</v>
      </c>
      <c r="AD355" s="2" t="str">
        <f t="shared" si="127"/>
        <v>No Impact</v>
      </c>
      <c r="AE355" s="2">
        <f t="shared" si="128"/>
        <v>4.7970317904704367E-3</v>
      </c>
      <c r="AF355" s="2">
        <f t="shared" si="129"/>
        <v>3.2684551302376262E-2</v>
      </c>
      <c r="AG355" s="2" t="s">
        <v>1169</v>
      </c>
    </row>
    <row r="356" spans="1:33" x14ac:dyDescent="0.3">
      <c r="A356" s="2">
        <v>456122</v>
      </c>
      <c r="B356" s="2" t="s">
        <v>735</v>
      </c>
      <c r="C356" s="2" t="s">
        <v>729</v>
      </c>
      <c r="D356" s="2" t="s">
        <v>736</v>
      </c>
      <c r="E356" s="3">
        <v>5.3</v>
      </c>
      <c r="F356" s="4">
        <f t="shared" si="111"/>
        <v>0.46666666666666656</v>
      </c>
      <c r="G356" s="2">
        <v>48.913642799999998</v>
      </c>
      <c r="H356" s="2">
        <f t="shared" si="112"/>
        <v>9.5025325196013088E-2</v>
      </c>
      <c r="I356" s="2">
        <v>0.10000000000000026</v>
      </c>
      <c r="J356" s="4">
        <f t="shared" si="113"/>
        <v>1.5174506828528115E-3</v>
      </c>
      <c r="K356" s="2">
        <v>0</v>
      </c>
      <c r="L356" s="4">
        <f t="shared" si="114"/>
        <v>0</v>
      </c>
      <c r="M356" s="2">
        <v>46008</v>
      </c>
      <c r="N356" s="2">
        <f t="shared" si="115"/>
        <v>0.21655240285210051</v>
      </c>
      <c r="O356" s="2">
        <v>0.36805424799999997</v>
      </c>
      <c r="P356" s="2">
        <f t="shared" si="110"/>
        <v>0.34772212135114794</v>
      </c>
      <c r="Q356" s="2">
        <v>0.2351</v>
      </c>
      <c r="R356" s="2">
        <f t="shared" si="116"/>
        <v>0.52142443543717432</v>
      </c>
      <c r="S356" s="2">
        <f t="shared" si="117"/>
        <v>6.8526354010954096E-3</v>
      </c>
      <c r="T356" s="5">
        <f t="shared" si="118"/>
        <v>1.071667442170705E-2</v>
      </c>
      <c r="U356" s="2" t="str">
        <f t="shared" si="119"/>
        <v>No Impact</v>
      </c>
      <c r="V356" s="2">
        <f t="shared" si="120"/>
        <v>8.2221611933352978E-3</v>
      </c>
      <c r="W356" s="2">
        <f t="shared" si="121"/>
        <v>1.2031887976241192E-2</v>
      </c>
      <c r="X356" s="2" t="s">
        <v>1170</v>
      </c>
      <c r="Y356" s="2">
        <f t="shared" si="122"/>
        <v>5.4831096088555206E-3</v>
      </c>
      <c r="Z356" s="2">
        <f t="shared" si="123"/>
        <v>9.207428800093443E-3</v>
      </c>
      <c r="AA356" s="2" t="str">
        <f t="shared" si="124"/>
        <v>No Impact</v>
      </c>
      <c r="AB356" s="2">
        <f t="shared" si="125"/>
        <v>5.717848224064178E-3</v>
      </c>
      <c r="AC356" s="2">
        <f t="shared" si="126"/>
        <v>1.2361245077534538E-2</v>
      </c>
      <c r="AD356" s="2" t="str">
        <f t="shared" si="127"/>
        <v>No Impact</v>
      </c>
      <c r="AE356" s="2">
        <f t="shared" si="128"/>
        <v>3.4147397821147683E-3</v>
      </c>
      <c r="AF356" s="2">
        <f t="shared" si="129"/>
        <v>2.3266311850280639E-2</v>
      </c>
      <c r="AG356" s="2" t="s">
        <v>1170</v>
      </c>
    </row>
    <row r="357" spans="1:33" x14ac:dyDescent="0.3">
      <c r="A357" s="2">
        <v>456123</v>
      </c>
      <c r="B357" s="2" t="s">
        <v>737</v>
      </c>
      <c r="C357" s="2" t="s">
        <v>729</v>
      </c>
      <c r="D357" s="2" t="s">
        <v>738</v>
      </c>
      <c r="E357" s="3">
        <v>5.4</v>
      </c>
      <c r="F357" s="4">
        <f t="shared" si="111"/>
        <v>0.48888888888888893</v>
      </c>
      <c r="G357" s="2">
        <v>48.210757199999996</v>
      </c>
      <c r="H357" s="2">
        <f t="shared" si="112"/>
        <v>8.9350600235439781E-2</v>
      </c>
      <c r="I357" s="2">
        <v>0</v>
      </c>
      <c r="J357" s="4">
        <f t="shared" si="113"/>
        <v>0</v>
      </c>
      <c r="K357" s="2">
        <v>0</v>
      </c>
      <c r="L357" s="4">
        <f t="shared" si="114"/>
        <v>0</v>
      </c>
      <c r="M357" s="2">
        <v>52514</v>
      </c>
      <c r="N357" s="2">
        <f t="shared" si="115"/>
        <v>0.24733502718201303</v>
      </c>
      <c r="O357" s="2">
        <v>0.35122262900000001</v>
      </c>
      <c r="P357" s="2">
        <f t="shared" si="110"/>
        <v>0.32827840112748774</v>
      </c>
      <c r="Q357" s="2">
        <v>0.2263</v>
      </c>
      <c r="R357" s="2">
        <f t="shared" si="116"/>
        <v>0.4959467284308049</v>
      </c>
      <c r="S357" s="2">
        <f t="shared" si="117"/>
        <v>6.3007397491642502E-3</v>
      </c>
      <c r="T357" s="5">
        <f t="shared" si="118"/>
        <v>9.853577865372453E-3</v>
      </c>
      <c r="U357" s="2" t="str">
        <f t="shared" si="119"/>
        <v>No Impact</v>
      </c>
      <c r="V357" s="2">
        <f t="shared" si="120"/>
        <v>7.5824702577718213E-3</v>
      </c>
      <c r="W357" s="2">
        <f t="shared" si="121"/>
        <v>1.1095797148642794E-2</v>
      </c>
      <c r="X357" s="2" t="s">
        <v>1170</v>
      </c>
      <c r="Y357" s="2">
        <f t="shared" si="122"/>
        <v>5.0190092405566784E-3</v>
      </c>
      <c r="Z357" s="2">
        <f t="shared" si="123"/>
        <v>8.4280952827938196E-3</v>
      </c>
      <c r="AA357" s="2" t="str">
        <f t="shared" si="124"/>
        <v>No Impact</v>
      </c>
      <c r="AB357" s="2">
        <f t="shared" si="125"/>
        <v>5.4830838469828455E-3</v>
      </c>
      <c r="AC357" s="2">
        <f t="shared" si="126"/>
        <v>1.1853714991590004E-2</v>
      </c>
      <c r="AD357" s="2" t="str">
        <f t="shared" si="127"/>
        <v>No Impact</v>
      </c>
      <c r="AE357" s="2">
        <f t="shared" si="128"/>
        <v>3.7814756702734425E-3</v>
      </c>
      <c r="AF357" s="2">
        <f t="shared" si="129"/>
        <v>2.5765064928122805E-2</v>
      </c>
      <c r="AG357" s="2" t="s">
        <v>1170</v>
      </c>
    </row>
    <row r="358" spans="1:33" x14ac:dyDescent="0.3">
      <c r="A358" s="2">
        <v>456124</v>
      </c>
      <c r="B358" s="2" t="s">
        <v>739</v>
      </c>
      <c r="C358" s="2" t="s">
        <v>729</v>
      </c>
      <c r="D358" s="2" t="s">
        <v>740</v>
      </c>
      <c r="E358" s="3">
        <v>5.4</v>
      </c>
      <c r="F358" s="4">
        <f t="shared" si="111"/>
        <v>0.48888888888888893</v>
      </c>
      <c r="G358" s="2">
        <v>48.210757199999996</v>
      </c>
      <c r="H358" s="2">
        <f t="shared" si="112"/>
        <v>8.9350600235439781E-2</v>
      </c>
      <c r="I358" s="2">
        <v>0</v>
      </c>
      <c r="J358" s="4">
        <f t="shared" si="113"/>
        <v>0</v>
      </c>
      <c r="K358" s="2">
        <v>0</v>
      </c>
      <c r="L358" s="4">
        <f t="shared" si="114"/>
        <v>0</v>
      </c>
      <c r="M358" s="2">
        <v>39702</v>
      </c>
      <c r="N358" s="2">
        <f t="shared" si="115"/>
        <v>0.18671606270078966</v>
      </c>
      <c r="O358" s="2">
        <v>0.36162643500000002</v>
      </c>
      <c r="P358" s="2">
        <f t="shared" si="110"/>
        <v>0.34029677518438856</v>
      </c>
      <c r="Q358" s="2">
        <v>0.19450000000000001</v>
      </c>
      <c r="R358" s="2">
        <f t="shared" si="116"/>
        <v>0.40387955993051539</v>
      </c>
      <c r="S358" s="2">
        <f t="shared" si="117"/>
        <v>5.6888115235683738E-3</v>
      </c>
      <c r="T358" s="5">
        <f t="shared" si="118"/>
        <v>8.8965977870049933E-3</v>
      </c>
      <c r="U358" s="2" t="str">
        <f t="shared" si="119"/>
        <v>No Impact</v>
      </c>
      <c r="V358" s="2">
        <f t="shared" si="120"/>
        <v>6.1748663220033227E-3</v>
      </c>
      <c r="W358" s="2">
        <f t="shared" si="121"/>
        <v>9.0359819161451825E-3</v>
      </c>
      <c r="X358" s="2" t="s">
        <v>1170</v>
      </c>
      <c r="Y358" s="2">
        <f t="shared" si="122"/>
        <v>5.2027567251334249E-3</v>
      </c>
      <c r="Z358" s="2">
        <f t="shared" si="123"/>
        <v>8.7366504644564753E-3</v>
      </c>
      <c r="AA358" s="2" t="str">
        <f t="shared" si="124"/>
        <v>No Impact</v>
      </c>
      <c r="AB358" s="2">
        <f t="shared" si="125"/>
        <v>4.7211680787653471E-3</v>
      </c>
      <c r="AC358" s="2">
        <f t="shared" si="126"/>
        <v>1.0206552078146993E-2</v>
      </c>
      <c r="AD358" s="2" t="str">
        <f t="shared" si="127"/>
        <v>No Impact</v>
      </c>
      <c r="AE358" s="2">
        <f t="shared" si="128"/>
        <v>2.854679567211877E-3</v>
      </c>
      <c r="AF358" s="2">
        <f t="shared" si="129"/>
        <v>1.9450344471707515E-2</v>
      </c>
      <c r="AG358" s="2" t="s">
        <v>1170</v>
      </c>
    </row>
    <row r="359" spans="1:33" x14ac:dyDescent="0.3">
      <c r="A359" s="2">
        <v>456131</v>
      </c>
      <c r="B359" s="2" t="s">
        <v>741</v>
      </c>
      <c r="C359" s="2" t="s">
        <v>729</v>
      </c>
      <c r="D359" s="2" t="s">
        <v>742</v>
      </c>
      <c r="E359" s="3">
        <v>5.4</v>
      </c>
      <c r="F359" s="4">
        <f t="shared" si="111"/>
        <v>0.48888888888888893</v>
      </c>
      <c r="G359" s="2">
        <v>46.834016400000003</v>
      </c>
      <c r="H359" s="2">
        <f t="shared" si="112"/>
        <v>7.8235526342903636E-2</v>
      </c>
      <c r="I359" s="2">
        <v>0</v>
      </c>
      <c r="J359" s="4">
        <f t="shared" si="113"/>
        <v>0</v>
      </c>
      <c r="K359" s="2">
        <v>0</v>
      </c>
      <c r="L359" s="4">
        <f t="shared" si="114"/>
        <v>0</v>
      </c>
      <c r="M359" s="2">
        <v>55685</v>
      </c>
      <c r="N359" s="2">
        <f t="shared" si="115"/>
        <v>0.26233836283374262</v>
      </c>
      <c r="O359" s="2">
        <v>0.57984758999999997</v>
      </c>
      <c r="P359" s="2">
        <f t="shared" si="110"/>
        <v>0.59238370067289903</v>
      </c>
      <c r="Q359" s="2">
        <v>0.23080000000000001</v>
      </c>
      <c r="R359" s="2">
        <f t="shared" si="116"/>
        <v>0.50897510133178925</v>
      </c>
      <c r="S359" s="2">
        <f t="shared" si="117"/>
        <v>7.3719274318627178E-3</v>
      </c>
      <c r="T359" s="5">
        <f t="shared" si="118"/>
        <v>1.1528782946061158E-2</v>
      </c>
      <c r="U359" s="2" t="str">
        <f t="shared" si="119"/>
        <v>No Impact</v>
      </c>
      <c r="V359" s="2">
        <f t="shared" si="120"/>
        <v>6.8136333133458748E-3</v>
      </c>
      <c r="W359" s="2">
        <f t="shared" si="121"/>
        <v>9.9707206912720888E-3</v>
      </c>
      <c r="X359" s="2" t="s">
        <v>1170</v>
      </c>
      <c r="Y359" s="2">
        <f t="shared" si="122"/>
        <v>7.9302215503795626E-3</v>
      </c>
      <c r="Z359" s="2">
        <f t="shared" si="123"/>
        <v>1.3316704480275228E-2</v>
      </c>
      <c r="AA359" s="2" t="str">
        <f t="shared" si="124"/>
        <v>No Impact</v>
      </c>
      <c r="AB359" s="2">
        <f t="shared" si="125"/>
        <v>5.9930084541260182E-3</v>
      </c>
      <c r="AC359" s="2">
        <f t="shared" si="126"/>
        <v>1.2956105749958537E-2</v>
      </c>
      <c r="AD359" s="2" t="str">
        <f t="shared" si="127"/>
        <v>No Impact</v>
      </c>
      <c r="AE359" s="2">
        <f t="shared" si="128"/>
        <v>3.5119152266888404E-3</v>
      </c>
      <c r="AF359" s="2">
        <f t="shared" si="129"/>
        <v>2.3928416239461892E-2</v>
      </c>
      <c r="AG359" s="2" t="s">
        <v>1170</v>
      </c>
    </row>
    <row r="360" spans="1:33" x14ac:dyDescent="0.3">
      <c r="A360" s="2">
        <v>456152</v>
      </c>
      <c r="B360" s="2" t="s">
        <v>743</v>
      </c>
      <c r="C360" s="2" t="s">
        <v>729</v>
      </c>
      <c r="D360" s="2" t="s">
        <v>744</v>
      </c>
      <c r="E360" s="3">
        <v>5.3</v>
      </c>
      <c r="F360" s="4">
        <f t="shared" si="111"/>
        <v>0.46666666666666656</v>
      </c>
      <c r="G360" s="2">
        <v>50.026204800000002</v>
      </c>
      <c r="H360" s="2">
        <f t="shared" si="112"/>
        <v>0.10400755978950224</v>
      </c>
      <c r="I360" s="2">
        <v>0</v>
      </c>
      <c r="J360" s="4">
        <f t="shared" si="113"/>
        <v>0</v>
      </c>
      <c r="K360" s="2">
        <v>0</v>
      </c>
      <c r="L360" s="4">
        <f t="shared" si="114"/>
        <v>0</v>
      </c>
      <c r="M360" s="2">
        <v>87952</v>
      </c>
      <c r="N360" s="2">
        <f t="shared" si="115"/>
        <v>0.41500712078844398</v>
      </c>
      <c r="O360" s="2">
        <v>0.25703116199999998</v>
      </c>
      <c r="P360" s="2">
        <f t="shared" si="110"/>
        <v>0.21946934765472753</v>
      </c>
      <c r="Q360" s="2">
        <v>0.2293</v>
      </c>
      <c r="R360" s="2">
        <f t="shared" si="116"/>
        <v>0.5046323103647945</v>
      </c>
      <c r="S360" s="2">
        <f t="shared" si="117"/>
        <v>6.1504837966950224E-3</v>
      </c>
      <c r="T360" s="5">
        <f t="shared" si="118"/>
        <v>9.6185961352370942E-3</v>
      </c>
      <c r="U360" s="2" t="str">
        <f t="shared" si="119"/>
        <v>No Impact</v>
      </c>
      <c r="V360" s="2">
        <f t="shared" si="120"/>
        <v>8.5726439480235637E-3</v>
      </c>
      <c r="W360" s="2">
        <f t="shared" si="121"/>
        <v>1.2544766420588866E-2</v>
      </c>
      <c r="X360" s="2" t="s">
        <v>1170</v>
      </c>
      <c r="Y360" s="2">
        <f t="shared" si="122"/>
        <v>3.7283236453664798E-3</v>
      </c>
      <c r="Z360" s="2">
        <f t="shared" si="123"/>
        <v>6.2607310371790978E-3</v>
      </c>
      <c r="AA360" s="2" t="str">
        <f t="shared" si="124"/>
        <v>No Impact</v>
      </c>
      <c r="AB360" s="2">
        <f t="shared" si="125"/>
        <v>6.5864574969959119E-3</v>
      </c>
      <c r="AC360" s="2">
        <f t="shared" si="126"/>
        <v>1.423906548804142E-2</v>
      </c>
      <c r="AD360" s="2" t="str">
        <f t="shared" si="127"/>
        <v>No Impact</v>
      </c>
      <c r="AE360" s="2">
        <f t="shared" si="128"/>
        <v>7.0501000616506318E-3</v>
      </c>
      <c r="AF360" s="2">
        <f t="shared" si="129"/>
        <v>4.8035820319070326E-2</v>
      </c>
      <c r="AG360" s="2" t="s">
        <v>1169</v>
      </c>
    </row>
    <row r="361" spans="1:33" x14ac:dyDescent="0.3">
      <c r="A361" s="2">
        <v>456165</v>
      </c>
      <c r="B361" s="2" t="s">
        <v>745</v>
      </c>
      <c r="C361" s="2" t="s">
        <v>729</v>
      </c>
      <c r="D361" s="2" t="s">
        <v>746</v>
      </c>
      <c r="E361" s="3">
        <v>5.3</v>
      </c>
      <c r="F361" s="4">
        <f t="shared" si="111"/>
        <v>0.46666666666666656</v>
      </c>
      <c r="G361" s="2">
        <v>50.026204800000002</v>
      </c>
      <c r="H361" s="2">
        <f t="shared" si="112"/>
        <v>0.10400755978950224</v>
      </c>
      <c r="I361" s="2">
        <v>0.10000000000000026</v>
      </c>
      <c r="J361" s="4">
        <f t="shared" si="113"/>
        <v>1.5174506828528115E-3</v>
      </c>
      <c r="K361" s="2">
        <v>0</v>
      </c>
      <c r="L361" s="4">
        <f t="shared" si="114"/>
        <v>0</v>
      </c>
      <c r="M361" s="2">
        <v>36359</v>
      </c>
      <c r="N361" s="2">
        <f t="shared" si="115"/>
        <v>0.17089892265546267</v>
      </c>
      <c r="O361" s="2">
        <v>0.34999158899999999</v>
      </c>
      <c r="P361" s="2">
        <f t="shared" si="110"/>
        <v>0.32685631586378644</v>
      </c>
      <c r="Q361" s="2">
        <v>0.23230000000000001</v>
      </c>
      <c r="R361" s="2">
        <f t="shared" si="116"/>
        <v>0.51331789229878411</v>
      </c>
      <c r="S361" s="2">
        <f t="shared" si="117"/>
        <v>7.2405170227215574E-3</v>
      </c>
      <c r="T361" s="5">
        <f t="shared" si="118"/>
        <v>1.1323273315392056E-2</v>
      </c>
      <c r="U361" s="2" t="str">
        <f t="shared" si="119"/>
        <v>No Impact</v>
      </c>
      <c r="V361" s="2">
        <f t="shared" si="120"/>
        <v>8.8474197402111463E-3</v>
      </c>
      <c r="W361" s="2">
        <f t="shared" si="121"/>
        <v>1.2946859188225647E-2</v>
      </c>
      <c r="X361" s="2" t="s">
        <v>1170</v>
      </c>
      <c r="Y361" s="2">
        <f t="shared" si="122"/>
        <v>5.6336143052319694E-3</v>
      </c>
      <c r="Z361" s="2">
        <f t="shared" si="123"/>
        <v>9.4601615329441158E-3</v>
      </c>
      <c r="AA361" s="2" t="str">
        <f t="shared" si="124"/>
        <v>No Impact</v>
      </c>
      <c r="AB361" s="2">
        <f t="shared" si="125"/>
        <v>5.8176311901110981E-3</v>
      </c>
      <c r="AC361" s="2">
        <f t="shared" si="126"/>
        <v>1.2576962887720231E-2</v>
      </c>
      <c r="AD361" s="2" t="str">
        <f t="shared" si="127"/>
        <v>No Impact</v>
      </c>
      <c r="AE361" s="2">
        <f t="shared" si="128"/>
        <v>2.9455713984788755E-3</v>
      </c>
      <c r="AF361" s="2">
        <f t="shared" si="129"/>
        <v>2.0069635494109055E-2</v>
      </c>
      <c r="AG361" s="2" t="s">
        <v>1170</v>
      </c>
    </row>
    <row r="362" spans="1:33" x14ac:dyDescent="0.3">
      <c r="A362" s="2">
        <v>456172</v>
      </c>
      <c r="B362" s="2" t="s">
        <v>747</v>
      </c>
      <c r="C362" s="2" t="s">
        <v>729</v>
      </c>
      <c r="D362" s="2" t="s">
        <v>748</v>
      </c>
      <c r="E362" s="3">
        <v>5.4</v>
      </c>
      <c r="F362" s="4">
        <f t="shared" si="111"/>
        <v>0.48888888888888893</v>
      </c>
      <c r="G362" s="2">
        <v>46.431612000000001</v>
      </c>
      <c r="H362" s="2">
        <f t="shared" si="112"/>
        <v>7.4986726975091095E-2</v>
      </c>
      <c r="I362" s="2">
        <v>0</v>
      </c>
      <c r="J362" s="4">
        <f t="shared" si="113"/>
        <v>0</v>
      </c>
      <c r="K362" s="2">
        <v>0</v>
      </c>
      <c r="L362" s="4">
        <f t="shared" si="114"/>
        <v>0</v>
      </c>
      <c r="M362" s="2">
        <v>50033</v>
      </c>
      <c r="N362" s="2">
        <f t="shared" si="115"/>
        <v>0.23559637194645924</v>
      </c>
      <c r="O362" s="2">
        <v>0.43192635800000001</v>
      </c>
      <c r="P362" s="2">
        <f t="shared" si="110"/>
        <v>0.42150655272015963</v>
      </c>
      <c r="Q362" s="2">
        <v>0.23019999999999999</v>
      </c>
      <c r="R362" s="2">
        <f t="shared" si="116"/>
        <v>0.50723798494499128</v>
      </c>
      <c r="S362" s="2">
        <f t="shared" si="117"/>
        <v>5.9583894520153311E-3</v>
      </c>
      <c r="T362" s="5">
        <f t="shared" si="118"/>
        <v>9.3181843331070196E-3</v>
      </c>
      <c r="U362" s="2" t="str">
        <f t="shared" si="119"/>
        <v>No Impact</v>
      </c>
      <c r="V362" s="2">
        <f t="shared" si="120"/>
        <v>6.5084021204707514E-3</v>
      </c>
      <c r="W362" s="2">
        <f t="shared" si="121"/>
        <v>9.5240610560286439E-3</v>
      </c>
      <c r="X362" s="2" t="s">
        <v>1170</v>
      </c>
      <c r="Y362" s="2">
        <f t="shared" si="122"/>
        <v>5.4083767835599126E-3</v>
      </c>
      <c r="Z362" s="2">
        <f t="shared" si="123"/>
        <v>9.0819348346203085E-3</v>
      </c>
      <c r="AA362" s="2" t="str">
        <f t="shared" si="124"/>
        <v>No Impact</v>
      </c>
      <c r="AB362" s="2">
        <f t="shared" si="125"/>
        <v>4.9584868707543981E-3</v>
      </c>
      <c r="AC362" s="2">
        <f t="shared" si="126"/>
        <v>1.0719604477288145E-2</v>
      </c>
      <c r="AD362" s="2" t="str">
        <f t="shared" si="127"/>
        <v>No Impact</v>
      </c>
      <c r="AE362" s="2">
        <f t="shared" si="128"/>
        <v>3.0229516957761748E-3</v>
      </c>
      <c r="AF362" s="2">
        <f t="shared" si="129"/>
        <v>2.0596865749666456E-2</v>
      </c>
      <c r="AG362" s="2" t="s">
        <v>1170</v>
      </c>
    </row>
    <row r="363" spans="1:33" x14ac:dyDescent="0.3">
      <c r="A363" s="2">
        <v>456181</v>
      </c>
      <c r="B363" s="2" t="s">
        <v>749</v>
      </c>
      <c r="C363" s="2" t="s">
        <v>729</v>
      </c>
      <c r="D363" s="2" t="s">
        <v>750</v>
      </c>
      <c r="E363" s="3">
        <v>5.4</v>
      </c>
      <c r="F363" s="4">
        <f t="shared" si="111"/>
        <v>0.48888888888888893</v>
      </c>
      <c r="G363" s="2">
        <v>50.026204800000002</v>
      </c>
      <c r="H363" s="2">
        <f t="shared" si="112"/>
        <v>0.10400755978950224</v>
      </c>
      <c r="I363" s="2">
        <v>0</v>
      </c>
      <c r="J363" s="4">
        <f t="shared" si="113"/>
        <v>0</v>
      </c>
      <c r="K363" s="2">
        <v>0</v>
      </c>
      <c r="L363" s="4">
        <f t="shared" si="114"/>
        <v>0</v>
      </c>
      <c r="M363" s="2">
        <v>71423</v>
      </c>
      <c r="N363" s="2">
        <f t="shared" si="115"/>
        <v>0.33680146484790846</v>
      </c>
      <c r="O363" s="2">
        <v>0.18965890399999999</v>
      </c>
      <c r="P363" s="2">
        <f t="shared" si="110"/>
        <v>0.14164157984532932</v>
      </c>
      <c r="Q363" s="2">
        <v>0.20830000000000001</v>
      </c>
      <c r="R363" s="2">
        <f t="shared" si="116"/>
        <v>0.44383323682686748</v>
      </c>
      <c r="S363" s="2">
        <f t="shared" si="117"/>
        <v>5.2098034878018508E-3</v>
      </c>
      <c r="T363" s="5">
        <f t="shared" si="118"/>
        <v>8.1474884496147912E-3</v>
      </c>
      <c r="U363" s="2" t="str">
        <f t="shared" si="119"/>
        <v>No Impact</v>
      </c>
      <c r="V363" s="2">
        <f t="shared" si="120"/>
        <v>7.8988331500435167E-3</v>
      </c>
      <c r="W363" s="2">
        <f t="shared" si="121"/>
        <v>1.1558746340485215E-2</v>
      </c>
      <c r="X363" s="2" t="s">
        <v>1170</v>
      </c>
      <c r="Y363" s="2">
        <f t="shared" si="122"/>
        <v>2.5207738255601862E-3</v>
      </c>
      <c r="Z363" s="2">
        <f t="shared" si="123"/>
        <v>4.2329712837582932E-3</v>
      </c>
      <c r="AA363" s="2" t="str">
        <f t="shared" si="124"/>
        <v>No Impact</v>
      </c>
      <c r="AB363" s="2">
        <f t="shared" si="125"/>
        <v>5.6187254487813374E-3</v>
      </c>
      <c r="AC363" s="2">
        <f t="shared" si="126"/>
        <v>1.2146954514018029E-2</v>
      </c>
      <c r="AD363" s="2" t="str">
        <f t="shared" si="127"/>
        <v>No Impact</v>
      </c>
      <c r="AE363" s="2">
        <f t="shared" si="128"/>
        <v>5.9940048531372889E-3</v>
      </c>
      <c r="AF363" s="2">
        <f t="shared" si="129"/>
        <v>4.084012107617184E-2</v>
      </c>
      <c r="AG363" s="2" t="s">
        <v>1169</v>
      </c>
    </row>
    <row r="364" spans="1:33" x14ac:dyDescent="0.3">
      <c r="A364" s="2">
        <v>456194</v>
      </c>
      <c r="B364" s="2" t="s">
        <v>751</v>
      </c>
      <c r="C364" s="2" t="s">
        <v>729</v>
      </c>
      <c r="D364" s="2" t="s">
        <v>752</v>
      </c>
      <c r="E364" s="3">
        <v>5.3</v>
      </c>
      <c r="F364" s="4">
        <f t="shared" si="111"/>
        <v>0.46666666666666656</v>
      </c>
      <c r="G364" s="2">
        <v>50.026204800000002</v>
      </c>
      <c r="H364" s="2">
        <f t="shared" si="112"/>
        <v>0.10400755978950224</v>
      </c>
      <c r="I364" s="2">
        <v>0</v>
      </c>
      <c r="J364" s="4">
        <f t="shared" si="113"/>
        <v>0</v>
      </c>
      <c r="K364" s="2">
        <v>0</v>
      </c>
      <c r="L364" s="4">
        <f t="shared" si="114"/>
        <v>0</v>
      </c>
      <c r="M364" s="2">
        <v>46016</v>
      </c>
      <c r="N364" s="2">
        <f t="shared" si="115"/>
        <v>0.21659025421924458</v>
      </c>
      <c r="O364" s="2">
        <v>0.46018296400000003</v>
      </c>
      <c r="P364" s="2">
        <f t="shared" si="110"/>
        <v>0.45414830521789612</v>
      </c>
      <c r="Q364" s="2">
        <v>0.22040000000000001</v>
      </c>
      <c r="R364" s="2">
        <f t="shared" si="116"/>
        <v>0.47886508396062544</v>
      </c>
      <c r="S364" s="2">
        <f t="shared" si="117"/>
        <v>7.9249697451836132E-3</v>
      </c>
      <c r="T364" s="5">
        <f t="shared" si="118"/>
        <v>1.2393672739021736E-2</v>
      </c>
      <c r="U364" s="2" t="str">
        <f t="shared" si="119"/>
        <v>No Impact</v>
      </c>
      <c r="V364" s="2">
        <f t="shared" si="120"/>
        <v>8.1349128456861593E-3</v>
      </c>
      <c r="W364" s="2">
        <f t="shared" si="121"/>
        <v>1.1904213229864595E-2</v>
      </c>
      <c r="X364" s="2" t="s">
        <v>1170</v>
      </c>
      <c r="Y364" s="2">
        <f t="shared" si="122"/>
        <v>7.7150266446810679E-3</v>
      </c>
      <c r="Z364" s="2">
        <f t="shared" si="123"/>
        <v>1.2955341692786599E-2</v>
      </c>
      <c r="AA364" s="2" t="str">
        <f t="shared" si="124"/>
        <v>No Impact</v>
      </c>
      <c r="AB364" s="2">
        <f t="shared" si="125"/>
        <v>6.4495223508490296E-3</v>
      </c>
      <c r="AC364" s="2">
        <f t="shared" si="126"/>
        <v>1.3943029490771371E-2</v>
      </c>
      <c r="AD364" s="2" t="str">
        <f t="shared" si="127"/>
        <v>No Impact</v>
      </c>
      <c r="AE364" s="2">
        <f t="shared" si="128"/>
        <v>3.6794138898701557E-3</v>
      </c>
      <c r="AF364" s="2">
        <f t="shared" si="129"/>
        <v>2.5069667515032919E-2</v>
      </c>
      <c r="AG364" s="2" t="s">
        <v>1170</v>
      </c>
    </row>
    <row r="365" spans="1:33" x14ac:dyDescent="0.3">
      <c r="A365" s="2">
        <v>457204</v>
      </c>
      <c r="B365" s="2" t="s">
        <v>753</v>
      </c>
      <c r="C365" s="2" t="s">
        <v>754</v>
      </c>
      <c r="D365" s="2" t="s">
        <v>755</v>
      </c>
      <c r="E365" s="3">
        <v>5.7</v>
      </c>
      <c r="F365" s="4">
        <f t="shared" si="111"/>
        <v>0.55555555555555558</v>
      </c>
      <c r="G365" s="2">
        <v>46.443783600000003</v>
      </c>
      <c r="H365" s="2">
        <f t="shared" si="112"/>
        <v>7.5084994007919945E-2</v>
      </c>
      <c r="I365" s="2">
        <v>0</v>
      </c>
      <c r="J365" s="4">
        <f t="shared" si="113"/>
        <v>0</v>
      </c>
      <c r="K365" s="2">
        <v>0</v>
      </c>
      <c r="L365" s="4">
        <f t="shared" si="114"/>
        <v>0</v>
      </c>
      <c r="M365" s="2">
        <v>26281</v>
      </c>
      <c r="N365" s="2">
        <f t="shared" si="115"/>
        <v>0.12321566289572422</v>
      </c>
      <c r="O365" s="2">
        <v>0.24351576999999999</v>
      </c>
      <c r="P365" s="2">
        <f t="shared" si="110"/>
        <v>0.20385650014664791</v>
      </c>
      <c r="Q365" s="2">
        <v>0.1845</v>
      </c>
      <c r="R365" s="2">
        <f t="shared" si="116"/>
        <v>0.37492762015055009</v>
      </c>
      <c r="S365" s="2">
        <f t="shared" si="117"/>
        <v>4.2250835476494476E-3</v>
      </c>
      <c r="T365" s="5">
        <f t="shared" si="118"/>
        <v>6.6075082263142414E-3</v>
      </c>
      <c r="U365" s="2" t="str">
        <f t="shared" si="119"/>
        <v>No Impact</v>
      </c>
      <c r="V365" s="2">
        <f t="shared" si="120"/>
        <v>5.473890744079282E-3</v>
      </c>
      <c r="W365" s="2">
        <f t="shared" si="121"/>
        <v>8.0102102936550467E-3</v>
      </c>
      <c r="X365" s="2" t="s">
        <v>1170</v>
      </c>
      <c r="Y365" s="2">
        <f t="shared" si="122"/>
        <v>2.9762763512196145E-3</v>
      </c>
      <c r="Z365" s="2">
        <f t="shared" si="123"/>
        <v>4.9978670039712127E-3</v>
      </c>
      <c r="AA365" s="2" t="str">
        <f t="shared" si="124"/>
        <v>No Impact</v>
      </c>
      <c r="AB365" s="2">
        <f t="shared" si="125"/>
        <v>3.4383706632938548E-3</v>
      </c>
      <c r="AC365" s="2">
        <f t="shared" si="126"/>
        <v>7.4333107090013006E-3</v>
      </c>
      <c r="AD365" s="2" t="str">
        <f t="shared" si="127"/>
        <v>No Impact</v>
      </c>
      <c r="AE365" s="2">
        <f t="shared" si="128"/>
        <v>1.7989314214292042E-3</v>
      </c>
      <c r="AF365" s="2">
        <f t="shared" si="129"/>
        <v>1.2257009938930032E-2</v>
      </c>
      <c r="AG365" s="2" t="s">
        <v>1170</v>
      </c>
    </row>
    <row r="366" spans="1:33" x14ac:dyDescent="0.3">
      <c r="A366" s="2">
        <v>457209</v>
      </c>
      <c r="B366" s="2" t="s">
        <v>756</v>
      </c>
      <c r="C366" s="2" t="s">
        <v>754</v>
      </c>
      <c r="D366" s="2" t="s">
        <v>757</v>
      </c>
      <c r="E366" s="3">
        <v>5.5</v>
      </c>
      <c r="F366" s="4">
        <f t="shared" si="111"/>
        <v>0.51111111111111107</v>
      </c>
      <c r="G366" s="2">
        <v>46.443783600000003</v>
      </c>
      <c r="H366" s="2">
        <f t="shared" si="112"/>
        <v>7.5084994007919945E-2</v>
      </c>
      <c r="I366" s="2">
        <v>0</v>
      </c>
      <c r="J366" s="4">
        <f t="shared" si="113"/>
        <v>0</v>
      </c>
      <c r="K366" s="2">
        <v>0</v>
      </c>
      <c r="L366" s="4">
        <f t="shared" si="114"/>
        <v>0</v>
      </c>
      <c r="M366" s="2">
        <v>31977</v>
      </c>
      <c r="N366" s="2">
        <f t="shared" si="115"/>
        <v>0.15016583630229993</v>
      </c>
      <c r="O366" s="2">
        <v>0.39021097500000002</v>
      </c>
      <c r="P366" s="2">
        <f t="shared" si="110"/>
        <v>0.37331735380383241</v>
      </c>
      <c r="Q366" s="2">
        <v>0.18640000000000001</v>
      </c>
      <c r="R366" s="2">
        <f t="shared" si="116"/>
        <v>0.38042848870874357</v>
      </c>
      <c r="S366" s="2">
        <f t="shared" si="117"/>
        <v>5.0621085183537575E-3</v>
      </c>
      <c r="T366" s="5">
        <f t="shared" si="118"/>
        <v>7.9165117802524939E-3</v>
      </c>
      <c r="U366" s="2" t="str">
        <f t="shared" si="119"/>
        <v>No Impact</v>
      </c>
      <c r="V366" s="2">
        <f t="shared" si="120"/>
        <v>5.109866442241361E-3</v>
      </c>
      <c r="W366" s="2">
        <f t="shared" si="121"/>
        <v>7.4775158454005496E-3</v>
      </c>
      <c r="X366" s="2" t="s">
        <v>1170</v>
      </c>
      <c r="Y366" s="2">
        <f t="shared" si="122"/>
        <v>5.0143505944661541E-3</v>
      </c>
      <c r="Z366" s="2">
        <f t="shared" si="123"/>
        <v>8.4202723218750643E-3</v>
      </c>
      <c r="AA366" s="2" t="str">
        <f t="shared" si="124"/>
        <v>No Impact</v>
      </c>
      <c r="AB366" s="2">
        <f t="shared" si="125"/>
        <v>3.9987112906609583E-3</v>
      </c>
      <c r="AC366" s="2">
        <f t="shared" si="126"/>
        <v>8.6446943537495588E-3</v>
      </c>
      <c r="AD366" s="2" t="str">
        <f t="shared" si="127"/>
        <v>No Impact</v>
      </c>
      <c r="AE366" s="2">
        <f t="shared" si="128"/>
        <v>2.017008164390387E-3</v>
      </c>
      <c r="AF366" s="2">
        <f t="shared" si="129"/>
        <v>1.3742874699578387E-2</v>
      </c>
      <c r="AG366" s="2" t="s">
        <v>1170</v>
      </c>
    </row>
    <row r="367" spans="1:33" x14ac:dyDescent="0.3">
      <c r="A367" s="2">
        <v>457218</v>
      </c>
      <c r="B367" s="2" t="s">
        <v>758</v>
      </c>
      <c r="C367" s="2" t="s">
        <v>754</v>
      </c>
      <c r="D367" s="2" t="s">
        <v>1157</v>
      </c>
      <c r="E367" s="3">
        <v>5.7</v>
      </c>
      <c r="F367" s="4">
        <f t="shared" si="111"/>
        <v>0.55555555555555558</v>
      </c>
      <c r="G367" s="2">
        <v>48.210757199999996</v>
      </c>
      <c r="H367" s="2">
        <f t="shared" si="112"/>
        <v>8.9350600235439781E-2</v>
      </c>
      <c r="I367" s="2">
        <v>0</v>
      </c>
      <c r="J367" s="4">
        <f t="shared" si="113"/>
        <v>0</v>
      </c>
      <c r="K367" s="2">
        <v>0</v>
      </c>
      <c r="L367" s="4">
        <f t="shared" si="114"/>
        <v>0</v>
      </c>
      <c r="M367" s="2">
        <v>33559</v>
      </c>
      <c r="N367" s="2">
        <f t="shared" si="115"/>
        <v>0.15765094415503919</v>
      </c>
      <c r="O367" s="2">
        <v>0.67750976500000004</v>
      </c>
      <c r="P367" s="2">
        <f t="shared" si="110"/>
        <v>0.70520208178847343</v>
      </c>
      <c r="Q367" s="2">
        <v>0.20039999999999999</v>
      </c>
      <c r="R367" s="2">
        <f t="shared" si="116"/>
        <v>0.42096120440069484</v>
      </c>
      <c r="S367" s="2">
        <f t="shared" si="117"/>
        <v>9.7828272095669827E-3</v>
      </c>
      <c r="T367" s="5">
        <f t="shared" si="118"/>
        <v>1.5299132084568137E-2</v>
      </c>
      <c r="U367" s="2" t="str">
        <f t="shared" si="119"/>
        <v>No Impact</v>
      </c>
      <c r="V367" s="2">
        <f t="shared" si="120"/>
        <v>7.313665389534727E-3</v>
      </c>
      <c r="W367" s="2">
        <f t="shared" si="121"/>
        <v>1.0702441924140677E-2</v>
      </c>
      <c r="X367" s="2" t="s">
        <v>1170</v>
      </c>
      <c r="Y367" s="2">
        <f t="shared" si="122"/>
        <v>1.2251989029599238E-2</v>
      </c>
      <c r="Z367" s="2">
        <f t="shared" si="123"/>
        <v>2.0573967091113362E-2</v>
      </c>
      <c r="AA367" s="2" t="str">
        <f t="shared" si="124"/>
        <v>No Impact</v>
      </c>
      <c r="AB367" s="2">
        <f t="shared" si="125"/>
        <v>7.1940242034237182E-3</v>
      </c>
      <c r="AC367" s="2">
        <f t="shared" si="126"/>
        <v>1.555254578076706E-2</v>
      </c>
      <c r="AD367" s="2" t="str">
        <f t="shared" si="127"/>
        <v>No Impact</v>
      </c>
      <c r="AE367" s="2">
        <f t="shared" si="128"/>
        <v>2.7389845948765511E-3</v>
      </c>
      <c r="AF367" s="2">
        <f t="shared" si="129"/>
        <v>1.866205737587609E-2</v>
      </c>
      <c r="AG367" s="2" t="s">
        <v>1170</v>
      </c>
    </row>
    <row r="368" spans="1:33" x14ac:dyDescent="0.3">
      <c r="A368" s="2">
        <v>457238</v>
      </c>
      <c r="B368" s="2" t="s">
        <v>759</v>
      </c>
      <c r="C368" s="2" t="s">
        <v>754</v>
      </c>
      <c r="D368" s="2" t="s">
        <v>760</v>
      </c>
      <c r="E368" s="3">
        <v>5.7</v>
      </c>
      <c r="F368" s="4">
        <f t="shared" si="111"/>
        <v>0.55555555555555558</v>
      </c>
      <c r="G368" s="2">
        <v>48.405499200000001</v>
      </c>
      <c r="H368" s="2">
        <f t="shared" si="112"/>
        <v>9.0922843696213479E-2</v>
      </c>
      <c r="I368" s="2">
        <v>0</v>
      </c>
      <c r="J368" s="4">
        <f t="shared" si="113"/>
        <v>0</v>
      </c>
      <c r="K368" s="2">
        <v>0</v>
      </c>
      <c r="L368" s="4">
        <f t="shared" si="114"/>
        <v>0</v>
      </c>
      <c r="M368" s="2">
        <v>1928</v>
      </c>
      <c r="N368" s="2">
        <f t="shared" si="115"/>
        <v>7.9913698882911523E-3</v>
      </c>
      <c r="O368" s="2">
        <v>0.46773857499999999</v>
      </c>
      <c r="P368" s="2">
        <f t="shared" si="110"/>
        <v>0.46287647250844671</v>
      </c>
      <c r="Q368" s="2">
        <v>0.15609999999999999</v>
      </c>
      <c r="R368" s="2">
        <f t="shared" si="116"/>
        <v>0.29270411117544876</v>
      </c>
      <c r="S368" s="2">
        <f t="shared" si="117"/>
        <v>6.6791214884901673E-3</v>
      </c>
      <c r="T368" s="5">
        <f t="shared" si="118"/>
        <v>1.0445320117824244E-2</v>
      </c>
      <c r="U368" s="2" t="str">
        <f t="shared" si="119"/>
        <v>No Impact</v>
      </c>
      <c r="V368" s="2">
        <f t="shared" si="120"/>
        <v>5.1748453068753038E-3</v>
      </c>
      <c r="W368" s="2">
        <f t="shared" si="121"/>
        <v>7.5726025752414416E-3</v>
      </c>
      <c r="X368" s="2" t="s">
        <v>1170</v>
      </c>
      <c r="Y368" s="2">
        <f t="shared" si="122"/>
        <v>8.183397670105029E-3</v>
      </c>
      <c r="Z368" s="2">
        <f t="shared" si="123"/>
        <v>1.3741846646408713E-2</v>
      </c>
      <c r="AA368" s="2" t="str">
        <f t="shared" si="124"/>
        <v>No Impact</v>
      </c>
      <c r="AB368" s="2">
        <f t="shared" si="125"/>
        <v>4.3156641941160794E-3</v>
      </c>
      <c r="AC368" s="2">
        <f t="shared" si="126"/>
        <v>9.3299053569300665E-3</v>
      </c>
      <c r="AD368" s="2" t="str">
        <f t="shared" si="127"/>
        <v>No Impact</v>
      </c>
      <c r="AE368" s="2">
        <f t="shared" si="128"/>
        <v>1.4128295908061289E-4</v>
      </c>
      <c r="AF368" s="2">
        <f t="shared" si="129"/>
        <v>9.626307112234004E-4</v>
      </c>
      <c r="AG368" s="2" t="s">
        <v>1170</v>
      </c>
    </row>
    <row r="369" spans="1:33" x14ac:dyDescent="0.3">
      <c r="A369" s="2">
        <v>457240</v>
      </c>
      <c r="B369" s="2" t="s">
        <v>761</v>
      </c>
      <c r="C369" s="2" t="s">
        <v>754</v>
      </c>
      <c r="D369" s="2" t="s">
        <v>762</v>
      </c>
      <c r="E369" s="3">
        <v>5.7</v>
      </c>
      <c r="F369" s="4">
        <f t="shared" si="111"/>
        <v>0.55555555555555558</v>
      </c>
      <c r="G369" s="2">
        <v>40.142397599999995</v>
      </c>
      <c r="H369" s="2">
        <f t="shared" si="112"/>
        <v>2.4210950749092106E-2</v>
      </c>
      <c r="I369" s="2">
        <v>0</v>
      </c>
      <c r="J369" s="4">
        <f t="shared" si="113"/>
        <v>0</v>
      </c>
      <c r="K369" s="2">
        <v>0</v>
      </c>
      <c r="L369" s="4">
        <f t="shared" si="114"/>
        <v>0</v>
      </c>
      <c r="M369" s="2">
        <v>27627</v>
      </c>
      <c r="N369" s="2">
        <f t="shared" si="115"/>
        <v>0.12958415541771348</v>
      </c>
      <c r="O369" s="2">
        <v>0.36442624499999998</v>
      </c>
      <c r="P369" s="2">
        <f t="shared" si="110"/>
        <v>0.3435310880760602</v>
      </c>
      <c r="Q369" s="2">
        <v>0.19570000000000001</v>
      </c>
      <c r="R369" s="2">
        <f t="shared" si="116"/>
        <v>0.40735379270411126</v>
      </c>
      <c r="S369" s="2">
        <f t="shared" si="117"/>
        <v>1.7674646953839779E-3</v>
      </c>
      <c r="T369" s="5">
        <f t="shared" si="118"/>
        <v>2.7640962321246361E-3</v>
      </c>
      <c r="U369" s="2" t="str">
        <f t="shared" si="119"/>
        <v>No Impact</v>
      </c>
      <c r="V369" s="2">
        <f t="shared" si="120"/>
        <v>1.9176932857862719E-3</v>
      </c>
      <c r="W369" s="2">
        <f t="shared" si="121"/>
        <v>2.8062537628273636E-3</v>
      </c>
      <c r="X369" s="2" t="s">
        <v>1170</v>
      </c>
      <c r="Y369" s="2">
        <f t="shared" si="122"/>
        <v>1.6172361049816837E-3</v>
      </c>
      <c r="Z369" s="2">
        <f t="shared" si="123"/>
        <v>2.7157192454278483E-3</v>
      </c>
      <c r="AA369" s="2" t="str">
        <f t="shared" si="124"/>
        <v>No Impact</v>
      </c>
      <c r="AB369" s="2">
        <f t="shared" si="125"/>
        <v>1.3698779601715987E-3</v>
      </c>
      <c r="AC369" s="2">
        <f t="shared" si="126"/>
        <v>2.961498194500548E-3</v>
      </c>
      <c r="AD369" s="2" t="str">
        <f t="shared" si="127"/>
        <v>No Impact</v>
      </c>
      <c r="AE369" s="2">
        <f t="shared" si="128"/>
        <v>6.1004136757685293E-4</v>
      </c>
      <c r="AF369" s="2">
        <f t="shared" si="129"/>
        <v>4.1565137039006467E-3</v>
      </c>
      <c r="AG369" s="2" t="s">
        <v>1170</v>
      </c>
    </row>
    <row r="370" spans="1:33" x14ac:dyDescent="0.3">
      <c r="A370" s="2">
        <v>457247</v>
      </c>
      <c r="B370" s="2" t="s">
        <v>763</v>
      </c>
      <c r="C370" s="2" t="s">
        <v>754</v>
      </c>
      <c r="D370" s="2" t="s">
        <v>764</v>
      </c>
      <c r="E370" s="3">
        <v>5.7</v>
      </c>
      <c r="F370" s="4">
        <f t="shared" si="111"/>
        <v>0.55555555555555558</v>
      </c>
      <c r="G370" s="2">
        <v>48.405499200000001</v>
      </c>
      <c r="H370" s="2">
        <f t="shared" si="112"/>
        <v>9.0922843696213479E-2</v>
      </c>
      <c r="I370" s="2">
        <v>0</v>
      </c>
      <c r="J370" s="4">
        <f t="shared" si="113"/>
        <v>0</v>
      </c>
      <c r="K370" s="2">
        <v>0</v>
      </c>
      <c r="L370" s="4">
        <f t="shared" si="114"/>
        <v>0</v>
      </c>
      <c r="M370" s="2">
        <v>54514</v>
      </c>
      <c r="N370" s="2">
        <f t="shared" si="115"/>
        <v>0.25679786896802981</v>
      </c>
      <c r="O370" s="2">
        <v>0.42756501099999999</v>
      </c>
      <c r="P370" s="2">
        <f t="shared" si="110"/>
        <v>0.41646836769076345</v>
      </c>
      <c r="Q370" s="2">
        <v>0.21210000000000001</v>
      </c>
      <c r="R370" s="2">
        <f t="shared" si="116"/>
        <v>0.45483497394325428</v>
      </c>
      <c r="S370" s="2">
        <f t="shared" si="117"/>
        <v>7.702078372272889E-3</v>
      </c>
      <c r="T370" s="5">
        <f t="shared" si="118"/>
        <v>1.204509819286834E-2</v>
      </c>
      <c r="U370" s="2" t="str">
        <f t="shared" si="119"/>
        <v>No Impact</v>
      </c>
      <c r="V370" s="2">
        <f t="shared" si="120"/>
        <v>8.0412284639971368E-3</v>
      </c>
      <c r="W370" s="2">
        <f t="shared" si="121"/>
        <v>1.1767120322160544E-2</v>
      </c>
      <c r="X370" s="2" t="s">
        <v>1170</v>
      </c>
      <c r="Y370" s="2">
        <f t="shared" si="122"/>
        <v>7.3629282805486428E-3</v>
      </c>
      <c r="Z370" s="2">
        <f t="shared" si="123"/>
        <v>1.2364085845348715E-2</v>
      </c>
      <c r="AA370" s="2" t="str">
        <f t="shared" si="124"/>
        <v>No Impact</v>
      </c>
      <c r="AB370" s="2">
        <f t="shared" si="125"/>
        <v>6.6123234918182335E-3</v>
      </c>
      <c r="AC370" s="2">
        <f t="shared" si="126"/>
        <v>1.42949844086989E-2</v>
      </c>
      <c r="AD370" s="2" t="str">
        <f t="shared" si="127"/>
        <v>No Impact</v>
      </c>
      <c r="AE370" s="2">
        <f t="shared" si="128"/>
        <v>4.5400429864418381E-3</v>
      </c>
      <c r="AF370" s="2">
        <f t="shared" si="129"/>
        <v>3.0933559414831294E-2</v>
      </c>
      <c r="AG370" s="2" t="s">
        <v>1170</v>
      </c>
    </row>
    <row r="371" spans="1:33" x14ac:dyDescent="0.3">
      <c r="A371" s="2">
        <v>457256</v>
      </c>
      <c r="B371" s="2" t="s">
        <v>765</v>
      </c>
      <c r="C371" s="2" t="s">
        <v>754</v>
      </c>
      <c r="D371" s="2" t="s">
        <v>766</v>
      </c>
      <c r="E371" s="3">
        <v>5.8</v>
      </c>
      <c r="F371" s="4">
        <f t="shared" si="111"/>
        <v>0.57777777777777772</v>
      </c>
      <c r="G371" s="2">
        <v>48.405499200000001</v>
      </c>
      <c r="H371" s="2">
        <f t="shared" si="112"/>
        <v>9.0922843696213479E-2</v>
      </c>
      <c r="I371" s="2">
        <v>0</v>
      </c>
      <c r="J371" s="4">
        <f t="shared" si="113"/>
        <v>0</v>
      </c>
      <c r="K371" s="2">
        <v>0</v>
      </c>
      <c r="L371" s="4">
        <f t="shared" si="114"/>
        <v>0</v>
      </c>
      <c r="M371" s="2">
        <v>20648</v>
      </c>
      <c r="N371" s="2">
        <f t="shared" si="115"/>
        <v>9.6563569005408009E-2</v>
      </c>
      <c r="O371" s="2">
        <v>0.25438529300000001</v>
      </c>
      <c r="P371" s="2">
        <f t="shared" si="110"/>
        <v>0.21641286588761677</v>
      </c>
      <c r="Q371" s="2">
        <v>0.1691</v>
      </c>
      <c r="R371" s="2">
        <f t="shared" si="116"/>
        <v>0.3303416328894036</v>
      </c>
      <c r="S371" s="2">
        <f t="shared" si="117"/>
        <v>5.0264834652865714E-3</v>
      </c>
      <c r="T371" s="5">
        <f t="shared" si="118"/>
        <v>7.8607986023828472E-3</v>
      </c>
      <c r="U371" s="2" t="str">
        <f t="shared" si="119"/>
        <v>No Impact</v>
      </c>
      <c r="V371" s="2">
        <f t="shared" si="120"/>
        <v>6.0738659099411575E-3</v>
      </c>
      <c r="W371" s="2">
        <f t="shared" si="121"/>
        <v>8.8881831057215678E-3</v>
      </c>
      <c r="X371" s="2" t="s">
        <v>1170</v>
      </c>
      <c r="Y371" s="2">
        <f t="shared" si="122"/>
        <v>3.9791010206319871E-3</v>
      </c>
      <c r="Z371" s="2">
        <f t="shared" si="123"/>
        <v>6.6818451479935684E-3</v>
      </c>
      <c r="AA371" s="2" t="str">
        <f t="shared" si="124"/>
        <v>No Impact</v>
      </c>
      <c r="AB371" s="2">
        <f t="shared" si="125"/>
        <v>3.9410005350733511E-3</v>
      </c>
      <c r="AC371" s="2">
        <f t="shared" si="126"/>
        <v>8.5199311971435859E-3</v>
      </c>
      <c r="AD371" s="2" t="str">
        <f t="shared" si="127"/>
        <v>No Impact</v>
      </c>
      <c r="AE371" s="2">
        <f t="shared" si="128"/>
        <v>1.7754776011552854E-3</v>
      </c>
      <c r="AF371" s="2">
        <f t="shared" si="129"/>
        <v>1.2097207455756489E-2</v>
      </c>
      <c r="AG371" s="2" t="s">
        <v>1170</v>
      </c>
    </row>
    <row r="372" spans="1:33" x14ac:dyDescent="0.3">
      <c r="A372" s="2">
        <v>457263</v>
      </c>
      <c r="B372" s="2" t="s">
        <v>767</v>
      </c>
      <c r="C372" s="2" t="s">
        <v>754</v>
      </c>
      <c r="D372" s="2" t="s">
        <v>1158</v>
      </c>
      <c r="E372" s="3">
        <v>5.8</v>
      </c>
      <c r="F372" s="4">
        <f t="shared" si="111"/>
        <v>0.57777777777777772</v>
      </c>
      <c r="G372" s="2">
        <v>46.443783600000003</v>
      </c>
      <c r="H372" s="2">
        <f t="shared" si="112"/>
        <v>7.5084994007919945E-2</v>
      </c>
      <c r="I372" s="2">
        <v>0</v>
      </c>
      <c r="J372" s="4">
        <f t="shared" si="113"/>
        <v>0</v>
      </c>
      <c r="K372" s="2">
        <v>0</v>
      </c>
      <c r="L372" s="4">
        <f t="shared" si="114"/>
        <v>0</v>
      </c>
      <c r="M372" s="2">
        <v>14378</v>
      </c>
      <c r="N372" s="2">
        <f t="shared" si="115"/>
        <v>6.6897560006245471E-2</v>
      </c>
      <c r="O372" s="2">
        <v>0.27473238</v>
      </c>
      <c r="P372" s="2">
        <f t="shared" si="110"/>
        <v>0.23991762006453071</v>
      </c>
      <c r="Q372" s="2">
        <v>0.17399999999999999</v>
      </c>
      <c r="R372" s="2">
        <f t="shared" si="116"/>
        <v>0.34452808338158658</v>
      </c>
      <c r="S372" s="2">
        <f t="shared" si="117"/>
        <v>4.4370692164997444E-3</v>
      </c>
      <c r="T372" s="5">
        <f t="shared" si="118"/>
        <v>6.9390275998348714E-3</v>
      </c>
      <c r="U372" s="2" t="str">
        <f t="shared" si="119"/>
        <v>No Impact</v>
      </c>
      <c r="V372" s="2">
        <f t="shared" si="120"/>
        <v>5.2312642354227943E-3</v>
      </c>
      <c r="W372" s="2">
        <f t="shared" si="121"/>
        <v>7.6551631346930375E-3</v>
      </c>
      <c r="X372" s="2" t="s">
        <v>1170</v>
      </c>
      <c r="Y372" s="2">
        <f t="shared" si="122"/>
        <v>3.642874197576695E-3</v>
      </c>
      <c r="Z372" s="2">
        <f t="shared" si="123"/>
        <v>6.117241345625044E-3</v>
      </c>
      <c r="AA372" s="2" t="str">
        <f t="shared" si="124"/>
        <v>No Impact</v>
      </c>
      <c r="AB372" s="2">
        <f t="shared" si="125"/>
        <v>3.2793217241532014E-3</v>
      </c>
      <c r="AC372" s="2">
        <f t="shared" si="126"/>
        <v>7.0894675639935007E-3</v>
      </c>
      <c r="AD372" s="2" t="str">
        <f t="shared" si="127"/>
        <v>No Impact</v>
      </c>
      <c r="AE372" s="2">
        <f t="shared" si="128"/>
        <v>1.0157628070920442E-3</v>
      </c>
      <c r="AF372" s="2">
        <f t="shared" si="129"/>
        <v>6.9208946343442502E-3</v>
      </c>
      <c r="AG372" s="2" t="s">
        <v>1170</v>
      </c>
    </row>
    <row r="373" spans="1:33" x14ac:dyDescent="0.3">
      <c r="A373" s="2">
        <v>457274</v>
      </c>
      <c r="B373" s="2" t="s">
        <v>768</v>
      </c>
      <c r="C373" s="2" t="s">
        <v>754</v>
      </c>
      <c r="D373" s="2" t="s">
        <v>769</v>
      </c>
      <c r="E373" s="3">
        <v>5.8</v>
      </c>
      <c r="F373" s="4">
        <f t="shared" si="111"/>
        <v>0.57777777777777772</v>
      </c>
      <c r="G373" s="2">
        <v>45.012924000000005</v>
      </c>
      <c r="H373" s="2">
        <f t="shared" si="112"/>
        <v>6.3532993672166999E-2</v>
      </c>
      <c r="I373" s="2">
        <v>0</v>
      </c>
      <c r="J373" s="4">
        <f t="shared" si="113"/>
        <v>0</v>
      </c>
      <c r="K373" s="2">
        <v>0</v>
      </c>
      <c r="L373" s="4">
        <f t="shared" si="114"/>
        <v>0</v>
      </c>
      <c r="M373" s="2">
        <v>65362</v>
      </c>
      <c r="N373" s="2">
        <f t="shared" si="115"/>
        <v>0.30812432281538471</v>
      </c>
      <c r="O373" s="2">
        <v>0.54663404500000001</v>
      </c>
      <c r="P373" s="2">
        <f t="shared" si="110"/>
        <v>0.55401574114292451</v>
      </c>
      <c r="Q373" s="2">
        <v>0.19600000000000001</v>
      </c>
      <c r="R373" s="2">
        <f t="shared" si="116"/>
        <v>0.40822235089751019</v>
      </c>
      <c r="S373" s="2">
        <f t="shared" si="117"/>
        <v>6.1813131797308777E-3</v>
      </c>
      <c r="T373" s="5">
        <f t="shared" si="118"/>
        <v>9.6668094781744048E-3</v>
      </c>
      <c r="U373" s="2" t="str">
        <f t="shared" si="119"/>
        <v>No Impact</v>
      </c>
      <c r="V373" s="2">
        <f t="shared" si="120"/>
        <v>5.2447522473626374E-3</v>
      </c>
      <c r="W373" s="2">
        <f t="shared" si="121"/>
        <v>7.6749007979261472E-3</v>
      </c>
      <c r="X373" s="2" t="s">
        <v>1170</v>
      </c>
      <c r="Y373" s="2">
        <f t="shared" si="122"/>
        <v>7.1178741120991196E-3</v>
      </c>
      <c r="Z373" s="2">
        <f t="shared" si="123"/>
        <v>1.1952582342934498E-2</v>
      </c>
      <c r="AA373" s="2" t="str">
        <f t="shared" si="124"/>
        <v>No Impact</v>
      </c>
      <c r="AB373" s="2">
        <f t="shared" si="125"/>
        <v>5.3565755907748975E-3</v>
      </c>
      <c r="AC373" s="2">
        <f t="shared" si="126"/>
        <v>1.1580220575852182E-2</v>
      </c>
      <c r="AD373" s="2" t="str">
        <f t="shared" si="127"/>
        <v>No Impact</v>
      </c>
      <c r="AE373" s="2">
        <f t="shared" si="128"/>
        <v>3.9587144873378267E-3</v>
      </c>
      <c r="AF373" s="2">
        <f t="shared" si="129"/>
        <v>2.6972680691816804E-2</v>
      </c>
      <c r="AG373" s="2" t="s">
        <v>1170</v>
      </c>
    </row>
    <row r="374" spans="1:33" x14ac:dyDescent="0.3">
      <c r="A374" s="2">
        <v>457283</v>
      </c>
      <c r="B374" s="2" t="s">
        <v>770</v>
      </c>
      <c r="C374" s="2" t="s">
        <v>754</v>
      </c>
      <c r="D374" s="2" t="s">
        <v>771</v>
      </c>
      <c r="E374" s="3">
        <v>5.3</v>
      </c>
      <c r="F374" s="4">
        <f t="shared" si="111"/>
        <v>0.46666666666666656</v>
      </c>
      <c r="G374" s="2">
        <v>48.210757199999996</v>
      </c>
      <c r="H374" s="2">
        <f t="shared" si="112"/>
        <v>8.9350600235439781E-2</v>
      </c>
      <c r="I374" s="2">
        <v>0</v>
      </c>
      <c r="J374" s="4">
        <f t="shared" si="113"/>
        <v>0</v>
      </c>
      <c r="K374" s="2">
        <v>0</v>
      </c>
      <c r="L374" s="4">
        <f t="shared" si="114"/>
        <v>0</v>
      </c>
      <c r="M374" s="2">
        <v>51043</v>
      </c>
      <c r="N374" s="2">
        <f t="shared" si="115"/>
        <v>0.24037510704839771</v>
      </c>
      <c r="O374" s="2">
        <v>0.39175342299999999</v>
      </c>
      <c r="P374" s="2">
        <f t="shared" si="110"/>
        <v>0.3750991745170712</v>
      </c>
      <c r="Q374" s="2">
        <v>0.1948</v>
      </c>
      <c r="R374" s="2">
        <f t="shared" si="116"/>
        <v>0.40474811812391437</v>
      </c>
      <c r="S374" s="2">
        <f t="shared" si="117"/>
        <v>5.6905189346388007E-3</v>
      </c>
      <c r="T374" s="5">
        <f t="shared" si="118"/>
        <v>8.8992679667934671E-3</v>
      </c>
      <c r="U374" s="2" t="str">
        <f t="shared" si="119"/>
        <v>No Impact</v>
      </c>
      <c r="V374" s="2">
        <f t="shared" si="120"/>
        <v>5.9068662587609486E-3</v>
      </c>
      <c r="W374" s="2">
        <f t="shared" si="121"/>
        <v>8.6438044018960648E-3</v>
      </c>
      <c r="X374" s="2" t="s">
        <v>1170</v>
      </c>
      <c r="Y374" s="2">
        <f t="shared" si="122"/>
        <v>5.4741716105166519E-3</v>
      </c>
      <c r="Z374" s="2">
        <f t="shared" si="123"/>
        <v>9.1924198016981578E-3</v>
      </c>
      <c r="AA374" s="2" t="str">
        <f t="shared" si="124"/>
        <v>No Impact</v>
      </c>
      <c r="AB374" s="2">
        <f t="shared" si="125"/>
        <v>4.9374609092340477E-3</v>
      </c>
      <c r="AC374" s="2">
        <f t="shared" si="126"/>
        <v>1.0674149079880076E-2</v>
      </c>
      <c r="AD374" s="2" t="str">
        <f t="shared" si="127"/>
        <v>No Impact</v>
      </c>
      <c r="AE374" s="2">
        <f t="shared" si="128"/>
        <v>3.5080178157506281E-3</v>
      </c>
      <c r="AF374" s="2">
        <f t="shared" si="129"/>
        <v>2.3901861250185088E-2</v>
      </c>
      <c r="AG374" s="2" t="s">
        <v>1170</v>
      </c>
    </row>
    <row r="375" spans="1:33" x14ac:dyDescent="0.3">
      <c r="A375" s="2">
        <v>458937</v>
      </c>
      <c r="B375" s="2" t="s">
        <v>772</v>
      </c>
      <c r="C375" s="2" t="s">
        <v>773</v>
      </c>
      <c r="D375" s="2" t="s">
        <v>774</v>
      </c>
      <c r="E375" s="3">
        <v>4.7</v>
      </c>
      <c r="F375" s="4">
        <f t="shared" si="111"/>
        <v>0.33333333333333331</v>
      </c>
      <c r="G375" s="2">
        <v>37.322866800000007</v>
      </c>
      <c r="H375" s="2">
        <f t="shared" si="112"/>
        <v>1.4475568086484163E-3</v>
      </c>
      <c r="I375" s="2">
        <v>0</v>
      </c>
      <c r="J375" s="4">
        <f t="shared" si="113"/>
        <v>0</v>
      </c>
      <c r="K375" s="2">
        <v>0</v>
      </c>
      <c r="L375" s="4">
        <f t="shared" si="114"/>
        <v>0</v>
      </c>
      <c r="M375" s="2">
        <v>16994</v>
      </c>
      <c r="N375" s="2">
        <f t="shared" si="115"/>
        <v>7.9274957062355392E-2</v>
      </c>
      <c r="O375" s="2">
        <v>0.417449071</v>
      </c>
      <c r="P375" s="2">
        <f t="shared" si="110"/>
        <v>0.40478253359724375</v>
      </c>
      <c r="Q375" s="2">
        <v>0.2291</v>
      </c>
      <c r="R375" s="2">
        <f t="shared" si="116"/>
        <v>0.50405327156919522</v>
      </c>
      <c r="S375" s="2">
        <f t="shared" si="117"/>
        <v>7.6742835033208397E-5</v>
      </c>
      <c r="T375" s="5">
        <f t="shared" si="118"/>
        <v>1.2001630454732804E-4</v>
      </c>
      <c r="U375" s="2" t="str">
        <f t="shared" si="119"/>
        <v>No Impact</v>
      </c>
      <c r="V375" s="2">
        <f t="shared" si="120"/>
        <v>8.5125336937841379E-5</v>
      </c>
      <c r="W375" s="2">
        <f t="shared" si="121"/>
        <v>1.2456804164896485E-4</v>
      </c>
      <c r="X375" s="2" t="s">
        <v>1170</v>
      </c>
      <c r="Y375" s="2">
        <f t="shared" si="122"/>
        <v>6.8360333128575414E-5</v>
      </c>
      <c r="Z375" s="2">
        <f t="shared" si="123"/>
        <v>1.1479305447687475E-4</v>
      </c>
      <c r="AA375" s="2" t="str">
        <f t="shared" si="124"/>
        <v>No Impact</v>
      </c>
      <c r="AB375" s="2">
        <f t="shared" si="125"/>
        <v>5.4987797190729811E-5</v>
      </c>
      <c r="AC375" s="2">
        <f t="shared" si="126"/>
        <v>1.1887647428060641E-4</v>
      </c>
      <c r="AD375" s="2" t="str">
        <f t="shared" si="127"/>
        <v>No Impact</v>
      </c>
      <c r="AE375" s="2">
        <f t="shared" si="128"/>
        <v>1.3388083782607726E-5</v>
      </c>
      <c r="AF375" s="2">
        <f t="shared" si="129"/>
        <v>9.1219639632665595E-5</v>
      </c>
      <c r="AG375" s="2" t="s">
        <v>1170</v>
      </c>
    </row>
    <row r="376" spans="1:33" x14ac:dyDescent="0.3">
      <c r="A376" s="2">
        <v>458967</v>
      </c>
      <c r="B376" s="2" t="s">
        <v>775</v>
      </c>
      <c r="C376" s="2" t="s">
        <v>773</v>
      </c>
      <c r="D376" s="2" t="s">
        <v>776</v>
      </c>
      <c r="E376" s="3">
        <v>5.8</v>
      </c>
      <c r="F376" s="4">
        <f t="shared" si="111"/>
        <v>0.57777777777777772</v>
      </c>
      <c r="G376" s="2">
        <v>45.4896648</v>
      </c>
      <c r="H376" s="2">
        <f t="shared" si="112"/>
        <v>6.7381945645978464E-2</v>
      </c>
      <c r="I376" s="2">
        <v>0</v>
      </c>
      <c r="J376" s="4">
        <f t="shared" si="113"/>
        <v>0</v>
      </c>
      <c r="K376" s="2">
        <v>0</v>
      </c>
      <c r="L376" s="4">
        <f t="shared" si="114"/>
        <v>0</v>
      </c>
      <c r="M376" s="2">
        <v>17930</v>
      </c>
      <c r="N376" s="2">
        <f t="shared" si="115"/>
        <v>8.3703567018211245E-2</v>
      </c>
      <c r="O376" s="2">
        <v>0.85863824200000005</v>
      </c>
      <c r="P376" s="2">
        <f t="shared" si="110"/>
        <v>0.91443991157333737</v>
      </c>
      <c r="Q376" s="2">
        <v>0.21820000000000001</v>
      </c>
      <c r="R376" s="2">
        <f t="shared" si="116"/>
        <v>0.47249565720903308</v>
      </c>
      <c r="S376" s="2">
        <f t="shared" si="117"/>
        <v>9.4492799522503078E-3</v>
      </c>
      <c r="T376" s="5">
        <f t="shared" si="118"/>
        <v>1.4777505418082313E-2</v>
      </c>
      <c r="U376" s="2" t="str">
        <f t="shared" si="119"/>
        <v>No Impact</v>
      </c>
      <c r="V376" s="2">
        <f t="shared" si="120"/>
        <v>6.4382857310529189E-3</v>
      </c>
      <c r="W376" s="2">
        <f t="shared" si="121"/>
        <v>9.4214563365471408E-3</v>
      </c>
      <c r="X376" s="2" t="s">
        <v>1170</v>
      </c>
      <c r="Y376" s="2">
        <f t="shared" si="122"/>
        <v>1.2460274173447698E-2</v>
      </c>
      <c r="Z376" s="2">
        <f t="shared" si="123"/>
        <v>2.0923726765624449E-2</v>
      </c>
      <c r="AA376" s="2" t="str">
        <f t="shared" si="124"/>
        <v>No Impact</v>
      </c>
      <c r="AB376" s="2">
        <f t="shared" si="125"/>
        <v>6.3906766537290098E-3</v>
      </c>
      <c r="AC376" s="2">
        <f t="shared" si="126"/>
        <v>1.3815812738008056E-2</v>
      </c>
      <c r="AD376" s="2" t="str">
        <f t="shared" si="127"/>
        <v>No Impact</v>
      </c>
      <c r="AE376" s="2">
        <f t="shared" si="128"/>
        <v>1.1405554166462263E-3</v>
      </c>
      <c r="AF376" s="2">
        <f t="shared" si="129"/>
        <v>7.7711684343290278E-3</v>
      </c>
      <c r="AG376" s="2" t="s">
        <v>1170</v>
      </c>
    </row>
    <row r="377" spans="1:33" x14ac:dyDescent="0.3">
      <c r="A377" s="2">
        <v>458970</v>
      </c>
      <c r="B377" s="2" t="s">
        <v>777</v>
      </c>
      <c r="C377" s="2" t="s">
        <v>773</v>
      </c>
      <c r="D377" s="2" t="s">
        <v>778</v>
      </c>
      <c r="E377" s="3">
        <v>5.8</v>
      </c>
      <c r="F377" s="4">
        <f t="shared" si="111"/>
        <v>0.57777777777777772</v>
      </c>
      <c r="G377" s="2">
        <v>45.4896648</v>
      </c>
      <c r="H377" s="2">
        <f t="shared" si="112"/>
        <v>6.7381945645978464E-2</v>
      </c>
      <c r="I377" s="2">
        <v>0</v>
      </c>
      <c r="J377" s="4">
        <f t="shared" si="113"/>
        <v>0</v>
      </c>
      <c r="K377" s="2">
        <v>0</v>
      </c>
      <c r="L377" s="4">
        <f t="shared" si="114"/>
        <v>0</v>
      </c>
      <c r="M377" s="2">
        <v>28699</v>
      </c>
      <c r="N377" s="2">
        <f t="shared" si="115"/>
        <v>0.13465623861501846</v>
      </c>
      <c r="O377" s="2">
        <v>0.61534026100000005</v>
      </c>
      <c r="P377" s="2">
        <f t="shared" si="110"/>
        <v>0.63338448407433057</v>
      </c>
      <c r="Q377" s="2">
        <v>0.20699999999999999</v>
      </c>
      <c r="R377" s="2">
        <f t="shared" si="116"/>
        <v>0.44006948465547191</v>
      </c>
      <c r="S377" s="2">
        <f t="shared" si="117"/>
        <v>7.3135099385238187E-3</v>
      </c>
      <c r="T377" s="5">
        <f t="shared" si="118"/>
        <v>1.143742520994913E-2</v>
      </c>
      <c r="U377" s="2" t="str">
        <f t="shared" si="119"/>
        <v>No Impact</v>
      </c>
      <c r="V377" s="2">
        <f t="shared" si="120"/>
        <v>5.9964425926473256E-3</v>
      </c>
      <c r="W377" s="2">
        <f t="shared" si="121"/>
        <v>8.7748858036468449E-3</v>
      </c>
      <c r="X377" s="2" t="s">
        <v>1170</v>
      </c>
      <c r="Y377" s="2">
        <f t="shared" si="122"/>
        <v>8.6305772844003127E-3</v>
      </c>
      <c r="Z377" s="2">
        <f t="shared" si="123"/>
        <v>1.4492766243716652E-2</v>
      </c>
      <c r="AA377" s="2" t="str">
        <f t="shared" si="124"/>
        <v>No Impact</v>
      </c>
      <c r="AB377" s="2">
        <f t="shared" si="125"/>
        <v>5.3301231357183983E-3</v>
      </c>
      <c r="AC377" s="2">
        <f t="shared" si="126"/>
        <v>1.1523033804353124E-2</v>
      </c>
      <c r="AD377" s="2" t="str">
        <f t="shared" si="127"/>
        <v>No Impact</v>
      </c>
      <c r="AE377" s="2">
        <f t="shared" si="128"/>
        <v>1.8348429799192581E-3</v>
      </c>
      <c r="AF377" s="2">
        <f t="shared" si="129"/>
        <v>1.2501693157029228E-2</v>
      </c>
      <c r="AG377" s="2" t="s">
        <v>1170</v>
      </c>
    </row>
    <row r="378" spans="1:33" x14ac:dyDescent="0.3">
      <c r="A378" s="2">
        <v>458988</v>
      </c>
      <c r="B378" s="2" t="s">
        <v>779</v>
      </c>
      <c r="C378" s="2" t="s">
        <v>773</v>
      </c>
      <c r="D378" s="2" t="s">
        <v>780</v>
      </c>
      <c r="E378" s="3">
        <v>5.8</v>
      </c>
      <c r="F378" s="4">
        <f t="shared" si="111"/>
        <v>0.57777777777777772</v>
      </c>
      <c r="G378" s="2">
        <v>45.4896648</v>
      </c>
      <c r="H378" s="2">
        <f t="shared" si="112"/>
        <v>6.7381945645978464E-2</v>
      </c>
      <c r="I378" s="2">
        <v>0</v>
      </c>
      <c r="J378" s="4">
        <f t="shared" si="113"/>
        <v>0</v>
      </c>
      <c r="K378" s="2">
        <v>0</v>
      </c>
      <c r="L378" s="4">
        <f t="shared" si="114"/>
        <v>0</v>
      </c>
      <c r="M378" s="2">
        <v>54612</v>
      </c>
      <c r="N378" s="2">
        <f t="shared" si="115"/>
        <v>0.25726154821554459</v>
      </c>
      <c r="O378" s="2">
        <v>0.69571266600000004</v>
      </c>
      <c r="P378" s="2">
        <f t="shared" si="110"/>
        <v>0.72622989345073752</v>
      </c>
      <c r="Q378" s="2">
        <v>0.22919999999999999</v>
      </c>
      <c r="R378" s="2">
        <f t="shared" si="116"/>
        <v>0.50434279096699475</v>
      </c>
      <c r="S378" s="2">
        <f t="shared" si="117"/>
        <v>8.383969708747099E-3</v>
      </c>
      <c r="T378" s="5">
        <f t="shared" si="118"/>
        <v>1.3111491925534851E-2</v>
      </c>
      <c r="U378" s="2" t="str">
        <f t="shared" si="119"/>
        <v>No Impact</v>
      </c>
      <c r="V378" s="2">
        <f t="shared" si="120"/>
        <v>6.8722388134155529E-3</v>
      </c>
      <c r="W378" s="2">
        <f t="shared" si="121"/>
        <v>1.0056480967074214E-2</v>
      </c>
      <c r="X378" s="2" t="s">
        <v>1170</v>
      </c>
      <c r="Y378" s="2">
        <f t="shared" si="122"/>
        <v>9.8957006040786451E-3</v>
      </c>
      <c r="Z378" s="2">
        <f t="shared" si="123"/>
        <v>1.6617205425173663E-2</v>
      </c>
      <c r="AA378" s="2" t="str">
        <f t="shared" si="124"/>
        <v>No Impact</v>
      </c>
      <c r="AB378" s="2">
        <f t="shared" si="125"/>
        <v>6.600911231537534E-3</v>
      </c>
      <c r="AC378" s="2">
        <f t="shared" si="126"/>
        <v>1.4270312584493313E-2</v>
      </c>
      <c r="AD378" s="2" t="str">
        <f t="shared" si="127"/>
        <v>No Impact</v>
      </c>
      <c r="AE378" s="2">
        <f t="shared" si="128"/>
        <v>3.5054784731957068E-3</v>
      </c>
      <c r="AF378" s="2">
        <f t="shared" si="129"/>
        <v>2.3884559452816239E-2</v>
      </c>
      <c r="AG378" s="2" t="s">
        <v>1170</v>
      </c>
    </row>
    <row r="379" spans="1:33" x14ac:dyDescent="0.3">
      <c r="A379" s="2">
        <v>458990</v>
      </c>
      <c r="B379" s="2" t="s">
        <v>781</v>
      </c>
      <c r="C379" s="2" t="s">
        <v>773</v>
      </c>
      <c r="D379" s="2" t="s">
        <v>782</v>
      </c>
      <c r="E379" s="3">
        <v>5.8</v>
      </c>
      <c r="F379" s="4">
        <f t="shared" si="111"/>
        <v>0.57777777777777772</v>
      </c>
      <c r="G379" s="2">
        <v>37.322866800000007</v>
      </c>
      <c r="H379" s="2">
        <f t="shared" si="112"/>
        <v>1.4475568086484163E-3</v>
      </c>
      <c r="I379" s="2">
        <v>0</v>
      </c>
      <c r="J379" s="4">
        <f t="shared" si="113"/>
        <v>0</v>
      </c>
      <c r="K379" s="2">
        <v>0</v>
      </c>
      <c r="L379" s="4">
        <f t="shared" si="114"/>
        <v>0</v>
      </c>
      <c r="M379" s="2">
        <v>22103</v>
      </c>
      <c r="N379" s="2">
        <f t="shared" si="115"/>
        <v>0.1034477864047352</v>
      </c>
      <c r="O379" s="2">
        <v>0.70139331699999996</v>
      </c>
      <c r="P379" s="2">
        <f t="shared" si="110"/>
        <v>0.73279212544590422</v>
      </c>
      <c r="Q379" s="2">
        <v>0.24909999999999999</v>
      </c>
      <c r="R379" s="2">
        <f t="shared" si="116"/>
        <v>0.5619571511291257</v>
      </c>
      <c r="S379" s="2">
        <f t="shared" si="117"/>
        <v>1.8950478322521155E-4</v>
      </c>
      <c r="T379" s="5">
        <f t="shared" si="118"/>
        <v>2.9636204822105756E-4</v>
      </c>
      <c r="U379" s="2" t="str">
        <f t="shared" si="119"/>
        <v>No Impact</v>
      </c>
      <c r="V379" s="2">
        <f t="shared" si="120"/>
        <v>1.6450067983553906E-4</v>
      </c>
      <c r="W379" s="2">
        <f t="shared" si="121"/>
        <v>2.4072183763571353E-4</v>
      </c>
      <c r="X379" s="2" t="s">
        <v>1170</v>
      </c>
      <c r="Y379" s="2">
        <f t="shared" si="122"/>
        <v>2.1450888661488402E-4</v>
      </c>
      <c r="Z379" s="2">
        <f t="shared" si="123"/>
        <v>3.6021080032834068E-4</v>
      </c>
      <c r="AA379" s="2" t="str">
        <f t="shared" si="124"/>
        <v>No Impact</v>
      </c>
      <c r="AB379" s="2">
        <f t="shared" si="125"/>
        <v>1.3252663179237173E-4</v>
      </c>
      <c r="AC379" s="2">
        <f t="shared" si="126"/>
        <v>2.8650536192814126E-4</v>
      </c>
      <c r="AD379" s="2" t="str">
        <f t="shared" si="127"/>
        <v>No Impact</v>
      </c>
      <c r="AE379" s="2">
        <f t="shared" si="128"/>
        <v>3.0282079615622474E-5</v>
      </c>
      <c r="AF379" s="2">
        <f t="shared" si="129"/>
        <v>2.06326792894235E-4</v>
      </c>
      <c r="AG379" s="2" t="s">
        <v>1170</v>
      </c>
    </row>
    <row r="380" spans="1:33" x14ac:dyDescent="0.3">
      <c r="A380" s="2">
        <v>501006</v>
      </c>
      <c r="B380" s="2" t="s">
        <v>783</v>
      </c>
      <c r="C380" s="2" t="s">
        <v>1167</v>
      </c>
      <c r="D380" s="2" t="s">
        <v>784</v>
      </c>
      <c r="E380" s="3">
        <v>6.2</v>
      </c>
      <c r="F380" s="4">
        <f t="shared" si="111"/>
        <v>0.66666666666666663</v>
      </c>
      <c r="G380" s="2">
        <v>55.586300399999999</v>
      </c>
      <c r="H380" s="2">
        <f t="shared" si="112"/>
        <v>0.14889681813324088</v>
      </c>
      <c r="I380" s="2">
        <v>0</v>
      </c>
      <c r="J380" s="4">
        <f t="shared" si="113"/>
        <v>0</v>
      </c>
      <c r="K380" s="2">
        <v>0</v>
      </c>
      <c r="L380" s="4">
        <f t="shared" si="114"/>
        <v>0</v>
      </c>
      <c r="M380" s="2">
        <v>21874</v>
      </c>
      <c r="N380" s="2">
        <f t="shared" si="115"/>
        <v>0.10236429102023628</v>
      </c>
      <c r="O380" s="2">
        <v>0.76440728400000002</v>
      </c>
      <c r="P380" s="2">
        <f t="shared" si="110"/>
        <v>0.80558523848695873</v>
      </c>
      <c r="Q380" s="2">
        <v>0.2336</v>
      </c>
      <c r="R380" s="2">
        <f t="shared" si="116"/>
        <v>0.51708164447017957</v>
      </c>
      <c r="S380" s="2">
        <f t="shared" si="117"/>
        <v>2.2976437204295121E-2</v>
      </c>
      <c r="T380" s="5">
        <f t="shared" si="118"/>
        <v>3.5932306693256609E-2</v>
      </c>
      <c r="U380" s="2" t="str">
        <f t="shared" si="119"/>
        <v>No Impact</v>
      </c>
      <c r="V380" s="2">
        <f t="shared" si="120"/>
        <v>1.796475603456647E-2</v>
      </c>
      <c r="W380" s="2">
        <f t="shared" si="121"/>
        <v>2.6288700384956336E-2</v>
      </c>
      <c r="X380" s="2" t="s">
        <v>1170</v>
      </c>
      <c r="Y380" s="2">
        <f t="shared" si="122"/>
        <v>2.7988118374023766E-2</v>
      </c>
      <c r="Z380" s="2">
        <f t="shared" si="123"/>
        <v>4.6998624058365281E-2</v>
      </c>
      <c r="AA380" s="2" t="str">
        <f t="shared" si="124"/>
        <v>No Impact</v>
      </c>
      <c r="AB380" s="2">
        <f t="shared" si="125"/>
        <v>1.592884036421462E-2</v>
      </c>
      <c r="AC380" s="2">
        <f t="shared" si="126"/>
        <v>3.4436083615214788E-2</v>
      </c>
      <c r="AD380" s="2" t="str">
        <f t="shared" si="127"/>
        <v>No Impact</v>
      </c>
      <c r="AE380" s="2">
        <f t="shared" si="128"/>
        <v>3.5564006854549276E-3</v>
      </c>
      <c r="AF380" s="2">
        <f t="shared" si="129"/>
        <v>2.4231517682762382E-2</v>
      </c>
      <c r="AG380" s="2" t="s">
        <v>1170</v>
      </c>
    </row>
    <row r="381" spans="1:33" x14ac:dyDescent="0.3">
      <c r="A381" s="2">
        <v>501020</v>
      </c>
      <c r="B381" s="2" t="s">
        <v>785</v>
      </c>
      <c r="C381" s="2" t="s">
        <v>1167</v>
      </c>
      <c r="D381" s="2" t="s">
        <v>786</v>
      </c>
      <c r="E381" s="3">
        <v>6.1</v>
      </c>
      <c r="F381" s="4">
        <f t="shared" si="111"/>
        <v>0.64444444444444438</v>
      </c>
      <c r="G381" s="2">
        <v>53.543721599999998</v>
      </c>
      <c r="H381" s="2">
        <f t="shared" si="112"/>
        <v>0.13240612192279375</v>
      </c>
      <c r="I381" s="2">
        <v>0</v>
      </c>
      <c r="J381" s="4">
        <f t="shared" si="113"/>
        <v>0</v>
      </c>
      <c r="K381" s="2">
        <v>0</v>
      </c>
      <c r="L381" s="4">
        <f t="shared" si="114"/>
        <v>0</v>
      </c>
      <c r="M381" s="2">
        <v>69668</v>
      </c>
      <c r="N381" s="2">
        <f t="shared" si="115"/>
        <v>0.32849782118067877</v>
      </c>
      <c r="O381" s="2">
        <v>0.87982179100000002</v>
      </c>
      <c r="P381" s="2">
        <f t="shared" si="110"/>
        <v>0.93891093840089301</v>
      </c>
      <c r="Q381" s="2">
        <v>0.26250000000000001</v>
      </c>
      <c r="R381" s="2">
        <f t="shared" si="116"/>
        <v>0.60075275043427923</v>
      </c>
      <c r="S381" s="2">
        <f t="shared" si="117"/>
        <v>2.2990979063952029E-2</v>
      </c>
      <c r="T381" s="5">
        <f t="shared" si="118"/>
        <v>3.5955048363622483E-2</v>
      </c>
      <c r="U381" s="2" t="str">
        <f t="shared" si="119"/>
        <v>No Impact</v>
      </c>
      <c r="V381" s="2">
        <f t="shared" si="120"/>
        <v>1.7941442677388151E-2</v>
      </c>
      <c r="W381" s="2">
        <f t="shared" si="121"/>
        <v>2.6254584816637509E-2</v>
      </c>
      <c r="X381" s="2" t="s">
        <v>1170</v>
      </c>
      <c r="Y381" s="2">
        <f t="shared" si="122"/>
        <v>2.8040515450515915E-2</v>
      </c>
      <c r="Z381" s="2">
        <f t="shared" si="123"/>
        <v>4.7086611055808358E-2</v>
      </c>
      <c r="AA381" s="2" t="str">
        <f t="shared" si="124"/>
        <v>No Impact</v>
      </c>
      <c r="AB381" s="2">
        <f t="shared" si="125"/>
        <v>1.8125357858989763E-2</v>
      </c>
      <c r="AC381" s="2">
        <f t="shared" si="126"/>
        <v>3.9184669098078238E-2</v>
      </c>
      <c r="AD381" s="2" t="str">
        <f t="shared" si="127"/>
        <v>No Impact</v>
      </c>
      <c r="AE381" s="2">
        <f t="shared" si="128"/>
        <v>9.8105665335689683E-3</v>
      </c>
      <c r="AF381" s="2">
        <f t="shared" si="129"/>
        <v>6.6844244353103321E-2</v>
      </c>
      <c r="AG381" s="2" t="s">
        <v>1169</v>
      </c>
    </row>
    <row r="382" spans="1:33" x14ac:dyDescent="0.3">
      <c r="A382" s="2">
        <v>501027</v>
      </c>
      <c r="B382" s="2" t="s">
        <v>787</v>
      </c>
      <c r="C382" s="2" t="s">
        <v>1167</v>
      </c>
      <c r="D382" s="2" t="s">
        <v>788</v>
      </c>
      <c r="E382" s="3">
        <v>4.8</v>
      </c>
      <c r="F382" s="4">
        <f t="shared" si="111"/>
        <v>0.35555555555555546</v>
      </c>
      <c r="G382" s="2">
        <v>57.621852000000004</v>
      </c>
      <c r="H382" s="2">
        <f t="shared" si="112"/>
        <v>0.16533078046374663</v>
      </c>
      <c r="I382" s="2">
        <v>0</v>
      </c>
      <c r="J382" s="4">
        <f t="shared" si="113"/>
        <v>0</v>
      </c>
      <c r="K382" s="2">
        <v>0</v>
      </c>
      <c r="L382" s="4">
        <f t="shared" si="114"/>
        <v>0</v>
      </c>
      <c r="M382" s="2">
        <v>18408</v>
      </c>
      <c r="N382" s="2">
        <f t="shared" si="115"/>
        <v>8.5965186205069238E-2</v>
      </c>
      <c r="O382" s="2">
        <v>0.847729446</v>
      </c>
      <c r="P382" s="2">
        <f t="shared" si="110"/>
        <v>0.9018381780501995</v>
      </c>
      <c r="Q382" s="2">
        <v>0.2495</v>
      </c>
      <c r="R382" s="2">
        <f t="shared" si="116"/>
        <v>0.56311522872032427</v>
      </c>
      <c r="S382" s="2">
        <f t="shared" si="117"/>
        <v>1.5070339827473474E-2</v>
      </c>
      <c r="T382" s="5">
        <f t="shared" si="118"/>
        <v>2.3568148004737159E-2</v>
      </c>
      <c r="U382" s="2" t="str">
        <f t="shared" si="119"/>
        <v>No Impact</v>
      </c>
      <c r="V382" s="2">
        <f t="shared" si="120"/>
        <v>1.1585812653999408E-2</v>
      </c>
      <c r="W382" s="2">
        <f t="shared" si="121"/>
        <v>1.695408259322773E-2</v>
      </c>
      <c r="X382" s="2" t="s">
        <v>1170</v>
      </c>
      <c r="Y382" s="2">
        <f t="shared" si="122"/>
        <v>1.855486700094754E-2</v>
      </c>
      <c r="Z382" s="2">
        <f t="shared" si="123"/>
        <v>3.1157979503183324E-2</v>
      </c>
      <c r="AA382" s="2" t="str">
        <f t="shared" si="124"/>
        <v>No Impact</v>
      </c>
      <c r="AB382" s="2">
        <f t="shared" si="125"/>
        <v>1.024053619591452E-2</v>
      </c>
      <c r="AC382" s="2">
        <f t="shared" si="126"/>
        <v>2.213870894829156E-2</v>
      </c>
      <c r="AD382" s="2" t="str">
        <f t="shared" si="127"/>
        <v>No Impact</v>
      </c>
      <c r="AE382" s="2">
        <f t="shared" si="128"/>
        <v>1.7686904763727607E-3</v>
      </c>
      <c r="AF382" s="2">
        <f t="shared" si="129"/>
        <v>1.2050963416142087E-2</v>
      </c>
      <c r="AG382" s="2" t="s">
        <v>1170</v>
      </c>
    </row>
    <row r="383" spans="1:33" x14ac:dyDescent="0.3">
      <c r="A383" s="2">
        <v>501033</v>
      </c>
      <c r="B383" s="2" t="s">
        <v>789</v>
      </c>
      <c r="C383" s="2" t="s">
        <v>1167</v>
      </c>
      <c r="D383" s="2" t="s">
        <v>790</v>
      </c>
      <c r="E383" s="3">
        <v>6.1</v>
      </c>
      <c r="F383" s="4">
        <f t="shared" si="111"/>
        <v>0.64444444444444438</v>
      </c>
      <c r="G383" s="2">
        <v>55.586300399999999</v>
      </c>
      <c r="H383" s="2">
        <f t="shared" si="112"/>
        <v>0.14889681813324088</v>
      </c>
      <c r="I383" s="2">
        <v>0</v>
      </c>
      <c r="J383" s="4">
        <f t="shared" si="113"/>
        <v>0</v>
      </c>
      <c r="K383" s="2">
        <v>0</v>
      </c>
      <c r="L383" s="4">
        <f t="shared" si="114"/>
        <v>0</v>
      </c>
      <c r="M383" s="2">
        <v>19139</v>
      </c>
      <c r="N383" s="2">
        <f t="shared" si="115"/>
        <v>8.9423854877858366E-2</v>
      </c>
      <c r="O383" s="2">
        <v>0.66511355699999997</v>
      </c>
      <c r="P383" s="2">
        <f t="shared" si="110"/>
        <v>0.69088210459636268</v>
      </c>
      <c r="Q383" s="2">
        <v>0.25</v>
      </c>
      <c r="R383" s="2">
        <f t="shared" si="116"/>
        <v>0.56456282570932259</v>
      </c>
      <c r="S383" s="2">
        <f t="shared" si="117"/>
        <v>2.1081747977331689E-2</v>
      </c>
      <c r="T383" s="5">
        <f t="shared" si="118"/>
        <v>3.2969247025375084E-2</v>
      </c>
      <c r="U383" s="2" t="str">
        <f t="shared" si="119"/>
        <v>No Impact</v>
      </c>
      <c r="V383" s="2">
        <f t="shared" si="120"/>
        <v>1.8960562780043554E-2</v>
      </c>
      <c r="W383" s="2">
        <f t="shared" si="121"/>
        <v>2.774591278031505E-2</v>
      </c>
      <c r="X383" s="2" t="s">
        <v>1170</v>
      </c>
      <c r="Y383" s="2">
        <f t="shared" si="122"/>
        <v>2.3202933174619828E-2</v>
      </c>
      <c r="Z383" s="2">
        <f t="shared" si="123"/>
        <v>3.8963174256739098E-2</v>
      </c>
      <c r="AA383" s="2" t="str">
        <f t="shared" si="124"/>
        <v>No Impact</v>
      </c>
      <c r="AB383" s="2">
        <f t="shared" si="125"/>
        <v>1.4648216476274387E-2</v>
      </c>
      <c r="AC383" s="2">
        <f t="shared" si="126"/>
        <v>3.166754113023737E-2</v>
      </c>
      <c r="AD383" s="2" t="str">
        <f t="shared" si="127"/>
        <v>No Impact</v>
      </c>
      <c r="AE383" s="2">
        <f t="shared" si="128"/>
        <v>3.003255859637695E-3</v>
      </c>
      <c r="AF383" s="2">
        <f t="shared" si="129"/>
        <v>2.0462668271969898E-2</v>
      </c>
      <c r="AG383" s="2" t="s">
        <v>1170</v>
      </c>
    </row>
    <row r="384" spans="1:33" x14ac:dyDescent="0.3">
      <c r="A384" s="2">
        <v>501040</v>
      </c>
      <c r="B384" s="2" t="s">
        <v>791</v>
      </c>
      <c r="C384" s="2" t="s">
        <v>1167</v>
      </c>
      <c r="D384" s="2" t="s">
        <v>792</v>
      </c>
      <c r="E384" s="3">
        <v>6.1</v>
      </c>
      <c r="F384" s="4">
        <f t="shared" si="111"/>
        <v>0.64444444444444438</v>
      </c>
      <c r="G384" s="2">
        <v>51.0089544</v>
      </c>
      <c r="H384" s="2">
        <f t="shared" si="112"/>
        <v>0.11194175802192215</v>
      </c>
      <c r="I384" s="2">
        <v>0</v>
      </c>
      <c r="J384" s="4">
        <f t="shared" si="113"/>
        <v>0</v>
      </c>
      <c r="K384" s="2">
        <v>0</v>
      </c>
      <c r="L384" s="4">
        <f t="shared" si="114"/>
        <v>0</v>
      </c>
      <c r="M384" s="2">
        <v>26980</v>
      </c>
      <c r="N384" s="2">
        <f t="shared" si="115"/>
        <v>0.12652292609993707</v>
      </c>
      <c r="O384" s="2">
        <v>0.87153118100000004</v>
      </c>
      <c r="P384" s="2">
        <f t="shared" si="110"/>
        <v>0.9293337075163608</v>
      </c>
      <c r="Q384" s="2">
        <v>0.24379999999999999</v>
      </c>
      <c r="R384" s="2">
        <f t="shared" si="116"/>
        <v>0.54661262304574409</v>
      </c>
      <c r="S384" s="2">
        <f t="shared" si="117"/>
        <v>1.8633147488218215E-2</v>
      </c>
      <c r="T384" s="5">
        <f t="shared" si="118"/>
        <v>2.913993863601191E-2</v>
      </c>
      <c r="U384" s="2" t="str">
        <f t="shared" si="119"/>
        <v>No Impact</v>
      </c>
      <c r="V384" s="2">
        <f t="shared" si="120"/>
        <v>1.3801468811205676E-2</v>
      </c>
      <c r="W384" s="2">
        <f t="shared" si="121"/>
        <v>2.019635990335681E-2</v>
      </c>
      <c r="X384" s="2" t="s">
        <v>1170</v>
      </c>
      <c r="Y384" s="2">
        <f t="shared" si="122"/>
        <v>2.3464826165230754E-2</v>
      </c>
      <c r="Z384" s="2">
        <f t="shared" si="123"/>
        <v>3.9402954096339454E-2</v>
      </c>
      <c r="AA384" s="2" t="str">
        <f t="shared" si="124"/>
        <v>No Impact</v>
      </c>
      <c r="AB384" s="2">
        <f t="shared" si="125"/>
        <v>1.2988067792553345E-2</v>
      </c>
      <c r="AC384" s="2">
        <f t="shared" si="126"/>
        <v>2.8078515339336658E-2</v>
      </c>
      <c r="AD384" s="2" t="str">
        <f t="shared" si="127"/>
        <v>No Impact</v>
      </c>
      <c r="AE384" s="2">
        <f t="shared" si="128"/>
        <v>3.194588168748947E-3</v>
      </c>
      <c r="AF384" s="2">
        <f t="shared" si="129"/>
        <v>2.176630997085794E-2</v>
      </c>
      <c r="AG384" s="2" t="s">
        <v>1170</v>
      </c>
    </row>
    <row r="385" spans="1:33" x14ac:dyDescent="0.3">
      <c r="A385" s="2">
        <v>501054</v>
      </c>
      <c r="B385" s="2" t="s">
        <v>793</v>
      </c>
      <c r="C385" s="2" t="s">
        <v>1167</v>
      </c>
      <c r="D385" s="2" t="s">
        <v>794</v>
      </c>
      <c r="E385" s="3">
        <v>5.9</v>
      </c>
      <c r="F385" s="4">
        <f t="shared" si="111"/>
        <v>0.60000000000000009</v>
      </c>
      <c r="G385" s="2">
        <v>53.543721599999998</v>
      </c>
      <c r="H385" s="2">
        <f t="shared" si="112"/>
        <v>0.13240612192279375</v>
      </c>
      <c r="I385" s="2">
        <v>0</v>
      </c>
      <c r="J385" s="4">
        <f t="shared" si="113"/>
        <v>0</v>
      </c>
      <c r="K385" s="2">
        <v>0</v>
      </c>
      <c r="L385" s="4">
        <f t="shared" si="114"/>
        <v>0</v>
      </c>
      <c r="M385" s="2">
        <v>34433</v>
      </c>
      <c r="N385" s="2">
        <f t="shared" si="115"/>
        <v>0.16178620601552851</v>
      </c>
      <c r="O385" s="2">
        <v>0.85363144800000001</v>
      </c>
      <c r="P385" s="2">
        <f t="shared" si="110"/>
        <v>0.90865611253692258</v>
      </c>
      <c r="Q385" s="2">
        <v>0.25059999999999999</v>
      </c>
      <c r="R385" s="2">
        <f t="shared" si="116"/>
        <v>0.56629994209612045</v>
      </c>
      <c r="S385" s="2">
        <f t="shared" si="117"/>
        <v>2.0505787176053083E-2</v>
      </c>
      <c r="T385" s="5">
        <f t="shared" si="118"/>
        <v>3.2068515551177339E-2</v>
      </c>
      <c r="U385" s="2" t="str">
        <f t="shared" si="119"/>
        <v>No Impact</v>
      </c>
      <c r="V385" s="2">
        <f t="shared" si="120"/>
        <v>1.5746131627390494E-2</v>
      </c>
      <c r="W385" s="2">
        <f t="shared" si="121"/>
        <v>2.3042079490423931E-2</v>
      </c>
      <c r="X385" s="2" t="s">
        <v>1170</v>
      </c>
      <c r="Y385" s="2">
        <f t="shared" si="122"/>
        <v>2.5265442724715668E-2</v>
      </c>
      <c r="Z385" s="2">
        <f t="shared" si="123"/>
        <v>4.2426612193735593E-2</v>
      </c>
      <c r="AA385" s="2" t="str">
        <f t="shared" si="124"/>
        <v>No Impact</v>
      </c>
      <c r="AB385" s="2">
        <f t="shared" si="125"/>
        <v>1.4665257969756569E-2</v>
      </c>
      <c r="AC385" s="2">
        <f t="shared" si="126"/>
        <v>3.17043826253533E-2</v>
      </c>
      <c r="AD385" s="2" t="str">
        <f t="shared" si="127"/>
        <v>No Impact</v>
      </c>
      <c r="AE385" s="2">
        <f t="shared" si="128"/>
        <v>4.4985116650148428E-3</v>
      </c>
      <c r="AF385" s="2">
        <f t="shared" si="129"/>
        <v>3.065058597101699E-2</v>
      </c>
      <c r="AG385" s="2" t="s">
        <v>1170</v>
      </c>
    </row>
    <row r="386" spans="1:33" x14ac:dyDescent="0.3">
      <c r="A386" s="2">
        <v>501067</v>
      </c>
      <c r="B386" s="2" t="s">
        <v>795</v>
      </c>
      <c r="C386" s="2" t="s">
        <v>1167</v>
      </c>
      <c r="D386" s="2" t="s">
        <v>796</v>
      </c>
      <c r="E386" s="3">
        <v>6.2</v>
      </c>
      <c r="F386" s="4">
        <f t="shared" si="111"/>
        <v>0.66666666666666663</v>
      </c>
      <c r="G386" s="2">
        <v>60.212865600000001</v>
      </c>
      <c r="H386" s="2">
        <f t="shared" si="112"/>
        <v>0.18624924792005085</v>
      </c>
      <c r="I386" s="2">
        <v>0</v>
      </c>
      <c r="J386" s="4">
        <f t="shared" si="113"/>
        <v>0</v>
      </c>
      <c r="K386" s="2">
        <v>0</v>
      </c>
      <c r="L386" s="4">
        <f t="shared" si="114"/>
        <v>0</v>
      </c>
      <c r="M386" s="2">
        <v>24547</v>
      </c>
      <c r="N386" s="2">
        <f t="shared" si="115"/>
        <v>0.11501137906724769</v>
      </c>
      <c r="O386" s="2">
        <v>0.89411355100000001</v>
      </c>
      <c r="P386" s="2">
        <f t="shared" ref="P386:P449" si="132">(O386-$AJ$11)/$AK$11</f>
        <v>0.95542063856364623</v>
      </c>
      <c r="Q386" s="2">
        <v>0.22209999999999999</v>
      </c>
      <c r="R386" s="2">
        <f t="shared" si="116"/>
        <v>0.48378691372321947</v>
      </c>
      <c r="S386" s="2">
        <f t="shared" si="117"/>
        <v>3.1272654491666697E-2</v>
      </c>
      <c r="T386" s="5">
        <f t="shared" si="118"/>
        <v>4.8906564682567794E-2</v>
      </c>
      <c r="U386" s="2" t="str">
        <f t="shared" si="119"/>
        <v>No Impact</v>
      </c>
      <c r="V386" s="2">
        <f t="shared" si="120"/>
        <v>2.1024488061386168E-2</v>
      </c>
      <c r="W386" s="2">
        <f t="shared" si="121"/>
        <v>3.0766154927425404E-2</v>
      </c>
      <c r="X386" s="2" t="s">
        <v>1170</v>
      </c>
      <c r="Y386" s="2">
        <f t="shared" si="122"/>
        <v>4.152082092194722E-2</v>
      </c>
      <c r="Z386" s="2">
        <f t="shared" si="123"/>
        <v>6.9723209935986671E-2</v>
      </c>
      <c r="AA386" s="2" t="str">
        <f t="shared" si="124"/>
        <v>No Impact</v>
      </c>
      <c r="AB386" s="2">
        <f t="shared" si="125"/>
        <v>2.1564181031107015E-2</v>
      </c>
      <c r="AC386" s="2">
        <f t="shared" si="126"/>
        <v>4.6618958072372103E-2</v>
      </c>
      <c r="AD386" s="2" t="str">
        <f t="shared" si="127"/>
        <v>No Impact</v>
      </c>
      <c r="AE386" s="2">
        <f t="shared" si="128"/>
        <v>4.9981826658219769E-3</v>
      </c>
      <c r="AF386" s="2">
        <f t="shared" si="129"/>
        <v>3.4055091751577775E-2</v>
      </c>
      <c r="AG386" s="2" t="s">
        <v>1169</v>
      </c>
    </row>
    <row r="387" spans="1:33" x14ac:dyDescent="0.3">
      <c r="A387" s="2">
        <v>501081</v>
      </c>
      <c r="B387" s="2" t="s">
        <v>797</v>
      </c>
      <c r="C387" s="2" t="s">
        <v>1167</v>
      </c>
      <c r="D387" s="2" t="s">
        <v>798</v>
      </c>
      <c r="E387" s="3">
        <v>6.2</v>
      </c>
      <c r="F387" s="4">
        <f t="shared" ref="F387:F450" si="133">(E387-$AJ$5)/$AK$5</f>
        <v>0.66666666666666663</v>
      </c>
      <c r="G387" s="2">
        <v>51.241226400000002</v>
      </c>
      <c r="H387" s="2">
        <f t="shared" ref="H387:H450" si="134">(G387-$AJ$6)/$AK$6</f>
        <v>0.11381699876670663</v>
      </c>
      <c r="I387" s="2">
        <v>0</v>
      </c>
      <c r="J387" s="4">
        <f t="shared" ref="J387:J450" si="135">(I387-$AJ$7)/$AK$7</f>
        <v>0</v>
      </c>
      <c r="K387" s="2">
        <v>0</v>
      </c>
      <c r="L387" s="4">
        <f t="shared" ref="L387:L450" si="136">(K387-$AJ$8)/$AK$8</f>
        <v>0</v>
      </c>
      <c r="M387" s="2">
        <v>19425</v>
      </c>
      <c r="N387" s="2">
        <f t="shared" ref="N387:N450" si="137">(M387-$AJ$9)/$AK$9</f>
        <v>9.0777041253258764E-2</v>
      </c>
      <c r="O387" s="2">
        <v>0.87325476099999999</v>
      </c>
      <c r="P387" s="2">
        <f t="shared" si="132"/>
        <v>0.93132477012911929</v>
      </c>
      <c r="Q387" s="2">
        <v>0.216</v>
      </c>
      <c r="R387" s="2">
        <f t="shared" ref="R387:R450" si="138">(Q387-$AJ$12)/$AK$12</f>
        <v>0.46612623045744067</v>
      </c>
      <c r="S387" s="2">
        <f t="shared" ref="S387:S450" si="139">F387*(R387*0.5+P387*0.5)*(H387*0.35+J387*0.35+L387*0.3)</f>
        <v>1.8556262527867566E-2</v>
      </c>
      <c r="T387" s="5">
        <f t="shared" ref="T387:T450" si="140">(S387-$AJ$10)/$AK$10</f>
        <v>2.9019700065042259E-2</v>
      </c>
      <c r="U387" s="2" t="str">
        <f t="shared" ref="U387:U450" si="141">IF(T387&gt;0.7,"High",IF(T387&gt;0.3,"Moderate",IF(T387&gt;0.15,"Low","No Impact")))</f>
        <v>No Impact</v>
      </c>
      <c r="V387" s="2">
        <f t="shared" ref="V387:V450" si="142">F387*(R387*1)*(H387*0.35+J387*0.35+L387*0.3)</f>
        <v>1.2379054005990963E-2</v>
      </c>
      <c r="W387" s="2">
        <f t="shared" ref="W387:W450" si="143">(V387-$AJ$13)/$AK$13</f>
        <v>1.8114871205961426E-2</v>
      </c>
      <c r="X387" s="2" t="s">
        <v>1170</v>
      </c>
      <c r="Y387" s="2">
        <f t="shared" ref="Y387:Y450" si="144">F387*(P387*1)*(H387*0.35+J387*0.35+L387*0.3)</f>
        <v>2.4733471049744167E-2</v>
      </c>
      <c r="Z387" s="2">
        <f t="shared" ref="Z387:Z450" si="145">(Y387-$AJ$14)/$AK$14</f>
        <v>4.1533306812231656E-2</v>
      </c>
      <c r="AA387" s="2" t="str">
        <f t="shared" ref="AA387:AA450" si="146">IF(Z387&gt;0.7,"High",IF(Z387&gt;0.3,"Moderate",IF(Z387&gt;0.15,"Low","No Impact")))</f>
        <v>No Impact</v>
      </c>
      <c r="AB387" s="2">
        <f t="shared" ref="AB387:AB450" si="147">F387*(R387*0.35+P387*0.3+N387*0.35)*(H387*0.35+J387*0.35+L387*0.3)</f>
        <v>1.2596487799063426E-2</v>
      </c>
      <c r="AC387" s="2">
        <f t="shared" ref="AC387:AC450" si="148">(AB387-$AJ$15)/$AK$15</f>
        <v>2.7231970262008996E-2</v>
      </c>
      <c r="AD387" s="2" t="str">
        <f t="shared" ref="AD387:AD450" si="149">IF(AC387&gt;0.7,"High",IF(AC387&gt;0.3,"Moderate",IF(AC387&gt;0.15,"Low","No Impact")))</f>
        <v>No Impact</v>
      </c>
      <c r="AE387" s="2">
        <f t="shared" ref="AE387:AE450" si="150">F387*(N387*1)*(H387*0.35+J387*0.35+L387*0.3)</f>
        <v>2.4107930915523998E-3</v>
      </c>
      <c r="AF387" s="2">
        <f t="shared" ref="AF387:AF450" si="151">(AE387-$AJ$16)/$AK$16</f>
        <v>1.6425926264818713E-2</v>
      </c>
      <c r="AG387" s="2" t="s">
        <v>1170</v>
      </c>
    </row>
    <row r="388" spans="1:33" x14ac:dyDescent="0.3">
      <c r="A388" s="2">
        <v>501085</v>
      </c>
      <c r="B388" s="2" t="s">
        <v>799</v>
      </c>
      <c r="C388" s="2" t="s">
        <v>1167</v>
      </c>
      <c r="D388" s="2" t="s">
        <v>800</v>
      </c>
      <c r="E388" s="3">
        <v>6.1</v>
      </c>
      <c r="F388" s="4">
        <f t="shared" si="133"/>
        <v>0.64444444444444438</v>
      </c>
      <c r="G388" s="2">
        <v>53.543721599999998</v>
      </c>
      <c r="H388" s="2">
        <f t="shared" si="134"/>
        <v>0.13240612192279375</v>
      </c>
      <c r="I388" s="2">
        <v>0</v>
      </c>
      <c r="J388" s="4">
        <f t="shared" si="135"/>
        <v>0</v>
      </c>
      <c r="K388" s="2">
        <v>0</v>
      </c>
      <c r="L388" s="4">
        <f t="shared" si="136"/>
        <v>0</v>
      </c>
      <c r="M388" s="2">
        <v>37871</v>
      </c>
      <c r="N388" s="2">
        <f t="shared" si="137"/>
        <v>0.17805283104569133</v>
      </c>
      <c r="O388" s="2">
        <v>0.49323930100000002</v>
      </c>
      <c r="P388" s="2">
        <f t="shared" si="132"/>
        <v>0.4923346596171389</v>
      </c>
      <c r="Q388" s="2">
        <v>0.25750000000000001</v>
      </c>
      <c r="R388" s="2">
        <f t="shared" si="138"/>
        <v>0.58627678054429655</v>
      </c>
      <c r="S388" s="2">
        <f t="shared" si="139"/>
        <v>1.6106331024570576E-2</v>
      </c>
      <c r="T388" s="5">
        <f t="shared" si="140"/>
        <v>2.5188310134079316E-2</v>
      </c>
      <c r="U388" s="2" t="str">
        <f t="shared" si="141"/>
        <v>No Impact</v>
      </c>
      <c r="V388" s="2">
        <f t="shared" si="142"/>
        <v>1.7509118757451082E-2</v>
      </c>
      <c r="W388" s="2">
        <f t="shared" si="143"/>
        <v>2.5621944218646237E-2</v>
      </c>
      <c r="X388" s="2" t="s">
        <v>1170</v>
      </c>
      <c r="Y388" s="2">
        <f t="shared" si="144"/>
        <v>1.4703543291690066E-2</v>
      </c>
      <c r="Z388" s="2">
        <f t="shared" si="145"/>
        <v>2.4690702470853188E-2</v>
      </c>
      <c r="AA388" s="2" t="str">
        <f t="shared" si="146"/>
        <v>No Impact</v>
      </c>
      <c r="AB388" s="2">
        <f t="shared" si="147"/>
        <v>1.2400392318201954E-2</v>
      </c>
      <c r="AC388" s="2">
        <f t="shared" si="148"/>
        <v>2.6808037306369485E-2</v>
      </c>
      <c r="AD388" s="2" t="str">
        <f t="shared" si="149"/>
        <v>No Impact</v>
      </c>
      <c r="AE388" s="2">
        <f t="shared" si="150"/>
        <v>5.3175364731058699E-3</v>
      </c>
      <c r="AF388" s="2">
        <f t="shared" si="151"/>
        <v>3.6231007266358209E-2</v>
      </c>
      <c r="AG388" s="2" t="s">
        <v>1169</v>
      </c>
    </row>
    <row r="389" spans="1:33" x14ac:dyDescent="0.3">
      <c r="A389" s="2">
        <v>501088</v>
      </c>
      <c r="B389" s="2" t="s">
        <v>801</v>
      </c>
      <c r="C389" s="2" t="s">
        <v>1167</v>
      </c>
      <c r="D389" s="2" t="s">
        <v>773</v>
      </c>
      <c r="E389" s="3">
        <v>6.2</v>
      </c>
      <c r="F389" s="4">
        <f t="shared" si="133"/>
        <v>0.66666666666666663</v>
      </c>
      <c r="G389" s="2">
        <v>60.212865600000001</v>
      </c>
      <c r="H389" s="2">
        <f t="shared" si="134"/>
        <v>0.18624924792005085</v>
      </c>
      <c r="I389" s="2">
        <v>0.10000000000000005</v>
      </c>
      <c r="J389" s="4">
        <f t="shared" si="135"/>
        <v>1.5174506828528082E-3</v>
      </c>
      <c r="K389" s="2">
        <v>0</v>
      </c>
      <c r="L389" s="4">
        <f t="shared" si="136"/>
        <v>0</v>
      </c>
      <c r="M389" s="2">
        <v>36509</v>
      </c>
      <c r="N389" s="2">
        <f t="shared" si="137"/>
        <v>0.17160863578941393</v>
      </c>
      <c r="O389" s="2">
        <v>0.84913773699999995</v>
      </c>
      <c r="P389" s="2">
        <f t="shared" si="132"/>
        <v>0.90346502192050682</v>
      </c>
      <c r="Q389" s="2">
        <v>0.23050000000000001</v>
      </c>
      <c r="R389" s="2">
        <f t="shared" si="138"/>
        <v>0.50810654313839032</v>
      </c>
      <c r="S389" s="2">
        <f t="shared" si="139"/>
        <v>3.0922048804831671E-2</v>
      </c>
      <c r="T389" s="5">
        <f t="shared" si="140"/>
        <v>4.8358260741632991E-2</v>
      </c>
      <c r="U389" s="2" t="str">
        <f t="shared" si="141"/>
        <v>No Impact</v>
      </c>
      <c r="V389" s="2">
        <f t="shared" si="142"/>
        <v>2.2261280566846856E-2</v>
      </c>
      <c r="W389" s="2">
        <f t="shared" si="143"/>
        <v>3.2576013494491664E-2</v>
      </c>
      <c r="X389" s="2" t="s">
        <v>1170</v>
      </c>
      <c r="Y389" s="2">
        <f t="shared" si="144"/>
        <v>3.9582817042816486E-2</v>
      </c>
      <c r="Z389" s="2">
        <f t="shared" si="145"/>
        <v>6.6468846262026551E-2</v>
      </c>
      <c r="AA389" s="2" t="str">
        <f t="shared" si="146"/>
        <v>No Impact</v>
      </c>
      <c r="AB389" s="2">
        <f t="shared" si="147"/>
        <v>2.2297788249078666E-2</v>
      </c>
      <c r="AC389" s="2">
        <f t="shared" si="148"/>
        <v>4.8204921577634625E-2</v>
      </c>
      <c r="AD389" s="2" t="str">
        <f t="shared" si="149"/>
        <v>No Impact</v>
      </c>
      <c r="AE389" s="2">
        <f t="shared" si="150"/>
        <v>7.5185569652494802E-3</v>
      </c>
      <c r="AF389" s="2">
        <f t="shared" si="151"/>
        <v>5.1227649009688056E-2</v>
      </c>
      <c r="AG389" s="2" t="s">
        <v>1169</v>
      </c>
    </row>
    <row r="390" spans="1:33" x14ac:dyDescent="0.3">
      <c r="A390" s="2">
        <v>501094</v>
      </c>
      <c r="B390" s="2" t="s">
        <v>802</v>
      </c>
      <c r="C390" s="2" t="s">
        <v>1167</v>
      </c>
      <c r="D390" s="2" t="s">
        <v>1159</v>
      </c>
      <c r="E390" s="3">
        <v>6.1</v>
      </c>
      <c r="F390" s="4">
        <f t="shared" si="133"/>
        <v>0.64444444444444438</v>
      </c>
      <c r="G390" s="2">
        <v>43.773800399999999</v>
      </c>
      <c r="H390" s="2">
        <f t="shared" si="134"/>
        <v>5.3528967949979106E-2</v>
      </c>
      <c r="I390" s="2">
        <v>0</v>
      </c>
      <c r="J390" s="4">
        <f t="shared" si="135"/>
        <v>0</v>
      </c>
      <c r="K390" s="2">
        <v>0</v>
      </c>
      <c r="L390" s="4">
        <f t="shared" si="136"/>
        <v>0</v>
      </c>
      <c r="M390" s="2">
        <v>25068</v>
      </c>
      <c r="N390" s="2">
        <f t="shared" si="137"/>
        <v>0.11747644935250505</v>
      </c>
      <c r="O390" s="2">
        <v>0.82032770200000005</v>
      </c>
      <c r="P390" s="2">
        <f t="shared" si="132"/>
        <v>0.87018395370158741</v>
      </c>
      <c r="Q390" s="2">
        <v>0.27139999999999997</v>
      </c>
      <c r="R390" s="2">
        <f t="shared" si="138"/>
        <v>0.62651997683844818</v>
      </c>
      <c r="S390" s="2">
        <f t="shared" si="139"/>
        <v>9.0354191088236214E-3</v>
      </c>
      <c r="T390" s="5">
        <f t="shared" si="140"/>
        <v>1.4130278233897394E-2</v>
      </c>
      <c r="U390" s="2" t="str">
        <f t="shared" si="141"/>
        <v>No Impact</v>
      </c>
      <c r="V390" s="2">
        <f t="shared" si="142"/>
        <v>7.5644493948022326E-3</v>
      </c>
      <c r="W390" s="2">
        <f t="shared" si="143"/>
        <v>1.1069426344253669E-2</v>
      </c>
      <c r="X390" s="2" t="s">
        <v>1170</v>
      </c>
      <c r="Y390" s="2">
        <f t="shared" si="144"/>
        <v>1.0506388822845009E-2</v>
      </c>
      <c r="Z390" s="2">
        <f t="shared" si="145"/>
        <v>1.7642694371129797E-2</v>
      </c>
      <c r="AA390" s="2" t="str">
        <f t="shared" si="146"/>
        <v>No Impact</v>
      </c>
      <c r="AB390" s="2">
        <f t="shared" si="147"/>
        <v>6.2959076341516295E-3</v>
      </c>
      <c r="AC390" s="2">
        <f t="shared" si="148"/>
        <v>1.3610934428747688E-2</v>
      </c>
      <c r="AD390" s="2" t="str">
        <f t="shared" si="149"/>
        <v>No Impact</v>
      </c>
      <c r="AE390" s="2">
        <f t="shared" si="150"/>
        <v>1.4183819974781333E-3</v>
      </c>
      <c r="AF390" s="2">
        <f t="shared" si="151"/>
        <v>9.6641384063862121E-3</v>
      </c>
      <c r="AG390" s="2" t="s">
        <v>1170</v>
      </c>
    </row>
    <row r="391" spans="1:33" x14ac:dyDescent="0.3">
      <c r="A391" s="2">
        <v>501095</v>
      </c>
      <c r="B391" s="2" t="s">
        <v>803</v>
      </c>
      <c r="C391" s="2" t="s">
        <v>1167</v>
      </c>
      <c r="D391" s="2" t="s">
        <v>804</v>
      </c>
      <c r="E391" s="3">
        <v>6.2</v>
      </c>
      <c r="F391" s="4">
        <f t="shared" si="133"/>
        <v>0.66666666666666663</v>
      </c>
      <c r="G391" s="2">
        <v>40.205440799999998</v>
      </c>
      <c r="H391" s="2">
        <f t="shared" si="134"/>
        <v>2.4719928057254956E-2</v>
      </c>
      <c r="I391" s="2">
        <v>0</v>
      </c>
      <c r="J391" s="4">
        <f t="shared" si="135"/>
        <v>0</v>
      </c>
      <c r="K391" s="2">
        <v>0</v>
      </c>
      <c r="L391" s="4">
        <f t="shared" si="136"/>
        <v>0</v>
      </c>
      <c r="M391" s="2">
        <v>3652</v>
      </c>
      <c r="N391" s="2">
        <f t="shared" si="137"/>
        <v>1.6148339507837599E-2</v>
      </c>
      <c r="O391" s="2">
        <v>0.842282313</v>
      </c>
      <c r="P391" s="2">
        <f t="shared" si="132"/>
        <v>0.89554570374496067</v>
      </c>
      <c r="Q391" s="2">
        <v>0.2198</v>
      </c>
      <c r="R391" s="2">
        <f t="shared" si="138"/>
        <v>0.47712796757382747</v>
      </c>
      <c r="S391" s="2">
        <f t="shared" si="139"/>
        <v>3.9587793467936554E-3</v>
      </c>
      <c r="T391" s="5">
        <f t="shared" si="140"/>
        <v>6.1910413853601461E-3</v>
      </c>
      <c r="U391" s="2" t="str">
        <f t="shared" si="141"/>
        <v>No Impact</v>
      </c>
      <c r="V391" s="2">
        <f t="shared" si="142"/>
        <v>2.7520661075901673E-3</v>
      </c>
      <c r="W391" s="2">
        <f t="shared" si="143"/>
        <v>4.0272320538516483E-3</v>
      </c>
      <c r="X391" s="2" t="s">
        <v>1170</v>
      </c>
      <c r="Y391" s="2">
        <f t="shared" si="144"/>
        <v>5.165492585997143E-3</v>
      </c>
      <c r="Z391" s="2">
        <f t="shared" si="145"/>
        <v>8.6740752229657794E-3</v>
      </c>
      <c r="AA391" s="2" t="str">
        <f t="shared" si="146"/>
        <v>No Impact</v>
      </c>
      <c r="AB391" s="2">
        <f t="shared" si="147"/>
        <v>2.5454710863773945E-3</v>
      </c>
      <c r="AC391" s="2">
        <f t="shared" si="148"/>
        <v>5.5029778167360963E-3</v>
      </c>
      <c r="AD391" s="2" t="str">
        <f t="shared" si="149"/>
        <v>No Impact</v>
      </c>
      <c r="AE391" s="2">
        <f t="shared" si="150"/>
        <v>9.3143351204837103E-5</v>
      </c>
      <c r="AF391" s="2">
        <f t="shared" si="151"/>
        <v>6.3463174185701904E-4</v>
      </c>
      <c r="AG391" s="2" t="s">
        <v>1170</v>
      </c>
    </row>
    <row r="392" spans="1:33" x14ac:dyDescent="0.3">
      <c r="A392" s="2">
        <v>503813</v>
      </c>
      <c r="B392" s="2" t="s">
        <v>805</v>
      </c>
      <c r="C392" s="2" t="s">
        <v>806</v>
      </c>
      <c r="D392" s="2" t="s">
        <v>807</v>
      </c>
      <c r="E392" s="3">
        <v>4.9000000000000004</v>
      </c>
      <c r="F392" s="4">
        <f t="shared" si="133"/>
        <v>0.37777777777777782</v>
      </c>
      <c r="G392" s="2">
        <v>55.586300399999999</v>
      </c>
      <c r="H392" s="2">
        <f t="shared" si="134"/>
        <v>0.14889681813324088</v>
      </c>
      <c r="I392" s="2">
        <v>0</v>
      </c>
      <c r="J392" s="4">
        <f t="shared" si="135"/>
        <v>0</v>
      </c>
      <c r="K392" s="2">
        <v>0</v>
      </c>
      <c r="L392" s="4">
        <f t="shared" si="136"/>
        <v>0</v>
      </c>
      <c r="M392" s="2">
        <v>9388</v>
      </c>
      <c r="N392" s="2">
        <f t="shared" si="137"/>
        <v>4.328776975013366E-2</v>
      </c>
      <c r="O392" s="2">
        <v>0.78389416199999995</v>
      </c>
      <c r="P392" s="2">
        <f t="shared" si="132"/>
        <v>0.82809628771309673</v>
      </c>
      <c r="Q392" s="2">
        <v>0.24809999999999999</v>
      </c>
      <c r="R392" s="2">
        <f t="shared" si="138"/>
        <v>0.55906195715112916</v>
      </c>
      <c r="S392" s="2">
        <f t="shared" si="139"/>
        <v>1.3654816900000744E-2</v>
      </c>
      <c r="T392" s="5">
        <f t="shared" si="140"/>
        <v>2.1354445179140751E-2</v>
      </c>
      <c r="U392" s="2" t="str">
        <f t="shared" si="141"/>
        <v>No Impact</v>
      </c>
      <c r="V392" s="2">
        <f t="shared" si="142"/>
        <v>1.1006514489487002E-2</v>
      </c>
      <c r="W392" s="2">
        <f t="shared" si="143"/>
        <v>1.6106367441899246E-2</v>
      </c>
      <c r="X392" s="2" t="s">
        <v>1170</v>
      </c>
      <c r="Y392" s="2">
        <f t="shared" si="144"/>
        <v>1.6303119310514484E-2</v>
      </c>
      <c r="Z392" s="2">
        <f t="shared" si="145"/>
        <v>2.7376766283963228E-2</v>
      </c>
      <c r="AA392" s="2" t="str">
        <f t="shared" si="146"/>
        <v>No Impact</v>
      </c>
      <c r="AB392" s="2">
        <f t="shared" si="147"/>
        <v>9.0414951707436519E-3</v>
      </c>
      <c r="AC392" s="2">
        <f t="shared" si="148"/>
        <v>1.9546538014516699E-2</v>
      </c>
      <c r="AD392" s="2" t="str">
        <f t="shared" si="149"/>
        <v>No Impact</v>
      </c>
      <c r="AE392" s="2">
        <f t="shared" si="150"/>
        <v>8.5222658933959067E-4</v>
      </c>
      <c r="AF392" s="2">
        <f t="shared" si="151"/>
        <v>5.8066414602158268E-3</v>
      </c>
      <c r="AG392" s="2" t="s">
        <v>1170</v>
      </c>
    </row>
    <row r="393" spans="1:33" x14ac:dyDescent="0.3">
      <c r="A393" s="2">
        <v>503847</v>
      </c>
      <c r="B393" s="2" t="s">
        <v>808</v>
      </c>
      <c r="C393" s="2" t="s">
        <v>806</v>
      </c>
      <c r="D393" s="2" t="s">
        <v>809</v>
      </c>
      <c r="E393" s="3">
        <v>4.9000000000000004</v>
      </c>
      <c r="F393" s="4">
        <f t="shared" si="133"/>
        <v>0.37777777777777782</v>
      </c>
      <c r="G393" s="2">
        <v>47.046844800000002</v>
      </c>
      <c r="H393" s="2">
        <f t="shared" si="134"/>
        <v>7.9953789789755966E-2</v>
      </c>
      <c r="I393" s="2">
        <v>0</v>
      </c>
      <c r="J393" s="4">
        <f t="shared" si="135"/>
        <v>0</v>
      </c>
      <c r="K393" s="2">
        <v>0</v>
      </c>
      <c r="L393" s="4">
        <f t="shared" si="136"/>
        <v>0</v>
      </c>
      <c r="M393" s="2">
        <v>39555</v>
      </c>
      <c r="N393" s="2">
        <f t="shared" si="137"/>
        <v>0.18602054382951744</v>
      </c>
      <c r="O393" s="2">
        <v>0.88421506900000002</v>
      </c>
      <c r="P393" s="2">
        <f t="shared" si="132"/>
        <v>0.94398600980648761</v>
      </c>
      <c r="Q393" s="2">
        <v>0.26300000000000001</v>
      </c>
      <c r="R393" s="2">
        <f t="shared" si="138"/>
        <v>0.60220034742327744</v>
      </c>
      <c r="S393" s="2">
        <f t="shared" si="139"/>
        <v>8.172884232681513E-3</v>
      </c>
      <c r="T393" s="5">
        <f t="shared" si="140"/>
        <v>1.2781380342218407E-2</v>
      </c>
      <c r="U393" s="2" t="str">
        <f t="shared" si="141"/>
        <v>No Impact</v>
      </c>
      <c r="V393" s="2">
        <f t="shared" si="142"/>
        <v>6.3662619985718327E-3</v>
      </c>
      <c r="W393" s="2">
        <f t="shared" si="143"/>
        <v>9.3160605092863433E-3</v>
      </c>
      <c r="X393" s="2" t="s">
        <v>1170</v>
      </c>
      <c r="Y393" s="2">
        <f t="shared" si="144"/>
        <v>9.9795064667911916E-3</v>
      </c>
      <c r="Z393" s="2">
        <f t="shared" si="145"/>
        <v>1.6757935151369533E-2</v>
      </c>
      <c r="AA393" s="2" t="str">
        <f t="shared" si="146"/>
        <v>No Impact</v>
      </c>
      <c r="AB393" s="2">
        <f t="shared" si="147"/>
        <v>5.9103352246735246E-3</v>
      </c>
      <c r="AC393" s="2">
        <f t="shared" si="148"/>
        <v>1.2777376967632249E-2</v>
      </c>
      <c r="AD393" s="2" t="str">
        <f t="shared" si="149"/>
        <v>No Impact</v>
      </c>
      <c r="AE393" s="2">
        <f t="shared" si="150"/>
        <v>1.9665473861029308E-3</v>
      </c>
      <c r="AF393" s="2">
        <f t="shared" si="151"/>
        <v>1.3399060447613121E-2</v>
      </c>
      <c r="AG393" s="2" t="s">
        <v>1170</v>
      </c>
    </row>
    <row r="394" spans="1:33" x14ac:dyDescent="0.3">
      <c r="A394" s="2">
        <v>503858</v>
      </c>
      <c r="B394" s="2" t="s">
        <v>810</v>
      </c>
      <c r="C394" s="2" t="s">
        <v>806</v>
      </c>
      <c r="D394" s="2" t="s">
        <v>811</v>
      </c>
      <c r="E394" s="3">
        <v>4.8</v>
      </c>
      <c r="F394" s="4">
        <f t="shared" si="133"/>
        <v>0.35555555555555546</v>
      </c>
      <c r="G394" s="2">
        <v>43.773800399999999</v>
      </c>
      <c r="H394" s="2">
        <f t="shared" si="134"/>
        <v>5.3528967949979106E-2</v>
      </c>
      <c r="I394" s="2">
        <v>0</v>
      </c>
      <c r="J394" s="4">
        <f t="shared" si="135"/>
        <v>0</v>
      </c>
      <c r="K394" s="2">
        <v>0</v>
      </c>
      <c r="L394" s="4">
        <f t="shared" si="136"/>
        <v>0</v>
      </c>
      <c r="M394" s="2">
        <v>15941</v>
      </c>
      <c r="N394" s="2">
        <f t="shared" si="137"/>
        <v>7.4292770862017576E-2</v>
      </c>
      <c r="O394" s="2">
        <v>0.85942818399999998</v>
      </c>
      <c r="P394" s="2">
        <f t="shared" si="132"/>
        <v>0.91535244477890232</v>
      </c>
      <c r="Q394" s="2">
        <v>0.29299999999999998</v>
      </c>
      <c r="R394" s="2">
        <f t="shared" si="138"/>
        <v>0.68905616676317316</v>
      </c>
      <c r="S394" s="2">
        <f t="shared" si="139"/>
        <v>5.3437898668563868E-3</v>
      </c>
      <c r="T394" s="5">
        <f t="shared" si="140"/>
        <v>8.357026578703252E-3</v>
      </c>
      <c r="U394" s="2" t="str">
        <f t="shared" si="141"/>
        <v>No Impact</v>
      </c>
      <c r="V394" s="2">
        <f t="shared" si="142"/>
        <v>4.5900668135966114E-3</v>
      </c>
      <c r="W394" s="2">
        <f t="shared" si="143"/>
        <v>6.716867792548595E-3</v>
      </c>
      <c r="X394" s="2" t="s">
        <v>1170</v>
      </c>
      <c r="Y394" s="2">
        <f t="shared" si="144"/>
        <v>6.0975129201161606E-3</v>
      </c>
      <c r="Z394" s="2">
        <f t="shared" si="145"/>
        <v>1.0239156258876597E-2</v>
      </c>
      <c r="AA394" s="2" t="str">
        <f t="shared" si="146"/>
        <v>No Impact</v>
      </c>
      <c r="AB394" s="2">
        <f t="shared" si="147"/>
        <v>3.6089896627216761E-3</v>
      </c>
      <c r="AC394" s="2">
        <f t="shared" si="148"/>
        <v>7.8021668213295019E-3</v>
      </c>
      <c r="AD394" s="2" t="str">
        <f t="shared" si="149"/>
        <v>No Impact</v>
      </c>
      <c r="AE394" s="2">
        <f t="shared" si="150"/>
        <v>4.9489257693718317E-4</v>
      </c>
      <c r="AF394" s="2">
        <f t="shared" si="151"/>
        <v>3.3719480142286626E-3</v>
      </c>
      <c r="AG394" s="2" t="s">
        <v>1170</v>
      </c>
    </row>
    <row r="395" spans="1:33" x14ac:dyDescent="0.3">
      <c r="A395" s="2">
        <v>503861</v>
      </c>
      <c r="B395" s="2" t="s">
        <v>812</v>
      </c>
      <c r="C395" s="2" t="s">
        <v>806</v>
      </c>
      <c r="D395" s="2" t="s">
        <v>813</v>
      </c>
      <c r="E395" s="3">
        <v>4.9000000000000004</v>
      </c>
      <c r="F395" s="4">
        <f t="shared" si="133"/>
        <v>0.37777777777777782</v>
      </c>
      <c r="G395" s="2">
        <v>47.046844800000002</v>
      </c>
      <c r="H395" s="2">
        <f t="shared" si="134"/>
        <v>7.9953789789755966E-2</v>
      </c>
      <c r="I395" s="2">
        <v>0</v>
      </c>
      <c r="J395" s="4">
        <f t="shared" si="135"/>
        <v>0</v>
      </c>
      <c r="K395" s="2">
        <v>0</v>
      </c>
      <c r="L395" s="4">
        <f t="shared" si="136"/>
        <v>0</v>
      </c>
      <c r="M395" s="2">
        <v>16611</v>
      </c>
      <c r="N395" s="2">
        <f t="shared" si="137"/>
        <v>7.746282286033318E-2</v>
      </c>
      <c r="O395" s="2">
        <v>0.90196335400000005</v>
      </c>
      <c r="P395" s="2">
        <f t="shared" si="132"/>
        <v>0.9644886535503715</v>
      </c>
      <c r="Q395" s="2">
        <v>0.26229999999999998</v>
      </c>
      <c r="R395" s="2">
        <f t="shared" si="138"/>
        <v>0.60017371163867972</v>
      </c>
      <c r="S395" s="2">
        <f t="shared" si="139"/>
        <v>8.2705453415299265E-3</v>
      </c>
      <c r="T395" s="5">
        <f t="shared" si="140"/>
        <v>1.2934110240415535E-2</v>
      </c>
      <c r="U395" s="2" t="str">
        <f t="shared" si="141"/>
        <v>No Impact</v>
      </c>
      <c r="V395" s="2">
        <f t="shared" si="142"/>
        <v>6.344837078384331E-3</v>
      </c>
      <c r="W395" s="2">
        <f t="shared" si="143"/>
        <v>9.2847083825724E-3</v>
      </c>
      <c r="X395" s="2" t="s">
        <v>1170</v>
      </c>
      <c r="Y395" s="2">
        <f t="shared" si="144"/>
        <v>1.0196253604675522E-2</v>
      </c>
      <c r="Z395" s="2">
        <f t="shared" si="145"/>
        <v>1.7121904501256478E-2</v>
      </c>
      <c r="AA395" s="2" t="str">
        <f t="shared" si="146"/>
        <v>No Impact</v>
      </c>
      <c r="AB395" s="2">
        <f t="shared" si="147"/>
        <v>5.5661879883276335E-3</v>
      </c>
      <c r="AC395" s="2">
        <f t="shared" si="148"/>
        <v>1.2033375349449385E-2</v>
      </c>
      <c r="AD395" s="2" t="str">
        <f t="shared" si="149"/>
        <v>No Impact</v>
      </c>
      <c r="AE395" s="2">
        <f t="shared" si="150"/>
        <v>8.1891122711560634E-4</v>
      </c>
      <c r="AF395" s="2">
        <f t="shared" si="151"/>
        <v>5.5796474119524358E-3</v>
      </c>
      <c r="AG395" s="2" t="s">
        <v>1170</v>
      </c>
    </row>
    <row r="396" spans="1:33" x14ac:dyDescent="0.3">
      <c r="A396" s="2">
        <v>503874</v>
      </c>
      <c r="B396" s="2" t="s">
        <v>814</v>
      </c>
      <c r="C396" s="2" t="s">
        <v>806</v>
      </c>
      <c r="D396" s="2" t="s">
        <v>815</v>
      </c>
      <c r="E396" s="3">
        <v>4.9000000000000004</v>
      </c>
      <c r="F396" s="4">
        <f t="shared" si="133"/>
        <v>0.37777777777777782</v>
      </c>
      <c r="G396" s="2">
        <v>38.741047200000004</v>
      </c>
      <c r="H396" s="2">
        <f t="shared" si="134"/>
        <v>1.2897192018810361E-2</v>
      </c>
      <c r="I396" s="2">
        <v>0</v>
      </c>
      <c r="J396" s="4">
        <f t="shared" si="135"/>
        <v>0</v>
      </c>
      <c r="K396" s="2">
        <v>0</v>
      </c>
      <c r="L396" s="4">
        <f t="shared" si="136"/>
        <v>0</v>
      </c>
      <c r="M396" s="2">
        <v>30322</v>
      </c>
      <c r="N396" s="2">
        <f t="shared" si="137"/>
        <v>0.14233533472437107</v>
      </c>
      <c r="O396" s="2">
        <v>0.89419333700000003</v>
      </c>
      <c r="P396" s="2">
        <f t="shared" si="132"/>
        <v>0.95551280656375148</v>
      </c>
      <c r="Q396" s="2">
        <v>0.27539999999999998</v>
      </c>
      <c r="R396" s="2">
        <f t="shared" si="138"/>
        <v>0.63810075275043421</v>
      </c>
      <c r="S396" s="2">
        <f t="shared" si="139"/>
        <v>1.3587909273957398E-3</v>
      </c>
      <c r="T396" s="5">
        <f t="shared" si="140"/>
        <v>2.1249809925305233E-3</v>
      </c>
      <c r="U396" s="2" t="str">
        <f t="shared" si="141"/>
        <v>No Impact</v>
      </c>
      <c r="V396" s="2">
        <f t="shared" si="142"/>
        <v>1.0881502714808937E-3</v>
      </c>
      <c r="W396" s="2">
        <f t="shared" si="143"/>
        <v>1.5923431637884997E-3</v>
      </c>
      <c r="X396" s="2" t="s">
        <v>1170</v>
      </c>
      <c r="Y396" s="2">
        <f t="shared" si="144"/>
        <v>1.6294315833105862E-3</v>
      </c>
      <c r="Z396" s="2">
        <f t="shared" si="145"/>
        <v>2.7361983177803507E-3</v>
      </c>
      <c r="AA396" s="2" t="str">
        <f t="shared" si="146"/>
        <v>No Impact</v>
      </c>
      <c r="AB396" s="2">
        <f t="shared" si="147"/>
        <v>9.546353965181857E-4</v>
      </c>
      <c r="AC396" s="2">
        <f t="shared" si="148"/>
        <v>2.0637977143896646E-3</v>
      </c>
      <c r="AD396" s="2" t="str">
        <f t="shared" si="149"/>
        <v>No Impact</v>
      </c>
      <c r="AE396" s="2">
        <f t="shared" si="150"/>
        <v>2.4272379001913483E-4</v>
      </c>
      <c r="AF396" s="2">
        <f t="shared" si="151"/>
        <v>1.6537972883455935E-3</v>
      </c>
      <c r="AG396" s="2" t="s">
        <v>1170</v>
      </c>
    </row>
    <row r="397" spans="1:33" x14ac:dyDescent="0.3">
      <c r="A397" s="2">
        <v>506403</v>
      </c>
      <c r="B397" s="2" t="s">
        <v>816</v>
      </c>
      <c r="C397" s="2" t="s">
        <v>817</v>
      </c>
      <c r="D397" s="2" t="s">
        <v>818</v>
      </c>
      <c r="E397" s="3">
        <v>6.3</v>
      </c>
      <c r="F397" s="4">
        <f t="shared" si="133"/>
        <v>0.68888888888888877</v>
      </c>
      <c r="G397" s="2">
        <v>60.476536799999998</v>
      </c>
      <c r="H397" s="2">
        <f t="shared" si="134"/>
        <v>0.18837798912633574</v>
      </c>
      <c r="I397" s="2">
        <v>0.10000000000000005</v>
      </c>
      <c r="J397" s="4">
        <f t="shared" si="135"/>
        <v>1.5174506828528082E-3</v>
      </c>
      <c r="K397" s="2">
        <v>0</v>
      </c>
      <c r="L397" s="4">
        <f t="shared" si="136"/>
        <v>0</v>
      </c>
      <c r="M397" s="2">
        <v>16370</v>
      </c>
      <c r="N397" s="2">
        <f t="shared" si="137"/>
        <v>7.6322550425118166E-2</v>
      </c>
      <c r="O397" s="2">
        <v>0.82563470800000005</v>
      </c>
      <c r="P397" s="2">
        <f t="shared" si="132"/>
        <v>0.87631455467878905</v>
      </c>
      <c r="Q397" s="2">
        <v>0.19339999999999999</v>
      </c>
      <c r="R397" s="2">
        <f t="shared" si="138"/>
        <v>0.40069484655471915</v>
      </c>
      <c r="S397" s="2">
        <f t="shared" si="139"/>
        <v>2.923451268312894E-2</v>
      </c>
      <c r="T397" s="5">
        <f t="shared" si="140"/>
        <v>4.5719162915376615E-2</v>
      </c>
      <c r="U397" s="2" t="str">
        <f t="shared" si="141"/>
        <v>No Impact</v>
      </c>
      <c r="V397" s="2">
        <f t="shared" si="142"/>
        <v>1.8346174370138954E-2</v>
      </c>
      <c r="W397" s="2">
        <f t="shared" si="143"/>
        <v>2.6846848367923684E-2</v>
      </c>
      <c r="X397" s="2" t="s">
        <v>1170</v>
      </c>
      <c r="Y397" s="2">
        <f t="shared" si="144"/>
        <v>4.0122850996118925E-2</v>
      </c>
      <c r="Z397" s="2">
        <f t="shared" si="145"/>
        <v>6.7375690102360247E-2</v>
      </c>
      <c r="AA397" s="2" t="str">
        <f t="shared" si="146"/>
        <v>No Impact</v>
      </c>
      <c r="AB397" s="2">
        <f t="shared" si="147"/>
        <v>1.9681090172930508E-2</v>
      </c>
      <c r="AC397" s="2">
        <f t="shared" si="148"/>
        <v>4.2547960261828728E-2</v>
      </c>
      <c r="AD397" s="2" t="str">
        <f t="shared" si="149"/>
        <v>No Impact</v>
      </c>
      <c r="AE397" s="2">
        <f t="shared" si="150"/>
        <v>3.4944966987034234E-3</v>
      </c>
      <c r="AF397" s="2">
        <f t="shared" si="151"/>
        <v>2.3809735189091907E-2</v>
      </c>
      <c r="AG397" s="2" t="s">
        <v>1170</v>
      </c>
    </row>
    <row r="398" spans="1:33" x14ac:dyDescent="0.3">
      <c r="A398" s="2">
        <v>506406</v>
      </c>
      <c r="B398" s="2" t="s">
        <v>819</v>
      </c>
      <c r="C398" s="2" t="s">
        <v>817</v>
      </c>
      <c r="D398" s="2" t="s">
        <v>820</v>
      </c>
      <c r="E398" s="3">
        <v>6.3</v>
      </c>
      <c r="F398" s="4">
        <f t="shared" si="133"/>
        <v>0.68888888888888877</v>
      </c>
      <c r="G398" s="2">
        <v>47.331612</v>
      </c>
      <c r="H398" s="2">
        <f t="shared" si="134"/>
        <v>8.2252848893815789E-2</v>
      </c>
      <c r="I398" s="2">
        <v>0</v>
      </c>
      <c r="J398" s="4">
        <f t="shared" si="135"/>
        <v>0</v>
      </c>
      <c r="K398" s="2">
        <v>0</v>
      </c>
      <c r="L398" s="4">
        <f t="shared" si="136"/>
        <v>0</v>
      </c>
      <c r="M398" s="2">
        <v>16682</v>
      </c>
      <c r="N398" s="2">
        <f t="shared" si="137"/>
        <v>7.7798753743736779E-2</v>
      </c>
      <c r="O398" s="2">
        <v>0.753647548</v>
      </c>
      <c r="P398" s="2">
        <f t="shared" si="132"/>
        <v>0.79315569760533322</v>
      </c>
      <c r="Q398" s="2">
        <v>0.2442</v>
      </c>
      <c r="R398" s="2">
        <f t="shared" si="138"/>
        <v>0.54777070063694266</v>
      </c>
      <c r="S398" s="2">
        <f t="shared" si="139"/>
        <v>1.3296676978600038E-2</v>
      </c>
      <c r="T398" s="5">
        <f t="shared" si="140"/>
        <v>2.0794358626972282E-2</v>
      </c>
      <c r="U398" s="2" t="str">
        <f t="shared" si="141"/>
        <v>No Impact</v>
      </c>
      <c r="V398" s="2">
        <f t="shared" si="142"/>
        <v>1.0863430049939065E-2</v>
      </c>
      <c r="W398" s="2">
        <f t="shared" si="143"/>
        <v>1.5896985029258213E-2</v>
      </c>
      <c r="X398" s="2" t="s">
        <v>1170</v>
      </c>
      <c r="Y398" s="2">
        <f t="shared" si="144"/>
        <v>1.5729923907261013E-2</v>
      </c>
      <c r="Z398" s="2">
        <f t="shared" si="145"/>
        <v>2.6414236580841213E-2</v>
      </c>
      <c r="AA398" s="2" t="str">
        <f t="shared" si="146"/>
        <v>No Impact</v>
      </c>
      <c r="AB398" s="2">
        <f t="shared" si="147"/>
        <v>9.0611964628401175E-3</v>
      </c>
      <c r="AC398" s="2">
        <f t="shared" si="148"/>
        <v>1.9589129648712861E-2</v>
      </c>
      <c r="AD398" s="2" t="str">
        <f t="shared" si="149"/>
        <v>No Impact</v>
      </c>
      <c r="AE398" s="2">
        <f t="shared" si="150"/>
        <v>1.5429107805232623E-3</v>
      </c>
      <c r="AF398" s="2">
        <f t="shared" si="151"/>
        <v>1.0512614625815613E-2</v>
      </c>
      <c r="AG398" s="2" t="s">
        <v>1170</v>
      </c>
    </row>
    <row r="399" spans="1:33" x14ac:dyDescent="0.3">
      <c r="A399" s="2">
        <v>506428</v>
      </c>
      <c r="B399" s="2" t="s">
        <v>821</v>
      </c>
      <c r="C399" s="2" t="s">
        <v>817</v>
      </c>
      <c r="D399" s="2" t="s">
        <v>822</v>
      </c>
      <c r="E399" s="3">
        <v>6.3</v>
      </c>
      <c r="F399" s="4">
        <f t="shared" si="133"/>
        <v>0.68888888888888877</v>
      </c>
      <c r="G399" s="2">
        <v>47.331612</v>
      </c>
      <c r="H399" s="2">
        <f t="shared" si="134"/>
        <v>8.2252848893815789E-2</v>
      </c>
      <c r="I399" s="2">
        <v>0</v>
      </c>
      <c r="J399" s="4">
        <f t="shared" si="135"/>
        <v>0</v>
      </c>
      <c r="K399" s="2">
        <v>0</v>
      </c>
      <c r="L399" s="4">
        <f t="shared" si="136"/>
        <v>0</v>
      </c>
      <c r="M399" s="2">
        <v>18479</v>
      </c>
      <c r="N399" s="2">
        <f t="shared" si="137"/>
        <v>8.6301117088472837E-2</v>
      </c>
      <c r="O399" s="2">
        <v>0.77411432899999999</v>
      </c>
      <c r="P399" s="2">
        <f t="shared" si="132"/>
        <v>0.81679872111025709</v>
      </c>
      <c r="Q399" s="2">
        <v>0.25869999999999999</v>
      </c>
      <c r="R399" s="2">
        <f t="shared" si="138"/>
        <v>0.58975101331789226</v>
      </c>
      <c r="S399" s="2">
        <f t="shared" si="139"/>
        <v>1.3947400466977499E-2</v>
      </c>
      <c r="T399" s="5">
        <f t="shared" si="140"/>
        <v>2.18120096991983E-2</v>
      </c>
      <c r="U399" s="2" t="str">
        <f t="shared" si="141"/>
        <v>No Impact</v>
      </c>
      <c r="V399" s="2">
        <f t="shared" si="142"/>
        <v>1.1695986792666953E-2</v>
      </c>
      <c r="W399" s="2">
        <f t="shared" si="143"/>
        <v>1.7115305763530118E-2</v>
      </c>
      <c r="X399" s="2" t="s">
        <v>1170</v>
      </c>
      <c r="Y399" s="2">
        <f t="shared" si="144"/>
        <v>1.6198814141288043E-2</v>
      </c>
      <c r="Z399" s="2">
        <f t="shared" si="145"/>
        <v>2.7201613407649559E-2</v>
      </c>
      <c r="AA399" s="2" t="str">
        <f t="shared" si="146"/>
        <v>No Impact</v>
      </c>
      <c r="AB399" s="2">
        <f t="shared" si="147"/>
        <v>9.5522752229859637E-3</v>
      </c>
      <c r="AC399" s="2">
        <f t="shared" si="148"/>
        <v>2.0650778134062103E-2</v>
      </c>
      <c r="AD399" s="2" t="str">
        <f t="shared" si="149"/>
        <v>No Impact</v>
      </c>
      <c r="AE399" s="2">
        <f t="shared" si="150"/>
        <v>1.711530294760342E-3</v>
      </c>
      <c r="AF399" s="2">
        <f t="shared" si="151"/>
        <v>1.1661502814259974E-2</v>
      </c>
      <c r="AG399" s="2" t="s">
        <v>1170</v>
      </c>
    </row>
    <row r="400" spans="1:33" x14ac:dyDescent="0.3">
      <c r="A400" s="2">
        <v>506447</v>
      </c>
      <c r="B400" s="2" t="s">
        <v>823</v>
      </c>
      <c r="C400" s="2" t="s">
        <v>817</v>
      </c>
      <c r="D400" s="2" t="s">
        <v>824</v>
      </c>
      <c r="E400" s="3">
        <v>6.3</v>
      </c>
      <c r="F400" s="4">
        <f t="shared" si="133"/>
        <v>0.68888888888888877</v>
      </c>
      <c r="G400" s="2">
        <v>60.828098400000002</v>
      </c>
      <c r="H400" s="2">
        <f t="shared" si="134"/>
        <v>0.19121631073471571</v>
      </c>
      <c r="I400" s="2">
        <v>0.10000000000000005</v>
      </c>
      <c r="J400" s="4">
        <f t="shared" si="135"/>
        <v>1.5174506828528082E-3</v>
      </c>
      <c r="K400" s="2">
        <v>0</v>
      </c>
      <c r="L400" s="4">
        <f t="shared" si="136"/>
        <v>0</v>
      </c>
      <c r="M400" s="2">
        <v>23845</v>
      </c>
      <c r="N400" s="2">
        <f t="shared" si="137"/>
        <v>0.1116899216003558</v>
      </c>
      <c r="O400" s="2">
        <v>0.81261634500000002</v>
      </c>
      <c r="P400" s="2">
        <f t="shared" si="132"/>
        <v>0.86127587016828233</v>
      </c>
      <c r="Q400" s="2">
        <v>0.23480000000000001</v>
      </c>
      <c r="R400" s="2">
        <f t="shared" si="138"/>
        <v>0.52055587724377539</v>
      </c>
      <c r="S400" s="2">
        <f t="shared" si="139"/>
        <v>3.210703432250632E-2</v>
      </c>
      <c r="T400" s="5">
        <f t="shared" si="140"/>
        <v>5.0211431564835873E-2</v>
      </c>
      <c r="U400" s="2" t="str">
        <f t="shared" si="141"/>
        <v>No Impact</v>
      </c>
      <c r="V400" s="2">
        <f t="shared" si="142"/>
        <v>2.4190362464532919E-2</v>
      </c>
      <c r="W400" s="2">
        <f t="shared" si="143"/>
        <v>3.5398932766466946E-2</v>
      </c>
      <c r="X400" s="2" t="s">
        <v>1170</v>
      </c>
      <c r="Y400" s="2">
        <f t="shared" si="144"/>
        <v>4.0023706180479734E-2</v>
      </c>
      <c r="Z400" s="2">
        <f t="shared" si="145"/>
        <v>6.7209202671683704E-2</v>
      </c>
      <c r="AA400" s="2" t="str">
        <f t="shared" si="146"/>
        <v>No Impact</v>
      </c>
      <c r="AB400" s="2">
        <f t="shared" si="147"/>
        <v>2.2290329272788872E-2</v>
      </c>
      <c r="AC400" s="2">
        <f t="shared" si="148"/>
        <v>4.8188796239861997E-2</v>
      </c>
      <c r="AD400" s="2" t="str">
        <f t="shared" si="149"/>
        <v>No Impact</v>
      </c>
      <c r="AE400" s="2">
        <f t="shared" si="150"/>
        <v>5.1902587315955208E-3</v>
      </c>
      <c r="AF400" s="2">
        <f t="shared" si="151"/>
        <v>3.536380103263892E-2</v>
      </c>
      <c r="AG400" s="2" t="s">
        <v>1169</v>
      </c>
    </row>
    <row r="401" spans="1:33" x14ac:dyDescent="0.3">
      <c r="A401" s="2">
        <v>506450</v>
      </c>
      <c r="B401" s="2" t="s">
        <v>825</v>
      </c>
      <c r="C401" s="2" t="s">
        <v>817</v>
      </c>
      <c r="D401" s="2" t="s">
        <v>826</v>
      </c>
      <c r="E401" s="3">
        <v>6.3</v>
      </c>
      <c r="F401" s="4">
        <f t="shared" si="133"/>
        <v>0.68888888888888877</v>
      </c>
      <c r="G401" s="2">
        <v>57.112081199999999</v>
      </c>
      <c r="H401" s="2">
        <f t="shared" si="134"/>
        <v>0.1612151618155179</v>
      </c>
      <c r="I401" s="2">
        <v>0</v>
      </c>
      <c r="J401" s="4">
        <f t="shared" si="135"/>
        <v>0</v>
      </c>
      <c r="K401" s="2">
        <v>0</v>
      </c>
      <c r="L401" s="4">
        <f t="shared" si="136"/>
        <v>0</v>
      </c>
      <c r="M401" s="2">
        <v>24941</v>
      </c>
      <c r="N401" s="2">
        <f t="shared" si="137"/>
        <v>0.11687555889909299</v>
      </c>
      <c r="O401" s="2">
        <v>0.84988257899999997</v>
      </c>
      <c r="P401" s="2">
        <f t="shared" si="132"/>
        <v>0.90432545605098658</v>
      </c>
      <c r="Q401" s="2">
        <v>0.2298</v>
      </c>
      <c r="R401" s="2">
        <f t="shared" si="138"/>
        <v>0.50607990735379271</v>
      </c>
      <c r="S401" s="2">
        <f t="shared" si="139"/>
        <v>2.7411768982461299E-2</v>
      </c>
      <c r="T401" s="5">
        <f t="shared" si="140"/>
        <v>4.2868617154376398E-2</v>
      </c>
      <c r="U401" s="2" t="str">
        <f t="shared" si="141"/>
        <v>No Impact</v>
      </c>
      <c r="V401" s="2">
        <f t="shared" si="142"/>
        <v>1.9671714057522667E-2</v>
      </c>
      <c r="W401" s="2">
        <f t="shared" si="143"/>
        <v>2.878657499838555E-2</v>
      </c>
      <c r="X401" s="2" t="s">
        <v>1170</v>
      </c>
      <c r="Y401" s="2">
        <f t="shared" si="144"/>
        <v>3.5151823907399932E-2</v>
      </c>
      <c r="Z401" s="2">
        <f t="shared" si="145"/>
        <v>5.9028168121622489E-2</v>
      </c>
      <c r="AA401" s="2" t="str">
        <f t="shared" si="146"/>
        <v>No Impact</v>
      </c>
      <c r="AB401" s="2">
        <f t="shared" si="147"/>
        <v>1.9020712000183924E-2</v>
      </c>
      <c r="AC401" s="2">
        <f t="shared" si="148"/>
        <v>4.1120308439449166E-2</v>
      </c>
      <c r="AD401" s="2" t="str">
        <f t="shared" si="149"/>
        <v>No Impact</v>
      </c>
      <c r="AE401" s="2">
        <f t="shared" si="150"/>
        <v>4.5430425938029007E-3</v>
      </c>
      <c r="AF401" s="2">
        <f t="shared" si="151"/>
        <v>3.0953997224077084E-2</v>
      </c>
      <c r="AG401" s="2" t="s">
        <v>1170</v>
      </c>
    </row>
    <row r="402" spans="1:33" x14ac:dyDescent="0.3">
      <c r="A402" s="2">
        <v>506460</v>
      </c>
      <c r="B402" s="2" t="s">
        <v>827</v>
      </c>
      <c r="C402" s="2" t="s">
        <v>817</v>
      </c>
      <c r="D402" s="2" t="s">
        <v>828</v>
      </c>
      <c r="E402" s="3">
        <v>6.3</v>
      </c>
      <c r="F402" s="4">
        <f t="shared" si="133"/>
        <v>0.68888888888888877</v>
      </c>
      <c r="G402" s="2">
        <v>57.112081199999999</v>
      </c>
      <c r="H402" s="2">
        <f t="shared" si="134"/>
        <v>0.1612151618155179</v>
      </c>
      <c r="I402" s="2">
        <v>0</v>
      </c>
      <c r="J402" s="4">
        <f t="shared" si="135"/>
        <v>0</v>
      </c>
      <c r="K402" s="2">
        <v>0</v>
      </c>
      <c r="L402" s="4">
        <f t="shared" si="136"/>
        <v>0</v>
      </c>
      <c r="M402" s="2">
        <v>27111</v>
      </c>
      <c r="N402" s="2">
        <f t="shared" si="137"/>
        <v>0.12714274223692118</v>
      </c>
      <c r="O402" s="2">
        <v>0.81779459700000001</v>
      </c>
      <c r="P402" s="2">
        <f t="shared" si="132"/>
        <v>0.86725773579485166</v>
      </c>
      <c r="Q402" s="2">
        <v>0.22020000000000001</v>
      </c>
      <c r="R402" s="2">
        <f t="shared" si="138"/>
        <v>0.4782860451650261</v>
      </c>
      <c r="S402" s="2">
        <f t="shared" si="139"/>
        <v>2.6151159259931309E-2</v>
      </c>
      <c r="T402" s="5">
        <f t="shared" si="140"/>
        <v>4.0897179425902937E-2</v>
      </c>
      <c r="U402" s="2" t="str">
        <f t="shared" si="141"/>
        <v>No Impact</v>
      </c>
      <c r="V402" s="2">
        <f t="shared" si="142"/>
        <v>1.8591345322098086E-2</v>
      </c>
      <c r="W402" s="2">
        <f t="shared" si="143"/>
        <v>2.7205618934400998E-2</v>
      </c>
      <c r="X402" s="2" t="s">
        <v>1170</v>
      </c>
      <c r="Y402" s="2">
        <f t="shared" si="144"/>
        <v>3.3710973197764539E-2</v>
      </c>
      <c r="Z402" s="2">
        <f t="shared" si="145"/>
        <v>5.6608641380974108E-2</v>
      </c>
      <c r="AA402" s="2" t="str">
        <f t="shared" si="146"/>
        <v>No Impact</v>
      </c>
      <c r="AB402" s="2">
        <f t="shared" si="147"/>
        <v>1.8350010381096765E-2</v>
      </c>
      <c r="AC402" s="2">
        <f t="shared" si="148"/>
        <v>3.9670338667159084E-2</v>
      </c>
      <c r="AD402" s="2" t="str">
        <f t="shared" si="149"/>
        <v>No Impact</v>
      </c>
      <c r="AE402" s="2">
        <f t="shared" si="150"/>
        <v>4.9421358829516461E-3</v>
      </c>
      <c r="AF402" s="2">
        <f t="shared" si="151"/>
        <v>3.3673217286268299E-2</v>
      </c>
      <c r="AG402" s="2" t="s">
        <v>1169</v>
      </c>
    </row>
    <row r="403" spans="1:33" x14ac:dyDescent="0.3">
      <c r="A403" s="2">
        <v>506469</v>
      </c>
      <c r="B403" s="2" t="s">
        <v>829</v>
      </c>
      <c r="C403" s="2" t="s">
        <v>817</v>
      </c>
      <c r="D403" s="2" t="s">
        <v>830</v>
      </c>
      <c r="E403" s="3">
        <v>6.3</v>
      </c>
      <c r="F403" s="4">
        <f t="shared" si="133"/>
        <v>0.68888888888888877</v>
      </c>
      <c r="G403" s="2">
        <v>57.112081199999999</v>
      </c>
      <c r="H403" s="2">
        <f t="shared" si="134"/>
        <v>0.1612151618155179</v>
      </c>
      <c r="I403" s="2">
        <v>0</v>
      </c>
      <c r="J403" s="4">
        <f t="shared" si="135"/>
        <v>0</v>
      </c>
      <c r="K403" s="2">
        <v>0</v>
      </c>
      <c r="L403" s="4">
        <f t="shared" si="136"/>
        <v>0</v>
      </c>
      <c r="M403" s="2">
        <v>14414</v>
      </c>
      <c r="N403" s="2">
        <f t="shared" si="137"/>
        <v>6.7067891158393775E-2</v>
      </c>
      <c r="O403" s="2">
        <v>0.820304547</v>
      </c>
      <c r="P403" s="2">
        <f t="shared" si="132"/>
        <v>0.87015720527401308</v>
      </c>
      <c r="Q403" s="2">
        <v>0.22009999999999999</v>
      </c>
      <c r="R403" s="2">
        <f t="shared" si="138"/>
        <v>0.4779965257672264</v>
      </c>
      <c r="S403" s="2">
        <f t="shared" si="139"/>
        <v>2.620188464040869E-2</v>
      </c>
      <c r="T403" s="5">
        <f t="shared" si="140"/>
        <v>4.0976507648648658E-2</v>
      </c>
      <c r="U403" s="2" t="str">
        <f t="shared" si="141"/>
        <v>No Impact</v>
      </c>
      <c r="V403" s="2">
        <f t="shared" si="142"/>
        <v>1.8580091481104077E-2</v>
      </c>
      <c r="W403" s="2">
        <f t="shared" si="143"/>
        <v>2.7189150642067821E-2</v>
      </c>
      <c r="X403" s="2" t="s">
        <v>1170</v>
      </c>
      <c r="Y403" s="2">
        <f t="shared" si="144"/>
        <v>3.3823677799713306E-2</v>
      </c>
      <c r="Z403" s="2">
        <f t="shared" si="145"/>
        <v>5.6797898877525003E-2</v>
      </c>
      <c r="AA403" s="2" t="str">
        <f t="shared" si="146"/>
        <v>No Impact</v>
      </c>
      <c r="AB403" s="2">
        <f t="shared" si="147"/>
        <v>1.7562578483088068E-2</v>
      </c>
      <c r="AC403" s="2">
        <f t="shared" si="148"/>
        <v>3.7968013195806304E-2</v>
      </c>
      <c r="AD403" s="2" t="str">
        <f t="shared" si="149"/>
        <v>No Impact</v>
      </c>
      <c r="AE403" s="2">
        <f t="shared" si="150"/>
        <v>2.6069803565361557E-3</v>
      </c>
      <c r="AF403" s="2">
        <f t="shared" si="151"/>
        <v>1.7762647180442584E-2</v>
      </c>
      <c r="AG403" s="2" t="s">
        <v>1170</v>
      </c>
    </row>
    <row r="404" spans="1:33" x14ac:dyDescent="0.3">
      <c r="A404" s="2">
        <v>506475</v>
      </c>
      <c r="B404" s="2" t="s">
        <v>831</v>
      </c>
      <c r="C404" s="2" t="s">
        <v>817</v>
      </c>
      <c r="D404" s="2" t="s">
        <v>832</v>
      </c>
      <c r="E404" s="3">
        <v>6.3</v>
      </c>
      <c r="F404" s="4">
        <f t="shared" si="133"/>
        <v>0.68888888888888877</v>
      </c>
      <c r="G404" s="2">
        <v>47.331612</v>
      </c>
      <c r="H404" s="2">
        <f t="shared" si="134"/>
        <v>8.2252848893815789E-2</v>
      </c>
      <c r="I404" s="2">
        <v>0</v>
      </c>
      <c r="J404" s="4">
        <f t="shared" si="135"/>
        <v>0</v>
      </c>
      <c r="K404" s="2">
        <v>0</v>
      </c>
      <c r="L404" s="4">
        <f t="shared" si="136"/>
        <v>0</v>
      </c>
      <c r="M404" s="2">
        <v>24149</v>
      </c>
      <c r="N404" s="2">
        <f t="shared" si="137"/>
        <v>0.11312827355183035</v>
      </c>
      <c r="O404" s="2">
        <v>0.82400132800000003</v>
      </c>
      <c r="P404" s="2">
        <f t="shared" si="132"/>
        <v>0.87442769021620115</v>
      </c>
      <c r="Q404" s="2">
        <v>0.25509999999999999</v>
      </c>
      <c r="R404" s="2">
        <f t="shared" si="138"/>
        <v>0.5793283149971048</v>
      </c>
      <c r="S404" s="2">
        <f t="shared" si="139"/>
        <v>1.4415499636937416E-2</v>
      </c>
      <c r="T404" s="5">
        <f t="shared" si="140"/>
        <v>2.2544058919375672E-2</v>
      </c>
      <c r="U404" s="2" t="str">
        <f t="shared" si="141"/>
        <v>No Impact</v>
      </c>
      <c r="V404" s="2">
        <f t="shared" si="142"/>
        <v>1.1489283049644857E-2</v>
      </c>
      <c r="W404" s="2">
        <f t="shared" si="143"/>
        <v>1.6812826132952267E-2</v>
      </c>
      <c r="X404" s="2" t="s">
        <v>1170</v>
      </c>
      <c r="Y404" s="2">
        <f t="shared" si="144"/>
        <v>1.7341716224229971E-2</v>
      </c>
      <c r="Z404" s="2">
        <f t="shared" si="145"/>
        <v>2.9120814427663965E-2</v>
      </c>
      <c r="AA404" s="2" t="str">
        <f t="shared" si="146"/>
        <v>No Impact</v>
      </c>
      <c r="AB404" s="2">
        <f t="shared" si="147"/>
        <v>1.0009012907873963E-2</v>
      </c>
      <c r="AC404" s="2">
        <f t="shared" si="148"/>
        <v>2.1638185675816213E-2</v>
      </c>
      <c r="AD404" s="2" t="str">
        <f t="shared" si="149"/>
        <v>No Impact</v>
      </c>
      <c r="AE404" s="2">
        <f t="shared" si="150"/>
        <v>2.2435684949407776E-3</v>
      </c>
      <c r="AF404" s="2">
        <f t="shared" si="151"/>
        <v>1.5286542340403291E-2</v>
      </c>
      <c r="AG404" s="2" t="s">
        <v>1170</v>
      </c>
    </row>
    <row r="405" spans="1:33" x14ac:dyDescent="0.3">
      <c r="A405" s="2">
        <v>506479</v>
      </c>
      <c r="B405" s="2" t="s">
        <v>833</v>
      </c>
      <c r="C405" s="2" t="s">
        <v>817</v>
      </c>
      <c r="D405" s="2" t="s">
        <v>834</v>
      </c>
      <c r="E405" s="3">
        <v>6.3</v>
      </c>
      <c r="F405" s="4">
        <f t="shared" si="133"/>
        <v>0.68888888888888877</v>
      </c>
      <c r="G405" s="2">
        <v>47.331612</v>
      </c>
      <c r="H405" s="2">
        <f t="shared" si="134"/>
        <v>8.2252848893815789E-2</v>
      </c>
      <c r="I405" s="2">
        <v>0</v>
      </c>
      <c r="J405" s="4">
        <f t="shared" si="135"/>
        <v>0</v>
      </c>
      <c r="K405" s="2">
        <v>0</v>
      </c>
      <c r="L405" s="4">
        <f t="shared" si="136"/>
        <v>0</v>
      </c>
      <c r="M405" s="2">
        <v>11888</v>
      </c>
      <c r="N405" s="2">
        <f t="shared" si="137"/>
        <v>5.5116321982654613E-2</v>
      </c>
      <c r="O405" s="2">
        <v>0.69620968100000002</v>
      </c>
      <c r="P405" s="2">
        <f t="shared" si="132"/>
        <v>0.72680404027564871</v>
      </c>
      <c r="Q405" s="2">
        <v>0.22070000000000001</v>
      </c>
      <c r="R405" s="2">
        <f t="shared" si="138"/>
        <v>0.47973364215402436</v>
      </c>
      <c r="S405" s="2">
        <f t="shared" si="139"/>
        <v>1.1964073380019678E-2</v>
      </c>
      <c r="T405" s="5">
        <f t="shared" si="140"/>
        <v>1.8710331378579928E-2</v>
      </c>
      <c r="U405" s="2" t="str">
        <f t="shared" si="141"/>
        <v>No Impact</v>
      </c>
      <c r="V405" s="2">
        <f t="shared" si="142"/>
        <v>9.5141139496559383E-3</v>
      </c>
      <c r="W405" s="2">
        <f t="shared" si="143"/>
        <v>1.3922465218541685E-2</v>
      </c>
      <c r="X405" s="2" t="s">
        <v>1170</v>
      </c>
      <c r="Y405" s="2">
        <f t="shared" si="144"/>
        <v>1.4414032810383419E-2</v>
      </c>
      <c r="Z405" s="2">
        <f t="shared" si="145"/>
        <v>2.4204546378112205E-2</v>
      </c>
      <c r="AA405" s="2" t="str">
        <f t="shared" si="146"/>
        <v>No Impact</v>
      </c>
      <c r="AB405" s="2">
        <f t="shared" si="147"/>
        <v>8.0367246016613877E-3</v>
      </c>
      <c r="AC405" s="2">
        <f t="shared" si="148"/>
        <v>1.7374354569904108E-2</v>
      </c>
      <c r="AD405" s="2" t="str">
        <f t="shared" si="149"/>
        <v>No Impact</v>
      </c>
      <c r="AE405" s="2">
        <f t="shared" si="150"/>
        <v>1.0930710747622384E-3</v>
      </c>
      <c r="AF405" s="2">
        <f t="shared" si="151"/>
        <v>7.4476341164097853E-3</v>
      </c>
      <c r="AG405" s="2" t="s">
        <v>1170</v>
      </c>
    </row>
    <row r="406" spans="1:33" x14ac:dyDescent="0.3">
      <c r="A406" s="2">
        <v>506485</v>
      </c>
      <c r="B406" s="2" t="s">
        <v>835</v>
      </c>
      <c r="C406" s="2" t="s">
        <v>817</v>
      </c>
      <c r="D406" s="2" t="s">
        <v>836</v>
      </c>
      <c r="E406" s="3">
        <v>6.3</v>
      </c>
      <c r="F406" s="4">
        <f t="shared" si="133"/>
        <v>0.68888888888888877</v>
      </c>
      <c r="G406" s="2">
        <v>57.112081199999999</v>
      </c>
      <c r="H406" s="2">
        <f t="shared" si="134"/>
        <v>0.1612151618155179</v>
      </c>
      <c r="I406" s="2">
        <v>0</v>
      </c>
      <c r="J406" s="4">
        <f t="shared" si="135"/>
        <v>0</v>
      </c>
      <c r="K406" s="2">
        <v>0</v>
      </c>
      <c r="L406" s="4">
        <f t="shared" si="136"/>
        <v>0</v>
      </c>
      <c r="M406" s="2">
        <v>16424</v>
      </c>
      <c r="N406" s="2">
        <f t="shared" si="137"/>
        <v>7.6578047153340614E-2</v>
      </c>
      <c r="O406" s="2">
        <v>0.54262870699999999</v>
      </c>
      <c r="P406" s="2">
        <f t="shared" si="132"/>
        <v>0.54938881419827379</v>
      </c>
      <c r="Q406" s="2">
        <v>0.1963</v>
      </c>
      <c r="R406" s="2">
        <f t="shared" si="138"/>
        <v>0.40909090909090912</v>
      </c>
      <c r="S406" s="2">
        <f t="shared" si="139"/>
        <v>1.8628420900038873E-2</v>
      </c>
      <c r="T406" s="5">
        <f t="shared" si="140"/>
        <v>2.9132546836553939E-2</v>
      </c>
      <c r="U406" s="2" t="str">
        <f t="shared" si="141"/>
        <v>No Impact</v>
      </c>
      <c r="V406" s="2">
        <f t="shared" si="142"/>
        <v>1.5901677324530628E-2</v>
      </c>
      <c r="W406" s="2">
        <f t="shared" si="143"/>
        <v>2.3269697066772767E-2</v>
      </c>
      <c r="X406" s="2" t="s">
        <v>1170</v>
      </c>
      <c r="Y406" s="2">
        <f t="shared" si="144"/>
        <v>2.1355164475547122E-2</v>
      </c>
      <c r="Z406" s="2">
        <f t="shared" si="145"/>
        <v>3.5860336642791715E-2</v>
      </c>
      <c r="AA406" s="2" t="str">
        <f t="shared" si="146"/>
        <v>No Impact</v>
      </c>
      <c r="AB406" s="2">
        <f t="shared" si="147"/>
        <v>1.3013963000584119E-2</v>
      </c>
      <c r="AC406" s="2">
        <f t="shared" si="148"/>
        <v>2.8134497415155842E-2</v>
      </c>
      <c r="AD406" s="2" t="str">
        <f t="shared" si="149"/>
        <v>No Impact</v>
      </c>
      <c r="AE406" s="2">
        <f t="shared" si="150"/>
        <v>2.9766474123836106E-3</v>
      </c>
      <c r="AF406" s="2">
        <f t="shared" si="151"/>
        <v>2.0281371754177296E-2</v>
      </c>
      <c r="AG406" s="2" t="s">
        <v>1170</v>
      </c>
    </row>
    <row r="407" spans="1:33" x14ac:dyDescent="0.3">
      <c r="A407" s="2">
        <v>506486</v>
      </c>
      <c r="B407" s="2" t="s">
        <v>837</v>
      </c>
      <c r="C407" s="2" t="s">
        <v>817</v>
      </c>
      <c r="D407" s="2" t="s">
        <v>838</v>
      </c>
      <c r="E407" s="3">
        <v>6.2</v>
      </c>
      <c r="F407" s="4">
        <f t="shared" si="133"/>
        <v>0.66666666666666663</v>
      </c>
      <c r="G407" s="2">
        <v>47.331612</v>
      </c>
      <c r="H407" s="2">
        <f t="shared" si="134"/>
        <v>8.2252848893815789E-2</v>
      </c>
      <c r="I407" s="2">
        <v>0</v>
      </c>
      <c r="J407" s="4">
        <f t="shared" si="135"/>
        <v>0</v>
      </c>
      <c r="K407" s="2">
        <v>0</v>
      </c>
      <c r="L407" s="4">
        <f t="shared" si="136"/>
        <v>0</v>
      </c>
      <c r="M407" s="2">
        <v>21186</v>
      </c>
      <c r="N407" s="2">
        <f t="shared" si="137"/>
        <v>9.9109073445846518E-2</v>
      </c>
      <c r="O407" s="2">
        <v>0.89698827599999997</v>
      </c>
      <c r="P407" s="2">
        <f t="shared" si="132"/>
        <v>0.95874149252427587</v>
      </c>
      <c r="Q407" s="2">
        <v>0.25</v>
      </c>
      <c r="R407" s="2">
        <f t="shared" si="138"/>
        <v>0.56456282570932259</v>
      </c>
      <c r="S407" s="2">
        <f t="shared" si="139"/>
        <v>1.4617880655812612E-2</v>
      </c>
      <c r="T407" s="5">
        <f t="shared" si="140"/>
        <v>2.2860557807974375E-2</v>
      </c>
      <c r="U407" s="2" t="str">
        <f t="shared" si="141"/>
        <v>No Impact</v>
      </c>
      <c r="V407" s="2">
        <f t="shared" si="142"/>
        <v>1.0835276851964731E-2</v>
      </c>
      <c r="W407" s="2">
        <f t="shared" si="143"/>
        <v>1.5855787086742238E-2</v>
      </c>
      <c r="X407" s="2" t="s">
        <v>1170</v>
      </c>
      <c r="Y407" s="2">
        <f t="shared" si="144"/>
        <v>1.8400484459660488E-2</v>
      </c>
      <c r="Z407" s="2">
        <f t="shared" si="145"/>
        <v>3.0898734957974475E-2</v>
      </c>
      <c r="AA407" s="2" t="str">
        <f t="shared" si="146"/>
        <v>No Impact</v>
      </c>
      <c r="AB407" s="2">
        <f t="shared" si="147"/>
        <v>9.9782392001944997E-3</v>
      </c>
      <c r="AC407" s="2">
        <f t="shared" si="148"/>
        <v>2.1571656917503026E-2</v>
      </c>
      <c r="AD407" s="2" t="str">
        <f t="shared" si="149"/>
        <v>No Impact</v>
      </c>
      <c r="AE407" s="2">
        <f t="shared" si="150"/>
        <v>1.9021341831677043E-3</v>
      </c>
      <c r="AF407" s="2">
        <f t="shared" si="151"/>
        <v>1.2960181422448203E-2</v>
      </c>
      <c r="AG407" s="2" t="s">
        <v>1170</v>
      </c>
    </row>
    <row r="408" spans="1:33" x14ac:dyDescent="0.3">
      <c r="A408" s="2">
        <v>506909</v>
      </c>
      <c r="B408" s="2" t="s">
        <v>839</v>
      </c>
      <c r="C408" s="2" t="s">
        <v>840</v>
      </c>
      <c r="D408" s="2" t="s">
        <v>841</v>
      </c>
      <c r="E408" s="3">
        <v>5.8</v>
      </c>
      <c r="F408" s="4">
        <f t="shared" si="133"/>
        <v>0.57777777777777772</v>
      </c>
      <c r="G408" s="2">
        <v>66.576146399999999</v>
      </c>
      <c r="H408" s="2">
        <f t="shared" si="134"/>
        <v>0.23762299691547314</v>
      </c>
      <c r="I408" s="2">
        <v>2.6</v>
      </c>
      <c r="J408" s="4">
        <f t="shared" si="135"/>
        <v>3.9453717754172994E-2</v>
      </c>
      <c r="K408" s="2">
        <v>0</v>
      </c>
      <c r="L408" s="4">
        <f t="shared" si="136"/>
        <v>0</v>
      </c>
      <c r="M408" s="2">
        <v>16182</v>
      </c>
      <c r="N408" s="2">
        <f t="shared" si="137"/>
        <v>7.5433043297232591E-2</v>
      </c>
      <c r="O408" s="2">
        <v>0.417964479</v>
      </c>
      <c r="P408" s="2">
        <f t="shared" si="132"/>
        <v>0.40537792783430654</v>
      </c>
      <c r="Q408" s="2">
        <v>0.26450000000000001</v>
      </c>
      <c r="R408" s="2">
        <f t="shared" si="138"/>
        <v>0.60654313839027219</v>
      </c>
      <c r="S408" s="2">
        <f t="shared" si="139"/>
        <v>2.8349509525156181E-2</v>
      </c>
      <c r="T408" s="5">
        <f t="shared" si="140"/>
        <v>4.4335127409174065E-2</v>
      </c>
      <c r="U408" s="2" t="str">
        <f t="shared" si="141"/>
        <v>No Impact</v>
      </c>
      <c r="V408" s="2">
        <f t="shared" si="142"/>
        <v>3.3985260418319944E-2</v>
      </c>
      <c r="W408" s="2">
        <f t="shared" si="143"/>
        <v>4.9732282861112025E-2</v>
      </c>
      <c r="X408" s="2" t="s">
        <v>1170</v>
      </c>
      <c r="Y408" s="2">
        <f t="shared" si="144"/>
        <v>2.2713758631992417E-2</v>
      </c>
      <c r="Z408" s="2">
        <f t="shared" si="145"/>
        <v>3.8141735311804294E-2</v>
      </c>
      <c r="AA408" s="2" t="str">
        <f t="shared" si="146"/>
        <v>No Impact</v>
      </c>
      <c r="AB408" s="2">
        <f t="shared" si="147"/>
        <v>2.0188276653979532E-2</v>
      </c>
      <c r="AC408" s="2">
        <f t="shared" si="148"/>
        <v>4.3644431547280767E-2</v>
      </c>
      <c r="AD408" s="2" t="str">
        <f t="shared" si="149"/>
        <v>No Impact</v>
      </c>
      <c r="AE408" s="2">
        <f t="shared" si="150"/>
        <v>4.2265940513423646E-3</v>
      </c>
      <c r="AF408" s="2">
        <f t="shared" si="151"/>
        <v>2.8797876716149563E-2</v>
      </c>
      <c r="AG408" s="2" t="s">
        <v>1170</v>
      </c>
    </row>
    <row r="409" spans="1:33" x14ac:dyDescent="0.3">
      <c r="A409" s="2">
        <v>506915</v>
      </c>
      <c r="B409" s="2" t="s">
        <v>842</v>
      </c>
      <c r="C409" s="2" t="s">
        <v>840</v>
      </c>
      <c r="D409" s="2" t="s">
        <v>843</v>
      </c>
      <c r="E409" s="3">
        <v>6.5</v>
      </c>
      <c r="F409" s="4">
        <f t="shared" si="133"/>
        <v>0.73333333333333328</v>
      </c>
      <c r="G409" s="2">
        <v>65.21911200000001</v>
      </c>
      <c r="H409" s="2">
        <f t="shared" si="134"/>
        <v>0.22666702202846942</v>
      </c>
      <c r="I409" s="2">
        <v>2.4000000000000004</v>
      </c>
      <c r="J409" s="4">
        <f t="shared" si="135"/>
        <v>3.6418816388467383E-2</v>
      </c>
      <c r="K409" s="2">
        <v>0</v>
      </c>
      <c r="L409" s="4">
        <f t="shared" si="136"/>
        <v>0</v>
      </c>
      <c r="M409" s="2">
        <v>28067</v>
      </c>
      <c r="N409" s="2">
        <f t="shared" si="137"/>
        <v>0.13166598061063717</v>
      </c>
      <c r="O409" s="2">
        <v>0.48119969899999998</v>
      </c>
      <c r="P409" s="2">
        <f t="shared" si="132"/>
        <v>0.47842663015828407</v>
      </c>
      <c r="Q409" s="2">
        <v>0.23880000000000001</v>
      </c>
      <c r="R409" s="2">
        <f t="shared" si="138"/>
        <v>0.53213665315576153</v>
      </c>
      <c r="S409" s="2">
        <f t="shared" si="139"/>
        <v>3.411932737855284E-2</v>
      </c>
      <c r="T409" s="5">
        <f t="shared" si="140"/>
        <v>5.3358409079394029E-2</v>
      </c>
      <c r="U409" s="2" t="str">
        <f t="shared" si="141"/>
        <v>No Impact</v>
      </c>
      <c r="V409" s="2">
        <f t="shared" si="142"/>
        <v>3.5932721837285658E-2</v>
      </c>
      <c r="W409" s="2">
        <f t="shared" si="143"/>
        <v>5.2582097779608192E-2</v>
      </c>
      <c r="X409" s="2" t="s">
        <v>1170</v>
      </c>
      <c r="Y409" s="2">
        <f t="shared" si="144"/>
        <v>3.2305932919820021E-2</v>
      </c>
      <c r="Z409" s="2">
        <f t="shared" si="145"/>
        <v>5.4249248765596877E-2</v>
      </c>
      <c r="AA409" s="2" t="str">
        <f t="shared" si="146"/>
        <v>No Impact</v>
      </c>
      <c r="AB409" s="2">
        <f t="shared" si="147"/>
        <v>2.5380010217507045E-2</v>
      </c>
      <c r="AC409" s="2">
        <f t="shared" si="148"/>
        <v>5.4868285074195403E-2</v>
      </c>
      <c r="AD409" s="2" t="str">
        <f t="shared" si="149"/>
        <v>No Impact</v>
      </c>
      <c r="AE409" s="2">
        <f t="shared" si="150"/>
        <v>8.8907934243173219E-3</v>
      </c>
      <c r="AF409" s="2">
        <f t="shared" si="151"/>
        <v>6.0577375028701072E-2</v>
      </c>
      <c r="AG409" s="2" t="s">
        <v>1169</v>
      </c>
    </row>
    <row r="410" spans="1:33" x14ac:dyDescent="0.3">
      <c r="A410" s="2">
        <v>506941</v>
      </c>
      <c r="B410" s="2" t="s">
        <v>844</v>
      </c>
      <c r="C410" s="2" t="s">
        <v>840</v>
      </c>
      <c r="D410" s="2" t="s">
        <v>845</v>
      </c>
      <c r="E410" s="3">
        <v>6.5</v>
      </c>
      <c r="F410" s="4">
        <f t="shared" si="133"/>
        <v>0.73333333333333328</v>
      </c>
      <c r="G410" s="2">
        <v>65.21911200000001</v>
      </c>
      <c r="H410" s="2">
        <f t="shared" si="134"/>
        <v>0.22666702202846942</v>
      </c>
      <c r="I410" s="2">
        <v>1.2</v>
      </c>
      <c r="J410" s="4">
        <f t="shared" si="135"/>
        <v>1.8209408194233688E-2</v>
      </c>
      <c r="K410" s="2">
        <v>0</v>
      </c>
      <c r="L410" s="4">
        <f t="shared" si="136"/>
        <v>0</v>
      </c>
      <c r="M410" s="2">
        <v>24217</v>
      </c>
      <c r="N410" s="2">
        <f t="shared" si="137"/>
        <v>0.11345001017255492</v>
      </c>
      <c r="O410" s="2">
        <v>0.45781498399999998</v>
      </c>
      <c r="P410" s="2">
        <f t="shared" si="132"/>
        <v>0.45141283808219018</v>
      </c>
      <c r="Q410" s="2">
        <v>0.23089999999999999</v>
      </c>
      <c r="R410" s="2">
        <f t="shared" si="138"/>
        <v>0.50926462072958889</v>
      </c>
      <c r="S410" s="2">
        <f t="shared" si="139"/>
        <v>3.0190065894353278E-2</v>
      </c>
      <c r="T410" s="5">
        <f t="shared" si="140"/>
        <v>4.7213529981173077E-2</v>
      </c>
      <c r="U410" s="2" t="str">
        <f t="shared" si="141"/>
        <v>No Impact</v>
      </c>
      <c r="V410" s="2">
        <f t="shared" si="142"/>
        <v>3.2008104939831666E-2</v>
      </c>
      <c r="W410" s="2">
        <f t="shared" si="143"/>
        <v>4.6839015182528289E-2</v>
      </c>
      <c r="X410" s="2" t="s">
        <v>1170</v>
      </c>
      <c r="Y410" s="2">
        <f t="shared" si="144"/>
        <v>2.8372026848874889E-2</v>
      </c>
      <c r="Z410" s="2">
        <f t="shared" si="145"/>
        <v>4.7643296552643939E-2</v>
      </c>
      <c r="AA410" s="2" t="str">
        <f t="shared" si="146"/>
        <v>No Impact</v>
      </c>
      <c r="AB410" s="2">
        <f t="shared" si="147"/>
        <v>2.2210125593000864E-2</v>
      </c>
      <c r="AC410" s="2">
        <f t="shared" si="148"/>
        <v>4.8015406303100965E-2</v>
      </c>
      <c r="AD410" s="2" t="str">
        <f t="shared" si="149"/>
        <v>No Impact</v>
      </c>
      <c r="AE410" s="2">
        <f t="shared" si="150"/>
        <v>7.130516598278046E-3</v>
      </c>
      <c r="AF410" s="2">
        <f t="shared" si="151"/>
        <v>4.8583737975605258E-2</v>
      </c>
      <c r="AG410" s="2" t="s">
        <v>1169</v>
      </c>
    </row>
    <row r="411" spans="1:33" x14ac:dyDescent="0.3">
      <c r="A411" s="2">
        <v>506944</v>
      </c>
      <c r="B411" s="2" t="s">
        <v>846</v>
      </c>
      <c r="C411" s="2" t="s">
        <v>840</v>
      </c>
      <c r="D411" s="2" t="s">
        <v>847</v>
      </c>
      <c r="E411" s="3">
        <v>6.5</v>
      </c>
      <c r="F411" s="4">
        <f t="shared" si="133"/>
        <v>0.73333333333333328</v>
      </c>
      <c r="G411" s="2">
        <v>82.9413792</v>
      </c>
      <c r="H411" s="2">
        <f t="shared" si="134"/>
        <v>0.36974719330782035</v>
      </c>
      <c r="I411" s="2">
        <v>7.9</v>
      </c>
      <c r="J411" s="4">
        <f t="shared" si="135"/>
        <v>0.11987860394537179</v>
      </c>
      <c r="K411" s="2">
        <v>0</v>
      </c>
      <c r="L411" s="4">
        <f t="shared" si="136"/>
        <v>0</v>
      </c>
      <c r="M411" s="2">
        <v>32668</v>
      </c>
      <c r="N411" s="2">
        <f t="shared" si="137"/>
        <v>0.15343524813936874</v>
      </c>
      <c r="O411" s="2">
        <v>0.705817849</v>
      </c>
      <c r="P411" s="2">
        <f t="shared" si="132"/>
        <v>0.73790330116397584</v>
      </c>
      <c r="Q411" s="2">
        <v>0.23769999999999999</v>
      </c>
      <c r="R411" s="2">
        <f t="shared" si="138"/>
        <v>0.52895193977996524</v>
      </c>
      <c r="S411" s="2">
        <f t="shared" si="139"/>
        <v>7.9603242610117114E-2</v>
      </c>
      <c r="T411" s="5">
        <f t="shared" si="140"/>
        <v>0.1244896283010206</v>
      </c>
      <c r="U411" s="2" t="str">
        <f t="shared" si="141"/>
        <v>No Impact</v>
      </c>
      <c r="V411" s="2">
        <f t="shared" si="142"/>
        <v>6.6473718907336235E-2</v>
      </c>
      <c r="W411" s="2">
        <f t="shared" si="143"/>
        <v>9.7274222731794563E-2</v>
      </c>
      <c r="X411" s="2" t="s">
        <v>1169</v>
      </c>
      <c r="Y411" s="2">
        <f t="shared" si="144"/>
        <v>9.2732766312897993E-2</v>
      </c>
      <c r="Z411" s="2">
        <f t="shared" si="145"/>
        <v>0.15572009391946673</v>
      </c>
      <c r="AA411" s="2" t="str">
        <f t="shared" si="146"/>
        <v>Low</v>
      </c>
      <c r="AB411" s="2">
        <f t="shared" si="147"/>
        <v>5.7834437548215767E-2</v>
      </c>
      <c r="AC411" s="2">
        <f t="shared" si="148"/>
        <v>0.12503054093777857</v>
      </c>
      <c r="AD411" s="2" t="str">
        <f t="shared" si="149"/>
        <v>No Impact</v>
      </c>
      <c r="AE411" s="2">
        <f t="shared" si="150"/>
        <v>1.9282302962224811E-2</v>
      </c>
      <c r="AF411" s="2">
        <f t="shared" si="151"/>
        <v>0.13137987153822733</v>
      </c>
      <c r="AG411" s="2" t="s">
        <v>1169</v>
      </c>
    </row>
    <row r="412" spans="1:33" x14ac:dyDescent="0.3">
      <c r="A412" s="2">
        <v>506963</v>
      </c>
      <c r="B412" s="2" t="s">
        <v>848</v>
      </c>
      <c r="C412" s="2" t="s">
        <v>840</v>
      </c>
      <c r="D412" s="2" t="s">
        <v>849</v>
      </c>
      <c r="E412" s="3">
        <v>6.5</v>
      </c>
      <c r="F412" s="4">
        <f t="shared" si="133"/>
        <v>0.73333333333333328</v>
      </c>
      <c r="G412" s="2">
        <v>66.576146399999999</v>
      </c>
      <c r="H412" s="2">
        <f t="shared" si="134"/>
        <v>0.23762299691547314</v>
      </c>
      <c r="I412" s="2">
        <v>1.8</v>
      </c>
      <c r="J412" s="4">
        <f t="shared" si="135"/>
        <v>2.7314112291350535E-2</v>
      </c>
      <c r="K412" s="2">
        <v>0</v>
      </c>
      <c r="L412" s="4">
        <f t="shared" si="136"/>
        <v>0</v>
      </c>
      <c r="M412" s="2">
        <v>46818</v>
      </c>
      <c r="N412" s="2">
        <f t="shared" si="137"/>
        <v>0.22038485377543729</v>
      </c>
      <c r="O412" s="2">
        <v>0.33944766900000001</v>
      </c>
      <c r="P412" s="2">
        <f t="shared" si="132"/>
        <v>0.31467608349632048</v>
      </c>
      <c r="Q412" s="2">
        <v>0.24510000000000001</v>
      </c>
      <c r="R412" s="2">
        <f t="shared" si="138"/>
        <v>0.55037637521713967</v>
      </c>
      <c r="S412" s="2">
        <f t="shared" si="139"/>
        <v>2.9412010541220911E-2</v>
      </c>
      <c r="T412" s="5">
        <f t="shared" si="140"/>
        <v>4.5996747617375787E-2</v>
      </c>
      <c r="U412" s="2" t="str">
        <f t="shared" si="141"/>
        <v>No Impact</v>
      </c>
      <c r="V412" s="2">
        <f t="shared" si="142"/>
        <v>3.7425882295278164E-2</v>
      </c>
      <c r="W412" s="2">
        <f t="shared" si="143"/>
        <v>5.4767112028134633E-2</v>
      </c>
      <c r="X412" s="2" t="s">
        <v>1170</v>
      </c>
      <c r="Y412" s="2">
        <f t="shared" si="144"/>
        <v>2.1398138787163658E-2</v>
      </c>
      <c r="Z412" s="2">
        <f t="shared" si="145"/>
        <v>3.5932500604971725E-2</v>
      </c>
      <c r="AA412" s="2" t="str">
        <f t="shared" si="146"/>
        <v>No Impact</v>
      </c>
      <c r="AB412" s="2">
        <f t="shared" si="147"/>
        <v>2.4763700431652044E-2</v>
      </c>
      <c r="AC412" s="2">
        <f t="shared" si="148"/>
        <v>5.3535903379526795E-2</v>
      </c>
      <c r="AD412" s="2" t="str">
        <f t="shared" si="149"/>
        <v>No Impact</v>
      </c>
      <c r="AE412" s="2">
        <f t="shared" si="150"/>
        <v>1.4986285691873108E-2</v>
      </c>
      <c r="AF412" s="2">
        <f t="shared" si="151"/>
        <v>0.10210898007829505</v>
      </c>
      <c r="AG412" s="2" t="s">
        <v>1169</v>
      </c>
    </row>
    <row r="413" spans="1:33" x14ac:dyDescent="0.3">
      <c r="A413" s="2">
        <v>506991</v>
      </c>
      <c r="B413" s="2" t="s">
        <v>850</v>
      </c>
      <c r="C413" s="2" t="s">
        <v>840</v>
      </c>
      <c r="D413" s="2" t="s">
        <v>851</v>
      </c>
      <c r="E413" s="3">
        <v>6.5</v>
      </c>
      <c r="F413" s="4">
        <f t="shared" si="133"/>
        <v>0.73333333333333328</v>
      </c>
      <c r="G413" s="2">
        <v>60.476536799999998</v>
      </c>
      <c r="H413" s="2">
        <f t="shared" si="134"/>
        <v>0.18837798912633574</v>
      </c>
      <c r="I413" s="2">
        <v>0.10000000000000005</v>
      </c>
      <c r="J413" s="4">
        <f t="shared" si="135"/>
        <v>1.5174506828528082E-3</v>
      </c>
      <c r="K413" s="2">
        <v>0</v>
      </c>
      <c r="L413" s="4">
        <f t="shared" si="136"/>
        <v>0</v>
      </c>
      <c r="M413" s="2">
        <v>38033</v>
      </c>
      <c r="N413" s="2">
        <f t="shared" si="137"/>
        <v>0.17881932123035868</v>
      </c>
      <c r="O413" s="2">
        <v>0.69627307800000005</v>
      </c>
      <c r="P413" s="2">
        <f t="shared" si="132"/>
        <v>0.72687727586463258</v>
      </c>
      <c r="Q413" s="2">
        <v>0.18940000000000001</v>
      </c>
      <c r="R413" s="2">
        <f t="shared" si="138"/>
        <v>0.38911407064273312</v>
      </c>
      <c r="S413" s="2">
        <f t="shared" si="139"/>
        <v>2.7196614004593968E-2</v>
      </c>
      <c r="T413" s="5">
        <f t="shared" si="140"/>
        <v>4.2532141373446165E-2</v>
      </c>
      <c r="U413" s="2" t="str">
        <f t="shared" si="141"/>
        <v>No Impact</v>
      </c>
      <c r="V413" s="2">
        <f t="shared" si="142"/>
        <v>1.8965353479032335E-2</v>
      </c>
      <c r="W413" s="2">
        <f t="shared" si="143"/>
        <v>2.7752923242917952E-2</v>
      </c>
      <c r="X413" s="2" t="s">
        <v>1170</v>
      </c>
      <c r="Y413" s="2">
        <f t="shared" si="144"/>
        <v>3.5427874530155605E-2</v>
      </c>
      <c r="Z413" s="2">
        <f t="shared" si="145"/>
        <v>5.9491721950664912E-2</v>
      </c>
      <c r="AA413" s="2" t="str">
        <f t="shared" si="146"/>
        <v>No Impact</v>
      </c>
      <c r="AB413" s="2">
        <f t="shared" si="147"/>
        <v>2.0316704209727185E-2</v>
      </c>
      <c r="AC413" s="2">
        <f t="shared" si="148"/>
        <v>4.3922075239294867E-2</v>
      </c>
      <c r="AD413" s="2" t="str">
        <f t="shared" si="149"/>
        <v>No Impact</v>
      </c>
      <c r="AE413" s="2">
        <f t="shared" si="150"/>
        <v>8.7156232371976769E-3</v>
      </c>
      <c r="AF413" s="2">
        <f t="shared" si="151"/>
        <v>5.9383853864440159E-2</v>
      </c>
      <c r="AG413" s="2" t="s">
        <v>1169</v>
      </c>
    </row>
    <row r="414" spans="1:33" x14ac:dyDescent="0.3">
      <c r="A414" s="2">
        <v>507018</v>
      </c>
      <c r="B414" s="2" t="s">
        <v>852</v>
      </c>
      <c r="C414" s="2" t="s">
        <v>383</v>
      </c>
      <c r="D414" s="2" t="s">
        <v>853</v>
      </c>
      <c r="E414" s="3">
        <v>5</v>
      </c>
      <c r="F414" s="4">
        <f t="shared" si="133"/>
        <v>0.39999999999999997</v>
      </c>
      <c r="G414" s="2">
        <v>54.598408200000002</v>
      </c>
      <c r="H414" s="2">
        <f t="shared" si="134"/>
        <v>0.14092110128017737</v>
      </c>
      <c r="I414" s="2">
        <v>0</v>
      </c>
      <c r="J414" s="4">
        <f t="shared" si="135"/>
        <v>0</v>
      </c>
      <c r="K414" s="2">
        <v>0</v>
      </c>
      <c r="L414" s="4">
        <f t="shared" si="136"/>
        <v>0</v>
      </c>
      <c r="M414" s="2">
        <v>11807</v>
      </c>
      <c r="N414" s="2">
        <f t="shared" si="137"/>
        <v>5.4733076890320934E-2</v>
      </c>
      <c r="O414" s="2">
        <v>0.81925989899999996</v>
      </c>
      <c r="P414" s="2">
        <f t="shared" si="132"/>
        <v>0.86895043820994133</v>
      </c>
      <c r="Q414" s="2">
        <v>0.2268</v>
      </c>
      <c r="R414" s="2">
        <f t="shared" si="138"/>
        <v>0.49739432541980316</v>
      </c>
      <c r="S414" s="2">
        <f t="shared" si="139"/>
        <v>1.3478276617337503E-2</v>
      </c>
      <c r="T414" s="5">
        <f t="shared" si="140"/>
        <v>2.1078358006705506E-2</v>
      </c>
      <c r="U414" s="2" t="str">
        <f t="shared" si="141"/>
        <v>No Impact</v>
      </c>
      <c r="V414" s="2">
        <f t="shared" si="142"/>
        <v>9.8130698552137408E-3</v>
      </c>
      <c r="W414" s="2">
        <f t="shared" si="143"/>
        <v>1.4359941920947236E-2</v>
      </c>
      <c r="X414" s="2" t="s">
        <v>1170</v>
      </c>
      <c r="Y414" s="2">
        <f t="shared" si="144"/>
        <v>1.7143483379461269E-2</v>
      </c>
      <c r="Z414" s="2">
        <f t="shared" si="145"/>
        <v>2.8787934924197543E-2</v>
      </c>
      <c r="AA414" s="2" t="str">
        <f t="shared" si="146"/>
        <v>No Impact</v>
      </c>
      <c r="AB414" s="2">
        <f t="shared" si="147"/>
        <v>8.9555586912831858E-3</v>
      </c>
      <c r="AC414" s="2">
        <f t="shared" si="148"/>
        <v>1.936075450958899E-2</v>
      </c>
      <c r="AD414" s="2" t="str">
        <f t="shared" si="149"/>
        <v>No Impact</v>
      </c>
      <c r="AE414" s="2">
        <f t="shared" si="150"/>
        <v>1.0798263660571311E-3</v>
      </c>
      <c r="AF414" s="2">
        <f t="shared" si="151"/>
        <v>7.3573913621263788E-3</v>
      </c>
      <c r="AG414" s="2" t="s">
        <v>1170</v>
      </c>
    </row>
    <row r="415" spans="1:33" x14ac:dyDescent="0.3">
      <c r="A415" s="2">
        <v>507037</v>
      </c>
      <c r="B415" s="2" t="s">
        <v>854</v>
      </c>
      <c r="C415" s="2" t="s">
        <v>383</v>
      </c>
      <c r="D415" s="2" t="s">
        <v>855</v>
      </c>
      <c r="E415" s="3">
        <v>5.3</v>
      </c>
      <c r="F415" s="4">
        <f t="shared" si="133"/>
        <v>0.46666666666666656</v>
      </c>
      <c r="G415" s="2">
        <v>56.141765999999997</v>
      </c>
      <c r="H415" s="2">
        <f t="shared" si="134"/>
        <v>0.15338135232352704</v>
      </c>
      <c r="I415" s="2">
        <v>0</v>
      </c>
      <c r="J415" s="4">
        <f t="shared" si="135"/>
        <v>0</v>
      </c>
      <c r="K415" s="2">
        <v>0</v>
      </c>
      <c r="L415" s="4">
        <f t="shared" si="136"/>
        <v>0</v>
      </c>
      <c r="M415" s="2">
        <v>29737</v>
      </c>
      <c r="N415" s="2">
        <f t="shared" si="137"/>
        <v>0.13956745350196118</v>
      </c>
      <c r="O415" s="2">
        <v>0.82508137100000001</v>
      </c>
      <c r="P415" s="2">
        <f t="shared" si="132"/>
        <v>0.87567534523509871</v>
      </c>
      <c r="Q415" s="2">
        <v>0.20530000000000001</v>
      </c>
      <c r="R415" s="2">
        <f t="shared" si="138"/>
        <v>0.43514765489287788</v>
      </c>
      <c r="S415" s="2">
        <f t="shared" si="139"/>
        <v>1.6419557360673635E-2</v>
      </c>
      <c r="T415" s="5">
        <f t="shared" si="140"/>
        <v>2.5678157392520072E-2</v>
      </c>
      <c r="U415" s="2" t="str">
        <f t="shared" si="141"/>
        <v>No Impact</v>
      </c>
      <c r="V415" s="2">
        <f t="shared" si="142"/>
        <v>1.0901444175420568E-2</v>
      </c>
      <c r="W415" s="2">
        <f t="shared" si="143"/>
        <v>1.5952612946122574E-2</v>
      </c>
      <c r="X415" s="2" t="s">
        <v>1170</v>
      </c>
      <c r="Y415" s="2">
        <f t="shared" si="144"/>
        <v>2.1937670545926699E-2</v>
      </c>
      <c r="Z415" s="2">
        <f t="shared" si="145"/>
        <v>3.6838501142728033E-2</v>
      </c>
      <c r="AA415" s="2" t="str">
        <f t="shared" si="146"/>
        <v>No Impact</v>
      </c>
      <c r="AB415" s="2">
        <f t="shared" si="147"/>
        <v>1.1620576017201751E-2</v>
      </c>
      <c r="AC415" s="2">
        <f t="shared" si="148"/>
        <v>2.5122175766437195E-2</v>
      </c>
      <c r="AD415" s="2" t="str">
        <f t="shared" si="149"/>
        <v>No Impact</v>
      </c>
      <c r="AE415" s="2">
        <f t="shared" si="150"/>
        <v>3.4964839772186908E-3</v>
      </c>
      <c r="AF415" s="2">
        <f t="shared" si="151"/>
        <v>2.3823275500980897E-2</v>
      </c>
      <c r="AG415" s="2" t="s">
        <v>1170</v>
      </c>
    </row>
    <row r="416" spans="1:33" x14ac:dyDescent="0.3">
      <c r="A416" s="2">
        <v>507056</v>
      </c>
      <c r="B416" s="2" t="s">
        <v>856</v>
      </c>
      <c r="C416" s="2" t="s">
        <v>383</v>
      </c>
      <c r="D416" s="2" t="s">
        <v>857</v>
      </c>
      <c r="E416" s="3">
        <v>5</v>
      </c>
      <c r="F416" s="4">
        <f t="shared" si="133"/>
        <v>0.39999999999999997</v>
      </c>
      <c r="G416" s="2">
        <v>56.141765999999997</v>
      </c>
      <c r="H416" s="2">
        <f t="shared" si="134"/>
        <v>0.15338135232352704</v>
      </c>
      <c r="I416" s="2">
        <v>0</v>
      </c>
      <c r="J416" s="4">
        <f t="shared" si="135"/>
        <v>0</v>
      </c>
      <c r="K416" s="2">
        <v>0</v>
      </c>
      <c r="L416" s="4">
        <f t="shared" si="136"/>
        <v>0</v>
      </c>
      <c r="M416" s="2">
        <v>14402</v>
      </c>
      <c r="N416" s="2">
        <f t="shared" si="137"/>
        <v>6.7011114107677683E-2</v>
      </c>
      <c r="O416" s="2">
        <v>0.69754317799999999</v>
      </c>
      <c r="P416" s="2">
        <f t="shared" si="132"/>
        <v>0.72834448285500408</v>
      </c>
      <c r="Q416" s="2">
        <v>0.2167</v>
      </c>
      <c r="R416" s="2">
        <f t="shared" si="138"/>
        <v>0.46815286624203828</v>
      </c>
      <c r="S416" s="2">
        <f t="shared" si="139"/>
        <v>1.2846426701921369E-2</v>
      </c>
      <c r="T416" s="5">
        <f t="shared" si="140"/>
        <v>2.0090222868826228E-2</v>
      </c>
      <c r="U416" s="2" t="str">
        <f t="shared" si="141"/>
        <v>No Impact</v>
      </c>
      <c r="V416" s="2">
        <f t="shared" si="142"/>
        <v>1.0052828760567473E-2</v>
      </c>
      <c r="W416" s="2">
        <f t="shared" si="143"/>
        <v>1.4710792776663935E-2</v>
      </c>
      <c r="X416" s="2" t="s">
        <v>1170</v>
      </c>
      <c r="Y416" s="2">
        <f t="shared" si="144"/>
        <v>1.5640024643275265E-2</v>
      </c>
      <c r="Z416" s="2">
        <f t="shared" si="145"/>
        <v>2.62632746028073E-2</v>
      </c>
      <c r="AA416" s="2" t="str">
        <f t="shared" si="146"/>
        <v>No Impact</v>
      </c>
      <c r="AB416" s="2">
        <f t="shared" si="147"/>
        <v>8.7141319690057437E-3</v>
      </c>
      <c r="AC416" s="2">
        <f t="shared" si="148"/>
        <v>1.8838821298809198E-2</v>
      </c>
      <c r="AD416" s="2" t="str">
        <f t="shared" si="149"/>
        <v>No Impact</v>
      </c>
      <c r="AE416" s="2">
        <f t="shared" si="150"/>
        <v>1.4389557423558495E-3</v>
      </c>
      <c r="AF416" s="2">
        <f t="shared" si="151"/>
        <v>9.8043175107385243E-3</v>
      </c>
      <c r="AG416" s="2" t="s">
        <v>1170</v>
      </c>
    </row>
    <row r="417" spans="1:33" x14ac:dyDescent="0.3">
      <c r="A417" s="2">
        <v>507066</v>
      </c>
      <c r="B417" s="2" t="s">
        <v>858</v>
      </c>
      <c r="C417" s="2" t="s">
        <v>383</v>
      </c>
      <c r="D417" s="2" t="s">
        <v>1160</v>
      </c>
      <c r="E417" s="3">
        <v>5</v>
      </c>
      <c r="F417" s="4">
        <f t="shared" si="133"/>
        <v>0.39999999999999997</v>
      </c>
      <c r="G417" s="2">
        <v>61.056612000000008</v>
      </c>
      <c r="H417" s="2">
        <f t="shared" si="134"/>
        <v>0.19306120815436764</v>
      </c>
      <c r="I417" s="2">
        <v>0.10000000000000005</v>
      </c>
      <c r="J417" s="4">
        <f t="shared" si="135"/>
        <v>1.5174506828528082E-3</v>
      </c>
      <c r="K417" s="2">
        <v>0</v>
      </c>
      <c r="L417" s="4">
        <f t="shared" si="136"/>
        <v>0</v>
      </c>
      <c r="M417" s="2">
        <v>71171</v>
      </c>
      <c r="N417" s="2">
        <f t="shared" si="137"/>
        <v>0.33560914678287035</v>
      </c>
      <c r="O417" s="2">
        <v>0.53317454900000005</v>
      </c>
      <c r="P417" s="2">
        <f t="shared" si="132"/>
        <v>0.53846746414262681</v>
      </c>
      <c r="Q417" s="2">
        <v>0.20899999999999999</v>
      </c>
      <c r="R417" s="2">
        <f t="shared" si="138"/>
        <v>0.44585987261146498</v>
      </c>
      <c r="S417" s="2">
        <f t="shared" si="139"/>
        <v>1.3407036512969693E-2</v>
      </c>
      <c r="T417" s="5">
        <f t="shared" si="140"/>
        <v>2.0966947292492374E-2</v>
      </c>
      <c r="U417" s="2" t="str">
        <f t="shared" si="141"/>
        <v>No Impact</v>
      </c>
      <c r="V417" s="2">
        <f t="shared" si="142"/>
        <v>1.2145674245890192E-2</v>
      </c>
      <c r="W417" s="2">
        <f t="shared" si="143"/>
        <v>1.7773355263446138E-2</v>
      </c>
      <c r="X417" s="2" t="s">
        <v>1170</v>
      </c>
      <c r="Y417" s="2">
        <f t="shared" si="144"/>
        <v>1.4668398780049195E-2</v>
      </c>
      <c r="Z417" s="2">
        <f t="shared" si="145"/>
        <v>2.463168658174443E-2</v>
      </c>
      <c r="AA417" s="2" t="str">
        <f t="shared" si="146"/>
        <v>No Impact</v>
      </c>
      <c r="AB417" s="2">
        <f t="shared" si="147"/>
        <v>1.1851322126127547E-2</v>
      </c>
      <c r="AC417" s="2">
        <f t="shared" si="148"/>
        <v>2.562101887862667E-2</v>
      </c>
      <c r="AD417" s="2" t="str">
        <f t="shared" si="149"/>
        <v>No Impact</v>
      </c>
      <c r="AE417" s="2">
        <f t="shared" si="150"/>
        <v>9.1423328744320662E-3</v>
      </c>
      <c r="AF417" s="2">
        <f t="shared" si="151"/>
        <v>6.2291237771528674E-2</v>
      </c>
      <c r="AG417" s="2" t="s">
        <v>1169</v>
      </c>
    </row>
    <row r="418" spans="1:33" x14ac:dyDescent="0.3">
      <c r="A418" s="2">
        <v>507088</v>
      </c>
      <c r="B418" s="2" t="s">
        <v>859</v>
      </c>
      <c r="C418" s="2" t="s">
        <v>383</v>
      </c>
      <c r="D418" s="2" t="s">
        <v>1159</v>
      </c>
      <c r="E418" s="3">
        <v>5.2</v>
      </c>
      <c r="F418" s="4">
        <f t="shared" si="133"/>
        <v>0.44444444444444442</v>
      </c>
      <c r="G418" s="2">
        <v>60.71911200000001</v>
      </c>
      <c r="H418" s="2">
        <f t="shared" si="134"/>
        <v>0.19033641243484589</v>
      </c>
      <c r="I418" s="2">
        <v>0</v>
      </c>
      <c r="J418" s="4">
        <f t="shared" si="135"/>
        <v>0</v>
      </c>
      <c r="K418" s="2">
        <v>0</v>
      </c>
      <c r="L418" s="4">
        <f t="shared" si="136"/>
        <v>0</v>
      </c>
      <c r="M418" s="2">
        <v>62302</v>
      </c>
      <c r="N418" s="2">
        <f t="shared" si="137"/>
        <v>0.29364617488277905</v>
      </c>
      <c r="O418" s="2">
        <v>0.438278634</v>
      </c>
      <c r="P418" s="2">
        <f t="shared" si="132"/>
        <v>0.42884463928969707</v>
      </c>
      <c r="Q418" s="2">
        <v>0.25380000000000003</v>
      </c>
      <c r="R418" s="2">
        <f t="shared" si="138"/>
        <v>0.57556456282570945</v>
      </c>
      <c r="S418" s="2">
        <f t="shared" si="139"/>
        <v>1.4869216767003859E-2</v>
      </c>
      <c r="T418" s="5">
        <f t="shared" si="140"/>
        <v>2.3253616407535066E-2</v>
      </c>
      <c r="U418" s="2" t="str">
        <f t="shared" si="141"/>
        <v>No Impact</v>
      </c>
      <c r="V418" s="2">
        <f t="shared" si="142"/>
        <v>1.7041250179780709E-2</v>
      </c>
      <c r="W418" s="2">
        <f t="shared" si="143"/>
        <v>2.4937289395934144E-2</v>
      </c>
      <c r="X418" s="2" t="s">
        <v>1170</v>
      </c>
      <c r="Y418" s="2">
        <f t="shared" si="144"/>
        <v>1.269718335422701E-2</v>
      </c>
      <c r="Z418" s="2">
        <f t="shared" si="145"/>
        <v>2.1321552920803077E-2</v>
      </c>
      <c r="AA418" s="2" t="str">
        <f t="shared" si="146"/>
        <v>No Impact</v>
      </c>
      <c r="AB418" s="2">
        <f t="shared" si="147"/>
        <v>1.2816577472711097E-2</v>
      </c>
      <c r="AC418" s="2">
        <f t="shared" si="148"/>
        <v>2.7707775545462231E-2</v>
      </c>
      <c r="AD418" s="2" t="str">
        <f t="shared" si="149"/>
        <v>No Impact</v>
      </c>
      <c r="AE418" s="2">
        <f t="shared" si="150"/>
        <v>8.69424258148499E-3</v>
      </c>
      <c r="AF418" s="2">
        <f t="shared" si="151"/>
        <v>5.9238176877285727E-2</v>
      </c>
      <c r="AG418" s="2" t="s">
        <v>1169</v>
      </c>
    </row>
    <row r="419" spans="1:33" x14ac:dyDescent="0.3">
      <c r="A419" s="2">
        <v>507605</v>
      </c>
      <c r="B419" s="2" t="s">
        <v>860</v>
      </c>
      <c r="C419" s="2" t="s">
        <v>861</v>
      </c>
      <c r="D419" s="2" t="s">
        <v>862</v>
      </c>
      <c r="E419" s="3">
        <v>5</v>
      </c>
      <c r="F419" s="4">
        <f t="shared" si="133"/>
        <v>0.39999999999999997</v>
      </c>
      <c r="G419" s="2">
        <v>77.3374752</v>
      </c>
      <c r="H419" s="2">
        <f t="shared" si="134"/>
        <v>0.32450424921356585</v>
      </c>
      <c r="I419" s="2">
        <v>6.5</v>
      </c>
      <c r="J419" s="4">
        <f t="shared" si="135"/>
        <v>9.8634294385432489E-2</v>
      </c>
      <c r="K419" s="2">
        <v>0</v>
      </c>
      <c r="L419" s="4">
        <f t="shared" si="136"/>
        <v>0</v>
      </c>
      <c r="M419" s="2">
        <v>10847</v>
      </c>
      <c r="N419" s="2">
        <f t="shared" si="137"/>
        <v>5.019091283303289E-2</v>
      </c>
      <c r="O419" s="2">
        <v>0.485705946</v>
      </c>
      <c r="P419" s="2">
        <f t="shared" si="132"/>
        <v>0.48363220223823128</v>
      </c>
      <c r="Q419" s="2">
        <v>0.2616</v>
      </c>
      <c r="R419" s="2">
        <f t="shared" si="138"/>
        <v>0.59814707585408222</v>
      </c>
      <c r="S419" s="2">
        <f t="shared" si="139"/>
        <v>3.2041975575929013E-2</v>
      </c>
      <c r="T419" s="5">
        <f t="shared" si="140"/>
        <v>5.0109687729866646E-2</v>
      </c>
      <c r="U419" s="2" t="str">
        <f t="shared" si="141"/>
        <v>No Impact</v>
      </c>
      <c r="V419" s="2">
        <f t="shared" si="142"/>
        <v>3.5433871554885428E-2</v>
      </c>
      <c r="W419" s="2">
        <f t="shared" si="143"/>
        <v>5.1852105923012017E-2</v>
      </c>
      <c r="X419" s="2" t="s">
        <v>1170</v>
      </c>
      <c r="Y419" s="2">
        <f t="shared" si="144"/>
        <v>2.8650079596972595E-2</v>
      </c>
      <c r="Z419" s="2">
        <f t="shared" si="145"/>
        <v>4.8110212420356152E-2</v>
      </c>
      <c r="AA419" s="2" t="str">
        <f t="shared" si="146"/>
        <v>No Impact</v>
      </c>
      <c r="AB419" s="2">
        <f t="shared" si="147"/>
        <v>2.2037526701447298E-2</v>
      </c>
      <c r="AC419" s="2">
        <f t="shared" si="148"/>
        <v>4.76422699211968E-2</v>
      </c>
      <c r="AD419" s="2" t="str">
        <f t="shared" si="149"/>
        <v>No Impact</v>
      </c>
      <c r="AE419" s="2">
        <f t="shared" si="150"/>
        <v>2.9732793661303336E-3</v>
      </c>
      <c r="AF419" s="2">
        <f t="shared" si="151"/>
        <v>2.0258423588444336E-2</v>
      </c>
      <c r="AG419" s="2" t="s">
        <v>1170</v>
      </c>
    </row>
    <row r="420" spans="1:33" x14ac:dyDescent="0.3">
      <c r="A420" s="2">
        <v>507616</v>
      </c>
      <c r="B420" s="2" t="s">
        <v>863</v>
      </c>
      <c r="C420" s="2" t="s">
        <v>861</v>
      </c>
      <c r="D420" s="2" t="s">
        <v>864</v>
      </c>
      <c r="E420" s="3">
        <v>4.9000000000000004</v>
      </c>
      <c r="F420" s="4">
        <f t="shared" si="133"/>
        <v>0.37777777777777782</v>
      </c>
      <c r="G420" s="2">
        <v>85.300365599999992</v>
      </c>
      <c r="H420" s="2">
        <f t="shared" si="134"/>
        <v>0.38879239640450197</v>
      </c>
      <c r="I420" s="2">
        <v>10.700000000000001</v>
      </c>
      <c r="J420" s="4">
        <f t="shared" si="135"/>
        <v>0.16236722306525042</v>
      </c>
      <c r="K420" s="2">
        <v>0</v>
      </c>
      <c r="L420" s="4">
        <f t="shared" si="136"/>
        <v>0</v>
      </c>
      <c r="M420" s="2">
        <v>28096</v>
      </c>
      <c r="N420" s="2">
        <f t="shared" si="137"/>
        <v>0.13180319181653441</v>
      </c>
      <c r="O420" s="2">
        <v>0.42041826599999998</v>
      </c>
      <c r="P420" s="2">
        <f t="shared" si="132"/>
        <v>0.40821251836992017</v>
      </c>
      <c r="Q420" s="2">
        <v>0.2482</v>
      </c>
      <c r="R420" s="2">
        <f t="shared" si="138"/>
        <v>0.55935147654892881</v>
      </c>
      <c r="S420" s="2">
        <f t="shared" si="139"/>
        <v>3.5255878992778135E-2</v>
      </c>
      <c r="T420" s="5">
        <f t="shared" si="140"/>
        <v>5.513583526657613E-2</v>
      </c>
      <c r="U420" s="2" t="str">
        <f t="shared" si="141"/>
        <v>No Impact</v>
      </c>
      <c r="V420" s="2">
        <f t="shared" si="142"/>
        <v>4.076304632086851E-2</v>
      </c>
      <c r="W420" s="2">
        <f t="shared" si="143"/>
        <v>5.9650546294394431E-2</v>
      </c>
      <c r="X420" s="2" t="s">
        <v>1170</v>
      </c>
      <c r="Y420" s="2">
        <f t="shared" si="144"/>
        <v>2.9748711664687767E-2</v>
      </c>
      <c r="Z420" s="2">
        <f t="shared" si="145"/>
        <v>4.9955073687519162E-2</v>
      </c>
      <c r="AA420" s="2" t="str">
        <f t="shared" si="146"/>
        <v>No Impact</v>
      </c>
      <c r="AB420" s="2">
        <f t="shared" si="147"/>
        <v>2.6553510230584439E-2</v>
      </c>
      <c r="AC420" s="2">
        <f t="shared" si="148"/>
        <v>5.7405239657755333E-2</v>
      </c>
      <c r="AD420" s="2" t="str">
        <f t="shared" si="149"/>
        <v>No Impact</v>
      </c>
      <c r="AE420" s="2">
        <f t="shared" si="150"/>
        <v>9.6052300539260973E-3</v>
      </c>
      <c r="AF420" s="2">
        <f t="shared" si="151"/>
        <v>6.5445185310703563E-2</v>
      </c>
      <c r="AG420" s="2" t="s">
        <v>1169</v>
      </c>
    </row>
    <row r="421" spans="1:33" x14ac:dyDescent="0.3">
      <c r="A421" s="2">
        <v>507619</v>
      </c>
      <c r="B421" s="2" t="s">
        <v>865</v>
      </c>
      <c r="C421" s="2" t="s">
        <v>861</v>
      </c>
      <c r="D421" s="2" t="s">
        <v>866</v>
      </c>
      <c r="E421" s="3">
        <v>5.0999999999999996</v>
      </c>
      <c r="F421" s="4">
        <f t="shared" si="133"/>
        <v>0.42222222222222211</v>
      </c>
      <c r="G421" s="2">
        <v>64.603879200000009</v>
      </c>
      <c r="H421" s="2">
        <f t="shared" si="134"/>
        <v>0.22169995921380453</v>
      </c>
      <c r="I421" s="2">
        <v>1.8999999999999997</v>
      </c>
      <c r="J421" s="4">
        <f t="shared" si="135"/>
        <v>2.8831562974203338E-2</v>
      </c>
      <c r="K421" s="2">
        <v>0</v>
      </c>
      <c r="L421" s="4">
        <f t="shared" si="136"/>
        <v>0</v>
      </c>
      <c r="M421" s="2">
        <v>13803</v>
      </c>
      <c r="N421" s="2">
        <f t="shared" si="137"/>
        <v>6.4176992992765663E-2</v>
      </c>
      <c r="O421" s="2">
        <v>0.43528149999999999</v>
      </c>
      <c r="P421" s="2">
        <f t="shared" si="132"/>
        <v>0.42538237965984088</v>
      </c>
      <c r="Q421" s="2">
        <v>0.26019999999999999</v>
      </c>
      <c r="R421" s="2">
        <f t="shared" si="138"/>
        <v>0.59409380428488712</v>
      </c>
      <c r="S421" s="2">
        <f t="shared" si="139"/>
        <v>1.8872029103525843E-2</v>
      </c>
      <c r="T421" s="5">
        <f t="shared" si="140"/>
        <v>2.9513519944040365E-2</v>
      </c>
      <c r="U421" s="2" t="str">
        <f t="shared" si="141"/>
        <v>No Impact</v>
      </c>
      <c r="V421" s="2">
        <f t="shared" si="142"/>
        <v>2.1995129932915889E-2</v>
      </c>
      <c r="W421" s="2">
        <f t="shared" si="143"/>
        <v>3.2186542340014827E-2</v>
      </c>
      <c r="X421" s="2" t="s">
        <v>1170</v>
      </c>
      <c r="Y421" s="2">
        <f t="shared" si="144"/>
        <v>1.5748928274135796E-2</v>
      </c>
      <c r="Z421" s="2">
        <f t="shared" si="145"/>
        <v>2.6446149376202408E-2</v>
      </c>
      <c r="AA421" s="2" t="str">
        <f t="shared" si="146"/>
        <v>No Impact</v>
      </c>
      <c r="AB421" s="2">
        <f t="shared" si="147"/>
        <v>1.3254582454405509E-2</v>
      </c>
      <c r="AC421" s="2">
        <f t="shared" si="148"/>
        <v>2.8654685416402675E-2</v>
      </c>
      <c r="AD421" s="2" t="str">
        <f t="shared" si="149"/>
        <v>No Impact</v>
      </c>
      <c r="AE421" s="2">
        <f t="shared" si="150"/>
        <v>2.376024273269166E-3</v>
      </c>
      <c r="AF421" s="2">
        <f t="shared" si="151"/>
        <v>1.6189029101210398E-2</v>
      </c>
      <c r="AG421" s="2" t="s">
        <v>1170</v>
      </c>
    </row>
    <row r="422" spans="1:33" x14ac:dyDescent="0.3">
      <c r="A422" s="2">
        <v>507622</v>
      </c>
      <c r="B422" s="2" t="s">
        <v>867</v>
      </c>
      <c r="C422" s="2" t="s">
        <v>861</v>
      </c>
      <c r="D422" s="2" t="s">
        <v>868</v>
      </c>
      <c r="E422" s="3">
        <v>5</v>
      </c>
      <c r="F422" s="4">
        <f t="shared" si="133"/>
        <v>0.39999999999999997</v>
      </c>
      <c r="G422" s="2">
        <v>77.3374752</v>
      </c>
      <c r="H422" s="2">
        <f t="shared" si="134"/>
        <v>0.32450424921356585</v>
      </c>
      <c r="I422" s="2">
        <v>4.6000000000000005</v>
      </c>
      <c r="J422" s="4">
        <f t="shared" si="135"/>
        <v>6.9802731411229155E-2</v>
      </c>
      <c r="K422" s="2">
        <v>0</v>
      </c>
      <c r="L422" s="4">
        <f t="shared" si="136"/>
        <v>0</v>
      </c>
      <c r="M422" s="2">
        <v>30646</v>
      </c>
      <c r="N422" s="2">
        <f t="shared" si="137"/>
        <v>0.14386831509370579</v>
      </c>
      <c r="O422" s="2">
        <v>0.79541027200000003</v>
      </c>
      <c r="P422" s="2">
        <f t="shared" si="132"/>
        <v>0.84139958437783802</v>
      </c>
      <c r="Q422" s="2">
        <v>0.25369999999999998</v>
      </c>
      <c r="R422" s="2">
        <f t="shared" si="138"/>
        <v>0.57527504342790969</v>
      </c>
      <c r="S422" s="2">
        <f t="shared" si="139"/>
        <v>3.9102328651248776E-2</v>
      </c>
      <c r="T422" s="5">
        <f t="shared" si="140"/>
        <v>6.1151206909247621E-2</v>
      </c>
      <c r="U422" s="2" t="str">
        <f t="shared" si="141"/>
        <v>No Impact</v>
      </c>
      <c r="V422" s="2">
        <f t="shared" si="142"/>
        <v>3.1756895156399963E-2</v>
      </c>
      <c r="W422" s="2">
        <f t="shared" si="143"/>
        <v>4.6471407700539723E-2</v>
      </c>
      <c r="X422" s="2" t="s">
        <v>1170</v>
      </c>
      <c r="Y422" s="2">
        <f t="shared" si="144"/>
        <v>4.6447762146097582E-2</v>
      </c>
      <c r="Z422" s="2">
        <f t="shared" si="145"/>
        <v>7.7996701396077797E-2</v>
      </c>
      <c r="AA422" s="2" t="str">
        <f t="shared" si="146"/>
        <v>No Impact</v>
      </c>
      <c r="AB422" s="2">
        <f t="shared" si="147"/>
        <v>2.7828927714245871E-2</v>
      </c>
      <c r="AC422" s="2">
        <f t="shared" si="148"/>
        <v>6.0162526573025232E-2</v>
      </c>
      <c r="AD422" s="2" t="str">
        <f t="shared" si="149"/>
        <v>No Impact</v>
      </c>
      <c r="AE422" s="2">
        <f t="shared" si="150"/>
        <v>7.9419593305046048E-3</v>
      </c>
      <c r="AF422" s="2">
        <f t="shared" si="151"/>
        <v>5.4112498836245373E-2</v>
      </c>
      <c r="AG422" s="2" t="s">
        <v>1169</v>
      </c>
    </row>
    <row r="423" spans="1:33" x14ac:dyDescent="0.3">
      <c r="A423" s="2">
        <v>507633</v>
      </c>
      <c r="B423" s="2" t="s">
        <v>869</v>
      </c>
      <c r="C423" s="2" t="s">
        <v>861</v>
      </c>
      <c r="D423" s="2" t="s">
        <v>418</v>
      </c>
      <c r="E423" s="3">
        <v>5</v>
      </c>
      <c r="F423" s="4">
        <f t="shared" si="133"/>
        <v>0.39999999999999997</v>
      </c>
      <c r="G423" s="2">
        <v>77.3374752</v>
      </c>
      <c r="H423" s="2">
        <f t="shared" si="134"/>
        <v>0.32450424921356585</v>
      </c>
      <c r="I423" s="2">
        <v>5.2999999999999989</v>
      </c>
      <c r="J423" s="4">
        <f t="shared" si="135"/>
        <v>8.042488619119878E-2</v>
      </c>
      <c r="K423" s="2">
        <v>0</v>
      </c>
      <c r="L423" s="4">
        <f t="shared" si="136"/>
        <v>0</v>
      </c>
      <c r="M423" s="2">
        <v>16518</v>
      </c>
      <c r="N423" s="2">
        <f t="shared" si="137"/>
        <v>7.7022800717283402E-2</v>
      </c>
      <c r="O423" s="2">
        <v>0.59002752400000003</v>
      </c>
      <c r="P423" s="2">
        <f t="shared" si="132"/>
        <v>0.60414346000391317</v>
      </c>
      <c r="Q423" s="2">
        <v>0.24990000000000001</v>
      </c>
      <c r="R423" s="2">
        <f t="shared" si="138"/>
        <v>0.56427330631152295</v>
      </c>
      <c r="S423" s="2">
        <f t="shared" si="139"/>
        <v>3.3118819368357824E-2</v>
      </c>
      <c r="T423" s="5">
        <f t="shared" si="140"/>
        <v>5.1793738266781415E-2</v>
      </c>
      <c r="U423" s="2" t="str">
        <f t="shared" si="141"/>
        <v>No Impact</v>
      </c>
      <c r="V423" s="2">
        <f t="shared" si="142"/>
        <v>3.19886982879398E-2</v>
      </c>
      <c r="W423" s="2">
        <f t="shared" si="143"/>
        <v>4.6810616485875867E-2</v>
      </c>
      <c r="X423" s="2" t="s">
        <v>1170</v>
      </c>
      <c r="Y423" s="2">
        <f t="shared" si="144"/>
        <v>3.4248940448775855E-2</v>
      </c>
      <c r="Z423" s="2">
        <f t="shared" si="145"/>
        <v>5.7512014742773926E-2</v>
      </c>
      <c r="AA423" s="2" t="str">
        <f t="shared" si="146"/>
        <v>No Impact</v>
      </c>
      <c r="AB423" s="2">
        <f t="shared" si="147"/>
        <v>2.2998976564355934E-2</v>
      </c>
      <c r="AC423" s="2">
        <f t="shared" si="148"/>
        <v>4.9720799626682431E-2</v>
      </c>
      <c r="AD423" s="2" t="str">
        <f t="shared" si="149"/>
        <v>No Impact</v>
      </c>
      <c r="AE423" s="2">
        <f t="shared" si="150"/>
        <v>4.366428654126427E-3</v>
      </c>
      <c r="AF423" s="2">
        <f t="shared" si="151"/>
        <v>2.9750639059234824E-2</v>
      </c>
      <c r="AG423" s="2" t="s">
        <v>1170</v>
      </c>
    </row>
    <row r="424" spans="1:33" x14ac:dyDescent="0.3">
      <c r="A424" s="2">
        <v>507639</v>
      </c>
      <c r="B424" s="2" t="s">
        <v>870</v>
      </c>
      <c r="C424" s="2" t="s">
        <v>861</v>
      </c>
      <c r="D424" s="2" t="s">
        <v>871</v>
      </c>
      <c r="E424" s="3">
        <v>5.0999999999999996</v>
      </c>
      <c r="F424" s="4">
        <f t="shared" si="133"/>
        <v>0.42222222222222211</v>
      </c>
      <c r="G424" s="2">
        <v>80.536694400000002</v>
      </c>
      <c r="H424" s="2">
        <f t="shared" si="134"/>
        <v>0.35033304560459355</v>
      </c>
      <c r="I424" s="2">
        <v>7.3000000000000007</v>
      </c>
      <c r="J424" s="4">
        <f t="shared" si="135"/>
        <v>0.11077389984825496</v>
      </c>
      <c r="K424" s="2">
        <v>0</v>
      </c>
      <c r="L424" s="4">
        <f t="shared" si="136"/>
        <v>0</v>
      </c>
      <c r="M424" s="2">
        <v>58204</v>
      </c>
      <c r="N424" s="2">
        <f t="shared" si="137"/>
        <v>0.27425681206323071</v>
      </c>
      <c r="O424" s="2">
        <v>0.76685145899999996</v>
      </c>
      <c r="P424" s="2">
        <f t="shared" si="132"/>
        <v>0.80840872533499541</v>
      </c>
      <c r="Q424" s="2">
        <v>0.21820000000000001</v>
      </c>
      <c r="R424" s="2">
        <f t="shared" si="138"/>
        <v>0.47249565720903308</v>
      </c>
      <c r="S424" s="2">
        <f t="shared" si="139"/>
        <v>4.3641283146956568E-2</v>
      </c>
      <c r="T424" s="5">
        <f t="shared" si="140"/>
        <v>6.8249570487392802E-2</v>
      </c>
      <c r="U424" s="2" t="str">
        <f t="shared" si="141"/>
        <v>No Impact</v>
      </c>
      <c r="V424" s="2">
        <f t="shared" si="142"/>
        <v>3.219649654256368E-2</v>
      </c>
      <c r="W424" s="2">
        <f t="shared" si="143"/>
        <v>4.7114697768461222E-2</v>
      </c>
      <c r="X424" s="2" t="s">
        <v>1170</v>
      </c>
      <c r="Y424" s="2">
        <f t="shared" si="144"/>
        <v>5.5086069751349442E-2</v>
      </c>
      <c r="Z424" s="2">
        <f t="shared" si="145"/>
        <v>9.2502448664052564E-2</v>
      </c>
      <c r="AA424" s="2" t="str">
        <f t="shared" si="146"/>
        <v>No Impact</v>
      </c>
      <c r="AB424" s="2">
        <f t="shared" si="147"/>
        <v>3.4335475945267924E-2</v>
      </c>
      <c r="AC424" s="2">
        <f t="shared" si="148"/>
        <v>7.4228838608725686E-2</v>
      </c>
      <c r="AD424" s="2" t="str">
        <f t="shared" si="149"/>
        <v>No Impact</v>
      </c>
      <c r="AE424" s="2">
        <f t="shared" si="150"/>
        <v>1.8688232085616582E-2</v>
      </c>
      <c r="AF424" s="2">
        <f t="shared" si="151"/>
        <v>0.1273321726919695</v>
      </c>
      <c r="AG424" s="2" t="s">
        <v>1169</v>
      </c>
    </row>
    <row r="425" spans="1:33" x14ac:dyDescent="0.3">
      <c r="A425" s="2">
        <v>507655</v>
      </c>
      <c r="B425" s="2" t="s">
        <v>872</v>
      </c>
      <c r="C425" s="2" t="s">
        <v>861</v>
      </c>
      <c r="D425" s="2" t="s">
        <v>873</v>
      </c>
      <c r="E425" s="3">
        <v>5.0999999999999996</v>
      </c>
      <c r="F425" s="4">
        <f t="shared" si="133"/>
        <v>0.42222222222222211</v>
      </c>
      <c r="G425" s="2">
        <v>91.523019599999998</v>
      </c>
      <c r="H425" s="2">
        <f t="shared" si="134"/>
        <v>0.43903079931787975</v>
      </c>
      <c r="I425" s="2">
        <v>11.7</v>
      </c>
      <c r="J425" s="4">
        <f t="shared" si="135"/>
        <v>0.17754172989377848</v>
      </c>
      <c r="K425" s="2">
        <v>0</v>
      </c>
      <c r="L425" s="4">
        <f t="shared" si="136"/>
        <v>0</v>
      </c>
      <c r="M425" s="2">
        <v>95538</v>
      </c>
      <c r="N425" s="2">
        <f t="shared" si="137"/>
        <v>0.45089967968280553</v>
      </c>
      <c r="O425" s="2">
        <v>0.44126817699999998</v>
      </c>
      <c r="P425" s="2">
        <f t="shared" si="132"/>
        <v>0.43229812987123895</v>
      </c>
      <c r="Q425" s="2">
        <v>0.24340000000000001</v>
      </c>
      <c r="R425" s="2">
        <f t="shared" si="138"/>
        <v>0.54545454545454553</v>
      </c>
      <c r="S425" s="2">
        <f t="shared" si="139"/>
        <v>4.4544318619937878E-2</v>
      </c>
      <c r="T425" s="5">
        <f t="shared" si="140"/>
        <v>6.9661806304527618E-2</v>
      </c>
      <c r="U425" s="2" t="str">
        <f t="shared" si="141"/>
        <v>No Impact</v>
      </c>
      <c r="V425" s="2">
        <f t="shared" si="142"/>
        <v>4.9699482657666987E-2</v>
      </c>
      <c r="W425" s="2">
        <f t="shared" si="143"/>
        <v>7.2727667793584402E-2</v>
      </c>
      <c r="X425" s="2" t="s">
        <v>1170</v>
      </c>
      <c r="Y425" s="2">
        <f t="shared" si="144"/>
        <v>3.9389154582208763E-2</v>
      </c>
      <c r="Z425" s="2">
        <f t="shared" si="145"/>
        <v>6.6143641506969914E-2</v>
      </c>
      <c r="AA425" s="2" t="str">
        <f t="shared" si="146"/>
        <v>No Impact</v>
      </c>
      <c r="AB425" s="2">
        <f t="shared" si="147"/>
        <v>4.3590982158406281E-2</v>
      </c>
      <c r="AC425" s="2">
        <f t="shared" si="148"/>
        <v>9.4238040695577494E-2</v>
      </c>
      <c r="AD425" s="2" t="str">
        <f t="shared" si="149"/>
        <v>No Impact</v>
      </c>
      <c r="AE425" s="2">
        <f t="shared" si="150"/>
        <v>4.1084048153029185E-2</v>
      </c>
      <c r="AF425" s="2">
        <f t="shared" si="151"/>
        <v>0.27992594967466156</v>
      </c>
      <c r="AG425" s="2" t="s">
        <v>1169</v>
      </c>
    </row>
    <row r="426" spans="1:33" x14ac:dyDescent="0.3">
      <c r="A426" s="2">
        <v>507672</v>
      </c>
      <c r="B426" s="2" t="s">
        <v>874</v>
      </c>
      <c r="C426" s="2" t="s">
        <v>861</v>
      </c>
      <c r="D426" s="2" t="s">
        <v>875</v>
      </c>
      <c r="E426" s="3">
        <v>5</v>
      </c>
      <c r="F426" s="4">
        <f t="shared" si="133"/>
        <v>0.39999999999999997</v>
      </c>
      <c r="G426" s="2">
        <v>76.940207999999998</v>
      </c>
      <c r="H426" s="2">
        <f t="shared" si="134"/>
        <v>0.32129692486966543</v>
      </c>
      <c r="I426" s="2">
        <v>4.8000000000000007</v>
      </c>
      <c r="J426" s="4">
        <f t="shared" si="135"/>
        <v>7.2837632776934766E-2</v>
      </c>
      <c r="K426" s="2">
        <v>0</v>
      </c>
      <c r="L426" s="4">
        <f t="shared" si="136"/>
        <v>0</v>
      </c>
      <c r="M426" s="2">
        <v>62096</v>
      </c>
      <c r="N426" s="2">
        <f t="shared" si="137"/>
        <v>0.29267150217881932</v>
      </c>
      <c r="O426" s="2">
        <v>0.40221934999999998</v>
      </c>
      <c r="P426" s="2">
        <f t="shared" si="132"/>
        <v>0.38718931014034375</v>
      </c>
      <c r="Q426" s="2">
        <v>0.27260000000000001</v>
      </c>
      <c r="R426" s="2">
        <f t="shared" si="138"/>
        <v>0.62999420961204411</v>
      </c>
      <c r="S426" s="2">
        <f t="shared" si="139"/>
        <v>2.8063502362211345E-2</v>
      </c>
      <c r="T426" s="5">
        <f t="shared" si="140"/>
        <v>4.3887847571833533E-2</v>
      </c>
      <c r="U426" s="2" t="str">
        <f t="shared" si="141"/>
        <v>No Impact</v>
      </c>
      <c r="V426" s="2">
        <f t="shared" si="142"/>
        <v>3.4762348477550754E-2</v>
      </c>
      <c r="W426" s="2">
        <f t="shared" si="143"/>
        <v>5.0869433575685533E-2</v>
      </c>
      <c r="X426" s="2" t="s">
        <v>1170</v>
      </c>
      <c r="Y426" s="2">
        <f t="shared" si="144"/>
        <v>2.1364656246871932E-2</v>
      </c>
      <c r="Z426" s="2">
        <f t="shared" si="145"/>
        <v>3.5876275556089895E-2</v>
      </c>
      <c r="AA426" s="2" t="str">
        <f t="shared" si="146"/>
        <v>No Impact</v>
      </c>
      <c r="AB426" s="2">
        <f t="shared" si="147"/>
        <v>2.4228464540508074E-2</v>
      </c>
      <c r="AC426" s="2">
        <f t="shared" si="148"/>
        <v>5.2378792913236646E-2</v>
      </c>
      <c r="AD426" s="2" t="str">
        <f t="shared" si="149"/>
        <v>No Impact</v>
      </c>
      <c r="AE426" s="2">
        <f t="shared" si="150"/>
        <v>1.6149273426582091E-2</v>
      </c>
      <c r="AF426" s="2">
        <f t="shared" si="151"/>
        <v>0.11003299099576333</v>
      </c>
      <c r="AG426" s="2" t="s">
        <v>1169</v>
      </c>
    </row>
    <row r="427" spans="1:33" x14ac:dyDescent="0.3">
      <c r="A427" s="2">
        <v>507683</v>
      </c>
      <c r="B427" s="2" t="s">
        <v>876</v>
      </c>
      <c r="C427" s="2" t="s">
        <v>861</v>
      </c>
      <c r="D427" s="2" t="s">
        <v>877</v>
      </c>
      <c r="E427" s="3">
        <v>5</v>
      </c>
      <c r="F427" s="4">
        <f t="shared" si="133"/>
        <v>0.39999999999999997</v>
      </c>
      <c r="G427" s="2">
        <v>85.300365599999992</v>
      </c>
      <c r="H427" s="2">
        <f t="shared" si="134"/>
        <v>0.38879239640450197</v>
      </c>
      <c r="I427" s="2">
        <v>10.700000000000001</v>
      </c>
      <c r="J427" s="4">
        <f t="shared" si="135"/>
        <v>0.16236722306525042</v>
      </c>
      <c r="K427" s="2">
        <v>0</v>
      </c>
      <c r="L427" s="4">
        <f t="shared" si="136"/>
        <v>0</v>
      </c>
      <c r="M427" s="2">
        <v>30851</v>
      </c>
      <c r="N427" s="2">
        <f t="shared" si="137"/>
        <v>0.1448382563767725</v>
      </c>
      <c r="O427" s="2">
        <v>0.44990489500000003</v>
      </c>
      <c r="P427" s="2">
        <f t="shared" si="132"/>
        <v>0.44227518130299076</v>
      </c>
      <c r="Q427" s="2">
        <v>0.23960000000000001</v>
      </c>
      <c r="R427" s="2">
        <f t="shared" si="138"/>
        <v>0.53445280833815867</v>
      </c>
      <c r="S427" s="2">
        <f t="shared" si="139"/>
        <v>3.7683311896725045E-2</v>
      </c>
      <c r="T427" s="5">
        <f t="shared" si="140"/>
        <v>5.893204017016395E-2</v>
      </c>
      <c r="U427" s="2" t="str">
        <f t="shared" si="141"/>
        <v>No Impact</v>
      </c>
      <c r="V427" s="2">
        <f t="shared" si="142"/>
        <v>4.1239632905547996E-2</v>
      </c>
      <c r="W427" s="2">
        <f t="shared" si="143"/>
        <v>6.0347958600357368E-2</v>
      </c>
      <c r="X427" s="2" t="s">
        <v>1170</v>
      </c>
      <c r="Y427" s="2">
        <f t="shared" si="144"/>
        <v>3.4126990887902095E-2</v>
      </c>
      <c r="Z427" s="2">
        <f t="shared" si="145"/>
        <v>5.7307232788910673E-2</v>
      </c>
      <c r="AA427" s="2" t="str">
        <f t="shared" si="146"/>
        <v>No Impact</v>
      </c>
      <c r="AB427" s="2">
        <f t="shared" si="147"/>
        <v>2.8583589698507359E-2</v>
      </c>
      <c r="AC427" s="2">
        <f t="shared" si="148"/>
        <v>6.1794007747865531E-2</v>
      </c>
      <c r="AD427" s="2" t="str">
        <f t="shared" si="149"/>
        <v>No Impact</v>
      </c>
      <c r="AE427" s="2">
        <f t="shared" si="150"/>
        <v>1.1176059757699809E-2</v>
      </c>
      <c r="AF427" s="2">
        <f t="shared" si="151"/>
        <v>7.6148025375737477E-2</v>
      </c>
      <c r="AG427" s="2" t="s">
        <v>1169</v>
      </c>
    </row>
    <row r="428" spans="1:33" x14ac:dyDescent="0.3">
      <c r="A428" s="2">
        <v>508110</v>
      </c>
      <c r="B428" s="2" t="s">
        <v>878</v>
      </c>
      <c r="C428" s="2" t="s">
        <v>879</v>
      </c>
      <c r="D428" s="2" t="s">
        <v>880</v>
      </c>
      <c r="E428" s="3">
        <v>4.3</v>
      </c>
      <c r="F428" s="4">
        <f t="shared" si="133"/>
        <v>0.24444444444444435</v>
      </c>
      <c r="G428" s="2">
        <v>82.9413792</v>
      </c>
      <c r="H428" s="2">
        <f t="shared" si="134"/>
        <v>0.36974719330782035</v>
      </c>
      <c r="I428" s="2">
        <v>5.7</v>
      </c>
      <c r="J428" s="4">
        <f t="shared" si="135"/>
        <v>8.649468892261003E-2</v>
      </c>
      <c r="K428" s="2">
        <v>0</v>
      </c>
      <c r="L428" s="4">
        <f t="shared" si="136"/>
        <v>0</v>
      </c>
      <c r="M428" s="2">
        <v>16015</v>
      </c>
      <c r="N428" s="2">
        <f t="shared" si="137"/>
        <v>7.4642896008100187E-2</v>
      </c>
      <c r="O428" s="2">
        <v>0.46798931599999999</v>
      </c>
      <c r="P428" s="2">
        <f t="shared" si="132"/>
        <v>0.46316612603806856</v>
      </c>
      <c r="Q428" s="2">
        <v>0.24279999999999999</v>
      </c>
      <c r="R428" s="2">
        <f t="shared" si="138"/>
        <v>0.54371742906774756</v>
      </c>
      <c r="S428" s="2">
        <f t="shared" si="139"/>
        <v>1.9651360291312522E-2</v>
      </c>
      <c r="T428" s="5">
        <f t="shared" si="140"/>
        <v>3.0732297555476837E-2</v>
      </c>
      <c r="U428" s="2" t="str">
        <f t="shared" si="141"/>
        <v>No Impact</v>
      </c>
      <c r="V428" s="2">
        <f t="shared" si="142"/>
        <v>2.1223481188256316E-2</v>
      </c>
      <c r="W428" s="2">
        <f t="shared" si="143"/>
        <v>3.1057351238741253E-2</v>
      </c>
      <c r="X428" s="2" t="s">
        <v>1170</v>
      </c>
      <c r="Y428" s="2">
        <f t="shared" si="144"/>
        <v>1.8079239394368722E-2</v>
      </c>
      <c r="Z428" s="2">
        <f t="shared" si="145"/>
        <v>3.0359289045516654E-2</v>
      </c>
      <c r="AA428" s="2" t="str">
        <f t="shared" si="146"/>
        <v>No Impact</v>
      </c>
      <c r="AB428" s="2">
        <f t="shared" si="147"/>
        <v>1.3871754738886867E-2</v>
      </c>
      <c r="AC428" s="2">
        <f t="shared" si="148"/>
        <v>2.99889317210577E-2</v>
      </c>
      <c r="AD428" s="2" t="str">
        <f t="shared" si="149"/>
        <v>No Impact</v>
      </c>
      <c r="AE428" s="2">
        <f t="shared" si="150"/>
        <v>2.9136128705329707E-3</v>
      </c>
      <c r="AF428" s="2">
        <f t="shared" si="151"/>
        <v>1.985188622918415E-2</v>
      </c>
      <c r="AG428" s="2" t="s">
        <v>1170</v>
      </c>
    </row>
    <row r="429" spans="1:33" x14ac:dyDescent="0.3">
      <c r="A429" s="2">
        <v>508112</v>
      </c>
      <c r="B429" s="2" t="s">
        <v>881</v>
      </c>
      <c r="C429" s="2" t="s">
        <v>879</v>
      </c>
      <c r="D429" s="2" t="s">
        <v>882</v>
      </c>
      <c r="E429" s="3">
        <v>4.5999999999999996</v>
      </c>
      <c r="F429" s="4">
        <f t="shared" si="133"/>
        <v>0.31111111111111101</v>
      </c>
      <c r="G429" s="2">
        <v>60.828098400000002</v>
      </c>
      <c r="H429" s="2">
        <f t="shared" si="134"/>
        <v>0.19121631073471571</v>
      </c>
      <c r="I429" s="2">
        <v>0</v>
      </c>
      <c r="J429" s="4">
        <f t="shared" si="135"/>
        <v>0</v>
      </c>
      <c r="K429" s="2">
        <v>0</v>
      </c>
      <c r="L429" s="4">
        <f t="shared" si="136"/>
        <v>0</v>
      </c>
      <c r="M429" s="2">
        <v>22499</v>
      </c>
      <c r="N429" s="2">
        <f t="shared" si="137"/>
        <v>0.10532142907836653</v>
      </c>
      <c r="O429" s="2">
        <v>0.53453666399999999</v>
      </c>
      <c r="P429" s="2">
        <f t="shared" si="132"/>
        <v>0.54004096595326367</v>
      </c>
      <c r="Q429" s="2">
        <v>0.24099999999999999</v>
      </c>
      <c r="R429" s="2">
        <f t="shared" si="138"/>
        <v>0.53850607990735377</v>
      </c>
      <c r="S429" s="2">
        <f t="shared" si="139"/>
        <v>1.1228392851223753E-2</v>
      </c>
      <c r="T429" s="5">
        <f t="shared" si="140"/>
        <v>1.7559818000291199E-2</v>
      </c>
      <c r="U429" s="2" t="str">
        <f t="shared" si="141"/>
        <v>No Impact</v>
      </c>
      <c r="V429" s="2">
        <f t="shared" si="142"/>
        <v>1.1212413665548466E-2</v>
      </c>
      <c r="W429" s="2">
        <f t="shared" si="143"/>
        <v>1.6407669710550948E-2</v>
      </c>
      <c r="X429" s="2" t="s">
        <v>1170</v>
      </c>
      <c r="Y429" s="2">
        <f t="shared" si="144"/>
        <v>1.1244372036899038E-2</v>
      </c>
      <c r="Z429" s="2">
        <f t="shared" si="145"/>
        <v>1.8881941510762463E-2</v>
      </c>
      <c r="AA429" s="2" t="str">
        <f t="shared" si="146"/>
        <v>No Impact</v>
      </c>
      <c r="AB429" s="2">
        <f t="shared" si="147"/>
        <v>8.0651827343025551E-3</v>
      </c>
      <c r="AC429" s="2">
        <f t="shared" si="148"/>
        <v>1.7435877355791631E-2</v>
      </c>
      <c r="AD429" s="2" t="str">
        <f t="shared" si="149"/>
        <v>No Impact</v>
      </c>
      <c r="AE429" s="2">
        <f t="shared" si="150"/>
        <v>2.1929324008310874E-3</v>
      </c>
      <c r="AF429" s="2">
        <f t="shared" si="151"/>
        <v>1.4941533574989665E-2</v>
      </c>
      <c r="AG429" s="2" t="s">
        <v>1170</v>
      </c>
    </row>
    <row r="430" spans="1:33" x14ac:dyDescent="0.3">
      <c r="A430" s="2">
        <v>508122</v>
      </c>
      <c r="B430" s="2" t="s">
        <v>883</v>
      </c>
      <c r="C430" s="2" t="s">
        <v>879</v>
      </c>
      <c r="D430" s="2" t="s">
        <v>884</v>
      </c>
      <c r="E430" s="3">
        <v>4.5999999999999996</v>
      </c>
      <c r="F430" s="4">
        <f t="shared" si="133"/>
        <v>0.31111111111111101</v>
      </c>
      <c r="G430" s="2">
        <v>68.087865600000001</v>
      </c>
      <c r="H430" s="2">
        <f t="shared" si="134"/>
        <v>0.24982781470889201</v>
      </c>
      <c r="I430" s="2">
        <v>1.2</v>
      </c>
      <c r="J430" s="4">
        <f t="shared" si="135"/>
        <v>1.8209408194233688E-2</v>
      </c>
      <c r="K430" s="2">
        <v>0</v>
      </c>
      <c r="L430" s="4">
        <f t="shared" si="136"/>
        <v>0</v>
      </c>
      <c r="M430" s="2">
        <v>27245</v>
      </c>
      <c r="N430" s="2">
        <f t="shared" si="137"/>
        <v>0.12777675263658431</v>
      </c>
      <c r="O430" s="2">
        <v>0.86567191799999998</v>
      </c>
      <c r="P430" s="2">
        <f t="shared" si="132"/>
        <v>0.9225651447008143</v>
      </c>
      <c r="Q430" s="2">
        <v>0.19739999999999999</v>
      </c>
      <c r="R430" s="2">
        <f t="shared" si="138"/>
        <v>0.41227562246670529</v>
      </c>
      <c r="S430" s="2">
        <f t="shared" si="139"/>
        <v>1.9479515111359466E-2</v>
      </c>
      <c r="T430" s="5">
        <f t="shared" si="140"/>
        <v>3.046355294311906E-2</v>
      </c>
      <c r="U430" s="2" t="str">
        <f t="shared" si="141"/>
        <v>No Impact</v>
      </c>
      <c r="V430" s="2">
        <f t="shared" si="142"/>
        <v>1.2032789850922274E-2</v>
      </c>
      <c r="W430" s="2">
        <f t="shared" si="143"/>
        <v>1.7608166043412275E-2</v>
      </c>
      <c r="X430" s="2" t="s">
        <v>1170</v>
      </c>
      <c r="Y430" s="2">
        <f t="shared" si="144"/>
        <v>2.692624037179666E-2</v>
      </c>
      <c r="Z430" s="2">
        <f t="shared" si="145"/>
        <v>4.5215481499241365E-2</v>
      </c>
      <c r="AA430" s="2" t="str">
        <f t="shared" si="146"/>
        <v>No Impact</v>
      </c>
      <c r="AB430" s="2">
        <f t="shared" si="147"/>
        <v>1.3594613180851053E-2</v>
      </c>
      <c r="AC430" s="2">
        <f t="shared" si="148"/>
        <v>2.9389787674940396E-2</v>
      </c>
      <c r="AD430" s="2" t="str">
        <f t="shared" si="149"/>
        <v>No Impact</v>
      </c>
      <c r="AE430" s="2">
        <f t="shared" si="150"/>
        <v>3.7293274899693214E-3</v>
      </c>
      <c r="AF430" s="2">
        <f t="shared" si="151"/>
        <v>2.5409753571241332E-2</v>
      </c>
      <c r="AG430" s="2" t="s">
        <v>1170</v>
      </c>
    </row>
    <row r="431" spans="1:33" x14ac:dyDescent="0.3">
      <c r="A431" s="2">
        <v>508125</v>
      </c>
      <c r="B431" s="2" t="s">
        <v>885</v>
      </c>
      <c r="C431" s="2" t="s">
        <v>879</v>
      </c>
      <c r="D431" s="2" t="s">
        <v>886</v>
      </c>
      <c r="E431" s="3">
        <v>4.5999999999999996</v>
      </c>
      <c r="F431" s="4">
        <f t="shared" si="133"/>
        <v>0.31111111111111101</v>
      </c>
      <c r="G431" s="2">
        <v>66.576146399999999</v>
      </c>
      <c r="H431" s="2">
        <f t="shared" si="134"/>
        <v>0.23762299691547314</v>
      </c>
      <c r="I431" s="2">
        <v>2.6</v>
      </c>
      <c r="J431" s="4">
        <f t="shared" si="135"/>
        <v>3.9453717754172994E-2</v>
      </c>
      <c r="K431" s="2">
        <v>0</v>
      </c>
      <c r="L431" s="4">
        <f t="shared" si="136"/>
        <v>0</v>
      </c>
      <c r="M431" s="2">
        <v>29401</v>
      </c>
      <c r="N431" s="2">
        <f t="shared" si="137"/>
        <v>0.13797769608191035</v>
      </c>
      <c r="O431" s="2">
        <v>0.39844107499999998</v>
      </c>
      <c r="P431" s="2">
        <f t="shared" si="132"/>
        <v>0.38282468413330012</v>
      </c>
      <c r="Q431" s="2">
        <v>0.27479999999999999</v>
      </c>
      <c r="R431" s="2">
        <f t="shared" si="138"/>
        <v>0.63636363636363635</v>
      </c>
      <c r="S431" s="2">
        <f t="shared" si="139"/>
        <v>1.5374749135750342E-2</v>
      </c>
      <c r="T431" s="5">
        <f t="shared" si="140"/>
        <v>2.4044206521905427E-2</v>
      </c>
      <c r="U431" s="2" t="str">
        <f t="shared" si="141"/>
        <v>No Impact</v>
      </c>
      <c r="V431" s="2">
        <f t="shared" si="142"/>
        <v>1.9199457198320929E-2</v>
      </c>
      <c r="W431" s="2">
        <f t="shared" si="143"/>
        <v>2.8095498590088832E-2</v>
      </c>
      <c r="X431" s="2" t="s">
        <v>1170</v>
      </c>
      <c r="Y431" s="2">
        <f t="shared" si="144"/>
        <v>1.1550041073179753E-2</v>
      </c>
      <c r="Z431" s="2">
        <f t="shared" si="145"/>
        <v>1.9395231612314035E-2</v>
      </c>
      <c r="AA431" s="2" t="str">
        <f t="shared" si="146"/>
        <v>No Impact</v>
      </c>
      <c r="AB431" s="2">
        <f t="shared" si="147"/>
        <v>1.1641825620002414E-2</v>
      </c>
      <c r="AC431" s="2">
        <f t="shared" si="148"/>
        <v>2.516811464724095E-2</v>
      </c>
      <c r="AD431" s="2" t="str">
        <f t="shared" si="149"/>
        <v>No Impact</v>
      </c>
      <c r="AE431" s="2">
        <f t="shared" si="150"/>
        <v>4.1628665103890404E-3</v>
      </c>
      <c r="AF431" s="2">
        <f t="shared" si="151"/>
        <v>2.8363669445353273E-2</v>
      </c>
      <c r="AG431" s="2" t="s">
        <v>1170</v>
      </c>
    </row>
    <row r="432" spans="1:33" x14ac:dyDescent="0.3">
      <c r="A432" s="2">
        <v>508131</v>
      </c>
      <c r="B432" s="2" t="s">
        <v>887</v>
      </c>
      <c r="C432" s="2" t="s">
        <v>879</v>
      </c>
      <c r="D432" s="2" t="s">
        <v>1157</v>
      </c>
      <c r="E432" s="3">
        <v>4.5</v>
      </c>
      <c r="F432" s="4">
        <f t="shared" si="133"/>
        <v>0.28888888888888886</v>
      </c>
      <c r="G432" s="2">
        <v>60.828098400000002</v>
      </c>
      <c r="H432" s="2">
        <f t="shared" si="134"/>
        <v>0.19121631073471571</v>
      </c>
      <c r="I432" s="2">
        <v>0.10000000000000026</v>
      </c>
      <c r="J432" s="4">
        <f t="shared" si="135"/>
        <v>1.5174506828528115E-3</v>
      </c>
      <c r="K432" s="2">
        <v>0</v>
      </c>
      <c r="L432" s="4">
        <f t="shared" si="136"/>
        <v>0</v>
      </c>
      <c r="M432" s="2">
        <v>23168</v>
      </c>
      <c r="N432" s="2">
        <f t="shared" si="137"/>
        <v>0.10848674965578912</v>
      </c>
      <c r="O432" s="2">
        <v>0.50848118200000003</v>
      </c>
      <c r="P432" s="2">
        <f t="shared" si="132"/>
        <v>0.50994193018607958</v>
      </c>
      <c r="Q432" s="2">
        <v>0.2331</v>
      </c>
      <c r="R432" s="2">
        <f t="shared" si="138"/>
        <v>0.51563404748118125</v>
      </c>
      <c r="S432" s="2">
        <f t="shared" si="139"/>
        <v>9.992968631874077E-3</v>
      </c>
      <c r="T432" s="5">
        <f t="shared" si="140"/>
        <v>1.5627767284540923E-2</v>
      </c>
      <c r="U432" s="2" t="str">
        <f t="shared" si="141"/>
        <v>No Impact</v>
      </c>
      <c r="V432" s="2">
        <f t="shared" si="142"/>
        <v>1.0048431270252444E-2</v>
      </c>
      <c r="W432" s="2">
        <f t="shared" si="143"/>
        <v>1.4704357715418732E-2</v>
      </c>
      <c r="X432" s="2" t="s">
        <v>1170</v>
      </c>
      <c r="Y432" s="2">
        <f t="shared" si="144"/>
        <v>9.9375059934957103E-3</v>
      </c>
      <c r="Z432" s="2">
        <f t="shared" si="145"/>
        <v>1.6687406492446901E-2</v>
      </c>
      <c r="AA432" s="2" t="str">
        <f t="shared" si="146"/>
        <v>No Impact</v>
      </c>
      <c r="AB432" s="2">
        <f t="shared" si="147"/>
        <v>7.2381511198651508E-3</v>
      </c>
      <c r="AC432" s="2">
        <f t="shared" si="148"/>
        <v>1.5647942441761452E-2</v>
      </c>
      <c r="AD432" s="2" t="str">
        <f t="shared" si="149"/>
        <v>No Impact</v>
      </c>
      <c r="AE432" s="2">
        <f t="shared" si="150"/>
        <v>2.1141382206516638E-3</v>
      </c>
      <c r="AF432" s="2">
        <f t="shared" si="151"/>
        <v>1.440466983572508E-2</v>
      </c>
      <c r="AG432" s="2" t="s">
        <v>1170</v>
      </c>
    </row>
    <row r="433" spans="1:33" x14ac:dyDescent="0.3">
      <c r="A433" s="2">
        <v>508134</v>
      </c>
      <c r="B433" s="2" t="s">
        <v>888</v>
      </c>
      <c r="C433" s="2" t="s">
        <v>879</v>
      </c>
      <c r="D433" s="2" t="s">
        <v>889</v>
      </c>
      <c r="E433" s="3">
        <v>4.7</v>
      </c>
      <c r="F433" s="4">
        <f t="shared" si="133"/>
        <v>0.33333333333333331</v>
      </c>
      <c r="G433" s="2">
        <v>69.4308348</v>
      </c>
      <c r="H433" s="2">
        <f t="shared" si="134"/>
        <v>0.26067023464255001</v>
      </c>
      <c r="I433" s="2">
        <v>0.79999999999999993</v>
      </c>
      <c r="J433" s="4">
        <f t="shared" si="135"/>
        <v>1.2139605462822459E-2</v>
      </c>
      <c r="K433" s="2">
        <v>0</v>
      </c>
      <c r="L433" s="4">
        <f t="shared" si="136"/>
        <v>0</v>
      </c>
      <c r="M433" s="2">
        <v>52038</v>
      </c>
      <c r="N433" s="2">
        <f t="shared" si="137"/>
        <v>0.24508287083694105</v>
      </c>
      <c r="O433" s="2">
        <v>0.58318782499999999</v>
      </c>
      <c r="P433" s="2">
        <f t="shared" si="132"/>
        <v>0.5962423071932389</v>
      </c>
      <c r="Q433" s="2">
        <v>0.2021</v>
      </c>
      <c r="R433" s="2">
        <f t="shared" si="138"/>
        <v>0.42588303416328899</v>
      </c>
      <c r="S433" s="2">
        <f t="shared" si="139"/>
        <v>1.6266007971682209E-2</v>
      </c>
      <c r="T433" s="5">
        <f t="shared" si="140"/>
        <v>2.5438025134905708E-2</v>
      </c>
      <c r="U433" s="2" t="str">
        <f t="shared" si="141"/>
        <v>No Impact</v>
      </c>
      <c r="V433" s="2">
        <f t="shared" si="142"/>
        <v>1.3554926286262403E-2</v>
      </c>
      <c r="W433" s="2">
        <f t="shared" si="143"/>
        <v>1.9835582247489204E-2</v>
      </c>
      <c r="X433" s="2" t="s">
        <v>1170</v>
      </c>
      <c r="Y433" s="2">
        <f t="shared" si="144"/>
        <v>1.8977089657102018E-2</v>
      </c>
      <c r="Z433" s="2">
        <f t="shared" si="145"/>
        <v>3.1866990506364809E-2</v>
      </c>
      <c r="AA433" s="2" t="str">
        <f t="shared" si="146"/>
        <v>No Impact</v>
      </c>
      <c r="AB433" s="2">
        <f t="shared" si="147"/>
        <v>1.3167509365217432E-2</v>
      </c>
      <c r="AC433" s="2">
        <f t="shared" si="148"/>
        <v>2.8466444708896314E-2</v>
      </c>
      <c r="AD433" s="2" t="str">
        <f t="shared" si="149"/>
        <v>No Impact</v>
      </c>
      <c r="AE433" s="2">
        <f t="shared" si="150"/>
        <v>7.8004521939856785E-3</v>
      </c>
      <c r="AF433" s="2">
        <f t="shared" si="151"/>
        <v>5.3148340693205086E-2</v>
      </c>
      <c r="AG433" s="2" t="s">
        <v>1169</v>
      </c>
    </row>
    <row r="434" spans="1:33" x14ac:dyDescent="0.3">
      <c r="A434" s="2">
        <v>508140</v>
      </c>
      <c r="B434" s="2" t="s">
        <v>890</v>
      </c>
      <c r="C434" s="2" t="s">
        <v>879</v>
      </c>
      <c r="D434" s="2" t="s">
        <v>891</v>
      </c>
      <c r="E434" s="3">
        <v>3.6</v>
      </c>
      <c r="F434" s="4">
        <f t="shared" si="133"/>
        <v>8.8888888888888865E-2</v>
      </c>
      <c r="G434" s="2">
        <v>68.087865600000001</v>
      </c>
      <c r="H434" s="2">
        <f t="shared" si="134"/>
        <v>0.24982781470889201</v>
      </c>
      <c r="I434" s="2">
        <v>1.6</v>
      </c>
      <c r="J434" s="4">
        <f t="shared" si="135"/>
        <v>2.4279210925644921E-2</v>
      </c>
      <c r="K434" s="2">
        <v>0</v>
      </c>
      <c r="L434" s="4">
        <f t="shared" si="136"/>
        <v>0</v>
      </c>
      <c r="M434" s="2">
        <v>7843</v>
      </c>
      <c r="N434" s="2">
        <f t="shared" si="137"/>
        <v>3.5977724470435714E-2</v>
      </c>
      <c r="O434" s="2">
        <v>0.481206209</v>
      </c>
      <c r="P434" s="2">
        <f t="shared" si="132"/>
        <v>0.47843415044606247</v>
      </c>
      <c r="Q434" s="2">
        <v>0.2225</v>
      </c>
      <c r="R434" s="2">
        <f t="shared" si="138"/>
        <v>0.48494499131441809</v>
      </c>
      <c r="S434" s="2">
        <f t="shared" si="139"/>
        <v>4.1077398616538377E-3</v>
      </c>
      <c r="T434" s="5">
        <f t="shared" si="140"/>
        <v>6.4239972112590769E-3</v>
      </c>
      <c r="U434" s="2" t="str">
        <f t="shared" si="141"/>
        <v>No Impact</v>
      </c>
      <c r="V434" s="2">
        <f t="shared" si="142"/>
        <v>4.1355013518174664E-3</v>
      </c>
      <c r="W434" s="2">
        <f t="shared" si="143"/>
        <v>6.0516800656978623E-3</v>
      </c>
      <c r="X434" s="2" t="s">
        <v>1170</v>
      </c>
      <c r="Y434" s="2">
        <f t="shared" si="144"/>
        <v>4.0799783714902081E-3</v>
      </c>
      <c r="Z434" s="2">
        <f t="shared" si="145"/>
        <v>6.8512419122072586E-3</v>
      </c>
      <c r="AA434" s="2" t="str">
        <f t="shared" si="146"/>
        <v>No Impact</v>
      </c>
      <c r="AB434" s="2">
        <f t="shared" si="147"/>
        <v>2.7788024523922447E-3</v>
      </c>
      <c r="AC434" s="2">
        <f t="shared" si="148"/>
        <v>6.0074099189116551E-3</v>
      </c>
      <c r="AD434" s="2" t="str">
        <f t="shared" si="149"/>
        <v>No Impact</v>
      </c>
      <c r="AE434" s="2">
        <f t="shared" si="150"/>
        <v>3.068099080259119E-4</v>
      </c>
      <c r="AF434" s="2">
        <f t="shared" si="151"/>
        <v>2.0904477220416414E-3</v>
      </c>
      <c r="AG434" s="2" t="s">
        <v>1170</v>
      </c>
    </row>
    <row r="435" spans="1:33" x14ac:dyDescent="0.3">
      <c r="A435" s="2">
        <v>508153</v>
      </c>
      <c r="B435" s="2" t="s">
        <v>892</v>
      </c>
      <c r="C435" s="2" t="s">
        <v>879</v>
      </c>
      <c r="D435" s="2" t="s">
        <v>893</v>
      </c>
      <c r="E435" s="3">
        <v>3.5</v>
      </c>
      <c r="F435" s="4">
        <f t="shared" si="133"/>
        <v>6.6666666666666624E-2</v>
      </c>
      <c r="G435" s="2">
        <v>61.056612000000008</v>
      </c>
      <c r="H435" s="2">
        <f t="shared" si="134"/>
        <v>0.19306120815436764</v>
      </c>
      <c r="I435" s="2">
        <v>0.10000000000000005</v>
      </c>
      <c r="J435" s="4">
        <f t="shared" si="135"/>
        <v>1.5174506828528082E-3</v>
      </c>
      <c r="K435" s="2">
        <v>0</v>
      </c>
      <c r="L435" s="4">
        <f t="shared" si="136"/>
        <v>0</v>
      </c>
      <c r="M435" s="2">
        <v>20804</v>
      </c>
      <c r="N435" s="2">
        <f t="shared" si="137"/>
        <v>9.7301670664717316E-2</v>
      </c>
      <c r="O435" s="2">
        <v>0.57937071699999998</v>
      </c>
      <c r="P435" s="2">
        <f t="shared" si="132"/>
        <v>0.5918328216876857</v>
      </c>
      <c r="Q435" s="2">
        <v>0.23549999999999999</v>
      </c>
      <c r="R435" s="2">
        <f t="shared" si="138"/>
        <v>0.52258251302837289</v>
      </c>
      <c r="S435" s="2">
        <f t="shared" si="139"/>
        <v>2.5298168141946308E-3</v>
      </c>
      <c r="T435" s="5">
        <f t="shared" si="140"/>
        <v>3.9563206791871962E-3</v>
      </c>
      <c r="U435" s="2" t="str">
        <f t="shared" si="141"/>
        <v>No Impact</v>
      </c>
      <c r="V435" s="2">
        <f t="shared" si="142"/>
        <v>2.3726127720597166E-3</v>
      </c>
      <c r="W435" s="2">
        <f t="shared" si="143"/>
        <v>3.4719595509221058E-3</v>
      </c>
      <c r="X435" s="2" t="s">
        <v>1170</v>
      </c>
      <c r="Y435" s="2">
        <f t="shared" si="144"/>
        <v>2.6870208563295446E-3</v>
      </c>
      <c r="Z435" s="2">
        <f t="shared" si="145"/>
        <v>4.5121390933099449E-3</v>
      </c>
      <c r="AA435" s="2" t="str">
        <f t="shared" si="146"/>
        <v>No Impact</v>
      </c>
      <c r="AB435" s="2">
        <f t="shared" si="147"/>
        <v>1.7911388271943508E-3</v>
      </c>
      <c r="AC435" s="2">
        <f t="shared" si="148"/>
        <v>3.8722094646821185E-3</v>
      </c>
      <c r="AD435" s="2" t="str">
        <f t="shared" si="149"/>
        <v>No Impact</v>
      </c>
      <c r="AE435" s="2">
        <f t="shared" si="150"/>
        <v>4.4176600021310396E-4</v>
      </c>
      <c r="AF435" s="2">
        <f t="shared" si="151"/>
        <v>3.0099703583983876E-3</v>
      </c>
      <c r="AG435" s="2" t="s">
        <v>1170</v>
      </c>
    </row>
    <row r="436" spans="1:33" x14ac:dyDescent="0.3">
      <c r="A436" s="2">
        <v>508172</v>
      </c>
      <c r="B436" s="2" t="s">
        <v>894</v>
      </c>
      <c r="C436" s="2" t="s">
        <v>879</v>
      </c>
      <c r="D436" s="2" t="s">
        <v>895</v>
      </c>
      <c r="E436" s="3">
        <v>4.5</v>
      </c>
      <c r="F436" s="4">
        <f t="shared" si="133"/>
        <v>0.28888888888888886</v>
      </c>
      <c r="G436" s="2">
        <v>68.087865600000001</v>
      </c>
      <c r="H436" s="2">
        <f t="shared" si="134"/>
        <v>0.24982781470889201</v>
      </c>
      <c r="I436" s="2">
        <v>1.2</v>
      </c>
      <c r="J436" s="4">
        <f t="shared" si="135"/>
        <v>1.8209408194233688E-2</v>
      </c>
      <c r="K436" s="2">
        <v>0</v>
      </c>
      <c r="L436" s="4">
        <f t="shared" si="136"/>
        <v>0</v>
      </c>
      <c r="M436" s="2">
        <v>62600</v>
      </c>
      <c r="N436" s="2">
        <f t="shared" si="137"/>
        <v>0.29505613830889554</v>
      </c>
      <c r="O436" s="2">
        <v>0.77853773400000004</v>
      </c>
      <c r="P436" s="2">
        <f t="shared" si="132"/>
        <v>0.82190859492904655</v>
      </c>
      <c r="Q436" s="2">
        <v>0.22059999999999999</v>
      </c>
      <c r="R436" s="2">
        <f t="shared" si="138"/>
        <v>0.47944412275622467</v>
      </c>
      <c r="S436" s="2">
        <f t="shared" si="139"/>
        <v>1.7634332294659657E-2</v>
      </c>
      <c r="T436" s="5">
        <f t="shared" si="140"/>
        <v>2.7577915179297679E-2</v>
      </c>
      <c r="U436" s="2" t="str">
        <f t="shared" si="141"/>
        <v>No Impact</v>
      </c>
      <c r="V436" s="2">
        <f t="shared" si="142"/>
        <v>1.2993674754747931E-2</v>
      </c>
      <c r="W436" s="2">
        <f t="shared" si="143"/>
        <v>1.9014275611084448E-2</v>
      </c>
      <c r="X436" s="2" t="s">
        <v>1170</v>
      </c>
      <c r="Y436" s="2">
        <f t="shared" si="144"/>
        <v>2.2274989834571376E-2</v>
      </c>
      <c r="Z436" s="2">
        <f t="shared" si="145"/>
        <v>3.740493945139834E-2</v>
      </c>
      <c r="AA436" s="2" t="str">
        <f t="shared" si="146"/>
        <v>No Impact</v>
      </c>
      <c r="AB436" s="2">
        <f t="shared" si="147"/>
        <v>1.4029049769004138E-2</v>
      </c>
      <c r="AC436" s="2">
        <f t="shared" si="148"/>
        <v>3.0328983142600286E-2</v>
      </c>
      <c r="AD436" s="2" t="str">
        <f t="shared" si="149"/>
        <v>No Impact</v>
      </c>
      <c r="AE436" s="2">
        <f t="shared" si="150"/>
        <v>7.9964761556312863E-3</v>
      </c>
      <c r="AF436" s="2">
        <f t="shared" si="151"/>
        <v>5.4483948942378811E-2</v>
      </c>
      <c r="AG436" s="2" t="s">
        <v>1169</v>
      </c>
    </row>
    <row r="437" spans="1:33" x14ac:dyDescent="0.3">
      <c r="A437" s="2">
        <v>508182</v>
      </c>
      <c r="B437" s="2" t="s">
        <v>896</v>
      </c>
      <c r="C437" s="2" t="s">
        <v>879</v>
      </c>
      <c r="D437" s="2" t="s">
        <v>897</v>
      </c>
      <c r="E437" s="3">
        <v>4.5999999999999996</v>
      </c>
      <c r="F437" s="4">
        <f t="shared" si="133"/>
        <v>0.31111111111111101</v>
      </c>
      <c r="G437" s="2">
        <v>66.576146399999999</v>
      </c>
      <c r="H437" s="2">
        <f t="shared" si="134"/>
        <v>0.23762299691547314</v>
      </c>
      <c r="I437" s="2">
        <v>1.3</v>
      </c>
      <c r="J437" s="4">
        <f t="shared" si="135"/>
        <v>1.9726858877086497E-2</v>
      </c>
      <c r="K437" s="2">
        <v>0</v>
      </c>
      <c r="L437" s="4">
        <f t="shared" si="136"/>
        <v>0</v>
      </c>
      <c r="M437" s="2">
        <v>25708</v>
      </c>
      <c r="N437" s="2">
        <f t="shared" si="137"/>
        <v>0.12050455872403042</v>
      </c>
      <c r="O437" s="2">
        <v>0.42773845199999999</v>
      </c>
      <c r="P437" s="2">
        <f t="shared" si="132"/>
        <v>0.41666872502295543</v>
      </c>
      <c r="Q437" s="2">
        <v>0.27629999999999999</v>
      </c>
      <c r="R437" s="2">
        <f t="shared" si="138"/>
        <v>0.64070642733063121</v>
      </c>
      <c r="S437" s="2">
        <f t="shared" si="139"/>
        <v>1.4815168673183034E-2</v>
      </c>
      <c r="T437" s="5">
        <f t="shared" si="140"/>
        <v>2.3169091871982062E-2</v>
      </c>
      <c r="U437" s="2" t="str">
        <f t="shared" si="141"/>
        <v>No Impact</v>
      </c>
      <c r="V437" s="2">
        <f t="shared" si="142"/>
        <v>1.79542213939251E-2</v>
      </c>
      <c r="W437" s="2">
        <f t="shared" si="143"/>
        <v>2.6273284533444005E-2</v>
      </c>
      <c r="X437" s="2" t="s">
        <v>1170</v>
      </c>
      <c r="Y437" s="2">
        <f t="shared" si="144"/>
        <v>1.1676115952440965E-2</v>
      </c>
      <c r="Z437" s="2">
        <f t="shared" si="145"/>
        <v>1.9606940944624882E-2</v>
      </c>
      <c r="AA437" s="2" t="str">
        <f t="shared" si="146"/>
        <v>No Impact</v>
      </c>
      <c r="AB437" s="2">
        <f t="shared" si="147"/>
        <v>1.096870760336402E-2</v>
      </c>
      <c r="AC437" s="2">
        <f t="shared" si="148"/>
        <v>2.3712920937349682E-2</v>
      </c>
      <c r="AD437" s="2" t="str">
        <f t="shared" si="149"/>
        <v>No Impact</v>
      </c>
      <c r="AE437" s="2">
        <f t="shared" si="150"/>
        <v>3.3768437993084164E-3</v>
      </c>
      <c r="AF437" s="2">
        <f t="shared" si="151"/>
        <v>2.3008107767362375E-2</v>
      </c>
      <c r="AG437" s="2" t="s">
        <v>1170</v>
      </c>
    </row>
    <row r="438" spans="1:33" x14ac:dyDescent="0.3">
      <c r="A438" s="2">
        <v>508185</v>
      </c>
      <c r="B438" s="2" t="s">
        <v>898</v>
      </c>
      <c r="C438" s="2" t="s">
        <v>879</v>
      </c>
      <c r="D438" s="2" t="s">
        <v>899</v>
      </c>
      <c r="E438" s="3">
        <v>4.5999999999999996</v>
      </c>
      <c r="F438" s="4">
        <f t="shared" si="133"/>
        <v>0.31111111111111101</v>
      </c>
      <c r="G438" s="2">
        <v>68.087865600000001</v>
      </c>
      <c r="H438" s="2">
        <f t="shared" si="134"/>
        <v>0.24982781470889201</v>
      </c>
      <c r="I438" s="2">
        <v>1</v>
      </c>
      <c r="J438" s="4">
        <f t="shared" si="135"/>
        <v>1.5174506828528075E-2</v>
      </c>
      <c r="K438" s="2">
        <v>0</v>
      </c>
      <c r="L438" s="4">
        <f t="shared" si="136"/>
        <v>0</v>
      </c>
      <c r="M438" s="2">
        <v>13822</v>
      </c>
      <c r="N438" s="2">
        <f t="shared" si="137"/>
        <v>6.4266889989732817E-2</v>
      </c>
      <c r="O438" s="2">
        <v>0.65374169699999995</v>
      </c>
      <c r="P438" s="2">
        <f t="shared" si="132"/>
        <v>0.67774544410858462</v>
      </c>
      <c r="Q438" s="2">
        <v>0.20930000000000001</v>
      </c>
      <c r="R438" s="2">
        <f t="shared" si="138"/>
        <v>0.44672843080486402</v>
      </c>
      <c r="S438" s="2">
        <f t="shared" si="139"/>
        <v>1.6223801311835411E-2</v>
      </c>
      <c r="T438" s="5">
        <f t="shared" si="140"/>
        <v>2.5372019137864982E-2</v>
      </c>
      <c r="U438" s="2" t="str">
        <f t="shared" si="141"/>
        <v>No Impact</v>
      </c>
      <c r="V438" s="2">
        <f t="shared" si="142"/>
        <v>1.2890709981650719E-2</v>
      </c>
      <c r="W438" s="2">
        <f t="shared" si="143"/>
        <v>1.8863602255712996E-2</v>
      </c>
      <c r="X438" s="2" t="s">
        <v>1170</v>
      </c>
      <c r="Y438" s="2">
        <f t="shared" si="144"/>
        <v>1.9556892642020103E-2</v>
      </c>
      <c r="Z438" s="2">
        <f t="shared" si="145"/>
        <v>3.2840615890962807E-2</v>
      </c>
      <c r="AA438" s="2" t="str">
        <f t="shared" si="146"/>
        <v>No Impact</v>
      </c>
      <c r="AB438" s="2">
        <f t="shared" si="147"/>
        <v>1.1027881857353485E-2</v>
      </c>
      <c r="AC438" s="2">
        <f t="shared" si="148"/>
        <v>2.3840847987383222E-2</v>
      </c>
      <c r="AD438" s="2" t="str">
        <f t="shared" si="149"/>
        <v>No Impact</v>
      </c>
      <c r="AE438" s="2">
        <f t="shared" si="150"/>
        <v>1.8544730604848655E-3</v>
      </c>
      <c r="AF438" s="2">
        <f t="shared" si="151"/>
        <v>1.2635442609469996E-2</v>
      </c>
      <c r="AG438" s="2" t="s">
        <v>1170</v>
      </c>
    </row>
    <row r="439" spans="1:33" x14ac:dyDescent="0.3">
      <c r="A439" s="2">
        <v>508190</v>
      </c>
      <c r="B439" s="2" t="s">
        <v>900</v>
      </c>
      <c r="C439" s="2" t="s">
        <v>879</v>
      </c>
      <c r="D439" s="2" t="s">
        <v>901</v>
      </c>
      <c r="E439" s="3">
        <v>3.6</v>
      </c>
      <c r="F439" s="4">
        <f t="shared" si="133"/>
        <v>8.8888888888888865E-2</v>
      </c>
      <c r="G439" s="2">
        <v>61.056612000000008</v>
      </c>
      <c r="H439" s="2">
        <f t="shared" si="134"/>
        <v>0.19306120815436764</v>
      </c>
      <c r="I439" s="2">
        <v>0</v>
      </c>
      <c r="J439" s="4">
        <f t="shared" si="135"/>
        <v>0</v>
      </c>
      <c r="K439" s="2">
        <v>0</v>
      </c>
      <c r="L439" s="4">
        <f t="shared" si="136"/>
        <v>0</v>
      </c>
      <c r="M439" s="2">
        <v>6230</v>
      </c>
      <c r="N439" s="2">
        <f t="shared" si="137"/>
        <v>2.8345942570013202E-2</v>
      </c>
      <c r="O439" s="2">
        <v>0.43769973899999998</v>
      </c>
      <c r="P439" s="2">
        <f t="shared" si="132"/>
        <v>0.42817590549653811</v>
      </c>
      <c r="Q439" s="2">
        <v>0.22120000000000001</v>
      </c>
      <c r="R439" s="2">
        <f t="shared" si="138"/>
        <v>0.48118123914302263</v>
      </c>
      <c r="S439" s="2">
        <f t="shared" si="139"/>
        <v>2.7309580509231935E-3</v>
      </c>
      <c r="T439" s="5">
        <f t="shared" si="140"/>
        <v>4.2708807018107461E-3</v>
      </c>
      <c r="U439" s="2" t="str">
        <f t="shared" si="141"/>
        <v>No Impact</v>
      </c>
      <c r="V439" s="2">
        <f t="shared" si="142"/>
        <v>2.8901423092941038E-3</v>
      </c>
      <c r="W439" s="2">
        <f t="shared" si="143"/>
        <v>4.2292856687130634E-3</v>
      </c>
      <c r="X439" s="2" t="s">
        <v>1170</v>
      </c>
      <c r="Y439" s="2">
        <f t="shared" si="144"/>
        <v>2.5717737925522836E-3</v>
      </c>
      <c r="Z439" s="2">
        <f t="shared" si="145"/>
        <v>4.3186122062247086E-3</v>
      </c>
      <c r="AA439" s="2" t="str">
        <f t="shared" si="146"/>
        <v>No Impact</v>
      </c>
      <c r="AB439" s="2">
        <f t="shared" si="147"/>
        <v>1.8426714113571128E-3</v>
      </c>
      <c r="AC439" s="2">
        <f t="shared" si="148"/>
        <v>3.9836162172492227E-3</v>
      </c>
      <c r="AD439" s="2" t="str">
        <f t="shared" si="149"/>
        <v>No Impact</v>
      </c>
      <c r="AE439" s="2">
        <f t="shared" si="150"/>
        <v>1.7025561525283323E-4</v>
      </c>
      <c r="AF439" s="2">
        <f t="shared" si="151"/>
        <v>1.1600357542560999E-3</v>
      </c>
      <c r="AG439" s="2" t="s">
        <v>1170</v>
      </c>
    </row>
    <row r="440" spans="1:33" x14ac:dyDescent="0.3">
      <c r="A440" s="2">
        <v>508194</v>
      </c>
      <c r="B440" s="2" t="s">
        <v>902</v>
      </c>
      <c r="C440" s="2" t="s">
        <v>879</v>
      </c>
      <c r="D440" s="2" t="s">
        <v>903</v>
      </c>
      <c r="E440" s="3">
        <v>4.7</v>
      </c>
      <c r="F440" s="4">
        <f t="shared" si="133"/>
        <v>0.33333333333333331</v>
      </c>
      <c r="G440" s="2">
        <v>61.056612000000008</v>
      </c>
      <c r="H440" s="2">
        <f t="shared" si="134"/>
        <v>0.19306120815436764</v>
      </c>
      <c r="I440" s="2">
        <v>0.10000000000000005</v>
      </c>
      <c r="J440" s="4">
        <f t="shared" si="135"/>
        <v>1.5174506828528082E-3</v>
      </c>
      <c r="K440" s="2">
        <v>0</v>
      </c>
      <c r="L440" s="4">
        <f t="shared" si="136"/>
        <v>0</v>
      </c>
      <c r="M440" s="2">
        <v>17904</v>
      </c>
      <c r="N440" s="2">
        <f t="shared" si="137"/>
        <v>8.3580550074993015E-2</v>
      </c>
      <c r="O440" s="2">
        <v>0.30696793999999999</v>
      </c>
      <c r="P440" s="2">
        <f t="shared" si="132"/>
        <v>0.27715582097039804</v>
      </c>
      <c r="Q440" s="2">
        <v>0.2596</v>
      </c>
      <c r="R440" s="2">
        <f t="shared" si="138"/>
        <v>0.59235668789808926</v>
      </c>
      <c r="S440" s="2">
        <f t="shared" si="139"/>
        <v>9.8693337060393235E-3</v>
      </c>
      <c r="T440" s="5">
        <f t="shared" si="140"/>
        <v>1.543441754830497E-2</v>
      </c>
      <c r="U440" s="2" t="str">
        <f t="shared" si="141"/>
        <v>No Impact</v>
      </c>
      <c r="V440" s="2">
        <f t="shared" si="142"/>
        <v>1.3446996486521284E-2</v>
      </c>
      <c r="W440" s="2">
        <f t="shared" si="143"/>
        <v>1.9677643327386796E-2</v>
      </c>
      <c r="X440" s="2" t="s">
        <v>1170</v>
      </c>
      <c r="Y440" s="2">
        <f t="shared" si="144"/>
        <v>6.2916709255573626E-3</v>
      </c>
      <c r="Z440" s="2">
        <f t="shared" si="145"/>
        <v>1.0565193150092632E-2</v>
      </c>
      <c r="AA440" s="2" t="str">
        <f t="shared" si="146"/>
        <v>No Impact</v>
      </c>
      <c r="AB440" s="2">
        <f t="shared" si="147"/>
        <v>7.2580221942704871E-3</v>
      </c>
      <c r="AC440" s="2">
        <f t="shared" si="148"/>
        <v>1.5690901123253647E-2</v>
      </c>
      <c r="AD440" s="2" t="str">
        <f t="shared" si="149"/>
        <v>No Impact</v>
      </c>
      <c r="AE440" s="2">
        <f t="shared" si="150"/>
        <v>1.8973489894880831E-3</v>
      </c>
      <c r="AF440" s="2">
        <f t="shared" si="151"/>
        <v>1.2927577530052891E-2</v>
      </c>
      <c r="AG440" s="2" t="s">
        <v>1170</v>
      </c>
    </row>
    <row r="441" spans="1:33" x14ac:dyDescent="0.3">
      <c r="A441" s="2">
        <v>508811</v>
      </c>
      <c r="B441" s="2" t="s">
        <v>904</v>
      </c>
      <c r="C441" s="2" t="s">
        <v>905</v>
      </c>
      <c r="D441" s="2" t="s">
        <v>906</v>
      </c>
      <c r="E441" s="3">
        <v>7</v>
      </c>
      <c r="F441" s="4">
        <f t="shared" si="133"/>
        <v>0.84444444444444444</v>
      </c>
      <c r="G441" s="2">
        <v>62.473410000000001</v>
      </c>
      <c r="H441" s="2">
        <f t="shared" si="134"/>
        <v>0.20449968260126239</v>
      </c>
      <c r="I441" s="2">
        <v>0.90000000000000024</v>
      </c>
      <c r="J441" s="4">
        <f t="shared" si="135"/>
        <v>1.3657056145675271E-2</v>
      </c>
      <c r="K441" s="2">
        <v>0</v>
      </c>
      <c r="L441" s="4">
        <f t="shared" si="136"/>
        <v>0</v>
      </c>
      <c r="M441" s="2">
        <v>36657</v>
      </c>
      <c r="N441" s="2">
        <f t="shared" si="137"/>
        <v>0.17230888608157915</v>
      </c>
      <c r="O441" s="2">
        <v>0.74833581599999999</v>
      </c>
      <c r="P441" s="2">
        <f t="shared" si="132"/>
        <v>0.78701963719955381</v>
      </c>
      <c r="Q441" s="2">
        <v>0.23930000000000001</v>
      </c>
      <c r="R441" s="2">
        <f t="shared" si="138"/>
        <v>0.53358425014475974</v>
      </c>
      <c r="S441" s="2">
        <f t="shared" si="139"/>
        <v>4.2574576392068859E-2</v>
      </c>
      <c r="T441" s="5">
        <f t="shared" si="140"/>
        <v>6.6581373023722121E-2</v>
      </c>
      <c r="U441" s="2" t="str">
        <f t="shared" si="141"/>
        <v>No Impact</v>
      </c>
      <c r="V441" s="2">
        <f t="shared" si="142"/>
        <v>3.440414440256747E-2</v>
      </c>
      <c r="W441" s="2">
        <f t="shared" si="143"/>
        <v>5.03452561481832E-2</v>
      </c>
      <c r="X441" s="2" t="s">
        <v>1170</v>
      </c>
      <c r="Y441" s="2">
        <f t="shared" si="144"/>
        <v>5.0745008381570249E-2</v>
      </c>
      <c r="Z441" s="2">
        <f t="shared" si="145"/>
        <v>8.5212787079588834E-2</v>
      </c>
      <c r="AA441" s="2" t="str">
        <f t="shared" si="146"/>
        <v>No Impact</v>
      </c>
      <c r="AB441" s="2">
        <f t="shared" si="147"/>
        <v>3.1153465373613281E-2</v>
      </c>
      <c r="AC441" s="2">
        <f t="shared" si="148"/>
        <v>6.7349745115129769E-2</v>
      </c>
      <c r="AD441" s="2" t="str">
        <f t="shared" si="149"/>
        <v>No Impact</v>
      </c>
      <c r="AE441" s="2">
        <f t="shared" si="150"/>
        <v>1.1110035194981695E-2</v>
      </c>
      <c r="AF441" s="2">
        <f t="shared" si="151"/>
        <v>7.569816735902303E-2</v>
      </c>
      <c r="AG441" s="2" t="s">
        <v>1169</v>
      </c>
    </row>
    <row r="442" spans="1:33" x14ac:dyDescent="0.3">
      <c r="A442" s="2">
        <v>508827</v>
      </c>
      <c r="B442" s="2" t="s">
        <v>907</v>
      </c>
      <c r="C442" s="2" t="s">
        <v>905</v>
      </c>
      <c r="D442" s="2" t="s">
        <v>908</v>
      </c>
      <c r="E442" s="3">
        <v>5.4</v>
      </c>
      <c r="F442" s="4">
        <f t="shared" si="133"/>
        <v>0.48888888888888893</v>
      </c>
      <c r="G442" s="2">
        <v>72.440207999999998</v>
      </c>
      <c r="H442" s="2">
        <f t="shared" si="134"/>
        <v>0.28496631527604188</v>
      </c>
      <c r="I442" s="2">
        <v>3.3</v>
      </c>
      <c r="J442" s="4">
        <f t="shared" si="135"/>
        <v>5.0075872534142647E-2</v>
      </c>
      <c r="K442" s="2">
        <v>0</v>
      </c>
      <c r="L442" s="4">
        <f t="shared" si="136"/>
        <v>0</v>
      </c>
      <c r="M442" s="2">
        <v>9272</v>
      </c>
      <c r="N442" s="2">
        <f t="shared" si="137"/>
        <v>4.2738924926544693E-2</v>
      </c>
      <c r="O442" s="2">
        <v>0.661952396</v>
      </c>
      <c r="P442" s="2">
        <f t="shared" si="132"/>
        <v>0.68723036259424486</v>
      </c>
      <c r="Q442" s="2">
        <v>0.14419999999999999</v>
      </c>
      <c r="R442" s="2">
        <f t="shared" si="138"/>
        <v>0.25825130283729009</v>
      </c>
      <c r="S442" s="2">
        <f t="shared" si="139"/>
        <v>2.7101967689428977E-2</v>
      </c>
      <c r="T442" s="5">
        <f t="shared" si="140"/>
        <v>4.2384126239783083E-2</v>
      </c>
      <c r="U442" s="2" t="str">
        <f t="shared" si="141"/>
        <v>No Impact</v>
      </c>
      <c r="V442" s="2">
        <f t="shared" si="142"/>
        <v>1.4805402835716859E-2</v>
      </c>
      <c r="W442" s="2">
        <f t="shared" si="143"/>
        <v>2.1665465341017976E-2</v>
      </c>
      <c r="X442" s="2" t="s">
        <v>1170</v>
      </c>
      <c r="Y442" s="2">
        <f t="shared" si="144"/>
        <v>3.9398532543141088E-2</v>
      </c>
      <c r="Z442" s="2">
        <f t="shared" si="145"/>
        <v>6.6159389305889521E-2</v>
      </c>
      <c r="AA442" s="2" t="str">
        <f t="shared" si="146"/>
        <v>No Impact</v>
      </c>
      <c r="AB442" s="2">
        <f t="shared" si="147"/>
        <v>1.7859020292064574E-2</v>
      </c>
      <c r="AC442" s="2">
        <f t="shared" si="148"/>
        <v>3.8608881877238647E-2</v>
      </c>
      <c r="AD442" s="2" t="str">
        <f t="shared" si="149"/>
        <v>No Impact</v>
      </c>
      <c r="AE442" s="2">
        <f t="shared" si="150"/>
        <v>2.450198676060993E-3</v>
      </c>
      <c r="AF442" s="2">
        <f t="shared" si="151"/>
        <v>1.6694416011130135E-2</v>
      </c>
      <c r="AG442" s="2" t="s">
        <v>1170</v>
      </c>
    </row>
    <row r="443" spans="1:33" x14ac:dyDescent="0.3">
      <c r="A443" s="2">
        <v>508844</v>
      </c>
      <c r="B443" s="2" t="s">
        <v>909</v>
      </c>
      <c r="C443" s="2" t="s">
        <v>905</v>
      </c>
      <c r="D443" s="2" t="s">
        <v>910</v>
      </c>
      <c r="E443" s="3">
        <v>6.9</v>
      </c>
      <c r="F443" s="4">
        <f t="shared" si="133"/>
        <v>0.8222222222222223</v>
      </c>
      <c r="G443" s="2">
        <v>62.473410000000001</v>
      </c>
      <c r="H443" s="2">
        <f t="shared" si="134"/>
        <v>0.20449968260126239</v>
      </c>
      <c r="I443" s="2">
        <v>0.80000000000000038</v>
      </c>
      <c r="J443" s="4">
        <f t="shared" si="135"/>
        <v>1.2139605462822466E-2</v>
      </c>
      <c r="K443" s="2">
        <v>0</v>
      </c>
      <c r="L443" s="4">
        <f t="shared" si="136"/>
        <v>0</v>
      </c>
      <c r="M443" s="2">
        <v>21302</v>
      </c>
      <c r="N443" s="2">
        <f t="shared" si="137"/>
        <v>9.96579182694355E-2</v>
      </c>
      <c r="O443" s="2">
        <v>0.43977144000000001</v>
      </c>
      <c r="P443" s="2">
        <f t="shared" si="132"/>
        <v>0.43056911405425785</v>
      </c>
      <c r="Q443" s="2">
        <v>0.24809999999999999</v>
      </c>
      <c r="R443" s="2">
        <f t="shared" si="138"/>
        <v>0.55906195715112916</v>
      </c>
      <c r="S443" s="2">
        <f t="shared" si="139"/>
        <v>3.0848766341342489E-2</v>
      </c>
      <c r="T443" s="5">
        <f t="shared" si="140"/>
        <v>4.8243656030296872E-2</v>
      </c>
      <c r="U443" s="2" t="str">
        <f t="shared" si="141"/>
        <v>No Impact</v>
      </c>
      <c r="V443" s="2">
        <f t="shared" si="142"/>
        <v>3.4854143505180055E-2</v>
      </c>
      <c r="W443" s="2">
        <f t="shared" si="143"/>
        <v>5.1003761699793211E-2</v>
      </c>
      <c r="X443" s="2" t="s">
        <v>1170</v>
      </c>
      <c r="Y443" s="2">
        <f t="shared" si="144"/>
        <v>2.6843389177504923E-2</v>
      </c>
      <c r="Z443" s="2">
        <f t="shared" si="145"/>
        <v>4.5076354885538107E-2</v>
      </c>
      <c r="AA443" s="2" t="str">
        <f t="shared" si="146"/>
        <v>No Impact</v>
      </c>
      <c r="AB443" s="2">
        <f t="shared" si="147"/>
        <v>2.2426541674561196E-2</v>
      </c>
      <c r="AC443" s="2">
        <f t="shared" si="148"/>
        <v>4.8483269757683092E-2</v>
      </c>
      <c r="AD443" s="2" t="str">
        <f t="shared" si="149"/>
        <v>No Impact</v>
      </c>
      <c r="AE443" s="2">
        <f t="shared" si="150"/>
        <v>6.2130705557048556E-3</v>
      </c>
      <c r="AF443" s="2">
        <f t="shared" si="151"/>
        <v>4.2332724107985088E-2</v>
      </c>
      <c r="AG443" s="2" t="s">
        <v>1169</v>
      </c>
    </row>
    <row r="444" spans="1:33" x14ac:dyDescent="0.3">
      <c r="A444" s="2">
        <v>508850</v>
      </c>
      <c r="B444" s="2" t="s">
        <v>911</v>
      </c>
      <c r="C444" s="2" t="s">
        <v>905</v>
      </c>
      <c r="D444" s="2" t="s">
        <v>912</v>
      </c>
      <c r="E444" s="3">
        <v>6.9</v>
      </c>
      <c r="F444" s="4">
        <f t="shared" si="133"/>
        <v>0.8222222222222223</v>
      </c>
      <c r="G444" s="2">
        <v>57.621852000000004</v>
      </c>
      <c r="H444" s="2">
        <f t="shared" si="134"/>
        <v>0.16533078046374663</v>
      </c>
      <c r="I444" s="2">
        <v>0</v>
      </c>
      <c r="J444" s="4">
        <f t="shared" si="135"/>
        <v>0</v>
      </c>
      <c r="K444" s="2">
        <v>0</v>
      </c>
      <c r="L444" s="4">
        <f t="shared" si="136"/>
        <v>0</v>
      </c>
      <c r="M444" s="2">
        <v>13658</v>
      </c>
      <c r="N444" s="2">
        <f t="shared" si="137"/>
        <v>6.349093696327944E-2</v>
      </c>
      <c r="O444" s="2">
        <v>0.73200539499999995</v>
      </c>
      <c r="P444" s="2">
        <f t="shared" si="132"/>
        <v>0.76815489596113884</v>
      </c>
      <c r="Q444" s="2">
        <v>0.22900000000000001</v>
      </c>
      <c r="R444" s="2">
        <f t="shared" si="138"/>
        <v>0.50376375217139557</v>
      </c>
      <c r="S444" s="2">
        <f t="shared" si="139"/>
        <v>3.0258006344764266E-2</v>
      </c>
      <c r="T444" s="5">
        <f t="shared" si="140"/>
        <v>4.7319780444608259E-2</v>
      </c>
      <c r="U444" s="2" t="str">
        <f t="shared" si="141"/>
        <v>No Impact</v>
      </c>
      <c r="V444" s="2">
        <f t="shared" si="142"/>
        <v>2.396833607533683E-2</v>
      </c>
      <c r="W444" s="2">
        <f t="shared" si="143"/>
        <v>3.5074030763239131E-2</v>
      </c>
      <c r="X444" s="2" t="s">
        <v>1170</v>
      </c>
      <c r="Y444" s="2">
        <f t="shared" si="144"/>
        <v>3.6547676614191699E-2</v>
      </c>
      <c r="Z444" s="2">
        <f t="shared" si="145"/>
        <v>6.1372132647235081E-2</v>
      </c>
      <c r="AA444" s="2" t="str">
        <f t="shared" si="146"/>
        <v>No Impact</v>
      </c>
      <c r="AB444" s="2">
        <f t="shared" si="147"/>
        <v>2.0410502397792674E-2</v>
      </c>
      <c r="AC444" s="2">
        <f t="shared" si="148"/>
        <v>4.4124854736943386E-2</v>
      </c>
      <c r="AD444" s="2" t="str">
        <f t="shared" si="149"/>
        <v>No Impact</v>
      </c>
      <c r="AE444" s="2">
        <f t="shared" si="150"/>
        <v>3.020805106192227E-3</v>
      </c>
      <c r="AF444" s="2">
        <f t="shared" si="151"/>
        <v>2.0582239972634697E-2</v>
      </c>
      <c r="AG444" s="2" t="s">
        <v>1170</v>
      </c>
    </row>
    <row r="445" spans="1:33" x14ac:dyDescent="0.3">
      <c r="A445" s="2">
        <v>508861</v>
      </c>
      <c r="B445" s="2" t="s">
        <v>913</v>
      </c>
      <c r="C445" s="2" t="s">
        <v>905</v>
      </c>
      <c r="D445" s="2" t="s">
        <v>914</v>
      </c>
      <c r="E445" s="3">
        <v>6.8</v>
      </c>
      <c r="F445" s="4">
        <f t="shared" si="133"/>
        <v>0.79999999999999993</v>
      </c>
      <c r="G445" s="2">
        <v>57.621852000000004</v>
      </c>
      <c r="H445" s="2">
        <f t="shared" si="134"/>
        <v>0.16533078046374663</v>
      </c>
      <c r="I445" s="2">
        <v>0.10000000000000005</v>
      </c>
      <c r="J445" s="4">
        <f t="shared" si="135"/>
        <v>1.5174506828528082E-3</v>
      </c>
      <c r="K445" s="2">
        <v>0</v>
      </c>
      <c r="L445" s="4">
        <f t="shared" si="136"/>
        <v>0</v>
      </c>
      <c r="M445" s="2">
        <v>35856</v>
      </c>
      <c r="N445" s="2">
        <f t="shared" si="137"/>
        <v>0.16851901794627944</v>
      </c>
      <c r="O445" s="2">
        <v>0.42796689500000001</v>
      </c>
      <c r="P445" s="2">
        <f t="shared" si="132"/>
        <v>0.41693262012294868</v>
      </c>
      <c r="Q445" s="2">
        <v>0.2276</v>
      </c>
      <c r="R445" s="2">
        <f t="shared" si="138"/>
        <v>0.49971048060220036</v>
      </c>
      <c r="S445" s="2">
        <f t="shared" si="139"/>
        <v>2.141163919282154E-2</v>
      </c>
      <c r="T445" s="5">
        <f t="shared" si="140"/>
        <v>3.3485156094522524E-2</v>
      </c>
      <c r="U445" s="2" t="str">
        <f t="shared" si="141"/>
        <v>No Impact</v>
      </c>
      <c r="V445" s="2">
        <f t="shared" si="142"/>
        <v>2.3345226736690382E-2</v>
      </c>
      <c r="W445" s="2">
        <f t="shared" si="143"/>
        <v>3.4162204592083446E-2</v>
      </c>
      <c r="X445" s="2" t="s">
        <v>1170</v>
      </c>
      <c r="Y445" s="2">
        <f t="shared" si="144"/>
        <v>1.9478051648952697E-2</v>
      </c>
      <c r="Z445" s="2">
        <f t="shared" si="145"/>
        <v>3.2708223346953759E-2</v>
      </c>
      <c r="AA445" s="2" t="str">
        <f t="shared" si="146"/>
        <v>No Impact</v>
      </c>
      <c r="AB445" s="2">
        <f t="shared" si="147"/>
        <v>1.6769720658299517E-2</v>
      </c>
      <c r="AC445" s="2">
        <f t="shared" si="148"/>
        <v>3.6253957575616023E-2</v>
      </c>
      <c r="AD445" s="2" t="str">
        <f t="shared" si="149"/>
        <v>No Impact</v>
      </c>
      <c r="AE445" s="2">
        <f t="shared" si="150"/>
        <v>7.8727880164916556E-3</v>
      </c>
      <c r="AF445" s="2">
        <f t="shared" si="151"/>
        <v>5.364120044585316E-2</v>
      </c>
      <c r="AG445" s="2" t="s">
        <v>1169</v>
      </c>
    </row>
    <row r="446" spans="1:33" x14ac:dyDescent="0.3">
      <c r="A446" s="2">
        <v>508867</v>
      </c>
      <c r="B446" s="2" t="s">
        <v>915</v>
      </c>
      <c r="C446" s="2" t="s">
        <v>905</v>
      </c>
      <c r="D446" s="2" t="s">
        <v>916</v>
      </c>
      <c r="E446" s="3">
        <v>6.9</v>
      </c>
      <c r="F446" s="4">
        <f t="shared" si="133"/>
        <v>0.8222222222222223</v>
      </c>
      <c r="G446" s="2">
        <v>76.940207999999998</v>
      </c>
      <c r="H446" s="2">
        <f t="shared" si="134"/>
        <v>0.32129692486966543</v>
      </c>
      <c r="I446" s="2">
        <v>3.9000000000000008</v>
      </c>
      <c r="J446" s="4">
        <f t="shared" si="135"/>
        <v>5.9180576631259502E-2</v>
      </c>
      <c r="K446" s="2">
        <v>0</v>
      </c>
      <c r="L446" s="4">
        <f t="shared" si="136"/>
        <v>0</v>
      </c>
      <c r="M446" s="2">
        <v>61653</v>
      </c>
      <c r="N446" s="2">
        <f t="shared" si="137"/>
        <v>0.29057548272321659</v>
      </c>
      <c r="O446" s="2">
        <v>0.77601999499999996</v>
      </c>
      <c r="P446" s="2">
        <f t="shared" si="132"/>
        <v>0.81900012767392416</v>
      </c>
      <c r="Q446" s="2">
        <v>0.24729999999999999</v>
      </c>
      <c r="R446" s="2">
        <f t="shared" si="138"/>
        <v>0.55674580196873191</v>
      </c>
      <c r="S446" s="2">
        <f t="shared" si="139"/>
        <v>7.5317253815956012E-2</v>
      </c>
      <c r="T446" s="5">
        <f t="shared" si="140"/>
        <v>0.11778687180024908</v>
      </c>
      <c r="U446" s="2" t="str">
        <f t="shared" si="141"/>
        <v>No Impact</v>
      </c>
      <c r="V446" s="2">
        <f t="shared" si="142"/>
        <v>6.0959751323761878E-2</v>
      </c>
      <c r="W446" s="2">
        <f t="shared" si="143"/>
        <v>8.9205366051635038E-2</v>
      </c>
      <c r="X446" s="2" t="s">
        <v>1169</v>
      </c>
      <c r="Y446" s="2">
        <f t="shared" si="144"/>
        <v>8.9674756308150139E-2</v>
      </c>
      <c r="Z446" s="2">
        <f t="shared" si="145"/>
        <v>0.15058497691520054</v>
      </c>
      <c r="AA446" s="2" t="str">
        <f t="shared" si="146"/>
        <v>Low</v>
      </c>
      <c r="AB446" s="2">
        <f t="shared" si="147"/>
        <v>5.9373930257581128E-2</v>
      </c>
      <c r="AC446" s="2">
        <f t="shared" si="148"/>
        <v>0.12835872418605945</v>
      </c>
      <c r="AD446" s="2" t="str">
        <f t="shared" si="149"/>
        <v>No Impact</v>
      </c>
      <c r="AE446" s="2">
        <f t="shared" si="150"/>
        <v>3.1815972576626946E-2</v>
      </c>
      <c r="AF446" s="2">
        <f t="shared" si="151"/>
        <v>0.21677796465338398</v>
      </c>
      <c r="AG446" s="2" t="s">
        <v>1169</v>
      </c>
    </row>
    <row r="447" spans="1:33" x14ac:dyDescent="0.3">
      <c r="A447" s="2">
        <v>508878</v>
      </c>
      <c r="B447" s="2" t="s">
        <v>917</v>
      </c>
      <c r="C447" s="2" t="s">
        <v>905</v>
      </c>
      <c r="D447" s="2" t="s">
        <v>918</v>
      </c>
      <c r="E447" s="3">
        <v>7</v>
      </c>
      <c r="F447" s="4">
        <f t="shared" si="133"/>
        <v>0.84444444444444444</v>
      </c>
      <c r="G447" s="2">
        <v>61.2956772</v>
      </c>
      <c r="H447" s="2">
        <f t="shared" si="134"/>
        <v>0.19499129358739459</v>
      </c>
      <c r="I447" s="2">
        <v>0.40000000000000019</v>
      </c>
      <c r="J447" s="4">
        <f t="shared" si="135"/>
        <v>6.0698027314112328E-3</v>
      </c>
      <c r="K447" s="2">
        <v>0</v>
      </c>
      <c r="L447" s="4">
        <f t="shared" si="136"/>
        <v>0</v>
      </c>
      <c r="M447" s="2">
        <v>46801</v>
      </c>
      <c r="N447" s="2">
        <f t="shared" si="137"/>
        <v>0.22030441962025615</v>
      </c>
      <c r="O447" s="2">
        <v>0.74951789000000002</v>
      </c>
      <c r="P447" s="2">
        <f t="shared" si="132"/>
        <v>0.78838515742310822</v>
      </c>
      <c r="Q447" s="2">
        <v>0.22120000000000001</v>
      </c>
      <c r="R447" s="2">
        <f t="shared" si="138"/>
        <v>0.48118123914302263</v>
      </c>
      <c r="S447" s="2">
        <f t="shared" si="139"/>
        <v>3.7721816372480635E-2</v>
      </c>
      <c r="T447" s="5">
        <f t="shared" si="140"/>
        <v>5.8992256409070402E-2</v>
      </c>
      <c r="U447" s="2" t="str">
        <f t="shared" si="141"/>
        <v>No Impact</v>
      </c>
      <c r="V447" s="2">
        <f t="shared" si="142"/>
        <v>2.8594062341174006E-2</v>
      </c>
      <c r="W447" s="2">
        <f t="shared" si="143"/>
        <v>4.1843080764888706E-2</v>
      </c>
      <c r="X447" s="2" t="s">
        <v>1170</v>
      </c>
      <c r="Y447" s="2">
        <f t="shared" si="144"/>
        <v>4.6849570403787275E-2</v>
      </c>
      <c r="Z447" s="2">
        <f t="shared" si="145"/>
        <v>7.8671431829697491E-2</v>
      </c>
      <c r="AA447" s="2" t="str">
        <f t="shared" si="146"/>
        <v>No Impact</v>
      </c>
      <c r="AB447" s="2">
        <f t="shared" si="147"/>
        <v>2.8644828208499166E-2</v>
      </c>
      <c r="AC447" s="2">
        <f t="shared" si="148"/>
        <v>6.1926397451216864E-2</v>
      </c>
      <c r="AD447" s="2" t="str">
        <f t="shared" si="149"/>
        <v>No Impact</v>
      </c>
      <c r="AE447" s="2">
        <f t="shared" si="150"/>
        <v>1.3091529337005962E-2</v>
      </c>
      <c r="AF447" s="2">
        <f t="shared" si="151"/>
        <v>8.9199067450827285E-2</v>
      </c>
      <c r="AG447" s="2" t="s">
        <v>1169</v>
      </c>
    </row>
    <row r="448" spans="1:33" x14ac:dyDescent="0.3">
      <c r="A448" s="2">
        <v>508889</v>
      </c>
      <c r="B448" s="2" t="s">
        <v>919</v>
      </c>
      <c r="C448" s="2" t="s">
        <v>905</v>
      </c>
      <c r="D448" s="2" t="s">
        <v>920</v>
      </c>
      <c r="E448" s="3">
        <v>6.9</v>
      </c>
      <c r="F448" s="4">
        <f t="shared" si="133"/>
        <v>0.8222222222222223</v>
      </c>
      <c r="G448" s="2">
        <v>64.603879200000009</v>
      </c>
      <c r="H448" s="2">
        <f t="shared" si="134"/>
        <v>0.22169995921380453</v>
      </c>
      <c r="I448" s="2">
        <v>1</v>
      </c>
      <c r="J448" s="4">
        <f t="shared" si="135"/>
        <v>1.5174506828528075E-2</v>
      </c>
      <c r="K448" s="2">
        <v>0</v>
      </c>
      <c r="L448" s="4">
        <f t="shared" si="136"/>
        <v>0</v>
      </c>
      <c r="M448" s="2">
        <v>22985</v>
      </c>
      <c r="N448" s="2">
        <f t="shared" si="137"/>
        <v>0.10762089963236859</v>
      </c>
      <c r="O448" s="2">
        <v>0.615979622</v>
      </c>
      <c r="P448" s="2">
        <f t="shared" si="132"/>
        <v>0.63412306759418802</v>
      </c>
      <c r="Q448" s="2">
        <v>0.2097</v>
      </c>
      <c r="R448" s="2">
        <f t="shared" si="138"/>
        <v>0.44788650839606259</v>
      </c>
      <c r="S448" s="2">
        <f t="shared" si="139"/>
        <v>3.6878785614685418E-2</v>
      </c>
      <c r="T448" s="5">
        <f t="shared" si="140"/>
        <v>5.7673860546752657E-2</v>
      </c>
      <c r="U448" s="2" t="str">
        <f t="shared" si="141"/>
        <v>No Impact</v>
      </c>
      <c r="V448" s="2">
        <f t="shared" si="142"/>
        <v>3.0531172531872722E-2</v>
      </c>
      <c r="W448" s="2">
        <f t="shared" si="143"/>
        <v>4.4677748228111679E-2</v>
      </c>
      <c r="X448" s="2" t="s">
        <v>1170</v>
      </c>
      <c r="Y448" s="2">
        <f t="shared" si="144"/>
        <v>4.3226398697498114E-2</v>
      </c>
      <c r="Z448" s="2">
        <f t="shared" si="145"/>
        <v>7.2587275594284628E-2</v>
      </c>
      <c r="AA448" s="2" t="str">
        <f t="shared" si="146"/>
        <v>No Impact</v>
      </c>
      <c r="AB448" s="2">
        <f t="shared" si="147"/>
        <v>2.6221505662321738E-2</v>
      </c>
      <c r="AC448" s="2">
        <f t="shared" si="148"/>
        <v>5.6687488910562675E-2</v>
      </c>
      <c r="AD448" s="2" t="str">
        <f t="shared" si="149"/>
        <v>No Impact</v>
      </c>
      <c r="AE448" s="2">
        <f t="shared" si="150"/>
        <v>7.3362161911910096E-3</v>
      </c>
      <c r="AF448" s="2">
        <f t="shared" si="151"/>
        <v>4.9985271088393395E-2</v>
      </c>
      <c r="AG448" s="2" t="s">
        <v>1169</v>
      </c>
    </row>
    <row r="449" spans="1:33" x14ac:dyDescent="0.3">
      <c r="A449" s="2">
        <v>508894</v>
      </c>
      <c r="B449" s="2" t="s">
        <v>921</v>
      </c>
      <c r="C449" s="2" t="s">
        <v>905</v>
      </c>
      <c r="D449" s="2" t="s">
        <v>922</v>
      </c>
      <c r="E449" s="3">
        <v>6.9</v>
      </c>
      <c r="F449" s="4">
        <f t="shared" si="133"/>
        <v>0.8222222222222223</v>
      </c>
      <c r="G449" s="2">
        <v>62.473410000000001</v>
      </c>
      <c r="H449" s="2">
        <f t="shared" si="134"/>
        <v>0.20449968260126239</v>
      </c>
      <c r="I449" s="2">
        <v>0.90000000000000024</v>
      </c>
      <c r="J449" s="4">
        <f t="shared" si="135"/>
        <v>1.3657056145675271E-2</v>
      </c>
      <c r="K449" s="2">
        <v>0</v>
      </c>
      <c r="L449" s="4">
        <f t="shared" si="136"/>
        <v>0</v>
      </c>
      <c r="M449" s="2">
        <v>56867</v>
      </c>
      <c r="N449" s="2">
        <f t="shared" si="137"/>
        <v>0.26793090232927852</v>
      </c>
      <c r="O449" s="2">
        <v>0.82256426500000002</v>
      </c>
      <c r="P449" s="2">
        <f t="shared" si="132"/>
        <v>0.87276760921533159</v>
      </c>
      <c r="Q449" s="2">
        <v>0.24010000000000001</v>
      </c>
      <c r="R449" s="2">
        <f t="shared" si="138"/>
        <v>0.53590040532715699</v>
      </c>
      <c r="S449" s="2">
        <f t="shared" si="139"/>
        <v>4.421855488205316E-2</v>
      </c>
      <c r="T449" s="5">
        <f t="shared" si="140"/>
        <v>6.9152352099981607E-2</v>
      </c>
      <c r="U449" s="2" t="str">
        <f t="shared" si="141"/>
        <v>No Impact</v>
      </c>
      <c r="V449" s="2">
        <f t="shared" si="142"/>
        <v>3.3644181935897403E-2</v>
      </c>
      <c r="W449" s="2">
        <f t="shared" si="143"/>
        <v>4.9233166145309759E-2</v>
      </c>
      <c r="X449" s="2" t="s">
        <v>1170</v>
      </c>
      <c r="Y449" s="2">
        <f t="shared" si="144"/>
        <v>5.4792927828208923E-2</v>
      </c>
      <c r="Z449" s="2">
        <f t="shared" si="145"/>
        <v>9.2010194527589628E-2</v>
      </c>
      <c r="AA449" s="2" t="str">
        <f t="shared" si="146"/>
        <v>No Impact</v>
      </c>
      <c r="AB449" s="2">
        <f t="shared" si="147"/>
        <v>3.4100649774094841E-2</v>
      </c>
      <c r="AC449" s="2">
        <f t="shared" si="148"/>
        <v>7.3721174931982214E-2</v>
      </c>
      <c r="AD449" s="2" t="str">
        <f t="shared" si="149"/>
        <v>No Impact</v>
      </c>
      <c r="AE449" s="2">
        <f t="shared" si="150"/>
        <v>1.682087928019449E-2</v>
      </c>
      <c r="AF449" s="2">
        <f t="shared" si="151"/>
        <v>0.11460897400696159</v>
      </c>
      <c r="AG449" s="2" t="s">
        <v>1169</v>
      </c>
    </row>
    <row r="450" spans="1:33" x14ac:dyDescent="0.3">
      <c r="A450" s="2">
        <v>552710</v>
      </c>
      <c r="B450" s="2" t="s">
        <v>923</v>
      </c>
      <c r="C450" s="2" t="s">
        <v>924</v>
      </c>
      <c r="D450" s="2" t="s">
        <v>925</v>
      </c>
      <c r="E450" s="3">
        <v>6.4</v>
      </c>
      <c r="F450" s="4">
        <f t="shared" si="133"/>
        <v>0.71111111111111114</v>
      </c>
      <c r="G450" s="2">
        <v>38.820283199999999</v>
      </c>
      <c r="H450" s="2">
        <f t="shared" si="134"/>
        <v>1.353690139253484E-2</v>
      </c>
      <c r="I450" s="2">
        <v>0.10000000000000026</v>
      </c>
      <c r="J450" s="4">
        <f t="shared" si="135"/>
        <v>1.5174506828528115E-3</v>
      </c>
      <c r="K450" s="2">
        <v>0</v>
      </c>
      <c r="L450" s="4">
        <f t="shared" si="136"/>
        <v>0</v>
      </c>
      <c r="M450" s="2">
        <v>22770</v>
      </c>
      <c r="N450" s="2">
        <f t="shared" si="137"/>
        <v>0.10660364414037179</v>
      </c>
      <c r="O450" s="2">
        <v>0.869308521</v>
      </c>
      <c r="P450" s="2">
        <f t="shared" ref="P450:P513" si="152">(O450-$AJ$11)/$AK$11</f>
        <v>0.92676611261106268</v>
      </c>
      <c r="Q450" s="2">
        <v>0.2455</v>
      </c>
      <c r="R450" s="2">
        <f t="shared" si="138"/>
        <v>0.55153445280833824</v>
      </c>
      <c r="S450" s="2">
        <f t="shared" si="139"/>
        <v>2.7694933385862775E-3</v>
      </c>
      <c r="T450" s="5">
        <f t="shared" si="140"/>
        <v>4.3311451267305486E-3</v>
      </c>
      <c r="U450" s="2" t="str">
        <f t="shared" si="141"/>
        <v>No Impact</v>
      </c>
      <c r="V450" s="2">
        <f t="shared" si="142"/>
        <v>2.066522909865991E-3</v>
      </c>
      <c r="W450" s="2">
        <f t="shared" si="143"/>
        <v>3.0240433831433427E-3</v>
      </c>
      <c r="X450" s="2" t="s">
        <v>1170</v>
      </c>
      <c r="Y450" s="2">
        <f t="shared" si="144"/>
        <v>3.4724637673065628E-3</v>
      </c>
      <c r="Z450" s="2">
        <f t="shared" si="145"/>
        <v>5.8310822104927747E-3</v>
      </c>
      <c r="AA450" s="2" t="str">
        <f t="shared" si="146"/>
        <v>No Impact</v>
      </c>
      <c r="AB450" s="2">
        <f t="shared" si="147"/>
        <v>1.9048223100299835E-3</v>
      </c>
      <c r="AC450" s="2">
        <f t="shared" si="148"/>
        <v>4.1179783864042302E-3</v>
      </c>
      <c r="AD450" s="2" t="str">
        <f t="shared" si="149"/>
        <v>No Impact</v>
      </c>
      <c r="AE450" s="2">
        <f t="shared" si="150"/>
        <v>3.9942903252833596E-4</v>
      </c>
      <c r="AF450" s="2">
        <f t="shared" si="151"/>
        <v>2.7215076479721674E-3</v>
      </c>
      <c r="AG450" s="2" t="s">
        <v>1170</v>
      </c>
    </row>
    <row r="451" spans="1:33" x14ac:dyDescent="0.3">
      <c r="A451" s="2">
        <v>552712</v>
      </c>
      <c r="B451" s="2" t="s">
        <v>926</v>
      </c>
      <c r="C451" s="2" t="s">
        <v>924</v>
      </c>
      <c r="D451" s="2" t="s">
        <v>927</v>
      </c>
      <c r="E451" s="3">
        <v>6</v>
      </c>
      <c r="F451" s="4">
        <f t="shared" ref="F451:F514" si="153">(E451-$AJ$5)/$AK$5</f>
        <v>0.62222222222222223</v>
      </c>
      <c r="G451" s="2">
        <v>46.663884000000003</v>
      </c>
      <c r="H451" s="2">
        <f t="shared" ref="H451:H514" si="154">(G451-$AJ$6)/$AK$6</f>
        <v>7.6861967719875593E-2</v>
      </c>
      <c r="I451" s="2">
        <v>0</v>
      </c>
      <c r="J451" s="4">
        <f t="shared" ref="J451:J514" si="155">(I451-$AJ$7)/$AK$7</f>
        <v>0</v>
      </c>
      <c r="K451" s="2">
        <v>0</v>
      </c>
      <c r="L451" s="4">
        <f t="shared" ref="L451:L514" si="156">(K451-$AJ$8)/$AK$8</f>
        <v>0</v>
      </c>
      <c r="M451" s="2">
        <v>46581</v>
      </c>
      <c r="N451" s="2">
        <f t="shared" ref="N451:N514" si="157">(M451-$AJ$9)/$AK$9</f>
        <v>0.21926350702379432</v>
      </c>
      <c r="O451" s="2">
        <v>0.80881435300000004</v>
      </c>
      <c r="P451" s="2">
        <f t="shared" si="152"/>
        <v>0.85688384651680882</v>
      </c>
      <c r="Q451" s="2">
        <v>0.26500000000000001</v>
      </c>
      <c r="R451" s="2">
        <f t="shared" ref="R451:R514" si="158">(Q451-$AJ$12)/$AK$12</f>
        <v>0.60799073537927051</v>
      </c>
      <c r="S451" s="2">
        <f t="shared" ref="S451:S514" si="159">F451*(R451*0.5+P451*0.5)*(H451*0.35+J451*0.35+L451*0.3)</f>
        <v>1.2260142218979492E-2</v>
      </c>
      <c r="T451" s="5">
        <f t="shared" ref="T451:T514" si="160">(S451-$AJ$10)/$AK$10</f>
        <v>1.9173346433056335E-2</v>
      </c>
      <c r="U451" s="2" t="str">
        <f t="shared" ref="U451:U514" si="161">IF(T451&gt;0.7,"High",IF(T451&gt;0.3,"Moderate",IF(T451&gt;0.15,"Low","No Impact")))</f>
        <v>No Impact</v>
      </c>
      <c r="V451" s="2">
        <f t="shared" ref="V451:V514" si="162">F451*(R451*1)*(H451*0.35+J451*0.35+L451*0.3)</f>
        <v>1.0177052664704625E-2</v>
      </c>
      <c r="W451" s="2">
        <f t="shared" ref="W451:W514" si="163">(V451-$AJ$13)/$AK$13</f>
        <v>1.4892575651434264E-2</v>
      </c>
      <c r="X451" s="2" t="s">
        <v>1170</v>
      </c>
      <c r="Y451" s="2">
        <f t="shared" ref="Y451:Y514" si="164">F451*(P451*1)*(H451*0.35+J451*0.35+L451*0.3)</f>
        <v>1.4343231773254361E-2</v>
      </c>
      <c r="Z451" s="2">
        <f t="shared" ref="Z451:Z514" si="165">(Y451-$AJ$14)/$AK$14</f>
        <v>2.4085654808393132E-2</v>
      </c>
      <c r="AA451" s="2" t="str">
        <f t="shared" ref="AA451:AA514" si="166">IF(Z451&gt;0.7,"High",IF(Z451&gt;0.3,"Moderate",IF(Z451&gt;0.15,"Low","No Impact")))</f>
        <v>No Impact</v>
      </c>
      <c r="AB451" s="2">
        <f t="shared" ref="AB451:AB514" si="167">F451*(R451*0.35+P451*0.3+N451*0.35)*(H451*0.35+J451*0.35+L451*0.3)</f>
        <v>9.1495129507252141E-3</v>
      </c>
      <c r="AC451" s="2">
        <f t="shared" ref="AC451:AC514" si="168">(AB451-$AJ$15)/$AK$15</f>
        <v>1.9780058422677205E-2</v>
      </c>
      <c r="AD451" s="2" t="str">
        <f t="shared" ref="AD451:AD514" si="169">IF(AC451&gt;0.7,"High",IF(AC451&gt;0.3,"Moderate",IF(AC451&gt;0.15,"Low","No Impact")))</f>
        <v>No Impact</v>
      </c>
      <c r="AE451" s="2">
        <f t="shared" ref="AE451:AE514" si="170">F451*(N451*1)*(H451*0.35+J451*0.35+L451*0.3)</f>
        <v>3.6702142460065339E-3</v>
      </c>
      <c r="AF451" s="2">
        <f t="shared" ref="AF451:AF514" si="171">(AE451-$AJ$16)/$AK$16</f>
        <v>2.5006985789132859E-2</v>
      </c>
      <c r="AG451" s="2" t="s">
        <v>1170</v>
      </c>
    </row>
    <row r="452" spans="1:33" x14ac:dyDescent="0.3">
      <c r="A452" s="2">
        <v>552717</v>
      </c>
      <c r="B452" s="2" t="s">
        <v>928</v>
      </c>
      <c r="C452" s="2" t="s">
        <v>924</v>
      </c>
      <c r="D452" s="2" t="s">
        <v>929</v>
      </c>
      <c r="E452" s="3">
        <v>6.4</v>
      </c>
      <c r="F452" s="4">
        <f t="shared" si="153"/>
        <v>0.71111111111111114</v>
      </c>
      <c r="G452" s="2">
        <v>46.663884000000003</v>
      </c>
      <c r="H452" s="2">
        <f t="shared" si="154"/>
        <v>7.6861967719875593E-2</v>
      </c>
      <c r="I452" s="2">
        <v>0</v>
      </c>
      <c r="J452" s="4">
        <f t="shared" si="155"/>
        <v>0</v>
      </c>
      <c r="K452" s="2">
        <v>0</v>
      </c>
      <c r="L452" s="4">
        <f t="shared" si="156"/>
        <v>0</v>
      </c>
      <c r="M452" s="2">
        <v>39215</v>
      </c>
      <c r="N452" s="2">
        <f t="shared" si="157"/>
        <v>0.18441186072589461</v>
      </c>
      <c r="O452" s="2">
        <v>0.72110038200000004</v>
      </c>
      <c r="P452" s="2">
        <f t="shared" si="152"/>
        <v>0.75555753252228153</v>
      </c>
      <c r="Q452" s="2">
        <v>0.26860000000000001</v>
      </c>
      <c r="R452" s="2">
        <f t="shared" si="158"/>
        <v>0.61841343370005797</v>
      </c>
      <c r="S452" s="2">
        <f t="shared" si="159"/>
        <v>1.314209394447634E-2</v>
      </c>
      <c r="T452" s="5">
        <f t="shared" si="160"/>
        <v>2.0552609876183865E-2</v>
      </c>
      <c r="U452" s="2" t="str">
        <f t="shared" si="161"/>
        <v>No Impact</v>
      </c>
      <c r="V452" s="2">
        <f t="shared" si="162"/>
        <v>1.1830304485338275E-2</v>
      </c>
      <c r="W452" s="2">
        <f t="shared" si="163"/>
        <v>1.7311859369503996E-2</v>
      </c>
      <c r="X452" s="2" t="s">
        <v>1170</v>
      </c>
      <c r="Y452" s="2">
        <f t="shared" si="164"/>
        <v>1.4453883403614405E-2</v>
      </c>
      <c r="Z452" s="2">
        <f t="shared" si="165"/>
        <v>2.4271464883484264E-2</v>
      </c>
      <c r="AA452" s="2" t="str">
        <f t="shared" si="166"/>
        <v>No Impact</v>
      </c>
      <c r="AB452" s="2">
        <f t="shared" si="167"/>
        <v>9.7115069968683066E-3</v>
      </c>
      <c r="AC452" s="2">
        <f t="shared" si="168"/>
        <v>2.0995016544030104E-2</v>
      </c>
      <c r="AD452" s="2" t="str">
        <f t="shared" si="169"/>
        <v>No Impact</v>
      </c>
      <c r="AE452" s="2">
        <f t="shared" si="170"/>
        <v>3.5278154454731138E-3</v>
      </c>
      <c r="AF452" s="2">
        <f t="shared" si="171"/>
        <v>2.4036752297939969E-2</v>
      </c>
      <c r="AG452" s="2" t="s">
        <v>1170</v>
      </c>
    </row>
    <row r="453" spans="1:33" x14ac:dyDescent="0.3">
      <c r="A453" s="2">
        <v>552721</v>
      </c>
      <c r="B453" s="2" t="s">
        <v>930</v>
      </c>
      <c r="C453" s="2" t="s">
        <v>924</v>
      </c>
      <c r="D453" s="2" t="s">
        <v>931</v>
      </c>
      <c r="E453" s="3">
        <v>6.4</v>
      </c>
      <c r="F453" s="4">
        <f t="shared" si="153"/>
        <v>0.71111111111111114</v>
      </c>
      <c r="G453" s="2">
        <v>39.115836000000002</v>
      </c>
      <c r="H453" s="2">
        <f t="shared" si="154"/>
        <v>1.5923037701668707E-2</v>
      </c>
      <c r="I453" s="2">
        <v>0</v>
      </c>
      <c r="J453" s="4">
        <f t="shared" si="155"/>
        <v>0</v>
      </c>
      <c r="K453" s="2">
        <v>0</v>
      </c>
      <c r="L453" s="4">
        <f t="shared" si="156"/>
        <v>0</v>
      </c>
      <c r="M453" s="2">
        <v>24638</v>
      </c>
      <c r="N453" s="2">
        <f t="shared" si="157"/>
        <v>0.11544193836851145</v>
      </c>
      <c r="O453" s="2">
        <v>0.855496017</v>
      </c>
      <c r="P453" s="2">
        <f t="shared" si="152"/>
        <v>0.91081004425161427</v>
      </c>
      <c r="Q453" s="2">
        <v>0.28470000000000001</v>
      </c>
      <c r="R453" s="2">
        <f t="shared" si="158"/>
        <v>0.66502605674580206</v>
      </c>
      <c r="S453" s="2">
        <f t="shared" si="159"/>
        <v>3.1225721517302639E-3</v>
      </c>
      <c r="T453" s="5">
        <f t="shared" si="160"/>
        <v>4.8833167314042752E-3</v>
      </c>
      <c r="U453" s="2" t="str">
        <f t="shared" si="161"/>
        <v>No Impact</v>
      </c>
      <c r="V453" s="2">
        <f t="shared" si="162"/>
        <v>2.6355429269009191E-3</v>
      </c>
      <c r="W453" s="2">
        <f t="shared" si="163"/>
        <v>3.85671802186882E-3</v>
      </c>
      <c r="X453" s="2" t="s">
        <v>1170</v>
      </c>
      <c r="Y453" s="2">
        <f t="shared" si="164"/>
        <v>3.6096013765596078E-3</v>
      </c>
      <c r="Z453" s="2">
        <f t="shared" si="165"/>
        <v>6.0613684646601447E-3</v>
      </c>
      <c r="AA453" s="2" t="str">
        <f t="shared" si="166"/>
        <v>No Impact</v>
      </c>
      <c r="AB453" s="2">
        <f t="shared" si="167"/>
        <v>2.1654468916281473E-3</v>
      </c>
      <c r="AC453" s="2">
        <f t="shared" si="168"/>
        <v>4.6814148751179686E-3</v>
      </c>
      <c r="AD453" s="2" t="str">
        <f t="shared" si="169"/>
        <v>No Impact</v>
      </c>
      <c r="AE453" s="2">
        <f t="shared" si="170"/>
        <v>4.5750415498555235E-4</v>
      </c>
      <c r="AF453" s="2">
        <f t="shared" si="171"/>
        <v>3.117202194569809E-3</v>
      </c>
      <c r="AG453" s="2" t="s">
        <v>1170</v>
      </c>
    </row>
    <row r="454" spans="1:33" x14ac:dyDescent="0.3">
      <c r="A454" s="2">
        <v>552730</v>
      </c>
      <c r="B454" s="2" t="s">
        <v>932</v>
      </c>
      <c r="C454" s="2" t="s">
        <v>924</v>
      </c>
      <c r="D454" s="2" t="s">
        <v>933</v>
      </c>
      <c r="E454" s="3">
        <v>6.4</v>
      </c>
      <c r="F454" s="4">
        <f t="shared" si="153"/>
        <v>0.71111111111111114</v>
      </c>
      <c r="G454" s="2">
        <v>46.663884000000003</v>
      </c>
      <c r="H454" s="2">
        <f t="shared" si="154"/>
        <v>7.6861967719875593E-2</v>
      </c>
      <c r="I454" s="2">
        <v>0</v>
      </c>
      <c r="J454" s="4">
        <f t="shared" si="155"/>
        <v>0</v>
      </c>
      <c r="K454" s="2">
        <v>0</v>
      </c>
      <c r="L454" s="4">
        <f t="shared" si="156"/>
        <v>0</v>
      </c>
      <c r="M454" s="2">
        <v>37811</v>
      </c>
      <c r="N454" s="2">
        <f t="shared" si="157"/>
        <v>0.17776894579211083</v>
      </c>
      <c r="O454" s="2">
        <v>0.80787603399999997</v>
      </c>
      <c r="P454" s="2">
        <f t="shared" si="152"/>
        <v>0.85579990966459352</v>
      </c>
      <c r="Q454" s="2">
        <v>0.2419</v>
      </c>
      <c r="R454" s="2">
        <f t="shared" si="158"/>
        <v>0.54111175448755067</v>
      </c>
      <c r="S454" s="2">
        <f t="shared" si="159"/>
        <v>1.3361522749565485E-2</v>
      </c>
      <c r="T454" s="5">
        <f t="shared" si="160"/>
        <v>2.0895769394419533E-2</v>
      </c>
      <c r="U454" s="2" t="str">
        <f t="shared" si="161"/>
        <v>No Impact</v>
      </c>
      <c r="V454" s="2">
        <f t="shared" si="162"/>
        <v>1.0351516424670987E-2</v>
      </c>
      <c r="W454" s="2">
        <f t="shared" si="163"/>
        <v>1.5147876948315991E-2</v>
      </c>
      <c r="X454" s="2" t="s">
        <v>1170</v>
      </c>
      <c r="Y454" s="2">
        <f t="shared" si="164"/>
        <v>1.6371529074459983E-2</v>
      </c>
      <c r="Z454" s="2">
        <f t="shared" si="165"/>
        <v>2.7491642344391071E-2</v>
      </c>
      <c r="AA454" s="2" t="str">
        <f t="shared" si="166"/>
        <v>No Impact</v>
      </c>
      <c r="AB454" s="2">
        <f t="shared" si="167"/>
        <v>9.7247470312935621E-3</v>
      </c>
      <c r="AC454" s="2">
        <f t="shared" si="168"/>
        <v>2.1023639778497361E-2</v>
      </c>
      <c r="AD454" s="2" t="str">
        <f t="shared" si="169"/>
        <v>No Impact</v>
      </c>
      <c r="AE454" s="2">
        <f t="shared" si="170"/>
        <v>3.4007358866306398E-3</v>
      </c>
      <c r="AF454" s="2">
        <f t="shared" si="171"/>
        <v>2.3170896380803583E-2</v>
      </c>
      <c r="AG454" s="2" t="s">
        <v>1170</v>
      </c>
    </row>
    <row r="455" spans="1:33" x14ac:dyDescent="0.3">
      <c r="A455" s="2">
        <v>552738</v>
      </c>
      <c r="B455" s="2" t="s">
        <v>934</v>
      </c>
      <c r="C455" s="2" t="s">
        <v>924</v>
      </c>
      <c r="D455" s="2" t="s">
        <v>935</v>
      </c>
      <c r="E455" s="3">
        <v>6.4</v>
      </c>
      <c r="F455" s="4">
        <f t="shared" si="153"/>
        <v>0.71111111111111114</v>
      </c>
      <c r="G455" s="2">
        <v>37.257454799999998</v>
      </c>
      <c r="H455" s="2">
        <f t="shared" si="154"/>
        <v>9.1945506759543089E-4</v>
      </c>
      <c r="I455" s="2">
        <v>0</v>
      </c>
      <c r="J455" s="4">
        <f t="shared" si="155"/>
        <v>0</v>
      </c>
      <c r="K455" s="2">
        <v>0</v>
      </c>
      <c r="L455" s="4">
        <f t="shared" si="156"/>
        <v>0</v>
      </c>
      <c r="M455" s="2">
        <v>22131</v>
      </c>
      <c r="N455" s="2">
        <f t="shared" si="157"/>
        <v>0.10358026618973944</v>
      </c>
      <c r="O455" s="2">
        <v>0.82222690200000004</v>
      </c>
      <c r="P455" s="2">
        <f t="shared" si="152"/>
        <v>0.87237789080584194</v>
      </c>
      <c r="Q455" s="2">
        <v>0.21740000000000001</v>
      </c>
      <c r="R455" s="2">
        <f t="shared" si="158"/>
        <v>0.47017950202663583</v>
      </c>
      <c r="S455" s="2">
        <f t="shared" si="159"/>
        <v>1.5361686024253723E-4</v>
      </c>
      <c r="T455" s="5">
        <f t="shared" si="160"/>
        <v>2.4023777430811312E-4</v>
      </c>
      <c r="U455" s="2" t="str">
        <f t="shared" si="161"/>
        <v>No Impact</v>
      </c>
      <c r="V455" s="2">
        <f t="shared" si="162"/>
        <v>1.0759688820356285E-4</v>
      </c>
      <c r="W455" s="2">
        <f t="shared" si="163"/>
        <v>1.5745175447384619E-4</v>
      </c>
      <c r="X455" s="2" t="s">
        <v>1170</v>
      </c>
      <c r="Y455" s="2">
        <f t="shared" si="164"/>
        <v>1.9963683228151161E-4</v>
      </c>
      <c r="Z455" s="2">
        <f t="shared" si="165"/>
        <v>3.3523712824188581E-4</v>
      </c>
      <c r="AA455" s="2" t="str">
        <f t="shared" si="166"/>
        <v>No Impact</v>
      </c>
      <c r="AB455" s="2">
        <f t="shared" si="167"/>
        <v>1.0584619634574659E-4</v>
      </c>
      <c r="AC455" s="2">
        <f t="shared" si="168"/>
        <v>2.288257264416553E-4</v>
      </c>
      <c r="AD455" s="2" t="str">
        <f t="shared" si="169"/>
        <v>No Impact</v>
      </c>
      <c r="AE455" s="2">
        <f t="shared" si="170"/>
        <v>2.3703530828703188E-5</v>
      </c>
      <c r="AF455" s="2">
        <f t="shared" si="171"/>
        <v>1.6150388474749493E-4</v>
      </c>
      <c r="AG455" s="2" t="s">
        <v>1170</v>
      </c>
    </row>
    <row r="456" spans="1:33" x14ac:dyDescent="0.3">
      <c r="A456" s="2">
        <v>552743</v>
      </c>
      <c r="B456" s="2" t="s">
        <v>936</v>
      </c>
      <c r="C456" s="2" t="s">
        <v>924</v>
      </c>
      <c r="D456" s="2" t="s">
        <v>937</v>
      </c>
      <c r="E456" s="3">
        <v>6.4</v>
      </c>
      <c r="F456" s="4">
        <f t="shared" si="153"/>
        <v>0.71111111111111114</v>
      </c>
      <c r="G456" s="2">
        <v>38.741047200000004</v>
      </c>
      <c r="H456" s="2">
        <f t="shared" si="154"/>
        <v>1.2897192018810361E-2</v>
      </c>
      <c r="I456" s="2">
        <v>0</v>
      </c>
      <c r="J456" s="4">
        <f t="shared" si="155"/>
        <v>0</v>
      </c>
      <c r="K456" s="2">
        <v>0</v>
      </c>
      <c r="L456" s="4">
        <f t="shared" si="156"/>
        <v>0</v>
      </c>
      <c r="M456" s="2">
        <v>17312</v>
      </c>
      <c r="N456" s="2">
        <f t="shared" si="157"/>
        <v>8.0779548906332058E-2</v>
      </c>
      <c r="O456" s="2">
        <v>0.83397162599999997</v>
      </c>
      <c r="P456" s="2">
        <f t="shared" si="152"/>
        <v>0.88594528010808948</v>
      </c>
      <c r="Q456" s="2">
        <v>0.23449999999999999</v>
      </c>
      <c r="R456" s="2">
        <f t="shared" si="158"/>
        <v>0.51968731905037635</v>
      </c>
      <c r="S456" s="2">
        <f t="shared" si="159"/>
        <v>2.256017684883975E-3</v>
      </c>
      <c r="T456" s="5">
        <f t="shared" si="160"/>
        <v>3.5281326968964522E-3</v>
      </c>
      <c r="U456" s="2" t="str">
        <f t="shared" si="161"/>
        <v>No Impact</v>
      </c>
      <c r="V456" s="2">
        <f t="shared" si="162"/>
        <v>1.6681795557238854E-3</v>
      </c>
      <c r="W456" s="2">
        <f t="shared" si="163"/>
        <v>2.4411281981427196E-3</v>
      </c>
      <c r="X456" s="2" t="s">
        <v>1170</v>
      </c>
      <c r="Y456" s="2">
        <f t="shared" si="164"/>
        <v>2.843855814044065E-3</v>
      </c>
      <c r="Z456" s="2">
        <f t="shared" si="165"/>
        <v>4.7755018216766908E-3</v>
      </c>
      <c r="AA456" s="2" t="str">
        <f t="shared" si="166"/>
        <v>No Impact</v>
      </c>
      <c r="AB456" s="2">
        <f t="shared" si="167"/>
        <v>1.5277745012827208E-3</v>
      </c>
      <c r="AC456" s="2">
        <f t="shared" si="168"/>
        <v>3.3028500046719403E-3</v>
      </c>
      <c r="AD456" s="2" t="str">
        <f t="shared" si="169"/>
        <v>No Impact</v>
      </c>
      <c r="AE456" s="2">
        <f t="shared" si="170"/>
        <v>2.5929975018897528E-4</v>
      </c>
      <c r="AF456" s="2">
        <f t="shared" si="171"/>
        <v>1.766737507260458E-3</v>
      </c>
      <c r="AG456" s="2" t="s">
        <v>1170</v>
      </c>
    </row>
    <row r="457" spans="1:33" x14ac:dyDescent="0.3">
      <c r="A457" s="2">
        <v>552747</v>
      </c>
      <c r="B457" s="2" t="s">
        <v>938</v>
      </c>
      <c r="C457" s="2" t="s">
        <v>924</v>
      </c>
      <c r="D457" s="2" t="s">
        <v>939</v>
      </c>
      <c r="E457" s="3">
        <v>6.4</v>
      </c>
      <c r="F457" s="4">
        <f t="shared" si="153"/>
        <v>0.71111111111111114</v>
      </c>
      <c r="G457" s="2">
        <v>38.741047200000004</v>
      </c>
      <c r="H457" s="2">
        <f t="shared" si="154"/>
        <v>1.2897192018810361E-2</v>
      </c>
      <c r="I457" s="2">
        <v>0</v>
      </c>
      <c r="J457" s="4">
        <f t="shared" si="155"/>
        <v>0</v>
      </c>
      <c r="K457" s="2">
        <v>0</v>
      </c>
      <c r="L457" s="4">
        <f t="shared" si="156"/>
        <v>0</v>
      </c>
      <c r="M457" s="2">
        <v>12348</v>
      </c>
      <c r="N457" s="2">
        <f t="shared" si="157"/>
        <v>5.7292775593438462E-2</v>
      </c>
      <c r="O457" s="2">
        <v>0.832106974</v>
      </c>
      <c r="P457" s="2">
        <f t="shared" si="152"/>
        <v>0.88379125251261659</v>
      </c>
      <c r="Q457" s="2">
        <v>0.24299999999999999</v>
      </c>
      <c r="R457" s="2">
        <f t="shared" si="158"/>
        <v>0.54429646786334684</v>
      </c>
      <c r="S457" s="2">
        <f t="shared" si="159"/>
        <v>2.2920577928134704E-3</v>
      </c>
      <c r="T457" s="5">
        <f t="shared" si="160"/>
        <v>3.5844949692481732E-3</v>
      </c>
      <c r="U457" s="2" t="str">
        <f t="shared" si="161"/>
        <v>No Impact</v>
      </c>
      <c r="V457" s="2">
        <f t="shared" si="162"/>
        <v>1.7471741307860192E-3</v>
      </c>
      <c r="W457" s="2">
        <f t="shared" si="163"/>
        <v>2.5567247980547701E-3</v>
      </c>
      <c r="X457" s="2" t="s">
        <v>1170</v>
      </c>
      <c r="Y457" s="2">
        <f t="shared" si="164"/>
        <v>2.8369414548409214E-3</v>
      </c>
      <c r="Z457" s="2">
        <f t="shared" si="165"/>
        <v>4.7638909886635423E-3</v>
      </c>
      <c r="AA457" s="2" t="str">
        <f t="shared" si="166"/>
        <v>No Impact</v>
      </c>
      <c r="AB457" s="2">
        <f t="shared" si="167"/>
        <v>1.5269611697435435E-3</v>
      </c>
      <c r="AC457" s="2">
        <f t="shared" si="168"/>
        <v>3.3010916875409E-3</v>
      </c>
      <c r="AD457" s="2" t="str">
        <f t="shared" si="169"/>
        <v>No Impact</v>
      </c>
      <c r="AE457" s="2">
        <f t="shared" si="170"/>
        <v>1.839079643318867E-4</v>
      </c>
      <c r="AF457" s="2">
        <f t="shared" si="171"/>
        <v>1.253055964119773E-3</v>
      </c>
      <c r="AG457" s="2" t="s">
        <v>1170</v>
      </c>
    </row>
    <row r="458" spans="1:33" x14ac:dyDescent="0.3">
      <c r="A458" s="2">
        <v>552756</v>
      </c>
      <c r="B458" s="2" t="s">
        <v>940</v>
      </c>
      <c r="C458" s="2" t="s">
        <v>924</v>
      </c>
      <c r="D458" s="2" t="s">
        <v>941</v>
      </c>
      <c r="E458" s="3">
        <v>5</v>
      </c>
      <c r="F458" s="4">
        <f t="shared" si="153"/>
        <v>0.39999999999999997</v>
      </c>
      <c r="G458" s="2">
        <v>46.663884000000003</v>
      </c>
      <c r="H458" s="2">
        <f t="shared" si="154"/>
        <v>7.6861967719875593E-2</v>
      </c>
      <c r="I458" s="2">
        <v>0</v>
      </c>
      <c r="J458" s="4">
        <f t="shared" si="155"/>
        <v>0</v>
      </c>
      <c r="K458" s="2">
        <v>0</v>
      </c>
      <c r="L458" s="4">
        <f t="shared" si="156"/>
        <v>0</v>
      </c>
      <c r="M458" s="2">
        <v>26833</v>
      </c>
      <c r="N458" s="2">
        <f t="shared" si="157"/>
        <v>0.12582740722866484</v>
      </c>
      <c r="O458" s="2">
        <v>0.86891489</v>
      </c>
      <c r="P458" s="2">
        <f t="shared" si="152"/>
        <v>0.92631139396306084</v>
      </c>
      <c r="Q458" s="2">
        <v>0.2666</v>
      </c>
      <c r="R458" s="2">
        <f t="shared" si="158"/>
        <v>0.6126230457440649</v>
      </c>
      <c r="S458" s="2">
        <f t="shared" si="159"/>
        <v>8.2799870459441729E-3</v>
      </c>
      <c r="T458" s="5">
        <f t="shared" si="160"/>
        <v>1.2948875898628913E-2</v>
      </c>
      <c r="U458" s="2" t="str">
        <f t="shared" si="161"/>
        <v>No Impact</v>
      </c>
      <c r="V458" s="2">
        <f t="shared" si="162"/>
        <v>6.5922377873005042E-3</v>
      </c>
      <c r="W458" s="2">
        <f t="shared" si="163"/>
        <v>9.6467418607453764E-3</v>
      </c>
      <c r="X458" s="2" t="s">
        <v>1170</v>
      </c>
      <c r="Y458" s="2">
        <f t="shared" si="164"/>
        <v>9.9677363045878424E-3</v>
      </c>
      <c r="Z458" s="2">
        <f t="shared" si="165"/>
        <v>1.6738170284681868E-2</v>
      </c>
      <c r="AA458" s="2" t="str">
        <f t="shared" si="166"/>
        <v>No Impact</v>
      </c>
      <c r="AB458" s="2">
        <f t="shared" si="167"/>
        <v>5.7714998804531074E-3</v>
      </c>
      <c r="AC458" s="2">
        <f t="shared" si="168"/>
        <v>1.2477232988974381E-2</v>
      </c>
      <c r="AD458" s="2" t="str">
        <f t="shared" si="169"/>
        <v>No Impact</v>
      </c>
      <c r="AE458" s="2">
        <f t="shared" si="170"/>
        <v>1.3539878957759385E-3</v>
      </c>
      <c r="AF458" s="2">
        <f t="shared" si="171"/>
        <v>9.2253895273737979E-3</v>
      </c>
      <c r="AG458" s="2" t="s">
        <v>1170</v>
      </c>
    </row>
    <row r="459" spans="1:33" x14ac:dyDescent="0.3">
      <c r="A459" s="2">
        <v>552760</v>
      </c>
      <c r="B459" s="2" t="s">
        <v>942</v>
      </c>
      <c r="C459" s="2" t="s">
        <v>924</v>
      </c>
      <c r="D459" s="2" t="s">
        <v>943</v>
      </c>
      <c r="E459" s="3">
        <v>6.3</v>
      </c>
      <c r="F459" s="4">
        <f t="shared" si="153"/>
        <v>0.68888888888888877</v>
      </c>
      <c r="G459" s="2">
        <v>46.663884000000003</v>
      </c>
      <c r="H459" s="2">
        <f t="shared" si="154"/>
        <v>7.6861967719875593E-2</v>
      </c>
      <c r="I459" s="2">
        <v>0</v>
      </c>
      <c r="J459" s="4">
        <f t="shared" si="155"/>
        <v>0</v>
      </c>
      <c r="K459" s="2">
        <v>0</v>
      </c>
      <c r="L459" s="4">
        <f t="shared" si="156"/>
        <v>0</v>
      </c>
      <c r="M459" s="2">
        <v>15773</v>
      </c>
      <c r="N459" s="2">
        <f t="shared" si="157"/>
        <v>7.3497892151992164E-2</v>
      </c>
      <c r="O459" s="2">
        <v>0.79009336799999996</v>
      </c>
      <c r="P459" s="2">
        <f t="shared" si="152"/>
        <v>0.83525754932868079</v>
      </c>
      <c r="Q459" s="2">
        <v>0.24329999999999999</v>
      </c>
      <c r="R459" s="2">
        <f t="shared" si="158"/>
        <v>0.54516502605674577</v>
      </c>
      <c r="S459" s="2">
        <f t="shared" si="159"/>
        <v>1.2791185004503606E-2</v>
      </c>
      <c r="T459" s="5">
        <f t="shared" si="160"/>
        <v>2.0003831684839699E-2</v>
      </c>
      <c r="U459" s="2" t="str">
        <f t="shared" si="161"/>
        <v>No Impact</v>
      </c>
      <c r="V459" s="2">
        <f t="shared" si="162"/>
        <v>1.0103147877496646E-2</v>
      </c>
      <c r="W459" s="2">
        <f t="shared" si="163"/>
        <v>1.478442718539408E-2</v>
      </c>
      <c r="X459" s="2" t="s">
        <v>1170</v>
      </c>
      <c r="Y459" s="2">
        <f t="shared" si="164"/>
        <v>1.5479222131510564E-2</v>
      </c>
      <c r="Z459" s="2">
        <f t="shared" si="165"/>
        <v>2.5993249419367877E-2</v>
      </c>
      <c r="AA459" s="2" t="str">
        <f t="shared" si="166"/>
        <v>No Impact</v>
      </c>
      <c r="AB459" s="2">
        <f t="shared" si="167"/>
        <v>8.6565974843972847E-3</v>
      </c>
      <c r="AC459" s="2">
        <f t="shared" si="168"/>
        <v>1.8714439217161483E-2</v>
      </c>
      <c r="AD459" s="2" t="str">
        <f t="shared" si="169"/>
        <v>No Impact</v>
      </c>
      <c r="AE459" s="2">
        <f t="shared" si="170"/>
        <v>1.362083108057971E-3</v>
      </c>
      <c r="AF459" s="2">
        <f t="shared" si="171"/>
        <v>9.2805462144029179E-3</v>
      </c>
      <c r="AG459" s="2" t="s">
        <v>1170</v>
      </c>
    </row>
    <row r="460" spans="1:33" x14ac:dyDescent="0.3">
      <c r="A460" s="2">
        <v>552764</v>
      </c>
      <c r="B460" s="2" t="s">
        <v>944</v>
      </c>
      <c r="C460" s="2" t="s">
        <v>924</v>
      </c>
      <c r="D460" s="2" t="s">
        <v>945</v>
      </c>
      <c r="E460" s="3">
        <v>6.4</v>
      </c>
      <c r="F460" s="4">
        <f t="shared" si="153"/>
        <v>0.71111111111111114</v>
      </c>
      <c r="G460" s="2">
        <v>46.663884000000003</v>
      </c>
      <c r="H460" s="2">
        <f t="shared" si="154"/>
        <v>7.6861967719875593E-2</v>
      </c>
      <c r="I460" s="2">
        <v>0</v>
      </c>
      <c r="J460" s="4">
        <f t="shared" si="155"/>
        <v>0</v>
      </c>
      <c r="K460" s="2">
        <v>0</v>
      </c>
      <c r="L460" s="4">
        <f t="shared" si="156"/>
        <v>0</v>
      </c>
      <c r="M460" s="2">
        <v>51759</v>
      </c>
      <c r="N460" s="2">
        <f t="shared" si="157"/>
        <v>0.24376280440779172</v>
      </c>
      <c r="O460" s="2">
        <v>0.52087077400000004</v>
      </c>
      <c r="P460" s="2">
        <f t="shared" si="152"/>
        <v>0.52425426464025771</v>
      </c>
      <c r="Q460" s="2">
        <v>0.25019999999999998</v>
      </c>
      <c r="R460" s="2">
        <f t="shared" si="158"/>
        <v>0.56514186450492176</v>
      </c>
      <c r="S460" s="2">
        <f t="shared" si="159"/>
        <v>1.0420122858446212E-2</v>
      </c>
      <c r="T460" s="5">
        <f t="shared" si="160"/>
        <v>1.6295783676205055E-2</v>
      </c>
      <c r="U460" s="2" t="str">
        <f t="shared" si="161"/>
        <v>No Impact</v>
      </c>
      <c r="V460" s="2">
        <f t="shared" si="162"/>
        <v>1.0811214585852201E-2</v>
      </c>
      <c r="W460" s="2">
        <f t="shared" si="163"/>
        <v>1.5820575603591659E-2</v>
      </c>
      <c r="X460" s="2" t="s">
        <v>1170</v>
      </c>
      <c r="Y460" s="2">
        <f t="shared" si="164"/>
        <v>1.0029031131040221E-2</v>
      </c>
      <c r="Z460" s="2">
        <f t="shared" si="165"/>
        <v>1.6841098694039741E-2</v>
      </c>
      <c r="AA460" s="2" t="str">
        <f t="shared" si="166"/>
        <v>No Impact</v>
      </c>
      <c r="AB460" s="2">
        <f t="shared" si="167"/>
        <v>8.4247559579269209E-3</v>
      </c>
      <c r="AC460" s="2">
        <f t="shared" si="168"/>
        <v>1.8213227954541982E-2</v>
      </c>
      <c r="AD460" s="2" t="str">
        <f t="shared" si="169"/>
        <v>No Impact</v>
      </c>
      <c r="AE460" s="2">
        <f t="shared" si="170"/>
        <v>4.6632043244759546E-3</v>
      </c>
      <c r="AF460" s="2">
        <f t="shared" si="171"/>
        <v>3.1772718554748232E-2</v>
      </c>
      <c r="AG460" s="2" t="s">
        <v>1170</v>
      </c>
    </row>
    <row r="461" spans="1:33" x14ac:dyDescent="0.3">
      <c r="A461" s="2">
        <v>552769</v>
      </c>
      <c r="B461" s="2" t="s">
        <v>946</v>
      </c>
      <c r="C461" s="2" t="s">
        <v>924</v>
      </c>
      <c r="D461" s="2" t="s">
        <v>383</v>
      </c>
      <c r="E461" s="3">
        <v>6.3</v>
      </c>
      <c r="F461" s="4">
        <f t="shared" si="153"/>
        <v>0.68888888888888877</v>
      </c>
      <c r="G461" s="2">
        <v>38.741047200000004</v>
      </c>
      <c r="H461" s="2">
        <f t="shared" si="154"/>
        <v>1.2897192018810361E-2</v>
      </c>
      <c r="I461" s="2">
        <v>0</v>
      </c>
      <c r="J461" s="4">
        <f t="shared" si="155"/>
        <v>0</v>
      </c>
      <c r="K461" s="2">
        <v>0</v>
      </c>
      <c r="L461" s="4">
        <f t="shared" si="156"/>
        <v>0</v>
      </c>
      <c r="M461" s="2">
        <v>37424</v>
      </c>
      <c r="N461" s="2">
        <f t="shared" si="157"/>
        <v>0.17593788590651657</v>
      </c>
      <c r="O461" s="2">
        <v>0.81448562099999999</v>
      </c>
      <c r="P461" s="2">
        <f t="shared" si="152"/>
        <v>0.86343523936293942</v>
      </c>
      <c r="Q461" s="2">
        <v>0.25969999999999999</v>
      </c>
      <c r="R461" s="2">
        <f t="shared" si="158"/>
        <v>0.59264620729588879</v>
      </c>
      <c r="S461" s="2">
        <f t="shared" si="159"/>
        <v>2.2639564204062108E-3</v>
      </c>
      <c r="T461" s="5">
        <f t="shared" si="160"/>
        <v>3.5405478976086105E-3</v>
      </c>
      <c r="U461" s="2" t="str">
        <f t="shared" si="161"/>
        <v>No Impact</v>
      </c>
      <c r="V461" s="2">
        <f t="shared" si="162"/>
        <v>1.8429260109256715E-3</v>
      </c>
      <c r="W461" s="2">
        <f t="shared" si="163"/>
        <v>2.6968431766981639E-3</v>
      </c>
      <c r="X461" s="2" t="s">
        <v>1170</v>
      </c>
      <c r="Y461" s="2">
        <f t="shared" si="164"/>
        <v>2.6849868298867503E-3</v>
      </c>
      <c r="Z461" s="2">
        <f t="shared" si="165"/>
        <v>4.5087234851996696E-3</v>
      </c>
      <c r="AA461" s="2" t="str">
        <f t="shared" si="166"/>
        <v>No Impact</v>
      </c>
      <c r="AB461" s="2">
        <f t="shared" si="167"/>
        <v>1.6420073770200278E-3</v>
      </c>
      <c r="AC461" s="2">
        <f t="shared" si="168"/>
        <v>3.5498066424780282E-3</v>
      </c>
      <c r="AD461" s="2" t="str">
        <f t="shared" si="169"/>
        <v>No Impact</v>
      </c>
      <c r="AE461" s="2">
        <f t="shared" si="170"/>
        <v>5.4710635494290753E-4</v>
      </c>
      <c r="AF461" s="2">
        <f t="shared" si="171"/>
        <v>3.727706320710851E-3</v>
      </c>
      <c r="AG461" s="2" t="s">
        <v>1170</v>
      </c>
    </row>
    <row r="462" spans="1:33" x14ac:dyDescent="0.3">
      <c r="A462" s="2">
        <v>552777</v>
      </c>
      <c r="B462" s="2" t="s">
        <v>947</v>
      </c>
      <c r="C462" s="2" t="s">
        <v>924</v>
      </c>
      <c r="D462" s="2" t="s">
        <v>948</v>
      </c>
      <c r="E462" s="3">
        <v>6.4</v>
      </c>
      <c r="F462" s="4">
        <f t="shared" si="153"/>
        <v>0.71111111111111114</v>
      </c>
      <c r="G462" s="2">
        <v>46.663884000000003</v>
      </c>
      <c r="H462" s="2">
        <f t="shared" si="154"/>
        <v>7.6861967719875593E-2</v>
      </c>
      <c r="I462" s="2">
        <v>0.10000000000000026</v>
      </c>
      <c r="J462" s="4">
        <f t="shared" si="155"/>
        <v>1.5174506828528115E-3</v>
      </c>
      <c r="K462" s="2">
        <v>0</v>
      </c>
      <c r="L462" s="4">
        <f t="shared" si="156"/>
        <v>0</v>
      </c>
      <c r="M462" s="2">
        <v>48158</v>
      </c>
      <c r="N462" s="2">
        <f t="shared" si="157"/>
        <v>0.22672495777206852</v>
      </c>
      <c r="O462" s="2">
        <v>0.80802117699999998</v>
      </c>
      <c r="P462" s="2">
        <f t="shared" si="152"/>
        <v>0.85596757742634721</v>
      </c>
      <c r="Q462" s="2">
        <v>0.22570000000000001</v>
      </c>
      <c r="R462" s="2">
        <f t="shared" si="158"/>
        <v>0.49420961204400704</v>
      </c>
      <c r="S462" s="2">
        <f t="shared" si="159"/>
        <v>1.3169470577052755E-2</v>
      </c>
      <c r="T462" s="5">
        <f t="shared" si="160"/>
        <v>2.0595423544343891E-2</v>
      </c>
      <c r="U462" s="2" t="str">
        <f t="shared" si="161"/>
        <v>No Impact</v>
      </c>
      <c r="V462" s="2">
        <f t="shared" si="162"/>
        <v>9.640925643638441E-3</v>
      </c>
      <c r="W462" s="2">
        <f t="shared" si="163"/>
        <v>1.4108034931929402E-2</v>
      </c>
      <c r="X462" s="2" t="s">
        <v>1170</v>
      </c>
      <c r="Y462" s="2">
        <f t="shared" si="164"/>
        <v>1.6698015510467071E-2</v>
      </c>
      <c r="Z462" s="2">
        <f t="shared" si="165"/>
        <v>2.8039889749271785E-2</v>
      </c>
      <c r="AA462" s="2" t="str">
        <f t="shared" si="166"/>
        <v>No Impact</v>
      </c>
      <c r="AB462" s="2">
        <f t="shared" si="167"/>
        <v>9.9317427547252826E-3</v>
      </c>
      <c r="AC462" s="2">
        <f t="shared" si="168"/>
        <v>2.1471137642566644E-2</v>
      </c>
      <c r="AD462" s="2" t="str">
        <f t="shared" si="169"/>
        <v>No Impact</v>
      </c>
      <c r="AE462" s="2">
        <f t="shared" si="170"/>
        <v>4.4228975037477409E-3</v>
      </c>
      <c r="AF462" s="2">
        <f t="shared" si="171"/>
        <v>3.0135389274169921E-2</v>
      </c>
      <c r="AG462" s="2" t="s">
        <v>1170</v>
      </c>
    </row>
    <row r="463" spans="1:33" x14ac:dyDescent="0.3">
      <c r="A463" s="2">
        <v>553221</v>
      </c>
      <c r="B463" s="2" t="s">
        <v>949</v>
      </c>
      <c r="C463" s="2" t="s">
        <v>950</v>
      </c>
      <c r="D463" s="2" t="s">
        <v>951</v>
      </c>
      <c r="E463" s="3">
        <v>7</v>
      </c>
      <c r="F463" s="4">
        <f t="shared" si="153"/>
        <v>0.84444444444444444</v>
      </c>
      <c r="G463" s="2">
        <v>40.205440799999998</v>
      </c>
      <c r="H463" s="2">
        <f t="shared" si="154"/>
        <v>2.4719928057254956E-2</v>
      </c>
      <c r="I463" s="2">
        <v>0</v>
      </c>
      <c r="J463" s="4">
        <f t="shared" si="155"/>
        <v>0</v>
      </c>
      <c r="K463" s="2">
        <v>0</v>
      </c>
      <c r="L463" s="4">
        <f t="shared" si="156"/>
        <v>0</v>
      </c>
      <c r="M463" s="2">
        <v>4647</v>
      </c>
      <c r="N463" s="2">
        <f t="shared" si="157"/>
        <v>2.0856103296380935E-2</v>
      </c>
      <c r="O463" s="2">
        <v>0.78593915299999995</v>
      </c>
      <c r="P463" s="2">
        <f t="shared" si="152"/>
        <v>0.83045864114231249</v>
      </c>
      <c r="Q463" s="2">
        <v>0.16830000000000001</v>
      </c>
      <c r="R463" s="2">
        <f t="shared" si="158"/>
        <v>0.32802547770700641</v>
      </c>
      <c r="S463" s="2">
        <f t="shared" si="159"/>
        <v>4.2320074019620733E-3</v>
      </c>
      <c r="T463" s="5">
        <f t="shared" si="160"/>
        <v>6.6183362783071844E-3</v>
      </c>
      <c r="U463" s="2" t="str">
        <f t="shared" si="161"/>
        <v>No Impact</v>
      </c>
      <c r="V463" s="2">
        <f t="shared" si="162"/>
        <v>2.396590902026438E-3</v>
      </c>
      <c r="W463" s="2">
        <f t="shared" si="163"/>
        <v>3.507047913562478E-3</v>
      </c>
      <c r="X463" s="2" t="s">
        <v>1170</v>
      </c>
      <c r="Y463" s="2">
        <f t="shared" si="164"/>
        <v>6.067423901897709E-3</v>
      </c>
      <c r="Z463" s="2">
        <f t="shared" si="165"/>
        <v>1.0188629730560681E-2</v>
      </c>
      <c r="AA463" s="2" t="str">
        <f t="shared" si="166"/>
        <v>No Impact</v>
      </c>
      <c r="AB463" s="2">
        <f t="shared" si="167"/>
        <v>2.7123659460898289E-3</v>
      </c>
      <c r="AC463" s="2">
        <f t="shared" si="168"/>
        <v>5.8637828227877916E-3</v>
      </c>
      <c r="AD463" s="2" t="str">
        <f t="shared" si="169"/>
        <v>No Impact</v>
      </c>
      <c r="AE463" s="2">
        <f t="shared" si="170"/>
        <v>1.5237702803218121E-4</v>
      </c>
      <c r="AF463" s="2">
        <f t="shared" si="171"/>
        <v>1.0382200926654763E-3</v>
      </c>
      <c r="AG463" s="2" t="s">
        <v>1170</v>
      </c>
    </row>
    <row r="464" spans="1:33" x14ac:dyDescent="0.3">
      <c r="A464" s="2">
        <v>553224</v>
      </c>
      <c r="B464" s="2" t="s">
        <v>952</v>
      </c>
      <c r="C464" s="2" t="s">
        <v>950</v>
      </c>
      <c r="D464" s="2" t="s">
        <v>953</v>
      </c>
      <c r="E464" s="3">
        <v>7.1</v>
      </c>
      <c r="F464" s="4">
        <f t="shared" si="153"/>
        <v>0.86666666666666659</v>
      </c>
      <c r="G464" s="2">
        <v>38.111749199999998</v>
      </c>
      <c r="H464" s="2">
        <f t="shared" si="154"/>
        <v>7.8165742507996256E-3</v>
      </c>
      <c r="I464" s="2">
        <v>0</v>
      </c>
      <c r="J464" s="4">
        <f t="shared" si="155"/>
        <v>0</v>
      </c>
      <c r="K464" s="2">
        <v>0</v>
      </c>
      <c r="L464" s="4">
        <f t="shared" si="156"/>
        <v>0</v>
      </c>
      <c r="M464" s="2">
        <v>17828</v>
      </c>
      <c r="N464" s="2">
        <f t="shared" si="157"/>
        <v>8.3220962087124387E-2</v>
      </c>
      <c r="O464" s="2">
        <v>0.51726448899999999</v>
      </c>
      <c r="P464" s="2">
        <f t="shared" si="152"/>
        <v>0.5200883197845203</v>
      </c>
      <c r="Q464" s="2">
        <v>0.2109</v>
      </c>
      <c r="R464" s="2">
        <f t="shared" si="158"/>
        <v>0.45136074116965841</v>
      </c>
      <c r="S464" s="2">
        <f t="shared" si="159"/>
        <v>1.1516662302323828E-3</v>
      </c>
      <c r="T464" s="5">
        <f t="shared" si="160"/>
        <v>1.8010635776568905E-3</v>
      </c>
      <c r="U464" s="2" t="str">
        <f t="shared" si="161"/>
        <v>No Impact</v>
      </c>
      <c r="V464" s="2">
        <f t="shared" si="162"/>
        <v>1.0701887399987378E-3</v>
      </c>
      <c r="W464" s="2">
        <f t="shared" si="163"/>
        <v>1.5660591820477615E-3</v>
      </c>
      <c r="X464" s="2" t="s">
        <v>1170</v>
      </c>
      <c r="Y464" s="2">
        <f t="shared" si="164"/>
        <v>1.2331437204660277E-3</v>
      </c>
      <c r="Z464" s="2">
        <f t="shared" si="165"/>
        <v>2.0707379236292885E-3</v>
      </c>
      <c r="AA464" s="2" t="str">
        <f t="shared" si="166"/>
        <v>No Impact</v>
      </c>
      <c r="AB464" s="2">
        <f t="shared" si="167"/>
        <v>8.1357089219155686E-4</v>
      </c>
      <c r="AC464" s="2">
        <f t="shared" si="168"/>
        <v>1.7588345811634795E-3</v>
      </c>
      <c r="AD464" s="2" t="str">
        <f t="shared" si="169"/>
        <v>No Impact</v>
      </c>
      <c r="AE464" s="2">
        <f t="shared" si="170"/>
        <v>1.9731919157768644E-4</v>
      </c>
      <c r="AF464" s="2">
        <f t="shared" si="171"/>
        <v>1.3444332916192393E-3</v>
      </c>
      <c r="AG464" s="2" t="s">
        <v>1170</v>
      </c>
    </row>
    <row r="465" spans="1:33" x14ac:dyDescent="0.3">
      <c r="A465" s="2">
        <v>553230</v>
      </c>
      <c r="B465" s="2" t="s">
        <v>954</v>
      </c>
      <c r="C465" s="2" t="s">
        <v>950</v>
      </c>
      <c r="D465" s="2" t="s">
        <v>955</v>
      </c>
      <c r="E465" s="3">
        <v>6.7</v>
      </c>
      <c r="F465" s="4">
        <f t="shared" si="153"/>
        <v>0.77777777777777779</v>
      </c>
      <c r="G465" s="2">
        <v>43.773800399999999</v>
      </c>
      <c r="H465" s="2">
        <f t="shared" si="154"/>
        <v>5.3528967949979106E-2</v>
      </c>
      <c r="I465" s="2">
        <v>0</v>
      </c>
      <c r="J465" s="4">
        <f t="shared" si="155"/>
        <v>0</v>
      </c>
      <c r="K465" s="2">
        <v>0</v>
      </c>
      <c r="L465" s="4">
        <f t="shared" si="156"/>
        <v>0</v>
      </c>
      <c r="M465" s="2">
        <v>31462</v>
      </c>
      <c r="N465" s="2">
        <f t="shared" si="157"/>
        <v>0.14772915454240063</v>
      </c>
      <c r="O465" s="2">
        <v>0.81807762799999995</v>
      </c>
      <c r="P465" s="2">
        <f t="shared" si="152"/>
        <v>0.86758469041393027</v>
      </c>
      <c r="Q465" s="2">
        <v>0.24529999999999999</v>
      </c>
      <c r="R465" s="2">
        <f t="shared" si="158"/>
        <v>0.55095541401273884</v>
      </c>
      <c r="S465" s="2">
        <f t="shared" si="159"/>
        <v>1.0335323337486513E-2</v>
      </c>
      <c r="T465" s="5">
        <f t="shared" si="160"/>
        <v>1.6163167711098179E-2</v>
      </c>
      <c r="U465" s="2" t="str">
        <f t="shared" si="161"/>
        <v>No Impact</v>
      </c>
      <c r="V465" s="2">
        <f t="shared" si="162"/>
        <v>8.0283981123845157E-3</v>
      </c>
      <c r="W465" s="2">
        <f t="shared" si="163"/>
        <v>1.1748345045238952E-2</v>
      </c>
      <c r="X465" s="2" t="s">
        <v>1170</v>
      </c>
      <c r="Y465" s="2">
        <f t="shared" si="164"/>
        <v>1.2642248562588507E-2</v>
      </c>
      <c r="Z465" s="2">
        <f t="shared" si="165"/>
        <v>2.1229304503619775E-2</v>
      </c>
      <c r="AA465" s="2" t="str">
        <f t="shared" si="166"/>
        <v>No Impact</v>
      </c>
      <c r="AB465" s="2">
        <f t="shared" si="167"/>
        <v>7.356050488200227E-3</v>
      </c>
      <c r="AC465" s="2">
        <f t="shared" si="168"/>
        <v>1.5902825560264466E-2</v>
      </c>
      <c r="AD465" s="2" t="str">
        <f t="shared" si="169"/>
        <v>No Impact</v>
      </c>
      <c r="AE465" s="2">
        <f t="shared" si="170"/>
        <v>2.1526759431117E-3</v>
      </c>
      <c r="AF465" s="2">
        <f t="shared" si="171"/>
        <v>1.4667246408455748E-2</v>
      </c>
      <c r="AG465" s="2" t="s">
        <v>1170</v>
      </c>
    </row>
    <row r="466" spans="1:33" x14ac:dyDescent="0.3">
      <c r="A466" s="2">
        <v>553267</v>
      </c>
      <c r="B466" s="2" t="s">
        <v>956</v>
      </c>
      <c r="C466" s="2" t="s">
        <v>950</v>
      </c>
      <c r="D466" s="2" t="s">
        <v>957</v>
      </c>
      <c r="E466" s="3">
        <v>7</v>
      </c>
      <c r="F466" s="4">
        <f t="shared" si="153"/>
        <v>0.84444444444444444</v>
      </c>
      <c r="G466" s="2">
        <v>38.741047200000004</v>
      </c>
      <c r="H466" s="2">
        <f t="shared" si="154"/>
        <v>1.2897192018810361E-2</v>
      </c>
      <c r="I466" s="2">
        <v>0</v>
      </c>
      <c r="J466" s="4">
        <f t="shared" si="155"/>
        <v>0</v>
      </c>
      <c r="K466" s="2">
        <v>0</v>
      </c>
      <c r="L466" s="4">
        <f t="shared" si="156"/>
        <v>0</v>
      </c>
      <c r="M466" s="2">
        <v>6784</v>
      </c>
      <c r="N466" s="2">
        <f t="shared" si="157"/>
        <v>3.0967149744739842E-2</v>
      </c>
      <c r="O466" s="2">
        <v>0.83888978599999997</v>
      </c>
      <c r="P466" s="2">
        <f t="shared" si="152"/>
        <v>0.89162669002208517</v>
      </c>
      <c r="Q466" s="2">
        <v>0.2389</v>
      </c>
      <c r="R466" s="2">
        <f t="shared" si="158"/>
        <v>0.53242617255356117</v>
      </c>
      <c r="S466" s="2">
        <f t="shared" si="159"/>
        <v>2.7141285193393685E-3</v>
      </c>
      <c r="T466" s="5">
        <f t="shared" si="160"/>
        <v>4.2445613954275613E-3</v>
      </c>
      <c r="U466" s="2" t="str">
        <f t="shared" si="161"/>
        <v>No Impact</v>
      </c>
      <c r="V466" s="2">
        <f t="shared" si="162"/>
        <v>2.029521652386779E-3</v>
      </c>
      <c r="W466" s="2">
        <f t="shared" si="163"/>
        <v>2.9698976452404175E-3</v>
      </c>
      <c r="X466" s="2" t="s">
        <v>1170</v>
      </c>
      <c r="Y466" s="2">
        <f t="shared" si="164"/>
        <v>3.398735386291958E-3</v>
      </c>
      <c r="Z466" s="2">
        <f t="shared" si="165"/>
        <v>5.7072749428719056E-3</v>
      </c>
      <c r="AA466" s="2" t="str">
        <f t="shared" si="166"/>
        <v>No Impact</v>
      </c>
      <c r="AB466" s="2">
        <f t="shared" si="167"/>
        <v>1.7712677960510018E-3</v>
      </c>
      <c r="AC466" s="2">
        <f t="shared" si="168"/>
        <v>3.8292508767167198E-3</v>
      </c>
      <c r="AD466" s="2" t="str">
        <f t="shared" si="169"/>
        <v>No Impact</v>
      </c>
      <c r="AE466" s="2">
        <f t="shared" si="170"/>
        <v>1.1804171950869068E-4</v>
      </c>
      <c r="AF466" s="2">
        <f t="shared" si="171"/>
        <v>8.0427664556380774E-4</v>
      </c>
      <c r="AG466" s="2" t="s">
        <v>1170</v>
      </c>
    </row>
    <row r="467" spans="1:33" x14ac:dyDescent="0.3">
      <c r="A467" s="2">
        <v>553282</v>
      </c>
      <c r="B467" s="2" t="s">
        <v>958</v>
      </c>
      <c r="C467" s="2" t="s">
        <v>950</v>
      </c>
      <c r="D467" s="2" t="s">
        <v>959</v>
      </c>
      <c r="E467" s="3">
        <v>5.9</v>
      </c>
      <c r="F467" s="4">
        <f t="shared" si="153"/>
        <v>0.60000000000000009</v>
      </c>
      <c r="G467" s="2">
        <v>38.741047200000004</v>
      </c>
      <c r="H467" s="2">
        <f t="shared" si="154"/>
        <v>1.2897192018810361E-2</v>
      </c>
      <c r="I467" s="2">
        <v>0</v>
      </c>
      <c r="J467" s="4">
        <f t="shared" si="155"/>
        <v>0</v>
      </c>
      <c r="K467" s="2">
        <v>0</v>
      </c>
      <c r="L467" s="4">
        <f t="shared" si="156"/>
        <v>0</v>
      </c>
      <c r="M467" s="2">
        <v>9977</v>
      </c>
      <c r="N467" s="2">
        <f t="shared" si="157"/>
        <v>4.6074576656115598E-2</v>
      </c>
      <c r="O467" s="2">
        <v>0.919713369</v>
      </c>
      <c r="P467" s="2">
        <f t="shared" si="152"/>
        <v>0.98499329577318862</v>
      </c>
      <c r="Q467" s="2">
        <v>0.24379999999999999</v>
      </c>
      <c r="R467" s="2">
        <f t="shared" si="158"/>
        <v>0.54661262304574409</v>
      </c>
      <c r="S467" s="2">
        <f t="shared" si="159"/>
        <v>2.0741086413761968E-3</v>
      </c>
      <c r="T467" s="5">
        <f t="shared" si="160"/>
        <v>3.2436494463611363E-3</v>
      </c>
      <c r="U467" s="2" t="str">
        <f t="shared" si="161"/>
        <v>No Impact</v>
      </c>
      <c r="V467" s="2">
        <f t="shared" si="162"/>
        <v>1.4804512714585794E-3</v>
      </c>
      <c r="W467" s="2">
        <f t="shared" si="163"/>
        <v>2.1664162783517288E-3</v>
      </c>
      <c r="X467" s="2" t="s">
        <v>1170</v>
      </c>
      <c r="Y467" s="2">
        <f t="shared" si="164"/>
        <v>2.6677660112938138E-3</v>
      </c>
      <c r="Z467" s="2">
        <f t="shared" si="165"/>
        <v>4.4798056862890463E-3</v>
      </c>
      <c r="AA467" s="2" t="str">
        <f t="shared" si="166"/>
        <v>No Impact</v>
      </c>
      <c r="AB467" s="2">
        <f t="shared" si="167"/>
        <v>1.3621638490791169E-3</v>
      </c>
      <c r="AC467" s="2">
        <f t="shared" si="168"/>
        <v>2.9448212884280538E-3</v>
      </c>
      <c r="AD467" s="2" t="str">
        <f t="shared" si="169"/>
        <v>No Impact</v>
      </c>
      <c r="AE467" s="2">
        <f t="shared" si="170"/>
        <v>1.2478885908705727E-4</v>
      </c>
      <c r="AF467" s="2">
        <f t="shared" si="171"/>
        <v>8.5024824619641249E-4</v>
      </c>
      <c r="AG467" s="2" t="s">
        <v>1170</v>
      </c>
    </row>
    <row r="468" spans="1:33" x14ac:dyDescent="0.3">
      <c r="A468" s="2">
        <v>553288</v>
      </c>
      <c r="B468" s="2" t="s">
        <v>960</v>
      </c>
      <c r="C468" s="2" t="s">
        <v>950</v>
      </c>
      <c r="D468" s="2" t="s">
        <v>961</v>
      </c>
      <c r="E468" s="3">
        <v>7</v>
      </c>
      <c r="F468" s="4">
        <f t="shared" si="153"/>
        <v>0.84444444444444444</v>
      </c>
      <c r="G468" s="2">
        <v>40.205440799999998</v>
      </c>
      <c r="H468" s="2">
        <f t="shared" si="154"/>
        <v>2.4719928057254956E-2</v>
      </c>
      <c r="I468" s="2">
        <v>0</v>
      </c>
      <c r="J468" s="4">
        <f t="shared" si="155"/>
        <v>0</v>
      </c>
      <c r="K468" s="2">
        <v>0</v>
      </c>
      <c r="L468" s="4">
        <f t="shared" si="156"/>
        <v>0</v>
      </c>
      <c r="M468" s="2">
        <v>16704</v>
      </c>
      <c r="N468" s="2">
        <f t="shared" si="157"/>
        <v>7.7902845003382973E-2</v>
      </c>
      <c r="O468" s="2">
        <v>0.86517404200000003</v>
      </c>
      <c r="P468" s="2">
        <f t="shared" si="152"/>
        <v>0.92199000325719727</v>
      </c>
      <c r="Q468" s="2">
        <v>0.1938</v>
      </c>
      <c r="R468" s="2">
        <f t="shared" si="158"/>
        <v>0.40185292414591783</v>
      </c>
      <c r="S468" s="2">
        <f t="shared" si="159"/>
        <v>4.83607239551104E-3</v>
      </c>
      <c r="T468" s="5">
        <f t="shared" si="160"/>
        <v>7.5630192340617004E-3</v>
      </c>
      <c r="U468" s="2" t="str">
        <f t="shared" si="161"/>
        <v>No Impact</v>
      </c>
      <c r="V468" s="2">
        <f t="shared" si="162"/>
        <v>2.9359824995698991E-3</v>
      </c>
      <c r="W468" s="2">
        <f t="shared" si="163"/>
        <v>4.2963658464472369E-3</v>
      </c>
      <c r="X468" s="2" t="s">
        <v>1170</v>
      </c>
      <c r="Y468" s="2">
        <f t="shared" si="164"/>
        <v>6.7361622914521814E-3</v>
      </c>
      <c r="Z468" s="2">
        <f t="shared" si="165"/>
        <v>1.1311598546972354E-2</v>
      </c>
      <c r="AA468" s="2" t="str">
        <f t="shared" si="166"/>
        <v>No Impact</v>
      </c>
      <c r="AB468" s="2">
        <f t="shared" si="167"/>
        <v>3.247650982950376E-3</v>
      </c>
      <c r="AC468" s="2">
        <f t="shared" si="168"/>
        <v>7.0209995357328574E-3</v>
      </c>
      <c r="AD468" s="2" t="str">
        <f t="shared" si="169"/>
        <v>No Impact</v>
      </c>
      <c r="AE468" s="2">
        <f t="shared" si="170"/>
        <v>5.6916691618644829E-4</v>
      </c>
      <c r="AF468" s="2">
        <f t="shared" si="171"/>
        <v>3.8780158406844533E-3</v>
      </c>
      <c r="AG468" s="2" t="s">
        <v>1170</v>
      </c>
    </row>
    <row r="469" spans="1:33" x14ac:dyDescent="0.3">
      <c r="A469" s="2">
        <v>553291</v>
      </c>
      <c r="B469" s="2" t="s">
        <v>962</v>
      </c>
      <c r="C469" s="2" t="s">
        <v>950</v>
      </c>
      <c r="D469" s="2" t="s">
        <v>963</v>
      </c>
      <c r="E469" s="3">
        <v>7.1</v>
      </c>
      <c r="F469" s="4">
        <f t="shared" si="153"/>
        <v>0.86666666666666659</v>
      </c>
      <c r="G469" s="2">
        <v>40.757392799999998</v>
      </c>
      <c r="H469" s="2">
        <f t="shared" si="154"/>
        <v>2.9176095307570444E-2</v>
      </c>
      <c r="I469" s="2">
        <v>0</v>
      </c>
      <c r="J469" s="4">
        <f t="shared" si="155"/>
        <v>0</v>
      </c>
      <c r="K469" s="2">
        <v>0</v>
      </c>
      <c r="L469" s="4">
        <f t="shared" si="156"/>
        <v>0</v>
      </c>
      <c r="M469" s="2">
        <v>13827</v>
      </c>
      <c r="N469" s="2">
        <f t="shared" si="157"/>
        <v>6.4290547094197861E-2</v>
      </c>
      <c r="O469" s="2">
        <v>0.69581584500000004</v>
      </c>
      <c r="P469" s="2">
        <f t="shared" si="152"/>
        <v>0.72634908481366933</v>
      </c>
      <c r="Q469" s="2">
        <v>0.218</v>
      </c>
      <c r="R469" s="2">
        <f t="shared" si="158"/>
        <v>0.47191661841343374</v>
      </c>
      <c r="S469" s="2">
        <f t="shared" si="159"/>
        <v>5.3023750114406095E-3</v>
      </c>
      <c r="T469" s="5">
        <f t="shared" si="160"/>
        <v>8.2922588658840331E-3</v>
      </c>
      <c r="U469" s="2" t="str">
        <f t="shared" si="161"/>
        <v>No Impact</v>
      </c>
      <c r="V469" s="2">
        <f t="shared" si="162"/>
        <v>4.176500884937197E-3</v>
      </c>
      <c r="W469" s="2">
        <f t="shared" si="163"/>
        <v>6.1116766746155569E-3</v>
      </c>
      <c r="X469" s="2" t="s">
        <v>1170</v>
      </c>
      <c r="Y469" s="2">
        <f t="shared" si="164"/>
        <v>6.4282491379440213E-3</v>
      </c>
      <c r="Z469" s="2">
        <f t="shared" si="165"/>
        <v>1.0794540045541012E-2</v>
      </c>
      <c r="AA469" s="2" t="str">
        <f t="shared" si="166"/>
        <v>No Impact</v>
      </c>
      <c r="AB469" s="2">
        <f t="shared" si="167"/>
        <v>3.5893918713487847E-3</v>
      </c>
      <c r="AC469" s="2">
        <f t="shared" si="168"/>
        <v>7.759798942252343E-3</v>
      </c>
      <c r="AD469" s="2" t="str">
        <f t="shared" si="169"/>
        <v>No Impact</v>
      </c>
      <c r="AE469" s="2">
        <f t="shared" si="170"/>
        <v>5.6897662925016934E-4</v>
      </c>
      <c r="AF469" s="2">
        <f t="shared" si="171"/>
        <v>3.8767193216279533E-3</v>
      </c>
      <c r="AG469" s="2" t="s">
        <v>1170</v>
      </c>
    </row>
    <row r="470" spans="1:33" x14ac:dyDescent="0.3">
      <c r="A470" s="2">
        <v>554906</v>
      </c>
      <c r="B470" s="2" t="s">
        <v>964</v>
      </c>
      <c r="C470" s="2" t="s">
        <v>965</v>
      </c>
      <c r="D470" s="2" t="s">
        <v>966</v>
      </c>
      <c r="E470" s="3">
        <v>7.5</v>
      </c>
      <c r="F470" s="4">
        <f t="shared" si="153"/>
        <v>0.95555555555555549</v>
      </c>
      <c r="G470" s="2">
        <v>38.627164800000003</v>
      </c>
      <c r="H470" s="2">
        <f t="shared" si="154"/>
        <v>1.1977766015702601E-2</v>
      </c>
      <c r="I470" s="2">
        <v>0</v>
      </c>
      <c r="J470" s="4">
        <f t="shared" si="155"/>
        <v>0</v>
      </c>
      <c r="K470" s="2">
        <v>0</v>
      </c>
      <c r="L470" s="4">
        <f t="shared" si="156"/>
        <v>0</v>
      </c>
      <c r="M470" s="2">
        <v>22341</v>
      </c>
      <c r="N470" s="2">
        <f t="shared" si="157"/>
        <v>0.10457386457727121</v>
      </c>
      <c r="O470" s="2">
        <v>0.72534964700000004</v>
      </c>
      <c r="P470" s="2">
        <f t="shared" si="152"/>
        <v>0.76046624153097486</v>
      </c>
      <c r="Q470" s="2">
        <v>0.22309999999999999</v>
      </c>
      <c r="R470" s="2">
        <f t="shared" si="158"/>
        <v>0.486682107701216</v>
      </c>
      <c r="S470" s="2">
        <f t="shared" si="159"/>
        <v>2.4979741029476955E-3</v>
      </c>
      <c r="T470" s="5">
        <f t="shared" si="160"/>
        <v>3.90652261622834E-3</v>
      </c>
      <c r="U470" s="2" t="str">
        <f t="shared" si="161"/>
        <v>No Impact</v>
      </c>
      <c r="V470" s="2">
        <f t="shared" si="162"/>
        <v>1.9495985415914614E-3</v>
      </c>
      <c r="W470" s="2">
        <f t="shared" si="163"/>
        <v>2.8529422738738908E-3</v>
      </c>
      <c r="X470" s="2" t="s">
        <v>1170</v>
      </c>
      <c r="Y470" s="2">
        <f t="shared" si="164"/>
        <v>3.0463496643039303E-3</v>
      </c>
      <c r="Z470" s="2">
        <f t="shared" si="165"/>
        <v>5.1155365541054043E-3</v>
      </c>
      <c r="AA470" s="2" t="str">
        <f t="shared" si="166"/>
        <v>No Impact</v>
      </c>
      <c r="AB470" s="2">
        <f t="shared" si="167"/>
        <v>1.7428836454939647E-3</v>
      </c>
      <c r="AC470" s="2">
        <f t="shared" si="168"/>
        <v>3.7678880304843686E-3</v>
      </c>
      <c r="AD470" s="2" t="str">
        <f t="shared" si="169"/>
        <v>No Impact</v>
      </c>
      <c r="AE470" s="2">
        <f t="shared" si="170"/>
        <v>4.1891216184506867E-4</v>
      </c>
      <c r="AF470" s="2">
        <f t="shared" si="171"/>
        <v>2.854255848838506E-3</v>
      </c>
      <c r="AG470" s="2" t="s">
        <v>1170</v>
      </c>
    </row>
    <row r="471" spans="1:33" x14ac:dyDescent="0.3">
      <c r="A471" s="2">
        <v>554908</v>
      </c>
      <c r="B471" s="2" t="s">
        <v>967</v>
      </c>
      <c r="C471" s="2" t="s">
        <v>965</v>
      </c>
      <c r="D471" s="2" t="s">
        <v>968</v>
      </c>
      <c r="E471" s="3">
        <v>7.4</v>
      </c>
      <c r="F471" s="4">
        <f t="shared" si="153"/>
        <v>0.93333333333333335</v>
      </c>
      <c r="G471" s="2">
        <v>37.143568799999997</v>
      </c>
      <c r="H471" s="2">
        <f t="shared" si="154"/>
        <v>0</v>
      </c>
      <c r="I471" s="2">
        <v>0</v>
      </c>
      <c r="J471" s="4">
        <f t="shared" si="155"/>
        <v>0</v>
      </c>
      <c r="K471" s="2">
        <v>0</v>
      </c>
      <c r="L471" s="4">
        <f t="shared" si="156"/>
        <v>0</v>
      </c>
      <c r="M471" s="2">
        <v>15830</v>
      </c>
      <c r="N471" s="2">
        <f t="shared" si="157"/>
        <v>7.3767583142893639E-2</v>
      </c>
      <c r="O471" s="2">
        <v>0.62281246999999995</v>
      </c>
      <c r="P471" s="2">
        <f t="shared" si="152"/>
        <v>0.64201630619724781</v>
      </c>
      <c r="Q471" s="2">
        <v>0.22070000000000001</v>
      </c>
      <c r="R471" s="2">
        <f t="shared" si="158"/>
        <v>0.47973364215402436</v>
      </c>
      <c r="S471" s="2">
        <f t="shared" si="159"/>
        <v>0</v>
      </c>
      <c r="T471" s="5">
        <f t="shared" si="160"/>
        <v>0</v>
      </c>
      <c r="U471" s="2" t="str">
        <f t="shared" si="161"/>
        <v>No Impact</v>
      </c>
      <c r="V471" s="2">
        <f t="shared" si="162"/>
        <v>0</v>
      </c>
      <c r="W471" s="2">
        <f t="shared" si="163"/>
        <v>0</v>
      </c>
      <c r="X471" s="2" t="s">
        <v>1170</v>
      </c>
      <c r="Y471" s="2">
        <f t="shared" si="164"/>
        <v>0</v>
      </c>
      <c r="Z471" s="2">
        <f t="shared" si="165"/>
        <v>0</v>
      </c>
      <c r="AA471" s="2" t="str">
        <f t="shared" si="166"/>
        <v>No Impact</v>
      </c>
      <c r="AB471" s="2">
        <f t="shared" si="167"/>
        <v>0</v>
      </c>
      <c r="AC471" s="2">
        <f t="shared" si="168"/>
        <v>0</v>
      </c>
      <c r="AD471" s="2" t="str">
        <f t="shared" si="169"/>
        <v>No Impact</v>
      </c>
      <c r="AE471" s="2">
        <f t="shared" si="170"/>
        <v>0</v>
      </c>
      <c r="AF471" s="2">
        <f t="shared" si="171"/>
        <v>0</v>
      </c>
      <c r="AG471" s="2" t="s">
        <v>1170</v>
      </c>
    </row>
    <row r="472" spans="1:33" x14ac:dyDescent="0.3">
      <c r="A472" s="2">
        <v>554909</v>
      </c>
      <c r="B472" s="2" t="s">
        <v>969</v>
      </c>
      <c r="C472" s="2" t="s">
        <v>965</v>
      </c>
      <c r="D472" s="2" t="s">
        <v>970</v>
      </c>
      <c r="E472" s="3">
        <v>7.5</v>
      </c>
      <c r="F472" s="4">
        <f t="shared" si="153"/>
        <v>0.95555555555555549</v>
      </c>
      <c r="G472" s="2">
        <v>39.590204400000005</v>
      </c>
      <c r="H472" s="2">
        <f t="shared" si="154"/>
        <v>1.9752836178102477E-2</v>
      </c>
      <c r="I472" s="2">
        <v>0</v>
      </c>
      <c r="J472" s="4">
        <f t="shared" si="155"/>
        <v>0</v>
      </c>
      <c r="K472" s="2">
        <v>0</v>
      </c>
      <c r="L472" s="4">
        <f t="shared" si="156"/>
        <v>0</v>
      </c>
      <c r="M472" s="2">
        <v>8414</v>
      </c>
      <c r="N472" s="2">
        <f t="shared" si="157"/>
        <v>3.86793658003435E-2</v>
      </c>
      <c r="O472" s="2">
        <v>0.40579541200000002</v>
      </c>
      <c r="P472" s="2">
        <f t="shared" si="152"/>
        <v>0.39132034168463337</v>
      </c>
      <c r="Q472" s="2">
        <v>0.17799999999999999</v>
      </c>
      <c r="R472" s="2">
        <f t="shared" si="158"/>
        <v>0.35610885929357267</v>
      </c>
      <c r="S472" s="2">
        <f t="shared" si="159"/>
        <v>2.4688432305874511E-3</v>
      </c>
      <c r="T472" s="5">
        <f t="shared" si="160"/>
        <v>3.8609655339625682E-3</v>
      </c>
      <c r="U472" s="2" t="str">
        <f t="shared" si="161"/>
        <v>No Impact</v>
      </c>
      <c r="V472" s="2">
        <f t="shared" si="162"/>
        <v>2.3525357196869582E-3</v>
      </c>
      <c r="W472" s="2">
        <f t="shared" si="163"/>
        <v>3.4425798246722769E-3</v>
      </c>
      <c r="X472" s="2" t="s">
        <v>1170</v>
      </c>
      <c r="Y472" s="2">
        <f t="shared" si="164"/>
        <v>2.5851507414879444E-3</v>
      </c>
      <c r="Z472" s="2">
        <f t="shared" si="165"/>
        <v>4.3410752452069422E-3</v>
      </c>
      <c r="AA472" s="2" t="str">
        <f t="shared" si="166"/>
        <v>No Impact</v>
      </c>
      <c r="AB472" s="2">
        <f t="shared" si="167"/>
        <v>1.6883663498979168E-3</v>
      </c>
      <c r="AC472" s="2">
        <f t="shared" si="168"/>
        <v>3.650028719530476E-3</v>
      </c>
      <c r="AD472" s="2" t="str">
        <f t="shared" si="169"/>
        <v>No Impact</v>
      </c>
      <c r="AE472" s="2">
        <f t="shared" si="170"/>
        <v>2.5552464446028053E-4</v>
      </c>
      <c r="AF472" s="2">
        <f t="shared" si="171"/>
        <v>1.7410158438963472E-3</v>
      </c>
      <c r="AG472" s="2" t="s">
        <v>1170</v>
      </c>
    </row>
    <row r="473" spans="1:33" x14ac:dyDescent="0.3">
      <c r="A473" s="2">
        <v>554918</v>
      </c>
      <c r="B473" s="2" t="s">
        <v>971</v>
      </c>
      <c r="C473" s="2" t="s">
        <v>965</v>
      </c>
      <c r="D473" s="2" t="s">
        <v>972</v>
      </c>
      <c r="E473" s="3">
        <v>6.6</v>
      </c>
      <c r="F473" s="4">
        <f t="shared" si="153"/>
        <v>0.75555555555555542</v>
      </c>
      <c r="G473" s="2">
        <v>40.757392799999998</v>
      </c>
      <c r="H473" s="2">
        <f t="shared" si="154"/>
        <v>2.9176095307570444E-2</v>
      </c>
      <c r="I473" s="2">
        <v>9.9999999999999395E-2</v>
      </c>
      <c r="J473" s="4">
        <f t="shared" si="155"/>
        <v>1.5174506828527982E-3</v>
      </c>
      <c r="K473" s="2">
        <v>0</v>
      </c>
      <c r="L473" s="4">
        <f t="shared" si="156"/>
        <v>0</v>
      </c>
      <c r="M473" s="2">
        <v>21184</v>
      </c>
      <c r="N473" s="2">
        <f t="shared" si="157"/>
        <v>9.9099610604060501E-2</v>
      </c>
      <c r="O473" s="2">
        <v>0.38601844499999999</v>
      </c>
      <c r="P473" s="2">
        <f t="shared" si="152"/>
        <v>0.36847418450744429</v>
      </c>
      <c r="Q473" s="2">
        <v>0.2253</v>
      </c>
      <c r="R473" s="2">
        <f t="shared" si="158"/>
        <v>0.49305153445280836</v>
      </c>
      <c r="S473" s="2">
        <f t="shared" si="159"/>
        <v>3.4963891488264845E-3</v>
      </c>
      <c r="T473" s="5">
        <f t="shared" si="160"/>
        <v>5.4679202914506815E-3</v>
      </c>
      <c r="U473" s="2" t="str">
        <f t="shared" si="161"/>
        <v>No Impact</v>
      </c>
      <c r="V473" s="2">
        <f t="shared" si="162"/>
        <v>4.0019699863483253E-3</v>
      </c>
      <c r="W473" s="2">
        <f t="shared" si="163"/>
        <v>5.8562771305253518E-3</v>
      </c>
      <c r="X473" s="2" t="s">
        <v>1170</v>
      </c>
      <c r="Y473" s="2">
        <f t="shared" si="164"/>
        <v>2.9908083113046437E-3</v>
      </c>
      <c r="Z473" s="2">
        <f t="shared" si="165"/>
        <v>5.022269577939934E-3</v>
      </c>
      <c r="AA473" s="2" t="str">
        <f t="shared" si="166"/>
        <v>No Impact</v>
      </c>
      <c r="AB473" s="2">
        <f t="shared" si="167"/>
        <v>2.5794599301250179E-3</v>
      </c>
      <c r="AC473" s="2">
        <f t="shared" si="168"/>
        <v>5.5764572815631235E-3</v>
      </c>
      <c r="AD473" s="2" t="str">
        <f t="shared" si="169"/>
        <v>No Impact</v>
      </c>
      <c r="AE473" s="2">
        <f t="shared" si="170"/>
        <v>8.0436554717631785E-4</v>
      </c>
      <c r="AF473" s="2">
        <f t="shared" si="171"/>
        <v>5.4805404968913214E-3</v>
      </c>
      <c r="AG473" s="2" t="s">
        <v>1170</v>
      </c>
    </row>
    <row r="474" spans="1:33" x14ac:dyDescent="0.3">
      <c r="A474" s="2">
        <v>554952</v>
      </c>
      <c r="B474" s="2" t="s">
        <v>973</v>
      </c>
      <c r="C474" s="2" t="s">
        <v>965</v>
      </c>
      <c r="D474" s="2" t="s">
        <v>974</v>
      </c>
      <c r="E474" s="3">
        <v>7.5</v>
      </c>
      <c r="F474" s="4">
        <f t="shared" si="153"/>
        <v>0.95555555555555549</v>
      </c>
      <c r="G474" s="2">
        <v>40.757392799999998</v>
      </c>
      <c r="H474" s="2">
        <f t="shared" si="154"/>
        <v>2.9176095307570444E-2</v>
      </c>
      <c r="I474" s="2">
        <v>9.9999999999999395E-2</v>
      </c>
      <c r="J474" s="4">
        <f t="shared" si="155"/>
        <v>1.5174506828527982E-3</v>
      </c>
      <c r="K474" s="2">
        <v>0</v>
      </c>
      <c r="L474" s="4">
        <f t="shared" si="156"/>
        <v>0</v>
      </c>
      <c r="M474" s="2">
        <v>24931</v>
      </c>
      <c r="N474" s="2">
        <f t="shared" si="157"/>
        <v>0.1168282446901629</v>
      </c>
      <c r="O474" s="2">
        <v>0.74543969700000001</v>
      </c>
      <c r="P474" s="2">
        <f t="shared" si="152"/>
        <v>0.78367406910117732</v>
      </c>
      <c r="Q474" s="2">
        <v>0.218</v>
      </c>
      <c r="R474" s="2">
        <f t="shared" si="158"/>
        <v>0.47191661841343374</v>
      </c>
      <c r="S474" s="2">
        <f t="shared" si="159"/>
        <v>6.4444987134585725E-3</v>
      </c>
      <c r="T474" s="5">
        <f t="shared" si="160"/>
        <v>1.0078399109371191E-2</v>
      </c>
      <c r="U474" s="2" t="str">
        <f t="shared" si="161"/>
        <v>No Impact</v>
      </c>
      <c r="V474" s="2">
        <f t="shared" si="162"/>
        <v>4.8443590263402671E-3</v>
      </c>
      <c r="W474" s="2">
        <f t="shared" si="163"/>
        <v>7.0889859431197879E-3</v>
      </c>
      <c r="X474" s="2" t="s">
        <v>1170</v>
      </c>
      <c r="Y474" s="2">
        <f t="shared" si="164"/>
        <v>8.0446384005768787E-3</v>
      </c>
      <c r="Z474" s="2">
        <f t="shared" si="165"/>
        <v>1.3508837243775215E-2</v>
      </c>
      <c r="AA474" s="2" t="str">
        <f t="shared" si="166"/>
        <v>No Impact</v>
      </c>
      <c r="AB474" s="2">
        <f t="shared" si="167"/>
        <v>4.5286635474256738E-3</v>
      </c>
      <c r="AC474" s="2">
        <f t="shared" si="168"/>
        <v>9.7903822888876623E-3</v>
      </c>
      <c r="AD474" s="2" t="str">
        <f t="shared" si="169"/>
        <v>No Impact</v>
      </c>
      <c r="AE474" s="2">
        <f t="shared" si="170"/>
        <v>1.1992753372386201E-3</v>
      </c>
      <c r="AF474" s="2">
        <f t="shared" si="171"/>
        <v>8.171256309686915E-3</v>
      </c>
      <c r="AG474" s="2" t="s">
        <v>1170</v>
      </c>
    </row>
    <row r="475" spans="1:33" x14ac:dyDescent="0.3">
      <c r="A475" s="2">
        <v>554961</v>
      </c>
      <c r="B475" s="2" t="s">
        <v>975</v>
      </c>
      <c r="C475" s="2" t="s">
        <v>965</v>
      </c>
      <c r="D475" s="2" t="s">
        <v>976</v>
      </c>
      <c r="E475" s="3">
        <v>7.5</v>
      </c>
      <c r="F475" s="4">
        <f t="shared" si="153"/>
        <v>0.95555555555555549</v>
      </c>
      <c r="G475" s="2">
        <v>39.590204400000005</v>
      </c>
      <c r="H475" s="2">
        <f t="shared" si="154"/>
        <v>1.9752836178102477E-2</v>
      </c>
      <c r="I475" s="2">
        <v>9.9999999999999395E-2</v>
      </c>
      <c r="J475" s="4">
        <f t="shared" si="155"/>
        <v>1.5174506828527982E-3</v>
      </c>
      <c r="K475" s="2">
        <v>0</v>
      </c>
      <c r="L475" s="4">
        <f t="shared" si="156"/>
        <v>0</v>
      </c>
      <c r="M475" s="2">
        <v>39159</v>
      </c>
      <c r="N475" s="2">
        <f t="shared" si="157"/>
        <v>0.18414690115588611</v>
      </c>
      <c r="O475" s="2">
        <v>0.67837783500000004</v>
      </c>
      <c r="P475" s="2">
        <f t="shared" si="152"/>
        <v>0.70620486768890023</v>
      </c>
      <c r="Q475" s="2">
        <v>0.2094</v>
      </c>
      <c r="R475" s="2">
        <f t="shared" si="158"/>
        <v>0.44701795020266361</v>
      </c>
      <c r="S475" s="2">
        <f t="shared" si="159"/>
        <v>4.1018574586094304E-3</v>
      </c>
      <c r="T475" s="5">
        <f t="shared" si="160"/>
        <v>6.4147978602715578E-3</v>
      </c>
      <c r="U475" s="2" t="str">
        <f t="shared" si="161"/>
        <v>No Impact</v>
      </c>
      <c r="V475" s="2">
        <f t="shared" si="162"/>
        <v>3.1799646776387433E-3</v>
      </c>
      <c r="W475" s="2">
        <f t="shared" si="163"/>
        <v>4.6533968223302158E-3</v>
      </c>
      <c r="X475" s="2" t="s">
        <v>1170</v>
      </c>
      <c r="Y475" s="2">
        <f t="shared" si="164"/>
        <v>5.0237502395801183E-3</v>
      </c>
      <c r="Z475" s="2">
        <f t="shared" si="165"/>
        <v>8.4360565336284079E-3</v>
      </c>
      <c r="AA475" s="2" t="str">
        <f t="shared" si="166"/>
        <v>No Impact</v>
      </c>
      <c r="AB475" s="2">
        <f t="shared" si="167"/>
        <v>3.0786026294577348E-3</v>
      </c>
      <c r="AC475" s="2">
        <f t="shared" si="168"/>
        <v>6.6555389558801562E-3</v>
      </c>
      <c r="AD475" s="2" t="str">
        <f t="shared" si="169"/>
        <v>No Impact</v>
      </c>
      <c r="AE475" s="2">
        <f t="shared" si="170"/>
        <v>1.3099712011718262E-3</v>
      </c>
      <c r="AF475" s="2">
        <f t="shared" si="171"/>
        <v>8.925482006267282E-3</v>
      </c>
      <c r="AG475" s="2" t="s">
        <v>1170</v>
      </c>
    </row>
    <row r="476" spans="1:33" x14ac:dyDescent="0.3">
      <c r="A476" s="2">
        <v>554977</v>
      </c>
      <c r="B476" s="2" t="s">
        <v>977</v>
      </c>
      <c r="C476" s="2" t="s">
        <v>965</v>
      </c>
      <c r="D476" s="2" t="s">
        <v>978</v>
      </c>
      <c r="E476" s="3">
        <v>7</v>
      </c>
      <c r="F476" s="4">
        <f t="shared" si="153"/>
        <v>0.84444444444444444</v>
      </c>
      <c r="G476" s="2">
        <v>40.757392799999998</v>
      </c>
      <c r="H476" s="2">
        <f t="shared" si="154"/>
        <v>2.9176095307570444E-2</v>
      </c>
      <c r="I476" s="2">
        <v>0</v>
      </c>
      <c r="J476" s="4">
        <f t="shared" si="155"/>
        <v>0</v>
      </c>
      <c r="K476" s="2">
        <v>0</v>
      </c>
      <c r="L476" s="4">
        <f t="shared" si="156"/>
        <v>0</v>
      </c>
      <c r="M476" s="2">
        <v>11356</v>
      </c>
      <c r="N476" s="2">
        <f t="shared" si="157"/>
        <v>5.259920606757415E-2</v>
      </c>
      <c r="O476" s="2">
        <v>0.701447602</v>
      </c>
      <c r="P476" s="2">
        <f t="shared" si="152"/>
        <v>0.73285483494237891</v>
      </c>
      <c r="Q476" s="2">
        <v>0.25159999999999999</v>
      </c>
      <c r="R476" s="2">
        <f t="shared" si="158"/>
        <v>0.56919513607411698</v>
      </c>
      <c r="S476" s="2">
        <f t="shared" si="159"/>
        <v>5.6138906984403887E-3</v>
      </c>
      <c r="T476" s="5">
        <f t="shared" si="160"/>
        <v>8.7794308806533276E-3</v>
      </c>
      <c r="U476" s="2" t="str">
        <f t="shared" si="161"/>
        <v>No Impact</v>
      </c>
      <c r="V476" s="2">
        <f t="shared" si="162"/>
        <v>4.9082590547725041E-3</v>
      </c>
      <c r="W476" s="2">
        <f t="shared" si="163"/>
        <v>7.1824939595277488E-3</v>
      </c>
      <c r="X476" s="2" t="s">
        <v>1170</v>
      </c>
      <c r="Y476" s="2">
        <f t="shared" si="164"/>
        <v>6.3195223421082716E-3</v>
      </c>
      <c r="Z476" s="2">
        <f t="shared" si="165"/>
        <v>1.0611962219684105E-2</v>
      </c>
      <c r="AA476" s="2" t="str">
        <f t="shared" si="166"/>
        <v>No Impact</v>
      </c>
      <c r="AB476" s="2">
        <f t="shared" si="167"/>
        <v>3.7724972970613361E-3</v>
      </c>
      <c r="AC476" s="2">
        <f t="shared" si="168"/>
        <v>8.1556490861462178E-3</v>
      </c>
      <c r="AD476" s="2" t="str">
        <f t="shared" si="169"/>
        <v>No Impact</v>
      </c>
      <c r="AE476" s="2">
        <f t="shared" si="170"/>
        <v>4.535712150242239E-4</v>
      </c>
      <c r="AF476" s="2">
        <f t="shared" si="171"/>
        <v>3.0904051284776956E-3</v>
      </c>
      <c r="AG476" s="2" t="s">
        <v>1170</v>
      </c>
    </row>
    <row r="477" spans="1:33" x14ac:dyDescent="0.3">
      <c r="A477" s="2">
        <v>554979</v>
      </c>
      <c r="B477" s="2" t="s">
        <v>979</v>
      </c>
      <c r="C477" s="2" t="s">
        <v>965</v>
      </c>
      <c r="D477" s="2" t="s">
        <v>980</v>
      </c>
      <c r="E477" s="3">
        <v>7.4</v>
      </c>
      <c r="F477" s="4">
        <f t="shared" si="153"/>
        <v>0.93333333333333335</v>
      </c>
      <c r="G477" s="2">
        <v>43.285366800000006</v>
      </c>
      <c r="H477" s="2">
        <f t="shared" si="154"/>
        <v>4.9585614520199585E-2</v>
      </c>
      <c r="I477" s="2">
        <v>0</v>
      </c>
      <c r="J477" s="4">
        <f t="shared" si="155"/>
        <v>0</v>
      </c>
      <c r="K477" s="2">
        <v>0</v>
      </c>
      <c r="L477" s="4">
        <f t="shared" si="156"/>
        <v>0</v>
      </c>
      <c r="M477" s="2">
        <v>21408</v>
      </c>
      <c r="N477" s="2">
        <f t="shared" si="157"/>
        <v>0.10015944888409438</v>
      </c>
      <c r="O477" s="2">
        <v>0.78291707300000002</v>
      </c>
      <c r="P477" s="2">
        <f t="shared" si="152"/>
        <v>0.82696756413935035</v>
      </c>
      <c r="Q477" s="2">
        <v>0.23480000000000001</v>
      </c>
      <c r="R477" s="2">
        <f t="shared" si="158"/>
        <v>0.52055587724377539</v>
      </c>
      <c r="S477" s="2">
        <f t="shared" si="159"/>
        <v>1.0913570393821551E-2</v>
      </c>
      <c r="T477" s="5">
        <f t="shared" si="160"/>
        <v>1.7067474605502998E-2</v>
      </c>
      <c r="U477" s="2" t="str">
        <f t="shared" si="161"/>
        <v>No Impact</v>
      </c>
      <c r="V477" s="2">
        <f t="shared" si="162"/>
        <v>8.4319471346431651E-3</v>
      </c>
      <c r="W477" s="2">
        <f t="shared" si="163"/>
        <v>1.2338877937329835E-2</v>
      </c>
      <c r="X477" s="2" t="s">
        <v>1170</v>
      </c>
      <c r="Y477" s="2">
        <f t="shared" si="164"/>
        <v>1.3395193652999937E-2</v>
      </c>
      <c r="Z477" s="2">
        <f t="shared" si="165"/>
        <v>2.2493676147612898E-2</v>
      </c>
      <c r="AA477" s="2" t="str">
        <f t="shared" si="166"/>
        <v>No Impact</v>
      </c>
      <c r="AB477" s="2">
        <f t="shared" si="167"/>
        <v>7.5375724141125422E-3</v>
      </c>
      <c r="AC477" s="2">
        <f t="shared" si="168"/>
        <v>1.629525238329638E-2</v>
      </c>
      <c r="AD477" s="2" t="str">
        <f t="shared" si="169"/>
        <v>No Impact</v>
      </c>
      <c r="AE477" s="2">
        <f t="shared" si="170"/>
        <v>1.6223794888212972E-3</v>
      </c>
      <c r="AF477" s="2">
        <f t="shared" si="171"/>
        <v>1.1054074258928858E-2</v>
      </c>
      <c r="AG477" s="2" t="s">
        <v>1170</v>
      </c>
    </row>
    <row r="478" spans="1:33" x14ac:dyDescent="0.3">
      <c r="A478" s="2">
        <v>554994</v>
      </c>
      <c r="B478" s="2" t="s">
        <v>981</v>
      </c>
      <c r="C478" s="2" t="s">
        <v>965</v>
      </c>
      <c r="D478" s="2" t="s">
        <v>982</v>
      </c>
      <c r="E478" s="3">
        <v>6.7</v>
      </c>
      <c r="F478" s="4">
        <f t="shared" si="153"/>
        <v>0.77777777777777779</v>
      </c>
      <c r="G478" s="2">
        <v>40.757392799999998</v>
      </c>
      <c r="H478" s="2">
        <f t="shared" si="154"/>
        <v>2.9176095307570444E-2</v>
      </c>
      <c r="I478" s="2">
        <v>0</v>
      </c>
      <c r="J478" s="4">
        <f t="shared" si="155"/>
        <v>0</v>
      </c>
      <c r="K478" s="2">
        <v>0</v>
      </c>
      <c r="L478" s="4">
        <f t="shared" si="156"/>
        <v>0</v>
      </c>
      <c r="M478" s="2">
        <v>22322</v>
      </c>
      <c r="N478" s="2">
        <f t="shared" si="157"/>
        <v>0.10448396758030404</v>
      </c>
      <c r="O478" s="2">
        <v>0.50337483299999997</v>
      </c>
      <c r="P478" s="2">
        <f t="shared" si="152"/>
        <v>0.50404312619578207</v>
      </c>
      <c r="Q478" s="2">
        <v>0.2112</v>
      </c>
      <c r="R478" s="2">
        <f t="shared" si="158"/>
        <v>0.45222929936305734</v>
      </c>
      <c r="S478" s="2">
        <f t="shared" si="159"/>
        <v>3.7975402110477958E-3</v>
      </c>
      <c r="T478" s="5">
        <f t="shared" si="160"/>
        <v>5.9388833146783778E-3</v>
      </c>
      <c r="U478" s="2" t="str">
        <f t="shared" si="161"/>
        <v>No Impact</v>
      </c>
      <c r="V478" s="2">
        <f t="shared" si="162"/>
        <v>3.5917776211973661E-3</v>
      </c>
      <c r="W478" s="2">
        <f t="shared" si="163"/>
        <v>5.256022711990444E-3</v>
      </c>
      <c r="X478" s="2" t="s">
        <v>1170</v>
      </c>
      <c r="Y478" s="2">
        <f t="shared" si="164"/>
        <v>4.0033028008982265E-3</v>
      </c>
      <c r="Z478" s="2">
        <f t="shared" si="165"/>
        <v>6.7224856211070393E-3</v>
      </c>
      <c r="AA478" s="2" t="str">
        <f t="shared" si="166"/>
        <v>No Impact</v>
      </c>
      <c r="AB478" s="2">
        <f t="shared" si="167"/>
        <v>2.748561043607703E-3</v>
      </c>
      <c r="AC478" s="2">
        <f t="shared" si="168"/>
        <v>5.9420319216604584E-3</v>
      </c>
      <c r="AD478" s="2" t="str">
        <f t="shared" si="169"/>
        <v>No Impact</v>
      </c>
      <c r="AE478" s="2">
        <f t="shared" si="170"/>
        <v>8.298515311975916E-4</v>
      </c>
      <c r="AF478" s="2">
        <f t="shared" si="171"/>
        <v>5.654189117250615E-3</v>
      </c>
      <c r="AG478" s="2" t="s">
        <v>1170</v>
      </c>
    </row>
    <row r="479" spans="1:33" x14ac:dyDescent="0.3">
      <c r="A479" s="2">
        <v>555202</v>
      </c>
      <c r="B479" s="2" t="s">
        <v>983</v>
      </c>
      <c r="C479" s="2" t="s">
        <v>984</v>
      </c>
      <c r="D479" s="2" t="s">
        <v>985</v>
      </c>
      <c r="E479" s="3">
        <v>6.2</v>
      </c>
      <c r="F479" s="4">
        <f t="shared" si="153"/>
        <v>0.66666666666666663</v>
      </c>
      <c r="G479" s="2">
        <v>40.757392799999998</v>
      </c>
      <c r="H479" s="2">
        <f t="shared" si="154"/>
        <v>2.9176095307570444E-2</v>
      </c>
      <c r="I479" s="2">
        <v>0</v>
      </c>
      <c r="J479" s="4">
        <f t="shared" si="155"/>
        <v>0</v>
      </c>
      <c r="K479" s="2">
        <v>0</v>
      </c>
      <c r="L479" s="4">
        <f t="shared" si="156"/>
        <v>0</v>
      </c>
      <c r="M479" s="2">
        <v>25242</v>
      </c>
      <c r="N479" s="2">
        <f t="shared" si="157"/>
        <v>0.11829971658788851</v>
      </c>
      <c r="O479" s="2">
        <v>0.617277564</v>
      </c>
      <c r="P479" s="2">
        <f t="shared" si="152"/>
        <v>0.63562243738829605</v>
      </c>
      <c r="Q479" s="2">
        <v>0.2505</v>
      </c>
      <c r="R479" s="2">
        <f t="shared" si="158"/>
        <v>0.5660104226983208</v>
      </c>
      <c r="S479" s="2">
        <f t="shared" si="159"/>
        <v>4.0902113992361518E-3</v>
      </c>
      <c r="T479" s="5">
        <f t="shared" si="160"/>
        <v>6.396584863476289E-3</v>
      </c>
      <c r="U479" s="2" t="str">
        <f t="shared" si="161"/>
        <v>No Impact</v>
      </c>
      <c r="V479" s="2">
        <f t="shared" si="162"/>
        <v>3.853260608802369E-3</v>
      </c>
      <c r="W479" s="2">
        <f t="shared" si="163"/>
        <v>5.63866347280482E-3</v>
      </c>
      <c r="X479" s="2" t="s">
        <v>1170</v>
      </c>
      <c r="Y479" s="2">
        <f t="shared" si="164"/>
        <v>4.327162189669935E-3</v>
      </c>
      <c r="Z479" s="2">
        <f t="shared" si="165"/>
        <v>7.2663215966894601E-3</v>
      </c>
      <c r="AA479" s="2" t="str">
        <f t="shared" si="166"/>
        <v>No Impact</v>
      </c>
      <c r="AB479" s="2">
        <f t="shared" si="167"/>
        <v>2.9286643141406654E-3</v>
      </c>
      <c r="AC479" s="2">
        <f t="shared" si="168"/>
        <v>6.3313917960540859E-3</v>
      </c>
      <c r="AD479" s="2" t="str">
        <f t="shared" si="169"/>
        <v>No Impact</v>
      </c>
      <c r="AE479" s="2">
        <f t="shared" si="170"/>
        <v>8.0535555473958836E-4</v>
      </c>
      <c r="AF479" s="2">
        <f t="shared" si="171"/>
        <v>5.4872859083050498E-3</v>
      </c>
      <c r="AG479" s="2" t="s">
        <v>1170</v>
      </c>
    </row>
    <row r="480" spans="1:33" x14ac:dyDescent="0.3">
      <c r="A480" s="2">
        <v>555233</v>
      </c>
      <c r="B480" s="2" t="s">
        <v>986</v>
      </c>
      <c r="C480" s="2" t="s">
        <v>984</v>
      </c>
      <c r="D480" s="2" t="s">
        <v>987</v>
      </c>
      <c r="E480" s="3">
        <v>5.9</v>
      </c>
      <c r="F480" s="4">
        <f t="shared" si="153"/>
        <v>0.60000000000000009</v>
      </c>
      <c r="G480" s="2">
        <v>39.934976400000004</v>
      </c>
      <c r="H480" s="2">
        <f t="shared" si="154"/>
        <v>2.2536342162727527E-2</v>
      </c>
      <c r="I480" s="2">
        <v>0</v>
      </c>
      <c r="J480" s="4">
        <f t="shared" si="155"/>
        <v>0</v>
      </c>
      <c r="K480" s="2">
        <v>0</v>
      </c>
      <c r="L480" s="4">
        <f t="shared" si="156"/>
        <v>0</v>
      </c>
      <c r="M480" s="2">
        <v>21858</v>
      </c>
      <c r="N480" s="2">
        <f t="shared" si="157"/>
        <v>0.10228858828594815</v>
      </c>
      <c r="O480" s="2">
        <v>0.66648638500000001</v>
      </c>
      <c r="P480" s="2">
        <f t="shared" si="152"/>
        <v>0.69246798195891524</v>
      </c>
      <c r="Q480" s="2">
        <v>0.1946</v>
      </c>
      <c r="R480" s="2">
        <f t="shared" si="158"/>
        <v>0.40416907932831503</v>
      </c>
      <c r="S480" s="2">
        <f t="shared" si="159"/>
        <v>2.5949897443571872E-3</v>
      </c>
      <c r="T480" s="5">
        <f t="shared" si="160"/>
        <v>4.0582430831646674E-3</v>
      </c>
      <c r="U480" s="2" t="str">
        <f t="shared" si="161"/>
        <v>No Impact</v>
      </c>
      <c r="V480" s="2">
        <f t="shared" si="162"/>
        <v>1.9127834593008694E-3</v>
      </c>
      <c r="W480" s="2">
        <f t="shared" si="163"/>
        <v>2.7990689751704362E-3</v>
      </c>
      <c r="X480" s="2" t="s">
        <v>1170</v>
      </c>
      <c r="Y480" s="2">
        <f t="shared" si="164"/>
        <v>3.2771960294135051E-3</v>
      </c>
      <c r="Z480" s="2">
        <f t="shared" si="165"/>
        <v>5.5031818178575614E-3</v>
      </c>
      <c r="AA480" s="2" t="str">
        <f t="shared" si="166"/>
        <v>No Impact</v>
      </c>
      <c r="AB480" s="2">
        <f t="shared" si="167"/>
        <v>1.8220660005135107E-3</v>
      </c>
      <c r="AC480" s="2">
        <f t="shared" si="168"/>
        <v>3.9390699957722198E-3</v>
      </c>
      <c r="AD480" s="2" t="str">
        <f t="shared" si="169"/>
        <v>No Impact</v>
      </c>
      <c r="AE480" s="2">
        <f t="shared" si="170"/>
        <v>4.8409423124044304E-4</v>
      </c>
      <c r="AF480" s="2">
        <f t="shared" si="171"/>
        <v>3.2983735416543866E-3</v>
      </c>
      <c r="AG480" s="2" t="s">
        <v>1170</v>
      </c>
    </row>
    <row r="481" spans="1:33" x14ac:dyDescent="0.3">
      <c r="A481" s="2">
        <v>555239</v>
      </c>
      <c r="B481" s="2" t="s">
        <v>988</v>
      </c>
      <c r="C481" s="2" t="s">
        <v>700</v>
      </c>
      <c r="D481" s="2" t="s">
        <v>1149</v>
      </c>
      <c r="E481" s="3">
        <v>6.2</v>
      </c>
      <c r="F481" s="4">
        <f t="shared" si="153"/>
        <v>0.66666666666666663</v>
      </c>
      <c r="G481" s="2">
        <v>39.934976400000004</v>
      </c>
      <c r="H481" s="2">
        <f t="shared" si="154"/>
        <v>2.2536342162727527E-2</v>
      </c>
      <c r="I481" s="2">
        <v>9.9999999999999395E-2</v>
      </c>
      <c r="J481" s="4">
        <f t="shared" si="155"/>
        <v>1.5174506828527982E-3</v>
      </c>
      <c r="K481" s="2">
        <v>0</v>
      </c>
      <c r="L481" s="4">
        <f t="shared" si="156"/>
        <v>0</v>
      </c>
      <c r="M481" s="2">
        <v>24184</v>
      </c>
      <c r="N481" s="2">
        <f t="shared" si="157"/>
        <v>0.11329387328308564</v>
      </c>
      <c r="O481" s="2">
        <v>0.70450839499999995</v>
      </c>
      <c r="P481" s="2">
        <f t="shared" si="152"/>
        <v>0.73639063282103434</v>
      </c>
      <c r="Q481" s="2">
        <v>0.25480000000000003</v>
      </c>
      <c r="R481" s="2">
        <f t="shared" si="158"/>
        <v>0.57845975680370598</v>
      </c>
      <c r="S481" s="2">
        <f t="shared" si="159"/>
        <v>3.6898328710791425E-3</v>
      </c>
      <c r="T481" s="5">
        <f t="shared" si="160"/>
        <v>5.7704423532509456E-3</v>
      </c>
      <c r="U481" s="2" t="str">
        <f t="shared" si="161"/>
        <v>No Impact</v>
      </c>
      <c r="V481" s="2">
        <f t="shared" si="162"/>
        <v>3.2466352705875939E-3</v>
      </c>
      <c r="W481" s="2">
        <f t="shared" si="163"/>
        <v>4.7509591404127621E-3</v>
      </c>
      <c r="X481" s="2" t="s">
        <v>1170</v>
      </c>
      <c r="Y481" s="2">
        <f t="shared" si="164"/>
        <v>4.1330304715706916E-3</v>
      </c>
      <c r="Z481" s="2">
        <f t="shared" si="165"/>
        <v>6.9403288480944366E-3</v>
      </c>
      <c r="AA481" s="2" t="str">
        <f t="shared" si="166"/>
        <v>No Impact</v>
      </c>
      <c r="AB481" s="2">
        <f t="shared" si="167"/>
        <v>2.5987851871312213E-3</v>
      </c>
      <c r="AC481" s="2">
        <f t="shared" si="168"/>
        <v>5.6182359767433573E-3</v>
      </c>
      <c r="AD481" s="2" t="str">
        <f t="shared" si="169"/>
        <v>No Impact</v>
      </c>
      <c r="AE481" s="2">
        <f t="shared" si="170"/>
        <v>6.3586771701244608E-4</v>
      </c>
      <c r="AF481" s="2">
        <f t="shared" si="171"/>
        <v>4.3324814022506208E-3</v>
      </c>
      <c r="AG481" s="2" t="s">
        <v>1170</v>
      </c>
    </row>
    <row r="482" spans="1:33" x14ac:dyDescent="0.3">
      <c r="A482" s="2">
        <v>555255</v>
      </c>
      <c r="B482" s="2" t="s">
        <v>989</v>
      </c>
      <c r="C482" s="2" t="s">
        <v>984</v>
      </c>
      <c r="D482" s="2" t="s">
        <v>990</v>
      </c>
      <c r="E482" s="3">
        <v>6.2</v>
      </c>
      <c r="F482" s="4">
        <f t="shared" si="153"/>
        <v>0.66666666666666663</v>
      </c>
      <c r="G482" s="2">
        <v>40.757392799999998</v>
      </c>
      <c r="H482" s="2">
        <f t="shared" si="154"/>
        <v>2.9176095307570444E-2</v>
      </c>
      <c r="I482" s="2">
        <v>0</v>
      </c>
      <c r="J482" s="4">
        <f t="shared" si="155"/>
        <v>0</v>
      </c>
      <c r="K482" s="2">
        <v>0</v>
      </c>
      <c r="L482" s="4">
        <f t="shared" si="156"/>
        <v>0</v>
      </c>
      <c r="M482" s="2">
        <v>29622</v>
      </c>
      <c r="N482" s="2">
        <f t="shared" si="157"/>
        <v>0.1390233400992652</v>
      </c>
      <c r="O482" s="2">
        <v>0.66461306899999995</v>
      </c>
      <c r="P482" s="2">
        <f t="shared" si="152"/>
        <v>0.69030394579611287</v>
      </c>
      <c r="Q482" s="2">
        <v>0.2482</v>
      </c>
      <c r="R482" s="2">
        <f t="shared" si="158"/>
        <v>0.55935147654892881</v>
      </c>
      <c r="S482" s="2">
        <f t="shared" si="159"/>
        <v>4.2536743321287982E-3</v>
      </c>
      <c r="T482" s="5">
        <f t="shared" si="160"/>
        <v>6.6522206779175211E-3</v>
      </c>
      <c r="U482" s="2" t="str">
        <f t="shared" si="161"/>
        <v>No Impact</v>
      </c>
      <c r="V482" s="2">
        <f t="shared" si="162"/>
        <v>3.8079281310517531E-3</v>
      </c>
      <c r="W482" s="2">
        <f t="shared" si="163"/>
        <v>5.5723262554777048E-3</v>
      </c>
      <c r="X482" s="2" t="s">
        <v>1170</v>
      </c>
      <c r="Y482" s="2">
        <f t="shared" si="164"/>
        <v>4.6994205332058434E-3</v>
      </c>
      <c r="Z482" s="2">
        <f t="shared" si="165"/>
        <v>7.8914307843321683E-3</v>
      </c>
      <c r="AA482" s="2" t="str">
        <f t="shared" si="166"/>
        <v>No Impact</v>
      </c>
      <c r="AB482" s="2">
        <f t="shared" si="167"/>
        <v>3.0738539271880903E-3</v>
      </c>
      <c r="AC482" s="2">
        <f t="shared" si="168"/>
        <v>6.6452728784581862E-3</v>
      </c>
      <c r="AD482" s="2" t="str">
        <f t="shared" si="169"/>
        <v>No Impact</v>
      </c>
      <c r="AE482" s="2">
        <f t="shared" si="170"/>
        <v>9.4643691816635278E-4</v>
      </c>
      <c r="AF482" s="2">
        <f t="shared" si="171"/>
        <v>6.4485430485832591E-3</v>
      </c>
      <c r="AG482" s="2" t="s">
        <v>1170</v>
      </c>
    </row>
    <row r="483" spans="1:33" x14ac:dyDescent="0.3">
      <c r="A483" s="2">
        <v>555270</v>
      </c>
      <c r="B483" s="2" t="s">
        <v>991</v>
      </c>
      <c r="C483" s="2" t="s">
        <v>984</v>
      </c>
      <c r="D483" s="2" t="s">
        <v>992</v>
      </c>
      <c r="E483" s="3">
        <v>6.2</v>
      </c>
      <c r="F483" s="4">
        <f t="shared" si="153"/>
        <v>0.66666666666666663</v>
      </c>
      <c r="G483" s="2">
        <v>39.147476400000002</v>
      </c>
      <c r="H483" s="2">
        <f t="shared" si="154"/>
        <v>1.6178485483843399E-2</v>
      </c>
      <c r="I483" s="2">
        <v>1.5000000000000013</v>
      </c>
      <c r="J483" s="4">
        <f t="shared" si="155"/>
        <v>2.2761760242792133E-2</v>
      </c>
      <c r="K483" s="2">
        <v>0</v>
      </c>
      <c r="L483" s="4">
        <f t="shared" si="156"/>
        <v>0</v>
      </c>
      <c r="M483" s="2">
        <v>23187</v>
      </c>
      <c r="N483" s="2">
        <f t="shared" si="157"/>
        <v>0.10857664665275629</v>
      </c>
      <c r="O483" s="2">
        <v>0.61013070800000002</v>
      </c>
      <c r="P483" s="2">
        <f t="shared" si="152"/>
        <v>0.62736645984134798</v>
      </c>
      <c r="Q483" s="2">
        <v>0.2324</v>
      </c>
      <c r="R483" s="2">
        <f t="shared" si="158"/>
        <v>0.51360741169658375</v>
      </c>
      <c r="S483" s="2">
        <f t="shared" si="159"/>
        <v>5.1834770079584036E-3</v>
      </c>
      <c r="T483" s="5">
        <f t="shared" si="160"/>
        <v>8.1063170904750997E-3</v>
      </c>
      <c r="U483" s="2" t="str">
        <f t="shared" si="161"/>
        <v>No Impact</v>
      </c>
      <c r="V483" s="2">
        <f t="shared" si="162"/>
        <v>4.6666663909801205E-3</v>
      </c>
      <c r="W483" s="2">
        <f t="shared" si="163"/>
        <v>6.8289596759883E-3</v>
      </c>
      <c r="X483" s="2" t="s">
        <v>1170</v>
      </c>
      <c r="Y483" s="2">
        <f t="shared" si="164"/>
        <v>5.7002876249366858E-3</v>
      </c>
      <c r="Z483" s="2">
        <f t="shared" si="165"/>
        <v>9.5721216956692196E-3</v>
      </c>
      <c r="AA483" s="2" t="str">
        <f t="shared" si="166"/>
        <v>No Impact</v>
      </c>
      <c r="AB483" s="2">
        <f t="shared" si="167"/>
        <v>3.6887062972253614E-3</v>
      </c>
      <c r="AC483" s="2">
        <f t="shared" si="168"/>
        <v>7.9745038294559423E-3</v>
      </c>
      <c r="AD483" s="2" t="str">
        <f t="shared" si="169"/>
        <v>No Impact</v>
      </c>
      <c r="AE483" s="2">
        <f t="shared" si="170"/>
        <v>9.8653363686089556E-4</v>
      </c>
      <c r="AF483" s="2">
        <f t="shared" si="171"/>
        <v>6.7217418340972928E-3</v>
      </c>
      <c r="AG483" s="2" t="s">
        <v>1170</v>
      </c>
    </row>
    <row r="484" spans="1:33" x14ac:dyDescent="0.3">
      <c r="A484" s="2">
        <v>557312</v>
      </c>
      <c r="B484" s="2" t="s">
        <v>993</v>
      </c>
      <c r="C484" s="2" t="s">
        <v>994</v>
      </c>
      <c r="D484" s="2" t="s">
        <v>995</v>
      </c>
      <c r="E484" s="3">
        <v>5.9</v>
      </c>
      <c r="F484" s="4">
        <f t="shared" si="153"/>
        <v>0.60000000000000009</v>
      </c>
      <c r="G484" s="2">
        <v>41.274428399999998</v>
      </c>
      <c r="H484" s="2">
        <f t="shared" si="154"/>
        <v>3.335036609192709E-2</v>
      </c>
      <c r="I484" s="2">
        <v>9.9999999999999395E-2</v>
      </c>
      <c r="J484" s="4">
        <f t="shared" si="155"/>
        <v>1.5174506828527982E-3</v>
      </c>
      <c r="K484" s="2">
        <v>0</v>
      </c>
      <c r="L484" s="4">
        <f t="shared" si="156"/>
        <v>0</v>
      </c>
      <c r="M484" s="2">
        <v>27341</v>
      </c>
      <c r="N484" s="2">
        <f t="shared" si="157"/>
        <v>0.1282309690423131</v>
      </c>
      <c r="O484" s="2">
        <v>0.62528721200000004</v>
      </c>
      <c r="P484" s="2">
        <f t="shared" si="152"/>
        <v>0.64487510374213886</v>
      </c>
      <c r="Q484" s="2">
        <v>0.19589999999999999</v>
      </c>
      <c r="R484" s="2">
        <f t="shared" si="158"/>
        <v>0.40793283149971049</v>
      </c>
      <c r="S484" s="2">
        <f t="shared" si="159"/>
        <v>3.8544569894299495E-3</v>
      </c>
      <c r="T484" s="5">
        <f t="shared" si="160"/>
        <v>6.0278941181652369E-3</v>
      </c>
      <c r="U484" s="2" t="str">
        <f t="shared" si="161"/>
        <v>No Impact</v>
      </c>
      <c r="V484" s="2">
        <f t="shared" si="162"/>
        <v>2.9869827172813034E-3</v>
      </c>
      <c r="W484" s="2">
        <f t="shared" si="163"/>
        <v>4.3709969430456496E-3</v>
      </c>
      <c r="X484" s="2" t="s">
        <v>1170</v>
      </c>
      <c r="Y484" s="2">
        <f t="shared" si="164"/>
        <v>4.7219312615785951E-3</v>
      </c>
      <c r="Z484" s="2">
        <f t="shared" si="165"/>
        <v>7.9292315841548843E-3</v>
      </c>
      <c r="AA484" s="2" t="str">
        <f t="shared" si="166"/>
        <v>No Impact</v>
      </c>
      <c r="AB484" s="2">
        <f t="shared" si="167"/>
        <v>2.790651673628393E-3</v>
      </c>
      <c r="AC484" s="2">
        <f t="shared" si="168"/>
        <v>6.0330263959390649E-3</v>
      </c>
      <c r="AD484" s="2" t="str">
        <f t="shared" si="169"/>
        <v>No Impact</v>
      </c>
      <c r="AE484" s="2">
        <f t="shared" si="170"/>
        <v>9.3893812601816764E-4</v>
      </c>
      <c r="AF484" s="2">
        <f t="shared" si="171"/>
        <v>6.3974500670524494E-3</v>
      </c>
      <c r="AG484" s="2" t="s">
        <v>1170</v>
      </c>
    </row>
    <row r="485" spans="1:33" x14ac:dyDescent="0.3">
      <c r="A485" s="2">
        <v>557315</v>
      </c>
      <c r="B485" s="2" t="s">
        <v>996</v>
      </c>
      <c r="C485" s="2" t="s">
        <v>994</v>
      </c>
      <c r="D485" s="2" t="s">
        <v>997</v>
      </c>
      <c r="E485" s="3">
        <v>5.9</v>
      </c>
      <c r="F485" s="4">
        <f t="shared" si="153"/>
        <v>0.60000000000000009</v>
      </c>
      <c r="G485" s="2">
        <v>41.274428399999998</v>
      </c>
      <c r="H485" s="2">
        <f t="shared" si="154"/>
        <v>3.335036609192709E-2</v>
      </c>
      <c r="I485" s="2">
        <v>0</v>
      </c>
      <c r="J485" s="4">
        <f t="shared" si="155"/>
        <v>0</v>
      </c>
      <c r="K485" s="2">
        <v>0</v>
      </c>
      <c r="L485" s="4">
        <f t="shared" si="156"/>
        <v>0</v>
      </c>
      <c r="M485" s="2">
        <v>28057</v>
      </c>
      <c r="N485" s="2">
        <f t="shared" si="157"/>
        <v>0.13161866640170711</v>
      </c>
      <c r="O485" s="2">
        <v>0.75376172500000005</v>
      </c>
      <c r="P485" s="2">
        <f t="shared" si="152"/>
        <v>0.79328759374936875</v>
      </c>
      <c r="Q485" s="2">
        <v>0.25850000000000001</v>
      </c>
      <c r="R485" s="2">
        <f t="shared" si="158"/>
        <v>0.58917197452229308</v>
      </c>
      <c r="S485" s="2">
        <f t="shared" si="159"/>
        <v>4.8410809344604771E-3</v>
      </c>
      <c r="T485" s="5">
        <f t="shared" si="160"/>
        <v>7.5708519696601794E-3</v>
      </c>
      <c r="U485" s="2" t="str">
        <f t="shared" si="161"/>
        <v>No Impact</v>
      </c>
      <c r="V485" s="2">
        <f t="shared" si="162"/>
        <v>4.1263112186986231E-3</v>
      </c>
      <c r="W485" s="2">
        <f t="shared" si="163"/>
        <v>6.0382316973707738E-3</v>
      </c>
      <c r="X485" s="2" t="s">
        <v>1170</v>
      </c>
      <c r="Y485" s="2">
        <f t="shared" si="164"/>
        <v>5.5558506502223302E-3</v>
      </c>
      <c r="Z485" s="2">
        <f t="shared" si="165"/>
        <v>9.3295780925584087E-3</v>
      </c>
      <c r="AA485" s="2" t="str">
        <f t="shared" si="166"/>
        <v>No Impact</v>
      </c>
      <c r="AB485" s="2">
        <f t="shared" si="167"/>
        <v>3.4335946287247865E-3</v>
      </c>
      <c r="AC485" s="2">
        <f t="shared" si="168"/>
        <v>7.4229855426986065E-3</v>
      </c>
      <c r="AD485" s="2" t="str">
        <f t="shared" si="169"/>
        <v>No Impact</v>
      </c>
      <c r="AE485" s="2">
        <f t="shared" si="170"/>
        <v>9.2180144889591272E-4</v>
      </c>
      <c r="AF485" s="2">
        <f t="shared" si="171"/>
        <v>6.2806894060813724E-3</v>
      </c>
      <c r="AG485" s="2" t="s">
        <v>1170</v>
      </c>
    </row>
    <row r="486" spans="1:33" x14ac:dyDescent="0.3">
      <c r="A486" s="2">
        <v>557336</v>
      </c>
      <c r="B486" s="2" t="s">
        <v>998</v>
      </c>
      <c r="C486" s="2" t="s">
        <v>994</v>
      </c>
      <c r="D486" s="2" t="s">
        <v>999</v>
      </c>
      <c r="E486" s="3">
        <v>5.9</v>
      </c>
      <c r="F486" s="4">
        <f t="shared" si="153"/>
        <v>0.60000000000000009</v>
      </c>
      <c r="G486" s="2">
        <v>39.934976400000004</v>
      </c>
      <c r="H486" s="2">
        <f t="shared" si="154"/>
        <v>2.2536342162727527E-2</v>
      </c>
      <c r="I486" s="2">
        <v>0</v>
      </c>
      <c r="J486" s="4">
        <f t="shared" si="155"/>
        <v>0</v>
      </c>
      <c r="K486" s="2">
        <v>0</v>
      </c>
      <c r="L486" s="4">
        <f t="shared" si="156"/>
        <v>0</v>
      </c>
      <c r="M486" s="2">
        <v>28976</v>
      </c>
      <c r="N486" s="2">
        <f t="shared" si="157"/>
        <v>0.13596684220238181</v>
      </c>
      <c r="O486" s="2">
        <v>0.753953023</v>
      </c>
      <c r="P486" s="2">
        <f t="shared" si="152"/>
        <v>0.79350857931180019</v>
      </c>
      <c r="Q486" s="2">
        <v>0.23319999999999999</v>
      </c>
      <c r="R486" s="2">
        <f t="shared" si="158"/>
        <v>0.51592356687898089</v>
      </c>
      <c r="S486" s="2">
        <f t="shared" si="159"/>
        <v>3.09853014297016E-3</v>
      </c>
      <c r="T486" s="5">
        <f t="shared" si="160"/>
        <v>4.8457180025583378E-3</v>
      </c>
      <c r="U486" s="2" t="str">
        <f t="shared" si="161"/>
        <v>No Impact</v>
      </c>
      <c r="V486" s="2">
        <f t="shared" si="162"/>
        <v>2.4416763069299062E-3</v>
      </c>
      <c r="W486" s="2">
        <f t="shared" si="163"/>
        <v>3.5730235771874765E-3</v>
      </c>
      <c r="X486" s="2" t="s">
        <v>1170</v>
      </c>
      <c r="Y486" s="2">
        <f t="shared" si="164"/>
        <v>3.7553839790104141E-3</v>
      </c>
      <c r="Z486" s="2">
        <f t="shared" si="165"/>
        <v>6.3061716927754951E-3</v>
      </c>
      <c r="AA486" s="2" t="str">
        <f t="shared" si="166"/>
        <v>No Impact</v>
      </c>
      <c r="AB486" s="2">
        <f t="shared" si="167"/>
        <v>2.206420254109988E-3</v>
      </c>
      <c r="AC486" s="2">
        <f t="shared" si="168"/>
        <v>4.769993962117359E-3</v>
      </c>
      <c r="AD486" s="2" t="str">
        <f t="shared" si="169"/>
        <v>No Impact</v>
      </c>
      <c r="AE486" s="2">
        <f t="shared" si="170"/>
        <v>6.4348100851827615E-4</v>
      </c>
      <c r="AF486" s="2">
        <f t="shared" si="171"/>
        <v>4.3843545245627509E-3</v>
      </c>
      <c r="AG486" s="2" t="s">
        <v>1170</v>
      </c>
    </row>
    <row r="487" spans="1:33" x14ac:dyDescent="0.3">
      <c r="A487" s="2">
        <v>557345</v>
      </c>
      <c r="B487" s="2" t="s">
        <v>1000</v>
      </c>
      <c r="C487" s="2" t="s">
        <v>994</v>
      </c>
      <c r="D487" s="2" t="s">
        <v>455</v>
      </c>
      <c r="E487" s="3">
        <v>5.9</v>
      </c>
      <c r="F487" s="4">
        <f t="shared" si="153"/>
        <v>0.60000000000000009</v>
      </c>
      <c r="G487" s="2">
        <v>45.095914800000003</v>
      </c>
      <c r="H487" s="2">
        <f t="shared" si="154"/>
        <v>6.4203017306536422E-2</v>
      </c>
      <c r="I487" s="2">
        <v>0</v>
      </c>
      <c r="J487" s="4">
        <f t="shared" si="155"/>
        <v>0</v>
      </c>
      <c r="K487" s="2">
        <v>0</v>
      </c>
      <c r="L487" s="4">
        <f t="shared" si="156"/>
        <v>0</v>
      </c>
      <c r="M487" s="2">
        <v>24819</v>
      </c>
      <c r="N487" s="2">
        <f t="shared" si="157"/>
        <v>0.11629832555014596</v>
      </c>
      <c r="O487" s="2">
        <v>0.73058227099999995</v>
      </c>
      <c r="P487" s="2">
        <f t="shared" si="152"/>
        <v>0.76651091715556019</v>
      </c>
      <c r="Q487" s="2">
        <v>0.2472</v>
      </c>
      <c r="R487" s="2">
        <f t="shared" si="158"/>
        <v>0.55645628257093227</v>
      </c>
      <c r="S487" s="2">
        <f t="shared" si="159"/>
        <v>8.9185410321021025E-3</v>
      </c>
      <c r="T487" s="5">
        <f t="shared" si="160"/>
        <v>1.394749537417315E-2</v>
      </c>
      <c r="U487" s="2" t="str">
        <f t="shared" si="161"/>
        <v>No Impact</v>
      </c>
      <c r="V487" s="2">
        <f t="shared" si="162"/>
        <v>7.5024961914488238E-3</v>
      </c>
      <c r="W487" s="2">
        <f t="shared" si="163"/>
        <v>1.0978767211576762E-2</v>
      </c>
      <c r="X487" s="2" t="s">
        <v>1170</v>
      </c>
      <c r="Y487" s="2">
        <f t="shared" si="164"/>
        <v>1.0334585872755384E-2</v>
      </c>
      <c r="Z487" s="2">
        <f t="shared" si="165"/>
        <v>1.7354196868172453E-2</v>
      </c>
      <c r="AA487" s="2" t="str">
        <f t="shared" si="166"/>
        <v>No Impact</v>
      </c>
      <c r="AB487" s="2">
        <f t="shared" si="167"/>
        <v>6.2750521293229696E-3</v>
      </c>
      <c r="AC487" s="2">
        <f t="shared" si="168"/>
        <v>1.3565847536563702E-2</v>
      </c>
      <c r="AD487" s="2" t="str">
        <f t="shared" si="169"/>
        <v>No Impact</v>
      </c>
      <c r="AE487" s="2">
        <f t="shared" si="170"/>
        <v>1.5680077156836182E-3</v>
      </c>
      <c r="AF487" s="2">
        <f t="shared" si="171"/>
        <v>1.0683612463772533E-2</v>
      </c>
      <c r="AG487" s="2" t="s">
        <v>1170</v>
      </c>
    </row>
    <row r="488" spans="1:33" x14ac:dyDescent="0.3">
      <c r="A488" s="2">
        <v>557364</v>
      </c>
      <c r="B488" s="2" t="s">
        <v>1001</v>
      </c>
      <c r="C488" s="2" t="s">
        <v>994</v>
      </c>
      <c r="D488" s="2" t="s">
        <v>1002</v>
      </c>
      <c r="E488" s="3">
        <v>5.9</v>
      </c>
      <c r="F488" s="4">
        <f t="shared" si="153"/>
        <v>0.60000000000000009</v>
      </c>
      <c r="G488" s="2">
        <v>46.663884000000003</v>
      </c>
      <c r="H488" s="2">
        <f t="shared" si="154"/>
        <v>7.6861967719875593E-2</v>
      </c>
      <c r="I488" s="2">
        <v>0</v>
      </c>
      <c r="J488" s="4">
        <f t="shared" si="155"/>
        <v>0</v>
      </c>
      <c r="K488" s="2">
        <v>0</v>
      </c>
      <c r="L488" s="4">
        <f t="shared" si="156"/>
        <v>0</v>
      </c>
      <c r="M488" s="2">
        <v>45805</v>
      </c>
      <c r="N488" s="2">
        <f t="shared" si="157"/>
        <v>0.21559192441081981</v>
      </c>
      <c r="O488" s="2">
        <v>0.77131277499999995</v>
      </c>
      <c r="P488" s="2">
        <f t="shared" si="152"/>
        <v>0.81356239356699012</v>
      </c>
      <c r="Q488" s="2">
        <v>0.2535</v>
      </c>
      <c r="R488" s="2">
        <f t="shared" si="158"/>
        <v>0.57469600463231041</v>
      </c>
      <c r="S488" s="2">
        <f t="shared" si="159"/>
        <v>1.1203948579870289E-2</v>
      </c>
      <c r="T488" s="5">
        <f t="shared" si="160"/>
        <v>1.7521590182490027E-2</v>
      </c>
      <c r="U488" s="2" t="str">
        <f t="shared" si="161"/>
        <v>No Impact</v>
      </c>
      <c r="V488" s="2">
        <f t="shared" si="162"/>
        <v>9.2761758089259239E-3</v>
      </c>
      <c r="W488" s="2">
        <f t="shared" si="163"/>
        <v>1.3574278776166996E-2</v>
      </c>
      <c r="X488" s="2" t="s">
        <v>1170</v>
      </c>
      <c r="Y488" s="2">
        <f t="shared" si="164"/>
        <v>1.3131721350814652E-2</v>
      </c>
      <c r="Z488" s="2">
        <f t="shared" si="165"/>
        <v>2.2051244272961016E-2</v>
      </c>
      <c r="AA488" s="2" t="str">
        <f t="shared" si="166"/>
        <v>No Impact</v>
      </c>
      <c r="AB488" s="2">
        <f t="shared" si="167"/>
        <v>8.4041331741711439E-3</v>
      </c>
      <c r="AC488" s="2">
        <f t="shared" si="168"/>
        <v>1.8168644175085704E-2</v>
      </c>
      <c r="AD488" s="2" t="str">
        <f t="shared" si="169"/>
        <v>No Impact</v>
      </c>
      <c r="AE488" s="2">
        <f t="shared" si="170"/>
        <v>3.4798721022933615E-3</v>
      </c>
      <c r="AF488" s="2">
        <f t="shared" si="171"/>
        <v>2.3710090577065201E-2</v>
      </c>
      <c r="AG488" s="2" t="s">
        <v>1170</v>
      </c>
    </row>
    <row r="489" spans="1:33" x14ac:dyDescent="0.3">
      <c r="A489" s="2">
        <v>557385</v>
      </c>
      <c r="B489" s="2" t="s">
        <v>1003</v>
      </c>
      <c r="C489" s="2" t="s">
        <v>994</v>
      </c>
      <c r="D489" s="2" t="s">
        <v>1004</v>
      </c>
      <c r="E489" s="3">
        <v>5.9</v>
      </c>
      <c r="F489" s="4">
        <f t="shared" si="153"/>
        <v>0.60000000000000009</v>
      </c>
      <c r="G489" s="2">
        <v>46.663884000000003</v>
      </c>
      <c r="H489" s="2">
        <f t="shared" si="154"/>
        <v>7.6861967719875593E-2</v>
      </c>
      <c r="I489" s="2">
        <v>0</v>
      </c>
      <c r="J489" s="4">
        <f t="shared" si="155"/>
        <v>0</v>
      </c>
      <c r="K489" s="2">
        <v>0</v>
      </c>
      <c r="L489" s="4">
        <f t="shared" si="156"/>
        <v>0</v>
      </c>
      <c r="M489" s="2">
        <v>25576</v>
      </c>
      <c r="N489" s="2">
        <f t="shared" si="157"/>
        <v>0.11988001116615331</v>
      </c>
      <c r="O489" s="2">
        <v>0.74570453400000003</v>
      </c>
      <c r="P489" s="2">
        <f t="shared" si="152"/>
        <v>0.7839800061909411</v>
      </c>
      <c r="Q489" s="2">
        <v>0.24990000000000001</v>
      </c>
      <c r="R489" s="2">
        <f t="shared" si="158"/>
        <v>0.56427330631152295</v>
      </c>
      <c r="S489" s="2">
        <f t="shared" si="159"/>
        <v>1.0881087271296873E-2</v>
      </c>
      <c r="T489" s="5">
        <f t="shared" si="160"/>
        <v>1.7016675018494219E-2</v>
      </c>
      <c r="U489" s="2" t="str">
        <f t="shared" si="161"/>
        <v>No Impact</v>
      </c>
      <c r="V489" s="2">
        <f t="shared" si="162"/>
        <v>9.1079428975297874E-3</v>
      </c>
      <c r="W489" s="2">
        <f t="shared" si="163"/>
        <v>1.3328095382745328E-2</v>
      </c>
      <c r="X489" s="2" t="s">
        <v>1170</v>
      </c>
      <c r="Y489" s="2">
        <f t="shared" si="164"/>
        <v>1.2654231645063957E-2</v>
      </c>
      <c r="Z489" s="2">
        <f t="shared" si="165"/>
        <v>2.1249426913450897E-2</v>
      </c>
      <c r="AA489" s="2" t="str">
        <f t="shared" si="166"/>
        <v>No Impact</v>
      </c>
      <c r="AB489" s="2">
        <f t="shared" si="167"/>
        <v>7.6612942034701859E-3</v>
      </c>
      <c r="AC489" s="2">
        <f t="shared" si="168"/>
        <v>1.6562722819682657E-2</v>
      </c>
      <c r="AD489" s="2" t="str">
        <f t="shared" si="169"/>
        <v>No Impact</v>
      </c>
      <c r="AE489" s="2">
        <f t="shared" si="170"/>
        <v>1.9349848451873524E-3</v>
      </c>
      <c r="AF489" s="2">
        <f t="shared" si="171"/>
        <v>1.3184009238271979E-2</v>
      </c>
      <c r="AG489" s="2" t="s">
        <v>1170</v>
      </c>
    </row>
    <row r="490" spans="1:33" x14ac:dyDescent="0.3">
      <c r="A490" s="2">
        <v>557704</v>
      </c>
      <c r="B490" s="2" t="s">
        <v>1005</v>
      </c>
      <c r="C490" s="2" t="s">
        <v>1006</v>
      </c>
      <c r="D490" s="2" t="s">
        <v>1007</v>
      </c>
      <c r="E490" s="3">
        <v>5.0999999999999996</v>
      </c>
      <c r="F490" s="4">
        <f t="shared" si="153"/>
        <v>0.42222222222222211</v>
      </c>
      <c r="G490" s="2">
        <v>42.255050399999995</v>
      </c>
      <c r="H490" s="2">
        <f t="shared" si="154"/>
        <v>4.1267387212131128E-2</v>
      </c>
      <c r="I490" s="2">
        <v>1.9999999999999982</v>
      </c>
      <c r="J490" s="4">
        <f t="shared" si="155"/>
        <v>3.0349013657056122E-2</v>
      </c>
      <c r="K490" s="2">
        <v>0</v>
      </c>
      <c r="L490" s="4">
        <f t="shared" si="156"/>
        <v>0</v>
      </c>
      <c r="M490" s="2">
        <v>20430</v>
      </c>
      <c r="N490" s="2">
        <f t="shared" si="157"/>
        <v>9.5532119250732184E-2</v>
      </c>
      <c r="O490" s="2">
        <v>0.73481706899999999</v>
      </c>
      <c r="P490" s="2">
        <f t="shared" si="152"/>
        <v>0.77140291402857153</v>
      </c>
      <c r="Q490" s="2">
        <v>0.29720000000000002</v>
      </c>
      <c r="R490" s="2">
        <f t="shared" si="158"/>
        <v>0.7012159814707587</v>
      </c>
      <c r="S490" s="2">
        <f t="shared" si="159"/>
        <v>7.7925930359074615E-3</v>
      </c>
      <c r="T490" s="5">
        <f t="shared" si="160"/>
        <v>1.218665193442695E-2</v>
      </c>
      <c r="U490" s="2" t="str">
        <f t="shared" si="161"/>
        <v>No Impact</v>
      </c>
      <c r="V490" s="2">
        <f t="shared" si="162"/>
        <v>7.421187913011584E-3</v>
      </c>
      <c r="W490" s="2">
        <f t="shared" si="163"/>
        <v>1.0859784857096669E-2</v>
      </c>
      <c r="X490" s="2" t="s">
        <v>1170</v>
      </c>
      <c r="Y490" s="2">
        <f t="shared" si="164"/>
        <v>8.1639981588033372E-3</v>
      </c>
      <c r="Z490" s="2">
        <f t="shared" si="165"/>
        <v>1.3709270310750849E-2</v>
      </c>
      <c r="AA490" s="2" t="str">
        <f t="shared" si="166"/>
        <v>No Impact</v>
      </c>
      <c r="AB490" s="2">
        <f t="shared" si="167"/>
        <v>5.4004814147684743E-3</v>
      </c>
      <c r="AC490" s="2">
        <f t="shared" si="168"/>
        <v>1.1675139263695551E-2</v>
      </c>
      <c r="AD490" s="2" t="str">
        <f t="shared" si="169"/>
        <v>No Impact</v>
      </c>
      <c r="AE490" s="2">
        <f t="shared" si="170"/>
        <v>1.0110462787811965E-3</v>
      </c>
      <c r="AF490" s="2">
        <f t="shared" si="171"/>
        <v>6.8887585930840585E-3</v>
      </c>
      <c r="AG490" s="2" t="s">
        <v>1170</v>
      </c>
    </row>
    <row r="491" spans="1:33" x14ac:dyDescent="0.3">
      <c r="A491" s="2">
        <v>557725</v>
      </c>
      <c r="B491" s="2" t="s">
        <v>1008</v>
      </c>
      <c r="C491" s="2" t="s">
        <v>1006</v>
      </c>
      <c r="D491" s="2" t="s">
        <v>1009</v>
      </c>
      <c r="E491" s="3">
        <v>5.3</v>
      </c>
      <c r="F491" s="4">
        <f t="shared" si="153"/>
        <v>0.46666666666666656</v>
      </c>
      <c r="G491" s="2">
        <v>41.274428399999998</v>
      </c>
      <c r="H491" s="2">
        <f t="shared" si="154"/>
        <v>3.335036609192709E-2</v>
      </c>
      <c r="I491" s="2">
        <v>0.19999999999999879</v>
      </c>
      <c r="J491" s="4">
        <f t="shared" si="155"/>
        <v>3.0349013657055965E-3</v>
      </c>
      <c r="K491" s="2">
        <v>0</v>
      </c>
      <c r="L491" s="4">
        <f t="shared" si="156"/>
        <v>0</v>
      </c>
      <c r="M491" s="2">
        <v>33064</v>
      </c>
      <c r="N491" s="2">
        <f t="shared" si="157"/>
        <v>0.15530889081300006</v>
      </c>
      <c r="O491" s="2">
        <v>0.42470186700000001</v>
      </c>
      <c r="P491" s="2">
        <f t="shared" si="152"/>
        <v>0.41316089198708628</v>
      </c>
      <c r="Q491" s="2">
        <v>0.30969999999999998</v>
      </c>
      <c r="R491" s="2">
        <f t="shared" si="158"/>
        <v>0.73740590619571511</v>
      </c>
      <c r="S491" s="2">
        <f t="shared" si="159"/>
        <v>3.4188672555131865E-3</v>
      </c>
      <c r="T491" s="5">
        <f t="shared" si="160"/>
        <v>5.3466856360858094E-3</v>
      </c>
      <c r="U491" s="2" t="str">
        <f t="shared" si="161"/>
        <v>No Impact</v>
      </c>
      <c r="V491" s="2">
        <f t="shared" si="162"/>
        <v>4.382349483222284E-3</v>
      </c>
      <c r="W491" s="2">
        <f t="shared" si="163"/>
        <v>6.4129049303495896E-3</v>
      </c>
      <c r="X491" s="2" t="s">
        <v>1170</v>
      </c>
      <c r="Y491" s="2">
        <f t="shared" si="164"/>
        <v>2.4553850278040889E-3</v>
      </c>
      <c r="Z491" s="2">
        <f t="shared" si="165"/>
        <v>4.1231681350686134E-3</v>
      </c>
      <c r="AA491" s="2" t="str">
        <f t="shared" si="166"/>
        <v>No Impact</v>
      </c>
      <c r="AB491" s="2">
        <f t="shared" si="167"/>
        <v>2.5934841186452413E-3</v>
      </c>
      <c r="AC491" s="2">
        <f t="shared" si="168"/>
        <v>5.6067757553173647E-3</v>
      </c>
      <c r="AD491" s="2" t="str">
        <f t="shared" si="169"/>
        <v>No Impact</v>
      </c>
      <c r="AE491" s="2">
        <f t="shared" si="170"/>
        <v>9.2298940336061524E-4</v>
      </c>
      <c r="AF491" s="2">
        <f t="shared" si="171"/>
        <v>6.2887835276845662E-3</v>
      </c>
      <c r="AG491" s="2" t="s">
        <v>1170</v>
      </c>
    </row>
    <row r="492" spans="1:33" x14ac:dyDescent="0.3">
      <c r="A492" s="2">
        <v>557734</v>
      </c>
      <c r="B492" s="2" t="s">
        <v>1010</v>
      </c>
      <c r="C492" s="2" t="s">
        <v>1006</v>
      </c>
      <c r="D492" s="2" t="s">
        <v>1011</v>
      </c>
      <c r="E492" s="3">
        <v>5.3</v>
      </c>
      <c r="F492" s="4">
        <f t="shared" si="153"/>
        <v>0.46666666666666656</v>
      </c>
      <c r="G492" s="2">
        <v>41.274428399999998</v>
      </c>
      <c r="H492" s="2">
        <f t="shared" si="154"/>
        <v>3.335036609192709E-2</v>
      </c>
      <c r="I492" s="2">
        <v>0.10000000000000113</v>
      </c>
      <c r="J492" s="4">
        <f t="shared" si="155"/>
        <v>1.5174506828528247E-3</v>
      </c>
      <c r="K492" s="2">
        <v>0</v>
      </c>
      <c r="L492" s="4">
        <f t="shared" si="156"/>
        <v>0</v>
      </c>
      <c r="M492" s="2">
        <v>34418</v>
      </c>
      <c r="N492" s="2">
        <f t="shared" si="157"/>
        <v>0.16171523470213339</v>
      </c>
      <c r="O492" s="2">
        <v>0.478422764</v>
      </c>
      <c r="P492" s="2">
        <f t="shared" si="152"/>
        <v>0.47521874224094884</v>
      </c>
      <c r="Q492" s="2">
        <v>0.27</v>
      </c>
      <c r="R492" s="2">
        <f t="shared" si="158"/>
        <v>0.62246670526925318</v>
      </c>
      <c r="S492" s="2">
        <f t="shared" si="159"/>
        <v>3.1257014299104543E-3</v>
      </c>
      <c r="T492" s="5">
        <f t="shared" si="160"/>
        <v>4.8882105355349745E-3</v>
      </c>
      <c r="U492" s="2" t="str">
        <f t="shared" si="161"/>
        <v>No Impact</v>
      </c>
      <c r="V492" s="2">
        <f t="shared" si="162"/>
        <v>3.5449956545291097E-3</v>
      </c>
      <c r="W492" s="2">
        <f t="shared" si="163"/>
        <v>5.1875643871017313E-3</v>
      </c>
      <c r="X492" s="2" t="s">
        <v>1170</v>
      </c>
      <c r="Y492" s="2">
        <f t="shared" si="164"/>
        <v>2.706407205291798E-3</v>
      </c>
      <c r="Z492" s="2">
        <f t="shared" si="165"/>
        <v>4.5446933263085755E-3</v>
      </c>
      <c r="AA492" s="2" t="str">
        <f t="shared" si="166"/>
        <v>No Impact</v>
      </c>
      <c r="AB492" s="2">
        <f t="shared" si="167"/>
        <v>2.3750138757454927E-3</v>
      </c>
      <c r="AC492" s="2">
        <f t="shared" si="168"/>
        <v>5.1344714707673347E-3</v>
      </c>
      <c r="AD492" s="2" t="str">
        <f t="shared" si="169"/>
        <v>No Impact</v>
      </c>
      <c r="AE492" s="2">
        <f t="shared" si="170"/>
        <v>9.20980671636471E-4</v>
      </c>
      <c r="AF492" s="2">
        <f t="shared" si="171"/>
        <v>6.2750970444678134E-3</v>
      </c>
      <c r="AG492" s="2" t="s">
        <v>1170</v>
      </c>
    </row>
    <row r="493" spans="1:33" x14ac:dyDescent="0.3">
      <c r="A493" s="2">
        <v>557773</v>
      </c>
      <c r="B493" s="2" t="s">
        <v>1012</v>
      </c>
      <c r="C493" s="2" t="s">
        <v>1006</v>
      </c>
      <c r="D493" s="2" t="s">
        <v>1013</v>
      </c>
      <c r="E493" s="3">
        <v>5.5</v>
      </c>
      <c r="F493" s="4">
        <f t="shared" si="153"/>
        <v>0.51111111111111107</v>
      </c>
      <c r="G493" s="2">
        <v>41.274428399999998</v>
      </c>
      <c r="H493" s="2">
        <f t="shared" si="154"/>
        <v>3.335036609192709E-2</v>
      </c>
      <c r="I493" s="2">
        <v>2.0000000000000018</v>
      </c>
      <c r="J493" s="4">
        <f t="shared" si="155"/>
        <v>3.0349013657056178E-2</v>
      </c>
      <c r="K493" s="2">
        <v>0</v>
      </c>
      <c r="L493" s="4">
        <f t="shared" si="156"/>
        <v>0</v>
      </c>
      <c r="M493" s="2">
        <v>44101</v>
      </c>
      <c r="N493" s="2">
        <f t="shared" si="157"/>
        <v>0.20752958320913353</v>
      </c>
      <c r="O493" s="2">
        <v>0.61299686499999995</v>
      </c>
      <c r="P493" s="2">
        <f t="shared" si="152"/>
        <v>0.63067741613290162</v>
      </c>
      <c r="Q493" s="2">
        <v>0.30170000000000002</v>
      </c>
      <c r="R493" s="2">
        <f t="shared" si="158"/>
        <v>0.71424435437174305</v>
      </c>
      <c r="S493" s="2">
        <f t="shared" si="159"/>
        <v>7.6627666096222751E-3</v>
      </c>
      <c r="T493" s="5">
        <f t="shared" si="160"/>
        <v>1.1983619457081127E-2</v>
      </c>
      <c r="U493" s="2" t="str">
        <f t="shared" si="161"/>
        <v>No Impact</v>
      </c>
      <c r="V493" s="2">
        <f t="shared" si="162"/>
        <v>8.1388938893261972E-3</v>
      </c>
      <c r="W493" s="2">
        <f t="shared" si="163"/>
        <v>1.1910038884455784E-2</v>
      </c>
      <c r="X493" s="2" t="s">
        <v>1170</v>
      </c>
      <c r="Y493" s="2">
        <f t="shared" si="164"/>
        <v>7.1866393299183512E-3</v>
      </c>
      <c r="Z493" s="2">
        <f t="shared" si="165"/>
        <v>1.2068055293898478E-2</v>
      </c>
      <c r="AA493" s="2" t="str">
        <f t="shared" si="166"/>
        <v>No Impact</v>
      </c>
      <c r="AB493" s="2">
        <f t="shared" si="167"/>
        <v>5.8322926023338497E-3</v>
      </c>
      <c r="AC493" s="2">
        <f t="shared" si="168"/>
        <v>1.2608658956340146E-2</v>
      </c>
      <c r="AD493" s="2" t="str">
        <f t="shared" si="169"/>
        <v>No Impact</v>
      </c>
      <c r="AE493" s="2">
        <f t="shared" si="170"/>
        <v>2.3648226916976418E-3</v>
      </c>
      <c r="AF493" s="2">
        <f t="shared" si="171"/>
        <v>1.6112707183088125E-2</v>
      </c>
      <c r="AG493" s="2" t="s">
        <v>1170</v>
      </c>
    </row>
    <row r="494" spans="1:33" x14ac:dyDescent="0.3">
      <c r="A494" s="2">
        <v>557790</v>
      </c>
      <c r="B494" s="2" t="s">
        <v>1014</v>
      </c>
      <c r="C494" s="2" t="s">
        <v>1006</v>
      </c>
      <c r="D494" s="2" t="s">
        <v>1015</v>
      </c>
      <c r="E494" s="3">
        <v>5.4</v>
      </c>
      <c r="F494" s="4">
        <f t="shared" si="153"/>
        <v>0.48888888888888893</v>
      </c>
      <c r="G494" s="2">
        <v>37.846454400000006</v>
      </c>
      <c r="H494" s="2">
        <f t="shared" si="154"/>
        <v>5.6747249605733682E-3</v>
      </c>
      <c r="I494" s="2">
        <v>8.4999999999999964</v>
      </c>
      <c r="J494" s="4">
        <f t="shared" si="155"/>
        <v>0.12898330804248859</v>
      </c>
      <c r="K494" s="2">
        <v>0</v>
      </c>
      <c r="L494" s="4">
        <f t="shared" si="156"/>
        <v>0</v>
      </c>
      <c r="M494" s="2">
        <v>24227</v>
      </c>
      <c r="N494" s="2">
        <f t="shared" si="157"/>
        <v>0.11349732438148501</v>
      </c>
      <c r="O494" s="2">
        <v>0.30467203999999998</v>
      </c>
      <c r="P494" s="2">
        <f t="shared" si="152"/>
        <v>0.27450361993961769</v>
      </c>
      <c r="Q494" s="2">
        <v>0.28910000000000002</v>
      </c>
      <c r="R494" s="2">
        <f t="shared" si="158"/>
        <v>0.67776491024898677</v>
      </c>
      <c r="S494" s="2">
        <f t="shared" si="159"/>
        <v>1.0970840835306009E-2</v>
      </c>
      <c r="T494" s="5">
        <f t="shared" si="160"/>
        <v>1.7157038494350529E-2</v>
      </c>
      <c r="U494" s="2" t="str">
        <f t="shared" si="161"/>
        <v>No Impact</v>
      </c>
      <c r="V494" s="2">
        <f t="shared" si="162"/>
        <v>1.5616710451671456E-2</v>
      </c>
      <c r="W494" s="2">
        <f t="shared" si="163"/>
        <v>2.285269119562048E-2</v>
      </c>
      <c r="X494" s="2" t="s">
        <v>1170</v>
      </c>
      <c r="Y494" s="2">
        <f t="shared" si="164"/>
        <v>6.3249712189405649E-3</v>
      </c>
      <c r="Z494" s="2">
        <f t="shared" si="165"/>
        <v>1.0621112163612417E-2</v>
      </c>
      <c r="AA494" s="2" t="str">
        <f t="shared" si="166"/>
        <v>No Impact</v>
      </c>
      <c r="AB494" s="2">
        <f t="shared" si="167"/>
        <v>8.2786414635228622E-3</v>
      </c>
      <c r="AC494" s="2">
        <f t="shared" si="168"/>
        <v>1.7897347398792493E-2</v>
      </c>
      <c r="AD494" s="2" t="str">
        <f t="shared" si="169"/>
        <v>No Impact</v>
      </c>
      <c r="AE494" s="2">
        <f t="shared" si="170"/>
        <v>2.6151469707305225E-3</v>
      </c>
      <c r="AF494" s="2">
        <f t="shared" si="171"/>
        <v>1.7818290364032225E-2</v>
      </c>
      <c r="AG494" s="2" t="s">
        <v>1170</v>
      </c>
    </row>
    <row r="495" spans="1:33" x14ac:dyDescent="0.3">
      <c r="A495" s="2">
        <v>558503</v>
      </c>
      <c r="B495" s="2" t="s">
        <v>1016</v>
      </c>
      <c r="C495" s="2" t="s">
        <v>1017</v>
      </c>
      <c r="D495" s="2" t="s">
        <v>1018</v>
      </c>
      <c r="E495" s="3">
        <v>6.3</v>
      </c>
      <c r="F495" s="4">
        <f t="shared" si="153"/>
        <v>0.68888888888888877</v>
      </c>
      <c r="G495" s="2">
        <v>45.095914800000003</v>
      </c>
      <c r="H495" s="2">
        <f t="shared" si="154"/>
        <v>6.4203017306536422E-2</v>
      </c>
      <c r="I495" s="2">
        <v>0</v>
      </c>
      <c r="J495" s="4">
        <f t="shared" si="155"/>
        <v>0</v>
      </c>
      <c r="K495" s="2">
        <v>0</v>
      </c>
      <c r="L495" s="4">
        <f t="shared" si="156"/>
        <v>0</v>
      </c>
      <c r="M495" s="2">
        <v>34851</v>
      </c>
      <c r="N495" s="2">
        <f t="shared" si="157"/>
        <v>0.16376393994880603</v>
      </c>
      <c r="O495" s="2">
        <v>0.14470218800000001</v>
      </c>
      <c r="P495" s="2">
        <f t="shared" si="152"/>
        <v>8.9708025023386789E-2</v>
      </c>
      <c r="Q495" s="2">
        <v>0.2417</v>
      </c>
      <c r="R495" s="2">
        <f t="shared" si="158"/>
        <v>0.54053271569195138</v>
      </c>
      <c r="S495" s="2">
        <f t="shared" si="159"/>
        <v>4.8780825048914261E-3</v>
      </c>
      <c r="T495" s="5">
        <f t="shared" si="160"/>
        <v>7.6287178504769173E-3</v>
      </c>
      <c r="U495" s="2" t="str">
        <f t="shared" si="161"/>
        <v>No Impact</v>
      </c>
      <c r="V495" s="2">
        <f t="shared" si="162"/>
        <v>8.3674793246325853E-3</v>
      </c>
      <c r="W495" s="2">
        <f t="shared" si="163"/>
        <v>1.2244539058550661E-2</v>
      </c>
      <c r="X495" s="2" t="s">
        <v>1170</v>
      </c>
      <c r="Y495" s="2">
        <f t="shared" si="164"/>
        <v>1.3886856851502661E-3</v>
      </c>
      <c r="Z495" s="2">
        <f t="shared" si="165"/>
        <v>2.3319294130249753E-3</v>
      </c>
      <c r="AA495" s="2" t="str">
        <f t="shared" si="166"/>
        <v>No Impact</v>
      </c>
      <c r="AB495" s="2">
        <f t="shared" si="167"/>
        <v>4.2324999829677808E-3</v>
      </c>
      <c r="AC495" s="2">
        <f t="shared" si="168"/>
        <v>9.150115135958925E-3</v>
      </c>
      <c r="AD495" s="2" t="str">
        <f t="shared" si="169"/>
        <v>No Impact</v>
      </c>
      <c r="AE495" s="2">
        <f t="shared" si="170"/>
        <v>2.535075753717992E-3</v>
      </c>
      <c r="AF495" s="2">
        <f t="shared" si="171"/>
        <v>1.7272725540907901E-2</v>
      </c>
      <c r="AG495" s="2" t="s">
        <v>1170</v>
      </c>
    </row>
    <row r="496" spans="1:33" x14ac:dyDescent="0.3">
      <c r="A496" s="2">
        <v>558527</v>
      </c>
      <c r="B496" s="2" t="s">
        <v>1019</v>
      </c>
      <c r="C496" s="2" t="s">
        <v>1017</v>
      </c>
      <c r="D496" s="2" t="s">
        <v>1020</v>
      </c>
      <c r="E496" s="3">
        <v>6.3</v>
      </c>
      <c r="F496" s="4">
        <f t="shared" si="153"/>
        <v>0.68888888888888877</v>
      </c>
      <c r="G496" s="2">
        <v>45.095914800000003</v>
      </c>
      <c r="H496" s="2">
        <f t="shared" si="154"/>
        <v>6.4203017306536422E-2</v>
      </c>
      <c r="I496" s="2">
        <v>0</v>
      </c>
      <c r="J496" s="4">
        <f t="shared" si="155"/>
        <v>0</v>
      </c>
      <c r="K496" s="2">
        <v>0</v>
      </c>
      <c r="L496" s="4">
        <f t="shared" si="156"/>
        <v>0</v>
      </c>
      <c r="M496" s="2">
        <v>23068</v>
      </c>
      <c r="N496" s="2">
        <f t="shared" si="157"/>
        <v>0.1080136075664883</v>
      </c>
      <c r="O496" s="2">
        <v>0.758806651</v>
      </c>
      <c r="P496" s="2">
        <f t="shared" si="152"/>
        <v>0.79911544249600863</v>
      </c>
      <c r="Q496" s="2">
        <v>0.22950000000000001</v>
      </c>
      <c r="R496" s="2">
        <f t="shared" si="158"/>
        <v>0.50521134916039379</v>
      </c>
      <c r="S496" s="2">
        <f t="shared" si="159"/>
        <v>1.0095529044692577E-2</v>
      </c>
      <c r="T496" s="5">
        <f t="shared" si="160"/>
        <v>1.5788159088336005E-2</v>
      </c>
      <c r="U496" s="2" t="str">
        <f t="shared" si="161"/>
        <v>No Impact</v>
      </c>
      <c r="V496" s="2">
        <f t="shared" si="162"/>
        <v>7.8207024217910349E-3</v>
      </c>
      <c r="W496" s="2">
        <f t="shared" si="163"/>
        <v>1.1444413849582702E-2</v>
      </c>
      <c r="X496" s="2" t="s">
        <v>1170</v>
      </c>
      <c r="Y496" s="2">
        <f t="shared" si="164"/>
        <v>1.237035566759412E-2</v>
      </c>
      <c r="Z496" s="2">
        <f t="shared" si="165"/>
        <v>2.0772732475975293E-2</v>
      </c>
      <c r="AA496" s="2" t="str">
        <f t="shared" si="166"/>
        <v>No Impact</v>
      </c>
      <c r="AB496" s="2">
        <f t="shared" si="167"/>
        <v>7.0335725737218609E-3</v>
      </c>
      <c r="AC496" s="2">
        <f t="shared" si="168"/>
        <v>1.5205670200983882E-2</v>
      </c>
      <c r="AD496" s="2" t="str">
        <f t="shared" si="169"/>
        <v>No Impact</v>
      </c>
      <c r="AE496" s="2">
        <f t="shared" si="170"/>
        <v>1.6720572166193238E-3</v>
      </c>
      <c r="AF496" s="2">
        <f t="shared" si="171"/>
        <v>1.1392553200432986E-2</v>
      </c>
      <c r="AG496" s="2" t="s">
        <v>1170</v>
      </c>
    </row>
    <row r="497" spans="1:33" x14ac:dyDescent="0.3">
      <c r="A497" s="2">
        <v>558542</v>
      </c>
      <c r="B497" s="2" t="s">
        <v>1021</v>
      </c>
      <c r="C497" s="2" t="s">
        <v>1017</v>
      </c>
      <c r="D497" s="2" t="s">
        <v>1022</v>
      </c>
      <c r="E497" s="3">
        <v>6.4</v>
      </c>
      <c r="F497" s="4">
        <f t="shared" si="153"/>
        <v>0.71111111111111114</v>
      </c>
      <c r="G497" s="2">
        <v>40.757392799999998</v>
      </c>
      <c r="H497" s="2">
        <f t="shared" si="154"/>
        <v>2.9176095307570444E-2</v>
      </c>
      <c r="I497" s="2">
        <v>0</v>
      </c>
      <c r="J497" s="4">
        <f t="shared" si="155"/>
        <v>0</v>
      </c>
      <c r="K497" s="2">
        <v>0</v>
      </c>
      <c r="L497" s="4">
        <f t="shared" si="156"/>
        <v>0</v>
      </c>
      <c r="M497" s="2">
        <v>14370</v>
      </c>
      <c r="N497" s="2">
        <f t="shared" si="157"/>
        <v>6.6859708639101414E-2</v>
      </c>
      <c r="O497" s="2">
        <v>0.69438634099999996</v>
      </c>
      <c r="P497" s="2">
        <f t="shared" si="152"/>
        <v>0.72469773589502973</v>
      </c>
      <c r="Q497" s="2">
        <v>0.27250000000000002</v>
      </c>
      <c r="R497" s="2">
        <f t="shared" si="158"/>
        <v>0.62970469021424447</v>
      </c>
      <c r="S497" s="2">
        <f t="shared" si="159"/>
        <v>4.9175683534716753E-3</v>
      </c>
      <c r="T497" s="5">
        <f t="shared" si="160"/>
        <v>7.6904688351319174E-3</v>
      </c>
      <c r="U497" s="2" t="str">
        <f t="shared" si="161"/>
        <v>No Impact</v>
      </c>
      <c r="V497" s="2">
        <f t="shared" si="162"/>
        <v>4.5726673209317125E-3</v>
      </c>
      <c r="W497" s="2">
        <f t="shared" si="163"/>
        <v>6.6914062695177419E-3</v>
      </c>
      <c r="X497" s="2" t="s">
        <v>1170</v>
      </c>
      <c r="Y497" s="2">
        <f t="shared" si="164"/>
        <v>5.2624693860116381E-3</v>
      </c>
      <c r="Z497" s="2">
        <f t="shared" si="165"/>
        <v>8.8369220462268475E-3</v>
      </c>
      <c r="AA497" s="2" t="str">
        <f t="shared" si="166"/>
        <v>No Impact</v>
      </c>
      <c r="AB497" s="2">
        <f t="shared" si="167"/>
        <v>3.3491024782950126E-3</v>
      </c>
      <c r="AC497" s="2">
        <f t="shared" si="168"/>
        <v>7.2403244895082189E-3</v>
      </c>
      <c r="AD497" s="2" t="str">
        <f t="shared" si="169"/>
        <v>No Impact</v>
      </c>
      <c r="AE497" s="2">
        <f t="shared" si="170"/>
        <v>4.8550885761549137E-4</v>
      </c>
      <c r="AF497" s="2">
        <f t="shared" si="171"/>
        <v>3.308012091146765E-3</v>
      </c>
      <c r="AG497" s="2" t="s">
        <v>1170</v>
      </c>
    </row>
    <row r="498" spans="1:33" x14ac:dyDescent="0.3">
      <c r="A498" s="2">
        <v>558549</v>
      </c>
      <c r="B498" s="2" t="s">
        <v>1023</v>
      </c>
      <c r="C498" s="2" t="s">
        <v>1017</v>
      </c>
      <c r="D498" s="2" t="s">
        <v>1024</v>
      </c>
      <c r="E498" s="3">
        <v>6.3</v>
      </c>
      <c r="F498" s="4">
        <f t="shared" si="153"/>
        <v>0.68888888888888877</v>
      </c>
      <c r="G498" s="2">
        <v>45.095914800000003</v>
      </c>
      <c r="H498" s="2">
        <f t="shared" si="154"/>
        <v>6.4203017306536422E-2</v>
      </c>
      <c r="I498" s="2">
        <v>0</v>
      </c>
      <c r="J498" s="4">
        <f t="shared" si="155"/>
        <v>0</v>
      </c>
      <c r="K498" s="2">
        <v>0</v>
      </c>
      <c r="L498" s="4">
        <f t="shared" si="156"/>
        <v>0</v>
      </c>
      <c r="M498" s="2">
        <v>70957</v>
      </c>
      <c r="N498" s="2">
        <f t="shared" si="157"/>
        <v>0.33459662271176654</v>
      </c>
      <c r="O498" s="2">
        <v>0.71655502900000001</v>
      </c>
      <c r="P498" s="2">
        <f t="shared" si="152"/>
        <v>0.75030678557691799</v>
      </c>
      <c r="Q498" s="2">
        <v>0.2737</v>
      </c>
      <c r="R498" s="2">
        <f t="shared" si="158"/>
        <v>0.63317892298784018</v>
      </c>
      <c r="S498" s="2">
        <f t="shared" si="159"/>
        <v>1.0708221469556325E-2</v>
      </c>
      <c r="T498" s="5">
        <f t="shared" si="160"/>
        <v>1.6746334279863256E-2</v>
      </c>
      <c r="U498" s="2" t="str">
        <f t="shared" si="161"/>
        <v>No Impact</v>
      </c>
      <c r="V498" s="2">
        <f t="shared" si="162"/>
        <v>9.8016482501186199E-3</v>
      </c>
      <c r="W498" s="2">
        <f t="shared" si="163"/>
        <v>1.4343228131253506E-2</v>
      </c>
      <c r="X498" s="2" t="s">
        <v>1170</v>
      </c>
      <c r="Y498" s="2">
        <f t="shared" si="164"/>
        <v>1.1614794688994028E-2</v>
      </c>
      <c r="Z498" s="2">
        <f t="shared" si="165"/>
        <v>1.9503968141344138E-2</v>
      </c>
      <c r="AA498" s="2" t="str">
        <f t="shared" si="166"/>
        <v>No Impact</v>
      </c>
      <c r="AB498" s="2">
        <f t="shared" si="167"/>
        <v>8.7278669209298956E-3</v>
      </c>
      <c r="AC498" s="2">
        <f t="shared" si="168"/>
        <v>1.886851448061631E-2</v>
      </c>
      <c r="AD498" s="2" t="str">
        <f t="shared" si="169"/>
        <v>No Impact</v>
      </c>
      <c r="AE498" s="2">
        <f t="shared" si="170"/>
        <v>5.1795760762576261E-3</v>
      </c>
      <c r="AF498" s="2">
        <f t="shared" si="171"/>
        <v>3.5291014815726482E-2</v>
      </c>
      <c r="AG498" s="2" t="s">
        <v>1169</v>
      </c>
    </row>
    <row r="499" spans="1:33" x14ac:dyDescent="0.3">
      <c r="A499" s="2">
        <v>558558</v>
      </c>
      <c r="B499" s="2" t="s">
        <v>1025</v>
      </c>
      <c r="C499" s="2" t="s">
        <v>1017</v>
      </c>
      <c r="D499" s="2" t="s">
        <v>1026</v>
      </c>
      <c r="E499" s="3">
        <v>6.3</v>
      </c>
      <c r="F499" s="4">
        <f t="shared" si="153"/>
        <v>0.68888888888888877</v>
      </c>
      <c r="G499" s="2">
        <v>40.757392799999998</v>
      </c>
      <c r="H499" s="2">
        <f t="shared" si="154"/>
        <v>2.9176095307570444E-2</v>
      </c>
      <c r="I499" s="2">
        <v>0</v>
      </c>
      <c r="J499" s="4">
        <f t="shared" si="155"/>
        <v>0</v>
      </c>
      <c r="K499" s="2">
        <v>0</v>
      </c>
      <c r="L499" s="4">
        <f t="shared" si="156"/>
        <v>0</v>
      </c>
      <c r="M499" s="2">
        <v>23688</v>
      </c>
      <c r="N499" s="2">
        <f t="shared" si="157"/>
        <v>0.11094708852015349</v>
      </c>
      <c r="O499" s="2">
        <v>0.65789067400000001</v>
      </c>
      <c r="P499" s="2">
        <f t="shared" si="152"/>
        <v>0.68253830140902627</v>
      </c>
      <c r="Q499" s="2">
        <v>0.26529999999999998</v>
      </c>
      <c r="R499" s="2">
        <f t="shared" si="158"/>
        <v>0.60885929357266932</v>
      </c>
      <c r="S499" s="2">
        <f t="shared" si="159"/>
        <v>4.5422849058445796E-3</v>
      </c>
      <c r="T499" s="5">
        <f t="shared" si="160"/>
        <v>7.1035719277855198E-3</v>
      </c>
      <c r="U499" s="2" t="str">
        <f t="shared" si="161"/>
        <v>No Impact</v>
      </c>
      <c r="V499" s="2">
        <f t="shared" si="162"/>
        <v>4.2831307565158192E-3</v>
      </c>
      <c r="W499" s="2">
        <f t="shared" si="163"/>
        <v>6.267713346676293E-3</v>
      </c>
      <c r="X499" s="2" t="s">
        <v>1170</v>
      </c>
      <c r="Y499" s="2">
        <f t="shared" si="164"/>
        <v>4.8014390551733401E-3</v>
      </c>
      <c r="Z499" s="2">
        <f t="shared" si="165"/>
        <v>8.062743842854549E-3</v>
      </c>
      <c r="AA499" s="2" t="str">
        <f t="shared" si="166"/>
        <v>No Impact</v>
      </c>
      <c r="AB499" s="2">
        <f t="shared" si="167"/>
        <v>3.2126945533819075E-3</v>
      </c>
      <c r="AC499" s="2">
        <f t="shared" si="168"/>
        <v>6.9454282760563844E-3</v>
      </c>
      <c r="AD499" s="2" t="str">
        <f t="shared" si="169"/>
        <v>No Impact</v>
      </c>
      <c r="AE499" s="2">
        <f t="shared" si="170"/>
        <v>7.8047734871248338E-4</v>
      </c>
      <c r="AF499" s="2">
        <f t="shared" si="171"/>
        <v>5.3177783801666425E-3</v>
      </c>
      <c r="AG499" s="2" t="s">
        <v>1170</v>
      </c>
    </row>
    <row r="500" spans="1:33" x14ac:dyDescent="0.3">
      <c r="A500" s="2">
        <v>558573</v>
      </c>
      <c r="B500" s="2" t="s">
        <v>1027</v>
      </c>
      <c r="C500" s="2" t="s">
        <v>1017</v>
      </c>
      <c r="D500" s="2" t="s">
        <v>1028</v>
      </c>
      <c r="E500" s="3">
        <v>6.3</v>
      </c>
      <c r="F500" s="4">
        <f t="shared" si="153"/>
        <v>0.68888888888888877</v>
      </c>
      <c r="G500" s="2">
        <v>40.757392799999998</v>
      </c>
      <c r="H500" s="2">
        <f t="shared" si="154"/>
        <v>2.9176095307570444E-2</v>
      </c>
      <c r="I500" s="2">
        <v>0</v>
      </c>
      <c r="J500" s="4">
        <f t="shared" si="155"/>
        <v>0</v>
      </c>
      <c r="K500" s="2">
        <v>0</v>
      </c>
      <c r="L500" s="4">
        <f t="shared" si="156"/>
        <v>0</v>
      </c>
      <c r="M500" s="2">
        <v>13223</v>
      </c>
      <c r="N500" s="2">
        <f t="shared" si="157"/>
        <v>6.1432768874820798E-2</v>
      </c>
      <c r="O500" s="2">
        <v>0.75639385299999995</v>
      </c>
      <c r="P500" s="2">
        <f t="shared" si="152"/>
        <v>0.79632820204883537</v>
      </c>
      <c r="Q500" s="2">
        <v>0.27339999999999998</v>
      </c>
      <c r="R500" s="2">
        <f t="shared" si="158"/>
        <v>0.63231036479444125</v>
      </c>
      <c r="S500" s="2">
        <f t="shared" si="159"/>
        <v>5.0250081177916611E-3</v>
      </c>
      <c r="T500" s="5">
        <f t="shared" si="160"/>
        <v>7.8584913413312363E-3</v>
      </c>
      <c r="U500" s="2" t="str">
        <f t="shared" si="161"/>
        <v>No Impact</v>
      </c>
      <c r="V500" s="2">
        <f t="shared" si="162"/>
        <v>4.448101555982192E-3</v>
      </c>
      <c r="W500" s="2">
        <f t="shared" si="163"/>
        <v>6.509123133210188E-3</v>
      </c>
      <c r="X500" s="2" t="s">
        <v>1170</v>
      </c>
      <c r="Y500" s="2">
        <f t="shared" si="164"/>
        <v>5.6019146796011301E-3</v>
      </c>
      <c r="Z500" s="2">
        <f t="shared" si="165"/>
        <v>9.4069304165144557E-3</v>
      </c>
      <c r="AA500" s="2" t="str">
        <f t="shared" si="166"/>
        <v>No Impact</v>
      </c>
      <c r="AB500" s="2">
        <f t="shared" si="167"/>
        <v>3.3886659194532097E-3</v>
      </c>
      <c r="AC500" s="2">
        <f t="shared" si="168"/>
        <v>7.3258555097631562E-3</v>
      </c>
      <c r="AD500" s="2" t="str">
        <f t="shared" si="169"/>
        <v>No Impact</v>
      </c>
      <c r="AE500" s="2">
        <f t="shared" si="170"/>
        <v>4.3215991708315426E-4</v>
      </c>
      <c r="AF500" s="2">
        <f t="shared" si="171"/>
        <v>2.9445193606586076E-3</v>
      </c>
      <c r="AG500" s="2" t="s">
        <v>1170</v>
      </c>
    </row>
    <row r="501" spans="1:33" x14ac:dyDescent="0.3">
      <c r="A501" s="2">
        <v>558576</v>
      </c>
      <c r="B501" s="2" t="s">
        <v>1029</v>
      </c>
      <c r="C501" s="2" t="s">
        <v>1017</v>
      </c>
      <c r="D501" s="2" t="s">
        <v>1161</v>
      </c>
      <c r="E501" s="3">
        <v>6.3</v>
      </c>
      <c r="F501" s="4">
        <f t="shared" si="153"/>
        <v>0.68888888888888877</v>
      </c>
      <c r="G501" s="2">
        <v>38.741047200000004</v>
      </c>
      <c r="H501" s="2">
        <f t="shared" si="154"/>
        <v>1.2897192018810361E-2</v>
      </c>
      <c r="I501" s="2">
        <v>0</v>
      </c>
      <c r="J501" s="4">
        <f t="shared" si="155"/>
        <v>0</v>
      </c>
      <c r="K501" s="2">
        <v>0</v>
      </c>
      <c r="L501" s="4">
        <f t="shared" si="156"/>
        <v>0</v>
      </c>
      <c r="M501" s="2">
        <v>36763</v>
      </c>
      <c r="N501" s="2">
        <f t="shared" si="157"/>
        <v>0.17281041669623803</v>
      </c>
      <c r="O501" s="2">
        <v>0.77634236400000001</v>
      </c>
      <c r="P501" s="2">
        <f t="shared" si="152"/>
        <v>0.81937252516253067</v>
      </c>
      <c r="Q501" s="2">
        <v>0.2681</v>
      </c>
      <c r="R501" s="2">
        <f t="shared" si="158"/>
        <v>0.61696583671105976</v>
      </c>
      <c r="S501" s="2">
        <f t="shared" si="159"/>
        <v>2.2332593164353255E-3</v>
      </c>
      <c r="T501" s="5">
        <f t="shared" si="160"/>
        <v>3.4925414227722751E-3</v>
      </c>
      <c r="U501" s="2" t="str">
        <f t="shared" si="161"/>
        <v>No Impact</v>
      </c>
      <c r="V501" s="2">
        <f t="shared" si="162"/>
        <v>1.9185516996983911E-3</v>
      </c>
      <c r="W501" s="2">
        <f t="shared" si="163"/>
        <v>2.8075099216139658E-3</v>
      </c>
      <c r="X501" s="2" t="s">
        <v>1170</v>
      </c>
      <c r="Y501" s="2">
        <f t="shared" si="164"/>
        <v>2.5479669331722596E-3</v>
      </c>
      <c r="Z501" s="2">
        <f t="shared" si="165"/>
        <v>4.2786348980305795E-3</v>
      </c>
      <c r="AA501" s="2" t="str">
        <f t="shared" si="166"/>
        <v>No Impact</v>
      </c>
      <c r="AB501" s="2">
        <f t="shared" si="167"/>
        <v>1.6239665250619858E-3</v>
      </c>
      <c r="AC501" s="2">
        <f t="shared" si="168"/>
        <v>3.5108046641599737E-3</v>
      </c>
      <c r="AD501" s="2" t="str">
        <f t="shared" si="169"/>
        <v>No Impact</v>
      </c>
      <c r="AE501" s="2">
        <f t="shared" si="170"/>
        <v>5.373810006167744E-4</v>
      </c>
      <c r="AF501" s="2">
        <f t="shared" si="171"/>
        <v>3.6614426692925407E-3</v>
      </c>
      <c r="AG501" s="2" t="s">
        <v>1170</v>
      </c>
    </row>
    <row r="502" spans="1:33" x14ac:dyDescent="0.3">
      <c r="A502" s="2">
        <v>558592</v>
      </c>
      <c r="B502" s="2" t="s">
        <v>1030</v>
      </c>
      <c r="C502" s="2" t="s">
        <v>1017</v>
      </c>
      <c r="D502" s="2" t="s">
        <v>1031</v>
      </c>
      <c r="E502" s="3">
        <v>6</v>
      </c>
      <c r="F502" s="4">
        <f t="shared" si="153"/>
        <v>0.62222222222222223</v>
      </c>
      <c r="G502" s="2">
        <v>45.095914800000003</v>
      </c>
      <c r="H502" s="2">
        <f t="shared" si="154"/>
        <v>6.4203017306536422E-2</v>
      </c>
      <c r="I502" s="2">
        <v>0</v>
      </c>
      <c r="J502" s="4">
        <f t="shared" si="155"/>
        <v>0</v>
      </c>
      <c r="K502" s="2">
        <v>0</v>
      </c>
      <c r="L502" s="4">
        <f t="shared" si="156"/>
        <v>0</v>
      </c>
      <c r="M502" s="2">
        <v>16160</v>
      </c>
      <c r="N502" s="2">
        <f t="shared" si="157"/>
        <v>7.5328952037586411E-2</v>
      </c>
      <c r="O502" s="2">
        <v>0.79946117699999997</v>
      </c>
      <c r="P502" s="2">
        <f t="shared" si="152"/>
        <v>0.8460791498713669</v>
      </c>
      <c r="Q502" s="2">
        <v>0.2752</v>
      </c>
      <c r="R502" s="2">
        <f t="shared" si="158"/>
        <v>0.63752171395483503</v>
      </c>
      <c r="S502" s="2">
        <f t="shared" si="159"/>
        <v>1.0371846544166834E-2</v>
      </c>
      <c r="T502" s="5">
        <f t="shared" si="160"/>
        <v>1.6220285490159816E-2</v>
      </c>
      <c r="U502" s="2" t="str">
        <f t="shared" si="161"/>
        <v>No Impact</v>
      </c>
      <c r="V502" s="2">
        <f t="shared" si="162"/>
        <v>8.9138225070329643E-3</v>
      </c>
      <c r="W502" s="2">
        <f t="shared" si="163"/>
        <v>1.3044029583323251E-2</v>
      </c>
      <c r="X502" s="2" t="s">
        <v>1170</v>
      </c>
      <c r="Y502" s="2">
        <f t="shared" si="164"/>
        <v>1.1829870581300703E-2</v>
      </c>
      <c r="Z502" s="2">
        <f t="shared" si="165"/>
        <v>1.9865131077396334E-2</v>
      </c>
      <c r="AA502" s="2" t="str">
        <f t="shared" si="166"/>
        <v>No Impact</v>
      </c>
      <c r="AB502" s="2">
        <f t="shared" si="167"/>
        <v>7.0374360922726108E-3</v>
      </c>
      <c r="AC502" s="2">
        <f t="shared" si="168"/>
        <v>1.5214022626196293E-2</v>
      </c>
      <c r="AD502" s="2" t="str">
        <f t="shared" si="169"/>
        <v>No Impact</v>
      </c>
      <c r="AE502" s="2">
        <f t="shared" si="170"/>
        <v>1.0532486869167476E-3</v>
      </c>
      <c r="AF502" s="2">
        <f t="shared" si="171"/>
        <v>7.1763044827173996E-3</v>
      </c>
      <c r="AG502" s="2" t="s">
        <v>1170</v>
      </c>
    </row>
    <row r="503" spans="1:33" x14ac:dyDescent="0.3">
      <c r="A503" s="2">
        <v>559408</v>
      </c>
      <c r="B503" s="2" t="s">
        <v>1032</v>
      </c>
      <c r="C503" s="2" t="s">
        <v>542</v>
      </c>
      <c r="D503" s="2" t="s">
        <v>1162</v>
      </c>
      <c r="E503" s="3">
        <v>5.5</v>
      </c>
      <c r="F503" s="4">
        <f t="shared" si="153"/>
        <v>0.51111111111111107</v>
      </c>
      <c r="G503" s="2">
        <v>42.255050399999995</v>
      </c>
      <c r="H503" s="2">
        <f t="shared" si="154"/>
        <v>4.1267387212131128E-2</v>
      </c>
      <c r="I503" s="2">
        <v>0.80000000000000038</v>
      </c>
      <c r="J503" s="4">
        <f t="shared" si="155"/>
        <v>1.2139605462822466E-2</v>
      </c>
      <c r="K503" s="2">
        <v>0</v>
      </c>
      <c r="L503" s="4">
        <f t="shared" si="156"/>
        <v>0</v>
      </c>
      <c r="M503" s="2">
        <v>24763</v>
      </c>
      <c r="N503" s="2">
        <f t="shared" si="157"/>
        <v>0.1160333659801375</v>
      </c>
      <c r="O503" s="2">
        <v>0.71686328200000005</v>
      </c>
      <c r="P503" s="2">
        <f t="shared" si="152"/>
        <v>0.75066287640157991</v>
      </c>
      <c r="Q503" s="2">
        <v>0.29780000000000001</v>
      </c>
      <c r="R503" s="2">
        <f t="shared" si="158"/>
        <v>0.70295309785755655</v>
      </c>
      <c r="S503" s="2">
        <f t="shared" si="159"/>
        <v>6.9438636044455385E-3</v>
      </c>
      <c r="T503" s="5">
        <f t="shared" si="160"/>
        <v>1.0859344051149808E-2</v>
      </c>
      <c r="U503" s="2" t="str">
        <f t="shared" si="161"/>
        <v>No Impact</v>
      </c>
      <c r="V503" s="2">
        <f t="shared" si="162"/>
        <v>6.71595595849603E-3</v>
      </c>
      <c r="W503" s="2">
        <f t="shared" si="163"/>
        <v>9.827784671929447E-3</v>
      </c>
      <c r="X503" s="2" t="s">
        <v>1170</v>
      </c>
      <c r="Y503" s="2">
        <f t="shared" si="164"/>
        <v>7.1717712503950454E-3</v>
      </c>
      <c r="Z503" s="2">
        <f t="shared" si="165"/>
        <v>1.204308829645165E-2</v>
      </c>
      <c r="AA503" s="2" t="str">
        <f t="shared" si="166"/>
        <v>No Impact</v>
      </c>
      <c r="AB503" s="2">
        <f t="shared" si="167"/>
        <v>4.89011658581847E-3</v>
      </c>
      <c r="AC503" s="2">
        <f t="shared" si="168"/>
        <v>1.057179680296811E-2</v>
      </c>
      <c r="AD503" s="2" t="str">
        <f t="shared" si="169"/>
        <v>No Impact</v>
      </c>
      <c r="AE503" s="2">
        <f t="shared" si="170"/>
        <v>1.1085732149324192E-3</v>
      </c>
      <c r="AF503" s="2">
        <f t="shared" si="171"/>
        <v>7.5532578683089168E-3</v>
      </c>
      <c r="AG503" s="2" t="s">
        <v>1170</v>
      </c>
    </row>
    <row r="504" spans="1:33" x14ac:dyDescent="0.3">
      <c r="A504" s="2">
        <v>559451</v>
      </c>
      <c r="B504" s="2" t="s">
        <v>1035</v>
      </c>
      <c r="C504" s="2" t="s">
        <v>1033</v>
      </c>
      <c r="D504" s="2" t="s">
        <v>1036</v>
      </c>
      <c r="E504" s="3">
        <v>5.6</v>
      </c>
      <c r="F504" s="4">
        <f t="shared" si="153"/>
        <v>0.53333333333333321</v>
      </c>
      <c r="G504" s="2">
        <v>40.223016000000001</v>
      </c>
      <c r="H504" s="2">
        <f t="shared" si="154"/>
        <v>2.4861820886083838E-2</v>
      </c>
      <c r="I504" s="2">
        <v>9.9999999999999395E-2</v>
      </c>
      <c r="J504" s="4">
        <f t="shared" si="155"/>
        <v>1.5174506828527982E-3</v>
      </c>
      <c r="K504" s="2">
        <v>0</v>
      </c>
      <c r="L504" s="4">
        <f t="shared" si="156"/>
        <v>0</v>
      </c>
      <c r="M504" s="2">
        <v>7570</v>
      </c>
      <c r="N504" s="2">
        <f t="shared" si="157"/>
        <v>3.4686046566644431E-2</v>
      </c>
      <c r="O504" s="2">
        <v>0.45161105200000001</v>
      </c>
      <c r="P504" s="2">
        <f t="shared" si="152"/>
        <v>0.44424611703802847</v>
      </c>
      <c r="Q504" s="2">
        <v>0.24149999999999999</v>
      </c>
      <c r="R504" s="2">
        <f t="shared" si="158"/>
        <v>0.5399536768963521</v>
      </c>
      <c r="S504" s="2">
        <f t="shared" si="159"/>
        <v>2.4231642066134063E-3</v>
      </c>
      <c r="T504" s="5">
        <f t="shared" si="160"/>
        <v>3.7895291887933887E-3</v>
      </c>
      <c r="U504" s="2" t="str">
        <f t="shared" si="161"/>
        <v>No Impact</v>
      </c>
      <c r="V504" s="2">
        <f t="shared" si="162"/>
        <v>2.658802473132351E-3</v>
      </c>
      <c r="W504" s="2">
        <f t="shared" si="163"/>
        <v>3.8907548460144761E-3</v>
      </c>
      <c r="X504" s="2" t="s">
        <v>1170</v>
      </c>
      <c r="Y504" s="2">
        <f t="shared" si="164"/>
        <v>2.1875259400944615E-3</v>
      </c>
      <c r="Z504" s="2">
        <f t="shared" si="165"/>
        <v>3.6733698172379463E-3</v>
      </c>
      <c r="AA504" s="2" t="str">
        <f t="shared" si="166"/>
        <v>No Impact</v>
      </c>
      <c r="AB504" s="2">
        <f t="shared" si="167"/>
        <v>1.6466181669042353E-3</v>
      </c>
      <c r="AC504" s="2">
        <f t="shared" si="168"/>
        <v>3.5597745712383326E-3</v>
      </c>
      <c r="AD504" s="2" t="str">
        <f t="shared" si="169"/>
        <v>No Impact</v>
      </c>
      <c r="AE504" s="2">
        <f t="shared" si="170"/>
        <v>1.7079862651306848E-4</v>
      </c>
      <c r="AF504" s="2">
        <f t="shared" si="171"/>
        <v>1.1637355586701927E-3</v>
      </c>
      <c r="AG504" s="2" t="s">
        <v>1170</v>
      </c>
    </row>
    <row r="505" spans="1:33" x14ac:dyDescent="0.3">
      <c r="A505" s="2">
        <v>559482</v>
      </c>
      <c r="B505" s="2" t="s">
        <v>1037</v>
      </c>
      <c r="C505" s="2" t="s">
        <v>1033</v>
      </c>
      <c r="D505" s="2" t="s">
        <v>1161</v>
      </c>
      <c r="E505" s="3">
        <v>5.6</v>
      </c>
      <c r="F505" s="4">
        <f t="shared" si="153"/>
        <v>0.53333333333333321</v>
      </c>
      <c r="G505" s="2">
        <v>40.223016000000001</v>
      </c>
      <c r="H505" s="2">
        <f t="shared" si="154"/>
        <v>2.4861820886083838E-2</v>
      </c>
      <c r="I505" s="2">
        <v>0</v>
      </c>
      <c r="J505" s="4">
        <f t="shared" si="155"/>
        <v>0</v>
      </c>
      <c r="K505" s="2">
        <v>0</v>
      </c>
      <c r="L505" s="4">
        <f t="shared" si="156"/>
        <v>0</v>
      </c>
      <c r="M505" s="2">
        <v>41019</v>
      </c>
      <c r="N505" s="2">
        <f t="shared" si="157"/>
        <v>0.19294734401688171</v>
      </c>
      <c r="O505" s="2">
        <v>0.58979496399999998</v>
      </c>
      <c r="P505" s="2">
        <f t="shared" si="152"/>
        <v>0.60387480898613444</v>
      </c>
      <c r="Q505" s="2">
        <v>0.2402</v>
      </c>
      <c r="R505" s="2">
        <f t="shared" si="158"/>
        <v>0.53618992472495663</v>
      </c>
      <c r="S505" s="2">
        <f t="shared" si="159"/>
        <v>2.6454479527528271E-3</v>
      </c>
      <c r="T505" s="5">
        <f t="shared" si="160"/>
        <v>4.1371534818110452E-3</v>
      </c>
      <c r="U505" s="2" t="str">
        <f t="shared" si="161"/>
        <v>No Impact</v>
      </c>
      <c r="V505" s="2">
        <f t="shared" si="162"/>
        <v>2.4883894689611335E-3</v>
      </c>
      <c r="W505" s="2">
        <f t="shared" si="163"/>
        <v>3.6413812169077135E-3</v>
      </c>
      <c r="X505" s="2" t="s">
        <v>1170</v>
      </c>
      <c r="Y505" s="2">
        <f t="shared" si="164"/>
        <v>2.8025064365445208E-3</v>
      </c>
      <c r="Z505" s="2">
        <f t="shared" si="165"/>
        <v>4.7060665055122372E-3</v>
      </c>
      <c r="AA505" s="2" t="str">
        <f t="shared" si="166"/>
        <v>No Impact</v>
      </c>
      <c r="AB505" s="2">
        <f t="shared" si="167"/>
        <v>2.025093702516116E-3</v>
      </c>
      <c r="AC505" s="2">
        <f t="shared" si="168"/>
        <v>4.3779895129816161E-3</v>
      </c>
      <c r="AD505" s="2" t="str">
        <f t="shared" si="169"/>
        <v>No Impact</v>
      </c>
      <c r="AE505" s="2">
        <f t="shared" si="170"/>
        <v>8.9544416404675157E-4</v>
      </c>
      <c r="AF505" s="2">
        <f t="shared" si="171"/>
        <v>6.1011041820361366E-3</v>
      </c>
      <c r="AG505" s="2" t="s">
        <v>1170</v>
      </c>
    </row>
    <row r="506" spans="1:33" x14ac:dyDescent="0.3">
      <c r="A506" s="2">
        <v>559486</v>
      </c>
      <c r="B506" s="2" t="s">
        <v>1038</v>
      </c>
      <c r="C506" s="2" t="s">
        <v>1033</v>
      </c>
      <c r="D506" s="2" t="s">
        <v>1039</v>
      </c>
      <c r="E506" s="3">
        <v>5.7</v>
      </c>
      <c r="F506" s="4">
        <f t="shared" si="153"/>
        <v>0.55555555555555558</v>
      </c>
      <c r="G506" s="2">
        <v>40.223016000000001</v>
      </c>
      <c r="H506" s="2">
        <f t="shared" si="154"/>
        <v>2.4861820886083838E-2</v>
      </c>
      <c r="I506" s="2">
        <v>0</v>
      </c>
      <c r="J506" s="4">
        <f t="shared" si="155"/>
        <v>0</v>
      </c>
      <c r="K506" s="2">
        <v>0</v>
      </c>
      <c r="L506" s="4">
        <f t="shared" si="156"/>
        <v>0</v>
      </c>
      <c r="M506" s="2">
        <v>19234</v>
      </c>
      <c r="N506" s="2">
        <f t="shared" si="157"/>
        <v>8.9873339862694163E-2</v>
      </c>
      <c r="O506" s="2">
        <v>0.69294752999999998</v>
      </c>
      <c r="P506" s="2">
        <f t="shared" si="152"/>
        <v>0.72303563562180428</v>
      </c>
      <c r="Q506" s="2">
        <v>0.2641</v>
      </c>
      <c r="R506" s="2">
        <f t="shared" si="158"/>
        <v>0.60538506079907362</v>
      </c>
      <c r="S506" s="2">
        <f t="shared" si="159"/>
        <v>3.2109541932010877E-3</v>
      </c>
      <c r="T506" s="5">
        <f t="shared" si="160"/>
        <v>5.0215353156028777E-3</v>
      </c>
      <c r="U506" s="2" t="str">
        <f t="shared" si="161"/>
        <v>No Impact</v>
      </c>
      <c r="V506" s="2">
        <f t="shared" si="162"/>
        <v>2.9265784622467443E-3</v>
      </c>
      <c r="W506" s="2">
        <f t="shared" si="163"/>
        <v>4.2826044617047063E-3</v>
      </c>
      <c r="X506" s="2" t="s">
        <v>1170</v>
      </c>
      <c r="Y506" s="2">
        <f t="shared" si="164"/>
        <v>3.4953299241554316E-3</v>
      </c>
      <c r="Z506" s="2">
        <f t="shared" si="165"/>
        <v>5.8694798582030628E-3</v>
      </c>
      <c r="AA506" s="2" t="str">
        <f t="shared" si="166"/>
        <v>No Impact</v>
      </c>
      <c r="AB506" s="2">
        <f t="shared" si="167"/>
        <v>2.2249657849037143E-3</v>
      </c>
      <c r="AC506" s="2">
        <f t="shared" si="168"/>
        <v>4.8100869905173442E-3</v>
      </c>
      <c r="AD506" s="2" t="str">
        <f t="shared" si="169"/>
        <v>No Impact</v>
      </c>
      <c r="AE506" s="2">
        <f t="shared" si="170"/>
        <v>4.344695596306413E-4</v>
      </c>
      <c r="AF506" s="2">
        <f t="shared" si="171"/>
        <v>2.9602560982144137E-3</v>
      </c>
      <c r="AG506" s="2" t="s">
        <v>1170</v>
      </c>
    </row>
    <row r="507" spans="1:33" x14ac:dyDescent="0.3">
      <c r="A507" s="2">
        <v>559494</v>
      </c>
      <c r="B507" s="2" t="s">
        <v>1040</v>
      </c>
      <c r="C507" s="2" t="s">
        <v>1033</v>
      </c>
      <c r="D507" s="2" t="s">
        <v>1041</v>
      </c>
      <c r="E507" s="3">
        <v>5.7</v>
      </c>
      <c r="F507" s="4">
        <f t="shared" si="153"/>
        <v>0.55555555555555558</v>
      </c>
      <c r="G507" s="2">
        <v>42.255050399999995</v>
      </c>
      <c r="H507" s="2">
        <f t="shared" si="154"/>
        <v>4.1267387212131128E-2</v>
      </c>
      <c r="I507" s="2">
        <v>0.40000000000000102</v>
      </c>
      <c r="J507" s="4">
        <f t="shared" si="155"/>
        <v>6.0698027314112458E-3</v>
      </c>
      <c r="K507" s="2">
        <v>0</v>
      </c>
      <c r="L507" s="4">
        <f t="shared" si="156"/>
        <v>0</v>
      </c>
      <c r="M507" s="2">
        <v>95551</v>
      </c>
      <c r="N507" s="2">
        <f t="shared" si="157"/>
        <v>0.45096118815441466</v>
      </c>
      <c r="O507" s="2">
        <v>0.57879135599999998</v>
      </c>
      <c r="P507" s="2">
        <f t="shared" si="152"/>
        <v>0.59116354957592387</v>
      </c>
      <c r="Q507" s="2">
        <v>0.28339999999999999</v>
      </c>
      <c r="R507" s="2">
        <f t="shared" si="158"/>
        <v>0.66126230457440649</v>
      </c>
      <c r="S507" s="2">
        <f t="shared" si="159"/>
        <v>5.7639478310669776E-3</v>
      </c>
      <c r="T507" s="5">
        <f t="shared" si="160"/>
        <v>9.0141016811393724E-3</v>
      </c>
      <c r="U507" s="2" t="str">
        <f t="shared" si="161"/>
        <v>No Impact</v>
      </c>
      <c r="V507" s="2">
        <f t="shared" si="162"/>
        <v>6.086558199972298E-3</v>
      </c>
      <c r="W507" s="2">
        <f t="shared" si="163"/>
        <v>8.9067563504227811E-3</v>
      </c>
      <c r="X507" s="2" t="s">
        <v>1170</v>
      </c>
      <c r="Y507" s="2">
        <f t="shared" si="164"/>
        <v>5.4413374621616563E-3</v>
      </c>
      <c r="Z507" s="2">
        <f t="shared" si="165"/>
        <v>9.1372835551598672E-3</v>
      </c>
      <c r="AA507" s="2" t="str">
        <f t="shared" si="166"/>
        <v>No Impact</v>
      </c>
      <c r="AB507" s="2">
        <f t="shared" si="167"/>
        <v>5.2154945747786945E-3</v>
      </c>
      <c r="AC507" s="2">
        <f t="shared" si="168"/>
        <v>1.1275221746541343E-2</v>
      </c>
      <c r="AD507" s="2" t="str">
        <f t="shared" si="169"/>
        <v>No Impact</v>
      </c>
      <c r="AE507" s="2">
        <f t="shared" si="170"/>
        <v>4.1508513318282642E-3</v>
      </c>
      <c r="AF507" s="2">
        <f t="shared" si="171"/>
        <v>2.8281804088351254E-2</v>
      </c>
      <c r="AG507" s="2" t="s">
        <v>1170</v>
      </c>
    </row>
    <row r="508" spans="1:33" x14ac:dyDescent="0.3">
      <c r="A508" s="2">
        <v>603602</v>
      </c>
      <c r="B508" s="2" t="s">
        <v>1042</v>
      </c>
      <c r="C508" s="2" t="s">
        <v>1043</v>
      </c>
      <c r="D508" s="2" t="s">
        <v>1044</v>
      </c>
      <c r="E508" s="3">
        <v>5.7</v>
      </c>
      <c r="F508" s="4">
        <f t="shared" si="153"/>
        <v>0.55555555555555558</v>
      </c>
      <c r="G508" s="2">
        <v>48.303547200000004</v>
      </c>
      <c r="H508" s="2">
        <f t="shared" si="154"/>
        <v>9.0099737405260366E-2</v>
      </c>
      <c r="I508" s="2">
        <v>9.9999999999999395E-2</v>
      </c>
      <c r="J508" s="4">
        <f t="shared" si="155"/>
        <v>1.5174506828527982E-3</v>
      </c>
      <c r="K508" s="2">
        <v>0</v>
      </c>
      <c r="L508" s="4">
        <f t="shared" si="156"/>
        <v>0</v>
      </c>
      <c r="M508" s="2">
        <v>7462</v>
      </c>
      <c r="N508" s="2">
        <f t="shared" si="157"/>
        <v>3.4175053110199527E-2</v>
      </c>
      <c r="O508" s="2">
        <v>0.62655862399999995</v>
      </c>
      <c r="P508" s="2">
        <f t="shared" si="152"/>
        <v>0.6463438263419673</v>
      </c>
      <c r="Q508" s="2">
        <v>0.16619999999999999</v>
      </c>
      <c r="R508" s="2">
        <f t="shared" si="158"/>
        <v>0.32194557035321364</v>
      </c>
      <c r="S508" s="2">
        <f t="shared" si="159"/>
        <v>8.6247730897949428E-3</v>
      </c>
      <c r="T508" s="5">
        <f t="shared" si="160"/>
        <v>1.3488078637549835E-2</v>
      </c>
      <c r="U508" s="2" t="str">
        <f t="shared" si="161"/>
        <v>No Impact</v>
      </c>
      <c r="V508" s="2">
        <f t="shared" si="162"/>
        <v>5.7352843086749079E-3</v>
      </c>
      <c r="W508" s="2">
        <f t="shared" si="163"/>
        <v>8.3927201974348768E-3</v>
      </c>
      <c r="X508" s="2" t="s">
        <v>1170</v>
      </c>
      <c r="Y508" s="2">
        <f t="shared" si="164"/>
        <v>1.1514261870914982E-2</v>
      </c>
      <c r="Z508" s="2">
        <f t="shared" si="165"/>
        <v>1.9335149928583883E-2</v>
      </c>
      <c r="AA508" s="2" t="str">
        <f t="shared" si="166"/>
        <v>No Impact</v>
      </c>
      <c r="AB508" s="2">
        <f t="shared" si="167"/>
        <v>5.6747115292651593E-3</v>
      </c>
      <c r="AC508" s="2">
        <f t="shared" si="168"/>
        <v>1.2267989147095294E-2</v>
      </c>
      <c r="AD508" s="2" t="str">
        <f t="shared" si="169"/>
        <v>No Impact</v>
      </c>
      <c r="AE508" s="2">
        <f t="shared" si="170"/>
        <v>6.0880988558413465E-4</v>
      </c>
      <c r="AF508" s="2">
        <f t="shared" si="171"/>
        <v>4.1481230077103663E-3</v>
      </c>
      <c r="AG508" s="2" t="s">
        <v>1170</v>
      </c>
    </row>
    <row r="509" spans="1:33" x14ac:dyDescent="0.3">
      <c r="A509" s="2">
        <v>603605</v>
      </c>
      <c r="B509" s="2" t="s">
        <v>1045</v>
      </c>
      <c r="C509" s="2" t="s">
        <v>1043</v>
      </c>
      <c r="D509" s="2" t="s">
        <v>1046</v>
      </c>
      <c r="E509" s="3">
        <v>5.6</v>
      </c>
      <c r="F509" s="4">
        <f t="shared" si="153"/>
        <v>0.53333333333333321</v>
      </c>
      <c r="G509" s="2">
        <v>44.482064399999999</v>
      </c>
      <c r="H509" s="2">
        <f t="shared" si="154"/>
        <v>5.9247115255138698E-2</v>
      </c>
      <c r="I509" s="2">
        <v>0</v>
      </c>
      <c r="J509" s="4">
        <f t="shared" si="155"/>
        <v>0</v>
      </c>
      <c r="K509" s="2">
        <v>0</v>
      </c>
      <c r="L509" s="4">
        <f t="shared" si="156"/>
        <v>0</v>
      </c>
      <c r="M509" s="2">
        <v>12557</v>
      </c>
      <c r="N509" s="2">
        <f t="shared" si="157"/>
        <v>5.8281642560077215E-2</v>
      </c>
      <c r="O509" s="2">
        <v>0.14019719999999999</v>
      </c>
      <c r="P509" s="2">
        <f t="shared" si="152"/>
        <v>8.4503907327819469E-2</v>
      </c>
      <c r="Q509" s="2">
        <v>0.25169999999999998</v>
      </c>
      <c r="R509" s="2">
        <f t="shared" si="158"/>
        <v>0.56948465547191662</v>
      </c>
      <c r="S509" s="2">
        <f t="shared" si="159"/>
        <v>3.6163806705355904E-3</v>
      </c>
      <c r="T509" s="5">
        <f t="shared" si="160"/>
        <v>5.6555721941502074E-3</v>
      </c>
      <c r="U509" s="2" t="str">
        <f t="shared" si="161"/>
        <v>No Impact</v>
      </c>
      <c r="V509" s="2">
        <f t="shared" si="162"/>
        <v>6.2981936301718163E-3</v>
      </c>
      <c r="W509" s="2">
        <f t="shared" si="163"/>
        <v>9.2164527584703698E-3</v>
      </c>
      <c r="X509" s="2" t="s">
        <v>1170</v>
      </c>
      <c r="Y509" s="2">
        <f t="shared" si="164"/>
        <v>9.3456771089936387E-4</v>
      </c>
      <c r="Z509" s="2">
        <f t="shared" si="165"/>
        <v>1.5693586798036497E-3</v>
      </c>
      <c r="AA509" s="2" t="str">
        <f t="shared" si="166"/>
        <v>No Impact</v>
      </c>
      <c r="AB509" s="2">
        <f t="shared" si="167"/>
        <v>2.7103353378389703E-3</v>
      </c>
      <c r="AC509" s="2">
        <f t="shared" si="168"/>
        <v>5.8593929115376663E-3</v>
      </c>
      <c r="AD509" s="2" t="str">
        <f t="shared" si="169"/>
        <v>No Impact</v>
      </c>
      <c r="AE509" s="2">
        <f t="shared" si="170"/>
        <v>6.445635828829289E-4</v>
      </c>
      <c r="AF509" s="2">
        <f t="shared" si="171"/>
        <v>4.3917306393991004E-3</v>
      </c>
      <c r="AG509" s="2" t="s">
        <v>1170</v>
      </c>
    </row>
    <row r="510" spans="1:33" x14ac:dyDescent="0.3">
      <c r="A510" s="2">
        <v>603611</v>
      </c>
      <c r="B510" s="2" t="s">
        <v>1047</v>
      </c>
      <c r="C510" s="2" t="s">
        <v>1043</v>
      </c>
      <c r="D510" s="2" t="s">
        <v>1048</v>
      </c>
      <c r="E510" s="3">
        <v>5.7</v>
      </c>
      <c r="F510" s="4">
        <f t="shared" si="153"/>
        <v>0.55555555555555558</v>
      </c>
      <c r="G510" s="2">
        <v>48.303547200000004</v>
      </c>
      <c r="H510" s="2">
        <f t="shared" si="154"/>
        <v>9.0099737405260366E-2</v>
      </c>
      <c r="I510" s="2">
        <v>0</v>
      </c>
      <c r="J510" s="4">
        <f t="shared" si="155"/>
        <v>0</v>
      </c>
      <c r="K510" s="2">
        <v>0</v>
      </c>
      <c r="L510" s="4">
        <f t="shared" si="156"/>
        <v>0</v>
      </c>
      <c r="M510" s="2">
        <v>22652</v>
      </c>
      <c r="N510" s="2">
        <f t="shared" si="157"/>
        <v>0.10604533647499681</v>
      </c>
      <c r="O510" s="2">
        <v>0.23161327400000001</v>
      </c>
      <c r="P510" s="2">
        <f t="shared" si="152"/>
        <v>0.1901068541864325</v>
      </c>
      <c r="Q510" s="2">
        <v>0.16589999999999999</v>
      </c>
      <c r="R510" s="2">
        <f t="shared" si="158"/>
        <v>0.32107701215981471</v>
      </c>
      <c r="S510" s="2">
        <f t="shared" si="159"/>
        <v>4.4778156231280297E-3</v>
      </c>
      <c r="T510" s="5">
        <f t="shared" si="160"/>
        <v>7.0027499414058256E-3</v>
      </c>
      <c r="U510" s="2" t="str">
        <f t="shared" si="161"/>
        <v>No Impact</v>
      </c>
      <c r="V510" s="2">
        <f t="shared" si="162"/>
        <v>5.6250744827015071E-3</v>
      </c>
      <c r="W510" s="2">
        <f t="shared" si="163"/>
        <v>8.2314448041638406E-3</v>
      </c>
      <c r="X510" s="2" t="s">
        <v>1170</v>
      </c>
      <c r="Y510" s="2">
        <f t="shared" si="164"/>
        <v>3.3305567635545509E-3</v>
      </c>
      <c r="Z510" s="2">
        <f t="shared" si="165"/>
        <v>5.5927870228184278E-3</v>
      </c>
      <c r="AA510" s="2" t="str">
        <f t="shared" si="166"/>
        <v>No Impact</v>
      </c>
      <c r="AB510" s="2">
        <f t="shared" si="167"/>
        <v>3.6181905862105517E-3</v>
      </c>
      <c r="AC510" s="2">
        <f t="shared" si="168"/>
        <v>7.8220580226571225E-3</v>
      </c>
      <c r="AD510" s="2" t="str">
        <f t="shared" si="169"/>
        <v>No Impact</v>
      </c>
      <c r="AE510" s="2">
        <f t="shared" si="170"/>
        <v>1.8578499662818845E-3</v>
      </c>
      <c r="AF510" s="2">
        <f t="shared" si="171"/>
        <v>1.2658451139658439E-2</v>
      </c>
      <c r="AG510" s="2" t="s">
        <v>1170</v>
      </c>
    </row>
    <row r="511" spans="1:33" x14ac:dyDescent="0.3">
      <c r="A511" s="2">
        <v>603626</v>
      </c>
      <c r="B511" s="2" t="s">
        <v>1049</v>
      </c>
      <c r="C511" s="2" t="s">
        <v>1043</v>
      </c>
      <c r="D511" s="2" t="s">
        <v>1050</v>
      </c>
      <c r="E511" s="3">
        <v>5.2</v>
      </c>
      <c r="F511" s="4">
        <f t="shared" si="153"/>
        <v>0.44444444444444442</v>
      </c>
      <c r="G511" s="2">
        <v>42.203937600000003</v>
      </c>
      <c r="H511" s="2">
        <f t="shared" si="154"/>
        <v>4.0854729616122985E-2</v>
      </c>
      <c r="I511" s="2">
        <v>9.9999999999999395E-2</v>
      </c>
      <c r="J511" s="4">
        <f t="shared" si="155"/>
        <v>1.5174506828527982E-3</v>
      </c>
      <c r="K511" s="2">
        <v>0</v>
      </c>
      <c r="L511" s="4">
        <f t="shared" si="156"/>
        <v>0</v>
      </c>
      <c r="M511" s="2">
        <v>8086</v>
      </c>
      <c r="N511" s="2">
        <f t="shared" si="157"/>
        <v>3.7127459747436753E-2</v>
      </c>
      <c r="O511" s="2">
        <v>0.23125285600000001</v>
      </c>
      <c r="P511" s="2">
        <f t="shared" si="152"/>
        <v>0.18969050286838218</v>
      </c>
      <c r="Q511" s="2">
        <v>0.3009</v>
      </c>
      <c r="R511" s="2">
        <f t="shared" si="158"/>
        <v>0.71192819918934569</v>
      </c>
      <c r="S511" s="2">
        <f t="shared" si="159"/>
        <v>2.9713872381292219E-3</v>
      </c>
      <c r="T511" s="5">
        <f t="shared" si="160"/>
        <v>4.6468822209271409E-3</v>
      </c>
      <c r="U511" s="2" t="str">
        <f t="shared" si="161"/>
        <v>No Impact</v>
      </c>
      <c r="V511" s="2">
        <f t="shared" si="162"/>
        <v>4.6924811135962818E-3</v>
      </c>
      <c r="W511" s="2">
        <f t="shared" si="163"/>
        <v>6.8667356138897798E-3</v>
      </c>
      <c r="X511" s="2" t="s">
        <v>1170</v>
      </c>
      <c r="Y511" s="2">
        <f t="shared" si="164"/>
        <v>1.2502933626621622E-3</v>
      </c>
      <c r="Z511" s="2">
        <f t="shared" si="165"/>
        <v>2.0995362006531446E-3</v>
      </c>
      <c r="AA511" s="2" t="str">
        <f t="shared" si="166"/>
        <v>No Impact</v>
      </c>
      <c r="AB511" s="2">
        <f t="shared" si="167"/>
        <v>2.1031068424513543E-3</v>
      </c>
      <c r="AC511" s="2">
        <f t="shared" si="168"/>
        <v>4.5466437871452695E-3</v>
      </c>
      <c r="AD511" s="2" t="str">
        <f t="shared" si="169"/>
        <v>No Impact</v>
      </c>
      <c r="AE511" s="2">
        <f t="shared" si="170"/>
        <v>2.4471555398287759E-4</v>
      </c>
      <c r="AF511" s="2">
        <f t="shared" si="171"/>
        <v>1.6673681618145789E-3</v>
      </c>
      <c r="AG511" s="2" t="s">
        <v>1170</v>
      </c>
    </row>
    <row r="512" spans="1:33" x14ac:dyDescent="0.3">
      <c r="A512" s="2">
        <v>603644</v>
      </c>
      <c r="B512" s="2" t="s">
        <v>1051</v>
      </c>
      <c r="C512" s="2" t="s">
        <v>1043</v>
      </c>
      <c r="D512" s="2" t="s">
        <v>1052</v>
      </c>
      <c r="E512" s="3">
        <v>5.7</v>
      </c>
      <c r="F512" s="4">
        <f t="shared" si="153"/>
        <v>0.55555555555555558</v>
      </c>
      <c r="G512" s="2">
        <v>48.303547200000004</v>
      </c>
      <c r="H512" s="2">
        <f t="shared" si="154"/>
        <v>9.0099737405260366E-2</v>
      </c>
      <c r="I512" s="2">
        <v>0</v>
      </c>
      <c r="J512" s="4">
        <f t="shared" si="155"/>
        <v>0</v>
      </c>
      <c r="K512" s="2">
        <v>0</v>
      </c>
      <c r="L512" s="4">
        <f t="shared" si="156"/>
        <v>0</v>
      </c>
      <c r="M512" s="2">
        <v>33136</v>
      </c>
      <c r="N512" s="2">
        <f t="shared" si="157"/>
        <v>0.15564955311729667</v>
      </c>
      <c r="O512" s="2">
        <v>0.37104742400000001</v>
      </c>
      <c r="P512" s="2">
        <f t="shared" si="152"/>
        <v>0.35117980873845012</v>
      </c>
      <c r="Q512" s="2">
        <v>0.2009</v>
      </c>
      <c r="R512" s="2">
        <f t="shared" si="158"/>
        <v>0.42240880138969311</v>
      </c>
      <c r="S512" s="2">
        <f t="shared" si="159"/>
        <v>6.7764015892461428E-3</v>
      </c>
      <c r="T512" s="5">
        <f t="shared" si="160"/>
        <v>1.0597454166477409E-2</v>
      </c>
      <c r="U512" s="2" t="str">
        <f t="shared" si="161"/>
        <v>No Impact</v>
      </c>
      <c r="V512" s="2">
        <f t="shared" si="162"/>
        <v>7.4003459605604142E-3</v>
      </c>
      <c r="W512" s="2">
        <f t="shared" si="163"/>
        <v>1.0829285815396794E-2</v>
      </c>
      <c r="X512" s="2" t="s">
        <v>1170</v>
      </c>
      <c r="Y512" s="2">
        <f t="shared" si="164"/>
        <v>6.1524572179318723E-3</v>
      </c>
      <c r="Z512" s="2">
        <f t="shared" si="165"/>
        <v>1.0331420639164061E-2</v>
      </c>
      <c r="AA512" s="2" t="str">
        <f t="shared" si="166"/>
        <v>No Impact</v>
      </c>
      <c r="AB512" s="2">
        <f t="shared" si="167"/>
        <v>5.3902682644821134E-3</v>
      </c>
      <c r="AC512" s="2">
        <f t="shared" si="168"/>
        <v>1.1653059759526119E-2</v>
      </c>
      <c r="AD512" s="2" t="str">
        <f t="shared" si="169"/>
        <v>No Impact</v>
      </c>
      <c r="AE512" s="2">
        <f t="shared" si="170"/>
        <v>2.7268857511611633E-3</v>
      </c>
      <c r="AF512" s="2">
        <f t="shared" si="171"/>
        <v>1.8579621966775695E-2</v>
      </c>
      <c r="AG512" s="2" t="s">
        <v>1170</v>
      </c>
    </row>
    <row r="513" spans="1:33" x14ac:dyDescent="0.3">
      <c r="A513" s="2">
        <v>603668</v>
      </c>
      <c r="B513" s="2" t="s">
        <v>1053</v>
      </c>
      <c r="C513" s="2" t="s">
        <v>1043</v>
      </c>
      <c r="D513" s="2" t="s">
        <v>1054</v>
      </c>
      <c r="E513" s="3">
        <v>5.6</v>
      </c>
      <c r="F513" s="4">
        <f t="shared" si="153"/>
        <v>0.53333333333333321</v>
      </c>
      <c r="G513" s="2">
        <v>48.303547200000004</v>
      </c>
      <c r="H513" s="2">
        <f t="shared" si="154"/>
        <v>9.0099737405260366E-2</v>
      </c>
      <c r="I513" s="2">
        <v>9.9999999999999395E-2</v>
      </c>
      <c r="J513" s="4">
        <f t="shared" si="155"/>
        <v>1.5174506828527982E-3</v>
      </c>
      <c r="K513" s="2">
        <v>0</v>
      </c>
      <c r="L513" s="4">
        <f t="shared" si="156"/>
        <v>0</v>
      </c>
      <c r="M513" s="2">
        <v>9664</v>
      </c>
      <c r="N513" s="2">
        <f t="shared" si="157"/>
        <v>4.4593641916603977E-2</v>
      </c>
      <c r="O513" s="2">
        <v>0.42105625299999999</v>
      </c>
      <c r="P513" s="2">
        <f t="shared" si="152"/>
        <v>0.40894951465853224</v>
      </c>
      <c r="Q513" s="2">
        <v>0.152</v>
      </c>
      <c r="R513" s="2">
        <f t="shared" si="158"/>
        <v>0.28083381586566303</v>
      </c>
      <c r="S513" s="2">
        <f t="shared" si="159"/>
        <v>5.8982941857168283E-3</v>
      </c>
      <c r="T513" s="5">
        <f t="shared" si="160"/>
        <v>9.2242027675470181E-3</v>
      </c>
      <c r="U513" s="2" t="str">
        <f t="shared" si="161"/>
        <v>No Impact</v>
      </c>
      <c r="V513" s="2">
        <f t="shared" si="162"/>
        <v>4.802784845537836E-3</v>
      </c>
      <c r="W513" s="2">
        <f t="shared" si="163"/>
        <v>7.0281484243267583E-3</v>
      </c>
      <c r="X513" s="2" t="s">
        <v>1170</v>
      </c>
      <c r="Y513" s="2">
        <f t="shared" si="164"/>
        <v>6.9938035258958206E-3</v>
      </c>
      <c r="Z513" s="2">
        <f t="shared" si="165"/>
        <v>1.174423868939751E-2</v>
      </c>
      <c r="AA513" s="2" t="str">
        <f t="shared" si="166"/>
        <v>No Impact</v>
      </c>
      <c r="AB513" s="2">
        <f t="shared" si="167"/>
        <v>4.0460379668688096E-3</v>
      </c>
      <c r="AC513" s="2">
        <f t="shared" si="168"/>
        <v>8.7470084796909004E-3</v>
      </c>
      <c r="AD513" s="2" t="str">
        <f t="shared" si="169"/>
        <v>No Impact</v>
      </c>
      <c r="AE513" s="2">
        <f t="shared" si="170"/>
        <v>7.6263489474806144E-4</v>
      </c>
      <c r="AF513" s="2">
        <f t="shared" si="171"/>
        <v>5.1962089123305244E-3</v>
      </c>
      <c r="AG513" s="2" t="s">
        <v>1170</v>
      </c>
    </row>
    <row r="514" spans="1:33" x14ac:dyDescent="0.3">
      <c r="A514" s="2">
        <v>603671</v>
      </c>
      <c r="B514" s="2" t="s">
        <v>1055</v>
      </c>
      <c r="C514" s="2" t="s">
        <v>1043</v>
      </c>
      <c r="D514" s="2" t="s">
        <v>1056</v>
      </c>
      <c r="E514" s="3">
        <v>5.5</v>
      </c>
      <c r="F514" s="4">
        <f t="shared" si="153"/>
        <v>0.51111111111111107</v>
      </c>
      <c r="G514" s="2">
        <v>42.203937600000003</v>
      </c>
      <c r="H514" s="2">
        <f t="shared" si="154"/>
        <v>4.0854729616122985E-2</v>
      </c>
      <c r="I514" s="2">
        <v>0.20000000000000051</v>
      </c>
      <c r="J514" s="4">
        <f t="shared" si="155"/>
        <v>3.0349013657056229E-3</v>
      </c>
      <c r="K514" s="2">
        <v>0</v>
      </c>
      <c r="L514" s="4">
        <f t="shared" si="156"/>
        <v>0</v>
      </c>
      <c r="M514" s="2">
        <v>31830</v>
      </c>
      <c r="N514" s="2">
        <f t="shared" si="157"/>
        <v>0.1494703174310277</v>
      </c>
      <c r="O514" s="2">
        <v>0.46997111000000003</v>
      </c>
      <c r="P514" s="2">
        <f t="shared" ref="P514:P545" si="172">(O514-$AJ$11)/$AK$11</f>
        <v>0.46545547491632733</v>
      </c>
      <c r="Q514" s="2">
        <v>0.23139999999999999</v>
      </c>
      <c r="R514" s="2">
        <f t="shared" si="158"/>
        <v>0.51071221771858721</v>
      </c>
      <c r="S514" s="2">
        <f t="shared" si="159"/>
        <v>3.8321255604371377E-3</v>
      </c>
      <c r="T514" s="5">
        <f t="shared" si="160"/>
        <v>5.9929705245578523E-3</v>
      </c>
      <c r="U514" s="2" t="str">
        <f t="shared" si="161"/>
        <v>No Impact</v>
      </c>
      <c r="V514" s="2">
        <f t="shared" si="162"/>
        <v>4.0097892161626621E-3</v>
      </c>
      <c r="W514" s="2">
        <f t="shared" si="163"/>
        <v>5.8677193894368946E-3</v>
      </c>
      <c r="X514" s="2" t="s">
        <v>1170</v>
      </c>
      <c r="Y514" s="2">
        <f t="shared" si="164"/>
        <v>3.6544619047116124E-3</v>
      </c>
      <c r="Z514" s="2">
        <f t="shared" si="165"/>
        <v>6.1366998274012922E-3</v>
      </c>
      <c r="AA514" s="2" t="str">
        <f t="shared" si="166"/>
        <v>No Impact</v>
      </c>
      <c r="AB514" s="2">
        <f t="shared" si="167"/>
        <v>2.9105060250305399E-3</v>
      </c>
      <c r="AC514" s="2">
        <f t="shared" si="168"/>
        <v>6.2921359338690202E-3</v>
      </c>
      <c r="AD514" s="2" t="str">
        <f t="shared" si="169"/>
        <v>No Impact</v>
      </c>
      <c r="AE514" s="2">
        <f t="shared" si="170"/>
        <v>1.1735463656003544E-3</v>
      </c>
      <c r="AF514" s="2">
        <f t="shared" si="171"/>
        <v>7.9959520944555586E-3</v>
      </c>
      <c r="AG514" s="2" t="s">
        <v>1170</v>
      </c>
    </row>
    <row r="515" spans="1:33" x14ac:dyDescent="0.3">
      <c r="A515" s="2">
        <v>603677</v>
      </c>
      <c r="B515" s="2" t="s">
        <v>1057</v>
      </c>
      <c r="C515" s="2" t="s">
        <v>1043</v>
      </c>
      <c r="D515" s="2" t="s">
        <v>1058</v>
      </c>
      <c r="E515" s="3">
        <v>5.8</v>
      </c>
      <c r="F515" s="4">
        <f t="shared" ref="F515:F545" si="173">(E515-$AJ$5)/$AK$5</f>
        <v>0.57777777777777772</v>
      </c>
      <c r="G515" s="2">
        <v>51.267218400000004</v>
      </c>
      <c r="H515" s="2">
        <f t="shared" ref="H515:H545" si="174">(G515-$AJ$6)/$AK$6</f>
        <v>0.11402684436771943</v>
      </c>
      <c r="I515" s="2">
        <v>0</v>
      </c>
      <c r="J515" s="4">
        <f t="shared" ref="J515:J545" si="175">(I515-$AJ$7)/$AK$7</f>
        <v>0</v>
      </c>
      <c r="K515" s="2">
        <v>0</v>
      </c>
      <c r="L515" s="4">
        <f t="shared" ref="L515:L545" si="176">(K515-$AJ$8)/$AK$8</f>
        <v>0</v>
      </c>
      <c r="M515" s="2">
        <v>22206</v>
      </c>
      <c r="N515" s="2">
        <f t="shared" ref="N515:N545" si="177">(M515-$AJ$9)/$AK$9</f>
        <v>0.10393512275671507</v>
      </c>
      <c r="O515" s="2">
        <v>0.41293518299999998</v>
      </c>
      <c r="P515" s="2">
        <f t="shared" si="172"/>
        <v>0.39956813470947561</v>
      </c>
      <c r="Q515" s="2">
        <v>0.19520000000000001</v>
      </c>
      <c r="R515" s="2">
        <f t="shared" ref="R515:R545" si="178">(Q515-$AJ$12)/$AK$12</f>
        <v>0.40590619571511299</v>
      </c>
      <c r="S515" s="2">
        <f t="shared" ref="S515:S545" si="179">F515*(R515*0.5+P515*0.5)*(H515*0.35+J515*0.35+L515*0.3)</f>
        <v>9.2866203852156656E-3</v>
      </c>
      <c r="T515" s="5">
        <f t="shared" ref="T515:T545" si="180">(S515-$AJ$10)/$AK$10</f>
        <v>1.4523125968504792E-2</v>
      </c>
      <c r="U515" s="2" t="str">
        <f t="shared" ref="U515:U545" si="181">IF(T515&gt;0.7,"High",IF(T515&gt;0.3,"Moderate",IF(T515&gt;0.15,"Low","No Impact")))</f>
        <v>No Impact</v>
      </c>
      <c r="V515" s="2">
        <f t="shared" ref="V515:V545" si="182">F515*(R515*1)*(H515*0.35+J515*0.35+L515*0.3)</f>
        <v>9.3596943049104944E-3</v>
      </c>
      <c r="W515" s="2">
        <f t="shared" ref="W515:W545" si="183">(V515-$AJ$13)/$AK$13</f>
        <v>1.3696495449375134E-2</v>
      </c>
      <c r="X515" s="2" t="s">
        <v>1170</v>
      </c>
      <c r="Y515" s="2">
        <f t="shared" ref="Y515:Y545" si="184">F515*(P515*1)*(H515*0.35+J515*0.35+L515*0.3)</f>
        <v>9.2135464655208367E-3</v>
      </c>
      <c r="Z515" s="2">
        <f t="shared" ref="Z515:Z545" si="185">(Y515-$AJ$14)/$AK$14</f>
        <v>1.547170841535352E-2</v>
      </c>
      <c r="AA515" s="2" t="str">
        <f t="shared" ref="AA515:AA545" si="186">IF(Z515&gt;0.7,"High",IF(Z515&gt;0.3,"Moderate",IF(Z515&gt;0.15,"Low","No Impact")))</f>
        <v>No Impact</v>
      </c>
      <c r="AB515" s="2">
        <f t="shared" ref="AB515:AB545" si="187">F515*(R515*0.35+P515*0.3+N515*0.35)*(H515*0.35+J515*0.35+L515*0.3)</f>
        <v>6.8787722820002443E-3</v>
      </c>
      <c r="AC515" s="2">
        <f t="shared" ref="AC515:AC545" si="188">(AB515-$AJ$15)/$AK$15</f>
        <v>1.4871012079771172E-2</v>
      </c>
      <c r="AD515" s="2" t="str">
        <f t="shared" ref="AD515:AD545" si="189">IF(AC515&gt;0.7,"High",IF(AC515&gt;0.3,"Moderate",IF(AC515&gt;0.15,"Low","No Impact")))</f>
        <v>No Impact</v>
      </c>
      <c r="AE515" s="2">
        <f t="shared" ref="AE515:AE545" si="190">F515*(N515*1)*(H515*0.35+J515*0.35+L515*0.3)</f>
        <v>2.3966152446437739E-3</v>
      </c>
      <c r="AF515" s="2">
        <f t="shared" ref="AF515:AF545" si="191">(AE515-$AJ$16)/$AK$16</f>
        <v>1.6329325578210218E-2</v>
      </c>
      <c r="AG515" s="2" t="s">
        <v>1170</v>
      </c>
    </row>
    <row r="516" spans="1:33" x14ac:dyDescent="0.3">
      <c r="A516" s="2">
        <v>605814</v>
      </c>
      <c r="B516" s="2" t="s">
        <v>1059</v>
      </c>
      <c r="C516" s="2" t="s">
        <v>1060</v>
      </c>
      <c r="D516" s="2" t="s">
        <v>1061</v>
      </c>
      <c r="E516" s="3">
        <v>5.4</v>
      </c>
      <c r="F516" s="4">
        <f t="shared" si="173"/>
        <v>0.48888888888888893</v>
      </c>
      <c r="G516" s="2">
        <v>46.609016400000002</v>
      </c>
      <c r="H516" s="2">
        <f t="shared" si="174"/>
        <v>7.6418995863222441E-2</v>
      </c>
      <c r="I516" s="2">
        <v>0</v>
      </c>
      <c r="J516" s="4">
        <f t="shared" si="175"/>
        <v>0</v>
      </c>
      <c r="K516" s="2">
        <v>0</v>
      </c>
      <c r="L516" s="4">
        <f t="shared" si="176"/>
        <v>0</v>
      </c>
      <c r="M516" s="2">
        <v>18472</v>
      </c>
      <c r="N516" s="2">
        <f t="shared" si="177"/>
        <v>8.6267997142221775E-2</v>
      </c>
      <c r="O516" s="2">
        <v>9.4888317E-2</v>
      </c>
      <c r="P516" s="2">
        <f t="shared" si="172"/>
        <v>3.2163532661629864E-2</v>
      </c>
      <c r="Q516" s="2">
        <v>0.29049999999999998</v>
      </c>
      <c r="R516" s="2">
        <f t="shared" si="178"/>
        <v>0.68181818181818177</v>
      </c>
      <c r="S516" s="2">
        <f t="shared" si="179"/>
        <v>4.6680621752935416E-3</v>
      </c>
      <c r="T516" s="5">
        <f t="shared" si="180"/>
        <v>7.3002720245279179E-3</v>
      </c>
      <c r="U516" s="2" t="str">
        <f t="shared" si="181"/>
        <v>No Impact</v>
      </c>
      <c r="V516" s="2">
        <f t="shared" si="182"/>
        <v>8.9155495173759494E-3</v>
      </c>
      <c r="W516" s="2">
        <f t="shared" si="183"/>
        <v>1.304655680147089E-2</v>
      </c>
      <c r="X516" s="2" t="s">
        <v>1170</v>
      </c>
      <c r="Y516" s="2">
        <f t="shared" si="184"/>
        <v>4.2057483321113296E-4</v>
      </c>
      <c r="Z516" s="2">
        <f t="shared" si="185"/>
        <v>7.0624392145079951E-4</v>
      </c>
      <c r="AA516" s="2" t="str">
        <f t="shared" si="186"/>
        <v>No Impact</v>
      </c>
      <c r="AB516" s="2">
        <f t="shared" si="187"/>
        <v>3.641433102525236E-3</v>
      </c>
      <c r="AC516" s="2">
        <f t="shared" si="188"/>
        <v>7.8723053235867351E-3</v>
      </c>
      <c r="AD516" s="2" t="str">
        <f t="shared" si="189"/>
        <v>No Impact</v>
      </c>
      <c r="AE516" s="2">
        <f t="shared" si="190"/>
        <v>1.1280523470866104E-3</v>
      </c>
      <c r="AF516" s="2">
        <f t="shared" si="191"/>
        <v>7.6859788345289455E-3</v>
      </c>
      <c r="AG516" s="2" t="s">
        <v>1170</v>
      </c>
    </row>
    <row r="517" spans="1:33" x14ac:dyDescent="0.3">
      <c r="A517" s="2">
        <v>605835</v>
      </c>
      <c r="B517" s="2" t="s">
        <v>1062</v>
      </c>
      <c r="C517" s="2" t="s">
        <v>1060</v>
      </c>
      <c r="D517" s="2" t="s">
        <v>1063</v>
      </c>
      <c r="E517" s="3">
        <v>5.4</v>
      </c>
      <c r="F517" s="4">
        <f t="shared" si="173"/>
        <v>0.48888888888888893</v>
      </c>
      <c r="G517" s="2">
        <v>46.609016400000002</v>
      </c>
      <c r="H517" s="2">
        <f t="shared" si="174"/>
        <v>7.6418995863222441E-2</v>
      </c>
      <c r="I517" s="2">
        <v>0</v>
      </c>
      <c r="J517" s="4">
        <f t="shared" si="175"/>
        <v>0</v>
      </c>
      <c r="K517" s="2">
        <v>0</v>
      </c>
      <c r="L517" s="4">
        <f t="shared" si="176"/>
        <v>0</v>
      </c>
      <c r="M517" s="2">
        <v>9958</v>
      </c>
      <c r="N517" s="2">
        <f t="shared" si="177"/>
        <v>4.5984679659148438E-2</v>
      </c>
      <c r="O517" s="2">
        <v>0.56265147900000001</v>
      </c>
      <c r="P517" s="2">
        <f t="shared" si="172"/>
        <v>0.57251892288657869</v>
      </c>
      <c r="Q517" s="2">
        <v>0.31280000000000002</v>
      </c>
      <c r="R517" s="2">
        <f t="shared" si="178"/>
        <v>0.74638100752750447</v>
      </c>
      <c r="S517" s="2">
        <f t="shared" si="179"/>
        <v>8.6230596012516671E-3</v>
      </c>
      <c r="T517" s="5">
        <f t="shared" si="180"/>
        <v>1.348539895334532E-2</v>
      </c>
      <c r="U517" s="2" t="str">
        <f t="shared" si="181"/>
        <v>No Impact</v>
      </c>
      <c r="V517" s="2">
        <f t="shared" si="182"/>
        <v>9.7597820194459464E-3</v>
      </c>
      <c r="W517" s="2">
        <f t="shared" si="183"/>
        <v>1.4281963241695101E-2</v>
      </c>
      <c r="X517" s="2" t="s">
        <v>1170</v>
      </c>
      <c r="Y517" s="2">
        <f t="shared" si="184"/>
        <v>7.4863371830573861E-3</v>
      </c>
      <c r="Z517" s="2">
        <f t="shared" si="185"/>
        <v>1.2571318376559067E-2</v>
      </c>
      <c r="AA517" s="2" t="str">
        <f t="shared" si="186"/>
        <v>No Impact</v>
      </c>
      <c r="AB517" s="2">
        <f t="shared" si="187"/>
        <v>5.8722805885080926E-3</v>
      </c>
      <c r="AC517" s="2">
        <f t="shared" si="188"/>
        <v>1.2695107787768821E-2</v>
      </c>
      <c r="AD517" s="2" t="str">
        <f t="shared" si="189"/>
        <v>No Impact</v>
      </c>
      <c r="AE517" s="2">
        <f t="shared" si="190"/>
        <v>6.0130207652798594E-4</v>
      </c>
      <c r="AF517" s="2">
        <f t="shared" si="191"/>
        <v>4.0969685895237661E-3</v>
      </c>
      <c r="AG517" s="2" t="s">
        <v>1170</v>
      </c>
    </row>
    <row r="518" spans="1:33" x14ac:dyDescent="0.3">
      <c r="A518" s="2">
        <v>605856</v>
      </c>
      <c r="B518" s="2" t="s">
        <v>1064</v>
      </c>
      <c r="C518" s="2" t="s">
        <v>1060</v>
      </c>
      <c r="D518" s="2" t="s">
        <v>1065</v>
      </c>
      <c r="E518" s="3">
        <v>5.4</v>
      </c>
      <c r="F518" s="4">
        <f t="shared" si="173"/>
        <v>0.48888888888888893</v>
      </c>
      <c r="G518" s="2">
        <v>51.267218400000004</v>
      </c>
      <c r="H518" s="2">
        <f t="shared" si="174"/>
        <v>0.11402684436771943</v>
      </c>
      <c r="I518" s="2">
        <v>0</v>
      </c>
      <c r="J518" s="4">
        <f t="shared" si="175"/>
        <v>0</v>
      </c>
      <c r="K518" s="2">
        <v>0</v>
      </c>
      <c r="L518" s="4">
        <f t="shared" si="176"/>
        <v>0</v>
      </c>
      <c r="M518" s="2">
        <v>24711</v>
      </c>
      <c r="N518" s="2">
        <f t="shared" si="177"/>
        <v>0.11578733209370105</v>
      </c>
      <c r="O518" s="2">
        <v>0.87064115099999995</v>
      </c>
      <c r="P518" s="2">
        <f t="shared" si="172"/>
        <v>0.9283055536405711</v>
      </c>
      <c r="Q518" s="2">
        <v>0.31790000000000002</v>
      </c>
      <c r="R518" s="2">
        <f t="shared" si="178"/>
        <v>0.76114649681528668</v>
      </c>
      <c r="S518" s="2">
        <f t="shared" si="179"/>
        <v>1.648166913761356E-2</v>
      </c>
      <c r="T518" s="5">
        <f t="shared" si="180"/>
        <v>2.5775292531376646E-2</v>
      </c>
      <c r="U518" s="2" t="str">
        <f t="shared" si="181"/>
        <v>No Impact</v>
      </c>
      <c r="V518" s="2">
        <f t="shared" si="182"/>
        <v>1.4850927225046998E-2</v>
      </c>
      <c r="W518" s="2">
        <f t="shared" si="183"/>
        <v>2.1732083391884094E-2</v>
      </c>
      <c r="X518" s="2" t="s">
        <v>1170</v>
      </c>
      <c r="Y518" s="2">
        <f t="shared" si="184"/>
        <v>1.8112411050180115E-2</v>
      </c>
      <c r="Z518" s="2">
        <f t="shared" si="185"/>
        <v>3.0414992046341467E-2</v>
      </c>
      <c r="AA518" s="2" t="str">
        <f t="shared" si="186"/>
        <v>No Impact</v>
      </c>
      <c r="AB518" s="2">
        <f t="shared" si="187"/>
        <v>1.1422252704704997E-2</v>
      </c>
      <c r="AC518" s="2">
        <f t="shared" si="188"/>
        <v>2.4693426528210941E-2</v>
      </c>
      <c r="AD518" s="2" t="str">
        <f t="shared" si="189"/>
        <v>No Impact</v>
      </c>
      <c r="AE518" s="2">
        <f t="shared" si="190"/>
        <v>2.2591567453843242E-3</v>
      </c>
      <c r="AF518" s="2">
        <f t="shared" si="191"/>
        <v>1.5392752804204787E-2</v>
      </c>
      <c r="AG518" s="2" t="s">
        <v>1170</v>
      </c>
    </row>
    <row r="519" spans="1:33" x14ac:dyDescent="0.3">
      <c r="A519" s="2">
        <v>605865</v>
      </c>
      <c r="B519" s="2" t="s">
        <v>1066</v>
      </c>
      <c r="C519" s="2" t="s">
        <v>1060</v>
      </c>
      <c r="D519" s="2" t="s">
        <v>1067</v>
      </c>
      <c r="E519" s="3">
        <v>5.3</v>
      </c>
      <c r="F519" s="4">
        <f t="shared" si="173"/>
        <v>0.46666666666666656</v>
      </c>
      <c r="G519" s="2">
        <v>46.609016400000002</v>
      </c>
      <c r="H519" s="2">
        <f t="shared" si="174"/>
        <v>7.6418995863222441E-2</v>
      </c>
      <c r="I519" s="2">
        <v>0</v>
      </c>
      <c r="J519" s="4">
        <f t="shared" si="175"/>
        <v>0</v>
      </c>
      <c r="K519" s="2">
        <v>0</v>
      </c>
      <c r="L519" s="4">
        <f t="shared" si="176"/>
        <v>0</v>
      </c>
      <c r="M519" s="2">
        <v>33224</v>
      </c>
      <c r="N519" s="2">
        <f t="shared" si="177"/>
        <v>0.15606591815588139</v>
      </c>
      <c r="O519" s="2">
        <v>0.244596706</v>
      </c>
      <c r="P519" s="2">
        <f t="shared" si="172"/>
        <v>0.20510518675033604</v>
      </c>
      <c r="Q519" s="2">
        <v>0.29349999999999998</v>
      </c>
      <c r="R519" s="2">
        <f t="shared" si="178"/>
        <v>0.69050376375217137</v>
      </c>
      <c r="S519" s="2">
        <f t="shared" si="179"/>
        <v>5.5893921624871473E-3</v>
      </c>
      <c r="T519" s="5">
        <f t="shared" si="180"/>
        <v>8.7411181997280579E-3</v>
      </c>
      <c r="U519" s="2" t="str">
        <f t="shared" si="181"/>
        <v>No Impact</v>
      </c>
      <c r="V519" s="2">
        <f t="shared" si="182"/>
        <v>8.6187086967337255E-3</v>
      </c>
      <c r="W519" s="2">
        <f t="shared" si="183"/>
        <v>1.2612175205590994E-2</v>
      </c>
      <c r="X519" s="2" t="s">
        <v>1170</v>
      </c>
      <c r="Y519" s="2">
        <f t="shared" si="184"/>
        <v>2.560075628240567E-3</v>
      </c>
      <c r="Z519" s="2">
        <f t="shared" si="185"/>
        <v>4.2989682409065666E-3</v>
      </c>
      <c r="AA519" s="2" t="str">
        <f t="shared" si="186"/>
        <v>No Impact</v>
      </c>
      <c r="AB519" s="2">
        <f t="shared" si="187"/>
        <v>4.4663633087627906E-3</v>
      </c>
      <c r="AC519" s="2">
        <f t="shared" si="188"/>
        <v>9.655697266074412E-3</v>
      </c>
      <c r="AD519" s="2" t="str">
        <f t="shared" si="189"/>
        <v>No Impact</v>
      </c>
      <c r="AE519" s="2">
        <f t="shared" si="190"/>
        <v>1.9479787898109035E-3</v>
      </c>
      <c r="AF519" s="2">
        <f t="shared" si="191"/>
        <v>1.3272543412782221E-2</v>
      </c>
      <c r="AG519" s="2" t="s">
        <v>1170</v>
      </c>
    </row>
    <row r="520" spans="1:33" x14ac:dyDescent="0.3">
      <c r="A520" s="2">
        <v>605874</v>
      </c>
      <c r="B520" s="2" t="s">
        <v>1068</v>
      </c>
      <c r="C520" s="2" t="s">
        <v>1060</v>
      </c>
      <c r="D520" s="2" t="s">
        <v>1069</v>
      </c>
      <c r="E520" s="3">
        <v>5.3</v>
      </c>
      <c r="F520" s="4">
        <f t="shared" si="173"/>
        <v>0.46666666666666656</v>
      </c>
      <c r="G520" s="2">
        <v>51.267218400000004</v>
      </c>
      <c r="H520" s="2">
        <f t="shared" si="174"/>
        <v>0.11402684436771943</v>
      </c>
      <c r="I520" s="2">
        <v>0</v>
      </c>
      <c r="J520" s="4">
        <f t="shared" si="175"/>
        <v>0</v>
      </c>
      <c r="K520" s="2">
        <v>0</v>
      </c>
      <c r="L520" s="4">
        <f t="shared" si="176"/>
        <v>0</v>
      </c>
      <c r="M520" s="2">
        <v>39868</v>
      </c>
      <c r="N520" s="2">
        <f t="shared" si="177"/>
        <v>0.18750147856902907</v>
      </c>
      <c r="O520" s="2">
        <v>0.48573176099999998</v>
      </c>
      <c r="P520" s="2">
        <f t="shared" si="172"/>
        <v>0.4836620234715644</v>
      </c>
      <c r="Q520" s="2">
        <v>0.2225</v>
      </c>
      <c r="R520" s="2">
        <f t="shared" si="178"/>
        <v>0.48494499131441809</v>
      </c>
      <c r="S520" s="2">
        <f t="shared" si="179"/>
        <v>9.0198547751594044E-3</v>
      </c>
      <c r="T520" s="5">
        <f t="shared" si="180"/>
        <v>1.410593754061557E-2</v>
      </c>
      <c r="U520" s="2" t="str">
        <f t="shared" si="181"/>
        <v>No Impact</v>
      </c>
      <c r="V520" s="2">
        <f t="shared" si="182"/>
        <v>9.0318020184139841E-3</v>
      </c>
      <c r="W520" s="2">
        <f t="shared" si="183"/>
        <v>1.3216674734768194E-2</v>
      </c>
      <c r="X520" s="2" t="s">
        <v>1170</v>
      </c>
      <c r="Y520" s="2">
        <f t="shared" si="184"/>
        <v>9.0079075319048248E-3</v>
      </c>
      <c r="Z520" s="2">
        <f t="shared" si="185"/>
        <v>1.5126392349313436E-2</v>
      </c>
      <c r="AA520" s="2" t="str">
        <f t="shared" si="186"/>
        <v>No Impact</v>
      </c>
      <c r="AB520" s="2">
        <f t="shared" si="187"/>
        <v>7.0857378421862139E-3</v>
      </c>
      <c r="AC520" s="2">
        <f t="shared" si="188"/>
        <v>1.5318444734821527E-2</v>
      </c>
      <c r="AD520" s="2" t="str">
        <f t="shared" si="189"/>
        <v>No Impact</v>
      </c>
      <c r="AE520" s="2">
        <f t="shared" si="190"/>
        <v>3.4920996461996322E-3</v>
      </c>
      <c r="AF520" s="2">
        <f t="shared" si="191"/>
        <v>2.3793402884250758E-2</v>
      </c>
      <c r="AG520" s="2" t="s">
        <v>1170</v>
      </c>
    </row>
    <row r="521" spans="1:33" x14ac:dyDescent="0.3">
      <c r="A521" s="2">
        <v>605880</v>
      </c>
      <c r="B521" s="2" t="s">
        <v>1070</v>
      </c>
      <c r="C521" s="2" t="s">
        <v>1060</v>
      </c>
      <c r="D521" s="2" t="s">
        <v>1071</v>
      </c>
      <c r="E521" s="3">
        <v>5.2</v>
      </c>
      <c r="F521" s="4">
        <f t="shared" si="173"/>
        <v>0.44444444444444442</v>
      </c>
      <c r="G521" s="2">
        <v>51.267218400000004</v>
      </c>
      <c r="H521" s="2">
        <f t="shared" si="174"/>
        <v>0.11402684436771943</v>
      </c>
      <c r="I521" s="2">
        <v>0</v>
      </c>
      <c r="J521" s="4">
        <f t="shared" si="175"/>
        <v>0</v>
      </c>
      <c r="K521" s="2">
        <v>0</v>
      </c>
      <c r="L521" s="4">
        <f t="shared" si="176"/>
        <v>0</v>
      </c>
      <c r="M521" s="2">
        <v>16043</v>
      </c>
      <c r="N521" s="2">
        <f t="shared" si="177"/>
        <v>7.4775375793104421E-2</v>
      </c>
      <c r="O521" s="2">
        <v>0.23939532899999999</v>
      </c>
      <c r="P521" s="2">
        <f t="shared" si="172"/>
        <v>0.19909660735189663</v>
      </c>
      <c r="Q521" s="2">
        <v>0.25800000000000001</v>
      </c>
      <c r="R521" s="2">
        <f t="shared" si="178"/>
        <v>0.58772437753329476</v>
      </c>
      <c r="S521" s="2">
        <f t="shared" si="179"/>
        <v>6.9781221991257331E-3</v>
      </c>
      <c r="T521" s="5">
        <f t="shared" si="180"/>
        <v>1.0912920257068219E-2</v>
      </c>
      <c r="U521" s="2" t="str">
        <f t="shared" si="181"/>
        <v>No Impact</v>
      </c>
      <c r="V521" s="2">
        <f t="shared" si="182"/>
        <v>1.0424766508816142E-2</v>
      </c>
      <c r="W521" s="2">
        <f t="shared" si="183"/>
        <v>1.5255067355553341E-2</v>
      </c>
      <c r="X521" s="2" t="s">
        <v>1170</v>
      </c>
      <c r="Y521" s="2">
        <f t="shared" si="184"/>
        <v>3.5314778894353248E-3</v>
      </c>
      <c r="Z521" s="2">
        <f t="shared" si="185"/>
        <v>5.9301807816435365E-3</v>
      </c>
      <c r="AA521" s="2" t="str">
        <f t="shared" si="186"/>
        <v>No Impact</v>
      </c>
      <c r="AB521" s="2">
        <f t="shared" si="187"/>
        <v>5.1723267635460299E-3</v>
      </c>
      <c r="AC521" s="2">
        <f t="shared" si="188"/>
        <v>1.118189854641477E-2</v>
      </c>
      <c r="AD521" s="2" t="str">
        <f t="shared" si="189"/>
        <v>No Impact</v>
      </c>
      <c r="AE521" s="2">
        <f t="shared" si="190"/>
        <v>1.3263289103708081E-3</v>
      </c>
      <c r="AF521" s="2">
        <f t="shared" si="191"/>
        <v>9.0369351733206212E-3</v>
      </c>
      <c r="AG521" s="2" t="s">
        <v>1170</v>
      </c>
    </row>
    <row r="522" spans="1:33" x14ac:dyDescent="0.3">
      <c r="A522" s="2">
        <v>605883</v>
      </c>
      <c r="B522" s="2" t="s">
        <v>1072</v>
      </c>
      <c r="C522" s="2" t="s">
        <v>1060</v>
      </c>
      <c r="D522" s="2" t="s">
        <v>1073</v>
      </c>
      <c r="E522" s="3">
        <v>5.4</v>
      </c>
      <c r="F522" s="4">
        <f t="shared" si="173"/>
        <v>0.48888888888888893</v>
      </c>
      <c r="G522" s="2">
        <v>51.267218400000004</v>
      </c>
      <c r="H522" s="2">
        <f t="shared" si="174"/>
        <v>0.11402684436771943</v>
      </c>
      <c r="I522" s="2">
        <v>0</v>
      </c>
      <c r="J522" s="4">
        <f t="shared" si="175"/>
        <v>0</v>
      </c>
      <c r="K522" s="2">
        <v>0</v>
      </c>
      <c r="L522" s="4">
        <f t="shared" si="176"/>
        <v>0</v>
      </c>
      <c r="M522" s="2">
        <v>37332</v>
      </c>
      <c r="N522" s="2">
        <f t="shared" si="177"/>
        <v>0.17550259518435982</v>
      </c>
      <c r="O522" s="2">
        <v>0.23516765100000001</v>
      </c>
      <c r="P522" s="2">
        <f t="shared" si="172"/>
        <v>0.19421283543264614</v>
      </c>
      <c r="Q522" s="2">
        <v>0.29859999999999998</v>
      </c>
      <c r="R522" s="2">
        <f t="shared" si="178"/>
        <v>0.70526925303995369</v>
      </c>
      <c r="S522" s="2">
        <f t="shared" si="179"/>
        <v>8.7750144630709577E-3</v>
      </c>
      <c r="T522" s="5">
        <f t="shared" si="180"/>
        <v>1.3723037567629763E-2</v>
      </c>
      <c r="U522" s="2" t="str">
        <f t="shared" si="181"/>
        <v>No Impact</v>
      </c>
      <c r="V522" s="2">
        <f t="shared" si="182"/>
        <v>1.376069179163731E-2</v>
      </c>
      <c r="W522" s="2">
        <f t="shared" si="183"/>
        <v>2.0136688909330413E-2</v>
      </c>
      <c r="X522" s="2" t="s">
        <v>1170</v>
      </c>
      <c r="Y522" s="2">
        <f t="shared" si="184"/>
        <v>3.7893371345046052E-3</v>
      </c>
      <c r="Z522" s="2">
        <f t="shared" si="185"/>
        <v>6.3631870151112666E-3</v>
      </c>
      <c r="AA522" s="2" t="str">
        <f t="shared" si="186"/>
        <v>No Impact</v>
      </c>
      <c r="AB522" s="2">
        <f t="shared" si="187"/>
        <v>7.1515401375122651E-3</v>
      </c>
      <c r="AC522" s="2">
        <f t="shared" si="188"/>
        <v>1.5460700749202314E-2</v>
      </c>
      <c r="AD522" s="2" t="str">
        <f t="shared" si="189"/>
        <v>No Impact</v>
      </c>
      <c r="AE522" s="2">
        <f t="shared" si="190"/>
        <v>3.4242767716795011E-3</v>
      </c>
      <c r="AF522" s="2">
        <f t="shared" si="191"/>
        <v>2.3331292079371048E-2</v>
      </c>
      <c r="AG522" s="2" t="s">
        <v>1170</v>
      </c>
    </row>
    <row r="523" spans="1:33" x14ac:dyDescent="0.3">
      <c r="A523" s="2">
        <v>609018</v>
      </c>
      <c r="B523" s="2" t="s">
        <v>1074</v>
      </c>
      <c r="C523" s="2" t="s">
        <v>1075</v>
      </c>
      <c r="D523" s="2" t="s">
        <v>1076</v>
      </c>
      <c r="E523" s="3">
        <v>6.2</v>
      </c>
      <c r="F523" s="4">
        <f t="shared" si="173"/>
        <v>0.66666666666666663</v>
      </c>
      <c r="G523" s="2">
        <v>40.796305199999999</v>
      </c>
      <c r="H523" s="2">
        <f t="shared" si="174"/>
        <v>2.9490253354848433E-2</v>
      </c>
      <c r="I523" s="2">
        <v>0</v>
      </c>
      <c r="J523" s="4">
        <f t="shared" si="175"/>
        <v>0</v>
      </c>
      <c r="K523" s="2">
        <v>0</v>
      </c>
      <c r="L523" s="4">
        <f t="shared" si="176"/>
        <v>0</v>
      </c>
      <c r="M523" s="2">
        <v>14050</v>
      </c>
      <c r="N523" s="2">
        <f t="shared" si="177"/>
        <v>6.5345653953338731E-2</v>
      </c>
      <c r="O523" s="2">
        <v>0.23123280099999999</v>
      </c>
      <c r="P523" s="2">
        <f t="shared" si="172"/>
        <v>0.18966733553022616</v>
      </c>
      <c r="Q523" s="2">
        <v>0.23330000000000001</v>
      </c>
      <c r="R523" s="2">
        <f t="shared" si="178"/>
        <v>0.51621308627678064</v>
      </c>
      <c r="S523" s="2">
        <f t="shared" si="179"/>
        <v>2.4286024556868561E-3</v>
      </c>
      <c r="T523" s="5">
        <f t="shared" si="180"/>
        <v>3.7980339378910857E-3</v>
      </c>
      <c r="U523" s="2" t="str">
        <f t="shared" si="181"/>
        <v>No Impact</v>
      </c>
      <c r="V523" s="2">
        <f t="shared" si="182"/>
        <v>3.5520927631911151E-3</v>
      </c>
      <c r="W523" s="2">
        <f t="shared" si="183"/>
        <v>5.1979499310443236E-3</v>
      </c>
      <c r="X523" s="2" t="s">
        <v>1170</v>
      </c>
      <c r="Y523" s="2">
        <f t="shared" si="184"/>
        <v>1.3051121481825968E-3</v>
      </c>
      <c r="Z523" s="2">
        <f t="shared" si="185"/>
        <v>2.1915898163189359E-3</v>
      </c>
      <c r="AA523" s="2" t="str">
        <f t="shared" si="186"/>
        <v>No Impact</v>
      </c>
      <c r="AB523" s="2">
        <f t="shared" si="187"/>
        <v>1.792142669313983E-3</v>
      </c>
      <c r="AC523" s="2">
        <f t="shared" si="188"/>
        <v>3.8743796409396311E-3</v>
      </c>
      <c r="AD523" s="2" t="str">
        <f t="shared" si="189"/>
        <v>No Impact</v>
      </c>
      <c r="AE523" s="2">
        <f t="shared" si="190"/>
        <v>4.4964730783518281E-4</v>
      </c>
      <c r="AF523" s="2">
        <f t="shared" si="191"/>
        <v>3.0636696071328602E-3</v>
      </c>
      <c r="AG523" s="2" t="s">
        <v>1170</v>
      </c>
    </row>
    <row r="524" spans="1:33" x14ac:dyDescent="0.3">
      <c r="A524" s="2">
        <v>609023</v>
      </c>
      <c r="B524" s="2" t="s">
        <v>1077</v>
      </c>
      <c r="C524" s="2" t="s">
        <v>1075</v>
      </c>
      <c r="D524" s="2" t="s">
        <v>1078</v>
      </c>
      <c r="E524" s="3">
        <v>6.5</v>
      </c>
      <c r="F524" s="4">
        <f t="shared" si="173"/>
        <v>0.73333333333333328</v>
      </c>
      <c r="G524" s="2">
        <v>45.786358799999995</v>
      </c>
      <c r="H524" s="2">
        <f t="shared" si="174"/>
        <v>6.9777295397705205E-2</v>
      </c>
      <c r="I524" s="2">
        <v>0</v>
      </c>
      <c r="J524" s="4">
        <f t="shared" si="175"/>
        <v>0</v>
      </c>
      <c r="K524" s="2">
        <v>0</v>
      </c>
      <c r="L524" s="4">
        <f t="shared" si="176"/>
        <v>0</v>
      </c>
      <c r="M524" s="2">
        <v>23393</v>
      </c>
      <c r="N524" s="2">
        <f t="shared" si="177"/>
        <v>0.10955131935671601</v>
      </c>
      <c r="O524" s="2">
        <v>0.50806203900000002</v>
      </c>
      <c r="P524" s="2">
        <f t="shared" si="172"/>
        <v>0.50945774032735558</v>
      </c>
      <c r="Q524" s="2">
        <v>0.214</v>
      </c>
      <c r="R524" s="2">
        <f t="shared" si="178"/>
        <v>0.4603358425014476</v>
      </c>
      <c r="S524" s="2">
        <f t="shared" si="179"/>
        <v>8.6842619073266829E-3</v>
      </c>
      <c r="T524" s="5">
        <f t="shared" si="180"/>
        <v>1.3581111792227535E-2</v>
      </c>
      <c r="U524" s="2" t="str">
        <f t="shared" si="181"/>
        <v>No Impact</v>
      </c>
      <c r="V524" s="2">
        <f t="shared" si="182"/>
        <v>8.2443874498562501E-3</v>
      </c>
      <c r="W524" s="2">
        <f t="shared" si="183"/>
        <v>1.2064412737347562E-2</v>
      </c>
      <c r="X524" s="2" t="s">
        <v>1170</v>
      </c>
      <c r="Y524" s="2">
        <f t="shared" si="184"/>
        <v>9.1241363647971141E-3</v>
      </c>
      <c r="Z524" s="2">
        <f t="shared" si="185"/>
        <v>1.5321567857321763E-2</v>
      </c>
      <c r="AA524" s="2" t="str">
        <f t="shared" si="186"/>
        <v>No Impact</v>
      </c>
      <c r="AB524" s="2">
        <f t="shared" si="187"/>
        <v>6.3094800139034003E-3</v>
      </c>
      <c r="AC524" s="2">
        <f t="shared" si="188"/>
        <v>1.3640276150637213E-2</v>
      </c>
      <c r="AD524" s="2" t="str">
        <f t="shared" si="189"/>
        <v>No Impact</v>
      </c>
      <c r="AE524" s="2">
        <f t="shared" si="190"/>
        <v>1.9620099914702239E-3</v>
      </c>
      <c r="AF524" s="2">
        <f t="shared" si="191"/>
        <v>1.3368144932742769E-2</v>
      </c>
      <c r="AG524" s="2" t="s">
        <v>1170</v>
      </c>
    </row>
    <row r="525" spans="1:33" x14ac:dyDescent="0.3">
      <c r="A525" s="2">
        <v>609027</v>
      </c>
      <c r="B525" s="2" t="s">
        <v>1079</v>
      </c>
      <c r="C525" s="2" t="s">
        <v>1075</v>
      </c>
      <c r="D525" s="2" t="s">
        <v>1080</v>
      </c>
      <c r="E525" s="3">
        <v>6.3</v>
      </c>
      <c r="F525" s="4">
        <f t="shared" si="173"/>
        <v>0.68888888888888877</v>
      </c>
      <c r="G525" s="2">
        <v>44.717608800000001</v>
      </c>
      <c r="H525" s="2">
        <f t="shared" si="174"/>
        <v>6.1148775619219664E-2</v>
      </c>
      <c r="I525" s="2">
        <v>0</v>
      </c>
      <c r="J525" s="4">
        <f t="shared" si="175"/>
        <v>0</v>
      </c>
      <c r="K525" s="2">
        <v>0</v>
      </c>
      <c r="L525" s="4">
        <f t="shared" si="176"/>
        <v>0</v>
      </c>
      <c r="M525" s="2">
        <v>9097</v>
      </c>
      <c r="N525" s="2">
        <f t="shared" si="177"/>
        <v>4.1910926270268226E-2</v>
      </c>
      <c r="O525" s="2">
        <v>0.21953971899999999</v>
      </c>
      <c r="P525" s="2">
        <f t="shared" si="172"/>
        <v>0.1761596025569265</v>
      </c>
      <c r="Q525" s="2">
        <v>0.16289999999999999</v>
      </c>
      <c r="R525" s="2">
        <f t="shared" si="178"/>
        <v>0.31239143022582511</v>
      </c>
      <c r="S525" s="2">
        <f t="shared" si="179"/>
        <v>3.601512529794999E-3</v>
      </c>
      <c r="T525" s="5">
        <f t="shared" si="180"/>
        <v>5.6323202605149279E-3</v>
      </c>
      <c r="U525" s="2" t="str">
        <f t="shared" si="181"/>
        <v>No Impact</v>
      </c>
      <c r="V525" s="2">
        <f t="shared" si="182"/>
        <v>4.6057896705304462E-3</v>
      </c>
      <c r="W525" s="2">
        <f t="shared" si="183"/>
        <v>6.739875813049058E-3</v>
      </c>
      <c r="X525" s="2" t="s">
        <v>1170</v>
      </c>
      <c r="Y525" s="2">
        <f t="shared" si="184"/>
        <v>2.5972353890595522E-3</v>
      </c>
      <c r="Z525" s="2">
        <f t="shared" si="185"/>
        <v>4.3613682066881605E-3</v>
      </c>
      <c r="AA525" s="2" t="str">
        <f t="shared" si="186"/>
        <v>No Impact</v>
      </c>
      <c r="AB525" s="2">
        <f t="shared" si="187"/>
        <v>2.6074689999837897E-3</v>
      </c>
      <c r="AC525" s="2">
        <f t="shared" si="188"/>
        <v>5.637009252051065E-3</v>
      </c>
      <c r="AD525" s="2" t="str">
        <f t="shared" si="189"/>
        <v>No Impact</v>
      </c>
      <c r="AE525" s="2">
        <f t="shared" si="190"/>
        <v>6.1791999594362323E-4</v>
      </c>
      <c r="AF525" s="2">
        <f t="shared" si="191"/>
        <v>4.2101946975429266E-3</v>
      </c>
      <c r="AG525" s="2" t="s">
        <v>1170</v>
      </c>
    </row>
    <row r="526" spans="1:33" x14ac:dyDescent="0.3">
      <c r="A526" s="2">
        <v>609029</v>
      </c>
      <c r="B526" s="2" t="s">
        <v>1081</v>
      </c>
      <c r="C526" s="2" t="s">
        <v>1075</v>
      </c>
      <c r="D526" s="2" t="s">
        <v>1082</v>
      </c>
      <c r="E526" s="3">
        <v>6.5</v>
      </c>
      <c r="F526" s="4">
        <f t="shared" si="173"/>
        <v>0.73333333333333328</v>
      </c>
      <c r="G526" s="2">
        <v>44.717608800000001</v>
      </c>
      <c r="H526" s="2">
        <f t="shared" si="174"/>
        <v>6.1148775619219664E-2</v>
      </c>
      <c r="I526" s="2">
        <v>0</v>
      </c>
      <c r="J526" s="4">
        <f t="shared" si="175"/>
        <v>0</v>
      </c>
      <c r="K526" s="2">
        <v>0</v>
      </c>
      <c r="L526" s="4">
        <f t="shared" si="176"/>
        <v>0</v>
      </c>
      <c r="M526" s="2">
        <v>10856</v>
      </c>
      <c r="N526" s="2">
        <f t="shared" si="177"/>
        <v>5.0233495621069962E-2</v>
      </c>
      <c r="O526" s="2">
        <v>0.55183957800000005</v>
      </c>
      <c r="P526" s="2">
        <f t="shared" si="172"/>
        <v>0.5600291215115647</v>
      </c>
      <c r="Q526" s="2">
        <v>0.16769999999999999</v>
      </c>
      <c r="R526" s="2">
        <f t="shared" si="178"/>
        <v>0.32628836132020844</v>
      </c>
      <c r="S526" s="2">
        <f t="shared" si="179"/>
        <v>6.9553110402508639E-3</v>
      </c>
      <c r="T526" s="5">
        <f t="shared" si="180"/>
        <v>1.0877246425245103E-2</v>
      </c>
      <c r="U526" s="2" t="str">
        <f t="shared" si="181"/>
        <v>No Impact</v>
      </c>
      <c r="V526" s="2">
        <f t="shared" si="182"/>
        <v>5.1210476736732891E-3</v>
      </c>
      <c r="W526" s="2">
        <f t="shared" si="183"/>
        <v>7.4938778846335482E-3</v>
      </c>
      <c r="X526" s="2" t="s">
        <v>1170</v>
      </c>
      <c r="Y526" s="2">
        <f t="shared" si="184"/>
        <v>8.7895744068284386E-3</v>
      </c>
      <c r="Z526" s="2">
        <f t="shared" si="185"/>
        <v>1.4759759754445006E-2</v>
      </c>
      <c r="AA526" s="2" t="str">
        <f t="shared" si="186"/>
        <v>No Impact</v>
      </c>
      <c r="AB526" s="2">
        <f t="shared" si="187"/>
        <v>4.7051815627492987E-3</v>
      </c>
      <c r="AC526" s="2">
        <f t="shared" si="188"/>
        <v>1.0171991307264929E-2</v>
      </c>
      <c r="AD526" s="2" t="str">
        <f t="shared" si="189"/>
        <v>No Impact</v>
      </c>
      <c r="AE526" s="2">
        <f t="shared" si="190"/>
        <v>7.884072997574775E-4</v>
      </c>
      <c r="AF526" s="2">
        <f t="shared" si="191"/>
        <v>5.3718090606116485E-3</v>
      </c>
      <c r="AG526" s="2" t="s">
        <v>1170</v>
      </c>
    </row>
    <row r="527" spans="1:33" x14ac:dyDescent="0.3">
      <c r="A527" s="2">
        <v>609032</v>
      </c>
      <c r="B527" s="2" t="s">
        <v>1083</v>
      </c>
      <c r="C527" s="2" t="s">
        <v>1075</v>
      </c>
      <c r="D527" s="2" t="s">
        <v>1084</v>
      </c>
      <c r="E527" s="3">
        <v>6.4</v>
      </c>
      <c r="F527" s="4">
        <f t="shared" si="173"/>
        <v>0.71111111111111114</v>
      </c>
      <c r="G527" s="2">
        <v>46.443783600000003</v>
      </c>
      <c r="H527" s="2">
        <f t="shared" si="174"/>
        <v>7.5084994007919945E-2</v>
      </c>
      <c r="I527" s="2">
        <v>0</v>
      </c>
      <c r="J527" s="4">
        <f t="shared" si="175"/>
        <v>0</v>
      </c>
      <c r="K527" s="2">
        <v>0</v>
      </c>
      <c r="L527" s="4">
        <f t="shared" si="176"/>
        <v>0</v>
      </c>
      <c r="M527" s="2">
        <v>11765</v>
      </c>
      <c r="N527" s="2">
        <f t="shared" si="177"/>
        <v>5.4534357212814577E-2</v>
      </c>
      <c r="O527" s="2">
        <v>0.37322738300000002</v>
      </c>
      <c r="P527" s="2">
        <f t="shared" si="172"/>
        <v>0.35369807586979679</v>
      </c>
      <c r="Q527" s="2">
        <v>0.16550000000000001</v>
      </c>
      <c r="R527" s="2">
        <f t="shared" si="178"/>
        <v>0.31991893456861614</v>
      </c>
      <c r="S527" s="2">
        <f t="shared" si="179"/>
        <v>6.2942169661654801E-3</v>
      </c>
      <c r="T527" s="5">
        <f t="shared" si="180"/>
        <v>9.8433770393209028E-3</v>
      </c>
      <c r="U527" s="2" t="str">
        <f t="shared" si="181"/>
        <v>No Impact</v>
      </c>
      <c r="V527" s="2">
        <f t="shared" si="182"/>
        <v>5.978587697626052E-3</v>
      </c>
      <c r="W527" s="2">
        <f t="shared" si="183"/>
        <v>8.7487578682206163E-3</v>
      </c>
      <c r="X527" s="2" t="s">
        <v>1170</v>
      </c>
      <c r="Y527" s="2">
        <f t="shared" si="184"/>
        <v>6.6098462347049082E-3</v>
      </c>
      <c r="Z527" s="2">
        <f t="shared" si="185"/>
        <v>1.1099484221019303E-2</v>
      </c>
      <c r="AA527" s="2" t="str">
        <f t="shared" si="186"/>
        <v>No Impact</v>
      </c>
      <c r="AB527" s="2">
        <f t="shared" si="187"/>
        <v>4.4321544665236086E-3</v>
      </c>
      <c r="AC527" s="2">
        <f t="shared" si="188"/>
        <v>9.5817421930877635E-3</v>
      </c>
      <c r="AD527" s="2" t="str">
        <f t="shared" si="189"/>
        <v>No Impact</v>
      </c>
      <c r="AE527" s="2">
        <f t="shared" si="190"/>
        <v>1.0191282912657648E-3</v>
      </c>
      <c r="AF527" s="2">
        <f t="shared" si="191"/>
        <v>6.9438253433614025E-3</v>
      </c>
      <c r="AG527" s="2" t="s">
        <v>1170</v>
      </c>
    </row>
    <row r="528" spans="1:33" x14ac:dyDescent="0.3">
      <c r="A528" s="2">
        <v>609033</v>
      </c>
      <c r="B528" s="2" t="s">
        <v>1085</v>
      </c>
      <c r="C528" s="2" t="s">
        <v>1075</v>
      </c>
      <c r="D528" s="2" t="s">
        <v>1086</v>
      </c>
      <c r="E528" s="3">
        <v>5.9</v>
      </c>
      <c r="F528" s="4">
        <f t="shared" si="173"/>
        <v>0.60000000000000009</v>
      </c>
      <c r="G528" s="2">
        <v>40.796305199999999</v>
      </c>
      <c r="H528" s="2">
        <f t="shared" si="174"/>
        <v>2.9490253354848433E-2</v>
      </c>
      <c r="I528" s="2">
        <v>0</v>
      </c>
      <c r="J528" s="4">
        <f t="shared" si="175"/>
        <v>0</v>
      </c>
      <c r="K528" s="2">
        <v>0</v>
      </c>
      <c r="L528" s="4">
        <f t="shared" si="176"/>
        <v>0</v>
      </c>
      <c r="M528" s="2">
        <v>20104</v>
      </c>
      <c r="N528" s="2">
        <f t="shared" si="177"/>
        <v>9.3989676039611461E-2</v>
      </c>
      <c r="O528" s="2">
        <v>0.393606291</v>
      </c>
      <c r="P528" s="2">
        <f t="shared" si="172"/>
        <v>0.37723958935199425</v>
      </c>
      <c r="Q528" s="2">
        <v>0.22020000000000001</v>
      </c>
      <c r="R528" s="2">
        <f t="shared" si="178"/>
        <v>0.4782860451650261</v>
      </c>
      <c r="S528" s="2">
        <f t="shared" si="179"/>
        <v>2.6491151099148117E-3</v>
      </c>
      <c r="T528" s="5">
        <f t="shared" si="180"/>
        <v>4.1428884621591807E-3</v>
      </c>
      <c r="U528" s="2" t="str">
        <f t="shared" si="181"/>
        <v>No Impact</v>
      </c>
      <c r="V528" s="2">
        <f t="shared" si="182"/>
        <v>2.9620030960810714E-3</v>
      </c>
      <c r="W528" s="2">
        <f t="shared" si="183"/>
        <v>4.3344430496223786E-3</v>
      </c>
      <c r="X528" s="2" t="s">
        <v>1170</v>
      </c>
      <c r="Y528" s="2">
        <f t="shared" si="184"/>
        <v>2.336227123748552E-3</v>
      </c>
      <c r="Z528" s="2">
        <f t="shared" si="185"/>
        <v>3.9230740286535625E-3</v>
      </c>
      <c r="AA528" s="2" t="str">
        <f t="shared" si="186"/>
        <v>No Impact</v>
      </c>
      <c r="AB528" s="2">
        <f t="shared" si="187"/>
        <v>1.9412950036503383E-3</v>
      </c>
      <c r="AC528" s="2">
        <f t="shared" si="188"/>
        <v>4.1968276119890568E-3</v>
      </c>
      <c r="AD528" s="2" t="str">
        <f t="shared" si="189"/>
        <v>No Impact</v>
      </c>
      <c r="AE528" s="2">
        <f t="shared" si="190"/>
        <v>5.820736654211366E-4</v>
      </c>
      <c r="AF528" s="2">
        <f t="shared" si="191"/>
        <v>3.9659559098635042E-3</v>
      </c>
      <c r="AG528" s="2" t="s">
        <v>1170</v>
      </c>
    </row>
    <row r="529" spans="1:33" x14ac:dyDescent="0.3">
      <c r="A529" s="2">
        <v>609047</v>
      </c>
      <c r="B529" s="2" t="s">
        <v>1087</v>
      </c>
      <c r="C529" s="2" t="s">
        <v>1075</v>
      </c>
      <c r="D529" s="2" t="s">
        <v>1088</v>
      </c>
      <c r="E529" s="3">
        <v>6.5</v>
      </c>
      <c r="F529" s="4">
        <f t="shared" si="173"/>
        <v>0.73333333333333328</v>
      </c>
      <c r="G529" s="2">
        <v>45.786358799999995</v>
      </c>
      <c r="H529" s="2">
        <f t="shared" si="174"/>
        <v>6.9777295397705205E-2</v>
      </c>
      <c r="I529" s="2">
        <v>0</v>
      </c>
      <c r="J529" s="4">
        <f t="shared" si="175"/>
        <v>0</v>
      </c>
      <c r="K529" s="2">
        <v>0</v>
      </c>
      <c r="L529" s="4">
        <f t="shared" si="176"/>
        <v>0</v>
      </c>
      <c r="M529" s="2">
        <v>19694</v>
      </c>
      <c r="N529" s="2">
        <f t="shared" si="177"/>
        <v>9.2049793473478025E-2</v>
      </c>
      <c r="O529" s="2">
        <v>0.36827500400000002</v>
      </c>
      <c r="P529" s="2">
        <f t="shared" si="172"/>
        <v>0.34797713650457412</v>
      </c>
      <c r="Q529" s="2">
        <v>0.2094</v>
      </c>
      <c r="R529" s="2">
        <f t="shared" si="178"/>
        <v>0.44701795020266361</v>
      </c>
      <c r="S529" s="2">
        <f t="shared" si="179"/>
        <v>7.1189845656282145E-3</v>
      </c>
      <c r="T529" s="5">
        <f t="shared" si="180"/>
        <v>1.113321158029212E-2</v>
      </c>
      <c r="U529" s="2" t="str">
        <f t="shared" si="181"/>
        <v>No Impact</v>
      </c>
      <c r="V529" s="2">
        <f t="shared" si="182"/>
        <v>8.0058705802377676E-3</v>
      </c>
      <c r="W529" s="2">
        <f t="shared" si="183"/>
        <v>1.171537941287084E-2</v>
      </c>
      <c r="X529" s="2" t="s">
        <v>1170</v>
      </c>
      <c r="Y529" s="2">
        <f t="shared" si="184"/>
        <v>6.2320985510186623E-3</v>
      </c>
      <c r="Z529" s="2">
        <f t="shared" si="185"/>
        <v>1.0465157142034045E-2</v>
      </c>
      <c r="AA529" s="2" t="str">
        <f t="shared" si="186"/>
        <v>No Impact</v>
      </c>
      <c r="AB529" s="2">
        <f t="shared" si="187"/>
        <v>5.248682477528431E-3</v>
      </c>
      <c r="AC529" s="2">
        <f t="shared" si="188"/>
        <v>1.1346969680977995E-2</v>
      </c>
      <c r="AD529" s="2" t="str">
        <f t="shared" si="189"/>
        <v>No Impact</v>
      </c>
      <c r="AE529" s="2">
        <f t="shared" si="190"/>
        <v>1.6485663118274688E-3</v>
      </c>
      <c r="AF529" s="2">
        <f t="shared" si="191"/>
        <v>1.1232498042088219E-2</v>
      </c>
      <c r="AG529" s="2" t="s">
        <v>1170</v>
      </c>
    </row>
    <row r="530" spans="1:33" x14ac:dyDescent="0.3">
      <c r="A530" s="2">
        <v>609050</v>
      </c>
      <c r="B530" s="2" t="s">
        <v>1089</v>
      </c>
      <c r="C530" s="2" t="s">
        <v>1075</v>
      </c>
      <c r="D530" s="2" t="s">
        <v>1090</v>
      </c>
      <c r="E530" s="3">
        <v>6.4</v>
      </c>
      <c r="F530" s="4">
        <f t="shared" si="173"/>
        <v>0.71111111111111114</v>
      </c>
      <c r="G530" s="2">
        <v>46.443783600000003</v>
      </c>
      <c r="H530" s="2">
        <f t="shared" si="174"/>
        <v>7.5084994007919945E-2</v>
      </c>
      <c r="I530" s="2">
        <v>0</v>
      </c>
      <c r="J530" s="4">
        <f t="shared" si="175"/>
        <v>0</v>
      </c>
      <c r="K530" s="2">
        <v>0</v>
      </c>
      <c r="L530" s="4">
        <f t="shared" si="176"/>
        <v>0</v>
      </c>
      <c r="M530" s="2">
        <v>10210</v>
      </c>
      <c r="N530" s="2">
        <f t="shared" si="177"/>
        <v>4.7176997724186549E-2</v>
      </c>
      <c r="O530" s="2">
        <v>0.21808956400000001</v>
      </c>
      <c r="P530" s="2">
        <f t="shared" si="172"/>
        <v>0.17448439780681055</v>
      </c>
      <c r="Q530" s="2">
        <v>0.17</v>
      </c>
      <c r="R530" s="2">
        <f t="shared" si="178"/>
        <v>0.33294730746960055</v>
      </c>
      <c r="S530" s="2">
        <f t="shared" si="179"/>
        <v>4.7413963706800979E-3</v>
      </c>
      <c r="T530" s="5">
        <f t="shared" si="180"/>
        <v>7.4149576381547493E-3</v>
      </c>
      <c r="U530" s="2" t="str">
        <f t="shared" si="181"/>
        <v>No Impact</v>
      </c>
      <c r="V530" s="2">
        <f t="shared" si="182"/>
        <v>6.2220595948144445E-3</v>
      </c>
      <c r="W530" s="2">
        <f t="shared" si="183"/>
        <v>9.1050421252974762E-3</v>
      </c>
      <c r="X530" s="2" t="s">
        <v>1170</v>
      </c>
      <c r="Y530" s="2">
        <f t="shared" si="184"/>
        <v>3.26073314654575E-3</v>
      </c>
      <c r="Z530" s="2">
        <f t="shared" si="185"/>
        <v>5.475536771038814E-3</v>
      </c>
      <c r="AA530" s="2" t="str">
        <f t="shared" si="186"/>
        <v>No Impact</v>
      </c>
      <c r="AB530" s="2">
        <f t="shared" si="187"/>
        <v>3.4645131487802076E-3</v>
      </c>
      <c r="AC530" s="2">
        <f t="shared" si="188"/>
        <v>7.489827366556615E-3</v>
      </c>
      <c r="AD530" s="2" t="str">
        <f t="shared" si="189"/>
        <v>No Impact</v>
      </c>
      <c r="AE530" s="2">
        <f t="shared" si="190"/>
        <v>8.8163527608979184E-4</v>
      </c>
      <c r="AF530" s="2">
        <f t="shared" si="191"/>
        <v>6.0070173953371987E-3</v>
      </c>
      <c r="AG530" s="2" t="s">
        <v>1170</v>
      </c>
    </row>
    <row r="531" spans="1:33" x14ac:dyDescent="0.3">
      <c r="A531" s="2">
        <v>609086</v>
      </c>
      <c r="B531" s="2" t="s">
        <v>1091</v>
      </c>
      <c r="C531" s="2" t="s">
        <v>1075</v>
      </c>
      <c r="D531" s="2" t="s">
        <v>1092</v>
      </c>
      <c r="E531" s="3">
        <v>6.5</v>
      </c>
      <c r="F531" s="4">
        <f t="shared" si="173"/>
        <v>0.73333333333333328</v>
      </c>
      <c r="G531" s="2">
        <v>48.303547200000004</v>
      </c>
      <c r="H531" s="2">
        <f t="shared" si="174"/>
        <v>9.0099737405260366E-2</v>
      </c>
      <c r="I531" s="2">
        <v>0</v>
      </c>
      <c r="J531" s="4">
        <f t="shared" si="175"/>
        <v>0</v>
      </c>
      <c r="K531" s="2">
        <v>0</v>
      </c>
      <c r="L531" s="4">
        <f t="shared" si="176"/>
        <v>0</v>
      </c>
      <c r="M531" s="2">
        <v>7371</v>
      </c>
      <c r="N531" s="2">
        <f t="shared" si="177"/>
        <v>3.3744493808935759E-2</v>
      </c>
      <c r="O531" s="2">
        <v>0.54880257700000001</v>
      </c>
      <c r="P531" s="2">
        <f t="shared" si="172"/>
        <v>0.5565208079165993</v>
      </c>
      <c r="Q531" s="2">
        <v>0.15190000000000001</v>
      </c>
      <c r="R531" s="2">
        <f t="shared" si="178"/>
        <v>0.28054429646786339</v>
      </c>
      <c r="S531" s="2">
        <f t="shared" si="179"/>
        <v>9.678816082338856E-3</v>
      </c>
      <c r="T531" s="5">
        <f t="shared" si="180"/>
        <v>1.5136471542820886E-2</v>
      </c>
      <c r="U531" s="2" t="str">
        <f t="shared" si="181"/>
        <v>No Impact</v>
      </c>
      <c r="V531" s="2">
        <f t="shared" si="182"/>
        <v>6.4877549768564864E-3</v>
      </c>
      <c r="W531" s="2">
        <f t="shared" si="183"/>
        <v>9.4938470875652707E-3</v>
      </c>
      <c r="X531" s="2" t="s">
        <v>1170</v>
      </c>
      <c r="Y531" s="2">
        <f t="shared" si="184"/>
        <v>1.2869877187821226E-2</v>
      </c>
      <c r="Z531" s="2">
        <f t="shared" si="185"/>
        <v>2.1611546426398127E-2</v>
      </c>
      <c r="AA531" s="2" t="str">
        <f t="shared" si="186"/>
        <v>No Impact</v>
      </c>
      <c r="AB531" s="2">
        <f t="shared" si="187"/>
        <v>6.4048039727028971E-3</v>
      </c>
      <c r="AC531" s="2">
        <f t="shared" si="188"/>
        <v>1.3846354166405853E-2</v>
      </c>
      <c r="AD531" s="2" t="str">
        <f t="shared" si="189"/>
        <v>No Impact</v>
      </c>
      <c r="AE531" s="2">
        <f t="shared" si="190"/>
        <v>7.8036164130502669E-4</v>
      </c>
      <c r="AF531" s="2">
        <f t="shared" si="191"/>
        <v>5.3169900083441766E-3</v>
      </c>
      <c r="AG531" s="2" t="s">
        <v>1170</v>
      </c>
    </row>
    <row r="532" spans="1:33" x14ac:dyDescent="0.3">
      <c r="A532" s="2">
        <v>609089</v>
      </c>
      <c r="B532" s="2" t="s">
        <v>1093</v>
      </c>
      <c r="C532" s="2" t="s">
        <v>1075</v>
      </c>
      <c r="D532" s="2" t="s">
        <v>1094</v>
      </c>
      <c r="E532" s="3">
        <v>6.5</v>
      </c>
      <c r="F532" s="4">
        <f t="shared" si="173"/>
        <v>0.73333333333333328</v>
      </c>
      <c r="G532" s="2">
        <v>40.796305199999999</v>
      </c>
      <c r="H532" s="2">
        <f t="shared" si="174"/>
        <v>2.9490253354848433E-2</v>
      </c>
      <c r="I532" s="2">
        <v>0</v>
      </c>
      <c r="J532" s="4">
        <f t="shared" si="175"/>
        <v>0</v>
      </c>
      <c r="K532" s="2">
        <v>0</v>
      </c>
      <c r="L532" s="4">
        <f t="shared" si="176"/>
        <v>0</v>
      </c>
      <c r="M532" s="2">
        <v>23247</v>
      </c>
      <c r="N532" s="2">
        <f t="shared" si="177"/>
        <v>0.10886053190633679</v>
      </c>
      <c r="O532" s="2">
        <v>0.205712969</v>
      </c>
      <c r="P532" s="2">
        <f t="shared" si="172"/>
        <v>0.16018707735881607</v>
      </c>
      <c r="Q532" s="2">
        <v>0.184</v>
      </c>
      <c r="R532" s="2">
        <f t="shared" si="178"/>
        <v>0.37348002316155188</v>
      </c>
      <c r="S532" s="2">
        <f t="shared" si="179"/>
        <v>2.0197071768582701E-3</v>
      </c>
      <c r="T532" s="5">
        <f t="shared" si="180"/>
        <v>3.1585722827330415E-3</v>
      </c>
      <c r="U532" s="2" t="str">
        <f t="shared" si="181"/>
        <v>No Impact</v>
      </c>
      <c r="V532" s="2">
        <f t="shared" si="182"/>
        <v>2.8269319298755979E-3</v>
      </c>
      <c r="W532" s="2">
        <f t="shared" si="183"/>
        <v>4.1367868492158686E-3</v>
      </c>
      <c r="X532" s="2" t="s">
        <v>1170</v>
      </c>
      <c r="Y532" s="2">
        <f t="shared" si="184"/>
        <v>1.2124824238409421E-3</v>
      </c>
      <c r="Z532" s="2">
        <f t="shared" si="185"/>
        <v>2.0360427540696939E-3</v>
      </c>
      <c r="AA532" s="2" t="str">
        <f t="shared" si="186"/>
        <v>No Impact</v>
      </c>
      <c r="AB532" s="2">
        <f t="shared" si="187"/>
        <v>1.6415650684612276E-3</v>
      </c>
      <c r="AC532" s="2">
        <f t="shared" si="188"/>
        <v>3.5488504288324453E-3</v>
      </c>
      <c r="AD532" s="2" t="str">
        <f t="shared" si="189"/>
        <v>No Impact</v>
      </c>
      <c r="AE532" s="2">
        <f t="shared" si="190"/>
        <v>8.2398333100710121E-4</v>
      </c>
      <c r="AF532" s="2">
        <f t="shared" si="191"/>
        <v>5.6142061655929431E-3</v>
      </c>
      <c r="AG532" s="2" t="s">
        <v>1170</v>
      </c>
    </row>
    <row r="533" spans="1:33" x14ac:dyDescent="0.3">
      <c r="A533" s="2">
        <v>609092</v>
      </c>
      <c r="B533" s="2" t="s">
        <v>1095</v>
      </c>
      <c r="C533" s="2" t="s">
        <v>1075</v>
      </c>
      <c r="D533" s="2" t="s">
        <v>1096</v>
      </c>
      <c r="E533" s="3">
        <v>6.4</v>
      </c>
      <c r="F533" s="4">
        <f t="shared" si="173"/>
        <v>0.71111111111111114</v>
      </c>
      <c r="G533" s="2">
        <v>40.388493599999997</v>
      </c>
      <c r="H533" s="2">
        <f t="shared" si="174"/>
        <v>2.6197799126548203E-2</v>
      </c>
      <c r="I533" s="2">
        <v>0</v>
      </c>
      <c r="J533" s="4">
        <f t="shared" si="175"/>
        <v>0</v>
      </c>
      <c r="K533" s="2">
        <v>0</v>
      </c>
      <c r="L533" s="4">
        <f t="shared" si="176"/>
        <v>0</v>
      </c>
      <c r="M533" s="2">
        <v>18280</v>
      </c>
      <c r="N533" s="2">
        <f t="shared" si="177"/>
        <v>8.5359564330764165E-2</v>
      </c>
      <c r="O533" s="2">
        <v>0.38569935500000002</v>
      </c>
      <c r="P533" s="2">
        <f t="shared" si="172"/>
        <v>0.36810557488729029</v>
      </c>
      <c r="Q533" s="2">
        <v>0.21279999999999999</v>
      </c>
      <c r="R533" s="2">
        <f t="shared" si="178"/>
        <v>0.45686160972785178</v>
      </c>
      <c r="S533" s="2">
        <f t="shared" si="179"/>
        <v>2.6895337265740531E-3</v>
      </c>
      <c r="T533" s="5">
        <f t="shared" si="180"/>
        <v>4.2060981807506056E-3</v>
      </c>
      <c r="U533" s="2" t="str">
        <f t="shared" si="181"/>
        <v>No Impact</v>
      </c>
      <c r="V533" s="2">
        <f t="shared" si="182"/>
        <v>2.9788935382034504E-3</v>
      </c>
      <c r="W533" s="2">
        <f t="shared" si="183"/>
        <v>4.3591596542603877E-3</v>
      </c>
      <c r="X533" s="2" t="s">
        <v>1170</v>
      </c>
      <c r="Y533" s="2">
        <f t="shared" si="184"/>
        <v>2.4001739149446554E-3</v>
      </c>
      <c r="Z533" s="2">
        <f t="shared" si="185"/>
        <v>4.0304557096583786E-3</v>
      </c>
      <c r="AA533" s="2" t="str">
        <f t="shared" si="186"/>
        <v>No Impact</v>
      </c>
      <c r="AB533" s="2">
        <f t="shared" si="187"/>
        <v>1.9574656297852433E-3</v>
      </c>
      <c r="AC533" s="2">
        <f t="shared" si="188"/>
        <v>4.2317864050310777E-3</v>
      </c>
      <c r="AD533" s="2" t="str">
        <f t="shared" si="189"/>
        <v>No Impact</v>
      </c>
      <c r="AE533" s="2">
        <f t="shared" si="190"/>
        <v>5.5657347694468263E-4</v>
      </c>
      <c r="AF533" s="2">
        <f t="shared" si="191"/>
        <v>3.792210507522281E-3</v>
      </c>
      <c r="AG533" s="2" t="s">
        <v>1170</v>
      </c>
    </row>
    <row r="534" spans="1:33" x14ac:dyDescent="0.3">
      <c r="A534" s="2">
        <v>609108</v>
      </c>
      <c r="B534" s="2" t="s">
        <v>1097</v>
      </c>
      <c r="C534" s="2" t="s">
        <v>1098</v>
      </c>
      <c r="D534" s="2" t="s">
        <v>1099</v>
      </c>
      <c r="E534" s="3">
        <v>7</v>
      </c>
      <c r="F534" s="4">
        <f t="shared" si="173"/>
        <v>0.84444444444444444</v>
      </c>
      <c r="G534" s="2">
        <v>51.267218400000004</v>
      </c>
      <c r="H534" s="2">
        <f t="shared" si="174"/>
        <v>0.11402684436771943</v>
      </c>
      <c r="I534" s="2">
        <v>0</v>
      </c>
      <c r="J534" s="4">
        <f t="shared" si="175"/>
        <v>0</v>
      </c>
      <c r="K534" s="2">
        <v>0</v>
      </c>
      <c r="L534" s="4">
        <f t="shared" si="176"/>
        <v>0</v>
      </c>
      <c r="M534" s="2">
        <v>33148</v>
      </c>
      <c r="N534" s="2">
        <f t="shared" si="177"/>
        <v>0.15570633016801275</v>
      </c>
      <c r="O534" s="2">
        <v>0.42358372100000002</v>
      </c>
      <c r="P534" s="2">
        <f t="shared" si="172"/>
        <v>0.41186922075847748</v>
      </c>
      <c r="Q534" s="2">
        <v>0.2142</v>
      </c>
      <c r="R534" s="2">
        <f t="shared" si="178"/>
        <v>0.46091488129704694</v>
      </c>
      <c r="S534" s="2">
        <f t="shared" si="179"/>
        <v>1.4706965174707522E-2</v>
      </c>
      <c r="T534" s="5">
        <f t="shared" si="180"/>
        <v>2.299987498000115E-2</v>
      </c>
      <c r="U534" s="2" t="str">
        <f t="shared" si="181"/>
        <v>No Impact</v>
      </c>
      <c r="V534" s="2">
        <f t="shared" si="182"/>
        <v>1.5533415633432055E-2</v>
      </c>
      <c r="W534" s="2">
        <f t="shared" si="183"/>
        <v>2.2730801840925002E-2</v>
      </c>
      <c r="X534" s="2" t="s">
        <v>1170</v>
      </c>
      <c r="Y534" s="2">
        <f t="shared" si="184"/>
        <v>1.3880514715982986E-2</v>
      </c>
      <c r="Z534" s="2">
        <f t="shared" si="185"/>
        <v>2.3308644195193989E-2</v>
      </c>
      <c r="AA534" s="2" t="str">
        <f t="shared" si="186"/>
        <v>No Impact</v>
      </c>
      <c r="AB534" s="2">
        <f t="shared" si="187"/>
        <v>1.1437475117075479E-2</v>
      </c>
      <c r="AC534" s="2">
        <f t="shared" si="188"/>
        <v>2.4726335406272955E-2</v>
      </c>
      <c r="AD534" s="2" t="str">
        <f t="shared" si="189"/>
        <v>No Impact</v>
      </c>
      <c r="AE534" s="2">
        <f t="shared" si="190"/>
        <v>5.2475006587981874E-3</v>
      </c>
      <c r="AF534" s="2">
        <f t="shared" si="191"/>
        <v>3.5753818607677533E-2</v>
      </c>
      <c r="AG534" s="2" t="s">
        <v>1169</v>
      </c>
    </row>
    <row r="535" spans="1:33" x14ac:dyDescent="0.3">
      <c r="A535" s="2">
        <v>609117</v>
      </c>
      <c r="B535" s="2" t="s">
        <v>1100</v>
      </c>
      <c r="C535" s="2" t="s">
        <v>1098</v>
      </c>
      <c r="D535" s="2" t="s">
        <v>1101</v>
      </c>
      <c r="E535" s="3">
        <v>6.1</v>
      </c>
      <c r="F535" s="4">
        <f t="shared" si="173"/>
        <v>0.64444444444444438</v>
      </c>
      <c r="G535" s="2">
        <v>44.650814400000002</v>
      </c>
      <c r="H535" s="2">
        <f t="shared" si="174"/>
        <v>6.0609513114899601E-2</v>
      </c>
      <c r="I535" s="2">
        <v>0</v>
      </c>
      <c r="J535" s="4">
        <f t="shared" si="175"/>
        <v>0</v>
      </c>
      <c r="K535" s="2">
        <v>0</v>
      </c>
      <c r="L535" s="4">
        <f t="shared" si="176"/>
        <v>0</v>
      </c>
      <c r="M535" s="2">
        <v>29012</v>
      </c>
      <c r="N535" s="2">
        <f t="shared" si="177"/>
        <v>0.1361371733545301</v>
      </c>
      <c r="O535" s="2">
        <v>0.16897221900000001</v>
      </c>
      <c r="P535" s="2">
        <f t="shared" si="172"/>
        <v>0.11774452540897423</v>
      </c>
      <c r="Q535" s="2">
        <v>0.24479999999999999</v>
      </c>
      <c r="R535" s="2">
        <f t="shared" si="178"/>
        <v>0.54950781702374063</v>
      </c>
      <c r="S535" s="2">
        <f t="shared" si="179"/>
        <v>4.5609407992908274E-3</v>
      </c>
      <c r="T535" s="5">
        <f t="shared" si="180"/>
        <v>7.1327474382872954E-3</v>
      </c>
      <c r="U535" s="2" t="str">
        <f t="shared" si="181"/>
        <v>No Impact</v>
      </c>
      <c r="V535" s="2">
        <f t="shared" si="182"/>
        <v>7.5122182802844122E-3</v>
      </c>
      <c r="W535" s="2">
        <f t="shared" si="183"/>
        <v>1.0992994016551065E-2</v>
      </c>
      <c r="X535" s="2" t="s">
        <v>1170</v>
      </c>
      <c r="Y535" s="2">
        <f t="shared" si="184"/>
        <v>1.6096633182972433E-3</v>
      </c>
      <c r="Z535" s="2">
        <f t="shared" si="185"/>
        <v>2.7030027580348787E-3</v>
      </c>
      <c r="AA535" s="2" t="str">
        <f t="shared" si="186"/>
        <v>No Impact</v>
      </c>
      <c r="AB535" s="2">
        <f t="shared" si="187"/>
        <v>3.7635624088704087E-3</v>
      </c>
      <c r="AC535" s="2">
        <f t="shared" si="188"/>
        <v>8.136333018573175E-3</v>
      </c>
      <c r="AD535" s="2" t="str">
        <f t="shared" si="189"/>
        <v>No Impact</v>
      </c>
      <c r="AE535" s="2">
        <f t="shared" si="190"/>
        <v>1.8611057579476897E-3</v>
      </c>
      <c r="AF535" s="2">
        <f t="shared" si="191"/>
        <v>1.268063445934005E-2</v>
      </c>
      <c r="AG535" s="2" t="s">
        <v>1170</v>
      </c>
    </row>
    <row r="536" spans="1:33" x14ac:dyDescent="0.3">
      <c r="A536" s="2">
        <v>609120</v>
      </c>
      <c r="B536" s="2" t="s">
        <v>1102</v>
      </c>
      <c r="C536" s="2" t="s">
        <v>1098</v>
      </c>
      <c r="D536" s="2" t="s">
        <v>1103</v>
      </c>
      <c r="E536" s="3">
        <v>7</v>
      </c>
      <c r="F536" s="4">
        <f t="shared" si="173"/>
        <v>0.84444444444444444</v>
      </c>
      <c r="G536" s="2">
        <v>45.786358799999995</v>
      </c>
      <c r="H536" s="2">
        <f t="shared" si="174"/>
        <v>6.9777295397705205E-2</v>
      </c>
      <c r="I536" s="2">
        <v>0</v>
      </c>
      <c r="J536" s="4">
        <f t="shared" si="175"/>
        <v>0</v>
      </c>
      <c r="K536" s="2">
        <v>0</v>
      </c>
      <c r="L536" s="4">
        <f t="shared" si="176"/>
        <v>0</v>
      </c>
      <c r="M536" s="2">
        <v>16977</v>
      </c>
      <c r="N536" s="2">
        <f t="shared" si="177"/>
        <v>7.9194522907174256E-2</v>
      </c>
      <c r="O536" s="2">
        <v>0.44502898200000002</v>
      </c>
      <c r="P536" s="2">
        <f t="shared" si="172"/>
        <v>0.43664257470662543</v>
      </c>
      <c r="Q536" s="2">
        <v>0.23630000000000001</v>
      </c>
      <c r="R536" s="2">
        <f t="shared" si="178"/>
        <v>0.52489866821077025</v>
      </c>
      <c r="S536" s="2">
        <f t="shared" si="179"/>
        <v>9.9149648852982844E-3</v>
      </c>
      <c r="T536" s="5">
        <f t="shared" si="180"/>
        <v>1.5505779070255878E-2</v>
      </c>
      <c r="U536" s="2" t="str">
        <f t="shared" si="181"/>
        <v>No Impact</v>
      </c>
      <c r="V536" s="2">
        <f t="shared" si="182"/>
        <v>1.082502056356769E-2</v>
      </c>
      <c r="W536" s="2">
        <f t="shared" si="183"/>
        <v>1.5840778561593733E-2</v>
      </c>
      <c r="X536" s="2" t="s">
        <v>1170</v>
      </c>
      <c r="Y536" s="2">
        <f t="shared" si="184"/>
        <v>9.0049092070288786E-3</v>
      </c>
      <c r="Z536" s="2">
        <f t="shared" si="185"/>
        <v>1.5121357457658118E-2</v>
      </c>
      <c r="AA536" s="2" t="str">
        <f t="shared" si="186"/>
        <v>No Impact</v>
      </c>
      <c r="AB536" s="2">
        <f t="shared" si="187"/>
        <v>7.0618618510327772E-3</v>
      </c>
      <c r="AC536" s="2">
        <f t="shared" si="188"/>
        <v>1.5266827943582726E-2</v>
      </c>
      <c r="AD536" s="2" t="str">
        <f t="shared" si="189"/>
        <v>No Impact</v>
      </c>
      <c r="AE536" s="2">
        <f t="shared" si="190"/>
        <v>1.6332339762154943E-3</v>
      </c>
      <c r="AF536" s="2">
        <f t="shared" si="191"/>
        <v>1.1128031252668489E-2</v>
      </c>
      <c r="AG536" s="2" t="s">
        <v>1170</v>
      </c>
    </row>
    <row r="537" spans="1:33" x14ac:dyDescent="0.3">
      <c r="A537" s="2">
        <v>609127</v>
      </c>
      <c r="B537" s="2" t="s">
        <v>1104</v>
      </c>
      <c r="C537" s="2" t="s">
        <v>1098</v>
      </c>
      <c r="D537" s="2" t="s">
        <v>1141</v>
      </c>
      <c r="E537" s="3">
        <v>6.9</v>
      </c>
      <c r="F537" s="4">
        <f t="shared" si="173"/>
        <v>0.8222222222222223</v>
      </c>
      <c r="G537" s="2">
        <v>40.1670072</v>
      </c>
      <c r="H537" s="2">
        <f t="shared" si="174"/>
        <v>2.4409635586837758E-2</v>
      </c>
      <c r="I537" s="2">
        <v>0</v>
      </c>
      <c r="J537" s="4">
        <f t="shared" si="175"/>
        <v>0</v>
      </c>
      <c r="K537" s="2">
        <v>0</v>
      </c>
      <c r="L537" s="4">
        <f t="shared" si="176"/>
        <v>0</v>
      </c>
      <c r="M537" s="2">
        <v>8775</v>
      </c>
      <c r="N537" s="2">
        <f t="shared" si="177"/>
        <v>4.0387408742719524E-2</v>
      </c>
      <c r="O537" s="2">
        <v>0.250346597</v>
      </c>
      <c r="P537" s="2">
        <f t="shared" si="172"/>
        <v>0.21174740411044515</v>
      </c>
      <c r="Q537" s="2">
        <v>0.2392</v>
      </c>
      <c r="R537" s="2">
        <f t="shared" si="178"/>
        <v>0.5332947307469601</v>
      </c>
      <c r="S537" s="2">
        <f t="shared" si="179"/>
        <v>2.6167931195864463E-3</v>
      </c>
      <c r="T537" s="5">
        <f t="shared" si="180"/>
        <v>4.0923408659810324E-3</v>
      </c>
      <c r="U537" s="2" t="str">
        <f t="shared" si="181"/>
        <v>No Impact</v>
      </c>
      <c r="V537" s="2">
        <f t="shared" si="182"/>
        <v>3.7461558664663788E-3</v>
      </c>
      <c r="W537" s="2">
        <f t="shared" si="183"/>
        <v>5.4819318992915958E-3</v>
      </c>
      <c r="X537" s="2" t="s">
        <v>1170</v>
      </c>
      <c r="Y537" s="2">
        <f t="shared" si="184"/>
        <v>1.4874303727065146E-3</v>
      </c>
      <c r="Z537" s="2">
        <f t="shared" si="185"/>
        <v>2.4977449346759101E-3</v>
      </c>
      <c r="AA537" s="2" t="str">
        <f t="shared" si="186"/>
        <v>No Impact</v>
      </c>
      <c r="AB537" s="2">
        <f t="shared" si="187"/>
        <v>1.8566798549950641E-3</v>
      </c>
      <c r="AC537" s="2">
        <f t="shared" si="188"/>
        <v>4.0139006526133478E-3</v>
      </c>
      <c r="AD537" s="2" t="str">
        <f t="shared" si="189"/>
        <v>No Impact</v>
      </c>
      <c r="AE537" s="2">
        <f t="shared" si="190"/>
        <v>2.8370339977107806E-4</v>
      </c>
      <c r="AF537" s="2">
        <f t="shared" si="191"/>
        <v>1.9330116475144315E-3</v>
      </c>
      <c r="AG537" s="2" t="s">
        <v>1170</v>
      </c>
    </row>
    <row r="538" spans="1:33" x14ac:dyDescent="0.3">
      <c r="A538" s="2">
        <v>609131</v>
      </c>
      <c r="B538" s="2" t="s">
        <v>1105</v>
      </c>
      <c r="C538" s="2" t="s">
        <v>1098</v>
      </c>
      <c r="D538" s="2" t="s">
        <v>1106</v>
      </c>
      <c r="E538" s="3">
        <v>7</v>
      </c>
      <c r="F538" s="4">
        <f t="shared" si="173"/>
        <v>0.84444444444444444</v>
      </c>
      <c r="G538" s="2">
        <v>45.786358799999995</v>
      </c>
      <c r="H538" s="2">
        <f t="shared" si="174"/>
        <v>6.9777295397705205E-2</v>
      </c>
      <c r="I538" s="2">
        <v>0</v>
      </c>
      <c r="J538" s="4">
        <f t="shared" si="175"/>
        <v>0</v>
      </c>
      <c r="K538" s="2">
        <v>0</v>
      </c>
      <c r="L538" s="4">
        <f t="shared" si="176"/>
        <v>0</v>
      </c>
      <c r="M538" s="2">
        <v>13160</v>
      </c>
      <c r="N538" s="2">
        <f t="shared" si="177"/>
        <v>6.113468935856127E-2</v>
      </c>
      <c r="O538" s="2">
        <v>0.20688483899999999</v>
      </c>
      <c r="P538" s="2">
        <f t="shared" si="172"/>
        <v>0.16154081002223369</v>
      </c>
      <c r="Q538" s="2">
        <v>0.2535</v>
      </c>
      <c r="R538" s="2">
        <f t="shared" si="178"/>
        <v>0.57469600463231041</v>
      </c>
      <c r="S538" s="2">
        <f t="shared" si="179"/>
        <v>7.5917306910472035E-3</v>
      </c>
      <c r="T538" s="5">
        <f t="shared" si="180"/>
        <v>1.1872528064199748E-2</v>
      </c>
      <c r="U538" s="2" t="str">
        <f t="shared" si="181"/>
        <v>No Impact</v>
      </c>
      <c r="V538" s="2">
        <f t="shared" si="182"/>
        <v>1.1851994384270193E-2</v>
      </c>
      <c r="W538" s="2">
        <f t="shared" si="183"/>
        <v>1.7343599252489551E-2</v>
      </c>
      <c r="X538" s="2" t="s">
        <v>1170</v>
      </c>
      <c r="Y538" s="2">
        <f t="shared" si="184"/>
        <v>3.3314669978242112E-3</v>
      </c>
      <c r="Z538" s="2">
        <f t="shared" si="185"/>
        <v>5.5943155199354227E-3</v>
      </c>
      <c r="AA538" s="2" t="str">
        <f t="shared" si="186"/>
        <v>No Impact</v>
      </c>
      <c r="AB538" s="2">
        <f t="shared" si="187"/>
        <v>5.5889128185316467E-3</v>
      </c>
      <c r="AC538" s="2">
        <f t="shared" si="188"/>
        <v>1.2082503480258269E-2</v>
      </c>
      <c r="AD538" s="2" t="str">
        <f t="shared" si="189"/>
        <v>No Impact</v>
      </c>
      <c r="AE538" s="2">
        <f t="shared" si="190"/>
        <v>1.2607848133994745E-3</v>
      </c>
      <c r="AF538" s="2">
        <f t="shared" si="191"/>
        <v>8.5903508074877261E-3</v>
      </c>
      <c r="AG538" s="2" t="s">
        <v>1170</v>
      </c>
    </row>
    <row r="539" spans="1:33" x14ac:dyDescent="0.3">
      <c r="A539" s="2">
        <v>609135</v>
      </c>
      <c r="B539" s="2" t="s">
        <v>1107</v>
      </c>
      <c r="C539" s="2" t="s">
        <v>1098</v>
      </c>
      <c r="D539" s="2" t="s">
        <v>1108</v>
      </c>
      <c r="E539" s="3">
        <v>7</v>
      </c>
      <c r="F539" s="4">
        <f t="shared" si="173"/>
        <v>0.84444444444444444</v>
      </c>
      <c r="G539" s="2">
        <v>44.650814400000002</v>
      </c>
      <c r="H539" s="2">
        <f t="shared" si="174"/>
        <v>6.0609513114899601E-2</v>
      </c>
      <c r="I539" s="2">
        <v>0</v>
      </c>
      <c r="J539" s="4">
        <f t="shared" si="175"/>
        <v>0</v>
      </c>
      <c r="K539" s="2">
        <v>0</v>
      </c>
      <c r="L539" s="4">
        <f t="shared" si="176"/>
        <v>0</v>
      </c>
      <c r="M539" s="2">
        <v>11651</v>
      </c>
      <c r="N539" s="2">
        <f t="shared" si="177"/>
        <v>5.3994975231011627E-2</v>
      </c>
      <c r="O539" s="2">
        <v>0.16908443100000001</v>
      </c>
      <c r="P539" s="2">
        <f t="shared" si="172"/>
        <v>0.11787415160439473</v>
      </c>
      <c r="Q539" s="2">
        <v>0.23710000000000001</v>
      </c>
      <c r="R539" s="2">
        <f t="shared" si="178"/>
        <v>0.52721482339316739</v>
      </c>
      <c r="S539" s="2">
        <f t="shared" si="179"/>
        <v>5.7778936842467999E-3</v>
      </c>
      <c r="T539" s="5">
        <f t="shared" si="180"/>
        <v>9.0359112710727846E-3</v>
      </c>
      <c r="U539" s="2" t="str">
        <f t="shared" si="181"/>
        <v>No Impact</v>
      </c>
      <c r="V539" s="2">
        <f t="shared" si="182"/>
        <v>9.4442513091661066E-3</v>
      </c>
      <c r="W539" s="2">
        <f t="shared" si="183"/>
        <v>1.3820231822195791E-2</v>
      </c>
      <c r="X539" s="2" t="s">
        <v>1170</v>
      </c>
      <c r="Y539" s="2">
        <f t="shared" si="184"/>
        <v>2.1115360593274932E-3</v>
      </c>
      <c r="Z539" s="2">
        <f t="shared" si="185"/>
        <v>3.5457649603955E-3</v>
      </c>
      <c r="AA539" s="2" t="str">
        <f t="shared" si="186"/>
        <v>No Impact</v>
      </c>
      <c r="AB539" s="2">
        <f t="shared" si="187"/>
        <v>4.2774820123845959E-3</v>
      </c>
      <c r="AC539" s="2">
        <f t="shared" si="188"/>
        <v>9.247360440121772E-3</v>
      </c>
      <c r="AD539" s="2" t="str">
        <f t="shared" si="189"/>
        <v>No Impact</v>
      </c>
      <c r="AE539" s="2">
        <f t="shared" si="190"/>
        <v>9.6723781822345819E-4</v>
      </c>
      <c r="AF539" s="2">
        <f t="shared" si="191"/>
        <v>6.5902698735758845E-3</v>
      </c>
      <c r="AG539" s="2" t="s">
        <v>1170</v>
      </c>
    </row>
    <row r="540" spans="1:33" x14ac:dyDescent="0.3">
      <c r="A540" s="2">
        <v>609138</v>
      </c>
      <c r="B540" s="2" t="s">
        <v>1109</v>
      </c>
      <c r="C540" s="2" t="s">
        <v>1098</v>
      </c>
      <c r="D540" s="2" t="s">
        <v>1110</v>
      </c>
      <c r="E540" s="3">
        <v>6.5</v>
      </c>
      <c r="F540" s="4">
        <f t="shared" si="173"/>
        <v>0.73333333333333328</v>
      </c>
      <c r="G540" s="2">
        <v>44.650814400000002</v>
      </c>
      <c r="H540" s="2">
        <f t="shared" si="174"/>
        <v>6.0609513114899601E-2</v>
      </c>
      <c r="I540" s="2">
        <v>0</v>
      </c>
      <c r="J540" s="4">
        <f t="shared" si="175"/>
        <v>0</v>
      </c>
      <c r="K540" s="2">
        <v>0</v>
      </c>
      <c r="L540" s="4">
        <f t="shared" si="176"/>
        <v>0</v>
      </c>
      <c r="M540" s="2">
        <v>29178</v>
      </c>
      <c r="N540" s="2">
        <f t="shared" si="177"/>
        <v>0.13692258922276948</v>
      </c>
      <c r="O540" s="2">
        <v>0.24309862900000001</v>
      </c>
      <c r="P540" s="2">
        <f t="shared" si="172"/>
        <v>0.20337462297857409</v>
      </c>
      <c r="Q540" s="2">
        <v>0.25309999999999999</v>
      </c>
      <c r="R540" s="2">
        <f t="shared" si="178"/>
        <v>0.57353792704111173</v>
      </c>
      <c r="S540" s="2">
        <f t="shared" si="179"/>
        <v>6.0429973949920239E-3</v>
      </c>
      <c r="T540" s="5">
        <f t="shared" si="180"/>
        <v>9.4505006939375746E-3</v>
      </c>
      <c r="U540" s="2" t="str">
        <f t="shared" si="181"/>
        <v>No Impact</v>
      </c>
      <c r="V540" s="2">
        <f t="shared" si="182"/>
        <v>8.9222093244619178E-3</v>
      </c>
      <c r="W540" s="2">
        <f t="shared" si="183"/>
        <v>1.3056302420769463E-2</v>
      </c>
      <c r="X540" s="2" t="s">
        <v>1170</v>
      </c>
      <c r="Y540" s="2">
        <f t="shared" si="184"/>
        <v>3.1637854655221292E-3</v>
      </c>
      <c r="Z540" s="2">
        <f t="shared" si="185"/>
        <v>5.3127388454023289E-3</v>
      </c>
      <c r="AA540" s="2" t="str">
        <f t="shared" si="186"/>
        <v>No Impact</v>
      </c>
      <c r="AB540" s="2">
        <f t="shared" si="187"/>
        <v>4.8174188000238835E-3</v>
      </c>
      <c r="AC540" s="2">
        <f t="shared" si="188"/>
        <v>1.0414633633960056E-2</v>
      </c>
      <c r="AD540" s="2" t="str">
        <f t="shared" si="189"/>
        <v>No Impact</v>
      </c>
      <c r="AE540" s="2">
        <f t="shared" si="190"/>
        <v>2.1300282765873537E-3</v>
      </c>
      <c r="AF540" s="2">
        <f t="shared" si="191"/>
        <v>1.4512936649686876E-2</v>
      </c>
      <c r="AG540" s="2" t="s">
        <v>1170</v>
      </c>
    </row>
    <row r="541" spans="1:33" x14ac:dyDescent="0.3">
      <c r="A541" s="2">
        <v>609141</v>
      </c>
      <c r="B541" s="2" t="s">
        <v>1111</v>
      </c>
      <c r="C541" s="2" t="s">
        <v>1098</v>
      </c>
      <c r="D541" s="2" t="s">
        <v>1112</v>
      </c>
      <c r="E541" s="3">
        <v>6.9</v>
      </c>
      <c r="F541" s="4">
        <f t="shared" si="173"/>
        <v>0.8222222222222223</v>
      </c>
      <c r="G541" s="2">
        <v>40.1670072</v>
      </c>
      <c r="H541" s="2">
        <f t="shared" si="174"/>
        <v>2.4409635586837758E-2</v>
      </c>
      <c r="I541" s="2">
        <v>0</v>
      </c>
      <c r="J541" s="4">
        <f t="shared" si="175"/>
        <v>0</v>
      </c>
      <c r="K541" s="2">
        <v>0</v>
      </c>
      <c r="L541" s="4">
        <f t="shared" si="176"/>
        <v>0</v>
      </c>
      <c r="M541" s="2">
        <v>28466</v>
      </c>
      <c r="N541" s="2">
        <f t="shared" si="177"/>
        <v>0.13355381754694753</v>
      </c>
      <c r="O541" s="2">
        <v>0.18108813900000001</v>
      </c>
      <c r="P541" s="2">
        <f t="shared" si="172"/>
        <v>0.13174071666854645</v>
      </c>
      <c r="Q541" s="2">
        <v>0.20530000000000001</v>
      </c>
      <c r="R541" s="2">
        <f t="shared" si="178"/>
        <v>0.43514765489287788</v>
      </c>
      <c r="S541" s="2">
        <f t="shared" si="179"/>
        <v>1.9910680495397971E-3</v>
      </c>
      <c r="T541" s="5">
        <f t="shared" si="180"/>
        <v>3.1137842289070887E-3</v>
      </c>
      <c r="U541" s="2" t="str">
        <f t="shared" si="181"/>
        <v>No Impact</v>
      </c>
      <c r="V541" s="2">
        <f t="shared" si="182"/>
        <v>3.0567167574912964E-3</v>
      </c>
      <c r="W541" s="2">
        <f t="shared" si="183"/>
        <v>4.4730421523535664E-3</v>
      </c>
      <c r="X541" s="2" t="s">
        <v>1170</v>
      </c>
      <c r="Y541" s="2">
        <f t="shared" si="184"/>
        <v>9.2541934158829771E-4</v>
      </c>
      <c r="Z541" s="2">
        <f t="shared" si="185"/>
        <v>1.5539964191381762E-3</v>
      </c>
      <c r="AA541" s="2" t="str">
        <f t="shared" si="186"/>
        <v>No Impact</v>
      </c>
      <c r="AB541" s="2">
        <f t="shared" si="187"/>
        <v>1.6758311138107647E-3</v>
      </c>
      <c r="AC541" s="2">
        <f t="shared" si="188"/>
        <v>3.622929167512653E-3</v>
      </c>
      <c r="AD541" s="2" t="str">
        <f t="shared" si="189"/>
        <v>No Impact</v>
      </c>
      <c r="AE541" s="2">
        <f t="shared" si="190"/>
        <v>9.3815556060663336E-4</v>
      </c>
      <c r="AF541" s="2">
        <f t="shared" si="191"/>
        <v>6.3921180616670426E-3</v>
      </c>
      <c r="AG541" s="2" t="s">
        <v>1170</v>
      </c>
    </row>
    <row r="542" spans="1:33" x14ac:dyDescent="0.3">
      <c r="A542" s="2">
        <v>609153</v>
      </c>
      <c r="B542" s="2" t="s">
        <v>1113</v>
      </c>
      <c r="C542" s="2" t="s">
        <v>1098</v>
      </c>
      <c r="D542" s="2" t="s">
        <v>1114</v>
      </c>
      <c r="E542" s="3">
        <v>7</v>
      </c>
      <c r="F542" s="4">
        <f t="shared" si="173"/>
        <v>0.84444444444444444</v>
      </c>
      <c r="G542" s="2">
        <v>38.560366800000004</v>
      </c>
      <c r="H542" s="2">
        <f t="shared" si="174"/>
        <v>1.1438474446894864E-2</v>
      </c>
      <c r="I542" s="2">
        <v>0</v>
      </c>
      <c r="J542" s="4">
        <f t="shared" si="175"/>
        <v>0</v>
      </c>
      <c r="K542" s="2">
        <v>0</v>
      </c>
      <c r="L542" s="4">
        <f t="shared" si="176"/>
        <v>0</v>
      </c>
      <c r="M542" s="2">
        <v>17294</v>
      </c>
      <c r="N542" s="2">
        <f t="shared" si="177"/>
        <v>8.0694383330257913E-2</v>
      </c>
      <c r="O542" s="2">
        <v>0.38552161600000001</v>
      </c>
      <c r="P542" s="2">
        <f t="shared" si="172"/>
        <v>0.36790025254789838</v>
      </c>
      <c r="Q542" s="2">
        <v>0.2225</v>
      </c>
      <c r="R542" s="2">
        <f t="shared" si="178"/>
        <v>0.48494499131441809</v>
      </c>
      <c r="S542" s="2">
        <f t="shared" si="179"/>
        <v>1.4416089492966277E-3</v>
      </c>
      <c r="T542" s="5">
        <f t="shared" si="180"/>
        <v>2.2544981381267628E-3</v>
      </c>
      <c r="U542" s="2" t="str">
        <f t="shared" si="181"/>
        <v>No Impact</v>
      </c>
      <c r="V542" s="2">
        <f t="shared" si="182"/>
        <v>1.6394557967618884E-3</v>
      </c>
      <c r="W542" s="2">
        <f t="shared" si="183"/>
        <v>2.3990953260108233E-3</v>
      </c>
      <c r="X542" s="2" t="s">
        <v>1170</v>
      </c>
      <c r="Y542" s="2">
        <f t="shared" si="184"/>
        <v>1.2437621018313672E-3</v>
      </c>
      <c r="Z542" s="2">
        <f t="shared" si="185"/>
        <v>2.0885686797819107E-3</v>
      </c>
      <c r="AA542" s="2" t="str">
        <f t="shared" si="186"/>
        <v>No Impact</v>
      </c>
      <c r="AB542" s="2">
        <f t="shared" si="187"/>
        <v>1.0424195169106986E-3</v>
      </c>
      <c r="AC542" s="2">
        <f t="shared" si="188"/>
        <v>2.2535755789927863E-3</v>
      </c>
      <c r="AD542" s="2" t="str">
        <f t="shared" si="189"/>
        <v>No Impact</v>
      </c>
      <c r="AE542" s="2">
        <f t="shared" si="190"/>
        <v>2.7280387855607886E-4</v>
      </c>
      <c r="AF542" s="2">
        <f t="shared" si="191"/>
        <v>1.8587478160696032E-3</v>
      </c>
      <c r="AG542" s="2" t="s">
        <v>1170</v>
      </c>
    </row>
    <row r="543" spans="1:33" x14ac:dyDescent="0.3">
      <c r="A543" s="2">
        <v>609159</v>
      </c>
      <c r="B543" s="2" t="s">
        <v>1115</v>
      </c>
      <c r="C543" s="2" t="s">
        <v>1098</v>
      </c>
      <c r="D543" s="2" t="s">
        <v>1116</v>
      </c>
      <c r="E543" s="3">
        <v>7</v>
      </c>
      <c r="F543" s="4">
        <f t="shared" si="173"/>
        <v>0.84444444444444444</v>
      </c>
      <c r="G543" s="2">
        <v>38.560366800000004</v>
      </c>
      <c r="H543" s="2">
        <f t="shared" si="174"/>
        <v>1.1438474446894864E-2</v>
      </c>
      <c r="I543" s="2">
        <v>0</v>
      </c>
      <c r="J543" s="4">
        <f t="shared" si="175"/>
        <v>0</v>
      </c>
      <c r="K543" s="2">
        <v>0</v>
      </c>
      <c r="L543" s="4">
        <f t="shared" si="176"/>
        <v>0</v>
      </c>
      <c r="M543" s="2">
        <v>16637</v>
      </c>
      <c r="N543" s="2">
        <f t="shared" si="177"/>
        <v>7.758583980355141E-2</v>
      </c>
      <c r="O543" s="2">
        <v>0.40573087299999999</v>
      </c>
      <c r="P543" s="2">
        <f t="shared" si="172"/>
        <v>0.39124578686851524</v>
      </c>
      <c r="Q543" s="2">
        <v>0.1827</v>
      </c>
      <c r="R543" s="2">
        <f t="shared" si="178"/>
        <v>0.36971627099015636</v>
      </c>
      <c r="S543" s="2">
        <f t="shared" si="179"/>
        <v>1.2862939912945575E-3</v>
      </c>
      <c r="T543" s="5">
        <f t="shared" si="180"/>
        <v>2.0116047488968002E-3</v>
      </c>
      <c r="U543" s="2" t="str">
        <f t="shared" si="181"/>
        <v>No Impact</v>
      </c>
      <c r="V543" s="2">
        <f t="shared" si="182"/>
        <v>1.2499015238596606E-3</v>
      </c>
      <c r="W543" s="2">
        <f t="shared" si="183"/>
        <v>1.8290416306363114E-3</v>
      </c>
      <c r="X543" s="2" t="s">
        <v>1170</v>
      </c>
      <c r="Y543" s="2">
        <f t="shared" si="184"/>
        <v>1.3226864587294544E-3</v>
      </c>
      <c r="Z543" s="2">
        <f t="shared" si="185"/>
        <v>2.2211012112415517E-3</v>
      </c>
      <c r="AA543" s="2" t="str">
        <f t="shared" si="186"/>
        <v>No Impact</v>
      </c>
      <c r="AB543" s="2">
        <f t="shared" si="187"/>
        <v>9.2607465479832519E-4</v>
      </c>
      <c r="AC543" s="2">
        <f t="shared" si="188"/>
        <v>2.0020531010035438E-3</v>
      </c>
      <c r="AD543" s="2" t="str">
        <f t="shared" si="189"/>
        <v>No Impact</v>
      </c>
      <c r="AE543" s="2">
        <f t="shared" si="190"/>
        <v>2.6229481093887903E-4</v>
      </c>
      <c r="AF543" s="2">
        <f t="shared" si="191"/>
        <v>1.7871443381946267E-3</v>
      </c>
      <c r="AG543" s="2" t="s">
        <v>1170</v>
      </c>
    </row>
    <row r="544" spans="1:33" x14ac:dyDescent="0.3">
      <c r="A544" s="2">
        <v>609162</v>
      </c>
      <c r="B544" s="2" t="s">
        <v>1117</v>
      </c>
      <c r="C544" s="2" t="s">
        <v>1098</v>
      </c>
      <c r="D544" s="2" t="s">
        <v>1118</v>
      </c>
      <c r="E544" s="3">
        <v>7</v>
      </c>
      <c r="F544" s="4">
        <f t="shared" si="173"/>
        <v>0.84444444444444444</v>
      </c>
      <c r="G544" s="2">
        <v>45.786358799999995</v>
      </c>
      <c r="H544" s="2">
        <f t="shared" si="174"/>
        <v>6.9777295397705205E-2</v>
      </c>
      <c r="I544" s="2">
        <v>0</v>
      </c>
      <c r="J544" s="4">
        <f t="shared" si="175"/>
        <v>0</v>
      </c>
      <c r="K544" s="2">
        <v>0</v>
      </c>
      <c r="L544" s="4">
        <f t="shared" si="176"/>
        <v>0</v>
      </c>
      <c r="M544" s="2">
        <v>11227</v>
      </c>
      <c r="N544" s="2">
        <f t="shared" si="177"/>
        <v>5.1988852772376075E-2</v>
      </c>
      <c r="O544" s="2">
        <v>0.52805083100000005</v>
      </c>
      <c r="P544" s="2">
        <f t="shared" si="172"/>
        <v>0.53254859565487578</v>
      </c>
      <c r="Q544" s="2">
        <v>0.23880000000000001</v>
      </c>
      <c r="R544" s="2">
        <f t="shared" si="178"/>
        <v>0.53213665315576153</v>
      </c>
      <c r="S544" s="2">
        <f t="shared" si="179"/>
        <v>1.0978537773194E-2</v>
      </c>
      <c r="T544" s="5">
        <f t="shared" si="180"/>
        <v>1.7169075553461612E-2</v>
      </c>
      <c r="U544" s="2" t="str">
        <f t="shared" si="181"/>
        <v>No Impact</v>
      </c>
      <c r="V544" s="2">
        <f t="shared" si="182"/>
        <v>1.0974290014251193E-2</v>
      </c>
      <c r="W544" s="2">
        <f t="shared" si="183"/>
        <v>1.6059211801549522E-2</v>
      </c>
      <c r="X544" s="2" t="s">
        <v>1170</v>
      </c>
      <c r="Y544" s="2">
        <f t="shared" si="184"/>
        <v>1.0982785532136807E-2</v>
      </c>
      <c r="Z544" s="2">
        <f t="shared" si="185"/>
        <v>1.8442676332883538E-2</v>
      </c>
      <c r="AA544" s="2" t="str">
        <f t="shared" si="186"/>
        <v>No Impact</v>
      </c>
      <c r="AB544" s="2">
        <f t="shared" si="187"/>
        <v>7.5110965280970887E-3</v>
      </c>
      <c r="AC544" s="2">
        <f t="shared" si="188"/>
        <v>1.6238014957107888E-2</v>
      </c>
      <c r="AD544" s="2" t="str">
        <f t="shared" si="189"/>
        <v>No Impact</v>
      </c>
      <c r="AE544" s="2">
        <f t="shared" si="190"/>
        <v>1.0721696099089408E-3</v>
      </c>
      <c r="AF544" s="2">
        <f t="shared" si="191"/>
        <v>7.3052220936982524E-3</v>
      </c>
      <c r="AG544" s="2" t="s">
        <v>1170</v>
      </c>
    </row>
    <row r="545" spans="1:33" x14ac:dyDescent="0.3">
      <c r="A545" s="2">
        <v>609194</v>
      </c>
      <c r="B545" s="2" t="s">
        <v>1119</v>
      </c>
      <c r="C545" s="2" t="s">
        <v>1098</v>
      </c>
      <c r="D545" s="2" t="s">
        <v>1120</v>
      </c>
      <c r="E545" s="3">
        <v>7</v>
      </c>
      <c r="F545" s="4">
        <f t="shared" si="173"/>
        <v>0.84444444444444444</v>
      </c>
      <c r="G545" s="2">
        <v>42.8367492</v>
      </c>
      <c r="H545" s="2">
        <f t="shared" si="174"/>
        <v>4.5963714324104343E-2</v>
      </c>
      <c r="I545" s="2">
        <v>0</v>
      </c>
      <c r="J545" s="4">
        <f t="shared" si="175"/>
        <v>0</v>
      </c>
      <c r="K545" s="2">
        <v>0</v>
      </c>
      <c r="L545" s="4">
        <f t="shared" si="176"/>
        <v>0</v>
      </c>
      <c r="M545" s="2">
        <v>13447</v>
      </c>
      <c r="N545" s="2">
        <f t="shared" si="177"/>
        <v>6.2492607154854676E-2</v>
      </c>
      <c r="O545" s="2">
        <v>0.22514314299999999</v>
      </c>
      <c r="P545" s="2">
        <f t="shared" si="172"/>
        <v>0.18263262268354313</v>
      </c>
      <c r="Q545" s="2">
        <v>0.182</v>
      </c>
      <c r="R545" s="2">
        <f t="shared" si="178"/>
        <v>0.36768963520555881</v>
      </c>
      <c r="S545" s="2">
        <f t="shared" si="179"/>
        <v>3.7380174681764782E-3</v>
      </c>
      <c r="T545" s="5">
        <f t="shared" si="180"/>
        <v>5.8457971049645317E-3</v>
      </c>
      <c r="U545" s="2" t="str">
        <f t="shared" si="181"/>
        <v>No Impact</v>
      </c>
      <c r="V545" s="2">
        <f t="shared" si="182"/>
        <v>4.9950015997455221E-3</v>
      </c>
      <c r="W545" s="2">
        <f t="shared" si="183"/>
        <v>7.309428540272213E-3</v>
      </c>
      <c r="X545" s="2" t="s">
        <v>1170</v>
      </c>
      <c r="Y545" s="2">
        <f t="shared" si="184"/>
        <v>2.4810333366074352E-3</v>
      </c>
      <c r="Z545" s="2">
        <f t="shared" si="185"/>
        <v>4.166237669328555E-3</v>
      </c>
      <c r="AA545" s="2" t="str">
        <f t="shared" si="186"/>
        <v>No Impact</v>
      </c>
      <c r="AB545" s="2">
        <f t="shared" si="187"/>
        <v>2.7896935910034361E-3</v>
      </c>
      <c r="AC545" s="2">
        <f t="shared" si="188"/>
        <v>6.0309551457646063E-3</v>
      </c>
      <c r="AD545" s="2" t="str">
        <f t="shared" si="189"/>
        <v>No Impact</v>
      </c>
      <c r="AE545" s="2">
        <f t="shared" si="190"/>
        <v>8.4895151460078031E-4</v>
      </c>
      <c r="AF545" s="2">
        <f t="shared" si="191"/>
        <v>5.784326755415993E-3</v>
      </c>
      <c r="AG545" s="2" t="s">
        <v>1170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2026-07-17T10:01:25Z</dcterms:modified>
</cp:coreProperties>
</file>