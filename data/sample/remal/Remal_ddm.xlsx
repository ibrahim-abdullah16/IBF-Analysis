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IBF-Analysis\data\sample\remal\"/>
    </mc:Choice>
  </mc:AlternateContent>
  <xr:revisionPtr revIDLastSave="0" documentId="13_ncr:1_{C011839C-15D2-4278-AB36-C505162297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use" sheetId="1" r:id="rId1"/>
    <sheet name="Agricul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3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3" i="1"/>
</calcChain>
</file>

<file path=xl/sharedStrings.xml><?xml version="1.0" encoding="utf-8"?>
<sst xmlns="http://schemas.openxmlformats.org/spreadsheetml/2006/main" count="639" uniqueCount="185">
  <si>
    <t>Chittagong</t>
  </si>
  <si>
    <t>Cox's Bazar</t>
  </si>
  <si>
    <t>Sitakunda</t>
  </si>
  <si>
    <t>Karnaphuli</t>
  </si>
  <si>
    <t>Chandanaish</t>
  </si>
  <si>
    <t>Lohagara</t>
  </si>
  <si>
    <t>Banshkhali</t>
  </si>
  <si>
    <t>Ramu</t>
  </si>
  <si>
    <t>Chakaria</t>
  </si>
  <si>
    <t>Pekua</t>
  </si>
  <si>
    <t>Ukhia</t>
  </si>
  <si>
    <t>Teknaf</t>
  </si>
  <si>
    <t>Kutubdia</t>
  </si>
  <si>
    <t>Mongla</t>
  </si>
  <si>
    <t>Rampal</t>
  </si>
  <si>
    <t>Chitalmari</t>
  </si>
  <si>
    <t>Kachua</t>
  </si>
  <si>
    <t>Fakirhat</t>
  </si>
  <si>
    <t>Mollahat</t>
  </si>
  <si>
    <t>Taltoli</t>
  </si>
  <si>
    <t>Patharghata</t>
  </si>
  <si>
    <t>Betagi</t>
  </si>
  <si>
    <t>Bamna</t>
  </si>
  <si>
    <t>Bakerganj</t>
  </si>
  <si>
    <t>Babuganj</t>
  </si>
  <si>
    <t>Mehendiganj</t>
  </si>
  <si>
    <t xml:space="preserve">Muladi </t>
  </si>
  <si>
    <t>Barguna</t>
  </si>
  <si>
    <t>Daulatkhan</t>
  </si>
  <si>
    <t>Lalmohan</t>
  </si>
  <si>
    <t>Tazumuddin</t>
  </si>
  <si>
    <t>Faridganj</t>
  </si>
  <si>
    <t>Hajiganj</t>
  </si>
  <si>
    <t>Bhola</t>
  </si>
  <si>
    <t>Chandpur</t>
  </si>
  <si>
    <t>Shahrasti</t>
  </si>
  <si>
    <t>Mirsharai</t>
  </si>
  <si>
    <t>Sandwip</t>
  </si>
  <si>
    <t>Eidgaon</t>
  </si>
  <si>
    <t>Maheshkhali</t>
  </si>
  <si>
    <t>Sonagazi</t>
  </si>
  <si>
    <t>Daganbhuiyan</t>
  </si>
  <si>
    <t>Chhagalnaiya</t>
  </si>
  <si>
    <t>Parshuram</t>
  </si>
  <si>
    <t>Rajapur</t>
  </si>
  <si>
    <t>Feni</t>
  </si>
  <si>
    <t>Khulna</t>
  </si>
  <si>
    <t>Dacope</t>
  </si>
  <si>
    <t>Batiaghata</t>
  </si>
  <si>
    <t>Koyra</t>
  </si>
  <si>
    <t>Dumuria</t>
  </si>
  <si>
    <t>Terokhada</t>
  </si>
  <si>
    <t>City Corporation</t>
  </si>
  <si>
    <t>Ramganj</t>
  </si>
  <si>
    <t>Ramgati</t>
  </si>
  <si>
    <t>Lakshmipur</t>
  </si>
  <si>
    <t>Subarnachar</t>
  </si>
  <si>
    <t>Kabirhat</t>
  </si>
  <si>
    <t>Begumganj</t>
  </si>
  <si>
    <t>Chatkhil</t>
  </si>
  <si>
    <t>Senbagh</t>
  </si>
  <si>
    <t>Mirzaganj</t>
  </si>
  <si>
    <t>Dashmina</t>
  </si>
  <si>
    <t>Galachipa</t>
  </si>
  <si>
    <t>Rangabali</t>
  </si>
  <si>
    <t>Mathbaria</t>
  </si>
  <si>
    <t>Nazirpur</t>
  </si>
  <si>
    <t>Bhandaria</t>
  </si>
  <si>
    <t>Indurkani</t>
  </si>
  <si>
    <t>Debhata</t>
  </si>
  <si>
    <t>Kaliganj</t>
  </si>
  <si>
    <t>Shyamnagar</t>
  </si>
  <si>
    <t>Tala</t>
  </si>
  <si>
    <t>Sonaimuri</t>
  </si>
  <si>
    <t>Patuakhali</t>
  </si>
  <si>
    <t>Dumki</t>
  </si>
  <si>
    <t>Pirojpur</t>
  </si>
  <si>
    <t>Assasuni</t>
  </si>
  <si>
    <t>Satkhira</t>
  </si>
  <si>
    <t>Jessore</t>
  </si>
  <si>
    <t>Sadar</t>
  </si>
  <si>
    <t>Sharsha</t>
  </si>
  <si>
    <t>Keshabpur</t>
  </si>
  <si>
    <t>Zanjira</t>
  </si>
  <si>
    <t>Naria</t>
  </si>
  <si>
    <t>Bhedarganj</t>
  </si>
  <si>
    <t>Damudya</t>
  </si>
  <si>
    <t>Gosairhat</t>
  </si>
  <si>
    <t>Barura</t>
  </si>
  <si>
    <t>Daudkandi</t>
  </si>
  <si>
    <t>Chandina</t>
  </si>
  <si>
    <t>Debidwar</t>
  </si>
  <si>
    <t>Muksudpur</t>
  </si>
  <si>
    <t>Gopalganj</t>
  </si>
  <si>
    <t>Narail</t>
  </si>
  <si>
    <t>Kalia</t>
  </si>
  <si>
    <t>Shariatpur</t>
  </si>
  <si>
    <t>Meghna</t>
  </si>
  <si>
    <t>Homna</t>
  </si>
  <si>
    <t>Titas</t>
  </si>
  <si>
    <t>Muradnagar</t>
  </si>
  <si>
    <t>Burichang</t>
  </si>
  <si>
    <t>Laksam</t>
  </si>
  <si>
    <t>Lalmai</t>
  </si>
  <si>
    <t>Nangalkot</t>
  </si>
  <si>
    <t>Noakhali</t>
  </si>
  <si>
    <t>District</t>
  </si>
  <si>
    <t>Upzila</t>
  </si>
  <si>
    <t>No of Damaged Household</t>
  </si>
  <si>
    <t>Amount spent on Household repair</t>
  </si>
  <si>
    <t>Brick-built house</t>
  </si>
  <si>
    <t>Half Brick-built house</t>
  </si>
  <si>
    <t>Raw House</t>
  </si>
  <si>
    <t>Total</t>
  </si>
  <si>
    <t>Fully Damaged Agricultural Land</t>
  </si>
  <si>
    <t>Partially Damaged Agricultural Land</t>
  </si>
  <si>
    <t>Total Land Area (hector)</t>
  </si>
  <si>
    <t>Total Amount Spent on  Damaged Land</t>
  </si>
  <si>
    <t>Total_Loss_Land</t>
  </si>
  <si>
    <t>Total_loss_amount_land</t>
  </si>
  <si>
    <t>Bagerhat Sadar</t>
  </si>
  <si>
    <t>Morrelganj</t>
  </si>
  <si>
    <t>Sarankhola</t>
  </si>
  <si>
    <t>Bagerhat</t>
  </si>
  <si>
    <t>Comilla</t>
  </si>
  <si>
    <t>Comilla Adarsha Sadar</t>
  </si>
  <si>
    <t>Brahman Para</t>
  </si>
  <si>
    <t>Chauddagram</t>
  </si>
  <si>
    <t>Comilla Sadar Dakshin</t>
  </si>
  <si>
    <t>Manoharganj</t>
  </si>
  <si>
    <t>Feni Sadar</t>
  </si>
  <si>
    <t>Fulgazi</t>
  </si>
  <si>
    <t>Kashiani</t>
  </si>
  <si>
    <t>Kotali Para</t>
  </si>
  <si>
    <t>Gopalganj Sadar</t>
  </si>
  <si>
    <t>Tungi Para</t>
  </si>
  <si>
    <t>Abhaynagar</t>
  </si>
  <si>
    <t>Chaugachha</t>
  </si>
  <si>
    <t>Jhikargachha</t>
  </si>
  <si>
    <t>Jhalokati Sadar</t>
  </si>
  <si>
    <t>Nalchity</t>
  </si>
  <si>
    <t>Kanthalia</t>
  </si>
  <si>
    <t>Dighalia</t>
  </si>
  <si>
    <t>Phultala</t>
  </si>
  <si>
    <t>Paikgachha</t>
  </si>
  <si>
    <t>Rupsa</t>
  </si>
  <si>
    <t>Lakshmipur Sadar</t>
  </si>
  <si>
    <t>Kamalnagar</t>
  </si>
  <si>
    <t>Roypur</t>
  </si>
  <si>
    <t>Narail Sadar</t>
  </si>
  <si>
    <t>Hatiya</t>
  </si>
  <si>
    <t>Companiganj</t>
  </si>
  <si>
    <t>Noakhali Sadar (Sudharam)</t>
  </si>
  <si>
    <t>Bauphal</t>
  </si>
  <si>
    <t>Kala Para</t>
  </si>
  <si>
    <t>Patuakhali Sadar</t>
  </si>
  <si>
    <t>Kawkhali</t>
  </si>
  <si>
    <t>Nesarabad (Swarupkati)</t>
  </si>
  <si>
    <t>Pirojpur Sadar</t>
  </si>
  <si>
    <t>Kalaroa</t>
  </si>
  <si>
    <t>Satkhira Sadar</t>
  </si>
  <si>
    <t>Shariatpur Sadar</t>
  </si>
  <si>
    <t>Manirampur</t>
  </si>
  <si>
    <t>TOTAL</t>
  </si>
  <si>
    <t>Amtali</t>
  </si>
  <si>
    <t>Barguna Sadar</t>
  </si>
  <si>
    <t>Agailjhara</t>
  </si>
  <si>
    <t>Gaurnadi</t>
  </si>
  <si>
    <t>Wazirpur</t>
  </si>
  <si>
    <t>Bhola Sadar</t>
  </si>
  <si>
    <t>Barisal Sadar (Kotwali)</t>
  </si>
  <si>
    <t>Char Fasson</t>
  </si>
  <si>
    <t>Manpura</t>
  </si>
  <si>
    <t>Matlab Dakshin</t>
  </si>
  <si>
    <t>Matlab Uttar</t>
  </si>
  <si>
    <t>Anowara</t>
  </si>
  <si>
    <t>Barisal</t>
  </si>
  <si>
    <t>Jhalokati</t>
  </si>
  <si>
    <t>Cox's Bazar Sadar</t>
  </si>
  <si>
    <t>Banari Para</t>
  </si>
  <si>
    <t>Hizla</t>
  </si>
  <si>
    <t>Burhanuddin</t>
  </si>
  <si>
    <t>Chandpur Sadar</t>
  </si>
  <si>
    <t>Haim Char</t>
  </si>
  <si>
    <t>Bagher 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</si>
</sst>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8"/>
  <sheetViews>
    <sheetView topLeftCell="A131" workbookViewId="0">
      <selection activeCell="A2" sqref="A2:B156"/>
    </sheetView>
  </sheetViews>
  <sheetFormatPr defaultRowHeight="14.4" x14ac:dyDescent="0.3"/>
  <cols>
    <col min="2" max="2" width="14" bestFit="1" customWidth="1"/>
    <col min="3" max="3" width="23.21875" bestFit="1" customWidth="1"/>
    <col min="4" max="6" width="23.21875" customWidth="1"/>
    <col min="7" max="7" width="29.77734375" bestFit="1" customWidth="1"/>
    <col min="8" max="9" width="29.77734375" customWidth="1"/>
    <col min="10" max="10" width="11" bestFit="1" customWidth="1"/>
    <col min="11" max="11" width="17" customWidth="1"/>
    <col min="12" max="12" width="14.109375" customWidth="1"/>
    <col min="13" max="13" width="10.77734375" bestFit="1" customWidth="1"/>
    <col min="19" max="19" width="12.109375" customWidth="1"/>
  </cols>
  <sheetData>
    <row r="1" spans="1:43" x14ac:dyDescent="0.3">
      <c r="C1" s="6" t="s">
        <v>108</v>
      </c>
      <c r="D1" s="6"/>
      <c r="E1" s="6"/>
      <c r="F1" s="6"/>
      <c r="G1" s="7" t="s">
        <v>109</v>
      </c>
      <c r="H1" s="7"/>
      <c r="I1" s="7"/>
      <c r="J1" s="7"/>
    </row>
    <row r="2" spans="1:43" x14ac:dyDescent="0.3">
      <c r="A2" t="s">
        <v>106</v>
      </c>
      <c r="B2" t="s">
        <v>107</v>
      </c>
      <c r="C2" s="2" t="s">
        <v>110</v>
      </c>
      <c r="D2" s="2" t="s">
        <v>111</v>
      </c>
      <c r="E2" s="2" t="s">
        <v>112</v>
      </c>
      <c r="F2" s="2" t="s">
        <v>113</v>
      </c>
      <c r="G2" s="3" t="s">
        <v>110</v>
      </c>
      <c r="H2" s="3" t="s">
        <v>111</v>
      </c>
      <c r="I2" s="3" t="s">
        <v>112</v>
      </c>
      <c r="J2" s="3" t="s">
        <v>113</v>
      </c>
    </row>
    <row r="3" spans="1:43" x14ac:dyDescent="0.3">
      <c r="A3" t="s">
        <v>123</v>
      </c>
      <c r="B3" t="s">
        <v>121</v>
      </c>
      <c r="C3">
        <v>0</v>
      </c>
      <c r="D3">
        <v>1914</v>
      </c>
      <c r="E3">
        <v>27695</v>
      </c>
      <c r="F3">
        <f>C3+D3+E3</f>
        <v>29609</v>
      </c>
      <c r="G3">
        <v>0</v>
      </c>
      <c r="H3">
        <v>95700000</v>
      </c>
      <c r="I3">
        <v>1831450000</v>
      </c>
      <c r="J3" s="1">
        <f>G3+H3+I3</f>
        <v>1927150000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t="s">
        <v>123</v>
      </c>
      <c r="B4" t="s">
        <v>122</v>
      </c>
      <c r="C4">
        <v>50</v>
      </c>
      <c r="D4">
        <v>970</v>
      </c>
      <c r="E4">
        <v>15283</v>
      </c>
      <c r="F4">
        <f t="shared" ref="F4:F67" si="0">C4+D4+E4</f>
        <v>16303</v>
      </c>
      <c r="G4">
        <v>5000000</v>
      </c>
      <c r="H4">
        <v>48500000</v>
      </c>
      <c r="I4">
        <v>544780000</v>
      </c>
      <c r="J4" s="1">
        <f t="shared" ref="J4:J67" si="1">G4+H4+I4</f>
        <v>598280000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3">
      <c r="A5" t="s">
        <v>123</v>
      </c>
      <c r="B5" t="s">
        <v>13</v>
      </c>
      <c r="C5">
        <v>0</v>
      </c>
      <c r="D5">
        <v>930</v>
      </c>
      <c r="E5">
        <v>8592</v>
      </c>
      <c r="F5">
        <f t="shared" si="0"/>
        <v>9522</v>
      </c>
      <c r="G5">
        <v>0</v>
      </c>
      <c r="H5">
        <v>27900000</v>
      </c>
      <c r="I5">
        <v>193568000</v>
      </c>
      <c r="J5" s="1">
        <f t="shared" si="1"/>
        <v>221468000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A6" t="s">
        <v>123</v>
      </c>
      <c r="B6" t="s">
        <v>120</v>
      </c>
      <c r="C6">
        <v>0</v>
      </c>
      <c r="D6">
        <v>500</v>
      </c>
      <c r="E6">
        <v>1300</v>
      </c>
      <c r="F6">
        <f t="shared" si="0"/>
        <v>1800</v>
      </c>
      <c r="G6">
        <v>0</v>
      </c>
      <c r="H6">
        <v>35000000</v>
      </c>
      <c r="I6">
        <v>160000000</v>
      </c>
      <c r="J6" s="1">
        <f t="shared" si="1"/>
        <v>195000000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A7" t="s">
        <v>123</v>
      </c>
      <c r="B7" t="s">
        <v>14</v>
      </c>
      <c r="C7">
        <v>0</v>
      </c>
      <c r="D7">
        <v>69</v>
      </c>
      <c r="E7">
        <v>1854</v>
      </c>
      <c r="F7">
        <f t="shared" si="0"/>
        <v>1923</v>
      </c>
      <c r="G7">
        <v>0</v>
      </c>
      <c r="H7">
        <v>8280000</v>
      </c>
      <c r="I7">
        <v>158770000</v>
      </c>
      <c r="J7" s="1">
        <f t="shared" si="1"/>
        <v>167050000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3">
      <c r="A8" t="s">
        <v>123</v>
      </c>
      <c r="B8" t="s">
        <v>15</v>
      </c>
      <c r="C8">
        <v>0</v>
      </c>
      <c r="D8">
        <v>65</v>
      </c>
      <c r="E8">
        <v>3295</v>
      </c>
      <c r="F8">
        <f t="shared" si="0"/>
        <v>3360</v>
      </c>
      <c r="G8">
        <v>0</v>
      </c>
      <c r="H8">
        <v>13000000</v>
      </c>
      <c r="I8">
        <v>173500000</v>
      </c>
      <c r="J8" s="1">
        <f t="shared" si="1"/>
        <v>186500000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3">
      <c r="A9" t="s">
        <v>123</v>
      </c>
      <c r="B9" t="s">
        <v>16</v>
      </c>
      <c r="C9">
        <v>0</v>
      </c>
      <c r="D9">
        <v>215</v>
      </c>
      <c r="E9">
        <v>716</v>
      </c>
      <c r="F9">
        <f t="shared" si="0"/>
        <v>931</v>
      </c>
      <c r="G9">
        <v>0</v>
      </c>
      <c r="H9">
        <v>15050000</v>
      </c>
      <c r="I9">
        <v>7880000</v>
      </c>
      <c r="J9" s="1">
        <f t="shared" si="1"/>
        <v>22930000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3">
      <c r="A10" t="s">
        <v>123</v>
      </c>
      <c r="B10" t="s">
        <v>17</v>
      </c>
      <c r="C10">
        <v>0</v>
      </c>
      <c r="D10">
        <v>5</v>
      </c>
      <c r="E10">
        <v>375</v>
      </c>
      <c r="F10">
        <f t="shared" si="0"/>
        <v>380</v>
      </c>
      <c r="G10">
        <v>0</v>
      </c>
      <c r="H10">
        <v>200000</v>
      </c>
      <c r="I10">
        <v>7740000</v>
      </c>
      <c r="J10" s="1">
        <f t="shared" si="1"/>
        <v>7940000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3">
      <c r="A11" t="s">
        <v>123</v>
      </c>
      <c r="B11" t="s">
        <v>18</v>
      </c>
      <c r="C11">
        <v>0</v>
      </c>
      <c r="D11">
        <v>10</v>
      </c>
      <c r="E11">
        <v>86</v>
      </c>
      <c r="F11">
        <f t="shared" si="0"/>
        <v>96</v>
      </c>
      <c r="G11">
        <v>0</v>
      </c>
      <c r="H11">
        <v>3000000</v>
      </c>
      <c r="I11">
        <v>1750000</v>
      </c>
      <c r="J11" s="1">
        <f t="shared" si="1"/>
        <v>4750000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3">
      <c r="A12" t="s">
        <v>27</v>
      </c>
      <c r="B12" t="s">
        <v>165</v>
      </c>
      <c r="C12">
        <v>0</v>
      </c>
      <c r="D12">
        <v>2348</v>
      </c>
      <c r="E12">
        <v>5151</v>
      </c>
      <c r="F12">
        <f t="shared" si="0"/>
        <v>7499</v>
      </c>
      <c r="G12">
        <v>0</v>
      </c>
      <c r="H12">
        <v>234800000</v>
      </c>
      <c r="I12">
        <v>652560000</v>
      </c>
      <c r="J12" s="1">
        <f t="shared" si="1"/>
        <v>887360000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3">
      <c r="A13" t="s">
        <v>27</v>
      </c>
      <c r="B13" t="s">
        <v>164</v>
      </c>
      <c r="C13">
        <v>0</v>
      </c>
      <c r="D13">
        <v>1406</v>
      </c>
      <c r="E13">
        <v>3806</v>
      </c>
      <c r="F13">
        <f t="shared" si="0"/>
        <v>5212</v>
      </c>
      <c r="G13">
        <v>0</v>
      </c>
      <c r="H13">
        <v>281200000</v>
      </c>
      <c r="I13">
        <v>546000000</v>
      </c>
      <c r="J13" s="1">
        <f t="shared" si="1"/>
        <v>827200000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3">
      <c r="A14" t="s">
        <v>27</v>
      </c>
      <c r="B14" t="s">
        <v>19</v>
      </c>
      <c r="C14">
        <v>0</v>
      </c>
      <c r="D14">
        <v>0</v>
      </c>
      <c r="E14">
        <v>3782</v>
      </c>
      <c r="F14">
        <f t="shared" si="0"/>
        <v>3782</v>
      </c>
      <c r="G14">
        <v>0</v>
      </c>
      <c r="H14">
        <v>0</v>
      </c>
      <c r="I14">
        <v>827200000</v>
      </c>
      <c r="J14" s="1">
        <f t="shared" si="1"/>
        <v>827200000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3">
      <c r="A15" t="s">
        <v>27</v>
      </c>
      <c r="B15" t="s">
        <v>20</v>
      </c>
      <c r="C15">
        <v>0</v>
      </c>
      <c r="D15">
        <v>0</v>
      </c>
      <c r="E15">
        <v>4880</v>
      </c>
      <c r="F15">
        <f t="shared" si="0"/>
        <v>4880</v>
      </c>
      <c r="G15">
        <v>0</v>
      </c>
      <c r="H15">
        <v>0</v>
      </c>
      <c r="I15">
        <v>1686000000</v>
      </c>
      <c r="J15" s="1">
        <f t="shared" si="1"/>
        <v>1686000000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3">
      <c r="A16" t="s">
        <v>27</v>
      </c>
      <c r="B16" t="s">
        <v>21</v>
      </c>
      <c r="C16">
        <v>0</v>
      </c>
      <c r="D16">
        <v>2322</v>
      </c>
      <c r="E16">
        <v>4052</v>
      </c>
      <c r="F16">
        <f t="shared" si="0"/>
        <v>6374</v>
      </c>
      <c r="G16">
        <v>0</v>
      </c>
      <c r="H16">
        <v>464400000</v>
      </c>
      <c r="I16">
        <v>1620800000</v>
      </c>
      <c r="J16" s="1">
        <f t="shared" si="1"/>
        <v>2085200000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3">
      <c r="A17" t="s">
        <v>27</v>
      </c>
      <c r="B17" t="s">
        <v>22</v>
      </c>
      <c r="C17">
        <v>0</v>
      </c>
      <c r="D17">
        <v>10</v>
      </c>
      <c r="E17">
        <v>963</v>
      </c>
      <c r="F17">
        <f t="shared" si="0"/>
        <v>973</v>
      </c>
      <c r="G17">
        <v>0</v>
      </c>
      <c r="H17">
        <v>1000000</v>
      </c>
      <c r="I17">
        <v>37425000</v>
      </c>
      <c r="J17" s="1">
        <f t="shared" si="1"/>
        <v>38425000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3">
      <c r="A18" t="s">
        <v>176</v>
      </c>
      <c r="B18" t="s">
        <v>166</v>
      </c>
      <c r="C18">
        <v>0</v>
      </c>
      <c r="D18">
        <v>100</v>
      </c>
      <c r="E18">
        <v>112</v>
      </c>
      <c r="F18">
        <f t="shared" si="0"/>
        <v>212</v>
      </c>
      <c r="G18">
        <v>0</v>
      </c>
      <c r="H18">
        <v>2000000</v>
      </c>
      <c r="I18">
        <v>7400000</v>
      </c>
      <c r="J18" s="1">
        <f t="shared" si="1"/>
        <v>9400000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3">
      <c r="A19" t="s">
        <v>176</v>
      </c>
      <c r="B19" t="s">
        <v>167</v>
      </c>
      <c r="C19">
        <v>0</v>
      </c>
      <c r="D19">
        <v>64</v>
      </c>
      <c r="E19">
        <v>217</v>
      </c>
      <c r="F19">
        <f t="shared" si="0"/>
        <v>281</v>
      </c>
      <c r="G19">
        <v>0</v>
      </c>
      <c r="H19">
        <v>4730000</v>
      </c>
      <c r="I19">
        <v>8785000</v>
      </c>
      <c r="J19" s="1">
        <f t="shared" si="1"/>
        <v>13515000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3">
      <c r="A20" t="s">
        <v>176</v>
      </c>
      <c r="B20" t="s">
        <v>168</v>
      </c>
      <c r="C20">
        <v>0</v>
      </c>
      <c r="D20">
        <v>30</v>
      </c>
      <c r="E20">
        <v>200</v>
      </c>
      <c r="F20">
        <f t="shared" si="0"/>
        <v>230</v>
      </c>
      <c r="G20">
        <v>0</v>
      </c>
      <c r="H20">
        <v>1200000</v>
      </c>
      <c r="I20">
        <v>33500000</v>
      </c>
      <c r="J20" s="1">
        <f t="shared" si="1"/>
        <v>34700000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3">
      <c r="A21" t="s">
        <v>176</v>
      </c>
      <c r="B21" t="s">
        <v>179</v>
      </c>
      <c r="C21">
        <v>0</v>
      </c>
      <c r="D21">
        <v>115</v>
      </c>
      <c r="E21">
        <v>250</v>
      </c>
      <c r="F21">
        <f t="shared" si="0"/>
        <v>365</v>
      </c>
      <c r="G21">
        <v>0</v>
      </c>
      <c r="H21">
        <v>5750000</v>
      </c>
      <c r="I21">
        <v>5000000</v>
      </c>
      <c r="J21" s="1">
        <f t="shared" si="1"/>
        <v>10750000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3">
      <c r="A22" t="s">
        <v>176</v>
      </c>
      <c r="B22" t="s">
        <v>24</v>
      </c>
      <c r="C22">
        <v>0</v>
      </c>
      <c r="D22">
        <v>70</v>
      </c>
      <c r="E22">
        <v>60</v>
      </c>
      <c r="F22">
        <f t="shared" si="0"/>
        <v>130</v>
      </c>
      <c r="G22">
        <v>0</v>
      </c>
      <c r="H22">
        <v>1750000</v>
      </c>
      <c r="I22">
        <v>3625000</v>
      </c>
      <c r="J22" s="1">
        <f t="shared" si="1"/>
        <v>5375000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3">
      <c r="A23" t="s">
        <v>176</v>
      </c>
      <c r="B23" t="s">
        <v>26</v>
      </c>
      <c r="C23">
        <v>0</v>
      </c>
      <c r="D23">
        <v>150</v>
      </c>
      <c r="E23">
        <v>275</v>
      </c>
      <c r="F23">
        <f t="shared" si="0"/>
        <v>425</v>
      </c>
      <c r="G23">
        <v>0</v>
      </c>
      <c r="H23">
        <v>7500000</v>
      </c>
      <c r="I23">
        <v>10625000</v>
      </c>
      <c r="J23" s="1">
        <f t="shared" si="1"/>
        <v>18125000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3">
      <c r="A24" t="s">
        <v>176</v>
      </c>
      <c r="B24" t="s">
        <v>180</v>
      </c>
      <c r="C24">
        <v>52</v>
      </c>
      <c r="D24">
        <v>65</v>
      </c>
      <c r="E24">
        <v>172</v>
      </c>
      <c r="F24">
        <f t="shared" si="0"/>
        <v>289</v>
      </c>
      <c r="G24">
        <v>10400000</v>
      </c>
      <c r="H24">
        <v>7095790</v>
      </c>
      <c r="I24">
        <v>16761568</v>
      </c>
      <c r="J24" s="1">
        <f t="shared" si="1"/>
        <v>34257358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3">
      <c r="A25" t="s">
        <v>176</v>
      </c>
      <c r="B25" t="s">
        <v>25</v>
      </c>
      <c r="C25">
        <v>0</v>
      </c>
      <c r="D25">
        <v>0</v>
      </c>
      <c r="E25">
        <v>440</v>
      </c>
      <c r="F25">
        <f t="shared" si="0"/>
        <v>440</v>
      </c>
      <c r="G25">
        <v>0</v>
      </c>
      <c r="H25">
        <v>0</v>
      </c>
      <c r="I25">
        <v>77250000</v>
      </c>
      <c r="J25" s="1">
        <f t="shared" si="1"/>
        <v>77250000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3">
      <c r="A26" t="s">
        <v>176</v>
      </c>
      <c r="B26" t="s">
        <v>23</v>
      </c>
      <c r="C26">
        <v>10</v>
      </c>
      <c r="D26">
        <v>50</v>
      </c>
      <c r="E26">
        <v>300</v>
      </c>
      <c r="F26">
        <f t="shared" si="0"/>
        <v>360</v>
      </c>
      <c r="G26">
        <v>5000000</v>
      </c>
      <c r="H26">
        <v>15000000</v>
      </c>
      <c r="I26">
        <v>85000000</v>
      </c>
      <c r="J26" s="1">
        <f t="shared" si="1"/>
        <v>105000000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3">
      <c r="A27" t="s">
        <v>176</v>
      </c>
      <c r="B27" t="s">
        <v>170</v>
      </c>
      <c r="C27">
        <v>0</v>
      </c>
      <c r="D27">
        <v>100</v>
      </c>
      <c r="E27">
        <v>353</v>
      </c>
      <c r="F27">
        <f t="shared" si="0"/>
        <v>453</v>
      </c>
      <c r="G27">
        <v>0</v>
      </c>
      <c r="H27">
        <v>20000000</v>
      </c>
      <c r="I27">
        <v>16650000</v>
      </c>
      <c r="J27" s="1">
        <f t="shared" si="1"/>
        <v>36650000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3">
      <c r="A28" t="s">
        <v>33</v>
      </c>
      <c r="B28" t="s">
        <v>169</v>
      </c>
      <c r="C28">
        <v>0</v>
      </c>
      <c r="D28">
        <v>77</v>
      </c>
      <c r="E28">
        <v>835</v>
      </c>
      <c r="F28">
        <f t="shared" si="0"/>
        <v>912</v>
      </c>
      <c r="G28">
        <v>0</v>
      </c>
      <c r="H28">
        <v>2849000</v>
      </c>
      <c r="I28">
        <v>56503000</v>
      </c>
      <c r="J28" s="1">
        <f t="shared" si="1"/>
        <v>59352000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3">
      <c r="A29" t="s">
        <v>33</v>
      </c>
      <c r="B29" t="s">
        <v>181</v>
      </c>
      <c r="C29">
        <v>0</v>
      </c>
      <c r="D29">
        <v>5</v>
      </c>
      <c r="E29">
        <v>228</v>
      </c>
      <c r="F29">
        <f t="shared" si="0"/>
        <v>233</v>
      </c>
      <c r="G29">
        <v>0</v>
      </c>
      <c r="H29">
        <v>235000</v>
      </c>
      <c r="I29">
        <v>15070000</v>
      </c>
      <c r="J29" s="1">
        <f t="shared" si="1"/>
        <v>15305000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3">
      <c r="A30" t="s">
        <v>33</v>
      </c>
      <c r="B30" t="s">
        <v>28</v>
      </c>
      <c r="C30">
        <v>0</v>
      </c>
      <c r="D30">
        <v>20</v>
      </c>
      <c r="E30">
        <v>425</v>
      </c>
      <c r="F30">
        <f t="shared" si="0"/>
        <v>445</v>
      </c>
      <c r="G30">
        <v>0</v>
      </c>
      <c r="H30">
        <v>800000</v>
      </c>
      <c r="I30">
        <v>17300000</v>
      </c>
      <c r="J30" s="1">
        <f t="shared" si="1"/>
        <v>18100000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3">
      <c r="A31" t="s">
        <v>33</v>
      </c>
      <c r="B31" t="s">
        <v>29</v>
      </c>
      <c r="C31">
        <v>0</v>
      </c>
      <c r="D31">
        <v>7</v>
      </c>
      <c r="E31">
        <v>264</v>
      </c>
      <c r="F31">
        <f t="shared" si="0"/>
        <v>271</v>
      </c>
      <c r="G31">
        <v>0</v>
      </c>
      <c r="H31">
        <v>1400000</v>
      </c>
      <c r="I31">
        <v>21000000</v>
      </c>
      <c r="J31" s="1">
        <f t="shared" si="1"/>
        <v>22400000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3">
      <c r="A32" t="s">
        <v>33</v>
      </c>
      <c r="B32" t="s">
        <v>30</v>
      </c>
      <c r="C32">
        <v>0</v>
      </c>
      <c r="D32">
        <v>0</v>
      </c>
      <c r="E32">
        <v>592</v>
      </c>
      <c r="F32">
        <f t="shared" si="0"/>
        <v>592</v>
      </c>
      <c r="G32">
        <v>0</v>
      </c>
      <c r="H32">
        <v>0</v>
      </c>
      <c r="I32">
        <v>25840000</v>
      </c>
      <c r="J32" s="1">
        <f t="shared" si="1"/>
        <v>25840000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3">
      <c r="A33" t="s">
        <v>33</v>
      </c>
      <c r="B33" t="s">
        <v>171</v>
      </c>
      <c r="C33">
        <v>0</v>
      </c>
      <c r="D33">
        <v>0</v>
      </c>
      <c r="E33">
        <v>5820</v>
      </c>
      <c r="F33">
        <f t="shared" si="0"/>
        <v>5820</v>
      </c>
      <c r="G33">
        <v>0</v>
      </c>
      <c r="H33">
        <v>0</v>
      </c>
      <c r="I33">
        <v>620864340</v>
      </c>
      <c r="J33" s="1">
        <f t="shared" si="1"/>
        <v>620864340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3">
      <c r="A34" t="s">
        <v>33</v>
      </c>
      <c r="B34" t="s">
        <v>172</v>
      </c>
      <c r="C34">
        <v>0</v>
      </c>
      <c r="D34">
        <v>113</v>
      </c>
      <c r="E34">
        <v>2631</v>
      </c>
      <c r="F34">
        <f t="shared" si="0"/>
        <v>2744</v>
      </c>
      <c r="G34">
        <v>0</v>
      </c>
      <c r="H34">
        <v>9640000</v>
      </c>
      <c r="I34">
        <v>131235000</v>
      </c>
      <c r="J34" s="1">
        <f t="shared" si="1"/>
        <v>140875000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3">
      <c r="A35" t="s">
        <v>34</v>
      </c>
      <c r="B35" t="s">
        <v>182</v>
      </c>
      <c r="C35">
        <v>0</v>
      </c>
      <c r="D35">
        <v>0</v>
      </c>
      <c r="E35">
        <v>80</v>
      </c>
      <c r="F35">
        <f t="shared" si="0"/>
        <v>80</v>
      </c>
      <c r="G35">
        <v>0</v>
      </c>
      <c r="H35">
        <v>0</v>
      </c>
      <c r="I35">
        <v>4100000</v>
      </c>
      <c r="J35" s="1">
        <f t="shared" si="1"/>
        <v>4100000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3">
      <c r="A36" t="s">
        <v>34</v>
      </c>
      <c r="B36" t="s">
        <v>31</v>
      </c>
      <c r="C36">
        <v>0</v>
      </c>
      <c r="D36">
        <v>0</v>
      </c>
      <c r="E36">
        <v>6</v>
      </c>
      <c r="F36">
        <f t="shared" si="0"/>
        <v>6</v>
      </c>
      <c r="G36">
        <v>0</v>
      </c>
      <c r="H36">
        <v>0</v>
      </c>
      <c r="I36">
        <v>300000</v>
      </c>
      <c r="J36" s="1">
        <f t="shared" si="1"/>
        <v>300000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3">
      <c r="A37" t="s">
        <v>34</v>
      </c>
      <c r="B37" t="s">
        <v>183</v>
      </c>
      <c r="C37">
        <v>0</v>
      </c>
      <c r="D37">
        <v>0</v>
      </c>
      <c r="E37">
        <v>95</v>
      </c>
      <c r="F37">
        <f t="shared" si="0"/>
        <v>95</v>
      </c>
      <c r="G37">
        <v>0</v>
      </c>
      <c r="H37">
        <v>0</v>
      </c>
      <c r="I37">
        <v>4940000</v>
      </c>
      <c r="J37" s="1">
        <f t="shared" si="1"/>
        <v>4940000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3">
      <c r="A38" t="s">
        <v>34</v>
      </c>
      <c r="B38" t="s">
        <v>32</v>
      </c>
      <c r="C38">
        <v>0</v>
      </c>
      <c r="D38">
        <v>0</v>
      </c>
      <c r="E38">
        <v>50</v>
      </c>
      <c r="F38">
        <f t="shared" si="0"/>
        <v>50</v>
      </c>
      <c r="G38">
        <v>0</v>
      </c>
      <c r="H38">
        <v>0</v>
      </c>
      <c r="I38">
        <v>2500000</v>
      </c>
      <c r="J38" s="1">
        <f t="shared" si="1"/>
        <v>2500000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3">
      <c r="A39" t="s">
        <v>34</v>
      </c>
      <c r="B39" t="s">
        <v>16</v>
      </c>
      <c r="C39">
        <v>0</v>
      </c>
      <c r="D39">
        <v>0</v>
      </c>
      <c r="E39">
        <v>0</v>
      </c>
      <c r="F39">
        <f t="shared" si="0"/>
        <v>0</v>
      </c>
      <c r="G39">
        <v>0</v>
      </c>
      <c r="H39">
        <v>0</v>
      </c>
      <c r="I39">
        <v>0</v>
      </c>
      <c r="J39" s="1">
        <f t="shared" si="1"/>
        <v>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3">
      <c r="A40" t="s">
        <v>34</v>
      </c>
      <c r="B40" t="s">
        <v>174</v>
      </c>
      <c r="C40">
        <v>0</v>
      </c>
      <c r="D40">
        <v>0</v>
      </c>
      <c r="E40">
        <v>125</v>
      </c>
      <c r="F40">
        <f t="shared" si="0"/>
        <v>125</v>
      </c>
      <c r="G40">
        <v>0</v>
      </c>
      <c r="H40">
        <v>0</v>
      </c>
      <c r="I40">
        <v>25000000</v>
      </c>
      <c r="J40" s="1">
        <f t="shared" si="1"/>
        <v>25000000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3">
      <c r="A41" t="s">
        <v>34</v>
      </c>
      <c r="B41" t="s">
        <v>173</v>
      </c>
      <c r="C41">
        <v>0</v>
      </c>
      <c r="D41">
        <v>0</v>
      </c>
      <c r="E41">
        <v>24</v>
      </c>
      <c r="F41">
        <f t="shared" si="0"/>
        <v>24</v>
      </c>
      <c r="G41">
        <v>0</v>
      </c>
      <c r="H41">
        <v>0</v>
      </c>
      <c r="I41">
        <v>1200000</v>
      </c>
      <c r="J41" s="1">
        <f t="shared" si="1"/>
        <v>1200000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3">
      <c r="A42" t="s">
        <v>34</v>
      </c>
      <c r="B42" t="s">
        <v>35</v>
      </c>
      <c r="C42">
        <v>0</v>
      </c>
      <c r="D42">
        <v>0</v>
      </c>
      <c r="E42">
        <v>0</v>
      </c>
      <c r="F42">
        <f t="shared" si="0"/>
        <v>0</v>
      </c>
      <c r="G42">
        <v>0</v>
      </c>
      <c r="H42">
        <v>0</v>
      </c>
      <c r="I42">
        <v>0</v>
      </c>
      <c r="J42" s="1">
        <f t="shared" si="1"/>
        <v>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3">
      <c r="A43" t="s">
        <v>0</v>
      </c>
      <c r="B43" t="s">
        <v>6</v>
      </c>
      <c r="C43">
        <v>0</v>
      </c>
      <c r="D43">
        <v>0</v>
      </c>
      <c r="E43">
        <v>144</v>
      </c>
      <c r="F43">
        <f t="shared" si="0"/>
        <v>144</v>
      </c>
      <c r="G43">
        <v>0</v>
      </c>
      <c r="H43">
        <v>0</v>
      </c>
      <c r="I43">
        <v>5760000</v>
      </c>
      <c r="J43" s="1">
        <f t="shared" si="1"/>
        <v>5760000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3">
      <c r="A44" t="s">
        <v>0</v>
      </c>
      <c r="B44" t="s">
        <v>5</v>
      </c>
      <c r="C44">
        <v>0</v>
      </c>
      <c r="D44">
        <v>0</v>
      </c>
      <c r="E44">
        <v>0</v>
      </c>
      <c r="F44">
        <f t="shared" si="0"/>
        <v>0</v>
      </c>
      <c r="G44">
        <v>0</v>
      </c>
      <c r="H44">
        <v>0</v>
      </c>
      <c r="I44">
        <v>0</v>
      </c>
      <c r="J44" s="1">
        <f t="shared" si="1"/>
        <v>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3">
      <c r="A45" t="s">
        <v>0</v>
      </c>
      <c r="B45" t="s">
        <v>2</v>
      </c>
      <c r="C45">
        <v>0</v>
      </c>
      <c r="D45">
        <v>120</v>
      </c>
      <c r="E45">
        <v>80</v>
      </c>
      <c r="F45">
        <f t="shared" si="0"/>
        <v>200</v>
      </c>
      <c r="G45">
        <v>0</v>
      </c>
      <c r="H45">
        <v>2400000</v>
      </c>
      <c r="I45">
        <v>1200000</v>
      </c>
      <c r="J45" s="1">
        <f t="shared" si="1"/>
        <v>3600000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3">
      <c r="A46" t="s">
        <v>0</v>
      </c>
      <c r="B46" t="s">
        <v>36</v>
      </c>
      <c r="C46">
        <v>0</v>
      </c>
      <c r="D46">
        <v>150</v>
      </c>
      <c r="E46">
        <v>110</v>
      </c>
      <c r="F46">
        <f t="shared" si="0"/>
        <v>260</v>
      </c>
      <c r="G46">
        <v>0</v>
      </c>
      <c r="H46">
        <v>3300000</v>
      </c>
      <c r="I46">
        <v>1760000</v>
      </c>
      <c r="J46" s="1">
        <f t="shared" si="1"/>
        <v>5060000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3">
      <c r="A47" t="s">
        <v>0</v>
      </c>
      <c r="B47" t="s">
        <v>37</v>
      </c>
      <c r="C47">
        <v>0</v>
      </c>
      <c r="D47">
        <v>0</v>
      </c>
      <c r="E47">
        <v>244</v>
      </c>
      <c r="F47">
        <f t="shared" si="0"/>
        <v>244</v>
      </c>
      <c r="G47">
        <v>0</v>
      </c>
      <c r="H47">
        <v>0</v>
      </c>
      <c r="I47">
        <v>14150000</v>
      </c>
      <c r="J47" s="1">
        <f t="shared" si="1"/>
        <v>14150000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3">
      <c r="A48" t="s">
        <v>0</v>
      </c>
      <c r="B48" t="s">
        <v>175</v>
      </c>
      <c r="C48">
        <v>0</v>
      </c>
      <c r="D48">
        <v>0</v>
      </c>
      <c r="E48">
        <v>12</v>
      </c>
      <c r="F48">
        <f t="shared" si="0"/>
        <v>12</v>
      </c>
      <c r="G48">
        <v>0</v>
      </c>
      <c r="H48">
        <v>0</v>
      </c>
      <c r="I48">
        <v>540000</v>
      </c>
      <c r="J48" s="1">
        <f t="shared" si="1"/>
        <v>540000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3">
      <c r="A49" t="s">
        <v>0</v>
      </c>
      <c r="B49" t="s">
        <v>3</v>
      </c>
      <c r="C49">
        <v>0</v>
      </c>
      <c r="D49">
        <v>0</v>
      </c>
      <c r="E49">
        <v>0</v>
      </c>
      <c r="F49">
        <f t="shared" si="0"/>
        <v>0</v>
      </c>
      <c r="G49">
        <v>0</v>
      </c>
      <c r="H49">
        <v>0</v>
      </c>
      <c r="I49">
        <v>0</v>
      </c>
      <c r="J49" s="1">
        <f t="shared" si="1"/>
        <v>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3">
      <c r="A50" t="s">
        <v>0</v>
      </c>
      <c r="B50" t="s">
        <v>4</v>
      </c>
      <c r="C50">
        <v>0</v>
      </c>
      <c r="D50">
        <v>0</v>
      </c>
      <c r="E50">
        <v>0</v>
      </c>
      <c r="F50">
        <f t="shared" si="0"/>
        <v>0</v>
      </c>
      <c r="G50">
        <v>0</v>
      </c>
      <c r="H50">
        <v>0</v>
      </c>
      <c r="I50">
        <v>0</v>
      </c>
      <c r="J50" s="1">
        <f t="shared" si="1"/>
        <v>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3">
      <c r="A51" t="s">
        <v>1</v>
      </c>
      <c r="B51" t="s">
        <v>178</v>
      </c>
      <c r="C51">
        <v>0</v>
      </c>
      <c r="D51">
        <v>0</v>
      </c>
      <c r="E51">
        <v>60</v>
      </c>
      <c r="F51">
        <f t="shared" si="0"/>
        <v>60</v>
      </c>
      <c r="G51">
        <v>0</v>
      </c>
      <c r="H51">
        <v>0</v>
      </c>
      <c r="I51">
        <v>900000</v>
      </c>
      <c r="J51" s="1">
        <f t="shared" si="1"/>
        <v>900000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3">
      <c r="A52" t="s">
        <v>1</v>
      </c>
      <c r="B52" t="s">
        <v>7</v>
      </c>
      <c r="C52">
        <v>0</v>
      </c>
      <c r="D52">
        <v>0</v>
      </c>
      <c r="E52">
        <v>30</v>
      </c>
      <c r="F52">
        <f t="shared" si="0"/>
        <v>30</v>
      </c>
      <c r="G52">
        <v>0</v>
      </c>
      <c r="H52">
        <v>0</v>
      </c>
      <c r="I52">
        <v>450000</v>
      </c>
      <c r="J52" s="1">
        <f t="shared" si="1"/>
        <v>450000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3">
      <c r="A53" t="s">
        <v>1</v>
      </c>
      <c r="B53" t="s">
        <v>38</v>
      </c>
      <c r="C53">
        <v>0</v>
      </c>
      <c r="D53">
        <v>0</v>
      </c>
      <c r="E53">
        <v>21</v>
      </c>
      <c r="F53">
        <f t="shared" si="0"/>
        <v>21</v>
      </c>
      <c r="G53">
        <v>0</v>
      </c>
      <c r="H53">
        <v>0</v>
      </c>
      <c r="I53">
        <v>400000</v>
      </c>
      <c r="J53" s="1">
        <f t="shared" si="1"/>
        <v>400000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3">
      <c r="A54" t="s">
        <v>1</v>
      </c>
      <c r="B54" t="s">
        <v>8</v>
      </c>
      <c r="C54">
        <v>0</v>
      </c>
      <c r="D54">
        <v>0</v>
      </c>
      <c r="E54">
        <v>25</v>
      </c>
      <c r="F54">
        <f t="shared" si="0"/>
        <v>25</v>
      </c>
      <c r="G54">
        <v>0</v>
      </c>
      <c r="H54">
        <v>0</v>
      </c>
      <c r="I54">
        <v>375000</v>
      </c>
      <c r="J54" s="1">
        <f t="shared" si="1"/>
        <v>375000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3">
      <c r="A55" t="s">
        <v>1</v>
      </c>
      <c r="B55" t="s">
        <v>9</v>
      </c>
      <c r="C55">
        <v>0</v>
      </c>
      <c r="D55">
        <v>0</v>
      </c>
      <c r="E55">
        <v>35</v>
      </c>
      <c r="F55">
        <f t="shared" si="0"/>
        <v>35</v>
      </c>
      <c r="G55">
        <v>0</v>
      </c>
      <c r="H55">
        <v>0</v>
      </c>
      <c r="I55">
        <v>1400000</v>
      </c>
      <c r="J55" s="1">
        <f t="shared" si="1"/>
        <v>1400000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3">
      <c r="A56" t="s">
        <v>1</v>
      </c>
      <c r="B56" t="s">
        <v>10</v>
      </c>
      <c r="C56">
        <v>0</v>
      </c>
      <c r="D56">
        <v>0</v>
      </c>
      <c r="E56">
        <v>15</v>
      </c>
      <c r="F56">
        <f t="shared" si="0"/>
        <v>15</v>
      </c>
      <c r="G56">
        <v>0</v>
      </c>
      <c r="H56">
        <v>0</v>
      </c>
      <c r="I56">
        <v>450000</v>
      </c>
      <c r="J56" s="1">
        <f t="shared" si="1"/>
        <v>450000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3">
      <c r="A57" t="s">
        <v>1</v>
      </c>
      <c r="B57" t="s">
        <v>11</v>
      </c>
      <c r="C57">
        <v>0</v>
      </c>
      <c r="D57">
        <v>0</v>
      </c>
      <c r="E57">
        <v>350</v>
      </c>
      <c r="F57">
        <f t="shared" si="0"/>
        <v>350</v>
      </c>
      <c r="G57">
        <v>0</v>
      </c>
      <c r="H57">
        <v>0</v>
      </c>
      <c r="I57">
        <v>5250000</v>
      </c>
      <c r="J57" s="1">
        <f t="shared" si="1"/>
        <v>5250000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3">
      <c r="A58" t="s">
        <v>1</v>
      </c>
      <c r="B58" t="s">
        <v>39</v>
      </c>
      <c r="C58">
        <v>0</v>
      </c>
      <c r="D58">
        <v>0</v>
      </c>
      <c r="E58">
        <v>115</v>
      </c>
      <c r="F58">
        <f t="shared" si="0"/>
        <v>115</v>
      </c>
      <c r="G58">
        <v>0</v>
      </c>
      <c r="H58">
        <v>0</v>
      </c>
      <c r="I58">
        <v>1875000</v>
      </c>
      <c r="J58" s="1">
        <f t="shared" si="1"/>
        <v>1875000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3">
      <c r="A59" t="s">
        <v>1</v>
      </c>
      <c r="B59" t="s">
        <v>12</v>
      </c>
      <c r="C59">
        <v>0</v>
      </c>
      <c r="D59">
        <v>0</v>
      </c>
      <c r="E59">
        <v>177</v>
      </c>
      <c r="F59">
        <f t="shared" si="0"/>
        <v>177</v>
      </c>
      <c r="G59">
        <v>0</v>
      </c>
      <c r="H59">
        <v>0</v>
      </c>
      <c r="I59">
        <v>1425000</v>
      </c>
      <c r="J59" s="1">
        <f t="shared" si="1"/>
        <v>1425000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3">
      <c r="A60" t="s">
        <v>45</v>
      </c>
      <c r="B60" t="s">
        <v>40</v>
      </c>
      <c r="C60">
        <v>0</v>
      </c>
      <c r="D60">
        <v>60</v>
      </c>
      <c r="E60">
        <v>140</v>
      </c>
      <c r="F60">
        <f t="shared" si="0"/>
        <v>200</v>
      </c>
      <c r="G60">
        <v>0</v>
      </c>
      <c r="H60">
        <v>2400000</v>
      </c>
      <c r="I60">
        <v>5600000</v>
      </c>
      <c r="J60" s="1">
        <f t="shared" si="1"/>
        <v>8000000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3">
      <c r="A61" t="s">
        <v>45</v>
      </c>
      <c r="B61" t="s">
        <v>41</v>
      </c>
      <c r="C61">
        <v>0</v>
      </c>
      <c r="D61">
        <v>20</v>
      </c>
      <c r="E61">
        <v>32</v>
      </c>
      <c r="F61">
        <f t="shared" si="0"/>
        <v>52</v>
      </c>
      <c r="G61">
        <v>0</v>
      </c>
      <c r="H61">
        <v>800000</v>
      </c>
      <c r="I61">
        <v>960000</v>
      </c>
      <c r="J61" s="1">
        <f t="shared" si="1"/>
        <v>1760000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3">
      <c r="A62" t="s">
        <v>45</v>
      </c>
      <c r="B62" t="s">
        <v>130</v>
      </c>
      <c r="C62">
        <v>0</v>
      </c>
      <c r="D62">
        <v>70</v>
      </c>
      <c r="E62">
        <v>49</v>
      </c>
      <c r="F62">
        <f t="shared" si="0"/>
        <v>119</v>
      </c>
      <c r="G62">
        <v>0</v>
      </c>
      <c r="H62">
        <v>2800000</v>
      </c>
      <c r="I62">
        <v>1470000</v>
      </c>
      <c r="J62" s="1">
        <f t="shared" si="1"/>
        <v>4270000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3">
      <c r="A63" t="s">
        <v>45</v>
      </c>
      <c r="B63" t="s">
        <v>42</v>
      </c>
      <c r="C63">
        <v>0</v>
      </c>
      <c r="D63">
        <v>33</v>
      </c>
      <c r="E63">
        <v>17</v>
      </c>
      <c r="F63">
        <f t="shared" si="0"/>
        <v>50</v>
      </c>
      <c r="G63">
        <v>0</v>
      </c>
      <c r="H63">
        <v>1320000</v>
      </c>
      <c r="I63">
        <v>510000</v>
      </c>
      <c r="J63" s="1">
        <f t="shared" si="1"/>
        <v>1830000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3">
      <c r="A64" t="s">
        <v>45</v>
      </c>
      <c r="B64" t="s">
        <v>131</v>
      </c>
      <c r="C64">
        <v>0</v>
      </c>
      <c r="D64">
        <v>5</v>
      </c>
      <c r="E64">
        <v>50</v>
      </c>
      <c r="F64">
        <f t="shared" si="0"/>
        <v>55</v>
      </c>
      <c r="G64">
        <v>0</v>
      </c>
      <c r="H64">
        <v>200000</v>
      </c>
      <c r="I64">
        <v>1500000</v>
      </c>
      <c r="J64" s="1">
        <f t="shared" si="1"/>
        <v>1700000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3">
      <c r="A65" t="s">
        <v>45</v>
      </c>
      <c r="B65" t="s">
        <v>43</v>
      </c>
      <c r="C65">
        <v>0</v>
      </c>
      <c r="D65">
        <v>10</v>
      </c>
      <c r="E65">
        <v>40</v>
      </c>
      <c r="F65">
        <f t="shared" si="0"/>
        <v>50</v>
      </c>
      <c r="G65">
        <v>0</v>
      </c>
      <c r="H65">
        <v>400000</v>
      </c>
      <c r="I65">
        <v>1200000</v>
      </c>
      <c r="J65" s="1">
        <f t="shared" si="1"/>
        <v>1600000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3">
      <c r="A66" t="s">
        <v>177</v>
      </c>
      <c r="B66" t="s">
        <v>139</v>
      </c>
      <c r="C66">
        <v>0</v>
      </c>
      <c r="D66">
        <v>0</v>
      </c>
      <c r="E66">
        <v>3302</v>
      </c>
      <c r="F66">
        <f t="shared" si="0"/>
        <v>3302</v>
      </c>
      <c r="G66">
        <v>0</v>
      </c>
      <c r="H66">
        <v>0</v>
      </c>
      <c r="I66">
        <v>203660000</v>
      </c>
      <c r="J66" s="1">
        <f t="shared" si="1"/>
        <v>203660000</v>
      </c>
      <c r="K66" s="1"/>
      <c r="L66" s="1"/>
      <c r="M66" s="1"/>
      <c r="P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3">
      <c r="A67" t="s">
        <v>177</v>
      </c>
      <c r="B67" t="s">
        <v>140</v>
      </c>
      <c r="C67">
        <v>45</v>
      </c>
      <c r="D67">
        <v>400</v>
      </c>
      <c r="E67">
        <v>1296</v>
      </c>
      <c r="F67">
        <f t="shared" si="0"/>
        <v>1741</v>
      </c>
      <c r="G67">
        <v>2250000</v>
      </c>
      <c r="H67">
        <v>10000000</v>
      </c>
      <c r="I67">
        <v>30920000</v>
      </c>
      <c r="J67" s="1">
        <f t="shared" si="1"/>
        <v>43170000</v>
      </c>
      <c r="K67" s="1"/>
      <c r="L67" s="1"/>
      <c r="M67" s="1"/>
      <c r="P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3">
      <c r="A68" t="s">
        <v>177</v>
      </c>
      <c r="B68" t="s">
        <v>44</v>
      </c>
      <c r="C68">
        <v>60</v>
      </c>
      <c r="D68">
        <v>587</v>
      </c>
      <c r="E68">
        <v>3300</v>
      </c>
      <c r="F68">
        <f t="shared" ref="F68:F131" si="2">C68+D68+E68</f>
        <v>3947</v>
      </c>
      <c r="G68">
        <v>6000000</v>
      </c>
      <c r="H68">
        <v>30275000</v>
      </c>
      <c r="I68">
        <v>200000000</v>
      </c>
      <c r="J68" s="1">
        <f t="shared" ref="J68:J131" si="3">G68+H68+I68</f>
        <v>236275000</v>
      </c>
      <c r="K68" s="1"/>
      <c r="L68" s="1"/>
      <c r="M68" s="1"/>
      <c r="P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3">
      <c r="A69" t="s">
        <v>177</v>
      </c>
      <c r="B69" t="s">
        <v>141</v>
      </c>
      <c r="C69">
        <v>0</v>
      </c>
      <c r="D69">
        <v>42</v>
      </c>
      <c r="E69">
        <v>2070</v>
      </c>
      <c r="F69">
        <f t="shared" si="2"/>
        <v>2112</v>
      </c>
      <c r="G69">
        <v>0</v>
      </c>
      <c r="H69">
        <v>2700000</v>
      </c>
      <c r="I69">
        <v>162000000</v>
      </c>
      <c r="J69" s="1">
        <f t="shared" si="3"/>
        <v>164700000</v>
      </c>
      <c r="K69" s="1"/>
      <c r="L69" s="1"/>
      <c r="M69" s="1"/>
      <c r="N69" s="1"/>
      <c r="O69" s="1"/>
      <c r="P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3">
      <c r="A70" t="s">
        <v>46</v>
      </c>
      <c r="B70" t="s">
        <v>47</v>
      </c>
      <c r="C70">
        <v>0</v>
      </c>
      <c r="D70">
        <v>594</v>
      </c>
      <c r="E70">
        <v>24817</v>
      </c>
      <c r="F70">
        <f t="shared" si="2"/>
        <v>25411</v>
      </c>
      <c r="G70">
        <v>0</v>
      </c>
      <c r="H70">
        <v>21600500</v>
      </c>
      <c r="I70">
        <v>1257720000</v>
      </c>
      <c r="J70" s="1">
        <f t="shared" si="3"/>
        <v>1279320500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3">
      <c r="A71" t="s">
        <v>46</v>
      </c>
      <c r="B71" t="s">
        <v>48</v>
      </c>
      <c r="C71">
        <v>0</v>
      </c>
      <c r="D71">
        <v>1132</v>
      </c>
      <c r="E71">
        <v>1843</v>
      </c>
      <c r="F71">
        <f t="shared" si="2"/>
        <v>2975</v>
      </c>
      <c r="G71">
        <v>0</v>
      </c>
      <c r="H71">
        <v>35991000</v>
      </c>
      <c r="I71">
        <v>82057000</v>
      </c>
      <c r="J71" s="1">
        <f t="shared" si="3"/>
        <v>118048000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3">
      <c r="A72" t="s">
        <v>46</v>
      </c>
      <c r="B72" t="s">
        <v>49</v>
      </c>
      <c r="C72">
        <v>0</v>
      </c>
      <c r="D72">
        <v>1972</v>
      </c>
      <c r="E72">
        <v>9894</v>
      </c>
      <c r="F72">
        <f t="shared" si="2"/>
        <v>11866</v>
      </c>
      <c r="G72">
        <v>0</v>
      </c>
      <c r="H72">
        <v>70100000</v>
      </c>
      <c r="I72">
        <v>362868400</v>
      </c>
      <c r="J72" s="1">
        <f t="shared" si="3"/>
        <v>432968400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3">
      <c r="A73" t="s">
        <v>46</v>
      </c>
      <c r="B73" t="s">
        <v>144</v>
      </c>
      <c r="C73">
        <v>0</v>
      </c>
      <c r="D73">
        <v>720</v>
      </c>
      <c r="E73">
        <v>16230</v>
      </c>
      <c r="F73">
        <f t="shared" si="2"/>
        <v>16950</v>
      </c>
      <c r="G73">
        <v>0</v>
      </c>
      <c r="H73">
        <v>27360000</v>
      </c>
      <c r="I73">
        <v>775350000</v>
      </c>
      <c r="J73" s="1">
        <f t="shared" si="3"/>
        <v>802710000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3">
      <c r="A74" t="s">
        <v>46</v>
      </c>
      <c r="B74" t="s">
        <v>142</v>
      </c>
      <c r="C74">
        <v>0</v>
      </c>
      <c r="D74">
        <v>0</v>
      </c>
      <c r="E74">
        <v>420</v>
      </c>
      <c r="F74">
        <f t="shared" si="2"/>
        <v>420</v>
      </c>
      <c r="G74">
        <v>0</v>
      </c>
      <c r="H74">
        <v>0</v>
      </c>
      <c r="I74">
        <v>12600000</v>
      </c>
      <c r="J74" s="1">
        <f t="shared" si="3"/>
        <v>12600000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3">
      <c r="A75" t="s">
        <v>46</v>
      </c>
      <c r="B75" t="s">
        <v>51</v>
      </c>
      <c r="C75">
        <v>0</v>
      </c>
      <c r="D75">
        <v>0</v>
      </c>
      <c r="E75">
        <v>75</v>
      </c>
      <c r="F75">
        <f t="shared" si="2"/>
        <v>75</v>
      </c>
      <c r="G75">
        <v>0</v>
      </c>
      <c r="H75">
        <v>0</v>
      </c>
      <c r="I75">
        <v>2437500</v>
      </c>
      <c r="J75" s="1">
        <f t="shared" si="3"/>
        <v>2437500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3">
      <c r="A76" t="s">
        <v>46</v>
      </c>
      <c r="B76" t="s">
        <v>145</v>
      </c>
      <c r="C76">
        <v>0</v>
      </c>
      <c r="D76">
        <v>0</v>
      </c>
      <c r="E76">
        <v>300</v>
      </c>
      <c r="F76">
        <f t="shared" si="2"/>
        <v>300</v>
      </c>
      <c r="G76">
        <v>0</v>
      </c>
      <c r="H76">
        <v>0</v>
      </c>
      <c r="I76">
        <v>10250000</v>
      </c>
      <c r="J76" s="1">
        <f t="shared" si="3"/>
        <v>10250000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3">
      <c r="A77" t="s">
        <v>46</v>
      </c>
      <c r="B77" t="s">
        <v>50</v>
      </c>
      <c r="C77">
        <v>0</v>
      </c>
      <c r="D77">
        <v>15</v>
      </c>
      <c r="E77">
        <v>149</v>
      </c>
      <c r="F77">
        <f t="shared" si="2"/>
        <v>164</v>
      </c>
      <c r="G77">
        <v>0</v>
      </c>
      <c r="H77">
        <v>442500</v>
      </c>
      <c r="I77">
        <v>6290000</v>
      </c>
      <c r="J77" s="1">
        <f t="shared" si="3"/>
        <v>6732500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3">
      <c r="A78" t="s">
        <v>46</v>
      </c>
      <c r="B78" t="s">
        <v>143</v>
      </c>
      <c r="C78">
        <v>0</v>
      </c>
      <c r="D78">
        <v>0</v>
      </c>
      <c r="E78">
        <v>40</v>
      </c>
      <c r="F78">
        <f t="shared" si="2"/>
        <v>40</v>
      </c>
      <c r="G78">
        <v>0</v>
      </c>
      <c r="H78">
        <v>0</v>
      </c>
      <c r="I78">
        <v>1080000</v>
      </c>
      <c r="J78" s="1">
        <f t="shared" si="3"/>
        <v>1080000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3">
      <c r="A79" t="s">
        <v>46</v>
      </c>
      <c r="B79" t="s">
        <v>52</v>
      </c>
      <c r="C79">
        <v>0</v>
      </c>
      <c r="D79">
        <v>0</v>
      </c>
      <c r="E79">
        <v>144</v>
      </c>
      <c r="F79">
        <f t="shared" si="2"/>
        <v>144</v>
      </c>
      <c r="G79">
        <v>0</v>
      </c>
      <c r="H79">
        <v>0</v>
      </c>
      <c r="I79">
        <v>4772000</v>
      </c>
      <c r="J79" s="1">
        <f t="shared" si="3"/>
        <v>4772000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3">
      <c r="A80" t="s">
        <v>55</v>
      </c>
      <c r="B80" t="s">
        <v>146</v>
      </c>
      <c r="C80">
        <v>9</v>
      </c>
      <c r="D80">
        <v>37</v>
      </c>
      <c r="E80">
        <v>98</v>
      </c>
      <c r="F80">
        <f t="shared" si="2"/>
        <v>144</v>
      </c>
      <c r="G80">
        <v>900000</v>
      </c>
      <c r="H80">
        <v>3800000</v>
      </c>
      <c r="I80">
        <v>9600000</v>
      </c>
      <c r="J80" s="1">
        <f t="shared" si="3"/>
        <v>14300000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3">
      <c r="A81" t="s">
        <v>55</v>
      </c>
      <c r="B81" t="s">
        <v>148</v>
      </c>
      <c r="C81">
        <v>0</v>
      </c>
      <c r="D81">
        <v>0</v>
      </c>
      <c r="E81">
        <v>29</v>
      </c>
      <c r="F81">
        <f t="shared" si="2"/>
        <v>29</v>
      </c>
      <c r="G81">
        <v>0</v>
      </c>
      <c r="H81">
        <v>0</v>
      </c>
      <c r="I81">
        <v>2425000</v>
      </c>
      <c r="J81" s="1">
        <f t="shared" si="3"/>
        <v>2425000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3">
      <c r="A82" t="s">
        <v>55</v>
      </c>
      <c r="B82" t="s">
        <v>53</v>
      </c>
      <c r="C82">
        <v>0</v>
      </c>
      <c r="D82">
        <v>0</v>
      </c>
      <c r="E82">
        <v>12</v>
      </c>
      <c r="F82">
        <f t="shared" si="2"/>
        <v>12</v>
      </c>
      <c r="G82">
        <v>0</v>
      </c>
      <c r="H82">
        <v>0</v>
      </c>
      <c r="I82">
        <v>1525000</v>
      </c>
      <c r="J82" s="1">
        <f t="shared" si="3"/>
        <v>1525000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3">
      <c r="A83" t="s">
        <v>55</v>
      </c>
      <c r="B83" t="s">
        <v>54</v>
      </c>
      <c r="C83">
        <v>0</v>
      </c>
      <c r="D83">
        <v>7</v>
      </c>
      <c r="E83">
        <v>4270</v>
      </c>
      <c r="F83">
        <f t="shared" si="2"/>
        <v>4277</v>
      </c>
      <c r="G83">
        <v>0</v>
      </c>
      <c r="H83">
        <v>800000</v>
      </c>
      <c r="I83">
        <v>344000000</v>
      </c>
      <c r="J83" s="1">
        <f t="shared" si="3"/>
        <v>344800000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3">
      <c r="A84" t="s">
        <v>55</v>
      </c>
      <c r="B84" t="s">
        <v>147</v>
      </c>
      <c r="C84">
        <v>0</v>
      </c>
      <c r="D84">
        <v>5</v>
      </c>
      <c r="E84">
        <v>420</v>
      </c>
      <c r="F84">
        <f t="shared" si="2"/>
        <v>425</v>
      </c>
      <c r="G84">
        <v>0</v>
      </c>
      <c r="H84">
        <v>500000</v>
      </c>
      <c r="I84">
        <v>49625000</v>
      </c>
      <c r="J84" s="1">
        <f t="shared" si="3"/>
        <v>50125000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3">
      <c r="A85" t="s">
        <v>105</v>
      </c>
      <c r="B85" t="s">
        <v>152</v>
      </c>
      <c r="C85">
        <v>0</v>
      </c>
      <c r="D85">
        <v>6</v>
      </c>
      <c r="E85">
        <v>14</v>
      </c>
      <c r="F85">
        <f t="shared" si="2"/>
        <v>20</v>
      </c>
      <c r="G85">
        <v>0</v>
      </c>
      <c r="H85">
        <v>1040000</v>
      </c>
      <c r="I85">
        <v>1050000</v>
      </c>
      <c r="J85" s="1">
        <f t="shared" si="3"/>
        <v>2090000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3">
      <c r="A86" t="s">
        <v>105</v>
      </c>
      <c r="B86" t="s">
        <v>56</v>
      </c>
      <c r="C86">
        <v>0</v>
      </c>
      <c r="D86">
        <v>70</v>
      </c>
      <c r="E86">
        <v>0</v>
      </c>
      <c r="F86">
        <f t="shared" si="2"/>
        <v>70</v>
      </c>
      <c r="G86">
        <v>0</v>
      </c>
      <c r="H86">
        <v>8500000</v>
      </c>
      <c r="I86">
        <v>0</v>
      </c>
      <c r="J86" s="1">
        <f t="shared" si="3"/>
        <v>8500000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3">
      <c r="A87" t="s">
        <v>105</v>
      </c>
      <c r="B87" t="s">
        <v>57</v>
      </c>
      <c r="C87">
        <v>0</v>
      </c>
      <c r="D87">
        <v>0</v>
      </c>
      <c r="E87">
        <v>132</v>
      </c>
      <c r="F87">
        <f t="shared" si="2"/>
        <v>132</v>
      </c>
      <c r="G87">
        <v>0</v>
      </c>
      <c r="H87">
        <v>0</v>
      </c>
      <c r="I87">
        <v>2640000</v>
      </c>
      <c r="J87" s="1">
        <f t="shared" si="3"/>
        <v>2640000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3">
      <c r="A88" t="s">
        <v>105</v>
      </c>
      <c r="B88" t="s">
        <v>151</v>
      </c>
      <c r="C88">
        <v>0</v>
      </c>
      <c r="D88">
        <v>0</v>
      </c>
      <c r="E88">
        <v>60</v>
      </c>
      <c r="F88">
        <f t="shared" si="2"/>
        <v>60</v>
      </c>
      <c r="G88">
        <v>0</v>
      </c>
      <c r="H88">
        <v>0</v>
      </c>
      <c r="I88">
        <v>1400000</v>
      </c>
      <c r="J88" s="1">
        <f t="shared" si="3"/>
        <v>1400000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3">
      <c r="A89" t="s">
        <v>105</v>
      </c>
      <c r="B89" t="s">
        <v>150</v>
      </c>
      <c r="C89">
        <v>0</v>
      </c>
      <c r="D89">
        <v>270</v>
      </c>
      <c r="E89">
        <v>3228</v>
      </c>
      <c r="F89">
        <f t="shared" si="2"/>
        <v>3498</v>
      </c>
      <c r="G89">
        <v>0</v>
      </c>
      <c r="H89">
        <v>51000000</v>
      </c>
      <c r="I89">
        <v>181400000</v>
      </c>
      <c r="J89" s="1">
        <f t="shared" si="3"/>
        <v>232400000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3">
      <c r="A90" t="s">
        <v>105</v>
      </c>
      <c r="B90" t="s">
        <v>73</v>
      </c>
      <c r="C90">
        <v>0</v>
      </c>
      <c r="D90">
        <v>0</v>
      </c>
      <c r="E90">
        <v>0</v>
      </c>
      <c r="F90">
        <f t="shared" si="2"/>
        <v>0</v>
      </c>
      <c r="G90">
        <v>0</v>
      </c>
      <c r="H90">
        <v>0</v>
      </c>
      <c r="I90">
        <v>0</v>
      </c>
      <c r="J90" s="1">
        <f t="shared" si="3"/>
        <v>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3">
      <c r="A91" t="s">
        <v>105</v>
      </c>
      <c r="B91" t="s">
        <v>59</v>
      </c>
      <c r="C91">
        <v>0</v>
      </c>
      <c r="D91">
        <v>0</v>
      </c>
      <c r="E91">
        <v>0</v>
      </c>
      <c r="F91">
        <f t="shared" si="2"/>
        <v>0</v>
      </c>
      <c r="G91">
        <v>0</v>
      </c>
      <c r="H91">
        <v>0</v>
      </c>
      <c r="I91">
        <v>0</v>
      </c>
      <c r="J91" s="1">
        <f t="shared" si="3"/>
        <v>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3">
      <c r="A92" t="s">
        <v>105</v>
      </c>
      <c r="B92" t="s">
        <v>58</v>
      </c>
      <c r="C92">
        <v>0</v>
      </c>
      <c r="D92">
        <v>0</v>
      </c>
      <c r="E92">
        <v>0</v>
      </c>
      <c r="F92">
        <f t="shared" si="2"/>
        <v>0</v>
      </c>
      <c r="G92">
        <v>0</v>
      </c>
      <c r="H92">
        <v>0</v>
      </c>
      <c r="I92">
        <v>0</v>
      </c>
      <c r="J92" s="1">
        <f t="shared" si="3"/>
        <v>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3">
      <c r="A93" t="s">
        <v>105</v>
      </c>
      <c r="B93" t="s">
        <v>60</v>
      </c>
      <c r="C93">
        <v>0</v>
      </c>
      <c r="D93">
        <v>0</v>
      </c>
      <c r="E93">
        <v>0</v>
      </c>
      <c r="F93">
        <f t="shared" si="2"/>
        <v>0</v>
      </c>
      <c r="G93">
        <v>0</v>
      </c>
      <c r="H93">
        <v>0</v>
      </c>
      <c r="I93">
        <v>0</v>
      </c>
      <c r="J93" s="1">
        <f t="shared" si="3"/>
        <v>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3">
      <c r="A94" t="s">
        <v>74</v>
      </c>
      <c r="B94" t="s">
        <v>155</v>
      </c>
      <c r="C94">
        <v>0</v>
      </c>
      <c r="D94">
        <v>450</v>
      </c>
      <c r="E94">
        <v>3000</v>
      </c>
      <c r="F94">
        <f t="shared" si="2"/>
        <v>3450</v>
      </c>
      <c r="G94">
        <v>0</v>
      </c>
      <c r="H94">
        <v>58680000</v>
      </c>
      <c r="I94">
        <v>223440000</v>
      </c>
      <c r="J94" s="1">
        <f t="shared" si="3"/>
        <v>282120000</v>
      </c>
      <c r="K94" s="1"/>
      <c r="L94" s="1"/>
      <c r="M94" s="1"/>
      <c r="P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3">
      <c r="A95" t="s">
        <v>74</v>
      </c>
      <c r="B95" t="s">
        <v>61</v>
      </c>
      <c r="C95">
        <v>0</v>
      </c>
      <c r="D95">
        <v>100</v>
      </c>
      <c r="E95">
        <v>953</v>
      </c>
      <c r="F95">
        <f t="shared" si="2"/>
        <v>1053</v>
      </c>
      <c r="G95">
        <v>0</v>
      </c>
      <c r="H95">
        <v>12000000</v>
      </c>
      <c r="I95">
        <v>81890000</v>
      </c>
      <c r="J95" s="1">
        <f t="shared" si="3"/>
        <v>93890000</v>
      </c>
      <c r="M95" s="1"/>
      <c r="N95" s="1"/>
      <c r="O95" s="1"/>
      <c r="P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3">
      <c r="A96" t="s">
        <v>74</v>
      </c>
      <c r="B96" t="s">
        <v>75</v>
      </c>
      <c r="C96">
        <v>60</v>
      </c>
      <c r="D96">
        <v>259</v>
      </c>
      <c r="E96">
        <v>1261</v>
      </c>
      <c r="F96">
        <f t="shared" si="2"/>
        <v>1580</v>
      </c>
      <c r="G96">
        <v>18600000</v>
      </c>
      <c r="H96">
        <v>30000000</v>
      </c>
      <c r="I96">
        <v>63700000</v>
      </c>
      <c r="J96" s="1">
        <f t="shared" si="3"/>
        <v>112300000</v>
      </c>
      <c r="K96" s="1"/>
      <c r="L96" s="1"/>
      <c r="M96" s="1"/>
      <c r="P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3">
      <c r="A97" t="s">
        <v>74</v>
      </c>
      <c r="B97" t="s">
        <v>153</v>
      </c>
      <c r="C97">
        <v>0</v>
      </c>
      <c r="D97">
        <v>158</v>
      </c>
      <c r="E97">
        <v>3395</v>
      </c>
      <c r="F97">
        <f t="shared" si="2"/>
        <v>3553</v>
      </c>
      <c r="G97">
        <v>0</v>
      </c>
      <c r="H97">
        <v>22740000</v>
      </c>
      <c r="I97">
        <v>279530000</v>
      </c>
      <c r="J97" s="1">
        <f t="shared" si="3"/>
        <v>302270000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3">
      <c r="A98" t="s">
        <v>74</v>
      </c>
      <c r="B98" t="s">
        <v>62</v>
      </c>
      <c r="C98">
        <v>0</v>
      </c>
      <c r="D98">
        <v>400</v>
      </c>
      <c r="E98">
        <v>705</v>
      </c>
      <c r="F98">
        <f t="shared" si="2"/>
        <v>1105</v>
      </c>
      <c r="G98">
        <v>0</v>
      </c>
      <c r="H98">
        <v>48000000</v>
      </c>
      <c r="I98">
        <v>49350000</v>
      </c>
      <c r="J98" s="1">
        <f t="shared" si="3"/>
        <v>97350000</v>
      </c>
      <c r="K98" s="1"/>
      <c r="L98" s="1"/>
      <c r="M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3">
      <c r="A99" t="s">
        <v>74</v>
      </c>
      <c r="B99" t="s">
        <v>63</v>
      </c>
      <c r="C99">
        <v>0</v>
      </c>
      <c r="D99">
        <v>0</v>
      </c>
      <c r="E99">
        <v>4447</v>
      </c>
      <c r="F99">
        <f t="shared" si="2"/>
        <v>4447</v>
      </c>
      <c r="G99">
        <v>0</v>
      </c>
      <c r="H99">
        <v>0</v>
      </c>
      <c r="I99">
        <v>368110000</v>
      </c>
      <c r="J99" s="1">
        <f t="shared" si="3"/>
        <v>368110000</v>
      </c>
      <c r="M99" s="1"/>
      <c r="P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3">
      <c r="A100" t="s">
        <v>74</v>
      </c>
      <c r="B100" t="s">
        <v>154</v>
      </c>
      <c r="C100">
        <v>301</v>
      </c>
      <c r="D100">
        <v>3138</v>
      </c>
      <c r="E100">
        <v>10597</v>
      </c>
      <c r="F100">
        <f t="shared" si="2"/>
        <v>14036</v>
      </c>
      <c r="G100">
        <v>93310000</v>
      </c>
      <c r="H100">
        <v>399780000</v>
      </c>
      <c r="I100">
        <v>834310000</v>
      </c>
      <c r="J100" s="1">
        <f t="shared" si="3"/>
        <v>1327400000</v>
      </c>
      <c r="K100" s="1"/>
      <c r="L100" s="1"/>
      <c r="M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3">
      <c r="A101" t="s">
        <v>74</v>
      </c>
      <c r="B101" t="s">
        <v>64</v>
      </c>
      <c r="C101">
        <v>0</v>
      </c>
      <c r="D101">
        <v>173</v>
      </c>
      <c r="E101">
        <v>8327</v>
      </c>
      <c r="F101">
        <f t="shared" si="2"/>
        <v>8500</v>
      </c>
      <c r="G101">
        <v>0</v>
      </c>
      <c r="H101">
        <v>25620000</v>
      </c>
      <c r="I101">
        <v>671270000</v>
      </c>
      <c r="J101" s="1">
        <f t="shared" si="3"/>
        <v>696890000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3">
      <c r="A102" t="s">
        <v>76</v>
      </c>
      <c r="B102" t="s">
        <v>158</v>
      </c>
      <c r="C102">
        <v>966</v>
      </c>
      <c r="D102">
        <v>3980</v>
      </c>
      <c r="E102">
        <v>19090</v>
      </c>
      <c r="F102">
        <f t="shared" si="2"/>
        <v>24036</v>
      </c>
      <c r="G102">
        <v>63500000</v>
      </c>
      <c r="H102">
        <v>141500000</v>
      </c>
      <c r="I102">
        <v>509000000</v>
      </c>
      <c r="J102" s="1">
        <f t="shared" si="3"/>
        <v>714000000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3">
      <c r="A103" t="s">
        <v>76</v>
      </c>
      <c r="B103" t="s">
        <v>66</v>
      </c>
      <c r="C103">
        <v>0</v>
      </c>
      <c r="D103">
        <v>0</v>
      </c>
      <c r="E103">
        <v>1967</v>
      </c>
      <c r="F103">
        <f t="shared" si="2"/>
        <v>1967</v>
      </c>
      <c r="G103">
        <v>0</v>
      </c>
      <c r="H103">
        <v>0</v>
      </c>
      <c r="I103">
        <v>29790000</v>
      </c>
      <c r="J103" s="1">
        <f t="shared" si="3"/>
        <v>29790000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3">
      <c r="A104" t="s">
        <v>76</v>
      </c>
      <c r="B104" t="s">
        <v>68</v>
      </c>
      <c r="C104">
        <v>0</v>
      </c>
      <c r="D104">
        <v>50</v>
      </c>
      <c r="E104">
        <v>1650</v>
      </c>
      <c r="F104">
        <f t="shared" si="2"/>
        <v>1700</v>
      </c>
      <c r="G104">
        <v>0</v>
      </c>
      <c r="H104">
        <v>1000000</v>
      </c>
      <c r="I104">
        <v>109000000</v>
      </c>
      <c r="J104" s="1">
        <f t="shared" si="3"/>
        <v>110000000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3">
      <c r="A105" t="s">
        <v>76</v>
      </c>
      <c r="B105" t="s">
        <v>156</v>
      </c>
      <c r="C105">
        <v>0</v>
      </c>
      <c r="D105">
        <v>170</v>
      </c>
      <c r="E105">
        <v>614</v>
      </c>
      <c r="F105">
        <f t="shared" si="2"/>
        <v>784</v>
      </c>
      <c r="G105">
        <v>0</v>
      </c>
      <c r="H105">
        <v>1360000</v>
      </c>
      <c r="I105">
        <v>34925000</v>
      </c>
      <c r="J105" s="1">
        <f t="shared" si="3"/>
        <v>36285000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3">
      <c r="A106" t="s">
        <v>76</v>
      </c>
      <c r="B106" t="s">
        <v>157</v>
      </c>
      <c r="C106">
        <v>25</v>
      </c>
      <c r="D106">
        <v>300</v>
      </c>
      <c r="E106">
        <v>2450</v>
      </c>
      <c r="F106">
        <f t="shared" si="2"/>
        <v>2775</v>
      </c>
      <c r="G106">
        <v>1000000</v>
      </c>
      <c r="H106">
        <v>16500000</v>
      </c>
      <c r="I106">
        <v>122500000</v>
      </c>
      <c r="J106" s="1">
        <f t="shared" si="3"/>
        <v>140000000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3">
      <c r="A107" t="s">
        <v>76</v>
      </c>
      <c r="B107" t="s">
        <v>67</v>
      </c>
      <c r="C107">
        <v>750</v>
      </c>
      <c r="D107">
        <v>1538</v>
      </c>
      <c r="E107">
        <v>2661</v>
      </c>
      <c r="F107">
        <f t="shared" si="2"/>
        <v>4949</v>
      </c>
      <c r="G107">
        <v>11250000</v>
      </c>
      <c r="H107">
        <v>21800000</v>
      </c>
      <c r="I107">
        <v>53050000</v>
      </c>
      <c r="J107" s="1">
        <f t="shared" si="3"/>
        <v>86100000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3">
      <c r="A108" t="s">
        <v>76</v>
      </c>
      <c r="B108" t="s">
        <v>65</v>
      </c>
      <c r="C108">
        <v>0</v>
      </c>
      <c r="D108">
        <v>100</v>
      </c>
      <c r="E108">
        <v>4000</v>
      </c>
      <c r="F108">
        <f t="shared" si="2"/>
        <v>4100</v>
      </c>
      <c r="G108">
        <v>0</v>
      </c>
      <c r="H108">
        <v>20000000</v>
      </c>
      <c r="I108">
        <v>750000000</v>
      </c>
      <c r="J108" s="1">
        <f t="shared" si="3"/>
        <v>770000000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3">
      <c r="A109" t="s">
        <v>78</v>
      </c>
      <c r="B109" t="s">
        <v>77</v>
      </c>
      <c r="C109">
        <v>0</v>
      </c>
      <c r="D109">
        <v>0</v>
      </c>
      <c r="E109">
        <v>294</v>
      </c>
      <c r="F109">
        <f t="shared" si="2"/>
        <v>294</v>
      </c>
      <c r="G109">
        <v>0</v>
      </c>
      <c r="H109">
        <v>0</v>
      </c>
      <c r="I109">
        <v>14595000</v>
      </c>
      <c r="J109" s="1">
        <f t="shared" si="3"/>
        <v>14595000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3">
      <c r="A110" t="s">
        <v>78</v>
      </c>
      <c r="B110" t="s">
        <v>69</v>
      </c>
      <c r="C110">
        <v>0</v>
      </c>
      <c r="D110">
        <v>0</v>
      </c>
      <c r="E110">
        <v>10</v>
      </c>
      <c r="F110">
        <f t="shared" si="2"/>
        <v>10</v>
      </c>
      <c r="G110">
        <v>0</v>
      </c>
      <c r="H110">
        <v>0</v>
      </c>
      <c r="I110">
        <v>150000</v>
      </c>
      <c r="J110" s="1">
        <f t="shared" si="3"/>
        <v>150000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3">
      <c r="A111" t="s">
        <v>78</v>
      </c>
      <c r="B111" t="s">
        <v>159</v>
      </c>
      <c r="C111">
        <v>0</v>
      </c>
      <c r="D111">
        <v>0</v>
      </c>
      <c r="E111">
        <v>10</v>
      </c>
      <c r="F111">
        <f t="shared" si="2"/>
        <v>10</v>
      </c>
      <c r="G111">
        <v>0</v>
      </c>
      <c r="H111">
        <v>0</v>
      </c>
      <c r="I111">
        <v>200000</v>
      </c>
      <c r="J111" s="1">
        <f t="shared" si="3"/>
        <v>200000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3">
      <c r="A112" t="s">
        <v>78</v>
      </c>
      <c r="B112" t="s">
        <v>70</v>
      </c>
      <c r="C112">
        <v>0</v>
      </c>
      <c r="D112">
        <v>0</v>
      </c>
      <c r="E112">
        <v>148</v>
      </c>
      <c r="F112">
        <f t="shared" si="2"/>
        <v>148</v>
      </c>
      <c r="G112">
        <v>0</v>
      </c>
      <c r="H112">
        <v>0</v>
      </c>
      <c r="I112">
        <v>3700000</v>
      </c>
      <c r="J112" s="1">
        <f t="shared" si="3"/>
        <v>3700000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3">
      <c r="A113" t="s">
        <v>78</v>
      </c>
      <c r="B113" t="s">
        <v>160</v>
      </c>
      <c r="C113">
        <v>1</v>
      </c>
      <c r="D113">
        <v>9</v>
      </c>
      <c r="E113">
        <v>42</v>
      </c>
      <c r="F113">
        <f t="shared" si="2"/>
        <v>52</v>
      </c>
      <c r="G113">
        <v>20000</v>
      </c>
      <c r="H113">
        <v>225000</v>
      </c>
      <c r="I113">
        <v>420000</v>
      </c>
      <c r="J113" s="1">
        <f t="shared" si="3"/>
        <v>665000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3">
      <c r="A114" t="s">
        <v>78</v>
      </c>
      <c r="B114" t="s">
        <v>71</v>
      </c>
      <c r="C114">
        <v>0</v>
      </c>
      <c r="D114">
        <v>0</v>
      </c>
      <c r="E114">
        <v>541</v>
      </c>
      <c r="F114">
        <f t="shared" si="2"/>
        <v>541</v>
      </c>
      <c r="G114">
        <v>0</v>
      </c>
      <c r="H114">
        <v>0</v>
      </c>
      <c r="I114">
        <v>18090000</v>
      </c>
      <c r="J114" s="1">
        <f t="shared" si="3"/>
        <v>18090000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3">
      <c r="A115" t="s">
        <v>78</v>
      </c>
      <c r="B115" t="s">
        <v>72</v>
      </c>
      <c r="C115">
        <v>2</v>
      </c>
      <c r="D115">
        <v>19</v>
      </c>
      <c r="E115">
        <v>10</v>
      </c>
      <c r="F115">
        <f t="shared" si="2"/>
        <v>31</v>
      </c>
      <c r="G115">
        <v>400000</v>
      </c>
      <c r="H115">
        <v>475000</v>
      </c>
      <c r="I115">
        <v>100000</v>
      </c>
      <c r="J115" s="1">
        <f t="shared" si="3"/>
        <v>975000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3">
      <c r="A116" t="s">
        <v>78</v>
      </c>
      <c r="B116" t="s">
        <v>160</v>
      </c>
      <c r="C116">
        <v>0</v>
      </c>
      <c r="D116">
        <v>0</v>
      </c>
      <c r="E116">
        <v>0</v>
      </c>
      <c r="F116">
        <f t="shared" si="2"/>
        <v>0</v>
      </c>
      <c r="G116">
        <v>0</v>
      </c>
      <c r="H116">
        <v>0</v>
      </c>
      <c r="I116">
        <v>0</v>
      </c>
      <c r="J116" s="1">
        <f t="shared" si="3"/>
        <v>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3">
      <c r="A117" t="s">
        <v>78</v>
      </c>
      <c r="B117" t="s">
        <v>159</v>
      </c>
      <c r="C117">
        <v>0</v>
      </c>
      <c r="D117">
        <v>0</v>
      </c>
      <c r="E117">
        <v>0</v>
      </c>
      <c r="F117">
        <f t="shared" si="2"/>
        <v>0</v>
      </c>
      <c r="G117">
        <v>0</v>
      </c>
      <c r="H117">
        <v>0</v>
      </c>
      <c r="I117">
        <v>0</v>
      </c>
      <c r="J117" s="1">
        <f t="shared" si="3"/>
        <v>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3">
      <c r="A118" t="s">
        <v>79</v>
      </c>
      <c r="B118" t="s">
        <v>137</v>
      </c>
      <c r="C118">
        <v>0</v>
      </c>
      <c r="D118">
        <v>180</v>
      </c>
      <c r="E118">
        <v>460</v>
      </c>
      <c r="F118">
        <f t="shared" si="2"/>
        <v>640</v>
      </c>
      <c r="G118">
        <v>0</v>
      </c>
      <c r="H118">
        <v>9000000</v>
      </c>
      <c r="I118">
        <v>11500000</v>
      </c>
      <c r="J118" s="1">
        <f t="shared" si="3"/>
        <v>20500000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3">
      <c r="A119" t="s">
        <v>79</v>
      </c>
      <c r="B119" t="s">
        <v>80</v>
      </c>
      <c r="C119">
        <v>0</v>
      </c>
      <c r="D119">
        <v>28</v>
      </c>
      <c r="E119">
        <v>180</v>
      </c>
      <c r="F119">
        <f t="shared" si="2"/>
        <v>208</v>
      </c>
      <c r="G119">
        <v>0</v>
      </c>
      <c r="H119">
        <v>1540000</v>
      </c>
      <c r="I119">
        <v>4500000</v>
      </c>
      <c r="J119" s="1">
        <f t="shared" si="3"/>
        <v>6040000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3">
      <c r="A120" t="s">
        <v>79</v>
      </c>
      <c r="B120" t="s">
        <v>81</v>
      </c>
      <c r="C120">
        <v>0</v>
      </c>
      <c r="D120">
        <v>20</v>
      </c>
      <c r="E120">
        <v>30</v>
      </c>
      <c r="F120">
        <f t="shared" si="2"/>
        <v>50</v>
      </c>
      <c r="G120">
        <v>0</v>
      </c>
      <c r="H120">
        <v>1000000</v>
      </c>
      <c r="I120">
        <v>900000</v>
      </c>
      <c r="J120" s="1">
        <f t="shared" si="3"/>
        <v>1900000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3">
      <c r="A121" t="s">
        <v>79</v>
      </c>
      <c r="B121" t="s">
        <v>162</v>
      </c>
      <c r="C121">
        <v>0</v>
      </c>
      <c r="D121">
        <v>0</v>
      </c>
      <c r="E121">
        <v>203</v>
      </c>
      <c r="F121">
        <f t="shared" si="2"/>
        <v>203</v>
      </c>
      <c r="G121">
        <v>0</v>
      </c>
      <c r="H121">
        <v>0</v>
      </c>
      <c r="I121">
        <v>3215000</v>
      </c>
      <c r="J121" s="1">
        <f t="shared" si="3"/>
        <v>3215000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3">
      <c r="A122" t="s">
        <v>79</v>
      </c>
      <c r="B122" t="s">
        <v>184</v>
      </c>
      <c r="C122">
        <v>0</v>
      </c>
      <c r="D122">
        <v>0</v>
      </c>
      <c r="E122">
        <v>30</v>
      </c>
      <c r="F122">
        <f t="shared" si="2"/>
        <v>30</v>
      </c>
      <c r="G122">
        <v>0</v>
      </c>
      <c r="H122">
        <v>0</v>
      </c>
      <c r="I122">
        <v>1500000</v>
      </c>
      <c r="J122" s="1">
        <f t="shared" si="3"/>
        <v>1500000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3">
      <c r="A123" t="s">
        <v>79</v>
      </c>
      <c r="B123" t="s">
        <v>136</v>
      </c>
      <c r="C123">
        <v>0</v>
      </c>
      <c r="D123">
        <v>12</v>
      </c>
      <c r="E123">
        <v>13</v>
      </c>
      <c r="F123">
        <f t="shared" si="2"/>
        <v>25</v>
      </c>
      <c r="G123">
        <v>0</v>
      </c>
      <c r="H123">
        <v>360000</v>
      </c>
      <c r="I123">
        <v>325000</v>
      </c>
      <c r="J123" s="1">
        <f t="shared" si="3"/>
        <v>685000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3">
      <c r="A124" t="s">
        <v>79</v>
      </c>
      <c r="B124" t="s">
        <v>82</v>
      </c>
      <c r="C124">
        <v>0</v>
      </c>
      <c r="D124">
        <v>0</v>
      </c>
      <c r="E124">
        <v>18</v>
      </c>
      <c r="F124">
        <f t="shared" si="2"/>
        <v>18</v>
      </c>
      <c r="G124">
        <v>0</v>
      </c>
      <c r="H124">
        <v>0</v>
      </c>
      <c r="I124">
        <v>690000</v>
      </c>
      <c r="J124" s="1">
        <f t="shared" si="3"/>
        <v>690000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3">
      <c r="A125" t="s">
        <v>79</v>
      </c>
      <c r="B125" t="s">
        <v>138</v>
      </c>
      <c r="C125">
        <v>0</v>
      </c>
      <c r="D125">
        <v>52</v>
      </c>
      <c r="E125">
        <v>0</v>
      </c>
      <c r="F125">
        <f t="shared" si="2"/>
        <v>52</v>
      </c>
      <c r="G125">
        <v>0</v>
      </c>
      <c r="H125">
        <v>1040000</v>
      </c>
      <c r="I125">
        <v>0</v>
      </c>
      <c r="J125" s="1">
        <f t="shared" si="3"/>
        <v>1040000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3">
      <c r="A126" t="s">
        <v>93</v>
      </c>
      <c r="B126" t="s">
        <v>134</v>
      </c>
      <c r="C126">
        <v>0</v>
      </c>
      <c r="D126">
        <v>0</v>
      </c>
      <c r="E126">
        <v>168</v>
      </c>
      <c r="F126">
        <f t="shared" si="2"/>
        <v>168</v>
      </c>
      <c r="G126">
        <v>0</v>
      </c>
      <c r="H126">
        <v>0</v>
      </c>
      <c r="I126">
        <v>11760000</v>
      </c>
      <c r="J126" s="1">
        <f t="shared" si="3"/>
        <v>11760000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3">
      <c r="A127" t="s">
        <v>93</v>
      </c>
      <c r="B127" t="s">
        <v>132</v>
      </c>
      <c r="C127">
        <v>0</v>
      </c>
      <c r="D127">
        <v>0</v>
      </c>
      <c r="E127">
        <v>176</v>
      </c>
      <c r="F127">
        <f t="shared" si="2"/>
        <v>176</v>
      </c>
      <c r="G127">
        <v>0</v>
      </c>
      <c r="H127">
        <v>0</v>
      </c>
      <c r="I127">
        <v>5280000</v>
      </c>
      <c r="J127" s="1">
        <f t="shared" si="3"/>
        <v>5280000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3">
      <c r="A128" t="s">
        <v>93</v>
      </c>
      <c r="B128" t="s">
        <v>133</v>
      </c>
      <c r="C128">
        <v>0</v>
      </c>
      <c r="D128">
        <v>0</v>
      </c>
      <c r="E128">
        <v>310</v>
      </c>
      <c r="F128">
        <f t="shared" si="2"/>
        <v>310</v>
      </c>
      <c r="G128">
        <v>0</v>
      </c>
      <c r="H128">
        <v>0</v>
      </c>
      <c r="I128">
        <v>15500000</v>
      </c>
      <c r="J128" s="1">
        <f t="shared" si="3"/>
        <v>15500000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3">
      <c r="A129" t="s">
        <v>93</v>
      </c>
      <c r="B129" t="s">
        <v>92</v>
      </c>
      <c r="C129">
        <v>0</v>
      </c>
      <c r="D129">
        <v>0</v>
      </c>
      <c r="E129">
        <v>37</v>
      </c>
      <c r="F129">
        <f t="shared" si="2"/>
        <v>37</v>
      </c>
      <c r="G129">
        <v>0</v>
      </c>
      <c r="H129">
        <v>0</v>
      </c>
      <c r="I129">
        <v>1110000</v>
      </c>
      <c r="J129" s="1">
        <f t="shared" si="3"/>
        <v>1110000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3">
      <c r="A130" t="s">
        <v>93</v>
      </c>
      <c r="B130" t="s">
        <v>135</v>
      </c>
      <c r="C130">
        <v>0</v>
      </c>
      <c r="D130">
        <v>0</v>
      </c>
      <c r="E130">
        <v>1100</v>
      </c>
      <c r="F130">
        <f t="shared" si="2"/>
        <v>1100</v>
      </c>
      <c r="G130">
        <v>0</v>
      </c>
      <c r="H130">
        <v>0</v>
      </c>
      <c r="I130">
        <v>60000000</v>
      </c>
      <c r="J130" s="1">
        <f t="shared" si="3"/>
        <v>60000000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3">
      <c r="A131" t="s">
        <v>94</v>
      </c>
      <c r="B131" t="s">
        <v>149</v>
      </c>
      <c r="C131">
        <v>0</v>
      </c>
      <c r="D131">
        <v>0</v>
      </c>
      <c r="E131">
        <v>100</v>
      </c>
      <c r="F131">
        <f t="shared" si="2"/>
        <v>100</v>
      </c>
      <c r="G131">
        <v>0</v>
      </c>
      <c r="H131">
        <v>0</v>
      </c>
      <c r="I131">
        <v>3000000</v>
      </c>
      <c r="J131" s="1">
        <f t="shared" si="3"/>
        <v>3000000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3">
      <c r="A132" t="s">
        <v>94</v>
      </c>
      <c r="B132" t="s">
        <v>5</v>
      </c>
      <c r="C132">
        <v>0</v>
      </c>
      <c r="D132">
        <v>0</v>
      </c>
      <c r="E132">
        <v>200</v>
      </c>
      <c r="F132">
        <f t="shared" ref="F132:F156" si="4">C132+D132+E132</f>
        <v>200</v>
      </c>
      <c r="G132">
        <v>0</v>
      </c>
      <c r="H132">
        <v>0</v>
      </c>
      <c r="I132">
        <v>6200000</v>
      </c>
      <c r="J132" s="1">
        <f t="shared" ref="J132:J156" si="5">G132+H132+I132</f>
        <v>6200000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3">
      <c r="A133" t="s">
        <v>94</v>
      </c>
      <c r="B133" t="s">
        <v>95</v>
      </c>
      <c r="C133">
        <v>0</v>
      </c>
      <c r="D133">
        <v>0</v>
      </c>
      <c r="E133">
        <v>150</v>
      </c>
      <c r="F133">
        <f t="shared" si="4"/>
        <v>150</v>
      </c>
      <c r="G133">
        <v>0</v>
      </c>
      <c r="H133">
        <v>0</v>
      </c>
      <c r="I133">
        <v>4800000</v>
      </c>
      <c r="J133" s="1">
        <f t="shared" si="5"/>
        <v>4800000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3">
      <c r="A134" t="s">
        <v>96</v>
      </c>
      <c r="B134" t="s">
        <v>161</v>
      </c>
      <c r="C134">
        <v>0</v>
      </c>
      <c r="D134">
        <v>10</v>
      </c>
      <c r="E134">
        <v>70</v>
      </c>
      <c r="F134">
        <f t="shared" si="4"/>
        <v>80</v>
      </c>
      <c r="G134">
        <v>0</v>
      </c>
      <c r="H134">
        <v>500000</v>
      </c>
      <c r="I134">
        <v>499999.5</v>
      </c>
      <c r="J134" s="1">
        <f t="shared" si="5"/>
        <v>999999.5</v>
      </c>
      <c r="K134" s="1"/>
      <c r="L134" s="1"/>
      <c r="M134" s="1"/>
      <c r="N134" s="1"/>
      <c r="O134" s="1"/>
      <c r="P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3">
      <c r="A135" t="s">
        <v>96</v>
      </c>
      <c r="B135" t="s">
        <v>83</v>
      </c>
      <c r="C135">
        <v>0</v>
      </c>
      <c r="D135">
        <v>0</v>
      </c>
      <c r="E135">
        <v>310</v>
      </c>
      <c r="F135">
        <f t="shared" si="4"/>
        <v>310</v>
      </c>
      <c r="G135">
        <v>0</v>
      </c>
      <c r="H135">
        <v>0</v>
      </c>
      <c r="I135">
        <v>49600000</v>
      </c>
      <c r="J135" s="1">
        <f t="shared" si="5"/>
        <v>49600000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3">
      <c r="A136" t="s">
        <v>96</v>
      </c>
      <c r="B136" t="s">
        <v>84</v>
      </c>
      <c r="C136">
        <v>0</v>
      </c>
      <c r="D136">
        <v>55</v>
      </c>
      <c r="E136">
        <v>0</v>
      </c>
      <c r="F136">
        <f t="shared" si="4"/>
        <v>55</v>
      </c>
      <c r="G136">
        <v>0</v>
      </c>
      <c r="H136">
        <v>550000</v>
      </c>
      <c r="I136">
        <v>0</v>
      </c>
      <c r="J136" s="1">
        <f t="shared" si="5"/>
        <v>550000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3">
      <c r="A137" t="s">
        <v>96</v>
      </c>
      <c r="B137" t="s">
        <v>85</v>
      </c>
      <c r="C137">
        <v>0</v>
      </c>
      <c r="D137">
        <v>0</v>
      </c>
      <c r="E137">
        <v>1350</v>
      </c>
      <c r="F137">
        <f t="shared" si="4"/>
        <v>1350</v>
      </c>
      <c r="G137">
        <v>0</v>
      </c>
      <c r="H137">
        <v>0</v>
      </c>
      <c r="I137">
        <v>91980000</v>
      </c>
      <c r="J137" s="1">
        <f t="shared" si="5"/>
        <v>91980000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3">
      <c r="A138" t="s">
        <v>96</v>
      </c>
      <c r="B138" t="s">
        <v>86</v>
      </c>
      <c r="C138">
        <v>0</v>
      </c>
      <c r="D138">
        <v>22</v>
      </c>
      <c r="E138">
        <v>41</v>
      </c>
      <c r="F138">
        <f t="shared" si="4"/>
        <v>63</v>
      </c>
      <c r="G138">
        <v>0</v>
      </c>
      <c r="H138">
        <v>3300000</v>
      </c>
      <c r="I138">
        <v>1999980</v>
      </c>
      <c r="J138" s="1">
        <f t="shared" si="5"/>
        <v>5299980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3">
      <c r="A139" t="s">
        <v>96</v>
      </c>
      <c r="B139" t="s">
        <v>87</v>
      </c>
      <c r="C139">
        <v>1</v>
      </c>
      <c r="D139">
        <v>0</v>
      </c>
      <c r="E139">
        <v>80</v>
      </c>
      <c r="F139">
        <f t="shared" si="4"/>
        <v>81</v>
      </c>
      <c r="G139">
        <v>100000</v>
      </c>
      <c r="H139">
        <v>0</v>
      </c>
      <c r="I139">
        <v>1900000</v>
      </c>
      <c r="J139" s="1">
        <f t="shared" si="5"/>
        <v>2000000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3">
      <c r="A140" t="s">
        <v>124</v>
      </c>
      <c r="B140" t="s">
        <v>89</v>
      </c>
      <c r="C140">
        <v>0</v>
      </c>
      <c r="D140">
        <v>0</v>
      </c>
      <c r="E140">
        <v>0</v>
      </c>
      <c r="F140">
        <f t="shared" si="4"/>
        <v>0</v>
      </c>
      <c r="G140">
        <v>0</v>
      </c>
      <c r="H140">
        <v>0</v>
      </c>
      <c r="I140">
        <v>0</v>
      </c>
      <c r="J140" s="1">
        <f t="shared" si="5"/>
        <v>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3">
      <c r="A141" t="s">
        <v>124</v>
      </c>
      <c r="B141" t="s">
        <v>97</v>
      </c>
      <c r="C141">
        <v>0</v>
      </c>
      <c r="D141">
        <v>0</v>
      </c>
      <c r="E141">
        <v>0</v>
      </c>
      <c r="F141">
        <f t="shared" si="4"/>
        <v>0</v>
      </c>
      <c r="G141">
        <v>0</v>
      </c>
      <c r="H141">
        <v>0</v>
      </c>
      <c r="I141">
        <v>0</v>
      </c>
      <c r="J141" s="1">
        <f t="shared" si="5"/>
        <v>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3">
      <c r="A142" t="s">
        <v>124</v>
      </c>
      <c r="B142" t="s">
        <v>98</v>
      </c>
      <c r="C142">
        <v>0</v>
      </c>
      <c r="D142">
        <v>0</v>
      </c>
      <c r="E142">
        <v>0</v>
      </c>
      <c r="F142">
        <f t="shared" si="4"/>
        <v>0</v>
      </c>
      <c r="G142">
        <v>0</v>
      </c>
      <c r="H142">
        <v>0</v>
      </c>
      <c r="I142">
        <v>0</v>
      </c>
      <c r="J142" s="1">
        <f t="shared" si="5"/>
        <v>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3">
      <c r="A143" t="s">
        <v>124</v>
      </c>
      <c r="B143" t="s">
        <v>99</v>
      </c>
      <c r="C143">
        <v>0</v>
      </c>
      <c r="D143">
        <v>0</v>
      </c>
      <c r="E143">
        <v>0</v>
      </c>
      <c r="F143">
        <f t="shared" si="4"/>
        <v>0</v>
      </c>
      <c r="G143">
        <v>0</v>
      </c>
      <c r="H143">
        <v>0</v>
      </c>
      <c r="I143">
        <v>0</v>
      </c>
      <c r="J143" s="1">
        <f t="shared" si="5"/>
        <v>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3">
      <c r="A144" t="s">
        <v>124</v>
      </c>
      <c r="B144" t="s">
        <v>100</v>
      </c>
      <c r="C144">
        <v>0</v>
      </c>
      <c r="D144">
        <v>0</v>
      </c>
      <c r="E144">
        <v>5</v>
      </c>
      <c r="F144">
        <f t="shared" si="4"/>
        <v>5</v>
      </c>
      <c r="G144">
        <v>0</v>
      </c>
      <c r="H144">
        <v>0</v>
      </c>
      <c r="I144">
        <v>375000</v>
      </c>
      <c r="J144" s="1">
        <f t="shared" si="5"/>
        <v>375000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3">
      <c r="A145" t="s">
        <v>124</v>
      </c>
      <c r="B145" t="s">
        <v>91</v>
      </c>
      <c r="C145">
        <v>0</v>
      </c>
      <c r="D145">
        <v>0</v>
      </c>
      <c r="E145">
        <v>0</v>
      </c>
      <c r="F145">
        <f t="shared" si="4"/>
        <v>0</v>
      </c>
      <c r="G145">
        <v>0</v>
      </c>
      <c r="H145">
        <v>0</v>
      </c>
      <c r="I145">
        <v>0</v>
      </c>
      <c r="J145" s="1">
        <f t="shared" si="5"/>
        <v>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3">
      <c r="A146" t="s">
        <v>124</v>
      </c>
      <c r="B146" t="s">
        <v>101</v>
      </c>
      <c r="C146">
        <v>0</v>
      </c>
      <c r="D146">
        <v>0</v>
      </c>
      <c r="E146">
        <v>0</v>
      </c>
      <c r="F146">
        <f t="shared" si="4"/>
        <v>0</v>
      </c>
      <c r="G146">
        <v>0</v>
      </c>
      <c r="H146">
        <v>0</v>
      </c>
      <c r="I146">
        <v>0</v>
      </c>
      <c r="J146" s="1">
        <f t="shared" si="5"/>
        <v>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3">
      <c r="A147" t="s">
        <v>124</v>
      </c>
      <c r="B147" t="s">
        <v>126</v>
      </c>
      <c r="C147">
        <v>0</v>
      </c>
      <c r="D147">
        <v>0</v>
      </c>
      <c r="E147">
        <v>0</v>
      </c>
      <c r="F147">
        <f t="shared" si="4"/>
        <v>0</v>
      </c>
      <c r="G147">
        <v>0</v>
      </c>
      <c r="H147">
        <v>0</v>
      </c>
      <c r="I147">
        <v>0</v>
      </c>
      <c r="J147" s="1">
        <f t="shared" si="5"/>
        <v>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3">
      <c r="A148" t="s">
        <v>124</v>
      </c>
      <c r="B148" t="s">
        <v>125</v>
      </c>
      <c r="C148">
        <v>0</v>
      </c>
      <c r="D148">
        <v>2</v>
      </c>
      <c r="E148">
        <v>0</v>
      </c>
      <c r="F148">
        <f t="shared" si="4"/>
        <v>2</v>
      </c>
      <c r="G148">
        <v>0</v>
      </c>
      <c r="H148">
        <v>400000</v>
      </c>
      <c r="I148">
        <v>0</v>
      </c>
      <c r="J148" s="1">
        <f t="shared" si="5"/>
        <v>400000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3">
      <c r="A149" t="s">
        <v>124</v>
      </c>
      <c r="B149" t="s">
        <v>90</v>
      </c>
      <c r="C149">
        <v>0</v>
      </c>
      <c r="D149">
        <v>0</v>
      </c>
      <c r="E149">
        <v>0</v>
      </c>
      <c r="F149">
        <f t="shared" si="4"/>
        <v>0</v>
      </c>
      <c r="G149">
        <v>0</v>
      </c>
      <c r="H149">
        <v>0</v>
      </c>
      <c r="I149">
        <v>0</v>
      </c>
      <c r="J149" s="1">
        <f t="shared" si="5"/>
        <v>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3">
      <c r="A150" t="s">
        <v>124</v>
      </c>
      <c r="B150" t="s">
        <v>88</v>
      </c>
      <c r="C150">
        <v>0</v>
      </c>
      <c r="D150">
        <v>0</v>
      </c>
      <c r="E150">
        <v>0</v>
      </c>
      <c r="F150">
        <f t="shared" si="4"/>
        <v>0</v>
      </c>
      <c r="G150">
        <v>0</v>
      </c>
      <c r="H150">
        <v>0</v>
      </c>
      <c r="I150">
        <v>0</v>
      </c>
      <c r="J150" s="1">
        <f t="shared" si="5"/>
        <v>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3">
      <c r="A151" t="s">
        <v>124</v>
      </c>
      <c r="B151" t="s">
        <v>102</v>
      </c>
      <c r="C151">
        <v>0</v>
      </c>
      <c r="D151">
        <v>0</v>
      </c>
      <c r="E151">
        <v>5</v>
      </c>
      <c r="F151">
        <f t="shared" si="4"/>
        <v>5</v>
      </c>
      <c r="G151">
        <v>0</v>
      </c>
      <c r="H151">
        <v>0</v>
      </c>
      <c r="I151">
        <v>750000</v>
      </c>
      <c r="J151" s="1">
        <f t="shared" si="5"/>
        <v>750000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3">
      <c r="A152" t="s">
        <v>124</v>
      </c>
      <c r="B152" t="s">
        <v>129</v>
      </c>
      <c r="C152">
        <v>0</v>
      </c>
      <c r="D152">
        <v>0</v>
      </c>
      <c r="E152">
        <v>10</v>
      </c>
      <c r="F152">
        <f t="shared" si="4"/>
        <v>10</v>
      </c>
      <c r="G152">
        <v>0</v>
      </c>
      <c r="H152">
        <v>0</v>
      </c>
      <c r="I152">
        <v>2000000</v>
      </c>
      <c r="J152" s="1">
        <f t="shared" si="5"/>
        <v>2000000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3">
      <c r="A153" t="s">
        <v>124</v>
      </c>
      <c r="B153" t="s">
        <v>128</v>
      </c>
      <c r="C153">
        <v>0</v>
      </c>
      <c r="D153">
        <v>0</v>
      </c>
      <c r="E153">
        <v>0</v>
      </c>
      <c r="F153">
        <f t="shared" si="4"/>
        <v>0</v>
      </c>
      <c r="G153">
        <v>0</v>
      </c>
      <c r="H153">
        <v>0</v>
      </c>
      <c r="I153">
        <v>0</v>
      </c>
      <c r="J153" s="1">
        <f t="shared" si="5"/>
        <v>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3">
      <c r="A154" t="s">
        <v>124</v>
      </c>
      <c r="B154" t="s">
        <v>103</v>
      </c>
      <c r="C154">
        <v>0</v>
      </c>
      <c r="D154">
        <v>0</v>
      </c>
      <c r="E154">
        <v>1</v>
      </c>
      <c r="F154">
        <f t="shared" si="4"/>
        <v>1</v>
      </c>
      <c r="G154">
        <v>0</v>
      </c>
      <c r="H154">
        <v>0</v>
      </c>
      <c r="I154">
        <v>30000</v>
      </c>
      <c r="J154" s="1">
        <f t="shared" si="5"/>
        <v>30000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3">
      <c r="A155" t="s">
        <v>124</v>
      </c>
      <c r="B155" t="s">
        <v>104</v>
      </c>
      <c r="C155">
        <v>0</v>
      </c>
      <c r="D155">
        <v>0</v>
      </c>
      <c r="E155">
        <v>0</v>
      </c>
      <c r="F155">
        <f t="shared" si="4"/>
        <v>0</v>
      </c>
      <c r="G155">
        <v>0</v>
      </c>
      <c r="H155">
        <v>0</v>
      </c>
      <c r="I155">
        <v>0</v>
      </c>
      <c r="J155" s="1">
        <f t="shared" si="5"/>
        <v>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3">
      <c r="A156" t="s">
        <v>124</v>
      </c>
      <c r="B156" t="s">
        <v>127</v>
      </c>
      <c r="C156">
        <v>0</v>
      </c>
      <c r="D156">
        <v>0</v>
      </c>
      <c r="E156">
        <v>0</v>
      </c>
      <c r="F156">
        <f t="shared" si="4"/>
        <v>0</v>
      </c>
      <c r="G156">
        <v>0</v>
      </c>
      <c r="H156">
        <v>0</v>
      </c>
      <c r="I156">
        <v>0</v>
      </c>
      <c r="J156" s="1">
        <f t="shared" si="5"/>
        <v>0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8" spans="1:43" x14ac:dyDescent="0.3">
      <c r="J158" s="1"/>
      <c r="K158" s="1"/>
      <c r="M158" s="1"/>
      <c r="N158" s="1"/>
      <c r="P158" s="1"/>
      <c r="Q158" s="1"/>
      <c r="S158" s="1"/>
      <c r="T158" s="1"/>
      <c r="V158" s="1"/>
      <c r="W158" s="1"/>
      <c r="Y158" s="1"/>
      <c r="Z158" s="1"/>
      <c r="AB158" s="1"/>
      <c r="AC158" s="1"/>
      <c r="AE158" s="1"/>
      <c r="AF158" s="1"/>
      <c r="AH158" s="1"/>
      <c r="AI158" s="1"/>
      <c r="AK158" s="1"/>
      <c r="AL158" s="1"/>
      <c r="AN158" s="1"/>
      <c r="AO158" s="1"/>
      <c r="AQ158" s="1"/>
    </row>
  </sheetData>
  <mergeCells count="2">
    <mergeCell ref="C1:F1"/>
    <mergeCell ref="G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0541-990D-452B-943B-EB89CD277562}">
  <dimension ref="A1:H156"/>
  <sheetViews>
    <sheetView tabSelected="1" workbookViewId="0">
      <selection activeCell="D9" sqref="D9"/>
    </sheetView>
  </sheetViews>
  <sheetFormatPr defaultRowHeight="14.4" x14ac:dyDescent="0.3"/>
  <cols>
    <col min="1" max="1" width="10.77734375" bestFit="1" customWidth="1"/>
    <col min="2" max="2" width="17.6640625" bestFit="1" customWidth="1"/>
    <col min="3" max="4" width="20.88671875" bestFit="1" customWidth="1"/>
    <col min="5" max="5" width="8" bestFit="1" customWidth="1"/>
    <col min="6" max="6" width="30.33203125" customWidth="1"/>
    <col min="7" max="7" width="14.77734375" bestFit="1" customWidth="1"/>
    <col min="8" max="8" width="21.44140625" bestFit="1" customWidth="1"/>
  </cols>
  <sheetData>
    <row r="1" spans="1:8" x14ac:dyDescent="0.3">
      <c r="C1" s="8" t="s">
        <v>114</v>
      </c>
      <c r="D1" s="8"/>
      <c r="E1" s="9" t="s">
        <v>115</v>
      </c>
      <c r="F1" s="9"/>
      <c r="G1" s="10" t="s">
        <v>163</v>
      </c>
      <c r="H1" s="10"/>
    </row>
    <row r="2" spans="1:8" x14ac:dyDescent="0.3">
      <c r="A2" t="s">
        <v>106</v>
      </c>
      <c r="B2" t="s">
        <v>107</v>
      </c>
      <c r="C2" t="s">
        <v>116</v>
      </c>
      <c r="D2" t="s">
        <v>117</v>
      </c>
      <c r="E2" t="s">
        <v>116</v>
      </c>
      <c r="F2" t="s">
        <v>117</v>
      </c>
      <c r="G2" s="4" t="s">
        <v>118</v>
      </c>
      <c r="H2" s="5" t="s">
        <v>119</v>
      </c>
    </row>
    <row r="3" spans="1:8" x14ac:dyDescent="0.3">
      <c r="A3" t="s">
        <v>123</v>
      </c>
      <c r="B3" t="s">
        <v>121</v>
      </c>
      <c r="C3" s="1">
        <v>77</v>
      </c>
      <c r="D3" s="1">
        <v>51932958</v>
      </c>
      <c r="E3" s="1">
        <v>642</v>
      </c>
      <c r="F3" s="1">
        <v>197762964</v>
      </c>
      <c r="G3">
        <f t="shared" ref="G3:G34" si="0">E3+C3</f>
        <v>719</v>
      </c>
      <c r="H3">
        <f t="shared" ref="H3:H34" si="1">D3+F3</f>
        <v>249695922</v>
      </c>
    </row>
    <row r="4" spans="1:8" x14ac:dyDescent="0.3">
      <c r="A4" t="s">
        <v>123</v>
      </c>
      <c r="B4" t="s">
        <v>122</v>
      </c>
      <c r="C4" s="1">
        <v>94.64</v>
      </c>
      <c r="D4" s="1">
        <v>2141040.7200000002</v>
      </c>
      <c r="E4" s="1">
        <v>8</v>
      </c>
      <c r="F4" s="1">
        <v>210000</v>
      </c>
      <c r="G4">
        <f t="shared" si="0"/>
        <v>102.64</v>
      </c>
      <c r="H4">
        <f t="shared" si="1"/>
        <v>2351040.7200000002</v>
      </c>
    </row>
    <row r="5" spans="1:8" x14ac:dyDescent="0.3">
      <c r="A5" t="s">
        <v>123</v>
      </c>
      <c r="B5" t="s">
        <v>13</v>
      </c>
      <c r="C5" s="1">
        <v>137</v>
      </c>
      <c r="D5" s="1">
        <v>3838055</v>
      </c>
      <c r="E5" s="1">
        <v>114</v>
      </c>
      <c r="F5" s="1">
        <v>1596000</v>
      </c>
      <c r="G5">
        <f t="shared" si="0"/>
        <v>251</v>
      </c>
      <c r="H5">
        <f t="shared" si="1"/>
        <v>5434055</v>
      </c>
    </row>
    <row r="6" spans="1:8" x14ac:dyDescent="0.3">
      <c r="A6" t="s">
        <v>123</v>
      </c>
      <c r="B6" t="s">
        <v>120</v>
      </c>
      <c r="C6" s="1">
        <v>0</v>
      </c>
      <c r="D6" s="1">
        <v>0</v>
      </c>
      <c r="E6" s="1">
        <v>6.9</v>
      </c>
      <c r="F6" s="1">
        <v>4333200</v>
      </c>
      <c r="G6">
        <f t="shared" si="0"/>
        <v>6.9</v>
      </c>
      <c r="H6">
        <f t="shared" si="1"/>
        <v>4333200</v>
      </c>
    </row>
    <row r="7" spans="1:8" x14ac:dyDescent="0.3">
      <c r="A7" t="s">
        <v>123</v>
      </c>
      <c r="B7" t="s">
        <v>14</v>
      </c>
      <c r="C7" s="1">
        <v>15</v>
      </c>
      <c r="D7" s="1">
        <v>10299990</v>
      </c>
      <c r="E7" s="1">
        <v>54</v>
      </c>
      <c r="F7" s="1">
        <v>20520000</v>
      </c>
      <c r="G7">
        <f t="shared" si="0"/>
        <v>69</v>
      </c>
      <c r="H7">
        <f t="shared" si="1"/>
        <v>30819990</v>
      </c>
    </row>
    <row r="8" spans="1:8" x14ac:dyDescent="0.3">
      <c r="A8" t="s">
        <v>123</v>
      </c>
      <c r="B8" t="s">
        <v>15</v>
      </c>
      <c r="C8" s="1">
        <v>26</v>
      </c>
      <c r="D8" s="1">
        <v>1820000</v>
      </c>
      <c r="E8" s="1">
        <v>1320</v>
      </c>
      <c r="F8" s="1">
        <v>47520000</v>
      </c>
      <c r="G8">
        <f t="shared" si="0"/>
        <v>1346</v>
      </c>
      <c r="H8">
        <f t="shared" si="1"/>
        <v>49340000</v>
      </c>
    </row>
    <row r="9" spans="1:8" x14ac:dyDescent="0.3">
      <c r="A9" t="s">
        <v>123</v>
      </c>
      <c r="B9" t="s">
        <v>16</v>
      </c>
      <c r="C9" s="1">
        <v>299</v>
      </c>
      <c r="D9" s="1">
        <v>120000660</v>
      </c>
      <c r="E9" s="1">
        <v>648</v>
      </c>
      <c r="F9" s="1">
        <v>70000200</v>
      </c>
      <c r="G9">
        <f t="shared" si="0"/>
        <v>947</v>
      </c>
      <c r="H9">
        <f t="shared" si="1"/>
        <v>190000860</v>
      </c>
    </row>
    <row r="10" spans="1:8" x14ac:dyDescent="0.3">
      <c r="A10" t="s">
        <v>123</v>
      </c>
      <c r="B10" t="s">
        <v>17</v>
      </c>
      <c r="C10" s="1">
        <v>0</v>
      </c>
      <c r="D10" s="1">
        <v>0</v>
      </c>
      <c r="E10" s="1">
        <v>207</v>
      </c>
      <c r="F10" s="1">
        <v>74999826</v>
      </c>
      <c r="G10">
        <f t="shared" si="0"/>
        <v>207</v>
      </c>
      <c r="H10">
        <f t="shared" si="1"/>
        <v>74999826</v>
      </c>
    </row>
    <row r="11" spans="1:8" x14ac:dyDescent="0.3">
      <c r="A11" t="s">
        <v>123</v>
      </c>
      <c r="B11" t="s">
        <v>18</v>
      </c>
      <c r="C11" s="1">
        <v>0</v>
      </c>
      <c r="D11" s="1">
        <v>0</v>
      </c>
      <c r="E11" s="1">
        <v>487.4</v>
      </c>
      <c r="F11" s="1">
        <v>176593793.19999999</v>
      </c>
      <c r="G11">
        <f t="shared" si="0"/>
        <v>487.4</v>
      </c>
      <c r="H11">
        <f t="shared" si="1"/>
        <v>176593793.19999999</v>
      </c>
    </row>
    <row r="12" spans="1:8" x14ac:dyDescent="0.3">
      <c r="A12" t="s">
        <v>27</v>
      </c>
      <c r="B12" t="s">
        <v>165</v>
      </c>
      <c r="C12" s="1">
        <v>673.7</v>
      </c>
      <c r="D12" s="1">
        <v>14417180</v>
      </c>
      <c r="E12" s="1">
        <v>874</v>
      </c>
      <c r="F12" s="1">
        <v>8740000</v>
      </c>
      <c r="G12">
        <f t="shared" si="0"/>
        <v>1547.7</v>
      </c>
      <c r="H12">
        <f t="shared" si="1"/>
        <v>23157180</v>
      </c>
    </row>
    <row r="13" spans="1:8" x14ac:dyDescent="0.3">
      <c r="A13" t="s">
        <v>27</v>
      </c>
      <c r="B13" t="s">
        <v>164</v>
      </c>
      <c r="C13" s="1">
        <v>571.70000000000005</v>
      </c>
      <c r="D13" s="1">
        <v>16979490</v>
      </c>
      <c r="E13" s="1">
        <v>1402</v>
      </c>
      <c r="F13" s="1">
        <v>14440600</v>
      </c>
      <c r="G13">
        <f t="shared" si="0"/>
        <v>1973.7</v>
      </c>
      <c r="H13">
        <f t="shared" si="1"/>
        <v>31420090</v>
      </c>
    </row>
    <row r="14" spans="1:8" x14ac:dyDescent="0.3">
      <c r="A14" t="s">
        <v>27</v>
      </c>
      <c r="B14" t="s">
        <v>19</v>
      </c>
      <c r="C14" s="1">
        <v>0</v>
      </c>
      <c r="D14" s="1">
        <v>0</v>
      </c>
      <c r="E14" s="1">
        <v>330</v>
      </c>
      <c r="F14" s="1">
        <v>6600000</v>
      </c>
      <c r="G14">
        <f t="shared" si="0"/>
        <v>330</v>
      </c>
      <c r="H14">
        <f t="shared" si="1"/>
        <v>6600000</v>
      </c>
    </row>
    <row r="15" spans="1:8" x14ac:dyDescent="0.3">
      <c r="A15" t="s">
        <v>27</v>
      </c>
      <c r="B15" t="s">
        <v>20</v>
      </c>
      <c r="C15" s="1">
        <v>813</v>
      </c>
      <c r="D15" s="1">
        <v>162600000</v>
      </c>
      <c r="E15" s="1">
        <v>130</v>
      </c>
      <c r="F15" s="1">
        <v>6500000</v>
      </c>
      <c r="G15">
        <f t="shared" si="0"/>
        <v>943</v>
      </c>
      <c r="H15">
        <f t="shared" si="1"/>
        <v>169100000</v>
      </c>
    </row>
    <row r="16" spans="1:8" x14ac:dyDescent="0.3">
      <c r="A16" t="s">
        <v>27</v>
      </c>
      <c r="B16" t="s">
        <v>21</v>
      </c>
      <c r="C16" s="1">
        <v>911</v>
      </c>
      <c r="D16" s="1">
        <v>182200000</v>
      </c>
      <c r="E16" s="1">
        <v>340</v>
      </c>
      <c r="F16" s="1">
        <v>17000000</v>
      </c>
      <c r="G16">
        <f t="shared" si="0"/>
        <v>1251</v>
      </c>
      <c r="H16">
        <f t="shared" si="1"/>
        <v>199200000</v>
      </c>
    </row>
    <row r="17" spans="1:8" x14ac:dyDescent="0.3">
      <c r="A17" t="s">
        <v>27</v>
      </c>
      <c r="B17" t="s">
        <v>22</v>
      </c>
      <c r="C17" s="1">
        <v>5210</v>
      </c>
      <c r="D17" s="1">
        <v>7815000</v>
      </c>
      <c r="E17" s="1">
        <v>1300</v>
      </c>
      <c r="F17" s="1">
        <v>1300000</v>
      </c>
      <c r="G17">
        <f t="shared" si="0"/>
        <v>6510</v>
      </c>
      <c r="H17">
        <f t="shared" si="1"/>
        <v>9115000</v>
      </c>
    </row>
    <row r="18" spans="1:8" x14ac:dyDescent="0.3">
      <c r="A18" t="s">
        <v>176</v>
      </c>
      <c r="B18" t="s">
        <v>166</v>
      </c>
      <c r="C18" s="1">
        <v>93</v>
      </c>
      <c r="D18" s="1">
        <v>221340000</v>
      </c>
      <c r="E18" s="1">
        <v>0</v>
      </c>
      <c r="F18" s="1">
        <v>0</v>
      </c>
      <c r="G18">
        <f t="shared" si="0"/>
        <v>93</v>
      </c>
      <c r="H18">
        <f t="shared" si="1"/>
        <v>221340000</v>
      </c>
    </row>
    <row r="19" spans="1:8" x14ac:dyDescent="0.3">
      <c r="A19" t="s">
        <v>176</v>
      </c>
      <c r="B19" t="s">
        <v>167</v>
      </c>
      <c r="C19" s="1">
        <v>150</v>
      </c>
      <c r="D19" s="1">
        <v>3750000</v>
      </c>
      <c r="E19" s="1">
        <v>330</v>
      </c>
      <c r="F19" s="1">
        <v>4950000</v>
      </c>
      <c r="G19">
        <f t="shared" si="0"/>
        <v>480</v>
      </c>
      <c r="H19">
        <f t="shared" si="1"/>
        <v>8700000</v>
      </c>
    </row>
    <row r="20" spans="1:8" x14ac:dyDescent="0.3">
      <c r="A20" t="s">
        <v>176</v>
      </c>
      <c r="B20" t="s">
        <v>168</v>
      </c>
      <c r="C20" s="1">
        <v>0</v>
      </c>
      <c r="D20" s="1">
        <v>0</v>
      </c>
      <c r="E20" s="1">
        <v>3000</v>
      </c>
      <c r="F20" s="1">
        <v>55569000</v>
      </c>
      <c r="G20">
        <f t="shared" si="0"/>
        <v>3000</v>
      </c>
      <c r="H20">
        <f t="shared" si="1"/>
        <v>55569000</v>
      </c>
    </row>
    <row r="21" spans="1:8" x14ac:dyDescent="0.3">
      <c r="A21" t="s">
        <v>176</v>
      </c>
      <c r="B21" t="s">
        <v>179</v>
      </c>
      <c r="C21" s="1">
        <v>47.8</v>
      </c>
      <c r="D21" s="1">
        <v>24856000</v>
      </c>
      <c r="E21" s="1">
        <v>0</v>
      </c>
      <c r="F21" s="1">
        <v>0</v>
      </c>
      <c r="G21">
        <f t="shared" si="0"/>
        <v>47.8</v>
      </c>
      <c r="H21">
        <f t="shared" si="1"/>
        <v>24856000</v>
      </c>
    </row>
    <row r="22" spans="1:8" x14ac:dyDescent="0.3">
      <c r="A22" t="s">
        <v>176</v>
      </c>
      <c r="B22" t="s">
        <v>24</v>
      </c>
      <c r="C22" s="1">
        <v>40</v>
      </c>
      <c r="D22" s="1">
        <v>9600000</v>
      </c>
      <c r="E22" s="1">
        <v>106</v>
      </c>
      <c r="F22" s="1">
        <v>25374916</v>
      </c>
      <c r="G22">
        <f t="shared" si="0"/>
        <v>146</v>
      </c>
      <c r="H22">
        <f t="shared" si="1"/>
        <v>34974916</v>
      </c>
    </row>
    <row r="23" spans="1:8" x14ac:dyDescent="0.3">
      <c r="A23" t="s">
        <v>176</v>
      </c>
      <c r="B23" t="s">
        <v>26</v>
      </c>
      <c r="C23" s="1">
        <v>242.5</v>
      </c>
      <c r="D23" s="1">
        <v>58200000</v>
      </c>
      <c r="E23" s="1">
        <v>1881</v>
      </c>
      <c r="F23" s="1">
        <v>18810000</v>
      </c>
      <c r="G23">
        <f t="shared" si="0"/>
        <v>2123.5</v>
      </c>
      <c r="H23">
        <f t="shared" si="1"/>
        <v>77010000</v>
      </c>
    </row>
    <row r="24" spans="1:8" x14ac:dyDescent="0.3">
      <c r="A24" t="s">
        <v>176</v>
      </c>
      <c r="B24" t="s">
        <v>180</v>
      </c>
      <c r="C24" s="1">
        <v>296</v>
      </c>
      <c r="D24" s="1">
        <v>71040000</v>
      </c>
      <c r="E24" s="1">
        <v>0</v>
      </c>
      <c r="F24" s="1">
        <v>0</v>
      </c>
      <c r="G24">
        <f t="shared" si="0"/>
        <v>296</v>
      </c>
      <c r="H24">
        <f t="shared" si="1"/>
        <v>71040000</v>
      </c>
    </row>
    <row r="25" spans="1:8" x14ac:dyDescent="0.3">
      <c r="A25" t="s">
        <v>176</v>
      </c>
      <c r="B25" t="s">
        <v>25</v>
      </c>
      <c r="C25" s="1">
        <v>0</v>
      </c>
      <c r="D25" s="1">
        <v>0</v>
      </c>
      <c r="E25" s="1">
        <v>1947</v>
      </c>
      <c r="F25" s="1">
        <v>36064281</v>
      </c>
      <c r="G25">
        <f t="shared" si="0"/>
        <v>1947</v>
      </c>
      <c r="H25">
        <f t="shared" si="1"/>
        <v>36064281</v>
      </c>
    </row>
    <row r="26" spans="1:8" x14ac:dyDescent="0.3">
      <c r="A26" t="s">
        <v>176</v>
      </c>
      <c r="B26" t="s">
        <v>23</v>
      </c>
      <c r="C26" s="1">
        <v>0</v>
      </c>
      <c r="D26" s="1">
        <v>0</v>
      </c>
      <c r="E26" s="1">
        <v>0</v>
      </c>
      <c r="F26" s="1">
        <v>0</v>
      </c>
      <c r="G26">
        <f t="shared" si="0"/>
        <v>0</v>
      </c>
      <c r="H26">
        <f t="shared" si="1"/>
        <v>0</v>
      </c>
    </row>
    <row r="27" spans="1:8" ht="13.8" customHeight="1" x14ac:dyDescent="0.3">
      <c r="A27" t="s">
        <v>176</v>
      </c>
      <c r="B27" t="s">
        <v>170</v>
      </c>
      <c r="C27" s="1">
        <v>143</v>
      </c>
      <c r="D27" s="1">
        <v>35035000</v>
      </c>
      <c r="E27" s="1">
        <v>0</v>
      </c>
      <c r="F27" s="1">
        <v>0</v>
      </c>
      <c r="G27">
        <f t="shared" si="0"/>
        <v>143</v>
      </c>
      <c r="H27">
        <f t="shared" si="1"/>
        <v>35035000</v>
      </c>
    </row>
    <row r="28" spans="1:8" x14ac:dyDescent="0.3">
      <c r="A28" t="s">
        <v>33</v>
      </c>
      <c r="B28" t="s">
        <v>169</v>
      </c>
      <c r="C28" s="1">
        <v>0</v>
      </c>
      <c r="D28" s="1">
        <v>0</v>
      </c>
      <c r="E28" s="1">
        <v>783</v>
      </c>
      <c r="F28" s="1">
        <v>7438500</v>
      </c>
      <c r="G28">
        <f t="shared" si="0"/>
        <v>783</v>
      </c>
      <c r="H28">
        <f t="shared" si="1"/>
        <v>7438500</v>
      </c>
    </row>
    <row r="29" spans="1:8" x14ac:dyDescent="0.3">
      <c r="A29" t="s">
        <v>33</v>
      </c>
      <c r="B29" t="s">
        <v>181</v>
      </c>
      <c r="C29" s="1">
        <v>11</v>
      </c>
      <c r="D29" s="1">
        <v>847000</v>
      </c>
      <c r="E29" s="1">
        <v>187</v>
      </c>
      <c r="F29" s="1">
        <v>2805000</v>
      </c>
      <c r="G29">
        <f t="shared" si="0"/>
        <v>198</v>
      </c>
      <c r="H29">
        <f t="shared" si="1"/>
        <v>3652000</v>
      </c>
    </row>
    <row r="30" spans="1:8" x14ac:dyDescent="0.3">
      <c r="A30" t="s">
        <v>33</v>
      </c>
      <c r="B30" t="s">
        <v>28</v>
      </c>
      <c r="C30" s="1">
        <v>0</v>
      </c>
      <c r="D30" s="1">
        <v>0</v>
      </c>
      <c r="E30" s="1">
        <v>126</v>
      </c>
      <c r="F30" s="1">
        <v>2520000</v>
      </c>
      <c r="G30">
        <f t="shared" si="0"/>
        <v>126</v>
      </c>
      <c r="H30">
        <f t="shared" si="1"/>
        <v>2520000</v>
      </c>
    </row>
    <row r="31" spans="1:8" x14ac:dyDescent="0.3">
      <c r="A31" t="s">
        <v>33</v>
      </c>
      <c r="B31" t="s">
        <v>29</v>
      </c>
      <c r="C31" s="1">
        <v>0</v>
      </c>
      <c r="D31" s="1">
        <v>0</v>
      </c>
      <c r="E31" s="1">
        <v>1046</v>
      </c>
      <c r="F31" s="1">
        <v>155874920</v>
      </c>
      <c r="G31">
        <f t="shared" si="0"/>
        <v>1046</v>
      </c>
      <c r="H31">
        <f t="shared" si="1"/>
        <v>155874920</v>
      </c>
    </row>
    <row r="32" spans="1:8" x14ac:dyDescent="0.3">
      <c r="A32" t="s">
        <v>33</v>
      </c>
      <c r="B32" t="s">
        <v>30</v>
      </c>
      <c r="C32" s="1">
        <v>320</v>
      </c>
      <c r="D32" s="1">
        <v>13120000</v>
      </c>
      <c r="E32" s="1">
        <v>140</v>
      </c>
      <c r="F32" s="1">
        <v>3500000</v>
      </c>
      <c r="G32">
        <f t="shared" si="0"/>
        <v>460</v>
      </c>
      <c r="H32">
        <f t="shared" si="1"/>
        <v>16620000</v>
      </c>
    </row>
    <row r="33" spans="1:8" x14ac:dyDescent="0.3">
      <c r="A33" t="s">
        <v>33</v>
      </c>
      <c r="B33" t="s">
        <v>171</v>
      </c>
      <c r="C33" s="1">
        <v>11060</v>
      </c>
      <c r="D33" s="1">
        <v>980192500</v>
      </c>
      <c r="E33" s="1">
        <v>16100</v>
      </c>
      <c r="F33" s="1">
        <v>100625000</v>
      </c>
      <c r="G33">
        <f t="shared" si="0"/>
        <v>27160</v>
      </c>
      <c r="H33">
        <f t="shared" si="1"/>
        <v>1080817500</v>
      </c>
    </row>
    <row r="34" spans="1:8" x14ac:dyDescent="0.3">
      <c r="A34" t="s">
        <v>33</v>
      </c>
      <c r="B34" t="s">
        <v>172</v>
      </c>
      <c r="C34" s="1">
        <v>10</v>
      </c>
      <c r="D34" s="1">
        <v>2750000</v>
      </c>
      <c r="E34" s="1">
        <v>0</v>
      </c>
      <c r="F34" s="1">
        <v>0</v>
      </c>
      <c r="G34">
        <f t="shared" si="0"/>
        <v>10</v>
      </c>
      <c r="H34">
        <f t="shared" si="1"/>
        <v>2750000</v>
      </c>
    </row>
    <row r="35" spans="1:8" x14ac:dyDescent="0.3">
      <c r="A35" t="s">
        <v>34</v>
      </c>
      <c r="B35" t="s">
        <v>182</v>
      </c>
      <c r="C35" s="1">
        <v>12.41</v>
      </c>
      <c r="D35" s="1">
        <v>1861500</v>
      </c>
      <c r="E35" s="1">
        <v>392.56</v>
      </c>
      <c r="F35" s="1">
        <v>11776800</v>
      </c>
      <c r="G35">
        <f t="shared" ref="G35:G66" si="2">E35+C35</f>
        <v>404.97</v>
      </c>
      <c r="H35">
        <f t="shared" ref="H35:H66" si="3">D35+F35</f>
        <v>13638300</v>
      </c>
    </row>
    <row r="36" spans="1:8" x14ac:dyDescent="0.3">
      <c r="A36" t="s">
        <v>34</v>
      </c>
      <c r="B36" t="s">
        <v>31</v>
      </c>
      <c r="C36" s="1">
        <v>14.25</v>
      </c>
      <c r="D36" s="1">
        <v>2598530.25</v>
      </c>
      <c r="E36" s="1">
        <v>252.16</v>
      </c>
      <c r="F36" s="1">
        <v>6304000</v>
      </c>
      <c r="G36">
        <f t="shared" si="2"/>
        <v>266.40999999999997</v>
      </c>
      <c r="H36">
        <f t="shared" si="3"/>
        <v>8902530.25</v>
      </c>
    </row>
    <row r="37" spans="1:8" x14ac:dyDescent="0.3">
      <c r="A37" t="s">
        <v>34</v>
      </c>
      <c r="B37" t="s">
        <v>183</v>
      </c>
      <c r="C37" s="1">
        <v>16.899999999999999</v>
      </c>
      <c r="D37" s="1">
        <v>2839200</v>
      </c>
      <c r="E37" s="1">
        <v>457.24</v>
      </c>
      <c r="F37" s="1">
        <v>20575935</v>
      </c>
      <c r="G37">
        <f t="shared" si="2"/>
        <v>474.14</v>
      </c>
      <c r="H37">
        <f t="shared" si="3"/>
        <v>23415135</v>
      </c>
    </row>
    <row r="38" spans="1:8" x14ac:dyDescent="0.3">
      <c r="A38" t="s">
        <v>34</v>
      </c>
      <c r="B38" t="s">
        <v>32</v>
      </c>
      <c r="C38" s="1">
        <v>0</v>
      </c>
      <c r="D38" s="1">
        <v>0</v>
      </c>
      <c r="E38" s="1">
        <v>143</v>
      </c>
      <c r="F38" s="1">
        <v>3146000</v>
      </c>
      <c r="G38">
        <f t="shared" si="2"/>
        <v>143</v>
      </c>
      <c r="H38">
        <f t="shared" si="3"/>
        <v>3146000</v>
      </c>
    </row>
    <row r="39" spans="1:8" x14ac:dyDescent="0.3">
      <c r="A39" t="s">
        <v>34</v>
      </c>
      <c r="B39" t="s">
        <v>16</v>
      </c>
      <c r="C39" s="1">
        <v>0</v>
      </c>
      <c r="D39" s="1">
        <v>0</v>
      </c>
      <c r="E39" s="1">
        <v>0</v>
      </c>
      <c r="F39" s="1">
        <v>0</v>
      </c>
      <c r="G39">
        <f t="shared" si="2"/>
        <v>0</v>
      </c>
      <c r="H39">
        <f t="shared" si="3"/>
        <v>0</v>
      </c>
    </row>
    <row r="40" spans="1:8" x14ac:dyDescent="0.3">
      <c r="A40" t="s">
        <v>34</v>
      </c>
      <c r="B40" t="s">
        <v>174</v>
      </c>
      <c r="C40" s="1">
        <v>10.16</v>
      </c>
      <c r="D40" s="1">
        <v>1747520</v>
      </c>
      <c r="E40" s="1">
        <v>443.72</v>
      </c>
      <c r="F40" s="1">
        <v>11093000</v>
      </c>
      <c r="G40">
        <f t="shared" si="2"/>
        <v>453.88000000000005</v>
      </c>
      <c r="H40">
        <f t="shared" si="3"/>
        <v>12840520</v>
      </c>
    </row>
    <row r="41" spans="1:8" x14ac:dyDescent="0.3">
      <c r="A41" t="s">
        <v>34</v>
      </c>
      <c r="B41" t="s">
        <v>173</v>
      </c>
      <c r="C41" s="1">
        <v>4.28</v>
      </c>
      <c r="D41" s="1">
        <v>736160</v>
      </c>
      <c r="E41" s="1">
        <v>287.32</v>
      </c>
      <c r="F41" s="1">
        <v>7183025</v>
      </c>
      <c r="G41">
        <f t="shared" si="2"/>
        <v>291.59999999999997</v>
      </c>
      <c r="H41">
        <f t="shared" si="3"/>
        <v>7919185</v>
      </c>
    </row>
    <row r="42" spans="1:8" x14ac:dyDescent="0.3">
      <c r="A42" t="s">
        <v>34</v>
      </c>
      <c r="B42" t="s">
        <v>35</v>
      </c>
      <c r="C42" s="1">
        <v>0</v>
      </c>
      <c r="D42" s="1">
        <v>0</v>
      </c>
      <c r="E42" s="1">
        <v>0</v>
      </c>
      <c r="F42" s="1">
        <v>0</v>
      </c>
      <c r="G42">
        <f t="shared" si="2"/>
        <v>0</v>
      </c>
      <c r="H42">
        <f t="shared" si="3"/>
        <v>0</v>
      </c>
    </row>
    <row r="43" spans="1:8" x14ac:dyDescent="0.3">
      <c r="A43" t="s">
        <v>0</v>
      </c>
      <c r="B43" t="s">
        <v>6</v>
      </c>
      <c r="C43" s="1">
        <v>5</v>
      </c>
      <c r="D43" s="1">
        <v>2000000</v>
      </c>
      <c r="E43" s="1">
        <v>10</v>
      </c>
      <c r="F43" s="1">
        <v>1600000</v>
      </c>
      <c r="G43">
        <f t="shared" si="2"/>
        <v>15</v>
      </c>
      <c r="H43">
        <f t="shared" si="3"/>
        <v>3600000</v>
      </c>
    </row>
    <row r="44" spans="1:8" x14ac:dyDescent="0.3">
      <c r="A44" t="s">
        <v>0</v>
      </c>
      <c r="B44" t="s">
        <v>5</v>
      </c>
      <c r="C44" s="1">
        <v>13</v>
      </c>
      <c r="D44" s="1">
        <v>3445000</v>
      </c>
      <c r="E44" s="1">
        <v>3</v>
      </c>
      <c r="F44" s="1">
        <v>530001</v>
      </c>
      <c r="G44">
        <f t="shared" si="2"/>
        <v>16</v>
      </c>
      <c r="H44">
        <f t="shared" si="3"/>
        <v>3975001</v>
      </c>
    </row>
    <row r="45" spans="1:8" x14ac:dyDescent="0.3">
      <c r="A45" t="s">
        <v>0</v>
      </c>
      <c r="B45" t="s">
        <v>2</v>
      </c>
      <c r="C45" s="1">
        <v>0</v>
      </c>
      <c r="D45" s="1">
        <v>0</v>
      </c>
      <c r="E45" s="1">
        <v>15</v>
      </c>
      <c r="F45" s="1">
        <v>1012500</v>
      </c>
      <c r="G45">
        <f t="shared" si="2"/>
        <v>15</v>
      </c>
      <c r="H45">
        <f t="shared" si="3"/>
        <v>1012500</v>
      </c>
    </row>
    <row r="46" spans="1:8" x14ac:dyDescent="0.3">
      <c r="A46" t="s">
        <v>0</v>
      </c>
      <c r="B46" t="s">
        <v>36</v>
      </c>
      <c r="C46" s="1">
        <v>0</v>
      </c>
      <c r="D46" s="1">
        <v>0</v>
      </c>
      <c r="E46" s="1">
        <v>9</v>
      </c>
      <c r="F46" s="1">
        <v>3150000</v>
      </c>
      <c r="G46">
        <f t="shared" si="2"/>
        <v>9</v>
      </c>
      <c r="H46">
        <f t="shared" si="3"/>
        <v>3150000</v>
      </c>
    </row>
    <row r="47" spans="1:8" x14ac:dyDescent="0.3">
      <c r="A47" t="s">
        <v>0</v>
      </c>
      <c r="B47" t="s">
        <v>37</v>
      </c>
      <c r="C47" s="1">
        <v>0</v>
      </c>
      <c r="D47" s="1">
        <v>0</v>
      </c>
      <c r="E47" s="1">
        <v>335</v>
      </c>
      <c r="F47" s="1">
        <v>22780000</v>
      </c>
      <c r="G47">
        <f t="shared" si="2"/>
        <v>335</v>
      </c>
      <c r="H47">
        <f t="shared" si="3"/>
        <v>22780000</v>
      </c>
    </row>
    <row r="48" spans="1:8" x14ac:dyDescent="0.3">
      <c r="A48" t="s">
        <v>0</v>
      </c>
      <c r="B48" t="s">
        <v>175</v>
      </c>
      <c r="C48" s="1">
        <v>0</v>
      </c>
      <c r="D48" s="1">
        <v>0</v>
      </c>
      <c r="E48" s="1">
        <v>20</v>
      </c>
      <c r="F48" s="1">
        <v>10000000</v>
      </c>
      <c r="G48">
        <f t="shared" si="2"/>
        <v>20</v>
      </c>
      <c r="H48">
        <f t="shared" si="3"/>
        <v>10000000</v>
      </c>
    </row>
    <row r="49" spans="1:8" x14ac:dyDescent="0.3">
      <c r="A49" t="s">
        <v>0</v>
      </c>
      <c r="B49" t="s">
        <v>3</v>
      </c>
      <c r="C49" s="1">
        <v>0</v>
      </c>
      <c r="D49" s="1">
        <v>0</v>
      </c>
      <c r="E49" s="1">
        <v>20</v>
      </c>
      <c r="F49" s="1">
        <v>4000000</v>
      </c>
      <c r="G49">
        <f t="shared" si="2"/>
        <v>20</v>
      </c>
      <c r="H49">
        <f t="shared" si="3"/>
        <v>4000000</v>
      </c>
    </row>
    <row r="50" spans="1:8" x14ac:dyDescent="0.3">
      <c r="A50" t="s">
        <v>0</v>
      </c>
      <c r="B50" t="s">
        <v>4</v>
      </c>
      <c r="C50" s="1">
        <v>0</v>
      </c>
      <c r="D50" s="1">
        <v>0</v>
      </c>
      <c r="E50" s="1">
        <v>0</v>
      </c>
      <c r="F50" s="1">
        <v>0</v>
      </c>
      <c r="G50">
        <f t="shared" si="2"/>
        <v>0</v>
      </c>
      <c r="H50">
        <f t="shared" si="3"/>
        <v>0</v>
      </c>
    </row>
    <row r="51" spans="1:8" x14ac:dyDescent="0.3">
      <c r="A51" t="s">
        <v>1</v>
      </c>
      <c r="B51" t="s">
        <v>178</v>
      </c>
      <c r="C51" s="1">
        <v>0</v>
      </c>
      <c r="D51" s="1">
        <v>0</v>
      </c>
      <c r="E51" s="1">
        <v>0</v>
      </c>
      <c r="F51" s="1">
        <v>0</v>
      </c>
      <c r="G51">
        <f t="shared" si="2"/>
        <v>0</v>
      </c>
      <c r="H51">
        <f t="shared" si="3"/>
        <v>0</v>
      </c>
    </row>
    <row r="52" spans="1:8" x14ac:dyDescent="0.3">
      <c r="A52" t="s">
        <v>1</v>
      </c>
      <c r="B52" t="s">
        <v>7</v>
      </c>
      <c r="C52" s="1">
        <v>0</v>
      </c>
      <c r="D52" s="1">
        <v>0</v>
      </c>
      <c r="E52" s="1">
        <v>0</v>
      </c>
      <c r="F52" s="1">
        <v>0</v>
      </c>
      <c r="G52">
        <f t="shared" si="2"/>
        <v>0</v>
      </c>
      <c r="H52">
        <f t="shared" si="3"/>
        <v>0</v>
      </c>
    </row>
    <row r="53" spans="1:8" x14ac:dyDescent="0.3">
      <c r="A53" t="s">
        <v>1</v>
      </c>
      <c r="B53" t="s">
        <v>38</v>
      </c>
      <c r="C53" s="1">
        <v>0</v>
      </c>
      <c r="D53" s="1">
        <v>0</v>
      </c>
      <c r="E53" s="1">
        <v>0</v>
      </c>
      <c r="F53" s="1">
        <v>0</v>
      </c>
      <c r="G53">
        <f t="shared" si="2"/>
        <v>0</v>
      </c>
      <c r="H53">
        <f t="shared" si="3"/>
        <v>0</v>
      </c>
    </row>
    <row r="54" spans="1:8" x14ac:dyDescent="0.3">
      <c r="A54" t="s">
        <v>1</v>
      </c>
      <c r="B54" t="s">
        <v>8</v>
      </c>
      <c r="C54" s="1">
        <v>0</v>
      </c>
      <c r="D54" s="1">
        <v>0</v>
      </c>
      <c r="E54" s="1">
        <v>0</v>
      </c>
      <c r="F54" s="1">
        <v>0</v>
      </c>
      <c r="G54">
        <f t="shared" si="2"/>
        <v>0</v>
      </c>
      <c r="H54">
        <f t="shared" si="3"/>
        <v>0</v>
      </c>
    </row>
    <row r="55" spans="1:8" x14ac:dyDescent="0.3">
      <c r="A55" t="s">
        <v>1</v>
      </c>
      <c r="B55" t="s">
        <v>9</v>
      </c>
      <c r="C55" s="1">
        <v>0</v>
      </c>
      <c r="D55" s="1">
        <v>0</v>
      </c>
      <c r="E55" s="1">
        <v>0</v>
      </c>
      <c r="F55" s="1">
        <v>0</v>
      </c>
      <c r="G55">
        <f t="shared" si="2"/>
        <v>0</v>
      </c>
      <c r="H55">
        <f t="shared" si="3"/>
        <v>0</v>
      </c>
    </row>
    <row r="56" spans="1:8" x14ac:dyDescent="0.3">
      <c r="A56" t="s">
        <v>1</v>
      </c>
      <c r="B56" t="s">
        <v>10</v>
      </c>
      <c r="C56" s="1">
        <v>0</v>
      </c>
      <c r="D56" s="1">
        <v>0</v>
      </c>
      <c r="E56" s="1">
        <v>0</v>
      </c>
      <c r="F56" s="1">
        <v>0</v>
      </c>
      <c r="G56">
        <f t="shared" si="2"/>
        <v>0</v>
      </c>
      <c r="H56">
        <f t="shared" si="3"/>
        <v>0</v>
      </c>
    </row>
    <row r="57" spans="1:8" x14ac:dyDescent="0.3">
      <c r="A57" t="s">
        <v>1</v>
      </c>
      <c r="B57" t="s">
        <v>11</v>
      </c>
      <c r="C57" s="1">
        <v>0</v>
      </c>
      <c r="D57" s="1">
        <v>0</v>
      </c>
      <c r="E57" s="1">
        <v>0</v>
      </c>
      <c r="F57" s="1">
        <v>0</v>
      </c>
      <c r="G57">
        <f t="shared" si="2"/>
        <v>0</v>
      </c>
      <c r="H57">
        <f t="shared" si="3"/>
        <v>0</v>
      </c>
    </row>
    <row r="58" spans="1:8" x14ac:dyDescent="0.3">
      <c r="A58" t="s">
        <v>1</v>
      </c>
      <c r="B58" t="s">
        <v>39</v>
      </c>
      <c r="C58" s="1">
        <v>0</v>
      </c>
      <c r="D58" s="1">
        <v>0</v>
      </c>
      <c r="E58" s="1">
        <v>0</v>
      </c>
      <c r="F58" s="1">
        <v>0</v>
      </c>
      <c r="G58">
        <f t="shared" si="2"/>
        <v>0</v>
      </c>
      <c r="H58">
        <f t="shared" si="3"/>
        <v>0</v>
      </c>
    </row>
    <row r="59" spans="1:8" x14ac:dyDescent="0.3">
      <c r="A59" t="s">
        <v>1</v>
      </c>
      <c r="B59" t="s">
        <v>12</v>
      </c>
      <c r="C59" s="1">
        <v>0</v>
      </c>
      <c r="D59" s="1">
        <v>0</v>
      </c>
      <c r="E59" s="1">
        <v>5</v>
      </c>
      <c r="F59" s="1">
        <v>150000</v>
      </c>
      <c r="G59">
        <f t="shared" si="2"/>
        <v>5</v>
      </c>
      <c r="H59">
        <f t="shared" si="3"/>
        <v>150000</v>
      </c>
    </row>
    <row r="60" spans="1:8" x14ac:dyDescent="0.3">
      <c r="A60" t="s">
        <v>45</v>
      </c>
      <c r="B60" t="s">
        <v>40</v>
      </c>
      <c r="C60" s="1">
        <v>0</v>
      </c>
      <c r="D60" s="1">
        <v>0</v>
      </c>
      <c r="E60" s="1">
        <v>5</v>
      </c>
      <c r="F60" s="1">
        <v>450000</v>
      </c>
      <c r="G60">
        <f t="shared" si="2"/>
        <v>5</v>
      </c>
      <c r="H60">
        <f t="shared" si="3"/>
        <v>450000</v>
      </c>
    </row>
    <row r="61" spans="1:8" x14ac:dyDescent="0.3">
      <c r="A61" t="s">
        <v>45</v>
      </c>
      <c r="B61" t="s">
        <v>41</v>
      </c>
      <c r="C61" s="1">
        <v>0</v>
      </c>
      <c r="D61" s="1">
        <v>0</v>
      </c>
      <c r="E61" s="1">
        <v>0</v>
      </c>
      <c r="F61" s="1">
        <v>0</v>
      </c>
      <c r="G61">
        <f t="shared" si="2"/>
        <v>0</v>
      </c>
      <c r="H61">
        <f t="shared" si="3"/>
        <v>0</v>
      </c>
    </row>
    <row r="62" spans="1:8" x14ac:dyDescent="0.3">
      <c r="A62" t="s">
        <v>45</v>
      </c>
      <c r="B62" t="s">
        <v>130</v>
      </c>
      <c r="C62" s="1">
        <v>0</v>
      </c>
      <c r="D62" s="1">
        <v>0</v>
      </c>
      <c r="E62" s="1">
        <v>0</v>
      </c>
      <c r="F62" s="1">
        <v>0</v>
      </c>
      <c r="G62">
        <f t="shared" si="2"/>
        <v>0</v>
      </c>
      <c r="H62">
        <f t="shared" si="3"/>
        <v>0</v>
      </c>
    </row>
    <row r="63" spans="1:8" x14ac:dyDescent="0.3">
      <c r="A63" t="s">
        <v>45</v>
      </c>
      <c r="B63" t="s">
        <v>42</v>
      </c>
      <c r="C63" s="1">
        <v>0</v>
      </c>
      <c r="D63" s="1">
        <v>0</v>
      </c>
      <c r="E63" s="1">
        <v>0</v>
      </c>
      <c r="F63" s="1">
        <v>0</v>
      </c>
      <c r="G63">
        <f t="shared" si="2"/>
        <v>0</v>
      </c>
      <c r="H63">
        <f t="shared" si="3"/>
        <v>0</v>
      </c>
    </row>
    <row r="64" spans="1:8" x14ac:dyDescent="0.3">
      <c r="A64" t="s">
        <v>45</v>
      </c>
      <c r="B64" t="s">
        <v>131</v>
      </c>
      <c r="C64" s="1">
        <v>0</v>
      </c>
      <c r="D64" s="1">
        <v>0</v>
      </c>
      <c r="E64" s="1">
        <v>2</v>
      </c>
      <c r="F64" s="1">
        <v>100000</v>
      </c>
      <c r="G64">
        <f t="shared" si="2"/>
        <v>2</v>
      </c>
      <c r="H64">
        <f t="shared" si="3"/>
        <v>100000</v>
      </c>
    </row>
    <row r="65" spans="1:8" x14ac:dyDescent="0.3">
      <c r="A65" t="s">
        <v>45</v>
      </c>
      <c r="B65" t="s">
        <v>43</v>
      </c>
      <c r="C65" s="1">
        <v>0</v>
      </c>
      <c r="D65" s="1">
        <v>0</v>
      </c>
      <c r="E65" s="1">
        <v>1</v>
      </c>
      <c r="F65" s="1">
        <v>450000</v>
      </c>
      <c r="G65">
        <f t="shared" si="2"/>
        <v>1</v>
      </c>
      <c r="H65">
        <f t="shared" si="3"/>
        <v>450000</v>
      </c>
    </row>
    <row r="66" spans="1:8" x14ac:dyDescent="0.3">
      <c r="A66" t="s">
        <v>177</v>
      </c>
      <c r="B66" t="s">
        <v>139</v>
      </c>
      <c r="C66" s="1">
        <v>22</v>
      </c>
      <c r="D66" s="1">
        <v>3300000</v>
      </c>
      <c r="E66" s="1">
        <v>120</v>
      </c>
      <c r="F66" s="1">
        <v>3600000</v>
      </c>
      <c r="G66">
        <f t="shared" si="2"/>
        <v>142</v>
      </c>
      <c r="H66">
        <f t="shared" si="3"/>
        <v>6900000</v>
      </c>
    </row>
    <row r="67" spans="1:8" x14ac:dyDescent="0.3">
      <c r="A67" t="s">
        <v>177</v>
      </c>
      <c r="B67" t="s">
        <v>140</v>
      </c>
      <c r="D67" s="1">
        <v>0</v>
      </c>
      <c r="E67" s="1">
        <v>27</v>
      </c>
      <c r="F67" s="1">
        <v>2025000</v>
      </c>
      <c r="G67">
        <f t="shared" ref="G67:G98" si="4">E67+C67</f>
        <v>27</v>
      </c>
      <c r="H67">
        <f t="shared" ref="H67:H98" si="5">D67+F67</f>
        <v>2025000</v>
      </c>
    </row>
    <row r="68" spans="1:8" x14ac:dyDescent="0.3">
      <c r="A68" t="s">
        <v>177</v>
      </c>
      <c r="B68" t="s">
        <v>44</v>
      </c>
      <c r="C68" s="1">
        <v>41</v>
      </c>
      <c r="D68" s="1">
        <v>4100000</v>
      </c>
      <c r="E68" s="1">
        <v>165</v>
      </c>
      <c r="F68" s="1">
        <v>4125000</v>
      </c>
      <c r="G68">
        <f t="shared" si="4"/>
        <v>206</v>
      </c>
      <c r="H68">
        <f t="shared" si="5"/>
        <v>8225000</v>
      </c>
    </row>
    <row r="69" spans="1:8" x14ac:dyDescent="0.3">
      <c r="A69" t="s">
        <v>177</v>
      </c>
      <c r="B69" t="s">
        <v>141</v>
      </c>
      <c r="C69" s="1">
        <v>123</v>
      </c>
      <c r="D69" s="1">
        <v>12300000</v>
      </c>
      <c r="E69" s="1">
        <v>0</v>
      </c>
      <c r="F69" s="1">
        <v>0</v>
      </c>
      <c r="G69">
        <f t="shared" si="4"/>
        <v>123</v>
      </c>
      <c r="H69">
        <f t="shared" si="5"/>
        <v>12300000</v>
      </c>
    </row>
    <row r="70" spans="1:8" x14ac:dyDescent="0.3">
      <c r="A70" t="s">
        <v>46</v>
      </c>
      <c r="B70" t="s">
        <v>47</v>
      </c>
      <c r="C70" s="1">
        <v>5</v>
      </c>
      <c r="D70" s="1">
        <v>600000</v>
      </c>
      <c r="E70" s="1">
        <v>372</v>
      </c>
      <c r="F70" s="1">
        <v>13392000</v>
      </c>
      <c r="G70">
        <f t="shared" si="4"/>
        <v>377</v>
      </c>
      <c r="H70">
        <f t="shared" si="5"/>
        <v>13992000</v>
      </c>
    </row>
    <row r="71" spans="1:8" x14ac:dyDescent="0.3">
      <c r="A71" t="s">
        <v>46</v>
      </c>
      <c r="B71" t="s">
        <v>48</v>
      </c>
      <c r="C71" s="1">
        <v>74</v>
      </c>
      <c r="D71" s="1">
        <v>11544000</v>
      </c>
      <c r="E71" s="1">
        <v>1271</v>
      </c>
      <c r="F71" s="1">
        <v>279620000</v>
      </c>
      <c r="G71">
        <f t="shared" si="4"/>
        <v>1345</v>
      </c>
      <c r="H71">
        <f t="shared" si="5"/>
        <v>291164000</v>
      </c>
    </row>
    <row r="72" spans="1:8" x14ac:dyDescent="0.3">
      <c r="A72" t="s">
        <v>46</v>
      </c>
      <c r="B72" t="s">
        <v>49</v>
      </c>
      <c r="C72" s="1">
        <v>70.150000000000006</v>
      </c>
      <c r="D72" s="1">
        <v>10171750</v>
      </c>
      <c r="E72" s="1">
        <v>65.849999999999994</v>
      </c>
      <c r="F72" s="1">
        <v>22323150</v>
      </c>
      <c r="G72">
        <f t="shared" si="4"/>
        <v>136</v>
      </c>
      <c r="H72">
        <f t="shared" si="5"/>
        <v>32494900</v>
      </c>
    </row>
    <row r="73" spans="1:8" x14ac:dyDescent="0.3">
      <c r="A73" t="s">
        <v>46</v>
      </c>
      <c r="B73" t="s">
        <v>144</v>
      </c>
      <c r="C73" s="1">
        <v>575</v>
      </c>
      <c r="D73" s="1">
        <v>68425000</v>
      </c>
      <c r="E73" s="1">
        <v>1126</v>
      </c>
      <c r="F73" s="1">
        <v>101340000</v>
      </c>
      <c r="G73">
        <f t="shared" si="4"/>
        <v>1701</v>
      </c>
      <c r="H73">
        <f t="shared" si="5"/>
        <v>169765000</v>
      </c>
    </row>
    <row r="74" spans="1:8" x14ac:dyDescent="0.3">
      <c r="A74" t="s">
        <v>46</v>
      </c>
      <c r="B74" t="s">
        <v>142</v>
      </c>
      <c r="C74" s="1">
        <v>0</v>
      </c>
      <c r="D74" s="1">
        <v>0</v>
      </c>
      <c r="E74" s="1">
        <v>104</v>
      </c>
      <c r="F74" s="1">
        <v>10400000</v>
      </c>
      <c r="G74">
        <f t="shared" si="4"/>
        <v>104</v>
      </c>
      <c r="H74">
        <f t="shared" si="5"/>
        <v>10400000</v>
      </c>
    </row>
    <row r="75" spans="1:8" x14ac:dyDescent="0.3">
      <c r="A75" t="s">
        <v>46</v>
      </c>
      <c r="B75" t="s">
        <v>51</v>
      </c>
      <c r="C75" s="1">
        <v>0</v>
      </c>
      <c r="D75" s="1">
        <v>0</v>
      </c>
      <c r="E75" s="1">
        <v>0</v>
      </c>
      <c r="F75" s="1">
        <v>0</v>
      </c>
      <c r="G75">
        <f t="shared" si="4"/>
        <v>0</v>
      </c>
      <c r="H75">
        <f t="shared" si="5"/>
        <v>0</v>
      </c>
    </row>
    <row r="76" spans="1:8" x14ac:dyDescent="0.3">
      <c r="A76" t="s">
        <v>46</v>
      </c>
      <c r="B76" t="s">
        <v>145</v>
      </c>
      <c r="C76" s="1">
        <v>3</v>
      </c>
      <c r="D76" s="1">
        <v>369000</v>
      </c>
      <c r="E76" s="1">
        <v>4</v>
      </c>
      <c r="F76" s="1">
        <v>700000</v>
      </c>
      <c r="G76">
        <f t="shared" si="4"/>
        <v>7</v>
      </c>
      <c r="H76">
        <f t="shared" si="5"/>
        <v>1069000</v>
      </c>
    </row>
    <row r="77" spans="1:8" x14ac:dyDescent="0.3">
      <c r="A77" t="s">
        <v>46</v>
      </c>
      <c r="B77" t="s">
        <v>50</v>
      </c>
      <c r="C77" s="1">
        <v>4381</v>
      </c>
      <c r="D77" s="1">
        <v>534482000</v>
      </c>
      <c r="E77" s="1">
        <v>0</v>
      </c>
      <c r="F77" s="1">
        <v>0</v>
      </c>
      <c r="G77">
        <f t="shared" si="4"/>
        <v>4381</v>
      </c>
      <c r="H77">
        <f t="shared" si="5"/>
        <v>534482000</v>
      </c>
    </row>
    <row r="78" spans="1:8" x14ac:dyDescent="0.3">
      <c r="A78" t="s">
        <v>46</v>
      </c>
      <c r="B78" t="s">
        <v>143</v>
      </c>
      <c r="C78" s="1">
        <v>0</v>
      </c>
      <c r="D78" s="1">
        <v>0</v>
      </c>
      <c r="E78" s="1">
        <v>0</v>
      </c>
      <c r="F78" s="1">
        <v>0</v>
      </c>
      <c r="G78">
        <f t="shared" si="4"/>
        <v>0</v>
      </c>
      <c r="H78">
        <f t="shared" si="5"/>
        <v>0</v>
      </c>
    </row>
    <row r="79" spans="1:8" x14ac:dyDescent="0.3">
      <c r="A79" t="s">
        <v>46</v>
      </c>
      <c r="B79" t="s">
        <v>52</v>
      </c>
      <c r="C79" s="1">
        <v>0</v>
      </c>
      <c r="D79" s="1">
        <v>0</v>
      </c>
      <c r="E79" s="1">
        <v>0</v>
      </c>
      <c r="F79" s="1">
        <v>0</v>
      </c>
      <c r="G79">
        <f t="shared" si="4"/>
        <v>0</v>
      </c>
      <c r="H79">
        <f t="shared" si="5"/>
        <v>0</v>
      </c>
    </row>
    <row r="80" spans="1:8" x14ac:dyDescent="0.3">
      <c r="A80" t="s">
        <v>55</v>
      </c>
      <c r="B80" t="s">
        <v>146</v>
      </c>
      <c r="C80" s="1">
        <v>0</v>
      </c>
      <c r="D80" s="1">
        <v>0</v>
      </c>
      <c r="E80" s="1">
        <v>0</v>
      </c>
      <c r="F80" s="1">
        <v>0</v>
      </c>
      <c r="G80">
        <f t="shared" si="4"/>
        <v>0</v>
      </c>
      <c r="H80">
        <f t="shared" si="5"/>
        <v>0</v>
      </c>
    </row>
    <row r="81" spans="1:8" x14ac:dyDescent="0.3">
      <c r="A81" t="s">
        <v>55</v>
      </c>
      <c r="B81" t="s">
        <v>148</v>
      </c>
      <c r="C81" s="1">
        <v>0</v>
      </c>
      <c r="D81" s="1">
        <v>0</v>
      </c>
      <c r="E81" s="1">
        <v>55</v>
      </c>
      <c r="F81" s="1">
        <v>550000</v>
      </c>
      <c r="G81">
        <f t="shared" si="4"/>
        <v>55</v>
      </c>
      <c r="H81">
        <f t="shared" si="5"/>
        <v>550000</v>
      </c>
    </row>
    <row r="82" spans="1:8" x14ac:dyDescent="0.3">
      <c r="A82" t="s">
        <v>55</v>
      </c>
      <c r="B82" t="s">
        <v>53</v>
      </c>
      <c r="C82" s="1">
        <v>0</v>
      </c>
      <c r="D82" s="1">
        <v>0</v>
      </c>
      <c r="E82" s="1">
        <v>3</v>
      </c>
      <c r="F82" s="1">
        <v>30000</v>
      </c>
      <c r="G82">
        <f t="shared" si="4"/>
        <v>3</v>
      </c>
      <c r="H82">
        <f t="shared" si="5"/>
        <v>30000</v>
      </c>
    </row>
    <row r="83" spans="1:8" x14ac:dyDescent="0.3">
      <c r="A83" t="s">
        <v>55</v>
      </c>
      <c r="B83" t="s">
        <v>54</v>
      </c>
      <c r="C83" s="1">
        <v>0</v>
      </c>
      <c r="D83" s="1">
        <v>0</v>
      </c>
      <c r="E83" s="1">
        <v>317</v>
      </c>
      <c r="F83" s="1">
        <v>3170000</v>
      </c>
      <c r="G83">
        <f t="shared" si="4"/>
        <v>317</v>
      </c>
      <c r="H83">
        <f t="shared" si="5"/>
        <v>3170000</v>
      </c>
    </row>
    <row r="84" spans="1:8" x14ac:dyDescent="0.3">
      <c r="A84" t="s">
        <v>55</v>
      </c>
      <c r="B84" t="s">
        <v>147</v>
      </c>
      <c r="C84" s="1">
        <v>0</v>
      </c>
      <c r="D84" s="1">
        <v>0</v>
      </c>
      <c r="E84" s="1">
        <v>1296</v>
      </c>
      <c r="F84" s="1">
        <v>12960000</v>
      </c>
      <c r="G84">
        <f t="shared" si="4"/>
        <v>1296</v>
      </c>
      <c r="H84">
        <f t="shared" si="5"/>
        <v>12960000</v>
      </c>
    </row>
    <row r="85" spans="1:8" x14ac:dyDescent="0.3">
      <c r="A85" t="s">
        <v>105</v>
      </c>
      <c r="B85" t="s">
        <v>152</v>
      </c>
      <c r="C85" s="1">
        <v>86.5</v>
      </c>
      <c r="D85" s="1">
        <v>6521494.5</v>
      </c>
      <c r="E85" s="1">
        <v>0</v>
      </c>
      <c r="F85" s="1">
        <v>0</v>
      </c>
      <c r="G85">
        <f t="shared" si="4"/>
        <v>86.5</v>
      </c>
      <c r="H85">
        <f t="shared" si="5"/>
        <v>6521494.5</v>
      </c>
    </row>
    <row r="86" spans="1:8" x14ac:dyDescent="0.3">
      <c r="A86" t="s">
        <v>105</v>
      </c>
      <c r="B86" t="s">
        <v>56</v>
      </c>
      <c r="C86" s="1">
        <v>80</v>
      </c>
      <c r="D86" s="1">
        <v>27300000</v>
      </c>
      <c r="E86" s="1">
        <v>1200</v>
      </c>
      <c r="F86" s="1">
        <v>11400000</v>
      </c>
      <c r="G86">
        <f t="shared" si="4"/>
        <v>1280</v>
      </c>
      <c r="H86">
        <f t="shared" si="5"/>
        <v>38700000</v>
      </c>
    </row>
    <row r="87" spans="1:8" x14ac:dyDescent="0.3">
      <c r="A87" t="s">
        <v>105</v>
      </c>
      <c r="B87" t="s">
        <v>57</v>
      </c>
      <c r="C87" s="1">
        <v>0</v>
      </c>
      <c r="D87" s="1">
        <v>0</v>
      </c>
      <c r="E87" s="1">
        <v>0</v>
      </c>
      <c r="F87" s="1">
        <v>0</v>
      </c>
      <c r="G87">
        <f t="shared" si="4"/>
        <v>0</v>
      </c>
      <c r="H87">
        <f t="shared" si="5"/>
        <v>0</v>
      </c>
    </row>
    <row r="88" spans="1:8" x14ac:dyDescent="0.3">
      <c r="A88" t="s">
        <v>105</v>
      </c>
      <c r="B88" t="s">
        <v>151</v>
      </c>
      <c r="C88" s="1">
        <v>0</v>
      </c>
      <c r="D88" s="1">
        <v>0</v>
      </c>
      <c r="E88" s="1">
        <v>20</v>
      </c>
      <c r="F88" s="1">
        <v>200000</v>
      </c>
      <c r="G88">
        <f t="shared" si="4"/>
        <v>20</v>
      </c>
      <c r="H88">
        <f t="shared" si="5"/>
        <v>200000</v>
      </c>
    </row>
    <row r="89" spans="1:8" x14ac:dyDescent="0.3">
      <c r="A89" t="s">
        <v>105</v>
      </c>
      <c r="B89" t="s">
        <v>150</v>
      </c>
      <c r="C89" s="1">
        <v>1242</v>
      </c>
      <c r="D89" s="1">
        <v>254739168</v>
      </c>
      <c r="E89" s="1">
        <v>0</v>
      </c>
      <c r="F89" s="1">
        <v>0</v>
      </c>
      <c r="G89">
        <f t="shared" si="4"/>
        <v>1242</v>
      </c>
      <c r="H89">
        <f t="shared" si="5"/>
        <v>254739168</v>
      </c>
    </row>
    <row r="90" spans="1:8" x14ac:dyDescent="0.3">
      <c r="A90" t="s">
        <v>105</v>
      </c>
      <c r="B90" t="s">
        <v>73</v>
      </c>
      <c r="C90" s="1">
        <v>0</v>
      </c>
      <c r="D90" s="1">
        <v>0</v>
      </c>
      <c r="E90" s="1">
        <v>0</v>
      </c>
      <c r="F90" s="1">
        <v>0</v>
      </c>
      <c r="G90">
        <f t="shared" si="4"/>
        <v>0</v>
      </c>
      <c r="H90">
        <f t="shared" si="5"/>
        <v>0</v>
      </c>
    </row>
    <row r="91" spans="1:8" x14ac:dyDescent="0.3">
      <c r="A91" t="s">
        <v>105</v>
      </c>
      <c r="B91" t="s">
        <v>59</v>
      </c>
      <c r="C91" s="1">
        <v>0</v>
      </c>
      <c r="D91" s="1">
        <v>0</v>
      </c>
      <c r="E91" s="1">
        <v>0</v>
      </c>
      <c r="F91" s="1">
        <v>0</v>
      </c>
      <c r="G91">
        <f t="shared" si="4"/>
        <v>0</v>
      </c>
      <c r="H91">
        <f t="shared" si="5"/>
        <v>0</v>
      </c>
    </row>
    <row r="92" spans="1:8" x14ac:dyDescent="0.3">
      <c r="A92" t="s">
        <v>105</v>
      </c>
      <c r="B92" t="s">
        <v>58</v>
      </c>
      <c r="C92" s="1">
        <v>0</v>
      </c>
      <c r="D92" s="1">
        <v>0</v>
      </c>
      <c r="E92" s="1">
        <v>0</v>
      </c>
      <c r="F92" s="1">
        <v>0</v>
      </c>
      <c r="G92">
        <f t="shared" si="4"/>
        <v>0</v>
      </c>
      <c r="H92">
        <f t="shared" si="5"/>
        <v>0</v>
      </c>
    </row>
    <row r="93" spans="1:8" x14ac:dyDescent="0.3">
      <c r="A93" t="s">
        <v>105</v>
      </c>
      <c r="B93" t="s">
        <v>60</v>
      </c>
      <c r="C93" s="1">
        <v>0</v>
      </c>
      <c r="D93" s="1">
        <v>0</v>
      </c>
      <c r="E93" s="1">
        <v>0</v>
      </c>
      <c r="F93" s="1">
        <v>0</v>
      </c>
      <c r="G93">
        <f t="shared" si="4"/>
        <v>0</v>
      </c>
      <c r="H93">
        <f t="shared" si="5"/>
        <v>0</v>
      </c>
    </row>
    <row r="94" spans="1:8" x14ac:dyDescent="0.3">
      <c r="A94" t="s">
        <v>74</v>
      </c>
      <c r="B94" t="s">
        <v>155</v>
      </c>
      <c r="C94" s="1">
        <v>0</v>
      </c>
      <c r="D94" s="1">
        <v>0</v>
      </c>
      <c r="E94" s="1">
        <v>1424</v>
      </c>
      <c r="F94" s="1">
        <v>35988752</v>
      </c>
      <c r="G94">
        <f t="shared" si="4"/>
        <v>1424</v>
      </c>
      <c r="H94">
        <f t="shared" si="5"/>
        <v>35988752</v>
      </c>
    </row>
    <row r="95" spans="1:8" x14ac:dyDescent="0.3">
      <c r="A95" t="s">
        <v>74</v>
      </c>
      <c r="B95" t="s">
        <v>61</v>
      </c>
      <c r="C95" s="1">
        <v>103</v>
      </c>
      <c r="D95" s="1">
        <v>21356844</v>
      </c>
      <c r="F95" s="1">
        <v>0</v>
      </c>
      <c r="G95">
        <f t="shared" si="4"/>
        <v>103</v>
      </c>
      <c r="H95">
        <f t="shared" si="5"/>
        <v>21356844</v>
      </c>
    </row>
    <row r="96" spans="1:8" x14ac:dyDescent="0.3">
      <c r="A96" t="s">
        <v>74</v>
      </c>
      <c r="B96" t="s">
        <v>75</v>
      </c>
      <c r="C96" s="1">
        <v>80</v>
      </c>
      <c r="D96" s="1">
        <v>16587840</v>
      </c>
      <c r="E96" s="1">
        <v>25</v>
      </c>
      <c r="F96" s="1">
        <v>631825</v>
      </c>
      <c r="G96">
        <f t="shared" si="4"/>
        <v>105</v>
      </c>
      <c r="H96">
        <f t="shared" si="5"/>
        <v>17219665</v>
      </c>
    </row>
    <row r="97" spans="1:8" x14ac:dyDescent="0.3">
      <c r="A97" t="s">
        <v>74</v>
      </c>
      <c r="B97" t="s">
        <v>153</v>
      </c>
      <c r="C97" s="1">
        <v>165</v>
      </c>
      <c r="D97" s="1">
        <v>34212420</v>
      </c>
      <c r="E97" s="1">
        <v>432.96</v>
      </c>
      <c r="F97" s="1">
        <v>10942198.08</v>
      </c>
      <c r="G97">
        <f t="shared" si="4"/>
        <v>597.96</v>
      </c>
      <c r="H97">
        <f t="shared" si="5"/>
        <v>45154618.079999998</v>
      </c>
    </row>
    <row r="98" spans="1:8" x14ac:dyDescent="0.3">
      <c r="A98" t="s">
        <v>74</v>
      </c>
      <c r="B98" t="s">
        <v>62</v>
      </c>
      <c r="C98" s="1">
        <v>255</v>
      </c>
      <c r="D98" s="1">
        <v>52873740</v>
      </c>
      <c r="E98" s="1">
        <v>200</v>
      </c>
      <c r="F98" s="1">
        <v>5054600</v>
      </c>
      <c r="G98">
        <f t="shared" si="4"/>
        <v>455</v>
      </c>
      <c r="H98">
        <f t="shared" si="5"/>
        <v>57928340</v>
      </c>
    </row>
    <row r="99" spans="1:8" x14ac:dyDescent="0.3">
      <c r="A99" t="s">
        <v>74</v>
      </c>
      <c r="B99" t="s">
        <v>63</v>
      </c>
      <c r="C99" s="1">
        <v>885</v>
      </c>
      <c r="D99" s="1">
        <v>183502980</v>
      </c>
      <c r="F99" s="1">
        <v>0</v>
      </c>
      <c r="G99">
        <f t="shared" ref="G99:G130" si="6">E99+C99</f>
        <v>885</v>
      </c>
      <c r="H99">
        <f t="shared" ref="H99:H130" si="7">D99+F99</f>
        <v>183502980</v>
      </c>
    </row>
    <row r="100" spans="1:8" x14ac:dyDescent="0.3">
      <c r="A100" t="s">
        <v>74</v>
      </c>
      <c r="B100" t="s">
        <v>154</v>
      </c>
      <c r="D100" s="1">
        <v>0</v>
      </c>
      <c r="E100" s="1">
        <v>410</v>
      </c>
      <c r="F100" s="1">
        <v>10361930</v>
      </c>
      <c r="G100">
        <f t="shared" si="6"/>
        <v>410</v>
      </c>
      <c r="H100">
        <f t="shared" si="7"/>
        <v>10361930</v>
      </c>
    </row>
    <row r="101" spans="1:8" x14ac:dyDescent="0.3">
      <c r="A101" t="s">
        <v>74</v>
      </c>
      <c r="B101" t="s">
        <v>64</v>
      </c>
      <c r="C101" s="1">
        <v>180</v>
      </c>
      <c r="D101" s="1">
        <v>37322640</v>
      </c>
      <c r="E101" s="1">
        <v>330</v>
      </c>
      <c r="F101" s="1">
        <v>8340090</v>
      </c>
      <c r="G101">
        <f t="shared" si="6"/>
        <v>510</v>
      </c>
      <c r="H101">
        <f t="shared" si="7"/>
        <v>45662730</v>
      </c>
    </row>
    <row r="102" spans="1:8" x14ac:dyDescent="0.3">
      <c r="A102" t="s">
        <v>76</v>
      </c>
      <c r="B102" t="s">
        <v>158</v>
      </c>
      <c r="C102" s="1">
        <v>480</v>
      </c>
      <c r="D102" s="1">
        <v>19200000</v>
      </c>
      <c r="E102" s="1">
        <v>650</v>
      </c>
      <c r="F102" s="1">
        <v>19500000</v>
      </c>
      <c r="G102">
        <f t="shared" si="6"/>
        <v>1130</v>
      </c>
      <c r="H102">
        <f t="shared" si="7"/>
        <v>38700000</v>
      </c>
    </row>
    <row r="103" spans="1:8" x14ac:dyDescent="0.3">
      <c r="A103" t="s">
        <v>76</v>
      </c>
      <c r="B103" t="s">
        <v>66</v>
      </c>
      <c r="C103" s="1">
        <v>390</v>
      </c>
      <c r="D103" s="1">
        <v>15600000</v>
      </c>
      <c r="E103" s="1">
        <v>2812.33</v>
      </c>
      <c r="F103" s="1">
        <v>84369900</v>
      </c>
      <c r="G103">
        <f t="shared" si="6"/>
        <v>3202.33</v>
      </c>
      <c r="H103">
        <f t="shared" si="7"/>
        <v>99969900</v>
      </c>
    </row>
    <row r="104" spans="1:8" x14ac:dyDescent="0.3">
      <c r="A104" t="s">
        <v>76</v>
      </c>
      <c r="B104" t="s">
        <v>68</v>
      </c>
      <c r="C104" s="1">
        <v>1</v>
      </c>
      <c r="D104" s="1">
        <v>200000</v>
      </c>
      <c r="E104" s="1">
        <v>1764.5</v>
      </c>
      <c r="F104" s="1">
        <v>88225000</v>
      </c>
      <c r="G104">
        <f t="shared" si="6"/>
        <v>1765.5</v>
      </c>
      <c r="H104">
        <f t="shared" si="7"/>
        <v>88425000</v>
      </c>
    </row>
    <row r="105" spans="1:8" x14ac:dyDescent="0.3">
      <c r="A105" t="s">
        <v>76</v>
      </c>
      <c r="B105" t="s">
        <v>156</v>
      </c>
      <c r="C105" s="1">
        <v>1744</v>
      </c>
      <c r="D105" s="1">
        <v>287760000</v>
      </c>
      <c r="E105" s="1">
        <v>0</v>
      </c>
      <c r="F105" s="1">
        <v>0</v>
      </c>
      <c r="G105">
        <f t="shared" si="6"/>
        <v>1744</v>
      </c>
      <c r="H105">
        <f t="shared" si="7"/>
        <v>287760000</v>
      </c>
    </row>
    <row r="106" spans="1:8" x14ac:dyDescent="0.3">
      <c r="A106" t="s">
        <v>76</v>
      </c>
      <c r="B106" t="s">
        <v>157</v>
      </c>
      <c r="C106" s="1">
        <v>2</v>
      </c>
      <c r="D106" s="1">
        <v>128000</v>
      </c>
      <c r="E106" s="1">
        <v>746.55</v>
      </c>
      <c r="F106" s="1">
        <v>10563682.5</v>
      </c>
      <c r="G106">
        <f t="shared" si="6"/>
        <v>748.55</v>
      </c>
      <c r="H106">
        <f t="shared" si="7"/>
        <v>10691682.5</v>
      </c>
    </row>
    <row r="107" spans="1:8" x14ac:dyDescent="0.3">
      <c r="A107" t="s">
        <v>76</v>
      </c>
      <c r="B107" t="s">
        <v>67</v>
      </c>
      <c r="C107" s="1">
        <v>0</v>
      </c>
      <c r="D107" s="1">
        <v>0</v>
      </c>
      <c r="E107" s="1">
        <v>647</v>
      </c>
      <c r="F107" s="1">
        <v>59399995.979999997</v>
      </c>
      <c r="G107">
        <f t="shared" si="6"/>
        <v>647</v>
      </c>
      <c r="H107">
        <f t="shared" si="7"/>
        <v>59399995.979999997</v>
      </c>
    </row>
    <row r="108" spans="1:8" x14ac:dyDescent="0.3">
      <c r="A108" t="s">
        <v>76</v>
      </c>
      <c r="B108" t="s">
        <v>65</v>
      </c>
      <c r="C108" s="1">
        <v>194</v>
      </c>
      <c r="D108" s="1">
        <v>116400000</v>
      </c>
      <c r="E108" s="1">
        <v>0</v>
      </c>
      <c r="F108" s="1">
        <v>0</v>
      </c>
      <c r="G108">
        <f t="shared" si="6"/>
        <v>194</v>
      </c>
      <c r="H108">
        <f t="shared" si="7"/>
        <v>116400000</v>
      </c>
    </row>
    <row r="109" spans="1:8" x14ac:dyDescent="0.3">
      <c r="A109" t="s">
        <v>78</v>
      </c>
      <c r="B109" t="s">
        <v>77</v>
      </c>
      <c r="C109" s="1">
        <v>0</v>
      </c>
      <c r="D109" s="1">
        <v>0</v>
      </c>
      <c r="E109" s="1">
        <v>9</v>
      </c>
      <c r="F109" s="1">
        <v>1785600</v>
      </c>
      <c r="G109">
        <f t="shared" si="6"/>
        <v>9</v>
      </c>
      <c r="H109">
        <f t="shared" si="7"/>
        <v>1785600</v>
      </c>
    </row>
    <row r="110" spans="1:8" x14ac:dyDescent="0.3">
      <c r="A110" t="s">
        <v>78</v>
      </c>
      <c r="B110" t="s">
        <v>69</v>
      </c>
      <c r="C110" s="1">
        <v>0</v>
      </c>
      <c r="D110" s="1">
        <v>0</v>
      </c>
      <c r="E110" s="1">
        <v>0</v>
      </c>
      <c r="F110" s="1">
        <v>0</v>
      </c>
      <c r="G110">
        <f t="shared" si="6"/>
        <v>0</v>
      </c>
      <c r="H110">
        <f t="shared" si="7"/>
        <v>0</v>
      </c>
    </row>
    <row r="111" spans="1:8" x14ac:dyDescent="0.3">
      <c r="A111" t="s">
        <v>78</v>
      </c>
      <c r="B111" t="s">
        <v>159</v>
      </c>
      <c r="C111" s="1">
        <v>0</v>
      </c>
      <c r="D111" s="1">
        <v>0</v>
      </c>
      <c r="E111" s="1">
        <v>8</v>
      </c>
      <c r="F111" s="1">
        <v>80000</v>
      </c>
      <c r="G111">
        <f t="shared" si="6"/>
        <v>8</v>
      </c>
      <c r="H111">
        <f t="shared" si="7"/>
        <v>80000</v>
      </c>
    </row>
    <row r="112" spans="1:8" x14ac:dyDescent="0.3">
      <c r="A112" t="s">
        <v>78</v>
      </c>
      <c r="B112" t="s">
        <v>70</v>
      </c>
      <c r="C112" s="1">
        <v>0</v>
      </c>
      <c r="D112" s="1">
        <v>0</v>
      </c>
      <c r="E112" s="1">
        <v>0</v>
      </c>
      <c r="F112" s="1">
        <v>0</v>
      </c>
      <c r="G112">
        <f t="shared" si="6"/>
        <v>0</v>
      </c>
      <c r="H112">
        <f t="shared" si="7"/>
        <v>0</v>
      </c>
    </row>
    <row r="113" spans="1:8" x14ac:dyDescent="0.3">
      <c r="A113" t="s">
        <v>78</v>
      </c>
      <c r="B113" t="s">
        <v>160</v>
      </c>
      <c r="C113" s="1">
        <v>10</v>
      </c>
      <c r="D113" s="1">
        <v>1125000</v>
      </c>
      <c r="E113" s="1">
        <v>10</v>
      </c>
      <c r="F113" s="1">
        <v>2500000</v>
      </c>
      <c r="G113">
        <f t="shared" si="6"/>
        <v>20</v>
      </c>
      <c r="H113">
        <f t="shared" si="7"/>
        <v>3625000</v>
      </c>
    </row>
    <row r="114" spans="1:8" x14ac:dyDescent="0.3">
      <c r="A114" t="s">
        <v>78</v>
      </c>
      <c r="B114" t="s">
        <v>71</v>
      </c>
      <c r="C114" s="1">
        <v>0</v>
      </c>
      <c r="D114" s="1">
        <v>0</v>
      </c>
      <c r="E114" s="1">
        <v>79</v>
      </c>
      <c r="F114" s="1">
        <v>47953000</v>
      </c>
      <c r="G114">
        <f t="shared" si="6"/>
        <v>79</v>
      </c>
      <c r="H114">
        <f t="shared" si="7"/>
        <v>47953000</v>
      </c>
    </row>
    <row r="115" spans="1:8" x14ac:dyDescent="0.3">
      <c r="A115" t="s">
        <v>78</v>
      </c>
      <c r="B115" t="s">
        <v>72</v>
      </c>
      <c r="C115" s="1">
        <v>0</v>
      </c>
      <c r="D115" s="1">
        <v>0</v>
      </c>
      <c r="E115" s="1">
        <v>5</v>
      </c>
      <c r="F115" s="1">
        <v>1250000</v>
      </c>
      <c r="G115">
        <f t="shared" si="6"/>
        <v>5</v>
      </c>
      <c r="H115">
        <f t="shared" si="7"/>
        <v>1250000</v>
      </c>
    </row>
    <row r="116" spans="1:8" x14ac:dyDescent="0.3">
      <c r="A116" t="s">
        <v>78</v>
      </c>
      <c r="B116" t="s">
        <v>160</v>
      </c>
      <c r="C116" s="1">
        <v>0</v>
      </c>
      <c r="D116" s="1">
        <v>0</v>
      </c>
      <c r="E116" s="1">
        <v>0</v>
      </c>
      <c r="F116" s="1">
        <v>0</v>
      </c>
      <c r="G116">
        <f t="shared" si="6"/>
        <v>0</v>
      </c>
      <c r="H116">
        <f t="shared" si="7"/>
        <v>0</v>
      </c>
    </row>
    <row r="117" spans="1:8" x14ac:dyDescent="0.3">
      <c r="A117" t="s">
        <v>78</v>
      </c>
      <c r="B117" t="s">
        <v>159</v>
      </c>
      <c r="C117" s="1">
        <v>0</v>
      </c>
      <c r="D117" s="1">
        <v>0</v>
      </c>
      <c r="E117" s="1">
        <v>0</v>
      </c>
      <c r="F117" s="1">
        <v>0</v>
      </c>
      <c r="G117">
        <f t="shared" si="6"/>
        <v>0</v>
      </c>
      <c r="H117">
        <f t="shared" si="7"/>
        <v>0</v>
      </c>
    </row>
    <row r="118" spans="1:8" x14ac:dyDescent="0.3">
      <c r="A118" t="s">
        <v>79</v>
      </c>
      <c r="B118" t="s">
        <v>137</v>
      </c>
      <c r="C118" s="1">
        <v>0</v>
      </c>
      <c r="D118" s="1">
        <v>0</v>
      </c>
      <c r="E118" s="1">
        <v>0</v>
      </c>
      <c r="F118" s="1">
        <v>0</v>
      </c>
      <c r="G118">
        <f t="shared" si="6"/>
        <v>0</v>
      </c>
      <c r="H118">
        <f t="shared" si="7"/>
        <v>0</v>
      </c>
    </row>
    <row r="119" spans="1:8" x14ac:dyDescent="0.3">
      <c r="A119" t="s">
        <v>79</v>
      </c>
      <c r="B119" t="s">
        <v>80</v>
      </c>
      <c r="C119" s="1">
        <v>0</v>
      </c>
      <c r="D119" s="1">
        <v>0</v>
      </c>
      <c r="E119" s="1">
        <v>0</v>
      </c>
      <c r="F119" s="1">
        <v>0</v>
      </c>
      <c r="G119">
        <f t="shared" si="6"/>
        <v>0</v>
      </c>
      <c r="H119">
        <f t="shared" si="7"/>
        <v>0</v>
      </c>
    </row>
    <row r="120" spans="1:8" x14ac:dyDescent="0.3">
      <c r="A120" t="s">
        <v>79</v>
      </c>
      <c r="B120" t="s">
        <v>81</v>
      </c>
      <c r="C120" s="1">
        <v>0</v>
      </c>
      <c r="D120" s="1">
        <v>0</v>
      </c>
      <c r="E120" s="1">
        <v>0</v>
      </c>
      <c r="F120" s="1">
        <v>0</v>
      </c>
      <c r="G120">
        <f t="shared" si="6"/>
        <v>0</v>
      </c>
      <c r="H120">
        <f t="shared" si="7"/>
        <v>0</v>
      </c>
    </row>
    <row r="121" spans="1:8" x14ac:dyDescent="0.3">
      <c r="A121" t="s">
        <v>79</v>
      </c>
      <c r="B121" t="s">
        <v>162</v>
      </c>
      <c r="C121" s="1">
        <v>0</v>
      </c>
      <c r="D121" s="1">
        <v>0</v>
      </c>
      <c r="E121" s="1">
        <v>173</v>
      </c>
      <c r="F121" s="1">
        <v>865000</v>
      </c>
      <c r="G121">
        <f t="shared" si="6"/>
        <v>173</v>
      </c>
      <c r="H121">
        <f t="shared" si="7"/>
        <v>865000</v>
      </c>
    </row>
    <row r="122" spans="1:8" x14ac:dyDescent="0.3">
      <c r="A122" t="s">
        <v>79</v>
      </c>
      <c r="B122" t="s">
        <v>184</v>
      </c>
      <c r="C122" s="1">
        <v>0</v>
      </c>
      <c r="D122" s="1">
        <v>0</v>
      </c>
      <c r="E122" s="1">
        <v>0</v>
      </c>
      <c r="F122" s="1">
        <v>0</v>
      </c>
      <c r="G122">
        <f t="shared" si="6"/>
        <v>0</v>
      </c>
      <c r="H122">
        <f t="shared" si="7"/>
        <v>0</v>
      </c>
    </row>
    <row r="123" spans="1:8" x14ac:dyDescent="0.3">
      <c r="A123" t="s">
        <v>79</v>
      </c>
      <c r="B123" t="s">
        <v>136</v>
      </c>
      <c r="C123" s="1">
        <v>0</v>
      </c>
      <c r="D123" s="1">
        <v>0</v>
      </c>
      <c r="E123" s="1">
        <v>0</v>
      </c>
      <c r="F123" s="1">
        <v>0</v>
      </c>
      <c r="G123">
        <f t="shared" si="6"/>
        <v>0</v>
      </c>
      <c r="H123">
        <f t="shared" si="7"/>
        <v>0</v>
      </c>
    </row>
    <row r="124" spans="1:8" x14ac:dyDescent="0.3">
      <c r="A124" t="s">
        <v>79</v>
      </c>
      <c r="B124" t="s">
        <v>82</v>
      </c>
      <c r="C124" s="1">
        <v>0</v>
      </c>
      <c r="D124" s="1">
        <v>0</v>
      </c>
      <c r="E124" s="1">
        <v>0</v>
      </c>
      <c r="F124" s="1">
        <v>0</v>
      </c>
      <c r="G124">
        <f t="shared" si="6"/>
        <v>0</v>
      </c>
      <c r="H124">
        <f t="shared" si="7"/>
        <v>0</v>
      </c>
    </row>
    <row r="125" spans="1:8" x14ac:dyDescent="0.3">
      <c r="A125" t="s">
        <v>79</v>
      </c>
      <c r="B125" t="s">
        <v>138</v>
      </c>
      <c r="C125" s="1">
        <v>0</v>
      </c>
      <c r="D125" s="1">
        <v>0</v>
      </c>
      <c r="E125" s="1">
        <v>0</v>
      </c>
      <c r="F125" s="1">
        <v>0</v>
      </c>
      <c r="G125">
        <f t="shared" si="6"/>
        <v>0</v>
      </c>
      <c r="H125">
        <f t="shared" si="7"/>
        <v>0</v>
      </c>
    </row>
    <row r="126" spans="1:8" x14ac:dyDescent="0.3">
      <c r="A126" t="s">
        <v>93</v>
      </c>
      <c r="B126" t="s">
        <v>134</v>
      </c>
      <c r="C126" s="1">
        <v>0</v>
      </c>
      <c r="D126" s="1">
        <v>0</v>
      </c>
      <c r="E126" s="1">
        <v>0</v>
      </c>
      <c r="F126" s="1">
        <v>0</v>
      </c>
      <c r="G126">
        <f t="shared" si="6"/>
        <v>0</v>
      </c>
      <c r="H126">
        <f t="shared" si="7"/>
        <v>0</v>
      </c>
    </row>
    <row r="127" spans="1:8" x14ac:dyDescent="0.3">
      <c r="A127" t="s">
        <v>93</v>
      </c>
      <c r="B127" t="s">
        <v>132</v>
      </c>
      <c r="C127" s="1">
        <v>0</v>
      </c>
      <c r="D127" s="1">
        <v>0</v>
      </c>
      <c r="E127" s="1">
        <v>0</v>
      </c>
      <c r="F127" s="1">
        <v>0</v>
      </c>
      <c r="G127">
        <f t="shared" si="6"/>
        <v>0</v>
      </c>
      <c r="H127">
        <f t="shared" si="7"/>
        <v>0</v>
      </c>
    </row>
    <row r="128" spans="1:8" x14ac:dyDescent="0.3">
      <c r="A128" t="s">
        <v>93</v>
      </c>
      <c r="B128" t="s">
        <v>133</v>
      </c>
      <c r="C128" s="1">
        <v>0</v>
      </c>
      <c r="D128" s="1">
        <v>0</v>
      </c>
      <c r="E128" s="1">
        <v>0</v>
      </c>
      <c r="F128" s="1">
        <v>0</v>
      </c>
      <c r="G128">
        <f t="shared" si="6"/>
        <v>0</v>
      </c>
      <c r="H128">
        <f t="shared" si="7"/>
        <v>0</v>
      </c>
    </row>
    <row r="129" spans="1:8" x14ac:dyDescent="0.3">
      <c r="A129" t="s">
        <v>93</v>
      </c>
      <c r="B129" t="s">
        <v>92</v>
      </c>
      <c r="C129" s="1">
        <v>0</v>
      </c>
      <c r="D129" s="1">
        <v>0</v>
      </c>
      <c r="E129" s="1">
        <v>0</v>
      </c>
      <c r="F129" s="1">
        <v>0</v>
      </c>
      <c r="G129">
        <f t="shared" si="6"/>
        <v>0</v>
      </c>
      <c r="H129">
        <f t="shared" si="7"/>
        <v>0</v>
      </c>
    </row>
    <row r="130" spans="1:8" x14ac:dyDescent="0.3">
      <c r="A130" t="s">
        <v>93</v>
      </c>
      <c r="B130" t="s">
        <v>135</v>
      </c>
      <c r="C130" s="1">
        <v>420</v>
      </c>
      <c r="D130" s="1">
        <v>293580000</v>
      </c>
      <c r="E130" s="1">
        <v>1104</v>
      </c>
      <c r="F130" s="1">
        <v>386400000</v>
      </c>
      <c r="G130">
        <f t="shared" si="6"/>
        <v>1524</v>
      </c>
      <c r="H130">
        <f t="shared" si="7"/>
        <v>679980000</v>
      </c>
    </row>
    <row r="131" spans="1:8" x14ac:dyDescent="0.3">
      <c r="A131" t="s">
        <v>94</v>
      </c>
      <c r="B131" t="s">
        <v>149</v>
      </c>
      <c r="C131" s="1">
        <v>0</v>
      </c>
      <c r="D131" s="1">
        <v>0</v>
      </c>
      <c r="E131" s="1">
        <v>30</v>
      </c>
      <c r="F131" s="1">
        <v>10500000</v>
      </c>
      <c r="G131" t="e">
        <f>#REF!+#REF!</f>
        <v>#REF!</v>
      </c>
      <c r="H131" t="e">
        <f>#REF!+#REF!</f>
        <v>#REF!</v>
      </c>
    </row>
    <row r="132" spans="1:8" x14ac:dyDescent="0.3">
      <c r="A132" t="s">
        <v>94</v>
      </c>
      <c r="B132" t="s">
        <v>5</v>
      </c>
      <c r="C132" s="1">
        <v>0</v>
      </c>
      <c r="D132" s="1">
        <v>0</v>
      </c>
      <c r="E132" s="1">
        <v>127.1</v>
      </c>
      <c r="F132" s="1">
        <v>95325000</v>
      </c>
      <c r="G132">
        <f t="shared" ref="G132:G156" si="8">E132+C132</f>
        <v>127.1</v>
      </c>
      <c r="H132">
        <f t="shared" ref="H132:H156" si="9">D132+F132</f>
        <v>95325000</v>
      </c>
    </row>
    <row r="133" spans="1:8" x14ac:dyDescent="0.3">
      <c r="A133" t="s">
        <v>94</v>
      </c>
      <c r="B133" t="s">
        <v>95</v>
      </c>
      <c r="C133" s="1">
        <v>50</v>
      </c>
      <c r="D133" s="1">
        <v>20000000</v>
      </c>
      <c r="E133" s="1">
        <v>55</v>
      </c>
      <c r="F133" s="1">
        <v>30250000</v>
      </c>
      <c r="G133">
        <f t="shared" si="8"/>
        <v>105</v>
      </c>
      <c r="H133">
        <f t="shared" si="9"/>
        <v>50250000</v>
      </c>
    </row>
    <row r="134" spans="1:8" x14ac:dyDescent="0.3">
      <c r="A134" t="s">
        <v>96</v>
      </c>
      <c r="B134" t="s">
        <v>161</v>
      </c>
      <c r="C134" s="1">
        <v>0</v>
      </c>
      <c r="D134" s="1">
        <v>0</v>
      </c>
      <c r="E134" s="1">
        <v>0</v>
      </c>
      <c r="F134" s="1">
        <v>0</v>
      </c>
      <c r="G134">
        <f t="shared" si="8"/>
        <v>0</v>
      </c>
      <c r="H134">
        <f t="shared" si="9"/>
        <v>0</v>
      </c>
    </row>
    <row r="135" spans="1:8" x14ac:dyDescent="0.3">
      <c r="A135" t="s">
        <v>96</v>
      </c>
      <c r="B135" t="s">
        <v>83</v>
      </c>
      <c r="C135" s="1">
        <v>0</v>
      </c>
      <c r="D135" s="1">
        <v>0</v>
      </c>
      <c r="E135" s="1">
        <v>839.73</v>
      </c>
      <c r="F135" s="1">
        <v>67178400</v>
      </c>
      <c r="G135">
        <f t="shared" si="8"/>
        <v>839.73</v>
      </c>
      <c r="H135">
        <f t="shared" si="9"/>
        <v>67178400</v>
      </c>
    </row>
    <row r="136" spans="1:8" x14ac:dyDescent="0.3">
      <c r="A136" t="s">
        <v>96</v>
      </c>
      <c r="B136" t="s">
        <v>84</v>
      </c>
      <c r="C136" s="1">
        <v>20</v>
      </c>
      <c r="D136" s="1">
        <v>4200000</v>
      </c>
      <c r="E136" s="1">
        <v>30</v>
      </c>
      <c r="F136" s="1">
        <v>4500000</v>
      </c>
      <c r="G136">
        <f t="shared" si="8"/>
        <v>50</v>
      </c>
      <c r="H136">
        <f t="shared" si="9"/>
        <v>8700000</v>
      </c>
    </row>
    <row r="137" spans="1:8" x14ac:dyDescent="0.3">
      <c r="A137" t="s">
        <v>96</v>
      </c>
      <c r="B137" t="s">
        <v>85</v>
      </c>
      <c r="C137" s="1">
        <v>0</v>
      </c>
      <c r="D137" s="1">
        <v>0</v>
      </c>
      <c r="E137" s="1">
        <v>440</v>
      </c>
      <c r="F137" s="1">
        <v>33000000</v>
      </c>
      <c r="G137">
        <f t="shared" si="8"/>
        <v>440</v>
      </c>
      <c r="H137">
        <f t="shared" si="9"/>
        <v>33000000</v>
      </c>
    </row>
    <row r="138" spans="1:8" x14ac:dyDescent="0.3">
      <c r="A138" t="s">
        <v>96</v>
      </c>
      <c r="B138" t="s">
        <v>86</v>
      </c>
      <c r="C138" s="1">
        <v>0</v>
      </c>
      <c r="D138" s="1">
        <v>0</v>
      </c>
      <c r="E138" s="1">
        <v>1200</v>
      </c>
      <c r="F138" s="1">
        <v>589200</v>
      </c>
      <c r="G138">
        <f t="shared" si="8"/>
        <v>1200</v>
      </c>
      <c r="H138">
        <f t="shared" si="9"/>
        <v>589200</v>
      </c>
    </row>
    <row r="139" spans="1:8" x14ac:dyDescent="0.3">
      <c r="A139" t="s">
        <v>96</v>
      </c>
      <c r="B139" t="s">
        <v>87</v>
      </c>
      <c r="C139" s="1">
        <v>5</v>
      </c>
      <c r="D139" s="1">
        <v>200000</v>
      </c>
      <c r="E139" s="1">
        <v>1460</v>
      </c>
      <c r="F139" s="1">
        <v>43800000</v>
      </c>
      <c r="G139">
        <f t="shared" si="8"/>
        <v>1465</v>
      </c>
      <c r="H139">
        <f t="shared" si="9"/>
        <v>44000000</v>
      </c>
    </row>
    <row r="140" spans="1:8" x14ac:dyDescent="0.3">
      <c r="A140" t="s">
        <v>124</v>
      </c>
      <c r="B140" t="s">
        <v>89</v>
      </c>
      <c r="C140" s="1">
        <v>2</v>
      </c>
      <c r="D140" s="1">
        <v>715788</v>
      </c>
      <c r="E140" s="1">
        <v>4</v>
      </c>
      <c r="F140" s="1">
        <v>160000</v>
      </c>
      <c r="G140">
        <f t="shared" si="8"/>
        <v>6</v>
      </c>
      <c r="H140">
        <f t="shared" si="9"/>
        <v>875788</v>
      </c>
    </row>
    <row r="141" spans="1:8" x14ac:dyDescent="0.3">
      <c r="A141" t="s">
        <v>124</v>
      </c>
      <c r="B141" t="s">
        <v>97</v>
      </c>
      <c r="C141" s="1">
        <v>5</v>
      </c>
      <c r="D141" s="1">
        <v>1789470</v>
      </c>
      <c r="E141" s="1">
        <v>15</v>
      </c>
      <c r="F141" s="1">
        <v>600000</v>
      </c>
      <c r="G141">
        <f t="shared" si="8"/>
        <v>20</v>
      </c>
      <c r="H141">
        <f t="shared" si="9"/>
        <v>2389470</v>
      </c>
    </row>
    <row r="142" spans="1:8" x14ac:dyDescent="0.3">
      <c r="A142" t="s">
        <v>124</v>
      </c>
      <c r="B142" t="s">
        <v>98</v>
      </c>
      <c r="C142" s="1">
        <v>1</v>
      </c>
      <c r="D142" s="1">
        <v>357894</v>
      </c>
      <c r="E142" s="1">
        <v>1</v>
      </c>
      <c r="F142" s="1">
        <v>40000</v>
      </c>
      <c r="G142">
        <f t="shared" si="8"/>
        <v>2</v>
      </c>
      <c r="H142">
        <f t="shared" si="9"/>
        <v>397894</v>
      </c>
    </row>
    <row r="143" spans="1:8" x14ac:dyDescent="0.3">
      <c r="A143" t="s">
        <v>124</v>
      </c>
      <c r="B143" t="s">
        <v>99</v>
      </c>
      <c r="C143" s="1">
        <v>5</v>
      </c>
      <c r="D143" s="1">
        <v>1789470</v>
      </c>
      <c r="E143" s="1">
        <v>12</v>
      </c>
      <c r="F143" s="1">
        <v>480000</v>
      </c>
      <c r="G143">
        <f t="shared" si="8"/>
        <v>17</v>
      </c>
      <c r="H143">
        <f t="shared" si="9"/>
        <v>2269470</v>
      </c>
    </row>
    <row r="144" spans="1:8" x14ac:dyDescent="0.3">
      <c r="A144" t="s">
        <v>124</v>
      </c>
      <c r="B144" t="s">
        <v>100</v>
      </c>
      <c r="C144" s="1">
        <v>2</v>
      </c>
      <c r="D144" s="1">
        <v>715788</v>
      </c>
      <c r="E144" s="1">
        <v>5</v>
      </c>
      <c r="F144" s="1">
        <v>200000</v>
      </c>
      <c r="G144">
        <f t="shared" si="8"/>
        <v>7</v>
      </c>
      <c r="H144">
        <f t="shared" si="9"/>
        <v>915788</v>
      </c>
    </row>
    <row r="145" spans="1:8" x14ac:dyDescent="0.3">
      <c r="A145" t="s">
        <v>124</v>
      </c>
      <c r="B145" t="s">
        <v>91</v>
      </c>
      <c r="C145" s="1">
        <v>0</v>
      </c>
      <c r="D145" s="1">
        <v>0</v>
      </c>
      <c r="E145" s="1">
        <v>1</v>
      </c>
      <c r="F145" s="1">
        <v>40000</v>
      </c>
      <c r="G145">
        <f t="shared" si="8"/>
        <v>1</v>
      </c>
      <c r="H145">
        <f t="shared" si="9"/>
        <v>40000</v>
      </c>
    </row>
    <row r="146" spans="1:8" x14ac:dyDescent="0.3">
      <c r="A146" t="s">
        <v>124</v>
      </c>
      <c r="B146" t="s">
        <v>101</v>
      </c>
      <c r="C146" s="1">
        <v>1</v>
      </c>
      <c r="D146" s="1">
        <v>357894</v>
      </c>
      <c r="E146" s="1">
        <v>3</v>
      </c>
      <c r="F146" s="1">
        <v>120000</v>
      </c>
      <c r="G146">
        <f t="shared" si="8"/>
        <v>4</v>
      </c>
      <c r="H146">
        <f t="shared" si="9"/>
        <v>477894</v>
      </c>
    </row>
    <row r="147" spans="1:8" x14ac:dyDescent="0.3">
      <c r="A147" t="s">
        <v>124</v>
      </c>
      <c r="B147" t="s">
        <v>126</v>
      </c>
      <c r="C147" s="1">
        <v>0</v>
      </c>
      <c r="D147" s="1">
        <v>0</v>
      </c>
      <c r="E147" s="1">
        <v>0</v>
      </c>
      <c r="F147" s="1">
        <v>0</v>
      </c>
      <c r="G147">
        <f t="shared" si="8"/>
        <v>0</v>
      </c>
      <c r="H147">
        <f t="shared" si="9"/>
        <v>0</v>
      </c>
    </row>
    <row r="148" spans="1:8" x14ac:dyDescent="0.3">
      <c r="A148" t="s">
        <v>124</v>
      </c>
      <c r="B148" t="s">
        <v>125</v>
      </c>
      <c r="C148" s="1">
        <v>0</v>
      </c>
      <c r="D148" s="1">
        <v>0</v>
      </c>
      <c r="E148" s="1">
        <v>1</v>
      </c>
      <c r="F148" s="1">
        <v>40000</v>
      </c>
      <c r="G148">
        <f t="shared" si="8"/>
        <v>1</v>
      </c>
      <c r="H148">
        <f t="shared" si="9"/>
        <v>40000</v>
      </c>
    </row>
    <row r="149" spans="1:8" x14ac:dyDescent="0.3">
      <c r="A149" t="s">
        <v>124</v>
      </c>
      <c r="B149" t="s">
        <v>90</v>
      </c>
      <c r="C149" s="1">
        <v>1</v>
      </c>
      <c r="D149" s="1">
        <v>357894</v>
      </c>
      <c r="E149" s="1">
        <v>1</v>
      </c>
      <c r="F149" s="1">
        <v>40000</v>
      </c>
      <c r="G149">
        <f t="shared" si="8"/>
        <v>2</v>
      </c>
      <c r="H149">
        <f t="shared" si="9"/>
        <v>397894</v>
      </c>
    </row>
    <row r="150" spans="1:8" x14ac:dyDescent="0.3">
      <c r="A150" t="s">
        <v>124</v>
      </c>
      <c r="B150" t="s">
        <v>88</v>
      </c>
      <c r="C150" s="1">
        <v>1</v>
      </c>
      <c r="D150" s="1">
        <v>357894</v>
      </c>
      <c r="E150" s="1">
        <v>1</v>
      </c>
      <c r="F150" s="1">
        <v>40000</v>
      </c>
      <c r="G150">
        <f t="shared" si="8"/>
        <v>2</v>
      </c>
      <c r="H150">
        <f t="shared" si="9"/>
        <v>397894</v>
      </c>
    </row>
    <row r="151" spans="1:8" x14ac:dyDescent="0.3">
      <c r="A151" t="s">
        <v>124</v>
      </c>
      <c r="B151" t="s">
        <v>102</v>
      </c>
      <c r="C151" s="1">
        <v>0</v>
      </c>
      <c r="D151" s="1">
        <v>0</v>
      </c>
      <c r="E151" s="1">
        <v>0</v>
      </c>
      <c r="F151" s="1">
        <v>0</v>
      </c>
      <c r="G151">
        <f t="shared" si="8"/>
        <v>0</v>
      </c>
      <c r="H151">
        <f t="shared" si="9"/>
        <v>0</v>
      </c>
    </row>
    <row r="152" spans="1:8" x14ac:dyDescent="0.3">
      <c r="A152" t="s">
        <v>124</v>
      </c>
      <c r="B152" t="s">
        <v>129</v>
      </c>
      <c r="C152" s="1">
        <v>1</v>
      </c>
      <c r="D152" s="1">
        <v>357894</v>
      </c>
      <c r="E152" s="1">
        <v>2</v>
      </c>
      <c r="F152" s="1">
        <v>80000</v>
      </c>
      <c r="G152">
        <f t="shared" si="8"/>
        <v>3</v>
      </c>
      <c r="H152">
        <f t="shared" si="9"/>
        <v>437894</v>
      </c>
    </row>
    <row r="153" spans="1:8" x14ac:dyDescent="0.3">
      <c r="A153" t="s">
        <v>124</v>
      </c>
      <c r="B153" t="s">
        <v>128</v>
      </c>
      <c r="C153" s="1">
        <v>0</v>
      </c>
      <c r="D153" s="1">
        <v>0</v>
      </c>
      <c r="E153" s="1">
        <v>1</v>
      </c>
      <c r="F153" s="1">
        <v>40000</v>
      </c>
      <c r="G153">
        <f t="shared" si="8"/>
        <v>1</v>
      </c>
      <c r="H153">
        <f t="shared" si="9"/>
        <v>40000</v>
      </c>
    </row>
    <row r="154" spans="1:8" x14ac:dyDescent="0.3">
      <c r="A154" t="s">
        <v>124</v>
      </c>
      <c r="B154" t="s">
        <v>103</v>
      </c>
      <c r="C154" s="1">
        <v>0</v>
      </c>
      <c r="D154" s="1">
        <v>0</v>
      </c>
      <c r="E154" s="1">
        <v>0</v>
      </c>
      <c r="F154" s="1">
        <v>0</v>
      </c>
      <c r="G154">
        <f t="shared" si="8"/>
        <v>0</v>
      </c>
      <c r="H154">
        <f t="shared" si="9"/>
        <v>0</v>
      </c>
    </row>
    <row r="155" spans="1:8" x14ac:dyDescent="0.3">
      <c r="A155" t="s">
        <v>124</v>
      </c>
      <c r="B155" t="s">
        <v>104</v>
      </c>
      <c r="C155" s="1">
        <v>0</v>
      </c>
      <c r="D155" s="1">
        <v>0</v>
      </c>
      <c r="E155" s="1">
        <v>3</v>
      </c>
      <c r="F155" s="1">
        <v>120000</v>
      </c>
      <c r="G155">
        <f t="shared" si="8"/>
        <v>3</v>
      </c>
      <c r="H155">
        <f t="shared" si="9"/>
        <v>120000</v>
      </c>
    </row>
    <row r="156" spans="1:8" x14ac:dyDescent="0.3">
      <c r="A156" t="s">
        <v>124</v>
      </c>
      <c r="B156" t="s">
        <v>127</v>
      </c>
      <c r="C156" s="1">
        <v>0</v>
      </c>
      <c r="D156" s="1">
        <v>0</v>
      </c>
      <c r="E156" s="1">
        <v>0</v>
      </c>
      <c r="F156" s="1">
        <v>0</v>
      </c>
      <c r="G156">
        <f t="shared" si="8"/>
        <v>0</v>
      </c>
      <c r="H156">
        <f t="shared" si="9"/>
        <v>0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</vt:lpstr>
      <vt:lpstr>Agriculture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2026-08-10T07:08:41Z</dcterms:modified>
</cp:coreProperties>
</file>