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IBF-Analysis\data\sample\remal\"/>
    </mc:Choice>
  </mc:AlternateContent>
  <xr:revisionPtr revIDLastSave="0" documentId="13_ncr:1_{B2C22B4B-D74B-41ED-979B-99AECB6D2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mal" sheetId="1" r:id="rId1"/>
  </sheets>
  <definedNames>
    <definedName name="_xlnm._FilterDatabase" localSheetId="0" hidden="1">Remal!$A$1:$AK$547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2" i="1" l="1"/>
  <c r="AI12" i="1"/>
  <c r="AJ11" i="1"/>
  <c r="AI11" i="1"/>
  <c r="AJ9" i="1"/>
  <c r="AI9" i="1"/>
  <c r="AJ8" i="1"/>
  <c r="AI8" i="1"/>
  <c r="AJ7" i="1"/>
  <c r="AI7" i="1"/>
  <c r="AJ6" i="1"/>
  <c r="AI6" i="1"/>
  <c r="AJ5" i="1"/>
  <c r="AI5" i="1"/>
  <c r="AK12" i="1" l="1"/>
  <c r="AK11" i="1"/>
  <c r="AK9" i="1"/>
  <c r="AK8" i="1"/>
  <c r="AK7" i="1"/>
  <c r="AK6" i="1"/>
  <c r="AK5" i="1"/>
  <c r="F547" i="1" s="1"/>
  <c r="F138" i="1" l="1"/>
  <c r="F60" i="1"/>
  <c r="F353" i="1"/>
  <c r="F209" i="1"/>
  <c r="F65" i="1"/>
  <c r="F544" i="1"/>
  <c r="F400" i="1"/>
  <c r="F256" i="1"/>
  <c r="F112" i="1"/>
  <c r="F435" i="1"/>
  <c r="F51" i="1"/>
  <c r="F396" i="1"/>
  <c r="F58" i="1"/>
  <c r="F39" i="1"/>
  <c r="F336" i="1"/>
  <c r="F226" i="1"/>
  <c r="F458" i="1"/>
  <c r="F314" i="1"/>
  <c r="F516" i="1"/>
  <c r="F334" i="1"/>
  <c r="F469" i="1"/>
  <c r="F325" i="1"/>
  <c r="F480" i="1"/>
  <c r="F142" i="1"/>
  <c r="F455" i="1"/>
  <c r="F311" i="1"/>
  <c r="F167" i="1"/>
  <c r="F382" i="1"/>
  <c r="F477" i="1"/>
  <c r="F333" i="1"/>
  <c r="F189" i="1"/>
  <c r="F9" i="1"/>
  <c r="F404" i="1"/>
  <c r="F260" i="1"/>
  <c r="F116" i="1"/>
  <c r="F187" i="1"/>
  <c r="F497" i="1"/>
  <c r="F451" i="1"/>
  <c r="F307" i="1"/>
  <c r="F163" i="1"/>
  <c r="F19" i="1"/>
  <c r="F72" i="1"/>
  <c r="F414" i="1"/>
  <c r="F270" i="1"/>
  <c r="F126" i="1"/>
  <c r="F459" i="1"/>
  <c r="F254" i="1"/>
  <c r="F11" i="1"/>
  <c r="F485" i="1"/>
  <c r="F341" i="1"/>
  <c r="F197" i="1"/>
  <c r="F53" i="1"/>
  <c r="F532" i="1"/>
  <c r="F388" i="1"/>
  <c r="F244" i="1"/>
  <c r="F100" i="1"/>
  <c r="F387" i="1"/>
  <c r="F27" i="1"/>
  <c r="F312" i="1"/>
  <c r="F543" i="1"/>
  <c r="F3" i="1"/>
  <c r="F276" i="1"/>
  <c r="F166" i="1"/>
  <c r="F446" i="1"/>
  <c r="F302" i="1"/>
  <c r="F468" i="1"/>
  <c r="F262" i="1"/>
  <c r="F457" i="1"/>
  <c r="F313" i="1"/>
  <c r="F432" i="1"/>
  <c r="F46" i="1"/>
  <c r="F443" i="1"/>
  <c r="F299" i="1"/>
  <c r="F155" i="1"/>
  <c r="F298" i="1"/>
  <c r="F465" i="1"/>
  <c r="F321" i="1"/>
  <c r="F177" i="1"/>
  <c r="F536" i="1"/>
  <c r="F392" i="1"/>
  <c r="F248" i="1"/>
  <c r="F104" i="1"/>
  <c r="F475" i="1"/>
  <c r="F426" i="1"/>
  <c r="F402" i="1"/>
  <c r="F520" i="1"/>
  <c r="F218" i="1"/>
  <c r="F384" i="1"/>
  <c r="F453" i="1"/>
  <c r="F427" i="1"/>
  <c r="F98" i="1"/>
  <c r="F508" i="1"/>
  <c r="F220" i="1"/>
  <c r="F399" i="1"/>
  <c r="F422" i="1"/>
  <c r="F278" i="1"/>
  <c r="F372" i="1"/>
  <c r="F118" i="1"/>
  <c r="F433" i="1"/>
  <c r="F289" i="1"/>
  <c r="F300" i="1"/>
  <c r="F358" i="1"/>
  <c r="F419" i="1"/>
  <c r="F275" i="1"/>
  <c r="F131" i="1"/>
  <c r="F190" i="1"/>
  <c r="F441" i="1"/>
  <c r="F297" i="1"/>
  <c r="F153" i="1"/>
  <c r="F512" i="1"/>
  <c r="F368" i="1"/>
  <c r="F224" i="1"/>
  <c r="F80" i="1"/>
  <c r="F63" i="1"/>
  <c r="F156" i="1"/>
  <c r="F295" i="1"/>
  <c r="F170" i="1"/>
  <c r="F88" i="1"/>
  <c r="F434" i="1"/>
  <c r="F287" i="1"/>
  <c r="F380" i="1"/>
  <c r="F182" i="1"/>
  <c r="F102" i="1"/>
  <c r="F173" i="1"/>
  <c r="F76" i="1"/>
  <c r="F234" i="1"/>
  <c r="F370" i="1"/>
  <c r="F449" i="1"/>
  <c r="F305" i="1"/>
  <c r="F161" i="1"/>
  <c r="F17" i="1"/>
  <c r="F496" i="1"/>
  <c r="F352" i="1"/>
  <c r="F208" i="1"/>
  <c r="F64" i="1"/>
  <c r="F303" i="1"/>
  <c r="F146" i="1"/>
  <c r="F120" i="1"/>
  <c r="F351" i="1"/>
  <c r="F122" i="1"/>
  <c r="F96" i="1"/>
  <c r="F21" i="1"/>
  <c r="F410" i="1"/>
  <c r="F266" i="1"/>
  <c r="F288" i="1"/>
  <c r="F34" i="1"/>
  <c r="F421" i="1"/>
  <c r="F277" i="1"/>
  <c r="F240" i="1"/>
  <c r="F70" i="1"/>
  <c r="F407" i="1"/>
  <c r="F263" i="1"/>
  <c r="F119" i="1"/>
  <c r="F130" i="1"/>
  <c r="F429" i="1"/>
  <c r="F285" i="1"/>
  <c r="F141" i="1"/>
  <c r="F500" i="1"/>
  <c r="F356" i="1"/>
  <c r="F212" i="1"/>
  <c r="F68" i="1"/>
  <c r="F331" i="1"/>
  <c r="F463" i="1"/>
  <c r="F507" i="1"/>
  <c r="F546" i="1"/>
  <c r="F478" i="1"/>
  <c r="F232" i="1"/>
  <c r="F471" i="1"/>
  <c r="F420" i="1"/>
  <c r="F348" i="1"/>
  <c r="F309" i="1"/>
  <c r="F246" i="1"/>
  <c r="F29" i="1"/>
  <c r="F194" i="1"/>
  <c r="F38" i="1"/>
  <c r="F510" i="1"/>
  <c r="F291" i="1"/>
  <c r="F437" i="1"/>
  <c r="F149" i="1"/>
  <c r="F52" i="1"/>
  <c r="F86" i="1"/>
  <c r="F36" i="1"/>
  <c r="F315" i="1"/>
  <c r="F74" i="1"/>
  <c r="F24" i="1"/>
  <c r="F542" i="1"/>
  <c r="F398" i="1"/>
  <c r="F242" i="1"/>
  <c r="F228" i="1"/>
  <c r="F45" i="1"/>
  <c r="F409" i="1"/>
  <c r="F265" i="1"/>
  <c r="F168" i="1"/>
  <c r="F539" i="1"/>
  <c r="F395" i="1"/>
  <c r="F251" i="1"/>
  <c r="F107" i="1"/>
  <c r="F22" i="1"/>
  <c r="F417" i="1"/>
  <c r="F273" i="1"/>
  <c r="F129" i="1"/>
  <c r="F488" i="1"/>
  <c r="F344" i="1"/>
  <c r="F200" i="1"/>
  <c r="F56" i="1"/>
  <c r="F150" i="1"/>
  <c r="F175" i="1"/>
  <c r="F151" i="1"/>
  <c r="F473" i="1"/>
  <c r="F230" i="1"/>
  <c r="F178" i="1"/>
  <c r="F143" i="1"/>
  <c r="F524" i="1"/>
  <c r="F283" i="1"/>
  <c r="F406" i="1"/>
  <c r="F158" i="1"/>
  <c r="F127" i="1"/>
  <c r="F327" i="1"/>
  <c r="F50" i="1"/>
  <c r="F286" i="1"/>
  <c r="F267" i="1"/>
  <c r="F391" i="1"/>
  <c r="F247" i="1"/>
  <c r="F103" i="1"/>
  <c r="F205" i="1"/>
  <c r="F498" i="1"/>
  <c r="F354" i="1"/>
  <c r="F210" i="1"/>
  <c r="F66" i="1"/>
  <c r="F255" i="1"/>
  <c r="F97" i="1"/>
  <c r="F202" i="1"/>
  <c r="F425" i="1"/>
  <c r="F281" i="1"/>
  <c r="F137" i="1"/>
  <c r="F519" i="1"/>
  <c r="F472" i="1"/>
  <c r="F328" i="1"/>
  <c r="F184" i="1"/>
  <c r="F40" i="1"/>
  <c r="F231" i="1"/>
  <c r="F26" i="1"/>
  <c r="F23" i="1"/>
  <c r="F279" i="1"/>
  <c r="F14" i="1"/>
  <c r="F35" i="1"/>
  <c r="F530" i="1"/>
  <c r="F386" i="1"/>
  <c r="F206" i="1"/>
  <c r="F180" i="1"/>
  <c r="F541" i="1"/>
  <c r="F397" i="1"/>
  <c r="F253" i="1"/>
  <c r="F84" i="1"/>
  <c r="F527" i="1"/>
  <c r="F383" i="1"/>
  <c r="F239" i="1"/>
  <c r="F95" i="1"/>
  <c r="F33" i="1"/>
  <c r="F405" i="1"/>
  <c r="F261" i="1"/>
  <c r="F117" i="1"/>
  <c r="F476" i="1"/>
  <c r="F332" i="1"/>
  <c r="F188" i="1"/>
  <c r="F44" i="1"/>
  <c r="F43" i="1"/>
  <c r="F282" i="1"/>
  <c r="F258" i="1"/>
  <c r="F41" i="1"/>
  <c r="F204" i="1"/>
  <c r="F92" i="1"/>
  <c r="F390" i="1"/>
  <c r="F461" i="1"/>
  <c r="F364" i="1"/>
  <c r="F339" i="1"/>
  <c r="F415" i="1"/>
  <c r="F378" i="1"/>
  <c r="F78" i="1"/>
  <c r="F196" i="1"/>
  <c r="F523" i="1"/>
  <c r="F235" i="1"/>
  <c r="F486" i="1"/>
  <c r="F54" i="1"/>
  <c r="F82" i="1"/>
  <c r="F483" i="1"/>
  <c r="F28" i="1"/>
  <c r="F243" i="1"/>
  <c r="F134" i="1"/>
  <c r="F515" i="1"/>
  <c r="F320" i="1"/>
  <c r="F294" i="1"/>
  <c r="F31" i="1"/>
  <c r="F7" i="1"/>
  <c r="F329" i="1"/>
  <c r="F264" i="1"/>
  <c r="F445" i="1"/>
  <c r="F236" i="1"/>
  <c r="F375" i="1"/>
  <c r="F10" i="1"/>
  <c r="F522" i="1"/>
  <c r="F403" i="1"/>
  <c r="F222" i="1"/>
  <c r="F293" i="1"/>
  <c r="F340" i="1"/>
  <c r="F535" i="1"/>
  <c r="F379" i="1"/>
  <c r="F91" i="1"/>
  <c r="F133" i="1"/>
  <c r="F342" i="1"/>
  <c r="F198" i="1"/>
  <c r="F219" i="1"/>
  <c r="F504" i="1"/>
  <c r="F413" i="1"/>
  <c r="F269" i="1"/>
  <c r="F125" i="1"/>
  <c r="F460" i="1"/>
  <c r="F316" i="1"/>
  <c r="F172" i="1"/>
  <c r="F207" i="1"/>
  <c r="F193" i="1"/>
  <c r="F490" i="1"/>
  <c r="F181" i="1"/>
  <c r="F502" i="1"/>
  <c r="F518" i="1"/>
  <c r="F374" i="1"/>
  <c r="F108" i="1"/>
  <c r="F529" i="1"/>
  <c r="F385" i="1"/>
  <c r="F241" i="1"/>
  <c r="F12" i="1"/>
  <c r="F371" i="1"/>
  <c r="F227" i="1"/>
  <c r="F83" i="1"/>
  <c r="F537" i="1"/>
  <c r="F393" i="1"/>
  <c r="F249" i="1"/>
  <c r="F105" i="1"/>
  <c r="F464" i="1"/>
  <c r="F176" i="1"/>
  <c r="F32" i="1"/>
  <c r="F511" i="1"/>
  <c r="F367" i="1"/>
  <c r="F223" i="1"/>
  <c r="F79" i="1"/>
  <c r="F49" i="1"/>
  <c r="F474" i="1"/>
  <c r="F330" i="1"/>
  <c r="F186" i="1"/>
  <c r="F42" i="1"/>
  <c r="F183" i="1"/>
  <c r="F408" i="1"/>
  <c r="F545" i="1"/>
  <c r="F401" i="1"/>
  <c r="F257" i="1"/>
  <c r="F113" i="1"/>
  <c r="F447" i="1"/>
  <c r="F448" i="1"/>
  <c r="F304" i="1"/>
  <c r="F160" i="1"/>
  <c r="F16" i="1"/>
  <c r="F171" i="1"/>
  <c r="F121" i="1"/>
  <c r="F454" i="1"/>
  <c r="F195" i="1"/>
  <c r="F85" i="1"/>
  <c r="F466" i="1"/>
  <c r="F506" i="1"/>
  <c r="F362" i="1"/>
  <c r="F62" i="1"/>
  <c r="F48" i="1"/>
  <c r="F517" i="1"/>
  <c r="F373" i="1"/>
  <c r="F229" i="1"/>
  <c r="F538" i="1"/>
  <c r="F503" i="1"/>
  <c r="F359" i="1"/>
  <c r="F215" i="1"/>
  <c r="F71" i="1"/>
  <c r="F525" i="1"/>
  <c r="F381" i="1"/>
  <c r="F237" i="1"/>
  <c r="F93" i="1"/>
  <c r="F452" i="1"/>
  <c r="F308" i="1"/>
  <c r="F164" i="1"/>
  <c r="F20" i="1"/>
  <c r="F438" i="1"/>
  <c r="F15" i="1"/>
  <c r="F114" i="1"/>
  <c r="F185" i="1"/>
  <c r="F363" i="1"/>
  <c r="F290" i="1"/>
  <c r="F431" i="1"/>
  <c r="F165" i="1"/>
  <c r="F534" i="1"/>
  <c r="F317" i="1"/>
  <c r="F192" i="1"/>
  <c r="F271" i="1"/>
  <c r="F90" i="1"/>
  <c r="F259" i="1"/>
  <c r="F366" i="1"/>
  <c r="F157" i="1"/>
  <c r="F5" i="1"/>
  <c r="F499" i="1"/>
  <c r="F67" i="1"/>
  <c r="F462" i="1"/>
  <c r="F318" i="1"/>
  <c r="F30" i="1"/>
  <c r="F147" i="1"/>
  <c r="F324" i="1"/>
  <c r="F533" i="1"/>
  <c r="F389" i="1"/>
  <c r="F245" i="1"/>
  <c r="F101" i="1"/>
  <c r="F411" i="1"/>
  <c r="F436" i="1"/>
  <c r="F292" i="1"/>
  <c r="F148" i="1"/>
  <c r="F4" i="1"/>
  <c r="F135" i="1"/>
  <c r="F37" i="1"/>
  <c r="F322" i="1"/>
  <c r="F159" i="1"/>
  <c r="F13" i="1"/>
  <c r="F418" i="1"/>
  <c r="F494" i="1"/>
  <c r="F350" i="1"/>
  <c r="F2" i="1"/>
  <c r="F47" i="1"/>
  <c r="F505" i="1"/>
  <c r="F361" i="1"/>
  <c r="F217" i="1"/>
  <c r="F394" i="1"/>
  <c r="F491" i="1"/>
  <c r="F347" i="1"/>
  <c r="F203" i="1"/>
  <c r="F59" i="1"/>
  <c r="F513" i="1"/>
  <c r="F369" i="1"/>
  <c r="F225" i="1"/>
  <c r="F81" i="1"/>
  <c r="F440" i="1"/>
  <c r="F296" i="1"/>
  <c r="F152" i="1"/>
  <c r="F8" i="1"/>
  <c r="F252" i="1"/>
  <c r="F319" i="1"/>
  <c r="F439" i="1"/>
  <c r="F423" i="1"/>
  <c r="F376" i="1"/>
  <c r="F94" i="1"/>
  <c r="F301" i="1"/>
  <c r="F250" i="1"/>
  <c r="F139" i="1"/>
  <c r="F144" i="1"/>
  <c r="F110" i="1"/>
  <c r="F115" i="1"/>
  <c r="F484" i="1"/>
  <c r="F355" i="1"/>
  <c r="F211" i="1"/>
  <c r="F540" i="1"/>
  <c r="F174" i="1"/>
  <c r="F487" i="1"/>
  <c r="F343" i="1"/>
  <c r="F199" i="1"/>
  <c r="F55" i="1"/>
  <c r="F360" i="1"/>
  <c r="F450" i="1"/>
  <c r="F306" i="1"/>
  <c r="F162" i="1"/>
  <c r="F18" i="1"/>
  <c r="F99" i="1"/>
  <c r="F216" i="1"/>
  <c r="F521" i="1"/>
  <c r="F377" i="1"/>
  <c r="F233" i="1"/>
  <c r="F89" i="1"/>
  <c r="F145" i="1"/>
  <c r="F424" i="1"/>
  <c r="F280" i="1"/>
  <c r="F136" i="1"/>
  <c r="F531" i="1"/>
  <c r="F111" i="1"/>
  <c r="F492" i="1"/>
  <c r="F238" i="1"/>
  <c r="F123" i="1"/>
  <c r="F528" i="1"/>
  <c r="F346" i="1"/>
  <c r="F482" i="1"/>
  <c r="F338" i="1"/>
  <c r="F109" i="1"/>
  <c r="F526" i="1"/>
  <c r="F493" i="1"/>
  <c r="F349" i="1"/>
  <c r="F169" i="1"/>
  <c r="F310" i="1"/>
  <c r="F479" i="1"/>
  <c r="F335" i="1"/>
  <c r="F191" i="1"/>
  <c r="F514" i="1"/>
  <c r="F501" i="1"/>
  <c r="F357" i="1"/>
  <c r="F213" i="1"/>
  <c r="F69" i="1"/>
  <c r="F428" i="1"/>
  <c r="F284" i="1"/>
  <c r="F140" i="1"/>
  <c r="F106" i="1"/>
  <c r="F6" i="1"/>
  <c r="F132" i="1"/>
  <c r="F509" i="1"/>
  <c r="F365" i="1"/>
  <c r="F221" i="1"/>
  <c r="F77" i="1"/>
  <c r="F73" i="1"/>
  <c r="F412" i="1"/>
  <c r="F268" i="1"/>
  <c r="F124" i="1"/>
  <c r="F495" i="1"/>
  <c r="F87" i="1"/>
  <c r="F456" i="1"/>
  <c r="F154" i="1"/>
  <c r="F75" i="1"/>
  <c r="F444" i="1"/>
  <c r="F274" i="1"/>
  <c r="F470" i="1"/>
  <c r="F326" i="1"/>
  <c r="F25" i="1"/>
  <c r="F430" i="1"/>
  <c r="F481" i="1"/>
  <c r="F337" i="1"/>
  <c r="F61" i="1"/>
  <c r="F214" i="1"/>
  <c r="F467" i="1"/>
  <c r="F323" i="1"/>
  <c r="F179" i="1"/>
  <c r="F442" i="1"/>
  <c r="F489" i="1"/>
  <c r="F345" i="1"/>
  <c r="F201" i="1"/>
  <c r="F57" i="1"/>
  <c r="F416" i="1"/>
  <c r="F272" i="1"/>
  <c r="F128" i="1"/>
  <c r="H5" i="1"/>
  <c r="H17" i="1"/>
  <c r="H29" i="1"/>
  <c r="H41" i="1"/>
  <c r="H53" i="1"/>
  <c r="H65" i="1"/>
  <c r="H77" i="1"/>
  <c r="H89" i="1"/>
  <c r="H101" i="1"/>
  <c r="H113" i="1"/>
  <c r="H7" i="1"/>
  <c r="H19" i="1"/>
  <c r="H31" i="1"/>
  <c r="H43" i="1"/>
  <c r="H55" i="1"/>
  <c r="H67" i="1"/>
  <c r="H79" i="1"/>
  <c r="H91" i="1"/>
  <c r="H103" i="1"/>
  <c r="H115" i="1"/>
  <c r="H127" i="1"/>
  <c r="H139" i="1"/>
  <c r="H151" i="1"/>
  <c r="H163" i="1"/>
  <c r="H175" i="1"/>
  <c r="H187" i="1"/>
  <c r="H199" i="1"/>
  <c r="H211" i="1"/>
  <c r="H223" i="1"/>
  <c r="H235" i="1"/>
  <c r="H248" i="1"/>
  <c r="H260" i="1"/>
  <c r="H272" i="1"/>
  <c r="H284" i="1"/>
  <c r="H296" i="1"/>
  <c r="H308" i="1"/>
  <c r="H319" i="1"/>
  <c r="H331" i="1"/>
  <c r="H343" i="1"/>
  <c r="H355" i="1"/>
  <c r="H367" i="1"/>
  <c r="H379" i="1"/>
  <c r="H391" i="1"/>
  <c r="H403" i="1"/>
  <c r="H415" i="1"/>
  <c r="H427" i="1"/>
  <c r="H439" i="1"/>
  <c r="H451" i="1"/>
  <c r="H463" i="1"/>
  <c r="H475" i="1"/>
  <c r="H487" i="1"/>
  <c r="H499" i="1"/>
  <c r="H511" i="1"/>
  <c r="H523" i="1"/>
  <c r="H535" i="1"/>
  <c r="H547" i="1"/>
  <c r="H8" i="1"/>
  <c r="H20" i="1"/>
  <c r="H32" i="1"/>
  <c r="H44" i="1"/>
  <c r="H56" i="1"/>
  <c r="H68" i="1"/>
  <c r="H80" i="1"/>
  <c r="H92" i="1"/>
  <c r="H104" i="1"/>
  <c r="H116" i="1"/>
  <c r="H128" i="1"/>
  <c r="H140" i="1"/>
  <c r="H152" i="1"/>
  <c r="H164" i="1"/>
  <c r="H176" i="1"/>
  <c r="H188" i="1"/>
  <c r="H200" i="1"/>
  <c r="H212" i="1"/>
  <c r="H224" i="1"/>
  <c r="H236" i="1"/>
  <c r="H249" i="1"/>
  <c r="H261" i="1"/>
  <c r="H273" i="1"/>
  <c r="H285" i="1"/>
  <c r="H297" i="1"/>
  <c r="H309" i="1"/>
  <c r="H320" i="1"/>
  <c r="H332" i="1"/>
  <c r="H344" i="1"/>
  <c r="H356" i="1"/>
  <c r="H368" i="1"/>
  <c r="H380" i="1"/>
  <c r="H392" i="1"/>
  <c r="H404" i="1"/>
  <c r="H416" i="1"/>
  <c r="H428" i="1"/>
  <c r="H440" i="1"/>
  <c r="H452" i="1"/>
  <c r="H464" i="1"/>
  <c r="H476" i="1"/>
  <c r="H488" i="1"/>
  <c r="H500" i="1"/>
  <c r="H512" i="1"/>
  <c r="H524" i="1"/>
  <c r="H536" i="1"/>
  <c r="H10" i="1"/>
  <c r="H22" i="1"/>
  <c r="H34" i="1"/>
  <c r="H46" i="1"/>
  <c r="H58" i="1"/>
  <c r="H70" i="1"/>
  <c r="H11" i="1"/>
  <c r="H27" i="1"/>
  <c r="H47" i="1"/>
  <c r="H63" i="1"/>
  <c r="H82" i="1"/>
  <c r="H97" i="1"/>
  <c r="H112" i="1"/>
  <c r="H129" i="1"/>
  <c r="H143" i="1"/>
  <c r="H157" i="1"/>
  <c r="H171" i="1"/>
  <c r="H185" i="1"/>
  <c r="H201" i="1"/>
  <c r="H215" i="1"/>
  <c r="H229" i="1"/>
  <c r="H244" i="1"/>
  <c r="H258" i="1"/>
  <c r="H274" i="1"/>
  <c r="H288" i="1"/>
  <c r="H302" i="1"/>
  <c r="H326" i="1"/>
  <c r="H329" i="1"/>
  <c r="H345" i="1"/>
  <c r="H359" i="1"/>
  <c r="H373" i="1"/>
  <c r="H387" i="1"/>
  <c r="H401" i="1"/>
  <c r="H417" i="1"/>
  <c r="H431" i="1"/>
  <c r="H445" i="1"/>
  <c r="H459" i="1"/>
  <c r="H473" i="1"/>
  <c r="H489" i="1"/>
  <c r="H503" i="1"/>
  <c r="H517" i="1"/>
  <c r="H531" i="1"/>
  <c r="H545" i="1"/>
  <c r="H490" i="1"/>
  <c r="H336" i="1"/>
  <c r="H466" i="1"/>
  <c r="H538" i="1"/>
  <c r="H37" i="1"/>
  <c r="H149" i="1"/>
  <c r="H237" i="1"/>
  <c r="H337" i="1"/>
  <c r="H409" i="1"/>
  <c r="H525" i="1"/>
  <c r="H136" i="1"/>
  <c r="H238" i="1"/>
  <c r="H366" i="1"/>
  <c r="H496" i="1"/>
  <c r="H108" i="1"/>
  <c r="H209" i="1"/>
  <c r="H325" i="1"/>
  <c r="H411" i="1"/>
  <c r="H497" i="1"/>
  <c r="H12" i="1"/>
  <c r="H28" i="1"/>
  <c r="H48" i="1"/>
  <c r="H64" i="1"/>
  <c r="H83" i="1"/>
  <c r="H98" i="1"/>
  <c r="H114" i="1"/>
  <c r="H130" i="1"/>
  <c r="H144" i="1"/>
  <c r="H158" i="1"/>
  <c r="H172" i="1"/>
  <c r="H186" i="1"/>
  <c r="H202" i="1"/>
  <c r="H216" i="1"/>
  <c r="H230" i="1"/>
  <c r="H245" i="1"/>
  <c r="H259" i="1"/>
  <c r="H275" i="1"/>
  <c r="H289" i="1"/>
  <c r="H303" i="1"/>
  <c r="H316" i="1"/>
  <c r="H330" i="1"/>
  <c r="H346" i="1"/>
  <c r="H360" i="1"/>
  <c r="H374" i="1"/>
  <c r="H388" i="1"/>
  <c r="H402" i="1"/>
  <c r="H418" i="1"/>
  <c r="H432" i="1"/>
  <c r="H446" i="1"/>
  <c r="H460" i="1"/>
  <c r="H474" i="1"/>
  <c r="H504" i="1"/>
  <c r="H518" i="1"/>
  <c r="H532" i="1"/>
  <c r="H546" i="1"/>
  <c r="H436" i="1"/>
  <c r="H18" i="1"/>
  <c r="H106" i="1"/>
  <c r="H179" i="1"/>
  <c r="H221" i="1"/>
  <c r="H252" i="1"/>
  <c r="H294" i="1"/>
  <c r="H395" i="1"/>
  <c r="H453" i="1"/>
  <c r="H495" i="1"/>
  <c r="H21" i="1"/>
  <c r="H122" i="1"/>
  <c r="H208" i="1"/>
  <c r="H267" i="1"/>
  <c r="H338" i="1"/>
  <c r="H438" i="1"/>
  <c r="H526" i="1"/>
  <c r="H3" i="1"/>
  <c r="H137" i="1"/>
  <c r="H239" i="1"/>
  <c r="H312" i="1"/>
  <c r="H397" i="1"/>
  <c r="H513" i="1"/>
  <c r="H13" i="1"/>
  <c r="H30" i="1"/>
  <c r="H49" i="1"/>
  <c r="H66" i="1"/>
  <c r="H84" i="1"/>
  <c r="H99" i="1"/>
  <c r="H117" i="1"/>
  <c r="H131" i="1"/>
  <c r="H145" i="1"/>
  <c r="H159" i="1"/>
  <c r="H173" i="1"/>
  <c r="H189" i="1"/>
  <c r="H203" i="1"/>
  <c r="H217" i="1"/>
  <c r="H231" i="1"/>
  <c r="H246" i="1"/>
  <c r="H262" i="1"/>
  <c r="H276" i="1"/>
  <c r="H290" i="1"/>
  <c r="H304" i="1"/>
  <c r="H317" i="1"/>
  <c r="H333" i="1"/>
  <c r="H347" i="1"/>
  <c r="H361" i="1"/>
  <c r="H375" i="1"/>
  <c r="H389" i="1"/>
  <c r="H405" i="1"/>
  <c r="H419" i="1"/>
  <c r="H433" i="1"/>
  <c r="H447" i="1"/>
  <c r="H461" i="1"/>
  <c r="H477" i="1"/>
  <c r="H491" i="1"/>
  <c r="H505" i="1"/>
  <c r="H519" i="1"/>
  <c r="H533" i="1"/>
  <c r="H52" i="1"/>
  <c r="H148" i="1"/>
  <c r="H234" i="1"/>
  <c r="H293" i="1"/>
  <c r="H350" i="1"/>
  <c r="H394" i="1"/>
  <c r="H450" i="1"/>
  <c r="H508" i="1"/>
  <c r="H73" i="1"/>
  <c r="H207" i="1"/>
  <c r="H323" i="1"/>
  <c r="H423" i="1"/>
  <c r="H107" i="1"/>
  <c r="H222" i="1"/>
  <c r="H324" i="1"/>
  <c r="H424" i="1"/>
  <c r="H540" i="1"/>
  <c r="H23" i="1"/>
  <c r="H153" i="1"/>
  <c r="H268" i="1"/>
  <c r="H369" i="1"/>
  <c r="H455" i="1"/>
  <c r="H14" i="1"/>
  <c r="H33" i="1"/>
  <c r="H50" i="1"/>
  <c r="H69" i="1"/>
  <c r="H85" i="1"/>
  <c r="H100" i="1"/>
  <c r="H118" i="1"/>
  <c r="H132" i="1"/>
  <c r="H146" i="1"/>
  <c r="H160" i="1"/>
  <c r="H174" i="1"/>
  <c r="H190" i="1"/>
  <c r="H204" i="1"/>
  <c r="H218" i="1"/>
  <c r="H232" i="1"/>
  <c r="H247" i="1"/>
  <c r="H263" i="1"/>
  <c r="H277" i="1"/>
  <c r="H291" i="1"/>
  <c r="H305" i="1"/>
  <c r="H318" i="1"/>
  <c r="H334" i="1"/>
  <c r="H348" i="1"/>
  <c r="H362" i="1"/>
  <c r="H376" i="1"/>
  <c r="H390" i="1"/>
  <c r="H406" i="1"/>
  <c r="H420" i="1"/>
  <c r="H434" i="1"/>
  <c r="H448" i="1"/>
  <c r="H462" i="1"/>
  <c r="H478" i="1"/>
  <c r="H492" i="1"/>
  <c r="H506" i="1"/>
  <c r="H520" i="1"/>
  <c r="H534" i="1"/>
  <c r="H36" i="1"/>
  <c r="H87" i="1"/>
  <c r="H120" i="1"/>
  <c r="H162" i="1"/>
  <c r="H206" i="1"/>
  <c r="H251" i="1"/>
  <c r="H279" i="1"/>
  <c r="H322" i="1"/>
  <c r="H378" i="1"/>
  <c r="H422" i="1"/>
  <c r="H480" i="1"/>
  <c r="H522" i="1"/>
  <c r="H165" i="1"/>
  <c r="H280" i="1"/>
  <c r="H381" i="1"/>
  <c r="H509" i="1"/>
  <c r="H74" i="1"/>
  <c r="H194" i="1"/>
  <c r="H295" i="1"/>
  <c r="H410" i="1"/>
  <c r="H510" i="1"/>
  <c r="H93" i="1"/>
  <c r="H195" i="1"/>
  <c r="H298" i="1"/>
  <c r="H383" i="1"/>
  <c r="H483" i="1"/>
  <c r="H15" i="1"/>
  <c r="H35" i="1"/>
  <c r="H51" i="1"/>
  <c r="H71" i="1"/>
  <c r="H86" i="1"/>
  <c r="H102" i="1"/>
  <c r="H119" i="1"/>
  <c r="H133" i="1"/>
  <c r="H147" i="1"/>
  <c r="H161" i="1"/>
  <c r="H177" i="1"/>
  <c r="H191" i="1"/>
  <c r="H205" i="1"/>
  <c r="H219" i="1"/>
  <c r="H233" i="1"/>
  <c r="H250" i="1"/>
  <c r="H264" i="1"/>
  <c r="H278" i="1"/>
  <c r="H292" i="1"/>
  <c r="H306" i="1"/>
  <c r="H321" i="1"/>
  <c r="H335" i="1"/>
  <c r="H349" i="1"/>
  <c r="H363" i="1"/>
  <c r="H377" i="1"/>
  <c r="H393" i="1"/>
  <c r="H407" i="1"/>
  <c r="H421" i="1"/>
  <c r="H435" i="1"/>
  <c r="H449" i="1"/>
  <c r="H465" i="1"/>
  <c r="H479" i="1"/>
  <c r="H493" i="1"/>
  <c r="H507" i="1"/>
  <c r="H521" i="1"/>
  <c r="H537" i="1"/>
  <c r="H16" i="1"/>
  <c r="H72" i="1"/>
  <c r="H105" i="1"/>
  <c r="H134" i="1"/>
  <c r="H178" i="1"/>
  <c r="H220" i="1"/>
  <c r="H265" i="1"/>
  <c r="H307" i="1"/>
  <c r="H364" i="1"/>
  <c r="H408" i="1"/>
  <c r="H494" i="1"/>
  <c r="H54" i="1"/>
  <c r="H121" i="1"/>
  <c r="H193" i="1"/>
  <c r="H266" i="1"/>
  <c r="H365" i="1"/>
  <c r="H467" i="1"/>
  <c r="H38" i="1"/>
  <c r="H150" i="1"/>
  <c r="H253" i="1"/>
  <c r="H352" i="1"/>
  <c r="H468" i="1"/>
  <c r="H75" i="1"/>
  <c r="H192" i="1"/>
  <c r="H88" i="1"/>
  <c r="H310" i="1"/>
  <c r="H437" i="1"/>
  <c r="H539" i="1"/>
  <c r="H90" i="1"/>
  <c r="H180" i="1"/>
  <c r="H311" i="1"/>
  <c r="H396" i="1"/>
  <c r="H482" i="1"/>
  <c r="H39" i="1"/>
  <c r="H167" i="1"/>
  <c r="H254" i="1"/>
  <c r="H353" i="1"/>
  <c r="H441" i="1"/>
  <c r="H541" i="1"/>
  <c r="H135" i="1"/>
  <c r="H351" i="1"/>
  <c r="H481" i="1"/>
  <c r="H57" i="1"/>
  <c r="H166" i="1"/>
  <c r="H281" i="1"/>
  <c r="H382" i="1"/>
  <c r="H454" i="1"/>
  <c r="H59" i="1"/>
  <c r="H123" i="1"/>
  <c r="H181" i="1"/>
  <c r="H225" i="1"/>
  <c r="H282" i="1"/>
  <c r="H339" i="1"/>
  <c r="H425" i="1"/>
  <c r="H469" i="1"/>
  <c r="H527" i="1"/>
  <c r="H9" i="1"/>
  <c r="H81" i="1"/>
  <c r="H142" i="1"/>
  <c r="H198" i="1"/>
  <c r="H257" i="1"/>
  <c r="H315" i="1"/>
  <c r="H372" i="1"/>
  <c r="H430" i="1"/>
  <c r="H486" i="1"/>
  <c r="H544" i="1"/>
  <c r="H457" i="1"/>
  <c r="H287" i="1"/>
  <c r="H530" i="1"/>
  <c r="H4" i="1"/>
  <c r="H426" i="1"/>
  <c r="H78" i="1"/>
  <c r="H429" i="1"/>
  <c r="H24" i="1"/>
  <c r="H94" i="1"/>
  <c r="H154" i="1"/>
  <c r="H210" i="1"/>
  <c r="H269" i="1"/>
  <c r="H240" i="1"/>
  <c r="H384" i="1"/>
  <c r="H442" i="1"/>
  <c r="H498" i="1"/>
  <c r="H386" i="1"/>
  <c r="H341" i="1"/>
  <c r="H342" i="1"/>
  <c r="H184" i="1"/>
  <c r="H196" i="1"/>
  <c r="H542" i="1"/>
  <c r="H197" i="1"/>
  <c r="H25" i="1"/>
  <c r="H95" i="1"/>
  <c r="H155" i="1"/>
  <c r="H213" i="1"/>
  <c r="H270" i="1"/>
  <c r="H327" i="1"/>
  <c r="H385" i="1"/>
  <c r="H443" i="1"/>
  <c r="H501" i="1"/>
  <c r="H444" i="1"/>
  <c r="H286" i="1"/>
  <c r="H45" i="1"/>
  <c r="H458" i="1"/>
  <c r="H299" i="1"/>
  <c r="H183" i="1"/>
  <c r="H471" i="1"/>
  <c r="H301" i="1"/>
  <c r="H485" i="1"/>
  <c r="H26" i="1"/>
  <c r="H96" i="1"/>
  <c r="H156" i="1"/>
  <c r="H214" i="1"/>
  <c r="H271" i="1"/>
  <c r="H328" i="1"/>
  <c r="H502" i="1"/>
  <c r="H110" i="1"/>
  <c r="H399" i="1"/>
  <c r="H515" i="1"/>
  <c r="H228" i="1"/>
  <c r="H400" i="1"/>
  <c r="H124" i="1"/>
  <c r="H241" i="1"/>
  <c r="H470" i="1"/>
  <c r="H125" i="1"/>
  <c r="H300" i="1"/>
  <c r="H413" i="1"/>
  <c r="H243" i="1"/>
  <c r="H472" i="1"/>
  <c r="H138" i="1"/>
  <c r="H484" i="1"/>
  <c r="H141" i="1"/>
  <c r="H371" i="1"/>
  <c r="H543" i="1"/>
  <c r="H40" i="1"/>
  <c r="H109" i="1"/>
  <c r="H168" i="1"/>
  <c r="H226" i="1"/>
  <c r="H283" i="1"/>
  <c r="H340" i="1"/>
  <c r="H398" i="1"/>
  <c r="H456" i="1"/>
  <c r="H514" i="1"/>
  <c r="H169" i="1"/>
  <c r="H170" i="1"/>
  <c r="H516" i="1"/>
  <c r="H60" i="1"/>
  <c r="H182" i="1"/>
  <c r="H354" i="1"/>
  <c r="H528" i="1"/>
  <c r="H61" i="1"/>
  <c r="H242" i="1"/>
  <c r="H529" i="1"/>
  <c r="H62" i="1"/>
  <c r="H358" i="1"/>
  <c r="H255" i="1"/>
  <c r="H6" i="1"/>
  <c r="H314" i="1"/>
  <c r="H42" i="1"/>
  <c r="H227" i="1"/>
  <c r="H111" i="1"/>
  <c r="H412" i="1"/>
  <c r="H357" i="1"/>
  <c r="H414" i="1"/>
  <c r="H313" i="1"/>
  <c r="H126" i="1"/>
  <c r="H76" i="1"/>
  <c r="H370" i="1"/>
  <c r="H256" i="1"/>
  <c r="J14" i="1"/>
  <c r="J26" i="1"/>
  <c r="J38" i="1"/>
  <c r="J50" i="1"/>
  <c r="J62" i="1"/>
  <c r="J74" i="1"/>
  <c r="J86" i="1"/>
  <c r="J98" i="1"/>
  <c r="J110" i="1"/>
  <c r="J122" i="1"/>
  <c r="J134" i="1"/>
  <c r="J146" i="1"/>
  <c r="J158" i="1"/>
  <c r="J170" i="1"/>
  <c r="J182" i="1"/>
  <c r="J194" i="1"/>
  <c r="J206" i="1"/>
  <c r="J218" i="1"/>
  <c r="J230" i="1"/>
  <c r="J243" i="1"/>
  <c r="J255" i="1"/>
  <c r="J267" i="1"/>
  <c r="J279" i="1"/>
  <c r="J291" i="1"/>
  <c r="J303" i="1"/>
  <c r="J315" i="1"/>
  <c r="J240" i="1"/>
  <c r="J338" i="1"/>
  <c r="J350" i="1"/>
  <c r="J362" i="1"/>
  <c r="J374" i="1"/>
  <c r="J386" i="1"/>
  <c r="J398" i="1"/>
  <c r="J410" i="1"/>
  <c r="J422" i="1"/>
  <c r="J434" i="1"/>
  <c r="J446" i="1"/>
  <c r="J458" i="1"/>
  <c r="J470" i="1"/>
  <c r="J482" i="1"/>
  <c r="J494" i="1"/>
  <c r="J506" i="1"/>
  <c r="J518" i="1"/>
  <c r="J530" i="1"/>
  <c r="J542" i="1"/>
  <c r="J16" i="1"/>
  <c r="J28" i="1"/>
  <c r="J40" i="1"/>
  <c r="J52" i="1"/>
  <c r="J64" i="1"/>
  <c r="J76" i="1"/>
  <c r="J88" i="1"/>
  <c r="J100" i="1"/>
  <c r="J112" i="1"/>
  <c r="J124" i="1"/>
  <c r="J136" i="1"/>
  <c r="J148" i="1"/>
  <c r="J160" i="1"/>
  <c r="J172" i="1"/>
  <c r="J184" i="1"/>
  <c r="J196" i="1"/>
  <c r="J208" i="1"/>
  <c r="J220" i="1"/>
  <c r="J232" i="1"/>
  <c r="J245" i="1"/>
  <c r="J257" i="1"/>
  <c r="J269" i="1"/>
  <c r="J281" i="1"/>
  <c r="J293" i="1"/>
  <c r="J305" i="1"/>
  <c r="J316" i="1"/>
  <c r="J328" i="1"/>
  <c r="J340" i="1"/>
  <c r="J352" i="1"/>
  <c r="J364" i="1"/>
  <c r="J376" i="1"/>
  <c r="J388" i="1"/>
  <c r="J400" i="1"/>
  <c r="J412" i="1"/>
  <c r="J424" i="1"/>
  <c r="J436" i="1"/>
  <c r="J448" i="1"/>
  <c r="J460" i="1"/>
  <c r="J472" i="1"/>
  <c r="J484" i="1"/>
  <c r="J496" i="1"/>
  <c r="J508" i="1"/>
  <c r="J520" i="1"/>
  <c r="J532" i="1"/>
  <c r="J544" i="1"/>
  <c r="J17" i="1"/>
  <c r="J29" i="1"/>
  <c r="J41" i="1"/>
  <c r="J53" i="1"/>
  <c r="J65" i="1"/>
  <c r="J77" i="1"/>
  <c r="J89" i="1"/>
  <c r="J101" i="1"/>
  <c r="J113" i="1"/>
  <c r="J125" i="1"/>
  <c r="J137" i="1"/>
  <c r="J149" i="1"/>
  <c r="J161" i="1"/>
  <c r="J173" i="1"/>
  <c r="J185" i="1"/>
  <c r="J197" i="1"/>
  <c r="J209" i="1"/>
  <c r="J221" i="1"/>
  <c r="J233" i="1"/>
  <c r="J246" i="1"/>
  <c r="J258" i="1"/>
  <c r="J270" i="1"/>
  <c r="J282" i="1"/>
  <c r="J294" i="1"/>
  <c r="J306" i="1"/>
  <c r="J317" i="1"/>
  <c r="J329" i="1"/>
  <c r="J341" i="1"/>
  <c r="J353" i="1"/>
  <c r="J365" i="1"/>
  <c r="J377" i="1"/>
  <c r="J389" i="1"/>
  <c r="J401" i="1"/>
  <c r="J413" i="1"/>
  <c r="J425" i="1"/>
  <c r="J437" i="1"/>
  <c r="J449" i="1"/>
  <c r="J461" i="1"/>
  <c r="J473" i="1"/>
  <c r="J485" i="1"/>
  <c r="J497" i="1"/>
  <c r="J509" i="1"/>
  <c r="J521" i="1"/>
  <c r="J533" i="1"/>
  <c r="J545" i="1"/>
  <c r="J7" i="1"/>
  <c r="J19" i="1"/>
  <c r="J31" i="1"/>
  <c r="J43" i="1"/>
  <c r="J55" i="1"/>
  <c r="J67" i="1"/>
  <c r="J79" i="1"/>
  <c r="J91" i="1"/>
  <c r="J103" i="1"/>
  <c r="J115" i="1"/>
  <c r="J127" i="1"/>
  <c r="J139" i="1"/>
  <c r="J151" i="1"/>
  <c r="J163" i="1"/>
  <c r="J175" i="1"/>
  <c r="J187" i="1"/>
  <c r="J199" i="1"/>
  <c r="J211" i="1"/>
  <c r="J223" i="1"/>
  <c r="J235" i="1"/>
  <c r="J248" i="1"/>
  <c r="J260" i="1"/>
  <c r="J272" i="1"/>
  <c r="J284" i="1"/>
  <c r="J296" i="1"/>
  <c r="J308" i="1"/>
  <c r="J319" i="1"/>
  <c r="J331" i="1"/>
  <c r="J343" i="1"/>
  <c r="J355" i="1"/>
  <c r="J367" i="1"/>
  <c r="J379" i="1"/>
  <c r="J391" i="1"/>
  <c r="J403" i="1"/>
  <c r="J415" i="1"/>
  <c r="J427" i="1"/>
  <c r="J439" i="1"/>
  <c r="J451" i="1"/>
  <c r="J463" i="1"/>
  <c r="J475" i="1"/>
  <c r="J487" i="1"/>
  <c r="J499" i="1"/>
  <c r="J511" i="1"/>
  <c r="J523" i="1"/>
  <c r="J535" i="1"/>
  <c r="J547" i="1"/>
  <c r="J20" i="1"/>
  <c r="J36" i="1"/>
  <c r="J56" i="1"/>
  <c r="J72" i="1"/>
  <c r="J92" i="1"/>
  <c r="J108" i="1"/>
  <c r="J128" i="1"/>
  <c r="J144" i="1"/>
  <c r="J164" i="1"/>
  <c r="J180" i="1"/>
  <c r="J200" i="1"/>
  <c r="J216" i="1"/>
  <c r="J236" i="1"/>
  <c r="J253" i="1"/>
  <c r="J273" i="1"/>
  <c r="J289" i="1"/>
  <c r="J309" i="1"/>
  <c r="J324" i="1"/>
  <c r="J344" i="1"/>
  <c r="J360" i="1"/>
  <c r="J380" i="1"/>
  <c r="J396" i="1"/>
  <c r="J416" i="1"/>
  <c r="J432" i="1"/>
  <c r="J452" i="1"/>
  <c r="J468" i="1"/>
  <c r="J488" i="1"/>
  <c r="J504" i="1"/>
  <c r="J524" i="1"/>
  <c r="J540" i="1"/>
  <c r="J385" i="1"/>
  <c r="J118" i="1"/>
  <c r="J207" i="1"/>
  <c r="J334" i="1"/>
  <c r="J442" i="1"/>
  <c r="J514" i="1"/>
  <c r="J138" i="1"/>
  <c r="J354" i="1"/>
  <c r="J534" i="1"/>
  <c r="J12" i="1"/>
  <c r="J228" i="1"/>
  <c r="J392" i="1"/>
  <c r="J536" i="1"/>
  <c r="J21" i="1"/>
  <c r="J37" i="1"/>
  <c r="J57" i="1"/>
  <c r="J73" i="1"/>
  <c r="J93" i="1"/>
  <c r="J109" i="1"/>
  <c r="J129" i="1"/>
  <c r="J145" i="1"/>
  <c r="J165" i="1"/>
  <c r="J181" i="1"/>
  <c r="J201" i="1"/>
  <c r="J217" i="1"/>
  <c r="J237" i="1"/>
  <c r="J254" i="1"/>
  <c r="J274" i="1"/>
  <c r="J290" i="1"/>
  <c r="J310" i="1"/>
  <c r="J325" i="1"/>
  <c r="J345" i="1"/>
  <c r="J361" i="1"/>
  <c r="J381" i="1"/>
  <c r="J397" i="1"/>
  <c r="J417" i="1"/>
  <c r="J433" i="1"/>
  <c r="J453" i="1"/>
  <c r="J469" i="1"/>
  <c r="J489" i="1"/>
  <c r="J505" i="1"/>
  <c r="J525" i="1"/>
  <c r="J541" i="1"/>
  <c r="J421" i="1"/>
  <c r="J82" i="1"/>
  <c r="J190" i="1"/>
  <c r="J299" i="1"/>
  <c r="J387" i="1"/>
  <c r="J459" i="1"/>
  <c r="J102" i="1"/>
  <c r="J318" i="1"/>
  <c r="J479" i="1"/>
  <c r="J32" i="1"/>
  <c r="J265" i="1"/>
  <c r="J428" i="1"/>
  <c r="J22" i="1"/>
  <c r="J39" i="1"/>
  <c r="J58" i="1"/>
  <c r="J75" i="1"/>
  <c r="J94" i="1"/>
  <c r="J111" i="1"/>
  <c r="J130" i="1"/>
  <c r="J147" i="1"/>
  <c r="J166" i="1"/>
  <c r="J183" i="1"/>
  <c r="J202" i="1"/>
  <c r="J219" i="1"/>
  <c r="J238" i="1"/>
  <c r="J256" i="1"/>
  <c r="J275" i="1"/>
  <c r="J292" i="1"/>
  <c r="J311" i="1"/>
  <c r="J327" i="1"/>
  <c r="J346" i="1"/>
  <c r="J363" i="1"/>
  <c r="J382" i="1"/>
  <c r="J399" i="1"/>
  <c r="J418" i="1"/>
  <c r="J435" i="1"/>
  <c r="J454" i="1"/>
  <c r="J471" i="1"/>
  <c r="J490" i="1"/>
  <c r="J507" i="1"/>
  <c r="J526" i="1"/>
  <c r="J543" i="1"/>
  <c r="J205" i="1"/>
  <c r="J278" i="1"/>
  <c r="J333" i="1"/>
  <c r="J405" i="1"/>
  <c r="J477" i="1"/>
  <c r="J529" i="1"/>
  <c r="J10" i="1"/>
  <c r="J154" i="1"/>
  <c r="J244" i="1"/>
  <c r="J351" i="1"/>
  <c r="J478" i="1"/>
  <c r="J210" i="1"/>
  <c r="J426" i="1"/>
  <c r="J104" i="1"/>
  <c r="J320" i="1"/>
  <c r="J464" i="1"/>
  <c r="J23" i="1"/>
  <c r="J42" i="1"/>
  <c r="J59" i="1"/>
  <c r="J78" i="1"/>
  <c r="J95" i="1"/>
  <c r="J114" i="1"/>
  <c r="J131" i="1"/>
  <c r="J150" i="1"/>
  <c r="J167" i="1"/>
  <c r="J186" i="1"/>
  <c r="J203" i="1"/>
  <c r="J222" i="1"/>
  <c r="J239" i="1"/>
  <c r="J259" i="1"/>
  <c r="J276" i="1"/>
  <c r="J295" i="1"/>
  <c r="J312" i="1"/>
  <c r="J330" i="1"/>
  <c r="J347" i="1"/>
  <c r="J366" i="1"/>
  <c r="J383" i="1"/>
  <c r="J402" i="1"/>
  <c r="J419" i="1"/>
  <c r="J438" i="1"/>
  <c r="J455" i="1"/>
  <c r="J474" i="1"/>
  <c r="J491" i="1"/>
  <c r="J510" i="1"/>
  <c r="J527" i="1"/>
  <c r="J546" i="1"/>
  <c r="J189" i="1"/>
  <c r="J242" i="1"/>
  <c r="J298" i="1"/>
  <c r="J349" i="1"/>
  <c r="J441" i="1"/>
  <c r="J493" i="1"/>
  <c r="J4" i="1"/>
  <c r="J27" i="1"/>
  <c r="J99" i="1"/>
  <c r="J171" i="1"/>
  <c r="J326" i="1"/>
  <c r="J406" i="1"/>
  <c r="J531" i="1"/>
  <c r="J227" i="1"/>
  <c r="J462" i="1"/>
  <c r="J120" i="1"/>
  <c r="J336" i="1"/>
  <c r="J480" i="1"/>
  <c r="J8" i="1"/>
  <c r="J24" i="1"/>
  <c r="J44" i="1"/>
  <c r="J60" i="1"/>
  <c r="J80" i="1"/>
  <c r="J96" i="1"/>
  <c r="J116" i="1"/>
  <c r="J132" i="1"/>
  <c r="J152" i="1"/>
  <c r="J168" i="1"/>
  <c r="J188" i="1"/>
  <c r="J204" i="1"/>
  <c r="J224" i="1"/>
  <c r="J241" i="1"/>
  <c r="J261" i="1"/>
  <c r="J277" i="1"/>
  <c r="J297" i="1"/>
  <c r="J313" i="1"/>
  <c r="J332" i="1"/>
  <c r="J348" i="1"/>
  <c r="J368" i="1"/>
  <c r="J384" i="1"/>
  <c r="J404" i="1"/>
  <c r="J420" i="1"/>
  <c r="J440" i="1"/>
  <c r="J456" i="1"/>
  <c r="J476" i="1"/>
  <c r="J492" i="1"/>
  <c r="J512" i="1"/>
  <c r="J528" i="1"/>
  <c r="J3" i="1"/>
  <c r="J225" i="1"/>
  <c r="J262" i="1"/>
  <c r="J314" i="1"/>
  <c r="J369" i="1"/>
  <c r="J457" i="1"/>
  <c r="J513" i="1"/>
  <c r="J63" i="1"/>
  <c r="J135" i="1"/>
  <c r="J226" i="1"/>
  <c r="J280" i="1"/>
  <c r="J370" i="1"/>
  <c r="J423" i="1"/>
  <c r="J495" i="1"/>
  <c r="J5" i="1"/>
  <c r="J155" i="1"/>
  <c r="J390" i="1"/>
  <c r="J176" i="1"/>
  <c r="J372" i="1"/>
  <c r="J500" i="1"/>
  <c r="J9" i="1"/>
  <c r="J25" i="1"/>
  <c r="J45" i="1"/>
  <c r="J61" i="1"/>
  <c r="J81" i="1"/>
  <c r="J97" i="1"/>
  <c r="J117" i="1"/>
  <c r="J133" i="1"/>
  <c r="J153" i="1"/>
  <c r="J169" i="1"/>
  <c r="J46" i="1"/>
  <c r="J11" i="1"/>
  <c r="J47" i="1"/>
  <c r="J83" i="1"/>
  <c r="J174" i="1"/>
  <c r="J247" i="1"/>
  <c r="J283" i="1"/>
  <c r="J335" i="1"/>
  <c r="J407" i="1"/>
  <c r="J498" i="1"/>
  <c r="J6" i="1"/>
  <c r="J48" i="1"/>
  <c r="J84" i="1"/>
  <c r="J156" i="1"/>
  <c r="J192" i="1"/>
  <c r="J249" i="1"/>
  <c r="J301" i="1"/>
  <c r="J408" i="1"/>
  <c r="J263" i="1"/>
  <c r="J30" i="1"/>
  <c r="J66" i="1"/>
  <c r="J119" i="1"/>
  <c r="J191" i="1"/>
  <c r="J264" i="1"/>
  <c r="J300" i="1"/>
  <c r="J371" i="1"/>
  <c r="J443" i="1"/>
  <c r="J515" i="1"/>
  <c r="J68" i="1"/>
  <c r="J140" i="1"/>
  <c r="J212" i="1"/>
  <c r="J285" i="1"/>
  <c r="J356" i="1"/>
  <c r="J444" i="1"/>
  <c r="J516" i="1"/>
  <c r="J54" i="1"/>
  <c r="J126" i="1"/>
  <c r="J198" i="1"/>
  <c r="J271" i="1"/>
  <c r="J342" i="1"/>
  <c r="J414" i="1"/>
  <c r="J486" i="1"/>
  <c r="J87" i="1"/>
  <c r="J378" i="1"/>
  <c r="J121" i="1"/>
  <c r="J51" i="1"/>
  <c r="J69" i="1"/>
  <c r="J141" i="1"/>
  <c r="J213" i="1"/>
  <c r="J286" i="1"/>
  <c r="J357" i="1"/>
  <c r="J429" i="1"/>
  <c r="J501" i="1"/>
  <c r="J159" i="1"/>
  <c r="J90" i="1"/>
  <c r="J450" i="1"/>
  <c r="J323" i="1"/>
  <c r="J49" i="1"/>
  <c r="J409" i="1"/>
  <c r="J195" i="1"/>
  <c r="J70" i="1"/>
  <c r="J142" i="1"/>
  <c r="J214" i="1"/>
  <c r="J287" i="1"/>
  <c r="J358" i="1"/>
  <c r="J430" i="1"/>
  <c r="J502" i="1"/>
  <c r="J231" i="1"/>
  <c r="J162" i="1"/>
  <c r="J177" i="1"/>
  <c r="J537" i="1"/>
  <c r="J251" i="1"/>
  <c r="J538" i="1"/>
  <c r="J179" i="1"/>
  <c r="J539" i="1"/>
  <c r="J71" i="1"/>
  <c r="J143" i="1"/>
  <c r="J215" i="1"/>
  <c r="J288" i="1"/>
  <c r="J359" i="1"/>
  <c r="J431" i="1"/>
  <c r="J503" i="1"/>
  <c r="J375" i="1"/>
  <c r="J234" i="1"/>
  <c r="J522" i="1"/>
  <c r="J105" i="1"/>
  <c r="J250" i="1"/>
  <c r="J465" i="1"/>
  <c r="J34" i="1"/>
  <c r="J466" i="1"/>
  <c r="J35" i="1"/>
  <c r="J252" i="1"/>
  <c r="J467" i="1"/>
  <c r="J337" i="1"/>
  <c r="J123" i="1"/>
  <c r="J483" i="1"/>
  <c r="J13" i="1"/>
  <c r="J85" i="1"/>
  <c r="J157" i="1"/>
  <c r="J229" i="1"/>
  <c r="J302" i="1"/>
  <c r="J373" i="1"/>
  <c r="J445" i="1"/>
  <c r="J517" i="1"/>
  <c r="J304" i="1"/>
  <c r="J307" i="1"/>
  <c r="J33" i="1"/>
  <c r="J321" i="1"/>
  <c r="J106" i="1"/>
  <c r="J394" i="1"/>
  <c r="J395" i="1"/>
  <c r="J481" i="1"/>
  <c r="J411" i="1"/>
  <c r="J15" i="1"/>
  <c r="J447" i="1"/>
  <c r="J519" i="1"/>
  <c r="J18" i="1"/>
  <c r="J393" i="1"/>
  <c r="J178" i="1"/>
  <c r="J107" i="1"/>
  <c r="J266" i="1"/>
  <c r="J268" i="1"/>
  <c r="J322" i="1"/>
  <c r="J193" i="1"/>
  <c r="J339" i="1"/>
  <c r="N14" i="1"/>
  <c r="N7" i="1"/>
  <c r="N20" i="1"/>
  <c r="N32" i="1"/>
  <c r="N44" i="1"/>
  <c r="N56" i="1"/>
  <c r="N68" i="1"/>
  <c r="N80" i="1"/>
  <c r="N92" i="1"/>
  <c r="N104" i="1"/>
  <c r="N116" i="1"/>
  <c r="N128" i="1"/>
  <c r="N140" i="1"/>
  <c r="N152" i="1"/>
  <c r="N164" i="1"/>
  <c r="N176" i="1"/>
  <c r="N188" i="1"/>
  <c r="N200" i="1"/>
  <c r="N212" i="1"/>
  <c r="N224" i="1"/>
  <c r="N236" i="1"/>
  <c r="N249" i="1"/>
  <c r="N261" i="1"/>
  <c r="N273" i="1"/>
  <c r="N285" i="1"/>
  <c r="N297" i="1"/>
  <c r="N309" i="1"/>
  <c r="N320" i="1"/>
  <c r="N332" i="1"/>
  <c r="N344" i="1"/>
  <c r="N356" i="1"/>
  <c r="N368" i="1"/>
  <c r="N380" i="1"/>
  <c r="N392" i="1"/>
  <c r="N404" i="1"/>
  <c r="N416" i="1"/>
  <c r="N428" i="1"/>
  <c r="N440" i="1"/>
  <c r="N452" i="1"/>
  <c r="N464" i="1"/>
  <c r="N476" i="1"/>
  <c r="N488" i="1"/>
  <c r="N500" i="1"/>
  <c r="N512" i="1"/>
  <c r="N524" i="1"/>
  <c r="N536" i="1"/>
  <c r="N9" i="1"/>
  <c r="N22" i="1"/>
  <c r="N34" i="1"/>
  <c r="N46" i="1"/>
  <c r="N58" i="1"/>
  <c r="N70" i="1"/>
  <c r="N82" i="1"/>
  <c r="N94" i="1"/>
  <c r="N106" i="1"/>
  <c r="N118" i="1"/>
  <c r="N130" i="1"/>
  <c r="N142" i="1"/>
  <c r="N154" i="1"/>
  <c r="N166" i="1"/>
  <c r="N178" i="1"/>
  <c r="N190" i="1"/>
  <c r="N202" i="1"/>
  <c r="N214" i="1"/>
  <c r="N226" i="1"/>
  <c r="N238" i="1"/>
  <c r="N251" i="1"/>
  <c r="N263" i="1"/>
  <c r="N275" i="1"/>
  <c r="N287" i="1"/>
  <c r="N299" i="1"/>
  <c r="N311" i="1"/>
  <c r="N322" i="1"/>
  <c r="N334" i="1"/>
  <c r="N346" i="1"/>
  <c r="N358" i="1"/>
  <c r="N370" i="1"/>
  <c r="N382" i="1"/>
  <c r="N394" i="1"/>
  <c r="N406" i="1"/>
  <c r="N418" i="1"/>
  <c r="N430" i="1"/>
  <c r="N442" i="1"/>
  <c r="N454" i="1"/>
  <c r="N466" i="1"/>
  <c r="N478" i="1"/>
  <c r="N490" i="1"/>
  <c r="N502" i="1"/>
  <c r="N514" i="1"/>
  <c r="N526" i="1"/>
  <c r="N538" i="1"/>
  <c r="N10" i="1"/>
  <c r="N23" i="1"/>
  <c r="N35" i="1"/>
  <c r="N47" i="1"/>
  <c r="N59" i="1"/>
  <c r="N71" i="1"/>
  <c r="N83" i="1"/>
  <c r="N95" i="1"/>
  <c r="N107" i="1"/>
  <c r="N119" i="1"/>
  <c r="N131" i="1"/>
  <c r="N143" i="1"/>
  <c r="N155" i="1"/>
  <c r="N167" i="1"/>
  <c r="N179" i="1"/>
  <c r="N191" i="1"/>
  <c r="N203" i="1"/>
  <c r="N215" i="1"/>
  <c r="N227" i="1"/>
  <c r="N239" i="1"/>
  <c r="N252" i="1"/>
  <c r="N264" i="1"/>
  <c r="N276" i="1"/>
  <c r="N288" i="1"/>
  <c r="N300" i="1"/>
  <c r="N312" i="1"/>
  <c r="N323" i="1"/>
  <c r="N335" i="1"/>
  <c r="N347" i="1"/>
  <c r="N359" i="1"/>
  <c r="N371" i="1"/>
  <c r="N383" i="1"/>
  <c r="N395" i="1"/>
  <c r="N407" i="1"/>
  <c r="N419" i="1"/>
  <c r="N431" i="1"/>
  <c r="N443" i="1"/>
  <c r="N455" i="1"/>
  <c r="N467" i="1"/>
  <c r="N479" i="1"/>
  <c r="N491" i="1"/>
  <c r="N503" i="1"/>
  <c r="N515" i="1"/>
  <c r="N527" i="1"/>
  <c r="N539" i="1"/>
  <c r="N11" i="1"/>
  <c r="N24" i="1"/>
  <c r="N36" i="1"/>
  <c r="N48" i="1"/>
  <c r="N60" i="1"/>
  <c r="N72" i="1"/>
  <c r="N84" i="1"/>
  <c r="N96" i="1"/>
  <c r="N108" i="1"/>
  <c r="N120" i="1"/>
  <c r="N132" i="1"/>
  <c r="N144" i="1"/>
  <c r="N156" i="1"/>
  <c r="N168" i="1"/>
  <c r="N180" i="1"/>
  <c r="N192" i="1"/>
  <c r="N204" i="1"/>
  <c r="N216" i="1"/>
  <c r="N228" i="1"/>
  <c r="N241" i="1"/>
  <c r="N253" i="1"/>
  <c r="N265" i="1"/>
  <c r="N277" i="1"/>
  <c r="N289" i="1"/>
  <c r="N301" i="1"/>
  <c r="N313" i="1"/>
  <c r="N324" i="1"/>
  <c r="N336" i="1"/>
  <c r="N348" i="1"/>
  <c r="N360" i="1"/>
  <c r="N372" i="1"/>
  <c r="N384" i="1"/>
  <c r="N396" i="1"/>
  <c r="N408" i="1"/>
  <c r="N420" i="1"/>
  <c r="N432" i="1"/>
  <c r="N444" i="1"/>
  <c r="N456" i="1"/>
  <c r="N468" i="1"/>
  <c r="N480" i="1"/>
  <c r="N492" i="1"/>
  <c r="N504" i="1"/>
  <c r="N516" i="1"/>
  <c r="N528" i="1"/>
  <c r="N540" i="1"/>
  <c r="N12" i="1"/>
  <c r="N25" i="1"/>
  <c r="N37" i="1"/>
  <c r="N49" i="1"/>
  <c r="N61" i="1"/>
  <c r="N73" i="1"/>
  <c r="N85" i="1"/>
  <c r="N97" i="1"/>
  <c r="N109" i="1"/>
  <c r="N121" i="1"/>
  <c r="N133" i="1"/>
  <c r="N145" i="1"/>
  <c r="N157" i="1"/>
  <c r="N169" i="1"/>
  <c r="N181" i="1"/>
  <c r="N193" i="1"/>
  <c r="N205" i="1"/>
  <c r="N217" i="1"/>
  <c r="N229" i="1"/>
  <c r="N242" i="1"/>
  <c r="N254" i="1"/>
  <c r="N266" i="1"/>
  <c r="N278" i="1"/>
  <c r="N290" i="1"/>
  <c r="N302" i="1"/>
  <c r="N314" i="1"/>
  <c r="N325" i="1"/>
  <c r="N337" i="1"/>
  <c r="N349" i="1"/>
  <c r="N361" i="1"/>
  <c r="N373" i="1"/>
  <c r="N385" i="1"/>
  <c r="N397" i="1"/>
  <c r="N409" i="1"/>
  <c r="N421" i="1"/>
  <c r="N433" i="1"/>
  <c r="N445" i="1"/>
  <c r="N457" i="1"/>
  <c r="N469" i="1"/>
  <c r="N481" i="1"/>
  <c r="N493" i="1"/>
  <c r="N505" i="1"/>
  <c r="N517" i="1"/>
  <c r="N529" i="1"/>
  <c r="N541" i="1"/>
  <c r="N13" i="1"/>
  <c r="N26" i="1"/>
  <c r="N38" i="1"/>
  <c r="N50" i="1"/>
  <c r="N62" i="1"/>
  <c r="N74" i="1"/>
  <c r="N86" i="1"/>
  <c r="N98" i="1"/>
  <c r="N110" i="1"/>
  <c r="N122" i="1"/>
  <c r="N134" i="1"/>
  <c r="N146" i="1"/>
  <c r="N158" i="1"/>
  <c r="N170" i="1"/>
  <c r="N182" i="1"/>
  <c r="N194" i="1"/>
  <c r="N206" i="1"/>
  <c r="N218" i="1"/>
  <c r="N230" i="1"/>
  <c r="N243" i="1"/>
  <c r="N255" i="1"/>
  <c r="N267" i="1"/>
  <c r="N279" i="1"/>
  <c r="N291" i="1"/>
  <c r="N303" i="1"/>
  <c r="N315" i="1"/>
  <c r="N240" i="1"/>
  <c r="N338" i="1"/>
  <c r="N350" i="1"/>
  <c r="N362" i="1"/>
  <c r="N374" i="1"/>
  <c r="N386" i="1"/>
  <c r="N398" i="1"/>
  <c r="N410" i="1"/>
  <c r="N422" i="1"/>
  <c r="N434" i="1"/>
  <c r="N446" i="1"/>
  <c r="N458" i="1"/>
  <c r="N470" i="1"/>
  <c r="N482" i="1"/>
  <c r="N494" i="1"/>
  <c r="N506" i="1"/>
  <c r="N518" i="1"/>
  <c r="N530" i="1"/>
  <c r="N542" i="1"/>
  <c r="N21" i="1"/>
  <c r="N45" i="1"/>
  <c r="N69" i="1"/>
  <c r="N93" i="1"/>
  <c r="N117" i="1"/>
  <c r="N141" i="1"/>
  <c r="N165" i="1"/>
  <c r="N189" i="1"/>
  <c r="N213" i="1"/>
  <c r="N237" i="1"/>
  <c r="N262" i="1"/>
  <c r="N286" i="1"/>
  <c r="N310" i="1"/>
  <c r="N333" i="1"/>
  <c r="N357" i="1"/>
  <c r="N381" i="1"/>
  <c r="N405" i="1"/>
  <c r="N429" i="1"/>
  <c r="N453" i="1"/>
  <c r="N477" i="1"/>
  <c r="N501" i="1"/>
  <c r="N525" i="1"/>
  <c r="N81" i="1"/>
  <c r="N201" i="1"/>
  <c r="N321" i="1"/>
  <c r="N441" i="1"/>
  <c r="N135" i="1"/>
  <c r="N375" i="1"/>
  <c r="N519" i="1"/>
  <c r="N16" i="1"/>
  <c r="N184" i="1"/>
  <c r="N305" i="1"/>
  <c r="N472" i="1"/>
  <c r="N89" i="1"/>
  <c r="N161" i="1"/>
  <c r="N209" i="1"/>
  <c r="N329" i="1"/>
  <c r="N449" i="1"/>
  <c r="N521" i="1"/>
  <c r="N27" i="1"/>
  <c r="N51" i="1"/>
  <c r="N75" i="1"/>
  <c r="N99" i="1"/>
  <c r="N123" i="1"/>
  <c r="N147" i="1"/>
  <c r="N171" i="1"/>
  <c r="N195" i="1"/>
  <c r="N219" i="1"/>
  <c r="N244" i="1"/>
  <c r="N268" i="1"/>
  <c r="N292" i="1"/>
  <c r="N326" i="1"/>
  <c r="N339" i="1"/>
  <c r="N363" i="1"/>
  <c r="N387" i="1"/>
  <c r="N411" i="1"/>
  <c r="N435" i="1"/>
  <c r="N459" i="1"/>
  <c r="N483" i="1"/>
  <c r="N507" i="1"/>
  <c r="N531" i="1"/>
  <c r="N105" i="1"/>
  <c r="N225" i="1"/>
  <c r="N345" i="1"/>
  <c r="N537" i="1"/>
  <c r="N63" i="1"/>
  <c r="N327" i="1"/>
  <c r="N543" i="1"/>
  <c r="N64" i="1"/>
  <c r="N400" i="1"/>
  <c r="N41" i="1"/>
  <c r="N137" i="1"/>
  <c r="N306" i="1"/>
  <c r="N425" i="1"/>
  <c r="N28" i="1"/>
  <c r="N52" i="1"/>
  <c r="N76" i="1"/>
  <c r="N100" i="1"/>
  <c r="N124" i="1"/>
  <c r="N148" i="1"/>
  <c r="N172" i="1"/>
  <c r="N196" i="1"/>
  <c r="N220" i="1"/>
  <c r="N245" i="1"/>
  <c r="N269" i="1"/>
  <c r="N293" i="1"/>
  <c r="N316" i="1"/>
  <c r="N340" i="1"/>
  <c r="N364" i="1"/>
  <c r="N388" i="1"/>
  <c r="N412" i="1"/>
  <c r="N436" i="1"/>
  <c r="N460" i="1"/>
  <c r="N484" i="1"/>
  <c r="N508" i="1"/>
  <c r="N532" i="1"/>
  <c r="N57" i="1"/>
  <c r="N177" i="1"/>
  <c r="N298" i="1"/>
  <c r="N417" i="1"/>
  <c r="N513" i="1"/>
  <c r="N256" i="1"/>
  <c r="N208" i="1"/>
  <c r="N352" i="1"/>
  <c r="N520" i="1"/>
  <c r="N4" i="1"/>
  <c r="N29" i="1"/>
  <c r="N53" i="1"/>
  <c r="N77" i="1"/>
  <c r="N101" i="1"/>
  <c r="N125" i="1"/>
  <c r="N149" i="1"/>
  <c r="N173" i="1"/>
  <c r="N197" i="1"/>
  <c r="N221" i="1"/>
  <c r="N246" i="1"/>
  <c r="N270" i="1"/>
  <c r="N294" i="1"/>
  <c r="N317" i="1"/>
  <c r="N341" i="1"/>
  <c r="N365" i="1"/>
  <c r="N389" i="1"/>
  <c r="N413" i="1"/>
  <c r="N437" i="1"/>
  <c r="N461" i="1"/>
  <c r="N485" i="1"/>
  <c r="N509" i="1"/>
  <c r="N533" i="1"/>
  <c r="N8" i="1"/>
  <c r="N129" i="1"/>
  <c r="N250" i="1"/>
  <c r="N369" i="1"/>
  <c r="N465" i="1"/>
  <c r="N87" i="1"/>
  <c r="N280" i="1"/>
  <c r="N112" i="1"/>
  <c r="N232" i="1"/>
  <c r="N281" i="1"/>
  <c r="N376" i="1"/>
  <c r="N544" i="1"/>
  <c r="N65" i="1"/>
  <c r="N185" i="1"/>
  <c r="N282" i="1"/>
  <c r="N353" i="1"/>
  <c r="N473" i="1"/>
  <c r="N5" i="1"/>
  <c r="N30" i="1"/>
  <c r="N54" i="1"/>
  <c r="N78" i="1"/>
  <c r="N102" i="1"/>
  <c r="N126" i="1"/>
  <c r="N150" i="1"/>
  <c r="N174" i="1"/>
  <c r="N198" i="1"/>
  <c r="N222" i="1"/>
  <c r="N247" i="1"/>
  <c r="N271" i="1"/>
  <c r="N295" i="1"/>
  <c r="N318" i="1"/>
  <c r="N342" i="1"/>
  <c r="N366" i="1"/>
  <c r="N390" i="1"/>
  <c r="N414" i="1"/>
  <c r="N438" i="1"/>
  <c r="N462" i="1"/>
  <c r="N486" i="1"/>
  <c r="N510" i="1"/>
  <c r="N534" i="1"/>
  <c r="N33" i="1"/>
  <c r="N153" i="1"/>
  <c r="N274" i="1"/>
  <c r="N393" i="1"/>
  <c r="N489" i="1"/>
  <c r="N183" i="1"/>
  <c r="N399" i="1"/>
  <c r="N40" i="1"/>
  <c r="N160" i="1"/>
  <c r="N257" i="1"/>
  <c r="N328" i="1"/>
  <c r="N448" i="1"/>
  <c r="N6" i="1"/>
  <c r="N31" i="1"/>
  <c r="N55" i="1"/>
  <c r="N79" i="1"/>
  <c r="N103" i="1"/>
  <c r="N127" i="1"/>
  <c r="N151" i="1"/>
  <c r="N175" i="1"/>
  <c r="N199" i="1"/>
  <c r="N223" i="1"/>
  <c r="N248" i="1"/>
  <c r="N272" i="1"/>
  <c r="N296" i="1"/>
  <c r="N319" i="1"/>
  <c r="N343" i="1"/>
  <c r="N367" i="1"/>
  <c r="N391" i="1"/>
  <c r="N415" i="1"/>
  <c r="N439" i="1"/>
  <c r="N463" i="1"/>
  <c r="N487" i="1"/>
  <c r="N511" i="1"/>
  <c r="N535" i="1"/>
  <c r="N39" i="1"/>
  <c r="N159" i="1"/>
  <c r="N231" i="1"/>
  <c r="N351" i="1"/>
  <c r="N447" i="1"/>
  <c r="N495" i="1"/>
  <c r="N136" i="1"/>
  <c r="N496" i="1"/>
  <c r="N15" i="1"/>
  <c r="N111" i="1"/>
  <c r="N207" i="1"/>
  <c r="N304" i="1"/>
  <c r="N423" i="1"/>
  <c r="N471" i="1"/>
  <c r="N88" i="1"/>
  <c r="N424" i="1"/>
  <c r="N17" i="1"/>
  <c r="N113" i="1"/>
  <c r="N233" i="1"/>
  <c r="N377" i="1"/>
  <c r="N545" i="1"/>
  <c r="N42" i="1"/>
  <c r="N186" i="1"/>
  <c r="N308" i="1"/>
  <c r="N450" i="1"/>
  <c r="N499" i="1"/>
  <c r="N139" i="1"/>
  <c r="N162" i="1"/>
  <c r="N43" i="1"/>
  <c r="N187" i="1"/>
  <c r="N330" i="1"/>
  <c r="N451" i="1"/>
  <c r="N18" i="1"/>
  <c r="N163" i="1"/>
  <c r="N66" i="1"/>
  <c r="N210" i="1"/>
  <c r="N331" i="1"/>
  <c r="N474" i="1"/>
  <c r="N259" i="1"/>
  <c r="N401" i="1"/>
  <c r="N260" i="1"/>
  <c r="N283" i="1"/>
  <c r="N403" i="1"/>
  <c r="N19" i="1"/>
  <c r="N67" i="1"/>
  <c r="N211" i="1"/>
  <c r="N354" i="1"/>
  <c r="N475" i="1"/>
  <c r="N258" i="1"/>
  <c r="N522" i="1"/>
  <c r="N138" i="1"/>
  <c r="N523" i="1"/>
  <c r="N284" i="1"/>
  <c r="N427" i="1"/>
  <c r="N90" i="1"/>
  <c r="N234" i="1"/>
  <c r="N355" i="1"/>
  <c r="N497" i="1"/>
  <c r="N114" i="1"/>
  <c r="N115" i="1"/>
  <c r="N402" i="1"/>
  <c r="N546" i="1"/>
  <c r="N426" i="1"/>
  <c r="N307" i="1"/>
  <c r="N91" i="1"/>
  <c r="N235" i="1"/>
  <c r="N378" i="1"/>
  <c r="N498" i="1"/>
  <c r="N379" i="1"/>
  <c r="N547" i="1"/>
  <c r="P18" i="1"/>
  <c r="P30" i="1"/>
  <c r="P42" i="1"/>
  <c r="P54" i="1"/>
  <c r="P66" i="1"/>
  <c r="P78" i="1"/>
  <c r="P90" i="1"/>
  <c r="P102" i="1"/>
  <c r="P114" i="1"/>
  <c r="P126" i="1"/>
  <c r="P138" i="1"/>
  <c r="P150" i="1"/>
  <c r="P162" i="1"/>
  <c r="P174" i="1"/>
  <c r="P186" i="1"/>
  <c r="P198" i="1"/>
  <c r="P210" i="1"/>
  <c r="P222" i="1"/>
  <c r="P234" i="1"/>
  <c r="P247" i="1"/>
  <c r="P259" i="1"/>
  <c r="P271" i="1"/>
  <c r="P283" i="1"/>
  <c r="P295" i="1"/>
  <c r="P307" i="1"/>
  <c r="P318" i="1"/>
  <c r="P330" i="1"/>
  <c r="P342" i="1"/>
  <c r="P354" i="1"/>
  <c r="P366" i="1"/>
  <c r="P378" i="1"/>
  <c r="P390" i="1"/>
  <c r="P402" i="1"/>
  <c r="P414" i="1"/>
  <c r="P426" i="1"/>
  <c r="P438" i="1"/>
  <c r="P450" i="1"/>
  <c r="P462" i="1"/>
  <c r="P474" i="1"/>
  <c r="P486" i="1"/>
  <c r="P498" i="1"/>
  <c r="P510" i="1"/>
  <c r="P522" i="1"/>
  <c r="P534" i="1"/>
  <c r="P546" i="1"/>
  <c r="P7" i="1"/>
  <c r="P19" i="1"/>
  <c r="P31" i="1"/>
  <c r="P43" i="1"/>
  <c r="P55" i="1"/>
  <c r="P67" i="1"/>
  <c r="P79" i="1"/>
  <c r="P91" i="1"/>
  <c r="P103" i="1"/>
  <c r="P115" i="1"/>
  <c r="P127" i="1"/>
  <c r="P139" i="1"/>
  <c r="P151" i="1"/>
  <c r="P163" i="1"/>
  <c r="P175" i="1"/>
  <c r="P187" i="1"/>
  <c r="P199" i="1"/>
  <c r="P211" i="1"/>
  <c r="P223" i="1"/>
  <c r="P235" i="1"/>
  <c r="P248" i="1"/>
  <c r="P260" i="1"/>
  <c r="P272" i="1"/>
  <c r="P284" i="1"/>
  <c r="P296" i="1"/>
  <c r="P308" i="1"/>
  <c r="P319" i="1"/>
  <c r="P331" i="1"/>
  <c r="P343" i="1"/>
  <c r="P355" i="1"/>
  <c r="P367" i="1"/>
  <c r="P379" i="1"/>
  <c r="P391" i="1"/>
  <c r="P403" i="1"/>
  <c r="P415" i="1"/>
  <c r="P427" i="1"/>
  <c r="P439" i="1"/>
  <c r="P451" i="1"/>
  <c r="P463" i="1"/>
  <c r="P9" i="1"/>
  <c r="P21" i="1"/>
  <c r="P33" i="1"/>
  <c r="P45" i="1"/>
  <c r="P57" i="1"/>
  <c r="P69" i="1"/>
  <c r="P81" i="1"/>
  <c r="P93" i="1"/>
  <c r="P105" i="1"/>
  <c r="P117" i="1"/>
  <c r="P129" i="1"/>
  <c r="P141" i="1"/>
  <c r="P153" i="1"/>
  <c r="P165" i="1"/>
  <c r="P177" i="1"/>
  <c r="P189" i="1"/>
  <c r="P201" i="1"/>
  <c r="P213" i="1"/>
  <c r="P225" i="1"/>
  <c r="P237" i="1"/>
  <c r="P10" i="1"/>
  <c r="P22" i="1"/>
  <c r="P34" i="1"/>
  <c r="P46" i="1"/>
  <c r="P58" i="1"/>
  <c r="P70" i="1"/>
  <c r="P82" i="1"/>
  <c r="P94" i="1"/>
  <c r="P106" i="1"/>
  <c r="P11" i="1"/>
  <c r="P23" i="1"/>
  <c r="P35" i="1"/>
  <c r="P47" i="1"/>
  <c r="P59" i="1"/>
  <c r="P71" i="1"/>
  <c r="P83" i="1"/>
  <c r="P15" i="1"/>
  <c r="P37" i="1"/>
  <c r="P56" i="1"/>
  <c r="P76" i="1"/>
  <c r="P97" i="1"/>
  <c r="P113" i="1"/>
  <c r="P131" i="1"/>
  <c r="P146" i="1"/>
  <c r="P161" i="1"/>
  <c r="P179" i="1"/>
  <c r="P194" i="1"/>
  <c r="P209" i="1"/>
  <c r="P227" i="1"/>
  <c r="P243" i="1"/>
  <c r="P257" i="1"/>
  <c r="P273" i="1"/>
  <c r="P287" i="1"/>
  <c r="P301" i="1"/>
  <c r="P315" i="1"/>
  <c r="P328" i="1"/>
  <c r="P344" i="1"/>
  <c r="P358" i="1"/>
  <c r="P372" i="1"/>
  <c r="P386" i="1"/>
  <c r="P400" i="1"/>
  <c r="P416" i="1"/>
  <c r="P430" i="1"/>
  <c r="P444" i="1"/>
  <c r="P458" i="1"/>
  <c r="P472" i="1"/>
  <c r="P485" i="1"/>
  <c r="P499" i="1"/>
  <c r="P512" i="1"/>
  <c r="P525" i="1"/>
  <c r="P538" i="1"/>
  <c r="P17" i="1"/>
  <c r="P39" i="1"/>
  <c r="P61" i="1"/>
  <c r="P80" i="1"/>
  <c r="P99" i="1"/>
  <c r="P118" i="1"/>
  <c r="P133" i="1"/>
  <c r="P148" i="1"/>
  <c r="P166" i="1"/>
  <c r="P181" i="1"/>
  <c r="P196" i="1"/>
  <c r="P214" i="1"/>
  <c r="P229" i="1"/>
  <c r="P245" i="1"/>
  <c r="P261" i="1"/>
  <c r="P275" i="1"/>
  <c r="P289" i="1"/>
  <c r="P303" i="1"/>
  <c r="P316" i="1"/>
  <c r="P332" i="1"/>
  <c r="P346" i="1"/>
  <c r="P360" i="1"/>
  <c r="P374" i="1"/>
  <c r="P388" i="1"/>
  <c r="P404" i="1"/>
  <c r="P418" i="1"/>
  <c r="P432" i="1"/>
  <c r="P446" i="1"/>
  <c r="P460" i="1"/>
  <c r="P475" i="1"/>
  <c r="P488" i="1"/>
  <c r="P501" i="1"/>
  <c r="P514" i="1"/>
  <c r="P527" i="1"/>
  <c r="P540" i="1"/>
  <c r="P20" i="1"/>
  <c r="P40" i="1"/>
  <c r="P62" i="1"/>
  <c r="P84" i="1"/>
  <c r="P100" i="1"/>
  <c r="P119" i="1"/>
  <c r="P134" i="1"/>
  <c r="P149" i="1"/>
  <c r="P167" i="1"/>
  <c r="P182" i="1"/>
  <c r="P197" i="1"/>
  <c r="P215" i="1"/>
  <c r="P230" i="1"/>
  <c r="P246" i="1"/>
  <c r="P262" i="1"/>
  <c r="P276" i="1"/>
  <c r="P290" i="1"/>
  <c r="P304" i="1"/>
  <c r="P317" i="1"/>
  <c r="P333" i="1"/>
  <c r="P347" i="1"/>
  <c r="P361" i="1"/>
  <c r="P375" i="1"/>
  <c r="P389" i="1"/>
  <c r="P405" i="1"/>
  <c r="P419" i="1"/>
  <c r="P433" i="1"/>
  <c r="P447" i="1"/>
  <c r="P461" i="1"/>
  <c r="P476" i="1"/>
  <c r="P489" i="1"/>
  <c r="P502" i="1"/>
  <c r="P515" i="1"/>
  <c r="P528" i="1"/>
  <c r="P541" i="1"/>
  <c r="P24" i="1"/>
  <c r="P41" i="1"/>
  <c r="P63" i="1"/>
  <c r="P85" i="1"/>
  <c r="P101" i="1"/>
  <c r="P120" i="1"/>
  <c r="P135" i="1"/>
  <c r="P152" i="1"/>
  <c r="P168" i="1"/>
  <c r="P183" i="1"/>
  <c r="P200" i="1"/>
  <c r="P216" i="1"/>
  <c r="P231" i="1"/>
  <c r="P249" i="1"/>
  <c r="P263" i="1"/>
  <c r="P277" i="1"/>
  <c r="P291" i="1"/>
  <c r="P305" i="1"/>
  <c r="P320" i="1"/>
  <c r="P334" i="1"/>
  <c r="P348" i="1"/>
  <c r="P362" i="1"/>
  <c r="P376" i="1"/>
  <c r="P392" i="1"/>
  <c r="P406" i="1"/>
  <c r="P420" i="1"/>
  <c r="P434" i="1"/>
  <c r="P448" i="1"/>
  <c r="P464" i="1"/>
  <c r="P477" i="1"/>
  <c r="P490" i="1"/>
  <c r="P503" i="1"/>
  <c r="P516" i="1"/>
  <c r="P529" i="1"/>
  <c r="P542" i="1"/>
  <c r="P25" i="1"/>
  <c r="P44" i="1"/>
  <c r="P64" i="1"/>
  <c r="P86" i="1"/>
  <c r="P104" i="1"/>
  <c r="P121" i="1"/>
  <c r="P136" i="1"/>
  <c r="P154" i="1"/>
  <c r="P169" i="1"/>
  <c r="P184" i="1"/>
  <c r="P202" i="1"/>
  <c r="P217" i="1"/>
  <c r="P232" i="1"/>
  <c r="P250" i="1"/>
  <c r="P264" i="1"/>
  <c r="P278" i="1"/>
  <c r="P292" i="1"/>
  <c r="P306" i="1"/>
  <c r="P321" i="1"/>
  <c r="P335" i="1"/>
  <c r="P349" i="1"/>
  <c r="P363" i="1"/>
  <c r="P377" i="1"/>
  <c r="P393" i="1"/>
  <c r="P407" i="1"/>
  <c r="P421" i="1"/>
  <c r="P435" i="1"/>
  <c r="P449" i="1"/>
  <c r="P465" i="1"/>
  <c r="P478" i="1"/>
  <c r="P491" i="1"/>
  <c r="P504" i="1"/>
  <c r="P517" i="1"/>
  <c r="P530" i="1"/>
  <c r="P543" i="1"/>
  <c r="P26" i="1"/>
  <c r="P48" i="1"/>
  <c r="P65" i="1"/>
  <c r="P87" i="1"/>
  <c r="P107" i="1"/>
  <c r="P122" i="1"/>
  <c r="P137" i="1"/>
  <c r="P155" i="1"/>
  <c r="P170" i="1"/>
  <c r="P185" i="1"/>
  <c r="P203" i="1"/>
  <c r="P218" i="1"/>
  <c r="P233" i="1"/>
  <c r="P251" i="1"/>
  <c r="P265" i="1"/>
  <c r="P279" i="1"/>
  <c r="P293" i="1"/>
  <c r="P309" i="1"/>
  <c r="P322" i="1"/>
  <c r="P336" i="1"/>
  <c r="P350" i="1"/>
  <c r="P364" i="1"/>
  <c r="P380" i="1"/>
  <c r="P394" i="1"/>
  <c r="P408" i="1"/>
  <c r="P422" i="1"/>
  <c r="P436" i="1"/>
  <c r="P452" i="1"/>
  <c r="P466" i="1"/>
  <c r="P479" i="1"/>
  <c r="P492" i="1"/>
  <c r="P505" i="1"/>
  <c r="P518" i="1"/>
  <c r="P531" i="1"/>
  <c r="P544" i="1"/>
  <c r="P16" i="1"/>
  <c r="P60" i="1"/>
  <c r="P98" i="1"/>
  <c r="P132" i="1"/>
  <c r="P164" i="1"/>
  <c r="P195" i="1"/>
  <c r="P228" i="1"/>
  <c r="P258" i="1"/>
  <c r="P288" i="1"/>
  <c r="P326" i="1"/>
  <c r="P345" i="1"/>
  <c r="P373" i="1"/>
  <c r="P401" i="1"/>
  <c r="P431" i="1"/>
  <c r="P459" i="1"/>
  <c r="P487" i="1"/>
  <c r="P513" i="1"/>
  <c r="P539" i="1"/>
  <c r="P212" i="1"/>
  <c r="P445" i="1"/>
  <c r="P423" i="1"/>
  <c r="P50" i="1"/>
  <c r="P338" i="1"/>
  <c r="P191" i="1"/>
  <c r="P369" i="1"/>
  <c r="P535" i="1"/>
  <c r="P27" i="1"/>
  <c r="P68" i="1"/>
  <c r="P108" i="1"/>
  <c r="P140" i="1"/>
  <c r="P171" i="1"/>
  <c r="P204" i="1"/>
  <c r="P236" i="1"/>
  <c r="P266" i="1"/>
  <c r="P294" i="1"/>
  <c r="P323" i="1"/>
  <c r="P351" i="1"/>
  <c r="P381" i="1"/>
  <c r="P409" i="1"/>
  <c r="P437" i="1"/>
  <c r="P467" i="1"/>
  <c r="P493" i="1"/>
  <c r="P519" i="1"/>
  <c r="P545" i="1"/>
  <c r="P116" i="1"/>
  <c r="P274" i="1"/>
  <c r="P387" i="1"/>
  <c r="P526" i="1"/>
  <c r="P310" i="1"/>
  <c r="P190" i="1"/>
  <c r="P12" i="1"/>
  <c r="P125" i="1"/>
  <c r="P158" i="1"/>
  <c r="P221" i="1"/>
  <c r="P282" i="1"/>
  <c r="P312" i="1"/>
  <c r="P425" i="1"/>
  <c r="P508" i="1"/>
  <c r="P28" i="1"/>
  <c r="P72" i="1"/>
  <c r="P109" i="1"/>
  <c r="P142" i="1"/>
  <c r="P172" i="1"/>
  <c r="P205" i="1"/>
  <c r="P238" i="1"/>
  <c r="P267" i="1"/>
  <c r="P297" i="1"/>
  <c r="P324" i="1"/>
  <c r="P352" i="1"/>
  <c r="P382" i="1"/>
  <c r="P410" i="1"/>
  <c r="P440" i="1"/>
  <c r="P468" i="1"/>
  <c r="P494" i="1"/>
  <c r="P520" i="1"/>
  <c r="P547" i="1"/>
  <c r="P180" i="1"/>
  <c r="P417" i="1"/>
  <c r="P156" i="1"/>
  <c r="P532" i="1"/>
  <c r="P8" i="1"/>
  <c r="P311" i="1"/>
  <c r="P507" i="1"/>
  <c r="P29" i="1"/>
  <c r="P73" i="1"/>
  <c r="P110" i="1"/>
  <c r="P143" i="1"/>
  <c r="P173" i="1"/>
  <c r="P206" i="1"/>
  <c r="P239" i="1"/>
  <c r="P268" i="1"/>
  <c r="P298" i="1"/>
  <c r="P325" i="1"/>
  <c r="P353" i="1"/>
  <c r="P383" i="1"/>
  <c r="P411" i="1"/>
  <c r="P441" i="1"/>
  <c r="P469" i="1"/>
  <c r="P495" i="1"/>
  <c r="P521" i="1"/>
  <c r="P77" i="1"/>
  <c r="P244" i="1"/>
  <c r="P329" i="1"/>
  <c r="P473" i="1"/>
  <c r="P88" i="1"/>
  <c r="P395" i="1"/>
  <c r="P157" i="1"/>
  <c r="P281" i="1"/>
  <c r="P396" i="1"/>
  <c r="P454" i="1"/>
  <c r="P533" i="1"/>
  <c r="P92" i="1"/>
  <c r="P339" i="1"/>
  <c r="P482" i="1"/>
  <c r="P32" i="1"/>
  <c r="P74" i="1"/>
  <c r="P111" i="1"/>
  <c r="P144" i="1"/>
  <c r="P176" i="1"/>
  <c r="P207" i="1"/>
  <c r="P241" i="1"/>
  <c r="P269" i="1"/>
  <c r="P299" i="1"/>
  <c r="P240" i="1"/>
  <c r="P356" i="1"/>
  <c r="P384" i="1"/>
  <c r="P412" i="1"/>
  <c r="P442" i="1"/>
  <c r="P470" i="1"/>
  <c r="P496" i="1"/>
  <c r="P523" i="1"/>
  <c r="P38" i="1"/>
  <c r="P147" i="1"/>
  <c r="P302" i="1"/>
  <c r="P359" i="1"/>
  <c r="P500" i="1"/>
  <c r="P188" i="1"/>
  <c r="P506" i="1"/>
  <c r="P124" i="1"/>
  <c r="P220" i="1"/>
  <c r="P368" i="1"/>
  <c r="P424" i="1"/>
  <c r="P481" i="1"/>
  <c r="P36" i="1"/>
  <c r="P75" i="1"/>
  <c r="P112" i="1"/>
  <c r="P145" i="1"/>
  <c r="P178" i="1"/>
  <c r="P208" i="1"/>
  <c r="P242" i="1"/>
  <c r="P270" i="1"/>
  <c r="P300" i="1"/>
  <c r="P327" i="1"/>
  <c r="P357" i="1"/>
  <c r="P385" i="1"/>
  <c r="P413" i="1"/>
  <c r="P443" i="1"/>
  <c r="P471" i="1"/>
  <c r="P497" i="1"/>
  <c r="P524" i="1"/>
  <c r="P123" i="1"/>
  <c r="P252" i="1"/>
  <c r="P337" i="1"/>
  <c r="P453" i="1"/>
  <c r="P253" i="1"/>
  <c r="P49" i="1"/>
  <c r="P219" i="1"/>
  <c r="P280" i="1"/>
  <c r="P365" i="1"/>
  <c r="P480" i="1"/>
  <c r="P89" i="1"/>
  <c r="P51" i="1"/>
  <c r="P254" i="1"/>
  <c r="P397" i="1"/>
  <c r="P455" i="1"/>
  <c r="P52" i="1"/>
  <c r="P255" i="1"/>
  <c r="P428" i="1"/>
  <c r="P159" i="1"/>
  <c r="P224" i="1"/>
  <c r="P53" i="1"/>
  <c r="P256" i="1"/>
  <c r="P429" i="1"/>
  <c r="P340" i="1"/>
  <c r="P341" i="1"/>
  <c r="P14" i="1"/>
  <c r="P95" i="1"/>
  <c r="P285" i="1"/>
  <c r="P456" i="1"/>
  <c r="P509" i="1"/>
  <c r="P160" i="1"/>
  <c r="P536" i="1"/>
  <c r="P193" i="1"/>
  <c r="P96" i="1"/>
  <c r="P286" i="1"/>
  <c r="P457" i="1"/>
  <c r="P511" i="1"/>
  <c r="P370" i="1"/>
  <c r="P371" i="1"/>
  <c r="P399" i="1"/>
  <c r="P128" i="1"/>
  <c r="P313" i="1"/>
  <c r="P483" i="1"/>
  <c r="P192" i="1"/>
  <c r="P537" i="1"/>
  <c r="P226" i="1"/>
  <c r="P130" i="1"/>
  <c r="P314" i="1"/>
  <c r="P484" i="1"/>
  <c r="P13" i="1"/>
  <c r="P398" i="1"/>
  <c r="L3" i="1"/>
  <c r="L15" i="1"/>
  <c r="L27" i="1"/>
  <c r="L39" i="1"/>
  <c r="L51" i="1"/>
  <c r="L63" i="1"/>
  <c r="L75" i="1"/>
  <c r="L87" i="1"/>
  <c r="L99" i="1"/>
  <c r="L111" i="1"/>
  <c r="L123" i="1"/>
  <c r="L135" i="1"/>
  <c r="L147" i="1"/>
  <c r="L159" i="1"/>
  <c r="L171" i="1"/>
  <c r="L183" i="1"/>
  <c r="L195" i="1"/>
  <c r="L207" i="1"/>
  <c r="L219" i="1"/>
  <c r="L231" i="1"/>
  <c r="L244" i="1"/>
  <c r="L256" i="1"/>
  <c r="L268" i="1"/>
  <c r="L280" i="1"/>
  <c r="L292" i="1"/>
  <c r="L304" i="1"/>
  <c r="L326" i="1"/>
  <c r="L327" i="1"/>
  <c r="L339" i="1"/>
  <c r="L351" i="1"/>
  <c r="L363" i="1"/>
  <c r="L375" i="1"/>
  <c r="L387" i="1"/>
  <c r="L399" i="1"/>
  <c r="L411" i="1"/>
  <c r="L423" i="1"/>
  <c r="L435" i="1"/>
  <c r="L447" i="1"/>
  <c r="L459" i="1"/>
  <c r="L471" i="1"/>
  <c r="L483" i="1"/>
  <c r="L495" i="1"/>
  <c r="L507" i="1"/>
  <c r="L519" i="1"/>
  <c r="L531" i="1"/>
  <c r="L543" i="1"/>
  <c r="L5" i="1"/>
  <c r="L17" i="1"/>
  <c r="L29" i="1"/>
  <c r="L41" i="1"/>
  <c r="L53" i="1"/>
  <c r="L65" i="1"/>
  <c r="L77" i="1"/>
  <c r="L89" i="1"/>
  <c r="L101" i="1"/>
  <c r="L113" i="1"/>
  <c r="L125" i="1"/>
  <c r="L137" i="1"/>
  <c r="L149" i="1"/>
  <c r="L161" i="1"/>
  <c r="L173" i="1"/>
  <c r="L185" i="1"/>
  <c r="L197" i="1"/>
  <c r="L209" i="1"/>
  <c r="L221" i="1"/>
  <c r="L233" i="1"/>
  <c r="L246" i="1"/>
  <c r="L258" i="1"/>
  <c r="L270" i="1"/>
  <c r="L282" i="1"/>
  <c r="L294" i="1"/>
  <c r="L306" i="1"/>
  <c r="L317" i="1"/>
  <c r="L329" i="1"/>
  <c r="L341" i="1"/>
  <c r="L353" i="1"/>
  <c r="L365" i="1"/>
  <c r="L377" i="1"/>
  <c r="L389" i="1"/>
  <c r="L401" i="1"/>
  <c r="L413" i="1"/>
  <c r="L425" i="1"/>
  <c r="L437" i="1"/>
  <c r="L449" i="1"/>
  <c r="L461" i="1"/>
  <c r="L473" i="1"/>
  <c r="L485" i="1"/>
  <c r="L497" i="1"/>
  <c r="L509" i="1"/>
  <c r="L521" i="1"/>
  <c r="L533" i="1"/>
  <c r="L545" i="1"/>
  <c r="L6" i="1"/>
  <c r="L18" i="1"/>
  <c r="L30" i="1"/>
  <c r="L42" i="1"/>
  <c r="L54" i="1"/>
  <c r="L66" i="1"/>
  <c r="L78" i="1"/>
  <c r="L90" i="1"/>
  <c r="L102" i="1"/>
  <c r="L114" i="1"/>
  <c r="L126" i="1"/>
  <c r="L138" i="1"/>
  <c r="L150" i="1"/>
  <c r="L162" i="1"/>
  <c r="L174" i="1"/>
  <c r="L186" i="1"/>
  <c r="L198" i="1"/>
  <c r="L210" i="1"/>
  <c r="L222" i="1"/>
  <c r="L234" i="1"/>
  <c r="L247" i="1"/>
  <c r="L259" i="1"/>
  <c r="L271" i="1"/>
  <c r="L283" i="1"/>
  <c r="L295" i="1"/>
  <c r="L307" i="1"/>
  <c r="L318" i="1"/>
  <c r="L330" i="1"/>
  <c r="L342" i="1"/>
  <c r="L354" i="1"/>
  <c r="L366" i="1"/>
  <c r="L378" i="1"/>
  <c r="L390" i="1"/>
  <c r="L402" i="1"/>
  <c r="L414" i="1"/>
  <c r="L426" i="1"/>
  <c r="L438" i="1"/>
  <c r="L450" i="1"/>
  <c r="L462" i="1"/>
  <c r="L474" i="1"/>
  <c r="L486" i="1"/>
  <c r="L498" i="1"/>
  <c r="L510" i="1"/>
  <c r="L522" i="1"/>
  <c r="L534" i="1"/>
  <c r="L546" i="1"/>
  <c r="L7" i="1"/>
  <c r="L19" i="1"/>
  <c r="L31" i="1"/>
  <c r="L43" i="1"/>
  <c r="L55" i="1"/>
  <c r="L67" i="1"/>
  <c r="L79" i="1"/>
  <c r="L91" i="1"/>
  <c r="L103" i="1"/>
  <c r="L115" i="1"/>
  <c r="L127" i="1"/>
  <c r="L139" i="1"/>
  <c r="L151" i="1"/>
  <c r="L163" i="1"/>
  <c r="L175" i="1"/>
  <c r="L187" i="1"/>
  <c r="L199" i="1"/>
  <c r="L211" i="1"/>
  <c r="L223" i="1"/>
  <c r="L235" i="1"/>
  <c r="L248" i="1"/>
  <c r="L260" i="1"/>
  <c r="L272" i="1"/>
  <c r="L284" i="1"/>
  <c r="L296" i="1"/>
  <c r="L8" i="1"/>
  <c r="L20" i="1"/>
  <c r="L32" i="1"/>
  <c r="L44" i="1"/>
  <c r="L56" i="1"/>
  <c r="L68" i="1"/>
  <c r="L80" i="1"/>
  <c r="L92" i="1"/>
  <c r="L104" i="1"/>
  <c r="L116" i="1"/>
  <c r="L128" i="1"/>
  <c r="L140" i="1"/>
  <c r="L152" i="1"/>
  <c r="L164" i="1"/>
  <c r="L176" i="1"/>
  <c r="L188" i="1"/>
  <c r="L200" i="1"/>
  <c r="L212" i="1"/>
  <c r="L224" i="1"/>
  <c r="L236" i="1"/>
  <c r="L249" i="1"/>
  <c r="L261" i="1"/>
  <c r="L273" i="1"/>
  <c r="L285" i="1"/>
  <c r="L297" i="1"/>
  <c r="L309" i="1"/>
  <c r="L320" i="1"/>
  <c r="L332" i="1"/>
  <c r="L344" i="1"/>
  <c r="L356" i="1"/>
  <c r="L368" i="1"/>
  <c r="L380" i="1"/>
  <c r="L392" i="1"/>
  <c r="L404" i="1"/>
  <c r="L416" i="1"/>
  <c r="L428" i="1"/>
  <c r="L440" i="1"/>
  <c r="L452" i="1"/>
  <c r="L464" i="1"/>
  <c r="L476" i="1"/>
  <c r="L488" i="1"/>
  <c r="L500" i="1"/>
  <c r="L512" i="1"/>
  <c r="L524" i="1"/>
  <c r="L536" i="1"/>
  <c r="L9" i="1"/>
  <c r="L21" i="1"/>
  <c r="L33" i="1"/>
  <c r="L45" i="1"/>
  <c r="L57" i="1"/>
  <c r="L69" i="1"/>
  <c r="L81" i="1"/>
  <c r="L93" i="1"/>
  <c r="L105" i="1"/>
  <c r="L117" i="1"/>
  <c r="L129" i="1"/>
  <c r="L141" i="1"/>
  <c r="L153" i="1"/>
  <c r="L165" i="1"/>
  <c r="L177" i="1"/>
  <c r="L189" i="1"/>
  <c r="L201" i="1"/>
  <c r="L213" i="1"/>
  <c r="L225" i="1"/>
  <c r="L237" i="1"/>
  <c r="L250" i="1"/>
  <c r="L262" i="1"/>
  <c r="L274" i="1"/>
  <c r="L286" i="1"/>
  <c r="L298" i="1"/>
  <c r="L310" i="1"/>
  <c r="L321" i="1"/>
  <c r="L333" i="1"/>
  <c r="L345" i="1"/>
  <c r="L357" i="1"/>
  <c r="L369" i="1"/>
  <c r="L381" i="1"/>
  <c r="L393" i="1"/>
  <c r="L4" i="1"/>
  <c r="L28" i="1"/>
  <c r="L52" i="1"/>
  <c r="L76" i="1"/>
  <c r="L100" i="1"/>
  <c r="L124" i="1"/>
  <c r="L148" i="1"/>
  <c r="L172" i="1"/>
  <c r="L196" i="1"/>
  <c r="L220" i="1"/>
  <c r="L245" i="1"/>
  <c r="L269" i="1"/>
  <c r="L293" i="1"/>
  <c r="L315" i="1"/>
  <c r="L336" i="1"/>
  <c r="L358" i="1"/>
  <c r="L376" i="1"/>
  <c r="L397" i="1"/>
  <c r="L417" i="1"/>
  <c r="L433" i="1"/>
  <c r="L453" i="1"/>
  <c r="L469" i="1"/>
  <c r="L489" i="1"/>
  <c r="L505" i="1"/>
  <c r="L525" i="1"/>
  <c r="L541" i="1"/>
  <c r="L64" i="1"/>
  <c r="L208" i="1"/>
  <c r="L367" i="1"/>
  <c r="L496" i="1"/>
  <c r="L238" i="1"/>
  <c r="L427" i="1"/>
  <c r="L95" i="1"/>
  <c r="L264" i="1"/>
  <c r="L409" i="1"/>
  <c r="L48" i="1"/>
  <c r="L96" i="1"/>
  <c r="L168" i="1"/>
  <c r="L216" i="1"/>
  <c r="L10" i="1"/>
  <c r="L34" i="1"/>
  <c r="L58" i="1"/>
  <c r="L82" i="1"/>
  <c r="L106" i="1"/>
  <c r="L130" i="1"/>
  <c r="L154" i="1"/>
  <c r="L178" i="1"/>
  <c r="L202" i="1"/>
  <c r="L226" i="1"/>
  <c r="L251" i="1"/>
  <c r="L275" i="1"/>
  <c r="L299" i="1"/>
  <c r="L316" i="1"/>
  <c r="L337" i="1"/>
  <c r="L359" i="1"/>
  <c r="L379" i="1"/>
  <c r="L398" i="1"/>
  <c r="L418" i="1"/>
  <c r="L434" i="1"/>
  <c r="L454" i="1"/>
  <c r="L470" i="1"/>
  <c r="L490" i="1"/>
  <c r="L506" i="1"/>
  <c r="L526" i="1"/>
  <c r="L542" i="1"/>
  <c r="L184" i="1"/>
  <c r="L325" i="1"/>
  <c r="L443" i="1"/>
  <c r="L515" i="1"/>
  <c r="L214" i="1"/>
  <c r="L408" i="1"/>
  <c r="L71" i="1"/>
  <c r="L311" i="1"/>
  <c r="L429" i="1"/>
  <c r="L24" i="1"/>
  <c r="L144" i="1"/>
  <c r="L241" i="1"/>
  <c r="L11" i="1"/>
  <c r="L35" i="1"/>
  <c r="L59" i="1"/>
  <c r="L83" i="1"/>
  <c r="L107" i="1"/>
  <c r="L131" i="1"/>
  <c r="L155" i="1"/>
  <c r="L179" i="1"/>
  <c r="L203" i="1"/>
  <c r="L227" i="1"/>
  <c r="L252" i="1"/>
  <c r="L276" i="1"/>
  <c r="L300" i="1"/>
  <c r="L319" i="1"/>
  <c r="L338" i="1"/>
  <c r="L360" i="1"/>
  <c r="L382" i="1"/>
  <c r="L400" i="1"/>
  <c r="L419" i="1"/>
  <c r="L436" i="1"/>
  <c r="L455" i="1"/>
  <c r="L472" i="1"/>
  <c r="L491" i="1"/>
  <c r="L508" i="1"/>
  <c r="L527" i="1"/>
  <c r="L544" i="1"/>
  <c r="L112" i="1"/>
  <c r="L232" i="1"/>
  <c r="L347" i="1"/>
  <c r="L407" i="1"/>
  <c r="L479" i="1"/>
  <c r="L46" i="1"/>
  <c r="L348" i="1"/>
  <c r="L535" i="1"/>
  <c r="L143" i="1"/>
  <c r="L288" i="1"/>
  <c r="L445" i="1"/>
  <c r="L12" i="1"/>
  <c r="L36" i="1"/>
  <c r="L60" i="1"/>
  <c r="L84" i="1"/>
  <c r="L108" i="1"/>
  <c r="L132" i="1"/>
  <c r="L156" i="1"/>
  <c r="L180" i="1"/>
  <c r="L204" i="1"/>
  <c r="L228" i="1"/>
  <c r="L253" i="1"/>
  <c r="L277" i="1"/>
  <c r="L301" i="1"/>
  <c r="L322" i="1"/>
  <c r="L340" i="1"/>
  <c r="L361" i="1"/>
  <c r="L383" i="1"/>
  <c r="L403" i="1"/>
  <c r="L420" i="1"/>
  <c r="L439" i="1"/>
  <c r="L456" i="1"/>
  <c r="L475" i="1"/>
  <c r="L492" i="1"/>
  <c r="L511" i="1"/>
  <c r="L528" i="1"/>
  <c r="L547" i="1"/>
  <c r="L16" i="1"/>
  <c r="L160" i="1"/>
  <c r="L281" i="1"/>
  <c r="L424" i="1"/>
  <c r="L94" i="1"/>
  <c r="L240" i="1"/>
  <c r="L499" i="1"/>
  <c r="L47" i="1"/>
  <c r="L191" i="1"/>
  <c r="L349" i="1"/>
  <c r="L465" i="1"/>
  <c r="L72" i="1"/>
  <c r="L192" i="1"/>
  <c r="L13" i="1"/>
  <c r="L37" i="1"/>
  <c r="L61" i="1"/>
  <c r="L85" i="1"/>
  <c r="L109" i="1"/>
  <c r="L133" i="1"/>
  <c r="L157" i="1"/>
  <c r="L181" i="1"/>
  <c r="L205" i="1"/>
  <c r="L229" i="1"/>
  <c r="L254" i="1"/>
  <c r="L278" i="1"/>
  <c r="L302" i="1"/>
  <c r="L323" i="1"/>
  <c r="L343" i="1"/>
  <c r="L362" i="1"/>
  <c r="L384" i="1"/>
  <c r="L405" i="1"/>
  <c r="L421" i="1"/>
  <c r="L441" i="1"/>
  <c r="L457" i="1"/>
  <c r="L477" i="1"/>
  <c r="L493" i="1"/>
  <c r="L513" i="1"/>
  <c r="L529" i="1"/>
  <c r="L40" i="1"/>
  <c r="L136" i="1"/>
  <c r="L257" i="1"/>
  <c r="L305" i="1"/>
  <c r="L386" i="1"/>
  <c r="L460" i="1"/>
  <c r="L532" i="1"/>
  <c r="L70" i="1"/>
  <c r="L308" i="1"/>
  <c r="L480" i="1"/>
  <c r="L23" i="1"/>
  <c r="L119" i="1"/>
  <c r="L215" i="1"/>
  <c r="L328" i="1"/>
  <c r="L501" i="1"/>
  <c r="L14" i="1"/>
  <c r="L38" i="1"/>
  <c r="L62" i="1"/>
  <c r="L86" i="1"/>
  <c r="L110" i="1"/>
  <c r="L134" i="1"/>
  <c r="L158" i="1"/>
  <c r="L182" i="1"/>
  <c r="L206" i="1"/>
  <c r="L230" i="1"/>
  <c r="L255" i="1"/>
  <c r="L279" i="1"/>
  <c r="L303" i="1"/>
  <c r="L324" i="1"/>
  <c r="L346" i="1"/>
  <c r="L364" i="1"/>
  <c r="L385" i="1"/>
  <c r="L406" i="1"/>
  <c r="L422" i="1"/>
  <c r="L442" i="1"/>
  <c r="L458" i="1"/>
  <c r="L478" i="1"/>
  <c r="L494" i="1"/>
  <c r="L514" i="1"/>
  <c r="L530" i="1"/>
  <c r="L118" i="1"/>
  <c r="L166" i="1"/>
  <c r="L263" i="1"/>
  <c r="L370" i="1"/>
  <c r="L463" i="1"/>
  <c r="L239" i="1"/>
  <c r="L391" i="1"/>
  <c r="L517" i="1"/>
  <c r="L88" i="1"/>
  <c r="L22" i="1"/>
  <c r="L142" i="1"/>
  <c r="L190" i="1"/>
  <c r="L287" i="1"/>
  <c r="L388" i="1"/>
  <c r="L444" i="1"/>
  <c r="L516" i="1"/>
  <c r="L167" i="1"/>
  <c r="L371" i="1"/>
  <c r="L481" i="1"/>
  <c r="L537" i="1"/>
  <c r="L120" i="1"/>
  <c r="L26" i="1"/>
  <c r="L170" i="1"/>
  <c r="L291" i="1"/>
  <c r="L374" i="1"/>
  <c r="L451" i="1"/>
  <c r="L523" i="1"/>
  <c r="L415" i="1"/>
  <c r="L289" i="1"/>
  <c r="L25" i="1"/>
  <c r="L49" i="1"/>
  <c r="L193" i="1"/>
  <c r="L312" i="1"/>
  <c r="L394" i="1"/>
  <c r="L466" i="1"/>
  <c r="L538" i="1"/>
  <c r="L98" i="1"/>
  <c r="L267" i="1"/>
  <c r="L146" i="1"/>
  <c r="L290" i="1"/>
  <c r="L50" i="1"/>
  <c r="L194" i="1"/>
  <c r="L313" i="1"/>
  <c r="L395" i="1"/>
  <c r="L467" i="1"/>
  <c r="L539" i="1"/>
  <c r="L243" i="1"/>
  <c r="L121" i="1"/>
  <c r="L430" i="1"/>
  <c r="L266" i="1"/>
  <c r="L503" i="1"/>
  <c r="L432" i="1"/>
  <c r="L73" i="1"/>
  <c r="L217" i="1"/>
  <c r="L314" i="1"/>
  <c r="L396" i="1"/>
  <c r="L468" i="1"/>
  <c r="L540" i="1"/>
  <c r="L335" i="1"/>
  <c r="L502" i="1"/>
  <c r="L352" i="1"/>
  <c r="L145" i="1"/>
  <c r="L372" i="1"/>
  <c r="L448" i="1"/>
  <c r="L74" i="1"/>
  <c r="L218" i="1"/>
  <c r="L331" i="1"/>
  <c r="L410" i="1"/>
  <c r="L482" i="1"/>
  <c r="L487" i="1"/>
  <c r="L265" i="1"/>
  <c r="L431" i="1"/>
  <c r="L504" i="1"/>
  <c r="L518" i="1"/>
  <c r="L373" i="1"/>
  <c r="L520" i="1"/>
  <c r="L97" i="1"/>
  <c r="L242" i="1"/>
  <c r="L334" i="1"/>
  <c r="L412" i="1"/>
  <c r="L484" i="1"/>
  <c r="L350" i="1"/>
  <c r="L122" i="1"/>
  <c r="L355" i="1"/>
  <c r="L446" i="1"/>
  <c r="L169" i="1"/>
  <c r="R16" i="1"/>
  <c r="R28" i="1"/>
  <c r="R40" i="1"/>
  <c r="R52" i="1"/>
  <c r="R64" i="1"/>
  <c r="R76" i="1"/>
  <c r="R88" i="1"/>
  <c r="R100" i="1"/>
  <c r="R112" i="1"/>
  <c r="R124" i="1"/>
  <c r="R136" i="1"/>
  <c r="R148" i="1"/>
  <c r="R160" i="1"/>
  <c r="R172" i="1"/>
  <c r="R184" i="1"/>
  <c r="R196" i="1"/>
  <c r="R208" i="1"/>
  <c r="R220" i="1"/>
  <c r="R232" i="1"/>
  <c r="R245" i="1"/>
  <c r="R257" i="1"/>
  <c r="R269" i="1"/>
  <c r="R281" i="1"/>
  <c r="R293" i="1"/>
  <c r="R305" i="1"/>
  <c r="R316" i="1"/>
  <c r="R328" i="1"/>
  <c r="R340" i="1"/>
  <c r="R352" i="1"/>
  <c r="R7" i="1"/>
  <c r="R19" i="1"/>
  <c r="R31" i="1"/>
  <c r="R43" i="1"/>
  <c r="R55" i="1"/>
  <c r="R67" i="1"/>
  <c r="R79" i="1"/>
  <c r="R91" i="1"/>
  <c r="R103" i="1"/>
  <c r="R115" i="1"/>
  <c r="R127" i="1"/>
  <c r="R139" i="1"/>
  <c r="R151" i="1"/>
  <c r="R163" i="1"/>
  <c r="R175" i="1"/>
  <c r="R187" i="1"/>
  <c r="R199" i="1"/>
  <c r="R211" i="1"/>
  <c r="R223" i="1"/>
  <c r="R235" i="1"/>
  <c r="R248" i="1"/>
  <c r="R260" i="1"/>
  <c r="R272" i="1"/>
  <c r="R284" i="1"/>
  <c r="R296" i="1"/>
  <c r="R308" i="1"/>
  <c r="R319" i="1"/>
  <c r="R331" i="1"/>
  <c r="R343" i="1"/>
  <c r="R10" i="1"/>
  <c r="R24" i="1"/>
  <c r="R38" i="1"/>
  <c r="R53" i="1"/>
  <c r="R68" i="1"/>
  <c r="R82" i="1"/>
  <c r="R96" i="1"/>
  <c r="R110" i="1"/>
  <c r="R125" i="1"/>
  <c r="R140" i="1"/>
  <c r="R154" i="1"/>
  <c r="R168" i="1"/>
  <c r="R182" i="1"/>
  <c r="R197" i="1"/>
  <c r="R212" i="1"/>
  <c r="R226" i="1"/>
  <c r="R241" i="1"/>
  <c r="R255" i="1"/>
  <c r="R270" i="1"/>
  <c r="R285" i="1"/>
  <c r="R299" i="1"/>
  <c r="R313" i="1"/>
  <c r="R240" i="1"/>
  <c r="R341" i="1"/>
  <c r="R355" i="1"/>
  <c r="R367" i="1"/>
  <c r="R379" i="1"/>
  <c r="R391" i="1"/>
  <c r="R403" i="1"/>
  <c r="R415" i="1"/>
  <c r="R427" i="1"/>
  <c r="R439" i="1"/>
  <c r="R451" i="1"/>
  <c r="R463" i="1"/>
  <c r="R475" i="1"/>
  <c r="R487" i="1"/>
  <c r="R499" i="1"/>
  <c r="R511" i="1"/>
  <c r="R523" i="1"/>
  <c r="R535" i="1"/>
  <c r="R547" i="1"/>
  <c r="R11" i="1"/>
  <c r="R25" i="1"/>
  <c r="R39" i="1"/>
  <c r="R54" i="1"/>
  <c r="R69" i="1"/>
  <c r="R83" i="1"/>
  <c r="R97" i="1"/>
  <c r="R111" i="1"/>
  <c r="R126" i="1"/>
  <c r="R141" i="1"/>
  <c r="R155" i="1"/>
  <c r="R169" i="1"/>
  <c r="R183" i="1"/>
  <c r="R198" i="1"/>
  <c r="R213" i="1"/>
  <c r="R227" i="1"/>
  <c r="R242" i="1"/>
  <c r="R256" i="1"/>
  <c r="R271" i="1"/>
  <c r="R286" i="1"/>
  <c r="R300" i="1"/>
  <c r="R314" i="1"/>
  <c r="R327" i="1"/>
  <c r="R342" i="1"/>
  <c r="R356" i="1"/>
  <c r="R368" i="1"/>
  <c r="R380" i="1"/>
  <c r="R392" i="1"/>
  <c r="R404" i="1"/>
  <c r="R416" i="1"/>
  <c r="R428" i="1"/>
  <c r="R440" i="1"/>
  <c r="R452" i="1"/>
  <c r="R464" i="1"/>
  <c r="R476" i="1"/>
  <c r="R488" i="1"/>
  <c r="R500" i="1"/>
  <c r="R512" i="1"/>
  <c r="R524" i="1"/>
  <c r="R536" i="1"/>
  <c r="R12" i="1"/>
  <c r="R26" i="1"/>
  <c r="R13" i="1"/>
  <c r="R27" i="1"/>
  <c r="R42" i="1"/>
  <c r="R57" i="1"/>
  <c r="R71" i="1"/>
  <c r="R85" i="1"/>
  <c r="R99" i="1"/>
  <c r="R114" i="1"/>
  <c r="R129" i="1"/>
  <c r="R143" i="1"/>
  <c r="R157" i="1"/>
  <c r="R171" i="1"/>
  <c r="R186" i="1"/>
  <c r="R201" i="1"/>
  <c r="R215" i="1"/>
  <c r="R229" i="1"/>
  <c r="R244" i="1"/>
  <c r="R259" i="1"/>
  <c r="R274" i="1"/>
  <c r="R288" i="1"/>
  <c r="R302" i="1"/>
  <c r="R326" i="1"/>
  <c r="R330" i="1"/>
  <c r="R345" i="1"/>
  <c r="R358" i="1"/>
  <c r="R370" i="1"/>
  <c r="R382" i="1"/>
  <c r="R394" i="1"/>
  <c r="R406" i="1"/>
  <c r="R418" i="1"/>
  <c r="R430" i="1"/>
  <c r="R442" i="1"/>
  <c r="R454" i="1"/>
  <c r="R466" i="1"/>
  <c r="R478" i="1"/>
  <c r="R490" i="1"/>
  <c r="R502" i="1"/>
  <c r="R514" i="1"/>
  <c r="R526" i="1"/>
  <c r="R538" i="1"/>
  <c r="R14" i="1"/>
  <c r="R29" i="1"/>
  <c r="R44" i="1"/>
  <c r="R58" i="1"/>
  <c r="R72" i="1"/>
  <c r="R86" i="1"/>
  <c r="R101" i="1"/>
  <c r="R116" i="1"/>
  <c r="R130" i="1"/>
  <c r="R144" i="1"/>
  <c r="R158" i="1"/>
  <c r="R173" i="1"/>
  <c r="R188" i="1"/>
  <c r="R202" i="1"/>
  <c r="R216" i="1"/>
  <c r="R230" i="1"/>
  <c r="R246" i="1"/>
  <c r="R261" i="1"/>
  <c r="R275" i="1"/>
  <c r="R289" i="1"/>
  <c r="R303" i="1"/>
  <c r="R317" i="1"/>
  <c r="R332" i="1"/>
  <c r="R346" i="1"/>
  <c r="R359" i="1"/>
  <c r="R371" i="1"/>
  <c r="R383" i="1"/>
  <c r="R395" i="1"/>
  <c r="R407" i="1"/>
  <c r="R419" i="1"/>
  <c r="R431" i="1"/>
  <c r="R443" i="1"/>
  <c r="R455" i="1"/>
  <c r="R467" i="1"/>
  <c r="R479" i="1"/>
  <c r="R491" i="1"/>
  <c r="R503" i="1"/>
  <c r="R515" i="1"/>
  <c r="R527" i="1"/>
  <c r="R539" i="1"/>
  <c r="R15" i="1"/>
  <c r="R30" i="1"/>
  <c r="R45" i="1"/>
  <c r="R59" i="1"/>
  <c r="R73" i="1"/>
  <c r="R87" i="1"/>
  <c r="R102" i="1"/>
  <c r="R117" i="1"/>
  <c r="R131" i="1"/>
  <c r="R145" i="1"/>
  <c r="R159" i="1"/>
  <c r="R174" i="1"/>
  <c r="R189" i="1"/>
  <c r="R203" i="1"/>
  <c r="R217" i="1"/>
  <c r="R231" i="1"/>
  <c r="R247" i="1"/>
  <c r="R262" i="1"/>
  <c r="R276" i="1"/>
  <c r="R290" i="1"/>
  <c r="R304" i="1"/>
  <c r="R318" i="1"/>
  <c r="R333" i="1"/>
  <c r="R347" i="1"/>
  <c r="R360" i="1"/>
  <c r="R372" i="1"/>
  <c r="R384" i="1"/>
  <c r="R396" i="1"/>
  <c r="R408" i="1"/>
  <c r="R420" i="1"/>
  <c r="R432" i="1"/>
  <c r="R444" i="1"/>
  <c r="R456" i="1"/>
  <c r="R468" i="1"/>
  <c r="R480" i="1"/>
  <c r="R492" i="1"/>
  <c r="R504" i="1"/>
  <c r="R516" i="1"/>
  <c r="R528" i="1"/>
  <c r="R540" i="1"/>
  <c r="R32" i="1"/>
  <c r="R51" i="1"/>
  <c r="R78" i="1"/>
  <c r="R105" i="1"/>
  <c r="R128" i="1"/>
  <c r="R152" i="1"/>
  <c r="R178" i="1"/>
  <c r="R204" i="1"/>
  <c r="R225" i="1"/>
  <c r="R252" i="1"/>
  <c r="R278" i="1"/>
  <c r="R301" i="1"/>
  <c r="R324" i="1"/>
  <c r="R350" i="1"/>
  <c r="R373" i="1"/>
  <c r="R390" i="1"/>
  <c r="R412" i="1"/>
  <c r="R434" i="1"/>
  <c r="R453" i="1"/>
  <c r="R473" i="1"/>
  <c r="R495" i="1"/>
  <c r="R517" i="1"/>
  <c r="R534" i="1"/>
  <c r="R34" i="1"/>
  <c r="R60" i="1"/>
  <c r="R81" i="1"/>
  <c r="R107" i="1"/>
  <c r="R133" i="1"/>
  <c r="R156" i="1"/>
  <c r="R180" i="1"/>
  <c r="R206" i="1"/>
  <c r="R233" i="1"/>
  <c r="R254" i="1"/>
  <c r="R280" i="1"/>
  <c r="R307" i="1"/>
  <c r="R329" i="1"/>
  <c r="R353" i="1"/>
  <c r="R375" i="1"/>
  <c r="R397" i="1"/>
  <c r="R414" i="1"/>
  <c r="R436" i="1"/>
  <c r="R458" i="1"/>
  <c r="R477" i="1"/>
  <c r="R497" i="1"/>
  <c r="R519" i="1"/>
  <c r="R541" i="1"/>
  <c r="R35" i="1"/>
  <c r="R61" i="1"/>
  <c r="R84" i="1"/>
  <c r="R108" i="1"/>
  <c r="R134" i="1"/>
  <c r="R161" i="1"/>
  <c r="R181" i="1"/>
  <c r="R207" i="1"/>
  <c r="R234" i="1"/>
  <c r="R258" i="1"/>
  <c r="R282" i="1"/>
  <c r="R309" i="1"/>
  <c r="R334" i="1"/>
  <c r="R354" i="1"/>
  <c r="R376" i="1"/>
  <c r="R398" i="1"/>
  <c r="R417" i="1"/>
  <c r="R437" i="1"/>
  <c r="R459" i="1"/>
  <c r="R481" i="1"/>
  <c r="R498" i="1"/>
  <c r="R520" i="1"/>
  <c r="R542" i="1"/>
  <c r="R8" i="1"/>
  <c r="R36" i="1"/>
  <c r="R62" i="1"/>
  <c r="R89" i="1"/>
  <c r="R109" i="1"/>
  <c r="R135" i="1"/>
  <c r="R162" i="1"/>
  <c r="R185" i="1"/>
  <c r="R209" i="1"/>
  <c r="R236" i="1"/>
  <c r="R263" i="1"/>
  <c r="R283" i="1"/>
  <c r="R310" i="1"/>
  <c r="R335" i="1"/>
  <c r="R357" i="1"/>
  <c r="R377" i="1"/>
  <c r="R399" i="1"/>
  <c r="R421" i="1"/>
  <c r="R438" i="1"/>
  <c r="R460" i="1"/>
  <c r="R482" i="1"/>
  <c r="R501" i="1"/>
  <c r="R521" i="1"/>
  <c r="R543" i="1"/>
  <c r="R9" i="1"/>
  <c r="R37" i="1"/>
  <c r="R63" i="1"/>
  <c r="R90" i="1"/>
  <c r="R113" i="1"/>
  <c r="R137" i="1"/>
  <c r="R164" i="1"/>
  <c r="R190" i="1"/>
  <c r="R210" i="1"/>
  <c r="R237" i="1"/>
  <c r="R264" i="1"/>
  <c r="R287" i="1"/>
  <c r="R311" i="1"/>
  <c r="R336" i="1"/>
  <c r="R361" i="1"/>
  <c r="R378" i="1"/>
  <c r="R400" i="1"/>
  <c r="R422" i="1"/>
  <c r="R441" i="1"/>
  <c r="R461" i="1"/>
  <c r="R483" i="1"/>
  <c r="R505" i="1"/>
  <c r="R522" i="1"/>
  <c r="R544" i="1"/>
  <c r="R17" i="1"/>
  <c r="R41" i="1"/>
  <c r="R65" i="1"/>
  <c r="R92" i="1"/>
  <c r="R118" i="1"/>
  <c r="R138" i="1"/>
  <c r="R165" i="1"/>
  <c r="R191" i="1"/>
  <c r="R214" i="1"/>
  <c r="R238" i="1"/>
  <c r="R265" i="1"/>
  <c r="R291" i="1"/>
  <c r="R312" i="1"/>
  <c r="R337" i="1"/>
  <c r="R362" i="1"/>
  <c r="R381" i="1"/>
  <c r="R401" i="1"/>
  <c r="R423" i="1"/>
  <c r="R445" i="1"/>
  <c r="R462" i="1"/>
  <c r="R484" i="1"/>
  <c r="R506" i="1"/>
  <c r="R525" i="1"/>
  <c r="R545" i="1"/>
  <c r="R56" i="1"/>
  <c r="R106" i="1"/>
  <c r="R153" i="1"/>
  <c r="R205" i="1"/>
  <c r="R253" i="1"/>
  <c r="R306" i="1"/>
  <c r="R351" i="1"/>
  <c r="R393" i="1"/>
  <c r="R435" i="1"/>
  <c r="R474" i="1"/>
  <c r="R518" i="1"/>
  <c r="R325" i="1"/>
  <c r="R546" i="1"/>
  <c r="R294" i="1"/>
  <c r="R249" i="1"/>
  <c r="R509" i="1"/>
  <c r="R18" i="1"/>
  <c r="R66" i="1"/>
  <c r="R119" i="1"/>
  <c r="R166" i="1"/>
  <c r="R218" i="1"/>
  <c r="R266" i="1"/>
  <c r="R315" i="1"/>
  <c r="R363" i="1"/>
  <c r="R402" i="1"/>
  <c r="R446" i="1"/>
  <c r="R485" i="1"/>
  <c r="R529" i="1"/>
  <c r="R80" i="1"/>
  <c r="R132" i="1"/>
  <c r="R279" i="1"/>
  <c r="R374" i="1"/>
  <c r="R537" i="1"/>
  <c r="R424" i="1"/>
  <c r="R94" i="1"/>
  <c r="R95" i="1"/>
  <c r="R147" i="1"/>
  <c r="R194" i="1"/>
  <c r="R387" i="1"/>
  <c r="R426" i="1"/>
  <c r="R470" i="1"/>
  <c r="R20" i="1"/>
  <c r="R70" i="1"/>
  <c r="R120" i="1"/>
  <c r="R167" i="1"/>
  <c r="R219" i="1"/>
  <c r="R267" i="1"/>
  <c r="R320" i="1"/>
  <c r="R364" i="1"/>
  <c r="R405" i="1"/>
  <c r="R447" i="1"/>
  <c r="R486" i="1"/>
  <c r="R530" i="1"/>
  <c r="R413" i="1"/>
  <c r="R243" i="1"/>
  <c r="R21" i="1"/>
  <c r="R74" i="1"/>
  <c r="R121" i="1"/>
  <c r="R170" i="1"/>
  <c r="R221" i="1"/>
  <c r="R268" i="1"/>
  <c r="R321" i="1"/>
  <c r="R365" i="1"/>
  <c r="R409" i="1"/>
  <c r="R448" i="1"/>
  <c r="R489" i="1"/>
  <c r="R531" i="1"/>
  <c r="R228" i="1"/>
  <c r="R496" i="1"/>
  <c r="R142" i="1"/>
  <c r="R146" i="1"/>
  <c r="R339" i="1"/>
  <c r="R425" i="1"/>
  <c r="R508" i="1"/>
  <c r="R344" i="1"/>
  <c r="R22" i="1"/>
  <c r="R75" i="1"/>
  <c r="R122" i="1"/>
  <c r="R176" i="1"/>
  <c r="R222" i="1"/>
  <c r="R273" i="1"/>
  <c r="R322" i="1"/>
  <c r="R366" i="1"/>
  <c r="R410" i="1"/>
  <c r="R449" i="1"/>
  <c r="R493" i="1"/>
  <c r="R532" i="1"/>
  <c r="R179" i="1"/>
  <c r="R457" i="1"/>
  <c r="R239" i="1"/>
  <c r="R47" i="1"/>
  <c r="R193" i="1"/>
  <c r="R386" i="1"/>
  <c r="R469" i="1"/>
  <c r="R23" i="1"/>
  <c r="R77" i="1"/>
  <c r="R123" i="1"/>
  <c r="R177" i="1"/>
  <c r="R224" i="1"/>
  <c r="R277" i="1"/>
  <c r="R323" i="1"/>
  <c r="R369" i="1"/>
  <c r="R411" i="1"/>
  <c r="R450" i="1"/>
  <c r="R494" i="1"/>
  <c r="R533" i="1"/>
  <c r="R33" i="1"/>
  <c r="R93" i="1"/>
  <c r="R292" i="1"/>
  <c r="R385" i="1"/>
  <c r="R507" i="1"/>
  <c r="R46" i="1"/>
  <c r="R192" i="1"/>
  <c r="R338" i="1"/>
  <c r="R465" i="1"/>
  <c r="R48" i="1"/>
  <c r="R295" i="1"/>
  <c r="R49" i="1"/>
  <c r="R348" i="1"/>
  <c r="R297" i="1"/>
  <c r="R50" i="1"/>
  <c r="R349" i="1"/>
  <c r="R472" i="1"/>
  <c r="R251" i="1"/>
  <c r="R98" i="1"/>
  <c r="R388" i="1"/>
  <c r="R471" i="1"/>
  <c r="R510" i="1"/>
  <c r="R513" i="1"/>
  <c r="R104" i="1"/>
  <c r="R389" i="1"/>
  <c r="R250" i="1"/>
  <c r="R149" i="1"/>
  <c r="R429" i="1"/>
  <c r="R150" i="1"/>
  <c r="R433" i="1"/>
  <c r="R195" i="1"/>
  <c r="R200" i="1"/>
  <c r="R298" i="1"/>
  <c r="J2" i="1"/>
  <c r="L2" i="1"/>
  <c r="N2" i="1"/>
  <c r="P4" i="1"/>
  <c r="P6" i="1"/>
  <c r="P2" i="1"/>
  <c r="P5" i="1"/>
  <c r="H2" i="1"/>
  <c r="N3" i="1"/>
  <c r="P3" i="1"/>
  <c r="R5" i="1"/>
  <c r="R6" i="1"/>
  <c r="R2" i="1"/>
  <c r="R4" i="1"/>
  <c r="R3" i="1"/>
  <c r="AE524" i="1" l="1"/>
  <c r="AB524" i="1"/>
  <c r="Y524" i="1"/>
  <c r="S524" i="1"/>
  <c r="V524" i="1"/>
  <c r="AE485" i="1"/>
  <c r="AB485" i="1"/>
  <c r="V485" i="1"/>
  <c r="Y485" i="1"/>
  <c r="S485" i="1"/>
  <c r="AE168" i="1"/>
  <c r="Y168" i="1"/>
  <c r="V168" i="1"/>
  <c r="AB168" i="1"/>
  <c r="S168" i="1"/>
  <c r="AE10" i="1"/>
  <c r="AB10" i="1"/>
  <c r="Y10" i="1"/>
  <c r="V10" i="1"/>
  <c r="AE381" i="1"/>
  <c r="Y381" i="1"/>
  <c r="AB381" i="1"/>
  <c r="S381" i="1"/>
  <c r="V381" i="1"/>
  <c r="AE490" i="1"/>
  <c r="AB490" i="1"/>
  <c r="Y490" i="1"/>
  <c r="V490" i="1"/>
  <c r="S490" i="1"/>
  <c r="AB27" i="1"/>
  <c r="Y27" i="1"/>
  <c r="AE27" i="1"/>
  <c r="V27" i="1"/>
  <c r="AE389" i="1"/>
  <c r="AB389" i="1"/>
  <c r="Y389" i="1"/>
  <c r="S389" i="1"/>
  <c r="V389" i="1"/>
  <c r="AE452" i="1"/>
  <c r="AB452" i="1"/>
  <c r="Y452" i="1"/>
  <c r="S452" i="1"/>
  <c r="V452" i="1"/>
  <c r="AE395" i="1"/>
  <c r="Y395" i="1"/>
  <c r="V395" i="1"/>
  <c r="AB395" i="1"/>
  <c r="S395" i="1"/>
  <c r="AE409" i="1"/>
  <c r="AB409" i="1"/>
  <c r="Y409" i="1"/>
  <c r="V409" i="1"/>
  <c r="S409" i="1"/>
  <c r="AE74" i="1"/>
  <c r="AB74" i="1"/>
  <c r="V74" i="1"/>
  <c r="Y74" i="1"/>
  <c r="S74" i="1"/>
  <c r="AE25" i="1"/>
  <c r="AB25" i="1"/>
  <c r="V25" i="1"/>
  <c r="Y25" i="1"/>
  <c r="AE431" i="1"/>
  <c r="AB431" i="1"/>
  <c r="Y431" i="1"/>
  <c r="S431" i="1"/>
  <c r="V431" i="1"/>
  <c r="AE284" i="1"/>
  <c r="AB284" i="1"/>
  <c r="Y284" i="1"/>
  <c r="V284" i="1"/>
  <c r="S284" i="1"/>
  <c r="AE265" i="1"/>
  <c r="Y265" i="1"/>
  <c r="V265" i="1"/>
  <c r="AB265" i="1"/>
  <c r="S265" i="1"/>
  <c r="AE421" i="1"/>
  <c r="AB421" i="1"/>
  <c r="V421" i="1"/>
  <c r="Y421" i="1"/>
  <c r="S421" i="1"/>
  <c r="AE504" i="1"/>
  <c r="AB504" i="1"/>
  <c r="Y504" i="1"/>
  <c r="V504" i="1"/>
  <c r="S504" i="1"/>
  <c r="AE81" i="1"/>
  <c r="Y81" i="1"/>
  <c r="AB81" i="1"/>
  <c r="S81" i="1"/>
  <c r="V81" i="1"/>
  <c r="AE353" i="1"/>
  <c r="Y353" i="1"/>
  <c r="V353" i="1"/>
  <c r="S353" i="1"/>
  <c r="AB353" i="1"/>
  <c r="AE289" i="1"/>
  <c r="Y289" i="1"/>
  <c r="V289" i="1"/>
  <c r="AB289" i="1"/>
  <c r="S289" i="1"/>
  <c r="AE292" i="1"/>
  <c r="AB292" i="1"/>
  <c r="Y292" i="1"/>
  <c r="V292" i="1"/>
  <c r="S292" i="1"/>
  <c r="AE62" i="1"/>
  <c r="AB62" i="1"/>
  <c r="Y62" i="1"/>
  <c r="V62" i="1"/>
  <c r="S62" i="1"/>
  <c r="AE316" i="1"/>
  <c r="AB316" i="1"/>
  <c r="Y316" i="1"/>
  <c r="V316" i="1"/>
  <c r="S316" i="1"/>
  <c r="AE138" i="1"/>
  <c r="AB138" i="1"/>
  <c r="Y138" i="1"/>
  <c r="V138" i="1"/>
  <c r="S138" i="1"/>
  <c r="AE407" i="1"/>
  <c r="AB407" i="1"/>
  <c r="Y407" i="1"/>
  <c r="S407" i="1"/>
  <c r="V407" i="1"/>
  <c r="AE468" i="1"/>
  <c r="AB468" i="1"/>
  <c r="Y468" i="1"/>
  <c r="V468" i="1"/>
  <c r="S468" i="1"/>
  <c r="AE280" i="1"/>
  <c r="AB280" i="1"/>
  <c r="V280" i="1"/>
  <c r="S280" i="1"/>
  <c r="Y280" i="1"/>
  <c r="AE372" i="1"/>
  <c r="Y372" i="1"/>
  <c r="V372" i="1"/>
  <c r="AB372" i="1"/>
  <c r="S372" i="1"/>
  <c r="AE288" i="1"/>
  <c r="Y288" i="1"/>
  <c r="AB288" i="1"/>
  <c r="V288" i="1"/>
  <c r="S288" i="1"/>
  <c r="AE93" i="1"/>
  <c r="Y93" i="1"/>
  <c r="AB93" i="1"/>
  <c r="V93" i="1"/>
  <c r="S93" i="1"/>
  <c r="AE254" i="1"/>
  <c r="AB254" i="1"/>
  <c r="Y254" i="1"/>
  <c r="V254" i="1"/>
  <c r="S254" i="1"/>
  <c r="AE211" i="1"/>
  <c r="AB211" i="1"/>
  <c r="Y211" i="1"/>
  <c r="V211" i="1"/>
  <c r="S211" i="1"/>
  <c r="AE132" i="1"/>
  <c r="AB132" i="1"/>
  <c r="Y132" i="1"/>
  <c r="V132" i="1"/>
  <c r="S132" i="1"/>
  <c r="AE153" i="1"/>
  <c r="AB153" i="1"/>
  <c r="Y153" i="1"/>
  <c r="V153" i="1"/>
  <c r="S153" i="1"/>
  <c r="AE411" i="1"/>
  <c r="AB411" i="1"/>
  <c r="Y411" i="1"/>
  <c r="V411" i="1"/>
  <c r="S411" i="1"/>
  <c r="AE182" i="1"/>
  <c r="AB182" i="1"/>
  <c r="Y182" i="1"/>
  <c r="V182" i="1"/>
  <c r="S182" i="1"/>
  <c r="AE113" i="1"/>
  <c r="AB113" i="1"/>
  <c r="V113" i="1"/>
  <c r="S113" i="1"/>
  <c r="Y113" i="1"/>
  <c r="AE55" i="1"/>
  <c r="AB55" i="1"/>
  <c r="Y55" i="1"/>
  <c r="S55" i="1"/>
  <c r="V55" i="1"/>
  <c r="AE535" i="1"/>
  <c r="Y535" i="1"/>
  <c r="V535" i="1"/>
  <c r="AB535" i="1"/>
  <c r="S535" i="1"/>
  <c r="AE227" i="1"/>
  <c r="AB227" i="1"/>
  <c r="Y227" i="1"/>
  <c r="V227" i="1"/>
  <c r="S227" i="1"/>
  <c r="AE155" i="1"/>
  <c r="AB155" i="1"/>
  <c r="Y155" i="1"/>
  <c r="V155" i="1"/>
  <c r="S155" i="1"/>
  <c r="AE245" i="1"/>
  <c r="AB245" i="1"/>
  <c r="V245" i="1"/>
  <c r="S245" i="1"/>
  <c r="Y245" i="1"/>
  <c r="AE200" i="1"/>
  <c r="AB200" i="1"/>
  <c r="Y200" i="1"/>
  <c r="V200" i="1"/>
  <c r="S200" i="1"/>
  <c r="AE11" i="1"/>
  <c r="AB11" i="1"/>
  <c r="Y11" i="1"/>
  <c r="V11" i="1"/>
  <c r="AE229" i="1"/>
  <c r="AB229" i="1"/>
  <c r="Y229" i="1"/>
  <c r="V229" i="1"/>
  <c r="S229" i="1"/>
  <c r="AE455" i="1"/>
  <c r="AB455" i="1"/>
  <c r="Y455" i="1"/>
  <c r="V455" i="1"/>
  <c r="S455" i="1"/>
  <c r="AE546" i="1"/>
  <c r="AB546" i="1"/>
  <c r="Y546" i="1"/>
  <c r="S546" i="1"/>
  <c r="V546" i="1"/>
  <c r="AE454" i="1"/>
  <c r="AB454" i="1"/>
  <c r="Y454" i="1"/>
  <c r="S454" i="1"/>
  <c r="V454" i="1"/>
  <c r="AE440" i="1"/>
  <c r="AB440" i="1"/>
  <c r="Y440" i="1"/>
  <c r="S440" i="1"/>
  <c r="V440" i="1"/>
  <c r="AE7" i="1"/>
  <c r="AB7" i="1"/>
  <c r="Y7" i="1"/>
  <c r="S7" i="1"/>
  <c r="V7" i="1"/>
  <c r="AB394" i="1"/>
  <c r="AE394" i="1"/>
  <c r="Y394" i="1"/>
  <c r="V394" i="1"/>
  <c r="S394" i="1"/>
  <c r="AE222" i="1"/>
  <c r="AB222" i="1"/>
  <c r="Y222" i="1"/>
  <c r="V222" i="1"/>
  <c r="S222" i="1"/>
  <c r="AE48" i="1"/>
  <c r="AB48" i="1"/>
  <c r="V48" i="1"/>
  <c r="Y48" i="1"/>
  <c r="S48" i="1"/>
  <c r="AE139" i="1"/>
  <c r="Y139" i="1"/>
  <c r="AB139" i="1"/>
  <c r="V139" i="1"/>
  <c r="S139" i="1"/>
  <c r="AE179" i="1"/>
  <c r="AB179" i="1"/>
  <c r="Y179" i="1"/>
  <c r="V179" i="1"/>
  <c r="S179" i="1"/>
  <c r="AE379" i="1"/>
  <c r="Y379" i="1"/>
  <c r="AB379" i="1"/>
  <c r="V379" i="1"/>
  <c r="S379" i="1"/>
  <c r="AE191" i="1"/>
  <c r="AB191" i="1"/>
  <c r="Y191" i="1"/>
  <c r="V191" i="1"/>
  <c r="S191" i="1"/>
  <c r="AE19" i="1"/>
  <c r="Y19" i="1"/>
  <c r="V19" i="1"/>
  <c r="AB19" i="1"/>
  <c r="AE95" i="1"/>
  <c r="AB95" i="1"/>
  <c r="Y95" i="1"/>
  <c r="S95" i="1"/>
  <c r="V95" i="1"/>
  <c r="AE107" i="1"/>
  <c r="AB107" i="1"/>
  <c r="Y107" i="1"/>
  <c r="S107" i="1"/>
  <c r="V107" i="1"/>
  <c r="AE464" i="1"/>
  <c r="AB464" i="1"/>
  <c r="Y464" i="1"/>
  <c r="S464" i="1"/>
  <c r="V464" i="1"/>
  <c r="AE118" i="1"/>
  <c r="AB118" i="1"/>
  <c r="Y118" i="1"/>
  <c r="S118" i="1"/>
  <c r="V118" i="1"/>
  <c r="AE299" i="1"/>
  <c r="AB299" i="1"/>
  <c r="Y299" i="1"/>
  <c r="V299" i="1"/>
  <c r="S299" i="1"/>
  <c r="AE354" i="1"/>
  <c r="Y354" i="1"/>
  <c r="AB354" i="1"/>
  <c r="V354" i="1"/>
  <c r="S354" i="1"/>
  <c r="AE539" i="1"/>
  <c r="S539" i="1"/>
  <c r="Y539" i="1"/>
  <c r="AB539" i="1"/>
  <c r="V539" i="1"/>
  <c r="AE233" i="1"/>
  <c r="AB233" i="1"/>
  <c r="Y233" i="1"/>
  <c r="V233" i="1"/>
  <c r="S233" i="1"/>
  <c r="AE17" i="1"/>
  <c r="AB17" i="1"/>
  <c r="Y17" i="1"/>
  <c r="V17" i="1"/>
  <c r="AE37" i="1"/>
  <c r="AB37" i="1"/>
  <c r="V37" i="1"/>
  <c r="S37" i="1"/>
  <c r="Y37" i="1"/>
  <c r="AE137" i="1"/>
  <c r="Y137" i="1"/>
  <c r="AB137" i="1"/>
  <c r="V137" i="1"/>
  <c r="S137" i="1"/>
  <c r="AE217" i="1"/>
  <c r="AB217" i="1"/>
  <c r="V217" i="1"/>
  <c r="Y217" i="1"/>
  <c r="S217" i="1"/>
  <c r="AE418" i="1"/>
  <c r="AB418" i="1"/>
  <c r="Y418" i="1"/>
  <c r="V418" i="1"/>
  <c r="S418" i="1"/>
  <c r="AE247" i="1"/>
  <c r="AB247" i="1"/>
  <c r="V247" i="1"/>
  <c r="S247" i="1"/>
  <c r="Y247" i="1"/>
  <c r="AE72" i="1"/>
  <c r="AB72" i="1"/>
  <c r="V72" i="1"/>
  <c r="Y72" i="1"/>
  <c r="S72" i="1"/>
  <c r="AE399" i="1"/>
  <c r="AB399" i="1"/>
  <c r="Y399" i="1"/>
  <c r="V399" i="1"/>
  <c r="S399" i="1"/>
  <c r="AE256" i="1"/>
  <c r="AB256" i="1"/>
  <c r="Y256" i="1"/>
  <c r="V256" i="1"/>
  <c r="S256" i="1"/>
  <c r="AE111" i="1"/>
  <c r="V111" i="1"/>
  <c r="Y111" i="1"/>
  <c r="AB111" i="1"/>
  <c r="S111" i="1"/>
  <c r="AE458" i="1"/>
  <c r="AB458" i="1"/>
  <c r="Y458" i="1"/>
  <c r="V458" i="1"/>
  <c r="S458" i="1"/>
  <c r="AE315" i="1"/>
  <c r="Y315" i="1"/>
  <c r="V315" i="1"/>
  <c r="AB315" i="1"/>
  <c r="S315" i="1"/>
  <c r="AE170" i="1"/>
  <c r="AB170" i="1"/>
  <c r="V170" i="1"/>
  <c r="Y170" i="1"/>
  <c r="S170" i="1"/>
  <c r="AE26" i="1"/>
  <c r="AB26" i="1"/>
  <c r="Y26" i="1"/>
  <c r="V26" i="1"/>
  <c r="AE300" i="1"/>
  <c r="AB300" i="1"/>
  <c r="Y300" i="1"/>
  <c r="V300" i="1"/>
  <c r="S300" i="1"/>
  <c r="AE120" i="1"/>
  <c r="Y120" i="1"/>
  <c r="AB120" i="1"/>
  <c r="V120" i="1"/>
  <c r="S120" i="1"/>
  <c r="AE528" i="1"/>
  <c r="AB528" i="1"/>
  <c r="Y528" i="1"/>
  <c r="S528" i="1"/>
  <c r="V528" i="1"/>
  <c r="AE54" i="1"/>
  <c r="Y54" i="1"/>
  <c r="AB54" i="1"/>
  <c r="V54" i="1"/>
  <c r="S54" i="1"/>
  <c r="AE171" i="1"/>
  <c r="AB171" i="1"/>
  <c r="V171" i="1"/>
  <c r="Y171" i="1"/>
  <c r="S171" i="1"/>
  <c r="AE84" i="1"/>
  <c r="AB84" i="1"/>
  <c r="Y84" i="1"/>
  <c r="V84" i="1"/>
  <c r="S84" i="1"/>
  <c r="AE383" i="1"/>
  <c r="AB383" i="1"/>
  <c r="Y383" i="1"/>
  <c r="V383" i="1"/>
  <c r="S383" i="1"/>
  <c r="AE545" i="1"/>
  <c r="AB545" i="1"/>
  <c r="Y545" i="1"/>
  <c r="V545" i="1"/>
  <c r="S545" i="1"/>
  <c r="AE509" i="1"/>
  <c r="Y509" i="1"/>
  <c r="AB509" i="1"/>
  <c r="S509" i="1"/>
  <c r="V509" i="1"/>
  <c r="AE218" i="1"/>
  <c r="AB218" i="1"/>
  <c r="Y218" i="1"/>
  <c r="V218" i="1"/>
  <c r="S218" i="1"/>
  <c r="AE185" i="1"/>
  <c r="AB185" i="1"/>
  <c r="V185" i="1"/>
  <c r="Y185" i="1"/>
  <c r="S185" i="1"/>
  <c r="AE469" i="1"/>
  <c r="AB469" i="1"/>
  <c r="Y469" i="1"/>
  <c r="V469" i="1"/>
  <c r="S469" i="1"/>
  <c r="AE510" i="1"/>
  <c r="Y510" i="1"/>
  <c r="AB510" i="1"/>
  <c r="S510" i="1"/>
  <c r="V510" i="1"/>
  <c r="AE116" i="1"/>
  <c r="Y116" i="1"/>
  <c r="AB116" i="1"/>
  <c r="S116" i="1"/>
  <c r="V116" i="1"/>
  <c r="AE345" i="1"/>
  <c r="Y345" i="1"/>
  <c r="AB345" i="1"/>
  <c r="V345" i="1"/>
  <c r="S345" i="1"/>
  <c r="AE287" i="1"/>
  <c r="AB287" i="1"/>
  <c r="Y287" i="1"/>
  <c r="V287" i="1"/>
  <c r="S287" i="1"/>
  <c r="AE53" i="1"/>
  <c r="AB53" i="1"/>
  <c r="Y53" i="1"/>
  <c r="V53" i="1"/>
  <c r="S53" i="1"/>
  <c r="AE393" i="1"/>
  <c r="Y393" i="1"/>
  <c r="AB393" i="1"/>
  <c r="S393" i="1"/>
  <c r="V393" i="1"/>
  <c r="AE370" i="1"/>
  <c r="AB370" i="1"/>
  <c r="Y370" i="1"/>
  <c r="S370" i="1"/>
  <c r="V370" i="1"/>
  <c r="AE248" i="1"/>
  <c r="Y248" i="1"/>
  <c r="AB248" i="1"/>
  <c r="V248" i="1"/>
  <c r="S248" i="1"/>
  <c r="AE240" i="1"/>
  <c r="AB240" i="1"/>
  <c r="Y240" i="1"/>
  <c r="V240" i="1"/>
  <c r="S240" i="1"/>
  <c r="AE293" i="1"/>
  <c r="AB293" i="1"/>
  <c r="Y293" i="1"/>
  <c r="V293" i="1"/>
  <c r="S293" i="1"/>
  <c r="AE157" i="1"/>
  <c r="AB157" i="1"/>
  <c r="Y157" i="1"/>
  <c r="V157" i="1"/>
  <c r="S157" i="1"/>
  <c r="AE445" i="1"/>
  <c r="AB445" i="1"/>
  <c r="Y445" i="1"/>
  <c r="V445" i="1"/>
  <c r="S445" i="1"/>
  <c r="AE487" i="1"/>
  <c r="AB487" i="1"/>
  <c r="Y487" i="1"/>
  <c r="V487" i="1"/>
  <c r="S487" i="1"/>
  <c r="AE274" i="1"/>
  <c r="AB274" i="1"/>
  <c r="Y274" i="1"/>
  <c r="V274" i="1"/>
  <c r="S274" i="1"/>
  <c r="Y417" i="1"/>
  <c r="AE417" i="1"/>
  <c r="AB417" i="1"/>
  <c r="S417" i="1"/>
  <c r="V417" i="1"/>
  <c r="AE489" i="1"/>
  <c r="Y489" i="1"/>
  <c r="AB489" i="1"/>
  <c r="S489" i="1"/>
  <c r="V489" i="1"/>
  <c r="AE186" i="1"/>
  <c r="AB186" i="1"/>
  <c r="V186" i="1"/>
  <c r="S186" i="1"/>
  <c r="Y186" i="1"/>
  <c r="AE475" i="1"/>
  <c r="AB475" i="1"/>
  <c r="Y475" i="1"/>
  <c r="V475" i="1"/>
  <c r="S475" i="1"/>
  <c r="AE344" i="1"/>
  <c r="AB344" i="1"/>
  <c r="Y344" i="1"/>
  <c r="V344" i="1"/>
  <c r="S344" i="1"/>
  <c r="AE173" i="1"/>
  <c r="AB173" i="1"/>
  <c r="Y173" i="1"/>
  <c r="V173" i="1"/>
  <c r="S173" i="1"/>
  <c r="AE369" i="1"/>
  <c r="Y369" i="1"/>
  <c r="AB369" i="1"/>
  <c r="V369" i="1"/>
  <c r="S369" i="1"/>
  <c r="AE456" i="1"/>
  <c r="AB456" i="1"/>
  <c r="Y456" i="1"/>
  <c r="S456" i="1"/>
  <c r="V456" i="1"/>
  <c r="AE297" i="1"/>
  <c r="AB297" i="1"/>
  <c r="Y297" i="1"/>
  <c r="V297" i="1"/>
  <c r="S297" i="1"/>
  <c r="AE340" i="1"/>
  <c r="AB340" i="1"/>
  <c r="Y340" i="1"/>
  <c r="V340" i="1"/>
  <c r="S340" i="1"/>
  <c r="AE542" i="1"/>
  <c r="AB542" i="1"/>
  <c r="Y542" i="1"/>
  <c r="V542" i="1"/>
  <c r="S542" i="1"/>
  <c r="AE380" i="1"/>
  <c r="AB380" i="1"/>
  <c r="Y380" i="1"/>
  <c r="V380" i="1"/>
  <c r="S380" i="1"/>
  <c r="AE208" i="1"/>
  <c r="AB208" i="1"/>
  <c r="V208" i="1"/>
  <c r="Y208" i="1"/>
  <c r="S208" i="1"/>
  <c r="AE34" i="1"/>
  <c r="AB34" i="1"/>
  <c r="Y34" i="1"/>
  <c r="V34" i="1"/>
  <c r="AE67" i="1"/>
  <c r="Y67" i="1"/>
  <c r="AB67" i="1"/>
  <c r="V67" i="1"/>
  <c r="S67" i="1"/>
  <c r="AE121" i="1"/>
  <c r="Y121" i="1"/>
  <c r="V121" i="1"/>
  <c r="AB121" i="1"/>
  <c r="S121" i="1"/>
  <c r="AE365" i="1"/>
  <c r="AB365" i="1"/>
  <c r="Y365" i="1"/>
  <c r="V365" i="1"/>
  <c r="S365" i="1"/>
  <c r="AE177" i="1"/>
  <c r="AB177" i="1"/>
  <c r="Y177" i="1"/>
  <c r="S177" i="1"/>
  <c r="V177" i="1"/>
  <c r="AE5" i="1"/>
  <c r="AB5" i="1"/>
  <c r="Y5" i="1"/>
  <c r="V5" i="1"/>
  <c r="AE544" i="1"/>
  <c r="AB544" i="1"/>
  <c r="Y544" i="1"/>
  <c r="V544" i="1"/>
  <c r="S544" i="1"/>
  <c r="AE35" i="1"/>
  <c r="AB35" i="1"/>
  <c r="Y35" i="1"/>
  <c r="V35" i="1"/>
  <c r="AE450" i="1"/>
  <c r="AB450" i="1"/>
  <c r="Y450" i="1"/>
  <c r="S450" i="1"/>
  <c r="V450" i="1"/>
  <c r="AE277" i="1"/>
  <c r="AB277" i="1"/>
  <c r="Y277" i="1"/>
  <c r="V277" i="1"/>
  <c r="S277" i="1"/>
  <c r="AE104" i="1"/>
  <c r="Y104" i="1"/>
  <c r="AB104" i="1"/>
  <c r="S104" i="1"/>
  <c r="V104" i="1"/>
  <c r="AE212" i="1"/>
  <c r="Y212" i="1"/>
  <c r="V212" i="1"/>
  <c r="AB212" i="1"/>
  <c r="S212" i="1"/>
  <c r="AE324" i="1"/>
  <c r="AB324" i="1"/>
  <c r="Y324" i="1"/>
  <c r="V324" i="1"/>
  <c r="S324" i="1"/>
  <c r="AE527" i="1"/>
  <c r="Y527" i="1"/>
  <c r="V527" i="1"/>
  <c r="S527" i="1"/>
  <c r="AB527" i="1"/>
  <c r="AE203" i="1"/>
  <c r="AB203" i="1"/>
  <c r="Y203" i="1"/>
  <c r="S203" i="1"/>
  <c r="V203" i="1"/>
  <c r="AE534" i="1"/>
  <c r="AB534" i="1"/>
  <c r="Y534" i="1"/>
  <c r="S534" i="1"/>
  <c r="V534" i="1"/>
  <c r="AE496" i="1"/>
  <c r="AB496" i="1"/>
  <c r="Y496" i="1"/>
  <c r="V496" i="1"/>
  <c r="S496" i="1"/>
  <c r="AE79" i="1"/>
  <c r="AB79" i="1"/>
  <c r="Y79" i="1"/>
  <c r="S79" i="1"/>
  <c r="V79" i="1"/>
  <c r="AE189" i="1"/>
  <c r="Y189" i="1"/>
  <c r="AB189" i="1"/>
  <c r="V189" i="1"/>
  <c r="S189" i="1"/>
  <c r="AE404" i="1"/>
  <c r="AB404" i="1"/>
  <c r="Y404" i="1"/>
  <c r="V404" i="1"/>
  <c r="S404" i="1"/>
  <c r="AE232" i="1"/>
  <c r="AB232" i="1"/>
  <c r="Y232" i="1"/>
  <c r="V232" i="1"/>
  <c r="S232" i="1"/>
  <c r="AE58" i="1"/>
  <c r="AB58" i="1"/>
  <c r="Y58" i="1"/>
  <c r="V58" i="1"/>
  <c r="S58" i="1"/>
  <c r="AE387" i="1"/>
  <c r="AB387" i="1"/>
  <c r="Y387" i="1"/>
  <c r="V387" i="1"/>
  <c r="S387" i="1"/>
  <c r="AE244" i="1"/>
  <c r="V244" i="1"/>
  <c r="AB244" i="1"/>
  <c r="S244" i="1"/>
  <c r="Y244" i="1"/>
  <c r="AE99" i="1"/>
  <c r="AB99" i="1"/>
  <c r="Y99" i="1"/>
  <c r="V99" i="1"/>
  <c r="S99" i="1"/>
  <c r="AE446" i="1"/>
  <c r="Y446" i="1"/>
  <c r="AB446" i="1"/>
  <c r="V446" i="1"/>
  <c r="S446" i="1"/>
  <c r="AE303" i="1"/>
  <c r="AB303" i="1"/>
  <c r="V303" i="1"/>
  <c r="Y303" i="1"/>
  <c r="S303" i="1"/>
  <c r="AE158" i="1"/>
  <c r="AB158" i="1"/>
  <c r="Y158" i="1"/>
  <c r="V158" i="1"/>
  <c r="S158" i="1"/>
  <c r="AE14" i="1"/>
  <c r="AB14" i="1"/>
  <c r="Y14" i="1"/>
  <c r="V14" i="1"/>
  <c r="AE272" i="1"/>
  <c r="AB272" i="1"/>
  <c r="Y272" i="1"/>
  <c r="V272" i="1"/>
  <c r="S272" i="1"/>
  <c r="AE382" i="1"/>
  <c r="AB382" i="1"/>
  <c r="Y382" i="1"/>
  <c r="S382" i="1"/>
  <c r="V382" i="1"/>
  <c r="AE264" i="1"/>
  <c r="Y264" i="1"/>
  <c r="AB264" i="1"/>
  <c r="V264" i="1"/>
  <c r="S264" i="1"/>
  <c r="AE239" i="1"/>
  <c r="Y239" i="1"/>
  <c r="AB239" i="1"/>
  <c r="V239" i="1"/>
  <c r="S239" i="1"/>
  <c r="AE361" i="1"/>
  <c r="AB361" i="1"/>
  <c r="V361" i="1"/>
  <c r="Y361" i="1"/>
  <c r="S361" i="1"/>
  <c r="AE459" i="1"/>
  <c r="AB459" i="1"/>
  <c r="Y459" i="1"/>
  <c r="V459" i="1"/>
  <c r="S459" i="1"/>
  <c r="AE374" i="1"/>
  <c r="AB374" i="1"/>
  <c r="Y374" i="1"/>
  <c r="V374" i="1"/>
  <c r="S374" i="1"/>
  <c r="Y41" i="1"/>
  <c r="AB41" i="1"/>
  <c r="AE41" i="1"/>
  <c r="V41" i="1"/>
  <c r="S41" i="1"/>
  <c r="AE43" i="1"/>
  <c r="Y43" i="1"/>
  <c r="AB43" i="1"/>
  <c r="V43" i="1"/>
  <c r="S43" i="1"/>
  <c r="AE283" i="1"/>
  <c r="Y283" i="1"/>
  <c r="V283" i="1"/>
  <c r="AB283" i="1"/>
  <c r="S283" i="1"/>
  <c r="AE281" i="1"/>
  <c r="Y281" i="1"/>
  <c r="V281" i="1"/>
  <c r="AB281" i="1"/>
  <c r="S281" i="1"/>
  <c r="AE250" i="1"/>
  <c r="AB250" i="1"/>
  <c r="Y250" i="1"/>
  <c r="S250" i="1"/>
  <c r="V250" i="1"/>
  <c r="AE348" i="1"/>
  <c r="Y348" i="1"/>
  <c r="AB348" i="1"/>
  <c r="V348" i="1"/>
  <c r="S348" i="1"/>
  <c r="AE310" i="1"/>
  <c r="AB310" i="1"/>
  <c r="Y310" i="1"/>
  <c r="S310" i="1"/>
  <c r="V310" i="1"/>
  <c r="AE476" i="1"/>
  <c r="AB476" i="1"/>
  <c r="Y476" i="1"/>
  <c r="V476" i="1"/>
  <c r="S476" i="1"/>
  <c r="AE304" i="1"/>
  <c r="Y304" i="1"/>
  <c r="AB304" i="1"/>
  <c r="V304" i="1"/>
  <c r="S304" i="1"/>
  <c r="AE362" i="1"/>
  <c r="AB362" i="1"/>
  <c r="V362" i="1"/>
  <c r="Y362" i="1"/>
  <c r="S362" i="1"/>
  <c r="AE101" i="1"/>
  <c r="AB101" i="1"/>
  <c r="Y101" i="1"/>
  <c r="V101" i="1"/>
  <c r="S101" i="1"/>
  <c r="AE125" i="1"/>
  <c r="AB125" i="1"/>
  <c r="V125" i="1"/>
  <c r="Y125" i="1"/>
  <c r="S125" i="1"/>
  <c r="AE235" i="1"/>
  <c r="AB235" i="1"/>
  <c r="Y235" i="1"/>
  <c r="V235" i="1"/>
  <c r="S235" i="1"/>
  <c r="AE237" i="1"/>
  <c r="Y237" i="1"/>
  <c r="AB237" i="1"/>
  <c r="V237" i="1"/>
  <c r="S237" i="1"/>
  <c r="AE147" i="1"/>
  <c r="AB147" i="1"/>
  <c r="Y147" i="1"/>
  <c r="V147" i="1"/>
  <c r="S147" i="1"/>
  <c r="AE358" i="1"/>
  <c r="AB358" i="1"/>
  <c r="Y358" i="1"/>
  <c r="S358" i="1"/>
  <c r="V358" i="1"/>
  <c r="AE251" i="1"/>
  <c r="AB251" i="1"/>
  <c r="Y251" i="1"/>
  <c r="V251" i="1"/>
  <c r="S251" i="1"/>
  <c r="AE320" i="1"/>
  <c r="AB320" i="1"/>
  <c r="Y320" i="1"/>
  <c r="V320" i="1"/>
  <c r="S320" i="1"/>
  <c r="AE276" i="1"/>
  <c r="AB276" i="1"/>
  <c r="Y276" i="1"/>
  <c r="S276" i="1"/>
  <c r="V276" i="1"/>
  <c r="AE301" i="1"/>
  <c r="AB301" i="1"/>
  <c r="Y301" i="1"/>
  <c r="V301" i="1"/>
  <c r="S301" i="1"/>
  <c r="AE532" i="1"/>
  <c r="AB532" i="1"/>
  <c r="Y532" i="1"/>
  <c r="V532" i="1"/>
  <c r="S532" i="1"/>
  <c r="AE33" i="1"/>
  <c r="AB33" i="1"/>
  <c r="Y33" i="1"/>
  <c r="V33" i="1"/>
  <c r="AE65" i="1"/>
  <c r="AB65" i="1"/>
  <c r="Y65" i="1"/>
  <c r="V65" i="1"/>
  <c r="S65" i="1"/>
  <c r="AE88" i="1"/>
  <c r="Y88" i="1"/>
  <c r="AB88" i="1"/>
  <c r="V88" i="1"/>
  <c r="S88" i="1"/>
  <c r="AE259" i="1"/>
  <c r="AB259" i="1"/>
  <c r="Y259" i="1"/>
  <c r="V259" i="1"/>
  <c r="S259" i="1"/>
  <c r="AE500" i="1"/>
  <c r="AB500" i="1"/>
  <c r="V500" i="1"/>
  <c r="S500" i="1"/>
  <c r="Y500" i="1"/>
  <c r="AE215" i="1"/>
  <c r="Y215" i="1"/>
  <c r="AB215" i="1"/>
  <c r="V215" i="1"/>
  <c r="S215" i="1"/>
  <c r="AE429" i="1"/>
  <c r="AB429" i="1"/>
  <c r="Y429" i="1"/>
  <c r="V429" i="1"/>
  <c r="S429" i="1"/>
  <c r="AE330" i="1"/>
  <c r="V330" i="1"/>
  <c r="S330" i="1"/>
  <c r="AB330" i="1"/>
  <c r="Y330" i="1"/>
  <c r="AE359" i="1"/>
  <c r="AB359" i="1"/>
  <c r="Y359" i="1"/>
  <c r="V359" i="1"/>
  <c r="S359" i="1"/>
  <c r="AE260" i="1"/>
  <c r="AB260" i="1"/>
  <c r="Y260" i="1"/>
  <c r="S260" i="1"/>
  <c r="V260" i="1"/>
  <c r="AE128" i="1"/>
  <c r="AB128" i="1"/>
  <c r="Y128" i="1"/>
  <c r="S128" i="1"/>
  <c r="V128" i="1"/>
  <c r="AE246" i="1"/>
  <c r="AB246" i="1"/>
  <c r="Y246" i="1"/>
  <c r="V246" i="1"/>
  <c r="S246" i="1"/>
  <c r="Y511" i="1"/>
  <c r="AE511" i="1"/>
  <c r="AB511" i="1"/>
  <c r="S511" i="1"/>
  <c r="V511" i="1"/>
  <c r="AE115" i="1"/>
  <c r="AB115" i="1"/>
  <c r="S115" i="1"/>
  <c r="V115" i="1"/>
  <c r="Y115" i="1"/>
  <c r="AE270" i="1"/>
  <c r="V270" i="1"/>
  <c r="AB270" i="1"/>
  <c r="Y270" i="1"/>
  <c r="S270" i="1"/>
  <c r="AE400" i="1"/>
  <c r="Y400" i="1"/>
  <c r="AB400" i="1"/>
  <c r="S400" i="1"/>
  <c r="V400" i="1"/>
  <c r="AE196" i="1"/>
  <c r="Y196" i="1"/>
  <c r="AB196" i="1"/>
  <c r="V196" i="1"/>
  <c r="S196" i="1"/>
  <c r="AE224" i="1"/>
  <c r="Y224" i="1"/>
  <c r="AB224" i="1"/>
  <c r="S224" i="1"/>
  <c r="V224" i="1"/>
  <c r="AE530" i="1"/>
  <c r="AB530" i="1"/>
  <c r="Y530" i="1"/>
  <c r="V530" i="1"/>
  <c r="S530" i="1"/>
  <c r="AE366" i="1"/>
  <c r="AB366" i="1"/>
  <c r="Y366" i="1"/>
  <c r="V366" i="1"/>
  <c r="S366" i="1"/>
  <c r="AE192" i="1"/>
  <c r="AB192" i="1"/>
  <c r="Y192" i="1"/>
  <c r="V192" i="1"/>
  <c r="S192" i="1"/>
  <c r="AE20" i="1"/>
  <c r="AB20" i="1"/>
  <c r="Y20" i="1"/>
  <c r="V20" i="1"/>
  <c r="AE520" i="1"/>
  <c r="AB520" i="1"/>
  <c r="Y520" i="1"/>
  <c r="V520" i="1"/>
  <c r="S520" i="1"/>
  <c r="AE49" i="1"/>
  <c r="AB49" i="1"/>
  <c r="V49" i="1"/>
  <c r="Y49" i="1"/>
  <c r="S49" i="1"/>
  <c r="AE335" i="1"/>
  <c r="Y335" i="1"/>
  <c r="AB335" i="1"/>
  <c r="V335" i="1"/>
  <c r="S335" i="1"/>
  <c r="AE163" i="1"/>
  <c r="AB163" i="1"/>
  <c r="Y163" i="1"/>
  <c r="V163" i="1"/>
  <c r="S163" i="1"/>
  <c r="AE472" i="1"/>
  <c r="Y472" i="1"/>
  <c r="AB472" i="1"/>
  <c r="V472" i="1"/>
  <c r="S472" i="1"/>
  <c r="AE484" i="1"/>
  <c r="Y484" i="1"/>
  <c r="AB484" i="1"/>
  <c r="S484" i="1"/>
  <c r="V484" i="1"/>
  <c r="AE529" i="1"/>
  <c r="AB529" i="1"/>
  <c r="Y529" i="1"/>
  <c r="V529" i="1"/>
  <c r="S529" i="1"/>
  <c r="AE436" i="1"/>
  <c r="AB436" i="1"/>
  <c r="S436" i="1"/>
  <c r="Y436" i="1"/>
  <c r="V436" i="1"/>
  <c r="AE263" i="1"/>
  <c r="AB263" i="1"/>
  <c r="Y263" i="1"/>
  <c r="S263" i="1"/>
  <c r="V263" i="1"/>
  <c r="AE90" i="1"/>
  <c r="AB90" i="1"/>
  <c r="V90" i="1"/>
  <c r="S90" i="1"/>
  <c r="Y90" i="1"/>
  <c r="AE96" i="1"/>
  <c r="AB96" i="1"/>
  <c r="Y96" i="1"/>
  <c r="V96" i="1"/>
  <c r="S96" i="1"/>
  <c r="AE253" i="1"/>
  <c r="AB253" i="1"/>
  <c r="Y253" i="1"/>
  <c r="V253" i="1"/>
  <c r="S253" i="1"/>
  <c r="AE503" i="1"/>
  <c r="AB503" i="1"/>
  <c r="Y503" i="1"/>
  <c r="V503" i="1"/>
  <c r="S503" i="1"/>
  <c r="AE175" i="1"/>
  <c r="AB175" i="1"/>
  <c r="Y175" i="1"/>
  <c r="V175" i="1"/>
  <c r="S175" i="1"/>
  <c r="AB428" i="1"/>
  <c r="AE428" i="1"/>
  <c r="Y428" i="1"/>
  <c r="V428" i="1"/>
  <c r="S428" i="1"/>
  <c r="AE396" i="1"/>
  <c r="Y396" i="1"/>
  <c r="V396" i="1"/>
  <c r="S396" i="1"/>
  <c r="AB396" i="1"/>
  <c r="AE515" i="1"/>
  <c r="AB515" i="1"/>
  <c r="Y515" i="1"/>
  <c r="V515" i="1"/>
  <c r="S515" i="1"/>
  <c r="AE145" i="1"/>
  <c r="AB145" i="1"/>
  <c r="V145" i="1"/>
  <c r="Y145" i="1"/>
  <c r="S145" i="1"/>
  <c r="AE390" i="1"/>
  <c r="AB390" i="1"/>
  <c r="S390" i="1"/>
  <c r="V390" i="1"/>
  <c r="Y390" i="1"/>
  <c r="AE216" i="1"/>
  <c r="AB216" i="1"/>
  <c r="Y216" i="1"/>
  <c r="V216" i="1"/>
  <c r="S216" i="1"/>
  <c r="AE44" i="1"/>
  <c r="Y44" i="1"/>
  <c r="AB44" i="1"/>
  <c r="V44" i="1"/>
  <c r="S44" i="1"/>
  <c r="AE375" i="1"/>
  <c r="AB375" i="1"/>
  <c r="Y375" i="1"/>
  <c r="V375" i="1"/>
  <c r="S375" i="1"/>
  <c r="AE231" i="1"/>
  <c r="AB231" i="1"/>
  <c r="Y231" i="1"/>
  <c r="V231" i="1"/>
  <c r="S231" i="1"/>
  <c r="AE87" i="1"/>
  <c r="AB87" i="1"/>
  <c r="Y87" i="1"/>
  <c r="V87" i="1"/>
  <c r="S87" i="1"/>
  <c r="AE434" i="1"/>
  <c r="AB434" i="1"/>
  <c r="Y434" i="1"/>
  <c r="V434" i="1"/>
  <c r="S434" i="1"/>
  <c r="AE291" i="1"/>
  <c r="Y291" i="1"/>
  <c r="AB291" i="1"/>
  <c r="V291" i="1"/>
  <c r="S291" i="1"/>
  <c r="AE146" i="1"/>
  <c r="AB146" i="1"/>
  <c r="Y146" i="1"/>
  <c r="V146" i="1"/>
  <c r="S146" i="1"/>
  <c r="AE201" i="1"/>
  <c r="Y201" i="1"/>
  <c r="S201" i="1"/>
  <c r="AB201" i="1"/>
  <c r="V201" i="1"/>
  <c r="AE331" i="1"/>
  <c r="AB331" i="1"/>
  <c r="V331" i="1"/>
  <c r="S331" i="1"/>
  <c r="Y331" i="1"/>
  <c r="AE325" i="1"/>
  <c r="AB325" i="1"/>
  <c r="V325" i="1"/>
  <c r="Y325" i="1"/>
  <c r="S325" i="1"/>
  <c r="AE543" i="1"/>
  <c r="AB543" i="1"/>
  <c r="V543" i="1"/>
  <c r="S543" i="1"/>
  <c r="Y543" i="1"/>
  <c r="AE495" i="1"/>
  <c r="AB495" i="1"/>
  <c r="Y495" i="1"/>
  <c r="V495" i="1"/>
  <c r="S495" i="1"/>
  <c r="AE377" i="1"/>
  <c r="AB377" i="1"/>
  <c r="Y377" i="1"/>
  <c r="V377" i="1"/>
  <c r="S377" i="1"/>
  <c r="AE318" i="1"/>
  <c r="AB318" i="1"/>
  <c r="Y318" i="1"/>
  <c r="V318" i="1"/>
  <c r="S318" i="1"/>
  <c r="AE230" i="1"/>
  <c r="AB230" i="1"/>
  <c r="V230" i="1"/>
  <c r="Y230" i="1"/>
  <c r="S230" i="1"/>
  <c r="AE83" i="1"/>
  <c r="AB83" i="1"/>
  <c r="Y83" i="1"/>
  <c r="V83" i="1"/>
  <c r="S83" i="1"/>
  <c r="AE225" i="1"/>
  <c r="AB225" i="1"/>
  <c r="Y225" i="1"/>
  <c r="S225" i="1"/>
  <c r="V225" i="1"/>
  <c r="AE77" i="1"/>
  <c r="AB77" i="1"/>
  <c r="V77" i="1"/>
  <c r="S77" i="1"/>
  <c r="Y77" i="1"/>
  <c r="AE347" i="1"/>
  <c r="AB347" i="1"/>
  <c r="Y347" i="1"/>
  <c r="V347" i="1"/>
  <c r="S347" i="1"/>
  <c r="AE159" i="1"/>
  <c r="AB159" i="1"/>
  <c r="Y159" i="1"/>
  <c r="V159" i="1"/>
  <c r="S159" i="1"/>
  <c r="AE317" i="1"/>
  <c r="AB317" i="1"/>
  <c r="Y317" i="1"/>
  <c r="V317" i="1"/>
  <c r="S317" i="1"/>
  <c r="AE416" i="1"/>
  <c r="AB416" i="1"/>
  <c r="Y416" i="1"/>
  <c r="V416" i="1"/>
  <c r="S416" i="1"/>
  <c r="AE154" i="1"/>
  <c r="AB154" i="1"/>
  <c r="Y154" i="1"/>
  <c r="V154" i="1"/>
  <c r="S154" i="1"/>
  <c r="AE438" i="1"/>
  <c r="AB438" i="1"/>
  <c r="S438" i="1"/>
  <c r="Y438" i="1"/>
  <c r="V438" i="1"/>
  <c r="AE367" i="1"/>
  <c r="AB367" i="1"/>
  <c r="Y367" i="1"/>
  <c r="V367" i="1"/>
  <c r="S367" i="1"/>
  <c r="AE61" i="1"/>
  <c r="AB61" i="1"/>
  <c r="V61" i="1"/>
  <c r="Y61" i="1"/>
  <c r="S61" i="1"/>
  <c r="AE162" i="1"/>
  <c r="AB162" i="1"/>
  <c r="Y162" i="1"/>
  <c r="V162" i="1"/>
  <c r="S162" i="1"/>
  <c r="AE319" i="1"/>
  <c r="AB319" i="1"/>
  <c r="Y319" i="1"/>
  <c r="V319" i="1"/>
  <c r="S319" i="1"/>
  <c r="AE462" i="1"/>
  <c r="AB462" i="1"/>
  <c r="Y462" i="1"/>
  <c r="S462" i="1"/>
  <c r="V462" i="1"/>
  <c r="AE435" i="1"/>
  <c r="AB435" i="1"/>
  <c r="V435" i="1"/>
  <c r="S435" i="1"/>
  <c r="Y435" i="1"/>
  <c r="AE3" i="1"/>
  <c r="AB3" i="1"/>
  <c r="Y3" i="1"/>
  <c r="V3" i="1"/>
  <c r="AE29" i="1"/>
  <c r="AB29" i="1"/>
  <c r="Y29" i="1"/>
  <c r="V29" i="1"/>
  <c r="AE23" i="1"/>
  <c r="AB23" i="1"/>
  <c r="Y23" i="1"/>
  <c r="V23" i="1"/>
  <c r="AE47" i="1"/>
  <c r="AB47" i="1"/>
  <c r="Y47" i="1"/>
  <c r="V47" i="1"/>
  <c r="S47" i="1"/>
  <c r="AE290" i="1"/>
  <c r="AB290" i="1"/>
  <c r="V290" i="1"/>
  <c r="Y290" i="1"/>
  <c r="S290" i="1"/>
  <c r="AE338" i="1"/>
  <c r="AB338" i="1"/>
  <c r="V338" i="1"/>
  <c r="Y338" i="1"/>
  <c r="S338" i="1"/>
  <c r="AE401" i="1"/>
  <c r="AB401" i="1"/>
  <c r="Y401" i="1"/>
  <c r="V401" i="1"/>
  <c r="S401" i="1"/>
  <c r="AE100" i="1"/>
  <c r="AB100" i="1"/>
  <c r="Y100" i="1"/>
  <c r="V100" i="1"/>
  <c r="S100" i="1"/>
  <c r="AE52" i="1"/>
  <c r="Y52" i="1"/>
  <c r="V52" i="1"/>
  <c r="AB52" i="1"/>
  <c r="S52" i="1"/>
  <c r="AE408" i="1"/>
  <c r="AB408" i="1"/>
  <c r="Y408" i="1"/>
  <c r="S408" i="1"/>
  <c r="V408" i="1"/>
  <c r="AE205" i="1"/>
  <c r="AB205" i="1"/>
  <c r="V205" i="1"/>
  <c r="Y205" i="1"/>
  <c r="S205" i="1"/>
  <c r="AE307" i="1"/>
  <c r="AB307" i="1"/>
  <c r="Y307" i="1"/>
  <c r="V307" i="1"/>
  <c r="S307" i="1"/>
  <c r="AE31" i="1"/>
  <c r="AB31" i="1"/>
  <c r="Y31" i="1"/>
  <c r="V31" i="1"/>
  <c r="AE261" i="1"/>
  <c r="Y261" i="1"/>
  <c r="AB261" i="1"/>
  <c r="S261" i="1"/>
  <c r="V261" i="1"/>
  <c r="AE123" i="1"/>
  <c r="AB123" i="1"/>
  <c r="Y123" i="1"/>
  <c r="V123" i="1"/>
  <c r="S123" i="1"/>
  <c r="AE56" i="1"/>
  <c r="AB56" i="1"/>
  <c r="Y56" i="1"/>
  <c r="S56" i="1"/>
  <c r="V56" i="1"/>
  <c r="AE444" i="1"/>
  <c r="Y444" i="1"/>
  <c r="AB444" i="1"/>
  <c r="V444" i="1"/>
  <c r="S444" i="1"/>
  <c r="AE371" i="1"/>
  <c r="AB371" i="1"/>
  <c r="Y371" i="1"/>
  <c r="V371" i="1"/>
  <c r="S371" i="1"/>
  <c r="AE214" i="1"/>
  <c r="AB214" i="1"/>
  <c r="Y214" i="1"/>
  <c r="V214" i="1"/>
  <c r="S214" i="1"/>
  <c r="AE187" i="1"/>
  <c r="AB187" i="1"/>
  <c r="Y187" i="1"/>
  <c r="V187" i="1"/>
  <c r="S187" i="1"/>
  <c r="AE488" i="1"/>
  <c r="AB488" i="1"/>
  <c r="V488" i="1"/>
  <c r="Y488" i="1"/>
  <c r="S488" i="1"/>
  <c r="AE70" i="1"/>
  <c r="AB70" i="1"/>
  <c r="Y70" i="1"/>
  <c r="V70" i="1"/>
  <c r="S70" i="1"/>
  <c r="AE523" i="1"/>
  <c r="AB523" i="1"/>
  <c r="Y523" i="1"/>
  <c r="S523" i="1"/>
  <c r="V523" i="1"/>
  <c r="AE169" i="1"/>
  <c r="AB169" i="1"/>
  <c r="V169" i="1"/>
  <c r="Y169" i="1"/>
  <c r="S169" i="1"/>
  <c r="AE57" i="1"/>
  <c r="AB57" i="1"/>
  <c r="Y57" i="1"/>
  <c r="S57" i="1"/>
  <c r="V57" i="1"/>
  <c r="AE197" i="1"/>
  <c r="Y197" i="1"/>
  <c r="V197" i="1"/>
  <c r="AB197" i="1"/>
  <c r="S197" i="1"/>
  <c r="AE313" i="1"/>
  <c r="AB313" i="1"/>
  <c r="Y313" i="1"/>
  <c r="V313" i="1"/>
  <c r="S313" i="1"/>
  <c r="AE94" i="1"/>
  <c r="AB94" i="1"/>
  <c r="Y94" i="1"/>
  <c r="V94" i="1"/>
  <c r="S94" i="1"/>
  <c r="AE108" i="1"/>
  <c r="Y108" i="1"/>
  <c r="V108" i="1"/>
  <c r="AB108" i="1"/>
  <c r="S108" i="1"/>
  <c r="AE518" i="1"/>
  <c r="AB518" i="1"/>
  <c r="Y518" i="1"/>
  <c r="V518" i="1"/>
  <c r="S518" i="1"/>
  <c r="AE352" i="1"/>
  <c r="AB352" i="1"/>
  <c r="V352" i="1"/>
  <c r="Y352" i="1"/>
  <c r="S352" i="1"/>
  <c r="AE178" i="1"/>
  <c r="AB178" i="1"/>
  <c r="Y178" i="1"/>
  <c r="V178" i="1"/>
  <c r="S178" i="1"/>
  <c r="AE6" i="1"/>
  <c r="AB6" i="1"/>
  <c r="V6" i="1"/>
  <c r="Y6" i="1"/>
  <c r="AE426" i="1"/>
  <c r="Y426" i="1"/>
  <c r="AB426" i="1"/>
  <c r="S426" i="1"/>
  <c r="V426" i="1"/>
  <c r="AE541" i="1"/>
  <c r="AB541" i="1"/>
  <c r="V541" i="1"/>
  <c r="S541" i="1"/>
  <c r="Y541" i="1"/>
  <c r="AE321" i="1"/>
  <c r="Y321" i="1"/>
  <c r="AB321" i="1"/>
  <c r="V321" i="1"/>
  <c r="S321" i="1"/>
  <c r="AE149" i="1"/>
  <c r="AB149" i="1"/>
  <c r="V149" i="1"/>
  <c r="Y149" i="1"/>
  <c r="S149" i="1"/>
  <c r="AE384" i="1"/>
  <c r="AB384" i="1"/>
  <c r="Y384" i="1"/>
  <c r="S384" i="1"/>
  <c r="V384" i="1"/>
  <c r="AE368" i="1"/>
  <c r="AB368" i="1"/>
  <c r="Y368" i="1"/>
  <c r="V368" i="1"/>
  <c r="S368" i="1"/>
  <c r="AE493" i="1"/>
  <c r="AB493" i="1"/>
  <c r="V493" i="1"/>
  <c r="Y493" i="1"/>
  <c r="S493" i="1"/>
  <c r="AE420" i="1"/>
  <c r="Y420" i="1"/>
  <c r="AB420" i="1"/>
  <c r="V420" i="1"/>
  <c r="S420" i="1"/>
  <c r="AE249" i="1"/>
  <c r="Y249" i="1"/>
  <c r="AB249" i="1"/>
  <c r="V249" i="1"/>
  <c r="S249" i="1"/>
  <c r="AE76" i="1"/>
  <c r="Y76" i="1"/>
  <c r="AB76" i="1"/>
  <c r="V76" i="1"/>
  <c r="S76" i="1"/>
  <c r="AE24" i="1"/>
  <c r="V24" i="1"/>
  <c r="Y24" i="1"/>
  <c r="AB24" i="1"/>
  <c r="AE152" i="1"/>
  <c r="Y152" i="1"/>
  <c r="AB152" i="1"/>
  <c r="V152" i="1"/>
  <c r="S152" i="1"/>
  <c r="AE477" i="1"/>
  <c r="AB477" i="1"/>
  <c r="Y477" i="1"/>
  <c r="V477" i="1"/>
  <c r="S477" i="1"/>
  <c r="AE161" i="1"/>
  <c r="AB161" i="1"/>
  <c r="Y161" i="1"/>
  <c r="V161" i="1"/>
  <c r="S161" i="1"/>
  <c r="AE342" i="1"/>
  <c r="AB342" i="1"/>
  <c r="Y342" i="1"/>
  <c r="V342" i="1"/>
  <c r="S342" i="1"/>
  <c r="AE269" i="1"/>
  <c r="AB269" i="1"/>
  <c r="Y269" i="1"/>
  <c r="V269" i="1"/>
  <c r="S269" i="1"/>
  <c r="AE491" i="1"/>
  <c r="AB491" i="1"/>
  <c r="Y491" i="1"/>
  <c r="V491" i="1"/>
  <c r="S491" i="1"/>
  <c r="AB538" i="1"/>
  <c r="AE538" i="1"/>
  <c r="Y538" i="1"/>
  <c r="S538" i="1"/>
  <c r="V538" i="1"/>
  <c r="AE376" i="1"/>
  <c r="AB376" i="1"/>
  <c r="Y376" i="1"/>
  <c r="V376" i="1"/>
  <c r="S376" i="1"/>
  <c r="AE202" i="1"/>
  <c r="AB202" i="1"/>
  <c r="Y202" i="1"/>
  <c r="V202" i="1"/>
  <c r="S202" i="1"/>
  <c r="AE30" i="1"/>
  <c r="AB30" i="1"/>
  <c r="Y30" i="1"/>
  <c r="V30" i="1"/>
  <c r="AE363" i="1"/>
  <c r="AB363" i="1"/>
  <c r="V363" i="1"/>
  <c r="S363" i="1"/>
  <c r="Y363" i="1"/>
  <c r="AB219" i="1"/>
  <c r="AE219" i="1"/>
  <c r="Y219" i="1"/>
  <c r="V219" i="1"/>
  <c r="S219" i="1"/>
  <c r="AE75" i="1"/>
  <c r="AB75" i="1"/>
  <c r="Y75" i="1"/>
  <c r="V75" i="1"/>
  <c r="S75" i="1"/>
  <c r="AE422" i="1"/>
  <c r="AB422" i="1"/>
  <c r="Y422" i="1"/>
  <c r="V422" i="1"/>
  <c r="S422" i="1"/>
  <c r="AE279" i="1"/>
  <c r="AB279" i="1"/>
  <c r="V279" i="1"/>
  <c r="Y279" i="1"/>
  <c r="S279" i="1"/>
  <c r="AE134" i="1"/>
  <c r="AB134" i="1"/>
  <c r="Y134" i="1"/>
  <c r="V134" i="1"/>
  <c r="S134" i="1"/>
  <c r="AE501" i="1"/>
  <c r="AB501" i="1"/>
  <c r="Y501" i="1"/>
  <c r="V501" i="1"/>
  <c r="S501" i="1"/>
  <c r="AE425" i="1"/>
  <c r="AB425" i="1"/>
  <c r="Y425" i="1"/>
  <c r="V425" i="1"/>
  <c r="S425" i="1"/>
  <c r="AE364" i="1"/>
  <c r="AB364" i="1"/>
  <c r="V364" i="1"/>
  <c r="Y364" i="1"/>
  <c r="S364" i="1"/>
  <c r="AE97" i="1"/>
  <c r="AB97" i="1"/>
  <c r="Y97" i="1"/>
  <c r="V97" i="1"/>
  <c r="S97" i="1"/>
  <c r="AE474" i="1"/>
  <c r="AB474" i="1"/>
  <c r="Y474" i="1"/>
  <c r="V474" i="1"/>
  <c r="S474" i="1"/>
  <c r="AE241" i="1"/>
  <c r="AB241" i="1"/>
  <c r="Y241" i="1"/>
  <c r="V241" i="1"/>
  <c r="S241" i="1"/>
  <c r="AE323" i="1"/>
  <c r="AB323" i="1"/>
  <c r="Y323" i="1"/>
  <c r="V323" i="1"/>
  <c r="S323" i="1"/>
  <c r="AE106" i="1"/>
  <c r="AB106" i="1"/>
  <c r="Y106" i="1"/>
  <c r="V106" i="1"/>
  <c r="S106" i="1"/>
  <c r="AE437" i="1"/>
  <c r="Y437" i="1"/>
  <c r="AB437" i="1"/>
  <c r="S437" i="1"/>
  <c r="V437" i="1"/>
  <c r="AE516" i="1"/>
  <c r="Y516" i="1"/>
  <c r="AB516" i="1"/>
  <c r="V516" i="1"/>
  <c r="S516" i="1"/>
  <c r="AE4" i="1"/>
  <c r="AB4" i="1"/>
  <c r="Y4" i="1"/>
  <c r="V4" i="1"/>
  <c r="AE73" i="1"/>
  <c r="AB73" i="1"/>
  <c r="V73" i="1"/>
  <c r="Y73" i="1"/>
  <c r="S73" i="1"/>
  <c r="AE305" i="1"/>
  <c r="Y305" i="1"/>
  <c r="AB305" i="1"/>
  <c r="V305" i="1"/>
  <c r="S305" i="1"/>
  <c r="AE447" i="1"/>
  <c r="AB447" i="1"/>
  <c r="Y447" i="1"/>
  <c r="V447" i="1"/>
  <c r="S447" i="1"/>
  <c r="AE15" i="1"/>
  <c r="AB15" i="1"/>
  <c r="Y15" i="1"/>
  <c r="V15" i="1"/>
  <c r="AE402" i="1"/>
  <c r="AB402" i="1"/>
  <c r="Y402" i="1"/>
  <c r="V402" i="1"/>
  <c r="S402" i="1"/>
  <c r="AE403" i="1"/>
  <c r="AB403" i="1"/>
  <c r="Y403" i="1"/>
  <c r="S403" i="1"/>
  <c r="V403" i="1"/>
  <c r="AE92" i="1"/>
  <c r="AB92" i="1"/>
  <c r="Y92" i="1"/>
  <c r="S92" i="1"/>
  <c r="V92" i="1"/>
  <c r="AE334" i="1"/>
  <c r="AB334" i="1"/>
  <c r="V334" i="1"/>
  <c r="S334" i="1"/>
  <c r="Y334" i="1"/>
  <c r="AE306" i="1"/>
  <c r="AB306" i="1"/>
  <c r="Y306" i="1"/>
  <c r="V306" i="1"/>
  <c r="S306" i="1"/>
  <c r="AE172" i="1"/>
  <c r="V172" i="1"/>
  <c r="AB172" i="1"/>
  <c r="Y172" i="1"/>
  <c r="S172" i="1"/>
  <c r="AE127" i="1"/>
  <c r="AB127" i="1"/>
  <c r="Y127" i="1"/>
  <c r="V127" i="1"/>
  <c r="S127" i="1"/>
  <c r="AE355" i="1"/>
  <c r="AB355" i="1"/>
  <c r="Y355" i="1"/>
  <c r="S355" i="1"/>
  <c r="V355" i="1"/>
  <c r="AE148" i="1"/>
  <c r="AB148" i="1"/>
  <c r="V148" i="1"/>
  <c r="Y148" i="1"/>
  <c r="S148" i="1"/>
  <c r="AE282" i="1"/>
  <c r="AB282" i="1"/>
  <c r="Y282" i="1"/>
  <c r="V282" i="1"/>
  <c r="S282" i="1"/>
  <c r="AE536" i="1"/>
  <c r="AB536" i="1"/>
  <c r="Y536" i="1"/>
  <c r="V536" i="1"/>
  <c r="S536" i="1"/>
  <c r="AE236" i="1"/>
  <c r="Y236" i="1"/>
  <c r="AB236" i="1"/>
  <c r="V236" i="1"/>
  <c r="S236" i="1"/>
  <c r="AE193" i="1"/>
  <c r="AB193" i="1"/>
  <c r="Y193" i="1"/>
  <c r="V193" i="1"/>
  <c r="S193" i="1"/>
  <c r="AE262" i="1"/>
  <c r="Y262" i="1"/>
  <c r="AB262" i="1"/>
  <c r="V262" i="1"/>
  <c r="S262" i="1"/>
  <c r="AE268" i="1"/>
  <c r="Y268" i="1"/>
  <c r="AB268" i="1"/>
  <c r="V268" i="1"/>
  <c r="S268" i="1"/>
  <c r="AE286" i="1"/>
  <c r="AB286" i="1"/>
  <c r="Y286" i="1"/>
  <c r="S286" i="1"/>
  <c r="V286" i="1"/>
  <c r="AE156" i="1"/>
  <c r="AB156" i="1"/>
  <c r="Y156" i="1"/>
  <c r="V156" i="1"/>
  <c r="S156" i="1"/>
  <c r="AE314" i="1"/>
  <c r="V314" i="1"/>
  <c r="AB314" i="1"/>
  <c r="Y314" i="1"/>
  <c r="S314" i="1"/>
  <c r="AE42" i="1"/>
  <c r="Y42" i="1"/>
  <c r="AB42" i="1"/>
  <c r="V42" i="1"/>
  <c r="S42" i="1"/>
  <c r="AE129" i="1"/>
  <c r="AB129" i="1"/>
  <c r="Y129" i="1"/>
  <c r="V129" i="1"/>
  <c r="S129" i="1"/>
  <c r="AE142" i="1"/>
  <c r="AB142" i="1"/>
  <c r="Y142" i="1"/>
  <c r="V142" i="1"/>
  <c r="S142" i="1"/>
  <c r="AE12" i="1"/>
  <c r="AB12" i="1"/>
  <c r="Y12" i="1"/>
  <c r="V12" i="1"/>
  <c r="AE473" i="1"/>
  <c r="AB473" i="1"/>
  <c r="Y473" i="1"/>
  <c r="V473" i="1"/>
  <c r="S473" i="1"/>
  <c r="AE537" i="1"/>
  <c r="Y537" i="1"/>
  <c r="AB537" i="1"/>
  <c r="S537" i="1"/>
  <c r="V537" i="1"/>
  <c r="AE522" i="1"/>
  <c r="AB522" i="1"/>
  <c r="Y522" i="1"/>
  <c r="S522" i="1"/>
  <c r="V522" i="1"/>
  <c r="AE109" i="1"/>
  <c r="AB109" i="1"/>
  <c r="Y109" i="1"/>
  <c r="V109" i="1"/>
  <c r="S109" i="1"/>
  <c r="AE226" i="1"/>
  <c r="AB226" i="1"/>
  <c r="Y226" i="1"/>
  <c r="V226" i="1"/>
  <c r="S226" i="1"/>
  <c r="AE21" i="1"/>
  <c r="AB21" i="1"/>
  <c r="Y21" i="1"/>
  <c r="V21" i="1"/>
  <c r="AE22" i="1"/>
  <c r="AB22" i="1"/>
  <c r="Y22" i="1"/>
  <c r="V22" i="1"/>
  <c r="AE506" i="1"/>
  <c r="AB506" i="1"/>
  <c r="V506" i="1"/>
  <c r="Y506" i="1"/>
  <c r="S506" i="1"/>
  <c r="AE336" i="1"/>
  <c r="AB336" i="1"/>
  <c r="Y336" i="1"/>
  <c r="V336" i="1"/>
  <c r="S336" i="1"/>
  <c r="AE164" i="1"/>
  <c r="Y164" i="1"/>
  <c r="AB164" i="1"/>
  <c r="S164" i="1"/>
  <c r="V164" i="1"/>
  <c r="AB498" i="1"/>
  <c r="Y498" i="1"/>
  <c r="AE498" i="1"/>
  <c r="S498" i="1"/>
  <c r="V498" i="1"/>
  <c r="AE311" i="1"/>
  <c r="AB311" i="1"/>
  <c r="Y311" i="1"/>
  <c r="S311" i="1"/>
  <c r="V311" i="1"/>
  <c r="AE517" i="1"/>
  <c r="AB517" i="1"/>
  <c r="V517" i="1"/>
  <c r="Y517" i="1"/>
  <c r="S517" i="1"/>
  <c r="AE308" i="1"/>
  <c r="AB308" i="1"/>
  <c r="Y308" i="1"/>
  <c r="S308" i="1"/>
  <c r="V308" i="1"/>
  <c r="AE133" i="1"/>
  <c r="AB133" i="1"/>
  <c r="Y133" i="1"/>
  <c r="V133" i="1"/>
  <c r="S133" i="1"/>
  <c r="AE285" i="1"/>
  <c r="AB285" i="1"/>
  <c r="Y285" i="1"/>
  <c r="V285" i="1"/>
  <c r="S285" i="1"/>
  <c r="AE238" i="1"/>
  <c r="AB238" i="1"/>
  <c r="Y238" i="1"/>
  <c r="V238" i="1"/>
  <c r="S238" i="1"/>
  <c r="AE451" i="1"/>
  <c r="AB451" i="1"/>
  <c r="Y451" i="1"/>
  <c r="S451" i="1"/>
  <c r="V451" i="1"/>
  <c r="AE406" i="1"/>
  <c r="AB406" i="1"/>
  <c r="S406" i="1"/>
  <c r="Y406" i="1"/>
  <c r="V406" i="1"/>
  <c r="AE234" i="1"/>
  <c r="AB234" i="1"/>
  <c r="Y234" i="1"/>
  <c r="V234" i="1"/>
  <c r="S234" i="1"/>
  <c r="AE60" i="1"/>
  <c r="Y60" i="1"/>
  <c r="V60" i="1"/>
  <c r="AB60" i="1"/>
  <c r="S60" i="1"/>
  <c r="AE497" i="1"/>
  <c r="AB497" i="1"/>
  <c r="Y497" i="1"/>
  <c r="V497" i="1"/>
  <c r="S497" i="1"/>
  <c r="AE36" i="1"/>
  <c r="AB36" i="1"/>
  <c r="Y36" i="1"/>
  <c r="V36" i="1"/>
  <c r="S36" i="1"/>
  <c r="AE463" i="1"/>
  <c r="AB463" i="1"/>
  <c r="Y463" i="1"/>
  <c r="V463" i="1"/>
  <c r="S463" i="1"/>
  <c r="AE131" i="1"/>
  <c r="AB131" i="1"/>
  <c r="Y131" i="1"/>
  <c r="V131" i="1"/>
  <c r="S131" i="1"/>
  <c r="AE271" i="1"/>
  <c r="AB271" i="1"/>
  <c r="Y271" i="1"/>
  <c r="V271" i="1"/>
  <c r="S271" i="1"/>
  <c r="AE166" i="1"/>
  <c r="AB166" i="1"/>
  <c r="Y166" i="1"/>
  <c r="S166" i="1"/>
  <c r="V166" i="1"/>
  <c r="AE449" i="1"/>
  <c r="AB449" i="1"/>
  <c r="Y449" i="1"/>
  <c r="V449" i="1"/>
  <c r="S449" i="1"/>
  <c r="AE526" i="1"/>
  <c r="AB526" i="1"/>
  <c r="Y526" i="1"/>
  <c r="S526" i="1"/>
  <c r="V526" i="1"/>
  <c r="AE360" i="1"/>
  <c r="AB360" i="1"/>
  <c r="Y360" i="1"/>
  <c r="V360" i="1"/>
  <c r="S360" i="1"/>
  <c r="AE188" i="1"/>
  <c r="AB188" i="1"/>
  <c r="Y188" i="1"/>
  <c r="V188" i="1"/>
  <c r="S188" i="1"/>
  <c r="AE16" i="1"/>
  <c r="AB16" i="1"/>
  <c r="Y16" i="1"/>
  <c r="V16" i="1"/>
  <c r="AE351" i="1"/>
  <c r="AB351" i="1"/>
  <c r="Y351" i="1"/>
  <c r="V351" i="1"/>
  <c r="S351" i="1"/>
  <c r="AE207" i="1"/>
  <c r="AB207" i="1"/>
  <c r="V207" i="1"/>
  <c r="Y207" i="1"/>
  <c r="S207" i="1"/>
  <c r="AE63" i="1"/>
  <c r="AB63" i="1"/>
  <c r="Y63" i="1"/>
  <c r="V63" i="1"/>
  <c r="S63" i="1"/>
  <c r="AE410" i="1"/>
  <c r="AB410" i="1"/>
  <c r="Y410" i="1"/>
  <c r="V410" i="1"/>
  <c r="S410" i="1"/>
  <c r="AE267" i="1"/>
  <c r="AB267" i="1"/>
  <c r="V267" i="1"/>
  <c r="Y267" i="1"/>
  <c r="S267" i="1"/>
  <c r="AE122" i="1"/>
  <c r="AB122" i="1"/>
  <c r="V122" i="1"/>
  <c r="Y122" i="1"/>
  <c r="S122" i="1"/>
  <c r="AE213" i="1"/>
  <c r="AB213" i="1"/>
  <c r="Y213" i="1"/>
  <c r="S213" i="1"/>
  <c r="V213" i="1"/>
  <c r="AE328" i="1"/>
  <c r="V328" i="1"/>
  <c r="Y328" i="1"/>
  <c r="AB328" i="1"/>
  <c r="S328" i="1"/>
  <c r="AE295" i="1"/>
  <c r="AB295" i="1"/>
  <c r="Y295" i="1"/>
  <c r="V295" i="1"/>
  <c r="S295" i="1"/>
  <c r="AE91" i="1"/>
  <c r="AB91" i="1"/>
  <c r="Y91" i="1"/>
  <c r="V91" i="1"/>
  <c r="S91" i="1"/>
  <c r="AE18" i="1"/>
  <c r="AB18" i="1"/>
  <c r="Y18" i="1"/>
  <c r="V18" i="1"/>
  <c r="AE453" i="1"/>
  <c r="AB453" i="1"/>
  <c r="Y453" i="1"/>
  <c r="S453" i="1"/>
  <c r="V453" i="1"/>
  <c r="AE326" i="1"/>
  <c r="Y326" i="1"/>
  <c r="V326" i="1"/>
  <c r="AB326" i="1"/>
  <c r="S326" i="1"/>
  <c r="AE242" i="1"/>
  <c r="V242" i="1"/>
  <c r="AB242" i="1"/>
  <c r="Y242" i="1"/>
  <c r="S242" i="1"/>
  <c r="AE40" i="1"/>
  <c r="Y40" i="1"/>
  <c r="AB40" i="1"/>
  <c r="V40" i="1"/>
  <c r="S40" i="1"/>
  <c r="AE176" i="1"/>
  <c r="AB176" i="1"/>
  <c r="Y176" i="1"/>
  <c r="V176" i="1"/>
  <c r="S176" i="1"/>
  <c r="AE333" i="1"/>
  <c r="AB333" i="1"/>
  <c r="Y333" i="1"/>
  <c r="S333" i="1"/>
  <c r="V333" i="1"/>
  <c r="AE373" i="1"/>
  <c r="AB373" i="1"/>
  <c r="Y373" i="1"/>
  <c r="V373" i="1"/>
  <c r="S373" i="1"/>
  <c r="AE252" i="1"/>
  <c r="AB252" i="1"/>
  <c r="Y252" i="1"/>
  <c r="V252" i="1"/>
  <c r="S252" i="1"/>
  <c r="AE337" i="1"/>
  <c r="AB337" i="1"/>
  <c r="Y337" i="1"/>
  <c r="V337" i="1"/>
  <c r="S337" i="1"/>
  <c r="AE397" i="1"/>
  <c r="AB397" i="1"/>
  <c r="Y397" i="1"/>
  <c r="V397" i="1"/>
  <c r="S397" i="1"/>
  <c r="AE206" i="1"/>
  <c r="AB206" i="1"/>
  <c r="V206" i="1"/>
  <c r="Y206" i="1"/>
  <c r="S206" i="1"/>
  <c r="Y512" i="1"/>
  <c r="AE512" i="1"/>
  <c r="AB512" i="1"/>
  <c r="S512" i="1"/>
  <c r="V512" i="1"/>
  <c r="AE85" i="1"/>
  <c r="AB85" i="1"/>
  <c r="V85" i="1"/>
  <c r="Y85" i="1"/>
  <c r="S85" i="1"/>
  <c r="AE167" i="1"/>
  <c r="AB167" i="1"/>
  <c r="Y167" i="1"/>
  <c r="S167" i="1"/>
  <c r="V167" i="1"/>
  <c r="AE424" i="1"/>
  <c r="AB424" i="1"/>
  <c r="Y424" i="1"/>
  <c r="V424" i="1"/>
  <c r="S424" i="1"/>
  <c r="AE296" i="1"/>
  <c r="AB296" i="1"/>
  <c r="Y296" i="1"/>
  <c r="V296" i="1"/>
  <c r="S296" i="1"/>
  <c r="AE312" i="1"/>
  <c r="AB312" i="1"/>
  <c r="Y312" i="1"/>
  <c r="S312" i="1"/>
  <c r="V312" i="1"/>
  <c r="AE492" i="1"/>
  <c r="Y492" i="1"/>
  <c r="AB492" i="1"/>
  <c r="S492" i="1"/>
  <c r="V492" i="1"/>
  <c r="AE151" i="1"/>
  <c r="AB151" i="1"/>
  <c r="Y151" i="1"/>
  <c r="V151" i="1"/>
  <c r="S151" i="1"/>
  <c r="AE298" i="1"/>
  <c r="AB298" i="1"/>
  <c r="Y298" i="1"/>
  <c r="V298" i="1"/>
  <c r="S298" i="1"/>
  <c r="AE275" i="1"/>
  <c r="AB275" i="1"/>
  <c r="V275" i="1"/>
  <c r="S275" i="1"/>
  <c r="Y275" i="1"/>
  <c r="AE102" i="1"/>
  <c r="AB102" i="1"/>
  <c r="Y102" i="1"/>
  <c r="V102" i="1"/>
  <c r="S102" i="1"/>
  <c r="AE135" i="1"/>
  <c r="AB135" i="1"/>
  <c r="Y135" i="1"/>
  <c r="V135" i="1"/>
  <c r="S135" i="1"/>
  <c r="AE194" i="1"/>
  <c r="AB194" i="1"/>
  <c r="Y194" i="1"/>
  <c r="V194" i="1"/>
  <c r="S194" i="1"/>
  <c r="AE457" i="1"/>
  <c r="AB457" i="1"/>
  <c r="V457" i="1"/>
  <c r="Y457" i="1"/>
  <c r="S457" i="1"/>
  <c r="AE69" i="1"/>
  <c r="AB69" i="1"/>
  <c r="Y69" i="1"/>
  <c r="S69" i="1"/>
  <c r="V69" i="1"/>
  <c r="AE64" i="1"/>
  <c r="Y64" i="1"/>
  <c r="AB64" i="1"/>
  <c r="V64" i="1"/>
  <c r="S64" i="1"/>
  <c r="AE478" i="1"/>
  <c r="AB478" i="1"/>
  <c r="Y478" i="1"/>
  <c r="V478" i="1"/>
  <c r="S478" i="1"/>
  <c r="AE209" i="1"/>
  <c r="AB209" i="1"/>
  <c r="Y209" i="1"/>
  <c r="V209" i="1"/>
  <c r="S209" i="1"/>
  <c r="AE470" i="1"/>
  <c r="Y470" i="1"/>
  <c r="V470" i="1"/>
  <c r="AB470" i="1"/>
  <c r="S470" i="1"/>
  <c r="AE273" i="1"/>
  <c r="AB273" i="1"/>
  <c r="Y273" i="1"/>
  <c r="S273" i="1"/>
  <c r="V273" i="1"/>
  <c r="AE547" i="1"/>
  <c r="AB547" i="1"/>
  <c r="Y547" i="1"/>
  <c r="V547" i="1"/>
  <c r="S547" i="1"/>
  <c r="AE258" i="1"/>
  <c r="AB258" i="1"/>
  <c r="Y258" i="1"/>
  <c r="V258" i="1"/>
  <c r="S258" i="1"/>
  <c r="AE499" i="1"/>
  <c r="AB499" i="1"/>
  <c r="Y499" i="1"/>
  <c r="V499" i="1"/>
  <c r="S499" i="1"/>
  <c r="AE71" i="1"/>
  <c r="AB71" i="1"/>
  <c r="Y71" i="1"/>
  <c r="V71" i="1"/>
  <c r="S71" i="1"/>
  <c r="AE525" i="1"/>
  <c r="Y525" i="1"/>
  <c r="AB525" i="1"/>
  <c r="S525" i="1"/>
  <c r="V525" i="1"/>
  <c r="AE228" i="1"/>
  <c r="AB228" i="1"/>
  <c r="Y228" i="1"/>
  <c r="V228" i="1"/>
  <c r="S228" i="1"/>
  <c r="AE415" i="1"/>
  <c r="AB415" i="1"/>
  <c r="Y415" i="1"/>
  <c r="V415" i="1"/>
  <c r="S415" i="1"/>
  <c r="AE143" i="1"/>
  <c r="AB143" i="1"/>
  <c r="Y143" i="1"/>
  <c r="V143" i="1"/>
  <c r="S143" i="1"/>
  <c r="AE486" i="1"/>
  <c r="AB486" i="1"/>
  <c r="S486" i="1"/>
  <c r="Y486" i="1"/>
  <c r="V486" i="1"/>
  <c r="AE9" i="1"/>
  <c r="AB9" i="1"/>
  <c r="Y9" i="1"/>
  <c r="V9" i="1"/>
  <c r="AE140" i="1"/>
  <c r="AB140" i="1"/>
  <c r="Y140" i="1"/>
  <c r="V140" i="1"/>
  <c r="S140" i="1"/>
  <c r="AE521" i="1"/>
  <c r="AB521" i="1"/>
  <c r="Y521" i="1"/>
  <c r="V521" i="1"/>
  <c r="S521" i="1"/>
  <c r="AE519" i="1"/>
  <c r="AB519" i="1"/>
  <c r="V519" i="1"/>
  <c r="Y519" i="1"/>
  <c r="S519" i="1"/>
  <c r="AE494" i="1"/>
  <c r="AB494" i="1"/>
  <c r="Y494" i="1"/>
  <c r="V494" i="1"/>
  <c r="S494" i="1"/>
  <c r="AE322" i="1"/>
  <c r="AB322" i="1"/>
  <c r="Y322" i="1"/>
  <c r="V322" i="1"/>
  <c r="S322" i="1"/>
  <c r="AE150" i="1"/>
  <c r="AB150" i="1"/>
  <c r="V150" i="1"/>
  <c r="S150" i="1"/>
  <c r="Y150" i="1"/>
  <c r="AE356" i="1"/>
  <c r="Y356" i="1"/>
  <c r="AB356" i="1"/>
  <c r="S356" i="1"/>
  <c r="V356" i="1"/>
  <c r="AE180" i="1"/>
  <c r="Y180" i="1"/>
  <c r="AB180" i="1"/>
  <c r="V180" i="1"/>
  <c r="S180" i="1"/>
  <c r="AE505" i="1"/>
  <c r="AB505" i="1"/>
  <c r="V505" i="1"/>
  <c r="Y505" i="1"/>
  <c r="S505" i="1"/>
  <c r="AE294" i="1"/>
  <c r="AB294" i="1"/>
  <c r="Y294" i="1"/>
  <c r="V294" i="1"/>
  <c r="S294" i="1"/>
  <c r="AE119" i="1"/>
  <c r="AB119" i="1"/>
  <c r="Y119" i="1"/>
  <c r="V119" i="1"/>
  <c r="S119" i="1"/>
  <c r="AE198" i="1"/>
  <c r="Y198" i="1"/>
  <c r="V198" i="1"/>
  <c r="S198" i="1"/>
  <c r="AB198" i="1"/>
  <c r="AE124" i="1"/>
  <c r="AB124" i="1"/>
  <c r="Y124" i="1"/>
  <c r="V124" i="1"/>
  <c r="S124" i="1"/>
  <c r="AE349" i="1"/>
  <c r="AB349" i="1"/>
  <c r="V349" i="1"/>
  <c r="Y349" i="1"/>
  <c r="S349" i="1"/>
  <c r="AE392" i="1"/>
  <c r="AB392" i="1"/>
  <c r="Y392" i="1"/>
  <c r="S392" i="1"/>
  <c r="V392" i="1"/>
  <c r="AB220" i="1"/>
  <c r="AE220" i="1"/>
  <c r="V220" i="1"/>
  <c r="Y220" i="1"/>
  <c r="S220" i="1"/>
  <c r="AE46" i="1"/>
  <c r="AB46" i="1"/>
  <c r="Y46" i="1"/>
  <c r="V46" i="1"/>
  <c r="S46" i="1"/>
  <c r="AE413" i="1"/>
  <c r="AB413" i="1"/>
  <c r="V413" i="1"/>
  <c r="Y413" i="1"/>
  <c r="S413" i="1"/>
  <c r="AE507" i="1"/>
  <c r="AB507" i="1"/>
  <c r="V507" i="1"/>
  <c r="Y507" i="1"/>
  <c r="S507" i="1"/>
  <c r="AE433" i="1"/>
  <c r="AB433" i="1"/>
  <c r="V433" i="1"/>
  <c r="Y433" i="1"/>
  <c r="S433" i="1"/>
  <c r="AE117" i="1"/>
  <c r="Y117" i="1"/>
  <c r="V117" i="1"/>
  <c r="AB117" i="1"/>
  <c r="S117" i="1"/>
  <c r="AE184" i="1"/>
  <c r="AB184" i="1"/>
  <c r="V184" i="1"/>
  <c r="Y184" i="1"/>
  <c r="S184" i="1"/>
  <c r="AE66" i="1"/>
  <c r="Y66" i="1"/>
  <c r="AB66" i="1"/>
  <c r="V66" i="1"/>
  <c r="S66" i="1"/>
  <c r="AE419" i="1"/>
  <c r="AB419" i="1"/>
  <c r="Y419" i="1"/>
  <c r="V419" i="1"/>
  <c r="S419" i="1"/>
  <c r="AE514" i="1"/>
  <c r="AB514" i="1"/>
  <c r="Y514" i="1"/>
  <c r="S514" i="1"/>
  <c r="V514" i="1"/>
  <c r="AE346" i="1"/>
  <c r="AB346" i="1"/>
  <c r="Y346" i="1"/>
  <c r="V346" i="1"/>
  <c r="S346" i="1"/>
  <c r="AE174" i="1"/>
  <c r="AB174" i="1"/>
  <c r="V174" i="1"/>
  <c r="S174" i="1"/>
  <c r="Y174" i="1"/>
  <c r="AE483" i="1"/>
  <c r="AB483" i="1"/>
  <c r="Y483" i="1"/>
  <c r="V483" i="1"/>
  <c r="S483" i="1"/>
  <c r="AE339" i="1"/>
  <c r="Y339" i="1"/>
  <c r="V339" i="1"/>
  <c r="S339" i="1"/>
  <c r="AB339" i="1"/>
  <c r="AE195" i="1"/>
  <c r="Y195" i="1"/>
  <c r="AB195" i="1"/>
  <c r="V195" i="1"/>
  <c r="S195" i="1"/>
  <c r="AE51" i="1"/>
  <c r="AB51" i="1"/>
  <c r="Y51" i="1"/>
  <c r="V51" i="1"/>
  <c r="S51" i="1"/>
  <c r="AE398" i="1"/>
  <c r="Y398" i="1"/>
  <c r="V398" i="1"/>
  <c r="S398" i="1"/>
  <c r="AB398" i="1"/>
  <c r="AE255" i="1"/>
  <c r="AB255" i="1"/>
  <c r="Y255" i="1"/>
  <c r="V255" i="1"/>
  <c r="S255" i="1"/>
  <c r="AE110" i="1"/>
  <c r="AB110" i="1"/>
  <c r="Y110" i="1"/>
  <c r="V110" i="1"/>
  <c r="S110" i="1"/>
  <c r="AE141" i="1"/>
  <c r="Y141" i="1"/>
  <c r="AB141" i="1"/>
  <c r="S141" i="1"/>
  <c r="V141" i="1"/>
  <c r="AE513" i="1"/>
  <c r="Y513" i="1"/>
  <c r="V513" i="1"/>
  <c r="S513" i="1"/>
  <c r="AB513" i="1"/>
  <c r="AE466" i="1"/>
  <c r="AB466" i="1"/>
  <c r="Y466" i="1"/>
  <c r="S466" i="1"/>
  <c r="V466" i="1"/>
  <c r="AE465" i="1"/>
  <c r="Y465" i="1"/>
  <c r="AB465" i="1"/>
  <c r="S465" i="1"/>
  <c r="V465" i="1"/>
  <c r="AE190" i="1"/>
  <c r="AB190" i="1"/>
  <c r="Y190" i="1"/>
  <c r="V190" i="1"/>
  <c r="S190" i="1"/>
  <c r="AE89" i="1"/>
  <c r="AB89" i="1"/>
  <c r="V89" i="1"/>
  <c r="S89" i="1"/>
  <c r="Y89" i="1"/>
  <c r="AE144" i="1"/>
  <c r="AB144" i="1"/>
  <c r="Y144" i="1"/>
  <c r="V144" i="1"/>
  <c r="S144" i="1"/>
  <c r="AE86" i="1"/>
  <c r="AB86" i="1"/>
  <c r="Y86" i="1"/>
  <c r="V86" i="1"/>
  <c r="S86" i="1"/>
  <c r="AE461" i="1"/>
  <c r="AB461" i="1"/>
  <c r="V461" i="1"/>
  <c r="S461" i="1"/>
  <c r="Y461" i="1"/>
  <c r="AE467" i="1"/>
  <c r="AB467" i="1"/>
  <c r="Y467" i="1"/>
  <c r="V467" i="1"/>
  <c r="S467" i="1"/>
  <c r="AE181" i="1"/>
  <c r="AB181" i="1"/>
  <c r="V181" i="1"/>
  <c r="S181" i="1"/>
  <c r="Y181" i="1"/>
  <c r="AE130" i="1"/>
  <c r="AB130" i="1"/>
  <c r="Y130" i="1"/>
  <c r="V130" i="1"/>
  <c r="S130" i="1"/>
  <c r="AE460" i="1"/>
  <c r="AB460" i="1"/>
  <c r="V460" i="1"/>
  <c r="S460" i="1"/>
  <c r="Y460" i="1"/>
  <c r="AE210" i="1"/>
  <c r="AB210" i="1"/>
  <c r="V210" i="1"/>
  <c r="Y210" i="1"/>
  <c r="S210" i="1"/>
  <c r="AE441" i="1"/>
  <c r="AB441" i="1"/>
  <c r="Y441" i="1"/>
  <c r="V441" i="1"/>
  <c r="S441" i="1"/>
  <c r="AE59" i="1"/>
  <c r="AB59" i="1"/>
  <c r="Y59" i="1"/>
  <c r="S59" i="1"/>
  <c r="V59" i="1"/>
  <c r="AE350" i="1"/>
  <c r="AB350" i="1"/>
  <c r="V350" i="1"/>
  <c r="Y350" i="1"/>
  <c r="S350" i="1"/>
  <c r="AE114" i="1"/>
  <c r="AB114" i="1"/>
  <c r="V114" i="1"/>
  <c r="S114" i="1"/>
  <c r="Y114" i="1"/>
  <c r="AE388" i="1"/>
  <c r="AB388" i="1"/>
  <c r="V388" i="1"/>
  <c r="Y388" i="1"/>
  <c r="S388" i="1"/>
  <c r="AE68" i="1"/>
  <c r="AB68" i="1"/>
  <c r="Y68" i="1"/>
  <c r="V68" i="1"/>
  <c r="S68" i="1"/>
  <c r="AE165" i="1"/>
  <c r="Y165" i="1"/>
  <c r="AB165" i="1"/>
  <c r="S165" i="1"/>
  <c r="V165" i="1"/>
  <c r="AE78" i="1"/>
  <c r="AB78" i="1"/>
  <c r="Y78" i="1"/>
  <c r="V78" i="1"/>
  <c r="S78" i="1"/>
  <c r="AB221" i="1"/>
  <c r="Y221" i="1"/>
  <c r="AE221" i="1"/>
  <c r="V221" i="1"/>
  <c r="S221" i="1"/>
  <c r="AE266" i="1"/>
  <c r="Y266" i="1"/>
  <c r="AB266" i="1"/>
  <c r="V266" i="1"/>
  <c r="S266" i="1"/>
  <c r="AE442" i="1"/>
  <c r="AB442" i="1"/>
  <c r="Y442" i="1"/>
  <c r="V442" i="1"/>
  <c r="S442" i="1"/>
  <c r="AE45" i="1"/>
  <c r="Y45" i="1"/>
  <c r="V45" i="1"/>
  <c r="S45" i="1"/>
  <c r="AB45" i="1"/>
  <c r="AE448" i="1"/>
  <c r="AB448" i="1"/>
  <c r="Y448" i="1"/>
  <c r="V448" i="1"/>
  <c r="S448" i="1"/>
  <c r="AE423" i="1"/>
  <c r="AB423" i="1"/>
  <c r="Y423" i="1"/>
  <c r="V423" i="1"/>
  <c r="S423" i="1"/>
  <c r="AE482" i="1"/>
  <c r="AB482" i="1"/>
  <c r="Y482" i="1"/>
  <c r="S482" i="1"/>
  <c r="V482" i="1"/>
  <c r="AE50" i="1"/>
  <c r="AB50" i="1"/>
  <c r="Y50" i="1"/>
  <c r="V50" i="1"/>
  <c r="S50" i="1"/>
  <c r="AE28" i="1"/>
  <c r="Y28" i="1"/>
  <c r="AB28" i="1"/>
  <c r="V28" i="1"/>
  <c r="AE533" i="1"/>
  <c r="AB533" i="1"/>
  <c r="Y533" i="1"/>
  <c r="S533" i="1"/>
  <c r="V533" i="1"/>
  <c r="AE223" i="1"/>
  <c r="AB223" i="1"/>
  <c r="Y223" i="1"/>
  <c r="V223" i="1"/>
  <c r="S223" i="1"/>
  <c r="AE412" i="1"/>
  <c r="AB412" i="1"/>
  <c r="Y412" i="1"/>
  <c r="V412" i="1"/>
  <c r="S412" i="1"/>
  <c r="AE432" i="1"/>
  <c r="AB432" i="1"/>
  <c r="Y432" i="1"/>
  <c r="V432" i="1"/>
  <c r="S432" i="1"/>
  <c r="AE38" i="1"/>
  <c r="AB38" i="1"/>
  <c r="Y38" i="1"/>
  <c r="V38" i="1"/>
  <c r="S38" i="1"/>
  <c r="AE443" i="1"/>
  <c r="AB443" i="1"/>
  <c r="Y443" i="1"/>
  <c r="V443" i="1"/>
  <c r="S443" i="1"/>
  <c r="AE385" i="1"/>
  <c r="AB385" i="1"/>
  <c r="V385" i="1"/>
  <c r="Y385" i="1"/>
  <c r="S385" i="1"/>
  <c r="AE199" i="1"/>
  <c r="Y199" i="1"/>
  <c r="V199" i="1"/>
  <c r="S199" i="1"/>
  <c r="AB199" i="1"/>
  <c r="AE329" i="1"/>
  <c r="AB329" i="1"/>
  <c r="Y329" i="1"/>
  <c r="V329" i="1"/>
  <c r="S329" i="1"/>
  <c r="AE13" i="1"/>
  <c r="AB13" i="1"/>
  <c r="Y13" i="1"/>
  <c r="V13" i="1"/>
  <c r="AE302" i="1"/>
  <c r="AB302" i="1"/>
  <c r="Y302" i="1"/>
  <c r="V302" i="1"/>
  <c r="S302" i="1"/>
  <c r="AE343" i="1"/>
  <c r="AB343" i="1"/>
  <c r="Y343" i="1"/>
  <c r="S343" i="1"/>
  <c r="V343" i="1"/>
  <c r="AB357" i="1"/>
  <c r="AE357" i="1"/>
  <c r="Y357" i="1"/>
  <c r="S357" i="1"/>
  <c r="V357" i="1"/>
  <c r="AB430" i="1"/>
  <c r="AE430" i="1"/>
  <c r="Y430" i="1"/>
  <c r="V430" i="1"/>
  <c r="S430" i="1"/>
  <c r="AE414" i="1"/>
  <c r="AB414" i="1"/>
  <c r="Y414" i="1"/>
  <c r="S414" i="1"/>
  <c r="V414" i="1"/>
  <c r="AB508" i="1"/>
  <c r="Y508" i="1"/>
  <c r="AE508" i="1"/>
  <c r="S508" i="1"/>
  <c r="V508" i="1"/>
  <c r="AE82" i="1"/>
  <c r="AB82" i="1"/>
  <c r="Y82" i="1"/>
  <c r="V82" i="1"/>
  <c r="S82" i="1"/>
  <c r="AE427" i="1"/>
  <c r="AB427" i="1"/>
  <c r="Y427" i="1"/>
  <c r="V427" i="1"/>
  <c r="S427" i="1"/>
  <c r="AE481" i="1"/>
  <c r="AB481" i="1"/>
  <c r="Y481" i="1"/>
  <c r="V481" i="1"/>
  <c r="S481" i="1"/>
  <c r="AE480" i="1"/>
  <c r="AB480" i="1"/>
  <c r="Y480" i="1"/>
  <c r="S480" i="1"/>
  <c r="V480" i="1"/>
  <c r="AE309" i="1"/>
  <c r="Y309" i="1"/>
  <c r="AB309" i="1"/>
  <c r="S309" i="1"/>
  <c r="V309" i="1"/>
  <c r="AE136" i="1"/>
  <c r="AB136" i="1"/>
  <c r="Y136" i="1"/>
  <c r="V136" i="1"/>
  <c r="S136" i="1"/>
  <c r="AE257" i="1"/>
  <c r="AB257" i="1"/>
  <c r="Y257" i="1"/>
  <c r="V257" i="1"/>
  <c r="S257" i="1"/>
  <c r="AE80" i="1"/>
  <c r="Y80" i="1"/>
  <c r="AB80" i="1"/>
  <c r="S80" i="1"/>
  <c r="V80" i="1"/>
  <c r="AE479" i="1"/>
  <c r="AB479" i="1"/>
  <c r="Y479" i="1"/>
  <c r="V479" i="1"/>
  <c r="S479" i="1"/>
  <c r="AE278" i="1"/>
  <c r="AB278" i="1"/>
  <c r="V278" i="1"/>
  <c r="Y278" i="1"/>
  <c r="S278" i="1"/>
  <c r="AE105" i="1"/>
  <c r="AB105" i="1"/>
  <c r="Y105" i="1"/>
  <c r="S105" i="1"/>
  <c r="V105" i="1"/>
  <c r="AE112" i="1"/>
  <c r="AB112" i="1"/>
  <c r="V112" i="1"/>
  <c r="Y112" i="1"/>
  <c r="S112" i="1"/>
  <c r="AE8" i="1"/>
  <c r="V8" i="1"/>
  <c r="Y8" i="1"/>
  <c r="AB8" i="1"/>
  <c r="AE540" i="1"/>
  <c r="AB540" i="1"/>
  <c r="Y540" i="1"/>
  <c r="V540" i="1"/>
  <c r="S540" i="1"/>
  <c r="AE378" i="1"/>
  <c r="AB378" i="1"/>
  <c r="Y378" i="1"/>
  <c r="V378" i="1"/>
  <c r="S378" i="1"/>
  <c r="AE204" i="1"/>
  <c r="AB204" i="1"/>
  <c r="Y204" i="1"/>
  <c r="V204" i="1"/>
  <c r="S204" i="1"/>
  <c r="AE32" i="1"/>
  <c r="AB32" i="1"/>
  <c r="Y32" i="1"/>
  <c r="V32" i="1"/>
  <c r="AE341" i="1"/>
  <c r="AB341" i="1"/>
  <c r="Y341" i="1"/>
  <c r="V341" i="1"/>
  <c r="S341" i="1"/>
  <c r="AE439" i="1"/>
  <c r="Y439" i="1"/>
  <c r="AB439" i="1"/>
  <c r="S439" i="1"/>
  <c r="V439" i="1"/>
  <c r="AE405" i="1"/>
  <c r="Y405" i="1"/>
  <c r="AB405" i="1"/>
  <c r="V405" i="1"/>
  <c r="S405" i="1"/>
  <c r="AE103" i="1"/>
  <c r="AB103" i="1"/>
  <c r="Y103" i="1"/>
  <c r="V103" i="1"/>
  <c r="S103" i="1"/>
  <c r="AE126" i="1"/>
  <c r="AB126" i="1"/>
  <c r="Y126" i="1"/>
  <c r="V126" i="1"/>
  <c r="S126" i="1"/>
  <c r="AE531" i="1"/>
  <c r="AB531" i="1"/>
  <c r="Y531" i="1"/>
  <c r="V531" i="1"/>
  <c r="S531" i="1"/>
  <c r="AE391" i="1"/>
  <c r="AB391" i="1"/>
  <c r="Y391" i="1"/>
  <c r="V391" i="1"/>
  <c r="S391" i="1"/>
  <c r="AE502" i="1"/>
  <c r="AB502" i="1"/>
  <c r="Y502" i="1"/>
  <c r="V502" i="1"/>
  <c r="S502" i="1"/>
  <c r="AE332" i="1"/>
  <c r="Y332" i="1"/>
  <c r="AB332" i="1"/>
  <c r="V332" i="1"/>
  <c r="S332" i="1"/>
  <c r="AE160" i="1"/>
  <c r="AB160" i="1"/>
  <c r="Y160" i="1"/>
  <c r="V160" i="1"/>
  <c r="S160" i="1"/>
  <c r="AE471" i="1"/>
  <c r="Y471" i="1"/>
  <c r="V471" i="1"/>
  <c r="S471" i="1"/>
  <c r="AB471" i="1"/>
  <c r="AE327" i="1"/>
  <c r="Y327" i="1"/>
  <c r="V327" i="1"/>
  <c r="S327" i="1"/>
  <c r="AB327" i="1"/>
  <c r="AE183" i="1"/>
  <c r="AB183" i="1"/>
  <c r="Y183" i="1"/>
  <c r="V183" i="1"/>
  <c r="S183" i="1"/>
  <c r="AE39" i="1"/>
  <c r="AB39" i="1"/>
  <c r="Y39" i="1"/>
  <c r="V39" i="1"/>
  <c r="S39" i="1"/>
  <c r="AE386" i="1"/>
  <c r="AB386" i="1"/>
  <c r="Y386" i="1"/>
  <c r="V386" i="1"/>
  <c r="S386" i="1"/>
  <c r="AE243" i="1"/>
  <c r="AB243" i="1"/>
  <c r="V243" i="1"/>
  <c r="Y243" i="1"/>
  <c r="S243" i="1"/>
  <c r="AE98" i="1"/>
  <c r="AB98" i="1"/>
  <c r="Y98" i="1"/>
  <c r="V98" i="1"/>
  <c r="S98" i="1"/>
  <c r="S10" i="1"/>
  <c r="S19" i="1"/>
  <c r="S25" i="1"/>
  <c r="S8" i="1"/>
  <c r="S29" i="1"/>
  <c r="S26" i="1"/>
  <c r="S16" i="1"/>
  <c r="S32" i="1"/>
  <c r="S11" i="1"/>
  <c r="S18" i="1"/>
  <c r="S21" i="1"/>
  <c r="S35" i="1"/>
  <c r="S28" i="1"/>
  <c r="S30" i="1"/>
  <c r="S9" i="1"/>
  <c r="S20" i="1"/>
  <c r="S12" i="1"/>
  <c r="S24" i="1"/>
  <c r="S5" i="1"/>
  <c r="S33" i="1"/>
  <c r="S3" i="1"/>
  <c r="S34" i="1"/>
  <c r="S17" i="1"/>
  <c r="S15" i="1"/>
  <c r="S31" i="1"/>
  <c r="S6" i="1"/>
  <c r="S2" i="1"/>
  <c r="AB2" i="1"/>
  <c r="S22" i="1"/>
  <c r="S13" i="1"/>
  <c r="S4" i="1"/>
  <c r="S14" i="1"/>
  <c r="S23" i="1"/>
  <c r="S27" i="1"/>
  <c r="V2" i="1"/>
  <c r="AE2" i="1"/>
  <c r="Y2" i="1"/>
  <c r="AJ13" i="1" l="1"/>
  <c r="AJ16" i="1"/>
  <c r="AI16" i="1"/>
  <c r="AI13" i="1"/>
  <c r="AK16" i="1" l="1"/>
  <c r="AF442" i="1" s="1"/>
  <c r="AK13" i="1"/>
  <c r="W13" i="1" s="1"/>
  <c r="X13" i="1" s="1"/>
  <c r="AJ10" i="1"/>
  <c r="AJ15" i="1"/>
  <c r="AI10" i="1"/>
  <c r="AI15" i="1"/>
  <c r="AJ14" i="1"/>
  <c r="AI14" i="1"/>
  <c r="AF264" i="1" l="1"/>
  <c r="AF299" i="1"/>
  <c r="AF390" i="1"/>
  <c r="AF154" i="1"/>
  <c r="AF135" i="1"/>
  <c r="AG135" i="1" s="1"/>
  <c r="AF401" i="1"/>
  <c r="AF423" i="1"/>
  <c r="AF27" i="1"/>
  <c r="AF418" i="1"/>
  <c r="W301" i="1"/>
  <c r="W6" i="1"/>
  <c r="X6" i="1" s="1"/>
  <c r="W104" i="1"/>
  <c r="AF319" i="1"/>
  <c r="W244" i="1"/>
  <c r="W347" i="1"/>
  <c r="X347" i="1" s="1"/>
  <c r="AF21" i="1"/>
  <c r="AF201" i="1"/>
  <c r="W450" i="1"/>
  <c r="W24" i="1"/>
  <c r="W53" i="1"/>
  <c r="AF195" i="1"/>
  <c r="AF383" i="1"/>
  <c r="W266" i="1"/>
  <c r="W76" i="1"/>
  <c r="W456" i="1"/>
  <c r="W202" i="1"/>
  <c r="AF185" i="1"/>
  <c r="AF150" i="1"/>
  <c r="AF245" i="1"/>
  <c r="W63" i="1"/>
  <c r="W165" i="1"/>
  <c r="AF357" i="1"/>
  <c r="AF74" i="1"/>
  <c r="AF141" i="1"/>
  <c r="AF113" i="1"/>
  <c r="AF103" i="1"/>
  <c r="W364" i="1"/>
  <c r="W378" i="1"/>
  <c r="W477" i="1"/>
  <c r="AF89" i="1"/>
  <c r="AF234" i="1"/>
  <c r="AF183" i="1"/>
  <c r="W227" i="1"/>
  <c r="AF536" i="1"/>
  <c r="AF284" i="1"/>
  <c r="AF305" i="1"/>
  <c r="AG305" i="1" s="1"/>
  <c r="W308" i="1"/>
  <c r="AF325" i="1"/>
  <c r="AF457" i="1"/>
  <c r="AF290" i="1"/>
  <c r="AF311" i="1"/>
  <c r="W93" i="1"/>
  <c r="W127" i="1"/>
  <c r="W161" i="1"/>
  <c r="W33" i="1"/>
  <c r="X33" i="1" s="1"/>
  <c r="W83" i="1"/>
  <c r="W341" i="1"/>
  <c r="W146" i="1"/>
  <c r="X146" i="1" s="1"/>
  <c r="W267" i="1"/>
  <c r="W466" i="1"/>
  <c r="W73" i="1"/>
  <c r="AF191" i="1"/>
  <c r="AF222" i="1"/>
  <c r="AF371" i="1"/>
  <c r="AF249" i="1"/>
  <c r="AF389" i="1"/>
  <c r="W383" i="1"/>
  <c r="W168" i="1"/>
  <c r="W526" i="1"/>
  <c r="AF384" i="1"/>
  <c r="AF431" i="1"/>
  <c r="W269" i="1"/>
  <c r="AF248" i="1"/>
  <c r="AF289" i="1"/>
  <c r="AF235" i="1"/>
  <c r="W56" i="1"/>
  <c r="W119" i="1"/>
  <c r="X119" i="1" s="1"/>
  <c r="W9" i="1"/>
  <c r="X9" i="1" s="1"/>
  <c r="AF20" i="1"/>
  <c r="AG20" i="1" s="1"/>
  <c r="W465" i="1"/>
  <c r="W240" i="1"/>
  <c r="W89" i="1"/>
  <c r="W464" i="1"/>
  <c r="AF5" i="1"/>
  <c r="AF75" i="1"/>
  <c r="W257" i="1"/>
  <c r="AF524" i="1"/>
  <c r="W49" i="1"/>
  <c r="X49" i="1" s="1"/>
  <c r="W225" i="1"/>
  <c r="AF545" i="1"/>
  <c r="AF128" i="1"/>
  <c r="W64" i="1"/>
  <c r="W430" i="1"/>
  <c r="W246" i="1"/>
  <c r="W500" i="1"/>
  <c r="W351" i="1"/>
  <c r="AF118" i="1"/>
  <c r="AG118" i="1" s="1"/>
  <c r="AF93" i="1"/>
  <c r="AF79" i="1"/>
  <c r="AF541" i="1"/>
  <c r="W461" i="1"/>
  <c r="AF511" i="1"/>
  <c r="AF156" i="1"/>
  <c r="W262" i="1"/>
  <c r="W474" i="1"/>
  <c r="W300" i="1"/>
  <c r="AF313" i="1"/>
  <c r="W190" i="1"/>
  <c r="W99" i="1"/>
  <c r="W436" i="1"/>
  <c r="W273" i="1"/>
  <c r="X273" i="1" s="1"/>
  <c r="W272" i="1"/>
  <c r="X272" i="1" s="1"/>
  <c r="W533" i="1"/>
  <c r="W275" i="1"/>
  <c r="W78" i="1"/>
  <c r="W110" i="1"/>
  <c r="AF31" i="1"/>
  <c r="AF100" i="1"/>
  <c r="AF256" i="1"/>
  <c r="AF29" i="1"/>
  <c r="AG29" i="1" s="1"/>
  <c r="AF233" i="1"/>
  <c r="AF225" i="1"/>
  <c r="W11" i="1"/>
  <c r="X11" i="1" s="1"/>
  <c r="W172" i="1"/>
  <c r="W144" i="1"/>
  <c r="W232" i="1"/>
  <c r="W214" i="1"/>
  <c r="W472" i="1"/>
  <c r="AF405" i="1"/>
  <c r="W484" i="1"/>
  <c r="AF469" i="1"/>
  <c r="W121" i="1"/>
  <c r="W379" i="1"/>
  <c r="AF247" i="1"/>
  <c r="AF244" i="1"/>
  <c r="AF435" i="1"/>
  <c r="AF176" i="1"/>
  <c r="W212" i="1"/>
  <c r="W451" i="1"/>
  <c r="AF537" i="1"/>
  <c r="AF102" i="1"/>
  <c r="W131" i="1"/>
  <c r="AF282" i="1"/>
  <c r="W514" i="1"/>
  <c r="AF489" i="1"/>
  <c r="AF281" i="1"/>
  <c r="AF317" i="1"/>
  <c r="AG317" i="1" s="1"/>
  <c r="AF454" i="1"/>
  <c r="W335" i="1"/>
  <c r="W184" i="1"/>
  <c r="W508" i="1"/>
  <c r="W334" i="1"/>
  <c r="W357" i="1"/>
  <c r="W42" i="1"/>
  <c r="X42" i="1" s="1"/>
  <c r="W15" i="1"/>
  <c r="X15" i="1" s="1"/>
  <c r="W332" i="1"/>
  <c r="W54" i="1"/>
  <c r="W490" i="1"/>
  <c r="W505" i="1"/>
  <c r="W509" i="1"/>
  <c r="W463" i="1"/>
  <c r="AF388" i="1"/>
  <c r="AF449" i="1"/>
  <c r="AF503" i="1"/>
  <c r="AF268" i="1"/>
  <c r="AF500" i="1"/>
  <c r="W258" i="1"/>
  <c r="W38" i="1"/>
  <c r="X38" i="1" s="1"/>
  <c r="W359" i="1"/>
  <c r="W241" i="1"/>
  <c r="W135" i="1"/>
  <c r="X135" i="1" s="1"/>
  <c r="W443" i="1"/>
  <c r="AF237" i="1"/>
  <c r="W493" i="1"/>
  <c r="W159" i="1"/>
  <c r="W349" i="1"/>
  <c r="AF318" i="1"/>
  <c r="AF81" i="1"/>
  <c r="W422" i="1"/>
  <c r="W542" i="1"/>
  <c r="W297" i="1"/>
  <c r="AF126" i="1"/>
  <c r="AF77" i="1"/>
  <c r="AF32" i="1"/>
  <c r="AG32" i="1" s="1"/>
  <c r="W265" i="1"/>
  <c r="W314" i="1"/>
  <c r="W239" i="1"/>
  <c r="X239" i="1" s="1"/>
  <c r="W432" i="1"/>
  <c r="AF265" i="1"/>
  <c r="W504" i="1"/>
  <c r="W94" i="1"/>
  <c r="W360" i="1"/>
  <c r="W363" i="1"/>
  <c r="W230" i="1"/>
  <c r="AF238" i="1"/>
  <c r="AF227" i="1"/>
  <c r="W187" i="1"/>
  <c r="W424" i="1"/>
  <c r="W337" i="1"/>
  <c r="W18" i="1"/>
  <c r="X18" i="1" s="1"/>
  <c r="W483" i="1"/>
  <c r="W346" i="1"/>
  <c r="X346" i="1" s="1"/>
  <c r="W102" i="1"/>
  <c r="W226" i="1"/>
  <c r="AF471" i="1"/>
  <c r="AF381" i="1"/>
  <c r="AF66" i="1"/>
  <c r="W462" i="1"/>
  <c r="AF229" i="1"/>
  <c r="AF346" i="1"/>
  <c r="AG346" i="1" s="1"/>
  <c r="AF461" i="1"/>
  <c r="AF60" i="1"/>
  <c r="AF145" i="1"/>
  <c r="AF374" i="1"/>
  <c r="AF507" i="1"/>
  <c r="W434" i="1"/>
  <c r="W343" i="1"/>
  <c r="X343" i="1" s="1"/>
  <c r="W491" i="1"/>
  <c r="W69" i="1"/>
  <c r="W382" i="1"/>
  <c r="W310" i="1"/>
  <c r="W259" i="1"/>
  <c r="W285" i="1"/>
  <c r="W164" i="1"/>
  <c r="AF456" i="1"/>
  <c r="AF477" i="1"/>
  <c r="AF217" i="1"/>
  <c r="AF321" i="1"/>
  <c r="AG321" i="1" s="1"/>
  <c r="AF182" i="1"/>
  <c r="AF370" i="1"/>
  <c r="AF285" i="1"/>
  <c r="W150" i="1"/>
  <c r="W414" i="1"/>
  <c r="W86" i="1"/>
  <c r="AF494" i="1"/>
  <c r="W117" i="1"/>
  <c r="X117" i="1" s="1"/>
  <c r="W260" i="1"/>
  <c r="W217" i="1"/>
  <c r="AF240" i="1"/>
  <c r="AF499" i="1"/>
  <c r="AF509" i="1"/>
  <c r="W91" i="1"/>
  <c r="W224" i="1"/>
  <c r="W137" i="1"/>
  <c r="X137" i="1" s="1"/>
  <c r="AF287" i="1"/>
  <c r="W453" i="1"/>
  <c r="AF220" i="1"/>
  <c r="W206" i="1"/>
  <c r="W34" i="1"/>
  <c r="X34" i="1" s="1"/>
  <c r="AF515" i="1"/>
  <c r="AF368" i="1"/>
  <c r="W32" i="1"/>
  <c r="X32" i="1" s="1"/>
  <c r="W85" i="1"/>
  <c r="AF467" i="1"/>
  <c r="AF120" i="1"/>
  <c r="W193" i="1"/>
  <c r="W281" i="1"/>
  <c r="W278" i="1"/>
  <c r="W506" i="1"/>
  <c r="W84" i="1"/>
  <c r="AF34" i="1"/>
  <c r="AF210" i="1"/>
  <c r="W340" i="1"/>
  <c r="AF479" i="1"/>
  <c r="AF506" i="1"/>
  <c r="W40" i="1"/>
  <c r="X40" i="1" s="1"/>
  <c r="AF184" i="1"/>
  <c r="W323" i="1"/>
  <c r="W133" i="1"/>
  <c r="W328" i="1"/>
  <c r="AF392" i="1"/>
  <c r="W284" i="1"/>
  <c r="W516" i="1"/>
  <c r="W43" i="1"/>
  <c r="X43" i="1" s="1"/>
  <c r="W547" i="1"/>
  <c r="W403" i="1"/>
  <c r="W50" i="1"/>
  <c r="X50" i="1" s="1"/>
  <c r="W471" i="1"/>
  <c r="W213" i="1"/>
  <c r="AF352" i="1"/>
  <c r="AF164" i="1"/>
  <c r="AF398" i="1"/>
  <c r="AF283" i="1"/>
  <c r="AF436" i="1"/>
  <c r="AF180" i="1"/>
  <c r="AG180" i="1" s="1"/>
  <c r="AF399" i="1"/>
  <c r="AF419" i="1"/>
  <c r="AF144" i="1"/>
  <c r="AF482" i="1"/>
  <c r="AF16" i="1"/>
  <c r="AF462" i="1"/>
  <c r="AF427" i="1"/>
  <c r="AF309" i="1"/>
  <c r="AF58" i="1"/>
  <c r="AF147" i="1"/>
  <c r="AG147" i="1" s="1"/>
  <c r="AF51" i="1"/>
  <c r="AF288" i="1"/>
  <c r="AF336" i="1"/>
  <c r="AF410" i="1"/>
  <c r="AF71" i="1"/>
  <c r="AF547" i="1"/>
  <c r="AF376" i="1"/>
  <c r="AF538" i="1"/>
  <c r="AF219" i="1"/>
  <c r="AF382" i="1"/>
  <c r="W476" i="1"/>
  <c r="AF236" i="1"/>
  <c r="AF68" i="1"/>
  <c r="AF409" i="1"/>
  <c r="AF80" i="1"/>
  <c r="AF159" i="1"/>
  <c r="AF122" i="1"/>
  <c r="AF294" i="1"/>
  <c r="AG294" i="1" s="1"/>
  <c r="AF359" i="1"/>
  <c r="AF517" i="1"/>
  <c r="AF40" i="1"/>
  <c r="AF544" i="1"/>
  <c r="AF324" i="1"/>
  <c r="AF527" i="1"/>
  <c r="AF197" i="1"/>
  <c r="AF125" i="1"/>
  <c r="AF314" i="1"/>
  <c r="AF329" i="1"/>
  <c r="AF50" i="1"/>
  <c r="AF518" i="1"/>
  <c r="AF143" i="1"/>
  <c r="AF230" i="1"/>
  <c r="AF470" i="1"/>
  <c r="AF411" i="1"/>
  <c r="W112" i="1"/>
  <c r="W469" i="1"/>
  <c r="W288" i="1"/>
  <c r="W410" i="1"/>
  <c r="W46" i="1"/>
  <c r="X46" i="1" s="1"/>
  <c r="W305" i="1"/>
  <c r="W20" i="1"/>
  <c r="X20" i="1" s="1"/>
  <c r="W65" i="1"/>
  <c r="W276" i="1"/>
  <c r="W438" i="1"/>
  <c r="W329" i="1"/>
  <c r="W480" i="1"/>
  <c r="W317" i="1"/>
  <c r="X317" i="1" s="1"/>
  <c r="AF146" i="1"/>
  <c r="AG146" i="1" s="1"/>
  <c r="AF270" i="1"/>
  <c r="AF226" i="1"/>
  <c r="AF535" i="1"/>
  <c r="AF531" i="1"/>
  <c r="AF488" i="1"/>
  <c r="AF194" i="1"/>
  <c r="AF187" i="1"/>
  <c r="AF70" i="1"/>
  <c r="AF396" i="1"/>
  <c r="AF262" i="1"/>
  <c r="AF478" i="1"/>
  <c r="AF94" i="1"/>
  <c r="AF472" i="1"/>
  <c r="W497" i="1"/>
  <c r="AF455" i="1"/>
  <c r="AF526" i="1"/>
  <c r="AF403" i="1"/>
  <c r="AF464" i="1"/>
  <c r="AF280" i="1"/>
  <c r="AF310" i="1"/>
  <c r="W302" i="1"/>
  <c r="AF160" i="1"/>
  <c r="W191" i="1"/>
  <c r="W261" i="1"/>
  <c r="W189" i="1"/>
  <c r="W431" i="1"/>
  <c r="W468" i="1"/>
  <c r="W299" i="1"/>
  <c r="W77" i="1"/>
  <c r="W312" i="1"/>
  <c r="W169" i="1"/>
  <c r="W399" i="1"/>
  <c r="W61" i="1"/>
  <c r="W35" i="1"/>
  <c r="X35" i="1" s="1"/>
  <c r="AF439" i="1"/>
  <c r="AF353" i="1"/>
  <c r="AF39" i="1"/>
  <c r="AG39" i="1" s="1"/>
  <c r="AF408" i="1"/>
  <c r="AF266" i="1"/>
  <c r="AF386" i="1"/>
  <c r="AF271" i="1"/>
  <c r="AF6" i="1"/>
  <c r="AG6" i="1" s="1"/>
  <c r="AF252" i="1"/>
  <c r="AF402" i="1"/>
  <c r="AF344" i="1"/>
  <c r="AG344" i="1" s="1"/>
  <c r="AF215" i="1"/>
  <c r="AF30" i="1"/>
  <c r="AF484" i="1"/>
  <c r="W437" i="1"/>
  <c r="AF473" i="1"/>
  <c r="AF97" i="1"/>
  <c r="AF163" i="1"/>
  <c r="AF360" i="1"/>
  <c r="AF424" i="1"/>
  <c r="AF412" i="1"/>
  <c r="AF512" i="1"/>
  <c r="AF519" i="1"/>
  <c r="AF354" i="1"/>
  <c r="AF395" i="1"/>
  <c r="AF504" i="1"/>
  <c r="AF297" i="1"/>
  <c r="AG297" i="1" s="1"/>
  <c r="AF326" i="1"/>
  <c r="AF306" i="1"/>
  <c r="AG306" i="1" s="1"/>
  <c r="W433" i="1"/>
  <c r="AF115" i="1"/>
  <c r="AF525" i="1"/>
  <c r="AF534" i="1"/>
  <c r="AF59" i="1"/>
  <c r="AF11" i="1"/>
  <c r="AF85" i="1"/>
  <c r="AF451" i="1"/>
  <c r="AF487" i="1"/>
  <c r="AF444" i="1"/>
  <c r="W205" i="1"/>
  <c r="AF501" i="1"/>
  <c r="W350" i="1"/>
  <c r="AF117" i="1"/>
  <c r="AG117" i="1" s="1"/>
  <c r="W274" i="1"/>
  <c r="AF273" i="1"/>
  <c r="W248" i="1"/>
  <c r="AF421" i="1"/>
  <c r="AF293" i="1"/>
  <c r="AG293" i="1" s="1"/>
  <c r="AF44" i="1"/>
  <c r="W411" i="1"/>
  <c r="W315" i="1"/>
  <c r="X315" i="1" s="1"/>
  <c r="W243" i="1"/>
  <c r="W398" i="1"/>
  <c r="W14" i="1"/>
  <c r="X14" i="1" s="1"/>
  <c r="W123" i="1"/>
  <c r="W124" i="1"/>
  <c r="W319" i="1"/>
  <c r="W107" i="1"/>
  <c r="W208" i="1"/>
  <c r="W55" i="1"/>
  <c r="W155" i="1"/>
  <c r="W4" i="1"/>
  <c r="X4" i="1" s="1"/>
  <c r="AF76" i="1"/>
  <c r="AF221" i="1"/>
  <c r="AF278" i="1"/>
  <c r="AF255" i="1"/>
  <c r="AF261" i="1"/>
  <c r="AF207" i="1"/>
  <c r="AF9" i="1"/>
  <c r="AF361" i="1"/>
  <c r="AF328" i="1"/>
  <c r="AF375" i="1"/>
  <c r="AF166" i="1"/>
  <c r="AF351" i="1"/>
  <c r="AF502" i="1"/>
  <c r="AF214" i="1"/>
  <c r="AF446" i="1"/>
  <c r="AF37" i="1"/>
  <c r="AG37" i="1" s="1"/>
  <c r="AF17" i="1"/>
  <c r="AF116" i="1"/>
  <c r="AF323" i="1"/>
  <c r="AF416" i="1"/>
  <c r="AF367" i="1"/>
  <c r="AF445" i="1"/>
  <c r="AF495" i="1"/>
  <c r="AF73" i="1"/>
  <c r="AF111" i="1"/>
  <c r="AG111" i="1" s="1"/>
  <c r="AF279" i="1"/>
  <c r="AF165" i="1"/>
  <c r="AF372" i="1"/>
  <c r="AF49" i="1"/>
  <c r="AF254" i="1"/>
  <c r="AF425" i="1"/>
  <c r="AF10" i="1"/>
  <c r="AF339" i="1"/>
  <c r="AF232" i="1"/>
  <c r="AF349" i="1"/>
  <c r="AF332" i="1"/>
  <c r="AF514" i="1"/>
  <c r="AF19" i="1"/>
  <c r="AF55" i="1"/>
  <c r="AF420" i="1"/>
  <c r="W510" i="1"/>
  <c r="AF385" i="1"/>
  <c r="AF520" i="1"/>
  <c r="W419" i="1"/>
  <c r="AF362" i="1"/>
  <c r="W293" i="1"/>
  <c r="X293" i="1" s="1"/>
  <c r="W263" i="1"/>
  <c r="W183" i="1"/>
  <c r="W200" i="1"/>
  <c r="W170" i="1"/>
  <c r="W134" i="1"/>
  <c r="X134" i="1" s="1"/>
  <c r="W345" i="1"/>
  <c r="W283" i="1"/>
  <c r="W294" i="1"/>
  <c r="X294" i="1" s="1"/>
  <c r="W358" i="1"/>
  <c r="W98" i="1"/>
  <c r="W511" i="1"/>
  <c r="AF343" i="1"/>
  <c r="AG343" i="1" s="1"/>
  <c r="W201" i="1"/>
  <c r="W280" i="1"/>
  <c r="W371" i="1"/>
  <c r="W499" i="1"/>
  <c r="W519" i="1"/>
  <c r="AF513" i="1"/>
  <c r="AF465" i="1"/>
  <c r="AF198" i="1"/>
  <c r="AF91" i="1"/>
  <c r="AF459" i="1"/>
  <c r="AF228" i="1"/>
  <c r="AF510" i="1"/>
  <c r="AF161" i="1"/>
  <c r="AF109" i="1"/>
  <c r="W418" i="1"/>
  <c r="W79" i="1"/>
  <c r="W538" i="1"/>
  <c r="W384" i="1"/>
  <c r="AF430" i="1"/>
  <c r="AF539" i="1"/>
  <c r="W114" i="1"/>
  <c r="W540" i="1"/>
  <c r="AF61" i="1"/>
  <c r="W531" i="1"/>
  <c r="W435" i="1"/>
  <c r="AF342" i="1"/>
  <c r="W385" i="1"/>
  <c r="AF48" i="1"/>
  <c r="W455" i="1"/>
  <c r="W197" i="1"/>
  <c r="AF82" i="1"/>
  <c r="AF291" i="1"/>
  <c r="W175" i="1"/>
  <c r="W249" i="1"/>
  <c r="AF417" i="1"/>
  <c r="AF174" i="1"/>
  <c r="W482" i="1"/>
  <c r="W395" i="1"/>
  <c r="W142" i="1"/>
  <c r="X142" i="1" s="1"/>
  <c r="W539" i="1"/>
  <c r="W394" i="1"/>
  <c r="W492" i="1"/>
  <c r="W522" i="1"/>
  <c r="W287" i="1"/>
  <c r="W106" i="1"/>
  <c r="W103" i="1"/>
  <c r="W109" i="1"/>
  <c r="W235" i="1"/>
  <c r="W31" i="1"/>
  <c r="X31" i="1" s="1"/>
  <c r="W406" i="1"/>
  <c r="W420" i="1"/>
  <c r="W528" i="1"/>
  <c r="W101" i="1"/>
  <c r="W428" i="1"/>
  <c r="W100" i="1"/>
  <c r="W515" i="1"/>
  <c r="W445" i="1"/>
  <c r="W441" i="1"/>
  <c r="W220" i="1"/>
  <c r="W407" i="1"/>
  <c r="W400" i="1"/>
  <c r="W96" i="1"/>
  <c r="W327" i="1"/>
  <c r="W396" i="1"/>
  <c r="W326" i="1"/>
  <c r="X326" i="1" s="1"/>
  <c r="W48" i="1"/>
  <c r="AF450" i="1"/>
  <c r="AF391" i="1"/>
  <c r="AF300" i="1"/>
  <c r="AF8" i="1"/>
  <c r="AF276" i="1"/>
  <c r="AF23" i="1"/>
  <c r="AF211" i="1"/>
  <c r="AF223" i="1"/>
  <c r="AF485" i="1"/>
  <c r="AF213" i="1"/>
  <c r="AG213" i="1" s="1"/>
  <c r="AF25" i="1"/>
  <c r="AF387" i="1"/>
  <c r="AF64" i="1"/>
  <c r="AF422" i="1"/>
  <c r="AF239" i="1"/>
  <c r="AF142" i="1"/>
  <c r="AG142" i="1" s="1"/>
  <c r="AF251" i="1"/>
  <c r="AF38" i="1"/>
  <c r="AF205" i="1"/>
  <c r="AF429" i="1"/>
  <c r="AF369" i="1"/>
  <c r="AF72" i="1"/>
  <c r="AF95" i="1"/>
  <c r="AF426" i="1"/>
  <c r="AF121" i="1"/>
  <c r="AF341" i="1"/>
  <c r="AG341" i="1" s="1"/>
  <c r="AF28" i="1"/>
  <c r="W242" i="1"/>
  <c r="AF35" i="1"/>
  <c r="AG35" i="1" s="1"/>
  <c r="W231" i="1"/>
  <c r="W174" i="1"/>
  <c r="W44" i="1"/>
  <c r="X44" i="1" s="1"/>
  <c r="W8" i="1"/>
  <c r="X8" i="1" s="1"/>
  <c r="W425" i="1"/>
  <c r="W298" i="1"/>
  <c r="W10" i="1"/>
  <c r="X10" i="1" s="1"/>
  <c r="W233" i="1"/>
  <c r="W111" i="1"/>
  <c r="W120" i="1"/>
  <c r="W194" i="1"/>
  <c r="W282" i="1"/>
  <c r="W344" i="1"/>
  <c r="X344" i="1" s="1"/>
  <c r="W152" i="1"/>
  <c r="W485" i="1"/>
  <c r="W478" i="1"/>
  <c r="W234" i="1"/>
  <c r="W157" i="1"/>
  <c r="W321" i="1"/>
  <c r="X321" i="1" s="1"/>
  <c r="W387" i="1"/>
  <c r="W185" i="1"/>
  <c r="W279" i="1"/>
  <c r="W440" i="1"/>
  <c r="W460" i="1"/>
  <c r="W19" i="1"/>
  <c r="X19" i="1" s="1"/>
  <c r="W143" i="1"/>
  <c r="W324" i="1"/>
  <c r="X324" i="1" s="1"/>
  <c r="W442" i="1"/>
  <c r="W228" i="1"/>
  <c r="W452" i="1"/>
  <c r="W354" i="1"/>
  <c r="W513" i="1"/>
  <c r="W416" i="1"/>
  <c r="W113" i="1"/>
  <c r="W180" i="1"/>
  <c r="W171" i="1"/>
  <c r="W498" i="1"/>
  <c r="W372" i="1"/>
  <c r="W307" i="1"/>
  <c r="W536" i="1"/>
  <c r="W82" i="1"/>
  <c r="W402" i="1"/>
  <c r="W405" i="1"/>
  <c r="W489" i="1"/>
  <c r="W458" i="1"/>
  <c r="W373" i="1"/>
  <c r="AF348" i="1"/>
  <c r="AF18" i="1"/>
  <c r="AG18" i="1" s="1"/>
  <c r="W62" i="1"/>
  <c r="W404" i="1"/>
  <c r="W397" i="1"/>
  <c r="W517" i="1"/>
  <c r="W145" i="1"/>
  <c r="AF45" i="1"/>
  <c r="AF327" i="1"/>
  <c r="AF202" i="1"/>
  <c r="AF331" i="1"/>
  <c r="AF243" i="1"/>
  <c r="W502" i="1"/>
  <c r="W381" i="1"/>
  <c r="W520" i="1"/>
  <c r="W181" i="1"/>
  <c r="W448" i="1"/>
  <c r="W369" i="1"/>
  <c r="W162" i="1"/>
  <c r="AF308" i="1"/>
  <c r="AF149" i="1"/>
  <c r="AF196" i="1"/>
  <c r="AF167" i="1"/>
  <c r="AF267" i="1"/>
  <c r="W92" i="1"/>
  <c r="AF440" i="1"/>
  <c r="AF474" i="1"/>
  <c r="AF481" i="1"/>
  <c r="W95" i="1"/>
  <c r="W290" i="1"/>
  <c r="X290" i="1" s="1"/>
  <c r="AF540" i="1"/>
  <c r="W271" i="1"/>
  <c r="X271" i="1" s="1"/>
  <c r="W348" i="1"/>
  <c r="W140" i="1"/>
  <c r="X140" i="1" s="1"/>
  <c r="AF298" i="1"/>
  <c r="W333" i="1"/>
  <c r="W21" i="1"/>
  <c r="X21" i="1" s="1"/>
  <c r="W66" i="1"/>
  <c r="AF523" i="1"/>
  <c r="W501" i="1"/>
  <c r="W88" i="1"/>
  <c r="W361" i="1"/>
  <c r="W401" i="1"/>
  <c r="W481" i="1"/>
  <c r="W81" i="1"/>
  <c r="W525" i="1"/>
  <c r="W223" i="1"/>
  <c r="W37" i="1"/>
  <c r="X37" i="1" s="1"/>
  <c r="W58" i="1"/>
  <c r="W192" i="1"/>
  <c r="W365" i="1"/>
  <c r="W375" i="1"/>
  <c r="W122" i="1"/>
  <c r="W173" i="1"/>
  <c r="W530" i="1"/>
  <c r="W207" i="1"/>
  <c r="W28" i="1"/>
  <c r="X28" i="1" s="1"/>
  <c r="W503" i="1"/>
  <c r="W352" i="1"/>
  <c r="W391" i="1"/>
  <c r="W126" i="1"/>
  <c r="W543" i="1"/>
  <c r="W216" i="1"/>
  <c r="W163" i="1"/>
  <c r="W59" i="1"/>
  <c r="W292" i="1"/>
  <c r="X292" i="1" s="1"/>
  <c r="W386" i="1"/>
  <c r="W3" i="1"/>
  <c r="X3" i="1" s="1"/>
  <c r="AF490" i="1"/>
  <c r="AF497" i="1"/>
  <c r="AF241" i="1"/>
  <c r="AF3" i="1"/>
  <c r="AF428" i="1"/>
  <c r="AF54" i="1"/>
  <c r="AF90" i="1"/>
  <c r="AF188" i="1"/>
  <c r="AF158" i="1"/>
  <c r="AF153" i="1"/>
  <c r="AF224" i="1"/>
  <c r="AF358" i="1"/>
  <c r="AF496" i="1"/>
  <c r="AF443" i="1"/>
  <c r="AF253" i="1"/>
  <c r="AF257" i="1"/>
  <c r="AF123" i="1"/>
  <c r="AF203" i="1"/>
  <c r="AF110" i="1"/>
  <c r="AF175" i="1"/>
  <c r="AF493" i="1"/>
  <c r="AF15" i="1"/>
  <c r="AF542" i="1"/>
  <c r="AF206" i="1"/>
  <c r="AF269" i="1"/>
  <c r="AF136" i="1"/>
  <c r="AF350" i="1"/>
  <c r="AF169" i="1"/>
  <c r="AF46" i="1"/>
  <c r="W356" i="1"/>
  <c r="W338" i="1"/>
  <c r="W196" i="1"/>
  <c r="W316" i="1"/>
  <c r="W148" i="1"/>
  <c r="W116" i="1"/>
  <c r="AF104" i="1"/>
  <c r="AF105" i="1"/>
  <c r="AF415" i="1"/>
  <c r="AF181" i="1"/>
  <c r="AF379" i="1"/>
  <c r="AF330" i="1"/>
  <c r="AF404" i="1"/>
  <c r="AF295" i="1"/>
  <c r="AF340" i="1"/>
  <c r="AF57" i="1"/>
  <c r="AF208" i="1"/>
  <c r="AF114" i="1"/>
  <c r="AF250" i="1"/>
  <c r="AF394" i="1"/>
  <c r="AF491" i="1"/>
  <c r="W7" i="1"/>
  <c r="X7" i="1" s="1"/>
  <c r="W115" i="1"/>
  <c r="AF414" i="1"/>
  <c r="W495" i="1"/>
  <c r="W390" i="1"/>
  <c r="AF483" i="1"/>
  <c r="W449" i="1"/>
  <c r="W182" i="1"/>
  <c r="W377" i="1"/>
  <c r="W199" i="1"/>
  <c r="W366" i="1"/>
  <c r="W57" i="1"/>
  <c r="W256" i="1"/>
  <c r="W125" i="1"/>
  <c r="W409" i="1"/>
  <c r="AF413" i="1"/>
  <c r="AF199" i="1"/>
  <c r="AF274" i="1"/>
  <c r="AF62" i="1"/>
  <c r="AF151" i="1"/>
  <c r="AF468" i="1"/>
  <c r="AF131" i="1"/>
  <c r="AF216" i="1"/>
  <c r="W52" i="1"/>
  <c r="W160" i="1"/>
  <c r="AF124" i="1"/>
  <c r="W47" i="1"/>
  <c r="X47" i="1" s="1"/>
  <c r="AF179" i="1"/>
  <c r="W277" i="1"/>
  <c r="AF373" i="1"/>
  <c r="AF112" i="1"/>
  <c r="W221" i="1"/>
  <c r="W487" i="1"/>
  <c r="AF301" i="1"/>
  <c r="AF13" i="1"/>
  <c r="W289" i="1"/>
  <c r="X289" i="1" s="1"/>
  <c r="AF475" i="1"/>
  <c r="W167" i="1"/>
  <c r="W250" i="1"/>
  <c r="W29" i="1"/>
  <c r="X29" i="1" s="1"/>
  <c r="AF101" i="1"/>
  <c r="W331" i="1"/>
  <c r="W139" i="1"/>
  <c r="X139" i="1" s="1"/>
  <c r="W311" i="1"/>
  <c r="W195" i="1"/>
  <c r="W136" i="1"/>
  <c r="W529" i="1"/>
  <c r="W374" i="1"/>
  <c r="W203" i="1"/>
  <c r="W544" i="1"/>
  <c r="W147" i="1"/>
  <c r="X147" i="1" s="1"/>
  <c r="W178" i="1"/>
  <c r="W25" i="1"/>
  <c r="X25" i="1" s="1"/>
  <c r="W229" i="1"/>
  <c r="W368" i="1"/>
  <c r="W291" i="1"/>
  <c r="X291" i="1" s="1"/>
  <c r="W149" i="1"/>
  <c r="W22" i="1"/>
  <c r="X22" i="1" s="1"/>
  <c r="W306" i="1"/>
  <c r="W252" i="1"/>
  <c r="W546" i="1"/>
  <c r="W247" i="1"/>
  <c r="W408" i="1"/>
  <c r="W236" i="1"/>
  <c r="W141" i="1"/>
  <c r="W80" i="1"/>
  <c r="W330" i="1"/>
  <c r="W27" i="1"/>
  <c r="X27" i="1" s="1"/>
  <c r="AF53" i="1"/>
  <c r="AF259" i="1"/>
  <c r="AF277" i="1"/>
  <c r="AF134" i="1"/>
  <c r="AF242" i="1"/>
  <c r="AF533" i="1"/>
  <c r="AF437" i="1"/>
  <c r="AF33" i="1"/>
  <c r="AG33" i="1" s="1"/>
  <c r="AF67" i="1"/>
  <c r="AF532" i="1"/>
  <c r="AF133" i="1"/>
  <c r="AF99" i="1"/>
  <c r="AF543" i="1"/>
  <c r="AF292" i="1"/>
  <c r="AF434" i="1"/>
  <c r="AF334" i="1"/>
  <c r="AF516" i="1"/>
  <c r="AF63" i="1"/>
  <c r="AF476" i="1"/>
  <c r="AF272" i="1"/>
  <c r="AF172" i="1"/>
  <c r="AF312" i="1"/>
  <c r="AF448" i="1"/>
  <c r="AF24" i="1"/>
  <c r="AF98" i="1"/>
  <c r="AF137" i="1"/>
  <c r="AF88" i="1"/>
  <c r="AF212" i="1"/>
  <c r="W325" i="1"/>
  <c r="W51" i="1"/>
  <c r="AF366" i="1"/>
  <c r="W322" i="1"/>
  <c r="X322" i="1" s="1"/>
  <c r="W105" i="1"/>
  <c r="W421" i="1"/>
  <c r="W74" i="1"/>
  <c r="W475" i="1"/>
  <c r="W507" i="1"/>
  <c r="W367" i="1"/>
  <c r="W253" i="1"/>
  <c r="W70" i="1"/>
  <c r="W535" i="1"/>
  <c r="W222" i="1"/>
  <c r="AF52" i="1"/>
  <c r="AF458" i="1"/>
  <c r="AF127" i="1"/>
  <c r="AF78" i="1"/>
  <c r="AF132" i="1"/>
  <c r="W158" i="1"/>
  <c r="AF508" i="1"/>
  <c r="W380" i="1"/>
  <c r="W16" i="1"/>
  <c r="X16" i="1" s="1"/>
  <c r="W304" i="1"/>
  <c r="W541" i="1"/>
  <c r="W534" i="1"/>
  <c r="W521" i="1"/>
  <c r="W413" i="1"/>
  <c r="W264" i="1"/>
  <c r="W355" i="1"/>
  <c r="AF397" i="1"/>
  <c r="AF460" i="1"/>
  <c r="AF190" i="1"/>
  <c r="AF356" i="1"/>
  <c r="AF355" i="1"/>
  <c r="AF315" i="1"/>
  <c r="AG315" i="1" s="1"/>
  <c r="AF42" i="1"/>
  <c r="AF129" i="1"/>
  <c r="AF173" i="1"/>
  <c r="W376" i="1"/>
  <c r="AF380" i="1"/>
  <c r="W295" i="1"/>
  <c r="X295" i="1" s="1"/>
  <c r="W496" i="1"/>
  <c r="W188" i="1"/>
  <c r="AF296" i="1"/>
  <c r="AG296" i="1" s="1"/>
  <c r="W132" i="1"/>
  <c r="AF337" i="1"/>
  <c r="W268" i="1"/>
  <c r="AF157" i="1"/>
  <c r="W41" i="1"/>
  <c r="X41" i="1" s="1"/>
  <c r="AF168" i="1"/>
  <c r="W45" i="1"/>
  <c r="X45" i="1" s="1"/>
  <c r="W68" i="1"/>
  <c r="AF22" i="1"/>
  <c r="W138" i="1"/>
  <c r="X138" i="1" s="1"/>
  <c r="W393" i="1"/>
  <c r="W129" i="1"/>
  <c r="W130" i="1"/>
  <c r="W71" i="1"/>
  <c r="W72" i="1"/>
  <c r="W26" i="1"/>
  <c r="X26" i="1" s="1"/>
  <c r="AF209" i="1"/>
  <c r="AF246" i="1"/>
  <c r="W156" i="1"/>
  <c r="AF106" i="1"/>
  <c r="AF258" i="1"/>
  <c r="W446" i="1"/>
  <c r="AF486" i="1"/>
  <c r="W245" i="1"/>
  <c r="AF530" i="1"/>
  <c r="AF86" i="1"/>
  <c r="W179" i="1"/>
  <c r="AF378" i="1"/>
  <c r="W5" i="1"/>
  <c r="X5" i="1" s="1"/>
  <c r="AF432" i="1"/>
  <c r="W388" i="1"/>
  <c r="AF546" i="1"/>
  <c r="W479" i="1"/>
  <c r="AF286" i="1"/>
  <c r="AF303" i="1"/>
  <c r="AG303" i="1" s="1"/>
  <c r="AF87" i="1"/>
  <c r="W309" i="1"/>
  <c r="W128" i="1"/>
  <c r="AF453" i="1"/>
  <c r="W108" i="1"/>
  <c r="W219" i="1"/>
  <c r="W30" i="1"/>
  <c r="X30" i="1" s="1"/>
  <c r="W255" i="1"/>
  <c r="W392" i="1"/>
  <c r="W532" i="1"/>
  <c r="W417" i="1"/>
  <c r="W151" i="1"/>
  <c r="W67" i="1"/>
  <c r="W210" i="1"/>
  <c r="W427" i="1"/>
  <c r="W12" i="1"/>
  <c r="X12" i="1" s="1"/>
  <c r="W97" i="1"/>
  <c r="W36" i="1"/>
  <c r="X36" i="1" s="1"/>
  <c r="W370" i="1"/>
  <c r="W447" i="1"/>
  <c r="W296" i="1"/>
  <c r="X296" i="1" s="1"/>
  <c r="W154" i="1"/>
  <c r="W90" i="1"/>
  <c r="W523" i="1"/>
  <c r="W439" i="1"/>
  <c r="W39" i="1"/>
  <c r="X39" i="1" s="1"/>
  <c r="W512" i="1"/>
  <c r="W524" i="1"/>
  <c r="W473" i="1"/>
  <c r="W389" i="1"/>
  <c r="W454" i="1"/>
  <c r="W209" i="1"/>
  <c r="W176" i="1"/>
  <c r="W75" i="1"/>
  <c r="AF26" i="1"/>
  <c r="AF92" i="1"/>
  <c r="AF345" i="1"/>
  <c r="AG345" i="1" s="1"/>
  <c r="AF84" i="1"/>
  <c r="AF438" i="1"/>
  <c r="AF302" i="1"/>
  <c r="AF347" i="1"/>
  <c r="AG347" i="1" s="1"/>
  <c r="AF407" i="1"/>
  <c r="AF14" i="1"/>
  <c r="AG14" i="1" s="1"/>
  <c r="AF83" i="1"/>
  <c r="AF364" i="1"/>
  <c r="AF320" i="1"/>
  <c r="AG320" i="1" s="1"/>
  <c r="AF365" i="1"/>
  <c r="AF7" i="1"/>
  <c r="AG7" i="1" s="1"/>
  <c r="AF43" i="1"/>
  <c r="AF498" i="1"/>
  <c r="AF441" i="1"/>
  <c r="AF505" i="1"/>
  <c r="AF400" i="1"/>
  <c r="AF65" i="1"/>
  <c r="AF463" i="1"/>
  <c r="AF322" i="1"/>
  <c r="AF492" i="1"/>
  <c r="AF275" i="1"/>
  <c r="AF107" i="1"/>
  <c r="AF393" i="1"/>
  <c r="AF200" i="1"/>
  <c r="AF140" i="1"/>
  <c r="AF528" i="1"/>
  <c r="AF521" i="1"/>
  <c r="AF218" i="1"/>
  <c r="W320" i="1"/>
  <c r="X320" i="1" s="1"/>
  <c r="W412" i="1"/>
  <c r="W470" i="1"/>
  <c r="AF189" i="1"/>
  <c r="AF178" i="1"/>
  <c r="AF307" i="1"/>
  <c r="AG307" i="1" s="1"/>
  <c r="W537" i="1"/>
  <c r="W459" i="1"/>
  <c r="W177" i="1"/>
  <c r="AF192" i="1"/>
  <c r="W251" i="1"/>
  <c r="AF406" i="1"/>
  <c r="AF36" i="1"/>
  <c r="AG36" i="1" s="1"/>
  <c r="W204" i="1"/>
  <c r="W118" i="1"/>
  <c r="X118" i="1" s="1"/>
  <c r="W518" i="1"/>
  <c r="AF466" i="1"/>
  <c r="W17" i="1"/>
  <c r="X17" i="1" s="1"/>
  <c r="W186" i="1"/>
  <c r="W166" i="1"/>
  <c r="W429" i="1"/>
  <c r="W313" i="1"/>
  <c r="AF47" i="1"/>
  <c r="AF119" i="1"/>
  <c r="AG119" i="1" s="1"/>
  <c r="AF170" i="1"/>
  <c r="AF152" i="1"/>
  <c r="AF335" i="1"/>
  <c r="W486" i="1"/>
  <c r="AF363" i="1"/>
  <c r="AF304" i="1"/>
  <c r="AF452" i="1"/>
  <c r="AF433" i="1"/>
  <c r="W270" i="1"/>
  <c r="W23" i="1"/>
  <c r="W467" i="1"/>
  <c r="W339" i="1"/>
  <c r="W426" i="1"/>
  <c r="W87" i="1"/>
  <c r="W342" i="1"/>
  <c r="W527" i="1"/>
  <c r="W353" i="1"/>
  <c r="W60" i="1"/>
  <c r="W237" i="1"/>
  <c r="X237" i="1" s="1"/>
  <c r="W415" i="1"/>
  <c r="W238" i="1"/>
  <c r="W444" i="1"/>
  <c r="W494" i="1"/>
  <c r="W198" i="1"/>
  <c r="W457" i="1"/>
  <c r="W254" i="1"/>
  <c r="W303" i="1"/>
  <c r="W336" i="1"/>
  <c r="W218" i="1"/>
  <c r="W545" i="1"/>
  <c r="W423" i="1"/>
  <c r="W215" i="1"/>
  <c r="W362" i="1"/>
  <c r="W153" i="1"/>
  <c r="W211" i="1"/>
  <c r="W286" i="1"/>
  <c r="AF260" i="1"/>
  <c r="AF522" i="1"/>
  <c r="AF177" i="1"/>
  <c r="AF4" i="1"/>
  <c r="AG4" i="1" s="1"/>
  <c r="AF186" i="1"/>
  <c r="AF96" i="1"/>
  <c r="AF138" i="1"/>
  <c r="AF139" i="1"/>
  <c r="AF316" i="1"/>
  <c r="AG316" i="1" s="1"/>
  <c r="AF447" i="1"/>
  <c r="AF162" i="1"/>
  <c r="AF377" i="1"/>
  <c r="AF155" i="1"/>
  <c r="AF338" i="1"/>
  <c r="AF148" i="1"/>
  <c r="AF204" i="1"/>
  <c r="AF333" i="1"/>
  <c r="AF480" i="1"/>
  <c r="AF231" i="1"/>
  <c r="AF263" i="1"/>
  <c r="AF529" i="1"/>
  <c r="AF130" i="1"/>
  <c r="AF108" i="1"/>
  <c r="AF69" i="1"/>
  <c r="AF56" i="1"/>
  <c r="AF41" i="1"/>
  <c r="AF171" i="1"/>
  <c r="AF12" i="1"/>
  <c r="W318" i="1"/>
  <c r="AF193" i="1"/>
  <c r="AG193" i="1" s="1"/>
  <c r="W488" i="1"/>
  <c r="AF2" i="1"/>
  <c r="AG2" i="1" s="1"/>
  <c r="W2" i="1"/>
  <c r="X2" i="1" s="1"/>
  <c r="AK14" i="1"/>
  <c r="Z2" i="1" s="1"/>
  <c r="AA2" i="1" s="1"/>
  <c r="AK10" i="1"/>
  <c r="T320" i="1" s="1"/>
  <c r="U320" i="1" s="1"/>
  <c r="AK15" i="1"/>
  <c r="AC2" i="1" s="1"/>
  <c r="AD2" i="1" s="1"/>
  <c r="Z420" i="1" l="1"/>
  <c r="AA420" i="1" s="1"/>
  <c r="Z522" i="1"/>
  <c r="AA522" i="1" s="1"/>
  <c r="Z142" i="1"/>
  <c r="AA142" i="1" s="1"/>
  <c r="T174" i="1"/>
  <c r="U174" i="1" s="1"/>
  <c r="Z480" i="1"/>
  <c r="AA480" i="1" s="1"/>
  <c r="T268" i="1"/>
  <c r="U268" i="1" s="1"/>
  <c r="Z195" i="1"/>
  <c r="AA195" i="1" s="1"/>
  <c r="T416" i="1"/>
  <c r="U416" i="1" s="1"/>
  <c r="Z302" i="1"/>
  <c r="AA302" i="1" s="1"/>
  <c r="Z232" i="1"/>
  <c r="AA232" i="1" s="1"/>
  <c r="Z448" i="1"/>
  <c r="AA448" i="1" s="1"/>
  <c r="Z259" i="1"/>
  <c r="AA259" i="1" s="1"/>
  <c r="Z444" i="1"/>
  <c r="AA444" i="1" s="1"/>
  <c r="Z432" i="1"/>
  <c r="AA432" i="1" s="1"/>
  <c r="T522" i="1"/>
  <c r="U522" i="1" s="1"/>
  <c r="T65" i="1"/>
  <c r="U65" i="1" s="1"/>
  <c r="T70" i="1"/>
  <c r="U70" i="1" s="1"/>
  <c r="Z137" i="1"/>
  <c r="AA137" i="1" s="1"/>
  <c r="Z489" i="1"/>
  <c r="AA489" i="1" s="1"/>
  <c r="T324" i="1"/>
  <c r="U324" i="1" s="1"/>
  <c r="Z321" i="1"/>
  <c r="AA321" i="1" s="1"/>
  <c r="T88" i="1"/>
  <c r="U88" i="1" s="1"/>
  <c r="Z65" i="1"/>
  <c r="AA65" i="1" s="1"/>
  <c r="Z183" i="1"/>
  <c r="AA183" i="1" s="1"/>
  <c r="T338" i="1"/>
  <c r="U338" i="1" s="1"/>
  <c r="Z117" i="1"/>
  <c r="AA117" i="1" s="1"/>
  <c r="Z7" i="1"/>
  <c r="AA7" i="1" s="1"/>
  <c r="Z514" i="1"/>
  <c r="AA514" i="1" s="1"/>
  <c r="T334" i="1"/>
  <c r="U334" i="1" s="1"/>
  <c r="Z490" i="1"/>
  <c r="AA490" i="1" s="1"/>
  <c r="Z207" i="1"/>
  <c r="AA207" i="1" s="1"/>
  <c r="Z272" i="1"/>
  <c r="AA272" i="1" s="1"/>
  <c r="Z477" i="1"/>
  <c r="AA477" i="1" s="1"/>
  <c r="Z154" i="1"/>
  <c r="AA154" i="1" s="1"/>
  <c r="T77" i="1"/>
  <c r="U77" i="1" s="1"/>
  <c r="Z369" i="1"/>
  <c r="AA369" i="1" s="1"/>
  <c r="Z305" i="1"/>
  <c r="AA305" i="1" s="1"/>
  <c r="Z427" i="1"/>
  <c r="AA427" i="1" s="1"/>
  <c r="Z533" i="1"/>
  <c r="AA533" i="1" s="1"/>
  <c r="T184" i="1"/>
  <c r="U184" i="1" s="1"/>
  <c r="Z539" i="1"/>
  <c r="AA539" i="1" s="1"/>
  <c r="T52" i="1"/>
  <c r="U52" i="1" s="1"/>
  <c r="Z425" i="1"/>
  <c r="AA425" i="1" s="1"/>
  <c r="Z163" i="1"/>
  <c r="AA163" i="1" s="1"/>
  <c r="Z170" i="1"/>
  <c r="AA170" i="1" s="1"/>
  <c r="T542" i="1"/>
  <c r="U542" i="1" s="1"/>
  <c r="T271" i="1"/>
  <c r="U271" i="1" s="1"/>
  <c r="T322" i="1"/>
  <c r="U322" i="1" s="1"/>
  <c r="T513" i="1"/>
  <c r="U513" i="1" s="1"/>
  <c r="Z483" i="1"/>
  <c r="AA483" i="1" s="1"/>
  <c r="Z343" i="1"/>
  <c r="AA343" i="1" s="1"/>
  <c r="Z352" i="1"/>
  <c r="AA352" i="1" s="1"/>
  <c r="Z144" i="1"/>
  <c r="AA144" i="1" s="1"/>
  <c r="Z303" i="1"/>
  <c r="AA303" i="1" s="1"/>
  <c r="Z80" i="1"/>
  <c r="AA80" i="1" s="1"/>
  <c r="Z542" i="1"/>
  <c r="AA542" i="1" s="1"/>
  <c r="Z19" i="1"/>
  <c r="AA19" i="1" s="1"/>
  <c r="T431" i="1"/>
  <c r="U431" i="1" s="1"/>
  <c r="T68" i="1"/>
  <c r="U68" i="1" s="1"/>
  <c r="T381" i="1"/>
  <c r="U381" i="1" s="1"/>
  <c r="T200" i="1"/>
  <c r="U200" i="1" s="1"/>
  <c r="Z160" i="1"/>
  <c r="AA160" i="1" s="1"/>
  <c r="Z8" i="1"/>
  <c r="AA8" i="1" s="1"/>
  <c r="Z40" i="1"/>
  <c r="AA40" i="1" s="1"/>
  <c r="Z366" i="1"/>
  <c r="AA366" i="1" s="1"/>
  <c r="Z230" i="1"/>
  <c r="AA230" i="1" s="1"/>
  <c r="Z292" i="1"/>
  <c r="AA292" i="1" s="1"/>
  <c r="Z123" i="1"/>
  <c r="AA123" i="1" s="1"/>
  <c r="Z127" i="1"/>
  <c r="AA127" i="1" s="1"/>
  <c r="T474" i="1"/>
  <c r="U474" i="1" s="1"/>
  <c r="T397" i="1"/>
  <c r="U397" i="1" s="1"/>
  <c r="T546" i="1"/>
  <c r="U546" i="1" s="1"/>
  <c r="T463" i="1"/>
  <c r="U463" i="1" s="1"/>
  <c r="Z426" i="1"/>
  <c r="AA426" i="1" s="1"/>
  <c r="Z31" i="1"/>
  <c r="AA31" i="1" s="1"/>
  <c r="Z104" i="1"/>
  <c r="AA104" i="1" s="1"/>
  <c r="Z279" i="1"/>
  <c r="AA279" i="1" s="1"/>
  <c r="Z450" i="1"/>
  <c r="AA450" i="1" s="1"/>
  <c r="Z316" i="1"/>
  <c r="AA316" i="1" s="1"/>
  <c r="Z46" i="1"/>
  <c r="AA46" i="1" s="1"/>
  <c r="T333" i="1"/>
  <c r="U333" i="1" s="1"/>
  <c r="T7" i="1"/>
  <c r="U7" i="1" s="1"/>
  <c r="T357" i="1"/>
  <c r="U357" i="1" s="1"/>
  <c r="T457" i="1"/>
  <c r="U457" i="1" s="1"/>
  <c r="Z176" i="1"/>
  <c r="AA176" i="1" s="1"/>
  <c r="Z13" i="1"/>
  <c r="AA13" i="1" s="1"/>
  <c r="Z59" i="1"/>
  <c r="AA59" i="1" s="1"/>
  <c r="Z60" i="1"/>
  <c r="AA60" i="1" s="1"/>
  <c r="Z304" i="1"/>
  <c r="AA304" i="1" s="1"/>
  <c r="Z222" i="1"/>
  <c r="AA222" i="1" s="1"/>
  <c r="Z204" i="1"/>
  <c r="AA204" i="1" s="1"/>
  <c r="T539" i="1"/>
  <c r="U539" i="1" s="1"/>
  <c r="T158" i="1"/>
  <c r="U158" i="1" s="1"/>
  <c r="T60" i="1"/>
  <c r="U60" i="1" s="1"/>
  <c r="T506" i="1"/>
  <c r="U506" i="1" s="1"/>
  <c r="Z388" i="1"/>
  <c r="AA388" i="1" s="1"/>
  <c r="Z498" i="1"/>
  <c r="AA498" i="1" s="1"/>
  <c r="Z379" i="1"/>
  <c r="AA379" i="1" s="1"/>
  <c r="Z285" i="1"/>
  <c r="AA285" i="1" s="1"/>
  <c r="Z224" i="1"/>
  <c r="AA224" i="1" s="1"/>
  <c r="Z251" i="1"/>
  <c r="AA251" i="1" s="1"/>
  <c r="Z469" i="1"/>
  <c r="AA469" i="1" s="1"/>
  <c r="T427" i="1"/>
  <c r="U427" i="1" s="1"/>
  <c r="T147" i="1"/>
  <c r="U147" i="1" s="1"/>
  <c r="T260" i="1"/>
  <c r="U260" i="1" s="1"/>
  <c r="T377" i="1"/>
  <c r="U377" i="1" s="1"/>
  <c r="Z501" i="1"/>
  <c r="AA501" i="1" s="1"/>
  <c r="Z131" i="1"/>
  <c r="AA131" i="1" s="1"/>
  <c r="Z456" i="1"/>
  <c r="AA456" i="1" s="1"/>
  <c r="Z299" i="1"/>
  <c r="AA299" i="1" s="1"/>
  <c r="Z295" i="1"/>
  <c r="AA295" i="1" s="1"/>
  <c r="Z288" i="1"/>
  <c r="AA288" i="1" s="1"/>
  <c r="Z521" i="1"/>
  <c r="AA521" i="1" s="1"/>
  <c r="T329" i="1"/>
  <c r="U329" i="1" s="1"/>
  <c r="T59" i="1"/>
  <c r="U59" i="1" s="1"/>
  <c r="T410" i="1"/>
  <c r="U410" i="1" s="1"/>
  <c r="Z404" i="1"/>
  <c r="AA404" i="1" s="1"/>
  <c r="Z184" i="1"/>
  <c r="AA184" i="1" s="1"/>
  <c r="Z179" i="1"/>
  <c r="AA179" i="1" s="1"/>
  <c r="Z518" i="1"/>
  <c r="AA518" i="1" s="1"/>
  <c r="Z81" i="1"/>
  <c r="AA81" i="1" s="1"/>
  <c r="Z264" i="1"/>
  <c r="AA264" i="1" s="1"/>
  <c r="Z121" i="1"/>
  <c r="AA121" i="1" s="1"/>
  <c r="Z284" i="1"/>
  <c r="AA284" i="1" s="1"/>
  <c r="T62" i="1"/>
  <c r="U62" i="1" s="1"/>
  <c r="T207" i="1"/>
  <c r="U207" i="1" s="1"/>
  <c r="T509" i="1"/>
  <c r="U509" i="1" s="1"/>
  <c r="Z526" i="1"/>
  <c r="AA526" i="1" s="1"/>
  <c r="Z363" i="1"/>
  <c r="AA363" i="1" s="1"/>
  <c r="Z235" i="1"/>
  <c r="AA235" i="1" s="1"/>
  <c r="Z473" i="1"/>
  <c r="AA473" i="1" s="1"/>
  <c r="Z111" i="1"/>
  <c r="AA111" i="1" s="1"/>
  <c r="Z457" i="1"/>
  <c r="AA457" i="1" s="1"/>
  <c r="Z159" i="1"/>
  <c r="AA159" i="1" s="1"/>
  <c r="Z417" i="1"/>
  <c r="AA417" i="1" s="1"/>
  <c r="AC102" i="1"/>
  <c r="AD102" i="1" s="1"/>
  <c r="AC44" i="1"/>
  <c r="AD44" i="1" s="1"/>
  <c r="AC382" i="1"/>
  <c r="AD382" i="1" s="1"/>
  <c r="AC466" i="1"/>
  <c r="AD466" i="1" s="1"/>
  <c r="AC136" i="1"/>
  <c r="AD136" i="1" s="1"/>
  <c r="AC39" i="1"/>
  <c r="AD39" i="1" s="1"/>
  <c r="AC448" i="1"/>
  <c r="AD448" i="1" s="1"/>
  <c r="AC320" i="1"/>
  <c r="AD320" i="1" s="1"/>
  <c r="AC413" i="1"/>
  <c r="AD413" i="1" s="1"/>
  <c r="AC92" i="1"/>
  <c r="AD92" i="1" s="1"/>
  <c r="AC474" i="1"/>
  <c r="AD474" i="1" s="1"/>
  <c r="AC32" i="1"/>
  <c r="AD32" i="1" s="1"/>
  <c r="AC112" i="1"/>
  <c r="AD112" i="1" s="1"/>
  <c r="T189" i="1"/>
  <c r="U189" i="1" s="1"/>
  <c r="T78" i="1"/>
  <c r="U78" i="1" s="1"/>
  <c r="T331" i="1"/>
  <c r="U331" i="1" s="1"/>
  <c r="T262" i="1"/>
  <c r="U262" i="1" s="1"/>
  <c r="T82" i="1"/>
  <c r="U82" i="1" s="1"/>
  <c r="T75" i="1"/>
  <c r="U75" i="1" s="1"/>
  <c r="T267" i="1"/>
  <c r="U267" i="1" s="1"/>
  <c r="AC34" i="1"/>
  <c r="AD34" i="1" s="1"/>
  <c r="AC364" i="1"/>
  <c r="AD364" i="1" s="1"/>
  <c r="T352" i="1"/>
  <c r="U352" i="1" s="1"/>
  <c r="T228" i="1"/>
  <c r="U228" i="1" s="1"/>
  <c r="T223" i="1"/>
  <c r="U223" i="1" s="1"/>
  <c r="T148" i="1"/>
  <c r="U148" i="1" s="1"/>
  <c r="T504" i="1"/>
  <c r="U504" i="1" s="1"/>
  <c r="T369" i="1"/>
  <c r="U369" i="1" s="1"/>
  <c r="T84" i="1"/>
  <c r="U84" i="1" s="1"/>
  <c r="T314" i="1"/>
  <c r="U314" i="1" s="1"/>
  <c r="T180" i="1"/>
  <c r="U180" i="1" s="1"/>
  <c r="T44" i="1"/>
  <c r="U44" i="1" s="1"/>
  <c r="T374" i="1"/>
  <c r="U374" i="1" s="1"/>
  <c r="T487" i="1"/>
  <c r="U487" i="1" s="1"/>
  <c r="T456" i="1"/>
  <c r="U456" i="1" s="1"/>
  <c r="T300" i="1"/>
  <c r="U300" i="1" s="1"/>
  <c r="T159" i="1"/>
  <c r="U159" i="1" s="1"/>
  <c r="T91" i="1"/>
  <c r="U91" i="1" s="1"/>
  <c r="T543" i="1"/>
  <c r="U543" i="1" s="1"/>
  <c r="T285" i="1"/>
  <c r="U285" i="1" s="1"/>
  <c r="T472" i="1"/>
  <c r="U472" i="1" s="1"/>
  <c r="Z362" i="1"/>
  <c r="AA362" i="1" s="1"/>
  <c r="Z482" i="1"/>
  <c r="AA482" i="1" s="1"/>
  <c r="Z62" i="1"/>
  <c r="AA62" i="1" s="1"/>
  <c r="Z216" i="1"/>
  <c r="AA216" i="1" s="1"/>
  <c r="Z329" i="1"/>
  <c r="AA329" i="1" s="1"/>
  <c r="Z172" i="1"/>
  <c r="AA172" i="1" s="1"/>
  <c r="Z385" i="1"/>
  <c r="AA385" i="1" s="1"/>
  <c r="Z98" i="1"/>
  <c r="AA98" i="1" s="1"/>
  <c r="Z226" i="1"/>
  <c r="AA226" i="1" s="1"/>
  <c r="Z84" i="1"/>
  <c r="AA84" i="1" s="1"/>
  <c r="Z124" i="1"/>
  <c r="AA124" i="1" s="1"/>
  <c r="Z53" i="1"/>
  <c r="AA53" i="1" s="1"/>
  <c r="Z262" i="1"/>
  <c r="AA262" i="1" s="1"/>
  <c r="Z87" i="1"/>
  <c r="AA87" i="1" s="1"/>
  <c r="Z271" i="1"/>
  <c r="AA271" i="1" s="1"/>
  <c r="Z227" i="1"/>
  <c r="AA227" i="1" s="1"/>
  <c r="Z54" i="1"/>
  <c r="AA54" i="1" s="1"/>
  <c r="Z496" i="1"/>
  <c r="AA496" i="1" s="1"/>
  <c r="Z263" i="1"/>
  <c r="AA263" i="1" s="1"/>
  <c r="AC97" i="1"/>
  <c r="AD97" i="1" s="1"/>
  <c r="AC122" i="1"/>
  <c r="AD122" i="1" s="1"/>
  <c r="AC70" i="1"/>
  <c r="AD70" i="1" s="1"/>
  <c r="AC397" i="1"/>
  <c r="AD397" i="1" s="1"/>
  <c r="AC268" i="1"/>
  <c r="AD268" i="1" s="1"/>
  <c r="AC157" i="1"/>
  <c r="AD157" i="1" s="1"/>
  <c r="AC66" i="1"/>
  <c r="AD66" i="1" s="1"/>
  <c r="AC255" i="1"/>
  <c r="AD255" i="1" s="1"/>
  <c r="AC484" i="1"/>
  <c r="AD484" i="1" s="1"/>
  <c r="AC144" i="1"/>
  <c r="AD144" i="1" s="1"/>
  <c r="AC408" i="1"/>
  <c r="AD408" i="1" s="1"/>
  <c r="AC173" i="1"/>
  <c r="AD173" i="1" s="1"/>
  <c r="AC304" i="1"/>
  <c r="AD304" i="1" s="1"/>
  <c r="AC277" i="1"/>
  <c r="AD277" i="1" s="1"/>
  <c r="AC395" i="1"/>
  <c r="AD395" i="1" s="1"/>
  <c r="AC307" i="1"/>
  <c r="AD307" i="1" s="1"/>
  <c r="AC85" i="1"/>
  <c r="AD85" i="1" s="1"/>
  <c r="AC363" i="1"/>
  <c r="AD363" i="1" s="1"/>
  <c r="AC292" i="1"/>
  <c r="AD292" i="1" s="1"/>
  <c r="AC460" i="1"/>
  <c r="AD460" i="1" s="1"/>
  <c r="T219" i="1"/>
  <c r="U219" i="1" s="1"/>
  <c r="T422" i="1"/>
  <c r="U422" i="1" s="1"/>
  <c r="T476" i="1"/>
  <c r="U476" i="1" s="1"/>
  <c r="T127" i="1"/>
  <c r="U127" i="1" s="1"/>
  <c r="T167" i="1"/>
  <c r="U167" i="1" s="1"/>
  <c r="T197" i="1"/>
  <c r="U197" i="1" s="1"/>
  <c r="Z205" i="1"/>
  <c r="AA205" i="1" s="1"/>
  <c r="Z381" i="1"/>
  <c r="AA381" i="1" s="1"/>
  <c r="Z129" i="1"/>
  <c r="AA129" i="1" s="1"/>
  <c r="Z312" i="1"/>
  <c r="AA312" i="1" s="1"/>
  <c r="Z424" i="1"/>
  <c r="AA424" i="1" s="1"/>
  <c r="Z318" i="1"/>
  <c r="AA318" i="1" s="1"/>
  <c r="Z30" i="1"/>
  <c r="AA30" i="1" s="1"/>
  <c r="AC30" i="1"/>
  <c r="AD30" i="1" s="1"/>
  <c r="AC38" i="1"/>
  <c r="AD38" i="1" s="1"/>
  <c r="AC342" i="1"/>
  <c r="AD342" i="1" s="1"/>
  <c r="T144" i="1"/>
  <c r="U144" i="1" s="1"/>
  <c r="T317" i="1"/>
  <c r="U317" i="1" s="1"/>
  <c r="T361" i="1"/>
  <c r="U361" i="1" s="1"/>
  <c r="T175" i="1"/>
  <c r="U175" i="1" s="1"/>
  <c r="T498" i="1"/>
  <c r="U498" i="1" s="1"/>
  <c r="T345" i="1"/>
  <c r="U345" i="1" s="1"/>
  <c r="T282" i="1"/>
  <c r="U282" i="1" s="1"/>
  <c r="T426" i="1"/>
  <c r="U426" i="1" s="1"/>
  <c r="T365" i="1"/>
  <c r="U365" i="1" s="1"/>
  <c r="T400" i="1"/>
  <c r="U400" i="1" s="1"/>
  <c r="T294" i="1"/>
  <c r="U294" i="1" s="1"/>
  <c r="T394" i="1"/>
  <c r="U394" i="1" s="1"/>
  <c r="T49" i="1"/>
  <c r="U49" i="1" s="1"/>
  <c r="T162" i="1"/>
  <c r="U162" i="1" s="1"/>
  <c r="T483" i="1"/>
  <c r="U483" i="1" s="1"/>
  <c r="T201" i="1"/>
  <c r="U201" i="1" s="1"/>
  <c r="T145" i="1"/>
  <c r="U145" i="1" s="1"/>
  <c r="T58" i="1"/>
  <c r="U58" i="1" s="1"/>
  <c r="T173" i="1"/>
  <c r="U173" i="1" s="1"/>
  <c r="T295" i="1"/>
  <c r="U295" i="1" s="1"/>
  <c r="T321" i="1"/>
  <c r="U321" i="1" s="1"/>
  <c r="T309" i="1"/>
  <c r="U309" i="1" s="1"/>
  <c r="T222" i="1"/>
  <c r="U222" i="1" s="1"/>
  <c r="T136" i="1"/>
  <c r="U136" i="1" s="1"/>
  <c r="T494" i="1"/>
  <c r="U494" i="1" s="1"/>
  <c r="T225" i="1"/>
  <c r="U225" i="1" s="1"/>
  <c r="T500" i="1"/>
  <c r="U500" i="1" s="1"/>
  <c r="T291" i="1"/>
  <c r="U291" i="1" s="1"/>
  <c r="T342" i="1"/>
  <c r="U342" i="1" s="1"/>
  <c r="T150" i="1"/>
  <c r="U150" i="1" s="1"/>
  <c r="T247" i="1"/>
  <c r="U247" i="1" s="1"/>
  <c r="T392" i="1"/>
  <c r="U392" i="1" s="1"/>
  <c r="T100" i="1"/>
  <c r="U100" i="1" s="1"/>
  <c r="T541" i="1"/>
  <c r="U541" i="1" s="1"/>
  <c r="T37" i="1"/>
  <c r="U37" i="1" s="1"/>
  <c r="T230" i="1"/>
  <c r="U230" i="1" s="1"/>
  <c r="T181" i="1"/>
  <c r="U181" i="1" s="1"/>
  <c r="T384" i="1"/>
  <c r="U384" i="1" s="1"/>
  <c r="T153" i="1"/>
  <c r="U153" i="1" s="1"/>
  <c r="T238" i="1"/>
  <c r="U238" i="1" s="1"/>
  <c r="T470" i="1"/>
  <c r="U470" i="1" s="1"/>
  <c r="T485" i="1"/>
  <c r="U485" i="1" s="1"/>
  <c r="T5" i="1"/>
  <c r="U5" i="1" s="1"/>
  <c r="Z242" i="1"/>
  <c r="AA242" i="1" s="1"/>
  <c r="Z9" i="1"/>
  <c r="AA9" i="1" s="1"/>
  <c r="Z411" i="1"/>
  <c r="AA411" i="1" s="1"/>
  <c r="Z101" i="1"/>
  <c r="AA101" i="1" s="1"/>
  <c r="Z240" i="1"/>
  <c r="AA240" i="1" s="1"/>
  <c r="Z409" i="1"/>
  <c r="AA409" i="1" s="1"/>
  <c r="Z114" i="1"/>
  <c r="AA114" i="1" s="1"/>
  <c r="Z396" i="1"/>
  <c r="AA396" i="1" s="1"/>
  <c r="Z219" i="1"/>
  <c r="AA219" i="1" s="1"/>
  <c r="Z268" i="1"/>
  <c r="AA268" i="1" s="1"/>
  <c r="Z341" i="1"/>
  <c r="AA341" i="1" s="1"/>
  <c r="Z293" i="1"/>
  <c r="AA293" i="1" s="1"/>
  <c r="Z162" i="1"/>
  <c r="AA162" i="1" s="1"/>
  <c r="Z357" i="1"/>
  <c r="AA357" i="1" s="1"/>
  <c r="Z79" i="1"/>
  <c r="AA79" i="1" s="1"/>
  <c r="Z221" i="1"/>
  <c r="AA221" i="1" s="1"/>
  <c r="Z392" i="1"/>
  <c r="AA392" i="1" s="1"/>
  <c r="Z534" i="1"/>
  <c r="AA534" i="1" s="1"/>
  <c r="Z47" i="1"/>
  <c r="AA47" i="1" s="1"/>
  <c r="Z105" i="1"/>
  <c r="AA105" i="1" s="1"/>
  <c r="Z158" i="1"/>
  <c r="AA158" i="1" s="1"/>
  <c r="Z356" i="1"/>
  <c r="AA356" i="1" s="1"/>
  <c r="Z294" i="1"/>
  <c r="AA294" i="1" s="1"/>
  <c r="Z508" i="1"/>
  <c r="AA508" i="1" s="1"/>
  <c r="Z419" i="1"/>
  <c r="AA419" i="1" s="1"/>
  <c r="Z202" i="1"/>
  <c r="AA202" i="1" s="1"/>
  <c r="Z528" i="1"/>
  <c r="AA528" i="1" s="1"/>
  <c r="Z300" i="1"/>
  <c r="AA300" i="1" s="1"/>
  <c r="Z56" i="1"/>
  <c r="AA56" i="1" s="1"/>
  <c r="Z155" i="1"/>
  <c r="AA155" i="1" s="1"/>
  <c r="Z20" i="1"/>
  <c r="AA20" i="1" s="1"/>
  <c r="Z360" i="1"/>
  <c r="AA360" i="1" s="1"/>
  <c r="Z322" i="1"/>
  <c r="AA322" i="1" s="1"/>
  <c r="Z199" i="1"/>
  <c r="AA199" i="1" s="1"/>
  <c r="Z51" i="1"/>
  <c r="AA51" i="1" s="1"/>
  <c r="Z3" i="1"/>
  <c r="AA3" i="1" s="1"/>
  <c r="Z99" i="1"/>
  <c r="AA99" i="1" s="1"/>
  <c r="Z535" i="1"/>
  <c r="AA535" i="1" s="1"/>
  <c r="Z91" i="1"/>
  <c r="AA91" i="1" s="1"/>
  <c r="Z378" i="1"/>
  <c r="AA378" i="1" s="1"/>
  <c r="Z49" i="1"/>
  <c r="AA49" i="1" s="1"/>
  <c r="Z524" i="1"/>
  <c r="AA524" i="1" s="1"/>
  <c r="Z174" i="1"/>
  <c r="AA174" i="1" s="1"/>
  <c r="Z116" i="1"/>
  <c r="AA116" i="1" s="1"/>
  <c r="Z336" i="1"/>
  <c r="AA336" i="1" s="1"/>
  <c r="AC114" i="1"/>
  <c r="AD114" i="1" s="1"/>
  <c r="AC478" i="1"/>
  <c r="AD478" i="1" s="1"/>
  <c r="AC60" i="1"/>
  <c r="AD60" i="1" s="1"/>
  <c r="AC314" i="1"/>
  <c r="AD314" i="1" s="1"/>
  <c r="AC467" i="1"/>
  <c r="AD467" i="1" s="1"/>
  <c r="AC253" i="1"/>
  <c r="AD253" i="1" s="1"/>
  <c r="AC283" i="1"/>
  <c r="AD283" i="1" s="1"/>
  <c r="AC117" i="1"/>
  <c r="AD117" i="1" s="1"/>
  <c r="AC438" i="1"/>
  <c r="AD438" i="1" s="1"/>
  <c r="AC240" i="1"/>
  <c r="AD240" i="1" s="1"/>
  <c r="AC118" i="1"/>
  <c r="AD118" i="1" s="1"/>
  <c r="AC313" i="1"/>
  <c r="AD313" i="1" s="1"/>
  <c r="AC88" i="1"/>
  <c r="AD88" i="1" s="1"/>
  <c r="AC288" i="1"/>
  <c r="AD288" i="1" s="1"/>
  <c r="AC258" i="1"/>
  <c r="AD258" i="1" s="1"/>
  <c r="AC222" i="1"/>
  <c r="AD222" i="1" s="1"/>
  <c r="AC69" i="1"/>
  <c r="AD69" i="1" s="1"/>
  <c r="AC153" i="1"/>
  <c r="AD153" i="1" s="1"/>
  <c r="AC446" i="1"/>
  <c r="AD446" i="1" s="1"/>
  <c r="AC178" i="1"/>
  <c r="AD178" i="1" s="1"/>
  <c r="AC215" i="1"/>
  <c r="AD215" i="1" s="1"/>
  <c r="AC404" i="1"/>
  <c r="AD404" i="1" s="1"/>
  <c r="AC134" i="1"/>
  <c r="AD134" i="1" s="1"/>
  <c r="AC229" i="1"/>
  <c r="AD229" i="1" s="1"/>
  <c r="AC164" i="1"/>
  <c r="AD164" i="1" s="1"/>
  <c r="AC481" i="1"/>
  <c r="AD481" i="1" s="1"/>
  <c r="AC8" i="1"/>
  <c r="AD8" i="1" s="1"/>
  <c r="AC494" i="1"/>
  <c r="AD494" i="1" s="1"/>
  <c r="AC149" i="1"/>
  <c r="AD149" i="1" s="1"/>
  <c r="AC165" i="1"/>
  <c r="AD165" i="1" s="1"/>
  <c r="AC197" i="1"/>
  <c r="AD197" i="1" s="1"/>
  <c r="AC141" i="1"/>
  <c r="AD141" i="1" s="1"/>
  <c r="AC473" i="1"/>
  <c r="AD473" i="1" s="1"/>
  <c r="AC252" i="1"/>
  <c r="AD252" i="1" s="1"/>
  <c r="AC354" i="1"/>
  <c r="AD354" i="1" s="1"/>
  <c r="AC236" i="1"/>
  <c r="AD236" i="1" s="1"/>
  <c r="AC512" i="1"/>
  <c r="AD512" i="1" s="1"/>
  <c r="AC444" i="1"/>
  <c r="AD444" i="1" s="1"/>
  <c r="AC125" i="1"/>
  <c r="AD125" i="1" s="1"/>
  <c r="AC547" i="1"/>
  <c r="AD547" i="1" s="1"/>
  <c r="AC498" i="1"/>
  <c r="AD498" i="1" s="1"/>
  <c r="AC73" i="1"/>
  <c r="AD73" i="1" s="1"/>
  <c r="AC10" i="1"/>
  <c r="AD10" i="1" s="1"/>
  <c r="AC110" i="1"/>
  <c r="AD110" i="1" s="1"/>
  <c r="AC520" i="1"/>
  <c r="AD520" i="1" s="1"/>
  <c r="AC458" i="1"/>
  <c r="AD458" i="1" s="1"/>
  <c r="AC491" i="1"/>
  <c r="AD491" i="1" s="1"/>
  <c r="AC505" i="1"/>
  <c r="AD505" i="1" s="1"/>
  <c r="AC242" i="1"/>
  <c r="AD242" i="1" s="1"/>
  <c r="AC181" i="1"/>
  <c r="AD181" i="1" s="1"/>
  <c r="T328" i="1"/>
  <c r="U328" i="1" s="1"/>
  <c r="T190" i="1"/>
  <c r="U190" i="1" s="1"/>
  <c r="T155" i="1"/>
  <c r="U155" i="1" s="1"/>
  <c r="T137" i="1"/>
  <c r="U137" i="1" s="1"/>
  <c r="T395" i="1"/>
  <c r="U395" i="1" s="1"/>
  <c r="T143" i="1"/>
  <c r="U143" i="1" s="1"/>
  <c r="AC261" i="1"/>
  <c r="AD261" i="1" s="1"/>
  <c r="AC91" i="1"/>
  <c r="AD91" i="1" s="1"/>
  <c r="AC326" i="1"/>
  <c r="AD326" i="1" s="1"/>
  <c r="AC127" i="1"/>
  <c r="AD127" i="1" s="1"/>
  <c r="AC424" i="1"/>
  <c r="AD424" i="1" s="1"/>
  <c r="T380" i="1"/>
  <c r="U380" i="1" s="1"/>
  <c r="Z100" i="1"/>
  <c r="AA100" i="1" s="1"/>
  <c r="AC479" i="1"/>
  <c r="AD479" i="1" s="1"/>
  <c r="AC177" i="1"/>
  <c r="AD177" i="1" s="1"/>
  <c r="T187" i="1"/>
  <c r="U187" i="1" s="1"/>
  <c r="T497" i="1"/>
  <c r="U497" i="1" s="1"/>
  <c r="T449" i="1"/>
  <c r="U449" i="1" s="1"/>
  <c r="T407" i="1"/>
  <c r="U407" i="1" s="1"/>
  <c r="T350" i="1"/>
  <c r="U350" i="1" s="1"/>
  <c r="T169" i="1"/>
  <c r="U169" i="1" s="1"/>
  <c r="Z393" i="1"/>
  <c r="AA393" i="1" s="1"/>
  <c r="Z36" i="1"/>
  <c r="AA36" i="1" s="1"/>
  <c r="Z374" i="1"/>
  <c r="AA374" i="1" s="1"/>
  <c r="Z249" i="1"/>
  <c r="AA249" i="1" s="1"/>
  <c r="Z189" i="1"/>
  <c r="AA189" i="1" s="1"/>
  <c r="Z314" i="1"/>
  <c r="AA314" i="1" s="1"/>
  <c r="Z319" i="1"/>
  <c r="AA319" i="1" s="1"/>
  <c r="Z434" i="1"/>
  <c r="AA434" i="1" s="1"/>
  <c r="AC403" i="1"/>
  <c r="AD403" i="1" s="1"/>
  <c r="AC459" i="1"/>
  <c r="AD459" i="1" s="1"/>
  <c r="AC7" i="1"/>
  <c r="AD7" i="1" s="1"/>
  <c r="AC230" i="1"/>
  <c r="AD230" i="1" s="1"/>
  <c r="AC87" i="1"/>
  <c r="AD87" i="1" s="1"/>
  <c r="AC509" i="1"/>
  <c r="AD509" i="1" s="1"/>
  <c r="T269" i="1"/>
  <c r="U269" i="1" s="1"/>
  <c r="T335" i="1"/>
  <c r="U335" i="1" s="1"/>
  <c r="T508" i="1"/>
  <c r="U508" i="1" s="1"/>
  <c r="T193" i="1"/>
  <c r="U193" i="1" s="1"/>
  <c r="T492" i="1"/>
  <c r="U492" i="1" s="1"/>
  <c r="T220" i="1"/>
  <c r="U220" i="1" s="1"/>
  <c r="T89" i="1"/>
  <c r="U89" i="1" s="1"/>
  <c r="Z447" i="1"/>
  <c r="AA447" i="1" s="1"/>
  <c r="Z412" i="1"/>
  <c r="AA412" i="1" s="1"/>
  <c r="Z112" i="1"/>
  <c r="AA112" i="1" s="1"/>
  <c r="Z107" i="1"/>
  <c r="AA107" i="1" s="1"/>
  <c r="Z280" i="1"/>
  <c r="AA280" i="1" s="1"/>
  <c r="AC325" i="1"/>
  <c r="AD325" i="1" s="1"/>
  <c r="AC130" i="1"/>
  <c r="AD130" i="1" s="1"/>
  <c r="AC324" i="1"/>
  <c r="AD324" i="1" s="1"/>
  <c r="AC108" i="1"/>
  <c r="AD108" i="1" s="1"/>
  <c r="AC546" i="1"/>
  <c r="AD546" i="1" s="1"/>
  <c r="AC28" i="1"/>
  <c r="AD28" i="1" s="1"/>
  <c r="AC346" i="1"/>
  <c r="AD346" i="1" s="1"/>
  <c r="AC296" i="1"/>
  <c r="AD296" i="1" s="1"/>
  <c r="AC286" i="1"/>
  <c r="AD286" i="1" s="1"/>
  <c r="AC522" i="1"/>
  <c r="AD522" i="1" s="1"/>
  <c r="AC306" i="1"/>
  <c r="AD306" i="1" s="1"/>
  <c r="AC33" i="1"/>
  <c r="AD33" i="1" s="1"/>
  <c r="AC211" i="1"/>
  <c r="AD211" i="1" s="1"/>
  <c r="AC391" i="1"/>
  <c r="AD391" i="1" s="1"/>
  <c r="T319" i="1"/>
  <c r="U319" i="1" s="1"/>
  <c r="T216" i="1"/>
  <c r="U216" i="1" s="1"/>
  <c r="T149" i="1"/>
  <c r="U149" i="1" s="1"/>
  <c r="T419" i="1"/>
  <c r="U419" i="1" s="1"/>
  <c r="T178" i="1"/>
  <c r="U178" i="1" s="1"/>
  <c r="T249" i="1"/>
  <c r="U249" i="1" s="1"/>
  <c r="T195" i="1"/>
  <c r="U195" i="1" s="1"/>
  <c r="T83" i="1"/>
  <c r="U83" i="1" s="1"/>
  <c r="T310" i="1"/>
  <c r="U310" i="1" s="1"/>
  <c r="T401" i="1"/>
  <c r="U401" i="1" s="1"/>
  <c r="T254" i="1"/>
  <c r="U254" i="1" s="1"/>
  <c r="T107" i="1"/>
  <c r="U107" i="1" s="1"/>
  <c r="T441" i="1"/>
  <c r="U441" i="1" s="1"/>
  <c r="T48" i="1"/>
  <c r="U48" i="1" s="1"/>
  <c r="T278" i="1"/>
  <c r="U278" i="1" s="1"/>
  <c r="T366" i="1"/>
  <c r="U366" i="1" s="1"/>
  <c r="T115" i="1"/>
  <c r="U115" i="1" s="1"/>
  <c r="T404" i="1"/>
  <c r="U404" i="1" s="1"/>
  <c r="T368" i="1"/>
  <c r="U368" i="1" s="1"/>
  <c r="T64" i="1"/>
  <c r="U64" i="1" s="1"/>
  <c r="T166" i="1"/>
  <c r="U166" i="1" s="1"/>
  <c r="T98" i="1"/>
  <c r="U98" i="1" s="1"/>
  <c r="T229" i="1"/>
  <c r="U229" i="1" s="1"/>
  <c r="T439" i="1"/>
  <c r="U439" i="1" s="1"/>
  <c r="T390" i="1"/>
  <c r="U390" i="1" s="1"/>
  <c r="T479" i="1"/>
  <c r="U479" i="1" s="1"/>
  <c r="T442" i="1"/>
  <c r="U442" i="1" s="1"/>
  <c r="T482" i="1"/>
  <c r="U482" i="1" s="1"/>
  <c r="T164" i="1"/>
  <c r="U164" i="1" s="1"/>
  <c r="T464" i="1"/>
  <c r="U464" i="1" s="1"/>
  <c r="T79" i="1"/>
  <c r="U79" i="1" s="1"/>
  <c r="T425" i="1"/>
  <c r="U425" i="1" s="1"/>
  <c r="T507" i="1"/>
  <c r="U507" i="1" s="1"/>
  <c r="T292" i="1"/>
  <c r="U292" i="1" s="1"/>
  <c r="T544" i="1"/>
  <c r="U544" i="1" s="1"/>
  <c r="T305" i="1"/>
  <c r="U305" i="1" s="1"/>
  <c r="T161" i="1"/>
  <c r="U161" i="1" s="1"/>
  <c r="T537" i="1"/>
  <c r="U537" i="1" s="1"/>
  <c r="T86" i="1"/>
  <c r="U86" i="1" s="1"/>
  <c r="T547" i="1"/>
  <c r="U547" i="1" s="1"/>
  <c r="T413" i="1"/>
  <c r="U413" i="1" s="1"/>
  <c r="T41" i="1"/>
  <c r="U41" i="1" s="1"/>
  <c r="T4" i="1"/>
  <c r="U4" i="1" s="1"/>
  <c r="Z484" i="1"/>
  <c r="AA484" i="1" s="1"/>
  <c r="Z324" i="1"/>
  <c r="AA324" i="1" s="1"/>
  <c r="Z414" i="1"/>
  <c r="AA414" i="1" s="1"/>
  <c r="Z113" i="1"/>
  <c r="AA113" i="1" s="1"/>
  <c r="Z517" i="1"/>
  <c r="AA517" i="1" s="1"/>
  <c r="Z220" i="1"/>
  <c r="AA220" i="1" s="1"/>
  <c r="Z298" i="1"/>
  <c r="AA298" i="1" s="1"/>
  <c r="Z256" i="1"/>
  <c r="AA256" i="1" s="1"/>
  <c r="Z413" i="1"/>
  <c r="AA413" i="1" s="1"/>
  <c r="Z85" i="1"/>
  <c r="AA85" i="1" s="1"/>
  <c r="Z136" i="1"/>
  <c r="AA136" i="1" s="1"/>
  <c r="Z431" i="1"/>
  <c r="AA431" i="1" s="1"/>
  <c r="Z338" i="1"/>
  <c r="AA338" i="1" s="1"/>
  <c r="Z22" i="1"/>
  <c r="AA22" i="1" s="1"/>
  <c r="Z37" i="1"/>
  <c r="AA37" i="1" s="1"/>
  <c r="Z383" i="1"/>
  <c r="AA383" i="1" s="1"/>
  <c r="Z488" i="1"/>
  <c r="AA488" i="1" s="1"/>
  <c r="Z365" i="1"/>
  <c r="AA365" i="1" s="1"/>
  <c r="Z463" i="1"/>
  <c r="AA463" i="1" s="1"/>
  <c r="Z186" i="1"/>
  <c r="AA186" i="1" s="1"/>
  <c r="Z274" i="1"/>
  <c r="AA274" i="1" s="1"/>
  <c r="Z118" i="1"/>
  <c r="AA118" i="1" s="1"/>
  <c r="Z479" i="1"/>
  <c r="AA479" i="1" s="1"/>
  <c r="Z209" i="1"/>
  <c r="AA209" i="1" s="1"/>
  <c r="Z536" i="1"/>
  <c r="AA536" i="1" s="1"/>
  <c r="Z453" i="1"/>
  <c r="AA453" i="1" s="1"/>
  <c r="Z325" i="1"/>
  <c r="AA325" i="1" s="1"/>
  <c r="Z241" i="1"/>
  <c r="AA241" i="1" s="1"/>
  <c r="Z6" i="1"/>
  <c r="AA6" i="1" s="1"/>
  <c r="Z283" i="1"/>
  <c r="AA283" i="1" s="1"/>
  <c r="Z276" i="1"/>
  <c r="AA276" i="1" s="1"/>
  <c r="Z255" i="1"/>
  <c r="AA255" i="1" s="1"/>
  <c r="Z94" i="1"/>
  <c r="AA94" i="1" s="1"/>
  <c r="Z308" i="1"/>
  <c r="AA308" i="1" s="1"/>
  <c r="Z45" i="1"/>
  <c r="AA45" i="1" s="1"/>
  <c r="Z244" i="1"/>
  <c r="AA244" i="1" s="1"/>
  <c r="Z377" i="1"/>
  <c r="AA377" i="1" s="1"/>
  <c r="Z41" i="1"/>
  <c r="AA41" i="1" s="1"/>
  <c r="Z478" i="1"/>
  <c r="AA478" i="1" s="1"/>
  <c r="Z43" i="1"/>
  <c r="AA43" i="1" s="1"/>
  <c r="Z437" i="1"/>
  <c r="AA437" i="1" s="1"/>
  <c r="Z301" i="1"/>
  <c r="AA301" i="1" s="1"/>
  <c r="Z25" i="1"/>
  <c r="AA25" i="1" s="1"/>
  <c r="Z543" i="1"/>
  <c r="AA543" i="1" s="1"/>
  <c r="Z372" i="1"/>
  <c r="AA372" i="1" s="1"/>
  <c r="AC107" i="1"/>
  <c r="AD107" i="1" s="1"/>
  <c r="AC457" i="1"/>
  <c r="AD457" i="1" s="1"/>
  <c r="AC40" i="1"/>
  <c r="AD40" i="1" s="1"/>
  <c r="AC5" i="1"/>
  <c r="AD5" i="1" s="1"/>
  <c r="AC321" i="1"/>
  <c r="AD321" i="1" s="1"/>
  <c r="AC328" i="1"/>
  <c r="AD328" i="1" s="1"/>
  <c r="AC430" i="1"/>
  <c r="AD430" i="1" s="1"/>
  <c r="AC372" i="1"/>
  <c r="AD372" i="1" s="1"/>
  <c r="AC355" i="1"/>
  <c r="AD355" i="1" s="1"/>
  <c r="AC174" i="1"/>
  <c r="AD174" i="1" s="1"/>
  <c r="AC194" i="1"/>
  <c r="AD194" i="1" s="1"/>
  <c r="AC245" i="1"/>
  <c r="AD245" i="1" s="1"/>
  <c r="AC58" i="1"/>
  <c r="AD58" i="1" s="1"/>
  <c r="AC206" i="1"/>
  <c r="AD206" i="1" s="1"/>
  <c r="AC388" i="1"/>
  <c r="AD388" i="1" s="1"/>
  <c r="AC98" i="1"/>
  <c r="AD98" i="1" s="1"/>
  <c r="AC370" i="1"/>
  <c r="AD370" i="1" s="1"/>
  <c r="AC443" i="1"/>
  <c r="AD443" i="1" s="1"/>
  <c r="AC492" i="1"/>
  <c r="AD492" i="1" s="1"/>
  <c r="AC36" i="1"/>
  <c r="AD36" i="1" s="1"/>
  <c r="AC416" i="1"/>
  <c r="AD416" i="1" s="1"/>
  <c r="AC235" i="1"/>
  <c r="AD235" i="1" s="1"/>
  <c r="AC289" i="1"/>
  <c r="AD289" i="1" s="1"/>
  <c r="AC518" i="1"/>
  <c r="AD518" i="1" s="1"/>
  <c r="AC271" i="1"/>
  <c r="AD271" i="1" s="1"/>
  <c r="AC387" i="1"/>
  <c r="AD387" i="1" s="1"/>
  <c r="AC463" i="1"/>
  <c r="AD463" i="1" s="1"/>
  <c r="AC323" i="1"/>
  <c r="AD323" i="1" s="1"/>
  <c r="AC167" i="1"/>
  <c r="AD167" i="1" s="1"/>
  <c r="AC525" i="1"/>
  <c r="AD525" i="1" s="1"/>
  <c r="AC219" i="1"/>
  <c r="AD219" i="1" s="1"/>
  <c r="AC50" i="1"/>
  <c r="AD50" i="1" s="1"/>
  <c r="AC423" i="1"/>
  <c r="AD423" i="1" s="1"/>
  <c r="AC25" i="1"/>
  <c r="AD25" i="1" s="1"/>
  <c r="AC121" i="1"/>
  <c r="AD121" i="1" s="1"/>
  <c r="AC439" i="1"/>
  <c r="AD439" i="1" s="1"/>
  <c r="AC90" i="1"/>
  <c r="AD90" i="1" s="1"/>
  <c r="AC89" i="1"/>
  <c r="AD89" i="1" s="1"/>
  <c r="AC223" i="1"/>
  <c r="AD223" i="1" s="1"/>
  <c r="AC155" i="1"/>
  <c r="AD155" i="1" s="1"/>
  <c r="AC20" i="1"/>
  <c r="AD20" i="1" s="1"/>
  <c r="AC48" i="1"/>
  <c r="AD48" i="1" s="1"/>
  <c r="AC77" i="1"/>
  <c r="AD77" i="1" s="1"/>
  <c r="AC191" i="1"/>
  <c r="AD191" i="1" s="1"/>
  <c r="AC394" i="1"/>
  <c r="AD394" i="1" s="1"/>
  <c r="AC23" i="1"/>
  <c r="AD23" i="1" s="1"/>
  <c r="AC480" i="1"/>
  <c r="AD480" i="1" s="1"/>
  <c r="AC106" i="1"/>
  <c r="AD106" i="1" s="1"/>
  <c r="AC266" i="1"/>
  <c r="AD266" i="1" s="1"/>
  <c r="AC45" i="1"/>
  <c r="AD45" i="1" s="1"/>
  <c r="AC488" i="1"/>
  <c r="AD488" i="1" s="1"/>
  <c r="AC210" i="1"/>
  <c r="AD210" i="1" s="1"/>
  <c r="AC351" i="1"/>
  <c r="AD351" i="1" s="1"/>
  <c r="AC135" i="1"/>
  <c r="AD135" i="1" s="1"/>
  <c r="AC176" i="1"/>
  <c r="AD176" i="1" s="1"/>
  <c r="AC212" i="1"/>
  <c r="AD212" i="1" s="1"/>
  <c r="AC285" i="1"/>
  <c r="AD285" i="1" s="1"/>
  <c r="T512" i="1"/>
  <c r="U512" i="1" s="1"/>
  <c r="T382" i="1"/>
  <c r="U382" i="1" s="1"/>
  <c r="T160" i="1"/>
  <c r="U160" i="1" s="1"/>
  <c r="T298" i="1"/>
  <c r="U298" i="1" s="1"/>
  <c r="T524" i="1"/>
  <c r="U524" i="1" s="1"/>
  <c r="T231" i="1"/>
  <c r="U231" i="1" s="1"/>
  <c r="AC499" i="1"/>
  <c r="AD499" i="1" s="1"/>
  <c r="AC35" i="1"/>
  <c r="AD35" i="1" s="1"/>
  <c r="T283" i="1"/>
  <c r="U283" i="1" s="1"/>
  <c r="T458" i="1"/>
  <c r="U458" i="1" s="1"/>
  <c r="T151" i="1"/>
  <c r="U151" i="1" s="1"/>
  <c r="T186" i="1"/>
  <c r="U186" i="1" s="1"/>
  <c r="T80" i="1"/>
  <c r="U80" i="1" s="1"/>
  <c r="T142" i="1"/>
  <c r="U142" i="1" s="1"/>
  <c r="T462" i="1"/>
  <c r="U462" i="1" s="1"/>
  <c r="T306" i="1"/>
  <c r="U306" i="1" s="1"/>
  <c r="T353" i="1"/>
  <c r="U353" i="1" s="1"/>
  <c r="T440" i="1"/>
  <c r="U440" i="1" s="1"/>
  <c r="T129" i="1"/>
  <c r="U129" i="1" s="1"/>
  <c r="T226" i="1"/>
  <c r="U226" i="1" s="1"/>
  <c r="T183" i="1"/>
  <c r="U183" i="1" s="1"/>
  <c r="T263" i="1"/>
  <c r="U263" i="1" s="1"/>
  <c r="T511" i="1"/>
  <c r="U511" i="1" s="1"/>
  <c r="T132" i="1"/>
  <c r="U132" i="1" s="1"/>
  <c r="T311" i="1"/>
  <c r="U311" i="1" s="1"/>
  <c r="T461" i="1"/>
  <c r="U461" i="1" s="1"/>
  <c r="T135" i="1"/>
  <c r="U135" i="1" s="1"/>
  <c r="Z58" i="1"/>
  <c r="AA58" i="1" s="1"/>
  <c r="Z55" i="1"/>
  <c r="AA55" i="1" s="1"/>
  <c r="Z435" i="1"/>
  <c r="AA435" i="1" s="1"/>
  <c r="Z400" i="1"/>
  <c r="AA400" i="1" s="1"/>
  <c r="Z178" i="1"/>
  <c r="AA178" i="1" s="1"/>
  <c r="Z33" i="1"/>
  <c r="AA33" i="1" s="1"/>
  <c r="Z165" i="1"/>
  <c r="AA165" i="1" s="1"/>
  <c r="Z21" i="1"/>
  <c r="AA21" i="1" s="1"/>
  <c r="Z278" i="1"/>
  <c r="AA278" i="1" s="1"/>
  <c r="Z150" i="1"/>
  <c r="AA150" i="1" s="1"/>
  <c r="Z373" i="1"/>
  <c r="AA373" i="1" s="1"/>
  <c r="Z337" i="1"/>
  <c r="AA337" i="1" s="1"/>
  <c r="Z86" i="1"/>
  <c r="AA86" i="1" s="1"/>
  <c r="Z398" i="1"/>
  <c r="AA398" i="1" s="1"/>
  <c r="Z42" i="1"/>
  <c r="AA42" i="1" s="1"/>
  <c r="Z167" i="1"/>
  <c r="AA167" i="1" s="1"/>
  <c r="Z102" i="1"/>
  <c r="AA102" i="1" s="1"/>
  <c r="Z57" i="1"/>
  <c r="AA57" i="1" s="1"/>
  <c r="Z96" i="1"/>
  <c r="AA96" i="1" s="1"/>
  <c r="Z168" i="1"/>
  <c r="AA168" i="1" s="1"/>
  <c r="AC12" i="1"/>
  <c r="AD12" i="1" s="1"/>
  <c r="AC190" i="1"/>
  <c r="AD190" i="1" s="1"/>
  <c r="AC150" i="1"/>
  <c r="AD150" i="1" s="1"/>
  <c r="AC405" i="1"/>
  <c r="AD405" i="1" s="1"/>
  <c r="AC148" i="1"/>
  <c r="AD148" i="1" s="1"/>
  <c r="AC347" i="1"/>
  <c r="AD347" i="1" s="1"/>
  <c r="AC359" i="1"/>
  <c r="AD359" i="1" s="1"/>
  <c r="AC75" i="1"/>
  <c r="AD75" i="1" s="1"/>
  <c r="AC308" i="1"/>
  <c r="AD308" i="1" s="1"/>
  <c r="AC433" i="1"/>
  <c r="AD433" i="1" s="1"/>
  <c r="AC531" i="1"/>
  <c r="AD531" i="1" s="1"/>
  <c r="AC534" i="1"/>
  <c r="AD534" i="1" s="1"/>
  <c r="AC379" i="1"/>
  <c r="AD379" i="1" s="1"/>
  <c r="AC170" i="1"/>
  <c r="AD170" i="1" s="1"/>
  <c r="AC317" i="1"/>
  <c r="AD317" i="1" s="1"/>
  <c r="AC507" i="1"/>
  <c r="AD507" i="1" s="1"/>
  <c r="T364" i="1"/>
  <c r="U364" i="1" s="1"/>
  <c r="T170" i="1"/>
  <c r="U170" i="1" s="1"/>
  <c r="T337" i="1"/>
  <c r="U337" i="1" s="1"/>
  <c r="Z401" i="1"/>
  <c r="AA401" i="1" s="1"/>
  <c r="Z246" i="1"/>
  <c r="AA246" i="1" s="1"/>
  <c r="Z307" i="1"/>
  <c r="AA307" i="1" s="1"/>
  <c r="AC392" i="1"/>
  <c r="AD392" i="1" s="1"/>
  <c r="AC213" i="1"/>
  <c r="AD213" i="1" s="1"/>
  <c r="AC278" i="1"/>
  <c r="AD278" i="1" s="1"/>
  <c r="AC196" i="1"/>
  <c r="AD196" i="1" s="1"/>
  <c r="AC541" i="1"/>
  <c r="AD541" i="1" s="1"/>
  <c r="AC225" i="1"/>
  <c r="AD225" i="1" s="1"/>
  <c r="T138" i="1"/>
  <c r="U138" i="1" s="1"/>
  <c r="T277" i="1"/>
  <c r="U277" i="1" s="1"/>
  <c r="T434" i="1"/>
  <c r="U434" i="1" s="1"/>
  <c r="T408" i="1"/>
  <c r="U408" i="1" s="1"/>
  <c r="T312" i="1"/>
  <c r="U312" i="1" s="1"/>
  <c r="T118" i="1"/>
  <c r="U118" i="1" s="1"/>
  <c r="Z212" i="1"/>
  <c r="AA212" i="1" s="1"/>
  <c r="Z541" i="1"/>
  <c r="AA541" i="1" s="1"/>
  <c r="Z252" i="1"/>
  <c r="AA252" i="1" s="1"/>
  <c r="Z4" i="1"/>
  <c r="AA4" i="1" s="1"/>
  <c r="Z103" i="1"/>
  <c r="AA103" i="1" s="1"/>
  <c r="Z245" i="1"/>
  <c r="AA245" i="1" s="1"/>
  <c r="Z358" i="1"/>
  <c r="AA358" i="1" s="1"/>
  <c r="AC81" i="1"/>
  <c r="AD81" i="1" s="1"/>
  <c r="AC482" i="1"/>
  <c r="AD482" i="1" s="1"/>
  <c r="AC421" i="1"/>
  <c r="AD421" i="1" s="1"/>
  <c r="AC9" i="1"/>
  <c r="AD9" i="1" s="1"/>
  <c r="T264" i="1"/>
  <c r="U264" i="1" s="1"/>
  <c r="T396" i="1"/>
  <c r="U396" i="1" s="1"/>
  <c r="T534" i="1"/>
  <c r="U534" i="1" s="1"/>
  <c r="T290" i="1"/>
  <c r="U290" i="1" s="1"/>
  <c r="T418" i="1"/>
  <c r="U418" i="1" s="1"/>
  <c r="T286" i="1"/>
  <c r="U286" i="1" s="1"/>
  <c r="T279" i="1"/>
  <c r="U279" i="1" s="1"/>
  <c r="T188" i="1"/>
  <c r="U188" i="1" s="1"/>
  <c r="T63" i="1"/>
  <c r="U63" i="1" s="1"/>
  <c r="T535" i="1"/>
  <c r="U535" i="1" s="1"/>
  <c r="T344" i="1"/>
  <c r="U344" i="1" s="1"/>
  <c r="T69" i="1"/>
  <c r="U69" i="1" s="1"/>
  <c r="T523" i="1"/>
  <c r="U523" i="1" s="1"/>
  <c r="T372" i="1"/>
  <c r="U372" i="1" s="1"/>
  <c r="T90" i="1"/>
  <c r="U90" i="1" s="1"/>
  <c r="T424" i="1"/>
  <c r="U424" i="1" s="1"/>
  <c r="T40" i="1"/>
  <c r="U40" i="1" s="1"/>
  <c r="T204" i="1"/>
  <c r="U204" i="1" s="1"/>
  <c r="T296" i="1"/>
  <c r="U296" i="1" s="1"/>
  <c r="T199" i="1"/>
  <c r="U199" i="1" s="1"/>
  <c r="T85" i="1"/>
  <c r="U85" i="1" s="1"/>
  <c r="T239" i="1"/>
  <c r="U239" i="1" s="1"/>
  <c r="T436" i="1"/>
  <c r="U436" i="1" s="1"/>
  <c r="T358" i="1"/>
  <c r="U358" i="1" s="1"/>
  <c r="T313" i="1"/>
  <c r="U313" i="1" s="1"/>
  <c r="T6" i="1"/>
  <c r="U6" i="1" s="1"/>
  <c r="T95" i="1"/>
  <c r="U95" i="1" s="1"/>
  <c r="T105" i="1"/>
  <c r="U105" i="1" s="1"/>
  <c r="T213" i="1"/>
  <c r="U213" i="1" s="1"/>
  <c r="T218" i="1"/>
  <c r="U218" i="1" s="1"/>
  <c r="T221" i="1"/>
  <c r="U221" i="1" s="1"/>
  <c r="T45" i="1"/>
  <c r="U45" i="1" s="1"/>
  <c r="T46" i="1"/>
  <c r="U46" i="1" s="1"/>
  <c r="T288" i="1"/>
  <c r="U288" i="1" s="1"/>
  <c r="T453" i="1"/>
  <c r="U453" i="1" s="1"/>
  <c r="T430" i="1"/>
  <c r="U430" i="1" s="1"/>
  <c r="T447" i="1"/>
  <c r="U447" i="1" s="1"/>
  <c r="T515" i="1"/>
  <c r="U515" i="1" s="1"/>
  <c r="T308" i="1"/>
  <c r="U308" i="1" s="1"/>
  <c r="T433" i="1"/>
  <c r="U433" i="1" s="1"/>
  <c r="T460" i="1"/>
  <c r="U460" i="1" s="1"/>
  <c r="T359" i="1"/>
  <c r="U359" i="1" s="1"/>
  <c r="T38" i="1"/>
  <c r="U38" i="1" s="1"/>
  <c r="Z348" i="1"/>
  <c r="AA348" i="1" s="1"/>
  <c r="Z512" i="1"/>
  <c r="AA512" i="1" s="1"/>
  <c r="Z147" i="1"/>
  <c r="AA147" i="1" s="1"/>
  <c r="Z181" i="1"/>
  <c r="AA181" i="1" s="1"/>
  <c r="Z140" i="1"/>
  <c r="AA140" i="1" s="1"/>
  <c r="Z481" i="1"/>
  <c r="AA481" i="1" s="1"/>
  <c r="Z217" i="1"/>
  <c r="AA217" i="1" s="1"/>
  <c r="Z72" i="1"/>
  <c r="AA72" i="1" s="1"/>
  <c r="Z309" i="1"/>
  <c r="AA309" i="1" s="1"/>
  <c r="Z34" i="1"/>
  <c r="AA34" i="1" s="1"/>
  <c r="Z239" i="1"/>
  <c r="AA239" i="1" s="1"/>
  <c r="Z161" i="1"/>
  <c r="AA161" i="1" s="1"/>
  <c r="Z418" i="1"/>
  <c r="AA418" i="1" s="1"/>
  <c r="Z467" i="1"/>
  <c r="AA467" i="1" s="1"/>
  <c r="Z48" i="1"/>
  <c r="AA48" i="1" s="1"/>
  <c r="Z354" i="1"/>
  <c r="AA354" i="1" s="1"/>
  <c r="Z138" i="1"/>
  <c r="AA138" i="1" s="1"/>
  <c r="Z368" i="1"/>
  <c r="AA368" i="1" s="1"/>
  <c r="Z544" i="1"/>
  <c r="AA544" i="1" s="1"/>
  <c r="Z201" i="1"/>
  <c r="AA201" i="1" s="1"/>
  <c r="Z291" i="1"/>
  <c r="AA291" i="1" s="1"/>
  <c r="Z371" i="1"/>
  <c r="AA371" i="1" s="1"/>
  <c r="Z52" i="1"/>
  <c r="AA52" i="1" s="1"/>
  <c r="Z323" i="1"/>
  <c r="AA323" i="1" s="1"/>
  <c r="Z499" i="1"/>
  <c r="AA499" i="1" s="1"/>
  <c r="Z470" i="1"/>
  <c r="AA470" i="1" s="1"/>
  <c r="Z106" i="1"/>
  <c r="AA106" i="1" s="1"/>
  <c r="Z82" i="1"/>
  <c r="AA82" i="1" s="1"/>
  <c r="Z261" i="1"/>
  <c r="AA261" i="1" s="1"/>
  <c r="Z433" i="1"/>
  <c r="AA433" i="1" s="1"/>
  <c r="Z254" i="1"/>
  <c r="AA254" i="1" s="1"/>
  <c r="Z397" i="1"/>
  <c r="AA397" i="1" s="1"/>
  <c r="Z180" i="1"/>
  <c r="AA180" i="1" s="1"/>
  <c r="Z320" i="1"/>
  <c r="AA320" i="1" s="1"/>
  <c r="Z191" i="1"/>
  <c r="AA191" i="1" s="1"/>
  <c r="Z462" i="1"/>
  <c r="AA462" i="1" s="1"/>
  <c r="Z421" i="1"/>
  <c r="AA421" i="1" s="1"/>
  <c r="Z133" i="1"/>
  <c r="AA133" i="1" s="1"/>
  <c r="Z390" i="1"/>
  <c r="AA390" i="1" s="1"/>
  <c r="Z247" i="1"/>
  <c r="AA247" i="1" s="1"/>
  <c r="Z331" i="1"/>
  <c r="AA331" i="1" s="1"/>
  <c r="Z472" i="1"/>
  <c r="AA472" i="1" s="1"/>
  <c r="Z277" i="1"/>
  <c r="AA277" i="1" s="1"/>
  <c r="Z375" i="1"/>
  <c r="AA375" i="1" s="1"/>
  <c r="Z297" i="1"/>
  <c r="AA297" i="1" s="1"/>
  <c r="AC384" i="1"/>
  <c r="AD384" i="1" s="1"/>
  <c r="AC399" i="1"/>
  <c r="AD399" i="1" s="1"/>
  <c r="AC528" i="1"/>
  <c r="AD528" i="1" s="1"/>
  <c r="AC29" i="1"/>
  <c r="AD29" i="1" s="1"/>
  <c r="AC376" i="1"/>
  <c r="AD376" i="1" s="1"/>
  <c r="AC380" i="1"/>
  <c r="AD380" i="1" s="1"/>
  <c r="AC477" i="1"/>
  <c r="AD477" i="1" s="1"/>
  <c r="AC383" i="1"/>
  <c r="AD383" i="1" s="1"/>
  <c r="AC158" i="1"/>
  <c r="AD158" i="1" s="1"/>
  <c r="AC59" i="1"/>
  <c r="AD59" i="1" s="1"/>
  <c r="AC56" i="1"/>
  <c r="AD56" i="1" s="1"/>
  <c r="AC414" i="1"/>
  <c r="AD414" i="1" s="1"/>
  <c r="AC435" i="1"/>
  <c r="AD435" i="1" s="1"/>
  <c r="AC428" i="1"/>
  <c r="AD428" i="1" s="1"/>
  <c r="AC456" i="1"/>
  <c r="AD456" i="1" s="1"/>
  <c r="AC256" i="1"/>
  <c r="AD256" i="1" s="1"/>
  <c r="AC300" i="1"/>
  <c r="AD300" i="1" s="1"/>
  <c r="AC390" i="1"/>
  <c r="AD390" i="1" s="1"/>
  <c r="AC420" i="1"/>
  <c r="AD420" i="1" s="1"/>
  <c r="AC357" i="1"/>
  <c r="AD357" i="1" s="1"/>
  <c r="AC415" i="1"/>
  <c r="AD415" i="1" s="1"/>
  <c r="AC538" i="1"/>
  <c r="AD538" i="1" s="1"/>
  <c r="AC192" i="1"/>
  <c r="AD192" i="1" s="1"/>
  <c r="AC79" i="1"/>
  <c r="AD79" i="1" s="1"/>
  <c r="AC419" i="1"/>
  <c r="AD419" i="1" s="1"/>
  <c r="AC280" i="1"/>
  <c r="AD280" i="1" s="1"/>
  <c r="AC472" i="1"/>
  <c r="AD472" i="1" s="1"/>
  <c r="AC168" i="1"/>
  <c r="AD168" i="1" s="1"/>
  <c r="AC95" i="1"/>
  <c r="AD95" i="1" s="1"/>
  <c r="AC521" i="1"/>
  <c r="AD521" i="1" s="1"/>
  <c r="AC14" i="1"/>
  <c r="AD14" i="1" s="1"/>
  <c r="AC282" i="1"/>
  <c r="AD282" i="1" s="1"/>
  <c r="AC260" i="1"/>
  <c r="AD260" i="1" s="1"/>
  <c r="AC183" i="1"/>
  <c r="AD183" i="1" s="1"/>
  <c r="AC504" i="1"/>
  <c r="AD504" i="1" s="1"/>
  <c r="AC461" i="1"/>
  <c r="AD461" i="1" s="1"/>
  <c r="AC26" i="1"/>
  <c r="AD26" i="1" s="1"/>
  <c r="AC138" i="1"/>
  <c r="AD138" i="1" s="1"/>
  <c r="AC432" i="1"/>
  <c r="AD432" i="1" s="1"/>
  <c r="AC468" i="1"/>
  <c r="AD468" i="1" s="1"/>
  <c r="AC511" i="1"/>
  <c r="AD511" i="1" s="1"/>
  <c r="AC179" i="1"/>
  <c r="AD179" i="1" s="1"/>
  <c r="AC264" i="1"/>
  <c r="AD264" i="1" s="1"/>
  <c r="AC198" i="1"/>
  <c r="AD198" i="1" s="1"/>
  <c r="AC31" i="1"/>
  <c r="AD31" i="1" s="1"/>
  <c r="AC171" i="1"/>
  <c r="AD171" i="1" s="1"/>
  <c r="AC349" i="1"/>
  <c r="AD349" i="1" s="1"/>
  <c r="AC303" i="1"/>
  <c r="AD303" i="1" s="1"/>
  <c r="AC465" i="1"/>
  <c r="AD465" i="1" s="1"/>
  <c r="AC6" i="1"/>
  <c r="AD6" i="1" s="1"/>
  <c r="AC94" i="1"/>
  <c r="AD94" i="1" s="1"/>
  <c r="T205" i="1"/>
  <c r="U205" i="1" s="1"/>
  <c r="T412" i="1"/>
  <c r="U412" i="1" s="1"/>
  <c r="T111" i="1"/>
  <c r="U111" i="1" s="1"/>
  <c r="T73" i="1"/>
  <c r="U73" i="1" s="1"/>
  <c r="Z492" i="1"/>
  <c r="AA492" i="1" s="1"/>
  <c r="Z24" i="1"/>
  <c r="AA24" i="1" s="1"/>
  <c r="AC86" i="1"/>
  <c r="AD86" i="1" s="1"/>
  <c r="AC126" i="1"/>
  <c r="AD126" i="1" s="1"/>
  <c r="T417" i="1"/>
  <c r="U417" i="1" s="1"/>
  <c r="T74" i="1"/>
  <c r="U74" i="1" s="1"/>
  <c r="T399" i="1"/>
  <c r="U399" i="1" s="1"/>
  <c r="T516" i="1"/>
  <c r="U516" i="1" s="1"/>
  <c r="T478" i="1"/>
  <c r="U478" i="1" s="1"/>
  <c r="T403" i="1"/>
  <c r="U403" i="1" s="1"/>
  <c r="Z451" i="1"/>
  <c r="AA451" i="1" s="1"/>
  <c r="Z281" i="1"/>
  <c r="AA281" i="1" s="1"/>
  <c r="Z289" i="1"/>
  <c r="AA289" i="1" s="1"/>
  <c r="Z126" i="1"/>
  <c r="AA126" i="1" s="1"/>
  <c r="Z403" i="1"/>
  <c r="AA403" i="1" s="1"/>
  <c r="Z406" i="1"/>
  <c r="AA406" i="1" s="1"/>
  <c r="Z233" i="1"/>
  <c r="AA233" i="1" s="1"/>
  <c r="Z92" i="1"/>
  <c r="AA92" i="1" s="1"/>
  <c r="AC348" i="1"/>
  <c r="AD348" i="1" s="1"/>
  <c r="AC445" i="1"/>
  <c r="AD445" i="1" s="1"/>
  <c r="AC78" i="1"/>
  <c r="AD78" i="1" s="1"/>
  <c r="AC67" i="1"/>
  <c r="AD67" i="1" s="1"/>
  <c r="AC360" i="1"/>
  <c r="AD360" i="1" s="1"/>
  <c r="AC475" i="1"/>
  <c r="AD475" i="1" s="1"/>
  <c r="AC139" i="1"/>
  <c r="AD139" i="1" s="1"/>
  <c r="AC503" i="1"/>
  <c r="AD503" i="1" s="1"/>
  <c r="AC270" i="1"/>
  <c r="AD270" i="1" s="1"/>
  <c r="AC515" i="1"/>
  <c r="AD515" i="1" s="1"/>
  <c r="T532" i="1"/>
  <c r="U532" i="1" s="1"/>
  <c r="T490" i="1"/>
  <c r="U490" i="1" s="1"/>
  <c r="T488" i="1"/>
  <c r="U488" i="1" s="1"/>
  <c r="T316" i="1"/>
  <c r="U316" i="1" s="1"/>
  <c r="T346" i="1"/>
  <c r="U346" i="1" s="1"/>
  <c r="T133" i="1"/>
  <c r="U133" i="1" s="1"/>
  <c r="Z415" i="1"/>
  <c r="AA415" i="1" s="1"/>
  <c r="Z394" i="1"/>
  <c r="AA394" i="1" s="1"/>
  <c r="Z164" i="1"/>
  <c r="AA164" i="1" s="1"/>
  <c r="Z171" i="1"/>
  <c r="AA171" i="1" s="1"/>
  <c r="Z16" i="1"/>
  <c r="AA16" i="1" s="1"/>
  <c r="Z465" i="1"/>
  <c r="AA465" i="1" s="1"/>
  <c r="AC233" i="1"/>
  <c r="AD233" i="1" s="1"/>
  <c r="AC182" i="1"/>
  <c r="AD182" i="1" s="1"/>
  <c r="AC250" i="1"/>
  <c r="AD250" i="1" s="1"/>
  <c r="AC276" i="1"/>
  <c r="AD276" i="1" s="1"/>
  <c r="T51" i="1"/>
  <c r="U51" i="1" s="1"/>
  <c r="T518" i="1"/>
  <c r="U518" i="1" s="1"/>
  <c r="T265" i="1"/>
  <c r="U265" i="1" s="1"/>
  <c r="T273" i="1"/>
  <c r="U273" i="1" s="1"/>
  <c r="T339" i="1"/>
  <c r="U339" i="1" s="1"/>
  <c r="T121" i="1"/>
  <c r="U121" i="1" s="1"/>
  <c r="T259" i="1"/>
  <c r="U259" i="1" s="1"/>
  <c r="T244" i="1"/>
  <c r="U244" i="1" s="1"/>
  <c r="T146" i="1"/>
  <c r="U146" i="1" s="1"/>
  <c r="T66" i="1"/>
  <c r="U66" i="1" s="1"/>
  <c r="T398" i="1"/>
  <c r="U398" i="1" s="1"/>
  <c r="T502" i="1"/>
  <c r="U502" i="1" s="1"/>
  <c r="T108" i="1"/>
  <c r="U108" i="1" s="1"/>
  <c r="T215" i="1"/>
  <c r="U215" i="1" s="1"/>
  <c r="T438" i="1"/>
  <c r="U438" i="1" s="1"/>
  <c r="T475" i="1"/>
  <c r="U475" i="1" s="1"/>
  <c r="T101" i="1"/>
  <c r="U101" i="1" s="1"/>
  <c r="T495" i="1"/>
  <c r="U495" i="1" s="1"/>
  <c r="T489" i="1"/>
  <c r="U489" i="1" s="1"/>
  <c r="T327" i="1"/>
  <c r="U327" i="1" s="1"/>
  <c r="T140" i="1"/>
  <c r="U140" i="1" s="1"/>
  <c r="T406" i="1"/>
  <c r="U406" i="1" s="1"/>
  <c r="T130" i="1"/>
  <c r="U130" i="1" s="1"/>
  <c r="T156" i="1"/>
  <c r="U156" i="1" s="1"/>
  <c r="T117" i="1"/>
  <c r="U117" i="1" s="1"/>
  <c r="T185" i="1"/>
  <c r="U185" i="1" s="1"/>
  <c r="T545" i="1"/>
  <c r="U545" i="1" s="1"/>
  <c r="T363" i="1"/>
  <c r="U363" i="1" s="1"/>
  <c r="T467" i="1"/>
  <c r="U467" i="1" s="1"/>
  <c r="T477" i="1"/>
  <c r="U477" i="1" s="1"/>
  <c r="T210" i="1"/>
  <c r="U210" i="1" s="1"/>
  <c r="T362" i="1"/>
  <c r="U362" i="1" s="1"/>
  <c r="T468" i="1"/>
  <c r="U468" i="1" s="1"/>
  <c r="T484" i="1"/>
  <c r="U484" i="1" s="1"/>
  <c r="T385" i="1"/>
  <c r="U385" i="1" s="1"/>
  <c r="T87" i="1"/>
  <c r="U87" i="1" s="1"/>
  <c r="T139" i="1"/>
  <c r="U139" i="1" s="1"/>
  <c r="T192" i="1"/>
  <c r="U192" i="1" s="1"/>
  <c r="T379" i="1"/>
  <c r="U379" i="1" s="1"/>
  <c r="T354" i="1"/>
  <c r="U354" i="1" s="1"/>
  <c r="T302" i="1"/>
  <c r="U302" i="1" s="1"/>
  <c r="T471" i="1"/>
  <c r="U471" i="1" s="1"/>
  <c r="T274" i="1"/>
  <c r="U274" i="1" s="1"/>
  <c r="Z452" i="1"/>
  <c r="AA452" i="1" s="1"/>
  <c r="Z88" i="1"/>
  <c r="AA88" i="1" s="1"/>
  <c r="Z333" i="1"/>
  <c r="AA333" i="1" s="1"/>
  <c r="Z61" i="1"/>
  <c r="AA61" i="1" s="1"/>
  <c r="Z130" i="1"/>
  <c r="AA130" i="1" s="1"/>
  <c r="Z231" i="1"/>
  <c r="AA231" i="1" s="1"/>
  <c r="Z198" i="1"/>
  <c r="AA198" i="1" s="1"/>
  <c r="Z71" i="1"/>
  <c r="AA71" i="1" s="1"/>
  <c r="Z440" i="1"/>
  <c r="AA440" i="1" s="1"/>
  <c r="Z248" i="1"/>
  <c r="AA248" i="1" s="1"/>
  <c r="Z495" i="1"/>
  <c r="AA495" i="1" s="1"/>
  <c r="Z347" i="1"/>
  <c r="AA347" i="1" s="1"/>
  <c r="Z192" i="1"/>
  <c r="AA192" i="1" s="1"/>
  <c r="Z443" i="1"/>
  <c r="AA443" i="1" s="1"/>
  <c r="Z15" i="1"/>
  <c r="AA15" i="1" s="1"/>
  <c r="Z35" i="1"/>
  <c r="AA35" i="1" s="1"/>
  <c r="Z516" i="1"/>
  <c r="AA516" i="1" s="1"/>
  <c r="Z296" i="1"/>
  <c r="AA296" i="1" s="1"/>
  <c r="Z182" i="1"/>
  <c r="AA182" i="1" s="1"/>
  <c r="Z442" i="1"/>
  <c r="AA442" i="1" s="1"/>
  <c r="Z290" i="1"/>
  <c r="AA290" i="1" s="1"/>
  <c r="Z110" i="1"/>
  <c r="AA110" i="1" s="1"/>
  <c r="Z243" i="1"/>
  <c r="AA243" i="1" s="1"/>
  <c r="Z139" i="1"/>
  <c r="AA139" i="1" s="1"/>
  <c r="Z384" i="1"/>
  <c r="AA384" i="1" s="1"/>
  <c r="Z391" i="1"/>
  <c r="AA391" i="1" s="1"/>
  <c r="Z237" i="1"/>
  <c r="AA237" i="1" s="1"/>
  <c r="Z266" i="1"/>
  <c r="AA266" i="1" s="1"/>
  <c r="Z143" i="1"/>
  <c r="AA143" i="1" s="1"/>
  <c r="Z441" i="1"/>
  <c r="AA441" i="1" s="1"/>
  <c r="Z211" i="1"/>
  <c r="AA211" i="1" s="1"/>
  <c r="Z10" i="1"/>
  <c r="AA10" i="1" s="1"/>
  <c r="Z250" i="1"/>
  <c r="AA250" i="1" s="1"/>
  <c r="Z64" i="1"/>
  <c r="AA64" i="1" s="1"/>
  <c r="Z339" i="1"/>
  <c r="AA339" i="1" s="1"/>
  <c r="Z422" i="1"/>
  <c r="AA422" i="1" s="1"/>
  <c r="Z504" i="1"/>
  <c r="AA504" i="1" s="1"/>
  <c r="Z527" i="1"/>
  <c r="AA527" i="1" s="1"/>
  <c r="Z353" i="1"/>
  <c r="AA353" i="1" s="1"/>
  <c r="Z459" i="1"/>
  <c r="AA459" i="1" s="1"/>
  <c r="Z39" i="1"/>
  <c r="AA39" i="1" s="1"/>
  <c r="Z511" i="1"/>
  <c r="AA511" i="1" s="1"/>
  <c r="Z128" i="1"/>
  <c r="AA128" i="1" s="1"/>
  <c r="Z359" i="1"/>
  <c r="AA359" i="1" s="1"/>
  <c r="Z351" i="1"/>
  <c r="AA351" i="1" s="1"/>
  <c r="AC54" i="1"/>
  <c r="AD54" i="1" s="1"/>
  <c r="AC311" i="1"/>
  <c r="AD311" i="1" s="1"/>
  <c r="AC513" i="1"/>
  <c r="AD513" i="1" s="1"/>
  <c r="AC160" i="1"/>
  <c r="AD160" i="1" s="1"/>
  <c r="AC202" i="1"/>
  <c r="AD202" i="1" s="1"/>
  <c r="AC470" i="1"/>
  <c r="AD470" i="1" s="1"/>
  <c r="AC257" i="1"/>
  <c r="AD257" i="1" s="1"/>
  <c r="AC469" i="1"/>
  <c r="AD469" i="1" s="1"/>
  <c r="AC83" i="1"/>
  <c r="AD83" i="1" s="1"/>
  <c r="AC442" i="1"/>
  <c r="AD442" i="1" s="1"/>
  <c r="AC193" i="1"/>
  <c r="AD193" i="1" s="1"/>
  <c r="AC251" i="1"/>
  <c r="AD251" i="1" s="1"/>
  <c r="AC502" i="1"/>
  <c r="AD502" i="1" s="1"/>
  <c r="AC400" i="1"/>
  <c r="AD400" i="1" s="1"/>
  <c r="AC52" i="1"/>
  <c r="AD52" i="1" s="1"/>
  <c r="AC187" i="1"/>
  <c r="AD187" i="1" s="1"/>
  <c r="AC366" i="1"/>
  <c r="AD366" i="1" s="1"/>
  <c r="AC485" i="1"/>
  <c r="AD485" i="1" s="1"/>
  <c r="AC104" i="1"/>
  <c r="AD104" i="1" s="1"/>
  <c r="AC290" i="1"/>
  <c r="AD290" i="1" s="1"/>
  <c r="AC184" i="1"/>
  <c r="AD184" i="1" s="1"/>
  <c r="AC18" i="1"/>
  <c r="AD18" i="1" s="1"/>
  <c r="AC129" i="1"/>
  <c r="AD129" i="1" s="1"/>
  <c r="AC101" i="1"/>
  <c r="AD101" i="1" s="1"/>
  <c r="AC3" i="1"/>
  <c r="AD3" i="1" s="1"/>
  <c r="AC16" i="1"/>
  <c r="AD16" i="1" s="1"/>
  <c r="AC254" i="1"/>
  <c r="AD254" i="1" s="1"/>
  <c r="AC464" i="1"/>
  <c r="AD464" i="1" s="1"/>
  <c r="AC542" i="1"/>
  <c r="AD542" i="1" s="1"/>
  <c r="AC93" i="1"/>
  <c r="AD93" i="1" s="1"/>
  <c r="AC422" i="1"/>
  <c r="AD422" i="1" s="1"/>
  <c r="AC295" i="1"/>
  <c r="AD295" i="1" s="1"/>
  <c r="AC272" i="1"/>
  <c r="AD272" i="1" s="1"/>
  <c r="AC13" i="1"/>
  <c r="AD13" i="1" s="1"/>
  <c r="AC533" i="1"/>
  <c r="AD533" i="1" s="1"/>
  <c r="AC385" i="1"/>
  <c r="AD385" i="1" s="1"/>
  <c r="AC216" i="1"/>
  <c r="AD216" i="1" s="1"/>
  <c r="AC84" i="1"/>
  <c r="AD84" i="1" s="1"/>
  <c r="AC209" i="1"/>
  <c r="AD209" i="1" s="1"/>
  <c r="AC143" i="1"/>
  <c r="AD143" i="1" s="1"/>
  <c r="AC436" i="1"/>
  <c r="AD436" i="1" s="1"/>
  <c r="AC4" i="1"/>
  <c r="AD4" i="1" s="1"/>
  <c r="AC159" i="1"/>
  <c r="AD159" i="1" s="1"/>
  <c r="AC137" i="1"/>
  <c r="AD137" i="1" s="1"/>
  <c r="AC249" i="1"/>
  <c r="AD249" i="1" s="1"/>
  <c r="AC462" i="1"/>
  <c r="AD462" i="1" s="1"/>
  <c r="AC537" i="1"/>
  <c r="AD537" i="1" s="1"/>
  <c r="AC483" i="1"/>
  <c r="AD483" i="1" s="1"/>
  <c r="AC535" i="1"/>
  <c r="AD535" i="1" s="1"/>
  <c r="T287" i="1"/>
  <c r="U287" i="1" s="1"/>
  <c r="T261" i="1"/>
  <c r="U261" i="1" s="1"/>
  <c r="T325" i="1"/>
  <c r="U325" i="1" s="1"/>
  <c r="T348" i="1"/>
  <c r="U348" i="1" s="1"/>
  <c r="T171" i="1"/>
  <c r="U171" i="1" s="1"/>
  <c r="T538" i="1"/>
  <c r="U538" i="1" s="1"/>
  <c r="T124" i="1"/>
  <c r="U124" i="1" s="1"/>
  <c r="AC11" i="1"/>
  <c r="AD11" i="1" s="1"/>
  <c r="AC339" i="1"/>
  <c r="AD339" i="1" s="1"/>
  <c r="AC476" i="1"/>
  <c r="AD476" i="1" s="1"/>
  <c r="AC316" i="1"/>
  <c r="AD316" i="1" s="1"/>
  <c r="AC501" i="1"/>
  <c r="AD501" i="1" s="1"/>
  <c r="AC71" i="1"/>
  <c r="AD71" i="1" s="1"/>
  <c r="AC319" i="1"/>
  <c r="AD319" i="1" s="1"/>
  <c r="AC377" i="1"/>
  <c r="AD377" i="1" s="1"/>
  <c r="AC207" i="1"/>
  <c r="AD207" i="1" s="1"/>
  <c r="AC378" i="1"/>
  <c r="AD378" i="1" s="1"/>
  <c r="AC361" i="1"/>
  <c r="AD361" i="1" s="1"/>
  <c r="AC55" i="1"/>
  <c r="AD55" i="1" s="1"/>
  <c r="AC140" i="1"/>
  <c r="AD140" i="1" s="1"/>
  <c r="AC220" i="1"/>
  <c r="AD220" i="1" s="1"/>
  <c r="AC329" i="1"/>
  <c r="AD329" i="1" s="1"/>
  <c r="AC273" i="1"/>
  <c r="AD273" i="1" s="1"/>
  <c r="T531" i="1"/>
  <c r="U531" i="1" s="1"/>
  <c r="Z75" i="1"/>
  <c r="AA75" i="1" s="1"/>
  <c r="Z194" i="1"/>
  <c r="AA194" i="1" s="1"/>
  <c r="AC371" i="1"/>
  <c r="AD371" i="1" s="1"/>
  <c r="AC455" i="1"/>
  <c r="AD455" i="1" s="1"/>
  <c r="T39" i="1"/>
  <c r="U39" i="1" s="1"/>
  <c r="T252" i="1"/>
  <c r="U252" i="1" s="1"/>
  <c r="T318" i="1"/>
  <c r="U318" i="1" s="1"/>
  <c r="T114" i="1"/>
  <c r="U114" i="1" s="1"/>
  <c r="T281" i="1"/>
  <c r="U281" i="1" s="1"/>
  <c r="T315" i="1"/>
  <c r="U315" i="1" s="1"/>
  <c r="T428" i="1"/>
  <c r="U428" i="1" s="1"/>
  <c r="T469" i="1"/>
  <c r="U469" i="1" s="1"/>
  <c r="T241" i="1"/>
  <c r="U241" i="1" s="1"/>
  <c r="T303" i="1"/>
  <c r="U303" i="1" s="1"/>
  <c r="T122" i="1"/>
  <c r="U122" i="1" s="1"/>
  <c r="Z313" i="1"/>
  <c r="AA313" i="1" s="1"/>
  <c r="Z344" i="1"/>
  <c r="AA344" i="1" s="1"/>
  <c r="Z66" i="1"/>
  <c r="AA66" i="1" s="1"/>
  <c r="Z531" i="1"/>
  <c r="AA531" i="1" s="1"/>
  <c r="Z238" i="1"/>
  <c r="AA238" i="1" s="1"/>
  <c r="Z525" i="1"/>
  <c r="AA525" i="1" s="1"/>
  <c r="Z23" i="1"/>
  <c r="AA23" i="1" s="1"/>
  <c r="Z83" i="1"/>
  <c r="AA83" i="1" s="1"/>
  <c r="Z387" i="1"/>
  <c r="AA387" i="1" s="1"/>
  <c r="AC287" i="1"/>
  <c r="AD287" i="1" s="1"/>
  <c r="AC487" i="1"/>
  <c r="AD487" i="1" s="1"/>
  <c r="AC544" i="1"/>
  <c r="AD544" i="1" s="1"/>
  <c r="AC228" i="1"/>
  <c r="AD228" i="1" s="1"/>
  <c r="AC237" i="1"/>
  <c r="AD237" i="1" s="1"/>
  <c r="AC368" i="1"/>
  <c r="AD368" i="1" s="1"/>
  <c r="AC46" i="1"/>
  <c r="AD46" i="1" s="1"/>
  <c r="AC495" i="1"/>
  <c r="AD495" i="1" s="1"/>
  <c r="T202" i="1"/>
  <c r="U202" i="1" s="1"/>
  <c r="T53" i="1"/>
  <c r="U53" i="1" s="1"/>
  <c r="T154" i="1"/>
  <c r="U154" i="1" s="1"/>
  <c r="T93" i="1"/>
  <c r="U93" i="1" s="1"/>
  <c r="T182" i="1"/>
  <c r="U182" i="1" s="1"/>
  <c r="T103" i="1"/>
  <c r="U103" i="1" s="1"/>
  <c r="T270" i="1"/>
  <c r="U270" i="1" s="1"/>
  <c r="Z122" i="1"/>
  <c r="AA122" i="1" s="1"/>
  <c r="Z346" i="1"/>
  <c r="AA346" i="1" s="1"/>
  <c r="Z364" i="1"/>
  <c r="AA364" i="1" s="1"/>
  <c r="Z229" i="1"/>
  <c r="AA229" i="1" s="1"/>
  <c r="Z474" i="1"/>
  <c r="AA474" i="1" s="1"/>
  <c r="Z77" i="1"/>
  <c r="AA77" i="1" s="1"/>
  <c r="AC345" i="1"/>
  <c r="AD345" i="1" s="1"/>
  <c r="AC281" i="1"/>
  <c r="AD281" i="1" s="1"/>
  <c r="AC162" i="1"/>
  <c r="AD162" i="1" s="1"/>
  <c r="T240" i="1"/>
  <c r="U240" i="1" s="1"/>
  <c r="T371" i="1"/>
  <c r="U371" i="1" s="1"/>
  <c r="T196" i="1"/>
  <c r="U196" i="1" s="1"/>
  <c r="T234" i="1"/>
  <c r="U234" i="1" s="1"/>
  <c r="T370" i="1"/>
  <c r="U370" i="1" s="1"/>
  <c r="T71" i="1"/>
  <c r="U71" i="1" s="1"/>
  <c r="T383" i="1"/>
  <c r="U383" i="1" s="1"/>
  <c r="T289" i="1"/>
  <c r="U289" i="1" s="1"/>
  <c r="T536" i="1"/>
  <c r="U536" i="1" s="1"/>
  <c r="T293" i="1"/>
  <c r="U293" i="1" s="1"/>
  <c r="T126" i="1"/>
  <c r="U126" i="1" s="1"/>
  <c r="T450" i="1"/>
  <c r="U450" i="1" s="1"/>
  <c r="T109" i="1"/>
  <c r="U109" i="1" s="1"/>
  <c r="T503" i="1"/>
  <c r="U503" i="1" s="1"/>
  <c r="T165" i="1"/>
  <c r="U165" i="1" s="1"/>
  <c r="T42" i="1"/>
  <c r="U42" i="1" s="1"/>
  <c r="T43" i="1"/>
  <c r="U43" i="1" s="1"/>
  <c r="T246" i="1"/>
  <c r="U246" i="1" s="1"/>
  <c r="T466" i="1"/>
  <c r="U466" i="1" s="1"/>
  <c r="T116" i="1"/>
  <c r="U116" i="1" s="1"/>
  <c r="T304" i="1"/>
  <c r="U304" i="1" s="1"/>
  <c r="T280" i="1"/>
  <c r="U280" i="1" s="1"/>
  <c r="T163" i="1"/>
  <c r="U163" i="1" s="1"/>
  <c r="T152" i="1"/>
  <c r="U152" i="1" s="1"/>
  <c r="T198" i="1"/>
  <c r="U198" i="1" s="1"/>
  <c r="T326" i="1"/>
  <c r="U326" i="1" s="1"/>
  <c r="T520" i="1"/>
  <c r="U520" i="1" s="1"/>
  <c r="T275" i="1"/>
  <c r="U275" i="1" s="1"/>
  <c r="T179" i="1"/>
  <c r="U179" i="1" s="1"/>
  <c r="T540" i="1"/>
  <c r="U540" i="1" s="1"/>
  <c r="T341" i="1"/>
  <c r="U341" i="1" s="1"/>
  <c r="T56" i="1"/>
  <c r="U56" i="1" s="1"/>
  <c r="T104" i="1"/>
  <c r="U104" i="1" s="1"/>
  <c r="T323" i="1"/>
  <c r="U323" i="1" s="1"/>
  <c r="T92" i="1"/>
  <c r="U92" i="1" s="1"/>
  <c r="T55" i="1"/>
  <c r="U55" i="1" s="1"/>
  <c r="T452" i="1"/>
  <c r="U452" i="1" s="1"/>
  <c r="T360" i="1"/>
  <c r="U360" i="1" s="1"/>
  <c r="T356" i="1"/>
  <c r="U356" i="1" s="1"/>
  <c r="T307" i="1"/>
  <c r="U307" i="1" s="1"/>
  <c r="T253" i="1"/>
  <c r="U253" i="1" s="1"/>
  <c r="T351" i="1"/>
  <c r="U351" i="1" s="1"/>
  <c r="T330" i="1"/>
  <c r="U330" i="1" s="1"/>
  <c r="T499" i="1"/>
  <c r="U499" i="1" s="1"/>
  <c r="Z258" i="1"/>
  <c r="AA258" i="1" s="1"/>
  <c r="Z519" i="1"/>
  <c r="AA519" i="1" s="1"/>
  <c r="Z538" i="1"/>
  <c r="AA538" i="1" s="1"/>
  <c r="Z445" i="1"/>
  <c r="AA445" i="1" s="1"/>
  <c r="Z166" i="1"/>
  <c r="AA166" i="1" s="1"/>
  <c r="Z234" i="1"/>
  <c r="AA234" i="1" s="1"/>
  <c r="Z315" i="1"/>
  <c r="AA315" i="1" s="1"/>
  <c r="Z468" i="1"/>
  <c r="AA468" i="1" s="1"/>
  <c r="Z206" i="1"/>
  <c r="AA206" i="1" s="1"/>
  <c r="Z476" i="1"/>
  <c r="AA476" i="1" s="1"/>
  <c r="Z12" i="1"/>
  <c r="AA12" i="1" s="1"/>
  <c r="Z14" i="1"/>
  <c r="AA14" i="1" s="1"/>
  <c r="Z335" i="1"/>
  <c r="AA335" i="1" s="1"/>
  <c r="Z44" i="1"/>
  <c r="AA44" i="1" s="1"/>
  <c r="Z466" i="1"/>
  <c r="AA466" i="1" s="1"/>
  <c r="Z460" i="1"/>
  <c r="AA460" i="1" s="1"/>
  <c r="Z214" i="1"/>
  <c r="AA214" i="1" s="1"/>
  <c r="Z461" i="1"/>
  <c r="AA461" i="1" s="1"/>
  <c r="Z503" i="1"/>
  <c r="AA503" i="1" s="1"/>
  <c r="Z32" i="1"/>
  <c r="AA32" i="1" s="1"/>
  <c r="Z486" i="1"/>
  <c r="AA486" i="1" s="1"/>
  <c r="Z399" i="1"/>
  <c r="AA399" i="1" s="1"/>
  <c r="Z428" i="1"/>
  <c r="AA428" i="1" s="1"/>
  <c r="Z173" i="1"/>
  <c r="AA173" i="1" s="1"/>
  <c r="Z236" i="1"/>
  <c r="AA236" i="1" s="1"/>
  <c r="Z17" i="1"/>
  <c r="AA17" i="1" s="1"/>
  <c r="Z260" i="1"/>
  <c r="AA260" i="1" s="1"/>
  <c r="Z410" i="1"/>
  <c r="AA410" i="1" s="1"/>
  <c r="Z389" i="1"/>
  <c r="AA389" i="1" s="1"/>
  <c r="Z257" i="1"/>
  <c r="AA257" i="1" s="1"/>
  <c r="Z208" i="1"/>
  <c r="AA208" i="1" s="1"/>
  <c r="Z89" i="1"/>
  <c r="AA89" i="1" s="1"/>
  <c r="Z90" i="1"/>
  <c r="AA90" i="1" s="1"/>
  <c r="Z187" i="1"/>
  <c r="AA187" i="1" s="1"/>
  <c r="Z493" i="1"/>
  <c r="AA493" i="1" s="1"/>
  <c r="Z327" i="1"/>
  <c r="AA327" i="1" s="1"/>
  <c r="Z455" i="1"/>
  <c r="AA455" i="1" s="1"/>
  <c r="Z464" i="1"/>
  <c r="AA464" i="1" s="1"/>
  <c r="Z188" i="1"/>
  <c r="AA188" i="1" s="1"/>
  <c r="Z429" i="1"/>
  <c r="AA429" i="1" s="1"/>
  <c r="Z73" i="1"/>
  <c r="AA73" i="1" s="1"/>
  <c r="Z454" i="1"/>
  <c r="AA454" i="1" s="1"/>
  <c r="Z282" i="1"/>
  <c r="AA282" i="1" s="1"/>
  <c r="Z355" i="1"/>
  <c r="AA355" i="1" s="1"/>
  <c r="Z151" i="1"/>
  <c r="AA151" i="1" s="1"/>
  <c r="AC336" i="1"/>
  <c r="AD336" i="1" s="1"/>
  <c r="AC517" i="1"/>
  <c r="AD517" i="1" s="1"/>
  <c r="AC294" i="1"/>
  <c r="AD294" i="1" s="1"/>
  <c r="AC410" i="1"/>
  <c r="AD410" i="1" s="1"/>
  <c r="AC76" i="1"/>
  <c r="AD76" i="1" s="1"/>
  <c r="AC248" i="1"/>
  <c r="AD248" i="1" s="1"/>
  <c r="AC120" i="1"/>
  <c r="AD120" i="1" s="1"/>
  <c r="AC115" i="1"/>
  <c r="AD115" i="1" s="1"/>
  <c r="AC447" i="1"/>
  <c r="AD447" i="1" s="1"/>
  <c r="AC234" i="1"/>
  <c r="AD234" i="1" s="1"/>
  <c r="AC386" i="1"/>
  <c r="AD386" i="1" s="1"/>
  <c r="AC42" i="1"/>
  <c r="AD42" i="1" s="1"/>
  <c r="AC334" i="1"/>
  <c r="AD334" i="1" s="1"/>
  <c r="AC527" i="1"/>
  <c r="AD527" i="1" s="1"/>
  <c r="AC189" i="1"/>
  <c r="AD189" i="1" s="1"/>
  <c r="AC103" i="1"/>
  <c r="AD103" i="1" s="1"/>
  <c r="AC226" i="1"/>
  <c r="AD226" i="1" s="1"/>
  <c r="AC532" i="1"/>
  <c r="AD532" i="1" s="1"/>
  <c r="AC100" i="1"/>
  <c r="AD100" i="1" s="1"/>
  <c r="AC131" i="1"/>
  <c r="AD131" i="1" s="1"/>
  <c r="AC358" i="1"/>
  <c r="AD358" i="1" s="1"/>
  <c r="AC22" i="1"/>
  <c r="AD22" i="1" s="1"/>
  <c r="AC239" i="1"/>
  <c r="AD239" i="1" s="1"/>
  <c r="AC530" i="1"/>
  <c r="AD530" i="1" s="1"/>
  <c r="AC64" i="1"/>
  <c r="AD64" i="1" s="1"/>
  <c r="AC440" i="1"/>
  <c r="AD440" i="1" s="1"/>
  <c r="AC214" i="1"/>
  <c r="AD214" i="1" s="1"/>
  <c r="AC208" i="1"/>
  <c r="AD208" i="1" s="1"/>
  <c r="AC123" i="1"/>
  <c r="AD123" i="1" s="1"/>
  <c r="AC529" i="1"/>
  <c r="AD529" i="1" s="1"/>
  <c r="AC332" i="1"/>
  <c r="AD332" i="1" s="1"/>
  <c r="AC490" i="1"/>
  <c r="AD490" i="1" s="1"/>
  <c r="AC65" i="1"/>
  <c r="AD65" i="1" s="1"/>
  <c r="AC185" i="1"/>
  <c r="AD185" i="1" s="1"/>
  <c r="AC362" i="1"/>
  <c r="AD362" i="1" s="1"/>
  <c r="AC437" i="1"/>
  <c r="AD437" i="1" s="1"/>
  <c r="AC406" i="1"/>
  <c r="AD406" i="1" s="1"/>
  <c r="AC27" i="1"/>
  <c r="AD27" i="1" s="1"/>
  <c r="AC375" i="1"/>
  <c r="AD375" i="1" s="1"/>
  <c r="AC154" i="1"/>
  <c r="AD154" i="1" s="1"/>
  <c r="AC293" i="1"/>
  <c r="AD293" i="1" s="1"/>
  <c r="AC232" i="1"/>
  <c r="AD232" i="1" s="1"/>
  <c r="AC132" i="1"/>
  <c r="AD132" i="1" s="1"/>
  <c r="AC393" i="1"/>
  <c r="AD393" i="1" s="1"/>
  <c r="AC356" i="1"/>
  <c r="AD356" i="1" s="1"/>
  <c r="AC180" i="1"/>
  <c r="AD180" i="1" s="1"/>
  <c r="AC61" i="1"/>
  <c r="AD61" i="1" s="1"/>
  <c r="AC146" i="1"/>
  <c r="AD146" i="1" s="1"/>
  <c r="AC471" i="1"/>
  <c r="AD471" i="1" s="1"/>
  <c r="AC152" i="1"/>
  <c r="AD152" i="1" s="1"/>
  <c r="T481" i="1"/>
  <c r="U481" i="1" s="1"/>
  <c r="T236" i="1"/>
  <c r="U236" i="1" s="1"/>
  <c r="T102" i="1"/>
  <c r="U102" i="1" s="1"/>
  <c r="T491" i="1"/>
  <c r="U491" i="1" s="1"/>
  <c r="T211" i="1"/>
  <c r="U211" i="1" s="1"/>
  <c r="T517" i="1"/>
  <c r="U517" i="1" s="1"/>
  <c r="AC279" i="1"/>
  <c r="AD279" i="1" s="1"/>
  <c r="AC418" i="1"/>
  <c r="AD418" i="1" s="1"/>
  <c r="AC407" i="1"/>
  <c r="AD407" i="1" s="1"/>
  <c r="AC119" i="1"/>
  <c r="AD119" i="1" s="1"/>
  <c r="AC344" i="1"/>
  <c r="AD344" i="1" s="1"/>
  <c r="T355" i="1"/>
  <c r="U355" i="1" s="1"/>
  <c r="Z196" i="1"/>
  <c r="AA196" i="1" s="1"/>
  <c r="AC450" i="1"/>
  <c r="AD450" i="1" s="1"/>
  <c r="AC453" i="1"/>
  <c r="AD453" i="1" s="1"/>
  <c r="T486" i="1"/>
  <c r="U486" i="1" s="1"/>
  <c r="T375" i="1"/>
  <c r="U375" i="1" s="1"/>
  <c r="T514" i="1"/>
  <c r="U514" i="1" s="1"/>
  <c r="T435" i="1"/>
  <c r="U435" i="1" s="1"/>
  <c r="T405" i="1"/>
  <c r="U405" i="1" s="1"/>
  <c r="T373" i="1"/>
  <c r="U373" i="1" s="1"/>
  <c r="Z430" i="1"/>
  <c r="AA430" i="1" s="1"/>
  <c r="Z67" i="1"/>
  <c r="AA67" i="1" s="1"/>
  <c r="Z27" i="1"/>
  <c r="AA27" i="1" s="1"/>
  <c r="Z50" i="1"/>
  <c r="AA50" i="1" s="1"/>
  <c r="Z423" i="1"/>
  <c r="AA423" i="1" s="1"/>
  <c r="Z132" i="1"/>
  <c r="AA132" i="1" s="1"/>
  <c r="Z149" i="1"/>
  <c r="AA149" i="1" s="1"/>
  <c r="Z63" i="1"/>
  <c r="AA63" i="1" s="1"/>
  <c r="Z402" i="1"/>
  <c r="AA402" i="1" s="1"/>
  <c r="AC265" i="1"/>
  <c r="AD265" i="1" s="1"/>
  <c r="AC80" i="1"/>
  <c r="AD80" i="1" s="1"/>
  <c r="AC17" i="1"/>
  <c r="AD17" i="1" s="1"/>
  <c r="AC200" i="1"/>
  <c r="AD200" i="1" s="1"/>
  <c r="AC163" i="1"/>
  <c r="AD163" i="1" s="1"/>
  <c r="AC454" i="1"/>
  <c r="AD454" i="1" s="1"/>
  <c r="T501" i="1"/>
  <c r="U501" i="1" s="1"/>
  <c r="T257" i="1"/>
  <c r="U257" i="1" s="1"/>
  <c r="T414" i="1"/>
  <c r="U414" i="1" s="1"/>
  <c r="T72" i="1"/>
  <c r="U72" i="1" s="1"/>
  <c r="T367" i="1"/>
  <c r="U367" i="1" s="1"/>
  <c r="T343" i="1"/>
  <c r="U343" i="1" s="1"/>
  <c r="Z29" i="1"/>
  <c r="AA29" i="1" s="1"/>
  <c r="Z108" i="1"/>
  <c r="AA108" i="1" s="1"/>
  <c r="Z148" i="1"/>
  <c r="AA148" i="1" s="1"/>
  <c r="Z332" i="1"/>
  <c r="AA332" i="1" s="1"/>
  <c r="Z408" i="1"/>
  <c r="AA408" i="1" s="1"/>
  <c r="Z273" i="1"/>
  <c r="AA273" i="1" s="1"/>
  <c r="Z70" i="1"/>
  <c r="AA70" i="1" s="1"/>
  <c r="Z416" i="1"/>
  <c r="AA416" i="1" s="1"/>
  <c r="AC244" i="1"/>
  <c r="AD244" i="1" s="1"/>
  <c r="AC175" i="1"/>
  <c r="AD175" i="1" s="1"/>
  <c r="AC398" i="1"/>
  <c r="AD398" i="1" s="1"/>
  <c r="AC500" i="1"/>
  <c r="AD500" i="1" s="1"/>
  <c r="AC274" i="1"/>
  <c r="AD274" i="1" s="1"/>
  <c r="AC124" i="1"/>
  <c r="AD124" i="1" s="1"/>
  <c r="AC51" i="1"/>
  <c r="AD51" i="1" s="1"/>
  <c r="AC312" i="1"/>
  <c r="AD312" i="1" s="1"/>
  <c r="AC201" i="1"/>
  <c r="AD201" i="1" s="1"/>
  <c r="AC145" i="1"/>
  <c r="AD145" i="1" s="1"/>
  <c r="AC49" i="1"/>
  <c r="AD49" i="1" s="1"/>
  <c r="AC411" i="1"/>
  <c r="AD411" i="1" s="1"/>
  <c r="AC305" i="1"/>
  <c r="AD305" i="1" s="1"/>
  <c r="AC269" i="1"/>
  <c r="AD269" i="1" s="1"/>
  <c r="T96" i="1"/>
  <c r="U96" i="1" s="1"/>
  <c r="T525" i="1"/>
  <c r="U525" i="1" s="1"/>
  <c r="T388" i="1"/>
  <c r="U388" i="1" s="1"/>
  <c r="T530" i="1"/>
  <c r="U530" i="1" s="1"/>
  <c r="T493" i="1"/>
  <c r="U493" i="1" s="1"/>
  <c r="T446" i="1"/>
  <c r="U446" i="1" s="1"/>
  <c r="T125" i="1"/>
  <c r="U125" i="1" s="1"/>
  <c r="T248" i="1"/>
  <c r="U248" i="1" s="1"/>
  <c r="T437" i="1"/>
  <c r="U437" i="1" s="1"/>
  <c r="T336" i="1"/>
  <c r="U336" i="1" s="1"/>
  <c r="T227" i="1"/>
  <c r="U227" i="1" s="1"/>
  <c r="T212" i="1"/>
  <c r="U212" i="1" s="1"/>
  <c r="T266" i="1"/>
  <c r="U266" i="1" s="1"/>
  <c r="T409" i="1"/>
  <c r="U409" i="1" s="1"/>
  <c r="T232" i="1"/>
  <c r="U232" i="1" s="1"/>
  <c r="T276" i="1"/>
  <c r="U276" i="1" s="1"/>
  <c r="T533" i="1"/>
  <c r="U533" i="1" s="1"/>
  <c r="T123" i="1"/>
  <c r="U123" i="1" s="1"/>
  <c r="T496" i="1"/>
  <c r="U496" i="1" s="1"/>
  <c r="T245" i="1"/>
  <c r="U245" i="1" s="1"/>
  <c r="T340" i="1"/>
  <c r="U340" i="1" s="1"/>
  <c r="T420" i="1"/>
  <c r="U420" i="1" s="1"/>
  <c r="T50" i="1"/>
  <c r="U50" i="1" s="1"/>
  <c r="T110" i="1"/>
  <c r="U110" i="1" s="1"/>
  <c r="T237" i="1"/>
  <c r="U237" i="1" s="1"/>
  <c r="T94" i="1"/>
  <c r="U94" i="1" s="1"/>
  <c r="T448" i="1"/>
  <c r="U448" i="1" s="1"/>
  <c r="T191" i="1"/>
  <c r="U191" i="1" s="1"/>
  <c r="T217" i="1"/>
  <c r="U217" i="1" s="1"/>
  <c r="T521" i="1"/>
  <c r="U521" i="1" s="1"/>
  <c r="T106" i="1"/>
  <c r="U106" i="1" s="1"/>
  <c r="T176" i="1"/>
  <c r="U176" i="1" s="1"/>
  <c r="T386" i="1"/>
  <c r="U386" i="1" s="1"/>
  <c r="T480" i="1"/>
  <c r="U480" i="1" s="1"/>
  <c r="T443" i="1"/>
  <c r="U443" i="1" s="1"/>
  <c r="T168" i="1"/>
  <c r="U168" i="1" s="1"/>
  <c r="T113" i="1"/>
  <c r="U113" i="1" s="1"/>
  <c r="T255" i="1"/>
  <c r="U255" i="1" s="1"/>
  <c r="T421" i="1"/>
  <c r="U421" i="1" s="1"/>
  <c r="T112" i="1"/>
  <c r="U112" i="1" s="1"/>
  <c r="T299" i="1"/>
  <c r="U299" i="1" s="1"/>
  <c r="T208" i="1"/>
  <c r="U208" i="1" s="1"/>
  <c r="T99" i="1"/>
  <c r="U99" i="1" s="1"/>
  <c r="Z520" i="1"/>
  <c r="AA520" i="1" s="1"/>
  <c r="Z515" i="1"/>
  <c r="AA515" i="1" s="1"/>
  <c r="Z26" i="1"/>
  <c r="AA26" i="1" s="1"/>
  <c r="Z317" i="1"/>
  <c r="AA317" i="1" s="1"/>
  <c r="Z197" i="1"/>
  <c r="AA197" i="1" s="1"/>
  <c r="Z109" i="1"/>
  <c r="AA109" i="1" s="1"/>
  <c r="Z367" i="1"/>
  <c r="AA367" i="1" s="1"/>
  <c r="Z471" i="1"/>
  <c r="AA471" i="1" s="1"/>
  <c r="Z286" i="1"/>
  <c r="AA286" i="1" s="1"/>
  <c r="Z326" i="1"/>
  <c r="AA326" i="1" s="1"/>
  <c r="Z523" i="1"/>
  <c r="AA523" i="1" s="1"/>
  <c r="Z193" i="1"/>
  <c r="AA193" i="1" s="1"/>
  <c r="Z491" i="1"/>
  <c r="AA491" i="1" s="1"/>
  <c r="Z530" i="1"/>
  <c r="AA530" i="1" s="1"/>
  <c r="Z310" i="1"/>
  <c r="AA310" i="1" s="1"/>
  <c r="Z141" i="1"/>
  <c r="AA141" i="1" s="1"/>
  <c r="Z370" i="1"/>
  <c r="AA370" i="1" s="1"/>
  <c r="Z213" i="1"/>
  <c r="AA213" i="1" s="1"/>
  <c r="Z487" i="1"/>
  <c r="AA487" i="1" s="1"/>
  <c r="Z306" i="1"/>
  <c r="AA306" i="1" s="1"/>
  <c r="Z395" i="1"/>
  <c r="AA395" i="1" s="1"/>
  <c r="Z509" i="1"/>
  <c r="AA509" i="1" s="1"/>
  <c r="Z157" i="1"/>
  <c r="AA157" i="1" s="1"/>
  <c r="Z439" i="1"/>
  <c r="AA439" i="1" s="1"/>
  <c r="Z494" i="1"/>
  <c r="AA494" i="1" s="1"/>
  <c r="Z125" i="1"/>
  <c r="AA125" i="1" s="1"/>
  <c r="Z500" i="1"/>
  <c r="AA500" i="1" s="1"/>
  <c r="Z210" i="1"/>
  <c r="AA210" i="1" s="1"/>
  <c r="Z505" i="1"/>
  <c r="AA505" i="1" s="1"/>
  <c r="Z342" i="1"/>
  <c r="AA342" i="1" s="1"/>
  <c r="Z253" i="1"/>
  <c r="AA253" i="1" s="1"/>
  <c r="Z506" i="1"/>
  <c r="AA506" i="1" s="1"/>
  <c r="Z287" i="1"/>
  <c r="AA287" i="1" s="1"/>
  <c r="Z134" i="1"/>
  <c r="AA134" i="1" s="1"/>
  <c r="Z328" i="1"/>
  <c r="AA328" i="1" s="1"/>
  <c r="Z146" i="1"/>
  <c r="AA146" i="1" s="1"/>
  <c r="Z345" i="1"/>
  <c r="AA345" i="1" s="1"/>
  <c r="Z497" i="1"/>
  <c r="AA497" i="1" s="1"/>
  <c r="Z135" i="1"/>
  <c r="AA135" i="1" s="1"/>
  <c r="Z93" i="1"/>
  <c r="AA93" i="1" s="1"/>
  <c r="Z175" i="1"/>
  <c r="AA175" i="1" s="1"/>
  <c r="Z215" i="1"/>
  <c r="AA215" i="1" s="1"/>
  <c r="Z510" i="1"/>
  <c r="AA510" i="1" s="1"/>
  <c r="Z68" i="1"/>
  <c r="AA68" i="1" s="1"/>
  <c r="Z507" i="1"/>
  <c r="AA507" i="1" s="1"/>
  <c r="Z513" i="1"/>
  <c r="AA513" i="1" s="1"/>
  <c r="AC425" i="1"/>
  <c r="AD425" i="1" s="1"/>
  <c r="AC519" i="1"/>
  <c r="AD519" i="1" s="1"/>
  <c r="AC536" i="1"/>
  <c r="AD536" i="1" s="1"/>
  <c r="AC41" i="1"/>
  <c r="AD41" i="1" s="1"/>
  <c r="AC431" i="1"/>
  <c r="AD431" i="1" s="1"/>
  <c r="AC369" i="1"/>
  <c r="AD369" i="1" s="1"/>
  <c r="AC218" i="1"/>
  <c r="AD218" i="1" s="1"/>
  <c r="AC337" i="1"/>
  <c r="AD337" i="1" s="1"/>
  <c r="AC514" i="1"/>
  <c r="AD514" i="1" s="1"/>
  <c r="AC315" i="1"/>
  <c r="AD315" i="1" s="1"/>
  <c r="AC205" i="1"/>
  <c r="AD205" i="1" s="1"/>
  <c r="AC401" i="1"/>
  <c r="AD401" i="1" s="1"/>
  <c r="AC82" i="1"/>
  <c r="AD82" i="1" s="1"/>
  <c r="AC142" i="1"/>
  <c r="AD142" i="1" s="1"/>
  <c r="AC203" i="1"/>
  <c r="AD203" i="1" s="1"/>
  <c r="AC284" i="1"/>
  <c r="AD284" i="1" s="1"/>
  <c r="AC338" i="1"/>
  <c r="AD338" i="1" s="1"/>
  <c r="AC489" i="1"/>
  <c r="AD489" i="1" s="1"/>
  <c r="AC449" i="1"/>
  <c r="AD449" i="1" s="1"/>
  <c r="AC486" i="1"/>
  <c r="AD486" i="1" s="1"/>
  <c r="AC543" i="1"/>
  <c r="AD543" i="1" s="1"/>
  <c r="AC524" i="1"/>
  <c r="AD524" i="1" s="1"/>
  <c r="AC109" i="1"/>
  <c r="AD109" i="1" s="1"/>
  <c r="AC389" i="1"/>
  <c r="AD389" i="1" s="1"/>
  <c r="AC496" i="1"/>
  <c r="AD496" i="1" s="1"/>
  <c r="AC417" i="1"/>
  <c r="AD417" i="1" s="1"/>
  <c r="AC169" i="1"/>
  <c r="AD169" i="1" s="1"/>
  <c r="AC506" i="1"/>
  <c r="AD506" i="1" s="1"/>
  <c r="AC63" i="1"/>
  <c r="AD63" i="1" s="1"/>
  <c r="AC24" i="1"/>
  <c r="AD24" i="1" s="1"/>
  <c r="AC526" i="1"/>
  <c r="AD526" i="1" s="1"/>
  <c r="AC259" i="1"/>
  <c r="AD259" i="1" s="1"/>
  <c r="AC263" i="1"/>
  <c r="AD263" i="1" s="1"/>
  <c r="AC161" i="1"/>
  <c r="AD161" i="1" s="1"/>
  <c r="AC427" i="1"/>
  <c r="AD427" i="1" s="1"/>
  <c r="AC116" i="1"/>
  <c r="AD116" i="1" s="1"/>
  <c r="AC227" i="1"/>
  <c r="AD227" i="1" s="1"/>
  <c r="AC298" i="1"/>
  <c r="AD298" i="1" s="1"/>
  <c r="AC452" i="1"/>
  <c r="AD452" i="1" s="1"/>
  <c r="AC172" i="1"/>
  <c r="AD172" i="1" s="1"/>
  <c r="AC333" i="1"/>
  <c r="AD333" i="1" s="1"/>
  <c r="AC105" i="1"/>
  <c r="AD105" i="1" s="1"/>
  <c r="AC322" i="1"/>
  <c r="AD322" i="1" s="1"/>
  <c r="AC396" i="1"/>
  <c r="AD396" i="1" s="1"/>
  <c r="AC493" i="1"/>
  <c r="AD493" i="1" s="1"/>
  <c r="AC15" i="1"/>
  <c r="AD15" i="1" s="1"/>
  <c r="AC335" i="1"/>
  <c r="AD335" i="1" s="1"/>
  <c r="AC352" i="1"/>
  <c r="AD352" i="1" s="1"/>
  <c r="AC224" i="1"/>
  <c r="AD224" i="1" s="1"/>
  <c r="T445" i="1"/>
  <c r="U445" i="1" s="1"/>
  <c r="T402" i="1"/>
  <c r="U402" i="1" s="1"/>
  <c r="T376" i="1"/>
  <c r="U376" i="1" s="1"/>
  <c r="T527" i="1"/>
  <c r="U527" i="1" s="1"/>
  <c r="T332" i="1"/>
  <c r="U332" i="1" s="1"/>
  <c r="T510" i="1"/>
  <c r="U510" i="1" s="1"/>
  <c r="T250" i="1"/>
  <c r="U250" i="1" s="1"/>
  <c r="T423" i="1"/>
  <c r="U423" i="1" s="1"/>
  <c r="AC241" i="1"/>
  <c r="AD241" i="1" s="1"/>
  <c r="AC195" i="1"/>
  <c r="AD195" i="1" s="1"/>
  <c r="AC62" i="1"/>
  <c r="AD62" i="1" s="1"/>
  <c r="AC373" i="1"/>
  <c r="AD373" i="1" s="1"/>
  <c r="AC247" i="1"/>
  <c r="AD247" i="1" s="1"/>
  <c r="AC186" i="1"/>
  <c r="AD186" i="1" s="1"/>
  <c r="AC301" i="1"/>
  <c r="AD301" i="1" s="1"/>
  <c r="AC151" i="1"/>
  <c r="AD151" i="1" s="1"/>
  <c r="AC302" i="1"/>
  <c r="AD302" i="1" s="1"/>
  <c r="AC350" i="1"/>
  <c r="AD350" i="1" s="1"/>
  <c r="AC374" i="1"/>
  <c r="AD374" i="1" s="1"/>
  <c r="AC412" i="1"/>
  <c r="AD412" i="1" s="1"/>
  <c r="AC434" i="1"/>
  <c r="AD434" i="1" s="1"/>
  <c r="AC409" i="1"/>
  <c r="AD409" i="1" s="1"/>
  <c r="AC340" i="1"/>
  <c r="AD340" i="1" s="1"/>
  <c r="T411" i="1"/>
  <c r="U411" i="1" s="1"/>
  <c r="Z97" i="1"/>
  <c r="AA97" i="1" s="1"/>
  <c r="AC309" i="1"/>
  <c r="AD309" i="1" s="1"/>
  <c r="AC367" i="1"/>
  <c r="AD367" i="1" s="1"/>
  <c r="T349" i="1"/>
  <c r="U349" i="1" s="1"/>
  <c r="T429" i="1"/>
  <c r="U429" i="1" s="1"/>
  <c r="T455" i="1"/>
  <c r="U455" i="1" s="1"/>
  <c r="T347" i="1"/>
  <c r="U347" i="1" s="1"/>
  <c r="T389" i="1"/>
  <c r="U389" i="1" s="1"/>
  <c r="T393" i="1"/>
  <c r="U393" i="1" s="1"/>
  <c r="T378" i="1"/>
  <c r="U378" i="1" s="1"/>
  <c r="T432" i="1"/>
  <c r="U432" i="1" s="1"/>
  <c r="T134" i="1"/>
  <c r="U134" i="1" s="1"/>
  <c r="T209" i="1"/>
  <c r="U209" i="1" s="1"/>
  <c r="T119" i="1"/>
  <c r="U119" i="1" s="1"/>
  <c r="Z334" i="1"/>
  <c r="AA334" i="1" s="1"/>
  <c r="Z152" i="1"/>
  <c r="AA152" i="1" s="1"/>
  <c r="Z311" i="1"/>
  <c r="AA311" i="1" s="1"/>
  <c r="Z380" i="1"/>
  <c r="AA380" i="1" s="1"/>
  <c r="Z330" i="1"/>
  <c r="AA330" i="1" s="1"/>
  <c r="Z407" i="1"/>
  <c r="AA407" i="1" s="1"/>
  <c r="Z382" i="1"/>
  <c r="AA382" i="1" s="1"/>
  <c r="Z78" i="1"/>
  <c r="AA78" i="1" s="1"/>
  <c r="AC231" i="1"/>
  <c r="AD231" i="1" s="1"/>
  <c r="AC331" i="1"/>
  <c r="AD331" i="1" s="1"/>
  <c r="AC111" i="1"/>
  <c r="AD111" i="1" s="1"/>
  <c r="AC199" i="1"/>
  <c r="AD199" i="1" s="1"/>
  <c r="AC330" i="1"/>
  <c r="AD330" i="1" s="1"/>
  <c r="AC128" i="1"/>
  <c r="AD128" i="1" s="1"/>
  <c r="AC545" i="1"/>
  <c r="AD545" i="1" s="1"/>
  <c r="AC343" i="1"/>
  <c r="AD343" i="1" s="1"/>
  <c r="T256" i="1"/>
  <c r="U256" i="1" s="1"/>
  <c r="T131" i="1"/>
  <c r="U131" i="1" s="1"/>
  <c r="T206" i="1"/>
  <c r="U206" i="1" s="1"/>
  <c r="T67" i="1"/>
  <c r="U67" i="1" s="1"/>
  <c r="T301" i="1"/>
  <c r="U301" i="1" s="1"/>
  <c r="Z169" i="1"/>
  <c r="AA169" i="1" s="1"/>
  <c r="Z529" i="1"/>
  <c r="AA529" i="1" s="1"/>
  <c r="Z18" i="1"/>
  <c r="AA18" i="1" s="1"/>
  <c r="Z438" i="1"/>
  <c r="AA438" i="1" s="1"/>
  <c r="Z449" i="1"/>
  <c r="AA449" i="1" s="1"/>
  <c r="Z156" i="1"/>
  <c r="AA156" i="1" s="1"/>
  <c r="AC246" i="1"/>
  <c r="AD246" i="1" s="1"/>
  <c r="AC238" i="1"/>
  <c r="AD238" i="1" s="1"/>
  <c r="AC318" i="1"/>
  <c r="AD318" i="1" s="1"/>
  <c r="T415" i="1"/>
  <c r="U415" i="1" s="1"/>
  <c r="T194" i="1"/>
  <c r="U194" i="1" s="1"/>
  <c r="T387" i="1"/>
  <c r="U387" i="1" s="1"/>
  <c r="T526" i="1"/>
  <c r="U526" i="1" s="1"/>
  <c r="T54" i="1"/>
  <c r="U54" i="1" s="1"/>
  <c r="T519" i="1"/>
  <c r="U519" i="1" s="1"/>
  <c r="T3" i="1"/>
  <c r="U3" i="1" s="1"/>
  <c r="T451" i="1"/>
  <c r="U451" i="1" s="1"/>
  <c r="T465" i="1"/>
  <c r="U465" i="1" s="1"/>
  <c r="T120" i="1"/>
  <c r="U120" i="1" s="1"/>
  <c r="T272" i="1"/>
  <c r="U272" i="1" s="1"/>
  <c r="T224" i="1"/>
  <c r="U224" i="1" s="1"/>
  <c r="T61" i="1"/>
  <c r="U61" i="1" s="1"/>
  <c r="T36" i="1"/>
  <c r="U36" i="1" s="1"/>
  <c r="T203" i="1"/>
  <c r="U203" i="1" s="1"/>
  <c r="T128" i="1"/>
  <c r="U128" i="1" s="1"/>
  <c r="T459" i="1"/>
  <c r="U459" i="1" s="1"/>
  <c r="T505" i="1"/>
  <c r="U505" i="1" s="1"/>
  <c r="T528" i="1"/>
  <c r="U528" i="1" s="1"/>
  <c r="T258" i="1"/>
  <c r="U258" i="1" s="1"/>
  <c r="T76" i="1"/>
  <c r="U76" i="1" s="1"/>
  <c r="T141" i="1"/>
  <c r="U141" i="1" s="1"/>
  <c r="T297" i="1"/>
  <c r="U297" i="1" s="1"/>
  <c r="T284" i="1"/>
  <c r="U284" i="1" s="1"/>
  <c r="T97" i="1"/>
  <c r="U97" i="1" s="1"/>
  <c r="T243" i="1"/>
  <c r="U243" i="1" s="1"/>
  <c r="T391" i="1"/>
  <c r="U391" i="1" s="1"/>
  <c r="T81" i="1"/>
  <c r="U81" i="1" s="1"/>
  <c r="T242" i="1"/>
  <c r="U242" i="1" s="1"/>
  <c r="T157" i="1"/>
  <c r="U157" i="1" s="1"/>
  <c r="T172" i="1"/>
  <c r="U172" i="1" s="1"/>
  <c r="T454" i="1"/>
  <c r="U454" i="1" s="1"/>
  <c r="T473" i="1"/>
  <c r="U473" i="1" s="1"/>
  <c r="T235" i="1"/>
  <c r="U235" i="1" s="1"/>
  <c r="T529" i="1"/>
  <c r="U529" i="1" s="1"/>
  <c r="T177" i="1"/>
  <c r="U177" i="1" s="1"/>
  <c r="T233" i="1"/>
  <c r="U233" i="1" s="1"/>
  <c r="T57" i="1"/>
  <c r="U57" i="1" s="1"/>
  <c r="T251" i="1"/>
  <c r="U251" i="1" s="1"/>
  <c r="T47" i="1"/>
  <c r="U47" i="1" s="1"/>
  <c r="T214" i="1"/>
  <c r="U214" i="1" s="1"/>
  <c r="T444" i="1"/>
  <c r="U444" i="1" s="1"/>
  <c r="Z177" i="1"/>
  <c r="AA177" i="1" s="1"/>
  <c r="Z436" i="1"/>
  <c r="AA436" i="1" s="1"/>
  <c r="Z269" i="1"/>
  <c r="AA269" i="1" s="1"/>
  <c r="Z11" i="1"/>
  <c r="AA11" i="1" s="1"/>
  <c r="Z5" i="1"/>
  <c r="AA5" i="1" s="1"/>
  <c r="Z203" i="1"/>
  <c r="AA203" i="1" s="1"/>
  <c r="Z275" i="1"/>
  <c r="AA275" i="1" s="1"/>
  <c r="Z349" i="1"/>
  <c r="AA349" i="1" s="1"/>
  <c r="Z225" i="1"/>
  <c r="AA225" i="1" s="1"/>
  <c r="Z38" i="1"/>
  <c r="AA38" i="1" s="1"/>
  <c r="Z458" i="1"/>
  <c r="AA458" i="1" s="1"/>
  <c r="Z265" i="1"/>
  <c r="AA265" i="1" s="1"/>
  <c r="Z145" i="1"/>
  <c r="AA145" i="1" s="1"/>
  <c r="Z120" i="1"/>
  <c r="AA120" i="1" s="1"/>
  <c r="Z340" i="1"/>
  <c r="AA340" i="1" s="1"/>
  <c r="Z485" i="1"/>
  <c r="AA485" i="1" s="1"/>
  <c r="Z546" i="1"/>
  <c r="AA546" i="1" s="1"/>
  <c r="Z270" i="1"/>
  <c r="AA270" i="1" s="1"/>
  <c r="Z386" i="1"/>
  <c r="AA386" i="1" s="1"/>
  <c r="Z532" i="1"/>
  <c r="AA532" i="1" s="1"/>
  <c r="Z537" i="1"/>
  <c r="AA537" i="1" s="1"/>
  <c r="Z28" i="1"/>
  <c r="AA28" i="1" s="1"/>
  <c r="Z115" i="1"/>
  <c r="AA115" i="1" s="1"/>
  <c r="Z475" i="1"/>
  <c r="AA475" i="1" s="1"/>
  <c r="Z74" i="1"/>
  <c r="AA74" i="1" s="1"/>
  <c r="Z76" i="1"/>
  <c r="AA76" i="1" s="1"/>
  <c r="Z218" i="1"/>
  <c r="AA218" i="1" s="1"/>
  <c r="Z545" i="1"/>
  <c r="AA545" i="1" s="1"/>
  <c r="Z223" i="1"/>
  <c r="AA223" i="1" s="1"/>
  <c r="Z350" i="1"/>
  <c r="AA350" i="1" s="1"/>
  <c r="Z153" i="1"/>
  <c r="AA153" i="1" s="1"/>
  <c r="Z267" i="1"/>
  <c r="AA267" i="1" s="1"/>
  <c r="Z376" i="1"/>
  <c r="AA376" i="1" s="1"/>
  <c r="Z190" i="1"/>
  <c r="AA190" i="1" s="1"/>
  <c r="Z69" i="1"/>
  <c r="AA69" i="1" s="1"/>
  <c r="Z540" i="1"/>
  <c r="AA540" i="1" s="1"/>
  <c r="Z361" i="1"/>
  <c r="AA361" i="1" s="1"/>
  <c r="Z228" i="1"/>
  <c r="AA228" i="1" s="1"/>
  <c r="Z119" i="1"/>
  <c r="AA119" i="1" s="1"/>
  <c r="Z95" i="1"/>
  <c r="AA95" i="1" s="1"/>
  <c r="Z502" i="1"/>
  <c r="AA502" i="1" s="1"/>
  <c r="Z547" i="1"/>
  <c r="AA547" i="1" s="1"/>
  <c r="Z405" i="1"/>
  <c r="AA405" i="1" s="1"/>
  <c r="Z446" i="1"/>
  <c r="AA446" i="1" s="1"/>
  <c r="Z200" i="1"/>
  <c r="AA200" i="1" s="1"/>
  <c r="Z185" i="1"/>
  <c r="AA185" i="1" s="1"/>
  <c r="AC47" i="1"/>
  <c r="AD47" i="1" s="1"/>
  <c r="AC166" i="1"/>
  <c r="AD166" i="1" s="1"/>
  <c r="AC539" i="1"/>
  <c r="AD539" i="1" s="1"/>
  <c r="AC217" i="1"/>
  <c r="AD217" i="1" s="1"/>
  <c r="AC451" i="1"/>
  <c r="AD451" i="1" s="1"/>
  <c r="AC510" i="1"/>
  <c r="AD510" i="1" s="1"/>
  <c r="AC147" i="1"/>
  <c r="AD147" i="1" s="1"/>
  <c r="AC327" i="1"/>
  <c r="AD327" i="1" s="1"/>
  <c r="AC291" i="1"/>
  <c r="AD291" i="1" s="1"/>
  <c r="AC523" i="1"/>
  <c r="AD523" i="1" s="1"/>
  <c r="AC429" i="1"/>
  <c r="AD429" i="1" s="1"/>
  <c r="AC516" i="1"/>
  <c r="AD516" i="1" s="1"/>
  <c r="AC204" i="1"/>
  <c r="AD204" i="1" s="1"/>
  <c r="AC262" i="1"/>
  <c r="AD262" i="1" s="1"/>
  <c r="AC43" i="1"/>
  <c r="AD43" i="1" s="1"/>
  <c r="AC243" i="1"/>
  <c r="AD243" i="1" s="1"/>
  <c r="AC299" i="1"/>
  <c r="AD299" i="1" s="1"/>
  <c r="AC53" i="1"/>
  <c r="AD53" i="1" s="1"/>
  <c r="AC74" i="1"/>
  <c r="AD74" i="1" s="1"/>
  <c r="AC221" i="1"/>
  <c r="AD221" i="1" s="1"/>
  <c r="AC188" i="1"/>
  <c r="AD188" i="1" s="1"/>
  <c r="AC19" i="1"/>
  <c r="AD19" i="1" s="1"/>
  <c r="AC99" i="1"/>
  <c r="AD99" i="1" s="1"/>
  <c r="AC297" i="1"/>
  <c r="AD297" i="1" s="1"/>
  <c r="AC540" i="1"/>
  <c r="AD540" i="1" s="1"/>
  <c r="AC426" i="1"/>
  <c r="AD426" i="1" s="1"/>
  <c r="AC133" i="1"/>
  <c r="AD133" i="1" s="1"/>
  <c r="AC267" i="1"/>
  <c r="AD267" i="1" s="1"/>
  <c r="AC275" i="1"/>
  <c r="AD275" i="1" s="1"/>
  <c r="AC21" i="1"/>
  <c r="AD21" i="1" s="1"/>
  <c r="AC441" i="1"/>
  <c r="AD441" i="1" s="1"/>
  <c r="AC96" i="1"/>
  <c r="AD96" i="1" s="1"/>
  <c r="AC402" i="1"/>
  <c r="AD402" i="1" s="1"/>
  <c r="AC341" i="1"/>
  <c r="AD341" i="1" s="1"/>
  <c r="AC37" i="1"/>
  <c r="AD37" i="1" s="1"/>
  <c r="AC156" i="1"/>
  <c r="AD156" i="1" s="1"/>
  <c r="AC72" i="1"/>
  <c r="AD72" i="1" s="1"/>
  <c r="AC68" i="1"/>
  <c r="AD68" i="1" s="1"/>
  <c r="AC113" i="1"/>
  <c r="AD113" i="1" s="1"/>
  <c r="AC310" i="1"/>
  <c r="AD310" i="1" s="1"/>
  <c r="AC508" i="1"/>
  <c r="AD508" i="1" s="1"/>
  <c r="AC353" i="1"/>
  <c r="AD353" i="1" s="1"/>
  <c r="AC381" i="1"/>
  <c r="AD381" i="1" s="1"/>
  <c r="AC57" i="1"/>
  <c r="AD57" i="1" s="1"/>
  <c r="AC365" i="1"/>
  <c r="AD365" i="1" s="1"/>
  <c r="AC497" i="1"/>
  <c r="AD497" i="1" s="1"/>
  <c r="T2" i="1"/>
  <c r="U2" i="1" s="1"/>
  <c r="T13" i="1"/>
  <c r="U13" i="1" s="1"/>
  <c r="T24" i="1"/>
  <c r="U24" i="1" s="1"/>
  <c r="T27" i="1"/>
  <c r="U27" i="1" s="1"/>
  <c r="T31" i="1"/>
  <c r="U31" i="1" s="1"/>
  <c r="T35" i="1"/>
  <c r="U35" i="1" s="1"/>
  <c r="T10" i="1"/>
  <c r="U10" i="1" s="1"/>
  <c r="T11" i="1"/>
  <c r="U11" i="1" s="1"/>
  <c r="T12" i="1"/>
  <c r="U12" i="1" s="1"/>
  <c r="T15" i="1"/>
  <c r="U15" i="1" s="1"/>
  <c r="T17" i="1"/>
  <c r="U17" i="1" s="1"/>
  <c r="T33" i="1"/>
  <c r="U33" i="1" s="1"/>
  <c r="T34" i="1"/>
  <c r="U34" i="1" s="1"/>
  <c r="T32" i="1"/>
  <c r="U32" i="1" s="1"/>
  <c r="T9" i="1"/>
  <c r="U9" i="1" s="1"/>
  <c r="T14" i="1"/>
  <c r="U14" i="1" s="1"/>
  <c r="T16" i="1"/>
  <c r="U16" i="1" s="1"/>
  <c r="T18" i="1"/>
  <c r="U18" i="1" s="1"/>
  <c r="T21" i="1"/>
  <c r="U21" i="1" s="1"/>
  <c r="T22" i="1"/>
  <c r="U22" i="1" s="1"/>
  <c r="T26" i="1"/>
  <c r="U26" i="1" s="1"/>
  <c r="T28" i="1"/>
  <c r="U28" i="1" s="1"/>
  <c r="T8" i="1"/>
  <c r="U8" i="1" s="1"/>
  <c r="T19" i="1"/>
  <c r="U19" i="1" s="1"/>
  <c r="T20" i="1"/>
  <c r="U20" i="1" s="1"/>
  <c r="T23" i="1"/>
  <c r="U23" i="1" s="1"/>
  <c r="T25" i="1"/>
  <c r="U25" i="1" s="1"/>
  <c r="T29" i="1"/>
  <c r="U29" i="1" s="1"/>
  <c r="T30" i="1"/>
  <c r="U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3BE18908-8662-415B-8552-0CB920A3780C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<sst xmlns="http://schemas.openxmlformats.org/spreadsheetml/2006/main" count="2652" uniqueCount="1177">
  <si>
    <t>P Code</t>
  </si>
  <si>
    <t>ADM3_PCODE</t>
  </si>
  <si>
    <t>District</t>
  </si>
  <si>
    <t>Vul_INFORM</t>
  </si>
  <si>
    <t>Norm_Vul</t>
  </si>
  <si>
    <t>Wind Gust</t>
  </si>
  <si>
    <t>Norm_Wind Gust</t>
  </si>
  <si>
    <t>Rainfall</t>
  </si>
  <si>
    <t>Norm_Rainfall</t>
  </si>
  <si>
    <t>Storm Surge</t>
  </si>
  <si>
    <t>Norm_Storm Surge</t>
  </si>
  <si>
    <t>Norm_VCI</t>
  </si>
  <si>
    <t>fAPAR</t>
  </si>
  <si>
    <t>Norm_fAPAR</t>
  </si>
  <si>
    <t>Impact(VCI+fAPAR)</t>
  </si>
  <si>
    <t>Norm_Impact_VCI+F</t>
  </si>
  <si>
    <t>Classification</t>
  </si>
  <si>
    <t>Impact_fAPAR</t>
  </si>
  <si>
    <t>Norm_Impact_fAPAR</t>
  </si>
  <si>
    <t>Impact(VCI)</t>
  </si>
  <si>
    <t>Norm_Impact_VCI</t>
  </si>
  <si>
    <t>Total Number of House</t>
  </si>
  <si>
    <t>Norm_House</t>
  </si>
  <si>
    <t>Impact_House</t>
  </si>
  <si>
    <t>Norm_Impact_House</t>
  </si>
  <si>
    <t>BD100409</t>
  </si>
  <si>
    <t>Barguna</t>
  </si>
  <si>
    <t>Amtali</t>
  </si>
  <si>
    <t>BD100419</t>
  </si>
  <si>
    <t>Bamna</t>
  </si>
  <si>
    <t>BD100428</t>
  </si>
  <si>
    <t>Barguna Sadar</t>
  </si>
  <si>
    <t>BD100447</t>
  </si>
  <si>
    <t>Betagi</t>
  </si>
  <si>
    <t>BD100485</t>
  </si>
  <si>
    <t>Patharghata</t>
  </si>
  <si>
    <t>BD100602</t>
  </si>
  <si>
    <t>Barisal</t>
  </si>
  <si>
    <t>Agailjhara</t>
  </si>
  <si>
    <t>BD100603</t>
  </si>
  <si>
    <t>Babuganj</t>
  </si>
  <si>
    <t>BD100607</t>
  </si>
  <si>
    <t>Bakerganj</t>
  </si>
  <si>
    <t>BD100610</t>
  </si>
  <si>
    <t>Banari Para</t>
  </si>
  <si>
    <t>BD100632</t>
  </si>
  <si>
    <t>Gaurnadi</t>
  </si>
  <si>
    <t>BD100636</t>
  </si>
  <si>
    <t>Hizla</t>
  </si>
  <si>
    <t>BD100651</t>
  </si>
  <si>
    <t>BD100662</t>
  </si>
  <si>
    <t>Mehendiganj</t>
  </si>
  <si>
    <t>BD100669</t>
  </si>
  <si>
    <t>Muladi</t>
  </si>
  <si>
    <t>BD100694</t>
  </si>
  <si>
    <t>Wazirpur</t>
  </si>
  <si>
    <t>BD100918</t>
  </si>
  <si>
    <t>Bhola</t>
  </si>
  <si>
    <t>Bhola Sadar</t>
  </si>
  <si>
    <t>BD100921</t>
  </si>
  <si>
    <t>Burhanuddin</t>
  </si>
  <si>
    <t>BD100925</t>
  </si>
  <si>
    <t>Char Fasson</t>
  </si>
  <si>
    <t>BD100929</t>
  </si>
  <si>
    <t>BD100954</t>
  </si>
  <si>
    <t>Lalmohan</t>
  </si>
  <si>
    <t>BD100965</t>
  </si>
  <si>
    <t>Manpura</t>
  </si>
  <si>
    <t>BD100991</t>
  </si>
  <si>
    <t>Tazumuddin</t>
  </si>
  <si>
    <t>BD104240</t>
  </si>
  <si>
    <t>Jhalokati</t>
  </si>
  <si>
    <t>Jhalokati Sadar</t>
  </si>
  <si>
    <t>BD104243</t>
  </si>
  <si>
    <t>Kanthalia</t>
  </si>
  <si>
    <t>BD104273</t>
  </si>
  <si>
    <t>Nalchity</t>
  </si>
  <si>
    <t>BD104284</t>
  </si>
  <si>
    <t>Rajapur</t>
  </si>
  <si>
    <t>BD107838</t>
  </si>
  <si>
    <t>Patuakhali</t>
  </si>
  <si>
    <t>Bauphal</t>
  </si>
  <si>
    <t>BD107852</t>
  </si>
  <si>
    <t>Dashmina</t>
  </si>
  <si>
    <t>BD107855</t>
  </si>
  <si>
    <t>Dumki</t>
  </si>
  <si>
    <t>BD107857</t>
  </si>
  <si>
    <t>Galachipa</t>
  </si>
  <si>
    <t>BD107866</t>
  </si>
  <si>
    <t>Kala Para</t>
  </si>
  <si>
    <t>BD107876</t>
  </si>
  <si>
    <t>Mirzaganj</t>
  </si>
  <si>
    <t>BD107895</t>
  </si>
  <si>
    <t>Patuakhali Sadar</t>
  </si>
  <si>
    <t>BD107914</t>
  </si>
  <si>
    <t>Pirojpur</t>
  </si>
  <si>
    <t>Bhandaria</t>
  </si>
  <si>
    <t>BD107947</t>
  </si>
  <si>
    <t>Kawkhali</t>
  </si>
  <si>
    <t>BD107958</t>
  </si>
  <si>
    <t>Mathbaria</t>
  </si>
  <si>
    <t>BD107976</t>
  </si>
  <si>
    <t>Nazirpur</t>
  </si>
  <si>
    <t>BD107980</t>
  </si>
  <si>
    <t>Pirojpur Sadar</t>
  </si>
  <si>
    <t>BD107987</t>
  </si>
  <si>
    <t>BD107990</t>
  </si>
  <si>
    <t>BD200304</t>
  </si>
  <si>
    <t>Bandarban</t>
  </si>
  <si>
    <t>Alikadam</t>
  </si>
  <si>
    <t>BD200314</t>
  </si>
  <si>
    <t>Bandarban Sadar</t>
  </si>
  <si>
    <t>BD200351</t>
  </si>
  <si>
    <t>Lama</t>
  </si>
  <si>
    <t>BD200373</t>
  </si>
  <si>
    <t>Naikhongchhari</t>
  </si>
  <si>
    <t>BD200389</t>
  </si>
  <si>
    <t>Rowangchhari</t>
  </si>
  <si>
    <t>BD200391</t>
  </si>
  <si>
    <t>Ruma</t>
  </si>
  <si>
    <t>BD200395</t>
  </si>
  <si>
    <t>Thanchi</t>
  </si>
  <si>
    <t>BD201202</t>
  </si>
  <si>
    <t>Akhaura</t>
  </si>
  <si>
    <t>BD201204</t>
  </si>
  <si>
    <t>Banchharampur</t>
  </si>
  <si>
    <t>BD201207</t>
  </si>
  <si>
    <t>BD201213</t>
  </si>
  <si>
    <t>Brahmanbaria Sadar</t>
  </si>
  <si>
    <t>BD201233</t>
  </si>
  <si>
    <t>Ashuganj</t>
  </si>
  <si>
    <t>BD201263</t>
  </si>
  <si>
    <t>Kasba</t>
  </si>
  <si>
    <t>BD201285</t>
  </si>
  <si>
    <t>Nabinagar</t>
  </si>
  <si>
    <t>BD201290</t>
  </si>
  <si>
    <t>Nasirnagar</t>
  </si>
  <si>
    <t>BD201294</t>
  </si>
  <si>
    <t>Sarail</t>
  </si>
  <si>
    <t>BD201322</t>
  </si>
  <si>
    <t>Chandpur</t>
  </si>
  <si>
    <t>Chandpur Sadar</t>
  </si>
  <si>
    <t>BD201345</t>
  </si>
  <si>
    <t>Faridganj</t>
  </si>
  <si>
    <t>BD201347</t>
  </si>
  <si>
    <t>Haim Char</t>
  </si>
  <si>
    <t>BD201349</t>
  </si>
  <si>
    <t>Hajiganj</t>
  </si>
  <si>
    <t>BD201358</t>
  </si>
  <si>
    <t>BD201376</t>
  </si>
  <si>
    <t>Matlab Dakshin</t>
  </si>
  <si>
    <t>BD201379</t>
  </si>
  <si>
    <t>BD201395</t>
  </si>
  <si>
    <t>Shahrasti</t>
  </si>
  <si>
    <t>BD201504</t>
  </si>
  <si>
    <t>Anowara</t>
  </si>
  <si>
    <t>BD201506</t>
  </si>
  <si>
    <t>Bayejid Bostami</t>
  </si>
  <si>
    <t>BD201508</t>
  </si>
  <si>
    <t>Banshkhali</t>
  </si>
  <si>
    <t>BD201510</t>
  </si>
  <si>
    <t>Bakalia</t>
  </si>
  <si>
    <t>BD201512</t>
  </si>
  <si>
    <t>Boalkhali</t>
  </si>
  <si>
    <t>BD201518</t>
  </si>
  <si>
    <t>Chandanaish</t>
  </si>
  <si>
    <t>BD201519</t>
  </si>
  <si>
    <t>Chandgaon</t>
  </si>
  <si>
    <t>BD201520</t>
  </si>
  <si>
    <t>Chittagong Port</t>
  </si>
  <si>
    <t>BD201528</t>
  </si>
  <si>
    <t>Double Mooring</t>
  </si>
  <si>
    <t>BD201533</t>
  </si>
  <si>
    <t>Fatikchhari</t>
  </si>
  <si>
    <t>BD201535</t>
  </si>
  <si>
    <t>Halishahar</t>
  </si>
  <si>
    <t>BD201537</t>
  </si>
  <si>
    <t>Hathazari</t>
  </si>
  <si>
    <t>BD201541</t>
  </si>
  <si>
    <t>BD201543</t>
  </si>
  <si>
    <t>Khulshi</t>
  </si>
  <si>
    <t>BD201547</t>
  </si>
  <si>
    <t>BD201553</t>
  </si>
  <si>
    <t>Mirsharai</t>
  </si>
  <si>
    <t>BD201555</t>
  </si>
  <si>
    <t>Pahartali</t>
  </si>
  <si>
    <t>BD201557</t>
  </si>
  <si>
    <t>Panchlaish</t>
  </si>
  <si>
    <t>BD201561</t>
  </si>
  <si>
    <t>Patiya</t>
  </si>
  <si>
    <t>BD201565</t>
  </si>
  <si>
    <t>Patenga</t>
  </si>
  <si>
    <t>BD201570</t>
  </si>
  <si>
    <t>Rangunia</t>
  </si>
  <si>
    <t>BD201574</t>
  </si>
  <si>
    <t>Raozan</t>
  </si>
  <si>
    <t>BD201578</t>
  </si>
  <si>
    <t>Sandwip</t>
  </si>
  <si>
    <t>BD201582</t>
  </si>
  <si>
    <t>Satkania</t>
  </si>
  <si>
    <t>BD201586</t>
  </si>
  <si>
    <t>Sitakunda</t>
  </si>
  <si>
    <t>BD201909</t>
  </si>
  <si>
    <t>Barura</t>
  </si>
  <si>
    <t>BD201915</t>
  </si>
  <si>
    <t>Brahman Para</t>
  </si>
  <si>
    <t>BD201918</t>
  </si>
  <si>
    <t>Burichang</t>
  </si>
  <si>
    <t>BD201927</t>
  </si>
  <si>
    <t>Chandina</t>
  </si>
  <si>
    <t>BD201931</t>
  </si>
  <si>
    <t>Chauddagram</t>
  </si>
  <si>
    <t>BD201933</t>
  </si>
  <si>
    <t>Comilla Sadar Dakshin</t>
  </si>
  <si>
    <t>BD201936</t>
  </si>
  <si>
    <t>Daudkandi</t>
  </si>
  <si>
    <t>BD201940</t>
  </si>
  <si>
    <t>Debidwar</t>
  </si>
  <si>
    <t>BD201954</t>
  </si>
  <si>
    <t>Homna</t>
  </si>
  <si>
    <t>BD201967</t>
  </si>
  <si>
    <t>Comilla Adarsha Sadar</t>
  </si>
  <si>
    <t>BD201972</t>
  </si>
  <si>
    <t>Laksam</t>
  </si>
  <si>
    <t>BD201974</t>
  </si>
  <si>
    <t>Manoharganj</t>
  </si>
  <si>
    <t>BD201975</t>
  </si>
  <si>
    <t>Meghna</t>
  </si>
  <si>
    <t>BD201981</t>
  </si>
  <si>
    <t>Muradnagar</t>
  </si>
  <si>
    <t>BD201987</t>
  </si>
  <si>
    <t>Nangalkot</t>
  </si>
  <si>
    <t>BD201994</t>
  </si>
  <si>
    <t>Titas</t>
  </si>
  <si>
    <t>BD202216</t>
  </si>
  <si>
    <t>Cox's Bazar</t>
  </si>
  <si>
    <t>Chakaria</t>
  </si>
  <si>
    <t>BD202224</t>
  </si>
  <si>
    <t>Cox's Bazar Sadar</t>
  </si>
  <si>
    <t>BD202245</t>
  </si>
  <si>
    <t>Kutubdia</t>
  </si>
  <si>
    <t>BD202249</t>
  </si>
  <si>
    <t>Maheshkhali</t>
  </si>
  <si>
    <t>BD202256</t>
  </si>
  <si>
    <t>Pekua</t>
  </si>
  <si>
    <t>BD202266</t>
  </si>
  <si>
    <t>Ramu</t>
  </si>
  <si>
    <t>BD202290</t>
  </si>
  <si>
    <t>Teknaf</t>
  </si>
  <si>
    <t>BD202294</t>
  </si>
  <si>
    <t>Ukhia</t>
  </si>
  <si>
    <t>BD203014</t>
  </si>
  <si>
    <t>Feni</t>
  </si>
  <si>
    <t>Chhagalnaiya</t>
  </si>
  <si>
    <t>BD203025</t>
  </si>
  <si>
    <t>Daganbhuiyan</t>
  </si>
  <si>
    <t>BD203029</t>
  </si>
  <si>
    <t>Feni Sadar</t>
  </si>
  <si>
    <t>BD203041</t>
  </si>
  <si>
    <t>Fulgazi</t>
  </si>
  <si>
    <t>BD203051</t>
  </si>
  <si>
    <t>Parshuram</t>
  </si>
  <si>
    <t>BD203094</t>
  </si>
  <si>
    <t>Sonagazi</t>
  </si>
  <si>
    <t>BD204643</t>
  </si>
  <si>
    <t>Khagrachhari</t>
  </si>
  <si>
    <t>Dighinala</t>
  </si>
  <si>
    <t>BD204649</t>
  </si>
  <si>
    <t>Khagrachhari Sadar</t>
  </si>
  <si>
    <t>BD204661</t>
  </si>
  <si>
    <t>Lakshmichhari</t>
  </si>
  <si>
    <t>BD204665</t>
  </si>
  <si>
    <t>Mahalchhari</t>
  </si>
  <si>
    <t>BD204667</t>
  </si>
  <si>
    <t>Manikchhari</t>
  </si>
  <si>
    <t>BD204670</t>
  </si>
  <si>
    <t>Matiranga</t>
  </si>
  <si>
    <t>BD204677</t>
  </si>
  <si>
    <t>Panchhari</t>
  </si>
  <si>
    <t>BD204680</t>
  </si>
  <si>
    <t>Ramgarh</t>
  </si>
  <si>
    <t>BD205133</t>
  </si>
  <si>
    <t>Lakshmipur</t>
  </si>
  <si>
    <t>Kamalnagar</t>
  </si>
  <si>
    <t>BD205143</t>
  </si>
  <si>
    <t>Lakshmipur Sadar</t>
  </si>
  <si>
    <t>BD205158</t>
  </si>
  <si>
    <t>Roypur</t>
  </si>
  <si>
    <t>BD205165</t>
  </si>
  <si>
    <t>Ramganj</t>
  </si>
  <si>
    <t>BD205173</t>
  </si>
  <si>
    <t>Ramgati</t>
  </si>
  <si>
    <t>BD207507</t>
  </si>
  <si>
    <t>Noakhali</t>
  </si>
  <si>
    <t>Begumganj</t>
  </si>
  <si>
    <t>BD207510</t>
  </si>
  <si>
    <t>Chatkhil</t>
  </si>
  <si>
    <t>BD207521</t>
  </si>
  <si>
    <t>BD207536</t>
  </si>
  <si>
    <t>Hatiya</t>
  </si>
  <si>
    <t>BD207547</t>
  </si>
  <si>
    <t>Kabirhat</t>
  </si>
  <si>
    <t>BD207580</t>
  </si>
  <si>
    <t>Senbagh</t>
  </si>
  <si>
    <t>BD207583</t>
  </si>
  <si>
    <t>Sonaimuri</t>
  </si>
  <si>
    <t>BD207585</t>
  </si>
  <si>
    <t>Subarnachar</t>
  </si>
  <si>
    <t>BD207587</t>
  </si>
  <si>
    <t>BD208407</t>
  </si>
  <si>
    <t>Rangamati</t>
  </si>
  <si>
    <t>Baghai Chhari</t>
  </si>
  <si>
    <t>BD208421</t>
  </si>
  <si>
    <t>Barkal</t>
  </si>
  <si>
    <t>BD208425</t>
  </si>
  <si>
    <t>BD208429</t>
  </si>
  <si>
    <t>Belai Chhari</t>
  </si>
  <si>
    <t>BD208436</t>
  </si>
  <si>
    <t>Kaptai</t>
  </si>
  <si>
    <t>BD208447</t>
  </si>
  <si>
    <t>Jurai Chhari</t>
  </si>
  <si>
    <t>BD208458</t>
  </si>
  <si>
    <t>Langadu</t>
  </si>
  <si>
    <t>BD208475</t>
  </si>
  <si>
    <t>Naniarchar</t>
  </si>
  <si>
    <t>BD208478</t>
  </si>
  <si>
    <t>Rajasthali</t>
  </si>
  <si>
    <t>BD208487</t>
  </si>
  <si>
    <t>Rangamati Sadar</t>
  </si>
  <si>
    <t>BD302602</t>
  </si>
  <si>
    <t>Dhaka</t>
  </si>
  <si>
    <t>Adabor</t>
  </si>
  <si>
    <t>BD302604</t>
  </si>
  <si>
    <t>Badda</t>
  </si>
  <si>
    <t>BD302605</t>
  </si>
  <si>
    <t>Bangshal</t>
  </si>
  <si>
    <t>BD302606</t>
  </si>
  <si>
    <t>BD302608</t>
  </si>
  <si>
    <t>Cantonment</t>
  </si>
  <si>
    <t>BD302609</t>
  </si>
  <si>
    <t>BD302610</t>
  </si>
  <si>
    <t>Dakshinkhan</t>
  </si>
  <si>
    <t>BD302611</t>
  </si>
  <si>
    <t>Darus Salam</t>
  </si>
  <si>
    <t>BD302612</t>
  </si>
  <si>
    <t>Demra</t>
  </si>
  <si>
    <t>BD302614</t>
  </si>
  <si>
    <t>Dhamrai</t>
  </si>
  <si>
    <t>BD302616</t>
  </si>
  <si>
    <t>Dhanmondi</t>
  </si>
  <si>
    <t>BD302618</t>
  </si>
  <si>
    <t>Dohar</t>
  </si>
  <si>
    <t>BD302624</t>
  </si>
  <si>
    <t>Gendaria</t>
  </si>
  <si>
    <t>BD302626</t>
  </si>
  <si>
    <t>Gulshan</t>
  </si>
  <si>
    <t>BD302628</t>
  </si>
  <si>
    <t>Hazaribagh</t>
  </si>
  <si>
    <t>BD302629</t>
  </si>
  <si>
    <t>Jatrabari</t>
  </si>
  <si>
    <t>BD302630</t>
  </si>
  <si>
    <t>Kafrul</t>
  </si>
  <si>
    <t>BD302632</t>
  </si>
  <si>
    <t>Kadamtali</t>
  </si>
  <si>
    <t>BD302633</t>
  </si>
  <si>
    <t>Kalabagan</t>
  </si>
  <si>
    <t>BD302634</t>
  </si>
  <si>
    <t>Kamrangir Char</t>
  </si>
  <si>
    <t>BD302636</t>
  </si>
  <si>
    <t>Khilgaon</t>
  </si>
  <si>
    <t>BD302637</t>
  </si>
  <si>
    <t>Khilkhet</t>
  </si>
  <si>
    <t>BD302638</t>
  </si>
  <si>
    <t>Keraniganj</t>
  </si>
  <si>
    <t>BD302640</t>
  </si>
  <si>
    <t>BD302642</t>
  </si>
  <si>
    <t>Lalbagh</t>
  </si>
  <si>
    <t>BD302648</t>
  </si>
  <si>
    <t>BD302650</t>
  </si>
  <si>
    <t>BD302654</t>
  </si>
  <si>
    <t>Motijheel</t>
  </si>
  <si>
    <t>BD302662</t>
  </si>
  <si>
    <t>Nawabganj</t>
  </si>
  <si>
    <t>BD302663</t>
  </si>
  <si>
    <t>New Market</t>
  </si>
  <si>
    <t>BD302664</t>
  </si>
  <si>
    <t>Pallabi</t>
  </si>
  <si>
    <t>BD302665</t>
  </si>
  <si>
    <t>Paltan</t>
  </si>
  <si>
    <t>BD302666</t>
  </si>
  <si>
    <t>Ramna</t>
  </si>
  <si>
    <t>BD302667</t>
  </si>
  <si>
    <t>Rampura</t>
  </si>
  <si>
    <t>BD302668</t>
  </si>
  <si>
    <t>Sabujbagh</t>
  </si>
  <si>
    <t>BD302672</t>
  </si>
  <si>
    <t>Savar</t>
  </si>
  <si>
    <t>BD302674</t>
  </si>
  <si>
    <t>Shah Ali</t>
  </si>
  <si>
    <t>BD302675</t>
  </si>
  <si>
    <t>Shahbagh</t>
  </si>
  <si>
    <t>BD302676</t>
  </si>
  <si>
    <t>Shyampur</t>
  </si>
  <si>
    <t>BD302680</t>
  </si>
  <si>
    <t>BD302688</t>
  </si>
  <si>
    <t>Sutrapur</t>
  </si>
  <si>
    <t>BD302690</t>
  </si>
  <si>
    <t>Tejgaon</t>
  </si>
  <si>
    <t>BD302692</t>
  </si>
  <si>
    <t>Tejgaon Ind. Area</t>
  </si>
  <si>
    <t>BD302693</t>
  </si>
  <si>
    <t>Turag</t>
  </si>
  <si>
    <t>BD302695</t>
  </si>
  <si>
    <t>Uttara</t>
  </si>
  <si>
    <t>BD302696</t>
  </si>
  <si>
    <t>Uttar Khan</t>
  </si>
  <si>
    <t>BD302903</t>
  </si>
  <si>
    <t>Faridpur</t>
  </si>
  <si>
    <t>Alfadanga</t>
  </si>
  <si>
    <t>BD302910</t>
  </si>
  <si>
    <t>Bhanga</t>
  </si>
  <si>
    <t>BD302918</t>
  </si>
  <si>
    <t>Boalmari</t>
  </si>
  <si>
    <t>BD302921</t>
  </si>
  <si>
    <t>Char Bhadrasan</t>
  </si>
  <si>
    <t>BD302947</t>
  </si>
  <si>
    <t>Faridpur Sadar</t>
  </si>
  <si>
    <t>BD302956</t>
  </si>
  <si>
    <t>Madhukhali</t>
  </si>
  <si>
    <t>BD302962</t>
  </si>
  <si>
    <t>Nagarkanda</t>
  </si>
  <si>
    <t>BD302984</t>
  </si>
  <si>
    <t>Sadarpur</t>
  </si>
  <si>
    <t>BD302990</t>
  </si>
  <si>
    <t>Saltha</t>
  </si>
  <si>
    <t>BD303330</t>
  </si>
  <si>
    <t>Gazipur</t>
  </si>
  <si>
    <t>Gazipur Sadar</t>
  </si>
  <si>
    <t>BD303332</t>
  </si>
  <si>
    <t>Kaliakair</t>
  </si>
  <si>
    <t>BD303334</t>
  </si>
  <si>
    <t>BD303336</t>
  </si>
  <si>
    <t>Kapasia</t>
  </si>
  <si>
    <t>BD303386</t>
  </si>
  <si>
    <t>BD303532</t>
  </si>
  <si>
    <t>Gopalganj</t>
  </si>
  <si>
    <t>Gopalganj Sadar</t>
  </si>
  <si>
    <t>BD303543</t>
  </si>
  <si>
    <t>Kashiani</t>
  </si>
  <si>
    <t>BD303551</t>
  </si>
  <si>
    <t>BD303558</t>
  </si>
  <si>
    <t>Muksudpur</t>
  </si>
  <si>
    <t>BD303591</t>
  </si>
  <si>
    <t>BD304802</t>
  </si>
  <si>
    <t>Kishoreganj</t>
  </si>
  <si>
    <t>Austagram</t>
  </si>
  <si>
    <t>BD304806</t>
  </si>
  <si>
    <t>Bajitpur</t>
  </si>
  <si>
    <t>BD304811</t>
  </si>
  <si>
    <t>Bhairab</t>
  </si>
  <si>
    <t>BD304827</t>
  </si>
  <si>
    <t>Hossainpur</t>
  </si>
  <si>
    <t>BD304833</t>
  </si>
  <si>
    <t>Itna</t>
  </si>
  <si>
    <t>BD304842</t>
  </si>
  <si>
    <t>Karimganj</t>
  </si>
  <si>
    <t>BD304845</t>
  </si>
  <si>
    <t>Katiadi</t>
  </si>
  <si>
    <t>BD304849</t>
  </si>
  <si>
    <t>Kishoreganj Sadar</t>
  </si>
  <si>
    <t>BD304854</t>
  </si>
  <si>
    <t>Kuliar Char</t>
  </si>
  <si>
    <t>BD304859</t>
  </si>
  <si>
    <t>Mithamain</t>
  </si>
  <si>
    <t>BD304876</t>
  </si>
  <si>
    <t>Nikli</t>
  </si>
  <si>
    <t>BD304879</t>
  </si>
  <si>
    <t>Pakundia</t>
  </si>
  <si>
    <t>BD304892</t>
  </si>
  <si>
    <t>Tarail</t>
  </si>
  <si>
    <t>BD305440</t>
  </si>
  <si>
    <t>Madaripur</t>
  </si>
  <si>
    <t>Kalkini</t>
  </si>
  <si>
    <t>BD305454</t>
  </si>
  <si>
    <t>Madaripur Sadar</t>
  </si>
  <si>
    <t>BD305480</t>
  </si>
  <si>
    <t>Rajoir</t>
  </si>
  <si>
    <t>BD305487</t>
  </si>
  <si>
    <t>Shib Char</t>
  </si>
  <si>
    <t>Manikganj</t>
  </si>
  <si>
    <t>BD305622</t>
  </si>
  <si>
    <t>Ghior</t>
  </si>
  <si>
    <t>BD305628</t>
  </si>
  <si>
    <t>Harirampur</t>
  </si>
  <si>
    <t>BD305646</t>
  </si>
  <si>
    <t>Manikganj Sadar</t>
  </si>
  <si>
    <t>BD305670</t>
  </si>
  <si>
    <t>Saturia</t>
  </si>
  <si>
    <t>BD305678</t>
  </si>
  <si>
    <t>Shibalaya</t>
  </si>
  <si>
    <t>BD305682</t>
  </si>
  <si>
    <t>Singair</t>
  </si>
  <si>
    <t>BD305924</t>
  </si>
  <si>
    <t>Munshiganj</t>
  </si>
  <si>
    <t>Gazaria</t>
  </si>
  <si>
    <t>BD305944</t>
  </si>
  <si>
    <t>Lohajang</t>
  </si>
  <si>
    <t>BD305956</t>
  </si>
  <si>
    <t>Munshiganj Sadar</t>
  </si>
  <si>
    <t>BD305974</t>
  </si>
  <si>
    <t>Serajdikhan</t>
  </si>
  <si>
    <t>BD305984</t>
  </si>
  <si>
    <t>Sreenagar</t>
  </si>
  <si>
    <t>BD305994</t>
  </si>
  <si>
    <t>Tongibari</t>
  </si>
  <si>
    <t>BD306702</t>
  </si>
  <si>
    <t>Narayanganj</t>
  </si>
  <si>
    <t>Araihazar</t>
  </si>
  <si>
    <t>BD306704</t>
  </si>
  <si>
    <t>Sonargaon</t>
  </si>
  <si>
    <t>BD306706</t>
  </si>
  <si>
    <t>Bandar</t>
  </si>
  <si>
    <t>BD306758</t>
  </si>
  <si>
    <t>Narayanganj Sadar</t>
  </si>
  <si>
    <t>BD306768</t>
  </si>
  <si>
    <t>Rupganj</t>
  </si>
  <si>
    <t>BD306807</t>
  </si>
  <si>
    <t>Narsingdi</t>
  </si>
  <si>
    <t>Belabo</t>
  </si>
  <si>
    <t>BD306852</t>
  </si>
  <si>
    <t>Manohardi</t>
  </si>
  <si>
    <t>BD306860</t>
  </si>
  <si>
    <t>Narsingdi Sadar</t>
  </si>
  <si>
    <t>BD306863</t>
  </si>
  <si>
    <t>Palash</t>
  </si>
  <si>
    <t>BD306864</t>
  </si>
  <si>
    <t>Roypura</t>
  </si>
  <si>
    <t>BD306876</t>
  </si>
  <si>
    <t>Shibpur</t>
  </si>
  <si>
    <t>BD308207</t>
  </si>
  <si>
    <t>Rajbari</t>
  </si>
  <si>
    <t>BD308229</t>
  </si>
  <si>
    <t>BD308247</t>
  </si>
  <si>
    <t>Kalukhali</t>
  </si>
  <si>
    <t>BD308273</t>
  </si>
  <si>
    <t>Pangsha</t>
  </si>
  <si>
    <t>BD308276</t>
  </si>
  <si>
    <t>Rajbari Sadar</t>
  </si>
  <si>
    <t>BD308614</t>
  </si>
  <si>
    <t>Shariatpur</t>
  </si>
  <si>
    <t>Bhedarganj</t>
  </si>
  <si>
    <t>BD308625</t>
  </si>
  <si>
    <t>Damudya</t>
  </si>
  <si>
    <t>BD308636</t>
  </si>
  <si>
    <t>Gosairhat</t>
  </si>
  <si>
    <t>BD308665</t>
  </si>
  <si>
    <t>Naria</t>
  </si>
  <si>
    <t>BD308669</t>
  </si>
  <si>
    <t>Shariatpur Sadar</t>
  </si>
  <si>
    <t>BD308694</t>
  </si>
  <si>
    <t>Zanjira</t>
  </si>
  <si>
    <t>BD309309</t>
  </si>
  <si>
    <t>Tangail</t>
  </si>
  <si>
    <t>Basail</t>
  </si>
  <si>
    <t>BD309319</t>
  </si>
  <si>
    <t>Bhuapur</t>
  </si>
  <si>
    <t>BD309323</t>
  </si>
  <si>
    <t>Delduar</t>
  </si>
  <si>
    <t>BD309325</t>
  </si>
  <si>
    <t>Dhanbari</t>
  </si>
  <si>
    <t>BD309328</t>
  </si>
  <si>
    <t>Ghatail</t>
  </si>
  <si>
    <t>BD309338</t>
  </si>
  <si>
    <t>Gopalpur</t>
  </si>
  <si>
    <t>BD309347</t>
  </si>
  <si>
    <t>Kalihati</t>
  </si>
  <si>
    <t>BD309357</t>
  </si>
  <si>
    <t>Madhupur</t>
  </si>
  <si>
    <t>BD309366</t>
  </si>
  <si>
    <t>Mirzapur</t>
  </si>
  <si>
    <t>BD309376</t>
  </si>
  <si>
    <t>Nagarpur</t>
  </si>
  <si>
    <t>BD309385</t>
  </si>
  <si>
    <t>BD309395</t>
  </si>
  <si>
    <t>Tangail Sadar</t>
  </si>
  <si>
    <t>BD400108</t>
  </si>
  <si>
    <t>Bagerhat</t>
  </si>
  <si>
    <t>Bagerhat Sadar</t>
  </si>
  <si>
    <t>BD400114</t>
  </si>
  <si>
    <t>Chitalmari</t>
  </si>
  <si>
    <t>BD400134</t>
  </si>
  <si>
    <t>Fakirhat</t>
  </si>
  <si>
    <t>BD400138</t>
  </si>
  <si>
    <t>BD400156</t>
  </si>
  <si>
    <t>Mollahat</t>
  </si>
  <si>
    <t>BD400158</t>
  </si>
  <si>
    <t>Mongla</t>
  </si>
  <si>
    <t>BD400160</t>
  </si>
  <si>
    <t>Morrelganj</t>
  </si>
  <si>
    <t>BD400173</t>
  </si>
  <si>
    <t>Rampal</t>
  </si>
  <si>
    <t>BD400177</t>
  </si>
  <si>
    <t>Sarankhola</t>
  </si>
  <si>
    <t>BD401807</t>
  </si>
  <si>
    <t>Chuadanga</t>
  </si>
  <si>
    <t>Alamdanga</t>
  </si>
  <si>
    <t>BD401823</t>
  </si>
  <si>
    <t>Chuadanga Sadar</t>
  </si>
  <si>
    <t>BD401831</t>
  </si>
  <si>
    <t>Damurhuda</t>
  </si>
  <si>
    <t>BD401855</t>
  </si>
  <si>
    <t>Jiban Nagar</t>
  </si>
  <si>
    <t>BD404104</t>
  </si>
  <si>
    <t>Abhaynagar</t>
  </si>
  <si>
    <t>BD404109</t>
  </si>
  <si>
    <t>Bagher Para</t>
  </si>
  <si>
    <t>BD404111</t>
  </si>
  <si>
    <t>Chaugachha</t>
  </si>
  <si>
    <t>BD404123</t>
  </si>
  <si>
    <t>Jhikargachha</t>
  </si>
  <si>
    <t>BD404138</t>
  </si>
  <si>
    <t>Keshabpur</t>
  </si>
  <si>
    <t>BD404147</t>
  </si>
  <si>
    <t>BD404161</t>
  </si>
  <si>
    <t>Manirampur</t>
  </si>
  <si>
    <t>BD404190</t>
  </si>
  <si>
    <t>Sharsha</t>
  </si>
  <si>
    <t>BD404414</t>
  </si>
  <si>
    <t>Jhenaidah</t>
  </si>
  <si>
    <t>Harinakunda</t>
  </si>
  <si>
    <t>BD404419</t>
  </si>
  <si>
    <t>BD404433</t>
  </si>
  <si>
    <t>BD404442</t>
  </si>
  <si>
    <t>Kotchandpur</t>
  </si>
  <si>
    <t>BD404471</t>
  </si>
  <si>
    <t>Maheshpur</t>
  </si>
  <si>
    <t>BD404480</t>
  </si>
  <si>
    <t>Shailkupa</t>
  </si>
  <si>
    <t>BD404712</t>
  </si>
  <si>
    <t>Khulna</t>
  </si>
  <si>
    <t>Batiaghata</t>
  </si>
  <si>
    <t>BD404717</t>
  </si>
  <si>
    <t>Dacope</t>
  </si>
  <si>
    <t>BD404730</t>
  </si>
  <si>
    <t>Dumuria</t>
  </si>
  <si>
    <t>BD404740</t>
  </si>
  <si>
    <t>Dighalia</t>
  </si>
  <si>
    <t>BD404748</t>
  </si>
  <si>
    <t>Khan Jahan Ali</t>
  </si>
  <si>
    <t>BD404753</t>
  </si>
  <si>
    <t>Koyra</t>
  </si>
  <si>
    <t>BD404764</t>
  </si>
  <si>
    <t>Paikgachha</t>
  </si>
  <si>
    <t>BD404769</t>
  </si>
  <si>
    <t>Phultala</t>
  </si>
  <si>
    <t>BD404775</t>
  </si>
  <si>
    <t>Rupsa</t>
  </si>
  <si>
    <t>BD404794</t>
  </si>
  <si>
    <t>Terokhada</t>
  </si>
  <si>
    <t>BD405015</t>
  </si>
  <si>
    <t>Kushtia</t>
  </si>
  <si>
    <t>Bheramara</t>
  </si>
  <si>
    <t>BD405039</t>
  </si>
  <si>
    <t>BD405063</t>
  </si>
  <si>
    <t>Khoksa</t>
  </si>
  <si>
    <t>BD405071</t>
  </si>
  <si>
    <t>Kumarkhali</t>
  </si>
  <si>
    <t>BD405079</t>
  </si>
  <si>
    <t>Kushtia Sadar</t>
  </si>
  <si>
    <t>BD405094</t>
  </si>
  <si>
    <t>BD405557</t>
  </si>
  <si>
    <t>Magura</t>
  </si>
  <si>
    <t>Magura Sadar</t>
  </si>
  <si>
    <t>BD405566</t>
  </si>
  <si>
    <t>BD405585</t>
  </si>
  <si>
    <t>Shalikha</t>
  </si>
  <si>
    <t>BD405595</t>
  </si>
  <si>
    <t>BD405747</t>
  </si>
  <si>
    <t>Meherpur</t>
  </si>
  <si>
    <t>Gangni</t>
  </si>
  <si>
    <t>BD405760</t>
  </si>
  <si>
    <t>Meherpur Sadar</t>
  </si>
  <si>
    <t>BD405787</t>
  </si>
  <si>
    <t>Mujib Nagar</t>
  </si>
  <si>
    <t>BD406528</t>
  </si>
  <si>
    <t>Narail</t>
  </si>
  <si>
    <t>Kalia</t>
  </si>
  <si>
    <t>BD406552</t>
  </si>
  <si>
    <t>BD406576</t>
  </si>
  <si>
    <t>Narail Sadar</t>
  </si>
  <si>
    <t>BD408704</t>
  </si>
  <si>
    <t>Satkhira</t>
  </si>
  <si>
    <t>Assasuni</t>
  </si>
  <si>
    <t>BD408725</t>
  </si>
  <si>
    <t>Debhata</t>
  </si>
  <si>
    <t>BD408743</t>
  </si>
  <si>
    <t>Kalaroa</t>
  </si>
  <si>
    <t>BD408747</t>
  </si>
  <si>
    <t>BD408782</t>
  </si>
  <si>
    <t>Satkhira Sadar</t>
  </si>
  <si>
    <t>BD408786</t>
  </si>
  <si>
    <t>Shyamnagar</t>
  </si>
  <si>
    <t>BD408790</t>
  </si>
  <si>
    <t>Tala</t>
  </si>
  <si>
    <t>BD453907</t>
  </si>
  <si>
    <t>Jamalpur</t>
  </si>
  <si>
    <t>Bakshiganj</t>
  </si>
  <si>
    <t>BD453915</t>
  </si>
  <si>
    <t>Dewanganj</t>
  </si>
  <si>
    <t>BD453929</t>
  </si>
  <si>
    <t>Islampur</t>
  </si>
  <si>
    <t>BD453936</t>
  </si>
  <si>
    <t>Jamalpur Sadar</t>
  </si>
  <si>
    <t>BD453958</t>
  </si>
  <si>
    <t>Madarganj</t>
  </si>
  <si>
    <t>BD453961</t>
  </si>
  <si>
    <t>Melandaha</t>
  </si>
  <si>
    <t>BD453985</t>
  </si>
  <si>
    <t>Sarishabari</t>
  </si>
  <si>
    <t>BD456113</t>
  </si>
  <si>
    <t>Mymensingh</t>
  </si>
  <si>
    <t>Bhaluka</t>
  </si>
  <si>
    <t>BD456116</t>
  </si>
  <si>
    <t>Dhobaura</t>
  </si>
  <si>
    <t>BD456120</t>
  </si>
  <si>
    <t>Fulbaria</t>
  </si>
  <si>
    <t>BD456122</t>
  </si>
  <si>
    <t>Gaffargaon</t>
  </si>
  <si>
    <t>BD456123</t>
  </si>
  <si>
    <t>Gauripur</t>
  </si>
  <si>
    <t>BD456124</t>
  </si>
  <si>
    <t>Haluaghat</t>
  </si>
  <si>
    <t>BD456131</t>
  </si>
  <si>
    <t>Ishwarganj</t>
  </si>
  <si>
    <t>BD456152</t>
  </si>
  <si>
    <t>Mymensingh Sadar</t>
  </si>
  <si>
    <t>BD456165</t>
  </si>
  <si>
    <t>Muktagachha</t>
  </si>
  <si>
    <t>BD456172</t>
  </si>
  <si>
    <t>Nandail</t>
  </si>
  <si>
    <t>BD456181</t>
  </si>
  <si>
    <t>Phulpur</t>
  </si>
  <si>
    <t>BD456194</t>
  </si>
  <si>
    <t>Trishal</t>
  </si>
  <si>
    <t>BD457204</t>
  </si>
  <si>
    <t>Netrakona</t>
  </si>
  <si>
    <t>Atpara</t>
  </si>
  <si>
    <t>BD457209</t>
  </si>
  <si>
    <t>Barhatta</t>
  </si>
  <si>
    <t>BD457218</t>
  </si>
  <si>
    <t>BD457238</t>
  </si>
  <si>
    <t>Khaliajuri</t>
  </si>
  <si>
    <t>BD457240</t>
  </si>
  <si>
    <t>Kalmakanda</t>
  </si>
  <si>
    <t>BD457247</t>
  </si>
  <si>
    <t>Kendua</t>
  </si>
  <si>
    <t>BD457256</t>
  </si>
  <si>
    <t>Madan</t>
  </si>
  <si>
    <t>BD457263</t>
  </si>
  <si>
    <t>BD457274</t>
  </si>
  <si>
    <t>Netrokona Sadar</t>
  </si>
  <si>
    <t>BD457283</t>
  </si>
  <si>
    <t>Purbadhala</t>
  </si>
  <si>
    <t>BD458937</t>
  </si>
  <si>
    <t>Sherpur</t>
  </si>
  <si>
    <t>Jhenaigati</t>
  </si>
  <si>
    <t>BD458967</t>
  </si>
  <si>
    <t>Nakla</t>
  </si>
  <si>
    <t>BD458970</t>
  </si>
  <si>
    <t>Nalitabari</t>
  </si>
  <si>
    <t>BD458988</t>
  </si>
  <si>
    <t>Sherpur Sadar</t>
  </si>
  <si>
    <t>BD458990</t>
  </si>
  <si>
    <t>Sreebardi</t>
  </si>
  <si>
    <t>BD501006</t>
  </si>
  <si>
    <t>Adamdighi</t>
  </si>
  <si>
    <t>BD501020</t>
  </si>
  <si>
    <t>Bogra Sadar</t>
  </si>
  <si>
    <t>BD501027</t>
  </si>
  <si>
    <t>Dhunat</t>
  </si>
  <si>
    <t>BD501033</t>
  </si>
  <si>
    <t>Dhupchanchia</t>
  </si>
  <si>
    <t>BD501040</t>
  </si>
  <si>
    <t>Gabtali</t>
  </si>
  <si>
    <t>BD501054</t>
  </si>
  <si>
    <t>Kahaloo</t>
  </si>
  <si>
    <t>BD501067</t>
  </si>
  <si>
    <t>Nandigram</t>
  </si>
  <si>
    <t>BD501081</t>
  </si>
  <si>
    <t>Sariakandi</t>
  </si>
  <si>
    <t>BD501085</t>
  </si>
  <si>
    <t>Shajahanpur</t>
  </si>
  <si>
    <t>BD501088</t>
  </si>
  <si>
    <t>BD501094</t>
  </si>
  <si>
    <t>BD501095</t>
  </si>
  <si>
    <t>Sonatola</t>
  </si>
  <si>
    <t>BD503813</t>
  </si>
  <si>
    <t>Joypurhat</t>
  </si>
  <si>
    <t>Akkelpur</t>
  </si>
  <si>
    <t>BD503847</t>
  </si>
  <si>
    <t>Joypurhat Sadar</t>
  </si>
  <si>
    <t>BD503858</t>
  </si>
  <si>
    <t>Kalai</t>
  </si>
  <si>
    <t>BD503861</t>
  </si>
  <si>
    <t>Khetlal</t>
  </si>
  <si>
    <t>BD503874</t>
  </si>
  <si>
    <t>Panchbibi</t>
  </si>
  <si>
    <t>BD506403</t>
  </si>
  <si>
    <t>Naogaon</t>
  </si>
  <si>
    <t>Atrai</t>
  </si>
  <si>
    <t>BD506406</t>
  </si>
  <si>
    <t>Badalgachhi</t>
  </si>
  <si>
    <t>BD506428</t>
  </si>
  <si>
    <t>Dhamoirhat</t>
  </si>
  <si>
    <t>BD506447</t>
  </si>
  <si>
    <t>Manda</t>
  </si>
  <si>
    <t>BD506450</t>
  </si>
  <si>
    <t>Mahadebpur</t>
  </si>
  <si>
    <t>BD506460</t>
  </si>
  <si>
    <t>Naogaon Sadar</t>
  </si>
  <si>
    <t>BD506469</t>
  </si>
  <si>
    <t>Niamatpur</t>
  </si>
  <si>
    <t>BD506475</t>
  </si>
  <si>
    <t>Patnitala</t>
  </si>
  <si>
    <t>BD506479</t>
  </si>
  <si>
    <t>Porsha</t>
  </si>
  <si>
    <t>BD506485</t>
  </si>
  <si>
    <t>Raninagar</t>
  </si>
  <si>
    <t>BD506486</t>
  </si>
  <si>
    <t>Sapahar</t>
  </si>
  <si>
    <t>BD506909</t>
  </si>
  <si>
    <t>Natore</t>
  </si>
  <si>
    <t>Bagati Para</t>
  </si>
  <si>
    <t>BD506915</t>
  </si>
  <si>
    <t>Baraigram</t>
  </si>
  <si>
    <t>BD506941</t>
  </si>
  <si>
    <t>Gurudaspur</t>
  </si>
  <si>
    <t>BD506944</t>
  </si>
  <si>
    <t>Lalpur</t>
  </si>
  <si>
    <t>BD506963</t>
  </si>
  <si>
    <t>Natore Sadar</t>
  </si>
  <si>
    <t>BD506991</t>
  </si>
  <si>
    <t>Singra</t>
  </si>
  <si>
    <t>BD507018</t>
  </si>
  <si>
    <t>Bholahat</t>
  </si>
  <si>
    <t>BD507037</t>
  </si>
  <si>
    <t>Gomastapur</t>
  </si>
  <si>
    <t>BD507056</t>
  </si>
  <si>
    <t>Nachole</t>
  </si>
  <si>
    <t>BD507066</t>
  </si>
  <si>
    <t>BD507088</t>
  </si>
  <si>
    <t>BD507605</t>
  </si>
  <si>
    <t>Pabna</t>
  </si>
  <si>
    <t>Atgharia</t>
  </si>
  <si>
    <t>BD507616</t>
  </si>
  <si>
    <t>Bera</t>
  </si>
  <si>
    <t>BD507619</t>
  </si>
  <si>
    <t>Bhangura</t>
  </si>
  <si>
    <t>BD507622</t>
  </si>
  <si>
    <t>Chatmohar</t>
  </si>
  <si>
    <t>BD507633</t>
  </si>
  <si>
    <t>BD507639</t>
  </si>
  <si>
    <t>Ishwardi</t>
  </si>
  <si>
    <t>BD507655</t>
  </si>
  <si>
    <t>Pabna Sadar</t>
  </si>
  <si>
    <t>BD507672</t>
  </si>
  <si>
    <t>Santhia</t>
  </si>
  <si>
    <t>BD507683</t>
  </si>
  <si>
    <t>Sujanagar</t>
  </si>
  <si>
    <t>BD508110</t>
  </si>
  <si>
    <t>Rajshahi</t>
  </si>
  <si>
    <t>Bagha</t>
  </si>
  <si>
    <t>BD508112</t>
  </si>
  <si>
    <t>Baghmara</t>
  </si>
  <si>
    <t>BD508122</t>
  </si>
  <si>
    <t>Boalia</t>
  </si>
  <si>
    <t>BD508125</t>
  </si>
  <si>
    <t>Charghat</t>
  </si>
  <si>
    <t>BD508131</t>
  </si>
  <si>
    <t>BD508134</t>
  </si>
  <si>
    <t>Godagari</t>
  </si>
  <si>
    <t>BD508140</t>
  </si>
  <si>
    <t>Matihar</t>
  </si>
  <si>
    <t>BD508153</t>
  </si>
  <si>
    <t>Mohanpur</t>
  </si>
  <si>
    <t>BD508172</t>
  </si>
  <si>
    <t>Paba</t>
  </si>
  <si>
    <t>BD508182</t>
  </si>
  <si>
    <t>Puthia</t>
  </si>
  <si>
    <t>BD508185</t>
  </si>
  <si>
    <t>Rajpara</t>
  </si>
  <si>
    <t>BD508190</t>
  </si>
  <si>
    <t>Shah Makhdum</t>
  </si>
  <si>
    <t>BD508194</t>
  </si>
  <si>
    <t>Tanore</t>
  </si>
  <si>
    <t>BD508811</t>
  </si>
  <si>
    <t>Sirajganj</t>
  </si>
  <si>
    <t>Belkuchi</t>
  </si>
  <si>
    <t>BD508827</t>
  </si>
  <si>
    <t>Chauhali</t>
  </si>
  <si>
    <t>BD508844</t>
  </si>
  <si>
    <t>Kamarkhanda</t>
  </si>
  <si>
    <t>BD508850</t>
  </si>
  <si>
    <t>Kazipur</t>
  </si>
  <si>
    <t>BD508861</t>
  </si>
  <si>
    <t>Royganj</t>
  </si>
  <si>
    <t>BD508867</t>
  </si>
  <si>
    <t>Shahjadpur</t>
  </si>
  <si>
    <t>BD508878</t>
  </si>
  <si>
    <t>Sirajganj Sadar</t>
  </si>
  <si>
    <t>BD508889</t>
  </si>
  <si>
    <t>Tarash</t>
  </si>
  <si>
    <t>BD508894</t>
  </si>
  <si>
    <t>Ullah Para</t>
  </si>
  <si>
    <t>BD552710</t>
  </si>
  <si>
    <t>Dinajpur</t>
  </si>
  <si>
    <t>Birampur</t>
  </si>
  <si>
    <t>BD552712</t>
  </si>
  <si>
    <t>Birganj</t>
  </si>
  <si>
    <t>BD552717</t>
  </si>
  <si>
    <t>Biral</t>
  </si>
  <si>
    <t>BD552721</t>
  </si>
  <si>
    <t>Bochaganj</t>
  </si>
  <si>
    <t>BD552730</t>
  </si>
  <si>
    <t>Chirirbandar</t>
  </si>
  <si>
    <t>BD552738</t>
  </si>
  <si>
    <t>Fulbari</t>
  </si>
  <si>
    <t>BD552743</t>
  </si>
  <si>
    <t>Ghoraghat</t>
  </si>
  <si>
    <t>BD552747</t>
  </si>
  <si>
    <t>Hakimpur</t>
  </si>
  <si>
    <t>BD552756</t>
  </si>
  <si>
    <t>Kaharole</t>
  </si>
  <si>
    <t>BD552760</t>
  </si>
  <si>
    <t>Khansama</t>
  </si>
  <si>
    <t>BD552764</t>
  </si>
  <si>
    <t>Dinajpur Sadar</t>
  </si>
  <si>
    <t>BD552769</t>
  </si>
  <si>
    <t>BD552777</t>
  </si>
  <si>
    <t>Parbatipur</t>
  </si>
  <si>
    <t>BD553221</t>
  </si>
  <si>
    <t>Gaibandha</t>
  </si>
  <si>
    <t>Fulchhari</t>
  </si>
  <si>
    <t>BD553224</t>
  </si>
  <si>
    <t>Gaibandha Sadar</t>
  </si>
  <si>
    <t>BD553230</t>
  </si>
  <si>
    <t>Gobindaganj</t>
  </si>
  <si>
    <t>BD553267</t>
  </si>
  <si>
    <t>Palashbari</t>
  </si>
  <si>
    <t>BD553282</t>
  </si>
  <si>
    <t>Sadullapur</t>
  </si>
  <si>
    <t>BD553288</t>
  </si>
  <si>
    <t>Saghatta</t>
  </si>
  <si>
    <t>BD553291</t>
  </si>
  <si>
    <t>Sundarganj</t>
  </si>
  <si>
    <t>BD554906</t>
  </si>
  <si>
    <t>Kurigram</t>
  </si>
  <si>
    <t>Bhurungamari</t>
  </si>
  <si>
    <t>BD554908</t>
  </si>
  <si>
    <t>Char Rajibpur</t>
  </si>
  <si>
    <t>BD554909</t>
  </si>
  <si>
    <t>Chilmari</t>
  </si>
  <si>
    <t>BD554918</t>
  </si>
  <si>
    <t>Phulbari</t>
  </si>
  <si>
    <t>BD554952</t>
  </si>
  <si>
    <t>Kurigram Sadar</t>
  </si>
  <si>
    <t>BD554961</t>
  </si>
  <si>
    <t>Nageshwari</t>
  </si>
  <si>
    <t>BD554977</t>
  </si>
  <si>
    <t>Rajarhat</t>
  </si>
  <si>
    <t>BD554979</t>
  </si>
  <si>
    <t>Raumari</t>
  </si>
  <si>
    <t>BD554994</t>
  </si>
  <si>
    <t>Ulipur</t>
  </si>
  <si>
    <t>BD555202</t>
  </si>
  <si>
    <t>Lalmonirhat</t>
  </si>
  <si>
    <t>Aditmari</t>
  </si>
  <si>
    <t>BD555233</t>
  </si>
  <si>
    <t>Hatibandha</t>
  </si>
  <si>
    <t>BD555239</t>
  </si>
  <si>
    <t>BD555255</t>
  </si>
  <si>
    <t>Lalmonirhat Sadar</t>
  </si>
  <si>
    <t>BD555270</t>
  </si>
  <si>
    <t>Patgram</t>
  </si>
  <si>
    <t>BD557312</t>
  </si>
  <si>
    <t>Nilphamari</t>
  </si>
  <si>
    <t>Dimla</t>
  </si>
  <si>
    <t>BD557315</t>
  </si>
  <si>
    <t>Domar</t>
  </si>
  <si>
    <t>BD557336</t>
  </si>
  <si>
    <t>Jaldhaka</t>
  </si>
  <si>
    <t>BD557345</t>
  </si>
  <si>
    <t>BD557364</t>
  </si>
  <si>
    <t>Nilphamari Sadar</t>
  </si>
  <si>
    <t>BD557385</t>
  </si>
  <si>
    <t>Saidpur</t>
  </si>
  <si>
    <t>BD557704</t>
  </si>
  <si>
    <t>Panchagarh</t>
  </si>
  <si>
    <t>Atwari</t>
  </si>
  <si>
    <t>BD557725</t>
  </si>
  <si>
    <t>Boda</t>
  </si>
  <si>
    <t>BD557734</t>
  </si>
  <si>
    <t>Debiganj</t>
  </si>
  <si>
    <t>BD557773</t>
  </si>
  <si>
    <t>Panchagarh Sadar</t>
  </si>
  <si>
    <t>BD557790</t>
  </si>
  <si>
    <t>Tentulia</t>
  </si>
  <si>
    <t>BD558503</t>
  </si>
  <si>
    <t>Rangpur</t>
  </si>
  <si>
    <t>Badarganj</t>
  </si>
  <si>
    <t>BD558527</t>
  </si>
  <si>
    <t>Gangachara</t>
  </si>
  <si>
    <t>BD558542</t>
  </si>
  <si>
    <t>Kaunia</t>
  </si>
  <si>
    <t>BD558549</t>
  </si>
  <si>
    <t>Rangpur Sadar</t>
  </si>
  <si>
    <t>BD558558</t>
  </si>
  <si>
    <t>Mitha Pukur</t>
  </si>
  <si>
    <t>BD558573</t>
  </si>
  <si>
    <t>Pirgachha</t>
  </si>
  <si>
    <t>BD558576</t>
  </si>
  <si>
    <t>BD558592</t>
  </si>
  <si>
    <t>Taraganj</t>
  </si>
  <si>
    <t>BD559408</t>
  </si>
  <si>
    <t>Thakurgaon</t>
  </si>
  <si>
    <t>Baliadangi</t>
  </si>
  <si>
    <t>BD559451</t>
  </si>
  <si>
    <t>Haripur</t>
  </si>
  <si>
    <t>BD559482</t>
  </si>
  <si>
    <t>BD559486</t>
  </si>
  <si>
    <t>Ranisankail</t>
  </si>
  <si>
    <t>BD559494</t>
  </si>
  <si>
    <t>Thakurgaon Sadar</t>
  </si>
  <si>
    <t>BD603602</t>
  </si>
  <si>
    <t>Habiganj</t>
  </si>
  <si>
    <t>Ajmiriganj</t>
  </si>
  <si>
    <t>BD603605</t>
  </si>
  <si>
    <t>Bahubal</t>
  </si>
  <si>
    <t>BD603611</t>
  </si>
  <si>
    <t>Baniachong</t>
  </si>
  <si>
    <t>BD603626</t>
  </si>
  <si>
    <t>Chunarughat</t>
  </si>
  <si>
    <t>BD603644</t>
  </si>
  <si>
    <t>Habiganj Sadar</t>
  </si>
  <si>
    <t>BD603668</t>
  </si>
  <si>
    <t>Lakhai</t>
  </si>
  <si>
    <t>BD603671</t>
  </si>
  <si>
    <t>Madhabpur</t>
  </si>
  <si>
    <t>BD603677</t>
  </si>
  <si>
    <t>Nabiganj</t>
  </si>
  <si>
    <t>BD605814</t>
  </si>
  <si>
    <t>Maulvibazar</t>
  </si>
  <si>
    <t>Barlekha</t>
  </si>
  <si>
    <t>BD605835</t>
  </si>
  <si>
    <t>Juri</t>
  </si>
  <si>
    <t>BD605856</t>
  </si>
  <si>
    <t>Kamalganj</t>
  </si>
  <si>
    <t>BD605865</t>
  </si>
  <si>
    <t>Kulaura</t>
  </si>
  <si>
    <t>BD605874</t>
  </si>
  <si>
    <t>Maulvi Bazar Sadar</t>
  </si>
  <si>
    <t>BD605880</t>
  </si>
  <si>
    <t>Rajnagar</t>
  </si>
  <si>
    <t>BD605883</t>
  </si>
  <si>
    <t>Sreemangal</t>
  </si>
  <si>
    <t>BD609018</t>
  </si>
  <si>
    <t>Sunamganj</t>
  </si>
  <si>
    <t>Bishwambarpur</t>
  </si>
  <si>
    <t>BD609023</t>
  </si>
  <si>
    <t>Chhatak</t>
  </si>
  <si>
    <t>BD609027</t>
  </si>
  <si>
    <t>Dakshin Sunamganj</t>
  </si>
  <si>
    <t>BD609029</t>
  </si>
  <si>
    <t>Derai</t>
  </si>
  <si>
    <t>BD609032</t>
  </si>
  <si>
    <t>Dharampasha</t>
  </si>
  <si>
    <t>BD609033</t>
  </si>
  <si>
    <t>Dowarabazar</t>
  </si>
  <si>
    <t>BD609047</t>
  </si>
  <si>
    <t>Jagannathpur</t>
  </si>
  <si>
    <t>BD609050</t>
  </si>
  <si>
    <t>Jamalganj</t>
  </si>
  <si>
    <t>BD609086</t>
  </si>
  <si>
    <t>Sulla</t>
  </si>
  <si>
    <t>BD609089</t>
  </si>
  <si>
    <t>Sunamganj Sadar</t>
  </si>
  <si>
    <t>BD609092</t>
  </si>
  <si>
    <t>Tahirpur</t>
  </si>
  <si>
    <t>BD609108</t>
  </si>
  <si>
    <t>Sylhet</t>
  </si>
  <si>
    <t>Balaganj</t>
  </si>
  <si>
    <t>BD609117</t>
  </si>
  <si>
    <t>Beani Bazar</t>
  </si>
  <si>
    <t>BD609120</t>
  </si>
  <si>
    <t>Bishwanath</t>
  </si>
  <si>
    <t>BD609127</t>
  </si>
  <si>
    <t>BD609131</t>
  </si>
  <si>
    <t>Dakshin Surma</t>
  </si>
  <si>
    <t>BD609135</t>
  </si>
  <si>
    <t>Fenchuganj</t>
  </si>
  <si>
    <t>BD609138</t>
  </si>
  <si>
    <t>Golabganj</t>
  </si>
  <si>
    <t>BD609141</t>
  </si>
  <si>
    <t>Gowainghat</t>
  </si>
  <si>
    <t>BD609153</t>
  </si>
  <si>
    <t>Jaintiapur</t>
  </si>
  <si>
    <t>BD609159</t>
  </si>
  <si>
    <t>Kanaighat</t>
  </si>
  <si>
    <t>BD609162</t>
  </si>
  <si>
    <t>Sylhet Sadar</t>
  </si>
  <si>
    <t>BD609194</t>
  </si>
  <si>
    <t>Zakiganj</t>
  </si>
  <si>
    <t>Upazila</t>
  </si>
  <si>
    <t>Max</t>
  </si>
  <si>
    <t>Min</t>
  </si>
  <si>
    <t>Change</t>
  </si>
  <si>
    <t>Impact_VCI+F</t>
  </si>
  <si>
    <t>VCI</t>
  </si>
  <si>
    <t>Impact_VCI</t>
  </si>
  <si>
    <t>Impact_house</t>
  </si>
  <si>
    <t>Impact_vci+fapar+house</t>
  </si>
  <si>
    <t>House</t>
  </si>
  <si>
    <t>Impact_VCI_fAPAR_house</t>
  </si>
  <si>
    <t>Norm_VCI_fAPAR_house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</si>
  <si>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</si>
  <si>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</si>
  <si>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</si>
  <si>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</si>
  <si>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</si>
  <si>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</si>
  <si>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</si>
  <si>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</si>
  <si>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</si>
  <si>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</si>
  <si>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</si>
  <si>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</si>
  <si>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</si>
  <si>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</si>
  <si>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</si>
  <si>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</si>
  <si>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</si>
  <si>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</si>
  <si>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</si>
  <si>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</si>
  <si>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</si>
  <si>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</si>
  <si>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</si>
  <si>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</si>
  <si>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</si>
  <si>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</si>
  <si>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</si>
  <si>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Nawabganj Sadar</t>
  </si>
  <si>
    <t>Pirganj</t>
  </si>
  <si>
    <t>Balia Kandi</t>
  </si>
  <si>
    <t>Brahamanbaria</t>
  </si>
  <si>
    <t>Chittagong</t>
  </si>
  <si>
    <t>Comilla</t>
  </si>
  <si>
    <t>Jessore</t>
  </si>
  <si>
    <t>Bogra</t>
  </si>
  <si>
    <t>Vulnerability</t>
  </si>
  <si>
    <t>Indurkani</t>
  </si>
  <si>
    <t>Sadar</t>
  </si>
  <si>
    <t>BD404733</t>
  </si>
  <si>
    <t>City Corporation</t>
  </si>
  <si>
    <t>BD100490</t>
  </si>
  <si>
    <t>BD107897</t>
  </si>
  <si>
    <t>BD201539</t>
  </si>
  <si>
    <t>BD201973</t>
  </si>
  <si>
    <t>BD202232</t>
  </si>
  <si>
    <t>Taltoli</t>
  </si>
  <si>
    <t>Rangabali</t>
  </si>
  <si>
    <t>Karnaphuli</t>
  </si>
  <si>
    <t>Lalmai</t>
  </si>
  <si>
    <t>Eidgaon</t>
  </si>
  <si>
    <t>BD305610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</si>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</sst>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166" fontId="2" fillId="0" borderId="0" xfId="0" applyNumberFormat="1" applyFont="1" applyFill="1" applyAlignment="1">
      <alignment horizontal="center"/>
    </xf>
    <xf numFmtId="166" fontId="1" fillId="0" borderId="0" xfId="0" applyNumberFormat="1" applyFont="1" applyFill="1"/>
    <xf numFmtId="1" fontId="0" fillId="0" borderId="0" xfId="0" applyNumberFormat="1" applyFill="1"/>
    <xf numFmtId="166" fontId="0" fillId="0" borderId="0" xfId="0" applyNumberFormat="1" applyFill="1"/>
    <xf numFmtId="0" fontId="0" fillId="2" borderId="0" xfId="0" applyFill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 applyAlignment="1">
      <alignment wrapText="1"/>
    </xf>
    <xf numFmtId="164" fontId="0" fillId="0" borderId="0" xfId="0" applyNumberFormat="1"/>
    <xf numFmtId="2" fontId="0" fillId="0" borderId="0" xfId="0" applyNumberFormat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7"/>
  <sheetViews>
    <sheetView tabSelected="1" zoomScale="77" workbookViewId="0">
      <selection sqref="A1:F1048576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12.44140625" bestFit="1" customWidth="1"/>
    <col min="4" max="4" width="23.109375" customWidth="1"/>
    <col min="5" max="5" width="11.44140625" customWidth="1"/>
    <col min="6" max="6" width="12" customWidth="1"/>
    <col min="7" max="7" width="12" style="2" customWidth="1"/>
    <col min="8" max="8" width="15.109375" style="2" customWidth="1"/>
    <col min="9" max="9" width="7.109375" style="2" customWidth="1"/>
    <col min="10" max="10" width="12.77734375" style="8" customWidth="1"/>
    <col min="11" max="11" width="10.77734375" style="2" customWidth="1"/>
    <col min="12" max="12" width="16.5546875" style="2" customWidth="1"/>
    <col min="13" max="13" width="20.21875" style="2" customWidth="1"/>
    <col min="14" max="14" width="12" style="2" customWidth="1"/>
    <col min="15" max="15" width="13.88671875" style="2" customWidth="1"/>
    <col min="16" max="18" width="12" style="2" customWidth="1"/>
    <col min="19" max="19" width="16.6640625" style="2" customWidth="1"/>
    <col min="20" max="20" width="18.21875" style="8" customWidth="1"/>
    <col min="21" max="21" width="11.77734375" style="2" customWidth="1"/>
    <col min="22" max="22" width="12.6640625" style="2" bestFit="1" customWidth="1"/>
    <col min="23" max="23" width="18.5546875" style="2" bestFit="1" customWidth="1"/>
    <col min="24" max="24" width="11.77734375" style="2" bestFit="1" customWidth="1"/>
    <col min="25" max="25" width="12" style="2" bestFit="1" customWidth="1"/>
    <col min="26" max="26" width="19.44140625" style="2" bestFit="1" customWidth="1"/>
    <col min="27" max="27" width="11.77734375" style="2" bestFit="1" customWidth="1"/>
    <col min="28" max="28" width="26.33203125" style="2" bestFit="1" customWidth="1"/>
    <col min="29" max="29" width="20.44140625" style="2" bestFit="1" customWidth="1"/>
    <col min="30" max="30" width="11.77734375" style="2" bestFit="1" customWidth="1"/>
    <col min="31" max="31" width="12.77734375" style="2" bestFit="1" customWidth="1"/>
    <col min="32" max="32" width="18.6640625" style="2" bestFit="1" customWidth="1"/>
    <col min="33" max="33" width="11.77734375" style="2" bestFit="1" customWidth="1"/>
    <col min="34" max="34" width="22.109375" style="2" bestFit="1" customWidth="1"/>
    <col min="35" max="35" width="8.88671875" style="2"/>
    <col min="36" max="36" width="12.44140625" style="2" bestFit="1" customWidth="1"/>
    <col min="37" max="16384" width="8.88671875" style="2"/>
  </cols>
  <sheetData>
    <row r="1" spans="1:37" s="1" customFormat="1" x14ac:dyDescent="0.3">
      <c r="A1" s="10" t="s">
        <v>0</v>
      </c>
      <c r="B1" s="10" t="s">
        <v>1</v>
      </c>
      <c r="C1" s="10" t="s">
        <v>2</v>
      </c>
      <c r="D1" s="10" t="s">
        <v>1112</v>
      </c>
      <c r="E1" s="11" t="s">
        <v>3</v>
      </c>
      <c r="F1" s="12" t="s">
        <v>4</v>
      </c>
      <c r="G1" s="1" t="s">
        <v>5</v>
      </c>
      <c r="H1" s="1" t="s">
        <v>6</v>
      </c>
      <c r="I1" s="1" t="s">
        <v>7</v>
      </c>
      <c r="J1" s="6" t="s">
        <v>8</v>
      </c>
      <c r="K1" s="1" t="s">
        <v>9</v>
      </c>
      <c r="L1" s="1" t="s">
        <v>10</v>
      </c>
      <c r="M1" s="1" t="s">
        <v>21</v>
      </c>
      <c r="N1" s="1" t="s">
        <v>22</v>
      </c>
      <c r="O1" s="1" t="s">
        <v>1117</v>
      </c>
      <c r="P1" s="1" t="s">
        <v>11</v>
      </c>
      <c r="Q1" s="1" t="s">
        <v>12</v>
      </c>
      <c r="R1" s="1" t="s">
        <v>13</v>
      </c>
      <c r="S1" s="1" t="s">
        <v>14</v>
      </c>
      <c r="T1" s="6" t="s">
        <v>15</v>
      </c>
      <c r="U1" s="1" t="s">
        <v>16</v>
      </c>
      <c r="V1" s="1" t="s">
        <v>17</v>
      </c>
      <c r="W1" s="1" t="s">
        <v>18</v>
      </c>
      <c r="X1" s="1" t="s">
        <v>16</v>
      </c>
      <c r="Y1" s="1" t="s">
        <v>19</v>
      </c>
      <c r="Z1" s="1" t="s">
        <v>20</v>
      </c>
      <c r="AA1" s="1" t="s">
        <v>16</v>
      </c>
      <c r="AB1" s="1" t="s">
        <v>1122</v>
      </c>
      <c r="AC1" s="1" t="s">
        <v>1123</v>
      </c>
      <c r="AD1" s="1" t="s">
        <v>16</v>
      </c>
      <c r="AE1" s="1" t="s">
        <v>23</v>
      </c>
      <c r="AF1" s="1" t="s">
        <v>24</v>
      </c>
      <c r="AG1" s="1" t="s">
        <v>16</v>
      </c>
    </row>
    <row r="2" spans="1:37" x14ac:dyDescent="0.3">
      <c r="A2">
        <v>100409</v>
      </c>
      <c r="B2" t="s">
        <v>25</v>
      </c>
      <c r="C2" t="s">
        <v>26</v>
      </c>
      <c r="D2" t="s">
        <v>27</v>
      </c>
      <c r="E2" s="13">
        <v>7.5</v>
      </c>
      <c r="F2" s="14">
        <f t="shared" ref="F2:F65" si="0">(E2-$AJ$5)/$AK$5</f>
        <v>0.95555555555555549</v>
      </c>
      <c r="G2" s="2">
        <v>110.16</v>
      </c>
      <c r="H2" s="2">
        <f t="shared" ref="H2:H65" si="1">(G2-$AJ$6)/$AK$6</f>
        <v>0.83782981100187015</v>
      </c>
      <c r="I2" s="2">
        <v>74.7</v>
      </c>
      <c r="J2" s="4">
        <f t="shared" ref="J2:J65" si="2">(I2-$AJ$7)/$AK$7</f>
        <v>0.59051383399209489</v>
      </c>
      <c r="K2" s="2">
        <v>1.2</v>
      </c>
      <c r="L2" s="4">
        <f t="shared" ref="L2:L65" si="3">(K2-$AJ$8)/$AK$8</f>
        <v>0.6</v>
      </c>
      <c r="M2" s="2">
        <v>27600</v>
      </c>
      <c r="N2" s="2">
        <f t="shared" ref="N2:N65" si="4">(M2-$AJ$9)/$AK$9</f>
        <v>0.12945640705360226</v>
      </c>
      <c r="O2" s="2">
        <v>0.24034106899999999</v>
      </c>
      <c r="P2" s="2">
        <f t="shared" ref="P2:P65" si="5">(O2-$AJ$11)/$AK$11</f>
        <v>0.20018911687010307</v>
      </c>
      <c r="Q2" s="2">
        <v>0.24390000000000001</v>
      </c>
      <c r="R2" s="2">
        <f t="shared" ref="R2:R65" si="6">(Q2-$AJ$12)/$AK$12</f>
        <v>0.54690214244354374</v>
      </c>
      <c r="S2" s="2">
        <f t="shared" ref="S2:S65" si="7">F2*(R2*0.5+P2*0.5)*(H2*0.35+J2*0.35+L2*0.3)</f>
        <v>0.24269319207532189</v>
      </c>
      <c r="T2" s="5">
        <f t="shared" ref="T2:T65" si="8">(S2-$AJ$10)/$AK$10</f>
        <v>0.63386977586412663</v>
      </c>
      <c r="U2" s="2" t="str">
        <f t="shared" ref="U2:U65" si="9">IF(T2&gt;0.7,"High",IF(T2&gt;0.3,"Moderate",IF(T2&gt;0.15,"Low","No Impact")))</f>
        <v>Moderate</v>
      </c>
      <c r="V2" s="2">
        <f t="shared" ref="V2:V65" si="10">F2*(R2*1)*(H2*0.35+J2*0.35+L2*0.3)</f>
        <v>0.35532319525299927</v>
      </c>
      <c r="W2" s="2">
        <f t="shared" ref="W2:W65" si="11">(V2-$AJ$13)/$AK$13</f>
        <v>0.86188414712402717</v>
      </c>
      <c r="X2" s="2" t="str">
        <f t="shared" ref="X2:X50" si="12">IF(W2&gt;0.7,"High",IF(W2&gt;0.3,"Moderate",IF(W2&gt;0.15,"Low","No Impact")))</f>
        <v>High</v>
      </c>
      <c r="Y2" s="2">
        <f t="shared" ref="Y2:Y65" si="13">F2*(P2*1)*(H2*0.35+J2*0.35+L2*0.3)</f>
        <v>0.13006318889764451</v>
      </c>
      <c r="Z2" s="2">
        <f t="shared" ref="Z2:Z65" si="14">(Y2-$AJ$14)/$AK$14</f>
        <v>0.33245188962561001</v>
      </c>
      <c r="AA2" s="2" t="str">
        <f t="shared" ref="AA2:AA65" si="15">IF(Z2&gt;0.7,"High",IF(Z2&gt;0.3,"Moderate",IF(Z2&gt;0.15,"Low","No Impact")))</f>
        <v>Moderate</v>
      </c>
      <c r="AB2" s="2">
        <f t="shared" ref="AB2:AB65" si="16">F2*(R2*0.35+P2*0.3+N2*0.35)*(H2*0.35+J2*0.35+L2*0.3)</f>
        <v>0.19281988704156089</v>
      </c>
      <c r="AC2" s="2">
        <f t="shared" ref="AC2:AC65" si="17">(AB2-$AJ$15)/$AK$15</f>
        <v>0.70057222218166648</v>
      </c>
      <c r="AD2" s="2" t="str">
        <f t="shared" ref="AD2:AD65" si="18">IF(AC2&gt;0.7,"High",IF(AC2&gt;0.3,"Moderate",IF(AC2&gt;0.15,"Low","No Impact")))</f>
        <v>High</v>
      </c>
      <c r="AE2" s="2">
        <f t="shared" ref="AE2:AE65" si="19">F2*(N2*1)*(H2*0.35+J2*0.35+L2*0.3)</f>
        <v>8.4108034382050889E-2</v>
      </c>
      <c r="AF2" s="2">
        <f t="shared" ref="AF2:AF65" si="20">(AE2-$AJ$16)/$AK$16</f>
        <v>0.64074473614373362</v>
      </c>
      <c r="AG2" s="2" t="str">
        <f t="shared" ref="AG2:AG39" si="21">IF(AF2&gt;0.7,"High",IF(AF2&gt;0.3,"Moderate",IF(AF2&gt;0.15,"Low","No Impact")))</f>
        <v>Moderate</v>
      </c>
    </row>
    <row r="3" spans="1:37" x14ac:dyDescent="0.3">
      <c r="A3">
        <v>100419</v>
      </c>
      <c r="B3" t="s">
        <v>28</v>
      </c>
      <c r="C3" t="s">
        <v>26</v>
      </c>
      <c r="D3" t="s">
        <v>29</v>
      </c>
      <c r="E3" s="13">
        <v>5.6</v>
      </c>
      <c r="F3" s="14">
        <f t="shared" si="0"/>
        <v>0.53333333333333321</v>
      </c>
      <c r="G3" s="2">
        <v>81.87</v>
      </c>
      <c r="H3" s="2">
        <f t="shared" si="1"/>
        <v>0.53218060069160433</v>
      </c>
      <c r="I3" s="2">
        <v>62.3</v>
      </c>
      <c r="J3" s="4">
        <f t="shared" si="2"/>
        <v>0.49249011857707509</v>
      </c>
      <c r="K3" s="2">
        <v>1.2</v>
      </c>
      <c r="L3" s="4">
        <f t="shared" si="3"/>
        <v>0.6</v>
      </c>
      <c r="M3" s="2">
        <v>10180</v>
      </c>
      <c r="N3" s="2">
        <f t="shared" si="4"/>
        <v>4.7035055097396299E-2</v>
      </c>
      <c r="O3" s="2">
        <v>0.293002027</v>
      </c>
      <c r="P3" s="2">
        <f t="shared" si="5"/>
        <v>0.26102253604754067</v>
      </c>
      <c r="Q3" s="2">
        <v>0.2737</v>
      </c>
      <c r="R3" s="2">
        <f t="shared" si="6"/>
        <v>0.63317892298784018</v>
      </c>
      <c r="S3" s="2">
        <f t="shared" si="7"/>
        <v>0.12843946157244762</v>
      </c>
      <c r="T3" s="5">
        <f t="shared" si="8"/>
        <v>0.33546014217724324</v>
      </c>
      <c r="U3" s="2" t="str">
        <f t="shared" si="9"/>
        <v>Moderate</v>
      </c>
      <c r="V3" s="2">
        <f t="shared" si="10"/>
        <v>0.18189449172965994</v>
      </c>
      <c r="W3" s="2">
        <f t="shared" si="11"/>
        <v>0.44120952689100601</v>
      </c>
      <c r="X3" s="2" t="str">
        <f t="shared" si="12"/>
        <v>Moderate</v>
      </c>
      <c r="Y3" s="2">
        <f t="shared" si="13"/>
        <v>7.4984431415235281E-2</v>
      </c>
      <c r="Z3" s="2">
        <f t="shared" si="14"/>
        <v>0.19166619031703899</v>
      </c>
      <c r="AA3" s="2" t="str">
        <f t="shared" si="15"/>
        <v>Low</v>
      </c>
      <c r="AB3" s="2">
        <f t="shared" si="16"/>
        <v>9.0887548372073509E-2</v>
      </c>
      <c r="AC3" s="2">
        <f t="shared" si="17"/>
        <v>0.33022160062744427</v>
      </c>
      <c r="AD3" s="2" t="str">
        <f t="shared" si="18"/>
        <v>Moderate</v>
      </c>
      <c r="AE3" s="2">
        <f t="shared" si="19"/>
        <v>1.3511848120348367E-2</v>
      </c>
      <c r="AF3" s="2">
        <f t="shared" si="20"/>
        <v>0.10293482212841257</v>
      </c>
      <c r="AG3" s="2" t="s">
        <v>1175</v>
      </c>
    </row>
    <row r="4" spans="1:37" x14ac:dyDescent="0.3">
      <c r="A4">
        <v>100428</v>
      </c>
      <c r="B4" t="s">
        <v>30</v>
      </c>
      <c r="C4" t="s">
        <v>26</v>
      </c>
      <c r="D4" t="s">
        <v>31</v>
      </c>
      <c r="E4" s="13">
        <v>7.5</v>
      </c>
      <c r="F4" s="14">
        <f t="shared" si="0"/>
        <v>0.95555555555555549</v>
      </c>
      <c r="G4" s="2">
        <v>104.79</v>
      </c>
      <c r="H4" s="2">
        <f t="shared" si="1"/>
        <v>0.77981156217309233</v>
      </c>
      <c r="I4" s="2">
        <v>67.7</v>
      </c>
      <c r="J4" s="4">
        <f t="shared" si="2"/>
        <v>0.53517786561264824</v>
      </c>
      <c r="K4" s="2">
        <v>1.2</v>
      </c>
      <c r="L4" s="4">
        <f t="shared" si="3"/>
        <v>0.6</v>
      </c>
      <c r="M4" s="2">
        <v>41704</v>
      </c>
      <c r="N4" s="2">
        <f t="shared" si="4"/>
        <v>0.19618836732859246</v>
      </c>
      <c r="O4" s="2">
        <v>0.31587732099999999</v>
      </c>
      <c r="P4" s="2">
        <f t="shared" si="5"/>
        <v>0.28744785000990958</v>
      </c>
      <c r="Q4" s="2">
        <v>0.28070000000000001</v>
      </c>
      <c r="R4" s="2">
        <f t="shared" si="6"/>
        <v>0.65344528083381592</v>
      </c>
      <c r="S4" s="2">
        <f t="shared" si="7"/>
        <v>0.28781493171947869</v>
      </c>
      <c r="T4" s="5">
        <f t="shared" si="8"/>
        <v>0.75171942277949821</v>
      </c>
      <c r="U4" s="2" t="str">
        <f t="shared" si="9"/>
        <v>High</v>
      </c>
      <c r="V4" s="2">
        <f t="shared" si="10"/>
        <v>0.39977188209877029</v>
      </c>
      <c r="W4" s="2">
        <f t="shared" si="11"/>
        <v>0.96970040867028751</v>
      </c>
      <c r="X4" s="2" t="str">
        <f t="shared" si="12"/>
        <v>High</v>
      </c>
      <c r="Y4" s="2">
        <f t="shared" si="13"/>
        <v>0.17585798134018718</v>
      </c>
      <c r="Z4" s="2">
        <f t="shared" si="14"/>
        <v>0.44950703344894927</v>
      </c>
      <c r="AA4" s="2" t="str">
        <f t="shared" si="15"/>
        <v>Moderate</v>
      </c>
      <c r="AB4" s="2">
        <f t="shared" si="16"/>
        <v>0.23468674396506783</v>
      </c>
      <c r="AC4" s="2">
        <f t="shared" si="17"/>
        <v>0.85268701407728209</v>
      </c>
      <c r="AD4" s="2" t="str">
        <f t="shared" si="18"/>
        <v>High</v>
      </c>
      <c r="AE4" s="2">
        <f t="shared" si="19"/>
        <v>0.12002625950983453</v>
      </c>
      <c r="AF4" s="2">
        <f t="shared" si="20"/>
        <v>0.91437393044534665</v>
      </c>
      <c r="AG4" s="2" t="str">
        <f t="shared" si="21"/>
        <v>High</v>
      </c>
      <c r="AI4" s="1" t="s">
        <v>1113</v>
      </c>
      <c r="AJ4" s="1" t="s">
        <v>1114</v>
      </c>
      <c r="AK4" s="1" t="s">
        <v>1115</v>
      </c>
    </row>
    <row r="5" spans="1:37" x14ac:dyDescent="0.3">
      <c r="A5">
        <v>100447</v>
      </c>
      <c r="B5" t="s">
        <v>32</v>
      </c>
      <c r="C5" t="s">
        <v>26</v>
      </c>
      <c r="D5" t="s">
        <v>33</v>
      </c>
      <c r="E5" s="13">
        <v>5.6</v>
      </c>
      <c r="F5" s="14">
        <f t="shared" si="0"/>
        <v>0.53333333333333321</v>
      </c>
      <c r="G5" s="2">
        <v>93.85</v>
      </c>
      <c r="H5" s="2">
        <f t="shared" si="1"/>
        <v>0.6616142358813174</v>
      </c>
      <c r="I5" s="2">
        <v>56</v>
      </c>
      <c r="J5" s="4">
        <f t="shared" si="2"/>
        <v>0.44268774703557312</v>
      </c>
      <c r="K5" s="2">
        <v>0</v>
      </c>
      <c r="L5" s="4">
        <f t="shared" si="3"/>
        <v>0</v>
      </c>
      <c r="M5" s="2">
        <v>7682</v>
      </c>
      <c r="N5" s="2">
        <f t="shared" si="4"/>
        <v>3.521596570666137E-2</v>
      </c>
      <c r="O5" s="2">
        <v>0.28942751700000002</v>
      </c>
      <c r="P5" s="2">
        <f t="shared" si="5"/>
        <v>0.25689329735834054</v>
      </c>
      <c r="Q5" s="2">
        <v>0.28239999999999998</v>
      </c>
      <c r="R5" s="2">
        <f t="shared" si="6"/>
        <v>0.65836711059640995</v>
      </c>
      <c r="S5" s="2">
        <f t="shared" si="7"/>
        <v>9.4334229116376941E-2</v>
      </c>
      <c r="T5" s="5">
        <f t="shared" si="8"/>
        <v>0.24638357654365081</v>
      </c>
      <c r="U5" s="2" t="str">
        <f t="shared" si="9"/>
        <v>Low</v>
      </c>
      <c r="V5" s="2">
        <f t="shared" si="10"/>
        <v>0.13571340640085744</v>
      </c>
      <c r="W5" s="2">
        <f t="shared" si="11"/>
        <v>0.32919110007950475</v>
      </c>
      <c r="X5" s="2" t="str">
        <f t="shared" si="12"/>
        <v>Moderate</v>
      </c>
      <c r="Y5" s="2">
        <f t="shared" si="13"/>
        <v>5.2955051831896437E-2</v>
      </c>
      <c r="Z5" s="2">
        <f t="shared" si="14"/>
        <v>0.13535733819805587</v>
      </c>
      <c r="AA5" s="2" t="str">
        <f t="shared" si="15"/>
        <v>No Impact</v>
      </c>
      <c r="AB5" s="2">
        <f t="shared" si="16"/>
        <v>6.5926959759535372E-2</v>
      </c>
      <c r="AC5" s="2">
        <f t="shared" si="17"/>
        <v>0.23953232941404962</v>
      </c>
      <c r="AD5" s="2" t="str">
        <f t="shared" si="18"/>
        <v>Low</v>
      </c>
      <c r="AE5" s="2">
        <f t="shared" si="19"/>
        <v>7.2592913419038804E-3</v>
      </c>
      <c r="AF5" s="2">
        <f t="shared" si="20"/>
        <v>5.5302121249564191E-2</v>
      </c>
      <c r="AG5" s="2" t="s">
        <v>1176</v>
      </c>
      <c r="AH5" s="1" t="s">
        <v>1159</v>
      </c>
      <c r="AI5" s="3">
        <f>MAX(E2:E557)</f>
        <v>7.7</v>
      </c>
      <c r="AJ5" s="2">
        <f>MIN((E2:E557))</f>
        <v>3.2</v>
      </c>
      <c r="AK5" s="3">
        <f t="shared" ref="AK5:AK16" si="22">AI5-AJ5</f>
        <v>4.5</v>
      </c>
    </row>
    <row r="6" spans="1:37" x14ac:dyDescent="0.3">
      <c r="A6">
        <v>100485</v>
      </c>
      <c r="B6" t="s">
        <v>34</v>
      </c>
      <c r="C6" t="s">
        <v>26</v>
      </c>
      <c r="D6" t="s">
        <v>35</v>
      </c>
      <c r="E6" s="13">
        <v>7.5</v>
      </c>
      <c r="F6" s="14">
        <f t="shared" si="0"/>
        <v>0.95555555555555549</v>
      </c>
      <c r="G6" s="2">
        <v>93.41</v>
      </c>
      <c r="H6" s="2">
        <f t="shared" si="1"/>
        <v>0.6568604128860358</v>
      </c>
      <c r="I6" s="2">
        <v>79.400000000000006</v>
      </c>
      <c r="J6" s="4">
        <f t="shared" si="2"/>
        <v>0.62766798418972336</v>
      </c>
      <c r="K6" s="2">
        <v>1.2</v>
      </c>
      <c r="L6" s="4">
        <f t="shared" si="3"/>
        <v>0.6</v>
      </c>
      <c r="M6" s="2">
        <v>28660</v>
      </c>
      <c r="N6" s="2">
        <f t="shared" si="4"/>
        <v>0.13447171320019116</v>
      </c>
      <c r="O6" s="2">
        <v>0.48997155599999997</v>
      </c>
      <c r="P6" s="2">
        <f t="shared" si="5"/>
        <v>0.48855979282967982</v>
      </c>
      <c r="Q6" s="2">
        <v>0.26979999999999998</v>
      </c>
      <c r="R6" s="2">
        <f t="shared" si="6"/>
        <v>0.62188766647365379</v>
      </c>
      <c r="S6" s="2">
        <f t="shared" si="7"/>
        <v>0.3340244758198998</v>
      </c>
      <c r="T6" s="5">
        <f t="shared" si="8"/>
        <v>0.87241021394362261</v>
      </c>
      <c r="U6" s="2" t="str">
        <f t="shared" si="9"/>
        <v>High</v>
      </c>
      <c r="V6" s="2">
        <f t="shared" si="10"/>
        <v>0.37412972594497129</v>
      </c>
      <c r="W6" s="2">
        <f t="shared" si="11"/>
        <v>0.90750191394127888</v>
      </c>
      <c r="X6" s="2" t="str">
        <f t="shared" si="12"/>
        <v>High</v>
      </c>
      <c r="Y6" s="2">
        <f t="shared" si="13"/>
        <v>0.29391922569482848</v>
      </c>
      <c r="Z6" s="2">
        <f t="shared" si="14"/>
        <v>0.75128099508954538</v>
      </c>
      <c r="AA6" s="2" t="str">
        <f t="shared" si="15"/>
        <v>High</v>
      </c>
      <c r="AB6" s="2">
        <f t="shared" si="16"/>
        <v>0.24743569508931307</v>
      </c>
      <c r="AC6" s="2">
        <f t="shared" si="17"/>
        <v>0.89900776011979378</v>
      </c>
      <c r="AD6" s="2" t="str">
        <f t="shared" si="18"/>
        <v>High</v>
      </c>
      <c r="AE6" s="2">
        <f t="shared" si="19"/>
        <v>8.0898638000356085E-2</v>
      </c>
      <c r="AF6" s="2">
        <f t="shared" si="20"/>
        <v>0.61629518322196741</v>
      </c>
      <c r="AG6" s="2" t="str">
        <f t="shared" si="21"/>
        <v>Moderate</v>
      </c>
      <c r="AH6" s="1" t="s">
        <v>5</v>
      </c>
      <c r="AI6" s="2">
        <f>MAX(G1:G557)</f>
        <v>125.17</v>
      </c>
      <c r="AJ6" s="2">
        <f>MIN(G1:G557)</f>
        <v>32.612914799999999</v>
      </c>
      <c r="AK6" s="2">
        <f t="shared" si="22"/>
        <v>92.557085200000003</v>
      </c>
    </row>
    <row r="7" spans="1:37" x14ac:dyDescent="0.3">
      <c r="A7" s="9">
        <v>100490</v>
      </c>
      <c r="B7" s="9" t="s">
        <v>1164</v>
      </c>
      <c r="C7" s="9" t="s">
        <v>26</v>
      </c>
      <c r="D7" s="9" t="s">
        <v>1169</v>
      </c>
      <c r="E7" s="15">
        <v>7.5</v>
      </c>
      <c r="F7" s="14">
        <f t="shared" si="0"/>
        <v>0.95555555555555549</v>
      </c>
      <c r="G7" s="2">
        <v>110.16</v>
      </c>
      <c r="H7" s="2">
        <f t="shared" si="1"/>
        <v>0.83782981100187015</v>
      </c>
      <c r="I7" s="2">
        <v>74.7</v>
      </c>
      <c r="J7" s="4">
        <f t="shared" si="2"/>
        <v>0.59051383399209489</v>
      </c>
      <c r="K7" s="2">
        <v>1.2</v>
      </c>
      <c r="L7" s="4">
        <f t="shared" si="3"/>
        <v>0.6</v>
      </c>
      <c r="M7" s="2">
        <v>15422</v>
      </c>
      <c r="N7" s="2">
        <f t="shared" si="4"/>
        <v>7.1837163418546221E-2</v>
      </c>
      <c r="O7" s="2">
        <v>0.48997155599999997</v>
      </c>
      <c r="P7" s="2">
        <f t="shared" si="5"/>
        <v>0.48855979282967982</v>
      </c>
      <c r="Q7" s="2">
        <v>0.26979999999999998</v>
      </c>
      <c r="R7" s="2">
        <f t="shared" si="6"/>
        <v>0.62188766647365379</v>
      </c>
      <c r="S7" s="2">
        <f t="shared" si="7"/>
        <v>0.36072974375024158</v>
      </c>
      <c r="T7" s="5">
        <f t="shared" si="8"/>
        <v>0.94215943950963499</v>
      </c>
      <c r="U7" s="2" t="str">
        <f t="shared" si="9"/>
        <v>High</v>
      </c>
      <c r="V7" s="2">
        <f t="shared" si="10"/>
        <v>0.40404140995417809</v>
      </c>
      <c r="W7" s="2">
        <f t="shared" si="11"/>
        <v>0.98005672208703554</v>
      </c>
      <c r="X7" s="2" t="str">
        <f t="shared" si="12"/>
        <v>High</v>
      </c>
      <c r="Y7" s="2">
        <f t="shared" si="13"/>
        <v>0.31741807754630513</v>
      </c>
      <c r="Z7" s="2">
        <f t="shared" si="14"/>
        <v>0.8113459355870728</v>
      </c>
      <c r="AA7" s="2" t="str">
        <f t="shared" si="15"/>
        <v>High</v>
      </c>
      <c r="AB7" s="2">
        <f t="shared" si="16"/>
        <v>0.25297536867241571</v>
      </c>
      <c r="AC7" s="2">
        <f t="shared" si="17"/>
        <v>0.91913504829437298</v>
      </c>
      <c r="AD7" s="2" t="str">
        <f t="shared" si="18"/>
        <v>High</v>
      </c>
      <c r="AE7" s="2">
        <f t="shared" si="19"/>
        <v>4.6672719784462503E-2</v>
      </c>
      <c r="AF7" s="2">
        <f t="shared" si="20"/>
        <v>0.35555817875334628</v>
      </c>
      <c r="AG7" s="2" t="str">
        <f t="shared" si="21"/>
        <v>Moderate</v>
      </c>
      <c r="AH7" s="1" t="s">
        <v>7</v>
      </c>
      <c r="AI7" s="2">
        <f>MAX(I1:I557)</f>
        <v>126.5</v>
      </c>
      <c r="AJ7" s="2">
        <f>MIN(K1:K557)</f>
        <v>0</v>
      </c>
      <c r="AK7" s="2">
        <f t="shared" si="22"/>
        <v>126.5</v>
      </c>
    </row>
    <row r="8" spans="1:37" x14ac:dyDescent="0.3">
      <c r="A8">
        <v>100602</v>
      </c>
      <c r="B8" t="s">
        <v>36</v>
      </c>
      <c r="C8" t="s">
        <v>37</v>
      </c>
      <c r="D8" t="s">
        <v>38</v>
      </c>
      <c r="E8" s="13">
        <v>6.7</v>
      </c>
      <c r="F8" s="14">
        <f t="shared" si="0"/>
        <v>0.77777777777777779</v>
      </c>
      <c r="G8" s="2">
        <v>69.83</v>
      </c>
      <c r="H8" s="2">
        <f t="shared" si="1"/>
        <v>0.40209871691162546</v>
      </c>
      <c r="I8" s="2">
        <v>35.9</v>
      </c>
      <c r="J8" s="4">
        <f t="shared" si="2"/>
        <v>0.28379446640316203</v>
      </c>
      <c r="K8" s="2">
        <v>0</v>
      </c>
      <c r="L8" s="4">
        <f t="shared" si="3"/>
        <v>0</v>
      </c>
      <c r="M8" s="2">
        <v>14078</v>
      </c>
      <c r="N8" s="2">
        <f t="shared" si="4"/>
        <v>6.5478133738342964E-2</v>
      </c>
      <c r="O8" s="2">
        <v>0.32019587300000002</v>
      </c>
      <c r="P8" s="2">
        <f t="shared" si="5"/>
        <v>0.29243659867748151</v>
      </c>
      <c r="Q8" s="2">
        <v>0.28499999999999998</v>
      </c>
      <c r="R8" s="2">
        <f t="shared" si="6"/>
        <v>0.66589461493920088</v>
      </c>
      <c r="S8" s="2">
        <f t="shared" si="7"/>
        <v>8.9467581922488951E-2</v>
      </c>
      <c r="T8" s="5">
        <f t="shared" si="8"/>
        <v>0.23367279327189688</v>
      </c>
      <c r="U8" s="2" t="str">
        <f t="shared" si="9"/>
        <v>Low</v>
      </c>
      <c r="V8" s="2">
        <f t="shared" si="10"/>
        <v>0.12433275712471296</v>
      </c>
      <c r="W8" s="2">
        <f t="shared" si="11"/>
        <v>0.30158580629027343</v>
      </c>
      <c r="X8" s="2" t="str">
        <f t="shared" si="12"/>
        <v>Moderate</v>
      </c>
      <c r="Y8" s="2">
        <f t="shared" si="13"/>
        <v>5.4602406720264951E-2</v>
      </c>
      <c r="Z8" s="2">
        <f t="shared" si="14"/>
        <v>0.13956810874861567</v>
      </c>
      <c r="AA8" s="2" t="str">
        <f t="shared" si="15"/>
        <v>No Impact</v>
      </c>
      <c r="AB8" s="2">
        <f t="shared" si="16"/>
        <v>6.4176207819852657E-2</v>
      </c>
      <c r="AC8" s="2">
        <f t="shared" si="17"/>
        <v>0.2331713248740562</v>
      </c>
      <c r="AD8" s="2" t="str">
        <f t="shared" si="18"/>
        <v>Low</v>
      </c>
      <c r="AE8" s="2">
        <f t="shared" si="19"/>
        <v>1.2225773743210381E-2</v>
      </c>
      <c r="AF8" s="2">
        <f t="shared" si="20"/>
        <v>9.3137358741058093E-2</v>
      </c>
      <c r="AG8" s="2" t="s">
        <v>1175</v>
      </c>
      <c r="AH8" s="1" t="s">
        <v>9</v>
      </c>
      <c r="AI8" s="2">
        <f>MAX(K1:K547)</f>
        <v>2</v>
      </c>
      <c r="AJ8" s="2">
        <f>MIN(K1:K557)</f>
        <v>0</v>
      </c>
      <c r="AK8" s="2">
        <f t="shared" si="22"/>
        <v>2</v>
      </c>
    </row>
    <row r="9" spans="1:37" x14ac:dyDescent="0.3">
      <c r="A9">
        <v>100603</v>
      </c>
      <c r="B9" t="s">
        <v>39</v>
      </c>
      <c r="C9" t="s">
        <v>37</v>
      </c>
      <c r="D9" t="s">
        <v>40</v>
      </c>
      <c r="E9" s="13">
        <v>6.7</v>
      </c>
      <c r="F9" s="14">
        <f t="shared" si="0"/>
        <v>0.77777777777777779</v>
      </c>
      <c r="G9" s="2">
        <v>79.180000000000007</v>
      </c>
      <c r="H9" s="2">
        <f t="shared" si="1"/>
        <v>0.50311745556135989</v>
      </c>
      <c r="I9" s="2">
        <v>37.200000000000003</v>
      </c>
      <c r="J9" s="4">
        <f t="shared" si="2"/>
        <v>0.29407114624505931</v>
      </c>
      <c r="K9" s="2">
        <v>0</v>
      </c>
      <c r="L9" s="4">
        <f t="shared" si="3"/>
        <v>0</v>
      </c>
      <c r="M9" s="2">
        <v>12897</v>
      </c>
      <c r="N9" s="2">
        <f t="shared" si="4"/>
        <v>5.9890325663700068E-2</v>
      </c>
      <c r="O9" s="2">
        <v>0.81442365999999999</v>
      </c>
      <c r="P9" s="2">
        <f t="shared" si="5"/>
        <v>0.86336366262698905</v>
      </c>
      <c r="Q9" s="2">
        <v>0.30549999999999999</v>
      </c>
      <c r="R9" s="2">
        <f t="shared" si="6"/>
        <v>0.72524609148812968</v>
      </c>
      <c r="S9" s="2">
        <f t="shared" si="7"/>
        <v>0.17237404957292912</v>
      </c>
      <c r="T9" s="5">
        <f t="shared" si="8"/>
        <v>0.45020916834648511</v>
      </c>
      <c r="U9" s="2" t="str">
        <f t="shared" si="9"/>
        <v>Moderate</v>
      </c>
      <c r="V9" s="2">
        <f t="shared" si="10"/>
        <v>0.1573874331350591</v>
      </c>
      <c r="W9" s="2">
        <f t="shared" si="11"/>
        <v>0.38176436379016615</v>
      </c>
      <c r="X9" s="2" t="str">
        <f t="shared" si="12"/>
        <v>Moderate</v>
      </c>
      <c r="Y9" s="2">
        <f t="shared" si="13"/>
        <v>0.18736066601079915</v>
      </c>
      <c r="Z9" s="2">
        <f t="shared" si="14"/>
        <v>0.47890881336011165</v>
      </c>
      <c r="AA9" s="2" t="str">
        <f t="shared" si="15"/>
        <v>Moderate</v>
      </c>
      <c r="AB9" s="2">
        <f t="shared" si="16"/>
        <v>0.11584273266365169</v>
      </c>
      <c r="AC9" s="2">
        <f t="shared" si="17"/>
        <v>0.42089123632915815</v>
      </c>
      <c r="AD9" s="2" t="str">
        <f t="shared" si="18"/>
        <v>Moderate</v>
      </c>
      <c r="AE9" s="2">
        <f t="shared" si="19"/>
        <v>1.2996946466117956E-2</v>
      </c>
      <c r="AF9" s="2">
        <f t="shared" si="20"/>
        <v>9.9012241758965211E-2</v>
      </c>
      <c r="AG9" s="2" t="s">
        <v>1175</v>
      </c>
      <c r="AH9" s="1" t="s">
        <v>1121</v>
      </c>
      <c r="AI9" s="7">
        <f>MAX(M1:M557)</f>
        <v>211592</v>
      </c>
      <c r="AJ9" s="7">
        <f>MIN(M1:M557)</f>
        <v>239</v>
      </c>
      <c r="AK9" s="7">
        <f t="shared" si="22"/>
        <v>211353</v>
      </c>
    </row>
    <row r="10" spans="1:37" x14ac:dyDescent="0.3">
      <c r="A10">
        <v>100607</v>
      </c>
      <c r="B10" t="s">
        <v>41</v>
      </c>
      <c r="C10" t="s">
        <v>37</v>
      </c>
      <c r="D10" t="s">
        <v>42</v>
      </c>
      <c r="E10" s="13">
        <v>6.7</v>
      </c>
      <c r="F10" s="14">
        <f t="shared" si="0"/>
        <v>0.77777777777777779</v>
      </c>
      <c r="G10" s="2">
        <v>83.04</v>
      </c>
      <c r="H10" s="2">
        <f t="shared" si="1"/>
        <v>0.54482144820178502</v>
      </c>
      <c r="I10" s="2">
        <v>42</v>
      </c>
      <c r="J10" s="4">
        <f t="shared" si="2"/>
        <v>0.33201581027667987</v>
      </c>
      <c r="K10" s="2">
        <v>0</v>
      </c>
      <c r="L10" s="4">
        <f t="shared" si="3"/>
        <v>0</v>
      </c>
      <c r="M10" s="2">
        <v>24771</v>
      </c>
      <c r="N10" s="2">
        <f t="shared" si="4"/>
        <v>0.11607121734728157</v>
      </c>
      <c r="O10" s="2">
        <v>0.68285429799999997</v>
      </c>
      <c r="P10" s="2">
        <f t="shared" si="5"/>
        <v>0.71137603358586854</v>
      </c>
      <c r="Q10" s="2">
        <v>0.29620000000000002</v>
      </c>
      <c r="R10" s="2">
        <f t="shared" si="6"/>
        <v>0.69832078749276216</v>
      </c>
      <c r="S10" s="2">
        <f t="shared" si="7"/>
        <v>0.16824350027260912</v>
      </c>
      <c r="T10" s="5">
        <f t="shared" si="8"/>
        <v>0.43942093676569571</v>
      </c>
      <c r="U10" s="2" t="str">
        <f t="shared" si="9"/>
        <v>Moderate</v>
      </c>
      <c r="V10" s="2">
        <f t="shared" si="10"/>
        <v>0.16668539198522297</v>
      </c>
      <c r="W10" s="2">
        <f t="shared" si="11"/>
        <v>0.4043178121454355</v>
      </c>
      <c r="X10" s="2" t="str">
        <f t="shared" si="12"/>
        <v>Moderate</v>
      </c>
      <c r="Y10" s="2">
        <f t="shared" si="13"/>
        <v>0.16980160855999527</v>
      </c>
      <c r="Z10" s="2">
        <f t="shared" si="14"/>
        <v>0.43402646133537121</v>
      </c>
      <c r="AA10" s="2" t="str">
        <f t="shared" si="15"/>
        <v>Moderate</v>
      </c>
      <c r="AB10" s="2">
        <f t="shared" si="16"/>
        <v>0.11897731971460929</v>
      </c>
      <c r="AC10" s="2">
        <f t="shared" si="17"/>
        <v>0.43228012701675567</v>
      </c>
      <c r="AD10" s="2" t="str">
        <f t="shared" si="18"/>
        <v>Moderate</v>
      </c>
      <c r="AE10" s="2">
        <f t="shared" si="19"/>
        <v>2.7705571290807619E-2</v>
      </c>
      <c r="AF10" s="2">
        <f t="shared" si="20"/>
        <v>0.21106424727277118</v>
      </c>
      <c r="AG10" s="2" t="s">
        <v>1175</v>
      </c>
      <c r="AH10" s="1" t="s">
        <v>1116</v>
      </c>
      <c r="AI10" s="4">
        <f>MAX(S2:S547)</f>
        <v>0.38287547587273585</v>
      </c>
      <c r="AJ10" s="4">
        <f>MIN(S2:S547)</f>
        <v>0</v>
      </c>
      <c r="AK10" s="4">
        <f t="shared" si="22"/>
        <v>0.38287547587273585</v>
      </c>
    </row>
    <row r="11" spans="1:37" x14ac:dyDescent="0.3">
      <c r="A11">
        <v>100610</v>
      </c>
      <c r="B11" t="s">
        <v>43</v>
      </c>
      <c r="C11" t="s">
        <v>37</v>
      </c>
      <c r="D11" t="s">
        <v>44</v>
      </c>
      <c r="E11" s="13">
        <v>6.7</v>
      </c>
      <c r="F11" s="14">
        <f t="shared" si="0"/>
        <v>0.77777777777777779</v>
      </c>
      <c r="G11" s="2">
        <v>76.41</v>
      </c>
      <c r="H11" s="2">
        <f t="shared" si="1"/>
        <v>0.47318997897742782</v>
      </c>
      <c r="I11" s="2">
        <v>44.8</v>
      </c>
      <c r="J11" s="4">
        <f t="shared" si="2"/>
        <v>0.35415019762845845</v>
      </c>
      <c r="K11" s="2">
        <v>0</v>
      </c>
      <c r="L11" s="4">
        <f t="shared" si="3"/>
        <v>0</v>
      </c>
      <c r="M11" s="2">
        <v>9050</v>
      </c>
      <c r="N11" s="2">
        <f t="shared" si="4"/>
        <v>4.1688549488296832E-2</v>
      </c>
      <c r="O11" s="2">
        <v>0.40241617600000001</v>
      </c>
      <c r="P11" s="2">
        <f t="shared" si="5"/>
        <v>0.38741668159384107</v>
      </c>
      <c r="Q11" s="2">
        <v>0.308</v>
      </c>
      <c r="R11" s="2">
        <f t="shared" si="6"/>
        <v>0.73248407643312108</v>
      </c>
      <c r="S11" s="2">
        <f t="shared" si="7"/>
        <v>0.1261122379317432</v>
      </c>
      <c r="T11" s="5">
        <f t="shared" si="8"/>
        <v>0.32938186402323061</v>
      </c>
      <c r="U11" s="2" t="str">
        <f t="shared" si="9"/>
        <v>Moderate</v>
      </c>
      <c r="V11" s="2">
        <f t="shared" si="10"/>
        <v>0.1649703430705651</v>
      </c>
      <c r="W11" s="2">
        <f t="shared" si="11"/>
        <v>0.40015773058916843</v>
      </c>
      <c r="X11" s="2" t="str">
        <f t="shared" si="12"/>
        <v>Moderate</v>
      </c>
      <c r="Y11" s="2">
        <f t="shared" si="13"/>
        <v>8.7254132792921282E-2</v>
      </c>
      <c r="Z11" s="2">
        <f t="shared" si="14"/>
        <v>0.22302852613800497</v>
      </c>
      <c r="AA11" s="2" t="str">
        <f t="shared" si="15"/>
        <v>Low</v>
      </c>
      <c r="AB11" s="2">
        <f t="shared" si="16"/>
        <v>8.720204876822947E-2</v>
      </c>
      <c r="AC11" s="2">
        <f t="shared" si="17"/>
        <v>0.31683108014260369</v>
      </c>
      <c r="AD11" s="2" t="str">
        <f t="shared" si="18"/>
        <v>Moderate</v>
      </c>
      <c r="AE11" s="2">
        <f t="shared" si="19"/>
        <v>9.3891110161580318E-3</v>
      </c>
      <c r="AF11" s="2">
        <f t="shared" si="20"/>
        <v>7.1527333920863245E-2</v>
      </c>
      <c r="AG11" s="2" t="s">
        <v>1175</v>
      </c>
      <c r="AH11" s="1" t="s">
        <v>1117</v>
      </c>
      <c r="AI11" s="2">
        <f>MAX(O1:O557)</f>
        <v>0.93270404799999995</v>
      </c>
      <c r="AJ11" s="2">
        <f>MIN(O1:O557)</f>
        <v>6.7045685999999993E-2</v>
      </c>
      <c r="AK11" s="2">
        <f t="shared" si="22"/>
        <v>0.86565836200000001</v>
      </c>
    </row>
    <row r="12" spans="1:37" x14ac:dyDescent="0.3">
      <c r="A12">
        <v>100632</v>
      </c>
      <c r="B12" t="s">
        <v>45</v>
      </c>
      <c r="C12" t="s">
        <v>37</v>
      </c>
      <c r="D12" t="s">
        <v>46</v>
      </c>
      <c r="E12" s="13">
        <v>6.7</v>
      </c>
      <c r="F12" s="14">
        <f t="shared" si="0"/>
        <v>0.77777777777777779</v>
      </c>
      <c r="G12" s="2">
        <v>69.83</v>
      </c>
      <c r="H12" s="2">
        <f t="shared" si="1"/>
        <v>0.40209871691162546</v>
      </c>
      <c r="I12" s="2">
        <v>32.799999999999997</v>
      </c>
      <c r="J12" s="4">
        <f t="shared" si="2"/>
        <v>0.25928853754940712</v>
      </c>
      <c r="K12" s="2">
        <v>0</v>
      </c>
      <c r="L12" s="4">
        <f t="shared" si="3"/>
        <v>0</v>
      </c>
      <c r="M12" s="2">
        <v>26617</v>
      </c>
      <c r="N12" s="2">
        <f t="shared" si="4"/>
        <v>0.12480542031577503</v>
      </c>
      <c r="O12" s="2">
        <v>0.77571899499999997</v>
      </c>
      <c r="P12" s="2">
        <f t="shared" si="5"/>
        <v>0.8186524154433108</v>
      </c>
      <c r="Q12" s="2">
        <v>0.29970000000000002</v>
      </c>
      <c r="R12" s="2">
        <f t="shared" si="6"/>
        <v>0.70845396641574998</v>
      </c>
      <c r="S12" s="2">
        <f t="shared" si="7"/>
        <v>0.13747340600337937</v>
      </c>
      <c r="T12" s="5">
        <f t="shared" si="8"/>
        <v>0.35905513585068116</v>
      </c>
      <c r="U12" s="2" t="str">
        <f t="shared" si="9"/>
        <v>Moderate</v>
      </c>
      <c r="V12" s="2">
        <f t="shared" si="10"/>
        <v>0.1275531042457074</v>
      </c>
      <c r="W12" s="2">
        <f t="shared" si="11"/>
        <v>0.3093971908801405</v>
      </c>
      <c r="X12" s="2" t="str">
        <f t="shared" si="12"/>
        <v>Moderate</v>
      </c>
      <c r="Y12" s="2">
        <f t="shared" si="13"/>
        <v>0.1473937077610514</v>
      </c>
      <c r="Z12" s="2">
        <f t="shared" si="14"/>
        <v>0.3767500787840049</v>
      </c>
      <c r="AA12" s="2" t="str">
        <f t="shared" si="15"/>
        <v>Moderate</v>
      </c>
      <c r="AB12" s="2">
        <f t="shared" si="16"/>
        <v>9.6726375758642277E-2</v>
      </c>
      <c r="AC12" s="2">
        <f t="shared" si="17"/>
        <v>0.35143580389197565</v>
      </c>
      <c r="AD12" s="2" t="str">
        <f t="shared" si="18"/>
        <v>Moderate</v>
      </c>
      <c r="AE12" s="2">
        <f t="shared" si="19"/>
        <v>2.247050555522653E-2</v>
      </c>
      <c r="AF12" s="2">
        <f t="shared" si="20"/>
        <v>0.17118291086912507</v>
      </c>
      <c r="AG12" s="2" t="s">
        <v>1175</v>
      </c>
      <c r="AH12" s="1" t="s">
        <v>12</v>
      </c>
      <c r="AI12" s="2">
        <f>MAX(Q1:Q557)</f>
        <v>0.40039999999999998</v>
      </c>
      <c r="AJ12" s="2">
        <f>MIN(Q1:Q557)</f>
        <v>5.5E-2</v>
      </c>
      <c r="AK12" s="2">
        <f t="shared" si="22"/>
        <v>0.34539999999999998</v>
      </c>
    </row>
    <row r="13" spans="1:37" x14ac:dyDescent="0.3">
      <c r="A13">
        <v>100636</v>
      </c>
      <c r="B13" t="s">
        <v>47</v>
      </c>
      <c r="C13" t="s">
        <v>37</v>
      </c>
      <c r="D13" t="s">
        <v>48</v>
      </c>
      <c r="E13" s="13">
        <v>6.7</v>
      </c>
      <c r="F13" s="14">
        <f t="shared" si="0"/>
        <v>0.77777777777777779</v>
      </c>
      <c r="G13" s="2">
        <v>80.28</v>
      </c>
      <c r="H13" s="2">
        <f t="shared" si="1"/>
        <v>0.51500201304956394</v>
      </c>
      <c r="I13" s="2">
        <v>33.1</v>
      </c>
      <c r="J13" s="4">
        <f t="shared" si="2"/>
        <v>0.26166007905138339</v>
      </c>
      <c r="K13" s="2">
        <v>0</v>
      </c>
      <c r="L13" s="4">
        <f t="shared" si="3"/>
        <v>0</v>
      </c>
      <c r="M13" s="2">
        <v>4786</v>
      </c>
      <c r="N13" s="2">
        <f t="shared" si="4"/>
        <v>2.1513770800509101E-2</v>
      </c>
      <c r="O13" s="2">
        <v>0.783073774</v>
      </c>
      <c r="P13" s="2">
        <f t="shared" si="5"/>
        <v>0.82714858358868371</v>
      </c>
      <c r="Q13" s="2">
        <v>0.27460000000000001</v>
      </c>
      <c r="R13" s="2">
        <f t="shared" si="6"/>
        <v>0.63578459756803718</v>
      </c>
      <c r="S13" s="2">
        <f t="shared" si="7"/>
        <v>0.15465009030270158</v>
      </c>
      <c r="T13" s="5">
        <f t="shared" si="8"/>
        <v>0.40391746154591995</v>
      </c>
      <c r="U13" s="2" t="str">
        <f t="shared" si="9"/>
        <v>Moderate</v>
      </c>
      <c r="V13" s="2">
        <f t="shared" si="10"/>
        <v>0.13442055548869319</v>
      </c>
      <c r="W13" s="2">
        <f t="shared" si="11"/>
        <v>0.32605511649983498</v>
      </c>
      <c r="X13" s="2" t="str">
        <f t="shared" si="12"/>
        <v>Moderate</v>
      </c>
      <c r="Y13" s="2">
        <f t="shared" si="13"/>
        <v>0.17487962511670999</v>
      </c>
      <c r="Z13" s="2">
        <f t="shared" si="14"/>
        <v>0.44700627687071454</v>
      </c>
      <c r="AA13" s="2" t="str">
        <f t="shared" si="15"/>
        <v>Moderate</v>
      </c>
      <c r="AB13" s="2">
        <f t="shared" si="16"/>
        <v>0.10110307169826226</v>
      </c>
      <c r="AC13" s="2">
        <f t="shared" si="17"/>
        <v>0.36733764704351818</v>
      </c>
      <c r="AD13" s="2" t="str">
        <f t="shared" si="18"/>
        <v>Moderate</v>
      </c>
      <c r="AE13" s="2">
        <f t="shared" si="19"/>
        <v>4.548542120590443E-3</v>
      </c>
      <c r="AF13" s="2">
        <f t="shared" si="20"/>
        <v>3.4651320082666713E-2</v>
      </c>
      <c r="AG13" s="2" t="s">
        <v>1176</v>
      </c>
      <c r="AH13" s="1" t="s">
        <v>17</v>
      </c>
      <c r="AI13" s="2">
        <f>MAX(V1:V547)</f>
        <v>0.41226329134682116</v>
      </c>
      <c r="AJ13" s="2">
        <f>MIN(V1:V557)</f>
        <v>0</v>
      </c>
      <c r="AK13" s="2">
        <f t="shared" si="22"/>
        <v>0.41226329134682116</v>
      </c>
    </row>
    <row r="14" spans="1:37" x14ac:dyDescent="0.3">
      <c r="A14">
        <v>100651</v>
      </c>
      <c r="B14" t="s">
        <v>49</v>
      </c>
      <c r="C14" t="s">
        <v>37</v>
      </c>
      <c r="D14" t="s">
        <v>1124</v>
      </c>
      <c r="E14" s="13">
        <v>6.8</v>
      </c>
      <c r="F14" s="14">
        <f t="shared" si="0"/>
        <v>0.79999999999999993</v>
      </c>
      <c r="G14" s="2">
        <v>82.34</v>
      </c>
      <c r="H14" s="2">
        <f t="shared" si="1"/>
        <v>0.53725854798201877</v>
      </c>
      <c r="I14" s="2">
        <v>40.4</v>
      </c>
      <c r="J14" s="4">
        <f t="shared" si="2"/>
        <v>0.31936758893280631</v>
      </c>
      <c r="K14" s="2">
        <v>0</v>
      </c>
      <c r="L14" s="4">
        <f t="shared" si="3"/>
        <v>0</v>
      </c>
      <c r="M14" s="2">
        <v>47691</v>
      </c>
      <c r="N14" s="2">
        <f t="shared" si="4"/>
        <v>0.22451538421503361</v>
      </c>
      <c r="O14" s="2">
        <v>0.71435787299999998</v>
      </c>
      <c r="P14" s="2">
        <f t="shared" si="5"/>
        <v>0.74776865264082093</v>
      </c>
      <c r="Q14" s="2">
        <v>0.29680000000000001</v>
      </c>
      <c r="R14" s="2">
        <f t="shared" si="6"/>
        <v>0.70005790387956002</v>
      </c>
      <c r="S14" s="2">
        <f t="shared" si="7"/>
        <v>0.17363444980486462</v>
      </c>
      <c r="T14" s="5">
        <f t="shared" si="8"/>
        <v>0.45350110087118523</v>
      </c>
      <c r="U14" s="2" t="str">
        <f t="shared" si="9"/>
        <v>Moderate</v>
      </c>
      <c r="V14" s="2">
        <f t="shared" si="10"/>
        <v>0.16791261138877048</v>
      </c>
      <c r="W14" s="2">
        <f t="shared" si="11"/>
        <v>0.40729459768347914</v>
      </c>
      <c r="X14" s="2" t="str">
        <f t="shared" si="12"/>
        <v>Moderate</v>
      </c>
      <c r="Y14" s="2">
        <f t="shared" si="13"/>
        <v>0.17935628822095881</v>
      </c>
      <c r="Z14" s="2">
        <f t="shared" si="14"/>
        <v>0.45844898499465569</v>
      </c>
      <c r="AA14" s="2" t="str">
        <f t="shared" si="15"/>
        <v>Moderate</v>
      </c>
      <c r="AB14" s="2">
        <f t="shared" si="16"/>
        <v>0.13142422358564834</v>
      </c>
      <c r="AC14" s="2">
        <f t="shared" si="17"/>
        <v>0.47750344520247734</v>
      </c>
      <c r="AD14" s="2" t="str">
        <f t="shared" si="18"/>
        <v>Moderate</v>
      </c>
      <c r="AE14" s="2">
        <f t="shared" si="19"/>
        <v>5.3851208952260136E-2</v>
      </c>
      <c r="AF14" s="2">
        <f t="shared" si="20"/>
        <v>0.41024473969279346</v>
      </c>
      <c r="AG14" s="2" t="str">
        <f t="shared" si="21"/>
        <v>Moderate</v>
      </c>
      <c r="AH14" s="1" t="s">
        <v>1118</v>
      </c>
      <c r="AI14" s="2">
        <f>MAX(Y1:Y547)</f>
        <v>0.3912240927374932</v>
      </c>
      <c r="AJ14" s="2">
        <f>MIN(Y1:Y557)</f>
        <v>0</v>
      </c>
      <c r="AK14" s="2">
        <f t="shared" si="22"/>
        <v>0.3912240927374932</v>
      </c>
    </row>
    <row r="15" spans="1:37" x14ac:dyDescent="0.3">
      <c r="A15">
        <v>100662</v>
      </c>
      <c r="B15" t="s">
        <v>50</v>
      </c>
      <c r="C15" t="s">
        <v>37</v>
      </c>
      <c r="D15" t="s">
        <v>51</v>
      </c>
      <c r="E15" s="13">
        <v>6.7</v>
      </c>
      <c r="F15" s="14">
        <f t="shared" si="0"/>
        <v>0.77777777777777779</v>
      </c>
      <c r="G15" s="2">
        <v>90.73</v>
      </c>
      <c r="H15" s="2">
        <f t="shared" si="1"/>
        <v>0.62790530918750243</v>
      </c>
      <c r="I15" s="2">
        <v>34.5</v>
      </c>
      <c r="J15" s="4">
        <f t="shared" si="2"/>
        <v>0.27272727272727271</v>
      </c>
      <c r="K15" s="2">
        <v>0</v>
      </c>
      <c r="L15" s="4">
        <f t="shared" si="3"/>
        <v>0</v>
      </c>
      <c r="M15" s="2">
        <v>15037</v>
      </c>
      <c r="N15" s="2">
        <f t="shared" si="4"/>
        <v>7.0015566374737992E-2</v>
      </c>
      <c r="O15" s="2">
        <v>0.30477910699999999</v>
      </c>
      <c r="P15" s="2">
        <f t="shared" si="5"/>
        <v>0.27462730268179397</v>
      </c>
      <c r="Q15" s="2">
        <v>0.29299999999999998</v>
      </c>
      <c r="R15" s="2">
        <f t="shared" si="6"/>
        <v>0.68905616676317316</v>
      </c>
      <c r="S15" s="2">
        <f t="shared" si="7"/>
        <v>0.11813419952918235</v>
      </c>
      <c r="T15" s="5">
        <f t="shared" si="8"/>
        <v>0.30854470179868354</v>
      </c>
      <c r="U15" s="2" t="str">
        <f t="shared" si="9"/>
        <v>Moderate</v>
      </c>
      <c r="V15" s="2">
        <f t="shared" si="10"/>
        <v>0.16893741829585837</v>
      </c>
      <c r="W15" s="2">
        <f t="shared" si="11"/>
        <v>0.40978040451760195</v>
      </c>
      <c r="X15" s="2" t="str">
        <f t="shared" si="12"/>
        <v>Moderate</v>
      </c>
      <c r="Y15" s="2">
        <f t="shared" si="13"/>
        <v>6.7330980762506293E-2</v>
      </c>
      <c r="Z15" s="2">
        <f t="shared" si="14"/>
        <v>0.17210335971737967</v>
      </c>
      <c r="AA15" s="2" t="str">
        <f t="shared" si="15"/>
        <v>Low</v>
      </c>
      <c r="AB15" s="2">
        <f t="shared" si="16"/>
        <v>8.5335445357074199E-2</v>
      </c>
      <c r="AC15" s="2">
        <f t="shared" si="17"/>
        <v>0.31004915261557914</v>
      </c>
      <c r="AD15" s="2" t="str">
        <f t="shared" si="18"/>
        <v>Moderate</v>
      </c>
      <c r="AE15" s="2">
        <f t="shared" si="19"/>
        <v>1.7165870642205407E-2</v>
      </c>
      <c r="AF15" s="2">
        <f t="shared" si="20"/>
        <v>0.13077158842347886</v>
      </c>
      <c r="AG15" s="2" t="s">
        <v>1175</v>
      </c>
      <c r="AH15" s="1" t="s">
        <v>1120</v>
      </c>
      <c r="AI15" s="2">
        <f>MAX(AB1:AB547)</f>
        <v>0.27523199027374579</v>
      </c>
      <c r="AJ15" s="2">
        <f>MIN(AB1:AB557)</f>
        <v>0</v>
      </c>
      <c r="AK15" s="2">
        <f t="shared" si="22"/>
        <v>0.27523199027374579</v>
      </c>
    </row>
    <row r="16" spans="1:37" x14ac:dyDescent="0.3">
      <c r="A16">
        <v>100669</v>
      </c>
      <c r="B16" t="s">
        <v>52</v>
      </c>
      <c r="C16" t="s">
        <v>37</v>
      </c>
      <c r="D16" t="s">
        <v>53</v>
      </c>
      <c r="E16" s="13">
        <v>6.7</v>
      </c>
      <c r="F16" s="14">
        <f t="shared" si="0"/>
        <v>0.77777777777777779</v>
      </c>
      <c r="G16" s="2">
        <v>80.28</v>
      </c>
      <c r="H16" s="2">
        <f t="shared" si="1"/>
        <v>0.51500201304956394</v>
      </c>
      <c r="I16" s="2">
        <v>36.1</v>
      </c>
      <c r="J16" s="4">
        <f t="shared" si="2"/>
        <v>0.28537549407114626</v>
      </c>
      <c r="K16" s="2">
        <v>0</v>
      </c>
      <c r="L16" s="4">
        <f t="shared" si="3"/>
        <v>0</v>
      </c>
      <c r="M16" s="2">
        <v>4807</v>
      </c>
      <c r="N16" s="2">
        <f t="shared" si="4"/>
        <v>2.1613130639262276E-2</v>
      </c>
      <c r="O16" s="2">
        <v>0.39679721000000001</v>
      </c>
      <c r="P16" s="2">
        <f t="shared" si="5"/>
        <v>0.38092570750214738</v>
      </c>
      <c r="Q16" s="2">
        <v>0.29380000000000001</v>
      </c>
      <c r="R16" s="2">
        <f t="shared" si="6"/>
        <v>0.69137232194557041</v>
      </c>
      <c r="S16" s="2">
        <f t="shared" si="7"/>
        <v>0.11681643878136362</v>
      </c>
      <c r="T16" s="5">
        <f t="shared" si="8"/>
        <v>0.30510295420486083</v>
      </c>
      <c r="U16" s="2" t="str">
        <f t="shared" si="9"/>
        <v>Moderate</v>
      </c>
      <c r="V16" s="2">
        <f t="shared" si="10"/>
        <v>0.15063657733900881</v>
      </c>
      <c r="W16" s="2">
        <f t="shared" si="11"/>
        <v>0.36538925609140421</v>
      </c>
      <c r="X16" s="2" t="str">
        <f t="shared" si="12"/>
        <v>Moderate</v>
      </c>
      <c r="Y16" s="2">
        <f t="shared" si="13"/>
        <v>8.2996300223718428E-2</v>
      </c>
      <c r="Z16" s="2">
        <f t="shared" si="14"/>
        <v>0.21214516632391547</v>
      </c>
      <c r="AA16" s="2" t="str">
        <f t="shared" si="15"/>
        <v>Low</v>
      </c>
      <c r="AB16" s="2">
        <f t="shared" si="16"/>
        <v>7.9269870364210154E-2</v>
      </c>
      <c r="AC16" s="2">
        <f t="shared" si="17"/>
        <v>0.28801110759460891</v>
      </c>
      <c r="AD16" s="2" t="str">
        <f t="shared" si="18"/>
        <v>Low</v>
      </c>
      <c r="AE16" s="2">
        <f t="shared" si="19"/>
        <v>4.7090806526901233E-3</v>
      </c>
      <c r="AF16" s="2">
        <f t="shared" si="20"/>
        <v>3.5874321192452055E-2</v>
      </c>
      <c r="AG16" s="2" t="s">
        <v>1176</v>
      </c>
      <c r="AH16" s="1" t="s">
        <v>1119</v>
      </c>
      <c r="AI16" s="2">
        <f>MAX(AE1:AE547)</f>
        <v>0.13126605594647217</v>
      </c>
      <c r="AJ16" s="2">
        <f>MIN(AE1:AE557)</f>
        <v>0</v>
      </c>
      <c r="AK16" s="2">
        <f t="shared" si="22"/>
        <v>0.13126605594647217</v>
      </c>
    </row>
    <row r="17" spans="1:33" x14ac:dyDescent="0.3">
      <c r="A17">
        <v>100694</v>
      </c>
      <c r="B17" t="s">
        <v>54</v>
      </c>
      <c r="C17" t="s">
        <v>37</v>
      </c>
      <c r="D17" t="s">
        <v>55</v>
      </c>
      <c r="E17" s="13">
        <v>6.7</v>
      </c>
      <c r="F17" s="14">
        <f t="shared" si="0"/>
        <v>0.77777777777777779</v>
      </c>
      <c r="G17" s="2">
        <v>76.41</v>
      </c>
      <c r="H17" s="2">
        <f t="shared" si="1"/>
        <v>0.47318997897742782</v>
      </c>
      <c r="I17" s="2">
        <v>40.4</v>
      </c>
      <c r="J17" s="4">
        <f t="shared" si="2"/>
        <v>0.31936758893280631</v>
      </c>
      <c r="K17" s="2">
        <v>0</v>
      </c>
      <c r="L17" s="4">
        <f t="shared" si="3"/>
        <v>0</v>
      </c>
      <c r="M17" s="2">
        <v>26434</v>
      </c>
      <c r="N17" s="2">
        <f t="shared" si="4"/>
        <v>0.1239395702923545</v>
      </c>
      <c r="O17" s="2">
        <v>0.53448795299999996</v>
      </c>
      <c r="P17" s="2">
        <f t="shared" si="5"/>
        <v>0.53998469548660122</v>
      </c>
      <c r="Q17" s="2">
        <v>0.27650000000000002</v>
      </c>
      <c r="R17" s="2">
        <f t="shared" si="6"/>
        <v>0.64128546612623061</v>
      </c>
      <c r="S17" s="2">
        <f t="shared" si="7"/>
        <v>0.12743057141751937</v>
      </c>
      <c r="T17" s="5">
        <f t="shared" si="8"/>
        <v>0.33282510750277483</v>
      </c>
      <c r="U17" s="2" t="str">
        <f t="shared" si="9"/>
        <v>Moderate</v>
      </c>
      <c r="V17" s="2">
        <f t="shared" si="10"/>
        <v>0.13835848232827846</v>
      </c>
      <c r="W17" s="2">
        <f t="shared" si="11"/>
        <v>0.33560708710270015</v>
      </c>
      <c r="X17" s="2" t="str">
        <f t="shared" si="12"/>
        <v>Moderate</v>
      </c>
      <c r="Y17" s="2">
        <f t="shared" si="13"/>
        <v>0.11650266050676025</v>
      </c>
      <c r="Z17" s="2">
        <f t="shared" si="14"/>
        <v>0.29779009695328806</v>
      </c>
      <c r="AA17" s="2" t="str">
        <f t="shared" si="15"/>
        <v>Low</v>
      </c>
      <c r="AB17" s="2">
        <f t="shared" si="16"/>
        <v>9.2735331086028466E-2</v>
      </c>
      <c r="AC17" s="2">
        <f t="shared" si="17"/>
        <v>0.33693514694201748</v>
      </c>
      <c r="AD17" s="2" t="str">
        <f t="shared" si="18"/>
        <v>Moderate</v>
      </c>
      <c r="AE17" s="2">
        <f t="shared" si="19"/>
        <v>2.6740183197436953E-2</v>
      </c>
      <c r="AF17" s="2">
        <f t="shared" si="20"/>
        <v>0.20370980909444783</v>
      </c>
      <c r="AG17" s="2" t="s">
        <v>1175</v>
      </c>
    </row>
    <row r="18" spans="1:33" x14ac:dyDescent="0.3">
      <c r="A18">
        <v>100918</v>
      </c>
      <c r="B18" t="s">
        <v>56</v>
      </c>
      <c r="C18" t="s">
        <v>57</v>
      </c>
      <c r="D18" t="s">
        <v>58</v>
      </c>
      <c r="E18" s="13">
        <v>7.2</v>
      </c>
      <c r="F18" s="14">
        <f t="shared" si="0"/>
        <v>0.88888888888888884</v>
      </c>
      <c r="G18" s="2">
        <v>90.73</v>
      </c>
      <c r="H18" s="2">
        <f t="shared" si="1"/>
        <v>0.62790530918750243</v>
      </c>
      <c r="I18" s="2">
        <v>44.6</v>
      </c>
      <c r="J18" s="4">
        <f t="shared" si="2"/>
        <v>0.35256916996047433</v>
      </c>
      <c r="K18" s="2">
        <v>0</v>
      </c>
      <c r="L18" s="4">
        <f t="shared" si="3"/>
        <v>0</v>
      </c>
      <c r="M18" s="2">
        <v>36805</v>
      </c>
      <c r="N18" s="2">
        <f t="shared" si="4"/>
        <v>0.1730091363737444</v>
      </c>
      <c r="O18" s="2">
        <v>0.787296357</v>
      </c>
      <c r="P18" s="2">
        <f t="shared" si="5"/>
        <v>0.83202646981419681</v>
      </c>
      <c r="Q18" s="2">
        <v>0.30630000000000002</v>
      </c>
      <c r="R18" s="2">
        <f t="shared" si="6"/>
        <v>0.72756224667052705</v>
      </c>
      <c r="S18" s="2">
        <f t="shared" si="7"/>
        <v>0.23786574536362098</v>
      </c>
      <c r="T18" s="5">
        <f t="shared" si="8"/>
        <v>0.62126137700886663</v>
      </c>
      <c r="U18" s="2" t="str">
        <f t="shared" si="9"/>
        <v>Moderate</v>
      </c>
      <c r="V18" s="2">
        <f t="shared" si="10"/>
        <v>0.22193304462062738</v>
      </c>
      <c r="W18" s="2">
        <f t="shared" si="11"/>
        <v>0.53832841603625503</v>
      </c>
      <c r="X18" s="2" t="str">
        <f t="shared" si="12"/>
        <v>Moderate</v>
      </c>
      <c r="Y18" s="2">
        <f t="shared" si="13"/>
        <v>0.25379844610661462</v>
      </c>
      <c r="Z18" s="2">
        <f t="shared" si="14"/>
        <v>0.64872908089765935</v>
      </c>
      <c r="AA18" s="2" t="str">
        <f t="shared" si="15"/>
        <v>Moderate</v>
      </c>
      <c r="AB18" s="2">
        <f t="shared" si="16"/>
        <v>0.17228703522880515</v>
      </c>
      <c r="AC18" s="2">
        <f t="shared" si="17"/>
        <v>0.62597024080466968</v>
      </c>
      <c r="AD18" s="2" t="str">
        <f t="shared" si="18"/>
        <v>Moderate</v>
      </c>
      <c r="AE18" s="2">
        <f t="shared" si="19"/>
        <v>5.277410222743191E-2</v>
      </c>
      <c r="AF18" s="2">
        <f t="shared" si="20"/>
        <v>0.40203921605561299</v>
      </c>
      <c r="AG18" s="2" t="str">
        <f t="shared" si="21"/>
        <v>Moderate</v>
      </c>
    </row>
    <row r="19" spans="1:33" x14ac:dyDescent="0.3">
      <c r="A19">
        <v>100921</v>
      </c>
      <c r="B19" t="s">
        <v>59</v>
      </c>
      <c r="C19" t="s">
        <v>57</v>
      </c>
      <c r="D19" t="s">
        <v>60</v>
      </c>
      <c r="E19" s="13">
        <v>7.2</v>
      </c>
      <c r="F19" s="14">
        <f t="shared" si="0"/>
        <v>0.88888888888888884</v>
      </c>
      <c r="G19" s="2">
        <v>90.1</v>
      </c>
      <c r="H19" s="2">
        <f t="shared" si="1"/>
        <v>0.62109869898971271</v>
      </c>
      <c r="I19" s="2">
        <v>50.6</v>
      </c>
      <c r="J19" s="4">
        <f t="shared" si="2"/>
        <v>0.4</v>
      </c>
      <c r="K19" s="2">
        <v>0</v>
      </c>
      <c r="L19" s="4">
        <f t="shared" si="3"/>
        <v>0</v>
      </c>
      <c r="M19" s="2">
        <v>23768</v>
      </c>
      <c r="N19" s="2">
        <f t="shared" si="4"/>
        <v>0.11132560219159415</v>
      </c>
      <c r="O19" s="2">
        <v>0.22824382400000001</v>
      </c>
      <c r="P19" s="2">
        <f t="shared" si="5"/>
        <v>0.18621449878630067</v>
      </c>
      <c r="Q19" s="2">
        <v>0.29470000000000002</v>
      </c>
      <c r="R19" s="2">
        <f t="shared" si="6"/>
        <v>0.6939779965257673</v>
      </c>
      <c r="S19" s="2">
        <f t="shared" si="7"/>
        <v>0.13980764183923622</v>
      </c>
      <c r="T19" s="5">
        <f t="shared" si="8"/>
        <v>0.36515172856280548</v>
      </c>
      <c r="U19" s="2" t="str">
        <f t="shared" si="9"/>
        <v>Moderate</v>
      </c>
      <c r="V19" s="2">
        <f t="shared" si="10"/>
        <v>0.22045956469598393</v>
      </c>
      <c r="W19" s="2">
        <f t="shared" si="11"/>
        <v>0.53475429251963114</v>
      </c>
      <c r="X19" s="2" t="str">
        <f t="shared" si="12"/>
        <v>Moderate</v>
      </c>
      <c r="Y19" s="2">
        <f t="shared" si="13"/>
        <v>5.9155718982488496E-2</v>
      </c>
      <c r="Z19" s="2">
        <f t="shared" si="14"/>
        <v>0.15120673823680203</v>
      </c>
      <c r="AA19" s="2" t="str">
        <f t="shared" si="15"/>
        <v>Low</v>
      </c>
      <c r="AB19" s="2">
        <f t="shared" si="16"/>
        <v>0.10728544545065663</v>
      </c>
      <c r="AC19" s="2">
        <f t="shared" si="17"/>
        <v>0.38980005683187663</v>
      </c>
      <c r="AD19" s="2" t="str">
        <f t="shared" si="18"/>
        <v>Moderate</v>
      </c>
      <c r="AE19" s="2">
        <f t="shared" si="19"/>
        <v>3.5365377463759187E-2</v>
      </c>
      <c r="AF19" s="2">
        <f t="shared" si="20"/>
        <v>0.26941753683968783</v>
      </c>
      <c r="AG19" s="2" t="s">
        <v>1175</v>
      </c>
    </row>
    <row r="20" spans="1:33" x14ac:dyDescent="0.3">
      <c r="A20">
        <v>100925</v>
      </c>
      <c r="B20" t="s">
        <v>61</v>
      </c>
      <c r="C20" t="s">
        <v>57</v>
      </c>
      <c r="D20" t="s">
        <v>62</v>
      </c>
      <c r="E20" s="13">
        <v>7.2</v>
      </c>
      <c r="F20" s="14">
        <f t="shared" si="0"/>
        <v>0.88888888888888884</v>
      </c>
      <c r="G20" s="2">
        <v>125.17</v>
      </c>
      <c r="H20" s="2">
        <f t="shared" si="1"/>
        <v>1</v>
      </c>
      <c r="I20" s="2">
        <v>64.400000000000006</v>
      </c>
      <c r="J20" s="4">
        <f t="shared" si="2"/>
        <v>0.50909090909090915</v>
      </c>
      <c r="K20" s="2">
        <v>0</v>
      </c>
      <c r="L20" s="4">
        <f t="shared" si="3"/>
        <v>0</v>
      </c>
      <c r="M20" s="2">
        <v>19441</v>
      </c>
      <c r="N20" s="2">
        <f t="shared" si="4"/>
        <v>9.0852743987546905E-2</v>
      </c>
      <c r="O20" s="2">
        <v>0.35357063300000002</v>
      </c>
      <c r="P20" s="2">
        <f t="shared" si="5"/>
        <v>0.33099079218505839</v>
      </c>
      <c r="Q20" s="2">
        <v>0.27100000000000002</v>
      </c>
      <c r="R20" s="2">
        <f t="shared" si="6"/>
        <v>0.62536189924724972</v>
      </c>
      <c r="S20" s="2">
        <f t="shared" si="7"/>
        <v>0.22450137928168529</v>
      </c>
      <c r="T20" s="5">
        <f t="shared" si="8"/>
        <v>0.58635612210458576</v>
      </c>
      <c r="U20" s="2" t="str">
        <f t="shared" si="9"/>
        <v>Moderate</v>
      </c>
      <c r="V20" s="2">
        <f t="shared" si="10"/>
        <v>0.29360425330315321</v>
      </c>
      <c r="W20" s="2">
        <f t="shared" si="11"/>
        <v>0.71217656159484577</v>
      </c>
      <c r="X20" s="2" t="str">
        <f t="shared" si="12"/>
        <v>High</v>
      </c>
      <c r="Y20" s="2">
        <f t="shared" si="13"/>
        <v>0.15539850526021731</v>
      </c>
      <c r="Z20" s="2">
        <f t="shared" si="14"/>
        <v>0.39721097995998905</v>
      </c>
      <c r="AA20" s="2" t="str">
        <f t="shared" si="15"/>
        <v>Moderate</v>
      </c>
      <c r="AB20" s="2">
        <f t="shared" si="16"/>
        <v>0.16431025679163763</v>
      </c>
      <c r="AC20" s="2">
        <f t="shared" si="17"/>
        <v>0.59698822301947763</v>
      </c>
      <c r="AD20" s="2" t="str">
        <f t="shared" si="18"/>
        <v>Moderate</v>
      </c>
      <c r="AE20" s="2">
        <f t="shared" si="19"/>
        <v>4.2654904449910908E-2</v>
      </c>
      <c r="AF20" s="2">
        <f t="shared" si="20"/>
        <v>0.32494999672500846</v>
      </c>
      <c r="AG20" s="2" t="str">
        <f t="shared" si="21"/>
        <v>Moderate</v>
      </c>
    </row>
    <row r="21" spans="1:33" x14ac:dyDescent="0.3">
      <c r="A21">
        <v>100929</v>
      </c>
      <c r="B21" t="s">
        <v>63</v>
      </c>
      <c r="C21" t="s">
        <v>57</v>
      </c>
      <c r="D21" t="s">
        <v>1125</v>
      </c>
      <c r="E21" s="13">
        <v>7.2</v>
      </c>
      <c r="F21" s="14">
        <f t="shared" si="0"/>
        <v>0.88888888888888884</v>
      </c>
      <c r="G21" s="2">
        <v>90.73</v>
      </c>
      <c r="H21" s="2">
        <f t="shared" si="1"/>
        <v>0.62790530918750243</v>
      </c>
      <c r="I21" s="2">
        <v>49</v>
      </c>
      <c r="J21" s="4">
        <f t="shared" si="2"/>
        <v>0.38735177865612647</v>
      </c>
      <c r="K21" s="2">
        <v>0</v>
      </c>
      <c r="L21" s="4">
        <f t="shared" si="3"/>
        <v>0</v>
      </c>
      <c r="M21" s="2">
        <v>11391</v>
      </c>
      <c r="N21" s="2">
        <f t="shared" si="4"/>
        <v>5.2764805798829445E-2</v>
      </c>
      <c r="O21" s="2">
        <v>0.26631723800000001</v>
      </c>
      <c r="P21" s="2">
        <f t="shared" si="5"/>
        <v>0.23019653104211568</v>
      </c>
      <c r="Q21" s="2">
        <v>0.31780000000000003</v>
      </c>
      <c r="R21" s="2">
        <f t="shared" si="6"/>
        <v>0.76085697741748715</v>
      </c>
      <c r="S21" s="2">
        <f t="shared" si="7"/>
        <v>0.15651597093936337</v>
      </c>
      <c r="T21" s="5">
        <f t="shared" si="8"/>
        <v>0.40879079701460896</v>
      </c>
      <c r="U21" s="2" t="str">
        <f t="shared" si="9"/>
        <v>Moderate</v>
      </c>
      <c r="V21" s="2">
        <f t="shared" si="10"/>
        <v>0.24032258107149712</v>
      </c>
      <c r="W21" s="2">
        <f t="shared" si="11"/>
        <v>0.58293470729928032</v>
      </c>
      <c r="X21" s="2" t="str">
        <f t="shared" si="12"/>
        <v>Moderate</v>
      </c>
      <c r="Y21" s="2">
        <f t="shared" si="13"/>
        <v>7.2709360807229631E-2</v>
      </c>
      <c r="Z21" s="2">
        <f t="shared" si="14"/>
        <v>0.18585092829652688</v>
      </c>
      <c r="AA21" s="2" t="str">
        <f t="shared" si="15"/>
        <v>Low</v>
      </c>
      <c r="AB21" s="2">
        <f t="shared" si="16"/>
        <v>0.11175887230768564</v>
      </c>
      <c r="AC21" s="2">
        <f t="shared" si="17"/>
        <v>0.40605335228848305</v>
      </c>
      <c r="AD21" s="2" t="str">
        <f t="shared" si="18"/>
        <v>Moderate</v>
      </c>
      <c r="AE21" s="2">
        <f t="shared" si="19"/>
        <v>1.6666173401407972E-2</v>
      </c>
      <c r="AF21" s="2">
        <f t="shared" si="20"/>
        <v>0.12696483703451961</v>
      </c>
      <c r="AG21" s="2" t="s">
        <v>1175</v>
      </c>
    </row>
    <row r="22" spans="1:33" x14ac:dyDescent="0.3">
      <c r="A22">
        <v>100954</v>
      </c>
      <c r="B22" t="s">
        <v>64</v>
      </c>
      <c r="C22" t="s">
        <v>57</v>
      </c>
      <c r="D22" t="s">
        <v>65</v>
      </c>
      <c r="E22" s="13">
        <v>7.2</v>
      </c>
      <c r="F22" s="14">
        <f t="shared" si="0"/>
        <v>0.88888888888888884</v>
      </c>
      <c r="G22" s="2">
        <v>90.25</v>
      </c>
      <c r="H22" s="2">
        <f t="shared" si="1"/>
        <v>0.62271932046537692</v>
      </c>
      <c r="I22" s="2">
        <v>60.1</v>
      </c>
      <c r="J22" s="4">
        <f t="shared" si="2"/>
        <v>0.47509881422924904</v>
      </c>
      <c r="K22" s="2">
        <v>0</v>
      </c>
      <c r="L22" s="4">
        <f t="shared" si="3"/>
        <v>0</v>
      </c>
      <c r="M22" s="2">
        <v>17773</v>
      </c>
      <c r="N22" s="2">
        <f t="shared" si="4"/>
        <v>8.2960733938008929E-2</v>
      </c>
      <c r="O22" s="2">
        <v>0.45777481399999997</v>
      </c>
      <c r="P22" s="2">
        <f t="shared" si="5"/>
        <v>0.45136643409447014</v>
      </c>
      <c r="Q22" s="2">
        <v>0.30109999999999998</v>
      </c>
      <c r="R22" s="2">
        <f t="shared" si="6"/>
        <v>0.71250723798494497</v>
      </c>
      <c r="S22" s="2">
        <f t="shared" si="7"/>
        <v>0.1987566970203746</v>
      </c>
      <c r="T22" s="5">
        <f t="shared" si="8"/>
        <v>0.51911576882098198</v>
      </c>
      <c r="U22" s="2" t="str">
        <f t="shared" si="9"/>
        <v>Moderate</v>
      </c>
      <c r="V22" s="2">
        <f t="shared" si="10"/>
        <v>0.24335215861010512</v>
      </c>
      <c r="W22" s="2">
        <f t="shared" si="11"/>
        <v>0.5902833546375158</v>
      </c>
      <c r="X22" s="2" t="str">
        <f t="shared" si="12"/>
        <v>Moderate</v>
      </c>
      <c r="Y22" s="2">
        <f t="shared" si="13"/>
        <v>0.15416123543064406</v>
      </c>
      <c r="Z22" s="2">
        <f t="shared" si="14"/>
        <v>0.39404841954374331</v>
      </c>
      <c r="AA22" s="2" t="str">
        <f t="shared" si="15"/>
        <v>Moderate</v>
      </c>
      <c r="AB22" s="2">
        <f t="shared" si="16"/>
        <v>0.14133876861173306</v>
      </c>
      <c r="AC22" s="2">
        <f t="shared" si="17"/>
        <v>0.51352594758755143</v>
      </c>
      <c r="AD22" s="2" t="str">
        <f t="shared" si="18"/>
        <v>Moderate</v>
      </c>
      <c r="AE22" s="2">
        <f t="shared" si="19"/>
        <v>2.8334692768580211E-2</v>
      </c>
      <c r="AF22" s="2">
        <f t="shared" si="20"/>
        <v>0.21585696747173211</v>
      </c>
      <c r="AG22" s="2" t="s">
        <v>1175</v>
      </c>
    </row>
    <row r="23" spans="1:33" x14ac:dyDescent="0.3">
      <c r="A23">
        <v>100965</v>
      </c>
      <c r="B23" t="s">
        <v>66</v>
      </c>
      <c r="C23" t="s">
        <v>57</v>
      </c>
      <c r="D23" t="s">
        <v>67</v>
      </c>
      <c r="E23" s="13">
        <v>5.3</v>
      </c>
      <c r="F23" s="14">
        <f t="shared" si="0"/>
        <v>0.46666666666666656</v>
      </c>
      <c r="G23" s="2">
        <v>103.47</v>
      </c>
      <c r="H23" s="2">
        <f t="shared" si="1"/>
        <v>0.76555009318724743</v>
      </c>
      <c r="I23" s="2">
        <v>59.7</v>
      </c>
      <c r="J23" s="4">
        <f t="shared" si="2"/>
        <v>0.47193675889328063</v>
      </c>
      <c r="K23" s="2">
        <v>0</v>
      </c>
      <c r="L23" s="4">
        <f t="shared" si="3"/>
        <v>0</v>
      </c>
      <c r="M23" s="2">
        <v>12816</v>
      </c>
      <c r="N23" s="2">
        <f t="shared" si="4"/>
        <v>5.9507080571366389E-2</v>
      </c>
      <c r="O23" s="2">
        <v>0.16869237100000001</v>
      </c>
      <c r="P23" s="2">
        <f t="shared" si="5"/>
        <v>0.11742124776009501</v>
      </c>
      <c r="Q23" s="2">
        <v>0.22570000000000001</v>
      </c>
      <c r="R23" s="2">
        <f t="shared" si="6"/>
        <v>0.49420961204400704</v>
      </c>
      <c r="S23" s="2">
        <f t="shared" si="7"/>
        <v>6.1812287032299927E-2</v>
      </c>
      <c r="T23" s="5">
        <f t="shared" si="8"/>
        <v>0.16144227282095691</v>
      </c>
      <c r="U23" s="2" t="str">
        <f t="shared" si="9"/>
        <v>Low</v>
      </c>
      <c r="V23" s="2">
        <f t="shared" si="10"/>
        <v>9.989105652245861E-2</v>
      </c>
      <c r="W23" s="2">
        <f t="shared" si="11"/>
        <v>0.24229917778059976</v>
      </c>
      <c r="X23" s="2" t="s">
        <v>1175</v>
      </c>
      <c r="Y23" s="2">
        <f t="shared" si="13"/>
        <v>2.3733517542141258E-2</v>
      </c>
      <c r="Z23" s="2">
        <f t="shared" si="14"/>
        <v>6.0664764728756544E-2</v>
      </c>
      <c r="AA23" s="2" t="str">
        <f t="shared" si="15"/>
        <v>No Impact</v>
      </c>
      <c r="AB23" s="2">
        <f t="shared" si="16"/>
        <v>4.6291634349799146E-2</v>
      </c>
      <c r="AC23" s="2">
        <f t="shared" si="17"/>
        <v>0.16819132944450782</v>
      </c>
      <c r="AD23" s="2" t="str">
        <f t="shared" si="18"/>
        <v>Low</v>
      </c>
      <c r="AE23" s="2">
        <f t="shared" si="19"/>
        <v>1.2027740869417878E-2</v>
      </c>
      <c r="AF23" s="2">
        <f t="shared" si="20"/>
        <v>9.1628721398642199E-2</v>
      </c>
      <c r="AG23" s="2" t="s">
        <v>1175</v>
      </c>
    </row>
    <row r="24" spans="1:33" x14ac:dyDescent="0.3">
      <c r="A24">
        <v>100991</v>
      </c>
      <c r="B24" t="s">
        <v>68</v>
      </c>
      <c r="C24" t="s">
        <v>57</v>
      </c>
      <c r="D24" t="s">
        <v>69</v>
      </c>
      <c r="E24" s="13">
        <v>5.3</v>
      </c>
      <c r="F24" s="14">
        <f t="shared" si="0"/>
        <v>0.46666666666666656</v>
      </c>
      <c r="G24" s="2">
        <v>91.72</v>
      </c>
      <c r="H24" s="2">
        <f t="shared" si="1"/>
        <v>0.63860141092688605</v>
      </c>
      <c r="I24" s="2">
        <v>58.3</v>
      </c>
      <c r="J24" s="4">
        <f t="shared" si="2"/>
        <v>0.46086956521739131</v>
      </c>
      <c r="K24" s="2">
        <v>0</v>
      </c>
      <c r="L24" s="4">
        <f t="shared" si="3"/>
        <v>0</v>
      </c>
      <c r="M24" s="2">
        <v>7108</v>
      </c>
      <c r="N24" s="2">
        <f t="shared" si="4"/>
        <v>3.2500130114074557E-2</v>
      </c>
      <c r="O24" s="2">
        <v>6.7045685999999993E-2</v>
      </c>
      <c r="P24" s="2">
        <f t="shared" si="5"/>
        <v>0</v>
      </c>
      <c r="Q24" s="2">
        <v>0.26540000000000002</v>
      </c>
      <c r="R24" s="2">
        <f t="shared" si="6"/>
        <v>0.60914881297046919</v>
      </c>
      <c r="S24" s="2">
        <f t="shared" si="7"/>
        <v>5.469555093445784E-2</v>
      </c>
      <c r="T24" s="5">
        <f t="shared" si="8"/>
        <v>0.14285467307558272</v>
      </c>
      <c r="U24" s="2" t="str">
        <f t="shared" si="9"/>
        <v>No Impact</v>
      </c>
      <c r="V24" s="2">
        <f t="shared" si="10"/>
        <v>0.10939110186891568</v>
      </c>
      <c r="W24" s="2">
        <f t="shared" si="11"/>
        <v>0.26534281408258875</v>
      </c>
      <c r="X24" s="2" t="s">
        <v>1175</v>
      </c>
      <c r="Y24" s="2">
        <f t="shared" si="13"/>
        <v>0</v>
      </c>
      <c r="Z24" s="2">
        <f t="shared" si="14"/>
        <v>0</v>
      </c>
      <c r="AA24" s="2" t="str">
        <f t="shared" si="15"/>
        <v>No Impact</v>
      </c>
      <c r="AB24" s="2">
        <f t="shared" si="16"/>
        <v>4.0329619283286954E-2</v>
      </c>
      <c r="AC24" s="2">
        <f t="shared" si="17"/>
        <v>0.14652954855711034</v>
      </c>
      <c r="AD24" s="2" t="str">
        <f t="shared" si="18"/>
        <v>No Impact</v>
      </c>
      <c r="AE24" s="2">
        <f t="shared" si="19"/>
        <v>5.8363817976184694E-3</v>
      </c>
      <c r="AF24" s="2">
        <f t="shared" si="20"/>
        <v>4.4462231728806083E-2</v>
      </c>
      <c r="AG24" s="2" t="s">
        <v>1176</v>
      </c>
    </row>
    <row r="25" spans="1:33" x14ac:dyDescent="0.3">
      <c r="A25">
        <v>104240</v>
      </c>
      <c r="B25" t="s">
        <v>70</v>
      </c>
      <c r="C25" t="s">
        <v>71</v>
      </c>
      <c r="D25" t="s">
        <v>72</v>
      </c>
      <c r="E25" s="13">
        <v>5.9</v>
      </c>
      <c r="F25" s="14">
        <f t="shared" si="0"/>
        <v>0.60000000000000009</v>
      </c>
      <c r="G25" s="2">
        <v>83.04</v>
      </c>
      <c r="H25" s="2">
        <f t="shared" si="1"/>
        <v>0.54482144820178502</v>
      </c>
      <c r="I25" s="2">
        <v>50.1</v>
      </c>
      <c r="J25" s="4">
        <f t="shared" si="2"/>
        <v>0.39604743083003952</v>
      </c>
      <c r="K25" s="2">
        <v>0</v>
      </c>
      <c r="L25" s="4">
        <f t="shared" si="3"/>
        <v>0</v>
      </c>
      <c r="M25" s="2">
        <v>18852</v>
      </c>
      <c r="N25" s="2">
        <f t="shared" si="4"/>
        <v>8.806593708156496E-2</v>
      </c>
      <c r="O25" s="2">
        <v>0.22696981099999999</v>
      </c>
      <c r="P25" s="2">
        <f t="shared" si="5"/>
        <v>0.18474277153693111</v>
      </c>
      <c r="Q25" s="2">
        <v>0.31990000000000002</v>
      </c>
      <c r="R25" s="2">
        <f t="shared" si="6"/>
        <v>0.76693688477127975</v>
      </c>
      <c r="S25" s="2">
        <f t="shared" si="7"/>
        <v>9.4017605999950349E-2</v>
      </c>
      <c r="T25" s="5">
        <f t="shared" si="8"/>
        <v>0.24555661546523525</v>
      </c>
      <c r="U25" s="2" t="str">
        <f t="shared" si="9"/>
        <v>Low</v>
      </c>
      <c r="V25" s="2">
        <f t="shared" si="10"/>
        <v>0.15153327988321189</v>
      </c>
      <c r="W25" s="2">
        <f t="shared" si="11"/>
        <v>0.36756432858275706</v>
      </c>
      <c r="X25" s="2" t="str">
        <f t="shared" si="12"/>
        <v>Moderate</v>
      </c>
      <c r="Y25" s="2">
        <f t="shared" si="13"/>
        <v>3.6501932116688819E-2</v>
      </c>
      <c r="Z25" s="2">
        <f t="shared" si="14"/>
        <v>9.3301851277296441E-2</v>
      </c>
      <c r="AA25" s="2" t="str">
        <f t="shared" si="15"/>
        <v>No Impact</v>
      </c>
      <c r="AB25" s="2">
        <f t="shared" si="16"/>
        <v>7.0077327307588005E-2</v>
      </c>
      <c r="AC25" s="2">
        <f t="shared" si="17"/>
        <v>0.25461185394142988</v>
      </c>
      <c r="AD25" s="2" t="str">
        <f t="shared" si="18"/>
        <v>Low</v>
      </c>
      <c r="AE25" s="2">
        <f t="shared" si="19"/>
        <v>1.740028489559204E-2</v>
      </c>
      <c r="AF25" s="2">
        <f t="shared" si="20"/>
        <v>0.13255738332450204</v>
      </c>
      <c r="AG25" s="2" t="s">
        <v>1175</v>
      </c>
    </row>
    <row r="26" spans="1:33" x14ac:dyDescent="0.3">
      <c r="A26">
        <v>104243</v>
      </c>
      <c r="B26" t="s">
        <v>73</v>
      </c>
      <c r="C26" t="s">
        <v>71</v>
      </c>
      <c r="D26" t="s">
        <v>74</v>
      </c>
      <c r="E26" s="13">
        <v>5.8</v>
      </c>
      <c r="F26" s="14">
        <f t="shared" si="0"/>
        <v>0.57777777777777772</v>
      </c>
      <c r="G26" s="2">
        <v>83.04</v>
      </c>
      <c r="H26" s="2">
        <f t="shared" si="1"/>
        <v>0.54482144820178502</v>
      </c>
      <c r="I26" s="2">
        <v>57.6</v>
      </c>
      <c r="J26" s="4">
        <f t="shared" si="2"/>
        <v>0.45533596837944668</v>
      </c>
      <c r="K26" s="2">
        <v>0</v>
      </c>
      <c r="L26" s="4">
        <f t="shared" si="3"/>
        <v>0</v>
      </c>
      <c r="M26" s="2">
        <v>10294</v>
      </c>
      <c r="N26" s="2">
        <f t="shared" si="4"/>
        <v>4.7574437079199255E-2</v>
      </c>
      <c r="O26" s="2">
        <v>0.77812197400000005</v>
      </c>
      <c r="P26" s="2">
        <f t="shared" si="5"/>
        <v>0.82142831307854924</v>
      </c>
      <c r="Q26" s="2">
        <v>0.29830000000000001</v>
      </c>
      <c r="R26" s="2">
        <f t="shared" si="6"/>
        <v>0.70440069484655476</v>
      </c>
      <c r="S26" s="2">
        <f t="shared" si="7"/>
        <v>0.15430255231411985</v>
      </c>
      <c r="T26" s="5">
        <f t="shared" si="8"/>
        <v>0.40300975653350163</v>
      </c>
      <c r="U26" s="2" t="str">
        <f t="shared" si="9"/>
        <v>Moderate</v>
      </c>
      <c r="V26" s="2">
        <f t="shared" si="10"/>
        <v>0.1424678971262526</v>
      </c>
      <c r="W26" s="2">
        <f t="shared" si="11"/>
        <v>0.34557502478773905</v>
      </c>
      <c r="X26" s="2" t="str">
        <f t="shared" si="12"/>
        <v>Moderate</v>
      </c>
      <c r="Y26" s="2">
        <f t="shared" si="13"/>
        <v>0.1661372075019871</v>
      </c>
      <c r="Z26" s="2">
        <f t="shared" si="14"/>
        <v>0.42465995981863836</v>
      </c>
      <c r="AA26" s="2" t="str">
        <f t="shared" si="15"/>
        <v>Moderate</v>
      </c>
      <c r="AB26" s="2">
        <f t="shared" si="16"/>
        <v>0.10307266923542756</v>
      </c>
      <c r="AC26" s="2">
        <f t="shared" si="17"/>
        <v>0.37449378298253577</v>
      </c>
      <c r="AD26" s="2" t="str">
        <f t="shared" si="18"/>
        <v>Moderate</v>
      </c>
      <c r="AE26" s="2">
        <f t="shared" si="19"/>
        <v>9.6221228304086293E-3</v>
      </c>
      <c r="AF26" s="2">
        <f t="shared" si="20"/>
        <v>7.3302444878303882E-2</v>
      </c>
      <c r="AG26" s="2" t="s">
        <v>1175</v>
      </c>
    </row>
    <row r="27" spans="1:33" x14ac:dyDescent="0.3">
      <c r="A27">
        <v>104273</v>
      </c>
      <c r="B27" t="s">
        <v>75</v>
      </c>
      <c r="C27" t="s">
        <v>71</v>
      </c>
      <c r="D27" t="s">
        <v>76</v>
      </c>
      <c r="E27" s="13">
        <v>5.9</v>
      </c>
      <c r="F27" s="14">
        <f t="shared" si="0"/>
        <v>0.60000000000000009</v>
      </c>
      <c r="G27" s="2">
        <v>83.04</v>
      </c>
      <c r="H27" s="2">
        <f t="shared" si="1"/>
        <v>0.54482144820178502</v>
      </c>
      <c r="I27" s="2">
        <v>43.2</v>
      </c>
      <c r="J27" s="4">
        <f t="shared" si="2"/>
        <v>0.34150197628458501</v>
      </c>
      <c r="K27" s="2">
        <v>0</v>
      </c>
      <c r="L27" s="4">
        <f t="shared" si="3"/>
        <v>0</v>
      </c>
      <c r="M27" s="2">
        <v>19028</v>
      </c>
      <c r="N27" s="2">
        <f t="shared" si="4"/>
        <v>8.8898667158734443E-2</v>
      </c>
      <c r="O27" s="2">
        <v>0.54884711100000005</v>
      </c>
      <c r="P27" s="2">
        <f t="shared" si="5"/>
        <v>0.55657225315406822</v>
      </c>
      <c r="Q27" s="2">
        <v>0.30059999999999998</v>
      </c>
      <c r="R27" s="2">
        <f t="shared" si="6"/>
        <v>0.71105964099594676</v>
      </c>
      <c r="S27" s="2">
        <f t="shared" si="7"/>
        <v>0.11797084334817445</v>
      </c>
      <c r="T27" s="5">
        <f t="shared" si="8"/>
        <v>0.3081180456368191</v>
      </c>
      <c r="U27" s="2" t="str">
        <f t="shared" si="9"/>
        <v>Moderate</v>
      </c>
      <c r="V27" s="2">
        <f t="shared" si="10"/>
        <v>0.13234805136453107</v>
      </c>
      <c r="W27" s="2">
        <f t="shared" si="11"/>
        <v>0.32102797930944516</v>
      </c>
      <c r="X27" s="2" t="str">
        <f t="shared" si="12"/>
        <v>Moderate</v>
      </c>
      <c r="Y27" s="2">
        <f t="shared" si="13"/>
        <v>0.10359363533181781</v>
      </c>
      <c r="Z27" s="2">
        <f t="shared" si="14"/>
        <v>0.2647935984896716</v>
      </c>
      <c r="AA27" s="2" t="str">
        <f t="shared" si="15"/>
        <v>Low</v>
      </c>
      <c r="AB27" s="2">
        <f t="shared" si="16"/>
        <v>8.3191191953598864E-2</v>
      </c>
      <c r="AC27" s="2">
        <f t="shared" si="17"/>
        <v>0.30225843976514827</v>
      </c>
      <c r="AD27" s="2" t="str">
        <f t="shared" si="18"/>
        <v>Moderate</v>
      </c>
      <c r="AE27" s="2">
        <f t="shared" si="19"/>
        <v>1.6546523932764741E-2</v>
      </c>
      <c r="AF27" s="2">
        <f t="shared" si="20"/>
        <v>0.12605333354048592</v>
      </c>
      <c r="AG27" s="2" t="s">
        <v>1175</v>
      </c>
    </row>
    <row r="28" spans="1:33" x14ac:dyDescent="0.3">
      <c r="A28">
        <v>104284</v>
      </c>
      <c r="B28" t="s">
        <v>77</v>
      </c>
      <c r="C28" t="s">
        <v>71</v>
      </c>
      <c r="D28" t="s">
        <v>78</v>
      </c>
      <c r="E28" s="13">
        <v>5.8</v>
      </c>
      <c r="F28" s="14">
        <f t="shared" si="0"/>
        <v>0.57777777777777772</v>
      </c>
      <c r="G28" s="2">
        <v>83.04</v>
      </c>
      <c r="H28" s="2">
        <f t="shared" si="1"/>
        <v>0.54482144820178502</v>
      </c>
      <c r="I28" s="2">
        <v>50.5</v>
      </c>
      <c r="J28" s="4">
        <f t="shared" si="2"/>
        <v>0.39920948616600793</v>
      </c>
      <c r="K28" s="2">
        <v>0</v>
      </c>
      <c r="L28" s="4">
        <f t="shared" si="3"/>
        <v>0</v>
      </c>
      <c r="M28" s="2">
        <v>10861</v>
      </c>
      <c r="N28" s="2">
        <f t="shared" si="4"/>
        <v>5.0257152725535006E-2</v>
      </c>
      <c r="O28" s="2">
        <v>0.60058709200000004</v>
      </c>
      <c r="P28" s="2">
        <f t="shared" si="5"/>
        <v>0.61634176878661062</v>
      </c>
      <c r="Q28" s="2">
        <v>0.3014</v>
      </c>
      <c r="R28" s="2">
        <f t="shared" si="6"/>
        <v>0.71337579617834401</v>
      </c>
      <c r="S28" s="2">
        <f t="shared" si="7"/>
        <v>0.12692422321357893</v>
      </c>
      <c r="T28" s="5">
        <f t="shared" si="8"/>
        <v>0.33150261955082055</v>
      </c>
      <c r="U28" s="2" t="str">
        <f t="shared" si="9"/>
        <v>Moderate</v>
      </c>
      <c r="V28" s="2">
        <f t="shared" si="10"/>
        <v>0.13618631681637006</v>
      </c>
      <c r="W28" s="2">
        <f t="shared" si="11"/>
        <v>0.33033820782700196</v>
      </c>
      <c r="X28" s="2" t="str">
        <f t="shared" si="12"/>
        <v>Moderate</v>
      </c>
      <c r="Y28" s="2">
        <f t="shared" si="13"/>
        <v>0.1176621296107878</v>
      </c>
      <c r="Z28" s="2">
        <f t="shared" si="14"/>
        <v>0.30075379250668416</v>
      </c>
      <c r="AA28" s="2" t="str">
        <f t="shared" si="15"/>
        <v>Moderate</v>
      </c>
      <c r="AB28" s="2">
        <f t="shared" si="16"/>
        <v>8.6321852375743469E-2</v>
      </c>
      <c r="AC28" s="2">
        <f t="shared" si="17"/>
        <v>0.31363306383784728</v>
      </c>
      <c r="AD28" s="2" t="str">
        <f t="shared" si="18"/>
        <v>Moderate</v>
      </c>
      <c r="AE28" s="2">
        <f t="shared" si="19"/>
        <v>9.5942931622217831E-3</v>
      </c>
      <c r="AF28" s="2">
        <f t="shared" si="20"/>
        <v>7.309043524652066E-2</v>
      </c>
      <c r="AG28" s="2" t="s">
        <v>1175</v>
      </c>
    </row>
    <row r="29" spans="1:33" x14ac:dyDescent="0.3">
      <c r="A29">
        <v>107838</v>
      </c>
      <c r="B29" t="s">
        <v>79</v>
      </c>
      <c r="C29" t="s">
        <v>80</v>
      </c>
      <c r="D29" t="s">
        <v>81</v>
      </c>
      <c r="E29" s="13">
        <v>7.4</v>
      </c>
      <c r="F29" s="14">
        <f t="shared" si="0"/>
        <v>0.93333333333333335</v>
      </c>
      <c r="G29" s="2">
        <v>94.15</v>
      </c>
      <c r="H29" s="2">
        <f t="shared" si="1"/>
        <v>0.66485547883264595</v>
      </c>
      <c r="I29" s="2">
        <v>58.6</v>
      </c>
      <c r="J29" s="4">
        <f t="shared" si="2"/>
        <v>0.46324110671936758</v>
      </c>
      <c r="K29" s="2">
        <v>0.5</v>
      </c>
      <c r="L29" s="4">
        <f t="shared" si="3"/>
        <v>0.25</v>
      </c>
      <c r="M29" s="2">
        <v>30925</v>
      </c>
      <c r="N29" s="2">
        <f t="shared" si="4"/>
        <v>0.14518838152285513</v>
      </c>
      <c r="O29" s="2">
        <v>0.71907382900000005</v>
      </c>
      <c r="P29" s="2">
        <f t="shared" si="5"/>
        <v>0.75321647848877371</v>
      </c>
      <c r="Q29" s="2">
        <v>0.28710000000000002</v>
      </c>
      <c r="R29" s="2">
        <f t="shared" si="6"/>
        <v>0.6719745222929937</v>
      </c>
      <c r="S29" s="2">
        <f t="shared" si="7"/>
        <v>0.31248135831178547</v>
      </c>
      <c r="T29" s="5">
        <f t="shared" si="8"/>
        <v>0.81614357148236705</v>
      </c>
      <c r="U29" s="2" t="str">
        <f t="shared" si="9"/>
        <v>High</v>
      </c>
      <c r="V29" s="2">
        <f t="shared" si="10"/>
        <v>0.29466859019155561</v>
      </c>
      <c r="W29" s="2">
        <f t="shared" si="11"/>
        <v>0.71475825370942936</v>
      </c>
      <c r="X29" s="2" t="str">
        <f t="shared" si="12"/>
        <v>High</v>
      </c>
      <c r="Y29" s="2">
        <f t="shared" si="13"/>
        <v>0.33029412643201528</v>
      </c>
      <c r="Z29" s="2">
        <f t="shared" si="14"/>
        <v>0.84425814402396426</v>
      </c>
      <c r="AA29" s="2" t="str">
        <f t="shared" si="15"/>
        <v>High</v>
      </c>
      <c r="AB29" s="2">
        <f t="shared" si="16"/>
        <v>0.22450561833996241</v>
      </c>
      <c r="AC29" s="2">
        <f t="shared" si="17"/>
        <v>0.81569594477978047</v>
      </c>
      <c r="AD29" s="2" t="str">
        <f t="shared" si="18"/>
        <v>High</v>
      </c>
      <c r="AE29" s="2">
        <f t="shared" si="19"/>
        <v>6.3666782409466799E-2</v>
      </c>
      <c r="AF29" s="2">
        <f t="shared" si="20"/>
        <v>0.48502091382580215</v>
      </c>
      <c r="AG29" s="2" t="str">
        <f t="shared" si="21"/>
        <v>Moderate</v>
      </c>
    </row>
    <row r="30" spans="1:33" x14ac:dyDescent="0.3">
      <c r="A30">
        <v>107852</v>
      </c>
      <c r="B30" t="s">
        <v>82</v>
      </c>
      <c r="C30" t="s">
        <v>80</v>
      </c>
      <c r="D30" t="s">
        <v>83</v>
      </c>
      <c r="E30" s="13">
        <v>6.4</v>
      </c>
      <c r="F30" s="14">
        <f t="shared" si="0"/>
        <v>0.71111111111111114</v>
      </c>
      <c r="G30" s="2">
        <v>108.36</v>
      </c>
      <c r="H30" s="2">
        <f t="shared" si="1"/>
        <v>0.81838235329389997</v>
      </c>
      <c r="I30" s="2">
        <v>62.8</v>
      </c>
      <c r="J30" s="4">
        <f t="shared" si="2"/>
        <v>0.49644268774703554</v>
      </c>
      <c r="K30" s="2">
        <v>0.5</v>
      </c>
      <c r="L30" s="4">
        <f t="shared" si="3"/>
        <v>0.25</v>
      </c>
      <c r="M30" s="2">
        <v>16302</v>
      </c>
      <c r="N30" s="2">
        <f t="shared" si="4"/>
        <v>7.6000813804393594E-2</v>
      </c>
      <c r="O30" s="2">
        <v>0.354168918</v>
      </c>
      <c r="P30" s="2">
        <f t="shared" si="5"/>
        <v>0.3316819251149335</v>
      </c>
      <c r="Q30" s="2">
        <v>0.2838</v>
      </c>
      <c r="R30" s="2">
        <f t="shared" si="6"/>
        <v>0.66242038216560517</v>
      </c>
      <c r="S30" s="2">
        <f t="shared" si="7"/>
        <v>0.18916707039473718</v>
      </c>
      <c r="T30" s="5">
        <f t="shared" si="8"/>
        <v>0.49406943592703362</v>
      </c>
      <c r="U30" s="2" t="str">
        <f t="shared" si="9"/>
        <v>Moderate</v>
      </c>
      <c r="V30" s="2">
        <f t="shared" si="10"/>
        <v>0.25210307258379078</v>
      </c>
      <c r="W30" s="2">
        <f t="shared" si="11"/>
        <v>0.61150987215038322</v>
      </c>
      <c r="X30" s="2" t="str">
        <f t="shared" si="12"/>
        <v>Moderate</v>
      </c>
      <c r="Y30" s="2">
        <f t="shared" si="13"/>
        <v>0.12623106820568364</v>
      </c>
      <c r="Z30" s="2">
        <f t="shared" si="14"/>
        <v>0.3226566833407758</v>
      </c>
      <c r="AA30" s="2" t="str">
        <f t="shared" si="15"/>
        <v>Moderate</v>
      </c>
      <c r="AB30" s="2">
        <f t="shared" si="16"/>
        <v>0.13622889707188421</v>
      </c>
      <c r="AC30" s="2">
        <f t="shared" si="17"/>
        <v>0.4949602585672942</v>
      </c>
      <c r="AD30" s="2" t="str">
        <f t="shared" si="18"/>
        <v>Moderate</v>
      </c>
      <c r="AE30" s="2">
        <f t="shared" si="19"/>
        <v>2.8924289159578117E-2</v>
      </c>
      <c r="AF30" s="2">
        <f t="shared" si="20"/>
        <v>0.22034858098709767</v>
      </c>
      <c r="AG30" s="2" t="s">
        <v>1175</v>
      </c>
    </row>
    <row r="31" spans="1:33" x14ac:dyDescent="0.3">
      <c r="A31">
        <v>107855</v>
      </c>
      <c r="B31" t="s">
        <v>84</v>
      </c>
      <c r="C31" t="s">
        <v>80</v>
      </c>
      <c r="D31" t="s">
        <v>85</v>
      </c>
      <c r="E31" s="13">
        <v>7.4</v>
      </c>
      <c r="F31" s="14">
        <f t="shared" si="0"/>
        <v>0.93333333333333335</v>
      </c>
      <c r="G31" s="2">
        <v>83.04</v>
      </c>
      <c r="H31" s="2">
        <f t="shared" si="1"/>
        <v>0.54482144820178502</v>
      </c>
      <c r="I31" s="2">
        <v>44.5</v>
      </c>
      <c r="J31" s="4">
        <f t="shared" si="2"/>
        <v>0.35177865612648224</v>
      </c>
      <c r="K31" s="2">
        <v>0</v>
      </c>
      <c r="L31" s="4">
        <f t="shared" si="3"/>
        <v>0</v>
      </c>
      <c r="M31" s="2">
        <v>9856</v>
      </c>
      <c r="N31" s="2">
        <f t="shared" si="4"/>
        <v>4.5502074728061587E-2</v>
      </c>
      <c r="O31" s="2">
        <v>0.32050952900000002</v>
      </c>
      <c r="P31" s="2">
        <f t="shared" si="5"/>
        <v>0.29279893099444237</v>
      </c>
      <c r="Q31" s="2">
        <v>0.28639999999999999</v>
      </c>
      <c r="R31" s="2">
        <f t="shared" si="6"/>
        <v>0.6699478865083961</v>
      </c>
      <c r="S31" s="2">
        <f t="shared" si="7"/>
        <v>0.1409891531790762</v>
      </c>
      <c r="T31" s="5">
        <f t="shared" si="8"/>
        <v>0.36823761787746273</v>
      </c>
      <c r="U31" s="2" t="str">
        <f t="shared" si="9"/>
        <v>Moderate</v>
      </c>
      <c r="V31" s="2">
        <f t="shared" si="10"/>
        <v>0.19622061267972382</v>
      </c>
      <c r="W31" s="2">
        <f t="shared" si="11"/>
        <v>0.47595945794419764</v>
      </c>
      <c r="X31" s="2" t="str">
        <f t="shared" si="12"/>
        <v>Moderate</v>
      </c>
      <c r="Y31" s="2">
        <f t="shared" si="13"/>
        <v>8.5757693678428573E-2</v>
      </c>
      <c r="Z31" s="2">
        <f t="shared" si="14"/>
        <v>0.21920350834827287</v>
      </c>
      <c r="AA31" s="2" t="str">
        <f t="shared" si="15"/>
        <v>Low</v>
      </c>
      <c r="AB31" s="2">
        <f t="shared" si="16"/>
        <v>9.9068998400524605E-2</v>
      </c>
      <c r="AC31" s="2">
        <f t="shared" si="17"/>
        <v>0.35994725141503559</v>
      </c>
      <c r="AD31" s="2" t="str">
        <f t="shared" si="18"/>
        <v>Moderate</v>
      </c>
      <c r="AE31" s="2">
        <f t="shared" si="19"/>
        <v>1.3327073883121992E-2</v>
      </c>
      <c r="AF31" s="2">
        <f t="shared" si="20"/>
        <v>0.10152719061321171</v>
      </c>
      <c r="AG31" s="2" t="s">
        <v>1175</v>
      </c>
    </row>
    <row r="32" spans="1:33" x14ac:dyDescent="0.3">
      <c r="A32" s="16">
        <v>107857</v>
      </c>
      <c r="B32" s="16" t="s">
        <v>86</v>
      </c>
      <c r="C32" s="16" t="s">
        <v>80</v>
      </c>
      <c r="D32" s="16" t="s">
        <v>87</v>
      </c>
      <c r="E32" s="17">
        <v>7.4</v>
      </c>
      <c r="F32" s="14">
        <f t="shared" si="0"/>
        <v>0.93333333333333335</v>
      </c>
      <c r="G32" s="2">
        <v>122.8</v>
      </c>
      <c r="H32" s="2">
        <f t="shared" si="1"/>
        <v>0.97439418068450578</v>
      </c>
      <c r="I32" s="2">
        <v>62.9</v>
      </c>
      <c r="J32" s="4">
        <f t="shared" si="2"/>
        <v>0.49723320158102768</v>
      </c>
      <c r="K32" s="2">
        <v>0.5</v>
      </c>
      <c r="L32" s="4">
        <f t="shared" si="3"/>
        <v>0.25</v>
      </c>
      <c r="M32" s="2">
        <v>35512</v>
      </c>
      <c r="N32" s="2">
        <f t="shared" si="4"/>
        <v>0.16689140915908457</v>
      </c>
      <c r="O32" s="2">
        <v>0.42191277799999999</v>
      </c>
      <c r="P32" s="2">
        <f t="shared" si="5"/>
        <v>0.40993896388885109</v>
      </c>
      <c r="Q32" s="2">
        <v>0.25509999999999999</v>
      </c>
      <c r="R32" s="2">
        <f t="shared" si="6"/>
        <v>0.5793283149971048</v>
      </c>
      <c r="S32" s="2">
        <f t="shared" si="7"/>
        <v>0.27241038137236323</v>
      </c>
      <c r="T32" s="5">
        <f t="shared" si="8"/>
        <v>0.71148558353450098</v>
      </c>
      <c r="U32" s="2" t="str">
        <f t="shared" si="9"/>
        <v>High</v>
      </c>
      <c r="V32" s="2">
        <f t="shared" si="10"/>
        <v>0.31905441652915123</v>
      </c>
      <c r="W32" s="2">
        <f t="shared" si="11"/>
        <v>0.77390935168356545</v>
      </c>
      <c r="X32" s="2" t="str">
        <f t="shared" si="12"/>
        <v>High</v>
      </c>
      <c r="Y32" s="2">
        <f t="shared" si="13"/>
        <v>0.22576634621557523</v>
      </c>
      <c r="Z32" s="2">
        <f t="shared" si="14"/>
        <v>0.57707679666615475</v>
      </c>
      <c r="AA32" s="2" t="str">
        <f t="shared" si="15"/>
        <v>Moderate</v>
      </c>
      <c r="AB32" s="2">
        <f t="shared" si="16"/>
        <v>0.21156828080130727</v>
      </c>
      <c r="AC32" s="2">
        <f t="shared" si="17"/>
        <v>0.76869073464491322</v>
      </c>
      <c r="AD32" s="2" t="str">
        <f t="shared" si="18"/>
        <v>High</v>
      </c>
      <c r="AE32" s="2">
        <f t="shared" si="19"/>
        <v>9.1912374718376544E-2</v>
      </c>
      <c r="AF32" s="2">
        <f t="shared" si="20"/>
        <v>0.70019910368798377</v>
      </c>
      <c r="AG32" s="2" t="str">
        <f t="shared" si="21"/>
        <v>High</v>
      </c>
    </row>
    <row r="33" spans="1:33" x14ac:dyDescent="0.3">
      <c r="A33">
        <v>107866</v>
      </c>
      <c r="B33" t="s">
        <v>88</v>
      </c>
      <c r="C33" t="s">
        <v>80</v>
      </c>
      <c r="D33" t="s">
        <v>89</v>
      </c>
      <c r="E33" s="13">
        <v>7.4</v>
      </c>
      <c r="F33" s="14">
        <f t="shared" si="0"/>
        <v>0.93333333333333335</v>
      </c>
      <c r="G33" s="2">
        <v>120.63</v>
      </c>
      <c r="H33" s="2">
        <f t="shared" si="1"/>
        <v>0.95094919000323053</v>
      </c>
      <c r="I33" s="2">
        <v>76.400000000000006</v>
      </c>
      <c r="J33" s="4">
        <f t="shared" si="2"/>
        <v>0.60395256916996054</v>
      </c>
      <c r="K33" s="2">
        <v>0.5</v>
      </c>
      <c r="L33" s="4">
        <f t="shared" si="3"/>
        <v>0.25</v>
      </c>
      <c r="M33" s="2">
        <v>36052</v>
      </c>
      <c r="N33" s="2">
        <f t="shared" si="4"/>
        <v>0.16944637644130908</v>
      </c>
      <c r="O33" s="2">
        <v>0.26684560499999999</v>
      </c>
      <c r="P33" s="2">
        <f t="shared" si="5"/>
        <v>0.23080689538813695</v>
      </c>
      <c r="Q33" s="2">
        <v>0.20119999999999999</v>
      </c>
      <c r="R33" s="2">
        <f t="shared" si="6"/>
        <v>0.42327735958309209</v>
      </c>
      <c r="S33" s="2">
        <f t="shared" si="7"/>
        <v>0.18900895284536048</v>
      </c>
      <c r="T33" s="5">
        <f t="shared" si="8"/>
        <v>0.49365646210306052</v>
      </c>
      <c r="U33" s="2" t="str">
        <f t="shared" si="9"/>
        <v>Moderate</v>
      </c>
      <c r="V33" s="2">
        <f t="shared" si="10"/>
        <v>0.24462662077523464</v>
      </c>
      <c r="W33" s="2">
        <f t="shared" si="11"/>
        <v>0.59337473384075745</v>
      </c>
      <c r="X33" s="2" t="str">
        <f t="shared" si="12"/>
        <v>Moderate</v>
      </c>
      <c r="Y33" s="2">
        <f t="shared" si="13"/>
        <v>0.13339128491548638</v>
      </c>
      <c r="Z33" s="2">
        <f t="shared" si="14"/>
        <v>0.34095876862315422</v>
      </c>
      <c r="AA33" s="2" t="str">
        <f t="shared" si="15"/>
        <v>Moderate</v>
      </c>
      <c r="AB33" s="2">
        <f t="shared" si="16"/>
        <v>0.15991182456987049</v>
      </c>
      <c r="AC33" s="2">
        <f t="shared" si="17"/>
        <v>0.58100740546483043</v>
      </c>
      <c r="AD33" s="2" t="str">
        <f t="shared" si="18"/>
        <v>Moderate</v>
      </c>
      <c r="AE33" s="2">
        <f t="shared" si="19"/>
        <v>9.7928919496835604E-2</v>
      </c>
      <c r="AF33" s="2">
        <f t="shared" si="20"/>
        <v>0.74603383784738053</v>
      </c>
      <c r="AG33" s="2" t="str">
        <f t="shared" si="21"/>
        <v>High</v>
      </c>
    </row>
    <row r="34" spans="1:33" x14ac:dyDescent="0.3">
      <c r="A34">
        <v>107876</v>
      </c>
      <c r="B34" t="s">
        <v>90</v>
      </c>
      <c r="C34" t="s">
        <v>80</v>
      </c>
      <c r="D34" t="s">
        <v>91</v>
      </c>
      <c r="E34" s="13">
        <v>7.4</v>
      </c>
      <c r="F34" s="14">
        <f t="shared" si="0"/>
        <v>0.93333333333333335</v>
      </c>
      <c r="G34" s="2">
        <v>93.85</v>
      </c>
      <c r="H34" s="2">
        <f t="shared" si="1"/>
        <v>0.6616142358813174</v>
      </c>
      <c r="I34" s="2">
        <v>48.6</v>
      </c>
      <c r="J34" s="4">
        <f t="shared" si="2"/>
        <v>0.38418972332015811</v>
      </c>
      <c r="K34" s="2">
        <v>0</v>
      </c>
      <c r="L34" s="4">
        <f t="shared" si="3"/>
        <v>0</v>
      </c>
      <c r="M34" s="2">
        <v>16333</v>
      </c>
      <c r="N34" s="2">
        <f t="shared" si="4"/>
        <v>7.6147487852076853E-2</v>
      </c>
      <c r="O34" s="2">
        <v>0.24920603099999999</v>
      </c>
      <c r="P34" s="2">
        <f t="shared" si="5"/>
        <v>0.21042983351901129</v>
      </c>
      <c r="Q34" s="2">
        <v>0.27389999999999998</v>
      </c>
      <c r="R34" s="2">
        <f t="shared" si="6"/>
        <v>0.63375796178343946</v>
      </c>
      <c r="S34" s="2">
        <f t="shared" si="7"/>
        <v>0.14419963997735508</v>
      </c>
      <c r="T34" s="5">
        <f t="shared" si="8"/>
        <v>0.37662281620065335</v>
      </c>
      <c r="U34" s="2" t="str">
        <f t="shared" si="9"/>
        <v>Moderate</v>
      </c>
      <c r="V34" s="2">
        <f t="shared" si="10"/>
        <v>0.21651028463213559</v>
      </c>
      <c r="W34" s="2">
        <f t="shared" si="11"/>
        <v>0.5251747831460305</v>
      </c>
      <c r="X34" s="2" t="str">
        <f t="shared" si="12"/>
        <v>Moderate</v>
      </c>
      <c r="Y34" s="2">
        <f t="shared" si="13"/>
        <v>7.188899532257452E-2</v>
      </c>
      <c r="Z34" s="2">
        <f t="shared" si="14"/>
        <v>0.18375400865409175</v>
      </c>
      <c r="AA34" s="2" t="str">
        <f t="shared" si="15"/>
        <v>Low</v>
      </c>
      <c r="AB34" s="2">
        <f t="shared" si="16"/>
        <v>0.10645027258057957</v>
      </c>
      <c r="AC34" s="2">
        <f t="shared" si="17"/>
        <v>0.3867656244272481</v>
      </c>
      <c r="AD34" s="2" t="str">
        <f t="shared" si="18"/>
        <v>Moderate</v>
      </c>
      <c r="AE34" s="2">
        <f t="shared" si="19"/>
        <v>2.601421246445642E-2</v>
      </c>
      <c r="AF34" s="2">
        <f t="shared" si="20"/>
        <v>0.19817928006509564</v>
      </c>
      <c r="AG34" s="2" t="s">
        <v>1175</v>
      </c>
    </row>
    <row r="35" spans="1:33" x14ac:dyDescent="0.3">
      <c r="A35">
        <v>107895</v>
      </c>
      <c r="B35" t="s">
        <v>92</v>
      </c>
      <c r="C35" t="s">
        <v>80</v>
      </c>
      <c r="D35" t="s">
        <v>93</v>
      </c>
      <c r="E35" s="13">
        <v>7.4</v>
      </c>
      <c r="F35" s="14">
        <f t="shared" si="0"/>
        <v>0.93333333333333335</v>
      </c>
      <c r="G35" s="2">
        <v>94.15</v>
      </c>
      <c r="H35" s="2">
        <f t="shared" si="1"/>
        <v>0.66485547883264595</v>
      </c>
      <c r="I35" s="2">
        <v>52.4</v>
      </c>
      <c r="J35" s="4">
        <f t="shared" si="2"/>
        <v>0.4142292490118577</v>
      </c>
      <c r="K35" s="2">
        <v>0.5</v>
      </c>
      <c r="L35" s="4">
        <f t="shared" si="3"/>
        <v>0.25</v>
      </c>
      <c r="M35" s="2">
        <v>53541</v>
      </c>
      <c r="N35" s="2">
        <f t="shared" si="4"/>
        <v>0.25219419643913266</v>
      </c>
      <c r="O35" s="2">
        <v>0.27040786700000002</v>
      </c>
      <c r="P35" s="2">
        <f t="shared" si="5"/>
        <v>0.23492198530856451</v>
      </c>
      <c r="Q35" s="2">
        <v>0.27210000000000001</v>
      </c>
      <c r="R35" s="2">
        <f t="shared" si="6"/>
        <v>0.62854661262304579</v>
      </c>
      <c r="S35" s="2">
        <f t="shared" si="7"/>
        <v>0.18240817783781982</v>
      </c>
      <c r="T35" s="5">
        <f t="shared" si="8"/>
        <v>0.47641645739266558</v>
      </c>
      <c r="U35" s="2" t="str">
        <f t="shared" si="9"/>
        <v>Moderate</v>
      </c>
      <c r="V35" s="2">
        <f t="shared" si="10"/>
        <v>0.26556157935412172</v>
      </c>
      <c r="W35" s="2">
        <f t="shared" si="11"/>
        <v>0.64415528844821413</v>
      </c>
      <c r="X35" s="2" t="str">
        <f t="shared" si="12"/>
        <v>Moderate</v>
      </c>
      <c r="Y35" s="2">
        <f t="shared" si="13"/>
        <v>9.9254776321517899E-2</v>
      </c>
      <c r="Z35" s="2">
        <f t="shared" si="14"/>
        <v>0.25370312862637706</v>
      </c>
      <c r="AA35" s="2" t="str">
        <f t="shared" si="15"/>
        <v>Low</v>
      </c>
      <c r="AB35" s="2">
        <f t="shared" si="16"/>
        <v>0.16001629171621348</v>
      </c>
      <c r="AC35" s="2">
        <f t="shared" si="17"/>
        <v>0.58138696579951066</v>
      </c>
      <c r="AD35" s="2" t="str">
        <f t="shared" si="18"/>
        <v>Moderate</v>
      </c>
      <c r="AE35" s="2">
        <f t="shared" si="19"/>
        <v>0.1065523029880443</v>
      </c>
      <c r="AF35" s="2">
        <f t="shared" si="20"/>
        <v>0.81172777089832215</v>
      </c>
      <c r="AG35" s="2" t="str">
        <f t="shared" si="21"/>
        <v>High</v>
      </c>
    </row>
    <row r="36" spans="1:33" x14ac:dyDescent="0.3">
      <c r="A36" s="9">
        <v>107897</v>
      </c>
      <c r="B36" s="9" t="s">
        <v>1165</v>
      </c>
      <c r="C36" s="9" t="s">
        <v>80</v>
      </c>
      <c r="D36" s="9" t="s">
        <v>1170</v>
      </c>
      <c r="E36" s="15">
        <v>7.4</v>
      </c>
      <c r="F36" s="14">
        <f t="shared" si="0"/>
        <v>0.93333333333333335</v>
      </c>
      <c r="G36" s="2">
        <v>122.8</v>
      </c>
      <c r="H36" s="2">
        <f t="shared" si="1"/>
        <v>0.97439418068450578</v>
      </c>
      <c r="I36" s="2">
        <v>52.4</v>
      </c>
      <c r="J36" s="4">
        <f t="shared" si="2"/>
        <v>0.4142292490118577</v>
      </c>
      <c r="K36" s="2">
        <v>0.5</v>
      </c>
      <c r="L36" s="4">
        <f t="shared" si="3"/>
        <v>0.25</v>
      </c>
      <c r="M36" s="2">
        <v>35512</v>
      </c>
      <c r="N36" s="2">
        <f t="shared" si="4"/>
        <v>0.16689140915908457</v>
      </c>
      <c r="O36" s="2">
        <v>0.42191277799999999</v>
      </c>
      <c r="P36" s="2">
        <f t="shared" si="5"/>
        <v>0.40993896388885109</v>
      </c>
      <c r="Q36" s="2">
        <v>0.25509999999999999</v>
      </c>
      <c r="R36" s="2">
        <f t="shared" si="6"/>
        <v>0.5793283149971048</v>
      </c>
      <c r="S36" s="2">
        <f t="shared" si="7"/>
        <v>0.2589985759708659</v>
      </c>
      <c r="T36" s="5">
        <f t="shared" si="8"/>
        <v>0.67645642589277399</v>
      </c>
      <c r="U36" s="2" t="str">
        <f t="shared" si="9"/>
        <v>Moderate</v>
      </c>
      <c r="V36" s="2">
        <f t="shared" si="10"/>
        <v>0.30334614680235228</v>
      </c>
      <c r="W36" s="2">
        <f t="shared" si="11"/>
        <v>0.73580683308317862</v>
      </c>
      <c r="X36" s="2" t="str">
        <f t="shared" si="12"/>
        <v>High</v>
      </c>
      <c r="Y36" s="2">
        <f t="shared" si="13"/>
        <v>0.21465100513937951</v>
      </c>
      <c r="Z36" s="2">
        <f t="shared" si="14"/>
        <v>0.54866509789162665</v>
      </c>
      <c r="AA36" s="2" t="str">
        <f t="shared" si="15"/>
        <v>Moderate</v>
      </c>
      <c r="AB36" s="2">
        <f t="shared" si="16"/>
        <v>0.20115196481165407</v>
      </c>
      <c r="AC36" s="2">
        <f t="shared" si="17"/>
        <v>0.73084514852938531</v>
      </c>
      <c r="AD36" s="2" t="str">
        <f t="shared" si="18"/>
        <v>High</v>
      </c>
      <c r="AE36" s="2">
        <f t="shared" si="19"/>
        <v>8.7387176825762636E-2</v>
      </c>
      <c r="AF36" s="2">
        <f t="shared" si="20"/>
        <v>0.66572562263467017</v>
      </c>
      <c r="AG36" s="2" t="str">
        <f t="shared" si="21"/>
        <v>Moderate</v>
      </c>
    </row>
    <row r="37" spans="1:33" x14ac:dyDescent="0.3">
      <c r="A37">
        <v>107914</v>
      </c>
      <c r="B37" t="s">
        <v>94</v>
      </c>
      <c r="C37" t="s">
        <v>95</v>
      </c>
      <c r="D37" t="s">
        <v>96</v>
      </c>
      <c r="E37" s="13">
        <v>7.1</v>
      </c>
      <c r="F37" s="14">
        <f t="shared" si="0"/>
        <v>0.86666666666666659</v>
      </c>
      <c r="G37" s="2">
        <v>83.04</v>
      </c>
      <c r="H37" s="2">
        <f t="shared" si="1"/>
        <v>0.54482144820178502</v>
      </c>
      <c r="I37" s="2">
        <v>57.6</v>
      </c>
      <c r="J37" s="4">
        <f t="shared" si="2"/>
        <v>0.45533596837944668</v>
      </c>
      <c r="K37" s="2">
        <v>2</v>
      </c>
      <c r="L37" s="4">
        <f t="shared" si="3"/>
        <v>1</v>
      </c>
      <c r="M37" s="2">
        <v>20310</v>
      </c>
      <c r="N37" s="2">
        <f t="shared" si="4"/>
        <v>9.4964348743571181E-2</v>
      </c>
      <c r="O37" s="2">
        <v>0.33011159299999998</v>
      </c>
      <c r="P37" s="2">
        <f t="shared" si="5"/>
        <v>0.30389114060218597</v>
      </c>
      <c r="Q37" s="2">
        <v>0.30020000000000002</v>
      </c>
      <c r="R37" s="2">
        <f t="shared" si="6"/>
        <v>0.70990156340474819</v>
      </c>
      <c r="S37" s="2">
        <f t="shared" si="7"/>
        <v>0.28557581577548696</v>
      </c>
      <c r="T37" s="5">
        <f t="shared" si="8"/>
        <v>0.74587126564985229</v>
      </c>
      <c r="U37" s="2" t="str">
        <f t="shared" si="9"/>
        <v>High</v>
      </c>
      <c r="V37" s="2">
        <f t="shared" si="10"/>
        <v>0.39994511163540181</v>
      </c>
      <c r="W37" s="2">
        <f t="shared" si="11"/>
        <v>0.97012060018446666</v>
      </c>
      <c r="X37" s="2" t="str">
        <f t="shared" si="12"/>
        <v>High</v>
      </c>
      <c r="Y37" s="2">
        <f t="shared" si="13"/>
        <v>0.17120651991557218</v>
      </c>
      <c r="Z37" s="2">
        <f t="shared" si="14"/>
        <v>0.43761752686956767</v>
      </c>
      <c r="AA37" s="2" t="str">
        <f t="shared" si="15"/>
        <v>Moderate</v>
      </c>
      <c r="AB37" s="2">
        <f t="shared" si="16"/>
        <v>0.21006813622258746</v>
      </c>
      <c r="AC37" s="2">
        <f t="shared" si="17"/>
        <v>0.76324026147416102</v>
      </c>
      <c r="AD37" s="2" t="str">
        <f t="shared" si="18"/>
        <v>High</v>
      </c>
      <c r="AE37" s="2">
        <f t="shared" si="19"/>
        <v>5.3501117644357575E-2</v>
      </c>
      <c r="AF37" s="2">
        <f t="shared" si="20"/>
        <v>0.40757770360811574</v>
      </c>
      <c r="AG37" s="2" t="str">
        <f t="shared" si="21"/>
        <v>Moderate</v>
      </c>
    </row>
    <row r="38" spans="1:33" x14ac:dyDescent="0.3">
      <c r="A38">
        <v>107947</v>
      </c>
      <c r="B38" t="s">
        <v>97</v>
      </c>
      <c r="C38" t="s">
        <v>95</v>
      </c>
      <c r="D38" t="s">
        <v>98</v>
      </c>
      <c r="E38" s="13">
        <v>7.2</v>
      </c>
      <c r="F38" s="14">
        <f t="shared" si="0"/>
        <v>0.88888888888888884</v>
      </c>
      <c r="G38" s="2">
        <v>79.900000000000006</v>
      </c>
      <c r="H38" s="2">
        <f t="shared" si="1"/>
        <v>0.51089643864454803</v>
      </c>
      <c r="I38" s="2">
        <v>56.5</v>
      </c>
      <c r="J38" s="4">
        <f t="shared" si="2"/>
        <v>0.44664031620553357</v>
      </c>
      <c r="K38" s="2">
        <v>0</v>
      </c>
      <c r="L38" s="4">
        <f t="shared" si="3"/>
        <v>0</v>
      </c>
      <c r="M38" s="2">
        <v>9387</v>
      </c>
      <c r="N38" s="2">
        <f t="shared" si="4"/>
        <v>4.3283038329240651E-2</v>
      </c>
      <c r="O38" s="2">
        <v>0.32624590999999997</v>
      </c>
      <c r="P38" s="2">
        <f t="shared" si="5"/>
        <v>0.29942554173582853</v>
      </c>
      <c r="Q38" s="2">
        <v>0.29949999999999999</v>
      </c>
      <c r="R38" s="2">
        <f t="shared" si="6"/>
        <v>0.70787492762015058</v>
      </c>
      <c r="S38" s="2">
        <f t="shared" si="7"/>
        <v>0.15003756795783593</v>
      </c>
      <c r="T38" s="5">
        <f t="shared" si="8"/>
        <v>0.39187040542577606</v>
      </c>
      <c r="U38" s="2" t="str">
        <f t="shared" si="9"/>
        <v>Moderate</v>
      </c>
      <c r="V38" s="2">
        <f t="shared" si="10"/>
        <v>0.21087617009919765</v>
      </c>
      <c r="W38" s="2">
        <f t="shared" si="11"/>
        <v>0.51150848141314553</v>
      </c>
      <c r="X38" s="2" t="str">
        <f t="shared" si="12"/>
        <v>Moderate</v>
      </c>
      <c r="Y38" s="2">
        <f t="shared" si="13"/>
        <v>8.9198965816474227E-2</v>
      </c>
      <c r="Z38" s="2">
        <f t="shared" si="14"/>
        <v>0.22799967454030418</v>
      </c>
      <c r="AA38" s="2" t="str">
        <f t="shared" si="15"/>
        <v>Low</v>
      </c>
      <c r="AB38" s="2">
        <f t="shared" si="16"/>
        <v>0.10507926017528323</v>
      </c>
      <c r="AC38" s="2">
        <f t="shared" si="17"/>
        <v>0.38178432699909404</v>
      </c>
      <c r="AD38" s="2" t="str">
        <f t="shared" si="18"/>
        <v>Moderate</v>
      </c>
      <c r="AE38" s="2">
        <f t="shared" si="19"/>
        <v>1.2894031130347979E-2</v>
      </c>
      <c r="AF38" s="2">
        <f t="shared" si="20"/>
        <v>9.8228220825084603E-2</v>
      </c>
      <c r="AG38" s="2" t="s">
        <v>1175</v>
      </c>
    </row>
    <row r="39" spans="1:33" x14ac:dyDescent="0.3">
      <c r="A39">
        <v>107958</v>
      </c>
      <c r="B39" t="s">
        <v>99</v>
      </c>
      <c r="C39" t="s">
        <v>95</v>
      </c>
      <c r="D39" t="s">
        <v>100</v>
      </c>
      <c r="E39" s="13">
        <v>7.1</v>
      </c>
      <c r="F39" s="14">
        <f t="shared" si="0"/>
        <v>0.86666666666666659</v>
      </c>
      <c r="G39" s="2">
        <v>82.59</v>
      </c>
      <c r="H39" s="2">
        <f t="shared" si="1"/>
        <v>0.53995958377479247</v>
      </c>
      <c r="I39" s="2">
        <v>68.7</v>
      </c>
      <c r="J39" s="4">
        <f t="shared" si="2"/>
        <v>0.54308300395256914</v>
      </c>
      <c r="K39" s="2">
        <v>2</v>
      </c>
      <c r="L39" s="4">
        <f t="shared" si="3"/>
        <v>1</v>
      </c>
      <c r="M39" s="2">
        <v>34224</v>
      </c>
      <c r="N39" s="2">
        <f t="shared" si="4"/>
        <v>0.16079733904888976</v>
      </c>
      <c r="O39" s="2">
        <v>0.55139578199999995</v>
      </c>
      <c r="P39" s="2">
        <f t="shared" si="5"/>
        <v>0.55951645275044426</v>
      </c>
      <c r="Q39" s="2">
        <v>0.26869999999999999</v>
      </c>
      <c r="R39" s="2">
        <f t="shared" si="6"/>
        <v>0.61870295309785761</v>
      </c>
      <c r="S39" s="2">
        <f t="shared" si="7"/>
        <v>0.34670456155039436</v>
      </c>
      <c r="T39" s="5">
        <f t="shared" si="8"/>
        <v>0.90552825500277179</v>
      </c>
      <c r="U39" s="2" t="str">
        <f t="shared" si="9"/>
        <v>High</v>
      </c>
      <c r="V39" s="2">
        <f t="shared" si="10"/>
        <v>0.36412086750393441</v>
      </c>
      <c r="W39" s="2">
        <f t="shared" si="11"/>
        <v>0.88322408312025436</v>
      </c>
      <c r="X39" s="2" t="str">
        <f t="shared" si="12"/>
        <v>High</v>
      </c>
      <c r="Y39" s="2">
        <f t="shared" si="13"/>
        <v>0.32928825559685432</v>
      </c>
      <c r="Z39" s="2">
        <f t="shared" si="14"/>
        <v>0.84168705790265042</v>
      </c>
      <c r="AA39" s="2" t="str">
        <f t="shared" si="15"/>
        <v>High</v>
      </c>
      <c r="AB39" s="2">
        <f t="shared" si="16"/>
        <v>0.25935030203533022</v>
      </c>
      <c r="AC39" s="2">
        <f t="shared" si="17"/>
        <v>0.94229708464259676</v>
      </c>
      <c r="AD39" s="2" t="str">
        <f t="shared" si="18"/>
        <v>High</v>
      </c>
      <c r="AE39" s="2">
        <f t="shared" si="19"/>
        <v>9.463291922827699E-2</v>
      </c>
      <c r="AF39" s="2">
        <f t="shared" si="20"/>
        <v>0.72092452649652639</v>
      </c>
      <c r="AG39" s="2" t="str">
        <f t="shared" si="21"/>
        <v>High</v>
      </c>
    </row>
    <row r="40" spans="1:33" x14ac:dyDescent="0.3">
      <c r="A40">
        <v>107976</v>
      </c>
      <c r="B40" t="s">
        <v>101</v>
      </c>
      <c r="C40" t="s">
        <v>95</v>
      </c>
      <c r="D40" t="s">
        <v>102</v>
      </c>
      <c r="E40" s="13">
        <v>7</v>
      </c>
      <c r="F40" s="14">
        <f t="shared" si="0"/>
        <v>0.84444444444444444</v>
      </c>
      <c r="G40" s="2">
        <v>73.489999999999995</v>
      </c>
      <c r="H40" s="2">
        <f t="shared" si="1"/>
        <v>0.44164188091783163</v>
      </c>
      <c r="I40" s="2">
        <v>52.5</v>
      </c>
      <c r="J40" s="4">
        <f t="shared" si="2"/>
        <v>0.41501976284584979</v>
      </c>
      <c r="K40" s="2">
        <v>0</v>
      </c>
      <c r="L40" s="4">
        <f t="shared" si="3"/>
        <v>0</v>
      </c>
      <c r="M40" s="2">
        <v>7339</v>
      </c>
      <c r="N40" s="2">
        <f t="shared" si="4"/>
        <v>3.3593088340359491E-2</v>
      </c>
      <c r="O40" s="2">
        <v>0.67154465100000005</v>
      </c>
      <c r="P40" s="2">
        <f t="shared" si="5"/>
        <v>0.69831124094195496</v>
      </c>
      <c r="Q40" s="2">
        <v>0.2717</v>
      </c>
      <c r="R40" s="2">
        <f t="shared" si="6"/>
        <v>0.62738853503184722</v>
      </c>
      <c r="S40" s="2">
        <f t="shared" si="7"/>
        <v>0.16782769760737842</v>
      </c>
      <c r="T40" s="5">
        <f t="shared" si="8"/>
        <v>0.43833493703097021</v>
      </c>
      <c r="U40" s="2" t="str">
        <f t="shared" si="9"/>
        <v>Moderate</v>
      </c>
      <c r="V40" s="2">
        <f t="shared" si="10"/>
        <v>0.15884919835988831</v>
      </c>
      <c r="W40" s="2">
        <f t="shared" si="11"/>
        <v>0.38531007172854159</v>
      </c>
      <c r="X40" s="2" t="str">
        <f t="shared" si="12"/>
        <v>Moderate</v>
      </c>
      <c r="Y40" s="2">
        <f t="shared" si="13"/>
        <v>0.17680619685486854</v>
      </c>
      <c r="Z40" s="2">
        <f t="shared" si="14"/>
        <v>0.45193074797032867</v>
      </c>
      <c r="AA40" s="2" t="str">
        <f t="shared" si="15"/>
        <v>Moderate</v>
      </c>
      <c r="AB40" s="2">
        <f t="shared" si="16"/>
        <v>0.11161599342327204</v>
      </c>
      <c r="AC40" s="2">
        <f t="shared" si="17"/>
        <v>0.40553423064033639</v>
      </c>
      <c r="AD40" s="2" t="str">
        <f t="shared" si="18"/>
        <v>Moderate</v>
      </c>
      <c r="AE40" s="2">
        <f t="shared" si="19"/>
        <v>8.5054712595730494E-3</v>
      </c>
      <c r="AF40" s="2">
        <f t="shared" si="20"/>
        <v>6.4795664029407729E-2</v>
      </c>
      <c r="AG40" s="2" t="s">
        <v>1175</v>
      </c>
    </row>
    <row r="41" spans="1:33" x14ac:dyDescent="0.3">
      <c r="A41">
        <v>107980</v>
      </c>
      <c r="B41" t="s">
        <v>103</v>
      </c>
      <c r="C41" t="s">
        <v>95</v>
      </c>
      <c r="D41" t="s">
        <v>104</v>
      </c>
      <c r="E41" s="13">
        <v>7.1</v>
      </c>
      <c r="F41" s="14">
        <f t="shared" si="0"/>
        <v>0.86666666666666659</v>
      </c>
      <c r="G41" s="2">
        <v>79.900000000000006</v>
      </c>
      <c r="H41" s="2">
        <f t="shared" si="1"/>
        <v>0.51089643864454803</v>
      </c>
      <c r="I41" s="2">
        <v>56.5</v>
      </c>
      <c r="J41" s="4">
        <f t="shared" si="2"/>
        <v>0.44664031620553357</v>
      </c>
      <c r="K41" s="2">
        <v>0</v>
      </c>
      <c r="L41" s="4">
        <f t="shared" si="3"/>
        <v>0</v>
      </c>
      <c r="M41" s="2">
        <v>16497</v>
      </c>
      <c r="N41" s="2">
        <f t="shared" si="4"/>
        <v>7.692344087853023E-2</v>
      </c>
      <c r="O41" s="2">
        <v>0.44007054699999998</v>
      </c>
      <c r="P41" s="2">
        <f t="shared" si="5"/>
        <v>0.43091463950994557</v>
      </c>
      <c r="Q41" s="2">
        <v>0.31269999999999998</v>
      </c>
      <c r="R41" s="2">
        <f t="shared" si="6"/>
        <v>0.74609148812970472</v>
      </c>
      <c r="S41" s="2">
        <f t="shared" si="7"/>
        <v>0.17093237189797431</v>
      </c>
      <c r="T41" s="5">
        <f t="shared" si="8"/>
        <v>0.44644377263481505</v>
      </c>
      <c r="U41" s="2" t="str">
        <f t="shared" si="9"/>
        <v>Moderate</v>
      </c>
      <c r="V41" s="2">
        <f t="shared" si="10"/>
        <v>0.21670437345071231</v>
      </c>
      <c r="W41" s="2">
        <f t="shared" si="11"/>
        <v>0.52564557165097514</v>
      </c>
      <c r="X41" s="2" t="str">
        <f t="shared" si="12"/>
        <v>Moderate</v>
      </c>
      <c r="Y41" s="2">
        <f t="shared" si="13"/>
        <v>0.1251603703452363</v>
      </c>
      <c r="Z41" s="2">
        <f t="shared" si="14"/>
        <v>0.31991989416975258</v>
      </c>
      <c r="AA41" s="2" t="str">
        <f t="shared" si="15"/>
        <v>Moderate</v>
      </c>
      <c r="AB41" s="2">
        <f t="shared" si="16"/>
        <v>0.12121456230842267</v>
      </c>
      <c r="AC41" s="2">
        <f t="shared" si="17"/>
        <v>0.44040869736058896</v>
      </c>
      <c r="AD41" s="2" t="str">
        <f t="shared" si="18"/>
        <v>Moderate</v>
      </c>
      <c r="AE41" s="2">
        <f t="shared" si="19"/>
        <v>2.2342629991721416E-2</v>
      </c>
      <c r="AF41" s="2">
        <f t="shared" si="20"/>
        <v>0.17020874003277983</v>
      </c>
      <c r="AG41" s="2" t="s">
        <v>1175</v>
      </c>
    </row>
    <row r="42" spans="1:33" x14ac:dyDescent="0.3">
      <c r="A42">
        <v>107987</v>
      </c>
      <c r="B42" t="s">
        <v>105</v>
      </c>
      <c r="C42" t="s">
        <v>95</v>
      </c>
      <c r="D42" t="s">
        <v>1126</v>
      </c>
      <c r="E42" s="13">
        <v>7.1</v>
      </c>
      <c r="F42" s="14">
        <f t="shared" si="0"/>
        <v>0.86666666666666659</v>
      </c>
      <c r="G42" s="2">
        <v>76.41</v>
      </c>
      <c r="H42" s="2">
        <f t="shared" si="1"/>
        <v>0.47318997897742782</v>
      </c>
      <c r="I42" s="2">
        <v>44.8</v>
      </c>
      <c r="J42" s="4">
        <f t="shared" si="2"/>
        <v>0.35415019762845845</v>
      </c>
      <c r="K42" s="2">
        <v>0</v>
      </c>
      <c r="L42" s="4">
        <f t="shared" si="3"/>
        <v>0</v>
      </c>
      <c r="M42" s="2">
        <v>14296</v>
      </c>
      <c r="N42" s="2">
        <f t="shared" si="4"/>
        <v>6.650958349301879E-2</v>
      </c>
      <c r="O42" s="2">
        <v>0.70676014099999995</v>
      </c>
      <c r="P42" s="2">
        <f t="shared" si="5"/>
        <v>0.73899182758659698</v>
      </c>
      <c r="Q42" s="2">
        <v>0.3246</v>
      </c>
      <c r="R42" s="2">
        <f t="shared" si="6"/>
        <v>0.78054429646786339</v>
      </c>
      <c r="S42" s="2">
        <f t="shared" si="7"/>
        <v>0.1906712815938599</v>
      </c>
      <c r="T42" s="5">
        <f t="shared" si="8"/>
        <v>0.4979981576496616</v>
      </c>
      <c r="U42" s="2" t="str">
        <f t="shared" si="9"/>
        <v>Moderate</v>
      </c>
      <c r="V42" s="2">
        <f t="shared" si="10"/>
        <v>0.19588528234682662</v>
      </c>
      <c r="W42" s="2">
        <f t="shared" si="11"/>
        <v>0.475146069170723</v>
      </c>
      <c r="X42" s="2" t="str">
        <f t="shared" si="12"/>
        <v>Moderate</v>
      </c>
      <c r="Y42" s="2">
        <f t="shared" si="13"/>
        <v>0.18545728084089322</v>
      </c>
      <c r="Z42" s="2">
        <f t="shared" si="14"/>
        <v>0.47404360897919673</v>
      </c>
      <c r="AA42" s="2" t="str">
        <f t="shared" si="15"/>
        <v>Moderate</v>
      </c>
      <c r="AB42" s="2">
        <f t="shared" si="16"/>
        <v>0.1300389654407112</v>
      </c>
      <c r="AC42" s="2">
        <f t="shared" si="17"/>
        <v>0.47247038874868585</v>
      </c>
      <c r="AD42" s="2" t="str">
        <f t="shared" si="18"/>
        <v>Moderate</v>
      </c>
      <c r="AE42" s="2">
        <f t="shared" si="19"/>
        <v>1.6691235334439759E-2</v>
      </c>
      <c r="AF42" s="2">
        <f t="shared" si="20"/>
        <v>0.12715576173970011</v>
      </c>
      <c r="AG42" s="2" t="s">
        <v>1175</v>
      </c>
    </row>
    <row r="43" spans="1:33" x14ac:dyDescent="0.3">
      <c r="A43" s="9">
        <v>107990</v>
      </c>
      <c r="B43" s="9" t="s">
        <v>106</v>
      </c>
      <c r="C43" s="9" t="s">
        <v>95</v>
      </c>
      <c r="D43" s="9" t="s">
        <v>1160</v>
      </c>
      <c r="E43" s="15">
        <v>7.1</v>
      </c>
      <c r="F43" s="14">
        <f t="shared" si="0"/>
        <v>0.86666666666666659</v>
      </c>
      <c r="G43" s="2">
        <v>79.900000000000006</v>
      </c>
      <c r="H43" s="2">
        <f t="shared" si="1"/>
        <v>0.51089643864454803</v>
      </c>
      <c r="I43" s="2">
        <v>68.400000000000006</v>
      </c>
      <c r="J43" s="4">
        <f t="shared" si="2"/>
        <v>0.54071146245059298</v>
      </c>
      <c r="K43" s="2">
        <v>2</v>
      </c>
      <c r="L43" s="4">
        <f t="shared" si="3"/>
        <v>1</v>
      </c>
      <c r="M43" s="2">
        <v>6600</v>
      </c>
      <c r="N43" s="2">
        <f t="shared" si="4"/>
        <v>3.0096568300426303E-2</v>
      </c>
      <c r="O43" s="2">
        <v>0.631419811</v>
      </c>
      <c r="P43" s="2">
        <f t="shared" si="5"/>
        <v>0.65195942160840592</v>
      </c>
      <c r="Q43" s="2">
        <v>0.28210000000000002</v>
      </c>
      <c r="R43" s="2">
        <f t="shared" si="6"/>
        <v>0.65749855240301114</v>
      </c>
      <c r="S43" s="2">
        <f t="shared" si="7"/>
        <v>0.37908004995088784</v>
      </c>
      <c r="T43" s="5">
        <f t="shared" si="8"/>
        <v>0.99008704876383991</v>
      </c>
      <c r="U43" s="2" t="str">
        <f t="shared" si="9"/>
        <v>High</v>
      </c>
      <c r="V43" s="2">
        <f t="shared" si="10"/>
        <v>0.38068359433335547</v>
      </c>
      <c r="W43" s="2">
        <f t="shared" si="11"/>
        <v>0.92339920221783967</v>
      </c>
      <c r="X43" s="2" t="str">
        <f t="shared" si="12"/>
        <v>High</v>
      </c>
      <c r="Y43" s="2">
        <f t="shared" si="13"/>
        <v>0.37747650556842027</v>
      </c>
      <c r="Z43" s="2">
        <f t="shared" si="14"/>
        <v>0.96486007016368136</v>
      </c>
      <c r="AA43" s="2" t="str">
        <f t="shared" si="15"/>
        <v>High</v>
      </c>
      <c r="AB43" s="2">
        <f t="shared" si="16"/>
        <v>0.2525811500035573</v>
      </c>
      <c r="AC43" s="2">
        <f t="shared" si="17"/>
        <v>0.91770273416378689</v>
      </c>
      <c r="AD43" s="2" t="str">
        <f t="shared" si="18"/>
        <v>High</v>
      </c>
      <c r="AE43" s="2">
        <f t="shared" si="19"/>
        <v>1.7425543761019454E-2</v>
      </c>
      <c r="AF43" s="2">
        <f t="shared" si="20"/>
        <v>0.13274980828345495</v>
      </c>
      <c r="AG43" s="2" t="s">
        <v>1175</v>
      </c>
    </row>
    <row r="44" spans="1:33" x14ac:dyDescent="0.3">
      <c r="A44">
        <v>200304</v>
      </c>
      <c r="B44" t="s">
        <v>107</v>
      </c>
      <c r="C44" t="s">
        <v>108</v>
      </c>
      <c r="D44" t="s">
        <v>109</v>
      </c>
      <c r="E44" s="13">
        <v>6</v>
      </c>
      <c r="F44" s="14">
        <f t="shared" si="0"/>
        <v>0.62222222222222223</v>
      </c>
      <c r="G44" s="2">
        <v>82.18</v>
      </c>
      <c r="H44" s="2">
        <f t="shared" si="1"/>
        <v>0.53552988507464372</v>
      </c>
      <c r="I44" s="2">
        <v>17.7</v>
      </c>
      <c r="J44" s="4">
        <f t="shared" si="2"/>
        <v>0.13992094861660079</v>
      </c>
      <c r="K44" s="2">
        <v>0</v>
      </c>
      <c r="L44" s="4">
        <f t="shared" si="3"/>
        <v>0</v>
      </c>
      <c r="M44" s="2">
        <v>7538</v>
      </c>
      <c r="N44" s="2">
        <f t="shared" si="4"/>
        <v>3.4534641098068163E-2</v>
      </c>
      <c r="O44" s="2">
        <v>0.83918279900000003</v>
      </c>
      <c r="P44" s="2">
        <f t="shared" si="5"/>
        <v>0.89196517574909084</v>
      </c>
      <c r="Q44" s="2">
        <v>0.35610000000000003</v>
      </c>
      <c r="R44" s="2">
        <f t="shared" si="6"/>
        <v>0.87174290677475408</v>
      </c>
      <c r="S44" s="2">
        <f t="shared" si="7"/>
        <v>0.12971912587046033</v>
      </c>
      <c r="T44" s="5">
        <f t="shared" si="8"/>
        <v>0.33880238888316194</v>
      </c>
      <c r="U44" s="2" t="str">
        <f t="shared" si="9"/>
        <v>Moderate</v>
      </c>
      <c r="V44" s="2">
        <f t="shared" si="10"/>
        <v>0.12823179637389506</v>
      </c>
      <c r="W44" s="2">
        <f t="shared" si="11"/>
        <v>0.31104344981813725</v>
      </c>
      <c r="X44" s="2" t="str">
        <f t="shared" si="12"/>
        <v>Moderate</v>
      </c>
      <c r="Y44" s="2">
        <f t="shared" si="13"/>
        <v>0.13120645536702563</v>
      </c>
      <c r="Z44" s="2">
        <f t="shared" si="14"/>
        <v>0.33537416995190944</v>
      </c>
      <c r="AA44" s="2" t="str">
        <f t="shared" si="15"/>
        <v>Moderate</v>
      </c>
      <c r="AB44" s="2">
        <f t="shared" si="16"/>
        <v>8.6021059358187588E-2</v>
      </c>
      <c r="AC44" s="2">
        <f t="shared" si="17"/>
        <v>0.31254019299366698</v>
      </c>
      <c r="AD44" s="2" t="str">
        <f t="shared" si="18"/>
        <v>Moderate</v>
      </c>
      <c r="AE44" s="2">
        <f t="shared" si="19"/>
        <v>5.0799829063332656E-3</v>
      </c>
      <c r="AF44" s="2">
        <f t="shared" si="20"/>
        <v>3.8699897469341098E-2</v>
      </c>
      <c r="AG44" s="2" t="s">
        <v>1176</v>
      </c>
    </row>
    <row r="45" spans="1:33" x14ac:dyDescent="0.3">
      <c r="A45">
        <v>200314</v>
      </c>
      <c r="B45" t="s">
        <v>110</v>
      </c>
      <c r="C45" t="s">
        <v>108</v>
      </c>
      <c r="D45" t="s">
        <v>111</v>
      </c>
      <c r="E45" s="13">
        <v>7.6</v>
      </c>
      <c r="F45" s="14">
        <f t="shared" si="0"/>
        <v>0.97777777777777763</v>
      </c>
      <c r="G45" s="2">
        <v>76.45</v>
      </c>
      <c r="H45" s="2">
        <f t="shared" si="1"/>
        <v>0.47362214470427166</v>
      </c>
      <c r="I45" s="2">
        <v>6.1</v>
      </c>
      <c r="J45" s="4">
        <f t="shared" si="2"/>
        <v>4.8221343873517786E-2</v>
      </c>
      <c r="K45" s="2">
        <v>0</v>
      </c>
      <c r="L45" s="4">
        <f t="shared" si="3"/>
        <v>0</v>
      </c>
      <c r="M45" s="2">
        <v>10534</v>
      </c>
      <c r="N45" s="2">
        <f t="shared" si="4"/>
        <v>4.8709978093521268E-2</v>
      </c>
      <c r="O45" s="2">
        <v>0.71629425099999999</v>
      </c>
      <c r="P45" s="2">
        <f t="shared" si="5"/>
        <v>0.75000553740391174</v>
      </c>
      <c r="Q45" s="2">
        <v>0.3357</v>
      </c>
      <c r="R45" s="2">
        <f t="shared" si="6"/>
        <v>0.8126809496236248</v>
      </c>
      <c r="S45" s="2">
        <f t="shared" si="7"/>
        <v>0.13953730695927588</v>
      </c>
      <c r="T45" s="5">
        <f t="shared" si="8"/>
        <v>0.36444566380547377</v>
      </c>
      <c r="U45" s="2" t="str">
        <f t="shared" si="9"/>
        <v>Moderate</v>
      </c>
      <c r="V45" s="2">
        <f t="shared" si="10"/>
        <v>0.14513379627834369</v>
      </c>
      <c r="W45" s="2">
        <f t="shared" si="11"/>
        <v>0.35204152133993477</v>
      </c>
      <c r="X45" s="2" t="str">
        <f t="shared" si="12"/>
        <v>Moderate</v>
      </c>
      <c r="Y45" s="2">
        <f t="shared" si="13"/>
        <v>0.13394081764020802</v>
      </c>
      <c r="Z45" s="2">
        <f t="shared" si="14"/>
        <v>0.34236341811924331</v>
      </c>
      <c r="AA45" s="2" t="str">
        <f t="shared" si="15"/>
        <v>Moderate</v>
      </c>
      <c r="AB45" s="2">
        <f t="shared" si="16"/>
        <v>9.4023703513796783E-2</v>
      </c>
      <c r="AC45" s="2">
        <f t="shared" si="17"/>
        <v>0.34161618865699728</v>
      </c>
      <c r="AD45" s="2" t="str">
        <f t="shared" si="18"/>
        <v>Moderate</v>
      </c>
      <c r="AE45" s="2">
        <f t="shared" si="19"/>
        <v>8.698941498040241E-3</v>
      </c>
      <c r="AF45" s="2">
        <f t="shared" si="20"/>
        <v>6.6269542688076999E-2</v>
      </c>
      <c r="AG45" s="2" t="s">
        <v>1175</v>
      </c>
    </row>
    <row r="46" spans="1:33" x14ac:dyDescent="0.3">
      <c r="A46">
        <v>200351</v>
      </c>
      <c r="B46" t="s">
        <v>112</v>
      </c>
      <c r="C46" t="s">
        <v>108</v>
      </c>
      <c r="D46" t="s">
        <v>113</v>
      </c>
      <c r="E46" s="13">
        <v>7.7</v>
      </c>
      <c r="F46" s="14">
        <f t="shared" si="0"/>
        <v>1</v>
      </c>
      <c r="G46" s="2">
        <v>78.790000000000006</v>
      </c>
      <c r="H46" s="2">
        <f t="shared" si="1"/>
        <v>0.49890383972463304</v>
      </c>
      <c r="I46" s="2">
        <v>10.1</v>
      </c>
      <c r="J46" s="4">
        <f t="shared" si="2"/>
        <v>7.9841897233201578E-2</v>
      </c>
      <c r="K46" s="2">
        <v>0</v>
      </c>
      <c r="L46" s="4">
        <f t="shared" si="3"/>
        <v>0</v>
      </c>
      <c r="M46" s="2">
        <v>14751</v>
      </c>
      <c r="N46" s="2">
        <f t="shared" si="4"/>
        <v>6.8662379999337594E-2</v>
      </c>
      <c r="O46" s="2">
        <v>0.12631827500000001</v>
      </c>
      <c r="P46" s="2">
        <f t="shared" si="5"/>
        <v>6.8471110084419209E-2</v>
      </c>
      <c r="Q46" s="2">
        <v>0.34039999999999998</v>
      </c>
      <c r="R46" s="2">
        <f t="shared" si="6"/>
        <v>0.82628836132020844</v>
      </c>
      <c r="S46" s="2">
        <f t="shared" si="7"/>
        <v>9.0621690193662896E-2</v>
      </c>
      <c r="T46" s="5">
        <f t="shared" si="8"/>
        <v>0.23668711083439745</v>
      </c>
      <c r="U46" s="2" t="str">
        <f t="shared" si="9"/>
        <v>Low</v>
      </c>
      <c r="V46" s="2">
        <f t="shared" si="10"/>
        <v>0.16737380331418092</v>
      </c>
      <c r="W46" s="2">
        <f t="shared" si="11"/>
        <v>0.40598764631065787</v>
      </c>
      <c r="X46" s="2" t="str">
        <f t="shared" si="12"/>
        <v>Moderate</v>
      </c>
      <c r="Y46" s="2">
        <f t="shared" si="13"/>
        <v>1.3869577073144875E-2</v>
      </c>
      <c r="Z46" s="2">
        <f t="shared" si="14"/>
        <v>3.5451745765696485E-2</v>
      </c>
      <c r="AA46" s="2" t="str">
        <f t="shared" si="15"/>
        <v>No Impact</v>
      </c>
      <c r="AB46" s="2">
        <f t="shared" si="16"/>
        <v>6.760961659687123E-2</v>
      </c>
      <c r="AC46" s="2">
        <f t="shared" si="17"/>
        <v>0.24564592411524072</v>
      </c>
      <c r="AD46" s="2" t="str">
        <f t="shared" si="18"/>
        <v>Low</v>
      </c>
      <c r="AE46" s="2">
        <f t="shared" si="19"/>
        <v>1.390832089989843E-2</v>
      </c>
      <c r="AF46" s="2">
        <f t="shared" si="20"/>
        <v>0.10595519762984257</v>
      </c>
      <c r="AG46" s="2" t="s">
        <v>1175</v>
      </c>
    </row>
    <row r="47" spans="1:33" x14ac:dyDescent="0.3">
      <c r="A47">
        <v>200373</v>
      </c>
      <c r="B47" t="s">
        <v>114</v>
      </c>
      <c r="C47" t="s">
        <v>108</v>
      </c>
      <c r="D47" t="s">
        <v>115</v>
      </c>
      <c r="E47" s="13">
        <v>7.7</v>
      </c>
      <c r="F47" s="14">
        <f t="shared" si="0"/>
        <v>1</v>
      </c>
      <c r="G47" s="2">
        <v>78.790000000000006</v>
      </c>
      <c r="H47" s="2">
        <f t="shared" si="1"/>
        <v>0.49890383972463304</v>
      </c>
      <c r="I47" s="2">
        <v>18.5</v>
      </c>
      <c r="J47" s="4">
        <f t="shared" si="2"/>
        <v>0.14624505928853754</v>
      </c>
      <c r="K47" s="2">
        <v>0</v>
      </c>
      <c r="L47" s="4">
        <f t="shared" si="3"/>
        <v>0</v>
      </c>
      <c r="M47" s="2">
        <v>12144</v>
      </c>
      <c r="N47" s="2">
        <f t="shared" si="4"/>
        <v>5.6327565731264753E-2</v>
      </c>
      <c r="O47" s="2">
        <v>0.14690879000000001</v>
      </c>
      <c r="P47" s="2">
        <f t="shared" si="5"/>
        <v>9.2257069885498338E-2</v>
      </c>
      <c r="Q47" s="2">
        <v>0.37280000000000002</v>
      </c>
      <c r="R47" s="2">
        <f t="shared" si="6"/>
        <v>0.92009264620729603</v>
      </c>
      <c r="S47" s="2">
        <f t="shared" si="7"/>
        <v>0.11429535333187336</v>
      </c>
      <c r="T47" s="5">
        <f t="shared" si="8"/>
        <v>0.29851834482567918</v>
      </c>
      <c r="U47" s="2" t="str">
        <f t="shared" si="9"/>
        <v>Low</v>
      </c>
      <c r="V47" s="2">
        <f t="shared" si="10"/>
        <v>0.20775886519176309</v>
      </c>
      <c r="W47" s="2">
        <f t="shared" si="11"/>
        <v>0.50394703955580555</v>
      </c>
      <c r="X47" s="2" t="str">
        <f t="shared" si="12"/>
        <v>Moderate</v>
      </c>
      <c r="Y47" s="2">
        <f t="shared" si="13"/>
        <v>2.0831841471983636E-2</v>
      </c>
      <c r="Z47" s="2">
        <f t="shared" si="14"/>
        <v>5.3247849145020724E-2</v>
      </c>
      <c r="AA47" s="2" t="str">
        <f t="shared" si="15"/>
        <v>No Impact</v>
      </c>
      <c r="AB47" s="2">
        <f t="shared" si="16"/>
        <v>8.3416764468125293E-2</v>
      </c>
      <c r="AC47" s="2">
        <f t="shared" si="17"/>
        <v>0.30307801206232954</v>
      </c>
      <c r="AD47" s="2" t="str">
        <f t="shared" si="18"/>
        <v>Moderate</v>
      </c>
      <c r="AE47" s="2">
        <f t="shared" si="19"/>
        <v>1.2718883455466108E-2</v>
      </c>
      <c r="AF47" s="2">
        <f t="shared" si="20"/>
        <v>9.6893925575494019E-2</v>
      </c>
      <c r="AG47" s="2" t="s">
        <v>1175</v>
      </c>
    </row>
    <row r="48" spans="1:33" x14ac:dyDescent="0.3">
      <c r="A48">
        <v>200389</v>
      </c>
      <c r="B48" t="s">
        <v>116</v>
      </c>
      <c r="C48" t="s">
        <v>108</v>
      </c>
      <c r="D48" t="s">
        <v>117</v>
      </c>
      <c r="E48" s="13">
        <v>5.9</v>
      </c>
      <c r="F48" s="14">
        <f t="shared" si="0"/>
        <v>0.60000000000000009</v>
      </c>
      <c r="G48" s="2">
        <v>76.45</v>
      </c>
      <c r="H48" s="2">
        <f t="shared" si="1"/>
        <v>0.47362214470427166</v>
      </c>
      <c r="I48" s="2">
        <v>5.2</v>
      </c>
      <c r="J48" s="4">
        <f t="shared" si="2"/>
        <v>4.1106719367588931E-2</v>
      </c>
      <c r="K48" s="2">
        <v>0</v>
      </c>
      <c r="L48" s="4">
        <f t="shared" si="3"/>
        <v>0</v>
      </c>
      <c r="M48" s="2">
        <v>5632</v>
      </c>
      <c r="N48" s="2">
        <f t="shared" si="4"/>
        <v>2.5516552875994188E-2</v>
      </c>
      <c r="O48" s="2">
        <v>0.20773150900000001</v>
      </c>
      <c r="P48" s="2">
        <f t="shared" si="5"/>
        <v>0.16251887485377287</v>
      </c>
      <c r="Q48" s="2">
        <v>0.33529999999999999</v>
      </c>
      <c r="R48" s="2">
        <f t="shared" si="6"/>
        <v>0.81152287203242623</v>
      </c>
      <c r="S48" s="2">
        <f t="shared" si="7"/>
        <v>5.2643577202996922E-2</v>
      </c>
      <c r="T48" s="5">
        <f t="shared" si="8"/>
        <v>0.13749529682725134</v>
      </c>
      <c r="U48" s="2" t="str">
        <f t="shared" si="9"/>
        <v>No Impact</v>
      </c>
      <c r="V48" s="2">
        <f t="shared" si="10"/>
        <v>8.7719991678812781E-2</v>
      </c>
      <c r="W48" s="2">
        <f t="shared" si="11"/>
        <v>0.21277662484147139</v>
      </c>
      <c r="X48" s="2" t="s">
        <v>1176</v>
      </c>
      <c r="Y48" s="2">
        <f t="shared" si="13"/>
        <v>1.756716272718107E-2</v>
      </c>
      <c r="Z48" s="2">
        <f t="shared" si="14"/>
        <v>4.4903069757946709E-2</v>
      </c>
      <c r="AA48" s="2" t="str">
        <f t="shared" si="15"/>
        <v>No Impact</v>
      </c>
      <c r="AB48" s="2">
        <f t="shared" si="16"/>
        <v>3.6937502717090218E-2</v>
      </c>
      <c r="AC48" s="2">
        <f t="shared" si="17"/>
        <v>0.13420497624695504</v>
      </c>
      <c r="AD48" s="2" t="str">
        <f t="shared" si="18"/>
        <v>No Impact</v>
      </c>
      <c r="AE48" s="2">
        <f t="shared" si="19"/>
        <v>2.7581623181469122E-3</v>
      </c>
      <c r="AF48" s="2">
        <f t="shared" si="20"/>
        <v>2.1011999623662334E-2</v>
      </c>
      <c r="AG48" s="2" t="s">
        <v>1176</v>
      </c>
    </row>
    <row r="49" spans="1:33" x14ac:dyDescent="0.3">
      <c r="A49">
        <v>200391</v>
      </c>
      <c r="B49" t="s">
        <v>118</v>
      </c>
      <c r="C49" t="s">
        <v>108</v>
      </c>
      <c r="D49" t="s">
        <v>119</v>
      </c>
      <c r="E49" s="13">
        <v>7.7</v>
      </c>
      <c r="F49" s="14">
        <f t="shared" si="0"/>
        <v>1</v>
      </c>
      <c r="G49" s="2">
        <v>82.18</v>
      </c>
      <c r="H49" s="2">
        <f t="shared" si="1"/>
        <v>0.53552988507464372</v>
      </c>
      <c r="I49" s="2">
        <v>6</v>
      </c>
      <c r="J49" s="4">
        <f t="shared" si="2"/>
        <v>4.7430830039525688E-2</v>
      </c>
      <c r="K49" s="2">
        <v>0</v>
      </c>
      <c r="L49" s="4">
        <f t="shared" si="3"/>
        <v>0</v>
      </c>
      <c r="M49" s="2">
        <v>2880</v>
      </c>
      <c r="N49" s="2">
        <f t="shared" si="4"/>
        <v>1.2495682578435131E-2</v>
      </c>
      <c r="O49" s="2">
        <v>0.26962101199999999</v>
      </c>
      <c r="P49" s="2">
        <f t="shared" si="5"/>
        <v>0.23401301817494602</v>
      </c>
      <c r="Q49" s="2">
        <v>0.34620000000000001</v>
      </c>
      <c r="R49" s="2">
        <f t="shared" si="6"/>
        <v>0.84308048639258837</v>
      </c>
      <c r="S49" s="2">
        <f t="shared" si="7"/>
        <v>0.10988305994181544</v>
      </c>
      <c r="T49" s="5">
        <f t="shared" si="8"/>
        <v>0.2869942497396713</v>
      </c>
      <c r="U49" s="2" t="str">
        <f t="shared" si="9"/>
        <v>Low</v>
      </c>
      <c r="V49" s="2">
        <f t="shared" si="10"/>
        <v>0.17201898113617878</v>
      </c>
      <c r="W49" s="2">
        <f t="shared" si="11"/>
        <v>0.41725514918927348</v>
      </c>
      <c r="X49" s="2" t="str">
        <f t="shared" si="12"/>
        <v>Moderate</v>
      </c>
      <c r="Y49" s="2">
        <f t="shared" si="13"/>
        <v>4.7747138747452074E-2</v>
      </c>
      <c r="Z49" s="2">
        <f t="shared" si="14"/>
        <v>0.12204549677233158</v>
      </c>
      <c r="AA49" s="2" t="str">
        <f t="shared" si="15"/>
        <v>No Impact</v>
      </c>
      <c r="AB49" s="2">
        <f t="shared" si="16"/>
        <v>7.5423135298239297E-2</v>
      </c>
      <c r="AC49" s="2">
        <f t="shared" si="17"/>
        <v>0.27403477053384467</v>
      </c>
      <c r="AD49" s="2" t="str">
        <f t="shared" si="18"/>
        <v>Low</v>
      </c>
      <c r="AE49" s="2">
        <f t="shared" si="19"/>
        <v>2.5495722181174741E-3</v>
      </c>
      <c r="AF49" s="2">
        <f t="shared" si="20"/>
        <v>1.9422936110437734E-2</v>
      </c>
      <c r="AG49" s="2" t="s">
        <v>1176</v>
      </c>
    </row>
    <row r="50" spans="1:33" x14ac:dyDescent="0.3">
      <c r="A50">
        <v>200395</v>
      </c>
      <c r="B50" t="s">
        <v>120</v>
      </c>
      <c r="C50" t="s">
        <v>108</v>
      </c>
      <c r="D50" t="s">
        <v>121</v>
      </c>
      <c r="E50" s="13">
        <v>7.7</v>
      </c>
      <c r="F50" s="14">
        <f t="shared" si="0"/>
        <v>1</v>
      </c>
      <c r="G50" s="2">
        <v>82.18</v>
      </c>
      <c r="H50" s="2">
        <f t="shared" si="1"/>
        <v>0.53552988507464372</v>
      </c>
      <c r="I50" s="2">
        <v>16.8</v>
      </c>
      <c r="J50" s="4">
        <f t="shared" si="2"/>
        <v>0.13280632411067195</v>
      </c>
      <c r="K50" s="2">
        <v>0</v>
      </c>
      <c r="L50" s="4">
        <f t="shared" si="3"/>
        <v>0</v>
      </c>
      <c r="M50" s="2">
        <v>2642</v>
      </c>
      <c r="N50" s="2">
        <f t="shared" si="4"/>
        <v>1.1369604405899136E-2</v>
      </c>
      <c r="O50" s="2">
        <v>0.126312644</v>
      </c>
      <c r="P50" s="2">
        <f t="shared" si="5"/>
        <v>6.846460520876943E-2</v>
      </c>
      <c r="Q50" s="2">
        <v>0.37540000000000001</v>
      </c>
      <c r="R50" s="2">
        <f t="shared" si="6"/>
        <v>0.92762015055008695</v>
      </c>
      <c r="S50" s="2">
        <f t="shared" si="7"/>
        <v>0.11650091419595214</v>
      </c>
      <c r="T50" s="5">
        <f t="shared" si="8"/>
        <v>0.30427886228648382</v>
      </c>
      <c r="U50" s="2" t="str">
        <f t="shared" si="9"/>
        <v>Moderate</v>
      </c>
      <c r="V50" s="2">
        <f t="shared" si="10"/>
        <v>0.21698674724389491</v>
      </c>
      <c r="W50" s="2">
        <f t="shared" si="11"/>
        <v>0.52633050722275532</v>
      </c>
      <c r="X50" s="2" t="str">
        <f t="shared" si="12"/>
        <v>Moderate</v>
      </c>
      <c r="Y50" s="2">
        <f t="shared" si="13"/>
        <v>1.6015081148009362E-2</v>
      </c>
      <c r="Z50" s="2">
        <f t="shared" si="14"/>
        <v>4.0935825388328767E-2</v>
      </c>
      <c r="AA50" s="2" t="str">
        <f t="shared" si="15"/>
        <v>No Impact</v>
      </c>
      <c r="AB50" s="2">
        <f t="shared" si="16"/>
        <v>8.1680728872566513E-2</v>
      </c>
      <c r="AC50" s="2">
        <f t="shared" si="17"/>
        <v>0.29677047639457477</v>
      </c>
      <c r="AD50" s="2" t="str">
        <f t="shared" si="18"/>
        <v>Low</v>
      </c>
      <c r="AE50" s="2">
        <f t="shared" si="19"/>
        <v>2.6595514080013519E-3</v>
      </c>
      <c r="AF50" s="2">
        <f t="shared" si="20"/>
        <v>2.0260770302155395E-2</v>
      </c>
      <c r="AG50" s="2" t="s">
        <v>1176</v>
      </c>
    </row>
    <row r="51" spans="1:33" x14ac:dyDescent="0.3">
      <c r="A51">
        <v>201202</v>
      </c>
      <c r="B51" t="s">
        <v>122</v>
      </c>
      <c r="C51" t="s">
        <v>1154</v>
      </c>
      <c r="D51" t="s">
        <v>123</v>
      </c>
      <c r="E51" s="13">
        <v>6</v>
      </c>
      <c r="F51" s="14">
        <f t="shared" si="0"/>
        <v>0.62222222222222223</v>
      </c>
      <c r="G51" s="2">
        <v>54.13</v>
      </c>
      <c r="H51" s="2">
        <f t="shared" si="1"/>
        <v>0.23247366912544049</v>
      </c>
      <c r="I51" s="2">
        <v>12.9</v>
      </c>
      <c r="J51" s="4">
        <f t="shared" si="2"/>
        <v>0.10197628458498025</v>
      </c>
      <c r="K51" s="2">
        <v>0</v>
      </c>
      <c r="L51" s="4">
        <f t="shared" si="3"/>
        <v>0</v>
      </c>
      <c r="M51" s="2">
        <v>17023</v>
      </c>
      <c r="N51" s="2">
        <f t="shared" si="4"/>
        <v>7.9412168268252634E-2</v>
      </c>
      <c r="O51" s="2">
        <v>0.138239841</v>
      </c>
      <c r="P51" s="2">
        <f t="shared" si="5"/>
        <v>8.2242785520507691E-2</v>
      </c>
      <c r="Q51" s="2">
        <v>0.20799999999999999</v>
      </c>
      <c r="R51" s="2">
        <f t="shared" si="6"/>
        <v>0.44296467863346844</v>
      </c>
      <c r="S51" s="2">
        <f t="shared" si="7"/>
        <v>1.9126944425907941E-2</v>
      </c>
      <c r="T51" s="5">
        <f t="shared" si="8"/>
        <v>4.9956044801013982E-2</v>
      </c>
      <c r="U51" s="2" t="str">
        <f t="shared" si="9"/>
        <v>No Impact</v>
      </c>
      <c r="V51" s="2">
        <f t="shared" si="10"/>
        <v>3.2263672430895243E-2</v>
      </c>
      <c r="W51" s="2">
        <f t="shared" si="11"/>
        <v>7.8259872048013768E-2</v>
      </c>
      <c r="X51" s="2" t="s">
        <v>1176</v>
      </c>
      <c r="Y51" s="2">
        <f t="shared" si="13"/>
        <v>5.9902164209206347E-3</v>
      </c>
      <c r="Z51" s="2">
        <f t="shared" si="14"/>
        <v>1.5311471180124891E-2</v>
      </c>
      <c r="AA51" s="2" t="str">
        <f t="shared" si="15"/>
        <v>No Impact</v>
      </c>
      <c r="AB51" s="2">
        <f t="shared" si="16"/>
        <v>1.5113766461193282E-2</v>
      </c>
      <c r="AC51" s="2">
        <f t="shared" si="17"/>
        <v>5.4912826253086085E-2</v>
      </c>
      <c r="AD51" s="2" t="str">
        <f t="shared" si="18"/>
        <v>No Impact</v>
      </c>
      <c r="AE51" s="2">
        <f t="shared" si="19"/>
        <v>5.7840462402964461E-3</v>
      </c>
      <c r="AF51" s="2">
        <f t="shared" si="20"/>
        <v>4.4063533398573898E-2</v>
      </c>
      <c r="AG51" s="2" t="s">
        <v>1176</v>
      </c>
    </row>
    <row r="52" spans="1:33" x14ac:dyDescent="0.3">
      <c r="A52">
        <v>201204</v>
      </c>
      <c r="B52" t="s">
        <v>124</v>
      </c>
      <c r="C52" t="s">
        <v>1154</v>
      </c>
      <c r="D52" t="s">
        <v>125</v>
      </c>
      <c r="E52" s="13">
        <v>6</v>
      </c>
      <c r="F52" s="14">
        <f t="shared" si="0"/>
        <v>0.62222222222222223</v>
      </c>
      <c r="G52" s="2">
        <v>58</v>
      </c>
      <c r="H52" s="2">
        <f t="shared" si="1"/>
        <v>0.2742857031975765</v>
      </c>
      <c r="I52" s="2">
        <v>20.2</v>
      </c>
      <c r="J52" s="4">
        <f t="shared" si="2"/>
        <v>0.15968379446640316</v>
      </c>
      <c r="K52" s="2">
        <v>0</v>
      </c>
      <c r="L52" s="4">
        <f t="shared" si="3"/>
        <v>0</v>
      </c>
      <c r="M52" s="2">
        <v>40696</v>
      </c>
      <c r="N52" s="2">
        <f t="shared" si="4"/>
        <v>0.19141909506844001</v>
      </c>
      <c r="O52" s="2">
        <v>0.229054796</v>
      </c>
      <c r="P52" s="2">
        <f t="shared" si="5"/>
        <v>0.18715132564040318</v>
      </c>
      <c r="Q52" s="2">
        <v>0.26750000000000002</v>
      </c>
      <c r="R52" s="2">
        <f t="shared" si="6"/>
        <v>0.61522872032426179</v>
      </c>
      <c r="S52" s="2">
        <f t="shared" si="7"/>
        <v>3.7916032908136534E-2</v>
      </c>
      <c r="T52" s="5">
        <f t="shared" si="8"/>
        <v>9.9029672301966562E-2</v>
      </c>
      <c r="U52" s="2" t="str">
        <f t="shared" si="9"/>
        <v>No Impact</v>
      </c>
      <c r="V52" s="2">
        <f t="shared" si="10"/>
        <v>5.8144597496315877E-2</v>
      </c>
      <c r="W52" s="2">
        <f t="shared" si="11"/>
        <v>0.14103753285033829</v>
      </c>
      <c r="X52" s="2" t="s">
        <v>1176</v>
      </c>
      <c r="Y52" s="2">
        <f t="shared" si="13"/>
        <v>1.7687468319957194E-2</v>
      </c>
      <c r="Z52" s="2">
        <f t="shared" si="14"/>
        <v>4.5210580453247488E-2</v>
      </c>
      <c r="AA52" s="2" t="str">
        <f t="shared" si="15"/>
        <v>No Impact</v>
      </c>
      <c r="AB52" s="2">
        <f t="shared" si="16"/>
        <v>3.198863331877317E-2</v>
      </c>
      <c r="AC52" s="2">
        <f t="shared" si="17"/>
        <v>0.11622425607923435</v>
      </c>
      <c r="AD52" s="2" t="str">
        <f t="shared" si="18"/>
        <v>No Impact</v>
      </c>
      <c r="AE52" s="2">
        <f t="shared" si="19"/>
        <v>1.809081056878702E-2</v>
      </c>
      <c r="AF52" s="2">
        <f t="shared" si="20"/>
        <v>0.13781788778786888</v>
      </c>
      <c r="AG52" s="2" t="s">
        <v>1175</v>
      </c>
    </row>
    <row r="53" spans="1:33" x14ac:dyDescent="0.3">
      <c r="A53">
        <v>201207</v>
      </c>
      <c r="B53" t="s">
        <v>126</v>
      </c>
      <c r="C53" t="s">
        <v>1154</v>
      </c>
      <c r="D53" t="s">
        <v>1127</v>
      </c>
      <c r="E53" s="13">
        <v>5.2</v>
      </c>
      <c r="F53" s="14">
        <f t="shared" si="0"/>
        <v>0.44444444444444442</v>
      </c>
      <c r="G53" s="2">
        <v>45.34</v>
      </c>
      <c r="H53" s="2">
        <f t="shared" si="1"/>
        <v>0.13750525065151906</v>
      </c>
      <c r="I53" s="2">
        <v>11.3</v>
      </c>
      <c r="J53" s="4">
        <f t="shared" si="2"/>
        <v>8.9328063241106731E-2</v>
      </c>
      <c r="K53" s="2">
        <v>0</v>
      </c>
      <c r="L53" s="4">
        <f t="shared" si="3"/>
        <v>0</v>
      </c>
      <c r="M53" s="2">
        <v>16310</v>
      </c>
      <c r="N53" s="2">
        <f t="shared" si="4"/>
        <v>7.6038665171537664E-2</v>
      </c>
      <c r="O53" s="2">
        <v>0.33674959300000001</v>
      </c>
      <c r="P53" s="2">
        <f t="shared" si="5"/>
        <v>0.3115592927178355</v>
      </c>
      <c r="Q53" s="2">
        <v>0.18459999999999999</v>
      </c>
      <c r="R53" s="2">
        <f t="shared" si="6"/>
        <v>0.37521713954834973</v>
      </c>
      <c r="S53" s="2">
        <f t="shared" si="7"/>
        <v>1.2116515758222809E-2</v>
      </c>
      <c r="T53" s="5">
        <f t="shared" si="8"/>
        <v>3.1646100421041913E-2</v>
      </c>
      <c r="U53" s="2" t="str">
        <f t="shared" si="9"/>
        <v>No Impact</v>
      </c>
      <c r="V53" s="2">
        <f t="shared" si="10"/>
        <v>1.3239605118921064E-2</v>
      </c>
      <c r="W53" s="2">
        <f t="shared" si="11"/>
        <v>3.2114440933289634E-2</v>
      </c>
      <c r="X53" s="2" t="s">
        <v>1176</v>
      </c>
      <c r="Y53" s="2">
        <f t="shared" si="13"/>
        <v>1.0993426397524552E-2</v>
      </c>
      <c r="Z53" s="2">
        <f t="shared" si="14"/>
        <v>2.8100075127277534E-2</v>
      </c>
      <c r="AA53" s="2" t="str">
        <f t="shared" si="15"/>
        <v>No Impact</v>
      </c>
      <c r="AB53" s="2">
        <f t="shared" si="16"/>
        <v>8.8709530640316836E-3</v>
      </c>
      <c r="AC53" s="2">
        <f t="shared" si="17"/>
        <v>3.2230821189094448E-2</v>
      </c>
      <c r="AD53" s="2" t="str">
        <f t="shared" si="18"/>
        <v>No Impact</v>
      </c>
      <c r="AE53" s="2">
        <f t="shared" si="19"/>
        <v>2.6830381518627051E-3</v>
      </c>
      <c r="AF53" s="2">
        <f t="shared" si="20"/>
        <v>2.0439695034006337E-2</v>
      </c>
      <c r="AG53" s="2" t="s">
        <v>1176</v>
      </c>
    </row>
    <row r="54" spans="1:33" x14ac:dyDescent="0.3">
      <c r="A54">
        <v>201213</v>
      </c>
      <c r="B54" t="s">
        <v>127</v>
      </c>
      <c r="C54" t="s">
        <v>1154</v>
      </c>
      <c r="D54" t="s">
        <v>128</v>
      </c>
      <c r="E54" s="13">
        <v>6</v>
      </c>
      <c r="F54" s="14">
        <f t="shared" si="0"/>
        <v>0.62222222222222223</v>
      </c>
      <c r="G54" s="2">
        <v>54.13</v>
      </c>
      <c r="H54" s="2">
        <f t="shared" si="1"/>
        <v>0.23247366912544049</v>
      </c>
      <c r="I54" s="2">
        <v>12.8</v>
      </c>
      <c r="J54" s="4">
        <f t="shared" si="2"/>
        <v>0.10118577075098814</v>
      </c>
      <c r="K54" s="2">
        <v>0</v>
      </c>
      <c r="L54" s="4">
        <f t="shared" si="3"/>
        <v>0</v>
      </c>
      <c r="M54" s="2">
        <v>60378</v>
      </c>
      <c r="N54" s="2">
        <f t="shared" si="4"/>
        <v>0.28454292108463092</v>
      </c>
      <c r="O54" s="2">
        <v>0.61514928899999999</v>
      </c>
      <c r="P54" s="2">
        <f t="shared" si="5"/>
        <v>0.63316387510388294</v>
      </c>
      <c r="Q54" s="2">
        <v>0.189</v>
      </c>
      <c r="R54" s="2">
        <f t="shared" si="6"/>
        <v>0.3879559930515345</v>
      </c>
      <c r="S54" s="2">
        <f t="shared" si="7"/>
        <v>3.709912862114674E-2</v>
      </c>
      <c r="T54" s="5">
        <f t="shared" si="8"/>
        <v>9.6896069241786953E-2</v>
      </c>
      <c r="U54" s="2" t="str">
        <f t="shared" si="9"/>
        <v>No Impact</v>
      </c>
      <c r="V54" s="2">
        <f t="shared" si="10"/>
        <v>2.8190283500336234E-2</v>
      </c>
      <c r="W54" s="2">
        <f t="shared" si="11"/>
        <v>6.8379319944401357E-2</v>
      </c>
      <c r="X54" s="2" t="s">
        <v>1176</v>
      </c>
      <c r="Y54" s="2">
        <f t="shared" si="13"/>
        <v>4.6007973741957239E-2</v>
      </c>
      <c r="Z54" s="2">
        <f t="shared" si="14"/>
        <v>0.11760005223611843</v>
      </c>
      <c r="AA54" s="2" t="str">
        <f t="shared" si="15"/>
        <v>No Impact</v>
      </c>
      <c r="AB54" s="2">
        <f t="shared" si="16"/>
        <v>3.0905562028321735E-2</v>
      </c>
      <c r="AC54" s="2">
        <f t="shared" si="17"/>
        <v>0.11228913469536393</v>
      </c>
      <c r="AD54" s="2" t="str">
        <f t="shared" si="18"/>
        <v>No Impact</v>
      </c>
      <c r="AE54" s="2">
        <f t="shared" si="19"/>
        <v>2.0675916230333945E-2</v>
      </c>
      <c r="AF54" s="2">
        <f t="shared" si="20"/>
        <v>0.15751152178111602</v>
      </c>
      <c r="AG54" s="2" t="s">
        <v>1175</v>
      </c>
    </row>
    <row r="55" spans="1:33" x14ac:dyDescent="0.3">
      <c r="A55">
        <v>201233</v>
      </c>
      <c r="B55" t="s">
        <v>129</v>
      </c>
      <c r="C55" t="s">
        <v>1154</v>
      </c>
      <c r="D55" t="s">
        <v>130</v>
      </c>
      <c r="E55" s="13">
        <v>6</v>
      </c>
      <c r="F55" s="14">
        <f t="shared" si="0"/>
        <v>0.62222222222222223</v>
      </c>
      <c r="G55" s="2">
        <v>45.34</v>
      </c>
      <c r="H55" s="2">
        <f t="shared" si="1"/>
        <v>0.13750525065151906</v>
      </c>
      <c r="I55" s="2">
        <v>12.4</v>
      </c>
      <c r="J55" s="4">
        <f t="shared" si="2"/>
        <v>9.8023715415019766E-2</v>
      </c>
      <c r="K55" s="2">
        <v>0</v>
      </c>
      <c r="L55" s="4">
        <f t="shared" si="3"/>
        <v>0</v>
      </c>
      <c r="M55" s="2">
        <v>21752</v>
      </c>
      <c r="N55" s="2">
        <f t="shared" si="4"/>
        <v>0.10178705767128926</v>
      </c>
      <c r="O55" s="2">
        <v>0.26164830300000003</v>
      </c>
      <c r="P55" s="2">
        <f t="shared" si="5"/>
        <v>0.22480302338949743</v>
      </c>
      <c r="Q55" s="2">
        <v>0.20979999999999999</v>
      </c>
      <c r="R55" s="2">
        <f t="shared" si="6"/>
        <v>0.44817602779386218</v>
      </c>
      <c r="S55" s="2">
        <f t="shared" si="7"/>
        <v>1.7259548767495983E-2</v>
      </c>
      <c r="T55" s="5">
        <f t="shared" si="8"/>
        <v>4.5078752375440449E-2</v>
      </c>
      <c r="U55" s="2" t="str">
        <f t="shared" si="9"/>
        <v>No Impact</v>
      </c>
      <c r="V55" s="2">
        <f t="shared" si="10"/>
        <v>2.2988281714056622E-2</v>
      </c>
      <c r="W55" s="2">
        <f t="shared" si="11"/>
        <v>5.5761165732113344E-2</v>
      </c>
      <c r="X55" s="2" t="s">
        <v>1176</v>
      </c>
      <c r="Y55" s="2">
        <f t="shared" si="13"/>
        <v>1.1530815820935349E-2</v>
      </c>
      <c r="Z55" s="2">
        <f t="shared" si="14"/>
        <v>2.9473685376203023E-2</v>
      </c>
      <c r="AA55" s="2" t="str">
        <f t="shared" si="15"/>
        <v>No Impact</v>
      </c>
      <c r="AB55" s="2">
        <f t="shared" si="16"/>
        <v>1.3332479691784858E-2</v>
      </c>
      <c r="AC55" s="2">
        <f t="shared" si="17"/>
        <v>4.8440879559546735E-2</v>
      </c>
      <c r="AD55" s="2" t="str">
        <f t="shared" si="18"/>
        <v>No Impact</v>
      </c>
      <c r="AE55" s="2">
        <f t="shared" si="19"/>
        <v>5.2209609873840983E-3</v>
      </c>
      <c r="AF55" s="2">
        <f t="shared" si="20"/>
        <v>3.9773884800142913E-2</v>
      </c>
      <c r="AG55" s="2" t="s">
        <v>1176</v>
      </c>
    </row>
    <row r="56" spans="1:33" x14ac:dyDescent="0.3">
      <c r="A56">
        <v>201263</v>
      </c>
      <c r="B56" t="s">
        <v>131</v>
      </c>
      <c r="C56" t="s">
        <v>1154</v>
      </c>
      <c r="D56" t="s">
        <v>132</v>
      </c>
      <c r="E56" s="13">
        <v>5.9</v>
      </c>
      <c r="F56" s="14">
        <f t="shared" si="0"/>
        <v>0.60000000000000009</v>
      </c>
      <c r="G56" s="2">
        <v>54.13</v>
      </c>
      <c r="H56" s="2">
        <f t="shared" si="1"/>
        <v>0.23247366912544049</v>
      </c>
      <c r="I56" s="2">
        <v>14.3</v>
      </c>
      <c r="J56" s="4">
        <f t="shared" si="2"/>
        <v>0.11304347826086956</v>
      </c>
      <c r="K56" s="2">
        <v>0</v>
      </c>
      <c r="L56" s="4">
        <f t="shared" si="3"/>
        <v>0</v>
      </c>
      <c r="M56" s="2">
        <v>28839</v>
      </c>
      <c r="N56" s="2">
        <f t="shared" si="4"/>
        <v>0.13531863754003964</v>
      </c>
      <c r="O56" s="2">
        <v>0.32801445499999998</v>
      </c>
      <c r="P56" s="2">
        <f t="shared" si="5"/>
        <v>0.30146854747300411</v>
      </c>
      <c r="Q56" s="2">
        <v>0.22539999999999999</v>
      </c>
      <c r="R56" s="2">
        <f t="shared" si="6"/>
        <v>0.493341053850608</v>
      </c>
      <c r="S56" s="2">
        <f t="shared" si="7"/>
        <v>2.8835136347281406E-2</v>
      </c>
      <c r="T56" s="5">
        <f t="shared" si="8"/>
        <v>7.53120483404007E-2</v>
      </c>
      <c r="U56" s="2" t="str">
        <f t="shared" si="9"/>
        <v>No Impact</v>
      </c>
      <c r="V56" s="2">
        <f t="shared" si="10"/>
        <v>3.5796136659153793E-2</v>
      </c>
      <c r="W56" s="2">
        <f t="shared" si="11"/>
        <v>8.6828338613926914E-2</v>
      </c>
      <c r="X56" s="2" t="s">
        <v>1176</v>
      </c>
      <c r="Y56" s="2">
        <f t="shared" si="13"/>
        <v>2.1874136035409022E-2</v>
      </c>
      <c r="Z56" s="2">
        <f t="shared" si="14"/>
        <v>5.5912037222324934E-2</v>
      </c>
      <c r="AA56" s="2" t="str">
        <f t="shared" si="15"/>
        <v>No Impact</v>
      </c>
      <c r="AB56" s="2">
        <f t="shared" si="16"/>
        <v>2.2527374499207716E-2</v>
      </c>
      <c r="AC56" s="2">
        <f t="shared" si="17"/>
        <v>8.1848677825575381E-2</v>
      </c>
      <c r="AD56" s="2" t="str">
        <f t="shared" si="18"/>
        <v>No Impact</v>
      </c>
      <c r="AE56" s="2">
        <f t="shared" si="19"/>
        <v>9.8185310225176754E-3</v>
      </c>
      <c r="AF56" s="2">
        <f t="shared" si="20"/>
        <v>7.4798705207700364E-2</v>
      </c>
      <c r="AG56" s="2" t="s">
        <v>1175</v>
      </c>
    </row>
    <row r="57" spans="1:33" x14ac:dyDescent="0.3">
      <c r="A57">
        <v>201285</v>
      </c>
      <c r="B57" t="s">
        <v>133</v>
      </c>
      <c r="C57" t="s">
        <v>1154</v>
      </c>
      <c r="D57" t="s">
        <v>134</v>
      </c>
      <c r="E57" s="13">
        <v>6</v>
      </c>
      <c r="F57" s="14">
        <f t="shared" si="0"/>
        <v>0.62222222222222223</v>
      </c>
      <c r="G57" s="2">
        <v>58</v>
      </c>
      <c r="H57" s="2">
        <f t="shared" si="1"/>
        <v>0.2742857031975765</v>
      </c>
      <c r="I57" s="2">
        <v>17.2</v>
      </c>
      <c r="J57" s="4">
        <f t="shared" si="2"/>
        <v>0.13596837944664031</v>
      </c>
      <c r="K57" s="2">
        <v>0</v>
      </c>
      <c r="L57" s="4">
        <f t="shared" si="3"/>
        <v>0</v>
      </c>
      <c r="M57" s="2">
        <v>31740</v>
      </c>
      <c r="N57" s="2">
        <f t="shared" si="4"/>
        <v>0.14904448955065697</v>
      </c>
      <c r="O57" s="2">
        <v>0.53308235000000004</v>
      </c>
      <c r="P57" s="2">
        <f t="shared" si="5"/>
        <v>0.53836095676737661</v>
      </c>
      <c r="Q57" s="2">
        <v>0.2248</v>
      </c>
      <c r="R57" s="2">
        <f t="shared" si="6"/>
        <v>0.49160393746381009</v>
      </c>
      <c r="S57" s="2">
        <f t="shared" si="7"/>
        <v>4.6010706309087997E-2</v>
      </c>
      <c r="T57" s="5">
        <f t="shared" si="8"/>
        <v>0.12017146359194214</v>
      </c>
      <c r="U57" s="2" t="str">
        <f t="shared" si="9"/>
        <v>No Impact</v>
      </c>
      <c r="V57" s="2">
        <f t="shared" si="10"/>
        <v>4.3921971542384516E-2</v>
      </c>
      <c r="W57" s="2">
        <f t="shared" si="11"/>
        <v>0.10653864281463435</v>
      </c>
      <c r="X57" s="2" t="s">
        <v>1176</v>
      </c>
      <c r="Y57" s="2">
        <f t="shared" si="13"/>
        <v>4.8099441075791484E-2</v>
      </c>
      <c r="Z57" s="2">
        <f t="shared" si="14"/>
        <v>0.12294600963664487</v>
      </c>
      <c r="AA57" s="2" t="str">
        <f t="shared" si="15"/>
        <v>No Impact</v>
      </c>
      <c r="AB57" s="2">
        <f t="shared" si="16"/>
        <v>3.4463214772457944E-2</v>
      </c>
      <c r="AC57" s="2">
        <f t="shared" si="17"/>
        <v>0.12521514936610684</v>
      </c>
      <c r="AD57" s="2" t="str">
        <f t="shared" si="18"/>
        <v>No Impact</v>
      </c>
      <c r="AE57" s="2">
        <f t="shared" si="19"/>
        <v>1.3316264028245494E-2</v>
      </c>
      <c r="AF57" s="2">
        <f t="shared" si="20"/>
        <v>0.10144483988820092</v>
      </c>
      <c r="AG57" s="2" t="s">
        <v>1175</v>
      </c>
    </row>
    <row r="58" spans="1:33" x14ac:dyDescent="0.3">
      <c r="A58">
        <v>201290</v>
      </c>
      <c r="B58" t="s">
        <v>135</v>
      </c>
      <c r="C58" t="s">
        <v>1154</v>
      </c>
      <c r="D58" t="s">
        <v>136</v>
      </c>
      <c r="E58" s="13">
        <v>5.8</v>
      </c>
      <c r="F58" s="14">
        <f t="shared" si="0"/>
        <v>0.57777777777777772</v>
      </c>
      <c r="G58" s="2">
        <v>41.12</v>
      </c>
      <c r="H58" s="2">
        <f t="shared" si="1"/>
        <v>9.191176646949982E-2</v>
      </c>
      <c r="I58" s="2">
        <v>9.9</v>
      </c>
      <c r="J58" s="4">
        <f t="shared" si="2"/>
        <v>7.8260869565217397E-2</v>
      </c>
      <c r="K58" s="2">
        <v>0</v>
      </c>
      <c r="L58" s="4">
        <f t="shared" si="3"/>
        <v>0</v>
      </c>
      <c r="M58" s="2">
        <v>31073</v>
      </c>
      <c r="N58" s="2">
        <f t="shared" si="4"/>
        <v>0.14588863181502038</v>
      </c>
      <c r="O58" s="2">
        <v>0.271907805</v>
      </c>
      <c r="P58" s="2">
        <f t="shared" si="5"/>
        <v>0.23665469888916754</v>
      </c>
      <c r="Q58" s="2">
        <v>0.18099999999999999</v>
      </c>
      <c r="R58" s="2">
        <f t="shared" si="6"/>
        <v>0.36479444122756227</v>
      </c>
      <c r="S58" s="2">
        <f t="shared" si="7"/>
        <v>1.0348740989908319E-2</v>
      </c>
      <c r="T58" s="5">
        <f t="shared" si="8"/>
        <v>2.7028999353691019E-2</v>
      </c>
      <c r="U58" s="2" t="str">
        <f t="shared" si="9"/>
        <v>No Impact</v>
      </c>
      <c r="V58" s="2">
        <f t="shared" si="10"/>
        <v>1.2553557516400098E-2</v>
      </c>
      <c r="W58" s="2">
        <f t="shared" si="11"/>
        <v>3.0450340304102593E-2</v>
      </c>
      <c r="X58" s="2" t="s">
        <v>1176</v>
      </c>
      <c r="Y58" s="2">
        <f t="shared" si="13"/>
        <v>8.1439244634165398E-3</v>
      </c>
      <c r="Z58" s="2">
        <f t="shared" si="14"/>
        <v>2.0816520798684599E-2</v>
      </c>
      <c r="AA58" s="2" t="str">
        <f t="shared" si="15"/>
        <v>No Impact</v>
      </c>
      <c r="AB58" s="2">
        <f t="shared" si="16"/>
        <v>8.5940694907299109E-3</v>
      </c>
      <c r="AC58" s="2">
        <f t="shared" si="17"/>
        <v>3.1224820494820563E-2</v>
      </c>
      <c r="AD58" s="2" t="str">
        <f t="shared" si="18"/>
        <v>No Impact</v>
      </c>
      <c r="AE58" s="2">
        <f t="shared" si="19"/>
        <v>5.0204200598997547E-3</v>
      </c>
      <c r="AF58" s="2">
        <f t="shared" si="20"/>
        <v>3.8246140814552909E-2</v>
      </c>
      <c r="AG58" s="2" t="s">
        <v>1176</v>
      </c>
    </row>
    <row r="59" spans="1:33" x14ac:dyDescent="0.3">
      <c r="A59">
        <v>201294</v>
      </c>
      <c r="B59" t="s">
        <v>137</v>
      </c>
      <c r="C59" t="s">
        <v>1154</v>
      </c>
      <c r="D59" t="s">
        <v>138</v>
      </c>
      <c r="E59" s="13">
        <v>5.5</v>
      </c>
      <c r="F59" s="14">
        <f t="shared" si="0"/>
        <v>0.51111111111111107</v>
      </c>
      <c r="G59" s="2">
        <v>45.34</v>
      </c>
      <c r="H59" s="2">
        <f t="shared" si="1"/>
        <v>0.13750525065151906</v>
      </c>
      <c r="I59" s="2">
        <v>10.6</v>
      </c>
      <c r="J59" s="4">
        <f t="shared" si="2"/>
        <v>8.3794466403162057E-2</v>
      </c>
      <c r="K59" s="2">
        <v>0</v>
      </c>
      <c r="L59" s="4">
        <f t="shared" si="3"/>
        <v>0</v>
      </c>
      <c r="M59" s="2">
        <v>26913</v>
      </c>
      <c r="N59" s="2">
        <f t="shared" si="4"/>
        <v>0.12620592090010552</v>
      </c>
      <c r="O59" s="2">
        <v>0.52946543499999998</v>
      </c>
      <c r="P59" s="2">
        <f t="shared" si="5"/>
        <v>0.53418273224050483</v>
      </c>
      <c r="Q59" s="2">
        <v>0.15870000000000001</v>
      </c>
      <c r="R59" s="2">
        <f t="shared" si="6"/>
        <v>0.30023161551823979</v>
      </c>
      <c r="S59" s="2">
        <f t="shared" si="7"/>
        <v>1.6516422838625339E-2</v>
      </c>
      <c r="T59" s="5">
        <f t="shared" si="8"/>
        <v>4.3137844754818508E-2</v>
      </c>
      <c r="U59" s="2" t="str">
        <f t="shared" si="9"/>
        <v>No Impact</v>
      </c>
      <c r="V59" s="2">
        <f t="shared" si="10"/>
        <v>1.1885587357748955E-2</v>
      </c>
      <c r="W59" s="2">
        <f t="shared" si="11"/>
        <v>2.8830088943694165E-2</v>
      </c>
      <c r="X59" s="2" t="s">
        <v>1176</v>
      </c>
      <c r="Y59" s="2">
        <f t="shared" si="13"/>
        <v>2.1147258319501726E-2</v>
      </c>
      <c r="Z59" s="2">
        <f t="shared" si="14"/>
        <v>5.4054079776961202E-2</v>
      </c>
      <c r="AA59" s="2" t="str">
        <f t="shared" si="15"/>
        <v>No Impact</v>
      </c>
      <c r="AB59" s="2">
        <f t="shared" si="16"/>
        <v>1.225281974207475E-2</v>
      </c>
      <c r="AC59" s="2">
        <f t="shared" si="17"/>
        <v>4.4518152595154702E-2</v>
      </c>
      <c r="AD59" s="2" t="str">
        <f t="shared" si="18"/>
        <v>No Impact</v>
      </c>
      <c r="AE59" s="2">
        <f t="shared" si="19"/>
        <v>4.9962476314631436E-3</v>
      </c>
      <c r="AF59" s="2">
        <f t="shared" si="20"/>
        <v>3.8061992458282734E-2</v>
      </c>
      <c r="AG59" s="2" t="s">
        <v>1176</v>
      </c>
    </row>
    <row r="60" spans="1:33" x14ac:dyDescent="0.3">
      <c r="A60">
        <v>201322</v>
      </c>
      <c r="B60" t="s">
        <v>139</v>
      </c>
      <c r="C60" t="s">
        <v>140</v>
      </c>
      <c r="D60" t="s">
        <v>141</v>
      </c>
      <c r="E60" s="13">
        <v>6</v>
      </c>
      <c r="F60" s="14">
        <f t="shared" si="0"/>
        <v>0.62222222222222223</v>
      </c>
      <c r="G60" s="2">
        <v>70.7</v>
      </c>
      <c r="H60" s="2">
        <f t="shared" si="1"/>
        <v>0.41149832147047782</v>
      </c>
      <c r="I60" s="2">
        <v>29.9</v>
      </c>
      <c r="J60" s="4">
        <f t="shared" si="2"/>
        <v>0.23636363636363636</v>
      </c>
      <c r="K60" s="2">
        <v>0</v>
      </c>
      <c r="L60" s="4">
        <f t="shared" si="3"/>
        <v>0</v>
      </c>
      <c r="M60" s="2">
        <v>31606</v>
      </c>
      <c r="N60" s="2">
        <f t="shared" si="4"/>
        <v>0.14841047915099384</v>
      </c>
      <c r="O60" s="2">
        <v>0.56187791600000003</v>
      </c>
      <c r="P60" s="2">
        <f t="shared" si="5"/>
        <v>0.57162531054023369</v>
      </c>
      <c r="Q60" s="2">
        <v>0.30790000000000001</v>
      </c>
      <c r="R60" s="2">
        <f t="shared" si="6"/>
        <v>0.73219455703532144</v>
      </c>
      <c r="S60" s="2">
        <f t="shared" si="7"/>
        <v>9.1977931803233826E-2</v>
      </c>
      <c r="T60" s="5">
        <f t="shared" si="8"/>
        <v>0.2402293633291008</v>
      </c>
      <c r="U60" s="2" t="str">
        <f t="shared" si="9"/>
        <v>Low</v>
      </c>
      <c r="V60" s="2">
        <f t="shared" si="10"/>
        <v>0.10330528427814614</v>
      </c>
      <c r="W60" s="2">
        <f t="shared" si="11"/>
        <v>0.25058084589743257</v>
      </c>
      <c r="X60" s="2" t="s">
        <v>1175</v>
      </c>
      <c r="Y60" s="2">
        <f t="shared" si="13"/>
        <v>8.0650579328321481E-2</v>
      </c>
      <c r="Z60" s="2">
        <f t="shared" si="14"/>
        <v>0.20614931653106824</v>
      </c>
      <c r="AA60" s="2" t="str">
        <f t="shared" si="15"/>
        <v>Low</v>
      </c>
      <c r="AB60" s="2">
        <f t="shared" si="16"/>
        <v>6.7680752124725505E-2</v>
      </c>
      <c r="AC60" s="2">
        <f t="shared" si="17"/>
        <v>0.24590438072772797</v>
      </c>
      <c r="AD60" s="2" t="str">
        <f t="shared" si="18"/>
        <v>Low</v>
      </c>
      <c r="AE60" s="2">
        <f t="shared" si="19"/>
        <v>2.0939225225365472E-2</v>
      </c>
      <c r="AF60" s="2">
        <f t="shared" si="20"/>
        <v>0.15951744016674116</v>
      </c>
      <c r="AG60" s="2" t="s">
        <v>1175</v>
      </c>
    </row>
    <row r="61" spans="1:33" x14ac:dyDescent="0.3">
      <c r="A61">
        <v>201345</v>
      </c>
      <c r="B61" t="s">
        <v>142</v>
      </c>
      <c r="C61" t="s">
        <v>140</v>
      </c>
      <c r="D61" t="s">
        <v>143</v>
      </c>
      <c r="E61" s="13">
        <v>6</v>
      </c>
      <c r="F61" s="14">
        <f t="shared" si="0"/>
        <v>0.62222222222222223</v>
      </c>
      <c r="G61" s="2">
        <v>70.7</v>
      </c>
      <c r="H61" s="2">
        <f t="shared" si="1"/>
        <v>0.41149832147047782</v>
      </c>
      <c r="I61" s="2">
        <v>27</v>
      </c>
      <c r="J61" s="4">
        <f t="shared" si="2"/>
        <v>0.2134387351778656</v>
      </c>
      <c r="K61" s="2">
        <v>0</v>
      </c>
      <c r="L61" s="4">
        <f t="shared" si="3"/>
        <v>0</v>
      </c>
      <c r="M61" s="2">
        <v>25019</v>
      </c>
      <c r="N61" s="2">
        <f t="shared" si="4"/>
        <v>0.11724460972874765</v>
      </c>
      <c r="O61" s="2">
        <v>0.51858346</v>
      </c>
      <c r="P61" s="2">
        <f t="shared" si="5"/>
        <v>0.5216119820719759</v>
      </c>
      <c r="Q61" s="2">
        <v>0.32340000000000002</v>
      </c>
      <c r="R61" s="2">
        <f t="shared" si="6"/>
        <v>0.77707006369426768</v>
      </c>
      <c r="S61" s="2">
        <f t="shared" si="7"/>
        <v>8.8373627166571253E-2</v>
      </c>
      <c r="T61" s="5">
        <f t="shared" si="8"/>
        <v>0.23081558557682552</v>
      </c>
      <c r="U61" s="2" t="str">
        <f t="shared" si="9"/>
        <v>Low</v>
      </c>
      <c r="V61" s="2">
        <f t="shared" si="10"/>
        <v>0.10575721796585413</v>
      </c>
      <c r="W61" s="2">
        <f t="shared" si="11"/>
        <v>0.25652834046988837</v>
      </c>
      <c r="X61" s="2" t="s">
        <v>1175</v>
      </c>
      <c r="Y61" s="2">
        <f t="shared" si="13"/>
        <v>7.0990036367288373E-2</v>
      </c>
      <c r="Z61" s="2">
        <f t="shared" si="14"/>
        <v>0.18145619782910932</v>
      </c>
      <c r="AA61" s="2" t="str">
        <f t="shared" si="15"/>
        <v>Low</v>
      </c>
      <c r="AB61" s="2">
        <f t="shared" si="16"/>
        <v>6.3896877631554619E-2</v>
      </c>
      <c r="AC61" s="2">
        <f t="shared" si="17"/>
        <v>0.23215643489698554</v>
      </c>
      <c r="AD61" s="2" t="str">
        <f t="shared" si="18"/>
        <v>Low</v>
      </c>
      <c r="AE61" s="2">
        <f t="shared" si="19"/>
        <v>1.595668695234043E-2</v>
      </c>
      <c r="AF61" s="2">
        <f t="shared" si="20"/>
        <v>0.12155988718703689</v>
      </c>
      <c r="AG61" s="2" t="s">
        <v>1175</v>
      </c>
    </row>
    <row r="62" spans="1:33" x14ac:dyDescent="0.3">
      <c r="A62">
        <v>201347</v>
      </c>
      <c r="B62" t="s">
        <v>144</v>
      </c>
      <c r="C62" t="s">
        <v>140</v>
      </c>
      <c r="D62" t="s">
        <v>145</v>
      </c>
      <c r="E62" s="13">
        <v>6</v>
      </c>
      <c r="F62" s="14">
        <f t="shared" si="0"/>
        <v>0.62222222222222223</v>
      </c>
      <c r="G62" s="2">
        <v>80.28</v>
      </c>
      <c r="H62" s="2">
        <f t="shared" si="1"/>
        <v>0.51500201304956394</v>
      </c>
      <c r="I62" s="2">
        <v>30.6</v>
      </c>
      <c r="J62" s="4">
        <f t="shared" si="2"/>
        <v>0.24189723320158105</v>
      </c>
      <c r="K62" s="2">
        <v>0</v>
      </c>
      <c r="L62" s="4">
        <f t="shared" si="3"/>
        <v>0</v>
      </c>
      <c r="M62" s="2">
        <v>5413</v>
      </c>
      <c r="N62" s="2">
        <f t="shared" si="4"/>
        <v>2.4480371700425354E-2</v>
      </c>
      <c r="O62" s="2">
        <v>0.57652104299999996</v>
      </c>
      <c r="P62" s="2">
        <f t="shared" si="5"/>
        <v>0.5885409063951258</v>
      </c>
      <c r="Q62" s="2">
        <v>0.25659999999999999</v>
      </c>
      <c r="R62" s="2">
        <f t="shared" si="6"/>
        <v>0.58367110596409966</v>
      </c>
      <c r="S62" s="2">
        <f t="shared" si="7"/>
        <v>9.6611273425467867E-2</v>
      </c>
      <c r="T62" s="5">
        <f t="shared" si="8"/>
        <v>0.25233079555500321</v>
      </c>
      <c r="U62" s="2" t="str">
        <f t="shared" si="9"/>
        <v>Low</v>
      </c>
      <c r="V62" s="2">
        <f t="shared" si="10"/>
        <v>9.6209914613231834E-2</v>
      </c>
      <c r="W62" s="2">
        <f t="shared" si="11"/>
        <v>0.23337007352491676</v>
      </c>
      <c r="X62" s="2" t="s">
        <v>1175</v>
      </c>
      <c r="Y62" s="2">
        <f t="shared" si="13"/>
        <v>9.7012632237703927E-2</v>
      </c>
      <c r="Z62" s="2">
        <f t="shared" si="14"/>
        <v>0.24797202942917493</v>
      </c>
      <c r="AA62" s="2" t="str">
        <f t="shared" si="15"/>
        <v>Low</v>
      </c>
      <c r="AB62" s="2">
        <f t="shared" si="16"/>
        <v>6.4189594671849856E-2</v>
      </c>
      <c r="AC62" s="2">
        <f t="shared" si="17"/>
        <v>0.23321996330443592</v>
      </c>
      <c r="AD62" s="2" t="str">
        <f t="shared" si="18"/>
        <v>Low</v>
      </c>
      <c r="AE62" s="2">
        <f t="shared" si="19"/>
        <v>4.0352425311644029E-3</v>
      </c>
      <c r="AF62" s="2">
        <f t="shared" si="20"/>
        <v>3.0740944428237403E-2</v>
      </c>
      <c r="AG62" s="2" t="s">
        <v>1176</v>
      </c>
    </row>
    <row r="63" spans="1:33" x14ac:dyDescent="0.3">
      <c r="A63">
        <v>201349</v>
      </c>
      <c r="B63" t="s">
        <v>146</v>
      </c>
      <c r="C63" t="s">
        <v>140</v>
      </c>
      <c r="D63" t="s">
        <v>147</v>
      </c>
      <c r="E63" s="13">
        <v>4.5999999999999996</v>
      </c>
      <c r="F63" s="14">
        <f t="shared" si="0"/>
        <v>0.31111111111111101</v>
      </c>
      <c r="G63" s="2">
        <v>68.84</v>
      </c>
      <c r="H63" s="2">
        <f t="shared" si="1"/>
        <v>0.3914026151722419</v>
      </c>
      <c r="I63" s="2">
        <v>33.4</v>
      </c>
      <c r="J63" s="4">
        <f t="shared" si="2"/>
        <v>0.26403162055335966</v>
      </c>
      <c r="K63" s="2">
        <v>0</v>
      </c>
      <c r="L63" s="4">
        <f t="shared" si="3"/>
        <v>0</v>
      </c>
      <c r="M63" s="2">
        <v>29282</v>
      </c>
      <c r="N63" s="2">
        <f t="shared" si="4"/>
        <v>0.13741465699564237</v>
      </c>
      <c r="O63" s="2">
        <v>0.61689506999999999</v>
      </c>
      <c r="P63" s="2">
        <f t="shared" si="5"/>
        <v>0.63518058409282718</v>
      </c>
      <c r="Q63" s="2">
        <v>0.26519999999999999</v>
      </c>
      <c r="R63" s="2">
        <f t="shared" si="6"/>
        <v>0.60856977417486968</v>
      </c>
      <c r="S63" s="2">
        <f t="shared" si="7"/>
        <v>4.4382924121918778E-2</v>
      </c>
      <c r="T63" s="5">
        <f t="shared" si="8"/>
        <v>0.11591999728045062</v>
      </c>
      <c r="U63" s="2" t="str">
        <f t="shared" si="9"/>
        <v>No Impact</v>
      </c>
      <c r="V63" s="2">
        <f t="shared" si="10"/>
        <v>4.3433323947285267E-2</v>
      </c>
      <c r="W63" s="2">
        <f t="shared" si="11"/>
        <v>0.10535336242378779</v>
      </c>
      <c r="X63" s="2" t="s">
        <v>1176</v>
      </c>
      <c r="Y63" s="2">
        <f t="shared" si="13"/>
        <v>4.533252429655231E-2</v>
      </c>
      <c r="Z63" s="2">
        <f t="shared" si="14"/>
        <v>0.11587354955404013</v>
      </c>
      <c r="AA63" s="2" t="str">
        <f t="shared" si="15"/>
        <v>No Impact</v>
      </c>
      <c r="AB63" s="2">
        <f t="shared" si="16"/>
        <v>3.2233946319971535E-2</v>
      </c>
      <c r="AC63" s="2">
        <f t="shared" si="17"/>
        <v>0.11711555145865002</v>
      </c>
      <c r="AD63" s="2" t="str">
        <f t="shared" si="18"/>
        <v>No Impact</v>
      </c>
      <c r="AE63" s="2">
        <f t="shared" si="19"/>
        <v>9.8072161413028693E-3</v>
      </c>
      <c r="AF63" s="2">
        <f t="shared" si="20"/>
        <v>7.471250713361928E-2</v>
      </c>
      <c r="AG63" s="2" t="s">
        <v>1175</v>
      </c>
    </row>
    <row r="64" spans="1:33" x14ac:dyDescent="0.3">
      <c r="A64">
        <v>201358</v>
      </c>
      <c r="B64" t="s">
        <v>148</v>
      </c>
      <c r="C64" t="s">
        <v>140</v>
      </c>
      <c r="D64" t="s">
        <v>1128</v>
      </c>
      <c r="E64" s="13">
        <v>5.6</v>
      </c>
      <c r="F64" s="14">
        <f t="shared" si="0"/>
        <v>0.53333333333333321</v>
      </c>
      <c r="G64" s="2">
        <v>68.84</v>
      </c>
      <c r="H64" s="2">
        <f t="shared" si="1"/>
        <v>0.3914026151722419</v>
      </c>
      <c r="I64" s="2">
        <v>29.5</v>
      </c>
      <c r="J64" s="4">
        <f t="shared" si="2"/>
        <v>0.233201581027668</v>
      </c>
      <c r="K64" s="2">
        <v>0</v>
      </c>
      <c r="L64" s="4">
        <f t="shared" si="3"/>
        <v>0</v>
      </c>
      <c r="M64" s="2">
        <v>41920</v>
      </c>
      <c r="N64" s="2">
        <f t="shared" si="4"/>
        <v>0.19721035424148226</v>
      </c>
      <c r="O64" s="2">
        <v>0.69719438899999997</v>
      </c>
      <c r="P64" s="2">
        <f t="shared" si="5"/>
        <v>0.72794156524303277</v>
      </c>
      <c r="Q64" s="2">
        <v>0.254</v>
      </c>
      <c r="R64" s="2">
        <f t="shared" si="6"/>
        <v>0.57614360162130873</v>
      </c>
      <c r="S64" s="2">
        <f t="shared" si="7"/>
        <v>7.6023459626382545E-2</v>
      </c>
      <c r="T64" s="5">
        <f t="shared" si="8"/>
        <v>0.19855922987256572</v>
      </c>
      <c r="U64" s="2" t="str">
        <f t="shared" si="9"/>
        <v>Low</v>
      </c>
      <c r="V64" s="2">
        <f t="shared" si="10"/>
        <v>6.7174186088127724E-2</v>
      </c>
      <c r="W64" s="2">
        <f t="shared" si="11"/>
        <v>0.16294001308890896</v>
      </c>
      <c r="X64" s="2" t="s">
        <v>1176</v>
      </c>
      <c r="Y64" s="2">
        <f t="shared" si="13"/>
        <v>8.4872733164637337E-2</v>
      </c>
      <c r="Z64" s="2">
        <f t="shared" si="14"/>
        <v>0.2169414786568013</v>
      </c>
      <c r="AA64" s="2" t="str">
        <f t="shared" si="15"/>
        <v>Low</v>
      </c>
      <c r="AB64" s="2">
        <f t="shared" si="16"/>
        <v>5.7020441513398204E-2</v>
      </c>
      <c r="AC64" s="2">
        <f t="shared" si="17"/>
        <v>0.20717228929924048</v>
      </c>
      <c r="AD64" s="2" t="str">
        <f t="shared" si="18"/>
        <v>Low</v>
      </c>
      <c r="AE64" s="2">
        <f t="shared" si="19"/>
        <v>2.2993304094749423E-2</v>
      </c>
      <c r="AF64" s="2">
        <f t="shared" si="20"/>
        <v>0.17516565062429895</v>
      </c>
      <c r="AG64" s="2" t="s">
        <v>1175</v>
      </c>
    </row>
    <row r="65" spans="1:33" x14ac:dyDescent="0.3">
      <c r="A65">
        <v>201376</v>
      </c>
      <c r="B65" t="s">
        <v>149</v>
      </c>
      <c r="C65" t="s">
        <v>140</v>
      </c>
      <c r="D65" t="s">
        <v>150</v>
      </c>
      <c r="E65" s="13">
        <v>6</v>
      </c>
      <c r="F65" s="14">
        <f t="shared" si="0"/>
        <v>0.62222222222222223</v>
      </c>
      <c r="G65" s="2">
        <v>68.84</v>
      </c>
      <c r="H65" s="2">
        <f t="shared" si="1"/>
        <v>0.3914026151722419</v>
      </c>
      <c r="I65" s="2">
        <v>23.3</v>
      </c>
      <c r="J65" s="4">
        <f t="shared" si="2"/>
        <v>0.18418972332015812</v>
      </c>
      <c r="K65" s="2">
        <v>0</v>
      </c>
      <c r="L65" s="4">
        <f t="shared" si="3"/>
        <v>0</v>
      </c>
      <c r="M65" s="2">
        <v>14716</v>
      </c>
      <c r="N65" s="2">
        <f t="shared" si="4"/>
        <v>6.8496780268082313E-2</v>
      </c>
      <c r="O65" s="2">
        <v>0.67070708300000004</v>
      </c>
      <c r="P65" s="2">
        <f t="shared" si="5"/>
        <v>0.69734369065102375</v>
      </c>
      <c r="Q65" s="2">
        <v>0.2772</v>
      </c>
      <c r="R65" s="2">
        <f t="shared" si="6"/>
        <v>0.6433121019108281</v>
      </c>
      <c r="S65" s="2">
        <f t="shared" si="7"/>
        <v>8.4026419855441889E-2</v>
      </c>
      <c r="T65" s="5">
        <f t="shared" si="8"/>
        <v>0.21946148330318097</v>
      </c>
      <c r="U65" s="2" t="str">
        <f t="shared" si="9"/>
        <v>Low</v>
      </c>
      <c r="V65" s="2">
        <f t="shared" si="10"/>
        <v>8.0639957061539647E-2</v>
      </c>
      <c r="W65" s="2">
        <f t="shared" si="11"/>
        <v>0.19560304968724554</v>
      </c>
      <c r="X65" s="2" t="s">
        <v>1176</v>
      </c>
      <c r="Y65" s="2">
        <f t="shared" si="13"/>
        <v>8.7412882649344145E-2</v>
      </c>
      <c r="Z65" s="2">
        <f t="shared" si="14"/>
        <v>0.22343430343896833</v>
      </c>
      <c r="AA65" s="2" t="str">
        <f t="shared" si="15"/>
        <v>Low</v>
      </c>
      <c r="AB65" s="2">
        <f t="shared" si="16"/>
        <v>5.7453004015955669E-2</v>
      </c>
      <c r="AC65" s="2">
        <f t="shared" si="17"/>
        <v>0.20874391802643619</v>
      </c>
      <c r="AD65" s="2" t="str">
        <f t="shared" si="18"/>
        <v>Low</v>
      </c>
      <c r="AE65" s="2">
        <f t="shared" si="19"/>
        <v>8.5861549988958813E-3</v>
      </c>
      <c r="AF65" s="2">
        <f t="shared" si="20"/>
        <v>6.54103220896433E-2</v>
      </c>
      <c r="AG65" s="2" t="s">
        <v>1175</v>
      </c>
    </row>
    <row r="66" spans="1:33" x14ac:dyDescent="0.3">
      <c r="A66">
        <v>201379</v>
      </c>
      <c r="B66" t="s">
        <v>151</v>
      </c>
      <c r="C66" t="s">
        <v>140</v>
      </c>
      <c r="D66" t="s">
        <v>1129</v>
      </c>
      <c r="E66" s="13">
        <v>5.3</v>
      </c>
      <c r="F66" s="14">
        <f t="shared" ref="F66:F129" si="23">(E66-$AJ$5)/$AK$5</f>
        <v>0.46666666666666656</v>
      </c>
      <c r="G66" s="2">
        <v>69.481274400000004</v>
      </c>
      <c r="H66" s="2">
        <f t="shared" ref="H66:H129" si="24">(G66-$AJ$6)/$AK$6</f>
        <v>0.39833103560179967</v>
      </c>
      <c r="I66" s="2">
        <v>28.7</v>
      </c>
      <c r="J66" s="4">
        <f t="shared" ref="J66:J129" si="25">(I66-$AJ$7)/$AK$7</f>
        <v>0.22687747035573122</v>
      </c>
      <c r="K66" s="2">
        <v>0</v>
      </c>
      <c r="L66" s="4">
        <f t="shared" ref="L66:L129" si="26">(K66-$AJ$8)/$AK$8</f>
        <v>0</v>
      </c>
      <c r="M66" s="2">
        <v>26290</v>
      </c>
      <c r="N66" s="2">
        <f t="shared" ref="N66:N129" si="27">(M66-$AJ$9)/$AK$9</f>
        <v>0.12325824568376129</v>
      </c>
      <c r="O66" s="2">
        <v>0.61544966899999998</v>
      </c>
      <c r="P66" s="2">
        <f t="shared" ref="P66:P129" si="28">(O66-$AJ$11)/$AK$11</f>
        <v>0.63351087111661264</v>
      </c>
      <c r="Q66" s="2">
        <v>0.27010000000000001</v>
      </c>
      <c r="R66" s="2">
        <f t="shared" ref="R66:R129" si="29">(Q66-$AJ$12)/$AK$12</f>
        <v>0.62275622466705272</v>
      </c>
      <c r="S66" s="2">
        <f t="shared" ref="S66:S129" si="30">F66*(R66*0.5+P66*0.5)*(H66*0.35+J66*0.35+L66*0.3)</f>
        <v>6.4143358046478444E-2</v>
      </c>
      <c r="T66" s="5">
        <f t="shared" ref="T66:T129" si="31">(S66-$AJ$10)/$AK$10</f>
        <v>0.16753059960361391</v>
      </c>
      <c r="U66" s="2" t="str">
        <f t="shared" ref="U66:U129" si="32">IF(T66&gt;0.7,"High",IF(T66&gt;0.3,"Moderate",IF(T66&gt;0.15,"Low","No Impact")))</f>
        <v>Low</v>
      </c>
      <c r="V66" s="2">
        <f t="shared" ref="V66:V129" si="33">F66*(R66*1)*(H66*0.35+J66*0.35+L66*0.3)</f>
        <v>6.3594239837307262E-2</v>
      </c>
      <c r="W66" s="2">
        <f t="shared" ref="W66:W129" si="34">(V66-$AJ$13)/$AK$13</f>
        <v>0.1542563724981468</v>
      </c>
      <c r="X66" s="2" t="s">
        <v>1176</v>
      </c>
      <c r="Y66" s="2">
        <f t="shared" ref="Y66:Y129" si="35">F66*(P66*1)*(H66*0.35+J66*0.35+L66*0.3)</f>
        <v>6.4692476255649625E-2</v>
      </c>
      <c r="Z66" s="2">
        <f t="shared" ref="Z66:Z129" si="36">(Y66-$AJ$14)/$AK$14</f>
        <v>0.16535913165004773</v>
      </c>
      <c r="AA66" s="2" t="str">
        <f t="shared" ref="AA66:AA129" si="37">IF(Z66&gt;0.7,"High",IF(Z66&gt;0.3,"Moderate",IF(Z66&gt;0.15,"Low","No Impact")))</f>
        <v>Low</v>
      </c>
      <c r="AB66" s="2">
        <f t="shared" ref="AB66:AB129" si="38">F66*(R66*0.35+P66*0.3+N66*0.35)*(H66*0.35+J66*0.35+L66*0.3)</f>
        <v>4.6071110410651678E-2</v>
      </c>
      <c r="AC66" s="2">
        <f t="shared" ref="AC66:AC129" si="39">(AB66-$AJ$15)/$AK$15</f>
        <v>0.16739010012909233</v>
      </c>
      <c r="AD66" s="2" t="str">
        <f t="shared" ref="AD66:AD129" si="40">IF(AC66&gt;0.7,"High",IF(AC66&gt;0.3,"Moderate",IF(AC66&gt;0.15,"Low","No Impact")))</f>
        <v>Low</v>
      </c>
      <c r="AE66" s="2">
        <f t="shared" ref="AE66:AE129" si="41">F66*(N66*1)*(H66*0.35+J66*0.35+L66*0.3)</f>
        <v>1.2586810259712139E-2</v>
      </c>
      <c r="AF66" s="2">
        <f t="shared" ref="AF66:AF129" si="42">(AE66-$AJ$16)/$AK$16</f>
        <v>9.5887776691064783E-2</v>
      </c>
      <c r="AG66" s="2" t="s">
        <v>1175</v>
      </c>
    </row>
    <row r="67" spans="1:33" x14ac:dyDescent="0.3">
      <c r="A67">
        <v>201395</v>
      </c>
      <c r="B67" t="s">
        <v>152</v>
      </c>
      <c r="C67" t="s">
        <v>140</v>
      </c>
      <c r="D67" t="s">
        <v>153</v>
      </c>
      <c r="E67" s="13">
        <v>6</v>
      </c>
      <c r="F67" s="14">
        <f t="shared" si="23"/>
        <v>0.62222222222222223</v>
      </c>
      <c r="G67" s="2">
        <v>68.838120000000004</v>
      </c>
      <c r="H67" s="2">
        <f t="shared" si="24"/>
        <v>0.39138230338308022</v>
      </c>
      <c r="I67" s="2">
        <v>33.4</v>
      </c>
      <c r="J67" s="4">
        <f t="shared" si="25"/>
        <v>0.26403162055335966</v>
      </c>
      <c r="K67" s="2">
        <v>0</v>
      </c>
      <c r="L67" s="4">
        <f t="shared" si="26"/>
        <v>0</v>
      </c>
      <c r="M67" s="2">
        <v>14024</v>
      </c>
      <c r="N67" s="2">
        <f t="shared" si="27"/>
        <v>6.5222637010120516E-2</v>
      </c>
      <c r="O67" s="2">
        <v>0.64029064999999996</v>
      </c>
      <c r="P67" s="2">
        <f t="shared" si="28"/>
        <v>0.66220692730973685</v>
      </c>
      <c r="Q67" s="2">
        <v>0.2465</v>
      </c>
      <c r="R67" s="2">
        <f t="shared" si="29"/>
        <v>0.55442964678633477</v>
      </c>
      <c r="S67" s="2">
        <f t="shared" si="30"/>
        <v>8.6828060001359508E-2</v>
      </c>
      <c r="T67" s="5">
        <f t="shared" si="31"/>
        <v>0.22677884971201531</v>
      </c>
      <c r="U67" s="2" t="str">
        <f t="shared" si="32"/>
        <v>Low</v>
      </c>
      <c r="V67" s="2">
        <f t="shared" si="33"/>
        <v>7.9136287142219444E-2</v>
      </c>
      <c r="W67" s="2">
        <f t="shared" si="34"/>
        <v>0.19195569628256121</v>
      </c>
      <c r="X67" s="2" t="s">
        <v>1176</v>
      </c>
      <c r="Y67" s="2">
        <f t="shared" si="35"/>
        <v>9.4519832860499572E-2</v>
      </c>
      <c r="Z67" s="2">
        <f t="shared" si="36"/>
        <v>0.24160023530023567</v>
      </c>
      <c r="AA67" s="2" t="str">
        <f t="shared" si="37"/>
        <v>Low</v>
      </c>
      <c r="AB67" s="2">
        <f t="shared" si="38"/>
        <v>5.9311984532845294E-2</v>
      </c>
      <c r="AC67" s="2">
        <f t="shared" si="39"/>
        <v>0.21549814930253414</v>
      </c>
      <c r="AD67" s="2" t="str">
        <f t="shared" si="40"/>
        <v>Low</v>
      </c>
      <c r="AE67" s="2">
        <f t="shared" si="41"/>
        <v>9.3095262140532112E-3</v>
      </c>
      <c r="AF67" s="2">
        <f t="shared" si="42"/>
        <v>7.0921047691487438E-2</v>
      </c>
      <c r="AG67" s="2" t="s">
        <v>1175</v>
      </c>
    </row>
    <row r="68" spans="1:33" x14ac:dyDescent="0.3">
      <c r="A68">
        <v>201504</v>
      </c>
      <c r="B68" t="s">
        <v>154</v>
      </c>
      <c r="C68" t="s">
        <v>1155</v>
      </c>
      <c r="D68" t="s">
        <v>155</v>
      </c>
      <c r="E68" s="13">
        <v>5.2</v>
      </c>
      <c r="F68" s="14">
        <f t="shared" si="23"/>
        <v>0.44444444444444442</v>
      </c>
      <c r="G68" s="2">
        <v>75.869370000000004</v>
      </c>
      <c r="H68" s="2">
        <f t="shared" si="24"/>
        <v>0.46734893505483904</v>
      </c>
      <c r="I68" s="2">
        <v>8.8000000000000007</v>
      </c>
      <c r="J68" s="4">
        <f t="shared" si="25"/>
        <v>6.9565217391304349E-2</v>
      </c>
      <c r="K68" s="2">
        <v>0</v>
      </c>
      <c r="L68" s="4">
        <f t="shared" si="26"/>
        <v>0</v>
      </c>
      <c r="M68" s="2">
        <v>33279</v>
      </c>
      <c r="N68" s="2">
        <f t="shared" si="27"/>
        <v>0.15632614630499686</v>
      </c>
      <c r="O68" s="2">
        <v>0.54515739299999999</v>
      </c>
      <c r="P68" s="2">
        <f t="shared" si="28"/>
        <v>0.55230992731980333</v>
      </c>
      <c r="Q68" s="2">
        <v>0.27939999999999998</v>
      </c>
      <c r="R68" s="2">
        <f t="shared" si="29"/>
        <v>0.64968152866242035</v>
      </c>
      <c r="S68" s="2">
        <f t="shared" si="30"/>
        <v>5.0195150742815664E-2</v>
      </c>
      <c r="T68" s="5">
        <f t="shared" si="31"/>
        <v>0.13110045930311831</v>
      </c>
      <c r="U68" s="2" t="str">
        <f t="shared" si="32"/>
        <v>No Impact</v>
      </c>
      <c r="V68" s="2">
        <f t="shared" si="33"/>
        <v>5.42613878055975E-2</v>
      </c>
      <c r="W68" s="2">
        <f t="shared" si="34"/>
        <v>0.13161828604320119</v>
      </c>
      <c r="X68" s="2" t="s">
        <v>1176</v>
      </c>
      <c r="Y68" s="2">
        <f t="shared" si="35"/>
        <v>4.6128913680033835E-2</v>
      </c>
      <c r="Z68" s="2">
        <f t="shared" si="36"/>
        <v>0.1179091843686268</v>
      </c>
      <c r="AA68" s="2" t="str">
        <f t="shared" si="37"/>
        <v>No Impact</v>
      </c>
      <c r="AB68" s="2">
        <f t="shared" si="38"/>
        <v>3.7399884610499756E-2</v>
      </c>
      <c r="AC68" s="2">
        <f t="shared" si="39"/>
        <v>0.13588494772465157</v>
      </c>
      <c r="AD68" s="2" t="str">
        <f t="shared" si="40"/>
        <v>No Impact</v>
      </c>
      <c r="AE68" s="2">
        <f t="shared" si="41"/>
        <v>1.3056356498658541E-2</v>
      </c>
      <c r="AF68" s="2">
        <f t="shared" si="42"/>
        <v>9.9464834259838486E-2</v>
      </c>
      <c r="AG68" s="2" t="s">
        <v>1175</v>
      </c>
    </row>
    <row r="69" spans="1:33" x14ac:dyDescent="0.3">
      <c r="A69">
        <v>201506</v>
      </c>
      <c r="B69" t="s">
        <v>156</v>
      </c>
      <c r="C69" t="s">
        <v>1155</v>
      </c>
      <c r="D69" t="s">
        <v>157</v>
      </c>
      <c r="E69" s="13">
        <v>5.3</v>
      </c>
      <c r="F69" s="14">
        <f t="shared" si="23"/>
        <v>0.46666666666666656</v>
      </c>
      <c r="G69" s="2">
        <v>72.712339200000002</v>
      </c>
      <c r="H69" s="2">
        <f t="shared" si="24"/>
        <v>0.43323992229608377</v>
      </c>
      <c r="I69" s="2">
        <v>14.1</v>
      </c>
      <c r="J69" s="4">
        <f t="shared" si="25"/>
        <v>0.11146245059288537</v>
      </c>
      <c r="K69" s="2">
        <v>0</v>
      </c>
      <c r="L69" s="4">
        <f t="shared" si="26"/>
        <v>0</v>
      </c>
      <c r="M69" s="2">
        <v>20965</v>
      </c>
      <c r="N69" s="2">
        <f t="shared" si="27"/>
        <v>9.8063429428491666E-2</v>
      </c>
      <c r="O69" s="2">
        <v>0.36708175799999998</v>
      </c>
      <c r="P69" s="2">
        <f t="shared" si="28"/>
        <v>0.34659871049683222</v>
      </c>
      <c r="Q69" s="2">
        <v>0.31059999999999999</v>
      </c>
      <c r="R69" s="2">
        <f t="shared" si="29"/>
        <v>0.740011580775912</v>
      </c>
      <c r="S69" s="2">
        <f t="shared" si="30"/>
        <v>4.8336801665050062E-2</v>
      </c>
      <c r="T69" s="5">
        <f t="shared" si="31"/>
        <v>0.12624679487467813</v>
      </c>
      <c r="U69" s="2" t="str">
        <f t="shared" si="32"/>
        <v>No Impact</v>
      </c>
      <c r="V69" s="2">
        <f t="shared" si="33"/>
        <v>6.5837390455612835E-2</v>
      </c>
      <c r="W69" s="2">
        <f t="shared" si="34"/>
        <v>0.15969743568613384</v>
      </c>
      <c r="X69" s="2" t="s">
        <v>1176</v>
      </c>
      <c r="Y69" s="2">
        <f t="shared" si="35"/>
        <v>3.0836212874487279E-2</v>
      </c>
      <c r="Z69" s="2">
        <f t="shared" si="36"/>
        <v>7.8819820780255526E-2</v>
      </c>
      <c r="AA69" s="2" t="str">
        <f t="shared" si="37"/>
        <v>No Impact</v>
      </c>
      <c r="AB69" s="2">
        <f t="shared" si="38"/>
        <v>3.5347529899684337E-2</v>
      </c>
      <c r="AC69" s="2">
        <f t="shared" si="39"/>
        <v>0.12842813026395541</v>
      </c>
      <c r="AD69" s="2" t="str">
        <f t="shared" si="40"/>
        <v>No Impact</v>
      </c>
      <c r="AE69" s="2">
        <f t="shared" si="41"/>
        <v>8.7245125082104618E-3</v>
      </c>
      <c r="AF69" s="2">
        <f t="shared" si="42"/>
        <v>6.6464345601791777E-2</v>
      </c>
      <c r="AG69" s="2" t="s">
        <v>1175</v>
      </c>
    </row>
    <row r="70" spans="1:33" x14ac:dyDescent="0.3">
      <c r="A70">
        <v>201508</v>
      </c>
      <c r="B70" t="s">
        <v>158</v>
      </c>
      <c r="C70" t="s">
        <v>1155</v>
      </c>
      <c r="D70" t="s">
        <v>159</v>
      </c>
      <c r="E70" s="13">
        <v>5.7</v>
      </c>
      <c r="F70" s="14">
        <f t="shared" si="23"/>
        <v>0.55555555555555558</v>
      </c>
      <c r="G70" s="2">
        <v>76.5338256</v>
      </c>
      <c r="H70" s="2">
        <f t="shared" si="24"/>
        <v>0.47452780848807458</v>
      </c>
      <c r="I70" s="2">
        <v>8.9</v>
      </c>
      <c r="J70" s="4">
        <f t="shared" si="25"/>
        <v>7.0355731225296439E-2</v>
      </c>
      <c r="K70" s="2">
        <v>0</v>
      </c>
      <c r="L70" s="4">
        <f t="shared" si="26"/>
        <v>0</v>
      </c>
      <c r="M70" s="2">
        <v>56891</v>
      </c>
      <c r="N70" s="2">
        <f t="shared" si="27"/>
        <v>0.26804445643071073</v>
      </c>
      <c r="O70" s="2">
        <v>0.63871297199999999</v>
      </c>
      <c r="P70" s="2">
        <f t="shared" si="28"/>
        <v>0.66038440924804476</v>
      </c>
      <c r="Q70" s="2">
        <v>0.26250000000000001</v>
      </c>
      <c r="R70" s="2">
        <f t="shared" si="29"/>
        <v>0.60075275043427923</v>
      </c>
      <c r="S70" s="2">
        <f t="shared" si="30"/>
        <v>6.6808474408644458E-2</v>
      </c>
      <c r="T70" s="5">
        <f t="shared" si="31"/>
        <v>0.17449139111445977</v>
      </c>
      <c r="U70" s="2" t="str">
        <f t="shared" si="32"/>
        <v>Low</v>
      </c>
      <c r="V70" s="2">
        <f t="shared" si="33"/>
        <v>6.3649499890117062E-2</v>
      </c>
      <c r="W70" s="2">
        <f t="shared" si="34"/>
        <v>0.15439041318032654</v>
      </c>
      <c r="X70" s="2" t="s">
        <v>1176</v>
      </c>
      <c r="Y70" s="2">
        <f t="shared" si="35"/>
        <v>6.9967448927171855E-2</v>
      </c>
      <c r="Z70" s="2">
        <f t="shared" si="36"/>
        <v>0.17884238273157477</v>
      </c>
      <c r="AA70" s="2" t="str">
        <f t="shared" si="37"/>
        <v>Low</v>
      </c>
      <c r="AB70" s="2">
        <f t="shared" si="38"/>
        <v>5.3207278526921815E-2</v>
      </c>
      <c r="AC70" s="2">
        <f t="shared" si="39"/>
        <v>0.19331792962730041</v>
      </c>
      <c r="AD70" s="2" t="str">
        <f t="shared" si="40"/>
        <v>Low</v>
      </c>
      <c r="AE70" s="2">
        <f t="shared" si="41"/>
        <v>2.8399196820655136E-2</v>
      </c>
      <c r="AF70" s="2">
        <f t="shared" si="42"/>
        <v>0.21634836680273073</v>
      </c>
      <c r="AG70" s="2" t="s">
        <v>1175</v>
      </c>
    </row>
    <row r="71" spans="1:33" x14ac:dyDescent="0.3">
      <c r="A71">
        <v>201510</v>
      </c>
      <c r="B71" t="s">
        <v>160</v>
      </c>
      <c r="C71" t="s">
        <v>1155</v>
      </c>
      <c r="D71" t="s">
        <v>161</v>
      </c>
      <c r="E71" s="13">
        <v>5.6</v>
      </c>
      <c r="F71" s="14">
        <f t="shared" si="23"/>
        <v>0.53333333333333321</v>
      </c>
      <c r="G71" s="2">
        <v>72.712339200000002</v>
      </c>
      <c r="H71" s="2">
        <f t="shared" si="24"/>
        <v>0.43323992229608377</v>
      </c>
      <c r="I71" s="2">
        <v>9.5</v>
      </c>
      <c r="J71" s="4">
        <f t="shared" si="25"/>
        <v>7.5098814229249009E-2</v>
      </c>
      <c r="K71" s="2">
        <v>0</v>
      </c>
      <c r="L71" s="4">
        <f t="shared" si="26"/>
        <v>0</v>
      </c>
      <c r="M71" s="2">
        <v>9263</v>
      </c>
      <c r="N71" s="2">
        <f t="shared" si="27"/>
        <v>4.2696342138507613E-2</v>
      </c>
      <c r="O71" s="2">
        <v>0.79905724199999995</v>
      </c>
      <c r="P71" s="2">
        <f t="shared" si="28"/>
        <v>0.84561252814421495</v>
      </c>
      <c r="Q71" s="2">
        <v>0.1229</v>
      </c>
      <c r="R71" s="2">
        <f t="shared" si="29"/>
        <v>0.19658367110596409</v>
      </c>
      <c r="S71" s="2">
        <f t="shared" si="30"/>
        <v>4.9446945252911718E-2</v>
      </c>
      <c r="T71" s="5">
        <f t="shared" si="31"/>
        <v>0.12914628480761564</v>
      </c>
      <c r="U71" s="2" t="str">
        <f t="shared" si="32"/>
        <v>No Impact</v>
      </c>
      <c r="V71" s="2">
        <f t="shared" si="33"/>
        <v>1.8653804398416567E-2</v>
      </c>
      <c r="W71" s="2">
        <f t="shared" si="34"/>
        <v>4.524730867372774E-2</v>
      </c>
      <c r="X71" s="2" t="s">
        <v>1176</v>
      </c>
      <c r="Y71" s="2">
        <f t="shared" si="35"/>
        <v>8.0240086107406863E-2</v>
      </c>
      <c r="Z71" s="2">
        <f t="shared" si="36"/>
        <v>0.20510006310180653</v>
      </c>
      <c r="AA71" s="2" t="str">
        <f t="shared" si="37"/>
        <v>Low</v>
      </c>
      <c r="AB71" s="2">
        <f t="shared" si="38"/>
        <v>3.2018865406641409E-2</v>
      </c>
      <c r="AC71" s="2">
        <f t="shared" si="39"/>
        <v>0.11633409828121884</v>
      </c>
      <c r="AD71" s="2" t="str">
        <f t="shared" si="40"/>
        <v>No Impact</v>
      </c>
      <c r="AE71" s="2">
        <f t="shared" si="41"/>
        <v>4.0514515284958922E-3</v>
      </c>
      <c r="AF71" s="2">
        <f t="shared" si="42"/>
        <v>3.0864426445081871E-2</v>
      </c>
      <c r="AG71" s="2" t="s">
        <v>1176</v>
      </c>
    </row>
    <row r="72" spans="1:33" x14ac:dyDescent="0.3">
      <c r="A72" s="16">
        <v>201512</v>
      </c>
      <c r="B72" s="16" t="s">
        <v>162</v>
      </c>
      <c r="C72" s="16" t="s">
        <v>1155</v>
      </c>
      <c r="D72" s="16" t="s">
        <v>163</v>
      </c>
      <c r="E72" s="17">
        <v>5.8</v>
      </c>
      <c r="F72" s="14">
        <f t="shared" si="23"/>
        <v>0.57777777777777772</v>
      </c>
      <c r="G72" s="2">
        <v>72.712339200000002</v>
      </c>
      <c r="H72" s="2">
        <f t="shared" si="24"/>
        <v>0.43323992229608377</v>
      </c>
      <c r="I72" s="2">
        <v>7.4</v>
      </c>
      <c r="J72" s="4">
        <f t="shared" si="25"/>
        <v>5.8498023715415022E-2</v>
      </c>
      <c r="K72" s="2">
        <v>0</v>
      </c>
      <c r="L72" s="4">
        <f t="shared" si="26"/>
        <v>0</v>
      </c>
      <c r="M72" s="2">
        <v>21163</v>
      </c>
      <c r="N72" s="2">
        <f t="shared" si="27"/>
        <v>9.9000250765307329E-2</v>
      </c>
      <c r="O72" s="2">
        <v>0.61542324299999995</v>
      </c>
      <c r="P72" s="2">
        <f t="shared" si="28"/>
        <v>0.63348034406210707</v>
      </c>
      <c r="Q72" s="2">
        <v>0.32169999999999999</v>
      </c>
      <c r="R72" s="2">
        <f t="shared" si="29"/>
        <v>0.77214823393167342</v>
      </c>
      <c r="S72" s="2">
        <f t="shared" si="30"/>
        <v>6.9888091990658902E-2</v>
      </c>
      <c r="T72" s="5">
        <f t="shared" si="31"/>
        <v>0.18253478322515762</v>
      </c>
      <c r="U72" s="2" t="str">
        <f t="shared" si="32"/>
        <v>Low</v>
      </c>
      <c r="V72" s="2">
        <f t="shared" si="33"/>
        <v>7.6782683061926732E-2</v>
      </c>
      <c r="W72" s="2">
        <f t="shared" si="34"/>
        <v>0.18624671338329862</v>
      </c>
      <c r="X72" s="2" t="s">
        <v>1176</v>
      </c>
      <c r="Y72" s="2">
        <f t="shared" si="35"/>
        <v>6.2993500919391071E-2</v>
      </c>
      <c r="Z72" s="2">
        <f t="shared" si="36"/>
        <v>0.16101641511546422</v>
      </c>
      <c r="AA72" s="2" t="str">
        <f t="shared" si="37"/>
        <v>Low</v>
      </c>
      <c r="AB72" s="2">
        <f t="shared" si="38"/>
        <v>4.9217605862859858E-2</v>
      </c>
      <c r="AC72" s="2">
        <f t="shared" si="39"/>
        <v>0.17882225759406825</v>
      </c>
      <c r="AD72" s="2" t="str">
        <f t="shared" si="40"/>
        <v>Low</v>
      </c>
      <c r="AE72" s="2">
        <f t="shared" si="41"/>
        <v>9.8446186153376743E-3</v>
      </c>
      <c r="AF72" s="2">
        <f t="shared" si="42"/>
        <v>7.4997443507803144E-2</v>
      </c>
      <c r="AG72" s="2" t="s">
        <v>1175</v>
      </c>
    </row>
    <row r="73" spans="1:33" x14ac:dyDescent="0.3">
      <c r="A73">
        <v>201518</v>
      </c>
      <c r="B73" t="s">
        <v>164</v>
      </c>
      <c r="C73" t="s">
        <v>1155</v>
      </c>
      <c r="D73" t="s">
        <v>165</v>
      </c>
      <c r="E73" s="13">
        <v>5.7</v>
      </c>
      <c r="F73" s="14">
        <f t="shared" si="23"/>
        <v>0.55555555555555558</v>
      </c>
      <c r="G73" s="2">
        <v>68.191246800000002</v>
      </c>
      <c r="H73" s="2">
        <f t="shared" si="24"/>
        <v>0.38439339271673612</v>
      </c>
      <c r="I73" s="2">
        <v>7.6</v>
      </c>
      <c r="J73" s="4">
        <f t="shared" si="25"/>
        <v>6.007905138339921E-2</v>
      </c>
      <c r="K73" s="2">
        <v>0</v>
      </c>
      <c r="L73" s="4">
        <f t="shared" si="26"/>
        <v>0</v>
      </c>
      <c r="M73" s="2">
        <v>25017</v>
      </c>
      <c r="N73" s="2">
        <f t="shared" si="27"/>
        <v>0.11723514688696163</v>
      </c>
      <c r="O73" s="2">
        <v>0.765131703</v>
      </c>
      <c r="P73" s="2">
        <f t="shared" si="28"/>
        <v>0.80642208016931283</v>
      </c>
      <c r="Q73" s="2">
        <v>0.32919999999999999</v>
      </c>
      <c r="R73" s="2">
        <f t="shared" si="29"/>
        <v>0.79386218876664738</v>
      </c>
      <c r="S73" s="2">
        <f t="shared" si="30"/>
        <v>6.9152441970593767E-2</v>
      </c>
      <c r="T73" s="5">
        <f t="shared" si="31"/>
        <v>0.18061340129702999</v>
      </c>
      <c r="U73" s="2" t="str">
        <f t="shared" si="32"/>
        <v>Low</v>
      </c>
      <c r="V73" s="2">
        <f t="shared" si="33"/>
        <v>6.8609696423293426E-2</v>
      </c>
      <c r="W73" s="2">
        <f t="shared" si="34"/>
        <v>0.16642203626510793</v>
      </c>
      <c r="X73" s="2" t="s">
        <v>1176</v>
      </c>
      <c r="Y73" s="2">
        <f t="shared" si="35"/>
        <v>6.9695187517894108E-2</v>
      </c>
      <c r="Z73" s="2">
        <f t="shared" si="36"/>
        <v>0.17814646084350119</v>
      </c>
      <c r="AA73" s="2" t="str">
        <f t="shared" si="37"/>
        <v>Low</v>
      </c>
      <c r="AB73" s="2">
        <f t="shared" si="38"/>
        <v>4.8468174755316798E-2</v>
      </c>
      <c r="AC73" s="2">
        <f t="shared" si="39"/>
        <v>0.1760993506136781</v>
      </c>
      <c r="AD73" s="2" t="str">
        <f t="shared" si="40"/>
        <v>Low</v>
      </c>
      <c r="AE73" s="2">
        <f t="shared" si="41"/>
        <v>1.0132070719416762E-2</v>
      </c>
      <c r="AF73" s="2">
        <f t="shared" si="42"/>
        <v>7.7187286891200801E-2</v>
      </c>
      <c r="AG73" s="2" t="s">
        <v>1175</v>
      </c>
    </row>
    <row r="74" spans="1:33" x14ac:dyDescent="0.3">
      <c r="A74">
        <v>201519</v>
      </c>
      <c r="B74" t="s">
        <v>166</v>
      </c>
      <c r="C74" t="s">
        <v>1155</v>
      </c>
      <c r="D74" t="s">
        <v>167</v>
      </c>
      <c r="E74" s="13">
        <v>5.7</v>
      </c>
      <c r="F74" s="14">
        <f t="shared" si="23"/>
        <v>0.55555555555555558</v>
      </c>
      <c r="G74" s="2">
        <v>72.712339200000002</v>
      </c>
      <c r="H74" s="2">
        <f t="shared" si="24"/>
        <v>0.43323992229608377</v>
      </c>
      <c r="I74" s="2">
        <v>10.3</v>
      </c>
      <c r="J74" s="4">
        <f t="shared" si="25"/>
        <v>8.1422924901185773E-2</v>
      </c>
      <c r="K74" s="2">
        <v>0</v>
      </c>
      <c r="L74" s="4">
        <f t="shared" si="26"/>
        <v>0</v>
      </c>
      <c r="M74" s="2">
        <v>16713</v>
      </c>
      <c r="N74" s="2">
        <f t="shared" si="27"/>
        <v>7.7945427791420038E-2</v>
      </c>
      <c r="O74" s="2">
        <v>0.71712173099999998</v>
      </c>
      <c r="P74" s="2">
        <f t="shared" si="28"/>
        <v>0.75096143413676175</v>
      </c>
      <c r="Q74" s="2">
        <v>0.19270000000000001</v>
      </c>
      <c r="R74" s="2">
        <f t="shared" si="29"/>
        <v>0.39866821077012166</v>
      </c>
      <c r="S74" s="2">
        <f t="shared" si="30"/>
        <v>5.7523634220710253E-2</v>
      </c>
      <c r="T74" s="5">
        <f t="shared" si="31"/>
        <v>0.1502411040811362</v>
      </c>
      <c r="U74" s="2" t="str">
        <f t="shared" si="32"/>
        <v>Low</v>
      </c>
      <c r="V74" s="2">
        <f t="shared" si="33"/>
        <v>3.9896055974831771E-2</v>
      </c>
      <c r="W74" s="2">
        <f t="shared" si="34"/>
        <v>9.6773243730955333E-2</v>
      </c>
      <c r="X74" s="2" t="s">
        <v>1176</v>
      </c>
      <c r="Y74" s="2">
        <f t="shared" si="35"/>
        <v>7.5151212466588721E-2</v>
      </c>
      <c r="Z74" s="2">
        <f t="shared" si="36"/>
        <v>0.19209249599311948</v>
      </c>
      <c r="AA74" s="2" t="str">
        <f t="shared" si="37"/>
        <v>Low</v>
      </c>
      <c r="AB74" s="2">
        <f t="shared" si="38"/>
        <v>3.923907385042319E-2</v>
      </c>
      <c r="AC74" s="2">
        <f t="shared" si="39"/>
        <v>0.14256727138221106</v>
      </c>
      <c r="AD74" s="2" t="str">
        <f t="shared" si="40"/>
        <v>No Impact</v>
      </c>
      <c r="AE74" s="2">
        <f t="shared" si="41"/>
        <v>7.8002586264441639E-3</v>
      </c>
      <c r="AF74" s="2">
        <f t="shared" si="42"/>
        <v>5.9423272606171411E-2</v>
      </c>
      <c r="AG74" s="2" t="s">
        <v>1176</v>
      </c>
    </row>
    <row r="75" spans="1:33" x14ac:dyDescent="0.3">
      <c r="A75">
        <v>201520</v>
      </c>
      <c r="B75" t="s">
        <v>168</v>
      </c>
      <c r="C75" t="s">
        <v>1155</v>
      </c>
      <c r="D75" t="s">
        <v>169</v>
      </c>
      <c r="E75" s="13">
        <v>5.5</v>
      </c>
      <c r="F75" s="14">
        <f t="shared" si="23"/>
        <v>0.51111111111111107</v>
      </c>
      <c r="G75" s="2">
        <v>72.712339200000002</v>
      </c>
      <c r="H75" s="2">
        <f t="shared" si="24"/>
        <v>0.43323992229608377</v>
      </c>
      <c r="I75" s="2">
        <v>9.5</v>
      </c>
      <c r="J75" s="4">
        <f t="shared" si="25"/>
        <v>7.5098814229249009E-2</v>
      </c>
      <c r="K75" s="2">
        <v>0</v>
      </c>
      <c r="L75" s="4">
        <f t="shared" si="26"/>
        <v>0</v>
      </c>
      <c r="M75" s="2">
        <v>10040</v>
      </c>
      <c r="N75" s="2">
        <f t="shared" si="27"/>
        <v>4.6372656172375126E-2</v>
      </c>
      <c r="O75" s="2">
        <v>0.51985339200000003</v>
      </c>
      <c r="P75" s="2">
        <f t="shared" si="28"/>
        <v>0.52307899499040478</v>
      </c>
      <c r="Q75" s="2">
        <v>0.13569999999999999</v>
      </c>
      <c r="R75" s="2">
        <f t="shared" si="29"/>
        <v>0.23364215402431962</v>
      </c>
      <c r="S75" s="2">
        <f t="shared" si="30"/>
        <v>3.4406654621963899E-2</v>
      </c>
      <c r="T75" s="5">
        <f t="shared" si="31"/>
        <v>8.9863824637857831E-2</v>
      </c>
      <c r="U75" s="2" t="str">
        <f t="shared" si="32"/>
        <v>No Impact</v>
      </c>
      <c r="V75" s="2">
        <f t="shared" si="33"/>
        <v>2.1246518375000609E-2</v>
      </c>
      <c r="W75" s="2">
        <f t="shared" si="34"/>
        <v>5.1536284750433273E-2</v>
      </c>
      <c r="X75" s="2" t="s">
        <v>1176</v>
      </c>
      <c r="Y75" s="2">
        <f t="shared" si="35"/>
        <v>4.7566790868927192E-2</v>
      </c>
      <c r="Z75" s="2">
        <f t="shared" si="36"/>
        <v>0.121584513203393</v>
      </c>
      <c r="AA75" s="2" t="str">
        <f t="shared" si="37"/>
        <v>No Impact</v>
      </c>
      <c r="AB75" s="2">
        <f t="shared" si="38"/>
        <v>2.318225150658856E-2</v>
      </c>
      <c r="AC75" s="2">
        <f t="shared" si="39"/>
        <v>8.4228041527917921E-2</v>
      </c>
      <c r="AD75" s="2" t="str">
        <f t="shared" si="40"/>
        <v>No Impact</v>
      </c>
      <c r="AE75" s="2">
        <f t="shared" si="41"/>
        <v>4.2169508990291147E-3</v>
      </c>
      <c r="AF75" s="2">
        <f t="shared" si="42"/>
        <v>3.2125219795959344E-2</v>
      </c>
      <c r="AG75" s="2" t="s">
        <v>1176</v>
      </c>
    </row>
    <row r="76" spans="1:33" x14ac:dyDescent="0.3">
      <c r="A76">
        <v>201528</v>
      </c>
      <c r="B76" t="s">
        <v>170</v>
      </c>
      <c r="C76" t="s">
        <v>1155</v>
      </c>
      <c r="D76" t="s">
        <v>171</v>
      </c>
      <c r="E76" s="13">
        <v>5.7</v>
      </c>
      <c r="F76" s="14">
        <f t="shared" si="23"/>
        <v>0.55555555555555558</v>
      </c>
      <c r="G76" s="2">
        <v>72.712339200000002</v>
      </c>
      <c r="H76" s="2">
        <f t="shared" si="24"/>
        <v>0.43323992229608377</v>
      </c>
      <c r="I76" s="2">
        <v>9.5</v>
      </c>
      <c r="J76" s="4">
        <f t="shared" si="25"/>
        <v>7.5098814229249009E-2</v>
      </c>
      <c r="K76" s="2">
        <v>0</v>
      </c>
      <c r="L76" s="4">
        <f t="shared" si="26"/>
        <v>0</v>
      </c>
      <c r="M76" s="2">
        <v>11215</v>
      </c>
      <c r="N76" s="2">
        <f t="shared" si="27"/>
        <v>5.1932075721659969E-2</v>
      </c>
      <c r="O76" s="2">
        <v>0.81998052099999996</v>
      </c>
      <c r="P76" s="2">
        <f t="shared" si="28"/>
        <v>0.8697828936353531</v>
      </c>
      <c r="Q76" s="2">
        <v>0.10929999999999999</v>
      </c>
      <c r="R76" s="2">
        <f t="shared" si="29"/>
        <v>0.15720903300521133</v>
      </c>
      <c r="S76" s="2">
        <f t="shared" si="30"/>
        <v>5.0755811789878778E-2</v>
      </c>
      <c r="T76" s="5">
        <f t="shared" si="31"/>
        <v>0.13256480236605575</v>
      </c>
      <c r="U76" s="2" t="str">
        <f t="shared" si="32"/>
        <v>No Impact</v>
      </c>
      <c r="V76" s="2">
        <f t="shared" si="33"/>
        <v>1.553911356826859E-2</v>
      </c>
      <c r="W76" s="2">
        <f t="shared" si="34"/>
        <v>3.7692207612043088E-2</v>
      </c>
      <c r="X76" s="2" t="s">
        <v>1176</v>
      </c>
      <c r="Y76" s="2">
        <f t="shared" si="35"/>
        <v>8.5972510011488965E-2</v>
      </c>
      <c r="Z76" s="2">
        <f t="shared" si="36"/>
        <v>0.21975259603752348</v>
      </c>
      <c r="AA76" s="2" t="str">
        <f t="shared" si="37"/>
        <v>Low</v>
      </c>
      <c r="AB76" s="2">
        <f t="shared" si="38"/>
        <v>3.3027047199725199E-2</v>
      </c>
      <c r="AC76" s="2">
        <f t="shared" si="39"/>
        <v>0.11999712376049199</v>
      </c>
      <c r="AD76" s="2" t="str">
        <f t="shared" si="40"/>
        <v>No Impact</v>
      </c>
      <c r="AE76" s="2">
        <f t="shared" si="41"/>
        <v>5.1331555639557149E-3</v>
      </c>
      <c r="AF76" s="2">
        <f t="shared" si="42"/>
        <v>3.9104972926503702E-2</v>
      </c>
      <c r="AG76" s="2" t="s">
        <v>1176</v>
      </c>
    </row>
    <row r="77" spans="1:33" x14ac:dyDescent="0.3">
      <c r="A77">
        <v>201533</v>
      </c>
      <c r="B77" t="s">
        <v>172</v>
      </c>
      <c r="C77" t="s">
        <v>1155</v>
      </c>
      <c r="D77" t="s">
        <v>173</v>
      </c>
      <c r="E77" s="13">
        <v>5.6</v>
      </c>
      <c r="F77" s="14">
        <f t="shared" si="23"/>
        <v>0.53333333333333321</v>
      </c>
      <c r="G77" s="2">
        <v>72.526010400000004</v>
      </c>
      <c r="H77" s="2">
        <f t="shared" si="24"/>
        <v>0.43122679926398549</v>
      </c>
      <c r="I77" s="2">
        <v>12.7</v>
      </c>
      <c r="J77" s="4">
        <f t="shared" si="25"/>
        <v>0.10039525691699604</v>
      </c>
      <c r="K77" s="2">
        <v>0</v>
      </c>
      <c r="L77" s="4">
        <f t="shared" si="26"/>
        <v>0</v>
      </c>
      <c r="M77" s="2">
        <v>78242</v>
      </c>
      <c r="N77" s="2">
        <f t="shared" si="27"/>
        <v>0.36906502391733259</v>
      </c>
      <c r="O77" s="2">
        <v>0.63255740699999996</v>
      </c>
      <c r="P77" s="2">
        <f t="shared" si="28"/>
        <v>0.65327356128513892</v>
      </c>
      <c r="Q77" s="2">
        <v>0.33129999999999998</v>
      </c>
      <c r="R77" s="2">
        <f t="shared" si="29"/>
        <v>0.79994209612044009</v>
      </c>
      <c r="S77" s="2">
        <f t="shared" si="30"/>
        <v>7.2105739614006056E-2</v>
      </c>
      <c r="T77" s="5">
        <f t="shared" si="31"/>
        <v>0.18832686906792984</v>
      </c>
      <c r="U77" s="2" t="str">
        <f t="shared" si="32"/>
        <v>Low</v>
      </c>
      <c r="V77" s="2">
        <f t="shared" si="33"/>
        <v>7.9383147566850901E-2</v>
      </c>
      <c r="W77" s="2">
        <f t="shared" si="34"/>
        <v>0.19255448940776279</v>
      </c>
      <c r="X77" s="2" t="s">
        <v>1176</v>
      </c>
      <c r="Y77" s="2">
        <f t="shared" si="35"/>
        <v>6.4828331661161212E-2</v>
      </c>
      <c r="Z77" s="2">
        <f t="shared" si="36"/>
        <v>0.16570638890754683</v>
      </c>
      <c r="AA77" s="2" t="str">
        <f t="shared" si="37"/>
        <v>Low</v>
      </c>
      <c r="AB77" s="2">
        <f t="shared" si="38"/>
        <v>6.0051204129534651E-2</v>
      </c>
      <c r="AC77" s="2">
        <f t="shared" si="39"/>
        <v>0.21818395481501882</v>
      </c>
      <c r="AD77" s="2" t="str">
        <f t="shared" si="40"/>
        <v>Low</v>
      </c>
      <c r="AE77" s="2">
        <f t="shared" si="41"/>
        <v>3.6624579950824215E-2</v>
      </c>
      <c r="AF77" s="2">
        <f t="shared" si="42"/>
        <v>0.27901028705973335</v>
      </c>
      <c r="AG77" s="2" t="s">
        <v>1175</v>
      </c>
    </row>
    <row r="78" spans="1:33" x14ac:dyDescent="0.3">
      <c r="A78">
        <v>201535</v>
      </c>
      <c r="B78" t="s">
        <v>174</v>
      </c>
      <c r="C78" t="s">
        <v>1155</v>
      </c>
      <c r="D78" t="s">
        <v>175</v>
      </c>
      <c r="E78" s="13">
        <v>5.7</v>
      </c>
      <c r="F78" s="14">
        <f t="shared" si="23"/>
        <v>0.55555555555555558</v>
      </c>
      <c r="G78" s="2">
        <v>72.712339200000002</v>
      </c>
      <c r="H78" s="2">
        <f t="shared" si="24"/>
        <v>0.43323992229608377</v>
      </c>
      <c r="I78" s="2">
        <v>9.5</v>
      </c>
      <c r="J78" s="4">
        <f t="shared" si="25"/>
        <v>7.5098814229249009E-2</v>
      </c>
      <c r="K78" s="2">
        <v>0</v>
      </c>
      <c r="L78" s="4">
        <f t="shared" si="26"/>
        <v>0</v>
      </c>
      <c r="M78" s="2">
        <v>11544</v>
      </c>
      <c r="N78" s="2">
        <f t="shared" si="27"/>
        <v>5.3488713195459732E-2</v>
      </c>
      <c r="O78" s="2">
        <v>0.65034656700000004</v>
      </c>
      <c r="P78" s="2">
        <f t="shared" si="28"/>
        <v>0.67382342342578794</v>
      </c>
      <c r="Q78" s="2">
        <v>0.16689999999999999</v>
      </c>
      <c r="R78" s="2">
        <f t="shared" si="29"/>
        <v>0.32397220613781125</v>
      </c>
      <c r="S78" s="2">
        <f t="shared" si="30"/>
        <v>4.931287760416684E-2</v>
      </c>
      <c r="T78" s="5">
        <f t="shared" si="31"/>
        <v>0.12879612488045061</v>
      </c>
      <c r="U78" s="2" t="str">
        <f t="shared" si="32"/>
        <v>No Impact</v>
      </c>
      <c r="V78" s="2">
        <f t="shared" si="33"/>
        <v>3.2022593154498263E-2</v>
      </c>
      <c r="W78" s="2">
        <f t="shared" si="34"/>
        <v>7.7675101874541852E-2</v>
      </c>
      <c r="X78" s="2" t="s">
        <v>1176</v>
      </c>
      <c r="Y78" s="2">
        <f t="shared" si="35"/>
        <v>6.660316205383543E-2</v>
      </c>
      <c r="Z78" s="2">
        <f t="shared" si="36"/>
        <v>0.17024299701942278</v>
      </c>
      <c r="AA78" s="2" t="str">
        <f t="shared" si="37"/>
        <v>Low</v>
      </c>
      <c r="AB78" s="2">
        <f t="shared" si="38"/>
        <v>3.3039312969284945E-2</v>
      </c>
      <c r="AC78" s="2">
        <f t="shared" si="39"/>
        <v>0.12004168896364133</v>
      </c>
      <c r="AD78" s="2" t="str">
        <f t="shared" si="40"/>
        <v>No Impact</v>
      </c>
      <c r="AE78" s="2">
        <f t="shared" si="41"/>
        <v>5.2870192830283685E-3</v>
      </c>
      <c r="AF78" s="2">
        <f t="shared" si="42"/>
        <v>4.0277124538458865E-2</v>
      </c>
      <c r="AG78" s="2" t="s">
        <v>1176</v>
      </c>
    </row>
    <row r="79" spans="1:33" x14ac:dyDescent="0.3">
      <c r="A79">
        <v>201537</v>
      </c>
      <c r="B79" t="s">
        <v>176</v>
      </c>
      <c r="C79" t="s">
        <v>1155</v>
      </c>
      <c r="D79" t="s">
        <v>177</v>
      </c>
      <c r="E79" s="13">
        <v>5.8</v>
      </c>
      <c r="F79" s="14">
        <f t="shared" si="23"/>
        <v>0.57777777777777772</v>
      </c>
      <c r="G79" s="2">
        <v>72.526010400000004</v>
      </c>
      <c r="H79" s="2">
        <f t="shared" si="24"/>
        <v>0.43122679926398549</v>
      </c>
      <c r="I79" s="2">
        <v>12.4</v>
      </c>
      <c r="J79" s="4">
        <f t="shared" si="25"/>
        <v>9.8023715415019766E-2</v>
      </c>
      <c r="K79" s="2">
        <v>0</v>
      </c>
      <c r="L79" s="4">
        <f t="shared" si="26"/>
        <v>0</v>
      </c>
      <c r="M79" s="2">
        <v>46431</v>
      </c>
      <c r="N79" s="2">
        <f t="shared" si="27"/>
        <v>0.21855379388984306</v>
      </c>
      <c r="O79" s="2">
        <v>0.53333786000000005</v>
      </c>
      <c r="P79" s="2">
        <f t="shared" si="28"/>
        <v>0.53865611939875202</v>
      </c>
      <c r="Q79" s="2">
        <v>0.32429999999999998</v>
      </c>
      <c r="R79" s="2">
        <f t="shared" si="29"/>
        <v>0.77967573827446435</v>
      </c>
      <c r="S79" s="2">
        <f t="shared" si="30"/>
        <v>7.0548034546007082E-2</v>
      </c>
      <c r="T79" s="5">
        <f t="shared" si="31"/>
        <v>0.18425843124373048</v>
      </c>
      <c r="U79" s="2" t="str">
        <f t="shared" si="32"/>
        <v>Low</v>
      </c>
      <c r="V79" s="2">
        <f t="shared" si="33"/>
        <v>8.3445743343486492E-2</v>
      </c>
      <c r="W79" s="2">
        <f t="shared" si="34"/>
        <v>0.20240886126649296</v>
      </c>
      <c r="X79" s="2" t="s">
        <v>1176</v>
      </c>
      <c r="Y79" s="2">
        <f t="shared" si="35"/>
        <v>5.7650325748527673E-2</v>
      </c>
      <c r="Z79" s="2">
        <f t="shared" si="36"/>
        <v>0.14735883300318717</v>
      </c>
      <c r="AA79" s="2" t="str">
        <f t="shared" si="37"/>
        <v>No Impact</v>
      </c>
      <c r="AB79" s="2">
        <f t="shared" si="38"/>
        <v>5.4687952776233617E-2</v>
      </c>
      <c r="AC79" s="2">
        <f t="shared" si="39"/>
        <v>0.19869766127782229</v>
      </c>
      <c r="AD79" s="2" t="str">
        <f t="shared" si="40"/>
        <v>Low</v>
      </c>
      <c r="AE79" s="2">
        <f t="shared" si="41"/>
        <v>2.339098537558584E-2</v>
      </c>
      <c r="AF79" s="2">
        <f t="shared" si="42"/>
        <v>0.17819523262833648</v>
      </c>
      <c r="AG79" s="2" t="s">
        <v>1175</v>
      </c>
    </row>
    <row r="80" spans="1:33" x14ac:dyDescent="0.3">
      <c r="A80">
        <v>201539</v>
      </c>
      <c r="B80" t="s">
        <v>1166</v>
      </c>
      <c r="C80" t="s">
        <v>1155</v>
      </c>
      <c r="D80" s="9" t="s">
        <v>1171</v>
      </c>
      <c r="E80" s="15">
        <v>5.6</v>
      </c>
      <c r="F80" s="14">
        <f t="shared" si="23"/>
        <v>0.53333333333333321</v>
      </c>
      <c r="G80" s="2">
        <v>72.526010400000004</v>
      </c>
      <c r="H80" s="2">
        <f t="shared" si="24"/>
        <v>0.43122679926398549</v>
      </c>
      <c r="I80" s="2">
        <v>12.4</v>
      </c>
      <c r="J80" s="4">
        <f t="shared" si="25"/>
        <v>9.8023715415019766E-2</v>
      </c>
      <c r="K80" s="2">
        <v>0</v>
      </c>
      <c r="L80" s="4">
        <f t="shared" si="26"/>
        <v>0</v>
      </c>
      <c r="M80" s="2">
        <v>12037</v>
      </c>
      <c r="N80" s="2">
        <f t="shared" si="27"/>
        <v>5.5821303695712858E-2</v>
      </c>
      <c r="O80" s="2">
        <v>0.61542324299999995</v>
      </c>
      <c r="P80" s="2">
        <f t="shared" si="28"/>
        <v>0.63348034406210707</v>
      </c>
      <c r="Q80" s="2">
        <v>0.32169999999999999</v>
      </c>
      <c r="R80" s="2">
        <f t="shared" si="29"/>
        <v>0.77214823393167342</v>
      </c>
      <c r="S80" s="2">
        <f t="shared" si="30"/>
        <v>6.9433433846067816E-2</v>
      </c>
      <c r="T80" s="5">
        <f t="shared" si="31"/>
        <v>0.18134730015757611</v>
      </c>
      <c r="U80" s="2" t="str">
        <f t="shared" si="32"/>
        <v>Low</v>
      </c>
      <c r="V80" s="2">
        <f t="shared" si="33"/>
        <v>7.6283172040473635E-2</v>
      </c>
      <c r="W80" s="2">
        <f t="shared" si="34"/>
        <v>0.18503508229234883</v>
      </c>
      <c r="X80" s="2" t="s">
        <v>1176</v>
      </c>
      <c r="Y80" s="2">
        <f t="shared" si="35"/>
        <v>6.2583695651661969E-2</v>
      </c>
      <c r="Z80" s="2">
        <f t="shared" si="36"/>
        <v>0.15996892014944206</v>
      </c>
      <c r="AA80" s="2" t="str">
        <f t="shared" si="37"/>
        <v>Low</v>
      </c>
      <c r="AB80" s="2">
        <f t="shared" si="38"/>
        <v>4.740439121878362E-2</v>
      </c>
      <c r="AC80" s="2">
        <f t="shared" si="39"/>
        <v>0.17223430739877005</v>
      </c>
      <c r="AD80" s="2" t="str">
        <f t="shared" si="40"/>
        <v>Low</v>
      </c>
      <c r="AE80" s="2">
        <f t="shared" si="41"/>
        <v>5.5147780260550285E-3</v>
      </c>
      <c r="AF80" s="2">
        <f t="shared" si="42"/>
        <v>4.2012216991602548E-2</v>
      </c>
      <c r="AG80" s="2" t="s">
        <v>1176</v>
      </c>
    </row>
    <row r="81" spans="1:33" x14ac:dyDescent="0.3">
      <c r="A81">
        <v>201541</v>
      </c>
      <c r="B81" t="s">
        <v>178</v>
      </c>
      <c r="C81" t="s">
        <v>1155</v>
      </c>
      <c r="D81" t="s">
        <v>1130</v>
      </c>
      <c r="E81" s="13">
        <v>5.7</v>
      </c>
      <c r="F81" s="14">
        <f t="shared" si="23"/>
        <v>0.55555555555555558</v>
      </c>
      <c r="G81" s="2">
        <v>72.712339200000002</v>
      </c>
      <c r="H81" s="2">
        <f t="shared" si="24"/>
        <v>0.43323992229608377</v>
      </c>
      <c r="I81" s="2">
        <v>9.5</v>
      </c>
      <c r="J81" s="4">
        <f t="shared" si="25"/>
        <v>7.5098814229249009E-2</v>
      </c>
      <c r="K81" s="2">
        <v>0</v>
      </c>
      <c r="L81" s="4">
        <f t="shared" si="26"/>
        <v>0</v>
      </c>
      <c r="M81" s="2">
        <v>9508</v>
      </c>
      <c r="N81" s="2">
        <f t="shared" si="27"/>
        <v>4.385554025729467E-2</v>
      </c>
      <c r="O81" s="2">
        <v>0.65585028999999995</v>
      </c>
      <c r="P81" s="2">
        <f t="shared" si="28"/>
        <v>0.680181269940762</v>
      </c>
      <c r="Q81" s="2">
        <v>7.8E-2</v>
      </c>
      <c r="R81" s="2">
        <f t="shared" si="29"/>
        <v>6.6589461493920088E-2</v>
      </c>
      <c r="S81" s="2">
        <f t="shared" si="30"/>
        <v>3.6906769870017141E-2</v>
      </c>
      <c r="T81" s="5">
        <f t="shared" si="31"/>
        <v>9.6393663725499609E-2</v>
      </c>
      <c r="U81" s="2" t="str">
        <f t="shared" si="32"/>
        <v>No Impact</v>
      </c>
      <c r="V81" s="2">
        <f t="shared" si="33"/>
        <v>6.5819449736680951E-3</v>
      </c>
      <c r="W81" s="2">
        <f t="shared" si="34"/>
        <v>1.5965391806206097E-2</v>
      </c>
      <c r="X81" s="2" t="s">
        <v>1176</v>
      </c>
      <c r="Y81" s="2">
        <f t="shared" si="35"/>
        <v>6.7231594766366184E-2</v>
      </c>
      <c r="Z81" s="2">
        <f t="shared" si="36"/>
        <v>0.17184932118042587</v>
      </c>
      <c r="AA81" s="2" t="str">
        <f t="shared" si="37"/>
        <v>Low</v>
      </c>
      <c r="AB81" s="2">
        <f t="shared" si="38"/>
        <v>2.3990353651634551E-2</v>
      </c>
      <c r="AC81" s="2">
        <f t="shared" si="39"/>
        <v>8.7164117905675645E-2</v>
      </c>
      <c r="AD81" s="2" t="str">
        <f t="shared" si="40"/>
        <v>No Impact</v>
      </c>
      <c r="AE81" s="2">
        <f t="shared" si="41"/>
        <v>4.3348413741167574E-3</v>
      </c>
      <c r="AF81" s="2">
        <f t="shared" si="42"/>
        <v>3.3023323073593562E-2</v>
      </c>
      <c r="AG81" s="2" t="s">
        <v>1176</v>
      </c>
    </row>
    <row r="82" spans="1:33" x14ac:dyDescent="0.3">
      <c r="A82">
        <v>201543</v>
      </c>
      <c r="B82" t="s">
        <v>179</v>
      </c>
      <c r="C82" t="s">
        <v>1155</v>
      </c>
      <c r="D82" t="s">
        <v>180</v>
      </c>
      <c r="E82" s="13">
        <v>5.3</v>
      </c>
      <c r="F82" s="14">
        <f t="shared" si="23"/>
        <v>0.46666666666666656</v>
      </c>
      <c r="G82" s="2">
        <v>72.712339200000002</v>
      </c>
      <c r="H82" s="2">
        <f t="shared" si="24"/>
        <v>0.43323992229608377</v>
      </c>
      <c r="I82" s="2">
        <v>14.1</v>
      </c>
      <c r="J82" s="4">
        <f t="shared" si="25"/>
        <v>0.11146245059288537</v>
      </c>
      <c r="K82" s="2">
        <v>0</v>
      </c>
      <c r="L82" s="4">
        <f t="shared" si="26"/>
        <v>0</v>
      </c>
      <c r="M82" s="2">
        <v>12037</v>
      </c>
      <c r="N82" s="2">
        <f t="shared" si="27"/>
        <v>5.5821303695712858E-2</v>
      </c>
      <c r="O82" s="2">
        <v>0.70920560399999999</v>
      </c>
      <c r="P82" s="2">
        <f t="shared" si="28"/>
        <v>0.7418168023195274</v>
      </c>
      <c r="Q82" s="2">
        <v>0.2762</v>
      </c>
      <c r="R82" s="2">
        <f t="shared" si="29"/>
        <v>0.64041690793283157</v>
      </c>
      <c r="S82" s="2">
        <f t="shared" si="30"/>
        <v>6.1487321852029327E-2</v>
      </c>
      <c r="T82" s="5">
        <f t="shared" si="31"/>
        <v>0.16059352381312383</v>
      </c>
      <c r="U82" s="2" t="str">
        <f t="shared" si="32"/>
        <v>Low</v>
      </c>
      <c r="V82" s="2">
        <f t="shared" si="33"/>
        <v>5.6976646200240851E-2</v>
      </c>
      <c r="W82" s="2">
        <f t="shared" si="34"/>
        <v>0.13820451006953369</v>
      </c>
      <c r="X82" s="2" t="s">
        <v>1176</v>
      </c>
      <c r="Y82" s="2">
        <f t="shared" si="35"/>
        <v>6.5997997503817782E-2</v>
      </c>
      <c r="Z82" s="2">
        <f t="shared" si="36"/>
        <v>0.16869614813855974</v>
      </c>
      <c r="AA82" s="2" t="str">
        <f t="shared" si="37"/>
        <v>Low</v>
      </c>
      <c r="AB82" s="2">
        <f t="shared" si="38"/>
        <v>4.1479434892432637E-2</v>
      </c>
      <c r="AC82" s="2">
        <f t="shared" si="39"/>
        <v>0.15070717197945335</v>
      </c>
      <c r="AD82" s="2" t="str">
        <f t="shared" si="40"/>
        <v>Low</v>
      </c>
      <c r="AE82" s="2">
        <f t="shared" si="41"/>
        <v>4.9663127748657259E-3</v>
      </c>
      <c r="AF82" s="2">
        <f t="shared" si="42"/>
        <v>3.7833945257644483E-2</v>
      </c>
      <c r="AG82" s="2" t="s">
        <v>1176</v>
      </c>
    </row>
    <row r="83" spans="1:33" x14ac:dyDescent="0.3">
      <c r="A83">
        <v>201547</v>
      </c>
      <c r="B83" t="s">
        <v>181</v>
      </c>
      <c r="C83" t="s">
        <v>1155</v>
      </c>
      <c r="D83" t="s">
        <v>1131</v>
      </c>
      <c r="E83" s="13">
        <v>5.7</v>
      </c>
      <c r="F83" s="14">
        <f t="shared" si="23"/>
        <v>0.55555555555555558</v>
      </c>
      <c r="G83" s="2">
        <v>76.5338256</v>
      </c>
      <c r="H83" s="2">
        <f t="shared" si="24"/>
        <v>0.47452780848807458</v>
      </c>
      <c r="I83" s="2">
        <v>5.7</v>
      </c>
      <c r="J83" s="4">
        <f t="shared" si="25"/>
        <v>4.5059288537549411E-2</v>
      </c>
      <c r="K83" s="2">
        <v>0</v>
      </c>
      <c r="L83" s="4">
        <f t="shared" si="26"/>
        <v>0</v>
      </c>
      <c r="M83" s="2">
        <v>21502</v>
      </c>
      <c r="N83" s="2">
        <f t="shared" si="27"/>
        <v>0.10060420244803717</v>
      </c>
      <c r="O83" s="2">
        <v>0.74926095999999998</v>
      </c>
      <c r="P83" s="2">
        <f t="shared" si="28"/>
        <v>0.7880883544217413</v>
      </c>
      <c r="Q83" s="2">
        <v>0.2964</v>
      </c>
      <c r="R83" s="2">
        <f t="shared" si="29"/>
        <v>0.69889982628836134</v>
      </c>
      <c r="S83" s="2">
        <f t="shared" si="30"/>
        <v>7.511582090119491E-2</v>
      </c>
      <c r="T83" s="5">
        <f t="shared" si="31"/>
        <v>0.19618864522459697</v>
      </c>
      <c r="U83" s="2" t="str">
        <f t="shared" si="32"/>
        <v>Low</v>
      </c>
      <c r="V83" s="2">
        <f t="shared" si="33"/>
        <v>7.0610425638060498E-2</v>
      </c>
      <c r="W83" s="2">
        <f t="shared" si="34"/>
        <v>0.17127507376992893</v>
      </c>
      <c r="X83" s="2" t="s">
        <v>1176</v>
      </c>
      <c r="Y83" s="2">
        <f t="shared" si="35"/>
        <v>7.9621216164329323E-2</v>
      </c>
      <c r="Z83" s="2">
        <f t="shared" si="36"/>
        <v>0.20351818214261724</v>
      </c>
      <c r="AA83" s="2" t="str">
        <f t="shared" si="37"/>
        <v>Low</v>
      </c>
      <c r="AB83" s="2">
        <f t="shared" si="38"/>
        <v>5.2157457752382654E-2</v>
      </c>
      <c r="AC83" s="2">
        <f t="shared" si="39"/>
        <v>0.18950361729574688</v>
      </c>
      <c r="AD83" s="2" t="str">
        <f t="shared" si="40"/>
        <v>Low</v>
      </c>
      <c r="AE83" s="2">
        <f t="shared" si="41"/>
        <v>1.0164125513607685E-2</v>
      </c>
      <c r="AF83" s="2">
        <f t="shared" si="42"/>
        <v>7.7431484021675975E-2</v>
      </c>
      <c r="AG83" s="2" t="s">
        <v>1175</v>
      </c>
    </row>
    <row r="84" spans="1:33" x14ac:dyDescent="0.3">
      <c r="A84">
        <v>201553</v>
      </c>
      <c r="B84" t="s">
        <v>182</v>
      </c>
      <c r="C84" t="s">
        <v>1155</v>
      </c>
      <c r="D84" t="s">
        <v>183</v>
      </c>
      <c r="E84" s="13">
        <v>5.8</v>
      </c>
      <c r="F84" s="14">
        <f t="shared" si="23"/>
        <v>0.57777777777777772</v>
      </c>
      <c r="G84" s="2">
        <v>68.711558400000001</v>
      </c>
      <c r="H84" s="2">
        <f t="shared" si="24"/>
        <v>0.39001491373671737</v>
      </c>
      <c r="I84" s="2">
        <v>14.5</v>
      </c>
      <c r="J84" s="4">
        <f t="shared" si="25"/>
        <v>0.11462450592885376</v>
      </c>
      <c r="K84" s="2">
        <v>0</v>
      </c>
      <c r="L84" s="4">
        <f t="shared" si="26"/>
        <v>0</v>
      </c>
      <c r="M84" s="2">
        <v>64375</v>
      </c>
      <c r="N84" s="2">
        <f t="shared" si="27"/>
        <v>0.30345441039398541</v>
      </c>
      <c r="O84" s="2">
        <v>0.72666092900000001</v>
      </c>
      <c r="P84" s="2">
        <f t="shared" si="28"/>
        <v>0.76198102156148284</v>
      </c>
      <c r="Q84" s="2">
        <v>0.30530000000000002</v>
      </c>
      <c r="R84" s="2">
        <f t="shared" si="29"/>
        <v>0.72466705269253051</v>
      </c>
      <c r="S84" s="2">
        <f t="shared" si="30"/>
        <v>7.5855701278780052E-2</v>
      </c>
      <c r="T84" s="5">
        <f t="shared" si="31"/>
        <v>0.19812107606493387</v>
      </c>
      <c r="U84" s="2" t="str">
        <f t="shared" si="32"/>
        <v>Low</v>
      </c>
      <c r="V84" s="2">
        <f t="shared" si="33"/>
        <v>7.3951768986351488E-2</v>
      </c>
      <c r="W84" s="2">
        <f t="shared" si="34"/>
        <v>0.17937995096473125</v>
      </c>
      <c r="X84" s="2" t="s">
        <v>1176</v>
      </c>
      <c r="Y84" s="2">
        <f t="shared" si="35"/>
        <v>7.7759633571208617E-2</v>
      </c>
      <c r="Z84" s="2">
        <f t="shared" si="36"/>
        <v>0.19875982848373405</v>
      </c>
      <c r="AA84" s="2" t="str">
        <f t="shared" si="37"/>
        <v>Low</v>
      </c>
      <c r="AB84" s="2">
        <f t="shared" si="38"/>
        <v>6.0049568290284031E-2</v>
      </c>
      <c r="AC84" s="2">
        <f t="shared" si="39"/>
        <v>0.21817801132258907</v>
      </c>
      <c r="AD84" s="2" t="str">
        <f t="shared" si="40"/>
        <v>Low</v>
      </c>
      <c r="AE84" s="2">
        <f t="shared" si="41"/>
        <v>3.0967311639138385E-2</v>
      </c>
      <c r="AF84" s="2">
        <f t="shared" si="42"/>
        <v>0.23591256258789609</v>
      </c>
      <c r="AG84" s="2" t="s">
        <v>1175</v>
      </c>
    </row>
    <row r="85" spans="1:33" x14ac:dyDescent="0.3">
      <c r="A85">
        <v>201555</v>
      </c>
      <c r="B85" t="s">
        <v>184</v>
      </c>
      <c r="C85" t="s">
        <v>1155</v>
      </c>
      <c r="D85" t="s">
        <v>185</v>
      </c>
      <c r="E85" s="13">
        <v>5.8</v>
      </c>
      <c r="F85" s="14">
        <f t="shared" si="23"/>
        <v>0.57777777777777772</v>
      </c>
      <c r="G85" s="2">
        <v>72.712339200000002</v>
      </c>
      <c r="H85" s="2">
        <f t="shared" si="24"/>
        <v>0.43323992229608377</v>
      </c>
      <c r="I85" s="2">
        <v>14.1</v>
      </c>
      <c r="J85" s="4">
        <f t="shared" si="25"/>
        <v>0.11146245059288537</v>
      </c>
      <c r="K85" s="2">
        <v>0</v>
      </c>
      <c r="L85" s="4">
        <f t="shared" si="26"/>
        <v>0</v>
      </c>
      <c r="M85" s="2">
        <v>9603</v>
      </c>
      <c r="N85" s="2">
        <f t="shared" si="27"/>
        <v>4.4305025242130466E-2</v>
      </c>
      <c r="O85" s="2">
        <v>0.46336362800000003</v>
      </c>
      <c r="P85" s="2">
        <f t="shared" si="28"/>
        <v>0.45782257689321554</v>
      </c>
      <c r="Q85" s="2">
        <v>0.23749999999999999</v>
      </c>
      <c r="R85" s="2">
        <f t="shared" si="29"/>
        <v>0.52837290098436596</v>
      </c>
      <c r="S85" s="2">
        <f t="shared" si="30"/>
        <v>5.4315171712042594E-2</v>
      </c>
      <c r="T85" s="5">
        <f t="shared" si="31"/>
        <v>0.14186119282838694</v>
      </c>
      <c r="U85" s="2" t="str">
        <f t="shared" si="32"/>
        <v>No Impact</v>
      </c>
      <c r="V85" s="2">
        <f t="shared" si="33"/>
        <v>5.8200763416030067E-2</v>
      </c>
      <c r="W85" s="2">
        <f t="shared" si="34"/>
        <v>0.14117377083439625</v>
      </c>
      <c r="X85" s="2" t="s">
        <v>1176</v>
      </c>
      <c r="Y85" s="2">
        <f t="shared" si="35"/>
        <v>5.0429580008055128E-2</v>
      </c>
      <c r="Z85" s="2">
        <f t="shared" si="36"/>
        <v>0.12890203068831138</v>
      </c>
      <c r="AA85" s="2" t="str">
        <f t="shared" si="37"/>
        <v>No Impact</v>
      </c>
      <c r="AB85" s="2">
        <f t="shared" si="38"/>
        <v>3.7207225016498986E-2</v>
      </c>
      <c r="AC85" s="2">
        <f t="shared" si="39"/>
        <v>0.13518495789494772</v>
      </c>
      <c r="AD85" s="2" t="str">
        <f t="shared" si="40"/>
        <v>No Impact</v>
      </c>
      <c r="AE85" s="2">
        <f t="shared" si="41"/>
        <v>4.8802394813483689E-3</v>
      </c>
      <c r="AF85" s="2">
        <f t="shared" si="42"/>
        <v>3.7178228950052697E-2</v>
      </c>
      <c r="AG85" s="2" t="s">
        <v>1176</v>
      </c>
    </row>
    <row r="86" spans="1:33" x14ac:dyDescent="0.3">
      <c r="A86">
        <v>201557</v>
      </c>
      <c r="B86" t="s">
        <v>186</v>
      </c>
      <c r="C86" t="s">
        <v>1155</v>
      </c>
      <c r="D86" t="s">
        <v>187</v>
      </c>
      <c r="E86" s="13">
        <v>5.7</v>
      </c>
      <c r="F86" s="14">
        <f t="shared" si="23"/>
        <v>0.55555555555555558</v>
      </c>
      <c r="G86" s="2">
        <v>72.712339200000002</v>
      </c>
      <c r="H86" s="2">
        <f t="shared" si="24"/>
        <v>0.43323992229608377</v>
      </c>
      <c r="I86" s="2">
        <v>14.1</v>
      </c>
      <c r="J86" s="4">
        <f t="shared" si="25"/>
        <v>0.11146245059288537</v>
      </c>
      <c r="K86" s="2">
        <v>0</v>
      </c>
      <c r="L86" s="4">
        <f t="shared" si="26"/>
        <v>0</v>
      </c>
      <c r="M86" s="2">
        <v>8383</v>
      </c>
      <c r="N86" s="2">
        <f t="shared" si="27"/>
        <v>3.8532691752660241E-2</v>
      </c>
      <c r="O86" s="2">
        <v>0.55080065499999997</v>
      </c>
      <c r="P86" s="2">
        <f t="shared" si="28"/>
        <v>0.55882896791101522</v>
      </c>
      <c r="Q86" s="2">
        <v>0.23749999999999999</v>
      </c>
      <c r="R86" s="2">
        <f t="shared" si="29"/>
        <v>0.52837290098436596</v>
      </c>
      <c r="S86" s="2">
        <f t="shared" si="30"/>
        <v>5.7575139785784067E-2</v>
      </c>
      <c r="T86" s="5">
        <f t="shared" si="31"/>
        <v>0.15037562710054977</v>
      </c>
      <c r="U86" s="2" t="str">
        <f t="shared" si="32"/>
        <v>Low</v>
      </c>
      <c r="V86" s="2">
        <f t="shared" si="33"/>
        <v>5.5962272515413532E-2</v>
      </c>
      <c r="W86" s="2">
        <f t="shared" si="34"/>
        <v>0.13574401041768872</v>
      </c>
      <c r="X86" s="2" t="s">
        <v>1176</v>
      </c>
      <c r="Y86" s="2">
        <f t="shared" si="35"/>
        <v>5.9188007056154582E-2</v>
      </c>
      <c r="Z86" s="2">
        <f t="shared" si="36"/>
        <v>0.15128926912962143</v>
      </c>
      <c r="AA86" s="2" t="str">
        <f t="shared" si="37"/>
        <v>Low</v>
      </c>
      <c r="AB86" s="2">
        <f t="shared" si="38"/>
        <v>3.877160525132748E-2</v>
      </c>
      <c r="AC86" s="2">
        <f t="shared" si="39"/>
        <v>0.14086881838395759</v>
      </c>
      <c r="AD86" s="2" t="str">
        <f t="shared" si="40"/>
        <v>No Impact</v>
      </c>
      <c r="AE86" s="2">
        <f t="shared" si="41"/>
        <v>4.0811650116753528E-3</v>
      </c>
      <c r="AF86" s="2">
        <f t="shared" si="42"/>
        <v>3.1090787197412064E-2</v>
      </c>
      <c r="AG86" s="2" t="s">
        <v>1176</v>
      </c>
    </row>
    <row r="87" spans="1:33" x14ac:dyDescent="0.3">
      <c r="A87">
        <v>201561</v>
      </c>
      <c r="B87" t="s">
        <v>188</v>
      </c>
      <c r="C87" t="s">
        <v>1155</v>
      </c>
      <c r="D87" t="s">
        <v>189</v>
      </c>
      <c r="E87" s="13">
        <v>5.0999999999999996</v>
      </c>
      <c r="F87" s="14">
        <f t="shared" si="23"/>
        <v>0.42222222222222211</v>
      </c>
      <c r="G87" s="2">
        <v>72.712339200000002</v>
      </c>
      <c r="H87" s="2">
        <f t="shared" si="24"/>
        <v>0.43323992229608377</v>
      </c>
      <c r="I87" s="2">
        <v>8.6</v>
      </c>
      <c r="J87" s="4">
        <f t="shared" si="25"/>
        <v>6.7984189723320154E-2</v>
      </c>
      <c r="K87" s="2">
        <v>0</v>
      </c>
      <c r="L87" s="4">
        <f t="shared" si="26"/>
        <v>0</v>
      </c>
      <c r="M87" s="2">
        <v>61378</v>
      </c>
      <c r="N87" s="2">
        <f t="shared" si="27"/>
        <v>0.28927434197763929</v>
      </c>
      <c r="O87" s="2">
        <v>0.76839469100000002</v>
      </c>
      <c r="P87" s="2">
        <f t="shared" si="28"/>
        <v>0.81019145171729989</v>
      </c>
      <c r="Q87" s="2">
        <v>0.31609999999999999</v>
      </c>
      <c r="R87" s="2">
        <f t="shared" si="29"/>
        <v>0.75593514765489289</v>
      </c>
      <c r="S87" s="2">
        <f t="shared" si="30"/>
        <v>5.8001330595932966E-2</v>
      </c>
      <c r="T87" s="5">
        <f t="shared" si="31"/>
        <v>0.15148875875040912</v>
      </c>
      <c r="U87" s="2" t="str">
        <f t="shared" si="32"/>
        <v>Low</v>
      </c>
      <c r="V87" s="2">
        <f t="shared" si="33"/>
        <v>5.5991954195520235E-2</v>
      </c>
      <c r="W87" s="2">
        <f t="shared" si="34"/>
        <v>0.13581600732046833</v>
      </c>
      <c r="X87" s="2" t="s">
        <v>1176</v>
      </c>
      <c r="Y87" s="2">
        <f t="shared" si="35"/>
        <v>6.0010706996345697E-2</v>
      </c>
      <c r="Z87" s="2">
        <f t="shared" si="36"/>
        <v>0.15339215582669186</v>
      </c>
      <c r="AA87" s="2" t="str">
        <f t="shared" si="37"/>
        <v>Low</v>
      </c>
      <c r="AB87" s="2">
        <f t="shared" si="38"/>
        <v>4.5099667022879424E-2</v>
      </c>
      <c r="AC87" s="2">
        <f t="shared" si="39"/>
        <v>0.16386055624574486</v>
      </c>
      <c r="AD87" s="2" t="str">
        <f t="shared" si="40"/>
        <v>Low</v>
      </c>
      <c r="AE87" s="2">
        <f t="shared" si="41"/>
        <v>2.1426488444410405E-2</v>
      </c>
      <c r="AF87" s="2">
        <f t="shared" si="42"/>
        <v>0.16322946773953292</v>
      </c>
      <c r="AG87" s="2" t="s">
        <v>1175</v>
      </c>
    </row>
    <row r="88" spans="1:33" x14ac:dyDescent="0.3">
      <c r="A88">
        <v>201565</v>
      </c>
      <c r="B88" t="s">
        <v>190</v>
      </c>
      <c r="C88" t="s">
        <v>1155</v>
      </c>
      <c r="D88" t="s">
        <v>191</v>
      </c>
      <c r="E88" s="13">
        <v>4.0999999999999996</v>
      </c>
      <c r="F88" s="14">
        <f t="shared" si="23"/>
        <v>0.19999999999999987</v>
      </c>
      <c r="G88" s="2">
        <v>72.712339200000002</v>
      </c>
      <c r="H88" s="2">
        <f t="shared" si="24"/>
        <v>0.43323992229608377</v>
      </c>
      <c r="I88" s="2">
        <v>9.5</v>
      </c>
      <c r="J88" s="4">
        <f t="shared" si="25"/>
        <v>7.5098814229249009E-2</v>
      </c>
      <c r="K88" s="2">
        <v>0</v>
      </c>
      <c r="L88" s="4">
        <f t="shared" si="26"/>
        <v>0</v>
      </c>
      <c r="M88" s="2">
        <v>13802</v>
      </c>
      <c r="N88" s="2">
        <f t="shared" si="27"/>
        <v>6.4172261571872655E-2</v>
      </c>
      <c r="O88" s="2">
        <v>0.77632389099999999</v>
      </c>
      <c r="P88" s="2">
        <f t="shared" si="28"/>
        <v>0.81935118533516793</v>
      </c>
      <c r="Q88" s="2">
        <v>0.1711</v>
      </c>
      <c r="R88" s="2">
        <f t="shared" si="29"/>
        <v>0.33613202084539667</v>
      </c>
      <c r="S88" s="2">
        <f t="shared" si="30"/>
        <v>2.0558190558712393E-2</v>
      </c>
      <c r="T88" s="5">
        <f t="shared" si="31"/>
        <v>5.3694195251998172E-2</v>
      </c>
      <c r="U88" s="2" t="str">
        <f t="shared" si="32"/>
        <v>No Impact</v>
      </c>
      <c r="V88" s="2">
        <f t="shared" si="33"/>
        <v>1.1960824874757895E-2</v>
      </c>
      <c r="W88" s="2">
        <f t="shared" si="34"/>
        <v>2.9012587649225638E-2</v>
      </c>
      <c r="X88" s="2" t="s">
        <v>1176</v>
      </c>
      <c r="Y88" s="2">
        <f t="shared" si="35"/>
        <v>2.9155556242666893E-2</v>
      </c>
      <c r="Z88" s="2">
        <f t="shared" si="36"/>
        <v>7.4523928316014856E-2</v>
      </c>
      <c r="AA88" s="2" t="str">
        <f t="shared" si="37"/>
        <v>No Impact</v>
      </c>
      <c r="AB88" s="2">
        <f t="shared" si="38"/>
        <v>1.3732176114967094E-2</v>
      </c>
      <c r="AC88" s="2">
        <f t="shared" si="39"/>
        <v>4.9893096007150438E-2</v>
      </c>
      <c r="AD88" s="2" t="str">
        <f t="shared" si="40"/>
        <v>No Impact</v>
      </c>
      <c r="AE88" s="2">
        <f t="shared" si="41"/>
        <v>2.2834872457193219E-3</v>
      </c>
      <c r="AF88" s="2">
        <f t="shared" si="42"/>
        <v>1.7395870008088649E-2</v>
      </c>
      <c r="AG88" s="2" t="s">
        <v>1176</v>
      </c>
    </row>
    <row r="89" spans="1:33" x14ac:dyDescent="0.3">
      <c r="A89">
        <v>201570</v>
      </c>
      <c r="B89" t="s">
        <v>192</v>
      </c>
      <c r="C89" t="s">
        <v>1155</v>
      </c>
      <c r="D89" t="s">
        <v>193</v>
      </c>
      <c r="E89" s="13">
        <v>5.7</v>
      </c>
      <c r="F89" s="14">
        <f t="shared" si="23"/>
        <v>0.55555555555555558</v>
      </c>
      <c r="G89" s="2">
        <v>68.191246800000002</v>
      </c>
      <c r="H89" s="2">
        <f t="shared" si="24"/>
        <v>0.38439339271673612</v>
      </c>
      <c r="I89" s="2">
        <v>6.1</v>
      </c>
      <c r="J89" s="4">
        <f t="shared" si="25"/>
        <v>4.8221343873517786E-2</v>
      </c>
      <c r="K89" s="2">
        <v>0</v>
      </c>
      <c r="L89" s="4">
        <f t="shared" si="26"/>
        <v>0</v>
      </c>
      <c r="M89" s="2">
        <v>39341</v>
      </c>
      <c r="N89" s="2">
        <f t="shared" si="27"/>
        <v>0.18500801975841366</v>
      </c>
      <c r="O89" s="2">
        <v>0.64260529099999997</v>
      </c>
      <c r="P89" s="2">
        <f t="shared" si="28"/>
        <v>0.66488077775883603</v>
      </c>
      <c r="Q89" s="2">
        <v>0.29980000000000001</v>
      </c>
      <c r="R89" s="2">
        <f t="shared" si="29"/>
        <v>0.70874348581354962</v>
      </c>
      <c r="S89" s="2">
        <f t="shared" si="30"/>
        <v>5.7774315176603384E-2</v>
      </c>
      <c r="T89" s="5">
        <f t="shared" si="31"/>
        <v>0.15089583642021254</v>
      </c>
      <c r="U89" s="2" t="str">
        <f t="shared" si="32"/>
        <v>Low</v>
      </c>
      <c r="V89" s="2">
        <f t="shared" si="33"/>
        <v>5.9619170416028044E-2</v>
      </c>
      <c r="W89" s="2">
        <f t="shared" si="34"/>
        <v>0.14461430757334331</v>
      </c>
      <c r="X89" s="2" t="s">
        <v>1176</v>
      </c>
      <c r="Y89" s="2">
        <f t="shared" si="35"/>
        <v>5.5929459937178717E-2</v>
      </c>
      <c r="Z89" s="2">
        <f t="shared" si="36"/>
        <v>0.14296016266745293</v>
      </c>
      <c r="AA89" s="2" t="str">
        <f t="shared" si="37"/>
        <v>No Impact</v>
      </c>
      <c r="AB89" s="2">
        <f t="shared" si="38"/>
        <v>4.3092523447608791E-2</v>
      </c>
      <c r="AC89" s="2">
        <f t="shared" si="39"/>
        <v>0.15656800433971704</v>
      </c>
      <c r="AD89" s="2" t="str">
        <f t="shared" si="40"/>
        <v>Low</v>
      </c>
      <c r="AE89" s="2">
        <f t="shared" si="41"/>
        <v>1.5562788059558174E-2</v>
      </c>
      <c r="AF89" s="2">
        <f t="shared" si="42"/>
        <v>0.11855911985276975</v>
      </c>
      <c r="AG89" s="2" t="s">
        <v>1175</v>
      </c>
    </row>
    <row r="90" spans="1:33" x14ac:dyDescent="0.3">
      <c r="A90">
        <v>201574</v>
      </c>
      <c r="B90" t="s">
        <v>194</v>
      </c>
      <c r="C90" t="s">
        <v>1155</v>
      </c>
      <c r="D90" t="s">
        <v>195</v>
      </c>
      <c r="E90" s="13">
        <v>5.5</v>
      </c>
      <c r="F90" s="14">
        <f t="shared" si="23"/>
        <v>0.51111111111111107</v>
      </c>
      <c r="G90" s="2">
        <v>72.526010400000004</v>
      </c>
      <c r="H90" s="2">
        <f t="shared" si="24"/>
        <v>0.43122679926398549</v>
      </c>
      <c r="I90" s="2">
        <v>10.3</v>
      </c>
      <c r="J90" s="4">
        <f t="shared" si="25"/>
        <v>8.1422924901185773E-2</v>
      </c>
      <c r="K90" s="2">
        <v>0</v>
      </c>
      <c r="L90" s="4">
        <f t="shared" si="26"/>
        <v>0</v>
      </c>
      <c r="M90" s="2">
        <v>34140</v>
      </c>
      <c r="N90" s="2">
        <f t="shared" si="27"/>
        <v>0.16039989969387708</v>
      </c>
      <c r="O90" s="2">
        <v>0.54628781000000004</v>
      </c>
      <c r="P90" s="2">
        <f t="shared" si="28"/>
        <v>0.5536157738865578</v>
      </c>
      <c r="Q90" s="2">
        <v>0.3251</v>
      </c>
      <c r="R90" s="2">
        <f t="shared" si="29"/>
        <v>0.78199189345686171</v>
      </c>
      <c r="S90" s="2">
        <f t="shared" si="30"/>
        <v>6.1242512924052882E-2</v>
      </c>
      <c r="T90" s="5">
        <f t="shared" si="31"/>
        <v>0.1599541281260054</v>
      </c>
      <c r="U90" s="2" t="str">
        <f t="shared" si="32"/>
        <v>Low</v>
      </c>
      <c r="V90" s="2">
        <f t="shared" si="33"/>
        <v>7.1714396094766319E-2</v>
      </c>
      <c r="W90" s="2">
        <f t="shared" si="34"/>
        <v>0.17395290242913181</v>
      </c>
      <c r="X90" s="2" t="s">
        <v>1176</v>
      </c>
      <c r="Y90" s="2">
        <f t="shared" si="35"/>
        <v>5.0770629753339444E-2</v>
      </c>
      <c r="Z90" s="2">
        <f t="shared" si="36"/>
        <v>0.12977378105240042</v>
      </c>
      <c r="AA90" s="2" t="str">
        <f t="shared" si="37"/>
        <v>No Impact</v>
      </c>
      <c r="AB90" s="2">
        <f t="shared" si="38"/>
        <v>4.5479674381649439E-2</v>
      </c>
      <c r="AC90" s="2">
        <f t="shared" si="39"/>
        <v>0.1652412364435375</v>
      </c>
      <c r="AD90" s="2" t="str">
        <f t="shared" si="40"/>
        <v>Low</v>
      </c>
      <c r="AE90" s="2">
        <f t="shared" si="41"/>
        <v>1.4709848064226825E-2</v>
      </c>
      <c r="AF90" s="2">
        <f t="shared" si="42"/>
        <v>0.1120613242941132</v>
      </c>
      <c r="AG90" s="2" t="s">
        <v>1175</v>
      </c>
    </row>
    <row r="91" spans="1:33" x14ac:dyDescent="0.3">
      <c r="A91">
        <v>201578</v>
      </c>
      <c r="B91" t="s">
        <v>196</v>
      </c>
      <c r="C91" t="s">
        <v>1155</v>
      </c>
      <c r="D91" t="s">
        <v>197</v>
      </c>
      <c r="E91" s="13">
        <v>5.8</v>
      </c>
      <c r="F91" s="14">
        <f t="shared" si="23"/>
        <v>0.57777777777777772</v>
      </c>
      <c r="G91" s="2">
        <v>100.20452400000001</v>
      </c>
      <c r="H91" s="2">
        <f t="shared" si="24"/>
        <v>0.73026942296147423</v>
      </c>
      <c r="I91" s="2">
        <v>25.1</v>
      </c>
      <c r="J91" s="4">
        <f t="shared" si="25"/>
        <v>0.19841897233201583</v>
      </c>
      <c r="K91" s="2">
        <v>0</v>
      </c>
      <c r="L91" s="4">
        <f t="shared" si="26"/>
        <v>0</v>
      </c>
      <c r="M91" s="2">
        <v>39476</v>
      </c>
      <c r="N91" s="2">
        <f t="shared" si="27"/>
        <v>0.18564676157896978</v>
      </c>
      <c r="O91" s="2">
        <v>0.48367260699999998</v>
      </c>
      <c r="P91" s="2">
        <f t="shared" si="28"/>
        <v>0.48128330908446765</v>
      </c>
      <c r="Q91" s="2">
        <v>0.25440000000000002</v>
      </c>
      <c r="R91" s="2">
        <f t="shared" si="29"/>
        <v>0.5773016792125073</v>
      </c>
      <c r="S91" s="2">
        <f t="shared" si="30"/>
        <v>9.9401887844177653E-2</v>
      </c>
      <c r="T91" s="5">
        <f t="shared" si="31"/>
        <v>0.25961936480156772</v>
      </c>
      <c r="U91" s="2" t="str">
        <f t="shared" si="32"/>
        <v>Low</v>
      </c>
      <c r="V91" s="2">
        <f t="shared" si="33"/>
        <v>0.10841808150266033</v>
      </c>
      <c r="W91" s="2">
        <f t="shared" si="34"/>
        <v>0.26298262246068471</v>
      </c>
      <c r="X91" s="2" t="s">
        <v>1175</v>
      </c>
      <c r="Y91" s="2">
        <f t="shared" si="35"/>
        <v>9.0385694185694976E-2</v>
      </c>
      <c r="Z91" s="2">
        <f t="shared" si="36"/>
        <v>0.23103304695077337</v>
      </c>
      <c r="AA91" s="2" t="str">
        <f t="shared" si="37"/>
        <v>Low</v>
      </c>
      <c r="AB91" s="2">
        <f t="shared" si="38"/>
        <v>7.7264691404540217E-2</v>
      </c>
      <c r="AC91" s="2">
        <f t="shared" si="39"/>
        <v>0.28072569372365741</v>
      </c>
      <c r="AD91" s="2" t="str">
        <f t="shared" si="40"/>
        <v>Low</v>
      </c>
      <c r="AE91" s="2">
        <f t="shared" si="41"/>
        <v>3.4864727494001775E-2</v>
      </c>
      <c r="AF91" s="2">
        <f t="shared" si="42"/>
        <v>0.26560352745129295</v>
      </c>
      <c r="AG91" s="2" t="s">
        <v>1175</v>
      </c>
    </row>
    <row r="92" spans="1:33" x14ac:dyDescent="0.3">
      <c r="A92">
        <v>201582</v>
      </c>
      <c r="B92" t="s">
        <v>198</v>
      </c>
      <c r="C92" t="s">
        <v>1155</v>
      </c>
      <c r="D92" t="s">
        <v>199</v>
      </c>
      <c r="E92" s="13">
        <v>5.7</v>
      </c>
      <c r="F92" s="14">
        <f t="shared" si="23"/>
        <v>0.55555555555555558</v>
      </c>
      <c r="G92" s="2">
        <v>76.5338256</v>
      </c>
      <c r="H92" s="2">
        <f t="shared" si="24"/>
        <v>0.47452780848807458</v>
      </c>
      <c r="I92" s="2">
        <v>6.6</v>
      </c>
      <c r="J92" s="4">
        <f t="shared" si="25"/>
        <v>5.2173913043478258E-2</v>
      </c>
      <c r="K92" s="2">
        <v>0</v>
      </c>
      <c r="L92" s="4">
        <f t="shared" si="26"/>
        <v>0</v>
      </c>
      <c r="M92" s="2">
        <v>40219</v>
      </c>
      <c r="N92" s="2">
        <f t="shared" si="27"/>
        <v>0.18916220730247502</v>
      </c>
      <c r="O92" s="2">
        <v>0.70288504699999999</v>
      </c>
      <c r="P92" s="2">
        <f t="shared" si="28"/>
        <v>0.73451535722587979</v>
      </c>
      <c r="Q92" s="2">
        <v>0.30199999999999999</v>
      </c>
      <c r="R92" s="2">
        <f t="shared" si="29"/>
        <v>0.71511291256514187</v>
      </c>
      <c r="S92" s="2">
        <f t="shared" si="30"/>
        <v>7.4231276902196691E-2</v>
      </c>
      <c r="T92" s="5">
        <f t="shared" si="31"/>
        <v>0.19387837973427804</v>
      </c>
      <c r="U92" s="2" t="str">
        <f t="shared" si="32"/>
        <v>Low</v>
      </c>
      <c r="V92" s="2">
        <f t="shared" si="33"/>
        <v>7.3237733748958936E-2</v>
      </c>
      <c r="W92" s="2">
        <f t="shared" si="34"/>
        <v>0.17764796256707432</v>
      </c>
      <c r="X92" s="2" t="s">
        <v>1176</v>
      </c>
      <c r="Y92" s="2">
        <f t="shared" si="35"/>
        <v>7.522482005543446E-2</v>
      </c>
      <c r="Z92" s="2">
        <f t="shared" si="36"/>
        <v>0.19228064286395941</v>
      </c>
      <c r="AA92" s="2" t="str">
        <f t="shared" si="37"/>
        <v>Low</v>
      </c>
      <c r="AB92" s="2">
        <f t="shared" si="38"/>
        <v>5.4981168039198156E-2</v>
      </c>
      <c r="AC92" s="2">
        <f t="shared" si="39"/>
        <v>0.19976299987699059</v>
      </c>
      <c r="AD92" s="2" t="str">
        <f t="shared" si="40"/>
        <v>Low</v>
      </c>
      <c r="AE92" s="2">
        <f t="shared" si="41"/>
        <v>1.9372900601234845E-2</v>
      </c>
      <c r="AF92" s="2">
        <f t="shared" si="42"/>
        <v>0.14758499797643612</v>
      </c>
      <c r="AG92" s="2" t="s">
        <v>1175</v>
      </c>
    </row>
    <row r="93" spans="1:33" x14ac:dyDescent="0.3">
      <c r="A93">
        <v>201586</v>
      </c>
      <c r="B93" t="s">
        <v>200</v>
      </c>
      <c r="C93" t="s">
        <v>1155</v>
      </c>
      <c r="D93" t="s">
        <v>201</v>
      </c>
      <c r="E93" s="13">
        <v>5.8</v>
      </c>
      <c r="F93" s="14">
        <f t="shared" si="23"/>
        <v>0.57777777777777772</v>
      </c>
      <c r="G93" s="2">
        <v>89.144369999999995</v>
      </c>
      <c r="H93" s="2">
        <f t="shared" si="24"/>
        <v>0.61077393565111959</v>
      </c>
      <c r="I93" s="2">
        <v>14.7</v>
      </c>
      <c r="J93" s="4">
        <f t="shared" si="25"/>
        <v>0.11620553359683794</v>
      </c>
      <c r="K93" s="2">
        <v>0</v>
      </c>
      <c r="L93" s="4">
        <f t="shared" si="26"/>
        <v>0</v>
      </c>
      <c r="M93" s="2">
        <v>54977</v>
      </c>
      <c r="N93" s="2">
        <f t="shared" si="27"/>
        <v>0.25898851684149266</v>
      </c>
      <c r="O93" s="2">
        <v>0.39355948000000002</v>
      </c>
      <c r="P93" s="2">
        <f t="shared" si="28"/>
        <v>0.37718551374658821</v>
      </c>
      <c r="Q93" s="2">
        <v>0.31819999999999998</v>
      </c>
      <c r="R93" s="2">
        <f t="shared" si="29"/>
        <v>0.7620150550086856</v>
      </c>
      <c r="S93" s="2">
        <f t="shared" si="30"/>
        <v>8.3737737400557663E-2</v>
      </c>
      <c r="T93" s="5">
        <f t="shared" si="31"/>
        <v>0.21870749807018533</v>
      </c>
      <c r="U93" s="2" t="str">
        <f t="shared" si="32"/>
        <v>Low</v>
      </c>
      <c r="V93" s="2">
        <f t="shared" si="33"/>
        <v>0.11202490293927606</v>
      </c>
      <c r="W93" s="2">
        <f t="shared" si="34"/>
        <v>0.27173145242522656</v>
      </c>
      <c r="X93" s="2" t="s">
        <v>1175</v>
      </c>
      <c r="Y93" s="2">
        <f t="shared" si="35"/>
        <v>5.5450571861839264E-2</v>
      </c>
      <c r="Z93" s="2">
        <f t="shared" si="36"/>
        <v>0.14173608653249775</v>
      </c>
      <c r="AA93" s="2" t="str">
        <f t="shared" si="37"/>
        <v>No Impact</v>
      </c>
      <c r="AB93" s="2">
        <f t="shared" si="38"/>
        <v>6.916988048573082E-2</v>
      </c>
      <c r="AC93" s="2">
        <f t="shared" si="39"/>
        <v>0.25131482869027849</v>
      </c>
      <c r="AD93" s="2" t="str">
        <f t="shared" si="40"/>
        <v>Low</v>
      </c>
      <c r="AE93" s="2">
        <f t="shared" si="41"/>
        <v>3.8074265424092681E-2</v>
      </c>
      <c r="AF93" s="2">
        <f t="shared" si="42"/>
        <v>0.29005415870511603</v>
      </c>
      <c r="AG93" s="2" t="s">
        <v>1175</v>
      </c>
    </row>
    <row r="94" spans="1:33" x14ac:dyDescent="0.3">
      <c r="A94">
        <v>201909</v>
      </c>
      <c r="B94" t="s">
        <v>202</v>
      </c>
      <c r="C94" t="s">
        <v>1156</v>
      </c>
      <c r="D94" t="s">
        <v>203</v>
      </c>
      <c r="E94" s="13">
        <v>4.4000000000000004</v>
      </c>
      <c r="F94" s="14">
        <f t="shared" si="23"/>
        <v>0.26666666666666672</v>
      </c>
      <c r="G94" s="2">
        <v>60.7838256</v>
      </c>
      <c r="H94" s="2">
        <f t="shared" si="24"/>
        <v>0.3043625535433348</v>
      </c>
      <c r="I94" s="2">
        <v>31.3</v>
      </c>
      <c r="J94" s="4">
        <f t="shared" si="25"/>
        <v>0.24743083003952571</v>
      </c>
      <c r="K94" s="2">
        <v>0</v>
      </c>
      <c r="L94" s="4">
        <f t="shared" si="26"/>
        <v>0</v>
      </c>
      <c r="M94" s="2">
        <v>52813</v>
      </c>
      <c r="N94" s="2">
        <f t="shared" si="27"/>
        <v>0.24874972202902254</v>
      </c>
      <c r="O94" s="2">
        <v>0.53868295200000005</v>
      </c>
      <c r="P94" s="2">
        <f t="shared" si="28"/>
        <v>0.54483071694743246</v>
      </c>
      <c r="Q94" s="2">
        <v>0.24510000000000001</v>
      </c>
      <c r="R94" s="2">
        <f t="shared" si="29"/>
        <v>0.55037637521713967</v>
      </c>
      <c r="S94" s="2">
        <f t="shared" si="30"/>
        <v>2.8201974598440309E-2</v>
      </c>
      <c r="T94" s="5">
        <f t="shared" si="31"/>
        <v>7.3658346840199229E-2</v>
      </c>
      <c r="U94" s="2" t="str">
        <f t="shared" si="32"/>
        <v>No Impact</v>
      </c>
      <c r="V94" s="2">
        <f t="shared" si="33"/>
        <v>2.8344777283679321E-2</v>
      </c>
      <c r="W94" s="2">
        <f t="shared" si="34"/>
        <v>6.8754065371864403E-2</v>
      </c>
      <c r="X94" s="2" t="s">
        <v>1176</v>
      </c>
      <c r="Y94" s="2">
        <f t="shared" si="35"/>
        <v>2.8059171913201293E-2</v>
      </c>
      <c r="Z94" s="2">
        <f t="shared" si="36"/>
        <v>7.1721482480448032E-2</v>
      </c>
      <c r="AA94" s="2" t="str">
        <f t="shared" si="37"/>
        <v>No Impact</v>
      </c>
      <c r="AB94" s="2">
        <f t="shared" si="38"/>
        <v>2.2822199682182031E-2</v>
      </c>
      <c r="AC94" s="2">
        <f t="shared" si="39"/>
        <v>8.2919865744832455E-2</v>
      </c>
      <c r="AD94" s="2" t="str">
        <f t="shared" si="40"/>
        <v>No Impact</v>
      </c>
      <c r="AE94" s="2">
        <f t="shared" si="41"/>
        <v>1.2810788739811103E-2</v>
      </c>
      <c r="AF94" s="2">
        <f t="shared" si="42"/>
        <v>9.7594070663897317E-2</v>
      </c>
      <c r="AG94" s="2" t="s">
        <v>1175</v>
      </c>
    </row>
    <row r="95" spans="1:33" x14ac:dyDescent="0.3">
      <c r="A95">
        <v>201915</v>
      </c>
      <c r="B95" t="s">
        <v>204</v>
      </c>
      <c r="C95" t="s">
        <v>1156</v>
      </c>
      <c r="D95" t="s">
        <v>205</v>
      </c>
      <c r="E95" s="13">
        <v>4.4000000000000004</v>
      </c>
      <c r="F95" s="14">
        <f t="shared" si="23"/>
        <v>0.26666666666666672</v>
      </c>
      <c r="G95" s="2">
        <v>58.164685200000001</v>
      </c>
      <c r="H95" s="2">
        <f t="shared" si="24"/>
        <v>0.27606498567653687</v>
      </c>
      <c r="I95" s="2">
        <v>18.600000000000001</v>
      </c>
      <c r="J95" s="4">
        <f t="shared" si="25"/>
        <v>0.14703557312252966</v>
      </c>
      <c r="K95" s="2">
        <v>0</v>
      </c>
      <c r="L95" s="4">
        <f t="shared" si="26"/>
        <v>0</v>
      </c>
      <c r="M95" s="2">
        <v>14956</v>
      </c>
      <c r="N95" s="2">
        <f t="shared" si="27"/>
        <v>6.9632321282404319E-2</v>
      </c>
      <c r="O95" s="2">
        <v>0.62444501900000005</v>
      </c>
      <c r="P95" s="2">
        <f t="shared" si="28"/>
        <v>0.64390221069683373</v>
      </c>
      <c r="Q95" s="2">
        <v>0.23230000000000001</v>
      </c>
      <c r="R95" s="2">
        <f t="shared" si="29"/>
        <v>0.51331789229878411</v>
      </c>
      <c r="S95" s="2">
        <f t="shared" si="30"/>
        <v>2.2848955370778103E-2</v>
      </c>
      <c r="T95" s="5">
        <f t="shared" si="31"/>
        <v>5.9677249682016403E-2</v>
      </c>
      <c r="U95" s="2" t="str">
        <f t="shared" si="32"/>
        <v>No Impact</v>
      </c>
      <c r="V95" s="2">
        <f t="shared" si="33"/>
        <v>2.0270608126829636E-2</v>
      </c>
      <c r="W95" s="2">
        <f t="shared" si="34"/>
        <v>4.9169083331692412E-2</v>
      </c>
      <c r="X95" s="2" t="s">
        <v>1176</v>
      </c>
      <c r="Y95" s="2">
        <f t="shared" si="35"/>
        <v>2.5427302614726571E-2</v>
      </c>
      <c r="Z95" s="2">
        <f t="shared" si="36"/>
        <v>6.4994214535217781E-2</v>
      </c>
      <c r="AA95" s="2" t="str">
        <f t="shared" si="37"/>
        <v>No Impact</v>
      </c>
      <c r="AB95" s="2">
        <f t="shared" si="38"/>
        <v>1.5685311780947016E-2</v>
      </c>
      <c r="AC95" s="2">
        <f t="shared" si="39"/>
        <v>5.6989421052932115E-2</v>
      </c>
      <c r="AD95" s="2" t="str">
        <f t="shared" si="40"/>
        <v>No Impact</v>
      </c>
      <c r="AE95" s="2">
        <f t="shared" si="41"/>
        <v>2.7497375775390647E-3</v>
      </c>
      <c r="AF95" s="2">
        <f t="shared" si="42"/>
        <v>2.0947818975077272E-2</v>
      </c>
      <c r="AG95" s="2" t="s">
        <v>1176</v>
      </c>
    </row>
    <row r="96" spans="1:33" x14ac:dyDescent="0.3">
      <c r="A96">
        <v>201918</v>
      </c>
      <c r="B96" t="s">
        <v>206</v>
      </c>
      <c r="C96" t="s">
        <v>1156</v>
      </c>
      <c r="D96" t="s">
        <v>207</v>
      </c>
      <c r="E96" s="13">
        <v>4.3</v>
      </c>
      <c r="F96" s="14">
        <f t="shared" si="23"/>
        <v>0.24444444444444435</v>
      </c>
      <c r="G96" s="2">
        <v>58.164685200000001</v>
      </c>
      <c r="H96" s="2">
        <f t="shared" si="24"/>
        <v>0.27606498567653687</v>
      </c>
      <c r="I96" s="2">
        <v>22.9</v>
      </c>
      <c r="J96" s="4">
        <f t="shared" si="25"/>
        <v>0.18102766798418971</v>
      </c>
      <c r="K96" s="2">
        <v>0</v>
      </c>
      <c r="L96" s="4">
        <f t="shared" si="26"/>
        <v>0</v>
      </c>
      <c r="M96" s="2">
        <v>36049</v>
      </c>
      <c r="N96" s="2">
        <f t="shared" si="27"/>
        <v>0.16943218217863007</v>
      </c>
      <c r="O96" s="2">
        <v>0.50130479999999999</v>
      </c>
      <c r="P96" s="2">
        <f t="shared" si="28"/>
        <v>0.5016518444952075</v>
      </c>
      <c r="Q96" s="2">
        <v>0.23449999999999999</v>
      </c>
      <c r="R96" s="2">
        <f t="shared" si="29"/>
        <v>0.51968731905037635</v>
      </c>
      <c r="S96" s="2">
        <f t="shared" si="30"/>
        <v>1.9970661332531208E-2</v>
      </c>
      <c r="T96" s="5">
        <f t="shared" si="31"/>
        <v>5.2159677469573069E-2</v>
      </c>
      <c r="U96" s="2" t="str">
        <f t="shared" si="32"/>
        <v>No Impact</v>
      </c>
      <c r="V96" s="2">
        <f t="shared" si="33"/>
        <v>2.0323316324299456E-2</v>
      </c>
      <c r="W96" s="2">
        <f t="shared" si="34"/>
        <v>4.9296934145907828E-2</v>
      </c>
      <c r="X96" s="2" t="s">
        <v>1176</v>
      </c>
      <c r="Y96" s="2">
        <f t="shared" si="35"/>
        <v>1.9618006340762953E-2</v>
      </c>
      <c r="Z96" s="2">
        <f t="shared" si="36"/>
        <v>5.0145189687809961E-2</v>
      </c>
      <c r="AA96" s="2" t="str">
        <f t="shared" si="37"/>
        <v>No Impact</v>
      </c>
      <c r="AB96" s="2">
        <f t="shared" si="38"/>
        <v>1.531764622177334E-2</v>
      </c>
      <c r="AC96" s="2">
        <f t="shared" si="39"/>
        <v>5.5653582298112972E-2</v>
      </c>
      <c r="AD96" s="2" t="str">
        <f t="shared" si="40"/>
        <v>No Impact</v>
      </c>
      <c r="AE96" s="2">
        <f t="shared" si="41"/>
        <v>6.6259531601132659E-3</v>
      </c>
      <c r="AF96" s="2">
        <f t="shared" si="42"/>
        <v>5.0477277711575376E-2</v>
      </c>
      <c r="AG96" s="2" t="s">
        <v>1176</v>
      </c>
    </row>
    <row r="97" spans="1:33" x14ac:dyDescent="0.3">
      <c r="A97">
        <v>201927</v>
      </c>
      <c r="B97" t="s">
        <v>208</v>
      </c>
      <c r="C97" t="s">
        <v>1156</v>
      </c>
      <c r="D97" t="s">
        <v>209</v>
      </c>
      <c r="E97" s="13">
        <v>3.8</v>
      </c>
      <c r="F97" s="14">
        <f t="shared" si="23"/>
        <v>0.13333333333333325</v>
      </c>
      <c r="G97" s="2">
        <v>60.7838256</v>
      </c>
      <c r="H97" s="2">
        <f t="shared" si="24"/>
        <v>0.3043625535433348</v>
      </c>
      <c r="I97" s="2">
        <v>30.9</v>
      </c>
      <c r="J97" s="4">
        <f t="shared" si="25"/>
        <v>0.24426877470355729</v>
      </c>
      <c r="K97" s="2">
        <v>0</v>
      </c>
      <c r="L97" s="4">
        <f t="shared" si="26"/>
        <v>0</v>
      </c>
      <c r="M97" s="2">
        <v>52969</v>
      </c>
      <c r="N97" s="2">
        <f t="shared" si="27"/>
        <v>0.24948782368833183</v>
      </c>
      <c r="O97" s="2">
        <v>0.42705352699999999</v>
      </c>
      <c r="P97" s="2">
        <f t="shared" si="28"/>
        <v>0.4158775064197901</v>
      </c>
      <c r="Q97" s="2">
        <v>0.23180000000000001</v>
      </c>
      <c r="R97" s="2">
        <f t="shared" si="29"/>
        <v>0.51187029530978578</v>
      </c>
      <c r="S97" s="2">
        <f t="shared" si="30"/>
        <v>1.1876468537290729E-2</v>
      </c>
      <c r="T97" s="5">
        <f t="shared" si="31"/>
        <v>3.1019141432914218E-2</v>
      </c>
      <c r="U97" s="2" t="str">
        <f t="shared" si="32"/>
        <v>No Impact</v>
      </c>
      <c r="V97" s="2">
        <f t="shared" si="33"/>
        <v>1.3105310400277036E-2</v>
      </c>
      <c r="W97" s="2">
        <f t="shared" si="34"/>
        <v>3.1788691050962492E-2</v>
      </c>
      <c r="X97" s="2" t="s">
        <v>1176</v>
      </c>
      <c r="Y97" s="2">
        <f t="shared" si="35"/>
        <v>1.064762667430442E-2</v>
      </c>
      <c r="Z97" s="2">
        <f t="shared" si="36"/>
        <v>2.7216183440545039E-2</v>
      </c>
      <c r="AA97" s="2" t="str">
        <f t="shared" si="37"/>
        <v>No Impact</v>
      </c>
      <c r="AB97" s="2">
        <f t="shared" si="38"/>
        <v>1.00168016318837E-2</v>
      </c>
      <c r="AC97" s="2">
        <f t="shared" si="39"/>
        <v>3.6394031165930193E-2</v>
      </c>
      <c r="AD97" s="2" t="str">
        <f t="shared" si="40"/>
        <v>No Impact</v>
      </c>
      <c r="AE97" s="2">
        <f t="shared" si="41"/>
        <v>6.3875856842726059E-3</v>
      </c>
      <c r="AF97" s="2">
        <f t="shared" si="42"/>
        <v>4.8661366704560262E-2</v>
      </c>
      <c r="AG97" s="2" t="s">
        <v>1176</v>
      </c>
    </row>
    <row r="98" spans="1:33" x14ac:dyDescent="0.3">
      <c r="A98">
        <v>201931</v>
      </c>
      <c r="B98" t="s">
        <v>210</v>
      </c>
      <c r="C98" t="s">
        <v>1156</v>
      </c>
      <c r="D98" t="s">
        <v>211</v>
      </c>
      <c r="E98" s="13">
        <v>4.5</v>
      </c>
      <c r="F98" s="14">
        <f t="shared" si="23"/>
        <v>0.28888888888888886</v>
      </c>
      <c r="G98" s="2">
        <v>59.570935200000001</v>
      </c>
      <c r="H98" s="2">
        <f t="shared" si="24"/>
        <v>0.29125831201088864</v>
      </c>
      <c r="I98" s="2">
        <v>22.7</v>
      </c>
      <c r="J98" s="4">
        <f t="shared" si="25"/>
        <v>0.17944664031620552</v>
      </c>
      <c r="K98" s="2">
        <v>0</v>
      </c>
      <c r="L98" s="4">
        <f t="shared" si="26"/>
        <v>0</v>
      </c>
      <c r="M98" s="2">
        <v>58877</v>
      </c>
      <c r="N98" s="2">
        <f t="shared" si="27"/>
        <v>0.27744105832422533</v>
      </c>
      <c r="O98" s="2">
        <v>0.53783734599999999</v>
      </c>
      <c r="P98" s="2">
        <f t="shared" si="28"/>
        <v>0.54385388123819678</v>
      </c>
      <c r="Q98" s="2">
        <v>0.2445</v>
      </c>
      <c r="R98" s="2">
        <f t="shared" si="29"/>
        <v>0.5486392588303417</v>
      </c>
      <c r="S98" s="2">
        <f t="shared" si="30"/>
        <v>2.59977865325784E-2</v>
      </c>
      <c r="T98" s="5">
        <f t="shared" si="31"/>
        <v>6.790141487468844E-2</v>
      </c>
      <c r="U98" s="2" t="str">
        <f t="shared" si="32"/>
        <v>No Impact</v>
      </c>
      <c r="V98" s="2">
        <f t="shared" si="33"/>
        <v>2.611166296855361E-2</v>
      </c>
      <c r="W98" s="2">
        <f t="shared" si="34"/>
        <v>6.333734658559953E-2</v>
      </c>
      <c r="X98" s="2" t="s">
        <v>1176</v>
      </c>
      <c r="Y98" s="2">
        <f t="shared" si="35"/>
        <v>2.5883910096603197E-2</v>
      </c>
      <c r="Z98" s="2">
        <f t="shared" si="36"/>
        <v>6.6161339695331597E-2</v>
      </c>
      <c r="AA98" s="2" t="str">
        <f t="shared" si="37"/>
        <v>No Impact</v>
      </c>
      <c r="AB98" s="2">
        <f t="shared" si="38"/>
        <v>2.1525791992648993E-2</v>
      </c>
      <c r="AC98" s="2">
        <f t="shared" si="39"/>
        <v>7.8209629524676388E-2</v>
      </c>
      <c r="AD98" s="2" t="str">
        <f t="shared" si="40"/>
        <v>No Impact</v>
      </c>
      <c r="AE98" s="2">
        <f t="shared" si="41"/>
        <v>1.3204391213355059E-2</v>
      </c>
      <c r="AF98" s="2">
        <f t="shared" si="42"/>
        <v>0.10059257984211517</v>
      </c>
      <c r="AG98" s="2" t="s">
        <v>1175</v>
      </c>
    </row>
    <row r="99" spans="1:33" x14ac:dyDescent="0.3">
      <c r="A99">
        <v>201933</v>
      </c>
      <c r="B99" t="s">
        <v>212</v>
      </c>
      <c r="C99" t="s">
        <v>1156</v>
      </c>
      <c r="D99" t="s">
        <v>213</v>
      </c>
      <c r="E99" s="13">
        <v>4.4000000000000004</v>
      </c>
      <c r="F99" s="14">
        <f t="shared" si="23"/>
        <v>0.26666666666666672</v>
      </c>
      <c r="G99" s="2">
        <v>60.7838256</v>
      </c>
      <c r="H99" s="2">
        <f t="shared" si="24"/>
        <v>0.3043625535433348</v>
      </c>
      <c r="I99" s="2">
        <v>27.3</v>
      </c>
      <c r="J99" s="4">
        <f t="shared" si="25"/>
        <v>0.2158102766798419</v>
      </c>
      <c r="K99" s="2">
        <v>0</v>
      </c>
      <c r="L99" s="4">
        <f t="shared" si="26"/>
        <v>0</v>
      </c>
      <c r="M99" s="2">
        <v>63237</v>
      </c>
      <c r="N99" s="2">
        <f t="shared" si="27"/>
        <v>0.2980700534177419</v>
      </c>
      <c r="O99" s="2">
        <v>0.62370599000000004</v>
      </c>
      <c r="P99" s="2">
        <f t="shared" si="28"/>
        <v>0.64304849168660838</v>
      </c>
      <c r="Q99" s="2">
        <v>0.25219999999999998</v>
      </c>
      <c r="R99" s="2">
        <f t="shared" si="29"/>
        <v>0.57093225246091484</v>
      </c>
      <c r="S99" s="2">
        <f t="shared" si="30"/>
        <v>2.9469057310917254E-2</v>
      </c>
      <c r="T99" s="5">
        <f t="shared" si="31"/>
        <v>7.6967732769367775E-2</v>
      </c>
      <c r="U99" s="2" t="str">
        <f t="shared" si="32"/>
        <v>No Impact</v>
      </c>
      <c r="V99" s="2">
        <f t="shared" si="33"/>
        <v>2.7718454925306824E-2</v>
      </c>
      <c r="W99" s="2">
        <f t="shared" si="34"/>
        <v>6.723483634633956E-2</v>
      </c>
      <c r="X99" s="2" t="s">
        <v>1176</v>
      </c>
      <c r="Y99" s="2">
        <f t="shared" si="35"/>
        <v>3.1219659696527687E-2</v>
      </c>
      <c r="Z99" s="2">
        <f t="shared" si="36"/>
        <v>7.9799941455741874E-2</v>
      </c>
      <c r="AA99" s="2" t="str">
        <f t="shared" si="37"/>
        <v>No Impact</v>
      </c>
      <c r="AB99" s="2">
        <f t="shared" si="38"/>
        <v>2.413225661365765E-2</v>
      </c>
      <c r="AC99" s="2">
        <f t="shared" si="39"/>
        <v>8.767969373638472E-2</v>
      </c>
      <c r="AD99" s="2" t="str">
        <f t="shared" si="40"/>
        <v>No Impact</v>
      </c>
      <c r="AE99" s="2">
        <f t="shared" si="41"/>
        <v>1.4471141373834163E-2</v>
      </c>
      <c r="AF99" s="2">
        <f t="shared" si="42"/>
        <v>0.11024282911139817</v>
      </c>
      <c r="AG99" s="2" t="s">
        <v>1175</v>
      </c>
    </row>
    <row r="100" spans="1:33" x14ac:dyDescent="0.3">
      <c r="A100">
        <v>201936</v>
      </c>
      <c r="B100" t="s">
        <v>214</v>
      </c>
      <c r="C100" t="s">
        <v>1156</v>
      </c>
      <c r="D100" t="s">
        <v>215</v>
      </c>
      <c r="E100" s="13">
        <v>4.3</v>
      </c>
      <c r="F100" s="14">
        <f t="shared" si="23"/>
        <v>0.24444444444444435</v>
      </c>
      <c r="G100" s="2">
        <v>60.024448800000002</v>
      </c>
      <c r="H100" s="2">
        <f t="shared" si="24"/>
        <v>0.29615813787532713</v>
      </c>
      <c r="I100" s="2">
        <v>25.8</v>
      </c>
      <c r="J100" s="4">
        <f t="shared" si="25"/>
        <v>0.20395256916996049</v>
      </c>
      <c r="K100" s="2">
        <v>0</v>
      </c>
      <c r="L100" s="4">
        <f t="shared" si="26"/>
        <v>0</v>
      </c>
      <c r="M100" s="2">
        <v>46512</v>
      </c>
      <c r="N100" s="2">
        <f t="shared" si="27"/>
        <v>0.21893703898217673</v>
      </c>
      <c r="O100" s="2">
        <v>0.33959003700000001</v>
      </c>
      <c r="P100" s="2">
        <f t="shared" si="28"/>
        <v>0.31484054560544983</v>
      </c>
      <c r="Q100" s="2">
        <v>0.24310000000000001</v>
      </c>
      <c r="R100" s="2">
        <f t="shared" si="29"/>
        <v>0.5445859872611466</v>
      </c>
      <c r="S100" s="2">
        <f t="shared" si="30"/>
        <v>1.8386248693008499E-2</v>
      </c>
      <c r="T100" s="5">
        <f t="shared" si="31"/>
        <v>4.8021484403247369E-2</v>
      </c>
      <c r="U100" s="2" t="str">
        <f t="shared" si="32"/>
        <v>No Impact</v>
      </c>
      <c r="V100" s="2">
        <f t="shared" si="33"/>
        <v>2.3301336446090941E-2</v>
      </c>
      <c r="W100" s="2">
        <f t="shared" si="34"/>
        <v>5.6520522043007775E-2</v>
      </c>
      <c r="X100" s="2" t="s">
        <v>1176</v>
      </c>
      <c r="Y100" s="2">
        <f t="shared" si="35"/>
        <v>1.3471160939926055E-2</v>
      </c>
      <c r="Z100" s="2">
        <f t="shared" si="36"/>
        <v>3.4433362336314617E-2</v>
      </c>
      <c r="AA100" s="2" t="str">
        <f t="shared" si="37"/>
        <v>No Impact</v>
      </c>
      <c r="AB100" s="2">
        <f t="shared" si="38"/>
        <v>1.5475515828058332E-2</v>
      </c>
      <c r="AC100" s="2">
        <f t="shared" si="39"/>
        <v>5.6227169714779091E-2</v>
      </c>
      <c r="AD100" s="2" t="str">
        <f t="shared" si="40"/>
        <v>No Impact</v>
      </c>
      <c r="AE100" s="2">
        <f t="shared" si="41"/>
        <v>9.3677136855676787E-3</v>
      </c>
      <c r="AF100" s="2">
        <f t="shared" si="42"/>
        <v>7.1364326581029119E-2</v>
      </c>
      <c r="AG100" s="2" t="s">
        <v>1175</v>
      </c>
    </row>
    <row r="101" spans="1:33" x14ac:dyDescent="0.3">
      <c r="A101">
        <v>201940</v>
      </c>
      <c r="B101" t="s">
        <v>216</v>
      </c>
      <c r="C101" t="s">
        <v>1156</v>
      </c>
      <c r="D101" t="s">
        <v>217</v>
      </c>
      <c r="E101" s="13">
        <v>4.4000000000000004</v>
      </c>
      <c r="F101" s="14">
        <f t="shared" si="23"/>
        <v>0.26666666666666672</v>
      </c>
      <c r="G101" s="2">
        <v>58.164685200000001</v>
      </c>
      <c r="H101" s="2">
        <f t="shared" si="24"/>
        <v>0.27606498567653687</v>
      </c>
      <c r="I101" s="2">
        <v>25.7</v>
      </c>
      <c r="J101" s="4">
        <f t="shared" si="25"/>
        <v>0.20316205533596837</v>
      </c>
      <c r="K101" s="2">
        <v>0</v>
      </c>
      <c r="L101" s="4">
        <f t="shared" si="26"/>
        <v>0</v>
      </c>
      <c r="M101" s="2">
        <v>53195</v>
      </c>
      <c r="N101" s="2">
        <f t="shared" si="27"/>
        <v>0.25055712481015174</v>
      </c>
      <c r="O101" s="2">
        <v>0.52645777199999999</v>
      </c>
      <c r="P101" s="2">
        <f t="shared" si="28"/>
        <v>0.53070830961371807</v>
      </c>
      <c r="Q101" s="2">
        <v>0.24390000000000001</v>
      </c>
      <c r="R101" s="2">
        <f t="shared" si="29"/>
        <v>0.54690214244354374</v>
      </c>
      <c r="S101" s="2">
        <f t="shared" si="30"/>
        <v>2.4099603187498989E-2</v>
      </c>
      <c r="T101" s="5">
        <f t="shared" si="31"/>
        <v>6.2943710700106237E-2</v>
      </c>
      <c r="U101" s="2" t="str">
        <f t="shared" si="32"/>
        <v>No Impact</v>
      </c>
      <c r="V101" s="2">
        <f t="shared" si="33"/>
        <v>2.4461760908351119E-2</v>
      </c>
      <c r="W101" s="2">
        <f t="shared" si="34"/>
        <v>5.9335287477177749E-2</v>
      </c>
      <c r="X101" s="2" t="s">
        <v>1176</v>
      </c>
      <c r="Y101" s="2">
        <f t="shared" si="35"/>
        <v>2.3737445466646859E-2</v>
      </c>
      <c r="Z101" s="2">
        <f t="shared" si="36"/>
        <v>6.0674804817234015E-2</v>
      </c>
      <c r="AA101" s="2" t="str">
        <f t="shared" si="37"/>
        <v>No Impact</v>
      </c>
      <c r="AB101" s="2">
        <f t="shared" si="38"/>
        <v>1.9605259109144367E-2</v>
      </c>
      <c r="AC101" s="2">
        <f t="shared" si="39"/>
        <v>7.1231760122233506E-2</v>
      </c>
      <c r="AD101" s="2" t="str">
        <f t="shared" si="40"/>
        <v>No Impact</v>
      </c>
      <c r="AE101" s="2">
        <f t="shared" si="41"/>
        <v>1.1206883289221202E-2</v>
      </c>
      <c r="AF101" s="2">
        <f t="shared" si="42"/>
        <v>8.5375333390005692E-2</v>
      </c>
      <c r="AG101" s="2" t="s">
        <v>1175</v>
      </c>
    </row>
    <row r="102" spans="1:33" x14ac:dyDescent="0.3">
      <c r="A102">
        <v>201954</v>
      </c>
      <c r="B102" t="s">
        <v>218</v>
      </c>
      <c r="C102" t="s">
        <v>1156</v>
      </c>
      <c r="D102" t="s">
        <v>219</v>
      </c>
      <c r="E102" s="13">
        <v>4.4000000000000004</v>
      </c>
      <c r="F102" s="14">
        <f t="shared" si="23"/>
        <v>0.26666666666666672</v>
      </c>
      <c r="G102" s="2">
        <v>60.024448800000002</v>
      </c>
      <c r="H102" s="2">
        <f t="shared" si="24"/>
        <v>0.29615813787532713</v>
      </c>
      <c r="I102" s="2">
        <v>20.399999999999999</v>
      </c>
      <c r="J102" s="4">
        <f t="shared" si="25"/>
        <v>0.16126482213438734</v>
      </c>
      <c r="K102" s="2">
        <v>0</v>
      </c>
      <c r="L102" s="4">
        <f t="shared" si="26"/>
        <v>0</v>
      </c>
      <c r="M102" s="2">
        <v>23236</v>
      </c>
      <c r="N102" s="2">
        <f t="shared" si="27"/>
        <v>0.1088084862765137</v>
      </c>
      <c r="O102" s="2">
        <v>0.57651813500000004</v>
      </c>
      <c r="P102" s="2">
        <f t="shared" si="28"/>
        <v>0.58853754710221351</v>
      </c>
      <c r="Q102" s="2">
        <v>0.2515</v>
      </c>
      <c r="R102" s="2">
        <f t="shared" si="29"/>
        <v>0.56890561667631734</v>
      </c>
      <c r="S102" s="2">
        <f t="shared" si="30"/>
        <v>2.4707250307533939E-2</v>
      </c>
      <c r="T102" s="5">
        <f t="shared" si="31"/>
        <v>6.4530772704142564E-2</v>
      </c>
      <c r="U102" s="2" t="str">
        <f t="shared" si="32"/>
        <v>No Impact</v>
      </c>
      <c r="V102" s="2">
        <f t="shared" si="33"/>
        <v>2.4288179173648422E-2</v>
      </c>
      <c r="W102" s="2">
        <f t="shared" si="34"/>
        <v>5.8914241659259729E-2</v>
      </c>
      <c r="X102" s="2" t="s">
        <v>1176</v>
      </c>
      <c r="Y102" s="2">
        <f t="shared" si="35"/>
        <v>2.5126321441419457E-2</v>
      </c>
      <c r="Z102" s="2">
        <f t="shared" si="36"/>
        <v>6.4224882638500805E-2</v>
      </c>
      <c r="AA102" s="2" t="str">
        <f t="shared" si="37"/>
        <v>No Impact</v>
      </c>
      <c r="AB102" s="2">
        <f t="shared" si="38"/>
        <v>1.7664628138850908E-2</v>
      </c>
      <c r="AC102" s="2">
        <f t="shared" si="39"/>
        <v>6.4180868369558594E-2</v>
      </c>
      <c r="AD102" s="2" t="str">
        <f t="shared" si="40"/>
        <v>No Impact</v>
      </c>
      <c r="AE102" s="2">
        <f t="shared" si="41"/>
        <v>4.6453399875660681E-3</v>
      </c>
      <c r="AF102" s="2">
        <f t="shared" si="42"/>
        <v>3.5388737431559229E-2</v>
      </c>
      <c r="AG102" s="2" t="s">
        <v>1176</v>
      </c>
    </row>
    <row r="103" spans="1:33" x14ac:dyDescent="0.3">
      <c r="A103">
        <v>201967</v>
      </c>
      <c r="B103" t="s">
        <v>220</v>
      </c>
      <c r="C103" t="s">
        <v>1156</v>
      </c>
      <c r="D103" t="s">
        <v>221</v>
      </c>
      <c r="E103" s="13">
        <v>4.4000000000000004</v>
      </c>
      <c r="F103" s="14">
        <f t="shared" si="23"/>
        <v>0.26666666666666672</v>
      </c>
      <c r="G103" s="2">
        <v>58.164685200000001</v>
      </c>
      <c r="H103" s="2">
        <f t="shared" si="24"/>
        <v>0.27606498567653687</v>
      </c>
      <c r="I103" s="2">
        <v>22.9</v>
      </c>
      <c r="J103" s="4">
        <f t="shared" si="25"/>
        <v>0.18102766798418971</v>
      </c>
      <c r="K103" s="2">
        <v>0</v>
      </c>
      <c r="L103" s="4">
        <f t="shared" si="26"/>
        <v>0</v>
      </c>
      <c r="M103" s="2">
        <v>64652</v>
      </c>
      <c r="N103" s="2">
        <f t="shared" si="27"/>
        <v>0.30476501398134875</v>
      </c>
      <c r="O103" s="2">
        <v>0.467173277</v>
      </c>
      <c r="P103" s="2">
        <f t="shared" si="28"/>
        <v>0.46222344583555236</v>
      </c>
      <c r="Q103" s="2">
        <v>0.24790000000000001</v>
      </c>
      <c r="R103" s="2">
        <f t="shared" si="29"/>
        <v>0.55848291835552988</v>
      </c>
      <c r="S103" s="2">
        <f t="shared" si="30"/>
        <v>2.1772677762103048E-2</v>
      </c>
      <c r="T103" s="5">
        <f t="shared" si="31"/>
        <v>5.686621142937888E-2</v>
      </c>
      <c r="U103" s="2" t="str">
        <f t="shared" si="32"/>
        <v>No Impact</v>
      </c>
      <c r="V103" s="2">
        <f t="shared" si="33"/>
        <v>2.3825987656362835E-2</v>
      </c>
      <c r="W103" s="2">
        <f t="shared" si="34"/>
        <v>5.7793134039477098E-2</v>
      </c>
      <c r="X103" s="2" t="s">
        <v>1176</v>
      </c>
      <c r="Y103" s="2">
        <f t="shared" si="35"/>
        <v>1.9719367867843257E-2</v>
      </c>
      <c r="Z103" s="2">
        <f t="shared" si="36"/>
        <v>5.0404277839490634E-2</v>
      </c>
      <c r="AA103" s="2" t="str">
        <f t="shared" si="37"/>
        <v>No Impact</v>
      </c>
      <c r="AB103" s="2">
        <f t="shared" si="38"/>
        <v>1.8805563773546953E-2</v>
      </c>
      <c r="AC103" s="2">
        <f t="shared" si="39"/>
        <v>6.832622819332497E-2</v>
      </c>
      <c r="AD103" s="2" t="str">
        <f t="shared" si="40"/>
        <v>No Impact</v>
      </c>
      <c r="AE103" s="2">
        <f t="shared" si="41"/>
        <v>1.3001879238477095E-2</v>
      </c>
      <c r="AF103" s="2">
        <f t="shared" si="42"/>
        <v>9.9049820189455656E-2</v>
      </c>
      <c r="AG103" s="2" t="s">
        <v>1175</v>
      </c>
    </row>
    <row r="104" spans="1:33" x14ac:dyDescent="0.3">
      <c r="A104">
        <v>201972</v>
      </c>
      <c r="B104" t="s">
        <v>222</v>
      </c>
      <c r="C104" t="s">
        <v>1156</v>
      </c>
      <c r="D104" s="16" t="s">
        <v>223</v>
      </c>
      <c r="E104" s="13">
        <v>4.4000000000000004</v>
      </c>
      <c r="F104" s="14">
        <f t="shared" si="23"/>
        <v>0.26666666666666672</v>
      </c>
      <c r="G104" s="2">
        <v>60.7838256</v>
      </c>
      <c r="H104" s="2">
        <f t="shared" si="24"/>
        <v>0.3043625535433348</v>
      </c>
      <c r="I104" s="2">
        <v>31.7</v>
      </c>
      <c r="J104" s="4">
        <f t="shared" si="25"/>
        <v>0.25059288537549407</v>
      </c>
      <c r="K104" s="2">
        <v>0</v>
      </c>
      <c r="L104" s="4">
        <f t="shared" si="26"/>
        <v>0</v>
      </c>
      <c r="M104" s="2">
        <v>22886</v>
      </c>
      <c r="N104" s="2">
        <f t="shared" si="27"/>
        <v>0.10715248896396076</v>
      </c>
      <c r="O104" s="2">
        <v>0.53604333400000004</v>
      </c>
      <c r="P104" s="2">
        <f t="shared" si="28"/>
        <v>0.5417814562738551</v>
      </c>
      <c r="Q104" s="2">
        <v>0.21959999999999999</v>
      </c>
      <c r="R104" s="2">
        <f t="shared" si="29"/>
        <v>0.47654892877822813</v>
      </c>
      <c r="S104" s="2">
        <f t="shared" si="30"/>
        <v>2.6372639337378091E-2</v>
      </c>
      <c r="T104" s="5">
        <f t="shared" si="31"/>
        <v>6.888046114017525E-2</v>
      </c>
      <c r="U104" s="2" t="str">
        <f t="shared" si="32"/>
        <v>No Impact</v>
      </c>
      <c r="V104" s="2">
        <f t="shared" si="33"/>
        <v>2.4683252527399141E-2</v>
      </c>
      <c r="W104" s="2">
        <f t="shared" si="34"/>
        <v>5.9872545156182913E-2</v>
      </c>
      <c r="X104" s="2" t="s">
        <v>1176</v>
      </c>
      <c r="Y104" s="2">
        <f t="shared" si="35"/>
        <v>2.806202614735703E-2</v>
      </c>
      <c r="Z104" s="2">
        <f t="shared" si="36"/>
        <v>7.1728778130712725E-2</v>
      </c>
      <c r="AA104" s="2" t="str">
        <f t="shared" si="37"/>
        <v>No Impact</v>
      </c>
      <c r="AB104" s="2">
        <f t="shared" si="38"/>
        <v>1.9000264875908644E-2</v>
      </c>
      <c r="AC104" s="2">
        <f t="shared" si="39"/>
        <v>6.9033635432461812E-2</v>
      </c>
      <c r="AD104" s="2" t="str">
        <f t="shared" si="40"/>
        <v>No Impact</v>
      </c>
      <c r="AE104" s="2">
        <f t="shared" si="41"/>
        <v>5.550053277462383E-3</v>
      </c>
      <c r="AF104" s="2">
        <f t="shared" si="42"/>
        <v>4.2280947937718111E-2</v>
      </c>
      <c r="AG104" s="2" t="s">
        <v>1176</v>
      </c>
    </row>
    <row r="105" spans="1:33" x14ac:dyDescent="0.3">
      <c r="A105">
        <v>201973</v>
      </c>
      <c r="B105" t="s">
        <v>1167</v>
      </c>
      <c r="C105" t="s">
        <v>1156</v>
      </c>
      <c r="D105" s="9" t="s">
        <v>1172</v>
      </c>
      <c r="E105" s="15">
        <v>4.4000000000000004</v>
      </c>
      <c r="F105" s="14">
        <f t="shared" si="23"/>
        <v>0.26666666666666672</v>
      </c>
      <c r="G105" s="2">
        <v>60.7838256</v>
      </c>
      <c r="H105" s="2">
        <f t="shared" si="24"/>
        <v>0.3043625535433348</v>
      </c>
      <c r="I105" s="2">
        <v>31.7</v>
      </c>
      <c r="J105" s="4">
        <f t="shared" si="25"/>
        <v>0.25059288537549407</v>
      </c>
      <c r="K105" s="2">
        <v>0</v>
      </c>
      <c r="L105" s="4">
        <f t="shared" si="26"/>
        <v>0</v>
      </c>
      <c r="M105" s="2">
        <v>22886</v>
      </c>
      <c r="N105" s="2">
        <f t="shared" si="27"/>
        <v>0.10715248896396076</v>
      </c>
      <c r="O105" s="2">
        <v>0.53604333400000004</v>
      </c>
      <c r="P105" s="2">
        <f t="shared" si="28"/>
        <v>0.5417814562738551</v>
      </c>
      <c r="Q105" s="2">
        <v>0.21959999999999999</v>
      </c>
      <c r="R105" s="2">
        <f t="shared" si="29"/>
        <v>0.47654892877822813</v>
      </c>
      <c r="S105" s="2">
        <f t="shared" si="30"/>
        <v>2.6372639337378091E-2</v>
      </c>
      <c r="T105" s="5">
        <f t="shared" si="31"/>
        <v>6.888046114017525E-2</v>
      </c>
      <c r="U105" s="2" t="str">
        <f t="shared" si="32"/>
        <v>No Impact</v>
      </c>
      <c r="V105" s="2">
        <f t="shared" si="33"/>
        <v>2.4683252527399141E-2</v>
      </c>
      <c r="W105" s="2">
        <f t="shared" si="34"/>
        <v>5.9872545156182913E-2</v>
      </c>
      <c r="X105" s="2" t="s">
        <v>1176</v>
      </c>
      <c r="Y105" s="2">
        <f t="shared" si="35"/>
        <v>2.806202614735703E-2</v>
      </c>
      <c r="Z105" s="2">
        <f t="shared" si="36"/>
        <v>7.1728778130712725E-2</v>
      </c>
      <c r="AA105" s="2" t="str">
        <f t="shared" si="37"/>
        <v>No Impact</v>
      </c>
      <c r="AB105" s="2">
        <f t="shared" si="38"/>
        <v>1.9000264875908644E-2</v>
      </c>
      <c r="AC105" s="2">
        <f t="shared" si="39"/>
        <v>6.9033635432461812E-2</v>
      </c>
      <c r="AD105" s="2" t="str">
        <f t="shared" si="40"/>
        <v>No Impact</v>
      </c>
      <c r="AE105" s="2">
        <f t="shared" si="41"/>
        <v>5.550053277462383E-3</v>
      </c>
      <c r="AF105" s="2">
        <f t="shared" si="42"/>
        <v>4.2280947937718111E-2</v>
      </c>
      <c r="AG105" s="2" t="s">
        <v>1176</v>
      </c>
    </row>
    <row r="106" spans="1:33" x14ac:dyDescent="0.3">
      <c r="A106">
        <v>201974</v>
      </c>
      <c r="B106" t="s">
        <v>224</v>
      </c>
      <c r="C106" t="s">
        <v>1156</v>
      </c>
      <c r="D106" t="s">
        <v>225</v>
      </c>
      <c r="E106" s="13">
        <v>4.4000000000000004</v>
      </c>
      <c r="F106" s="14">
        <f t="shared" si="23"/>
        <v>0.26666666666666672</v>
      </c>
      <c r="G106" s="2">
        <v>70.3357776</v>
      </c>
      <c r="H106" s="2">
        <f t="shared" si="24"/>
        <v>0.40756321051475808</v>
      </c>
      <c r="I106" s="2">
        <v>30.6</v>
      </c>
      <c r="J106" s="4">
        <f t="shared" si="25"/>
        <v>0.24189723320158105</v>
      </c>
      <c r="K106" s="2">
        <v>0</v>
      </c>
      <c r="L106" s="4">
        <f t="shared" si="26"/>
        <v>0</v>
      </c>
      <c r="M106" s="2">
        <v>12259</v>
      </c>
      <c r="N106" s="2">
        <f t="shared" si="27"/>
        <v>5.6871679133960719E-2</v>
      </c>
      <c r="O106" s="2">
        <v>0.56567894399999996</v>
      </c>
      <c r="P106" s="2">
        <f t="shared" si="28"/>
        <v>0.57601622058841728</v>
      </c>
      <c r="Q106" s="2">
        <v>0.22919999999999999</v>
      </c>
      <c r="R106" s="2">
        <f t="shared" si="29"/>
        <v>0.50434279096699475</v>
      </c>
      <c r="S106" s="2">
        <f t="shared" si="30"/>
        <v>3.2743687340827096E-2</v>
      </c>
      <c r="T106" s="5">
        <f t="shared" si="31"/>
        <v>8.5520461361988057E-2</v>
      </c>
      <c r="U106" s="2" t="str">
        <f t="shared" si="32"/>
        <v>No Impact</v>
      </c>
      <c r="V106" s="2">
        <f t="shared" si="33"/>
        <v>3.0571397995279057E-2</v>
      </c>
      <c r="W106" s="2">
        <f t="shared" si="34"/>
        <v>7.4155033050372951E-2</v>
      </c>
      <c r="X106" s="2" t="s">
        <v>1176</v>
      </c>
      <c r="Y106" s="2">
        <f t="shared" si="35"/>
        <v>3.4915976686375139E-2</v>
      </c>
      <c r="Z106" s="2">
        <f t="shared" si="36"/>
        <v>8.9248022641088595E-2</v>
      </c>
      <c r="AA106" s="2" t="str">
        <f t="shared" si="37"/>
        <v>No Impact</v>
      </c>
      <c r="AB106" s="2">
        <f t="shared" si="38"/>
        <v>2.2381355232457902E-2</v>
      </c>
      <c r="AC106" s="2">
        <f t="shared" si="39"/>
        <v>8.1318146230739394E-2</v>
      </c>
      <c r="AD106" s="2" t="str">
        <f t="shared" si="40"/>
        <v>No Impact</v>
      </c>
      <c r="AE106" s="2">
        <f t="shared" si="41"/>
        <v>3.4473512234219706E-3</v>
      </c>
      <c r="AF106" s="2">
        <f t="shared" si="42"/>
        <v>2.6262320434368314E-2</v>
      </c>
      <c r="AG106" s="2" t="s">
        <v>1176</v>
      </c>
    </row>
    <row r="107" spans="1:33" x14ac:dyDescent="0.3">
      <c r="A107">
        <v>201975</v>
      </c>
      <c r="B107" t="s">
        <v>226</v>
      </c>
      <c r="C107" t="s">
        <v>1156</v>
      </c>
      <c r="D107" t="s">
        <v>227</v>
      </c>
      <c r="E107" s="13">
        <v>3.2</v>
      </c>
      <c r="F107" s="14">
        <f t="shared" si="23"/>
        <v>0</v>
      </c>
      <c r="G107" s="2">
        <v>60.024448800000002</v>
      </c>
      <c r="H107" s="2">
        <f t="shared" si="24"/>
        <v>0.29615813787532713</v>
      </c>
      <c r="I107" s="2">
        <v>20.2</v>
      </c>
      <c r="J107" s="4">
        <f t="shared" si="25"/>
        <v>0.15968379446640316</v>
      </c>
      <c r="K107" s="2">
        <v>0</v>
      </c>
      <c r="L107" s="4">
        <f t="shared" si="26"/>
        <v>0</v>
      </c>
      <c r="M107" s="2">
        <v>18727</v>
      </c>
      <c r="N107" s="2">
        <f t="shared" si="27"/>
        <v>8.7474509469938913E-2</v>
      </c>
      <c r="O107" s="2">
        <v>0.40820194199999998</v>
      </c>
      <c r="P107" s="2">
        <f t="shared" si="28"/>
        <v>0.39410034140004069</v>
      </c>
      <c r="Q107" s="2">
        <v>0.21029999999999999</v>
      </c>
      <c r="R107" s="2">
        <f t="shared" si="29"/>
        <v>0.44962362478286044</v>
      </c>
      <c r="S107" s="2">
        <f t="shared" si="30"/>
        <v>0</v>
      </c>
      <c r="T107" s="5">
        <f t="shared" si="31"/>
        <v>0</v>
      </c>
      <c r="U107" s="2" t="str">
        <f t="shared" si="32"/>
        <v>No Impact</v>
      </c>
      <c r="V107" s="2">
        <f t="shared" si="33"/>
        <v>0</v>
      </c>
      <c r="W107" s="2">
        <f t="shared" si="34"/>
        <v>0</v>
      </c>
      <c r="X107" s="2" t="s">
        <v>1176</v>
      </c>
      <c r="Y107" s="2">
        <f t="shared" si="35"/>
        <v>0</v>
      </c>
      <c r="Z107" s="2">
        <f t="shared" si="36"/>
        <v>0</v>
      </c>
      <c r="AA107" s="2" t="str">
        <f t="shared" si="37"/>
        <v>No Impact</v>
      </c>
      <c r="AB107" s="2">
        <f t="shared" si="38"/>
        <v>0</v>
      </c>
      <c r="AC107" s="2">
        <f t="shared" si="39"/>
        <v>0</v>
      </c>
      <c r="AD107" s="2" t="str">
        <f t="shared" si="40"/>
        <v>No Impact</v>
      </c>
      <c r="AE107" s="2">
        <f t="shared" si="41"/>
        <v>0</v>
      </c>
      <c r="AF107" s="2">
        <f t="shared" si="42"/>
        <v>0</v>
      </c>
      <c r="AG107" s="2" t="s">
        <v>1176</v>
      </c>
    </row>
    <row r="108" spans="1:33" x14ac:dyDescent="0.3">
      <c r="A108">
        <v>201981</v>
      </c>
      <c r="B108" t="s">
        <v>228</v>
      </c>
      <c r="C108" t="s">
        <v>1156</v>
      </c>
      <c r="D108" t="s">
        <v>229</v>
      </c>
      <c r="E108" s="13">
        <v>4.4000000000000004</v>
      </c>
      <c r="F108" s="14">
        <f t="shared" si="23"/>
        <v>0.26666666666666672</v>
      </c>
      <c r="G108" s="2">
        <v>60.024448800000002</v>
      </c>
      <c r="H108" s="2">
        <f t="shared" si="24"/>
        <v>0.29615813787532713</v>
      </c>
      <c r="I108" s="2">
        <v>23</v>
      </c>
      <c r="J108" s="4">
        <f t="shared" si="25"/>
        <v>0.18181818181818182</v>
      </c>
      <c r="K108" s="2">
        <v>0</v>
      </c>
      <c r="L108" s="4">
        <f t="shared" si="26"/>
        <v>0</v>
      </c>
      <c r="M108" s="2">
        <v>60123</v>
      </c>
      <c r="N108" s="2">
        <f t="shared" si="27"/>
        <v>0.28333640875691379</v>
      </c>
      <c r="O108" s="2">
        <v>0.17864665699999999</v>
      </c>
      <c r="P108" s="2">
        <f t="shared" si="28"/>
        <v>0.12892034074754308</v>
      </c>
      <c r="Q108" s="2">
        <v>0.24490000000000001</v>
      </c>
      <c r="R108" s="2">
        <f t="shared" si="29"/>
        <v>0.54979733642154027</v>
      </c>
      <c r="S108" s="2">
        <f t="shared" si="30"/>
        <v>1.5139178947396264E-2</v>
      </c>
      <c r="T108" s="5">
        <f t="shared" si="31"/>
        <v>3.9540738180965089E-2</v>
      </c>
      <c r="U108" s="2" t="str">
        <f t="shared" si="32"/>
        <v>No Impact</v>
      </c>
      <c r="V108" s="2">
        <f t="shared" si="33"/>
        <v>2.4527076694405774E-2</v>
      </c>
      <c r="W108" s="2">
        <f t="shared" si="34"/>
        <v>5.9493719691312737E-2</v>
      </c>
      <c r="X108" s="2" t="s">
        <v>1176</v>
      </c>
      <c r="Y108" s="2">
        <f t="shared" si="35"/>
        <v>5.7512812003867519E-3</v>
      </c>
      <c r="Z108" s="2">
        <f t="shared" si="36"/>
        <v>1.4700733689849194E-2</v>
      </c>
      <c r="AA108" s="2" t="str">
        <f t="shared" si="37"/>
        <v>No Impact</v>
      </c>
      <c r="AB108" s="2">
        <f t="shared" si="38"/>
        <v>1.4733845603656356E-2</v>
      </c>
      <c r="AC108" s="2">
        <f t="shared" si="39"/>
        <v>5.3532460340100986E-2</v>
      </c>
      <c r="AD108" s="2" t="str">
        <f t="shared" si="40"/>
        <v>No Impact</v>
      </c>
      <c r="AE108" s="2">
        <f t="shared" si="41"/>
        <v>1.2639955429995168E-2</v>
      </c>
      <c r="AF108" s="2">
        <f t="shared" si="42"/>
        <v>9.6292642746495738E-2</v>
      </c>
      <c r="AG108" s="2" t="s">
        <v>1175</v>
      </c>
    </row>
    <row r="109" spans="1:33" x14ac:dyDescent="0.3">
      <c r="A109">
        <v>201987</v>
      </c>
      <c r="B109" t="s">
        <v>230</v>
      </c>
      <c r="C109" t="s">
        <v>1156</v>
      </c>
      <c r="D109" t="s">
        <v>231</v>
      </c>
      <c r="E109" s="13">
        <v>4.4000000000000004</v>
      </c>
      <c r="F109" s="14">
        <f t="shared" si="23"/>
        <v>0.26666666666666672</v>
      </c>
      <c r="G109" s="2">
        <v>60.7838256</v>
      </c>
      <c r="H109" s="2">
        <f t="shared" si="24"/>
        <v>0.3043625535433348</v>
      </c>
      <c r="I109" s="2">
        <v>28.9</v>
      </c>
      <c r="J109" s="4">
        <f t="shared" si="25"/>
        <v>0.2284584980237154</v>
      </c>
      <c r="K109" s="2">
        <v>0</v>
      </c>
      <c r="L109" s="4">
        <f t="shared" si="26"/>
        <v>0</v>
      </c>
      <c r="M109" s="2">
        <v>33417</v>
      </c>
      <c r="N109" s="2">
        <f t="shared" si="27"/>
        <v>0.15697908238823202</v>
      </c>
      <c r="O109" s="2">
        <v>0.58042974300000005</v>
      </c>
      <c r="P109" s="2">
        <f t="shared" si="28"/>
        <v>0.59305619807551757</v>
      </c>
      <c r="Q109" s="2">
        <v>0.2266</v>
      </c>
      <c r="R109" s="2">
        <f t="shared" si="29"/>
        <v>0.49681528662420388</v>
      </c>
      <c r="S109" s="2">
        <f t="shared" si="30"/>
        <v>2.7099635292363571E-2</v>
      </c>
      <c r="T109" s="5">
        <f t="shared" si="31"/>
        <v>7.0779240249305569E-2</v>
      </c>
      <c r="U109" s="2" t="str">
        <f t="shared" si="32"/>
        <v>No Impact</v>
      </c>
      <c r="V109" s="2">
        <f t="shared" si="33"/>
        <v>2.4706606722344756E-2</v>
      </c>
      <c r="W109" s="2">
        <f t="shared" si="34"/>
        <v>5.9929193893617956E-2</v>
      </c>
      <c r="X109" s="2" t="s">
        <v>1176</v>
      </c>
      <c r="Y109" s="2">
        <f t="shared" si="35"/>
        <v>2.9492663862382383E-2</v>
      </c>
      <c r="Z109" s="2">
        <f t="shared" si="36"/>
        <v>7.5385602292575613E-2</v>
      </c>
      <c r="AA109" s="2" t="str">
        <f t="shared" si="37"/>
        <v>No Impact</v>
      </c>
      <c r="AB109" s="2">
        <f t="shared" si="38"/>
        <v>2.0227408996771574E-2</v>
      </c>
      <c r="AC109" s="2">
        <f t="shared" si="39"/>
        <v>7.3492216426780152E-2</v>
      </c>
      <c r="AD109" s="2" t="str">
        <f t="shared" si="40"/>
        <v>No Impact</v>
      </c>
      <c r="AE109" s="2">
        <f t="shared" si="41"/>
        <v>7.8065642435319839E-3</v>
      </c>
      <c r="AF109" s="2">
        <f t="shared" si="42"/>
        <v>5.9471309526625479E-2</v>
      </c>
      <c r="AG109" s="2" t="s">
        <v>1176</v>
      </c>
    </row>
    <row r="110" spans="1:33" x14ac:dyDescent="0.3">
      <c r="A110">
        <v>201994</v>
      </c>
      <c r="B110" t="s">
        <v>232</v>
      </c>
      <c r="C110" t="s">
        <v>1156</v>
      </c>
      <c r="D110" t="s">
        <v>233</v>
      </c>
      <c r="E110" s="13">
        <v>4.3</v>
      </c>
      <c r="F110" s="14">
        <f t="shared" si="23"/>
        <v>0.24444444444444435</v>
      </c>
      <c r="G110" s="2">
        <v>60.024448800000002</v>
      </c>
      <c r="H110" s="2">
        <f t="shared" si="24"/>
        <v>0.29615813787532713</v>
      </c>
      <c r="I110" s="2">
        <v>20.2</v>
      </c>
      <c r="J110" s="4">
        <f t="shared" si="25"/>
        <v>0.15968379446640316</v>
      </c>
      <c r="K110" s="2">
        <v>0</v>
      </c>
      <c r="L110" s="4">
        <f t="shared" si="26"/>
        <v>0</v>
      </c>
      <c r="M110" s="2">
        <v>27825</v>
      </c>
      <c r="N110" s="2">
        <f t="shared" si="27"/>
        <v>0.13052097675452914</v>
      </c>
      <c r="O110" s="2">
        <v>0.49506799099999999</v>
      </c>
      <c r="P110" s="2">
        <f t="shared" si="28"/>
        <v>0.49444714426497965</v>
      </c>
      <c r="Q110" s="2">
        <v>0.24149999999999999</v>
      </c>
      <c r="R110" s="2">
        <f t="shared" si="29"/>
        <v>0.5399536768963521</v>
      </c>
      <c r="S110" s="2">
        <f t="shared" si="30"/>
        <v>2.0170717624067858E-2</v>
      </c>
      <c r="T110" s="5">
        <f t="shared" si="31"/>
        <v>5.2682187539147614E-2</v>
      </c>
      <c r="U110" s="2" t="str">
        <f t="shared" si="32"/>
        <v>No Impact</v>
      </c>
      <c r="V110" s="2">
        <f t="shared" si="33"/>
        <v>2.1058090681957842E-2</v>
      </c>
      <c r="W110" s="2">
        <f t="shared" si="34"/>
        <v>5.1079228066033378E-2</v>
      </c>
      <c r="X110" s="2" t="s">
        <v>1176</v>
      </c>
      <c r="Y110" s="2">
        <f t="shared" si="35"/>
        <v>1.9283344566177873E-2</v>
      </c>
      <c r="Z110" s="2">
        <f t="shared" si="36"/>
        <v>4.9289767486576479E-2</v>
      </c>
      <c r="AA110" s="2" t="str">
        <f t="shared" si="37"/>
        <v>No Impact</v>
      </c>
      <c r="AB110" s="2">
        <f t="shared" si="38"/>
        <v>1.4936937750949661E-2</v>
      </c>
      <c r="AC110" s="2">
        <f t="shared" si="39"/>
        <v>5.4270354750889892E-2</v>
      </c>
      <c r="AD110" s="2" t="str">
        <f t="shared" si="40"/>
        <v>No Impact</v>
      </c>
      <c r="AE110" s="2">
        <f t="shared" si="41"/>
        <v>5.0902932640315823E-3</v>
      </c>
      <c r="AF110" s="2">
        <f t="shared" si="42"/>
        <v>3.8778442967063079E-2</v>
      </c>
      <c r="AG110" s="2" t="s">
        <v>1176</v>
      </c>
    </row>
    <row r="111" spans="1:33" x14ac:dyDescent="0.3">
      <c r="A111">
        <v>202216</v>
      </c>
      <c r="B111" t="s">
        <v>234</v>
      </c>
      <c r="C111" t="s">
        <v>235</v>
      </c>
      <c r="D111" t="s">
        <v>236</v>
      </c>
      <c r="E111" s="13">
        <v>7.1</v>
      </c>
      <c r="F111" s="14">
        <f t="shared" si="23"/>
        <v>0.86666666666666659</v>
      </c>
      <c r="G111" s="2">
        <v>78.791727600000002</v>
      </c>
      <c r="H111" s="2">
        <f t="shared" si="24"/>
        <v>0.49892250496237539</v>
      </c>
      <c r="I111" s="2">
        <v>13.2</v>
      </c>
      <c r="J111" s="4">
        <f t="shared" si="25"/>
        <v>0.10434782608695652</v>
      </c>
      <c r="K111" s="2">
        <v>0</v>
      </c>
      <c r="L111" s="4">
        <f t="shared" si="26"/>
        <v>0</v>
      </c>
      <c r="M111" s="2">
        <v>58413</v>
      </c>
      <c r="N111" s="2">
        <f t="shared" si="27"/>
        <v>0.27524567902986946</v>
      </c>
      <c r="O111" s="2">
        <v>0.39757646800000002</v>
      </c>
      <c r="P111" s="2">
        <f t="shared" si="28"/>
        <v>0.38182589865631084</v>
      </c>
      <c r="Q111" s="2">
        <v>0.26290000000000002</v>
      </c>
      <c r="R111" s="2">
        <f t="shared" si="29"/>
        <v>0.6019108280254778</v>
      </c>
      <c r="S111" s="2">
        <f t="shared" si="30"/>
        <v>9.0007975750224151E-2</v>
      </c>
      <c r="T111" s="5">
        <f t="shared" si="31"/>
        <v>0.23508420210267514</v>
      </c>
      <c r="U111" s="2" t="str">
        <f t="shared" si="32"/>
        <v>Low</v>
      </c>
      <c r="V111" s="2">
        <f t="shared" si="33"/>
        <v>0.11014486649381591</v>
      </c>
      <c r="W111" s="2">
        <f t="shared" si="34"/>
        <v>0.26717117144721791</v>
      </c>
      <c r="X111" s="2" t="s">
        <v>1175</v>
      </c>
      <c r="Y111" s="2">
        <f t="shared" si="35"/>
        <v>6.9871085006632375E-2</v>
      </c>
      <c r="Z111" s="2">
        <f t="shared" si="36"/>
        <v>0.17859606886101223</v>
      </c>
      <c r="AA111" s="2" t="str">
        <f t="shared" si="37"/>
        <v>Low</v>
      </c>
      <c r="AB111" s="2">
        <f t="shared" si="38"/>
        <v>7.7140743869084219E-2</v>
      </c>
      <c r="AC111" s="2">
        <f t="shared" si="39"/>
        <v>0.28027535531883491</v>
      </c>
      <c r="AD111" s="2" t="str">
        <f t="shared" si="40"/>
        <v>Low</v>
      </c>
      <c r="AE111" s="2">
        <f t="shared" si="41"/>
        <v>5.0367757412168403E-2</v>
      </c>
      <c r="AF111" s="2">
        <f t="shared" si="42"/>
        <v>0.38370740286969107</v>
      </c>
      <c r="AG111" s="2" t="str">
        <f t="shared" ref="AG111:AG119" si="43">IF(AF111&gt;0.7,"High",IF(AF111&gt;0.3,"Moderate",IF(AF111&gt;0.15,"Low","No Impact")))</f>
        <v>Moderate</v>
      </c>
    </row>
    <row r="112" spans="1:33" x14ac:dyDescent="0.3">
      <c r="A112">
        <v>202224</v>
      </c>
      <c r="B112" t="s">
        <v>237</v>
      </c>
      <c r="C112" t="s">
        <v>235</v>
      </c>
      <c r="D112" s="16" t="s">
        <v>238</v>
      </c>
      <c r="E112" s="13">
        <v>7.1</v>
      </c>
      <c r="F112" s="14">
        <f t="shared" si="23"/>
        <v>0.86666666666666659</v>
      </c>
      <c r="G112" s="2">
        <v>78.791727600000002</v>
      </c>
      <c r="H112" s="2">
        <f t="shared" si="24"/>
        <v>0.49892250496237539</v>
      </c>
      <c r="I112" s="2">
        <v>19.899999999999999</v>
      </c>
      <c r="J112" s="4">
        <f t="shared" si="25"/>
        <v>0.15731225296442686</v>
      </c>
      <c r="K112" s="2">
        <v>0</v>
      </c>
      <c r="L112" s="4">
        <f t="shared" si="26"/>
        <v>0</v>
      </c>
      <c r="M112" s="2">
        <v>22156.5</v>
      </c>
      <c r="N112" s="2">
        <f t="shared" si="27"/>
        <v>0.10370091742251115</v>
      </c>
      <c r="O112" s="2">
        <v>0.47690485999999999</v>
      </c>
      <c r="P112" s="2">
        <f t="shared" si="28"/>
        <v>0.4734652745143817</v>
      </c>
      <c r="Q112" s="2">
        <v>0.2409</v>
      </c>
      <c r="R112" s="2">
        <f t="shared" si="29"/>
        <v>0.53821656050955424</v>
      </c>
      <c r="S112" s="2">
        <f t="shared" si="30"/>
        <v>0.10069161892272449</v>
      </c>
      <c r="T112" s="5">
        <f t="shared" si="31"/>
        <v>0.26298790407822681</v>
      </c>
      <c r="U112" s="2" t="str">
        <f t="shared" si="32"/>
        <v>Low</v>
      </c>
      <c r="V112" s="2">
        <f t="shared" si="33"/>
        <v>0.10713624567044898</v>
      </c>
      <c r="W112" s="2">
        <f t="shared" si="34"/>
        <v>0.259873357437297</v>
      </c>
      <c r="X112" s="2" t="s">
        <v>1175</v>
      </c>
      <c r="Y112" s="2">
        <f t="shared" si="35"/>
        <v>9.4246992174999975E-2</v>
      </c>
      <c r="Z112" s="2">
        <f t="shared" si="36"/>
        <v>0.24090283273591384</v>
      </c>
      <c r="AA112" s="2" t="str">
        <f t="shared" si="37"/>
        <v>Low</v>
      </c>
      <c r="AB112" s="2">
        <f t="shared" si="38"/>
        <v>7.2996653184368238E-2</v>
      </c>
      <c r="AC112" s="2">
        <f t="shared" si="39"/>
        <v>0.26521863651011551</v>
      </c>
      <c r="AD112" s="2" t="str">
        <f t="shared" si="40"/>
        <v>Low</v>
      </c>
      <c r="AE112" s="2">
        <f t="shared" si="41"/>
        <v>2.0642484420603169E-2</v>
      </c>
      <c r="AF112" s="2">
        <f t="shared" si="42"/>
        <v>0.1572568343869552</v>
      </c>
      <c r="AG112" s="2" t="s">
        <v>1175</v>
      </c>
    </row>
    <row r="113" spans="1:33" x14ac:dyDescent="0.3">
      <c r="A113">
        <v>202232</v>
      </c>
      <c r="B113" t="s">
        <v>1168</v>
      </c>
      <c r="C113" t="s">
        <v>235</v>
      </c>
      <c r="D113" s="9" t="s">
        <v>1173</v>
      </c>
      <c r="E113" s="13">
        <v>7.1</v>
      </c>
      <c r="F113" s="14">
        <f t="shared" si="23"/>
        <v>0.86666666666666659</v>
      </c>
      <c r="G113" s="2">
        <v>78.791727600000002</v>
      </c>
      <c r="H113" s="2">
        <f t="shared" si="24"/>
        <v>0.49892250496237539</v>
      </c>
      <c r="I113" s="2">
        <v>19.899999999999999</v>
      </c>
      <c r="J113" s="4">
        <f t="shared" si="25"/>
        <v>0.15731225296442686</v>
      </c>
      <c r="K113" s="2">
        <v>0</v>
      </c>
      <c r="L113" s="4">
        <f t="shared" si="26"/>
        <v>0</v>
      </c>
      <c r="M113" s="2">
        <v>22156.5</v>
      </c>
      <c r="N113" s="2">
        <f t="shared" si="27"/>
        <v>0.10370091742251115</v>
      </c>
      <c r="O113" s="2">
        <v>0.47690485999999999</v>
      </c>
      <c r="P113" s="2">
        <f t="shared" si="28"/>
        <v>0.4734652745143817</v>
      </c>
      <c r="Q113" s="2">
        <v>0.2409</v>
      </c>
      <c r="R113" s="2">
        <f t="shared" si="29"/>
        <v>0.53821656050955424</v>
      </c>
      <c r="S113" s="2">
        <f t="shared" si="30"/>
        <v>0.10069161892272449</v>
      </c>
      <c r="T113" s="5">
        <f t="shared" si="31"/>
        <v>0.26298790407822681</v>
      </c>
      <c r="U113" s="2" t="str">
        <f t="shared" si="32"/>
        <v>Low</v>
      </c>
      <c r="V113" s="2">
        <f t="shared" si="33"/>
        <v>0.10713624567044898</v>
      </c>
      <c r="W113" s="2">
        <f t="shared" si="34"/>
        <v>0.259873357437297</v>
      </c>
      <c r="X113" s="2" t="s">
        <v>1175</v>
      </c>
      <c r="Y113" s="2">
        <f t="shared" si="35"/>
        <v>9.4246992174999975E-2</v>
      </c>
      <c r="Z113" s="2">
        <f t="shared" si="36"/>
        <v>0.24090283273591384</v>
      </c>
      <c r="AA113" s="2" t="str">
        <f t="shared" si="37"/>
        <v>Low</v>
      </c>
      <c r="AB113" s="2">
        <f t="shared" si="38"/>
        <v>7.2996653184368238E-2</v>
      </c>
      <c r="AC113" s="2">
        <f t="shared" si="39"/>
        <v>0.26521863651011551</v>
      </c>
      <c r="AD113" s="2" t="str">
        <f t="shared" si="40"/>
        <v>Low</v>
      </c>
      <c r="AE113" s="2">
        <f t="shared" si="41"/>
        <v>2.0642484420603169E-2</v>
      </c>
      <c r="AF113" s="2">
        <f t="shared" si="42"/>
        <v>0.1572568343869552</v>
      </c>
      <c r="AG113" s="2" t="s">
        <v>1175</v>
      </c>
    </row>
    <row r="114" spans="1:33" x14ac:dyDescent="0.3">
      <c r="A114">
        <v>202245</v>
      </c>
      <c r="B114" t="s">
        <v>239</v>
      </c>
      <c r="C114" t="s">
        <v>235</v>
      </c>
      <c r="D114" t="s">
        <v>240</v>
      </c>
      <c r="E114" s="13">
        <v>6.2</v>
      </c>
      <c r="F114" s="14">
        <f t="shared" si="23"/>
        <v>0.66666666666666663</v>
      </c>
      <c r="G114" s="2">
        <v>78.252966000000001</v>
      </c>
      <c r="H114" s="2">
        <f t="shared" si="24"/>
        <v>0.49310164750088736</v>
      </c>
      <c r="I114" s="2">
        <v>13.5</v>
      </c>
      <c r="J114" s="4">
        <f t="shared" si="25"/>
        <v>0.1067193675889328</v>
      </c>
      <c r="K114" s="2">
        <v>0</v>
      </c>
      <c r="L114" s="4">
        <f t="shared" si="26"/>
        <v>0</v>
      </c>
      <c r="M114" s="2">
        <v>10526</v>
      </c>
      <c r="N114" s="2">
        <f t="shared" si="27"/>
        <v>4.8672126726377198E-2</v>
      </c>
      <c r="O114" s="2">
        <v>0.53253236999999998</v>
      </c>
      <c r="P114" s="2">
        <f t="shared" si="28"/>
        <v>0.53772562529696899</v>
      </c>
      <c r="Q114" s="2">
        <v>0.1188</v>
      </c>
      <c r="R114" s="2">
        <f t="shared" si="29"/>
        <v>0.18471337579617833</v>
      </c>
      <c r="S114" s="2">
        <f t="shared" si="30"/>
        <v>5.0555644413886179E-2</v>
      </c>
      <c r="T114" s="5">
        <f t="shared" si="31"/>
        <v>0.13204200216440709</v>
      </c>
      <c r="U114" s="2" t="str">
        <f t="shared" si="32"/>
        <v>No Impact</v>
      </c>
      <c r="V114" s="2">
        <f t="shared" si="33"/>
        <v>2.5852158399837254E-2</v>
      </c>
      <c r="W114" s="2">
        <f t="shared" si="34"/>
        <v>6.2707883390201807E-2</v>
      </c>
      <c r="X114" s="2" t="s">
        <v>1176</v>
      </c>
      <c r="Y114" s="2">
        <f t="shared" si="35"/>
        <v>7.5259130427935098E-2</v>
      </c>
      <c r="Z114" s="2">
        <f t="shared" si="36"/>
        <v>0.19236834291397564</v>
      </c>
      <c r="AA114" s="2" t="str">
        <f t="shared" si="37"/>
        <v>Low</v>
      </c>
      <c r="AB114" s="2">
        <f t="shared" si="38"/>
        <v>3.40102173325239E-2</v>
      </c>
      <c r="AC114" s="2">
        <f t="shared" si="39"/>
        <v>0.12356927440991627</v>
      </c>
      <c r="AD114" s="2" t="str">
        <f t="shared" si="40"/>
        <v>No Impact</v>
      </c>
      <c r="AE114" s="2">
        <f t="shared" si="41"/>
        <v>6.8120650405723831E-3</v>
      </c>
      <c r="AF114" s="2">
        <f t="shared" si="42"/>
        <v>5.189509954767145E-2</v>
      </c>
      <c r="AG114" s="2" t="s">
        <v>1176</v>
      </c>
    </row>
    <row r="115" spans="1:33" x14ac:dyDescent="0.3">
      <c r="A115">
        <v>202249</v>
      </c>
      <c r="B115" t="s">
        <v>241</v>
      </c>
      <c r="C115" t="s">
        <v>235</v>
      </c>
      <c r="D115" t="s">
        <v>242</v>
      </c>
      <c r="E115" s="13">
        <v>6.2</v>
      </c>
      <c r="F115" s="14">
        <f t="shared" si="23"/>
        <v>0.66666666666666663</v>
      </c>
      <c r="G115" s="2">
        <v>86.5507104</v>
      </c>
      <c r="H115" s="2">
        <f t="shared" si="24"/>
        <v>0.58275166599563577</v>
      </c>
      <c r="I115" s="2">
        <v>23.9</v>
      </c>
      <c r="J115" s="4">
        <f t="shared" si="25"/>
        <v>0.18893280632411066</v>
      </c>
      <c r="K115" s="2">
        <v>0</v>
      </c>
      <c r="L115" s="4">
        <f t="shared" si="26"/>
        <v>0</v>
      </c>
      <c r="M115" s="2">
        <v>24265</v>
      </c>
      <c r="N115" s="2">
        <f t="shared" si="27"/>
        <v>0.11367711837541933</v>
      </c>
      <c r="O115" s="2">
        <v>0.40944507800000002</v>
      </c>
      <c r="P115" s="2">
        <f t="shared" si="28"/>
        <v>0.39553639984361405</v>
      </c>
      <c r="Q115" s="2">
        <v>0.25540000000000002</v>
      </c>
      <c r="R115" s="2">
        <f t="shared" si="29"/>
        <v>0.58019687319050384</v>
      </c>
      <c r="S115" s="2">
        <f t="shared" si="30"/>
        <v>8.7845125191384418E-2</v>
      </c>
      <c r="T115" s="5">
        <f t="shared" si="31"/>
        <v>0.22943523606767466</v>
      </c>
      <c r="U115" s="2" t="str">
        <f t="shared" si="32"/>
        <v>Low</v>
      </c>
      <c r="V115" s="2">
        <f t="shared" si="33"/>
        <v>0.10447008085023549</v>
      </c>
      <c r="W115" s="2">
        <f t="shared" si="34"/>
        <v>0.25340621647137834</v>
      </c>
      <c r="X115" s="2" t="s">
        <v>1175</v>
      </c>
      <c r="Y115" s="2">
        <f t="shared" si="35"/>
        <v>7.1220169532533337E-2</v>
      </c>
      <c r="Z115" s="2">
        <f t="shared" si="36"/>
        <v>0.18204443656367872</v>
      </c>
      <c r="AA115" s="2" t="str">
        <f t="shared" si="37"/>
        <v>Low</v>
      </c>
      <c r="AB115" s="2">
        <f t="shared" si="38"/>
        <v>6.5094613304525539E-2</v>
      </c>
      <c r="AC115" s="2">
        <f t="shared" si="39"/>
        <v>0.23650816621927714</v>
      </c>
      <c r="AD115" s="2" t="str">
        <f t="shared" si="40"/>
        <v>Low</v>
      </c>
      <c r="AE115" s="2">
        <f t="shared" si="41"/>
        <v>2.0468668991951783E-2</v>
      </c>
      <c r="AF115" s="2">
        <f t="shared" si="42"/>
        <v>0.15593268834327226</v>
      </c>
      <c r="AG115" s="2" t="s">
        <v>1175</v>
      </c>
    </row>
    <row r="116" spans="1:33" x14ac:dyDescent="0.3">
      <c r="A116">
        <v>202256</v>
      </c>
      <c r="B116" t="s">
        <v>243</v>
      </c>
      <c r="C116" t="s">
        <v>235</v>
      </c>
      <c r="D116" t="s">
        <v>244</v>
      </c>
      <c r="E116" s="13">
        <v>7</v>
      </c>
      <c r="F116" s="14">
        <f t="shared" si="23"/>
        <v>0.84444444444444444</v>
      </c>
      <c r="G116" s="2">
        <v>76.5338256</v>
      </c>
      <c r="H116" s="2">
        <f t="shared" si="24"/>
        <v>0.47452780848807458</v>
      </c>
      <c r="I116" s="2">
        <v>8.9</v>
      </c>
      <c r="J116" s="4">
        <f t="shared" si="25"/>
        <v>7.0355731225296439E-2</v>
      </c>
      <c r="K116" s="2">
        <v>0</v>
      </c>
      <c r="L116" s="4">
        <f t="shared" si="26"/>
        <v>0</v>
      </c>
      <c r="M116" s="2">
        <v>24564</v>
      </c>
      <c r="N116" s="2">
        <f t="shared" si="27"/>
        <v>0.11509181322242883</v>
      </c>
      <c r="O116" s="2">
        <v>0.57244345200000002</v>
      </c>
      <c r="P116" s="2">
        <f t="shared" si="28"/>
        <v>0.58383051349765624</v>
      </c>
      <c r="Q116" s="2">
        <v>0.18129999999999999</v>
      </c>
      <c r="R116" s="2">
        <f t="shared" si="29"/>
        <v>0.3656629994209612</v>
      </c>
      <c r="S116" s="2">
        <f t="shared" si="30"/>
        <v>7.6454811524199223E-2</v>
      </c>
      <c r="T116" s="5">
        <f t="shared" si="31"/>
        <v>0.19968584132981154</v>
      </c>
      <c r="U116" s="2" t="str">
        <f t="shared" si="32"/>
        <v>Low</v>
      </c>
      <c r="V116" s="2">
        <f t="shared" si="33"/>
        <v>5.8887597064602941E-2</v>
      </c>
      <c r="W116" s="2">
        <f t="shared" si="34"/>
        <v>0.1428397781238861</v>
      </c>
      <c r="X116" s="2" t="s">
        <v>1176</v>
      </c>
      <c r="Y116" s="2">
        <f t="shared" si="35"/>
        <v>9.4022025983795499E-2</v>
      </c>
      <c r="Z116" s="2">
        <f t="shared" si="36"/>
        <v>0.24032780119930697</v>
      </c>
      <c r="AA116" s="2" t="str">
        <f t="shared" si="37"/>
        <v>Low</v>
      </c>
      <c r="AB116" s="2">
        <f t="shared" si="38"/>
        <v>5.5304436967149803E-2</v>
      </c>
      <c r="AC116" s="2">
        <f t="shared" si="39"/>
        <v>0.20093753241454237</v>
      </c>
      <c r="AD116" s="2" t="str">
        <f t="shared" si="40"/>
        <v>Low</v>
      </c>
      <c r="AE116" s="2">
        <f t="shared" si="41"/>
        <v>1.8534771998286077E-2</v>
      </c>
      <c r="AF116" s="2">
        <f t="shared" si="42"/>
        <v>0.14120003731843828</v>
      </c>
      <c r="AG116" s="2" t="s">
        <v>1175</v>
      </c>
    </row>
    <row r="117" spans="1:33" x14ac:dyDescent="0.3">
      <c r="A117">
        <v>202266</v>
      </c>
      <c r="B117" t="s">
        <v>245</v>
      </c>
      <c r="C117" t="s">
        <v>235</v>
      </c>
      <c r="D117" t="s">
        <v>246</v>
      </c>
      <c r="E117" s="13">
        <v>7</v>
      </c>
      <c r="F117" s="14">
        <f t="shared" si="23"/>
        <v>0.84444444444444444</v>
      </c>
      <c r="G117" s="2">
        <v>78.791727600000002</v>
      </c>
      <c r="H117" s="2">
        <f t="shared" si="24"/>
        <v>0.49892250496237539</v>
      </c>
      <c r="I117" s="2">
        <v>28.8</v>
      </c>
      <c r="J117" s="4">
        <f t="shared" si="25"/>
        <v>0.22766798418972334</v>
      </c>
      <c r="K117" s="2">
        <v>0</v>
      </c>
      <c r="L117" s="4">
        <f t="shared" si="26"/>
        <v>0</v>
      </c>
      <c r="M117" s="2">
        <v>42505</v>
      </c>
      <c r="N117" s="2">
        <f t="shared" si="27"/>
        <v>0.19997823546389215</v>
      </c>
      <c r="O117" s="2">
        <v>0.533609954</v>
      </c>
      <c r="P117" s="2">
        <f t="shared" si="28"/>
        <v>0.53897043970332492</v>
      </c>
      <c r="Q117" s="2">
        <v>0.31759999999999999</v>
      </c>
      <c r="R117" s="2">
        <f t="shared" si="29"/>
        <v>0.76027793862188775</v>
      </c>
      <c r="S117" s="2">
        <f t="shared" si="30"/>
        <v>0.13950540162230279</v>
      </c>
      <c r="T117" s="5">
        <f t="shared" si="31"/>
        <v>0.36436233296037235</v>
      </c>
      <c r="U117" s="2" t="str">
        <f t="shared" si="32"/>
        <v>Moderate</v>
      </c>
      <c r="V117" s="2">
        <f t="shared" si="33"/>
        <v>0.1632680570419377</v>
      </c>
      <c r="W117" s="2">
        <f t="shared" si="34"/>
        <v>0.39602860712763921</v>
      </c>
      <c r="X117" s="2" t="str">
        <f t="shared" ref="X117:X119" si="44">IF(W117&gt;0.7,"High",IF(W117&gt;0.3,"Moderate",IF(W117&gt;0.15,"Low","No Impact")))</f>
        <v>Moderate</v>
      </c>
      <c r="Y117" s="2">
        <f t="shared" si="35"/>
        <v>0.11574274620266792</v>
      </c>
      <c r="Z117" s="2">
        <f t="shared" si="36"/>
        <v>0.29584769535226441</v>
      </c>
      <c r="AA117" s="2" t="str">
        <f t="shared" si="37"/>
        <v>Low</v>
      </c>
      <c r="AB117" s="2">
        <f t="shared" si="38"/>
        <v>0.10689735786265907</v>
      </c>
      <c r="AC117" s="2">
        <f t="shared" si="39"/>
        <v>0.38839001874868884</v>
      </c>
      <c r="AD117" s="2" t="str">
        <f t="shared" si="40"/>
        <v>Moderate</v>
      </c>
      <c r="AE117" s="2">
        <f t="shared" si="41"/>
        <v>4.2944897249087191E-2</v>
      </c>
      <c r="AF117" s="2">
        <f t="shared" si="42"/>
        <v>0.32715919541758237</v>
      </c>
      <c r="AG117" s="2" t="str">
        <f t="shared" si="43"/>
        <v>Moderate</v>
      </c>
    </row>
    <row r="118" spans="1:33" x14ac:dyDescent="0.3">
      <c r="A118">
        <v>202290</v>
      </c>
      <c r="B118" t="s">
        <v>247</v>
      </c>
      <c r="C118" t="s">
        <v>235</v>
      </c>
      <c r="D118" t="s">
        <v>248</v>
      </c>
      <c r="E118" s="13">
        <v>7.2</v>
      </c>
      <c r="F118" s="14">
        <f t="shared" si="23"/>
        <v>0.88888888888888884</v>
      </c>
      <c r="G118" s="2">
        <v>93.501100800000003</v>
      </c>
      <c r="H118" s="2">
        <f t="shared" si="24"/>
        <v>0.6578446789722372</v>
      </c>
      <c r="I118" s="2">
        <v>47.5</v>
      </c>
      <c r="J118" s="4">
        <f t="shared" si="25"/>
        <v>0.37549407114624506</v>
      </c>
      <c r="K118" s="2">
        <v>0</v>
      </c>
      <c r="L118" s="4">
        <f t="shared" si="26"/>
        <v>0</v>
      </c>
      <c r="M118" s="2">
        <v>42859</v>
      </c>
      <c r="N118" s="2">
        <f t="shared" si="27"/>
        <v>0.20165315846001713</v>
      </c>
      <c r="O118" s="2">
        <v>0.64497165700000003</v>
      </c>
      <c r="P118" s="2">
        <f t="shared" si="28"/>
        <v>0.66761438041766408</v>
      </c>
      <c r="Q118" s="2">
        <v>0.31759999999999999</v>
      </c>
      <c r="R118" s="2">
        <f t="shared" si="29"/>
        <v>0.76027793862188775</v>
      </c>
      <c r="S118" s="2">
        <f t="shared" si="30"/>
        <v>0.22952167221823955</v>
      </c>
      <c r="T118" s="5">
        <f t="shared" si="31"/>
        <v>0.59946819966743015</v>
      </c>
      <c r="U118" s="2" t="str">
        <f t="shared" si="32"/>
        <v>Moderate</v>
      </c>
      <c r="V118" s="2">
        <f t="shared" si="33"/>
        <v>0.24441655928299474</v>
      </c>
      <c r="W118" s="2">
        <f t="shared" si="34"/>
        <v>0.59286520146994248</v>
      </c>
      <c r="X118" s="2" t="str">
        <f t="shared" si="44"/>
        <v>Moderate</v>
      </c>
      <c r="Y118" s="2">
        <f t="shared" si="35"/>
        <v>0.21462678515348427</v>
      </c>
      <c r="Z118" s="2">
        <f t="shared" si="36"/>
        <v>0.54860318967496802</v>
      </c>
      <c r="AA118" s="2" t="str">
        <f t="shared" si="37"/>
        <v>Moderate</v>
      </c>
      <c r="AB118" s="2">
        <f t="shared" si="38"/>
        <v>0.17262366488021655</v>
      </c>
      <c r="AC118" s="2">
        <f t="shared" si="39"/>
        <v>0.62719331683982305</v>
      </c>
      <c r="AD118" s="2" t="str">
        <f t="shared" si="40"/>
        <v>Moderate</v>
      </c>
      <c r="AE118" s="2">
        <f t="shared" si="41"/>
        <v>6.4828095957494586E-2</v>
      </c>
      <c r="AF118" s="2">
        <f t="shared" si="42"/>
        <v>0.49386793478376667</v>
      </c>
      <c r="AG118" s="2" t="str">
        <f t="shared" si="43"/>
        <v>Moderate</v>
      </c>
    </row>
    <row r="119" spans="1:33" x14ac:dyDescent="0.3">
      <c r="A119">
        <v>202294</v>
      </c>
      <c r="B119" t="s">
        <v>249</v>
      </c>
      <c r="C119" t="s">
        <v>235</v>
      </c>
      <c r="D119" t="s">
        <v>250</v>
      </c>
      <c r="E119" s="13">
        <v>7</v>
      </c>
      <c r="F119" s="14">
        <f t="shared" si="23"/>
        <v>0.84444444444444444</v>
      </c>
      <c r="G119" s="2">
        <v>93.501100800000003</v>
      </c>
      <c r="H119" s="2">
        <f t="shared" si="24"/>
        <v>0.6578446789722372</v>
      </c>
      <c r="I119" s="2">
        <v>45.7</v>
      </c>
      <c r="J119" s="4">
        <f t="shared" si="25"/>
        <v>0.36126482213438738</v>
      </c>
      <c r="K119" s="2">
        <v>0</v>
      </c>
      <c r="L119" s="4">
        <f t="shared" si="26"/>
        <v>0</v>
      </c>
      <c r="M119" s="2">
        <v>79128</v>
      </c>
      <c r="N119" s="2">
        <f t="shared" si="27"/>
        <v>0.37325706282853804</v>
      </c>
      <c r="O119" s="2">
        <v>0.324338022</v>
      </c>
      <c r="P119" s="2">
        <f t="shared" si="28"/>
        <v>0.29722156833968177</v>
      </c>
      <c r="Q119" s="2">
        <v>0.31</v>
      </c>
      <c r="R119" s="2">
        <f t="shared" si="29"/>
        <v>0.73827446438911415</v>
      </c>
      <c r="S119" s="2">
        <f t="shared" si="30"/>
        <v>0.15594750158501505</v>
      </c>
      <c r="T119" s="5">
        <f t="shared" si="31"/>
        <v>0.4073060600957647</v>
      </c>
      <c r="U119" s="2" t="str">
        <f t="shared" si="32"/>
        <v>Moderate</v>
      </c>
      <c r="V119" s="2">
        <f t="shared" si="33"/>
        <v>0.22237083400907914</v>
      </c>
      <c r="W119" s="2">
        <f t="shared" si="34"/>
        <v>0.53939033301416872</v>
      </c>
      <c r="X119" s="2" t="str">
        <f t="shared" si="44"/>
        <v>Moderate</v>
      </c>
      <c r="Y119" s="2">
        <f t="shared" si="35"/>
        <v>8.9524169160950989E-2</v>
      </c>
      <c r="Z119" s="2">
        <f t="shared" si="36"/>
        <v>0.22883092023941548</v>
      </c>
      <c r="AA119" s="2" t="str">
        <f t="shared" si="37"/>
        <v>Low</v>
      </c>
      <c r="AB119" s="2">
        <f t="shared" si="38"/>
        <v>0.14403625615890067</v>
      </c>
      <c r="AC119" s="2">
        <f t="shared" si="39"/>
        <v>0.52332672526780843</v>
      </c>
      <c r="AD119" s="2" t="str">
        <f t="shared" si="40"/>
        <v>Moderate</v>
      </c>
      <c r="AE119" s="2">
        <f t="shared" si="41"/>
        <v>0.11242632430696475</v>
      </c>
      <c r="AF119" s="2">
        <f t="shared" si="42"/>
        <v>0.85647674485481684</v>
      </c>
      <c r="AG119" s="2" t="str">
        <f t="shared" si="43"/>
        <v>High</v>
      </c>
    </row>
    <row r="120" spans="1:33" x14ac:dyDescent="0.3">
      <c r="A120">
        <v>203014</v>
      </c>
      <c r="B120" t="s">
        <v>251</v>
      </c>
      <c r="C120" t="s">
        <v>252</v>
      </c>
      <c r="D120" t="s">
        <v>253</v>
      </c>
      <c r="E120" s="13">
        <v>5.5</v>
      </c>
      <c r="F120" s="14">
        <f t="shared" si="23"/>
        <v>0.51111111111111107</v>
      </c>
      <c r="G120" s="2">
        <v>57.932650799999998</v>
      </c>
      <c r="H120" s="2">
        <f t="shared" si="24"/>
        <v>0.2735580527983178</v>
      </c>
      <c r="I120" s="2">
        <v>14.8</v>
      </c>
      <c r="J120" s="4">
        <f t="shared" si="25"/>
        <v>0.11699604743083004</v>
      </c>
      <c r="K120" s="2">
        <v>0</v>
      </c>
      <c r="L120" s="4">
        <f t="shared" si="26"/>
        <v>0</v>
      </c>
      <c r="M120" s="2">
        <v>24400</v>
      </c>
      <c r="N120" s="2">
        <f t="shared" si="27"/>
        <v>0.11431586019597545</v>
      </c>
      <c r="O120" s="2">
        <v>0.38334942100000002</v>
      </c>
      <c r="P120" s="2">
        <f t="shared" si="28"/>
        <v>0.36539095431275925</v>
      </c>
      <c r="Q120" s="2">
        <v>0.28420000000000001</v>
      </c>
      <c r="R120" s="2">
        <f t="shared" si="29"/>
        <v>0.66357845975680374</v>
      </c>
      <c r="S120" s="2">
        <f t="shared" si="30"/>
        <v>3.5944880006508619E-2</v>
      </c>
      <c r="T120" s="5">
        <f t="shared" si="31"/>
        <v>9.3881385128088884E-2</v>
      </c>
      <c r="U120" s="2" t="str">
        <f t="shared" si="32"/>
        <v>No Impact</v>
      </c>
      <c r="V120" s="2">
        <f t="shared" si="33"/>
        <v>4.6361432681515248E-2</v>
      </c>
      <c r="W120" s="2">
        <f t="shared" si="34"/>
        <v>0.11245588354485136</v>
      </c>
      <c r="X120" s="2" t="s">
        <v>1176</v>
      </c>
      <c r="Y120" s="2">
        <f t="shared" si="35"/>
        <v>2.5528327331501986E-2</v>
      </c>
      <c r="Z120" s="2">
        <f t="shared" si="36"/>
        <v>6.5252441772882308E-2</v>
      </c>
      <c r="AA120" s="2" t="str">
        <f t="shared" si="37"/>
        <v>No Impact</v>
      </c>
      <c r="AB120" s="2">
        <f t="shared" si="38"/>
        <v>2.6680368358352979E-2</v>
      </c>
      <c r="AC120" s="2">
        <f t="shared" si="39"/>
        <v>9.693774452532454E-2</v>
      </c>
      <c r="AD120" s="2" t="str">
        <f t="shared" si="40"/>
        <v>No Impact</v>
      </c>
      <c r="AE120" s="2">
        <f t="shared" si="41"/>
        <v>7.9867677724915556E-3</v>
      </c>
      <c r="AF120" s="2">
        <f t="shared" si="42"/>
        <v>6.08441208574775E-2</v>
      </c>
      <c r="AG120" s="2" t="s">
        <v>1175</v>
      </c>
    </row>
    <row r="121" spans="1:33" x14ac:dyDescent="0.3">
      <c r="A121">
        <v>203025</v>
      </c>
      <c r="B121" t="s">
        <v>254</v>
      </c>
      <c r="C121" t="s">
        <v>252</v>
      </c>
      <c r="D121" t="s">
        <v>255</v>
      </c>
      <c r="E121" s="13">
        <v>5.6</v>
      </c>
      <c r="F121" s="14">
        <f t="shared" si="23"/>
        <v>0.53333333333333321</v>
      </c>
      <c r="G121" s="2">
        <v>59.570935200000001</v>
      </c>
      <c r="H121" s="2">
        <f t="shared" si="24"/>
        <v>0.29125831201088864</v>
      </c>
      <c r="I121" s="2">
        <v>23.3</v>
      </c>
      <c r="J121" s="4">
        <f t="shared" si="25"/>
        <v>0.18418972332015812</v>
      </c>
      <c r="K121" s="2">
        <v>0</v>
      </c>
      <c r="L121" s="4">
        <f t="shared" si="26"/>
        <v>0</v>
      </c>
      <c r="M121" s="2">
        <v>37243</v>
      </c>
      <c r="N121" s="2">
        <f t="shared" si="27"/>
        <v>0.17508149872488207</v>
      </c>
      <c r="O121" s="2">
        <v>0.41889696300000001</v>
      </c>
      <c r="P121" s="2">
        <f t="shared" si="28"/>
        <v>0.4064551241520844</v>
      </c>
      <c r="Q121" s="2">
        <v>0.2782</v>
      </c>
      <c r="R121" s="2">
        <f t="shared" si="29"/>
        <v>0.64620729588882464</v>
      </c>
      <c r="S121" s="2">
        <f t="shared" si="30"/>
        <v>4.6712052751025676E-2</v>
      </c>
      <c r="T121" s="5">
        <f t="shared" si="31"/>
        <v>0.12200325091219036</v>
      </c>
      <c r="U121" s="2" t="str">
        <f t="shared" si="32"/>
        <v>No Impact</v>
      </c>
      <c r="V121" s="2">
        <f t="shared" si="33"/>
        <v>5.7351091326093596E-2</v>
      </c>
      <c r="W121" s="2">
        <f t="shared" si="34"/>
        <v>0.1391127770283247</v>
      </c>
      <c r="X121" s="2" t="s">
        <v>1176</v>
      </c>
      <c r="Y121" s="2">
        <f t="shared" si="35"/>
        <v>3.6073014175957763E-2</v>
      </c>
      <c r="Z121" s="2">
        <f t="shared" si="36"/>
        <v>9.2205502793925156E-2</v>
      </c>
      <c r="AA121" s="2" t="str">
        <f t="shared" si="37"/>
        <v>No Impact</v>
      </c>
      <c r="AB121" s="2">
        <f t="shared" si="38"/>
        <v>3.6333273650235365E-2</v>
      </c>
      <c r="AC121" s="2">
        <f t="shared" si="39"/>
        <v>0.13200963163511001</v>
      </c>
      <c r="AD121" s="2" t="str">
        <f t="shared" si="40"/>
        <v>No Impact</v>
      </c>
      <c r="AE121" s="2">
        <f t="shared" si="41"/>
        <v>1.5538535523757927E-2</v>
      </c>
      <c r="AF121" s="2">
        <f t="shared" si="42"/>
        <v>0.11837436122933601</v>
      </c>
      <c r="AG121" s="2" t="s">
        <v>1175</v>
      </c>
    </row>
    <row r="122" spans="1:33" x14ac:dyDescent="0.3">
      <c r="A122">
        <v>203029</v>
      </c>
      <c r="B122" t="s">
        <v>256</v>
      </c>
      <c r="C122" t="s">
        <v>252</v>
      </c>
      <c r="D122" t="s">
        <v>257</v>
      </c>
      <c r="E122" s="13">
        <v>5.6</v>
      </c>
      <c r="F122" s="14">
        <f t="shared" si="23"/>
        <v>0.53333333333333321</v>
      </c>
      <c r="G122" s="2">
        <v>59.570935200000001</v>
      </c>
      <c r="H122" s="2">
        <f t="shared" si="24"/>
        <v>0.29125831201088864</v>
      </c>
      <c r="I122" s="2">
        <v>19</v>
      </c>
      <c r="J122" s="4">
        <f t="shared" si="25"/>
        <v>0.15019762845849802</v>
      </c>
      <c r="K122" s="2">
        <v>0</v>
      </c>
      <c r="L122" s="4">
        <f t="shared" si="26"/>
        <v>0</v>
      </c>
      <c r="M122" s="2">
        <v>65689</v>
      </c>
      <c r="N122" s="2">
        <f t="shared" si="27"/>
        <v>0.30967149744739841</v>
      </c>
      <c r="O122" s="2">
        <v>0.37266564200000002</v>
      </c>
      <c r="P122" s="2">
        <f t="shared" si="28"/>
        <v>0.35304915820821242</v>
      </c>
      <c r="Q122" s="2">
        <v>0.28960000000000002</v>
      </c>
      <c r="R122" s="2">
        <f t="shared" si="29"/>
        <v>0.6792125072379851</v>
      </c>
      <c r="S122" s="2">
        <f t="shared" si="30"/>
        <v>4.2531817470804326E-2</v>
      </c>
      <c r="T122" s="5">
        <f t="shared" si="31"/>
        <v>0.11108524873225752</v>
      </c>
      <c r="U122" s="2" t="str">
        <f t="shared" si="32"/>
        <v>No Impact</v>
      </c>
      <c r="V122" s="2">
        <f t="shared" si="33"/>
        <v>5.5970580616778752E-2</v>
      </c>
      <c r="W122" s="2">
        <f t="shared" si="34"/>
        <v>0.13576416283372866</v>
      </c>
      <c r="X122" s="2" t="s">
        <v>1176</v>
      </c>
      <c r="Y122" s="2">
        <f t="shared" si="35"/>
        <v>2.9093054324829906E-2</v>
      </c>
      <c r="Z122" s="2">
        <f t="shared" si="36"/>
        <v>7.4364168426485452E-2</v>
      </c>
      <c r="AA122" s="2" t="str">
        <f t="shared" si="37"/>
        <v>No Impact</v>
      </c>
      <c r="AB122" s="2">
        <f t="shared" si="38"/>
        <v>3.7249099226612223E-2</v>
      </c>
      <c r="AC122" s="2">
        <f t="shared" si="39"/>
        <v>0.13533709940317715</v>
      </c>
      <c r="AD122" s="2" t="str">
        <f t="shared" si="40"/>
        <v>No Impact</v>
      </c>
      <c r="AE122" s="2">
        <f t="shared" si="41"/>
        <v>2.5518513466544841E-2</v>
      </c>
      <c r="AF122" s="2">
        <f t="shared" si="42"/>
        <v>0.19440298775298628</v>
      </c>
      <c r="AG122" s="2" t="s">
        <v>1175</v>
      </c>
    </row>
    <row r="123" spans="1:33" x14ac:dyDescent="0.3">
      <c r="A123">
        <v>203041</v>
      </c>
      <c r="B123" t="s">
        <v>258</v>
      </c>
      <c r="C123" t="s">
        <v>252</v>
      </c>
      <c r="D123" t="s">
        <v>259</v>
      </c>
      <c r="E123" s="13">
        <v>5.5</v>
      </c>
      <c r="F123" s="14">
        <f t="shared" si="23"/>
        <v>0.51111111111111107</v>
      </c>
      <c r="G123" s="2">
        <v>57.932650799999998</v>
      </c>
      <c r="H123" s="2">
        <f t="shared" si="24"/>
        <v>0.2735580527983178</v>
      </c>
      <c r="I123" s="2">
        <v>13.8</v>
      </c>
      <c r="J123" s="4">
        <f t="shared" si="25"/>
        <v>0.1090909090909091</v>
      </c>
      <c r="K123" s="2">
        <v>0</v>
      </c>
      <c r="L123" s="4">
        <f t="shared" si="26"/>
        <v>0</v>
      </c>
      <c r="M123" s="2">
        <v>9161</v>
      </c>
      <c r="N123" s="2">
        <f t="shared" si="27"/>
        <v>4.2213737207420762E-2</v>
      </c>
      <c r="O123" s="2">
        <v>0.25673790699999999</v>
      </c>
      <c r="P123" s="2">
        <f t="shared" si="28"/>
        <v>0.21913058237170935</v>
      </c>
      <c r="Q123" s="2">
        <v>0.26240000000000002</v>
      </c>
      <c r="R123" s="2">
        <f t="shared" si="29"/>
        <v>0.60046323103647958</v>
      </c>
      <c r="S123" s="2">
        <f t="shared" si="30"/>
        <v>2.8051273456282035E-2</v>
      </c>
      <c r="T123" s="5">
        <f t="shared" si="31"/>
        <v>7.3264743301568916E-2</v>
      </c>
      <c r="U123" s="2" t="str">
        <f t="shared" si="32"/>
        <v>No Impact</v>
      </c>
      <c r="V123" s="2">
        <f t="shared" si="33"/>
        <v>4.1102697503789268E-2</v>
      </c>
      <c r="W123" s="2">
        <f t="shared" si="34"/>
        <v>9.9700114869580178E-2</v>
      </c>
      <c r="X123" s="2" t="s">
        <v>1176</v>
      </c>
      <c r="Y123" s="2">
        <f t="shared" si="35"/>
        <v>1.4999849408774805E-2</v>
      </c>
      <c r="Z123" s="2">
        <f t="shared" si="36"/>
        <v>3.8340812049219908E-2</v>
      </c>
      <c r="AA123" s="2" t="str">
        <f t="shared" si="37"/>
        <v>No Impact</v>
      </c>
      <c r="AB123" s="2">
        <f t="shared" si="38"/>
        <v>1.9897258901475878E-2</v>
      </c>
      <c r="AC123" s="2">
        <f t="shared" si="39"/>
        <v>7.2292682553674298E-2</v>
      </c>
      <c r="AD123" s="2" t="str">
        <f t="shared" si="40"/>
        <v>No Impact</v>
      </c>
      <c r="AE123" s="2">
        <f t="shared" si="41"/>
        <v>2.8895998643348373E-3</v>
      </c>
      <c r="AF123" s="2">
        <f t="shared" si="42"/>
        <v>2.2013306056160944E-2</v>
      </c>
      <c r="AG123" s="2" t="s">
        <v>1176</v>
      </c>
    </row>
    <row r="124" spans="1:33" x14ac:dyDescent="0.3">
      <c r="A124">
        <v>203051</v>
      </c>
      <c r="B124" t="s">
        <v>260</v>
      </c>
      <c r="C124" t="s">
        <v>252</v>
      </c>
      <c r="D124" t="s">
        <v>261</v>
      </c>
      <c r="E124" s="13">
        <v>5.7</v>
      </c>
      <c r="F124" s="14">
        <f t="shared" si="23"/>
        <v>0.55555555555555558</v>
      </c>
      <c r="G124" s="2">
        <v>53.885962800000001</v>
      </c>
      <c r="H124" s="2">
        <f t="shared" si="24"/>
        <v>0.22983705627756743</v>
      </c>
      <c r="I124" s="2">
        <v>12.9</v>
      </c>
      <c r="J124" s="4">
        <f t="shared" si="25"/>
        <v>0.10197628458498025</v>
      </c>
      <c r="K124" s="2">
        <v>0</v>
      </c>
      <c r="L124" s="4">
        <f t="shared" si="26"/>
        <v>0</v>
      </c>
      <c r="M124" s="2">
        <v>14970</v>
      </c>
      <c r="N124" s="2">
        <f t="shared" si="27"/>
        <v>6.9698561174906443E-2</v>
      </c>
      <c r="O124" s="2">
        <v>0.30088562200000002</v>
      </c>
      <c r="P124" s="2">
        <f t="shared" si="28"/>
        <v>0.27012958721930536</v>
      </c>
      <c r="Q124" s="2">
        <v>0.2621</v>
      </c>
      <c r="R124" s="2">
        <f t="shared" si="29"/>
        <v>0.59959467284308055</v>
      </c>
      <c r="S124" s="2">
        <f t="shared" si="30"/>
        <v>2.8056983146160449E-2</v>
      </c>
      <c r="T124" s="5">
        <f t="shared" si="31"/>
        <v>7.3279655956565687E-2</v>
      </c>
      <c r="U124" s="2" t="str">
        <f t="shared" si="32"/>
        <v>No Impact</v>
      </c>
      <c r="V124" s="2">
        <f t="shared" si="33"/>
        <v>3.8685405025448386E-2</v>
      </c>
      <c r="W124" s="2">
        <f t="shared" si="34"/>
        <v>9.3836647204428997E-2</v>
      </c>
      <c r="X124" s="2" t="s">
        <v>1176</v>
      </c>
      <c r="Y124" s="2">
        <f t="shared" si="35"/>
        <v>1.7428561266872519E-2</v>
      </c>
      <c r="Z124" s="2">
        <f t="shared" si="36"/>
        <v>4.4548793365256467E-2</v>
      </c>
      <c r="AA124" s="2" t="str">
        <f t="shared" si="37"/>
        <v>No Impact</v>
      </c>
      <c r="AB124" s="2">
        <f t="shared" si="38"/>
        <v>2.034237501313697E-2</v>
      </c>
      <c r="AC124" s="2">
        <f t="shared" si="39"/>
        <v>7.3909922291025984E-2</v>
      </c>
      <c r="AD124" s="2" t="str">
        <f t="shared" si="40"/>
        <v>No Impact</v>
      </c>
      <c r="AE124" s="2">
        <f t="shared" si="41"/>
        <v>4.496899640480792E-3</v>
      </c>
      <c r="AF124" s="2">
        <f t="shared" si="42"/>
        <v>3.4257901694818522E-2</v>
      </c>
      <c r="AG124" s="2" t="s">
        <v>1176</v>
      </c>
    </row>
    <row r="125" spans="1:33" x14ac:dyDescent="0.3">
      <c r="A125">
        <v>203094</v>
      </c>
      <c r="B125" t="s">
        <v>262</v>
      </c>
      <c r="C125" t="s">
        <v>252</v>
      </c>
      <c r="D125" t="s">
        <v>263</v>
      </c>
      <c r="E125" s="13">
        <v>5.4</v>
      </c>
      <c r="F125" s="14">
        <f t="shared" si="23"/>
        <v>0.48888888888888893</v>
      </c>
      <c r="G125" s="2">
        <v>82.615856399999998</v>
      </c>
      <c r="H125" s="2">
        <f t="shared" si="24"/>
        <v>0.54023894002228146</v>
      </c>
      <c r="I125" s="2">
        <v>20.5</v>
      </c>
      <c r="J125" s="4">
        <f t="shared" si="25"/>
        <v>0.16205533596837945</v>
      </c>
      <c r="K125" s="2">
        <v>0</v>
      </c>
      <c r="L125" s="4">
        <f t="shared" si="26"/>
        <v>0</v>
      </c>
      <c r="M125" s="2">
        <v>40135</v>
      </c>
      <c r="N125" s="2">
        <f t="shared" si="27"/>
        <v>0.1887647679474623</v>
      </c>
      <c r="O125" s="2">
        <v>0.273289956</v>
      </c>
      <c r="P125" s="2">
        <f t="shared" si="28"/>
        <v>0.23825134608934789</v>
      </c>
      <c r="Q125" s="2">
        <v>0.27139999999999997</v>
      </c>
      <c r="R125" s="2">
        <f t="shared" si="29"/>
        <v>0.62651997683844818</v>
      </c>
      <c r="S125" s="2">
        <f t="shared" si="30"/>
        <v>5.1959937955828685E-2</v>
      </c>
      <c r="T125" s="5">
        <f t="shared" si="31"/>
        <v>0.13570975742802516</v>
      </c>
      <c r="U125" s="2" t="str">
        <f t="shared" si="32"/>
        <v>No Impact</v>
      </c>
      <c r="V125" s="2">
        <f t="shared" si="33"/>
        <v>7.528912733691813E-2</v>
      </c>
      <c r="W125" s="2">
        <f t="shared" si="34"/>
        <v>0.18262389331574103</v>
      </c>
      <c r="X125" s="2" t="s">
        <v>1176</v>
      </c>
      <c r="Y125" s="2">
        <f t="shared" si="35"/>
        <v>2.8630748574739243E-2</v>
      </c>
      <c r="Z125" s="2">
        <f t="shared" si="36"/>
        <v>7.3182478038105236E-2</v>
      </c>
      <c r="AA125" s="2" t="str">
        <f t="shared" si="37"/>
        <v>No Impact</v>
      </c>
      <c r="AB125" s="2">
        <f t="shared" si="38"/>
        <v>4.287979427863136E-2</v>
      </c>
      <c r="AC125" s="2">
        <f t="shared" si="39"/>
        <v>0.15579509575170788</v>
      </c>
      <c r="AD125" s="2" t="str">
        <f t="shared" si="40"/>
        <v>Low</v>
      </c>
      <c r="AE125" s="2">
        <f t="shared" si="41"/>
        <v>2.2683928966537842E-2</v>
      </c>
      <c r="AF125" s="2">
        <f t="shared" si="42"/>
        <v>0.17280879510684713</v>
      </c>
      <c r="AG125" s="2" t="s">
        <v>1175</v>
      </c>
    </row>
    <row r="126" spans="1:33" x14ac:dyDescent="0.3">
      <c r="A126">
        <v>204643</v>
      </c>
      <c r="B126" t="s">
        <v>264</v>
      </c>
      <c r="C126" t="s">
        <v>265</v>
      </c>
      <c r="D126" t="s">
        <v>266</v>
      </c>
      <c r="E126" s="13">
        <v>6.2</v>
      </c>
      <c r="F126" s="14">
        <f t="shared" si="23"/>
        <v>0.66666666666666663</v>
      </c>
      <c r="G126" s="2">
        <v>55.791640800000003</v>
      </c>
      <c r="H126" s="2">
        <f t="shared" si="24"/>
        <v>0.25042627422757263</v>
      </c>
      <c r="I126" s="2">
        <v>6</v>
      </c>
      <c r="J126" s="4">
        <f t="shared" si="25"/>
        <v>4.7430830039525688E-2</v>
      </c>
      <c r="K126" s="2">
        <v>0</v>
      </c>
      <c r="L126" s="4">
        <f t="shared" si="26"/>
        <v>0</v>
      </c>
      <c r="M126" s="2">
        <v>15793</v>
      </c>
      <c r="N126" s="2">
        <f t="shared" si="27"/>
        <v>7.3592520569852327E-2</v>
      </c>
      <c r="O126" s="2">
        <v>0.26245808599999998</v>
      </c>
      <c r="P126" s="2">
        <f t="shared" si="28"/>
        <v>0.22573847672252947</v>
      </c>
      <c r="Q126" s="2">
        <v>0.39119999999999999</v>
      </c>
      <c r="R126" s="2">
        <f t="shared" si="29"/>
        <v>0.97336421540243201</v>
      </c>
      <c r="S126" s="2">
        <f t="shared" si="30"/>
        <v>4.1668813152776006E-2</v>
      </c>
      <c r="T126" s="5">
        <f t="shared" si="31"/>
        <v>0.10883124090879699</v>
      </c>
      <c r="U126" s="2" t="str">
        <f t="shared" si="32"/>
        <v>No Impact</v>
      </c>
      <c r="V126" s="2">
        <f t="shared" si="33"/>
        <v>6.7648804205963045E-2</v>
      </c>
      <c r="W126" s="2">
        <f t="shared" si="34"/>
        <v>0.1640912630978166</v>
      </c>
      <c r="X126" s="2" t="s">
        <v>1176</v>
      </c>
      <c r="Y126" s="2">
        <f t="shared" si="35"/>
        <v>1.568882209958896E-2</v>
      </c>
      <c r="Z126" s="2">
        <f t="shared" si="36"/>
        <v>4.0101881225694289E-2</v>
      </c>
      <c r="AA126" s="2" t="str">
        <f t="shared" si="37"/>
        <v>No Impact</v>
      </c>
      <c r="AB126" s="2">
        <f t="shared" si="38"/>
        <v>3.0173865932897094E-2</v>
      </c>
      <c r="AC126" s="2">
        <f t="shared" si="39"/>
        <v>0.10963066430935649</v>
      </c>
      <c r="AD126" s="2" t="str">
        <f t="shared" si="40"/>
        <v>No Impact</v>
      </c>
      <c r="AE126" s="2">
        <f t="shared" si="41"/>
        <v>5.1146795169523859E-3</v>
      </c>
      <c r="AF126" s="2">
        <f t="shared" si="42"/>
        <v>3.8964220262990582E-2</v>
      </c>
      <c r="AG126" s="2" t="s">
        <v>1176</v>
      </c>
    </row>
    <row r="127" spans="1:33" x14ac:dyDescent="0.3">
      <c r="A127">
        <v>204649</v>
      </c>
      <c r="B127" t="s">
        <v>267</v>
      </c>
      <c r="C127" t="s">
        <v>265</v>
      </c>
      <c r="D127" t="s">
        <v>268</v>
      </c>
      <c r="E127" s="13">
        <v>6.2</v>
      </c>
      <c r="F127" s="14">
        <f t="shared" si="23"/>
        <v>0.66666666666666663</v>
      </c>
      <c r="G127" s="2">
        <v>55.791640800000003</v>
      </c>
      <c r="H127" s="2">
        <f t="shared" si="24"/>
        <v>0.25042627422757263</v>
      </c>
      <c r="I127" s="2">
        <v>8.6</v>
      </c>
      <c r="J127" s="4">
        <f t="shared" si="25"/>
        <v>6.7984189723320154E-2</v>
      </c>
      <c r="K127" s="2">
        <v>0</v>
      </c>
      <c r="L127" s="4">
        <f t="shared" si="26"/>
        <v>0</v>
      </c>
      <c r="M127" s="2">
        <v>15837</v>
      </c>
      <c r="N127" s="2">
        <f t="shared" si="27"/>
        <v>7.3800703089144701E-2</v>
      </c>
      <c r="O127" s="2">
        <v>0.48774538200000001</v>
      </c>
      <c r="P127" s="2">
        <f t="shared" si="28"/>
        <v>0.48598813858624751</v>
      </c>
      <c r="Q127" s="2">
        <v>0.3412</v>
      </c>
      <c r="R127" s="2">
        <f t="shared" si="29"/>
        <v>0.82860451650260569</v>
      </c>
      <c r="S127" s="2">
        <f t="shared" si="30"/>
        <v>4.8834340008215731E-2</v>
      </c>
      <c r="T127" s="5">
        <f t="shared" si="31"/>
        <v>0.12754627309806543</v>
      </c>
      <c r="U127" s="2" t="str">
        <f t="shared" si="32"/>
        <v>No Impact</v>
      </c>
      <c r="V127" s="2">
        <f t="shared" si="33"/>
        <v>6.156181465732663E-2</v>
      </c>
      <c r="W127" s="2">
        <f t="shared" si="34"/>
        <v>0.14932645217140386</v>
      </c>
      <c r="X127" s="2" t="s">
        <v>1176</v>
      </c>
      <c r="Y127" s="2">
        <f t="shared" si="35"/>
        <v>3.6106865359104831E-2</v>
      </c>
      <c r="Z127" s="2">
        <f t="shared" si="36"/>
        <v>9.2292029119311211E-2</v>
      </c>
      <c r="AA127" s="2" t="str">
        <f t="shared" si="37"/>
        <v>No Impact</v>
      </c>
      <c r="AB127" s="2">
        <f t="shared" si="38"/>
        <v>3.4297772886821294E-2</v>
      </c>
      <c r="AC127" s="2">
        <f t="shared" si="39"/>
        <v>0.12461404959760936</v>
      </c>
      <c r="AD127" s="2" t="str">
        <f t="shared" si="40"/>
        <v>No Impact</v>
      </c>
      <c r="AE127" s="2">
        <f t="shared" si="41"/>
        <v>5.4830804257872184E-3</v>
      </c>
      <c r="AF127" s="2">
        <f t="shared" si="42"/>
        <v>4.1770741005756395E-2</v>
      </c>
      <c r="AG127" s="2" t="s">
        <v>1176</v>
      </c>
    </row>
    <row r="128" spans="1:33" x14ac:dyDescent="0.3">
      <c r="A128">
        <v>204661</v>
      </c>
      <c r="B128" t="s">
        <v>269</v>
      </c>
      <c r="C128" t="s">
        <v>265</v>
      </c>
      <c r="D128" t="s">
        <v>270</v>
      </c>
      <c r="E128" s="13">
        <v>5</v>
      </c>
      <c r="F128" s="14">
        <f t="shared" si="23"/>
        <v>0.39999999999999997</v>
      </c>
      <c r="G128" s="2">
        <v>62.637429599999997</v>
      </c>
      <c r="H128" s="2">
        <f t="shared" si="24"/>
        <v>0.32438915654184836</v>
      </c>
      <c r="I128" s="2">
        <v>9.6999999999999993</v>
      </c>
      <c r="J128" s="4">
        <f t="shared" si="25"/>
        <v>7.6679841897233189E-2</v>
      </c>
      <c r="K128" s="2">
        <v>0</v>
      </c>
      <c r="L128" s="4">
        <f t="shared" si="26"/>
        <v>0</v>
      </c>
      <c r="M128" s="2">
        <v>2349</v>
      </c>
      <c r="N128" s="2">
        <f t="shared" si="27"/>
        <v>9.9832980842476798E-3</v>
      </c>
      <c r="O128" s="2">
        <v>0.55264292699999995</v>
      </c>
      <c r="P128" s="2">
        <f t="shared" si="28"/>
        <v>0.56095714235126859</v>
      </c>
      <c r="Q128" s="2">
        <v>0.38400000000000001</v>
      </c>
      <c r="R128" s="2">
        <f t="shared" si="29"/>
        <v>0.95251881876085709</v>
      </c>
      <c r="S128" s="2">
        <f t="shared" si="30"/>
        <v>4.2490580151940655E-2</v>
      </c>
      <c r="T128" s="5">
        <f t="shared" si="31"/>
        <v>0.1109775444747057</v>
      </c>
      <c r="U128" s="2" t="str">
        <f t="shared" si="32"/>
        <v>No Impact</v>
      </c>
      <c r="V128" s="2">
        <f t="shared" si="33"/>
        <v>5.3483607608871157E-2</v>
      </c>
      <c r="W128" s="2">
        <f t="shared" si="34"/>
        <v>0.1297316756826585</v>
      </c>
      <c r="X128" s="2" t="s">
        <v>1176</v>
      </c>
      <c r="Y128" s="2">
        <f t="shared" si="35"/>
        <v>3.1497552695010159E-2</v>
      </c>
      <c r="Z128" s="2">
        <f t="shared" si="36"/>
        <v>8.0510258135213189E-2</v>
      </c>
      <c r="AA128" s="2" t="str">
        <f t="shared" si="37"/>
        <v>No Impact</v>
      </c>
      <c r="AB128" s="2">
        <f t="shared" si="38"/>
        <v>2.8364724048432585E-2</v>
      </c>
      <c r="AC128" s="2">
        <f t="shared" si="39"/>
        <v>0.10305751166578066</v>
      </c>
      <c r="AD128" s="2" t="str">
        <f t="shared" si="40"/>
        <v>No Impact</v>
      </c>
      <c r="AE128" s="2">
        <f t="shared" si="41"/>
        <v>5.6055879092752254E-4</v>
      </c>
      <c r="AF128" s="2">
        <f t="shared" si="42"/>
        <v>4.2704017187513267E-3</v>
      </c>
      <c r="AG128" s="2" t="s">
        <v>1176</v>
      </c>
    </row>
    <row r="129" spans="1:33" x14ac:dyDescent="0.3">
      <c r="A129">
        <v>204665</v>
      </c>
      <c r="B129" t="s">
        <v>271</v>
      </c>
      <c r="C129" t="s">
        <v>265</v>
      </c>
      <c r="D129" t="s">
        <v>272</v>
      </c>
      <c r="E129" s="13">
        <v>6</v>
      </c>
      <c r="F129" s="14">
        <f t="shared" si="23"/>
        <v>0.62222222222222223</v>
      </c>
      <c r="G129" s="2">
        <v>62.637429599999997</v>
      </c>
      <c r="H129" s="2">
        <f t="shared" si="24"/>
        <v>0.32438915654184836</v>
      </c>
      <c r="I129" s="2">
        <v>8</v>
      </c>
      <c r="J129" s="4">
        <f t="shared" si="25"/>
        <v>6.3241106719367585E-2</v>
      </c>
      <c r="K129" s="2">
        <v>0</v>
      </c>
      <c r="L129" s="4">
        <f t="shared" si="26"/>
        <v>0</v>
      </c>
      <c r="M129" s="2">
        <v>8061</v>
      </c>
      <c r="N129" s="2">
        <f t="shared" si="27"/>
        <v>3.7009174225111546E-2</v>
      </c>
      <c r="O129" s="2">
        <v>0.18172930800000001</v>
      </c>
      <c r="P129" s="2">
        <f t="shared" si="28"/>
        <v>0.13248138877216784</v>
      </c>
      <c r="Q129" s="2">
        <v>0.34420000000000001</v>
      </c>
      <c r="R129" s="2">
        <f t="shared" si="29"/>
        <v>0.8372900984365953</v>
      </c>
      <c r="S129" s="2">
        <f t="shared" si="30"/>
        <v>4.0932724594683854E-2</v>
      </c>
      <c r="T129" s="5">
        <f t="shared" si="31"/>
        <v>0.10690871360037042</v>
      </c>
      <c r="U129" s="2" t="str">
        <f t="shared" si="32"/>
        <v>No Impact</v>
      </c>
      <c r="V129" s="2">
        <f t="shared" si="33"/>
        <v>7.0681733701628252E-2</v>
      </c>
      <c r="W129" s="2">
        <f t="shared" si="34"/>
        <v>0.17144804105822375</v>
      </c>
      <c r="X129" s="2" t="s">
        <v>1176</v>
      </c>
      <c r="Y129" s="2">
        <f t="shared" si="35"/>
        <v>1.118371548773946E-2</v>
      </c>
      <c r="Z129" s="2">
        <f t="shared" si="36"/>
        <v>2.8586469226586215E-2</v>
      </c>
      <c r="AA129" s="2" t="str">
        <f t="shared" si="37"/>
        <v>No Impact</v>
      </c>
      <c r="AB129" s="2">
        <f t="shared" si="38"/>
        <v>2.9187195986369579E-2</v>
      </c>
      <c r="AC129" s="2">
        <f t="shared" si="39"/>
        <v>0.10604579779167381</v>
      </c>
      <c r="AD129" s="2" t="str">
        <f t="shared" si="40"/>
        <v>No Impact</v>
      </c>
      <c r="AE129" s="2">
        <f t="shared" si="41"/>
        <v>3.1242129842224426E-3</v>
      </c>
      <c r="AF129" s="2">
        <f t="shared" si="42"/>
        <v>2.3800615945194833E-2</v>
      </c>
      <c r="AG129" s="2" t="s">
        <v>1176</v>
      </c>
    </row>
    <row r="130" spans="1:33" x14ac:dyDescent="0.3">
      <c r="A130">
        <v>204667</v>
      </c>
      <c r="B130" t="s">
        <v>273</v>
      </c>
      <c r="C130" t="s">
        <v>265</v>
      </c>
      <c r="D130" t="s">
        <v>274</v>
      </c>
      <c r="E130" s="13">
        <v>6.2</v>
      </c>
      <c r="F130" s="14">
        <f t="shared" ref="F130:F193" si="45">(E130-$AJ$5)/$AK$5</f>
        <v>0.66666666666666663</v>
      </c>
      <c r="G130" s="2">
        <v>62.637429599999997</v>
      </c>
      <c r="H130" s="2">
        <f t="shared" ref="H130:H193" si="46">(G130-$AJ$6)/$AK$6</f>
        <v>0.32438915654184836</v>
      </c>
      <c r="I130" s="2">
        <v>11</v>
      </c>
      <c r="J130" s="4">
        <f t="shared" ref="J130:J193" si="47">(I130-$AJ$7)/$AK$7</f>
        <v>8.6956521739130432E-2</v>
      </c>
      <c r="K130" s="2">
        <v>0</v>
      </c>
      <c r="L130" s="4">
        <f t="shared" ref="L130:L193" si="48">(K130-$AJ$8)/$AK$8</f>
        <v>0</v>
      </c>
      <c r="M130" s="2">
        <v>12067</v>
      </c>
      <c r="N130" s="2">
        <f t="shared" ref="N130:N193" si="49">(M130-$AJ$9)/$AK$9</f>
        <v>5.5963246322503109E-2</v>
      </c>
      <c r="O130" s="2">
        <v>0.24649091000000001</v>
      </c>
      <c r="P130" s="2">
        <f t="shared" ref="P130:P193" si="50">(O130-$AJ$11)/$AK$11</f>
        <v>0.20729335252467648</v>
      </c>
      <c r="Q130" s="2">
        <v>0.34470000000000001</v>
      </c>
      <c r="R130" s="2">
        <f t="shared" ref="R130:R193" si="51">(Q130-$AJ$12)/$AK$12</f>
        <v>0.83873769542559362</v>
      </c>
      <c r="S130" s="2">
        <f t="shared" ref="S130:S193" si="52">F130*(R130*0.5+P130*0.5)*(H130*0.35+J130*0.35+L130*0.3)</f>
        <v>5.0199374274241142E-2</v>
      </c>
      <c r="T130" s="5">
        <f t="shared" ref="T130:T193" si="53">(S130-$AJ$10)/$AK$10</f>
        <v>0.13111149038682993</v>
      </c>
      <c r="U130" s="2" t="str">
        <f t="shared" ref="U130:U193" si="54">IF(T130&gt;0.7,"High",IF(T130&gt;0.3,"Moderate",IF(T130&gt;0.15,"Low","No Impact")))</f>
        <v>No Impact</v>
      </c>
      <c r="V130" s="2">
        <f t="shared" ref="V130:V193" si="55">F130*(R130*1)*(H130*0.35+J130*0.35+L130*0.3)</f>
        <v>8.0502596119088679E-2</v>
      </c>
      <c r="W130" s="2">
        <f t="shared" ref="W130:W193" si="56">(V130-$AJ$13)/$AK$13</f>
        <v>0.19526986226713297</v>
      </c>
      <c r="X130" s="2" t="s">
        <v>1176</v>
      </c>
      <c r="Y130" s="2">
        <f t="shared" ref="Y130:Y193" si="57">F130*(P130*1)*(H130*0.35+J130*0.35+L130*0.3)</f>
        <v>1.9896152429393587E-2</v>
      </c>
      <c r="Z130" s="2">
        <f t="shared" ref="Z130:Z193" si="58">(Y130-$AJ$14)/$AK$14</f>
        <v>5.0856153285896107E-2</v>
      </c>
      <c r="AA130" s="2" t="str">
        <f t="shared" ref="AA130:AA193" si="59">IF(Z130&gt;0.7,"High",IF(Z130&gt;0.3,"Moderate",IF(Z130&gt;0.15,"Low","No Impact")))</f>
        <v>No Impact</v>
      </c>
      <c r="AB130" s="2">
        <f t="shared" ref="AB130:AB193" si="60">F130*(R130*0.35+P130*0.3+N130*0.35)*(H130*0.35+J130*0.35+L130*0.3)</f>
        <v>3.6024740597748184E-2</v>
      </c>
      <c r="AC130" s="2">
        <f t="shared" ref="AC130:AC193" si="61">(AB130-$AJ$15)/$AK$15</f>
        <v>0.13088863893298874</v>
      </c>
      <c r="AD130" s="2" t="str">
        <f t="shared" ref="AD130:AD193" si="62">IF(AC130&gt;0.7,"High",IF(AC130&gt;0.3,"Moderate",IF(AC130&gt;0.15,"Low","No Impact")))</f>
        <v>No Impact</v>
      </c>
      <c r="AE130" s="2">
        <f t="shared" ref="AE130:AE193" si="63">F130*(N130*1)*(H130*0.35+J130*0.35+L130*0.3)</f>
        <v>5.3713892207116242E-3</v>
      </c>
      <c r="AF130" s="2">
        <f t="shared" ref="AF130:AF193" si="64">(AE130-$AJ$16)/$AK$16</f>
        <v>4.0919864484250029E-2</v>
      </c>
      <c r="AG130" s="2" t="s">
        <v>1176</v>
      </c>
    </row>
    <row r="131" spans="1:33" x14ac:dyDescent="0.3">
      <c r="A131">
        <v>204670</v>
      </c>
      <c r="B131" t="s">
        <v>275</v>
      </c>
      <c r="C131" t="s">
        <v>265</v>
      </c>
      <c r="D131" t="s">
        <v>276</v>
      </c>
      <c r="E131" s="13">
        <v>6.2</v>
      </c>
      <c r="F131" s="14">
        <f t="shared" si="45"/>
        <v>0.66666666666666663</v>
      </c>
      <c r="G131" s="2">
        <v>55.791640800000003</v>
      </c>
      <c r="H131" s="2">
        <f t="shared" si="46"/>
        <v>0.25042627422757263</v>
      </c>
      <c r="I131" s="2">
        <v>9.6</v>
      </c>
      <c r="J131" s="4">
        <f t="shared" si="47"/>
        <v>7.5889328063241099E-2</v>
      </c>
      <c r="K131" s="2">
        <v>0</v>
      </c>
      <c r="L131" s="4">
        <f t="shared" si="48"/>
        <v>0</v>
      </c>
      <c r="M131" s="2">
        <v>9838</v>
      </c>
      <c r="N131" s="2">
        <f t="shared" si="49"/>
        <v>4.5416909151987435E-2</v>
      </c>
      <c r="O131" s="2">
        <v>0.25113012099999998</v>
      </c>
      <c r="P131" s="2">
        <f t="shared" si="50"/>
        <v>0.21265252330572415</v>
      </c>
      <c r="Q131" s="2">
        <v>0.3448</v>
      </c>
      <c r="R131" s="2">
        <f t="shared" si="51"/>
        <v>0.83902721482339326</v>
      </c>
      <c r="S131" s="2">
        <f t="shared" si="52"/>
        <v>4.0037609169208947E-2</v>
      </c>
      <c r="T131" s="5">
        <f t="shared" si="53"/>
        <v>0.1045708374973514</v>
      </c>
      <c r="U131" s="2" t="str">
        <f t="shared" si="54"/>
        <v>No Impact</v>
      </c>
      <c r="V131" s="2">
        <f t="shared" si="55"/>
        <v>6.3883789886811884E-2</v>
      </c>
      <c r="W131" s="2">
        <f t="shared" si="56"/>
        <v>0.15495871504375325</v>
      </c>
      <c r="X131" s="2" t="s">
        <v>1176</v>
      </c>
      <c r="Y131" s="2">
        <f t="shared" si="57"/>
        <v>1.6191428451606021E-2</v>
      </c>
      <c r="Z131" s="2">
        <f t="shared" si="58"/>
        <v>4.1386583168512271E-2</v>
      </c>
      <c r="AA131" s="2" t="str">
        <f t="shared" si="59"/>
        <v>No Impact</v>
      </c>
      <c r="AB131" s="2">
        <f t="shared" si="60"/>
        <v>2.8427075091102261E-2</v>
      </c>
      <c r="AC131" s="2">
        <f t="shared" si="61"/>
        <v>0.10328405162070255</v>
      </c>
      <c r="AD131" s="2" t="str">
        <f t="shared" si="62"/>
        <v>No Impact</v>
      </c>
      <c r="AE131" s="2">
        <f t="shared" si="63"/>
        <v>3.4580574149608544E-3</v>
      </c>
      <c r="AF131" s="2">
        <f t="shared" si="64"/>
        <v>2.6343881440080635E-2</v>
      </c>
      <c r="AG131" s="2" t="s">
        <v>1176</v>
      </c>
    </row>
    <row r="132" spans="1:33" x14ac:dyDescent="0.3">
      <c r="A132">
        <v>204677</v>
      </c>
      <c r="B132" t="s">
        <v>277</v>
      </c>
      <c r="C132" t="s">
        <v>265</v>
      </c>
      <c r="D132" t="s">
        <v>278</v>
      </c>
      <c r="E132" s="13">
        <v>6.2</v>
      </c>
      <c r="F132" s="14">
        <f t="shared" si="45"/>
        <v>0.66666666666666663</v>
      </c>
      <c r="G132" s="2">
        <v>48.904531200000001</v>
      </c>
      <c r="H132" s="2">
        <f t="shared" si="46"/>
        <v>0.17601695607415263</v>
      </c>
      <c r="I132" s="2">
        <v>8.1999999999999993</v>
      </c>
      <c r="J132" s="4">
        <f t="shared" si="47"/>
        <v>6.4822134387351779E-2</v>
      </c>
      <c r="K132" s="2">
        <v>0</v>
      </c>
      <c r="L132" s="4">
        <f t="shared" si="48"/>
        <v>0</v>
      </c>
      <c r="M132" s="2">
        <v>7474</v>
      </c>
      <c r="N132" s="2">
        <f t="shared" si="49"/>
        <v>3.4231830160915626E-2</v>
      </c>
      <c r="O132" s="2">
        <v>0.40916495000000003</v>
      </c>
      <c r="P132" s="2">
        <f t="shared" si="50"/>
        <v>0.39521279874149706</v>
      </c>
      <c r="Q132" s="2">
        <v>0.3528</v>
      </c>
      <c r="R132" s="2">
        <f t="shared" si="51"/>
        <v>0.86218876664736543</v>
      </c>
      <c r="S132" s="2">
        <f t="shared" si="52"/>
        <v>3.5330335757864643E-2</v>
      </c>
      <c r="T132" s="5">
        <f t="shared" si="53"/>
        <v>9.2276309098491618E-2</v>
      </c>
      <c r="U132" s="2" t="str">
        <f t="shared" si="54"/>
        <v>No Impact</v>
      </c>
      <c r="V132" s="2">
        <f t="shared" si="55"/>
        <v>4.8451376951944805E-2</v>
      </c>
      <c r="W132" s="2">
        <f t="shared" si="56"/>
        <v>0.11752532415306542</v>
      </c>
      <c r="X132" s="2" t="s">
        <v>1176</v>
      </c>
      <c r="Y132" s="2">
        <f t="shared" si="57"/>
        <v>2.2209294563784471E-2</v>
      </c>
      <c r="Z132" s="2">
        <f t="shared" si="58"/>
        <v>5.6768729165886642E-2</v>
      </c>
      <c r="AA132" s="2" t="str">
        <f t="shared" si="59"/>
        <v>No Impact</v>
      </c>
      <c r="AB132" s="2">
        <f t="shared" si="60"/>
        <v>2.4294059934313678E-2</v>
      </c>
      <c r="AC132" s="2">
        <f t="shared" si="61"/>
        <v>8.8267573511897374E-2</v>
      </c>
      <c r="AD132" s="2" t="str">
        <f t="shared" si="62"/>
        <v>No Impact</v>
      </c>
      <c r="AE132" s="2">
        <f t="shared" si="63"/>
        <v>1.9236846628504429E-3</v>
      </c>
      <c r="AF132" s="2">
        <f t="shared" si="64"/>
        <v>1.4654852307247545E-2</v>
      </c>
      <c r="AG132" s="2" t="s">
        <v>1176</v>
      </c>
    </row>
    <row r="133" spans="1:33" x14ac:dyDescent="0.3">
      <c r="A133">
        <v>204680</v>
      </c>
      <c r="B133" t="s">
        <v>279</v>
      </c>
      <c r="C133" t="s">
        <v>265</v>
      </c>
      <c r="D133" t="s">
        <v>280</v>
      </c>
      <c r="E133" s="13">
        <v>6.2</v>
      </c>
      <c r="F133" s="14">
        <f t="shared" si="45"/>
        <v>0.66666666666666663</v>
      </c>
      <c r="G133" s="2">
        <v>62.637429599999997</v>
      </c>
      <c r="H133" s="2">
        <f t="shared" si="46"/>
        <v>0.32438915654184836</v>
      </c>
      <c r="I133" s="2">
        <v>10.4</v>
      </c>
      <c r="J133" s="4">
        <f t="shared" si="47"/>
        <v>8.2213438735177863E-2</v>
      </c>
      <c r="K133" s="2">
        <v>0</v>
      </c>
      <c r="L133" s="4">
        <f t="shared" si="48"/>
        <v>0</v>
      </c>
      <c r="M133" s="2">
        <v>11497</v>
      </c>
      <c r="N133" s="2">
        <f t="shared" si="49"/>
        <v>5.3266336413488331E-2</v>
      </c>
      <c r="O133" s="2">
        <v>0.38124245000000001</v>
      </c>
      <c r="P133" s="2">
        <f t="shared" si="50"/>
        <v>0.36295700219898069</v>
      </c>
      <c r="Q133" s="2">
        <v>0.35449999999999998</v>
      </c>
      <c r="R133" s="2">
        <f t="shared" si="51"/>
        <v>0.86711059640995947</v>
      </c>
      <c r="S133" s="2">
        <f t="shared" si="52"/>
        <v>5.835067909540035E-2</v>
      </c>
      <c r="T133" s="5">
        <f t="shared" si="53"/>
        <v>0.15240119248273701</v>
      </c>
      <c r="U133" s="2" t="str">
        <f t="shared" si="54"/>
        <v>Low</v>
      </c>
      <c r="V133" s="2">
        <f t="shared" si="55"/>
        <v>8.2266197741583225E-2</v>
      </c>
      <c r="W133" s="2">
        <f t="shared" si="56"/>
        <v>0.19954771493922766</v>
      </c>
      <c r="X133" s="2" t="s">
        <v>1176</v>
      </c>
      <c r="Y133" s="2">
        <f t="shared" si="57"/>
        <v>3.4435160449217468E-2</v>
      </c>
      <c r="Z133" s="2">
        <f t="shared" si="58"/>
        <v>8.8019017970662305E-2</v>
      </c>
      <c r="AA133" s="2" t="str">
        <f t="shared" si="59"/>
        <v>No Impact</v>
      </c>
      <c r="AB133" s="2">
        <f t="shared" si="60"/>
        <v>4.0892472845493612E-2</v>
      </c>
      <c r="AC133" s="2">
        <f t="shared" si="61"/>
        <v>0.14857456360658494</v>
      </c>
      <c r="AD133" s="2" t="str">
        <f t="shared" si="62"/>
        <v>No Impact</v>
      </c>
      <c r="AE133" s="2">
        <f t="shared" si="63"/>
        <v>5.0535871462121544E-3</v>
      </c>
      <c r="AF133" s="2">
        <f t="shared" si="64"/>
        <v>3.8498811515087439E-2</v>
      </c>
      <c r="AG133" s="2" t="s">
        <v>1176</v>
      </c>
    </row>
    <row r="134" spans="1:33" x14ac:dyDescent="0.3">
      <c r="A134">
        <v>205133</v>
      </c>
      <c r="B134" t="s">
        <v>281</v>
      </c>
      <c r="C134" t="s">
        <v>282</v>
      </c>
      <c r="D134" t="s">
        <v>283</v>
      </c>
      <c r="E134" s="13">
        <v>6.5</v>
      </c>
      <c r="F134" s="14">
        <f t="shared" si="45"/>
        <v>0.73333333333333328</v>
      </c>
      <c r="G134" s="2">
        <v>90.726400799999993</v>
      </c>
      <c r="H134" s="2">
        <f t="shared" si="46"/>
        <v>0.62786642291540085</v>
      </c>
      <c r="I134" s="2">
        <v>39.4</v>
      </c>
      <c r="J134" s="4">
        <f t="shared" si="47"/>
        <v>0.31146245059288535</v>
      </c>
      <c r="K134" s="2">
        <v>0</v>
      </c>
      <c r="L134" s="4">
        <f t="shared" si="48"/>
        <v>0</v>
      </c>
      <c r="M134" s="2">
        <v>17191</v>
      </c>
      <c r="N134" s="2">
        <f t="shared" si="49"/>
        <v>8.0207046978278046E-2</v>
      </c>
      <c r="O134" s="2">
        <v>0.44828280199999998</v>
      </c>
      <c r="P134" s="2">
        <f t="shared" si="50"/>
        <v>0.44040135547145559</v>
      </c>
      <c r="Q134" s="2">
        <v>0.26750000000000002</v>
      </c>
      <c r="R134" s="2">
        <f t="shared" si="51"/>
        <v>0.61522872032426179</v>
      </c>
      <c r="S134" s="2">
        <f t="shared" si="52"/>
        <v>0.12725325560879444</v>
      </c>
      <c r="T134" s="5">
        <f t="shared" si="53"/>
        <v>0.33236199137260025</v>
      </c>
      <c r="U134" s="2" t="str">
        <f t="shared" si="54"/>
        <v>Moderate</v>
      </c>
      <c r="V134" s="2">
        <f t="shared" si="55"/>
        <v>0.14832820587511419</v>
      </c>
      <c r="W134" s="2">
        <f t="shared" si="56"/>
        <v>0.35978999098013653</v>
      </c>
      <c r="X134" s="2" t="str">
        <f t="shared" ref="X134:X147" si="65">IF(W134&gt;0.7,"High",IF(W134&gt;0.3,"Moderate",IF(W134&gt;0.15,"Low","No Impact")))</f>
        <v>Moderate</v>
      </c>
      <c r="Y134" s="2">
        <f t="shared" si="57"/>
        <v>0.10617830534247467</v>
      </c>
      <c r="Z134" s="2">
        <f t="shared" si="58"/>
        <v>0.27140022128882302</v>
      </c>
      <c r="AA134" s="2" t="str">
        <f t="shared" si="59"/>
        <v>Low</v>
      </c>
      <c r="AB134" s="2">
        <f t="shared" si="60"/>
        <v>9.0536478417549332E-2</v>
      </c>
      <c r="AC134" s="2">
        <f t="shared" si="61"/>
        <v>0.32894605865946663</v>
      </c>
      <c r="AD134" s="2" t="str">
        <f t="shared" si="62"/>
        <v>Moderate</v>
      </c>
      <c r="AE134" s="2">
        <f t="shared" si="63"/>
        <v>1.9337470738619907E-2</v>
      </c>
      <c r="AF134" s="2">
        <f t="shared" si="64"/>
        <v>0.14731508918425465</v>
      </c>
      <c r="AG134" s="2" t="s">
        <v>1175</v>
      </c>
    </row>
    <row r="135" spans="1:33" x14ac:dyDescent="0.3">
      <c r="A135">
        <v>205143</v>
      </c>
      <c r="B135" t="s">
        <v>284</v>
      </c>
      <c r="C135" t="s">
        <v>282</v>
      </c>
      <c r="D135" t="s">
        <v>285</v>
      </c>
      <c r="E135" s="13">
        <v>6.5</v>
      </c>
      <c r="F135" s="14">
        <f t="shared" si="45"/>
        <v>0.73333333333333328</v>
      </c>
      <c r="G135" s="2">
        <v>90.726400799999993</v>
      </c>
      <c r="H135" s="2">
        <f t="shared" si="46"/>
        <v>0.62786642291540085</v>
      </c>
      <c r="I135" s="2">
        <v>35.799999999999997</v>
      </c>
      <c r="J135" s="4">
        <f t="shared" si="47"/>
        <v>0.28300395256916994</v>
      </c>
      <c r="K135" s="2">
        <v>0</v>
      </c>
      <c r="L135" s="4">
        <f t="shared" si="48"/>
        <v>0</v>
      </c>
      <c r="M135" s="2">
        <v>40462</v>
      </c>
      <c r="N135" s="2">
        <f t="shared" si="49"/>
        <v>0.19031194257947603</v>
      </c>
      <c r="O135" s="2">
        <v>0.376349343</v>
      </c>
      <c r="P135" s="2">
        <f t="shared" si="50"/>
        <v>0.35730453326343542</v>
      </c>
      <c r="Q135" s="2">
        <v>0.31269999999999998</v>
      </c>
      <c r="R135" s="2">
        <f t="shared" si="51"/>
        <v>0.74609148812970472</v>
      </c>
      <c r="S135" s="2">
        <f t="shared" si="52"/>
        <v>0.12898151270036737</v>
      </c>
      <c r="T135" s="5">
        <f t="shared" si="53"/>
        <v>0.33687587956988813</v>
      </c>
      <c r="U135" s="2" t="str">
        <f t="shared" si="54"/>
        <v>Moderate</v>
      </c>
      <c r="V135" s="2">
        <f t="shared" si="55"/>
        <v>0.17442877604422685</v>
      </c>
      <c r="W135" s="2">
        <f t="shared" si="56"/>
        <v>0.42310043049039425</v>
      </c>
      <c r="X135" s="2" t="str">
        <f t="shared" si="65"/>
        <v>Moderate</v>
      </c>
      <c r="Y135" s="2">
        <f t="shared" si="57"/>
        <v>8.3534249356507856E-2</v>
      </c>
      <c r="Z135" s="2">
        <f t="shared" si="58"/>
        <v>0.21352020723467652</v>
      </c>
      <c r="AA135" s="2" t="str">
        <f t="shared" si="59"/>
        <v>Low</v>
      </c>
      <c r="AB135" s="2">
        <f t="shared" si="60"/>
        <v>0.10168291079102322</v>
      </c>
      <c r="AC135" s="2">
        <f t="shared" si="61"/>
        <v>0.36944437559707133</v>
      </c>
      <c r="AD135" s="2" t="str">
        <f t="shared" si="62"/>
        <v>Moderate</v>
      </c>
      <c r="AE135" s="2">
        <f t="shared" si="63"/>
        <v>4.4493041053118451E-2</v>
      </c>
      <c r="AF135" s="2">
        <f t="shared" si="64"/>
        <v>0.33895313401708266</v>
      </c>
      <c r="AG135" s="2" t="str">
        <f t="shared" ref="AG135:AG193" si="66">IF(AF135&gt;0.7,"High",IF(AF135&gt;0.3,"Moderate",IF(AF135&gt;0.15,"Low","No Impact")))</f>
        <v>Moderate</v>
      </c>
    </row>
    <row r="136" spans="1:33" x14ac:dyDescent="0.3">
      <c r="A136">
        <v>205158</v>
      </c>
      <c r="B136" t="s">
        <v>286</v>
      </c>
      <c r="C136" t="s">
        <v>282</v>
      </c>
      <c r="D136" t="s">
        <v>287</v>
      </c>
      <c r="E136" s="13">
        <v>5</v>
      </c>
      <c r="F136" s="14">
        <f t="shared" si="45"/>
        <v>0.39999999999999997</v>
      </c>
      <c r="G136" s="2">
        <v>70.701400800000002</v>
      </c>
      <c r="H136" s="2">
        <f t="shared" si="46"/>
        <v>0.41151345591423188</v>
      </c>
      <c r="I136" s="2">
        <v>28.4</v>
      </c>
      <c r="J136" s="4">
        <f t="shared" si="47"/>
        <v>0.22450592885375492</v>
      </c>
      <c r="K136" s="2">
        <v>0</v>
      </c>
      <c r="L136" s="4">
        <f t="shared" si="48"/>
        <v>0</v>
      </c>
      <c r="M136" s="2">
        <v>15111</v>
      </c>
      <c r="N136" s="2">
        <f t="shared" si="49"/>
        <v>7.0365691520820617E-2</v>
      </c>
      <c r="O136" s="2">
        <v>0.12437026599999999</v>
      </c>
      <c r="P136" s="2">
        <f t="shared" si="50"/>
        <v>6.6220789304868979E-2</v>
      </c>
      <c r="Q136" s="2">
        <v>0.34649999999999997</v>
      </c>
      <c r="R136" s="2">
        <f t="shared" si="51"/>
        <v>0.8439490445859873</v>
      </c>
      <c r="S136" s="2">
        <f t="shared" si="52"/>
        <v>4.0521996044995012E-2</v>
      </c>
      <c r="T136" s="5">
        <f t="shared" si="53"/>
        <v>0.10583596651790812</v>
      </c>
      <c r="U136" s="2" t="str">
        <f t="shared" si="54"/>
        <v>No Impact</v>
      </c>
      <c r="V136" s="2">
        <f t="shared" si="55"/>
        <v>7.5147513295835369E-2</v>
      </c>
      <c r="W136" s="2">
        <f t="shared" si="56"/>
        <v>0.18228038943350081</v>
      </c>
      <c r="X136" s="2" t="s">
        <v>1176</v>
      </c>
      <c r="Y136" s="2">
        <f t="shared" si="57"/>
        <v>5.8964787941546536E-3</v>
      </c>
      <c r="Z136" s="2">
        <f t="shared" si="58"/>
        <v>1.5071870326020852E-2</v>
      </c>
      <c r="AA136" s="2" t="str">
        <f t="shared" si="59"/>
        <v>No Impact</v>
      </c>
      <c r="AB136" s="2">
        <f t="shared" si="60"/>
        <v>3.0263516539451245E-2</v>
      </c>
      <c r="AC136" s="2">
        <f t="shared" si="61"/>
        <v>0.10995639173103078</v>
      </c>
      <c r="AD136" s="2" t="str">
        <f t="shared" si="62"/>
        <v>No Impact</v>
      </c>
      <c r="AE136" s="2">
        <f t="shared" si="63"/>
        <v>6.2655521361784771E-3</v>
      </c>
      <c r="AF136" s="2">
        <f t="shared" si="64"/>
        <v>4.7731701017462207E-2</v>
      </c>
      <c r="AG136" s="2" t="s">
        <v>1176</v>
      </c>
    </row>
    <row r="137" spans="1:33" x14ac:dyDescent="0.3">
      <c r="A137">
        <v>205165</v>
      </c>
      <c r="B137" t="s">
        <v>288</v>
      </c>
      <c r="C137" t="s">
        <v>282</v>
      </c>
      <c r="D137" t="s">
        <v>289</v>
      </c>
      <c r="E137" s="13">
        <v>6.5</v>
      </c>
      <c r="F137" s="14">
        <f t="shared" si="45"/>
        <v>0.73333333333333328</v>
      </c>
      <c r="G137" s="2">
        <v>70.701400800000002</v>
      </c>
      <c r="H137" s="2">
        <f t="shared" si="46"/>
        <v>0.41151345591423188</v>
      </c>
      <c r="I137" s="2">
        <v>32.799999999999997</v>
      </c>
      <c r="J137" s="4">
        <f t="shared" si="47"/>
        <v>0.25928853754940712</v>
      </c>
      <c r="K137" s="2">
        <v>0</v>
      </c>
      <c r="L137" s="4">
        <f t="shared" si="48"/>
        <v>0</v>
      </c>
      <c r="M137" s="2">
        <v>18858</v>
      </c>
      <c r="N137" s="2">
        <f t="shared" si="49"/>
        <v>8.8094325606923013E-2</v>
      </c>
      <c r="O137" s="2">
        <v>0.267525344</v>
      </c>
      <c r="P137" s="2">
        <f t="shared" si="50"/>
        <v>0.23159212317526254</v>
      </c>
      <c r="Q137" s="2">
        <v>0.31459999999999999</v>
      </c>
      <c r="R137" s="2">
        <f t="shared" si="51"/>
        <v>0.75159235668789814</v>
      </c>
      <c r="S137" s="2">
        <f t="shared" si="52"/>
        <v>8.4638670659455628E-2</v>
      </c>
      <c r="T137" s="5">
        <f t="shared" si="53"/>
        <v>0.22106056927915832</v>
      </c>
      <c r="U137" s="2" t="str">
        <f t="shared" si="54"/>
        <v>Low</v>
      </c>
      <c r="V137" s="2">
        <f t="shared" si="55"/>
        <v>0.1294035437921576</v>
      </c>
      <c r="W137" s="2">
        <f t="shared" si="56"/>
        <v>0.3138856806033099</v>
      </c>
      <c r="X137" s="2" t="str">
        <f t="shared" si="65"/>
        <v>Moderate</v>
      </c>
      <c r="Y137" s="2">
        <f t="shared" si="57"/>
        <v>3.9873797526753629E-2</v>
      </c>
      <c r="Z137" s="2">
        <f t="shared" si="58"/>
        <v>0.10192060833407947</v>
      </c>
      <c r="AA137" s="2" t="str">
        <f t="shared" si="59"/>
        <v>No Impact</v>
      </c>
      <c r="AB137" s="2">
        <f t="shared" si="60"/>
        <v>6.2561977041105887E-2</v>
      </c>
      <c r="AC137" s="2">
        <f t="shared" si="61"/>
        <v>0.22730634247451298</v>
      </c>
      <c r="AD137" s="2" t="str">
        <f t="shared" si="62"/>
        <v>Low</v>
      </c>
      <c r="AE137" s="2">
        <f t="shared" si="63"/>
        <v>1.5167421302356104E-2</v>
      </c>
      <c r="AF137" s="2">
        <f t="shared" si="64"/>
        <v>0.11554717015753938</v>
      </c>
      <c r="AG137" s="2" t="s">
        <v>1175</v>
      </c>
    </row>
    <row r="138" spans="1:33" x14ac:dyDescent="0.3">
      <c r="A138">
        <v>205173</v>
      </c>
      <c r="B138" t="s">
        <v>290</v>
      </c>
      <c r="C138" t="s">
        <v>282</v>
      </c>
      <c r="D138" t="s">
        <v>291</v>
      </c>
      <c r="E138" s="13">
        <v>6.5</v>
      </c>
      <c r="F138" s="14">
        <f t="shared" si="45"/>
        <v>0.73333333333333328</v>
      </c>
      <c r="G138" s="2">
        <v>91.724839200000005</v>
      </c>
      <c r="H138" s="2">
        <f t="shared" si="46"/>
        <v>0.63865369433651964</v>
      </c>
      <c r="I138" s="2">
        <v>43.9</v>
      </c>
      <c r="J138" s="4">
        <f t="shared" si="47"/>
        <v>0.34703557312252964</v>
      </c>
      <c r="K138" s="2">
        <v>0</v>
      </c>
      <c r="L138" s="4">
        <f t="shared" si="48"/>
        <v>0</v>
      </c>
      <c r="M138" s="2">
        <v>8289</v>
      </c>
      <c r="N138" s="2">
        <f t="shared" si="49"/>
        <v>3.8087938188717453E-2</v>
      </c>
      <c r="O138" s="2">
        <v>0.33163387999999999</v>
      </c>
      <c r="P138" s="2">
        <f t="shared" si="50"/>
        <v>0.30564967152711453</v>
      </c>
      <c r="Q138" s="2">
        <v>0.27060000000000001</v>
      </c>
      <c r="R138" s="2">
        <f t="shared" si="51"/>
        <v>0.62420382165605104</v>
      </c>
      <c r="S138" s="2">
        <f t="shared" si="52"/>
        <v>0.11762348142929389</v>
      </c>
      <c r="T138" s="5">
        <f t="shared" si="53"/>
        <v>0.30721080048592825</v>
      </c>
      <c r="U138" s="2" t="str">
        <f t="shared" si="54"/>
        <v>Moderate</v>
      </c>
      <c r="V138" s="2">
        <f t="shared" si="55"/>
        <v>0.15791955864641158</v>
      </c>
      <c r="W138" s="2">
        <f t="shared" si="56"/>
        <v>0.3830551057080655</v>
      </c>
      <c r="X138" s="2" t="str">
        <f t="shared" si="65"/>
        <v>Moderate</v>
      </c>
      <c r="Y138" s="2">
        <f t="shared" si="57"/>
        <v>7.732740421217621E-2</v>
      </c>
      <c r="Z138" s="2">
        <f t="shared" si="58"/>
        <v>0.19765501575093944</v>
      </c>
      <c r="AA138" s="2" t="str">
        <f t="shared" si="59"/>
        <v>Low</v>
      </c>
      <c r="AB138" s="2">
        <f t="shared" si="60"/>
        <v>8.1842668114885164E-2</v>
      </c>
      <c r="AC138" s="2">
        <f t="shared" si="61"/>
        <v>0.29735885001407153</v>
      </c>
      <c r="AD138" s="2" t="str">
        <f t="shared" si="62"/>
        <v>Low</v>
      </c>
      <c r="AE138" s="2">
        <f t="shared" si="63"/>
        <v>9.6360037856806947E-3</v>
      </c>
      <c r="AF138" s="2">
        <f t="shared" si="64"/>
        <v>7.340819160141504E-2</v>
      </c>
      <c r="AG138" s="2" t="s">
        <v>1175</v>
      </c>
    </row>
    <row r="139" spans="1:33" x14ac:dyDescent="0.3">
      <c r="A139">
        <v>207507</v>
      </c>
      <c r="B139" t="s">
        <v>292</v>
      </c>
      <c r="C139" t="s">
        <v>293</v>
      </c>
      <c r="D139" t="s">
        <v>294</v>
      </c>
      <c r="E139" s="13">
        <v>6.6</v>
      </c>
      <c r="F139" s="14">
        <f t="shared" si="45"/>
        <v>0.75555555555555542</v>
      </c>
      <c r="G139" s="2">
        <v>77.6482776</v>
      </c>
      <c r="H139" s="2">
        <f t="shared" si="46"/>
        <v>0.48656850745338726</v>
      </c>
      <c r="I139" s="2">
        <v>33</v>
      </c>
      <c r="J139" s="4">
        <f t="shared" si="47"/>
        <v>0.2608695652173913</v>
      </c>
      <c r="K139" s="2">
        <v>0</v>
      </c>
      <c r="L139" s="4">
        <f t="shared" si="48"/>
        <v>0</v>
      </c>
      <c r="M139" s="2">
        <v>35521</v>
      </c>
      <c r="N139" s="2">
        <f t="shared" si="49"/>
        <v>0.16693399194712163</v>
      </c>
      <c r="O139" s="2">
        <v>0.28711009999999998</v>
      </c>
      <c r="P139" s="2">
        <f t="shared" si="50"/>
        <v>0.25421624010142696</v>
      </c>
      <c r="Q139" s="2">
        <v>0.2717</v>
      </c>
      <c r="R139" s="2">
        <f t="shared" si="51"/>
        <v>0.62738853503184722</v>
      </c>
      <c r="S139" s="2">
        <f t="shared" si="52"/>
        <v>8.7127168782192621E-2</v>
      </c>
      <c r="T139" s="5">
        <f t="shared" si="53"/>
        <v>0.22756006658194233</v>
      </c>
      <c r="U139" s="2" t="str">
        <f t="shared" si="54"/>
        <v>Low</v>
      </c>
      <c r="V139" s="2">
        <f t="shared" si="55"/>
        <v>0.12400701158967488</v>
      </c>
      <c r="W139" s="2">
        <f t="shared" si="56"/>
        <v>0.3007956667317066</v>
      </c>
      <c r="X139" s="2" t="str">
        <f t="shared" si="65"/>
        <v>Moderate</v>
      </c>
      <c r="Y139" s="2">
        <f t="shared" si="57"/>
        <v>5.024732597471037E-2</v>
      </c>
      <c r="Z139" s="2">
        <f t="shared" si="58"/>
        <v>0.12843617483554556</v>
      </c>
      <c r="AA139" s="2" t="str">
        <f t="shared" si="59"/>
        <v>No Impact</v>
      </c>
      <c r="AB139" s="2">
        <f t="shared" si="60"/>
        <v>7.0025069633587678E-2</v>
      </c>
      <c r="AC139" s="2">
        <f t="shared" si="61"/>
        <v>0.25442198620858253</v>
      </c>
      <c r="AD139" s="2" t="str">
        <f t="shared" si="62"/>
        <v>Low</v>
      </c>
      <c r="AE139" s="2">
        <f t="shared" si="63"/>
        <v>3.299547938510957E-2</v>
      </c>
      <c r="AF139" s="2">
        <f t="shared" si="64"/>
        <v>0.25136337910971063</v>
      </c>
      <c r="AG139" s="2" t="s">
        <v>1175</v>
      </c>
    </row>
    <row r="140" spans="1:33" x14ac:dyDescent="0.3">
      <c r="A140">
        <v>207510</v>
      </c>
      <c r="B140" t="s">
        <v>295</v>
      </c>
      <c r="C140" t="s">
        <v>293</v>
      </c>
      <c r="D140" t="s">
        <v>296</v>
      </c>
      <c r="E140" s="13">
        <v>6.5</v>
      </c>
      <c r="F140" s="14">
        <f t="shared" si="45"/>
        <v>0.73333333333333328</v>
      </c>
      <c r="G140" s="2">
        <v>70.3357776</v>
      </c>
      <c r="H140" s="2">
        <f t="shared" si="46"/>
        <v>0.40756321051475808</v>
      </c>
      <c r="I140" s="2">
        <v>38.5</v>
      </c>
      <c r="J140" s="4">
        <f t="shared" si="47"/>
        <v>0.30434782608695654</v>
      </c>
      <c r="K140" s="2">
        <v>0</v>
      </c>
      <c r="L140" s="4">
        <f t="shared" si="48"/>
        <v>0</v>
      </c>
      <c r="M140" s="2">
        <v>14588</v>
      </c>
      <c r="N140" s="2">
        <f t="shared" si="49"/>
        <v>6.789115839377724E-2</v>
      </c>
      <c r="O140" s="2">
        <v>0.242151486</v>
      </c>
      <c r="P140" s="2">
        <f t="shared" si="50"/>
        <v>0.20228049272860835</v>
      </c>
      <c r="Q140" s="2">
        <v>0.32990000000000003</v>
      </c>
      <c r="R140" s="2">
        <f t="shared" si="51"/>
        <v>0.7958888245512451</v>
      </c>
      <c r="S140" s="2">
        <f t="shared" si="52"/>
        <v>9.119466168231985E-2</v>
      </c>
      <c r="T140" s="5">
        <f t="shared" si="53"/>
        <v>0.23818360649620735</v>
      </c>
      <c r="U140" s="2" t="str">
        <f t="shared" si="54"/>
        <v>Low</v>
      </c>
      <c r="V140" s="2">
        <f t="shared" si="55"/>
        <v>0.14542785644720591</v>
      </c>
      <c r="W140" s="2">
        <f t="shared" si="56"/>
        <v>0.35275480378596957</v>
      </c>
      <c r="X140" s="2" t="str">
        <f t="shared" si="65"/>
        <v>Moderate</v>
      </c>
      <c r="Y140" s="2">
        <f t="shared" si="57"/>
        <v>3.6961466917433815E-2</v>
      </c>
      <c r="Z140" s="2">
        <f t="shared" si="58"/>
        <v>9.4476458898032453E-2</v>
      </c>
      <c r="AA140" s="2" t="str">
        <f t="shared" si="59"/>
        <v>No Impact</v>
      </c>
      <c r="AB140" s="2">
        <f t="shared" si="60"/>
        <v>6.6330056266265966E-2</v>
      </c>
      <c r="AC140" s="2">
        <f t="shared" si="61"/>
        <v>0.24099689938038846</v>
      </c>
      <c r="AD140" s="2" t="str">
        <f t="shared" si="62"/>
        <v>Low</v>
      </c>
      <c r="AE140" s="2">
        <f t="shared" si="63"/>
        <v>1.2405332670039321E-2</v>
      </c>
      <c r="AF140" s="2">
        <f t="shared" si="64"/>
        <v>9.4505259418306758E-2</v>
      </c>
      <c r="AG140" s="2" t="s">
        <v>1175</v>
      </c>
    </row>
    <row r="141" spans="1:33" x14ac:dyDescent="0.3">
      <c r="A141">
        <v>207521</v>
      </c>
      <c r="B141" t="s">
        <v>297</v>
      </c>
      <c r="C141" t="s">
        <v>293</v>
      </c>
      <c r="D141" t="s">
        <v>1132</v>
      </c>
      <c r="E141" s="13">
        <v>6.4</v>
      </c>
      <c r="F141" s="14">
        <f t="shared" si="45"/>
        <v>0.71111111111111114</v>
      </c>
      <c r="G141" s="2">
        <v>82.615856399999998</v>
      </c>
      <c r="H141" s="2">
        <f t="shared" si="46"/>
        <v>0.54023894002228146</v>
      </c>
      <c r="I141" s="2">
        <v>22.5</v>
      </c>
      <c r="J141" s="4">
        <f t="shared" si="47"/>
        <v>0.17786561264822134</v>
      </c>
      <c r="K141" s="2">
        <v>0</v>
      </c>
      <c r="L141" s="4">
        <f t="shared" si="48"/>
        <v>0</v>
      </c>
      <c r="M141" s="2">
        <v>38608</v>
      </c>
      <c r="N141" s="2">
        <f t="shared" si="49"/>
        <v>0.18153988824383852</v>
      </c>
      <c r="O141" s="2">
        <v>0.14102393299999999</v>
      </c>
      <c r="P141" s="2">
        <f t="shared" si="50"/>
        <v>8.5458941133638583E-2</v>
      </c>
      <c r="Q141" s="2">
        <v>0.21809999999999999</v>
      </c>
      <c r="R141" s="2">
        <f t="shared" si="51"/>
        <v>0.47220613781123338</v>
      </c>
      <c r="S141" s="2">
        <f t="shared" si="52"/>
        <v>4.9835250211372008E-2</v>
      </c>
      <c r="T141" s="5">
        <f t="shared" si="53"/>
        <v>0.13016046561294192</v>
      </c>
      <c r="U141" s="2" t="str">
        <f t="shared" si="54"/>
        <v>No Impact</v>
      </c>
      <c r="V141" s="2">
        <f t="shared" si="55"/>
        <v>8.439657392101016E-2</v>
      </c>
      <c r="W141" s="2">
        <f t="shared" si="56"/>
        <v>0.20471522857466973</v>
      </c>
      <c r="X141" s="2" t="s">
        <v>1176</v>
      </c>
      <c r="Y141" s="2">
        <f t="shared" si="57"/>
        <v>1.5273926501733851E-2</v>
      </c>
      <c r="Z141" s="2">
        <f t="shared" si="58"/>
        <v>3.9041374969671097E-2</v>
      </c>
      <c r="AA141" s="2" t="str">
        <f t="shared" si="59"/>
        <v>No Impact</v>
      </c>
      <c r="AB141" s="2">
        <f t="shared" si="60"/>
        <v>4.5477185741488006E-2</v>
      </c>
      <c r="AC141" s="2">
        <f t="shared" si="61"/>
        <v>0.1652321944707677</v>
      </c>
      <c r="AD141" s="2" t="str">
        <f t="shared" si="62"/>
        <v>Low</v>
      </c>
      <c r="AE141" s="2">
        <f t="shared" si="63"/>
        <v>3.2446305481755131E-2</v>
      </c>
      <c r="AF141" s="2">
        <f t="shared" si="64"/>
        <v>0.24717970878157658</v>
      </c>
      <c r="AG141" s="2" t="s">
        <v>1175</v>
      </c>
    </row>
    <row r="142" spans="1:33" x14ac:dyDescent="0.3">
      <c r="A142">
        <v>207536</v>
      </c>
      <c r="B142" t="s">
        <v>298</v>
      </c>
      <c r="C142" t="s">
        <v>293</v>
      </c>
      <c r="D142" t="s">
        <v>299</v>
      </c>
      <c r="E142" s="13">
        <v>6.5</v>
      </c>
      <c r="F142" s="14">
        <f t="shared" si="45"/>
        <v>0.73333333333333328</v>
      </c>
      <c r="G142" s="2">
        <v>103.4740584</v>
      </c>
      <c r="H142" s="2">
        <f t="shared" si="46"/>
        <v>0.76559394072189302</v>
      </c>
      <c r="I142" s="2">
        <v>49.7</v>
      </c>
      <c r="J142" s="4">
        <f t="shared" si="47"/>
        <v>0.39288537549407115</v>
      </c>
      <c r="K142" s="2">
        <v>0</v>
      </c>
      <c r="L142" s="4">
        <f t="shared" si="48"/>
        <v>0</v>
      </c>
      <c r="M142" s="2">
        <v>64514</v>
      </c>
      <c r="N142" s="2">
        <f t="shared" si="49"/>
        <v>0.30411207789811356</v>
      </c>
      <c r="O142" s="2">
        <v>0.16654503000000001</v>
      </c>
      <c r="P142" s="2">
        <f t="shared" si="50"/>
        <v>0.1149406606205694</v>
      </c>
      <c r="Q142" s="2">
        <v>0.23</v>
      </c>
      <c r="R142" s="2">
        <f t="shared" si="51"/>
        <v>0.50665894614939211</v>
      </c>
      <c r="S142" s="2">
        <f t="shared" si="52"/>
        <v>9.2414153551075406E-2</v>
      </c>
      <c r="T142" s="5">
        <f t="shared" si="53"/>
        <v>0.24136869393482122</v>
      </c>
      <c r="U142" s="2" t="str">
        <f t="shared" si="54"/>
        <v>Low</v>
      </c>
      <c r="V142" s="2">
        <f t="shared" si="55"/>
        <v>0.15065150343572783</v>
      </c>
      <c r="W142" s="2">
        <f t="shared" si="56"/>
        <v>0.36542546134429066</v>
      </c>
      <c r="X142" s="2" t="str">
        <f t="shared" si="65"/>
        <v>Moderate</v>
      </c>
      <c r="Y142" s="2">
        <f t="shared" si="57"/>
        <v>3.4176803666422964E-2</v>
      </c>
      <c r="Z142" s="2">
        <f t="shared" si="58"/>
        <v>8.7358637417443513E-2</v>
      </c>
      <c r="AA142" s="2" t="str">
        <f t="shared" si="59"/>
        <v>No Impact</v>
      </c>
      <c r="AB142" s="2">
        <f t="shared" si="60"/>
        <v>9.4630029062166915E-2</v>
      </c>
      <c r="AC142" s="2">
        <f t="shared" si="61"/>
        <v>0.3438191504121591</v>
      </c>
      <c r="AD142" s="2" t="str">
        <f t="shared" si="62"/>
        <v>Moderate</v>
      </c>
      <c r="AE142" s="2">
        <f t="shared" si="63"/>
        <v>9.0425605027815131E-2</v>
      </c>
      <c r="AF142" s="2">
        <f t="shared" si="64"/>
        <v>0.68887272018509482</v>
      </c>
      <c r="AG142" s="2" t="str">
        <f t="shared" si="66"/>
        <v>Moderate</v>
      </c>
    </row>
    <row r="143" spans="1:33" x14ac:dyDescent="0.3">
      <c r="A143">
        <v>207547</v>
      </c>
      <c r="B143" t="s">
        <v>300</v>
      </c>
      <c r="C143" t="s">
        <v>293</v>
      </c>
      <c r="D143" t="s">
        <v>301</v>
      </c>
      <c r="E143" s="13">
        <v>6.5</v>
      </c>
      <c r="F143" s="14">
        <f t="shared" si="45"/>
        <v>0.73333333333333328</v>
      </c>
      <c r="G143" s="2">
        <v>82.615856399999998</v>
      </c>
      <c r="H143" s="2">
        <f t="shared" si="46"/>
        <v>0.54023894002228146</v>
      </c>
      <c r="I143" s="2">
        <v>24.9</v>
      </c>
      <c r="J143" s="4">
        <f t="shared" si="47"/>
        <v>0.19683794466403162</v>
      </c>
      <c r="K143" s="2">
        <v>0</v>
      </c>
      <c r="L143" s="4">
        <f t="shared" si="48"/>
        <v>0</v>
      </c>
      <c r="M143" s="2">
        <v>22882</v>
      </c>
      <c r="N143" s="2">
        <f t="shared" si="49"/>
        <v>0.10713356328038873</v>
      </c>
      <c r="O143" s="2">
        <v>0.36309759699999999</v>
      </c>
      <c r="P143" s="2">
        <f t="shared" si="50"/>
        <v>0.34199624701366887</v>
      </c>
      <c r="Q143" s="2">
        <v>0.27239999999999998</v>
      </c>
      <c r="R143" s="2">
        <f t="shared" si="51"/>
        <v>0.62941517081644471</v>
      </c>
      <c r="S143" s="2">
        <f t="shared" si="52"/>
        <v>9.1887295705709943E-2</v>
      </c>
      <c r="T143" s="5">
        <f t="shared" si="53"/>
        <v>0.23999263858898187</v>
      </c>
      <c r="U143" s="2" t="str">
        <f t="shared" si="54"/>
        <v>Low</v>
      </c>
      <c r="V143" s="2">
        <f t="shared" si="55"/>
        <v>0.11907469247512008</v>
      </c>
      <c r="W143" s="2">
        <f t="shared" si="56"/>
        <v>0.2888316640710733</v>
      </c>
      <c r="X143" s="2" t="s">
        <v>1175</v>
      </c>
      <c r="Y143" s="2">
        <f t="shared" si="57"/>
        <v>6.4699898936299766E-2</v>
      </c>
      <c r="Z143" s="2">
        <f t="shared" si="58"/>
        <v>0.16537810461410576</v>
      </c>
      <c r="AA143" s="2" t="str">
        <f t="shared" si="59"/>
        <v>Low</v>
      </c>
      <c r="AB143" s="2">
        <f t="shared" si="60"/>
        <v>6.8179861677795384E-2</v>
      </c>
      <c r="AC143" s="2">
        <f t="shared" si="61"/>
        <v>0.2477177947591909</v>
      </c>
      <c r="AD143" s="2" t="str">
        <f t="shared" si="62"/>
        <v>Low</v>
      </c>
      <c r="AE143" s="2">
        <f t="shared" si="63"/>
        <v>2.0267856087466909E-2</v>
      </c>
      <c r="AF143" s="2">
        <f t="shared" si="64"/>
        <v>0.15440287240542794</v>
      </c>
      <c r="AG143" s="2" t="s">
        <v>1175</v>
      </c>
    </row>
    <row r="144" spans="1:33" x14ac:dyDescent="0.3">
      <c r="A144">
        <v>207580</v>
      </c>
      <c r="B144" t="s">
        <v>302</v>
      </c>
      <c r="C144" t="s">
        <v>293</v>
      </c>
      <c r="D144" t="s">
        <v>303</v>
      </c>
      <c r="E144" s="13">
        <v>6.6</v>
      </c>
      <c r="F144" s="14">
        <f t="shared" si="45"/>
        <v>0.75555555555555542</v>
      </c>
      <c r="G144" s="2">
        <v>82.615856399999998</v>
      </c>
      <c r="H144" s="2">
        <f t="shared" si="46"/>
        <v>0.54023894002228146</v>
      </c>
      <c r="I144" s="2">
        <v>28.5</v>
      </c>
      <c r="J144" s="4">
        <f t="shared" si="47"/>
        <v>0.22529644268774704</v>
      </c>
      <c r="K144" s="2">
        <v>0</v>
      </c>
      <c r="L144" s="4">
        <f t="shared" si="48"/>
        <v>0</v>
      </c>
      <c r="M144" s="2">
        <v>19359</v>
      </c>
      <c r="N144" s="2">
        <f t="shared" si="49"/>
        <v>9.046476747432021E-2</v>
      </c>
      <c r="O144" s="2">
        <v>0.14980753199999999</v>
      </c>
      <c r="P144" s="2">
        <f t="shared" si="50"/>
        <v>9.5605668047598666E-2</v>
      </c>
      <c r="Q144" s="2">
        <v>0.2445</v>
      </c>
      <c r="R144" s="2">
        <f t="shared" si="51"/>
        <v>0.5486392588303417</v>
      </c>
      <c r="S144" s="2">
        <f t="shared" si="52"/>
        <v>6.5210980124581444E-2</v>
      </c>
      <c r="T144" s="5">
        <f t="shared" si="53"/>
        <v>0.17031903120965874</v>
      </c>
      <c r="U144" s="2" t="str">
        <f t="shared" si="54"/>
        <v>Low</v>
      </c>
      <c r="V144" s="2">
        <f t="shared" si="55"/>
        <v>0.11106739784985201</v>
      </c>
      <c r="W144" s="2">
        <f t="shared" si="56"/>
        <v>0.26940889519172662</v>
      </c>
      <c r="X144" s="2" t="s">
        <v>1175</v>
      </c>
      <c r="Y144" s="2">
        <f t="shared" si="57"/>
        <v>1.9354562399310885E-2</v>
      </c>
      <c r="Z144" s="2">
        <f t="shared" si="58"/>
        <v>4.947180595111654E-2</v>
      </c>
      <c r="AA144" s="2" t="str">
        <f t="shared" si="59"/>
        <v>No Impact</v>
      </c>
      <c r="AB144" s="2">
        <f t="shared" si="60"/>
        <v>5.1089798596692507E-2</v>
      </c>
      <c r="AC144" s="2">
        <f t="shared" si="61"/>
        <v>0.18562449279925122</v>
      </c>
      <c r="AD144" s="2" t="str">
        <f t="shared" si="62"/>
        <v>Low</v>
      </c>
      <c r="AE144" s="2">
        <f t="shared" si="63"/>
        <v>1.8313830369860146E-2</v>
      </c>
      <c r="AF144" s="2">
        <f t="shared" si="64"/>
        <v>0.13951687843297569</v>
      </c>
      <c r="AG144" s="2" t="s">
        <v>1175</v>
      </c>
    </row>
    <row r="145" spans="1:33" x14ac:dyDescent="0.3">
      <c r="A145">
        <v>207583</v>
      </c>
      <c r="B145" t="s">
        <v>304</v>
      </c>
      <c r="C145" t="s">
        <v>293</v>
      </c>
      <c r="D145" t="s">
        <v>305</v>
      </c>
      <c r="E145" s="13">
        <v>6.5</v>
      </c>
      <c r="F145" s="14">
        <f t="shared" si="45"/>
        <v>0.73333333333333328</v>
      </c>
      <c r="G145" s="2">
        <v>70.3357776</v>
      </c>
      <c r="H145" s="2">
        <f t="shared" si="46"/>
        <v>0.40756321051475808</v>
      </c>
      <c r="I145" s="2">
        <v>29.6</v>
      </c>
      <c r="J145" s="4">
        <f t="shared" si="47"/>
        <v>0.23399209486166009</v>
      </c>
      <c r="K145" s="2">
        <v>0</v>
      </c>
      <c r="L145" s="4">
        <f t="shared" si="48"/>
        <v>0</v>
      </c>
      <c r="M145" s="2">
        <v>20762</v>
      </c>
      <c r="N145" s="2">
        <f t="shared" si="49"/>
        <v>9.7102950987210973E-2</v>
      </c>
      <c r="O145" s="2">
        <v>0.32153397099999997</v>
      </c>
      <c r="P145" s="2">
        <f t="shared" si="50"/>
        <v>0.29398235628664787</v>
      </c>
      <c r="Q145" s="2">
        <v>0.26829999999999998</v>
      </c>
      <c r="R145" s="2">
        <f t="shared" si="51"/>
        <v>0.61754487550665893</v>
      </c>
      <c r="S145" s="2">
        <f t="shared" si="52"/>
        <v>7.504870854918308E-2</v>
      </c>
      <c r="T145" s="5">
        <f t="shared" si="53"/>
        <v>0.19601336016132972</v>
      </c>
      <c r="U145" s="2" t="str">
        <f t="shared" si="54"/>
        <v>Low</v>
      </c>
      <c r="V145" s="2">
        <f t="shared" si="55"/>
        <v>0.1016885590719246</v>
      </c>
      <c r="W145" s="2">
        <f t="shared" si="56"/>
        <v>0.24665926170559277</v>
      </c>
      <c r="X145" s="2" t="s">
        <v>1175</v>
      </c>
      <c r="Y145" s="2">
        <f t="shared" si="57"/>
        <v>4.8408858026441563E-2</v>
      </c>
      <c r="Z145" s="2">
        <f t="shared" si="58"/>
        <v>0.12373690405340998</v>
      </c>
      <c r="AA145" s="2" t="str">
        <f t="shared" si="59"/>
        <v>No Impact</v>
      </c>
      <c r="AB145" s="2">
        <f t="shared" si="60"/>
        <v>5.5709992467830122E-2</v>
      </c>
      <c r="AC145" s="2">
        <f t="shared" si="61"/>
        <v>0.20241103664011206</v>
      </c>
      <c r="AD145" s="2" t="str">
        <f t="shared" si="62"/>
        <v>Low</v>
      </c>
      <c r="AE145" s="2">
        <f t="shared" si="63"/>
        <v>1.5989541099211548E-2</v>
      </c>
      <c r="AF145" s="2">
        <f t="shared" si="64"/>
        <v>0.12181017387870466</v>
      </c>
      <c r="AG145" s="2" t="s">
        <v>1175</v>
      </c>
    </row>
    <row r="146" spans="1:33" x14ac:dyDescent="0.3">
      <c r="A146">
        <v>207585</v>
      </c>
      <c r="B146" t="s">
        <v>306</v>
      </c>
      <c r="C146" t="s">
        <v>293</v>
      </c>
      <c r="D146" t="s">
        <v>307</v>
      </c>
      <c r="E146" s="13">
        <v>6.5</v>
      </c>
      <c r="F146" s="14">
        <f t="shared" si="45"/>
        <v>0.73333333333333328</v>
      </c>
      <c r="G146" s="2">
        <v>91.724839200000005</v>
      </c>
      <c r="H146" s="2">
        <f t="shared" si="46"/>
        <v>0.63865369433651964</v>
      </c>
      <c r="I146" s="2">
        <v>37.4</v>
      </c>
      <c r="J146" s="4">
        <f t="shared" si="47"/>
        <v>0.29565217391304349</v>
      </c>
      <c r="K146" s="2">
        <v>0</v>
      </c>
      <c r="L146" s="4">
        <f t="shared" si="48"/>
        <v>0</v>
      </c>
      <c r="M146" s="2">
        <v>36232</v>
      </c>
      <c r="N146" s="2">
        <f t="shared" si="49"/>
        <v>0.17029803220205059</v>
      </c>
      <c r="O146" s="2">
        <v>0.23003343400000001</v>
      </c>
      <c r="P146" s="2">
        <f t="shared" si="50"/>
        <v>0.18828183860366846</v>
      </c>
      <c r="Q146" s="2">
        <v>0.2452</v>
      </c>
      <c r="R146" s="2">
        <f t="shared" si="51"/>
        <v>0.5506658946149392</v>
      </c>
      <c r="S146" s="2">
        <f t="shared" si="52"/>
        <v>8.8601744446068401E-2</v>
      </c>
      <c r="T146" s="5">
        <f t="shared" si="53"/>
        <v>0.23141138576219172</v>
      </c>
      <c r="U146" s="2" t="str">
        <f t="shared" si="54"/>
        <v>Low</v>
      </c>
      <c r="V146" s="2">
        <f t="shared" si="55"/>
        <v>0.13205253004113252</v>
      </c>
      <c r="W146" s="2">
        <f t="shared" si="56"/>
        <v>0.32031115263677901</v>
      </c>
      <c r="X146" s="2" t="str">
        <f t="shared" si="65"/>
        <v>Moderate</v>
      </c>
      <c r="Y146" s="2">
        <f t="shared" si="57"/>
        <v>4.51509588510043E-2</v>
      </c>
      <c r="Z146" s="2">
        <f t="shared" si="58"/>
        <v>0.11540945378663084</v>
      </c>
      <c r="AA146" s="2" t="str">
        <f t="shared" si="59"/>
        <v>No Impact</v>
      </c>
      <c r="AB146" s="2">
        <f t="shared" si="60"/>
        <v>7.4057095336620304E-2</v>
      </c>
      <c r="AC146" s="2">
        <f t="shared" si="61"/>
        <v>0.26907153947825291</v>
      </c>
      <c r="AD146" s="2" t="str">
        <f t="shared" si="62"/>
        <v>Low</v>
      </c>
      <c r="AE146" s="2">
        <f t="shared" si="63"/>
        <v>4.0838349048350424E-2</v>
      </c>
      <c r="AF146" s="2">
        <f t="shared" si="64"/>
        <v>0.3111112675237499</v>
      </c>
      <c r="AG146" s="2" t="str">
        <f t="shared" si="66"/>
        <v>Moderate</v>
      </c>
    </row>
    <row r="147" spans="1:33" x14ac:dyDescent="0.3">
      <c r="A147">
        <v>207587</v>
      </c>
      <c r="B147" t="s">
        <v>308</v>
      </c>
      <c r="C147" t="s">
        <v>293</v>
      </c>
      <c r="D147" t="s">
        <v>1133</v>
      </c>
      <c r="E147" s="13">
        <v>6.6</v>
      </c>
      <c r="F147" s="14">
        <f t="shared" si="45"/>
        <v>0.75555555555555542</v>
      </c>
      <c r="G147" s="2">
        <v>82.615856399999998</v>
      </c>
      <c r="H147" s="2">
        <f t="shared" si="46"/>
        <v>0.54023894002228146</v>
      </c>
      <c r="I147" s="2">
        <v>31.4</v>
      </c>
      <c r="J147" s="4">
        <f t="shared" si="47"/>
        <v>0.24822134387351777</v>
      </c>
      <c r="K147" s="2">
        <v>0</v>
      </c>
      <c r="L147" s="4">
        <f t="shared" si="48"/>
        <v>0</v>
      </c>
      <c r="M147" s="2">
        <v>46149</v>
      </c>
      <c r="N147" s="2">
        <f t="shared" si="49"/>
        <v>0.21721953319801471</v>
      </c>
      <c r="O147" s="2">
        <v>0.23030001899999999</v>
      </c>
      <c r="P147" s="2">
        <f t="shared" si="50"/>
        <v>0.18858979496578812</v>
      </c>
      <c r="Q147" s="2">
        <v>0.29170000000000001</v>
      </c>
      <c r="R147" s="2">
        <f t="shared" si="51"/>
        <v>0.6852924145917777</v>
      </c>
      <c r="S147" s="2">
        <f t="shared" si="52"/>
        <v>9.1103942655189243E-2</v>
      </c>
      <c r="T147" s="5">
        <f t="shared" si="53"/>
        <v>0.23794666515927837</v>
      </c>
      <c r="U147" s="2" t="str">
        <f t="shared" si="54"/>
        <v>Low</v>
      </c>
      <c r="V147" s="2">
        <f t="shared" si="55"/>
        <v>0.14288616968782181</v>
      </c>
      <c r="W147" s="2">
        <f t="shared" si="56"/>
        <v>0.34658960107999814</v>
      </c>
      <c r="X147" s="2" t="str">
        <f t="shared" si="65"/>
        <v>Moderate</v>
      </c>
      <c r="Y147" s="2">
        <f t="shared" si="57"/>
        <v>3.9321715622556722E-2</v>
      </c>
      <c r="Z147" s="2">
        <f t="shared" si="58"/>
        <v>0.10050944293183174</v>
      </c>
      <c r="AA147" s="2" t="str">
        <f t="shared" si="59"/>
        <v>No Impact</v>
      </c>
      <c r="AB147" s="2">
        <f t="shared" si="60"/>
        <v>7.7658569190754118E-2</v>
      </c>
      <c r="AC147" s="2">
        <f t="shared" si="61"/>
        <v>0.28215676932581452</v>
      </c>
      <c r="AD147" s="2" t="str">
        <f t="shared" si="62"/>
        <v>Low</v>
      </c>
      <c r="AE147" s="2">
        <f t="shared" si="63"/>
        <v>4.529112889499852E-2</v>
      </c>
      <c r="AF147" s="2">
        <f t="shared" si="64"/>
        <v>0.34503305952505642</v>
      </c>
      <c r="AG147" s="2" t="str">
        <f t="shared" si="66"/>
        <v>Moderate</v>
      </c>
    </row>
    <row r="148" spans="1:33" x14ac:dyDescent="0.3">
      <c r="A148">
        <v>208407</v>
      </c>
      <c r="B148" t="s">
        <v>309</v>
      </c>
      <c r="C148" t="s">
        <v>310</v>
      </c>
      <c r="D148" t="s">
        <v>311</v>
      </c>
      <c r="E148" s="13">
        <v>6.2</v>
      </c>
      <c r="F148" s="14">
        <f t="shared" si="45"/>
        <v>0.66666666666666663</v>
      </c>
      <c r="G148" s="2">
        <v>51.868202400000001</v>
      </c>
      <c r="H148" s="2">
        <f t="shared" si="46"/>
        <v>0.20803688403100232</v>
      </c>
      <c r="I148" s="2">
        <v>5.4</v>
      </c>
      <c r="J148" s="4">
        <f t="shared" si="47"/>
        <v>4.2687747035573126E-2</v>
      </c>
      <c r="K148" s="2">
        <v>0</v>
      </c>
      <c r="L148" s="4">
        <f t="shared" si="48"/>
        <v>0</v>
      </c>
      <c r="M148" s="2">
        <v>3903</v>
      </c>
      <c r="N148" s="2">
        <f t="shared" si="49"/>
        <v>1.7335926151982702E-2</v>
      </c>
      <c r="O148" s="2">
        <v>0.326368137</v>
      </c>
      <c r="P148" s="2">
        <f t="shared" si="50"/>
        <v>0.2995667371604504</v>
      </c>
      <c r="Q148" s="2">
        <v>0.40039999999999998</v>
      </c>
      <c r="R148" s="2">
        <f t="shared" si="51"/>
        <v>1</v>
      </c>
      <c r="S148" s="2">
        <f t="shared" si="52"/>
        <v>3.8013895584110495E-2</v>
      </c>
      <c r="T148" s="5">
        <f t="shared" si="53"/>
        <v>9.9285271529759592E-2</v>
      </c>
      <c r="U148" s="2" t="str">
        <f t="shared" si="54"/>
        <v>No Impact</v>
      </c>
      <c r="V148" s="2">
        <f t="shared" si="55"/>
        <v>5.8502413915534263E-2</v>
      </c>
      <c r="W148" s="2">
        <f t="shared" si="56"/>
        <v>0.14190546464715056</v>
      </c>
      <c r="X148" s="2" t="s">
        <v>1176</v>
      </c>
      <c r="Y148" s="2">
        <f t="shared" si="57"/>
        <v>1.7525377252686727E-2</v>
      </c>
      <c r="Z148" s="2">
        <f t="shared" si="58"/>
        <v>4.4796262750735165E-2</v>
      </c>
      <c r="AA148" s="2" t="str">
        <f t="shared" si="59"/>
        <v>No Impact</v>
      </c>
      <c r="AB148" s="2">
        <f t="shared" si="60"/>
        <v>2.6088425780816358E-2</v>
      </c>
      <c r="AC148" s="2">
        <f t="shared" si="61"/>
        <v>9.4787040397697975E-2</v>
      </c>
      <c r="AD148" s="2" t="str">
        <f t="shared" si="62"/>
        <v>No Impact</v>
      </c>
      <c r="AE148" s="2">
        <f t="shared" si="63"/>
        <v>1.0141935273524272E-3</v>
      </c>
      <c r="AF148" s="2">
        <f t="shared" si="64"/>
        <v>7.7262436205594249E-3</v>
      </c>
      <c r="AG148" s="2" t="s">
        <v>1176</v>
      </c>
    </row>
    <row r="149" spans="1:33" x14ac:dyDescent="0.3">
      <c r="A149">
        <v>208421</v>
      </c>
      <c r="B149" t="s">
        <v>312</v>
      </c>
      <c r="C149" t="s">
        <v>310</v>
      </c>
      <c r="D149" t="s">
        <v>313</v>
      </c>
      <c r="E149" s="13">
        <v>6.2</v>
      </c>
      <c r="F149" s="14">
        <f t="shared" si="45"/>
        <v>0.66666666666666663</v>
      </c>
      <c r="G149" s="2">
        <v>62.8615584</v>
      </c>
      <c r="H149" s="2">
        <f t="shared" si="46"/>
        <v>0.32681067618581405</v>
      </c>
      <c r="I149" s="2">
        <v>3.6</v>
      </c>
      <c r="J149" s="4">
        <f t="shared" si="47"/>
        <v>2.8458498023715417E-2</v>
      </c>
      <c r="K149" s="2">
        <v>0</v>
      </c>
      <c r="L149" s="4">
        <f t="shared" si="48"/>
        <v>0</v>
      </c>
      <c r="M149" s="2">
        <v>239</v>
      </c>
      <c r="N149" s="2">
        <f t="shared" si="49"/>
        <v>0</v>
      </c>
      <c r="O149" s="2">
        <v>0.36749565499999998</v>
      </c>
      <c r="P149" s="2">
        <f t="shared" si="50"/>
        <v>0.34707684022810836</v>
      </c>
      <c r="Q149" s="2">
        <v>0.37980000000000003</v>
      </c>
      <c r="R149" s="2">
        <f t="shared" si="51"/>
        <v>0.94035900405327166</v>
      </c>
      <c r="S149" s="2">
        <f t="shared" si="52"/>
        <v>5.3361731411985996E-2</v>
      </c>
      <c r="T149" s="5">
        <f t="shared" si="53"/>
        <v>0.13937098292950714</v>
      </c>
      <c r="U149" s="2" t="str">
        <f t="shared" si="54"/>
        <v>No Impact</v>
      </c>
      <c r="V149" s="2">
        <f t="shared" si="55"/>
        <v>7.7952132260450321E-2</v>
      </c>
      <c r="W149" s="2">
        <f t="shared" si="56"/>
        <v>0.18908336952773272</v>
      </c>
      <c r="X149" s="2" t="s">
        <v>1176</v>
      </c>
      <c r="Y149" s="2">
        <f t="shared" si="57"/>
        <v>2.8771330563521665E-2</v>
      </c>
      <c r="Z149" s="2">
        <f t="shared" si="58"/>
        <v>7.3541816819617217E-2</v>
      </c>
      <c r="AA149" s="2" t="str">
        <f t="shared" si="59"/>
        <v>No Impact</v>
      </c>
      <c r="AB149" s="2">
        <f t="shared" si="60"/>
        <v>3.5914645460214112E-2</v>
      </c>
      <c r="AC149" s="2">
        <f t="shared" si="61"/>
        <v>0.13048863042589418</v>
      </c>
      <c r="AD149" s="2" t="str">
        <f t="shared" si="62"/>
        <v>No Impact</v>
      </c>
      <c r="AE149" s="2">
        <f t="shared" si="63"/>
        <v>0</v>
      </c>
      <c r="AF149" s="2">
        <f t="shared" si="64"/>
        <v>0</v>
      </c>
      <c r="AG149" s="2" t="s">
        <v>1176</v>
      </c>
    </row>
    <row r="150" spans="1:33" x14ac:dyDescent="0.3">
      <c r="A150">
        <v>208425</v>
      </c>
      <c r="B150" t="s">
        <v>314</v>
      </c>
      <c r="C150" t="s">
        <v>310</v>
      </c>
      <c r="D150" t="s">
        <v>1134</v>
      </c>
      <c r="E150" s="13">
        <v>6.3</v>
      </c>
      <c r="F150" s="14">
        <f t="shared" si="45"/>
        <v>0.68888888888888877</v>
      </c>
      <c r="G150" s="2">
        <v>65.259215999999995</v>
      </c>
      <c r="H150" s="2">
        <f t="shared" si="46"/>
        <v>0.352715312171477</v>
      </c>
      <c r="I150" s="2">
        <v>6.1</v>
      </c>
      <c r="J150" s="4">
        <f t="shared" si="47"/>
        <v>4.8221343873517786E-2</v>
      </c>
      <c r="K150" s="2">
        <v>0</v>
      </c>
      <c r="L150" s="4">
        <f t="shared" si="48"/>
        <v>0</v>
      </c>
      <c r="M150" s="2">
        <v>5340</v>
      </c>
      <c r="N150" s="2">
        <f t="shared" si="49"/>
        <v>2.4134977975235745E-2</v>
      </c>
      <c r="O150" s="2">
        <v>0.65133871399999999</v>
      </c>
      <c r="P150" s="2">
        <f t="shared" si="50"/>
        <v>0.67496954185258595</v>
      </c>
      <c r="Q150" s="2">
        <v>0.35770000000000002</v>
      </c>
      <c r="R150" s="2">
        <f t="shared" si="51"/>
        <v>0.87637521713954847</v>
      </c>
      <c r="S150" s="2">
        <f t="shared" si="52"/>
        <v>7.4984468149656605E-2</v>
      </c>
      <c r="T150" s="5">
        <f t="shared" si="53"/>
        <v>0.19584557610731049</v>
      </c>
      <c r="U150" s="2" t="str">
        <f t="shared" si="54"/>
        <v>Low</v>
      </c>
      <c r="V150" s="2">
        <f t="shared" si="55"/>
        <v>8.4719439925709072E-2</v>
      </c>
      <c r="W150" s="2">
        <f t="shared" si="56"/>
        <v>0.20549838344553914</v>
      </c>
      <c r="X150" s="2" t="s">
        <v>1176</v>
      </c>
      <c r="Y150" s="2">
        <f t="shared" si="57"/>
        <v>6.5249496373604166E-2</v>
      </c>
      <c r="Z150" s="2">
        <f t="shared" si="58"/>
        <v>0.16678291952072036</v>
      </c>
      <c r="AA150" s="2" t="str">
        <f t="shared" si="59"/>
        <v>Low</v>
      </c>
      <c r="AB150" s="2">
        <f t="shared" si="60"/>
        <v>5.0043250185777481E-2</v>
      </c>
      <c r="AC150" s="2">
        <f t="shared" si="61"/>
        <v>0.1818220699418133</v>
      </c>
      <c r="AD150" s="2" t="str">
        <f t="shared" si="62"/>
        <v>Low</v>
      </c>
      <c r="AE150" s="2">
        <f t="shared" si="63"/>
        <v>2.3331351419944484E-3</v>
      </c>
      <c r="AF150" s="2">
        <f t="shared" si="64"/>
        <v>1.7774093425537651E-2</v>
      </c>
      <c r="AG150" s="2" t="s">
        <v>1176</v>
      </c>
    </row>
    <row r="151" spans="1:33" x14ac:dyDescent="0.3">
      <c r="A151">
        <v>208429</v>
      </c>
      <c r="B151" t="s">
        <v>315</v>
      </c>
      <c r="C151" t="s">
        <v>310</v>
      </c>
      <c r="D151" t="s">
        <v>316</v>
      </c>
      <c r="E151" s="13">
        <v>6.2</v>
      </c>
      <c r="F151" s="14">
        <f t="shared" si="45"/>
        <v>0.66666666666666663</v>
      </c>
      <c r="G151" s="2">
        <v>82.184306399999997</v>
      </c>
      <c r="H151" s="2">
        <f t="shared" si="46"/>
        <v>0.53557641203679562</v>
      </c>
      <c r="I151" s="2">
        <v>6</v>
      </c>
      <c r="J151" s="4">
        <f t="shared" si="47"/>
        <v>4.7430830039525688E-2</v>
      </c>
      <c r="K151" s="2">
        <v>0</v>
      </c>
      <c r="L151" s="4">
        <f t="shared" si="48"/>
        <v>0</v>
      </c>
      <c r="M151" s="2">
        <v>952</v>
      </c>
      <c r="N151" s="2">
        <f t="shared" si="49"/>
        <v>3.3735030967149745E-3</v>
      </c>
      <c r="O151" s="2">
        <v>0.37960215899999999</v>
      </c>
      <c r="P151" s="2">
        <f t="shared" si="50"/>
        <v>0.36106215421737009</v>
      </c>
      <c r="Q151" s="2">
        <v>0.3659</v>
      </c>
      <c r="R151" s="2">
        <f t="shared" si="51"/>
        <v>0.90011580775911992</v>
      </c>
      <c r="S151" s="2">
        <f t="shared" si="52"/>
        <v>8.5782186627590712E-2</v>
      </c>
      <c r="T151" s="5">
        <f t="shared" si="53"/>
        <v>0.22404722170323568</v>
      </c>
      <c r="U151" s="2" t="str">
        <f t="shared" si="54"/>
        <v>Low</v>
      </c>
      <c r="V151" s="2">
        <f t="shared" si="55"/>
        <v>0.12244727474722042</v>
      </c>
      <c r="W151" s="2">
        <f t="shared" si="56"/>
        <v>0.29701231547246892</v>
      </c>
      <c r="X151" s="2" t="s">
        <v>1175</v>
      </c>
      <c r="Y151" s="2">
        <f t="shared" si="57"/>
        <v>4.9117098507961011E-2</v>
      </c>
      <c r="Z151" s="2">
        <f t="shared" si="58"/>
        <v>0.12554722324046136</v>
      </c>
      <c r="AA151" s="2" t="str">
        <f t="shared" si="59"/>
        <v>No Impact</v>
      </c>
      <c r="AB151" s="2">
        <f t="shared" si="60"/>
        <v>5.7752295814067163E-2</v>
      </c>
      <c r="AC151" s="2">
        <f t="shared" si="61"/>
        <v>0.20983133449213778</v>
      </c>
      <c r="AD151" s="2" t="str">
        <f t="shared" si="62"/>
        <v>Low</v>
      </c>
      <c r="AE151" s="2">
        <f t="shared" si="63"/>
        <v>4.5891457186206952E-4</v>
      </c>
      <c r="AF151" s="2">
        <f t="shared" si="64"/>
        <v>3.4960642989776904E-3</v>
      </c>
      <c r="AG151" s="2" t="s">
        <v>1176</v>
      </c>
    </row>
    <row r="152" spans="1:33" x14ac:dyDescent="0.3">
      <c r="A152">
        <v>208436</v>
      </c>
      <c r="B152" t="s">
        <v>317</v>
      </c>
      <c r="C152" t="s">
        <v>310</v>
      </c>
      <c r="D152" t="s">
        <v>318</v>
      </c>
      <c r="E152" s="13">
        <v>6.2</v>
      </c>
      <c r="F152" s="14">
        <f t="shared" si="45"/>
        <v>0.66666666666666663</v>
      </c>
      <c r="G152" s="2">
        <v>65.259215999999995</v>
      </c>
      <c r="H152" s="2">
        <f t="shared" si="46"/>
        <v>0.352715312171477</v>
      </c>
      <c r="I152" s="2">
        <v>5.6</v>
      </c>
      <c r="J152" s="4">
        <f t="shared" si="47"/>
        <v>4.4268774703557306E-2</v>
      </c>
      <c r="K152" s="2">
        <v>0</v>
      </c>
      <c r="L152" s="4">
        <f t="shared" si="48"/>
        <v>0</v>
      </c>
      <c r="M152" s="2">
        <v>8318</v>
      </c>
      <c r="N152" s="2">
        <f t="shared" si="49"/>
        <v>3.8225149394614695E-2</v>
      </c>
      <c r="O152" s="2">
        <v>0.182054048</v>
      </c>
      <c r="P152" s="2">
        <f t="shared" si="50"/>
        <v>0.13285652521658423</v>
      </c>
      <c r="Q152" s="2">
        <v>0.35349999999999998</v>
      </c>
      <c r="R152" s="2">
        <f t="shared" si="51"/>
        <v>0.86421540243196293</v>
      </c>
      <c r="S152" s="2">
        <f t="shared" si="52"/>
        <v>4.6179197020400346E-2</v>
      </c>
      <c r="T152" s="5">
        <f t="shared" si="53"/>
        <v>0.12061153019826705</v>
      </c>
      <c r="U152" s="2" t="str">
        <f t="shared" si="54"/>
        <v>No Impact</v>
      </c>
      <c r="V152" s="2">
        <f t="shared" si="55"/>
        <v>8.0051944559485055E-2</v>
      </c>
      <c r="W152" s="2">
        <f t="shared" si="56"/>
        <v>0.1941767463650807</v>
      </c>
      <c r="X152" s="2" t="s">
        <v>1176</v>
      </c>
      <c r="Y152" s="2">
        <f t="shared" si="57"/>
        <v>1.2306449481315653E-2</v>
      </c>
      <c r="Z152" s="2">
        <f t="shared" si="58"/>
        <v>3.1456266906274448E-2</v>
      </c>
      <c r="AA152" s="2" t="str">
        <f t="shared" si="59"/>
        <v>No Impact</v>
      </c>
      <c r="AB152" s="2">
        <f t="shared" si="60"/>
        <v>3.2949388815841231E-2</v>
      </c>
      <c r="AC152" s="2">
        <f t="shared" si="61"/>
        <v>0.11971496766444105</v>
      </c>
      <c r="AD152" s="2" t="str">
        <f t="shared" si="62"/>
        <v>No Impact</v>
      </c>
      <c r="AE152" s="2">
        <f t="shared" si="63"/>
        <v>3.5407810732193397E-3</v>
      </c>
      <c r="AF152" s="2">
        <f t="shared" si="64"/>
        <v>2.6974079838760476E-2</v>
      </c>
      <c r="AG152" s="2" t="s">
        <v>1176</v>
      </c>
    </row>
    <row r="153" spans="1:33" x14ac:dyDescent="0.3">
      <c r="A153">
        <v>208447</v>
      </c>
      <c r="B153" t="s">
        <v>319</v>
      </c>
      <c r="C153" t="s">
        <v>310</v>
      </c>
      <c r="D153" t="s">
        <v>320</v>
      </c>
      <c r="E153" s="13">
        <v>5</v>
      </c>
      <c r="F153" s="14">
        <f t="shared" si="45"/>
        <v>0.39999999999999997</v>
      </c>
      <c r="G153" s="2">
        <v>64.482264000000001</v>
      </c>
      <c r="H153" s="2">
        <f t="shared" si="46"/>
        <v>0.34432101152640882</v>
      </c>
      <c r="I153" s="2">
        <v>3.7</v>
      </c>
      <c r="J153" s="4">
        <f t="shared" si="47"/>
        <v>2.9249011857707511E-2</v>
      </c>
      <c r="K153" s="2">
        <v>0</v>
      </c>
      <c r="L153" s="4">
        <f t="shared" si="48"/>
        <v>0</v>
      </c>
      <c r="M153" s="2">
        <v>1297</v>
      </c>
      <c r="N153" s="2">
        <f t="shared" si="49"/>
        <v>5.0058433048028655E-3</v>
      </c>
      <c r="O153" s="2">
        <v>0.17664280700000001</v>
      </c>
      <c r="P153" s="2">
        <f t="shared" si="50"/>
        <v>0.12660551299566838</v>
      </c>
      <c r="Q153" s="2">
        <v>0.36380000000000001</v>
      </c>
      <c r="R153" s="2">
        <f t="shared" si="51"/>
        <v>0.89403590040532721</v>
      </c>
      <c r="S153" s="2">
        <f t="shared" si="52"/>
        <v>2.6689672566970513E-2</v>
      </c>
      <c r="T153" s="5">
        <f t="shared" si="53"/>
        <v>6.9708493358404358E-2</v>
      </c>
      <c r="U153" s="2" t="str">
        <f t="shared" si="54"/>
        <v>No Impact</v>
      </c>
      <c r="V153" s="2">
        <f t="shared" si="55"/>
        <v>4.6757901710892051E-2</v>
      </c>
      <c r="W153" s="2">
        <f t="shared" si="56"/>
        <v>0.11341757244051213</v>
      </c>
      <c r="X153" s="2" t="s">
        <v>1176</v>
      </c>
      <c r="Y153" s="2">
        <f t="shared" si="57"/>
        <v>6.6214434230489824E-3</v>
      </c>
      <c r="Z153" s="2">
        <f t="shared" si="58"/>
        <v>1.6924937768318615E-2</v>
      </c>
      <c r="AA153" s="2" t="str">
        <f t="shared" si="59"/>
        <v>No Impact</v>
      </c>
      <c r="AB153" s="2">
        <f t="shared" si="60"/>
        <v>1.84433302427481E-2</v>
      </c>
      <c r="AC153" s="2">
        <f t="shared" si="61"/>
        <v>6.701012561949779E-2</v>
      </c>
      <c r="AD153" s="2" t="str">
        <f t="shared" si="62"/>
        <v>No Impact</v>
      </c>
      <c r="AE153" s="2">
        <f t="shared" si="63"/>
        <v>2.6180462006053994E-4</v>
      </c>
      <c r="AF153" s="2">
        <f t="shared" si="64"/>
        <v>1.9944578830592653E-3</v>
      </c>
      <c r="AG153" s="2" t="s">
        <v>1176</v>
      </c>
    </row>
    <row r="154" spans="1:33" x14ac:dyDescent="0.3">
      <c r="A154">
        <v>208458</v>
      </c>
      <c r="B154" t="s">
        <v>321</v>
      </c>
      <c r="C154" t="s">
        <v>310</v>
      </c>
      <c r="D154" t="s">
        <v>322</v>
      </c>
      <c r="E154" s="13">
        <v>6.3</v>
      </c>
      <c r="F154" s="14">
        <f t="shared" si="45"/>
        <v>0.68888888888888877</v>
      </c>
      <c r="G154" s="2">
        <v>62.8615584</v>
      </c>
      <c r="H154" s="2">
        <f t="shared" si="46"/>
        <v>0.32681067618581405</v>
      </c>
      <c r="I154" s="2">
        <v>5.0999999999999996</v>
      </c>
      <c r="J154" s="4">
        <f t="shared" si="47"/>
        <v>4.0316205533596834E-2</v>
      </c>
      <c r="K154" s="2">
        <v>0</v>
      </c>
      <c r="L154" s="4">
        <f t="shared" si="48"/>
        <v>0</v>
      </c>
      <c r="M154" s="2">
        <v>5825</v>
      </c>
      <c r="N154" s="2">
        <f t="shared" si="49"/>
        <v>2.6429717108344807E-2</v>
      </c>
      <c r="O154" s="2">
        <v>0.142101802</v>
      </c>
      <c r="P154" s="2">
        <f t="shared" si="50"/>
        <v>8.6704084769182885E-2</v>
      </c>
      <c r="Q154" s="2">
        <v>0.35680000000000001</v>
      </c>
      <c r="R154" s="2">
        <f t="shared" si="51"/>
        <v>0.87376954255935158</v>
      </c>
      <c r="S154" s="2">
        <f t="shared" si="52"/>
        <v>4.2509780137302132E-2</v>
      </c>
      <c r="T154" s="5">
        <f t="shared" si="53"/>
        <v>0.11102769128893483</v>
      </c>
      <c r="U154" s="2" t="str">
        <f t="shared" si="54"/>
        <v>No Impact</v>
      </c>
      <c r="V154" s="2">
        <f t="shared" si="55"/>
        <v>7.7344655986403041E-2</v>
      </c>
      <c r="W154" s="2">
        <f t="shared" si="56"/>
        <v>0.18760985421167653</v>
      </c>
      <c r="X154" s="2" t="s">
        <v>1176</v>
      </c>
      <c r="Y154" s="2">
        <f t="shared" si="57"/>
        <v>7.6749042882012109E-3</v>
      </c>
      <c r="Z154" s="2">
        <f t="shared" si="58"/>
        <v>1.9617667803886973E-2</v>
      </c>
      <c r="AA154" s="2" t="str">
        <f t="shared" si="59"/>
        <v>No Impact</v>
      </c>
      <c r="AB154" s="2">
        <f t="shared" si="60"/>
        <v>3.0191931302422353E-2</v>
      </c>
      <c r="AC154" s="2">
        <f t="shared" si="61"/>
        <v>0.10969630119083705</v>
      </c>
      <c r="AD154" s="2" t="str">
        <f t="shared" si="62"/>
        <v>No Impact</v>
      </c>
      <c r="AE154" s="2">
        <f t="shared" si="63"/>
        <v>2.3395154877740845E-3</v>
      </c>
      <c r="AF154" s="2">
        <f t="shared" si="64"/>
        <v>1.7822699637811124E-2</v>
      </c>
      <c r="AG154" s="2" t="s">
        <v>1176</v>
      </c>
    </row>
    <row r="155" spans="1:33" x14ac:dyDescent="0.3">
      <c r="A155">
        <v>208475</v>
      </c>
      <c r="B155" t="s">
        <v>323</v>
      </c>
      <c r="C155" t="s">
        <v>310</v>
      </c>
      <c r="D155" t="s">
        <v>324</v>
      </c>
      <c r="E155" s="13">
        <v>6.2</v>
      </c>
      <c r="F155" s="14">
        <f t="shared" si="45"/>
        <v>0.66666666666666663</v>
      </c>
      <c r="G155" s="2">
        <v>62.8615584</v>
      </c>
      <c r="H155" s="2">
        <f t="shared" si="46"/>
        <v>0.32681067618581405</v>
      </c>
      <c r="I155" s="2">
        <v>5.6</v>
      </c>
      <c r="J155" s="4">
        <f t="shared" si="47"/>
        <v>4.4268774703557306E-2</v>
      </c>
      <c r="K155" s="2">
        <v>0</v>
      </c>
      <c r="L155" s="4">
        <f t="shared" si="48"/>
        <v>0</v>
      </c>
      <c r="M155" s="2">
        <v>3524</v>
      </c>
      <c r="N155" s="2">
        <f t="shared" si="49"/>
        <v>1.5542717633532526E-2</v>
      </c>
      <c r="O155" s="2">
        <v>0.17569464900000001</v>
      </c>
      <c r="P155" s="2">
        <f t="shared" si="50"/>
        <v>0.12551021022771569</v>
      </c>
      <c r="Q155" s="2">
        <v>0.36859999999999998</v>
      </c>
      <c r="R155" s="2">
        <f t="shared" si="51"/>
        <v>0.90793283149971049</v>
      </c>
      <c r="S155" s="2">
        <f t="shared" si="52"/>
        <v>4.4740438919126407E-2</v>
      </c>
      <c r="T155" s="5">
        <f t="shared" si="53"/>
        <v>0.11685375987360888</v>
      </c>
      <c r="U155" s="2" t="str">
        <f t="shared" si="54"/>
        <v>No Impact</v>
      </c>
      <c r="V155" s="2">
        <f t="shared" si="55"/>
        <v>7.8613550530047094E-2</v>
      </c>
      <c r="W155" s="2">
        <f t="shared" si="56"/>
        <v>0.19068772840100515</v>
      </c>
      <c r="X155" s="2" t="s">
        <v>1176</v>
      </c>
      <c r="Y155" s="2">
        <f t="shared" si="57"/>
        <v>1.0867327308205735E-2</v>
      </c>
      <c r="Z155" s="2">
        <f t="shared" si="58"/>
        <v>2.7777755792503262E-2</v>
      </c>
      <c r="AA155" s="2" t="str">
        <f t="shared" si="59"/>
        <v>No Impact</v>
      </c>
      <c r="AB155" s="2">
        <f t="shared" si="60"/>
        <v>3.1245960166501888E-2</v>
      </c>
      <c r="AC155" s="2">
        <f t="shared" si="61"/>
        <v>0.11352590276815079</v>
      </c>
      <c r="AD155" s="2" t="str">
        <f t="shared" si="62"/>
        <v>No Impact</v>
      </c>
      <c r="AE155" s="2">
        <f t="shared" si="63"/>
        <v>1.3457693957819531E-3</v>
      </c>
      <c r="AF155" s="2">
        <f t="shared" si="64"/>
        <v>1.0252226945332558E-2</v>
      </c>
      <c r="AG155" s="2" t="s">
        <v>1176</v>
      </c>
    </row>
    <row r="156" spans="1:33" x14ac:dyDescent="0.3">
      <c r="A156">
        <v>208478</v>
      </c>
      <c r="B156" t="s">
        <v>325</v>
      </c>
      <c r="C156" t="s">
        <v>310</v>
      </c>
      <c r="D156" t="s">
        <v>326</v>
      </c>
      <c r="E156" s="13">
        <v>6.3</v>
      </c>
      <c r="F156" s="14">
        <f t="shared" si="45"/>
        <v>0.68888888888888877</v>
      </c>
      <c r="G156" s="2">
        <v>68.191246800000002</v>
      </c>
      <c r="H156" s="2">
        <f t="shared" si="46"/>
        <v>0.38439339271673612</v>
      </c>
      <c r="I156" s="2">
        <v>6.1</v>
      </c>
      <c r="J156" s="4">
        <f t="shared" si="47"/>
        <v>4.8221343873517786E-2</v>
      </c>
      <c r="K156" s="2">
        <v>0</v>
      </c>
      <c r="L156" s="4">
        <f t="shared" si="48"/>
        <v>0</v>
      </c>
      <c r="M156" s="2">
        <v>5481</v>
      </c>
      <c r="N156" s="2">
        <f t="shared" si="49"/>
        <v>2.4802108321149926E-2</v>
      </c>
      <c r="O156" s="2">
        <v>0.56342436900000004</v>
      </c>
      <c r="P156" s="2">
        <f t="shared" si="50"/>
        <v>0.57341175778996289</v>
      </c>
      <c r="Q156" s="2">
        <v>0.3397</v>
      </c>
      <c r="R156" s="2">
        <f t="shared" si="51"/>
        <v>0.82426172553561095</v>
      </c>
      <c r="S156" s="2">
        <f t="shared" si="52"/>
        <v>7.2894416469273554E-2</v>
      </c>
      <c r="T156" s="5">
        <f t="shared" si="53"/>
        <v>0.19038674729196539</v>
      </c>
      <c r="U156" s="2" t="str">
        <f t="shared" si="54"/>
        <v>Low</v>
      </c>
      <c r="V156" s="2">
        <f t="shared" si="55"/>
        <v>8.5977273258290618E-2</v>
      </c>
      <c r="W156" s="2">
        <f t="shared" si="56"/>
        <v>0.20854942718138167</v>
      </c>
      <c r="X156" s="2" t="s">
        <v>1176</v>
      </c>
      <c r="Y156" s="2">
        <f t="shared" si="57"/>
        <v>5.9811559680256497E-2</v>
      </c>
      <c r="Z156" s="2">
        <f t="shared" si="58"/>
        <v>0.15288311939517835</v>
      </c>
      <c r="AA156" s="2" t="str">
        <f t="shared" si="59"/>
        <v>Low</v>
      </c>
      <c r="AB156" s="2">
        <f t="shared" si="60"/>
        <v>4.8940985862865459E-2</v>
      </c>
      <c r="AC156" s="2">
        <f t="shared" si="61"/>
        <v>0.17781721454031832</v>
      </c>
      <c r="AD156" s="2" t="str">
        <f t="shared" si="62"/>
        <v>Low</v>
      </c>
      <c r="AE156" s="2">
        <f t="shared" si="63"/>
        <v>2.5870637668194175E-3</v>
      </c>
      <c r="AF156" s="2">
        <f t="shared" si="64"/>
        <v>1.9708551065740664E-2</v>
      </c>
      <c r="AG156" s="2" t="s">
        <v>1176</v>
      </c>
    </row>
    <row r="157" spans="1:33" x14ac:dyDescent="0.3">
      <c r="A157">
        <v>208487</v>
      </c>
      <c r="B157" t="s">
        <v>327</v>
      </c>
      <c r="C157" t="s">
        <v>310</v>
      </c>
      <c r="D157" t="s">
        <v>328</v>
      </c>
      <c r="E157" s="13">
        <v>6.2</v>
      </c>
      <c r="F157" s="14">
        <f t="shared" si="45"/>
        <v>0.66666666666666663</v>
      </c>
      <c r="G157" s="2">
        <v>65.259215999999995</v>
      </c>
      <c r="H157" s="2">
        <f t="shared" si="46"/>
        <v>0.352715312171477</v>
      </c>
      <c r="I157" s="2">
        <v>4.2</v>
      </c>
      <c r="J157" s="4">
        <f t="shared" si="47"/>
        <v>3.3201581027667987E-2</v>
      </c>
      <c r="K157" s="2">
        <v>0</v>
      </c>
      <c r="L157" s="4">
        <f t="shared" si="48"/>
        <v>0</v>
      </c>
      <c r="M157" s="2">
        <v>13916</v>
      </c>
      <c r="N157" s="2">
        <f t="shared" si="49"/>
        <v>6.4711643553675605E-2</v>
      </c>
      <c r="O157" s="2">
        <v>0.38758617499999998</v>
      </c>
      <c r="P157" s="2">
        <f t="shared" si="50"/>
        <v>0.37028521073767434</v>
      </c>
      <c r="Q157" s="2">
        <v>0.36220000000000002</v>
      </c>
      <c r="R157" s="2">
        <f t="shared" si="51"/>
        <v>0.88940359004053282</v>
      </c>
      <c r="S157" s="2">
        <f t="shared" si="52"/>
        <v>5.6715771979309618E-2</v>
      </c>
      <c r="T157" s="5">
        <f t="shared" si="53"/>
        <v>0.14813111717335847</v>
      </c>
      <c r="U157" s="2" t="str">
        <f t="shared" si="54"/>
        <v>No Impact</v>
      </c>
      <c r="V157" s="2">
        <f t="shared" si="55"/>
        <v>8.0088369729341968E-2</v>
      </c>
      <c r="W157" s="2">
        <f t="shared" si="56"/>
        <v>0.19426510050822526</v>
      </c>
      <c r="X157" s="2" t="s">
        <v>1176</v>
      </c>
      <c r="Y157" s="2">
        <f t="shared" si="57"/>
        <v>3.334317422927726E-2</v>
      </c>
      <c r="Z157" s="2">
        <f t="shared" si="58"/>
        <v>8.5227814054003426E-2</v>
      </c>
      <c r="AA157" s="2" t="str">
        <f t="shared" si="59"/>
        <v>No Impact</v>
      </c>
      <c r="AB157" s="2">
        <f t="shared" si="60"/>
        <v>4.0073369182833204E-2</v>
      </c>
      <c r="AC157" s="2">
        <f t="shared" si="61"/>
        <v>0.14559851543047822</v>
      </c>
      <c r="AD157" s="2" t="str">
        <f t="shared" si="62"/>
        <v>No Impact</v>
      </c>
      <c r="AE157" s="2">
        <f t="shared" si="63"/>
        <v>5.8271071679438253E-3</v>
      </c>
      <c r="AF157" s="2">
        <f t="shared" si="64"/>
        <v>4.4391576526988899E-2</v>
      </c>
      <c r="AG157" s="2" t="s">
        <v>1176</v>
      </c>
    </row>
    <row r="158" spans="1:33" x14ac:dyDescent="0.3">
      <c r="A158">
        <v>302602</v>
      </c>
      <c r="B158" t="s">
        <v>329</v>
      </c>
      <c r="C158" t="s">
        <v>330</v>
      </c>
      <c r="D158" t="s">
        <v>331</v>
      </c>
      <c r="E158" s="13">
        <v>5.8</v>
      </c>
      <c r="F158" s="14">
        <f t="shared" si="45"/>
        <v>0.57777777777777772</v>
      </c>
      <c r="G158" s="2">
        <v>61.332055199999999</v>
      </c>
      <c r="H158" s="2">
        <f t="shared" si="46"/>
        <v>0.31028570463236671</v>
      </c>
      <c r="I158" s="2">
        <v>33.700000000000003</v>
      </c>
      <c r="J158" s="4">
        <f t="shared" si="47"/>
        <v>0.26640316205533598</v>
      </c>
      <c r="K158" s="2">
        <v>0</v>
      </c>
      <c r="L158" s="4">
        <f t="shared" si="48"/>
        <v>0</v>
      </c>
      <c r="M158" s="2">
        <v>1837</v>
      </c>
      <c r="N158" s="2">
        <f t="shared" si="49"/>
        <v>7.5608105870273905E-3</v>
      </c>
      <c r="O158" s="2">
        <v>0.13183542000000001</v>
      </c>
      <c r="P158" s="2">
        <f t="shared" si="50"/>
        <v>7.484446156138444E-2</v>
      </c>
      <c r="Q158" s="2">
        <v>0.06</v>
      </c>
      <c r="R158" s="2">
        <f t="shared" si="51"/>
        <v>1.4475969889982622E-2</v>
      </c>
      <c r="S158" s="2">
        <f t="shared" si="52"/>
        <v>5.2082432812253785E-3</v>
      </c>
      <c r="T158" s="5">
        <f t="shared" si="53"/>
        <v>1.3602969135992791E-2</v>
      </c>
      <c r="U158" s="2" t="str">
        <f t="shared" si="54"/>
        <v>No Impact</v>
      </c>
      <c r="V158" s="2">
        <f t="shared" si="55"/>
        <v>1.6881775355008981E-3</v>
      </c>
      <c r="W158" s="2">
        <f t="shared" si="56"/>
        <v>4.0949014159999504E-3</v>
      </c>
      <c r="X158" s="2" t="s">
        <v>1176</v>
      </c>
      <c r="Y158" s="2">
        <f t="shared" si="57"/>
        <v>8.7283090269498591E-3</v>
      </c>
      <c r="Z158" s="2">
        <f t="shared" si="58"/>
        <v>2.2310254375888995E-2</v>
      </c>
      <c r="AA158" s="2" t="str">
        <f t="shared" si="59"/>
        <v>No Impact</v>
      </c>
      <c r="AB158" s="2">
        <f t="shared" si="60"/>
        <v>3.5179626098308086E-3</v>
      </c>
      <c r="AC158" s="2">
        <f t="shared" si="61"/>
        <v>1.278180856204921E-2</v>
      </c>
      <c r="AD158" s="2" t="str">
        <f t="shared" si="62"/>
        <v>No Impact</v>
      </c>
      <c r="AE158" s="2">
        <f t="shared" si="63"/>
        <v>8.8173646948724893E-4</v>
      </c>
      <c r="AF158" s="2">
        <f t="shared" si="64"/>
        <v>6.7171704301590696E-3</v>
      </c>
      <c r="AG158" s="2" t="s">
        <v>1176</v>
      </c>
    </row>
    <row r="159" spans="1:33" x14ac:dyDescent="0.3">
      <c r="A159">
        <v>302604</v>
      </c>
      <c r="B159" t="s">
        <v>332</v>
      </c>
      <c r="C159" t="s">
        <v>330</v>
      </c>
      <c r="D159" t="s">
        <v>333</v>
      </c>
      <c r="E159" s="13">
        <v>5.8</v>
      </c>
      <c r="F159" s="14">
        <f t="shared" si="45"/>
        <v>0.57777777777777772</v>
      </c>
      <c r="G159" s="2">
        <v>59.493383999999999</v>
      </c>
      <c r="H159" s="2">
        <f t="shared" si="46"/>
        <v>0.29042043774299842</v>
      </c>
      <c r="I159" s="2">
        <v>31.4</v>
      </c>
      <c r="J159" s="4">
        <f t="shared" si="47"/>
        <v>0.24822134387351777</v>
      </c>
      <c r="K159" s="2">
        <v>0</v>
      </c>
      <c r="L159" s="4">
        <f t="shared" si="48"/>
        <v>0</v>
      </c>
      <c r="M159" s="2">
        <v>22100</v>
      </c>
      <c r="N159" s="2">
        <f t="shared" si="49"/>
        <v>0.10343359214205618</v>
      </c>
      <c r="O159" s="2">
        <v>0.42310773600000001</v>
      </c>
      <c r="P159" s="2">
        <f t="shared" si="50"/>
        <v>0.41131936758210397</v>
      </c>
      <c r="Q159" s="2">
        <v>0.15429999999999999</v>
      </c>
      <c r="R159" s="2">
        <f t="shared" si="51"/>
        <v>0.28749276201505503</v>
      </c>
      <c r="S159" s="2">
        <f t="shared" si="52"/>
        <v>3.805917372847948E-2</v>
      </c>
      <c r="T159" s="5">
        <f t="shared" si="53"/>
        <v>9.9403529676917693E-2</v>
      </c>
      <c r="U159" s="2" t="str">
        <f t="shared" si="54"/>
        <v>No Impact</v>
      </c>
      <c r="V159" s="2">
        <f t="shared" si="55"/>
        <v>3.1315246292358774E-2</v>
      </c>
      <c r="W159" s="2">
        <f t="shared" si="56"/>
        <v>7.595933702963252E-2</v>
      </c>
      <c r="X159" s="2" t="s">
        <v>1176</v>
      </c>
      <c r="Y159" s="2">
        <f t="shared" si="57"/>
        <v>4.4803101164600193E-2</v>
      </c>
      <c r="Z159" s="2">
        <f t="shared" si="58"/>
        <v>0.11452030178177842</v>
      </c>
      <c r="AA159" s="2" t="str">
        <f t="shared" si="59"/>
        <v>No Impact</v>
      </c>
      <c r="AB159" s="2">
        <f t="shared" si="60"/>
        <v>2.8344555198505685E-2</v>
      </c>
      <c r="AC159" s="2">
        <f t="shared" si="61"/>
        <v>0.10298423221193941</v>
      </c>
      <c r="AD159" s="2" t="str">
        <f t="shared" si="62"/>
        <v>No Impact</v>
      </c>
      <c r="AE159" s="2">
        <f t="shared" si="63"/>
        <v>1.1266538990857295E-2</v>
      </c>
      <c r="AF159" s="2">
        <f t="shared" si="64"/>
        <v>8.5829797426469318E-2</v>
      </c>
      <c r="AG159" s="2" t="s">
        <v>1175</v>
      </c>
    </row>
    <row r="160" spans="1:33" x14ac:dyDescent="0.3">
      <c r="A160">
        <v>302605</v>
      </c>
      <c r="B160" t="s">
        <v>334</v>
      </c>
      <c r="C160" t="s">
        <v>330</v>
      </c>
      <c r="D160" t="s">
        <v>335</v>
      </c>
      <c r="E160" s="13">
        <v>5.8</v>
      </c>
      <c r="F160" s="14">
        <f t="shared" si="45"/>
        <v>0.57777777777777772</v>
      </c>
      <c r="G160" s="2">
        <v>59.493383999999999</v>
      </c>
      <c r="H160" s="2">
        <f t="shared" si="46"/>
        <v>0.29042043774299842</v>
      </c>
      <c r="I160" s="2">
        <v>31.4</v>
      </c>
      <c r="J160" s="4">
        <f t="shared" si="47"/>
        <v>0.24822134387351777</v>
      </c>
      <c r="K160" s="2">
        <v>0</v>
      </c>
      <c r="L160" s="4">
        <f t="shared" si="48"/>
        <v>0</v>
      </c>
      <c r="M160" s="2">
        <v>763</v>
      </c>
      <c r="N160" s="2">
        <f t="shared" si="49"/>
        <v>2.4792645479363908E-3</v>
      </c>
      <c r="O160" s="2">
        <v>0.70945563599999995</v>
      </c>
      <c r="P160" s="2">
        <f t="shared" si="50"/>
        <v>0.74210563681934372</v>
      </c>
      <c r="Q160" s="2">
        <v>0.06</v>
      </c>
      <c r="R160" s="2">
        <f t="shared" si="51"/>
        <v>1.4475969889982622E-2</v>
      </c>
      <c r="S160" s="2">
        <f t="shared" si="52"/>
        <v>4.1205453640482226E-2</v>
      </c>
      <c r="T160" s="5">
        <f t="shared" si="53"/>
        <v>0.1076210314765068</v>
      </c>
      <c r="U160" s="2" t="str">
        <f t="shared" si="54"/>
        <v>No Impact</v>
      </c>
      <c r="V160" s="2">
        <f t="shared" si="55"/>
        <v>1.5767999140160504E-3</v>
      </c>
      <c r="W160" s="2">
        <f t="shared" si="56"/>
        <v>3.8247400317035496E-3</v>
      </c>
      <c r="X160" s="2" t="s">
        <v>1176</v>
      </c>
      <c r="Y160" s="2">
        <f t="shared" si="57"/>
        <v>8.0834107366948404E-2</v>
      </c>
      <c r="Z160" s="2">
        <f t="shared" si="58"/>
        <v>0.20661842884299855</v>
      </c>
      <c r="AA160" s="2" t="str">
        <f t="shared" si="59"/>
        <v>Low</v>
      </c>
      <c r="AB160" s="2">
        <f t="shared" si="60"/>
        <v>2.4896631335148786E-2</v>
      </c>
      <c r="AC160" s="2">
        <f t="shared" si="61"/>
        <v>9.0456895328143327E-2</v>
      </c>
      <c r="AD160" s="2" t="str">
        <f t="shared" si="62"/>
        <v>No Impact</v>
      </c>
      <c r="AE160" s="2">
        <f t="shared" si="63"/>
        <v>2.7005472902471173E-4</v>
      </c>
      <c r="AF160" s="2">
        <f t="shared" si="64"/>
        <v>2.0573081675801623E-3</v>
      </c>
      <c r="AG160" s="2" t="s">
        <v>1176</v>
      </c>
    </row>
    <row r="161" spans="1:33" x14ac:dyDescent="0.3">
      <c r="A161">
        <v>302606</v>
      </c>
      <c r="B161" t="s">
        <v>336</v>
      </c>
      <c r="C161" t="s">
        <v>330</v>
      </c>
      <c r="D161" t="s">
        <v>1135</v>
      </c>
      <c r="E161" s="13">
        <v>5.8</v>
      </c>
      <c r="F161" s="14">
        <f t="shared" si="45"/>
        <v>0.57777777777777772</v>
      </c>
      <c r="G161" s="2">
        <v>59.493383999999999</v>
      </c>
      <c r="H161" s="2">
        <f t="shared" si="46"/>
        <v>0.29042043774299842</v>
      </c>
      <c r="I161" s="2">
        <v>31.4</v>
      </c>
      <c r="J161" s="4">
        <f t="shared" si="47"/>
        <v>0.24822134387351777</v>
      </c>
      <c r="K161" s="2">
        <v>0</v>
      </c>
      <c r="L161" s="4">
        <f t="shared" si="48"/>
        <v>0</v>
      </c>
      <c r="M161" s="2">
        <v>2282</v>
      </c>
      <c r="N161" s="2">
        <f t="shared" si="49"/>
        <v>9.6662928844161184E-3</v>
      </c>
      <c r="O161" s="2">
        <v>0.54941506399999995</v>
      </c>
      <c r="P161" s="2">
        <f t="shared" si="50"/>
        <v>0.5572283468567707</v>
      </c>
      <c r="Q161" s="2">
        <v>0.1777</v>
      </c>
      <c r="R161" s="2">
        <f t="shared" si="51"/>
        <v>0.35524030110017374</v>
      </c>
      <c r="S161" s="2">
        <f t="shared" si="52"/>
        <v>4.9695477974035042E-2</v>
      </c>
      <c r="T161" s="5">
        <f t="shared" si="53"/>
        <v>0.12979540635439743</v>
      </c>
      <c r="U161" s="2" t="str">
        <f t="shared" si="54"/>
        <v>No Impact</v>
      </c>
      <c r="V161" s="2">
        <f t="shared" si="55"/>
        <v>3.8694669889953896E-2</v>
      </c>
      <c r="W161" s="2">
        <f t="shared" si="56"/>
        <v>9.3859120378005145E-2</v>
      </c>
      <c r="X161" s="2" t="s">
        <v>1176</v>
      </c>
      <c r="Y161" s="2">
        <f t="shared" si="57"/>
        <v>6.0696286058116181E-2</v>
      </c>
      <c r="Z161" s="2">
        <f t="shared" si="58"/>
        <v>0.15514455061652524</v>
      </c>
      <c r="AA161" s="2" t="str">
        <f t="shared" si="59"/>
        <v>Low</v>
      </c>
      <c r="AB161" s="2">
        <f t="shared" si="60"/>
        <v>3.2120536755997194E-2</v>
      </c>
      <c r="AC161" s="2">
        <f t="shared" si="61"/>
        <v>0.11670350065066964</v>
      </c>
      <c r="AD161" s="2" t="str">
        <f t="shared" si="62"/>
        <v>No Impact</v>
      </c>
      <c r="AE161" s="2">
        <f t="shared" si="63"/>
        <v>1.0529042202242099E-3</v>
      </c>
      <c r="AF161" s="2">
        <f t="shared" si="64"/>
        <v>8.0211461571875406E-3</v>
      </c>
      <c r="AG161" s="2" t="s">
        <v>1176</v>
      </c>
    </row>
    <row r="162" spans="1:33" x14ac:dyDescent="0.3">
      <c r="A162">
        <v>302608</v>
      </c>
      <c r="B162" t="s">
        <v>337</v>
      </c>
      <c r="C162" t="s">
        <v>330</v>
      </c>
      <c r="D162" t="s">
        <v>338</v>
      </c>
      <c r="E162" s="13">
        <v>5.8</v>
      </c>
      <c r="F162" s="14">
        <f t="shared" si="45"/>
        <v>0.57777777777777772</v>
      </c>
      <c r="G162" s="2">
        <v>59.493383999999999</v>
      </c>
      <c r="H162" s="2">
        <f t="shared" si="46"/>
        <v>0.29042043774299842</v>
      </c>
      <c r="I162" s="2">
        <v>31.4</v>
      </c>
      <c r="J162" s="4">
        <f t="shared" si="47"/>
        <v>0.24822134387351777</v>
      </c>
      <c r="K162" s="2">
        <v>0</v>
      </c>
      <c r="L162" s="4">
        <f t="shared" si="48"/>
        <v>0</v>
      </c>
      <c r="M162" s="2">
        <v>5168</v>
      </c>
      <c r="N162" s="2">
        <f t="shared" si="49"/>
        <v>2.3321173581638301E-2</v>
      </c>
      <c r="O162" s="2">
        <v>0.55044098399999997</v>
      </c>
      <c r="P162" s="2">
        <f t="shared" si="50"/>
        <v>0.55841347951999565</v>
      </c>
      <c r="Q162" s="2">
        <v>0.18590000000000001</v>
      </c>
      <c r="R162" s="2">
        <f t="shared" si="51"/>
        <v>0.37898089171974531</v>
      </c>
      <c r="S162" s="2">
        <f t="shared" si="52"/>
        <v>5.1052999391522212E-2</v>
      </c>
      <c r="T162" s="5">
        <f t="shared" si="53"/>
        <v>0.13334100147091099</v>
      </c>
      <c r="U162" s="2" t="str">
        <f t="shared" si="54"/>
        <v>No Impact</v>
      </c>
      <c r="V162" s="2">
        <f t="shared" si="55"/>
        <v>4.1280621748940226E-2</v>
      </c>
      <c r="W162" s="2">
        <f t="shared" si="56"/>
        <v>0.10013169402999898</v>
      </c>
      <c r="X162" s="2" t="s">
        <v>1176</v>
      </c>
      <c r="Y162" s="2">
        <f t="shared" si="57"/>
        <v>6.0825377034104185E-2</v>
      </c>
      <c r="Z162" s="2">
        <f t="shared" si="58"/>
        <v>0.15547451745237301</v>
      </c>
      <c r="AA162" s="2" t="str">
        <f t="shared" si="59"/>
        <v>Low</v>
      </c>
      <c r="AB162" s="2">
        <f t="shared" si="60"/>
        <v>3.358492407307976E-2</v>
      </c>
      <c r="AC162" s="2">
        <f t="shared" si="61"/>
        <v>0.1220240570134169</v>
      </c>
      <c r="AD162" s="2" t="str">
        <f t="shared" si="62"/>
        <v>No Impact</v>
      </c>
      <c r="AE162" s="2">
        <f t="shared" si="63"/>
        <v>2.5402667163412292E-3</v>
      </c>
      <c r="AF162" s="2">
        <f t="shared" si="64"/>
        <v>1.9352045721379045E-2</v>
      </c>
      <c r="AG162" s="2" t="s">
        <v>1176</v>
      </c>
    </row>
    <row r="163" spans="1:33" x14ac:dyDescent="0.3">
      <c r="A163">
        <v>302609</v>
      </c>
      <c r="B163" t="s">
        <v>339</v>
      </c>
      <c r="C163" t="s">
        <v>330</v>
      </c>
      <c r="D163" t="s">
        <v>1136</v>
      </c>
      <c r="E163" s="13">
        <v>5.8</v>
      </c>
      <c r="F163" s="14">
        <f t="shared" si="45"/>
        <v>0.57777777777777772</v>
      </c>
      <c r="G163" s="2">
        <v>59.493383999999999</v>
      </c>
      <c r="H163" s="2">
        <f t="shared" si="46"/>
        <v>0.29042043774299842</v>
      </c>
      <c r="I163" s="2">
        <v>31.4</v>
      </c>
      <c r="J163" s="4">
        <f t="shared" si="47"/>
        <v>0.24822134387351777</v>
      </c>
      <c r="K163" s="2">
        <v>0</v>
      </c>
      <c r="L163" s="4">
        <f t="shared" si="48"/>
        <v>0</v>
      </c>
      <c r="M163" s="2">
        <v>943</v>
      </c>
      <c r="N163" s="2">
        <f t="shared" si="49"/>
        <v>3.330920308677899E-3</v>
      </c>
      <c r="O163" s="2">
        <v>0.39968980999999998</v>
      </c>
      <c r="P163" s="2">
        <f t="shared" si="50"/>
        <v>0.38426721048643897</v>
      </c>
      <c r="Q163" s="2">
        <v>0.06</v>
      </c>
      <c r="R163" s="2">
        <f t="shared" si="51"/>
        <v>1.4475969889982622E-2</v>
      </c>
      <c r="S163" s="2">
        <f t="shared" si="52"/>
        <v>2.1716617860856258E-2</v>
      </c>
      <c r="T163" s="5">
        <f t="shared" si="53"/>
        <v>5.6719793325375203E-2</v>
      </c>
      <c r="U163" s="2" t="str">
        <f t="shared" si="54"/>
        <v>No Impact</v>
      </c>
      <c r="V163" s="2">
        <f t="shared" si="55"/>
        <v>1.5767999140160504E-3</v>
      </c>
      <c r="W163" s="2">
        <f t="shared" si="56"/>
        <v>3.8247400317035496E-3</v>
      </c>
      <c r="X163" s="2" t="s">
        <v>1176</v>
      </c>
      <c r="Y163" s="2">
        <f t="shared" si="57"/>
        <v>4.185643580769647E-2</v>
      </c>
      <c r="Z163" s="2">
        <f t="shared" si="58"/>
        <v>0.10698838999105725</v>
      </c>
      <c r="AA163" s="2" t="str">
        <f t="shared" si="59"/>
        <v>No Impact</v>
      </c>
      <c r="AB163" s="2">
        <f t="shared" si="60"/>
        <v>1.3235798279450605E-2</v>
      </c>
      <c r="AC163" s="2">
        <f t="shared" si="61"/>
        <v>4.8089607121200841E-2</v>
      </c>
      <c r="AD163" s="2" t="str">
        <f t="shared" si="62"/>
        <v>No Impact</v>
      </c>
      <c r="AE163" s="2">
        <f t="shared" si="63"/>
        <v>3.6282162067442184E-4</v>
      </c>
      <c r="AF163" s="2">
        <f t="shared" si="64"/>
        <v>2.7640170801076988E-3</v>
      </c>
      <c r="AG163" s="2" t="s">
        <v>1176</v>
      </c>
    </row>
    <row r="164" spans="1:33" x14ac:dyDescent="0.3">
      <c r="A164">
        <v>302610</v>
      </c>
      <c r="B164" t="s">
        <v>340</v>
      </c>
      <c r="C164" t="s">
        <v>330</v>
      </c>
      <c r="D164" t="s">
        <v>341</v>
      </c>
      <c r="E164" s="13">
        <v>5.8</v>
      </c>
      <c r="F164" s="14">
        <f t="shared" si="45"/>
        <v>0.57777777777777772</v>
      </c>
      <c r="G164" s="2">
        <v>59.493383999999999</v>
      </c>
      <c r="H164" s="2">
        <f t="shared" si="46"/>
        <v>0.29042043774299842</v>
      </c>
      <c r="I164" s="2">
        <v>27.2</v>
      </c>
      <c r="J164" s="4">
        <f t="shared" si="47"/>
        <v>0.21501976284584981</v>
      </c>
      <c r="K164" s="2">
        <v>0</v>
      </c>
      <c r="L164" s="4">
        <f t="shared" si="48"/>
        <v>0</v>
      </c>
      <c r="M164" s="2">
        <v>9039</v>
      </c>
      <c r="N164" s="2">
        <f t="shared" si="49"/>
        <v>4.1636503858473735E-2</v>
      </c>
      <c r="O164" s="2">
        <v>0.40422114799999997</v>
      </c>
      <c r="P164" s="2">
        <f t="shared" si="50"/>
        <v>0.38950176744206161</v>
      </c>
      <c r="Q164" s="2">
        <v>0.19500000000000001</v>
      </c>
      <c r="R164" s="2">
        <f t="shared" si="51"/>
        <v>0.40532715691951365</v>
      </c>
      <c r="S164" s="2">
        <f t="shared" si="52"/>
        <v>4.0620225197383453E-2</v>
      </c>
      <c r="T164" s="5">
        <f t="shared" si="53"/>
        <v>0.10609252291438281</v>
      </c>
      <c r="U164" s="2" t="str">
        <f t="shared" si="54"/>
        <v>No Impact</v>
      </c>
      <c r="V164" s="2">
        <f t="shared" si="55"/>
        <v>4.1428991542829099E-2</v>
      </c>
      <c r="W164" s="2">
        <f t="shared" si="56"/>
        <v>0.10049158489829377</v>
      </c>
      <c r="X164" s="2" t="s">
        <v>1176</v>
      </c>
      <c r="Y164" s="2">
        <f t="shared" si="57"/>
        <v>3.9811458851937806E-2</v>
      </c>
      <c r="Z164" s="2">
        <f t="shared" si="58"/>
        <v>0.10176126570673864</v>
      </c>
      <c r="AA164" s="2" t="str">
        <f t="shared" si="59"/>
        <v>No Impact</v>
      </c>
      <c r="AB164" s="2">
        <f t="shared" si="60"/>
        <v>2.7933086244807406E-2</v>
      </c>
      <c r="AC164" s="2">
        <f t="shared" si="61"/>
        <v>0.10148924264590448</v>
      </c>
      <c r="AD164" s="2" t="str">
        <f t="shared" si="62"/>
        <v>No Impact</v>
      </c>
      <c r="AE164" s="2">
        <f t="shared" si="63"/>
        <v>4.255718712102498E-3</v>
      </c>
      <c r="AF164" s="2">
        <f t="shared" si="64"/>
        <v>3.2420557480891329E-2</v>
      </c>
      <c r="AG164" s="2" t="s">
        <v>1176</v>
      </c>
    </row>
    <row r="165" spans="1:33" x14ac:dyDescent="0.3">
      <c r="A165">
        <v>302611</v>
      </c>
      <c r="B165" t="s">
        <v>342</v>
      </c>
      <c r="C165" t="s">
        <v>330</v>
      </c>
      <c r="D165" t="s">
        <v>343</v>
      </c>
      <c r="E165" s="13">
        <v>5.8</v>
      </c>
      <c r="F165" s="14">
        <f t="shared" si="45"/>
        <v>0.57777777777777772</v>
      </c>
      <c r="G165" s="2">
        <v>61.332055199999999</v>
      </c>
      <c r="H165" s="2">
        <f t="shared" si="46"/>
        <v>0.31028570463236671</v>
      </c>
      <c r="I165" s="2">
        <v>33.700000000000003</v>
      </c>
      <c r="J165" s="4">
        <f t="shared" si="47"/>
        <v>0.26640316205533598</v>
      </c>
      <c r="K165" s="2">
        <v>0</v>
      </c>
      <c r="L165" s="4">
        <f t="shared" si="48"/>
        <v>0</v>
      </c>
      <c r="M165" s="2">
        <v>3309</v>
      </c>
      <c r="N165" s="2">
        <f t="shared" si="49"/>
        <v>1.4525462141535725E-2</v>
      </c>
      <c r="O165" s="2">
        <v>0.60111583700000004</v>
      </c>
      <c r="P165" s="2">
        <f t="shared" si="50"/>
        <v>0.61695256979450297</v>
      </c>
      <c r="Q165" s="2">
        <v>7.6700000000000004E-2</v>
      </c>
      <c r="R165" s="2">
        <f t="shared" si="51"/>
        <v>6.2825709322524625E-2</v>
      </c>
      <c r="S165" s="2">
        <f t="shared" si="52"/>
        <v>3.9637634944272561E-2</v>
      </c>
      <c r="T165" s="5">
        <f t="shared" si="53"/>
        <v>0.10352617872409182</v>
      </c>
      <c r="U165" s="2" t="str">
        <f t="shared" si="54"/>
        <v>No Impact</v>
      </c>
      <c r="V165" s="2">
        <f t="shared" si="55"/>
        <v>7.3266905040739027E-3</v>
      </c>
      <c r="W165" s="2">
        <f t="shared" si="56"/>
        <v>1.7771872145439797E-2</v>
      </c>
      <c r="X165" s="2" t="s">
        <v>1176</v>
      </c>
      <c r="Y165" s="2">
        <f t="shared" si="57"/>
        <v>7.1948579384471217E-2</v>
      </c>
      <c r="Z165" s="2">
        <f t="shared" si="58"/>
        <v>0.18390631027099824</v>
      </c>
      <c r="AA165" s="2" t="str">
        <f t="shared" si="59"/>
        <v>Low</v>
      </c>
      <c r="AB165" s="2">
        <f t="shared" si="60"/>
        <v>2.4741797742370515E-2</v>
      </c>
      <c r="AC165" s="2">
        <f t="shared" si="61"/>
        <v>8.9894338655046313E-2</v>
      </c>
      <c r="AD165" s="2" t="str">
        <f t="shared" si="62"/>
        <v>No Impact</v>
      </c>
      <c r="AE165" s="2">
        <f t="shared" si="63"/>
        <v>1.6939492874379564E-3</v>
      </c>
      <c r="AF165" s="2">
        <f t="shared" si="64"/>
        <v>1.2904701639917611E-2</v>
      </c>
      <c r="AG165" s="2" t="s">
        <v>1176</v>
      </c>
    </row>
    <row r="166" spans="1:33" x14ac:dyDescent="0.3">
      <c r="A166">
        <v>302612</v>
      </c>
      <c r="B166" t="s">
        <v>344</v>
      </c>
      <c r="C166" t="s">
        <v>330</v>
      </c>
      <c r="D166" t="s">
        <v>345</v>
      </c>
      <c r="E166" s="13">
        <v>5.8</v>
      </c>
      <c r="F166" s="14">
        <f t="shared" si="45"/>
        <v>0.57777777777777772</v>
      </c>
      <c r="G166" s="2">
        <v>59.493383999999999</v>
      </c>
      <c r="H166" s="2">
        <f t="shared" si="46"/>
        <v>0.29042043774299842</v>
      </c>
      <c r="I166" s="2">
        <v>31.4</v>
      </c>
      <c r="J166" s="4">
        <f t="shared" si="47"/>
        <v>0.24822134387351777</v>
      </c>
      <c r="K166" s="2">
        <v>0</v>
      </c>
      <c r="L166" s="4">
        <f t="shared" si="48"/>
        <v>0</v>
      </c>
      <c r="M166" s="2">
        <v>15140</v>
      </c>
      <c r="N166" s="2">
        <f t="shared" si="49"/>
        <v>7.0502902726717859E-2</v>
      </c>
      <c r="O166" s="2">
        <v>0.50757058300000002</v>
      </c>
      <c r="P166" s="2">
        <f t="shared" si="50"/>
        <v>0.50889001520440469</v>
      </c>
      <c r="Q166" s="2">
        <v>0.16120000000000001</v>
      </c>
      <c r="R166" s="2">
        <f t="shared" si="51"/>
        <v>0.30746960046323107</v>
      </c>
      <c r="S166" s="2">
        <f t="shared" si="52"/>
        <v>4.4461123557657849E-2</v>
      </c>
      <c r="T166" s="5">
        <f t="shared" si="53"/>
        <v>0.11612423975787967</v>
      </c>
      <c r="U166" s="2" t="str">
        <f t="shared" si="54"/>
        <v>No Impact</v>
      </c>
      <c r="V166" s="2">
        <f t="shared" si="55"/>
        <v>3.3491230173700925E-2</v>
      </c>
      <c r="W166" s="2">
        <f t="shared" si="56"/>
        <v>8.1237478273383429E-2</v>
      </c>
      <c r="X166" s="2" t="s">
        <v>1176</v>
      </c>
      <c r="Y166" s="2">
        <f t="shared" si="57"/>
        <v>5.5431016941614758E-2</v>
      </c>
      <c r="Z166" s="2">
        <f t="shared" si="58"/>
        <v>0.14168610259595726</v>
      </c>
      <c r="AA166" s="2" t="str">
        <f t="shared" si="59"/>
        <v>No Impact</v>
      </c>
      <c r="AB166" s="2">
        <f t="shared" si="60"/>
        <v>3.1039079023087061E-2</v>
      </c>
      <c r="AC166" s="2">
        <f t="shared" si="61"/>
        <v>0.1127742418031261</v>
      </c>
      <c r="AD166" s="2" t="str">
        <f t="shared" si="62"/>
        <v>No Impact</v>
      </c>
      <c r="AE166" s="2">
        <f t="shared" si="63"/>
        <v>7.6795525137351708E-3</v>
      </c>
      <c r="AF166" s="2">
        <f t="shared" si="64"/>
        <v>5.8503719475404579E-2</v>
      </c>
      <c r="AG166" s="2" t="s">
        <v>1176</v>
      </c>
    </row>
    <row r="167" spans="1:33" x14ac:dyDescent="0.3">
      <c r="A167">
        <v>302614</v>
      </c>
      <c r="B167" t="s">
        <v>346</v>
      </c>
      <c r="C167" t="s">
        <v>330</v>
      </c>
      <c r="D167" t="s">
        <v>347</v>
      </c>
      <c r="E167" s="13">
        <v>5.6</v>
      </c>
      <c r="F167" s="14">
        <f t="shared" si="45"/>
        <v>0.53333333333333321</v>
      </c>
      <c r="G167" s="2">
        <v>63.413305200000003</v>
      </c>
      <c r="H167" s="2">
        <f t="shared" si="46"/>
        <v>0.33277182760720736</v>
      </c>
      <c r="I167" s="2">
        <v>34.4</v>
      </c>
      <c r="J167" s="4">
        <f t="shared" si="47"/>
        <v>0.27193675889328062</v>
      </c>
      <c r="K167" s="2">
        <v>0</v>
      </c>
      <c r="L167" s="4">
        <f t="shared" si="48"/>
        <v>0</v>
      </c>
      <c r="M167" s="2">
        <v>70768</v>
      </c>
      <c r="N167" s="2">
        <f t="shared" si="49"/>
        <v>0.33370238416298798</v>
      </c>
      <c r="O167" s="2">
        <v>0.61146082999999996</v>
      </c>
      <c r="P167" s="2">
        <f t="shared" si="50"/>
        <v>0.62890300365399809</v>
      </c>
      <c r="Q167" s="2">
        <v>0.25030000000000002</v>
      </c>
      <c r="R167" s="2">
        <f t="shared" si="51"/>
        <v>0.56543138390272163</v>
      </c>
      <c r="S167" s="2">
        <f t="shared" si="52"/>
        <v>6.7407597535445979E-2</v>
      </c>
      <c r="T167" s="5">
        <f t="shared" si="53"/>
        <v>0.17605619002312808</v>
      </c>
      <c r="U167" s="2" t="str">
        <f t="shared" si="54"/>
        <v>Low</v>
      </c>
      <c r="V167" s="2">
        <f t="shared" si="55"/>
        <v>6.3825293078928175E-2</v>
      </c>
      <c r="W167" s="2">
        <f t="shared" si="56"/>
        <v>0.15481682317728945</v>
      </c>
      <c r="X167" s="2" t="s">
        <v>1176</v>
      </c>
      <c r="Y167" s="2">
        <f t="shared" si="57"/>
        <v>7.0989901991963783E-2</v>
      </c>
      <c r="Z167" s="2">
        <f t="shared" si="58"/>
        <v>0.18145585435505676</v>
      </c>
      <c r="AA167" s="2" t="str">
        <f t="shared" si="59"/>
        <v>Low</v>
      </c>
      <c r="AB167" s="2">
        <f t="shared" si="60"/>
        <v>5.6819612715098139E-2</v>
      </c>
      <c r="AC167" s="2">
        <f t="shared" si="61"/>
        <v>0.20644261831113941</v>
      </c>
      <c r="AD167" s="2" t="str">
        <f t="shared" si="62"/>
        <v>Low</v>
      </c>
      <c r="AE167" s="2">
        <f t="shared" si="63"/>
        <v>3.7667970113954737E-2</v>
      </c>
      <c r="AF167" s="2">
        <f t="shared" si="64"/>
        <v>0.2869589540293267</v>
      </c>
      <c r="AG167" s="2" t="s">
        <v>1175</v>
      </c>
    </row>
    <row r="168" spans="1:33" x14ac:dyDescent="0.3">
      <c r="A168">
        <v>302616</v>
      </c>
      <c r="B168" t="s">
        <v>348</v>
      </c>
      <c r="C168" t="s">
        <v>330</v>
      </c>
      <c r="D168" t="s">
        <v>349</v>
      </c>
      <c r="E168" s="13">
        <v>5.8</v>
      </c>
      <c r="F168" s="14">
        <f t="shared" si="45"/>
        <v>0.57777777777777772</v>
      </c>
      <c r="G168" s="2">
        <v>61.332055199999999</v>
      </c>
      <c r="H168" s="2">
        <f t="shared" si="46"/>
        <v>0.31028570463236671</v>
      </c>
      <c r="I168" s="2">
        <v>32.5</v>
      </c>
      <c r="J168" s="4">
        <f t="shared" si="47"/>
        <v>0.25691699604743085</v>
      </c>
      <c r="K168" s="2">
        <v>0</v>
      </c>
      <c r="L168" s="4">
        <f t="shared" si="48"/>
        <v>0</v>
      </c>
      <c r="M168" s="2">
        <v>1742</v>
      </c>
      <c r="N168" s="2">
        <f t="shared" si="49"/>
        <v>7.1113256021915943E-3</v>
      </c>
      <c r="O168" s="2">
        <v>0.631479664</v>
      </c>
      <c r="P168" s="2">
        <f t="shared" si="50"/>
        <v>0.65202856320355174</v>
      </c>
      <c r="Q168" s="2">
        <v>0.06</v>
      </c>
      <c r="R168" s="2">
        <f t="shared" si="51"/>
        <v>1.4475969889982622E-2</v>
      </c>
      <c r="S168" s="2">
        <f t="shared" si="52"/>
        <v>3.8224365086582439E-2</v>
      </c>
      <c r="T168" s="5">
        <f t="shared" si="53"/>
        <v>9.9834978982273212E-2</v>
      </c>
      <c r="U168" s="2" t="str">
        <f t="shared" si="54"/>
        <v>No Impact</v>
      </c>
      <c r="V168" s="2">
        <f t="shared" si="55"/>
        <v>1.6604080860149761E-3</v>
      </c>
      <c r="W168" s="2">
        <f t="shared" si="56"/>
        <v>4.0275428854958106E-3</v>
      </c>
      <c r="X168" s="2" t="s">
        <v>1176</v>
      </c>
      <c r="Y168" s="2">
        <f t="shared" si="57"/>
        <v>7.4788322087149889E-2</v>
      </c>
      <c r="Z168" s="2">
        <f t="shared" si="58"/>
        <v>0.19116491922528908</v>
      </c>
      <c r="AA168" s="2" t="str">
        <f t="shared" si="59"/>
        <v>Low</v>
      </c>
      <c r="AB168" s="2">
        <f t="shared" si="60"/>
        <v>2.3303126088072876E-2</v>
      </c>
      <c r="AC168" s="2">
        <f t="shared" si="61"/>
        <v>8.4667214973432353E-2</v>
      </c>
      <c r="AD168" s="2" t="str">
        <f t="shared" si="62"/>
        <v>No Impact</v>
      </c>
      <c r="AE168" s="2">
        <f t="shared" si="63"/>
        <v>8.1567609092190617E-4</v>
      </c>
      <c r="AF168" s="2">
        <f t="shared" si="64"/>
        <v>6.2139148239094156E-3</v>
      </c>
      <c r="AG168" s="2" t="s">
        <v>1176</v>
      </c>
    </row>
    <row r="169" spans="1:33" x14ac:dyDescent="0.3">
      <c r="A169">
        <v>302618</v>
      </c>
      <c r="B169" t="s">
        <v>350</v>
      </c>
      <c r="C169" t="s">
        <v>330</v>
      </c>
      <c r="D169" t="s">
        <v>351</v>
      </c>
      <c r="E169" s="13">
        <v>5.8</v>
      </c>
      <c r="F169" s="14">
        <f t="shared" si="45"/>
        <v>0.57777777777777772</v>
      </c>
      <c r="G169" s="2">
        <v>70.145726400000001</v>
      </c>
      <c r="H169" s="2">
        <f t="shared" si="46"/>
        <v>0.40550987014011974</v>
      </c>
      <c r="I169" s="2">
        <v>37.6</v>
      </c>
      <c r="J169" s="4">
        <f t="shared" si="47"/>
        <v>0.29723320158102767</v>
      </c>
      <c r="K169" s="2">
        <v>0</v>
      </c>
      <c r="L169" s="4">
        <f t="shared" si="48"/>
        <v>0</v>
      </c>
      <c r="M169" s="2">
        <v>27219</v>
      </c>
      <c r="N169" s="2">
        <f t="shared" si="49"/>
        <v>0.12765373569336608</v>
      </c>
      <c r="O169" s="2">
        <v>0.63313887899999999</v>
      </c>
      <c r="P169" s="2">
        <f t="shared" si="50"/>
        <v>0.65394527200327546</v>
      </c>
      <c r="Q169" s="2">
        <v>0.26229999999999998</v>
      </c>
      <c r="R169" s="2">
        <f t="shared" si="51"/>
        <v>0.60017371163867972</v>
      </c>
      <c r="S169" s="2">
        <f t="shared" si="52"/>
        <v>8.9111590938911023E-2</v>
      </c>
      <c r="T169" s="5">
        <f t="shared" si="53"/>
        <v>0.23274301059838803</v>
      </c>
      <c r="U169" s="2" t="str">
        <f t="shared" si="54"/>
        <v>Low</v>
      </c>
      <c r="V169" s="2">
        <f t="shared" si="55"/>
        <v>8.5290845575945684E-2</v>
      </c>
      <c r="W169" s="2">
        <f t="shared" si="56"/>
        <v>0.20688440461751856</v>
      </c>
      <c r="X169" s="2" t="s">
        <v>1176</v>
      </c>
      <c r="Y169" s="2">
        <f t="shared" si="57"/>
        <v>9.2932336301876389E-2</v>
      </c>
      <c r="Z169" s="2">
        <f t="shared" si="58"/>
        <v>0.23754246741708954</v>
      </c>
      <c r="AA169" s="2" t="str">
        <f t="shared" si="59"/>
        <v>Low</v>
      </c>
      <c r="AB169" s="2">
        <f t="shared" si="60"/>
        <v>6.4080814042277362E-2</v>
      </c>
      <c r="AC169" s="2">
        <f t="shared" si="61"/>
        <v>0.23282473079725424</v>
      </c>
      <c r="AD169" s="2" t="str">
        <f t="shared" si="62"/>
        <v>Low</v>
      </c>
      <c r="AE169" s="2">
        <f t="shared" si="63"/>
        <v>1.8140906286095632E-2</v>
      </c>
      <c r="AF169" s="2">
        <f t="shared" si="64"/>
        <v>0.13819952275775813</v>
      </c>
      <c r="AG169" s="2" t="s">
        <v>1175</v>
      </c>
    </row>
    <row r="170" spans="1:33" x14ac:dyDescent="0.3">
      <c r="A170">
        <v>302624</v>
      </c>
      <c r="B170" t="s">
        <v>352</v>
      </c>
      <c r="C170" t="s">
        <v>330</v>
      </c>
      <c r="D170" t="s">
        <v>353</v>
      </c>
      <c r="E170" s="13">
        <v>5.7</v>
      </c>
      <c r="F170" s="14">
        <f t="shared" si="45"/>
        <v>0.55555555555555558</v>
      </c>
      <c r="G170" s="2">
        <v>59.493383999999999</v>
      </c>
      <c r="H170" s="2">
        <f t="shared" si="46"/>
        <v>0.29042043774299842</v>
      </c>
      <c r="I170" s="2">
        <v>31.4</v>
      </c>
      <c r="J170" s="4">
        <f t="shared" si="47"/>
        <v>0.24822134387351777</v>
      </c>
      <c r="K170" s="2">
        <v>0</v>
      </c>
      <c r="L170" s="4">
        <f t="shared" si="48"/>
        <v>0</v>
      </c>
      <c r="M170" s="2">
        <v>1598</v>
      </c>
      <c r="N170" s="2">
        <f t="shared" si="49"/>
        <v>6.4300009935983875E-3</v>
      </c>
      <c r="O170" s="2">
        <v>0.73194421300000001</v>
      </c>
      <c r="P170" s="2">
        <f t="shared" si="50"/>
        <v>0.76808421911830393</v>
      </c>
      <c r="Q170" s="2">
        <v>0.06</v>
      </c>
      <c r="R170" s="2">
        <f t="shared" si="51"/>
        <v>1.4475969889982622E-2</v>
      </c>
      <c r="S170" s="2">
        <f t="shared" si="52"/>
        <v>4.0981073625098167E-2</v>
      </c>
      <c r="T170" s="5">
        <f t="shared" si="53"/>
        <v>0.1070349923344787</v>
      </c>
      <c r="U170" s="2" t="str">
        <f t="shared" si="54"/>
        <v>No Impact</v>
      </c>
      <c r="V170" s="2">
        <f t="shared" si="55"/>
        <v>1.5161537634769716E-3</v>
      </c>
      <c r="W170" s="2">
        <f t="shared" si="56"/>
        <v>3.6776346458687976E-3</v>
      </c>
      <c r="X170" s="2" t="s">
        <v>1176</v>
      </c>
      <c r="Y170" s="2">
        <f t="shared" si="57"/>
        <v>8.0445993486719353E-2</v>
      </c>
      <c r="Z170" s="2">
        <f t="shared" si="58"/>
        <v>0.20562637879435935</v>
      </c>
      <c r="AA170" s="2" t="str">
        <f t="shared" si="59"/>
        <v>Low</v>
      </c>
      <c r="AB170" s="2">
        <f t="shared" si="60"/>
        <v>2.4900160047063861E-2</v>
      </c>
      <c r="AC170" s="2">
        <f t="shared" si="61"/>
        <v>9.0469716192140878E-2</v>
      </c>
      <c r="AD170" s="2" t="str">
        <f t="shared" si="62"/>
        <v>No Impact</v>
      </c>
      <c r="AE170" s="2">
        <f t="shared" si="63"/>
        <v>6.7345195380318426E-4</v>
      </c>
      <c r="AF170" s="2">
        <f t="shared" si="64"/>
        <v>5.1304348938297139E-3</v>
      </c>
      <c r="AG170" s="2" t="s">
        <v>1176</v>
      </c>
    </row>
    <row r="171" spans="1:33" x14ac:dyDescent="0.3">
      <c r="A171">
        <v>302626</v>
      </c>
      <c r="B171" t="s">
        <v>354</v>
      </c>
      <c r="C171" t="s">
        <v>330</v>
      </c>
      <c r="D171" t="s">
        <v>355</v>
      </c>
      <c r="E171" s="13">
        <v>5.7</v>
      </c>
      <c r="F171" s="14">
        <f t="shared" si="45"/>
        <v>0.55555555555555558</v>
      </c>
      <c r="G171" s="2">
        <v>59.493383999999999</v>
      </c>
      <c r="H171" s="2">
        <f t="shared" si="46"/>
        <v>0.29042043774299842</v>
      </c>
      <c r="I171" s="2">
        <v>31.4</v>
      </c>
      <c r="J171" s="4">
        <f t="shared" si="47"/>
        <v>0.24822134387351777</v>
      </c>
      <c r="K171" s="2">
        <v>0</v>
      </c>
      <c r="L171" s="4">
        <f t="shared" si="48"/>
        <v>0</v>
      </c>
      <c r="M171" s="2">
        <v>6565</v>
      </c>
      <c r="N171" s="2">
        <f t="shared" si="49"/>
        <v>2.9930968569171008E-2</v>
      </c>
      <c r="O171" s="2">
        <v>0.50751764200000005</v>
      </c>
      <c r="P171" s="2">
        <f t="shared" si="50"/>
        <v>0.50882885828347146</v>
      </c>
      <c r="Q171" s="2">
        <v>0.06</v>
      </c>
      <c r="R171" s="2">
        <f t="shared" si="51"/>
        <v>1.4475969889982622E-2</v>
      </c>
      <c r="S171" s="2">
        <f t="shared" si="52"/>
        <v>2.7404401594876657E-2</v>
      </c>
      <c r="T171" s="5">
        <f t="shared" si="53"/>
        <v>7.1575233520534021E-2</v>
      </c>
      <c r="U171" s="2" t="str">
        <f t="shared" si="54"/>
        <v>No Impact</v>
      </c>
      <c r="V171" s="2">
        <f t="shared" si="55"/>
        <v>1.5161537634769716E-3</v>
      </c>
      <c r="W171" s="2">
        <f t="shared" si="56"/>
        <v>3.6776346458687976E-3</v>
      </c>
      <c r="X171" s="2" t="s">
        <v>1176</v>
      </c>
      <c r="Y171" s="2">
        <f t="shared" si="57"/>
        <v>5.3292649426276338E-2</v>
      </c>
      <c r="Z171" s="2">
        <f t="shared" si="58"/>
        <v>0.13622026458895792</v>
      </c>
      <c r="AA171" s="2" t="str">
        <f t="shared" si="59"/>
        <v>No Impact</v>
      </c>
      <c r="AB171" s="2">
        <f t="shared" si="60"/>
        <v>1.7615645091689707E-2</v>
      </c>
      <c r="AC171" s="2">
        <f t="shared" si="61"/>
        <v>6.4002898333762673E-2</v>
      </c>
      <c r="AD171" s="2" t="str">
        <f t="shared" si="62"/>
        <v>No Impact</v>
      </c>
      <c r="AE171" s="2">
        <f t="shared" si="63"/>
        <v>3.1348469902567648E-3</v>
      </c>
      <c r="AF171" s="2">
        <f t="shared" si="64"/>
        <v>2.3881627033382462E-2</v>
      </c>
      <c r="AG171" s="2" t="s">
        <v>1176</v>
      </c>
    </row>
    <row r="172" spans="1:33" x14ac:dyDescent="0.3">
      <c r="A172">
        <v>302628</v>
      </c>
      <c r="B172" t="s">
        <v>356</v>
      </c>
      <c r="C172" t="s">
        <v>330</v>
      </c>
      <c r="D172" t="s">
        <v>357</v>
      </c>
      <c r="E172" s="13">
        <v>5.9</v>
      </c>
      <c r="F172" s="14">
        <f t="shared" si="45"/>
        <v>0.60000000000000009</v>
      </c>
      <c r="G172" s="2">
        <v>61.332055199999999</v>
      </c>
      <c r="H172" s="2">
        <f t="shared" si="46"/>
        <v>0.31028570463236671</v>
      </c>
      <c r="I172" s="2">
        <v>32.5</v>
      </c>
      <c r="J172" s="4">
        <f t="shared" si="47"/>
        <v>0.25691699604743085</v>
      </c>
      <c r="K172" s="2">
        <v>0</v>
      </c>
      <c r="L172" s="4">
        <f t="shared" si="48"/>
        <v>0</v>
      </c>
      <c r="M172" s="2">
        <v>4547</v>
      </c>
      <c r="N172" s="2">
        <f t="shared" si="49"/>
        <v>2.0382961207080098E-2</v>
      </c>
      <c r="O172" s="2">
        <v>0.59607095300000001</v>
      </c>
      <c r="P172" s="2">
        <f t="shared" si="50"/>
        <v>0.6111247695658486</v>
      </c>
      <c r="Q172" s="2">
        <v>8.6400000000000005E-2</v>
      </c>
      <c r="R172" s="2">
        <f t="shared" si="51"/>
        <v>9.0909090909090925E-2</v>
      </c>
      <c r="S172" s="2">
        <f t="shared" si="52"/>
        <v>4.1810527671155243E-2</v>
      </c>
      <c r="T172" s="5">
        <f t="shared" si="53"/>
        <v>0.10920137304655329</v>
      </c>
      <c r="U172" s="2" t="str">
        <f t="shared" si="54"/>
        <v>No Impact</v>
      </c>
      <c r="V172" s="2">
        <f t="shared" si="55"/>
        <v>1.0828415194796139E-2</v>
      </c>
      <c r="W172" s="2">
        <f t="shared" si="56"/>
        <v>2.6265775833256549E-2</v>
      </c>
      <c r="X172" s="2" t="s">
        <v>1176</v>
      </c>
      <c r="Y172" s="2">
        <f t="shared" si="57"/>
        <v>7.279264014751434E-2</v>
      </c>
      <c r="Z172" s="2">
        <f t="shared" si="58"/>
        <v>0.18606379693583275</v>
      </c>
      <c r="AA172" s="2" t="str">
        <f t="shared" si="59"/>
        <v>Low</v>
      </c>
      <c r="AB172" s="2">
        <f t="shared" si="60"/>
        <v>2.6477490754804239E-2</v>
      </c>
      <c r="AC172" s="2">
        <f t="shared" si="61"/>
        <v>9.6200629616018551E-2</v>
      </c>
      <c r="AD172" s="2" t="str">
        <f t="shared" si="62"/>
        <v>No Impact</v>
      </c>
      <c r="AE172" s="2">
        <f t="shared" si="63"/>
        <v>2.4278668353465496E-3</v>
      </c>
      <c r="AF172" s="2">
        <f t="shared" si="64"/>
        <v>1.8495770424736369E-2</v>
      </c>
      <c r="AG172" s="2" t="s">
        <v>1176</v>
      </c>
    </row>
    <row r="173" spans="1:33" x14ac:dyDescent="0.3">
      <c r="A173">
        <v>302629</v>
      </c>
      <c r="B173" t="s">
        <v>358</v>
      </c>
      <c r="C173" t="s">
        <v>330</v>
      </c>
      <c r="D173" t="s">
        <v>359</v>
      </c>
      <c r="E173" s="13">
        <v>5.8</v>
      </c>
      <c r="F173" s="14">
        <f t="shared" si="45"/>
        <v>0.57777777777777772</v>
      </c>
      <c r="G173" s="2">
        <v>59.493383999999999</v>
      </c>
      <c r="H173" s="2">
        <f t="shared" si="46"/>
        <v>0.29042043774299842</v>
      </c>
      <c r="I173" s="2">
        <v>31.4</v>
      </c>
      <c r="J173" s="4">
        <f t="shared" si="47"/>
        <v>0.24822134387351777</v>
      </c>
      <c r="K173" s="2">
        <v>0</v>
      </c>
      <c r="L173" s="4">
        <f t="shared" si="48"/>
        <v>0</v>
      </c>
      <c r="M173" s="2">
        <v>7826</v>
      </c>
      <c r="N173" s="2">
        <f t="shared" si="49"/>
        <v>3.5897290315254571E-2</v>
      </c>
      <c r="O173" s="2">
        <v>0.36270054299999999</v>
      </c>
      <c r="P173" s="2">
        <f t="shared" si="50"/>
        <v>0.34153757414983532</v>
      </c>
      <c r="Q173" s="2">
        <v>0.12959999999999999</v>
      </c>
      <c r="R173" s="2">
        <f t="shared" si="51"/>
        <v>0.21598147075854082</v>
      </c>
      <c r="S173" s="2">
        <f t="shared" si="52"/>
        <v>3.0363975220830376E-2</v>
      </c>
      <c r="T173" s="5">
        <f t="shared" si="53"/>
        <v>7.9305092998233906E-2</v>
      </c>
      <c r="U173" s="2" t="str">
        <f t="shared" si="54"/>
        <v>No Impact</v>
      </c>
      <c r="V173" s="2">
        <f t="shared" si="55"/>
        <v>2.3525854717119484E-2</v>
      </c>
      <c r="W173" s="2">
        <f t="shared" si="56"/>
        <v>5.7065121273016987E-2</v>
      </c>
      <c r="X173" s="2" t="s">
        <v>1176</v>
      </c>
      <c r="Y173" s="2">
        <f t="shared" si="57"/>
        <v>3.7202095724541279E-2</v>
      </c>
      <c r="Z173" s="2">
        <f t="shared" si="58"/>
        <v>9.5091525330735324E-2</v>
      </c>
      <c r="AA173" s="2" t="str">
        <f t="shared" si="59"/>
        <v>No Impact</v>
      </c>
      <c r="AB173" s="2">
        <f t="shared" si="60"/>
        <v>2.0763221437416549E-2</v>
      </c>
      <c r="AC173" s="2">
        <f t="shared" si="61"/>
        <v>7.5438983007627289E-2</v>
      </c>
      <c r="AD173" s="2" t="str">
        <f t="shared" si="62"/>
        <v>No Impact</v>
      </c>
      <c r="AE173" s="2">
        <f t="shared" si="63"/>
        <v>3.910124483035282E-3</v>
      </c>
      <c r="AF173" s="2">
        <f t="shared" si="64"/>
        <v>2.9787780663035668E-2</v>
      </c>
      <c r="AG173" s="2" t="s">
        <v>1176</v>
      </c>
    </row>
    <row r="174" spans="1:33" x14ac:dyDescent="0.3">
      <c r="A174">
        <v>302630</v>
      </c>
      <c r="B174" t="s">
        <v>360</v>
      </c>
      <c r="C174" t="s">
        <v>330</v>
      </c>
      <c r="D174" t="s">
        <v>361</v>
      </c>
      <c r="E174" s="13">
        <v>5.8</v>
      </c>
      <c r="F174" s="14">
        <f t="shared" si="45"/>
        <v>0.57777777777777772</v>
      </c>
      <c r="G174" s="2">
        <v>61.332055199999999</v>
      </c>
      <c r="H174" s="2">
        <f t="shared" si="46"/>
        <v>0.31028570463236671</v>
      </c>
      <c r="I174" s="2">
        <v>32.5</v>
      </c>
      <c r="J174" s="4">
        <f t="shared" si="47"/>
        <v>0.25691699604743085</v>
      </c>
      <c r="K174" s="2">
        <v>0</v>
      </c>
      <c r="L174" s="4">
        <f t="shared" si="48"/>
        <v>0</v>
      </c>
      <c r="M174" s="2">
        <v>6991</v>
      </c>
      <c r="N174" s="2">
        <f t="shared" si="49"/>
        <v>3.1946553869592574E-2</v>
      </c>
      <c r="O174" s="2">
        <v>0.66694276799999996</v>
      </c>
      <c r="P174" s="2">
        <f t="shared" si="50"/>
        <v>0.6929951910982638</v>
      </c>
      <c r="Q174" s="2">
        <v>0.105</v>
      </c>
      <c r="R174" s="2">
        <f t="shared" si="51"/>
        <v>0.14475969889982629</v>
      </c>
      <c r="S174" s="2">
        <f t="shared" si="52"/>
        <v>4.8045657873811917E-2</v>
      </c>
      <c r="T174" s="5">
        <f t="shared" si="53"/>
        <v>0.12548638108590124</v>
      </c>
      <c r="U174" s="2" t="str">
        <f t="shared" si="54"/>
        <v>No Impact</v>
      </c>
      <c r="V174" s="2">
        <f t="shared" si="55"/>
        <v>1.6604080860149768E-2</v>
      </c>
      <c r="W174" s="2">
        <f t="shared" si="56"/>
        <v>4.027542885495812E-2</v>
      </c>
      <c r="X174" s="2" t="s">
        <v>1176</v>
      </c>
      <c r="Y174" s="2">
        <f t="shared" si="57"/>
        <v>7.9487234887474056E-2</v>
      </c>
      <c r="Z174" s="2">
        <f t="shared" si="58"/>
        <v>0.20317571530751574</v>
      </c>
      <c r="AA174" s="2" t="str">
        <f t="shared" si="59"/>
        <v>Low</v>
      </c>
      <c r="AB174" s="2">
        <f t="shared" si="60"/>
        <v>3.0940104248376905E-2</v>
      </c>
      <c r="AC174" s="2">
        <f t="shared" si="61"/>
        <v>0.11241463689451169</v>
      </c>
      <c r="AD174" s="2" t="str">
        <f t="shared" si="62"/>
        <v>No Impact</v>
      </c>
      <c r="AE174" s="2">
        <f t="shared" si="63"/>
        <v>3.6643013745207651E-3</v>
      </c>
      <c r="AF174" s="2">
        <f t="shared" si="64"/>
        <v>2.7915071783790001E-2</v>
      </c>
      <c r="AG174" s="2" t="s">
        <v>1176</v>
      </c>
    </row>
    <row r="175" spans="1:33" x14ac:dyDescent="0.3">
      <c r="A175">
        <v>302632</v>
      </c>
      <c r="B175" t="s">
        <v>362</v>
      </c>
      <c r="C175" t="s">
        <v>330</v>
      </c>
      <c r="D175" t="s">
        <v>363</v>
      </c>
      <c r="E175" s="13">
        <v>5.8</v>
      </c>
      <c r="F175" s="14">
        <f t="shared" si="45"/>
        <v>0.57777777777777772</v>
      </c>
      <c r="G175" s="2">
        <v>59.493383999999999</v>
      </c>
      <c r="H175" s="2">
        <f t="shared" si="46"/>
        <v>0.29042043774299842</v>
      </c>
      <c r="I175" s="2">
        <v>31.4</v>
      </c>
      <c r="J175" s="4">
        <f t="shared" si="47"/>
        <v>0.24822134387351777</v>
      </c>
      <c r="K175" s="2">
        <v>0</v>
      </c>
      <c r="L175" s="4">
        <f t="shared" si="48"/>
        <v>0</v>
      </c>
      <c r="M175" s="2">
        <v>4323</v>
      </c>
      <c r="N175" s="2">
        <f t="shared" si="49"/>
        <v>1.9323122927046223E-2</v>
      </c>
      <c r="O175" s="2">
        <v>0.71773662699999996</v>
      </c>
      <c r="P175" s="2">
        <f t="shared" si="50"/>
        <v>0.75167175592996804</v>
      </c>
      <c r="Q175" s="2">
        <v>7.7299999999999994E-2</v>
      </c>
      <c r="R175" s="2">
        <f t="shared" si="51"/>
        <v>6.4562825709322508E-2</v>
      </c>
      <c r="S175" s="2">
        <f t="shared" si="52"/>
        <v>4.4454313870754575E-2</v>
      </c>
      <c r="T175" s="5">
        <f t="shared" si="53"/>
        <v>0.11610645411389776</v>
      </c>
      <c r="U175" s="2" t="str">
        <f t="shared" si="54"/>
        <v>No Impact</v>
      </c>
      <c r="V175" s="2">
        <f t="shared" si="55"/>
        <v>7.0325276165115859E-3</v>
      </c>
      <c r="W175" s="2">
        <f t="shared" si="56"/>
        <v>1.7058340541397835E-2</v>
      </c>
      <c r="X175" s="2" t="s">
        <v>1176</v>
      </c>
      <c r="Y175" s="2">
        <f t="shared" si="57"/>
        <v>8.1876100124997575E-2</v>
      </c>
      <c r="Z175" s="2">
        <f t="shared" si="58"/>
        <v>0.20928184548167764</v>
      </c>
      <c r="AA175" s="2" t="str">
        <f t="shared" si="59"/>
        <v>Low</v>
      </c>
      <c r="AB175" s="2">
        <f t="shared" si="60"/>
        <v>2.7760886897301083E-2</v>
      </c>
      <c r="AC175" s="2">
        <f t="shared" si="61"/>
        <v>0.10086359100077756</v>
      </c>
      <c r="AD175" s="2" t="str">
        <f t="shared" si="62"/>
        <v>No Impact</v>
      </c>
      <c r="AE175" s="2">
        <f t="shared" si="63"/>
        <v>2.1047776972078678E-3</v>
      </c>
      <c r="AF175" s="2">
        <f t="shared" si="64"/>
        <v>1.6034439993124778E-2</v>
      </c>
      <c r="AG175" s="2" t="s">
        <v>1176</v>
      </c>
    </row>
    <row r="176" spans="1:33" x14ac:dyDescent="0.3">
      <c r="A176">
        <v>302633</v>
      </c>
      <c r="B176" t="s">
        <v>364</v>
      </c>
      <c r="C176" t="s">
        <v>330</v>
      </c>
      <c r="D176" t="s">
        <v>365</v>
      </c>
      <c r="E176" s="13">
        <v>5.7</v>
      </c>
      <c r="F176" s="14">
        <f t="shared" si="45"/>
        <v>0.55555555555555558</v>
      </c>
      <c r="G176" s="2">
        <v>59.493383999999999</v>
      </c>
      <c r="H176" s="2">
        <f t="shared" si="46"/>
        <v>0.29042043774299842</v>
      </c>
      <c r="I176" s="2">
        <v>31.4</v>
      </c>
      <c r="J176" s="4">
        <f t="shared" si="47"/>
        <v>0.24822134387351777</v>
      </c>
      <c r="K176" s="2">
        <v>0</v>
      </c>
      <c r="L176" s="4">
        <f t="shared" si="48"/>
        <v>0</v>
      </c>
      <c r="M176" s="2">
        <v>731</v>
      </c>
      <c r="N176" s="2">
        <f t="shared" si="49"/>
        <v>2.3278590793601225E-3</v>
      </c>
      <c r="O176" s="2">
        <v>0.32664743000000002</v>
      </c>
      <c r="P176" s="2">
        <f t="shared" si="50"/>
        <v>0.29988937367880475</v>
      </c>
      <c r="Q176" s="2">
        <v>0.06</v>
      </c>
      <c r="R176" s="2">
        <f t="shared" si="51"/>
        <v>1.4475969889982622E-2</v>
      </c>
      <c r="S176" s="2">
        <f t="shared" si="52"/>
        <v>1.6462668905120263E-2</v>
      </c>
      <c r="T176" s="5">
        <f t="shared" si="53"/>
        <v>4.2997449412488085E-2</v>
      </c>
      <c r="U176" s="2" t="str">
        <f t="shared" si="54"/>
        <v>No Impact</v>
      </c>
      <c r="V176" s="2">
        <f t="shared" si="55"/>
        <v>1.5161537634769716E-3</v>
      </c>
      <c r="W176" s="2">
        <f t="shared" si="56"/>
        <v>3.6776346458687976E-3</v>
      </c>
      <c r="X176" s="2" t="s">
        <v>1176</v>
      </c>
      <c r="Y176" s="2">
        <f t="shared" si="57"/>
        <v>3.1409184046763551E-2</v>
      </c>
      <c r="Z176" s="2">
        <f t="shared" si="58"/>
        <v>8.028438081863927E-2</v>
      </c>
      <c r="AA176" s="2" t="str">
        <f t="shared" si="59"/>
        <v>No Impact</v>
      </c>
      <c r="AB176" s="2">
        <f t="shared" si="60"/>
        <v>1.0038742678372504E-2</v>
      </c>
      <c r="AC176" s="2">
        <f t="shared" si="61"/>
        <v>3.6473749539026948E-2</v>
      </c>
      <c r="AD176" s="2" t="str">
        <f t="shared" si="62"/>
        <v>No Impact</v>
      </c>
      <c r="AE176" s="2">
        <f t="shared" si="63"/>
        <v>2.4381042036141767E-4</v>
      </c>
      <c r="AF176" s="2">
        <f t="shared" si="64"/>
        <v>1.8573759880531413E-3</v>
      </c>
      <c r="AG176" s="2" t="s">
        <v>1176</v>
      </c>
    </row>
    <row r="177" spans="1:33" x14ac:dyDescent="0.3">
      <c r="A177">
        <v>302634</v>
      </c>
      <c r="B177" t="s">
        <v>366</v>
      </c>
      <c r="C177" t="s">
        <v>330</v>
      </c>
      <c r="D177" t="s">
        <v>367</v>
      </c>
      <c r="E177" s="13">
        <v>3.7</v>
      </c>
      <c r="F177" s="14">
        <f t="shared" si="45"/>
        <v>0.1111111111111111</v>
      </c>
      <c r="G177" s="2">
        <v>61.332055199999999</v>
      </c>
      <c r="H177" s="2">
        <f t="shared" si="46"/>
        <v>0.31028570463236671</v>
      </c>
      <c r="I177" s="2">
        <v>32.5</v>
      </c>
      <c r="J177" s="4">
        <f t="shared" si="47"/>
        <v>0.25691699604743085</v>
      </c>
      <c r="K177" s="2">
        <v>0</v>
      </c>
      <c r="L177" s="4">
        <f t="shared" si="48"/>
        <v>0</v>
      </c>
      <c r="M177" s="2">
        <v>2173</v>
      </c>
      <c r="N177" s="2">
        <f t="shared" si="49"/>
        <v>9.1505680070782056E-3</v>
      </c>
      <c r="O177" s="2">
        <v>0.59125960399999999</v>
      </c>
      <c r="P177" s="2">
        <f t="shared" si="50"/>
        <v>0.60556674666535482</v>
      </c>
      <c r="Q177" s="2">
        <v>6.3700000000000007E-2</v>
      </c>
      <c r="R177" s="2">
        <f t="shared" si="51"/>
        <v>2.5188187608569793E-2</v>
      </c>
      <c r="S177" s="2">
        <f t="shared" si="52"/>
        <v>6.9565592091970756E-3</v>
      </c>
      <c r="T177" s="5">
        <f t="shared" si="53"/>
        <v>1.8169247307731378E-2</v>
      </c>
      <c r="U177" s="2" t="str">
        <f t="shared" si="54"/>
        <v>No Impact</v>
      </c>
      <c r="V177" s="2">
        <f t="shared" si="55"/>
        <v>5.5559809032039648E-4</v>
      </c>
      <c r="W177" s="2">
        <f t="shared" si="56"/>
        <v>1.3476778116851382E-3</v>
      </c>
      <c r="X177" s="2" t="s">
        <v>1176</v>
      </c>
      <c r="Y177" s="2">
        <f t="shared" si="57"/>
        <v>1.3357520328073757E-2</v>
      </c>
      <c r="Z177" s="2">
        <f t="shared" si="58"/>
        <v>3.4142887864108351E-2</v>
      </c>
      <c r="AA177" s="2" t="str">
        <f t="shared" si="59"/>
        <v>No Impact</v>
      </c>
      <c r="AB177" s="2">
        <f t="shared" si="60"/>
        <v>4.2723601848765093E-3</v>
      </c>
      <c r="AC177" s="2">
        <f t="shared" si="61"/>
        <v>1.552276020177458E-2</v>
      </c>
      <c r="AD177" s="2" t="str">
        <f t="shared" si="62"/>
        <v>No Impact</v>
      </c>
      <c r="AE177" s="2">
        <f t="shared" si="63"/>
        <v>2.0184215669212429E-4</v>
      </c>
      <c r="AF177" s="2">
        <f t="shared" si="64"/>
        <v>1.5376569002304124E-3</v>
      </c>
      <c r="AG177" s="2" t="s">
        <v>1176</v>
      </c>
    </row>
    <row r="178" spans="1:33" x14ac:dyDescent="0.3">
      <c r="A178">
        <v>302636</v>
      </c>
      <c r="B178" t="s">
        <v>368</v>
      </c>
      <c r="C178" t="s">
        <v>330</v>
      </c>
      <c r="D178" t="s">
        <v>369</v>
      </c>
      <c r="E178" s="13">
        <v>5.9</v>
      </c>
      <c r="F178" s="14">
        <f t="shared" si="45"/>
        <v>0.60000000000000009</v>
      </c>
      <c r="G178" s="2">
        <v>59.493383999999999</v>
      </c>
      <c r="H178" s="2">
        <f t="shared" si="46"/>
        <v>0.29042043774299842</v>
      </c>
      <c r="I178" s="2">
        <v>31.4</v>
      </c>
      <c r="J178" s="4">
        <f t="shared" si="47"/>
        <v>0.24822134387351777</v>
      </c>
      <c r="K178" s="2">
        <v>0</v>
      </c>
      <c r="L178" s="4">
        <f t="shared" si="48"/>
        <v>0</v>
      </c>
      <c r="M178" s="2">
        <v>13317</v>
      </c>
      <c r="N178" s="2">
        <f t="shared" si="49"/>
        <v>6.1877522438763585E-2</v>
      </c>
      <c r="O178" s="2">
        <v>0.64071530300000001</v>
      </c>
      <c r="P178" s="2">
        <f t="shared" si="50"/>
        <v>0.66269748226610437</v>
      </c>
      <c r="Q178" s="2">
        <v>0.1772</v>
      </c>
      <c r="R178" s="2">
        <f t="shared" si="51"/>
        <v>0.35379270411117547</v>
      </c>
      <c r="S178" s="2">
        <f t="shared" si="52"/>
        <v>5.7490028923526088E-2</v>
      </c>
      <c r="T178" s="5">
        <f t="shared" si="53"/>
        <v>0.15015333325406097</v>
      </c>
      <c r="U178" s="2" t="str">
        <f t="shared" si="54"/>
        <v>Low</v>
      </c>
      <c r="V178" s="2">
        <f t="shared" si="55"/>
        <v>4.0019181817727387E-2</v>
      </c>
      <c r="W178" s="2">
        <f t="shared" si="56"/>
        <v>9.7071902004636154E-2</v>
      </c>
      <c r="X178" s="2" t="s">
        <v>1176</v>
      </c>
      <c r="Y178" s="2">
        <f t="shared" si="57"/>
        <v>7.4960876029324761E-2</v>
      </c>
      <c r="Z178" s="2">
        <f t="shared" si="58"/>
        <v>0.19160598087097522</v>
      </c>
      <c r="AA178" s="2" t="str">
        <f t="shared" si="59"/>
        <v>Low</v>
      </c>
      <c r="AB178" s="2">
        <f t="shared" si="60"/>
        <v>3.8944718136241736E-2</v>
      </c>
      <c r="AC178" s="2">
        <f t="shared" si="61"/>
        <v>0.14149778918325343</v>
      </c>
      <c r="AD178" s="2" t="str">
        <f t="shared" si="62"/>
        <v>No Impact</v>
      </c>
      <c r="AE178" s="2">
        <f t="shared" si="63"/>
        <v>6.9992619749706308E-3</v>
      </c>
      <c r="AF178" s="2">
        <f t="shared" si="64"/>
        <v>5.3321187450202652E-2</v>
      </c>
      <c r="AG178" s="2" t="s">
        <v>1176</v>
      </c>
    </row>
    <row r="179" spans="1:33" x14ac:dyDescent="0.3">
      <c r="A179">
        <v>302637</v>
      </c>
      <c r="B179" t="s">
        <v>370</v>
      </c>
      <c r="C179" t="s">
        <v>330</v>
      </c>
      <c r="D179" t="s">
        <v>371</v>
      </c>
      <c r="E179" s="13">
        <v>5.8</v>
      </c>
      <c r="F179" s="14">
        <f t="shared" si="45"/>
        <v>0.57777777777777772</v>
      </c>
      <c r="G179" s="2">
        <v>59.493383999999999</v>
      </c>
      <c r="H179" s="2">
        <f t="shared" si="46"/>
        <v>0.29042043774299842</v>
      </c>
      <c r="I179" s="2">
        <v>31.4</v>
      </c>
      <c r="J179" s="4">
        <f t="shared" si="47"/>
        <v>0.24822134387351777</v>
      </c>
      <c r="K179" s="2">
        <v>0</v>
      </c>
      <c r="L179" s="4">
        <f t="shared" si="48"/>
        <v>0</v>
      </c>
      <c r="M179" s="2">
        <v>9630</v>
      </c>
      <c r="N179" s="2">
        <f t="shared" si="49"/>
        <v>4.4432773606241691E-2</v>
      </c>
      <c r="O179" s="2">
        <v>0.38758400100000001</v>
      </c>
      <c r="P179" s="2">
        <f t="shared" si="50"/>
        <v>0.37028269935432107</v>
      </c>
      <c r="Q179" s="2">
        <v>0.1852</v>
      </c>
      <c r="R179" s="2">
        <f t="shared" si="51"/>
        <v>0.3769542559351477</v>
      </c>
      <c r="S179" s="2">
        <f t="shared" si="52"/>
        <v>4.069651898300073E-2</v>
      </c>
      <c r="T179" s="5">
        <f t="shared" si="53"/>
        <v>0.10629178818579611</v>
      </c>
      <c r="U179" s="2" t="str">
        <f t="shared" si="54"/>
        <v>No Impact</v>
      </c>
      <c r="V179" s="2">
        <f t="shared" si="55"/>
        <v>4.1059869760977974E-2</v>
      </c>
      <c r="W179" s="2">
        <f t="shared" si="56"/>
        <v>9.9596230425560484E-2</v>
      </c>
      <c r="X179" s="2" t="s">
        <v>1176</v>
      </c>
      <c r="Y179" s="2">
        <f t="shared" si="57"/>
        <v>4.0333168205023487E-2</v>
      </c>
      <c r="Z179" s="2">
        <f t="shared" si="58"/>
        <v>0.10309479644467237</v>
      </c>
      <c r="AA179" s="2" t="str">
        <f t="shared" si="59"/>
        <v>No Impact</v>
      </c>
      <c r="AB179" s="2">
        <f t="shared" si="60"/>
        <v>2.8164854087954057E-2</v>
      </c>
      <c r="AC179" s="2">
        <f t="shared" si="61"/>
        <v>0.10233132442177702</v>
      </c>
      <c r="AD179" s="2" t="str">
        <f t="shared" si="62"/>
        <v>No Impact</v>
      </c>
      <c r="AE179" s="2">
        <f t="shared" si="63"/>
        <v>4.8398548860134885E-3</v>
      </c>
      <c r="AF179" s="2">
        <f t="shared" si="64"/>
        <v>3.6870574430811653E-2</v>
      </c>
      <c r="AG179" s="2" t="s">
        <v>1176</v>
      </c>
    </row>
    <row r="180" spans="1:33" x14ac:dyDescent="0.3">
      <c r="A180">
        <v>302638</v>
      </c>
      <c r="B180" t="s">
        <v>372</v>
      </c>
      <c r="C180" t="s">
        <v>330</v>
      </c>
      <c r="D180" t="s">
        <v>373</v>
      </c>
      <c r="E180" s="13">
        <v>5.6</v>
      </c>
      <c r="F180" s="14">
        <f t="shared" si="45"/>
        <v>0.53333333333333321</v>
      </c>
      <c r="G180" s="2">
        <v>61.975414800000003</v>
      </c>
      <c r="H180" s="2">
        <f t="shared" si="46"/>
        <v>0.31723665386126487</v>
      </c>
      <c r="I180" s="2">
        <v>32.6</v>
      </c>
      <c r="J180" s="4">
        <f t="shared" si="47"/>
        <v>0.25770750988142294</v>
      </c>
      <c r="K180" s="2">
        <v>0</v>
      </c>
      <c r="L180" s="4">
        <f t="shared" si="48"/>
        <v>0</v>
      </c>
      <c r="M180" s="2">
        <v>88374</v>
      </c>
      <c r="N180" s="2">
        <f t="shared" si="49"/>
        <v>0.41700378040529351</v>
      </c>
      <c r="O180" s="2">
        <v>0.74142641899999995</v>
      </c>
      <c r="P180" s="2">
        <f t="shared" si="50"/>
        <v>0.77903796994685537</v>
      </c>
      <c r="Q180" s="2">
        <v>0.219</v>
      </c>
      <c r="R180" s="2">
        <f t="shared" si="51"/>
        <v>0.47481181239143028</v>
      </c>
      <c r="S180" s="2">
        <f t="shared" si="52"/>
        <v>6.7283404026107413E-2</v>
      </c>
      <c r="T180" s="5">
        <f t="shared" si="53"/>
        <v>0.1757318195236714</v>
      </c>
      <c r="U180" s="2" t="str">
        <f t="shared" si="54"/>
        <v>Low</v>
      </c>
      <c r="V180" s="2">
        <f t="shared" si="55"/>
        <v>5.0958185676634279E-2</v>
      </c>
      <c r="W180" s="2">
        <f t="shared" si="56"/>
        <v>0.12360592550008322</v>
      </c>
      <c r="X180" s="2" t="s">
        <v>1176</v>
      </c>
      <c r="Y180" s="2">
        <f t="shared" si="57"/>
        <v>8.3608622375580546E-2</v>
      </c>
      <c r="Z180" s="2">
        <f t="shared" si="58"/>
        <v>0.21371031060625645</v>
      </c>
      <c r="AA180" s="2" t="str">
        <f t="shared" si="59"/>
        <v>Low</v>
      </c>
      <c r="AB180" s="2">
        <f t="shared" si="60"/>
        <v>5.8581872499936669E-2</v>
      </c>
      <c r="AC180" s="2">
        <f t="shared" si="61"/>
        <v>0.21284543428862004</v>
      </c>
      <c r="AD180" s="2" t="str">
        <f t="shared" si="62"/>
        <v>Low</v>
      </c>
      <c r="AE180" s="2">
        <f t="shared" si="63"/>
        <v>4.4754059429830018E-2</v>
      </c>
      <c r="AF180" s="2">
        <f t="shared" si="64"/>
        <v>0.34094160220735115</v>
      </c>
      <c r="AG180" s="2" t="str">
        <f t="shared" si="66"/>
        <v>Moderate</v>
      </c>
    </row>
    <row r="181" spans="1:33" x14ac:dyDescent="0.3">
      <c r="A181">
        <v>302640</v>
      </c>
      <c r="B181" t="s">
        <v>374</v>
      </c>
      <c r="C181" t="s">
        <v>330</v>
      </c>
      <c r="D181" t="s">
        <v>1130</v>
      </c>
      <c r="E181" s="13">
        <v>5.7</v>
      </c>
      <c r="F181" s="14">
        <f t="shared" si="45"/>
        <v>0.55555555555555558</v>
      </c>
      <c r="G181" s="2">
        <v>59.493383999999999</v>
      </c>
      <c r="H181" s="2">
        <f t="shared" si="46"/>
        <v>0.29042043774299842</v>
      </c>
      <c r="I181" s="2">
        <v>31.4</v>
      </c>
      <c r="J181" s="4">
        <f t="shared" si="47"/>
        <v>0.24822134387351777</v>
      </c>
      <c r="K181" s="2">
        <v>0</v>
      </c>
      <c r="L181" s="4">
        <f t="shared" si="48"/>
        <v>0</v>
      </c>
      <c r="M181" s="2">
        <v>383</v>
      </c>
      <c r="N181" s="2">
        <f t="shared" si="49"/>
        <v>6.8132460859320662E-4</v>
      </c>
      <c r="O181" s="2">
        <v>0.43836721899999997</v>
      </c>
      <c r="P181" s="2">
        <f t="shared" si="50"/>
        <v>0.42894697180779962</v>
      </c>
      <c r="Q181" s="2">
        <v>0.2596</v>
      </c>
      <c r="R181" s="2">
        <f t="shared" si="51"/>
        <v>0.59235668789808926</v>
      </c>
      <c r="S181" s="2">
        <f t="shared" si="52"/>
        <v>5.3483579997890787E-2</v>
      </c>
      <c r="T181" s="5">
        <f t="shared" si="53"/>
        <v>0.13968922892222072</v>
      </c>
      <c r="U181" s="2" t="str">
        <f t="shared" si="54"/>
        <v>No Impact</v>
      </c>
      <c r="V181" s="2">
        <f t="shared" si="55"/>
        <v>6.2041012001477713E-2</v>
      </c>
      <c r="W181" s="2">
        <f t="shared" si="56"/>
        <v>0.15048880970895129</v>
      </c>
      <c r="X181" s="2" t="s">
        <v>1176</v>
      </c>
      <c r="Y181" s="2">
        <f t="shared" si="57"/>
        <v>4.4926147994303861E-2</v>
      </c>
      <c r="Z181" s="2">
        <f t="shared" si="58"/>
        <v>0.11483481929741168</v>
      </c>
      <c r="AA181" s="2" t="str">
        <f t="shared" si="59"/>
        <v>No Impact</v>
      </c>
      <c r="AB181" s="2">
        <f t="shared" si="60"/>
        <v>3.5217174300406349E-2</v>
      </c>
      <c r="AC181" s="2">
        <f t="shared" si="61"/>
        <v>0.12795450944993472</v>
      </c>
      <c r="AD181" s="2" t="str">
        <f t="shared" si="62"/>
        <v>No Impact</v>
      </c>
      <c r="AE181" s="2">
        <f t="shared" si="63"/>
        <v>7.1359147422853959E-5</v>
      </c>
      <c r="AF181" s="2">
        <f t="shared" si="64"/>
        <v>5.4362224040579749E-4</v>
      </c>
      <c r="AG181" s="2" t="s">
        <v>1176</v>
      </c>
    </row>
    <row r="182" spans="1:33" x14ac:dyDescent="0.3">
      <c r="A182">
        <v>302642</v>
      </c>
      <c r="B182" t="s">
        <v>375</v>
      </c>
      <c r="C182" t="s">
        <v>330</v>
      </c>
      <c r="D182" t="s">
        <v>376</v>
      </c>
      <c r="E182" s="13">
        <v>5.8</v>
      </c>
      <c r="F182" s="14">
        <f t="shared" si="45"/>
        <v>0.57777777777777772</v>
      </c>
      <c r="G182" s="2">
        <v>61.332055199999999</v>
      </c>
      <c r="H182" s="2">
        <f t="shared" si="46"/>
        <v>0.31028570463236671</v>
      </c>
      <c r="I182" s="2">
        <v>32.5</v>
      </c>
      <c r="J182" s="4">
        <f t="shared" si="47"/>
        <v>0.25691699604743085</v>
      </c>
      <c r="K182" s="2">
        <v>0</v>
      </c>
      <c r="L182" s="4">
        <f t="shared" si="48"/>
        <v>0</v>
      </c>
      <c r="M182" s="2">
        <v>3930</v>
      </c>
      <c r="N182" s="2">
        <f t="shared" si="49"/>
        <v>1.7463674516093926E-2</v>
      </c>
      <c r="O182" s="2">
        <v>0.39637735600000001</v>
      </c>
      <c r="P182" s="2">
        <f t="shared" si="50"/>
        <v>0.38044069630323746</v>
      </c>
      <c r="Q182" s="2">
        <v>5.7500000000000002E-2</v>
      </c>
      <c r="R182" s="2">
        <f t="shared" si="51"/>
        <v>7.2379849449913216E-3</v>
      </c>
      <c r="S182" s="2">
        <f t="shared" si="52"/>
        <v>2.2233564383331079E-2</v>
      </c>
      <c r="T182" s="5">
        <f t="shared" si="53"/>
        <v>5.806996212711546E-2</v>
      </c>
      <c r="U182" s="2" t="str">
        <f t="shared" si="54"/>
        <v>No Impact</v>
      </c>
      <c r="V182" s="2">
        <f t="shared" si="55"/>
        <v>8.3020404300748925E-4</v>
      </c>
      <c r="W182" s="2">
        <f t="shared" si="56"/>
        <v>2.0137714427479084E-3</v>
      </c>
      <c r="X182" s="2" t="s">
        <v>1176</v>
      </c>
      <c r="Y182" s="2">
        <f t="shared" si="57"/>
        <v>4.3636924723654671E-2</v>
      </c>
      <c r="Z182" s="2">
        <f t="shared" si="58"/>
        <v>0.1115394617399868</v>
      </c>
      <c r="AA182" s="2" t="str">
        <f t="shared" si="59"/>
        <v>No Impact</v>
      </c>
      <c r="AB182" s="2">
        <f t="shared" si="60"/>
        <v>1.4082734100317662E-2</v>
      </c>
      <c r="AC182" s="2">
        <f t="shared" si="61"/>
        <v>5.1166777838255545E-2</v>
      </c>
      <c r="AD182" s="2" t="str">
        <f t="shared" si="62"/>
        <v>No Impact</v>
      </c>
      <c r="AE182" s="2">
        <f t="shared" si="63"/>
        <v>2.0031007661961116E-3</v>
      </c>
      <c r="AF182" s="2">
        <f t="shared" si="64"/>
        <v>1.525985336995985E-2</v>
      </c>
      <c r="AG182" s="2" t="s">
        <v>1176</v>
      </c>
    </row>
    <row r="183" spans="1:33" x14ac:dyDescent="0.3">
      <c r="A183">
        <v>302648</v>
      </c>
      <c r="B183" t="s">
        <v>377</v>
      </c>
      <c r="C183" t="s">
        <v>330</v>
      </c>
      <c r="D183" t="s">
        <v>1137</v>
      </c>
      <c r="E183" s="13">
        <v>5.7</v>
      </c>
      <c r="F183" s="14">
        <f t="shared" si="45"/>
        <v>0.55555555555555558</v>
      </c>
      <c r="G183" s="2">
        <v>61.332055199999999</v>
      </c>
      <c r="H183" s="2">
        <f t="shared" si="46"/>
        <v>0.31028570463236671</v>
      </c>
      <c r="I183" s="2">
        <v>32.5</v>
      </c>
      <c r="J183" s="4">
        <f t="shared" si="47"/>
        <v>0.25691699604743085</v>
      </c>
      <c r="K183" s="2">
        <v>0</v>
      </c>
      <c r="L183" s="4">
        <f t="shared" si="48"/>
        <v>0</v>
      </c>
      <c r="M183" s="2">
        <v>5661</v>
      </c>
      <c r="N183" s="2">
        <f t="shared" si="49"/>
        <v>2.5653764081891434E-2</v>
      </c>
      <c r="O183" s="2">
        <v>0.93270404799999995</v>
      </c>
      <c r="P183" s="2">
        <f t="shared" si="50"/>
        <v>1</v>
      </c>
      <c r="Q183" s="2">
        <v>0.21249999999999999</v>
      </c>
      <c r="R183" s="2">
        <f t="shared" si="51"/>
        <v>0.45599305153445285</v>
      </c>
      <c r="S183" s="2">
        <f t="shared" si="52"/>
        <v>8.0290310236243459E-2</v>
      </c>
      <c r="T183" s="5">
        <f t="shared" si="53"/>
        <v>0.20970345528981121</v>
      </c>
      <c r="U183" s="2" t="str">
        <f t="shared" si="54"/>
        <v>Low</v>
      </c>
      <c r="V183" s="2">
        <f t="shared" si="55"/>
        <v>5.0291206451415174E-2</v>
      </c>
      <c r="W183" s="2">
        <f t="shared" si="56"/>
        <v>0.12198807778184434</v>
      </c>
      <c r="X183" s="2" t="s">
        <v>1176</v>
      </c>
      <c r="Y183" s="2">
        <f t="shared" si="57"/>
        <v>0.11028941402107174</v>
      </c>
      <c r="Z183" s="2">
        <f t="shared" si="58"/>
        <v>0.28190854313022756</v>
      </c>
      <c r="AA183" s="2" t="str">
        <f t="shared" si="59"/>
        <v>Low</v>
      </c>
      <c r="AB183" s="2">
        <f t="shared" si="60"/>
        <v>5.1679014977126153E-2</v>
      </c>
      <c r="AC183" s="2">
        <f t="shared" si="61"/>
        <v>0.18776529183880913</v>
      </c>
      <c r="AD183" s="2" t="str">
        <f t="shared" si="62"/>
        <v>Low</v>
      </c>
      <c r="AE183" s="2">
        <f t="shared" si="63"/>
        <v>2.8293386080266237E-3</v>
      </c>
      <c r="AF183" s="2">
        <f t="shared" si="64"/>
        <v>2.1554228834150198E-2</v>
      </c>
      <c r="AG183" s="2" t="s">
        <v>1176</v>
      </c>
    </row>
    <row r="184" spans="1:33" x14ac:dyDescent="0.3">
      <c r="A184">
        <v>302650</v>
      </c>
      <c r="B184" t="s">
        <v>378</v>
      </c>
      <c r="C184" t="s">
        <v>330</v>
      </c>
      <c r="D184" t="s">
        <v>1138</v>
      </c>
      <c r="E184" s="13">
        <v>5.8</v>
      </c>
      <c r="F184" s="14">
        <f t="shared" si="45"/>
        <v>0.57777777777777772</v>
      </c>
      <c r="G184" s="2">
        <v>61.332055199999999</v>
      </c>
      <c r="H184" s="2">
        <f t="shared" si="46"/>
        <v>0.31028570463236671</v>
      </c>
      <c r="I184" s="2">
        <v>32.5</v>
      </c>
      <c r="J184" s="4">
        <f t="shared" si="47"/>
        <v>0.25691699604743085</v>
      </c>
      <c r="K184" s="2">
        <v>0</v>
      </c>
      <c r="L184" s="4">
        <f t="shared" si="48"/>
        <v>0</v>
      </c>
      <c r="M184" s="2">
        <v>4452</v>
      </c>
      <c r="N184" s="2">
        <f t="shared" si="49"/>
        <v>1.9933476222244301E-2</v>
      </c>
      <c r="O184" s="2">
        <v>0.64759064799999999</v>
      </c>
      <c r="P184" s="2">
        <f t="shared" si="50"/>
        <v>0.6706398129843284</v>
      </c>
      <c r="Q184" s="2">
        <v>9.2299999999999993E-2</v>
      </c>
      <c r="R184" s="2">
        <f t="shared" si="51"/>
        <v>0.1079907353792704</v>
      </c>
      <c r="S184" s="2">
        <f t="shared" si="52"/>
        <v>4.4654847597322071E-2</v>
      </c>
      <c r="T184" s="5">
        <f t="shared" si="53"/>
        <v>0.11663021115555836</v>
      </c>
      <c r="U184" s="2" t="str">
        <f t="shared" si="54"/>
        <v>No Impact</v>
      </c>
      <c r="V184" s="2">
        <f t="shared" si="55"/>
        <v>1.2386644321671726E-2</v>
      </c>
      <c r="W184" s="2">
        <f t="shared" si="56"/>
        <v>3.0045469925798759E-2</v>
      </c>
      <c r="X184" s="2" t="s">
        <v>1176</v>
      </c>
      <c r="Y184" s="2">
        <f t="shared" si="57"/>
        <v>7.6923050872972423E-2</v>
      </c>
      <c r="Z184" s="2">
        <f t="shared" si="58"/>
        <v>0.19662145634928188</v>
      </c>
      <c r="AA184" s="2" t="str">
        <f t="shared" si="59"/>
        <v>Low</v>
      </c>
      <c r="AB184" s="2">
        <f t="shared" si="60"/>
        <v>2.8212477088428192E-2</v>
      </c>
      <c r="AC184" s="2">
        <f t="shared" si="61"/>
        <v>0.10250435300187329</v>
      </c>
      <c r="AD184" s="2" t="str">
        <f t="shared" si="62"/>
        <v>No Impact</v>
      </c>
      <c r="AE184" s="2">
        <f t="shared" si="63"/>
        <v>2.2863894684324619E-3</v>
      </c>
      <c r="AF184" s="2">
        <f t="shared" si="64"/>
        <v>1.741797947646731E-2</v>
      </c>
      <c r="AG184" s="2" t="s">
        <v>1176</v>
      </c>
    </row>
    <row r="185" spans="1:33" x14ac:dyDescent="0.3">
      <c r="A185">
        <v>302654</v>
      </c>
      <c r="B185" t="s">
        <v>379</v>
      </c>
      <c r="C185" t="s">
        <v>330</v>
      </c>
      <c r="D185" t="s">
        <v>380</v>
      </c>
      <c r="E185" s="13">
        <v>5.8</v>
      </c>
      <c r="F185" s="14">
        <f t="shared" si="45"/>
        <v>0.57777777777777772</v>
      </c>
      <c r="G185" s="2">
        <v>59.493383999999999</v>
      </c>
      <c r="H185" s="2">
        <f t="shared" si="46"/>
        <v>0.29042043774299842</v>
      </c>
      <c r="I185" s="2">
        <v>31.4</v>
      </c>
      <c r="J185" s="4">
        <f t="shared" si="47"/>
        <v>0.24822134387351777</v>
      </c>
      <c r="K185" s="2">
        <v>0</v>
      </c>
      <c r="L185" s="4">
        <f t="shared" si="48"/>
        <v>0</v>
      </c>
      <c r="M185" s="2">
        <v>2689</v>
      </c>
      <c r="N185" s="2">
        <f t="shared" si="49"/>
        <v>1.1591981187870529E-2</v>
      </c>
      <c r="O185" s="2">
        <v>0.91085916499999997</v>
      </c>
      <c r="P185" s="2">
        <f t="shared" si="50"/>
        <v>0.97476500665975196</v>
      </c>
      <c r="Q185" s="2">
        <v>0.06</v>
      </c>
      <c r="R185" s="2">
        <f t="shared" si="51"/>
        <v>1.4475969889982622E-2</v>
      </c>
      <c r="S185" s="2">
        <f t="shared" si="52"/>
        <v>5.3876703896855366E-2</v>
      </c>
      <c r="T185" s="5">
        <f t="shared" si="53"/>
        <v>0.14071599590976014</v>
      </c>
      <c r="U185" s="2" t="str">
        <f t="shared" si="54"/>
        <v>No Impact</v>
      </c>
      <c r="V185" s="2">
        <f t="shared" si="55"/>
        <v>1.5767999140160504E-3</v>
      </c>
      <c r="W185" s="2">
        <f t="shared" si="56"/>
        <v>3.8247400317035496E-3</v>
      </c>
      <c r="X185" s="2" t="s">
        <v>1176</v>
      </c>
      <c r="Y185" s="2">
        <f t="shared" si="57"/>
        <v>0.10617660787969467</v>
      </c>
      <c r="Z185" s="2">
        <f t="shared" si="58"/>
        <v>0.27139588243850293</v>
      </c>
      <c r="AA185" s="2" t="str">
        <f t="shared" si="59"/>
        <v>Low</v>
      </c>
      <c r="AB185" s="2">
        <f t="shared" si="60"/>
        <v>3.2846793498200827E-2</v>
      </c>
      <c r="AC185" s="2">
        <f t="shared" si="61"/>
        <v>0.11934220824233185</v>
      </c>
      <c r="AD185" s="2" t="str">
        <f t="shared" si="62"/>
        <v>No Impact</v>
      </c>
      <c r="AE185" s="2">
        <f t="shared" si="63"/>
        <v>1.2626604696766102E-3</v>
      </c>
      <c r="AF185" s="2">
        <f t="shared" si="64"/>
        <v>9.6190935316248054E-3</v>
      </c>
      <c r="AG185" s="2" t="s">
        <v>1176</v>
      </c>
    </row>
    <row r="186" spans="1:33" x14ac:dyDescent="0.3">
      <c r="A186">
        <v>302662</v>
      </c>
      <c r="B186" t="s">
        <v>381</v>
      </c>
      <c r="C186" t="s">
        <v>330</v>
      </c>
      <c r="D186" t="s">
        <v>382</v>
      </c>
      <c r="E186" s="13">
        <v>5.6</v>
      </c>
      <c r="F186" s="14">
        <f t="shared" si="45"/>
        <v>0.53333333333333321</v>
      </c>
      <c r="G186" s="2">
        <v>70.145726400000001</v>
      </c>
      <c r="H186" s="2">
        <f t="shared" si="46"/>
        <v>0.40550987014011974</v>
      </c>
      <c r="I186" s="2">
        <v>35.299999999999997</v>
      </c>
      <c r="J186" s="4">
        <f t="shared" si="47"/>
        <v>0.27905138339920948</v>
      </c>
      <c r="K186" s="2">
        <v>0</v>
      </c>
      <c r="L186" s="4">
        <f t="shared" si="48"/>
        <v>0</v>
      </c>
      <c r="M186" s="2">
        <v>31650</v>
      </c>
      <c r="N186" s="2">
        <f t="shared" si="49"/>
        <v>0.1486186616702862</v>
      </c>
      <c r="O186" s="2">
        <v>0.73357502799999996</v>
      </c>
      <c r="P186" s="2">
        <f t="shared" si="50"/>
        <v>0.76996812051819585</v>
      </c>
      <c r="Q186" s="2">
        <v>0.248</v>
      </c>
      <c r="R186" s="2">
        <f t="shared" si="51"/>
        <v>0.55877243775332952</v>
      </c>
      <c r="S186" s="2">
        <f t="shared" si="52"/>
        <v>8.4896401538564301E-2</v>
      </c>
      <c r="T186" s="5">
        <f t="shared" si="53"/>
        <v>0.22173371471507633</v>
      </c>
      <c r="U186" s="2" t="str">
        <f t="shared" si="54"/>
        <v>Low</v>
      </c>
      <c r="V186" s="2">
        <f t="shared" si="55"/>
        <v>7.1402605947240586E-2</v>
      </c>
      <c r="W186" s="2">
        <f t="shared" si="56"/>
        <v>0.17319661353785762</v>
      </c>
      <c r="X186" s="2" t="s">
        <v>1176</v>
      </c>
      <c r="Y186" s="2">
        <f t="shared" si="57"/>
        <v>9.8390197129888043E-2</v>
      </c>
      <c r="Z186" s="2">
        <f t="shared" si="58"/>
        <v>0.25149319522074198</v>
      </c>
      <c r="AA186" s="2" t="str">
        <f t="shared" si="59"/>
        <v>Low</v>
      </c>
      <c r="AB186" s="2">
        <f t="shared" si="60"/>
        <v>6.1154891606214054E-2</v>
      </c>
      <c r="AC186" s="2">
        <f t="shared" si="61"/>
        <v>0.22219398095907889</v>
      </c>
      <c r="AD186" s="2" t="str">
        <f t="shared" si="62"/>
        <v>Low</v>
      </c>
      <c r="AE186" s="2">
        <f t="shared" si="63"/>
        <v>1.8991201102038401E-2</v>
      </c>
      <c r="AF186" s="2">
        <f t="shared" si="64"/>
        <v>0.14467716703381914</v>
      </c>
      <c r="AG186" s="2" t="s">
        <v>1175</v>
      </c>
    </row>
    <row r="187" spans="1:33" x14ac:dyDescent="0.3">
      <c r="A187">
        <v>302663</v>
      </c>
      <c r="B187" t="s">
        <v>383</v>
      </c>
      <c r="C187" t="s">
        <v>330</v>
      </c>
      <c r="D187" t="s">
        <v>384</v>
      </c>
      <c r="E187" s="13">
        <v>5.8</v>
      </c>
      <c r="F187" s="14">
        <f t="shared" si="45"/>
        <v>0.57777777777777772</v>
      </c>
      <c r="G187" s="2">
        <v>61.332055199999999</v>
      </c>
      <c r="H187" s="2">
        <f t="shared" si="46"/>
        <v>0.31028570463236671</v>
      </c>
      <c r="I187" s="2">
        <v>32.5</v>
      </c>
      <c r="J187" s="4">
        <f t="shared" si="47"/>
        <v>0.25691699604743085</v>
      </c>
      <c r="K187" s="2">
        <v>0</v>
      </c>
      <c r="L187" s="4">
        <f t="shared" si="48"/>
        <v>0</v>
      </c>
      <c r="M187" s="2">
        <v>580</v>
      </c>
      <c r="N187" s="2">
        <f t="shared" si="49"/>
        <v>1.6134145245158573E-3</v>
      </c>
      <c r="O187" s="2">
        <v>0.67860092000000005</v>
      </c>
      <c r="P187" s="2">
        <f t="shared" si="50"/>
        <v>0.70646257328015061</v>
      </c>
      <c r="Q187" s="2">
        <v>0.06</v>
      </c>
      <c r="R187" s="2">
        <f t="shared" si="51"/>
        <v>1.4475969889982622E-2</v>
      </c>
      <c r="S187" s="2">
        <f t="shared" si="52"/>
        <v>4.1346182525148344E-2</v>
      </c>
      <c r="T187" s="5">
        <f t="shared" si="53"/>
        <v>0.1079885893211176</v>
      </c>
      <c r="U187" s="2" t="str">
        <f t="shared" si="54"/>
        <v>No Impact</v>
      </c>
      <c r="V187" s="2">
        <f t="shared" si="55"/>
        <v>1.6604080860149761E-3</v>
      </c>
      <c r="W187" s="2">
        <f t="shared" si="56"/>
        <v>4.0275428854958106E-3</v>
      </c>
      <c r="X187" s="2" t="s">
        <v>1176</v>
      </c>
      <c r="Y187" s="2">
        <f t="shared" si="57"/>
        <v>8.1031956964281712E-2</v>
      </c>
      <c r="Z187" s="2">
        <f t="shared" si="58"/>
        <v>0.20712414820181643</v>
      </c>
      <c r="AA187" s="2" t="str">
        <f t="shared" si="59"/>
        <v>Low</v>
      </c>
      <c r="AB187" s="2">
        <f t="shared" si="60"/>
        <v>2.4955501004853182E-2</v>
      </c>
      <c r="AC187" s="2">
        <f t="shared" si="61"/>
        <v>9.067078641560683E-2</v>
      </c>
      <c r="AD187" s="2" t="str">
        <f t="shared" si="62"/>
        <v>No Impact</v>
      </c>
      <c r="AE187" s="2">
        <f t="shared" si="63"/>
        <v>1.8506024418121756E-4</v>
      </c>
      <c r="AF187" s="2">
        <f t="shared" si="64"/>
        <v>1.4098103492702001E-3</v>
      </c>
      <c r="AG187" s="2" t="s">
        <v>1176</v>
      </c>
    </row>
    <row r="188" spans="1:33" x14ac:dyDescent="0.3">
      <c r="A188">
        <v>302664</v>
      </c>
      <c r="B188" t="s">
        <v>385</v>
      </c>
      <c r="C188" t="s">
        <v>330</v>
      </c>
      <c r="D188" t="s">
        <v>386</v>
      </c>
      <c r="E188" s="13">
        <v>5.4</v>
      </c>
      <c r="F188" s="14">
        <f t="shared" si="45"/>
        <v>0.48888888888888893</v>
      </c>
      <c r="G188" s="2">
        <v>61.332055199999999</v>
      </c>
      <c r="H188" s="2">
        <f t="shared" si="46"/>
        <v>0.31028570463236671</v>
      </c>
      <c r="I188" s="2">
        <v>32.5</v>
      </c>
      <c r="J188" s="4">
        <f t="shared" si="47"/>
        <v>0.25691699604743085</v>
      </c>
      <c r="K188" s="2">
        <v>0</v>
      </c>
      <c r="L188" s="4">
        <f t="shared" si="48"/>
        <v>0</v>
      </c>
      <c r="M188" s="2">
        <v>9521</v>
      </c>
      <c r="N188" s="2">
        <f t="shared" si="49"/>
        <v>4.3917048728903778E-2</v>
      </c>
      <c r="O188" s="2">
        <v>0.50863918500000005</v>
      </c>
      <c r="P188" s="2">
        <f t="shared" si="50"/>
        <v>0.51012445369296855</v>
      </c>
      <c r="Q188" s="2">
        <v>0.1464</v>
      </c>
      <c r="R188" s="2">
        <f t="shared" si="51"/>
        <v>0.2646207295888825</v>
      </c>
      <c r="S188" s="2">
        <f t="shared" si="52"/>
        <v>3.75963246031134E-2</v>
      </c>
      <c r="T188" s="5">
        <f t="shared" si="53"/>
        <v>9.8194653280979691E-2</v>
      </c>
      <c r="U188" s="2" t="str">
        <f t="shared" si="54"/>
        <v>No Impact</v>
      </c>
      <c r="V188" s="2">
        <f t="shared" si="55"/>
        <v>2.5682681379683971E-2</v>
      </c>
      <c r="W188" s="2">
        <f t="shared" si="56"/>
        <v>6.2296794108884473E-2</v>
      </c>
      <c r="X188" s="2" t="s">
        <v>1176</v>
      </c>
      <c r="Y188" s="2">
        <f t="shared" si="57"/>
        <v>4.9509967826542829E-2</v>
      </c>
      <c r="Z188" s="2">
        <f t="shared" si="58"/>
        <v>0.12655142856900545</v>
      </c>
      <c r="AA188" s="2" t="str">
        <f t="shared" si="59"/>
        <v>No Impact</v>
      </c>
      <c r="AB188" s="2">
        <f t="shared" si="60"/>
        <v>2.5333753186364699E-2</v>
      </c>
      <c r="AC188" s="2">
        <f t="shared" si="61"/>
        <v>9.2045089530354895E-2</v>
      </c>
      <c r="AD188" s="2" t="str">
        <f t="shared" si="62"/>
        <v>No Impact</v>
      </c>
      <c r="AE188" s="2">
        <f t="shared" si="63"/>
        <v>4.2623553014641729E-3</v>
      </c>
      <c r="AF188" s="2">
        <f t="shared" si="64"/>
        <v>3.2471115786416871E-2</v>
      </c>
      <c r="AG188" s="2" t="s">
        <v>1176</v>
      </c>
    </row>
    <row r="189" spans="1:33" x14ac:dyDescent="0.3">
      <c r="A189">
        <v>302665</v>
      </c>
      <c r="B189" t="s">
        <v>387</v>
      </c>
      <c r="C189" t="s">
        <v>330</v>
      </c>
      <c r="D189" t="s">
        <v>388</v>
      </c>
      <c r="E189" s="13">
        <v>5.7</v>
      </c>
      <c r="F189" s="14">
        <f t="shared" si="45"/>
        <v>0.55555555555555558</v>
      </c>
      <c r="G189" s="2">
        <v>59.493383999999999</v>
      </c>
      <c r="H189" s="2">
        <f t="shared" si="46"/>
        <v>0.29042043774299842</v>
      </c>
      <c r="I189" s="2">
        <v>31.4</v>
      </c>
      <c r="J189" s="4">
        <f t="shared" si="47"/>
        <v>0.24822134387351777</v>
      </c>
      <c r="K189" s="2">
        <v>0</v>
      </c>
      <c r="L189" s="4">
        <f t="shared" si="48"/>
        <v>0</v>
      </c>
      <c r="M189" s="2">
        <v>723</v>
      </c>
      <c r="N189" s="2">
        <f t="shared" si="49"/>
        <v>2.2900077122160558E-3</v>
      </c>
      <c r="O189" s="2">
        <v>0.36898089000000001</v>
      </c>
      <c r="P189" s="2">
        <f t="shared" si="50"/>
        <v>0.34879256904815759</v>
      </c>
      <c r="Q189" s="2">
        <v>0.06</v>
      </c>
      <c r="R189" s="2">
        <f t="shared" si="51"/>
        <v>1.4475969889982622E-2</v>
      </c>
      <c r="S189" s="2">
        <f t="shared" si="52"/>
        <v>1.9023629043501116E-2</v>
      </c>
      <c r="T189" s="5">
        <f t="shared" si="53"/>
        <v>4.968620411150175E-2</v>
      </c>
      <c r="U189" s="2" t="str">
        <f t="shared" si="54"/>
        <v>No Impact</v>
      </c>
      <c r="V189" s="2">
        <f t="shared" si="55"/>
        <v>1.5161537634769716E-3</v>
      </c>
      <c r="W189" s="2">
        <f t="shared" si="56"/>
        <v>3.6776346458687976E-3</v>
      </c>
      <c r="X189" s="2" t="s">
        <v>1176</v>
      </c>
      <c r="Y189" s="2">
        <f t="shared" si="57"/>
        <v>3.6531104323525257E-2</v>
      </c>
      <c r="Z189" s="2">
        <f t="shared" si="58"/>
        <v>9.337641776585881E-2</v>
      </c>
      <c r="AA189" s="2" t="str">
        <f t="shared" si="59"/>
        <v>No Impact</v>
      </c>
      <c r="AB189" s="2">
        <f t="shared" si="60"/>
        <v>1.1573931222423348E-2</v>
      </c>
      <c r="AC189" s="2">
        <f t="shared" si="61"/>
        <v>4.2051547899326358E-2</v>
      </c>
      <c r="AD189" s="2" t="str">
        <f t="shared" si="62"/>
        <v>No Impact</v>
      </c>
      <c r="AE189" s="2">
        <f t="shared" si="63"/>
        <v>2.3984602328237025E-4</v>
      </c>
      <c r="AF189" s="2">
        <f t="shared" si="64"/>
        <v>1.8271747524750415E-3</v>
      </c>
      <c r="AG189" s="2" t="s">
        <v>1176</v>
      </c>
    </row>
    <row r="190" spans="1:33" x14ac:dyDescent="0.3">
      <c r="A190">
        <v>302666</v>
      </c>
      <c r="B190" t="s">
        <v>389</v>
      </c>
      <c r="C190" t="s">
        <v>330</v>
      </c>
      <c r="D190" t="s">
        <v>390</v>
      </c>
      <c r="E190" s="13">
        <v>5.7</v>
      </c>
      <c r="F190" s="14">
        <f t="shared" si="45"/>
        <v>0.55555555555555558</v>
      </c>
      <c r="G190" s="2">
        <v>59.493383999999999</v>
      </c>
      <c r="H190" s="2">
        <f t="shared" si="46"/>
        <v>0.29042043774299842</v>
      </c>
      <c r="I190" s="2">
        <v>31.4</v>
      </c>
      <c r="J190" s="4">
        <f t="shared" si="47"/>
        <v>0.24822134387351777</v>
      </c>
      <c r="K190" s="2">
        <v>0</v>
      </c>
      <c r="L190" s="4">
        <f t="shared" si="48"/>
        <v>0</v>
      </c>
      <c r="M190" s="2">
        <v>2576</v>
      </c>
      <c r="N190" s="2">
        <f t="shared" si="49"/>
        <v>1.1057330626960583E-2</v>
      </c>
      <c r="O190" s="2">
        <v>0.65787553700000001</v>
      </c>
      <c r="P190" s="2">
        <f t="shared" si="50"/>
        <v>0.68252081529595399</v>
      </c>
      <c r="Q190" s="2">
        <v>0.06</v>
      </c>
      <c r="R190" s="2">
        <f t="shared" si="51"/>
        <v>1.4475969889982622E-2</v>
      </c>
      <c r="S190" s="2">
        <f t="shared" si="52"/>
        <v>3.6500293487149442E-2</v>
      </c>
      <c r="T190" s="5">
        <f t="shared" si="53"/>
        <v>9.5332022517111523E-2</v>
      </c>
      <c r="U190" s="2" t="str">
        <f t="shared" si="54"/>
        <v>No Impact</v>
      </c>
      <c r="V190" s="2">
        <f t="shared" si="55"/>
        <v>1.5161537634769716E-3</v>
      </c>
      <c r="W190" s="2">
        <f t="shared" si="56"/>
        <v>3.6776346458687976E-3</v>
      </c>
      <c r="X190" s="2" t="s">
        <v>1176</v>
      </c>
      <c r="Y190" s="2">
        <f t="shared" si="57"/>
        <v>7.1484433210821915E-2</v>
      </c>
      <c r="Z190" s="2">
        <f t="shared" si="58"/>
        <v>0.18271991561313974</v>
      </c>
      <c r="AA190" s="2" t="str">
        <f t="shared" si="59"/>
        <v>Low</v>
      </c>
      <c r="AB190" s="2">
        <f t="shared" si="60"/>
        <v>2.2381318604314367E-2</v>
      </c>
      <c r="AC190" s="2">
        <f t="shared" si="61"/>
        <v>8.1318013149757423E-2</v>
      </c>
      <c r="AD190" s="2" t="str">
        <f t="shared" si="62"/>
        <v>No Impact</v>
      </c>
      <c r="AE190" s="2">
        <f t="shared" si="63"/>
        <v>1.158099496716734E-3</v>
      </c>
      <c r="AF190" s="2">
        <f t="shared" si="64"/>
        <v>8.8225359432524218E-3</v>
      </c>
      <c r="AG190" s="2" t="s">
        <v>1176</v>
      </c>
    </row>
    <row r="191" spans="1:33" x14ac:dyDescent="0.3">
      <c r="A191">
        <v>302667</v>
      </c>
      <c r="B191" t="s">
        <v>391</v>
      </c>
      <c r="C191" t="s">
        <v>330</v>
      </c>
      <c r="D191" t="s">
        <v>392</v>
      </c>
      <c r="E191" s="13">
        <v>5.8</v>
      </c>
      <c r="F191" s="14">
        <f t="shared" si="45"/>
        <v>0.57777777777777772</v>
      </c>
      <c r="G191" s="2">
        <v>59.493383999999999</v>
      </c>
      <c r="H191" s="2">
        <f t="shared" si="46"/>
        <v>0.29042043774299842</v>
      </c>
      <c r="I191" s="2">
        <v>31.4</v>
      </c>
      <c r="J191" s="4">
        <f t="shared" si="47"/>
        <v>0.24822134387351777</v>
      </c>
      <c r="K191" s="2">
        <v>0</v>
      </c>
      <c r="L191" s="4">
        <f t="shared" si="48"/>
        <v>0</v>
      </c>
      <c r="M191" s="2">
        <v>3584</v>
      </c>
      <c r="N191" s="2">
        <f t="shared" si="49"/>
        <v>1.5826602887113028E-2</v>
      </c>
      <c r="O191" s="2">
        <v>0.569527652</v>
      </c>
      <c r="P191" s="2">
        <f t="shared" si="50"/>
        <v>0.5804622101022342</v>
      </c>
      <c r="Q191" s="2">
        <v>0.06</v>
      </c>
      <c r="R191" s="2">
        <f t="shared" si="51"/>
        <v>1.4475969889982622E-2</v>
      </c>
      <c r="S191" s="2">
        <f t="shared" si="52"/>
        <v>3.2401921190294738E-2</v>
      </c>
      <c r="T191" s="5">
        <f t="shared" si="53"/>
        <v>8.462783132410609E-2</v>
      </c>
      <c r="U191" s="2" t="str">
        <f t="shared" si="54"/>
        <v>No Impact</v>
      </c>
      <c r="V191" s="2">
        <f t="shared" si="55"/>
        <v>1.5767999140160504E-3</v>
      </c>
      <c r="W191" s="2">
        <f t="shared" si="56"/>
        <v>3.8247400317035496E-3</v>
      </c>
      <c r="X191" s="2" t="s">
        <v>1176</v>
      </c>
      <c r="Y191" s="2">
        <f t="shared" si="57"/>
        <v>6.3227042466573416E-2</v>
      </c>
      <c r="Z191" s="2">
        <f t="shared" si="58"/>
        <v>0.16161336594624817</v>
      </c>
      <c r="AA191" s="2" t="str">
        <f t="shared" si="59"/>
        <v>Low</v>
      </c>
      <c r="AB191" s="2">
        <f t="shared" si="60"/>
        <v>2.0123364034315968E-2</v>
      </c>
      <c r="AC191" s="2">
        <f t="shared" si="61"/>
        <v>7.3114190012219388E-2</v>
      </c>
      <c r="AD191" s="2" t="str">
        <f t="shared" si="62"/>
        <v>No Impact</v>
      </c>
      <c r="AE191" s="2">
        <f t="shared" si="63"/>
        <v>1.7239180698237799E-3</v>
      </c>
      <c r="AF191" s="2">
        <f t="shared" si="64"/>
        <v>1.3133007291136721E-2</v>
      </c>
      <c r="AG191" s="2" t="s">
        <v>1176</v>
      </c>
    </row>
    <row r="192" spans="1:33" x14ac:dyDescent="0.3">
      <c r="A192">
        <v>302668</v>
      </c>
      <c r="B192" t="s">
        <v>393</v>
      </c>
      <c r="C192" t="s">
        <v>330</v>
      </c>
      <c r="D192" t="s">
        <v>394</v>
      </c>
      <c r="E192" s="13">
        <v>5.8</v>
      </c>
      <c r="F192" s="14">
        <f t="shared" si="45"/>
        <v>0.57777777777777772</v>
      </c>
      <c r="G192" s="2">
        <v>59.493383999999999</v>
      </c>
      <c r="H192" s="2">
        <f t="shared" si="46"/>
        <v>0.29042043774299842</v>
      </c>
      <c r="I192" s="2">
        <v>31.4</v>
      </c>
      <c r="J192" s="4">
        <f t="shared" si="47"/>
        <v>0.24822134387351777</v>
      </c>
      <c r="K192" s="2">
        <v>0</v>
      </c>
      <c r="L192" s="4">
        <f t="shared" si="48"/>
        <v>0</v>
      </c>
      <c r="M192" s="2">
        <v>8555</v>
      </c>
      <c r="N192" s="2">
        <f t="shared" si="49"/>
        <v>3.9346496146257681E-2</v>
      </c>
      <c r="O192" s="2">
        <v>0.83119712899999998</v>
      </c>
      <c r="P192" s="2">
        <f t="shared" si="50"/>
        <v>0.88274020854430335</v>
      </c>
      <c r="Q192" s="2">
        <v>0.1615</v>
      </c>
      <c r="R192" s="2">
        <f t="shared" si="51"/>
        <v>0.30833815865663006</v>
      </c>
      <c r="S192" s="2">
        <f t="shared" si="52"/>
        <v>6.4869306901793503E-2</v>
      </c>
      <c r="T192" s="5">
        <f t="shared" si="53"/>
        <v>0.16942664388187517</v>
      </c>
      <c r="U192" s="2" t="str">
        <f t="shared" si="54"/>
        <v>Low</v>
      </c>
      <c r="V192" s="2">
        <f t="shared" si="55"/>
        <v>3.3585838168541896E-2</v>
      </c>
      <c r="W192" s="2">
        <f t="shared" si="56"/>
        <v>8.1466962675285651E-2</v>
      </c>
      <c r="X192" s="2" t="s">
        <v>1176</v>
      </c>
      <c r="Y192" s="2">
        <f t="shared" si="57"/>
        <v>9.615277563504511E-2</v>
      </c>
      <c r="Z192" s="2">
        <f t="shared" si="58"/>
        <v>0.24577416733780375</v>
      </c>
      <c r="AA192" s="2" t="str">
        <f t="shared" si="59"/>
        <v>Low</v>
      </c>
      <c r="AB192" s="2">
        <f t="shared" si="60"/>
        <v>4.2100916687479013E-2</v>
      </c>
      <c r="AC192" s="2">
        <f t="shared" si="61"/>
        <v>0.15296520090417337</v>
      </c>
      <c r="AD192" s="2" t="str">
        <f t="shared" si="62"/>
        <v>Low</v>
      </c>
      <c r="AE192" s="2">
        <f t="shared" si="63"/>
        <v>4.2858303942166073E-3</v>
      </c>
      <c r="AF192" s="2">
        <f t="shared" si="64"/>
        <v>3.2649951758772187E-2</v>
      </c>
      <c r="AG192" s="2" t="s">
        <v>1176</v>
      </c>
    </row>
    <row r="193" spans="1:33" x14ac:dyDescent="0.3">
      <c r="A193">
        <v>302672</v>
      </c>
      <c r="B193" t="s">
        <v>395</v>
      </c>
      <c r="C193" t="s">
        <v>330</v>
      </c>
      <c r="D193" t="s">
        <v>396</v>
      </c>
      <c r="E193" s="13">
        <v>5.7</v>
      </c>
      <c r="F193" s="14">
        <f t="shared" si="45"/>
        <v>0.55555555555555558</v>
      </c>
      <c r="G193" s="2">
        <v>61.332055199999999</v>
      </c>
      <c r="H193" s="2">
        <f t="shared" si="46"/>
        <v>0.31028570463236671</v>
      </c>
      <c r="I193" s="2">
        <v>37.299999999999997</v>
      </c>
      <c r="J193" s="4">
        <f t="shared" si="47"/>
        <v>0.29486166007905135</v>
      </c>
      <c r="K193" s="2">
        <v>0</v>
      </c>
      <c r="L193" s="4">
        <f t="shared" si="48"/>
        <v>0</v>
      </c>
      <c r="M193" s="2">
        <v>146872</v>
      </c>
      <c r="N193" s="2">
        <f t="shared" si="49"/>
        <v>0.69378243980449772</v>
      </c>
      <c r="O193" s="2">
        <v>0.67893549499999994</v>
      </c>
      <c r="P193" s="2">
        <f t="shared" si="50"/>
        <v>0.70684907101954386</v>
      </c>
      <c r="Q193" s="2">
        <v>0.21249999999999999</v>
      </c>
      <c r="R193" s="2">
        <f t="shared" si="51"/>
        <v>0.45599305153445285</v>
      </c>
      <c r="S193" s="2">
        <f t="shared" si="52"/>
        <v>6.8414387809345556E-2</v>
      </c>
      <c r="T193" s="5">
        <f t="shared" si="53"/>
        <v>0.17868574019633957</v>
      </c>
      <c r="U193" s="2" t="str">
        <f t="shared" si="54"/>
        <v>Low</v>
      </c>
      <c r="V193" s="2">
        <f t="shared" si="55"/>
        <v>5.3655582062209557E-2</v>
      </c>
      <c r="W193" s="2">
        <f t="shared" si="56"/>
        <v>0.13014882282369203</v>
      </c>
      <c r="X193" s="2" t="s">
        <v>1176</v>
      </c>
      <c r="Y193" s="2">
        <f t="shared" si="57"/>
        <v>8.3173193556481576E-2</v>
      </c>
      <c r="Z193" s="2">
        <f t="shared" si="58"/>
        <v>0.21259731979822066</v>
      </c>
      <c r="AA193" s="2" t="str">
        <f t="shared" si="59"/>
        <v>Low</v>
      </c>
      <c r="AB193" s="2">
        <f t="shared" si="60"/>
        <v>7.2303898096227184E-2</v>
      </c>
      <c r="AC193" s="2">
        <f t="shared" si="61"/>
        <v>0.26270165043065569</v>
      </c>
      <c r="AD193" s="2" t="str">
        <f t="shared" si="62"/>
        <v>Low</v>
      </c>
      <c r="AE193" s="2">
        <f t="shared" si="63"/>
        <v>8.1635675164312471E-2</v>
      </c>
      <c r="AF193" s="2">
        <f t="shared" si="64"/>
        <v>0.62191001760273779</v>
      </c>
      <c r="AG193" s="2" t="str">
        <f t="shared" si="66"/>
        <v>Moderate</v>
      </c>
    </row>
    <row r="194" spans="1:33" x14ac:dyDescent="0.3">
      <c r="A194">
        <v>302674</v>
      </c>
      <c r="B194" t="s">
        <v>397</v>
      </c>
      <c r="C194" t="s">
        <v>330</v>
      </c>
      <c r="D194" t="s">
        <v>398</v>
      </c>
      <c r="E194" s="13">
        <v>5.8</v>
      </c>
      <c r="F194" s="14">
        <f t="shared" ref="F194:F257" si="67">(E194-$AJ$5)/$AK$5</f>
        <v>0.57777777777777772</v>
      </c>
      <c r="G194" s="2">
        <v>61.332055199999999</v>
      </c>
      <c r="H194" s="2">
        <f t="shared" ref="H194:H257" si="68">(G194-$AJ$6)/$AK$6</f>
        <v>0.31028570463236671</v>
      </c>
      <c r="I194" s="2">
        <v>33.700000000000003</v>
      </c>
      <c r="J194" s="4">
        <f t="shared" ref="J194:J257" si="69">(I194-$AJ$7)/$AK$7</f>
        <v>0.26640316205533598</v>
      </c>
      <c r="K194" s="2">
        <v>0</v>
      </c>
      <c r="L194" s="4">
        <f t="shared" ref="L194:L257" si="70">(K194-$AJ$8)/$AK$8</f>
        <v>0</v>
      </c>
      <c r="M194" s="2">
        <v>2058</v>
      </c>
      <c r="N194" s="2">
        <f t="shared" ref="N194:N257" si="71">(M194-$AJ$9)/$AK$9</f>
        <v>8.6064546043822417E-3</v>
      </c>
      <c r="O194" s="2">
        <v>0.74024021100000004</v>
      </c>
      <c r="P194" s="2">
        <f t="shared" ref="P194:P257" si="72">(O194-$AJ$11)/$AK$11</f>
        <v>0.77766767416728311</v>
      </c>
      <c r="Q194" s="2">
        <v>0.23300000000000001</v>
      </c>
      <c r="R194" s="2">
        <f t="shared" ref="R194:R257" si="73">(Q194-$AJ$12)/$AK$12</f>
        <v>0.51534452808338171</v>
      </c>
      <c r="S194" s="2">
        <f t="shared" ref="S194:S257" si="74">F194*(R194*0.5+P194*0.5)*(H194*0.35+J194*0.35+L194*0.3)</f>
        <v>7.5395091643518763E-2</v>
      </c>
      <c r="T194" s="5">
        <f t="shared" ref="T194:T257" si="75">(S194-$AJ$10)/$AK$10</f>
        <v>0.19691804880336439</v>
      </c>
      <c r="U194" s="2" t="str">
        <f t="shared" ref="U194:U257" si="76">IF(T194&gt;0.7,"High",IF(T194&gt;0.3,"Moderate",IF(T194&gt;0.15,"Low","No Impact")))</f>
        <v>Low</v>
      </c>
      <c r="V194" s="2">
        <f t="shared" ref="V194:V257" si="77">F194*(R194*1)*(H194*0.35+J194*0.35+L194*0.3)</f>
        <v>6.0099120263832011E-2</v>
      </c>
      <c r="W194" s="2">
        <f t="shared" ref="W194:W257" si="78">(V194-$AJ$13)/$AK$13</f>
        <v>0.14577849040959834</v>
      </c>
      <c r="X194" s="2" t="s">
        <v>1176</v>
      </c>
      <c r="Y194" s="2">
        <f t="shared" ref="Y194:Y257" si="79">F194*(P194*1)*(H194*0.35+J194*0.35+L194*0.3)</f>
        <v>9.0691063023205509E-2</v>
      </c>
      <c r="Z194" s="2">
        <f t="shared" ref="Z194:Z257" si="80">(Y194-$AJ$14)/$AK$14</f>
        <v>0.2318135940673218</v>
      </c>
      <c r="AA194" s="2" t="str">
        <f t="shared" ref="AA194:AA257" si="81">IF(Z194&gt;0.7,"High",IF(Z194&gt;0.3,"Moderate",IF(Z194&gt;0.15,"Low","No Impact")))</f>
        <v>Low</v>
      </c>
      <c r="AB194" s="2">
        <f t="shared" ref="AB194:AB257" si="82">F194*(R194*0.35+P194*0.3+N194*0.35)*(H194*0.35+J194*0.35+L194*0.3)</f>
        <v>4.8593298560816657E-2</v>
      </c>
      <c r="AC194" s="2">
        <f t="shared" ref="AC194:AC257" si="83">(AB194-$AJ$15)/$AK$15</f>
        <v>0.17655396275878307</v>
      </c>
      <c r="AD194" s="2" t="str">
        <f t="shared" ref="AD194:AD257" si="84">IF(AC194&gt;0.7,"High",IF(AC194&gt;0.3,"Moderate",IF(AC194&gt;0.15,"Low","No Impact")))</f>
        <v>Low</v>
      </c>
      <c r="AE194" s="2">
        <f t="shared" ref="AE194:AE257" si="85">F194*(N194*1)*(H194*0.35+J194*0.35+L194*0.3)</f>
        <v>1.0036787471822942E-3</v>
      </c>
      <c r="AF194" s="2">
        <f t="shared" ref="AF194:AF257" si="86">(AE194-$AJ$16)/$AK$16</f>
        <v>7.6461408087980911E-3</v>
      </c>
      <c r="AG194" s="2" t="s">
        <v>1176</v>
      </c>
    </row>
    <row r="195" spans="1:33" x14ac:dyDescent="0.3">
      <c r="A195">
        <v>302675</v>
      </c>
      <c r="B195" t="s">
        <v>399</v>
      </c>
      <c r="C195" t="s">
        <v>330</v>
      </c>
      <c r="D195" t="s">
        <v>400</v>
      </c>
      <c r="E195" s="13">
        <v>5.8</v>
      </c>
      <c r="F195" s="14">
        <f t="shared" si="67"/>
        <v>0.57777777777777772</v>
      </c>
      <c r="G195" s="2">
        <v>59.493383999999999</v>
      </c>
      <c r="H195" s="2">
        <f t="shared" si="68"/>
        <v>0.29042043774299842</v>
      </c>
      <c r="I195" s="2">
        <v>31.4</v>
      </c>
      <c r="J195" s="4">
        <f t="shared" si="69"/>
        <v>0.24822134387351777</v>
      </c>
      <c r="K195" s="2">
        <v>0</v>
      </c>
      <c r="L195" s="4">
        <f t="shared" si="70"/>
        <v>0</v>
      </c>
      <c r="M195" s="2">
        <v>1343</v>
      </c>
      <c r="N195" s="2">
        <f t="shared" si="71"/>
        <v>5.2234886658812504E-3</v>
      </c>
      <c r="O195" s="2">
        <v>0.49125635699999998</v>
      </c>
      <c r="P195" s="2">
        <f t="shared" si="72"/>
        <v>0.49004398227022494</v>
      </c>
      <c r="Q195" s="2">
        <v>0.06</v>
      </c>
      <c r="R195" s="2">
        <f t="shared" si="73"/>
        <v>1.4475969889982622E-2</v>
      </c>
      <c r="S195" s="2">
        <f t="shared" si="74"/>
        <v>2.7477503173590542E-2</v>
      </c>
      <c r="T195" s="5">
        <f t="shared" si="75"/>
        <v>7.1766161337332046E-2</v>
      </c>
      <c r="U195" s="2" t="str">
        <f t="shared" si="76"/>
        <v>No Impact</v>
      </c>
      <c r="V195" s="2">
        <f t="shared" si="77"/>
        <v>1.5767999140160504E-3</v>
      </c>
      <c r="W195" s="2">
        <f t="shared" si="78"/>
        <v>3.8247400317035496E-3</v>
      </c>
      <c r="X195" s="2" t="s">
        <v>1176</v>
      </c>
      <c r="Y195" s="2">
        <f t="shared" si="79"/>
        <v>5.3378206433165029E-2</v>
      </c>
      <c r="Z195" s="2">
        <f t="shared" si="80"/>
        <v>0.13643895512585719</v>
      </c>
      <c r="AA195" s="2" t="str">
        <f t="shared" si="81"/>
        <v>No Impact</v>
      </c>
      <c r="AB195" s="2">
        <f t="shared" si="82"/>
        <v>1.6764481493929832E-2</v>
      </c>
      <c r="AC195" s="2">
        <f t="shared" si="83"/>
        <v>6.0910366840918002E-2</v>
      </c>
      <c r="AD195" s="2" t="str">
        <f t="shared" si="84"/>
        <v>No Impact</v>
      </c>
      <c r="AE195" s="2">
        <f t="shared" si="85"/>
        <v>5.6897026878488879E-4</v>
      </c>
      <c r="AF195" s="2">
        <f t="shared" si="86"/>
        <v>4.3344813301688916E-3</v>
      </c>
      <c r="AG195" s="2" t="s">
        <v>1176</v>
      </c>
    </row>
    <row r="196" spans="1:33" x14ac:dyDescent="0.3">
      <c r="A196">
        <v>302676</v>
      </c>
      <c r="B196" t="s">
        <v>401</v>
      </c>
      <c r="C196" t="s">
        <v>330</v>
      </c>
      <c r="D196" t="s">
        <v>402</v>
      </c>
      <c r="E196" s="13">
        <v>5.8</v>
      </c>
      <c r="F196" s="14">
        <f t="shared" si="67"/>
        <v>0.57777777777777772</v>
      </c>
      <c r="G196" s="2">
        <v>59.493383999999999</v>
      </c>
      <c r="H196" s="2">
        <f t="shared" si="68"/>
        <v>0.29042043774299842</v>
      </c>
      <c r="I196" s="2">
        <v>31.4</v>
      </c>
      <c r="J196" s="4">
        <f t="shared" si="69"/>
        <v>0.24822134387351777</v>
      </c>
      <c r="K196" s="2">
        <v>0</v>
      </c>
      <c r="L196" s="4">
        <f t="shared" si="70"/>
        <v>0</v>
      </c>
      <c r="M196" s="2">
        <v>2470</v>
      </c>
      <c r="N196" s="2">
        <f t="shared" si="71"/>
        <v>1.0555800012301695E-2</v>
      </c>
      <c r="O196" s="2">
        <v>0.62011421899999997</v>
      </c>
      <c r="P196" s="2">
        <f t="shared" si="72"/>
        <v>0.63889931326048932</v>
      </c>
      <c r="Q196" s="2">
        <v>0.06</v>
      </c>
      <c r="R196" s="2">
        <f t="shared" si="73"/>
        <v>1.4475969889982622E-2</v>
      </c>
      <c r="S196" s="2">
        <f t="shared" si="74"/>
        <v>3.5584561798681441E-2</v>
      </c>
      <c r="T196" s="5">
        <f t="shared" si="75"/>
        <v>9.2940300544371787E-2</v>
      </c>
      <c r="U196" s="2" t="str">
        <f t="shared" si="76"/>
        <v>No Impact</v>
      </c>
      <c r="V196" s="2">
        <f t="shared" si="77"/>
        <v>1.5767999140160504E-3</v>
      </c>
      <c r="W196" s="2">
        <f t="shared" si="78"/>
        <v>3.8247400317035496E-3</v>
      </c>
      <c r="X196" s="2" t="s">
        <v>1176</v>
      </c>
      <c r="Y196" s="2">
        <f t="shared" si="79"/>
        <v>6.9592323683346821E-2</v>
      </c>
      <c r="Z196" s="2">
        <f t="shared" si="80"/>
        <v>0.17788353267405355</v>
      </c>
      <c r="AA196" s="2" t="str">
        <f t="shared" si="81"/>
        <v>Low</v>
      </c>
      <c r="AB196" s="2">
        <f t="shared" si="82"/>
        <v>2.1832005004602306E-2</v>
      </c>
      <c r="AC196" s="2">
        <f t="shared" si="83"/>
        <v>7.932219282681563E-2</v>
      </c>
      <c r="AD196" s="2" t="str">
        <f t="shared" si="84"/>
        <v>No Impact</v>
      </c>
      <c r="AE196" s="2">
        <f t="shared" si="85"/>
        <v>1.1497940848361294E-3</v>
      </c>
      <c r="AF196" s="2">
        <f t="shared" si="86"/>
        <v>8.7592643547163007E-3</v>
      </c>
      <c r="AG196" s="2" t="s">
        <v>1176</v>
      </c>
    </row>
    <row r="197" spans="1:33" x14ac:dyDescent="0.3">
      <c r="A197">
        <v>302680</v>
      </c>
      <c r="B197" t="s">
        <v>403</v>
      </c>
      <c r="C197" t="s">
        <v>330</v>
      </c>
      <c r="D197" t="s">
        <v>1139</v>
      </c>
      <c r="E197" s="13">
        <v>5.8</v>
      </c>
      <c r="F197" s="14">
        <f t="shared" si="67"/>
        <v>0.57777777777777772</v>
      </c>
      <c r="G197" s="2">
        <v>61.332055199999999</v>
      </c>
      <c r="H197" s="2">
        <f t="shared" si="68"/>
        <v>0.31028570463236671</v>
      </c>
      <c r="I197" s="2">
        <v>32.5</v>
      </c>
      <c r="J197" s="4">
        <f t="shared" si="69"/>
        <v>0.25691699604743085</v>
      </c>
      <c r="K197" s="2">
        <v>0</v>
      </c>
      <c r="L197" s="4">
        <f t="shared" si="70"/>
        <v>0</v>
      </c>
      <c r="M197" s="2">
        <v>2247</v>
      </c>
      <c r="N197" s="2">
        <f t="shared" si="71"/>
        <v>9.5006931531608253E-3</v>
      </c>
      <c r="O197" s="2">
        <v>0.49188169700000001</v>
      </c>
      <c r="P197" s="2">
        <f t="shared" si="72"/>
        <v>0.49076636886920061</v>
      </c>
      <c r="Q197" s="2">
        <v>0.06</v>
      </c>
      <c r="R197" s="2">
        <f t="shared" si="73"/>
        <v>1.4475969889982622E-2</v>
      </c>
      <c r="S197" s="2">
        <f t="shared" si="74"/>
        <v>2.8975898369800791E-2</v>
      </c>
      <c r="T197" s="5">
        <f t="shared" si="75"/>
        <v>7.5679692734961432E-2</v>
      </c>
      <c r="U197" s="2" t="str">
        <f t="shared" si="76"/>
        <v>No Impact</v>
      </c>
      <c r="V197" s="2">
        <f t="shared" si="77"/>
        <v>1.6604080860149761E-3</v>
      </c>
      <c r="W197" s="2">
        <f t="shared" si="78"/>
        <v>4.0275428854958106E-3</v>
      </c>
      <c r="X197" s="2" t="s">
        <v>1176</v>
      </c>
      <c r="Y197" s="2">
        <f t="shared" si="79"/>
        <v>5.6291388653586599E-2</v>
      </c>
      <c r="Z197" s="2">
        <f t="shared" si="80"/>
        <v>0.14388528134783729</v>
      </c>
      <c r="AA197" s="2" t="str">
        <f t="shared" si="81"/>
        <v>No Impact</v>
      </c>
      <c r="AB197" s="2">
        <f t="shared" si="82"/>
        <v>1.7849968046740047E-2</v>
      </c>
      <c r="AC197" s="2">
        <f t="shared" si="83"/>
        <v>6.4854263594091896E-2</v>
      </c>
      <c r="AD197" s="2" t="str">
        <f t="shared" si="84"/>
        <v>No Impact</v>
      </c>
      <c r="AE197" s="2">
        <f t="shared" si="85"/>
        <v>1.0897389158823602E-3</v>
      </c>
      <c r="AF197" s="2">
        <f t="shared" si="86"/>
        <v>8.3017571300133767E-3</v>
      </c>
      <c r="AG197" s="2" t="s">
        <v>1176</v>
      </c>
    </row>
    <row r="198" spans="1:33" x14ac:dyDescent="0.3">
      <c r="A198">
        <v>302688</v>
      </c>
      <c r="B198" t="s">
        <v>404</v>
      </c>
      <c r="C198" t="s">
        <v>330</v>
      </c>
      <c r="D198" t="s">
        <v>405</v>
      </c>
      <c r="E198" s="13">
        <v>5.7</v>
      </c>
      <c r="F198" s="14">
        <f t="shared" si="67"/>
        <v>0.55555555555555558</v>
      </c>
      <c r="G198" s="2">
        <v>59.493383999999999</v>
      </c>
      <c r="H198" s="2">
        <f t="shared" si="68"/>
        <v>0.29042043774299842</v>
      </c>
      <c r="I198" s="2">
        <v>31.4</v>
      </c>
      <c r="J198" s="4">
        <f t="shared" si="69"/>
        <v>0.24822134387351777</v>
      </c>
      <c r="K198" s="2">
        <v>0</v>
      </c>
      <c r="L198" s="4">
        <f t="shared" si="70"/>
        <v>0</v>
      </c>
      <c r="M198" s="2">
        <v>1739</v>
      </c>
      <c r="N198" s="2">
        <f t="shared" si="71"/>
        <v>7.0971313395125687E-3</v>
      </c>
      <c r="O198" s="2">
        <v>0.80548892400000005</v>
      </c>
      <c r="P198" s="2">
        <f t="shared" si="72"/>
        <v>0.85304234374160659</v>
      </c>
      <c r="Q198" s="2">
        <v>5.5E-2</v>
      </c>
      <c r="R198" s="2">
        <f t="shared" si="73"/>
        <v>0</v>
      </c>
      <c r="S198" s="2">
        <f t="shared" si="74"/>
        <v>4.4672079649877121E-2</v>
      </c>
      <c r="T198" s="5">
        <f t="shared" si="75"/>
        <v>0.11667521809290729</v>
      </c>
      <c r="U198" s="2" t="str">
        <f t="shared" si="76"/>
        <v>No Impact</v>
      </c>
      <c r="V198" s="2">
        <f t="shared" si="77"/>
        <v>0</v>
      </c>
      <c r="W198" s="2">
        <f t="shared" si="78"/>
        <v>0</v>
      </c>
      <c r="X198" s="2" t="s">
        <v>1176</v>
      </c>
      <c r="Y198" s="2">
        <f t="shared" si="79"/>
        <v>8.9344159299754242E-2</v>
      </c>
      <c r="Z198" s="2">
        <f t="shared" si="80"/>
        <v>0.22837080066974078</v>
      </c>
      <c r="AA198" s="2" t="str">
        <f t="shared" si="81"/>
        <v>Low</v>
      </c>
      <c r="AB198" s="2">
        <f t="shared" si="82"/>
        <v>2.7063411348238763E-2</v>
      </c>
      <c r="AC198" s="2">
        <f t="shared" si="83"/>
        <v>9.8329454077345765E-2</v>
      </c>
      <c r="AD198" s="2" t="str">
        <f t="shared" si="84"/>
        <v>No Impact</v>
      </c>
      <c r="AE198" s="2">
        <f t="shared" si="85"/>
        <v>7.4332445232139536E-4</v>
      </c>
      <c r="AF198" s="2">
        <f t="shared" si="86"/>
        <v>5.6627316708937232E-3</v>
      </c>
      <c r="AG198" s="2" t="s">
        <v>1176</v>
      </c>
    </row>
    <row r="199" spans="1:33" x14ac:dyDescent="0.3">
      <c r="A199">
        <v>302690</v>
      </c>
      <c r="B199" t="s">
        <v>406</v>
      </c>
      <c r="C199" t="s">
        <v>330</v>
      </c>
      <c r="D199" t="s">
        <v>407</v>
      </c>
      <c r="E199" s="13">
        <v>5.8</v>
      </c>
      <c r="F199" s="14">
        <f t="shared" si="67"/>
        <v>0.57777777777777772</v>
      </c>
      <c r="G199" s="2">
        <v>59.493383999999999</v>
      </c>
      <c r="H199" s="2">
        <f t="shared" si="68"/>
        <v>0.29042043774299842</v>
      </c>
      <c r="I199" s="2">
        <v>31.4</v>
      </c>
      <c r="J199" s="4">
        <f t="shared" si="69"/>
        <v>0.24822134387351777</v>
      </c>
      <c r="K199" s="2">
        <v>0</v>
      </c>
      <c r="L199" s="4">
        <f t="shared" si="70"/>
        <v>0</v>
      </c>
      <c r="M199" s="2">
        <v>1906</v>
      </c>
      <c r="N199" s="2">
        <f t="shared" si="71"/>
        <v>7.8872786286449687E-3</v>
      </c>
      <c r="O199" s="2">
        <v>0.65010484599999996</v>
      </c>
      <c r="P199" s="2">
        <f t="shared" si="72"/>
        <v>0.67354418971118302</v>
      </c>
      <c r="Q199" s="2">
        <v>0.06</v>
      </c>
      <c r="R199" s="2">
        <f t="shared" si="73"/>
        <v>1.4475969889982622E-2</v>
      </c>
      <c r="S199" s="2">
        <f t="shared" si="74"/>
        <v>3.7471414238404777E-2</v>
      </c>
      <c r="T199" s="5">
        <f t="shared" si="75"/>
        <v>9.7868410487748025E-2</v>
      </c>
      <c r="U199" s="2" t="str">
        <f t="shared" si="76"/>
        <v>No Impact</v>
      </c>
      <c r="V199" s="2">
        <f t="shared" si="77"/>
        <v>1.5767999140160504E-3</v>
      </c>
      <c r="W199" s="2">
        <f t="shared" si="78"/>
        <v>3.8247400317035496E-3</v>
      </c>
      <c r="X199" s="2" t="s">
        <v>1176</v>
      </c>
      <c r="Y199" s="2">
        <f t="shared" si="79"/>
        <v>7.3366028562793492E-2</v>
      </c>
      <c r="Z199" s="2">
        <f t="shared" si="80"/>
        <v>0.18752942348062709</v>
      </c>
      <c r="AA199" s="2" t="str">
        <f t="shared" si="81"/>
        <v>Low</v>
      </c>
      <c r="AB199" s="2">
        <f t="shared" si="82"/>
        <v>2.2862382110593792E-2</v>
      </c>
      <c r="AC199" s="2">
        <f t="shared" si="83"/>
        <v>8.3065860505004752E-2</v>
      </c>
      <c r="AD199" s="2" t="str">
        <f t="shared" si="84"/>
        <v>No Impact</v>
      </c>
      <c r="AE199" s="2">
        <f t="shared" si="85"/>
        <v>8.5912449100037107E-4</v>
      </c>
      <c r="AF199" s="2">
        <f t="shared" si="86"/>
        <v>6.5449097621300203E-3</v>
      </c>
      <c r="AG199" s="2" t="s">
        <v>1176</v>
      </c>
    </row>
    <row r="200" spans="1:33" x14ac:dyDescent="0.3">
      <c r="A200">
        <v>302692</v>
      </c>
      <c r="B200" t="s">
        <v>408</v>
      </c>
      <c r="C200" t="s">
        <v>330</v>
      </c>
      <c r="D200" t="s">
        <v>409</v>
      </c>
      <c r="E200" s="13">
        <v>5.7</v>
      </c>
      <c r="F200" s="14">
        <f t="shared" si="67"/>
        <v>0.55555555555555558</v>
      </c>
      <c r="G200" s="2">
        <v>59.493383999999999</v>
      </c>
      <c r="H200" s="2">
        <f t="shared" si="68"/>
        <v>0.29042043774299842</v>
      </c>
      <c r="I200" s="2">
        <v>31.4</v>
      </c>
      <c r="J200" s="4">
        <f t="shared" si="69"/>
        <v>0.24822134387351777</v>
      </c>
      <c r="K200" s="2">
        <v>0</v>
      </c>
      <c r="L200" s="4">
        <f t="shared" si="70"/>
        <v>0</v>
      </c>
      <c r="M200" s="2">
        <v>1942</v>
      </c>
      <c r="N200" s="2">
        <f t="shared" si="71"/>
        <v>8.0576097807932706E-3</v>
      </c>
      <c r="O200" s="2">
        <v>0.860462069</v>
      </c>
      <c r="P200" s="2">
        <f t="shared" si="72"/>
        <v>0.91654677853155198</v>
      </c>
      <c r="Q200" s="2">
        <v>0.06</v>
      </c>
      <c r="R200" s="2">
        <f t="shared" si="73"/>
        <v>1.4475969889982622E-2</v>
      </c>
      <c r="S200" s="2">
        <f t="shared" si="74"/>
        <v>4.8755753660374539E-2</v>
      </c>
      <c r="T200" s="5">
        <f t="shared" si="75"/>
        <v>0.12734102007771447</v>
      </c>
      <c r="U200" s="2" t="str">
        <f t="shared" si="76"/>
        <v>No Impact</v>
      </c>
      <c r="V200" s="2">
        <f t="shared" si="77"/>
        <v>1.5161537634769716E-3</v>
      </c>
      <c r="W200" s="2">
        <f t="shared" si="78"/>
        <v>3.6776346458687976E-3</v>
      </c>
      <c r="X200" s="2" t="s">
        <v>1176</v>
      </c>
      <c r="Y200" s="2">
        <f t="shared" si="79"/>
        <v>9.5995353557272109E-2</v>
      </c>
      <c r="Z200" s="2">
        <f t="shared" si="80"/>
        <v>0.24537178394502374</v>
      </c>
      <c r="AA200" s="2" t="str">
        <f t="shared" si="81"/>
        <v>Low</v>
      </c>
      <c r="AB200" s="2">
        <f t="shared" si="82"/>
        <v>2.9624632244269342E-2</v>
      </c>
      <c r="AC200" s="2">
        <f t="shared" si="83"/>
        <v>0.107635134327244</v>
      </c>
      <c r="AD200" s="2" t="str">
        <f t="shared" si="84"/>
        <v>No Impact</v>
      </c>
      <c r="AE200" s="2">
        <f t="shared" si="85"/>
        <v>8.4392102820222427E-4</v>
      </c>
      <c r="AF200" s="2">
        <f t="shared" si="86"/>
        <v>6.4290880236880085E-3</v>
      </c>
      <c r="AG200" s="2" t="s">
        <v>1176</v>
      </c>
    </row>
    <row r="201" spans="1:33" x14ac:dyDescent="0.3">
      <c r="A201">
        <v>302693</v>
      </c>
      <c r="B201" t="s">
        <v>410</v>
      </c>
      <c r="C201" t="s">
        <v>330</v>
      </c>
      <c r="D201" t="s">
        <v>411</v>
      </c>
      <c r="E201" s="13">
        <v>5.8</v>
      </c>
      <c r="F201" s="14">
        <f t="shared" si="67"/>
        <v>0.57777777777777772</v>
      </c>
      <c r="G201" s="2">
        <v>61.332055199999999</v>
      </c>
      <c r="H201" s="2">
        <f t="shared" si="68"/>
        <v>0.31028570463236671</v>
      </c>
      <c r="I201" s="2">
        <v>32.299999999999997</v>
      </c>
      <c r="J201" s="4">
        <f t="shared" si="69"/>
        <v>0.25533596837944661</v>
      </c>
      <c r="K201" s="2">
        <v>0</v>
      </c>
      <c r="L201" s="4">
        <f t="shared" si="70"/>
        <v>0</v>
      </c>
      <c r="M201" s="2">
        <v>15432</v>
      </c>
      <c r="N201" s="2">
        <f t="shared" si="71"/>
        <v>7.1884477627476309E-2</v>
      </c>
      <c r="O201" s="2">
        <v>0.62564129800000001</v>
      </c>
      <c r="P201" s="2">
        <f t="shared" si="72"/>
        <v>0.64528414039625481</v>
      </c>
      <c r="Q201" s="2">
        <v>0.1734</v>
      </c>
      <c r="R201" s="2">
        <f t="shared" si="73"/>
        <v>0.34279096699478867</v>
      </c>
      <c r="S201" s="2">
        <f t="shared" si="74"/>
        <v>5.6508643636278062E-2</v>
      </c>
      <c r="T201" s="5">
        <f t="shared" si="75"/>
        <v>0.14759013621196515</v>
      </c>
      <c r="U201" s="2" t="str">
        <f t="shared" si="76"/>
        <v>No Impact</v>
      </c>
      <c r="V201" s="2">
        <f t="shared" si="77"/>
        <v>3.9208866716196875E-2</v>
      </c>
      <c r="W201" s="2">
        <f t="shared" si="78"/>
        <v>9.5106373861484489E-2</v>
      </c>
      <c r="X201" s="2" t="s">
        <v>1176</v>
      </c>
      <c r="Y201" s="2">
        <f t="shared" si="79"/>
        <v>7.380842055635925E-2</v>
      </c>
      <c r="Z201" s="2">
        <f t="shared" si="80"/>
        <v>0.18866021271824851</v>
      </c>
      <c r="AA201" s="2" t="str">
        <f t="shared" si="81"/>
        <v>Low</v>
      </c>
      <c r="AB201" s="2">
        <f t="shared" si="82"/>
        <v>3.8743412804689091E-2</v>
      </c>
      <c r="AC201" s="2">
        <f t="shared" si="83"/>
        <v>0.14076638680756146</v>
      </c>
      <c r="AD201" s="2" t="str">
        <f t="shared" si="84"/>
        <v>No Impact</v>
      </c>
      <c r="AE201" s="2">
        <f t="shared" si="85"/>
        <v>8.22223796317831E-3</v>
      </c>
      <c r="AF201" s="2">
        <f t="shared" si="86"/>
        <v>6.2637960011011407E-2</v>
      </c>
      <c r="AG201" s="2" t="s">
        <v>1175</v>
      </c>
    </row>
    <row r="202" spans="1:33" x14ac:dyDescent="0.3">
      <c r="A202">
        <v>302695</v>
      </c>
      <c r="B202" t="s">
        <v>412</v>
      </c>
      <c r="C202" t="s">
        <v>330</v>
      </c>
      <c r="D202" t="s">
        <v>413</v>
      </c>
      <c r="E202" s="13">
        <v>5.7</v>
      </c>
      <c r="F202" s="14">
        <f t="shared" si="67"/>
        <v>0.55555555555555558</v>
      </c>
      <c r="G202" s="2">
        <v>59.493383999999999</v>
      </c>
      <c r="H202" s="2">
        <f t="shared" si="68"/>
        <v>0.29042043774299842</v>
      </c>
      <c r="I202" s="2">
        <v>27.2</v>
      </c>
      <c r="J202" s="4">
        <f t="shared" si="69"/>
        <v>0.21501976284584981</v>
      </c>
      <c r="K202" s="2">
        <v>0</v>
      </c>
      <c r="L202" s="4">
        <f t="shared" si="70"/>
        <v>0</v>
      </c>
      <c r="M202" s="2">
        <v>7916</v>
      </c>
      <c r="N202" s="2">
        <f t="shared" si="71"/>
        <v>3.632311819562533E-2</v>
      </c>
      <c r="O202" s="2">
        <v>0.68300635300000001</v>
      </c>
      <c r="P202" s="2">
        <f t="shared" si="72"/>
        <v>0.71155168602183494</v>
      </c>
      <c r="Q202" s="2">
        <v>0.1125</v>
      </c>
      <c r="R202" s="2">
        <f t="shared" si="73"/>
        <v>0.16647365373480025</v>
      </c>
      <c r="S202" s="2">
        <f t="shared" si="74"/>
        <v>4.3146182318622189E-2</v>
      </c>
      <c r="T202" s="5">
        <f t="shared" si="75"/>
        <v>0.11268985620004444</v>
      </c>
      <c r="U202" s="2" t="str">
        <f t="shared" si="76"/>
        <v>No Impact</v>
      </c>
      <c r="V202" s="2">
        <f t="shared" si="77"/>
        <v>1.6361037182092537E-2</v>
      </c>
      <c r="W202" s="2">
        <f t="shared" si="78"/>
        <v>3.9685893761345417E-2</v>
      </c>
      <c r="X202" s="2" t="s">
        <v>1176</v>
      </c>
      <c r="Y202" s="2">
        <f t="shared" si="79"/>
        <v>6.9931327455151834E-2</v>
      </c>
      <c r="Z202" s="2">
        <f t="shared" si="80"/>
        <v>0.17875005336666455</v>
      </c>
      <c r="AA202" s="2" t="str">
        <f t="shared" si="81"/>
        <v>Low</v>
      </c>
      <c r="AB202" s="2">
        <f t="shared" si="82"/>
        <v>2.795520436582468E-2</v>
      </c>
      <c r="AC202" s="2">
        <f t="shared" si="83"/>
        <v>0.10156960438363444</v>
      </c>
      <c r="AD202" s="2" t="str">
        <f t="shared" si="84"/>
        <v>No Impact</v>
      </c>
      <c r="AE202" s="2">
        <f t="shared" si="85"/>
        <v>3.5698374729906993E-3</v>
      </c>
      <c r="AF202" s="2">
        <f t="shared" si="86"/>
        <v>2.7195434853671631E-2</v>
      </c>
      <c r="AG202" s="2" t="s">
        <v>1176</v>
      </c>
    </row>
    <row r="203" spans="1:33" x14ac:dyDescent="0.3">
      <c r="A203">
        <v>302696</v>
      </c>
      <c r="B203" t="s">
        <v>414</v>
      </c>
      <c r="C203" t="s">
        <v>330</v>
      </c>
      <c r="D203" t="s">
        <v>415</v>
      </c>
      <c r="E203" s="13">
        <v>5.8</v>
      </c>
      <c r="F203" s="14">
        <f t="shared" si="67"/>
        <v>0.57777777777777772</v>
      </c>
      <c r="G203" s="2">
        <v>59.493383999999999</v>
      </c>
      <c r="H203" s="2">
        <f t="shared" si="68"/>
        <v>0.29042043774299842</v>
      </c>
      <c r="I203" s="2">
        <v>27.2</v>
      </c>
      <c r="J203" s="4">
        <f t="shared" si="69"/>
        <v>0.21501976284584981</v>
      </c>
      <c r="K203" s="2">
        <v>0</v>
      </c>
      <c r="L203" s="4">
        <f t="shared" si="70"/>
        <v>0</v>
      </c>
      <c r="M203" s="2">
        <v>14687</v>
      </c>
      <c r="N203" s="2">
        <f t="shared" si="71"/>
        <v>6.8359569062185072E-2</v>
      </c>
      <c r="O203" s="2">
        <v>0.37784135200000002</v>
      </c>
      <c r="P203" s="2">
        <f t="shared" si="72"/>
        <v>0.35902808734145863</v>
      </c>
      <c r="Q203" s="2">
        <v>0.246</v>
      </c>
      <c r="R203" s="2">
        <f t="shared" si="73"/>
        <v>0.55298204979733645</v>
      </c>
      <c r="S203" s="2">
        <f t="shared" si="74"/>
        <v>4.6608843761732327E-2</v>
      </c>
      <c r="T203" s="5">
        <f t="shared" si="75"/>
        <v>0.12173368810183252</v>
      </c>
      <c r="U203" s="2" t="str">
        <f t="shared" si="76"/>
        <v>No Impact</v>
      </c>
      <c r="V203" s="2">
        <f t="shared" si="77"/>
        <v>5.6520981319145402E-2</v>
      </c>
      <c r="W203" s="2">
        <f t="shared" si="78"/>
        <v>0.13709923368267218</v>
      </c>
      <c r="X203" s="2" t="s">
        <v>1176</v>
      </c>
      <c r="Y203" s="2">
        <f t="shared" si="79"/>
        <v>3.6696706204319245E-2</v>
      </c>
      <c r="Z203" s="2">
        <f t="shared" si="80"/>
        <v>9.3799709387893726E-2</v>
      </c>
      <c r="AA203" s="2" t="str">
        <f t="shared" si="81"/>
        <v>No Impact</v>
      </c>
      <c r="AB203" s="2">
        <f t="shared" si="82"/>
        <v>3.3236846048378468E-2</v>
      </c>
      <c r="AC203" s="2">
        <f t="shared" si="83"/>
        <v>0.12075938561982237</v>
      </c>
      <c r="AD203" s="2" t="str">
        <f t="shared" si="84"/>
        <v>No Impact</v>
      </c>
      <c r="AE203" s="2">
        <f t="shared" si="85"/>
        <v>6.9871163582337385E-3</v>
      </c>
      <c r="AF203" s="2">
        <f t="shared" si="86"/>
        <v>5.3228660736808861E-2</v>
      </c>
      <c r="AG203" s="2" t="s">
        <v>1176</v>
      </c>
    </row>
    <row r="204" spans="1:33" x14ac:dyDescent="0.3">
      <c r="A204">
        <v>302903</v>
      </c>
      <c r="B204" t="s">
        <v>416</v>
      </c>
      <c r="C204" t="s">
        <v>417</v>
      </c>
      <c r="D204" t="s">
        <v>418</v>
      </c>
      <c r="E204" s="13">
        <v>5.4</v>
      </c>
      <c r="F204" s="14">
        <f t="shared" si="67"/>
        <v>0.48888888888888893</v>
      </c>
      <c r="G204" s="2">
        <v>71.2074456</v>
      </c>
      <c r="H204" s="2">
        <f t="shared" si="68"/>
        <v>0.41698083638441974</v>
      </c>
      <c r="I204" s="2">
        <v>39.299999999999997</v>
      </c>
      <c r="J204" s="4">
        <f t="shared" si="69"/>
        <v>0.31067193675889326</v>
      </c>
      <c r="K204" s="2">
        <v>0</v>
      </c>
      <c r="L204" s="4">
        <f t="shared" si="70"/>
        <v>0</v>
      </c>
      <c r="M204" s="2">
        <v>9951</v>
      </c>
      <c r="N204" s="2">
        <f t="shared" si="71"/>
        <v>4.5951559712897383E-2</v>
      </c>
      <c r="O204" s="2">
        <v>0.59138735200000003</v>
      </c>
      <c r="P204" s="2">
        <f t="shared" si="72"/>
        <v>0.60571431989471147</v>
      </c>
      <c r="Q204" s="2">
        <v>0.2928</v>
      </c>
      <c r="R204" s="2">
        <f t="shared" si="73"/>
        <v>0.68847712796757388</v>
      </c>
      <c r="S204" s="2">
        <f t="shared" si="74"/>
        <v>8.0569548547980055E-2</v>
      </c>
      <c r="T204" s="5">
        <f t="shared" si="75"/>
        <v>0.21043277416587686</v>
      </c>
      <c r="U204" s="2" t="str">
        <f t="shared" si="76"/>
        <v>Low</v>
      </c>
      <c r="V204" s="2">
        <f t="shared" si="77"/>
        <v>8.5721925419275216E-2</v>
      </c>
      <c r="W204" s="2">
        <f t="shared" si="78"/>
        <v>0.20793004669232285</v>
      </c>
      <c r="X204" s="2" t="s">
        <v>1176</v>
      </c>
      <c r="Y204" s="2">
        <f t="shared" si="79"/>
        <v>7.541717167668488E-2</v>
      </c>
      <c r="Z204" s="2">
        <f t="shared" si="80"/>
        <v>0.19277230895718103</v>
      </c>
      <c r="AA204" s="2" t="str">
        <f t="shared" si="81"/>
        <v>Low</v>
      </c>
      <c r="AB204" s="2">
        <f t="shared" si="82"/>
        <v>5.4630316993311112E-2</v>
      </c>
      <c r="AC204" s="2">
        <f t="shared" si="83"/>
        <v>0.19848825326945385</v>
      </c>
      <c r="AD204" s="2" t="str">
        <f t="shared" si="84"/>
        <v>Low</v>
      </c>
      <c r="AE204" s="2">
        <f t="shared" si="85"/>
        <v>5.72140455302661E-3</v>
      </c>
      <c r="AF204" s="2">
        <f t="shared" si="86"/>
        <v>4.3586321778112169E-2</v>
      </c>
      <c r="AG204" s="2" t="s">
        <v>1176</v>
      </c>
    </row>
    <row r="205" spans="1:33" x14ac:dyDescent="0.3">
      <c r="A205">
        <v>302910</v>
      </c>
      <c r="B205" t="s">
        <v>419</v>
      </c>
      <c r="C205" t="s">
        <v>417</v>
      </c>
      <c r="D205" t="s">
        <v>420</v>
      </c>
      <c r="E205" s="13">
        <v>5.4</v>
      </c>
      <c r="F205" s="14">
        <f t="shared" si="67"/>
        <v>0.48888888888888893</v>
      </c>
      <c r="G205" s="2">
        <v>69.832836</v>
      </c>
      <c r="H205" s="2">
        <f t="shared" si="68"/>
        <v>0.40212935746165873</v>
      </c>
      <c r="I205" s="2">
        <v>42.3</v>
      </c>
      <c r="J205" s="4">
        <f t="shared" si="69"/>
        <v>0.33438735177865608</v>
      </c>
      <c r="K205" s="2">
        <v>0</v>
      </c>
      <c r="L205" s="4">
        <f t="shared" si="70"/>
        <v>0</v>
      </c>
      <c r="M205" s="2">
        <v>18588</v>
      </c>
      <c r="N205" s="2">
        <f t="shared" si="71"/>
        <v>8.6816841965810757E-2</v>
      </c>
      <c r="O205" s="2">
        <v>0.314918421</v>
      </c>
      <c r="P205" s="2">
        <f t="shared" si="72"/>
        <v>0.28634013818952747</v>
      </c>
      <c r="Q205" s="2">
        <v>0.32190000000000002</v>
      </c>
      <c r="R205" s="2">
        <f t="shared" si="73"/>
        <v>0.77272727272727282</v>
      </c>
      <c r="S205" s="2">
        <f t="shared" si="74"/>
        <v>6.6735116683457635E-2</v>
      </c>
      <c r="T205" s="5">
        <f t="shared" si="75"/>
        <v>0.17429979429040202</v>
      </c>
      <c r="U205" s="2" t="str">
        <f t="shared" si="76"/>
        <v>Low</v>
      </c>
      <c r="V205" s="2">
        <f t="shared" si="77"/>
        <v>9.7383875999552769E-2</v>
      </c>
      <c r="W205" s="2">
        <f t="shared" si="78"/>
        <v>0.23621767458705772</v>
      </c>
      <c r="X205" s="2" t="s">
        <v>1175</v>
      </c>
      <c r="Y205" s="2">
        <f t="shared" si="79"/>
        <v>3.6086357367362487E-2</v>
      </c>
      <c r="Z205" s="2">
        <f t="shared" si="80"/>
        <v>9.2239609055917757E-2</v>
      </c>
      <c r="AA205" s="2" t="str">
        <f t="shared" si="81"/>
        <v>No Impact</v>
      </c>
      <c r="AB205" s="2">
        <f t="shared" si="82"/>
        <v>4.873968242237979E-2</v>
      </c>
      <c r="AC205" s="2">
        <f t="shared" si="83"/>
        <v>0.17708581903543733</v>
      </c>
      <c r="AD205" s="2" t="str">
        <f t="shared" si="84"/>
        <v>Low</v>
      </c>
      <c r="AE205" s="2">
        <f t="shared" si="85"/>
        <v>1.0941196035221659E-2</v>
      </c>
      <c r="AF205" s="2">
        <f t="shared" si="86"/>
        <v>8.3351297152428144E-2</v>
      </c>
      <c r="AG205" s="2" t="s">
        <v>1175</v>
      </c>
    </row>
    <row r="206" spans="1:33" x14ac:dyDescent="0.3">
      <c r="A206">
        <v>302918</v>
      </c>
      <c r="B206" t="s">
        <v>421</v>
      </c>
      <c r="C206" t="s">
        <v>417</v>
      </c>
      <c r="D206" t="s">
        <v>422</v>
      </c>
      <c r="E206" s="13">
        <v>5.5</v>
      </c>
      <c r="F206" s="14">
        <f t="shared" si="67"/>
        <v>0.51111111111111107</v>
      </c>
      <c r="G206" s="2">
        <v>69.868198800000002</v>
      </c>
      <c r="H206" s="2">
        <f t="shared" si="68"/>
        <v>0.4025114222157895</v>
      </c>
      <c r="I206" s="2">
        <v>36.6</v>
      </c>
      <c r="J206" s="4">
        <f t="shared" si="69"/>
        <v>0.28932806324110671</v>
      </c>
      <c r="K206" s="2">
        <v>0</v>
      </c>
      <c r="L206" s="4">
        <f t="shared" si="70"/>
        <v>0</v>
      </c>
      <c r="M206" s="2">
        <v>27398</v>
      </c>
      <c r="N206" s="2">
        <f t="shared" si="71"/>
        <v>0.12850066003321459</v>
      </c>
      <c r="O206" s="2">
        <v>0.210512849</v>
      </c>
      <c r="P206" s="2">
        <f t="shared" si="72"/>
        <v>0.16573185138365243</v>
      </c>
      <c r="Q206" s="2">
        <v>0.32919999999999999</v>
      </c>
      <c r="R206" s="2">
        <f t="shared" si="73"/>
        <v>0.79386218876664738</v>
      </c>
      <c r="S206" s="2">
        <f t="shared" si="74"/>
        <v>5.9380829202555052E-2</v>
      </c>
      <c r="T206" s="5">
        <f t="shared" si="75"/>
        <v>0.15509175422427074</v>
      </c>
      <c r="U206" s="2" t="str">
        <f t="shared" si="76"/>
        <v>Low</v>
      </c>
      <c r="V206" s="2">
        <f t="shared" si="77"/>
        <v>9.8250287244667139E-2</v>
      </c>
      <c r="W206" s="2">
        <f t="shared" si="78"/>
        <v>0.23831927146288892</v>
      </c>
      <c r="X206" s="2" t="s">
        <v>1175</v>
      </c>
      <c r="Y206" s="2">
        <f t="shared" si="79"/>
        <v>2.0511371160442961E-2</v>
      </c>
      <c r="Z206" s="2">
        <f t="shared" si="80"/>
        <v>5.2428701455781386E-2</v>
      </c>
      <c r="AA206" s="2" t="str">
        <f t="shared" si="81"/>
        <v>No Impact</v>
      </c>
      <c r="AB206" s="2">
        <f t="shared" si="82"/>
        <v>4.6107254272325746E-2</v>
      </c>
      <c r="AC206" s="2">
        <f t="shared" si="83"/>
        <v>0.16752142157046301</v>
      </c>
      <c r="AD206" s="2" t="str">
        <f t="shared" si="84"/>
        <v>Low</v>
      </c>
      <c r="AE206" s="2">
        <f t="shared" si="85"/>
        <v>1.5903549681598184E-2</v>
      </c>
      <c r="AF206" s="2">
        <f t="shared" si="86"/>
        <v>0.12115508131122148</v>
      </c>
      <c r="AG206" s="2" t="s">
        <v>1175</v>
      </c>
    </row>
    <row r="207" spans="1:33" x14ac:dyDescent="0.3">
      <c r="A207">
        <v>302921</v>
      </c>
      <c r="B207" t="s">
        <v>423</v>
      </c>
      <c r="C207" t="s">
        <v>417</v>
      </c>
      <c r="D207" t="s">
        <v>424</v>
      </c>
      <c r="E207" s="13">
        <v>5.4</v>
      </c>
      <c r="F207" s="14">
        <f t="shared" si="67"/>
        <v>0.48888888888888893</v>
      </c>
      <c r="G207" s="2">
        <v>69.832836</v>
      </c>
      <c r="H207" s="2">
        <f t="shared" si="68"/>
        <v>0.40212935746165873</v>
      </c>
      <c r="I207" s="2">
        <v>38.200000000000003</v>
      </c>
      <c r="J207" s="4">
        <f t="shared" si="69"/>
        <v>0.30197628458498027</v>
      </c>
      <c r="K207" s="2">
        <v>0</v>
      </c>
      <c r="L207" s="4">
        <f t="shared" si="70"/>
        <v>0</v>
      </c>
      <c r="M207" s="2">
        <v>8877</v>
      </c>
      <c r="N207" s="2">
        <f t="shared" si="71"/>
        <v>4.0870013673806382E-2</v>
      </c>
      <c r="O207" s="2">
        <v>0.34518075599999998</v>
      </c>
      <c r="P207" s="2">
        <f t="shared" si="72"/>
        <v>0.32129888904140219</v>
      </c>
      <c r="Q207" s="2">
        <v>0.22620000000000001</v>
      </c>
      <c r="R207" s="2">
        <f t="shared" si="73"/>
        <v>0.49565720903300531</v>
      </c>
      <c r="S207" s="2">
        <f t="shared" si="74"/>
        <v>4.9213557380902245E-2</v>
      </c>
      <c r="T207" s="5">
        <f t="shared" si="75"/>
        <v>0.12853671880844195</v>
      </c>
      <c r="U207" s="2" t="str">
        <f t="shared" si="76"/>
        <v>No Impact</v>
      </c>
      <c r="V207" s="2">
        <f t="shared" si="77"/>
        <v>5.9716928621988137E-2</v>
      </c>
      <c r="W207" s="2">
        <f t="shared" si="78"/>
        <v>0.14485143323554023</v>
      </c>
      <c r="X207" s="2" t="s">
        <v>1176</v>
      </c>
      <c r="Y207" s="2">
        <f t="shared" si="79"/>
        <v>3.8710186139816354E-2</v>
      </c>
      <c r="Z207" s="2">
        <f t="shared" si="80"/>
        <v>9.8946324775019509E-2</v>
      </c>
      <c r="AA207" s="2" t="str">
        <f t="shared" si="81"/>
        <v>No Impact</v>
      </c>
      <c r="AB207" s="2">
        <f t="shared" si="82"/>
        <v>3.4237391869711524E-2</v>
      </c>
      <c r="AC207" s="2">
        <f t="shared" si="83"/>
        <v>0.12439466733376091</v>
      </c>
      <c r="AD207" s="2" t="str">
        <f t="shared" si="84"/>
        <v>No Impact</v>
      </c>
      <c r="AE207" s="2">
        <f t="shared" si="85"/>
        <v>4.9240314573450608E-3</v>
      </c>
      <c r="AF207" s="2">
        <f t="shared" si="86"/>
        <v>3.7511841289365688E-2</v>
      </c>
      <c r="AG207" s="2" t="s">
        <v>1176</v>
      </c>
    </row>
    <row r="208" spans="1:33" x14ac:dyDescent="0.3">
      <c r="A208">
        <v>302947</v>
      </c>
      <c r="B208" t="s">
        <v>425</v>
      </c>
      <c r="C208" t="s">
        <v>417</v>
      </c>
      <c r="D208" t="s">
        <v>426</v>
      </c>
      <c r="E208" s="13">
        <v>5.5</v>
      </c>
      <c r="F208" s="14">
        <f t="shared" si="67"/>
        <v>0.51111111111111107</v>
      </c>
      <c r="G208" s="2">
        <v>69.832836</v>
      </c>
      <c r="H208" s="2">
        <f t="shared" si="68"/>
        <v>0.40212935746165873</v>
      </c>
      <c r="I208" s="2">
        <v>35.9</v>
      </c>
      <c r="J208" s="4">
        <f t="shared" si="69"/>
        <v>0.28379446640316203</v>
      </c>
      <c r="K208" s="2">
        <v>0</v>
      </c>
      <c r="L208" s="4">
        <f t="shared" si="70"/>
        <v>0</v>
      </c>
      <c r="M208" s="2">
        <v>53061</v>
      </c>
      <c r="N208" s="2">
        <f t="shared" si="71"/>
        <v>0.24992311441048862</v>
      </c>
      <c r="O208" s="2">
        <v>0.17755600099999999</v>
      </c>
      <c r="P208" s="2">
        <f t="shared" si="72"/>
        <v>0.12766042569574346</v>
      </c>
      <c r="Q208" s="2">
        <v>0.28889999999999999</v>
      </c>
      <c r="R208" s="2">
        <f t="shared" si="73"/>
        <v>0.67718587145338738</v>
      </c>
      <c r="S208" s="2">
        <f t="shared" si="74"/>
        <v>4.9378990673333178E-2</v>
      </c>
      <c r="T208" s="5">
        <f t="shared" si="75"/>
        <v>0.12896880000156052</v>
      </c>
      <c r="U208" s="2" t="str">
        <f t="shared" si="76"/>
        <v>No Impact</v>
      </c>
      <c r="V208" s="2">
        <f t="shared" si="77"/>
        <v>8.3093517231934089E-2</v>
      </c>
      <c r="W208" s="2">
        <f t="shared" si="78"/>
        <v>0.20155448951197241</v>
      </c>
      <c r="X208" s="2" t="s">
        <v>1176</v>
      </c>
      <c r="Y208" s="2">
        <f t="shared" si="79"/>
        <v>1.5664464114732289E-2</v>
      </c>
      <c r="Z208" s="2">
        <f t="shared" si="80"/>
        <v>4.0039620272678253E-2</v>
      </c>
      <c r="AA208" s="2" t="str">
        <f t="shared" si="81"/>
        <v>No Impact</v>
      </c>
      <c r="AB208" s="2">
        <f t="shared" si="82"/>
        <v>4.4515381489699142E-2</v>
      </c>
      <c r="AC208" s="2">
        <f t="shared" si="83"/>
        <v>0.16173767244652099</v>
      </c>
      <c r="AD208" s="2" t="str">
        <f t="shared" si="84"/>
        <v>Low</v>
      </c>
      <c r="AE208" s="2">
        <f t="shared" si="85"/>
        <v>3.0666603497435815E-2</v>
      </c>
      <c r="AF208" s="2">
        <f t="shared" si="86"/>
        <v>0.23362173317632914</v>
      </c>
      <c r="AG208" s="2" t="s">
        <v>1175</v>
      </c>
    </row>
    <row r="209" spans="1:33" x14ac:dyDescent="0.3">
      <c r="A209">
        <v>302956</v>
      </c>
      <c r="B209" t="s">
        <v>427</v>
      </c>
      <c r="C209" t="s">
        <v>417</v>
      </c>
      <c r="D209" t="s">
        <v>428</v>
      </c>
      <c r="E209" s="13">
        <v>5.5</v>
      </c>
      <c r="F209" s="14">
        <f t="shared" si="67"/>
        <v>0.51111111111111107</v>
      </c>
      <c r="G209" s="2">
        <v>68.187524400000001</v>
      </c>
      <c r="H209" s="2">
        <f t="shared" si="68"/>
        <v>0.384353175374196</v>
      </c>
      <c r="I209" s="2">
        <v>36.299999999999997</v>
      </c>
      <c r="J209" s="4">
        <f t="shared" si="69"/>
        <v>0.28695652173913039</v>
      </c>
      <c r="K209" s="2">
        <v>0</v>
      </c>
      <c r="L209" s="4">
        <f t="shared" si="70"/>
        <v>0</v>
      </c>
      <c r="M209" s="2">
        <v>19899</v>
      </c>
      <c r="N209" s="2">
        <f t="shared" si="71"/>
        <v>9.3019734756544736E-2</v>
      </c>
      <c r="O209" s="2">
        <v>0.41403199000000002</v>
      </c>
      <c r="P209" s="2">
        <f t="shared" si="72"/>
        <v>0.40083515533579517</v>
      </c>
      <c r="Q209" s="2">
        <v>0.29730000000000001</v>
      </c>
      <c r="R209" s="2">
        <f t="shared" si="73"/>
        <v>0.70150550086855823</v>
      </c>
      <c r="S209" s="2">
        <f t="shared" si="74"/>
        <v>6.6189959720662342E-2</v>
      </c>
      <c r="T209" s="5">
        <f t="shared" si="75"/>
        <v>0.1728759450309198</v>
      </c>
      <c r="U209" s="2" t="str">
        <f t="shared" si="76"/>
        <v>Low</v>
      </c>
      <c r="V209" s="2">
        <f t="shared" si="77"/>
        <v>8.4243687439040066E-2</v>
      </c>
      <c r="W209" s="2">
        <f t="shared" si="78"/>
        <v>0.20434438187262496</v>
      </c>
      <c r="X209" s="2" t="s">
        <v>1176</v>
      </c>
      <c r="Y209" s="2">
        <f t="shared" si="79"/>
        <v>4.8136232002284625E-2</v>
      </c>
      <c r="Z209" s="2">
        <f t="shared" si="80"/>
        <v>0.12304005018060959</v>
      </c>
      <c r="AA209" s="2" t="str">
        <f t="shared" si="81"/>
        <v>No Impact</v>
      </c>
      <c r="AB209" s="2">
        <f t="shared" si="82"/>
        <v>4.7835914166045532E-2</v>
      </c>
      <c r="AC209" s="2">
        <f t="shared" si="83"/>
        <v>0.17380215911118443</v>
      </c>
      <c r="AD209" s="2" t="str">
        <f t="shared" si="84"/>
        <v>Low</v>
      </c>
      <c r="AE209" s="2">
        <f t="shared" si="85"/>
        <v>1.1170725604846063E-2</v>
      </c>
      <c r="AF209" s="2">
        <f t="shared" si="86"/>
        <v>8.5099879967455369E-2</v>
      </c>
      <c r="AG209" s="2" t="s">
        <v>1175</v>
      </c>
    </row>
    <row r="210" spans="1:33" x14ac:dyDescent="0.3">
      <c r="A210">
        <v>302962</v>
      </c>
      <c r="B210" t="s">
        <v>429</v>
      </c>
      <c r="C210" t="s">
        <v>417</v>
      </c>
      <c r="D210" t="s">
        <v>430</v>
      </c>
      <c r="E210" s="13">
        <v>5.4</v>
      </c>
      <c r="F210" s="14">
        <f t="shared" si="67"/>
        <v>0.48888888888888893</v>
      </c>
      <c r="G210" s="2">
        <v>69.868198800000002</v>
      </c>
      <c r="H210" s="2">
        <f t="shared" si="68"/>
        <v>0.4025114222157895</v>
      </c>
      <c r="I210" s="2">
        <v>39.799999999999997</v>
      </c>
      <c r="J210" s="4">
        <f t="shared" si="69"/>
        <v>0.31462450592885371</v>
      </c>
      <c r="K210" s="2">
        <v>0</v>
      </c>
      <c r="L210" s="4">
        <f t="shared" si="70"/>
        <v>0</v>
      </c>
      <c r="M210" s="2">
        <v>16580</v>
      </c>
      <c r="N210" s="2">
        <f t="shared" si="71"/>
        <v>7.7316148812649921E-2</v>
      </c>
      <c r="O210" s="2">
        <v>0.29647875099999998</v>
      </c>
      <c r="P210" s="2">
        <f t="shared" si="72"/>
        <v>0.26503881331420676</v>
      </c>
      <c r="Q210" s="2">
        <v>0.33800000000000002</v>
      </c>
      <c r="R210" s="2">
        <f t="shared" si="73"/>
        <v>0.81933989577301691</v>
      </c>
      <c r="S210" s="2">
        <f t="shared" si="74"/>
        <v>6.6532015293466487E-2</v>
      </c>
      <c r="T210" s="5">
        <f t="shared" si="75"/>
        <v>0.17376933098629982</v>
      </c>
      <c r="U210" s="2" t="str">
        <f t="shared" si="76"/>
        <v>Low</v>
      </c>
      <c r="V210" s="2">
        <f t="shared" si="77"/>
        <v>0.10054113755516905</v>
      </c>
      <c r="W210" s="2">
        <f t="shared" si="78"/>
        <v>0.24387603666266683</v>
      </c>
      <c r="X210" s="2" t="s">
        <v>1175</v>
      </c>
      <c r="Y210" s="2">
        <f t="shared" si="79"/>
        <v>3.2522893031763922E-2</v>
      </c>
      <c r="Z210" s="2">
        <f t="shared" si="80"/>
        <v>8.3131109856228624E-2</v>
      </c>
      <c r="AA210" s="2" t="str">
        <f t="shared" si="81"/>
        <v>No Impact</v>
      </c>
      <c r="AB210" s="2">
        <f t="shared" si="82"/>
        <v>4.8266876654627054E-2</v>
      </c>
      <c r="AC210" s="2">
        <f t="shared" si="83"/>
        <v>0.17536797450987004</v>
      </c>
      <c r="AD210" s="2" t="str">
        <f t="shared" si="84"/>
        <v>Low</v>
      </c>
      <c r="AE210" s="2">
        <f t="shared" si="85"/>
        <v>9.4874588593963066E-3</v>
      </c>
      <c r="AF210" s="2">
        <f t="shared" si="86"/>
        <v>7.2276559168237012E-2</v>
      </c>
      <c r="AG210" s="2" t="s">
        <v>1175</v>
      </c>
    </row>
    <row r="211" spans="1:33" x14ac:dyDescent="0.3">
      <c r="A211">
        <v>302984</v>
      </c>
      <c r="B211" t="s">
        <v>431</v>
      </c>
      <c r="C211" t="s">
        <v>417</v>
      </c>
      <c r="D211" t="s">
        <v>432</v>
      </c>
      <c r="E211" s="13">
        <v>5.4</v>
      </c>
      <c r="F211" s="14">
        <f t="shared" si="67"/>
        <v>0.48888888888888893</v>
      </c>
      <c r="G211" s="2">
        <v>70.145726400000001</v>
      </c>
      <c r="H211" s="2">
        <f t="shared" si="68"/>
        <v>0.40550987014011974</v>
      </c>
      <c r="I211" s="2">
        <v>41.6</v>
      </c>
      <c r="J211" s="4">
        <f t="shared" si="69"/>
        <v>0.32885375494071145</v>
      </c>
      <c r="K211" s="2">
        <v>0</v>
      </c>
      <c r="L211" s="4">
        <f t="shared" si="70"/>
        <v>0</v>
      </c>
      <c r="M211" s="2">
        <v>32677</v>
      </c>
      <c r="N211" s="2">
        <f t="shared" si="71"/>
        <v>0.1534778309274058</v>
      </c>
      <c r="O211" s="2">
        <v>0.16589859400000001</v>
      </c>
      <c r="P211" s="2">
        <f t="shared" si="72"/>
        <v>0.11419390413050734</v>
      </c>
      <c r="Q211" s="2">
        <v>0.28960000000000002</v>
      </c>
      <c r="R211" s="2">
        <f t="shared" si="73"/>
        <v>0.6792125072379851</v>
      </c>
      <c r="S211" s="2">
        <f t="shared" si="74"/>
        <v>4.984884249772259E-2</v>
      </c>
      <c r="T211" s="5">
        <f t="shared" si="75"/>
        <v>0.13019596615347562</v>
      </c>
      <c r="U211" s="2" t="str">
        <f t="shared" si="76"/>
        <v>No Impact</v>
      </c>
      <c r="V211" s="2">
        <f t="shared" si="77"/>
        <v>8.5348332987101289E-2</v>
      </c>
      <c r="W211" s="2">
        <f t="shared" si="78"/>
        <v>0.20702384805660767</v>
      </c>
      <c r="X211" s="2" t="s">
        <v>1176</v>
      </c>
      <c r="Y211" s="2">
        <f t="shared" si="79"/>
        <v>1.4349352008343879E-2</v>
      </c>
      <c r="Z211" s="2">
        <f t="shared" si="80"/>
        <v>3.6678088785222454E-2</v>
      </c>
      <c r="AA211" s="2" t="str">
        <f t="shared" si="81"/>
        <v>No Impact</v>
      </c>
      <c r="AB211" s="2">
        <f t="shared" si="82"/>
        <v>4.092671115465335E-2</v>
      </c>
      <c r="AC211" s="2">
        <f t="shared" si="83"/>
        <v>0.14869896160670726</v>
      </c>
      <c r="AD211" s="2" t="str">
        <f t="shared" si="84"/>
        <v>No Impact</v>
      </c>
      <c r="AE211" s="2">
        <f t="shared" si="85"/>
        <v>1.9285682876184963E-2</v>
      </c>
      <c r="AF211" s="2">
        <f t="shared" si="86"/>
        <v>0.14692056325703351</v>
      </c>
      <c r="AG211" s="2" t="s">
        <v>1175</v>
      </c>
    </row>
    <row r="212" spans="1:33" x14ac:dyDescent="0.3">
      <c r="A212">
        <v>302990</v>
      </c>
      <c r="B212" t="s">
        <v>433</v>
      </c>
      <c r="C212" t="s">
        <v>417</v>
      </c>
      <c r="D212" t="s">
        <v>434</v>
      </c>
      <c r="E212" s="13">
        <v>5.4</v>
      </c>
      <c r="F212" s="14">
        <f t="shared" si="67"/>
        <v>0.48888888888888893</v>
      </c>
      <c r="G212" s="2">
        <v>69.868198800000002</v>
      </c>
      <c r="H212" s="2">
        <f t="shared" si="68"/>
        <v>0.4025114222157895</v>
      </c>
      <c r="I212" s="2">
        <v>38.1</v>
      </c>
      <c r="J212" s="4">
        <f t="shared" si="69"/>
        <v>0.30118577075098818</v>
      </c>
      <c r="K212" s="2">
        <v>0</v>
      </c>
      <c r="L212" s="4">
        <f t="shared" si="70"/>
        <v>0</v>
      </c>
      <c r="M212" s="2">
        <v>15640</v>
      </c>
      <c r="N212" s="2">
        <f t="shared" si="71"/>
        <v>7.2868613173222047E-2</v>
      </c>
      <c r="O212" s="2">
        <v>0.37743609299999997</v>
      </c>
      <c r="P212" s="2">
        <f t="shared" si="72"/>
        <v>0.35855993614256798</v>
      </c>
      <c r="Q212" s="2">
        <v>0.36020000000000002</v>
      </c>
      <c r="R212" s="2">
        <f t="shared" si="73"/>
        <v>0.88361320208453975</v>
      </c>
      <c r="S212" s="2">
        <f t="shared" si="74"/>
        <v>7.4785287546982743E-2</v>
      </c>
      <c r="T212" s="5">
        <f t="shared" si="75"/>
        <v>0.1953253531752466</v>
      </c>
      <c r="U212" s="2" t="str">
        <f t="shared" si="76"/>
        <v>Low</v>
      </c>
      <c r="V212" s="2">
        <f t="shared" si="77"/>
        <v>0.10639622668465845</v>
      </c>
      <c r="W212" s="2">
        <f t="shared" si="78"/>
        <v>0.25807834196703056</v>
      </c>
      <c r="X212" s="2" t="s">
        <v>1175</v>
      </c>
      <c r="Y212" s="2">
        <f t="shared" si="79"/>
        <v>4.3174348409307006E-2</v>
      </c>
      <c r="Z212" s="2">
        <f t="shared" si="80"/>
        <v>0.11035707976777516</v>
      </c>
      <c r="AA212" s="2" t="str">
        <f t="shared" si="81"/>
        <v>No Impact</v>
      </c>
      <c r="AB212" s="2">
        <f t="shared" si="82"/>
        <v>5.3261932681973545E-2</v>
      </c>
      <c r="AC212" s="2">
        <f t="shared" si="83"/>
        <v>0.19351650449135371</v>
      </c>
      <c r="AD212" s="2" t="str">
        <f t="shared" si="84"/>
        <v>Low</v>
      </c>
      <c r="AE212" s="2">
        <f t="shared" si="85"/>
        <v>8.7741394844313998E-3</v>
      </c>
      <c r="AF212" s="2">
        <f t="shared" si="86"/>
        <v>6.6842409647847795E-2</v>
      </c>
      <c r="AG212" s="2" t="s">
        <v>1175</v>
      </c>
    </row>
    <row r="213" spans="1:33" x14ac:dyDescent="0.3">
      <c r="A213">
        <v>303330</v>
      </c>
      <c r="B213" t="s">
        <v>435</v>
      </c>
      <c r="C213" t="s">
        <v>436</v>
      </c>
      <c r="D213" t="s">
        <v>437</v>
      </c>
      <c r="E213" s="13">
        <v>4.8</v>
      </c>
      <c r="F213" s="14">
        <f t="shared" si="67"/>
        <v>0.35555555555555546</v>
      </c>
      <c r="G213" s="2">
        <v>53.095154399999998</v>
      </c>
      <c r="H213" s="2">
        <f t="shared" si="68"/>
        <v>0.22129304910306313</v>
      </c>
      <c r="I213" s="2">
        <v>27.2</v>
      </c>
      <c r="J213" s="4">
        <f t="shared" si="69"/>
        <v>0.21501976284584981</v>
      </c>
      <c r="K213" s="2">
        <v>0</v>
      </c>
      <c r="L213" s="4">
        <f t="shared" si="70"/>
        <v>0</v>
      </c>
      <c r="M213" s="2">
        <v>211592</v>
      </c>
      <c r="N213" s="2">
        <f t="shared" si="71"/>
        <v>1</v>
      </c>
      <c r="O213" s="2">
        <v>0.42393068299999997</v>
      </c>
      <c r="P213" s="2">
        <f t="shared" si="72"/>
        <v>0.41227002783807221</v>
      </c>
      <c r="Q213" s="2">
        <v>0.24709999999999999</v>
      </c>
      <c r="R213" s="2">
        <f t="shared" si="73"/>
        <v>0.55616676317313263</v>
      </c>
      <c r="S213" s="2">
        <f t="shared" si="74"/>
        <v>2.629146361214367E-2</v>
      </c>
      <c r="T213" s="5">
        <f t="shared" si="75"/>
        <v>6.8668445144506207E-2</v>
      </c>
      <c r="U213" s="2" t="str">
        <f t="shared" si="76"/>
        <v>No Impact</v>
      </c>
      <c r="V213" s="2">
        <f t="shared" si="77"/>
        <v>3.0198022941656206E-2</v>
      </c>
      <c r="W213" s="2">
        <f t="shared" si="78"/>
        <v>7.3249361695537862E-2</v>
      </c>
      <c r="X213" s="2" t="s">
        <v>1176</v>
      </c>
      <c r="Y213" s="2">
        <f t="shared" si="79"/>
        <v>2.2384904282631127E-2</v>
      </c>
      <c r="Z213" s="2">
        <f t="shared" si="80"/>
        <v>5.7217601620591238E-2</v>
      </c>
      <c r="AA213" s="2" t="str">
        <f t="shared" si="81"/>
        <v>No Impact</v>
      </c>
      <c r="AB213" s="2">
        <f t="shared" si="82"/>
        <v>3.6288626234810543E-2</v>
      </c>
      <c r="AC213" s="2">
        <f t="shared" si="83"/>
        <v>0.13184741424395424</v>
      </c>
      <c r="AD213" s="2" t="str">
        <f t="shared" si="84"/>
        <v>No Impact</v>
      </c>
      <c r="AE213" s="2">
        <f t="shared" si="85"/>
        <v>5.4296705486975815E-2</v>
      </c>
      <c r="AF213" s="2">
        <f t="shared" si="86"/>
        <v>0.41363858383249508</v>
      </c>
      <c r="AG213" s="2" t="str">
        <f t="shared" ref="AG213" si="87">IF(AF213&gt;0.7,"High",IF(AF213&gt;0.3,"Moderate",IF(AF213&gt;0.15,"Low","No Impact")))</f>
        <v>Moderate</v>
      </c>
    </row>
    <row r="214" spans="1:33" x14ac:dyDescent="0.3">
      <c r="A214">
        <v>303332</v>
      </c>
      <c r="B214" t="s">
        <v>438</v>
      </c>
      <c r="C214" t="s">
        <v>436</v>
      </c>
      <c r="D214" t="s">
        <v>439</v>
      </c>
      <c r="E214" s="13">
        <v>4.8</v>
      </c>
      <c r="F214" s="14">
        <f t="shared" si="67"/>
        <v>0.35555555555555546</v>
      </c>
      <c r="G214" s="2">
        <v>53.095154399999998</v>
      </c>
      <c r="H214" s="2">
        <f t="shared" si="68"/>
        <v>0.22129304910306313</v>
      </c>
      <c r="I214" s="2">
        <v>32.6</v>
      </c>
      <c r="J214" s="4">
        <f t="shared" si="69"/>
        <v>0.25770750988142294</v>
      </c>
      <c r="K214" s="2">
        <v>0</v>
      </c>
      <c r="L214" s="4">
        <f t="shared" si="70"/>
        <v>0</v>
      </c>
      <c r="M214" s="2">
        <v>85598</v>
      </c>
      <c r="N214" s="2">
        <f t="shared" si="71"/>
        <v>0.40386935600630225</v>
      </c>
      <c r="O214" s="2">
        <v>0.22940716999999999</v>
      </c>
      <c r="P214" s="2">
        <f t="shared" si="72"/>
        <v>0.18755838460900814</v>
      </c>
      <c r="Q214" s="2">
        <v>0.23710000000000001</v>
      </c>
      <c r="R214" s="2">
        <f t="shared" si="73"/>
        <v>0.52721482339316739</v>
      </c>
      <c r="S214" s="2">
        <f t="shared" si="74"/>
        <v>2.1303443228988746E-2</v>
      </c>
      <c r="T214" s="5">
        <f t="shared" si="75"/>
        <v>5.564065752821893E-2</v>
      </c>
      <c r="U214" s="2" t="str">
        <f t="shared" si="76"/>
        <v>No Impact</v>
      </c>
      <c r="V214" s="2">
        <f t="shared" si="77"/>
        <v>3.1426726502606923E-2</v>
      </c>
      <c r="W214" s="2">
        <f t="shared" si="78"/>
        <v>7.6229747256756936E-2</v>
      </c>
      <c r="X214" s="2" t="s">
        <v>1176</v>
      </c>
      <c r="Y214" s="2">
        <f t="shared" si="79"/>
        <v>1.1180159955370573E-2</v>
      </c>
      <c r="Z214" s="2">
        <f t="shared" si="80"/>
        <v>2.8577381002126395E-2</v>
      </c>
      <c r="AA214" s="2" t="str">
        <f t="shared" si="81"/>
        <v>No Impact</v>
      </c>
      <c r="AB214" s="2">
        <f t="shared" si="82"/>
        <v>2.2779383344214647E-2</v>
      </c>
      <c r="AC214" s="2">
        <f t="shared" si="83"/>
        <v>8.276430120480642E-2</v>
      </c>
      <c r="AD214" s="2" t="str">
        <f t="shared" si="84"/>
        <v>No Impact</v>
      </c>
      <c r="AE214" s="2">
        <f t="shared" si="85"/>
        <v>2.4074231661974435E-2</v>
      </c>
      <c r="AF214" s="2">
        <f t="shared" si="86"/>
        <v>0.18340028188088056</v>
      </c>
      <c r="AG214" s="2" t="s">
        <v>1175</v>
      </c>
    </row>
    <row r="215" spans="1:33" x14ac:dyDescent="0.3">
      <c r="A215">
        <v>303334</v>
      </c>
      <c r="B215" t="s">
        <v>440</v>
      </c>
      <c r="C215" t="s">
        <v>436</v>
      </c>
      <c r="D215" t="s">
        <v>1140</v>
      </c>
      <c r="E215" s="13">
        <v>4.8</v>
      </c>
      <c r="F215" s="14">
        <f t="shared" si="67"/>
        <v>0.35555555555555546</v>
      </c>
      <c r="G215" s="2">
        <v>59.493383999999999</v>
      </c>
      <c r="H215" s="2">
        <f t="shared" si="68"/>
        <v>0.29042043774299842</v>
      </c>
      <c r="I215" s="2">
        <v>23.5</v>
      </c>
      <c r="J215" s="4">
        <f t="shared" si="69"/>
        <v>0.1857707509881423</v>
      </c>
      <c r="K215" s="2">
        <v>0</v>
      </c>
      <c r="L215" s="4">
        <f t="shared" si="70"/>
        <v>0</v>
      </c>
      <c r="M215" s="2">
        <v>42892</v>
      </c>
      <c r="N215" s="2">
        <f t="shared" si="71"/>
        <v>0.20180929534948641</v>
      </c>
      <c r="O215" s="2">
        <v>0.28873875599999999</v>
      </c>
      <c r="P215" s="2">
        <f t="shared" si="72"/>
        <v>0.25609764744581764</v>
      </c>
      <c r="Q215" s="2">
        <v>0.2225</v>
      </c>
      <c r="R215" s="2">
        <f t="shared" si="73"/>
        <v>0.48494499131441809</v>
      </c>
      <c r="S215" s="2">
        <f t="shared" si="74"/>
        <v>2.1956851780994532E-2</v>
      </c>
      <c r="T215" s="5">
        <f t="shared" si="75"/>
        <v>5.7347239937333518E-2</v>
      </c>
      <c r="U215" s="2" t="str">
        <f t="shared" si="76"/>
        <v>No Impact</v>
      </c>
      <c r="V215" s="2">
        <f t="shared" si="77"/>
        <v>2.8737523967690266E-2</v>
      </c>
      <c r="W215" s="2">
        <f t="shared" si="78"/>
        <v>6.9706725218749821E-2</v>
      </c>
      <c r="X215" s="2" t="s">
        <v>1176</v>
      </c>
      <c r="Y215" s="2">
        <f t="shared" si="79"/>
        <v>1.5176179594298792E-2</v>
      </c>
      <c r="Z215" s="2">
        <f t="shared" si="80"/>
        <v>3.8791526074243673E-2</v>
      </c>
      <c r="AA215" s="2" t="str">
        <f t="shared" si="81"/>
        <v>No Impact</v>
      </c>
      <c r="AB215" s="2">
        <f t="shared" si="82"/>
        <v>1.8796667804069075E-2</v>
      </c>
      <c r="AC215" s="2">
        <f t="shared" si="83"/>
        <v>6.8293906480034916E-2</v>
      </c>
      <c r="AD215" s="2" t="str">
        <f t="shared" si="84"/>
        <v>No Impact</v>
      </c>
      <c r="AE215" s="2">
        <f t="shared" si="85"/>
        <v>1.1959087248822406E-2</v>
      </c>
      <c r="AF215" s="2">
        <f t="shared" si="86"/>
        <v>9.1105710174602159E-2</v>
      </c>
      <c r="AG215" s="2" t="s">
        <v>1175</v>
      </c>
    </row>
    <row r="216" spans="1:33" x14ac:dyDescent="0.3">
      <c r="A216">
        <v>303336</v>
      </c>
      <c r="B216" t="s">
        <v>441</v>
      </c>
      <c r="C216" t="s">
        <v>436</v>
      </c>
      <c r="D216" t="s">
        <v>442</v>
      </c>
      <c r="E216" s="13">
        <v>4.8</v>
      </c>
      <c r="F216" s="14">
        <f t="shared" si="67"/>
        <v>0.35555555555555546</v>
      </c>
      <c r="G216" s="2">
        <v>50.9506236</v>
      </c>
      <c r="H216" s="2">
        <f t="shared" si="68"/>
        <v>0.19812323130504114</v>
      </c>
      <c r="I216" s="2">
        <v>18.600000000000001</v>
      </c>
      <c r="J216" s="4">
        <f t="shared" si="69"/>
        <v>0.14703557312252966</v>
      </c>
      <c r="K216" s="2">
        <v>0</v>
      </c>
      <c r="L216" s="4">
        <f t="shared" si="70"/>
        <v>0</v>
      </c>
      <c r="M216" s="2">
        <v>53557</v>
      </c>
      <c r="N216" s="2">
        <f t="shared" si="71"/>
        <v>0.2522698991734208</v>
      </c>
      <c r="O216" s="2">
        <v>0.44531024299999999</v>
      </c>
      <c r="P216" s="2">
        <f t="shared" si="72"/>
        <v>0.43696748463916529</v>
      </c>
      <c r="Q216" s="2">
        <v>0.28610000000000002</v>
      </c>
      <c r="R216" s="2">
        <f t="shared" si="73"/>
        <v>0.66907932831499717</v>
      </c>
      <c r="S216" s="2">
        <f t="shared" si="74"/>
        <v>2.3754067281789203E-2</v>
      </c>
      <c r="T216" s="5">
        <f t="shared" si="75"/>
        <v>6.2041234758229404E-2</v>
      </c>
      <c r="U216" s="2" t="str">
        <f t="shared" si="76"/>
        <v>No Impact</v>
      </c>
      <c r="V216" s="2">
        <f t="shared" si="77"/>
        <v>2.8739028394646135E-2</v>
      </c>
      <c r="W216" s="2">
        <f t="shared" si="78"/>
        <v>6.9710374408448364E-2</v>
      </c>
      <c r="X216" s="2" t="s">
        <v>1176</v>
      </c>
      <c r="Y216" s="2">
        <f t="shared" si="79"/>
        <v>1.8769106168932268E-2</v>
      </c>
      <c r="Z216" s="2">
        <f t="shared" si="80"/>
        <v>4.7975333107938521E-2</v>
      </c>
      <c r="AA216" s="2" t="str">
        <f t="shared" si="81"/>
        <v>No Impact</v>
      </c>
      <c r="AB216" s="2">
        <f t="shared" si="82"/>
        <v>1.9481912377958117E-2</v>
      </c>
      <c r="AC216" s="2">
        <f t="shared" si="83"/>
        <v>7.0783604618712387E-2</v>
      </c>
      <c r="AD216" s="2" t="str">
        <f t="shared" si="84"/>
        <v>No Impact</v>
      </c>
      <c r="AE216" s="2">
        <f t="shared" si="85"/>
        <v>1.083577311186368E-2</v>
      </c>
      <c r="AF216" s="2">
        <f t="shared" si="86"/>
        <v>8.2548173126206395E-2</v>
      </c>
      <c r="AG216" s="2" t="s">
        <v>1175</v>
      </c>
    </row>
    <row r="217" spans="1:33" x14ac:dyDescent="0.3">
      <c r="A217">
        <v>303386</v>
      </c>
      <c r="B217" t="s">
        <v>443</v>
      </c>
      <c r="C217" t="s">
        <v>436</v>
      </c>
      <c r="D217" t="s">
        <v>1141</v>
      </c>
      <c r="E217" s="13">
        <v>4.7</v>
      </c>
      <c r="F217" s="14">
        <f t="shared" si="67"/>
        <v>0.33333333333333331</v>
      </c>
      <c r="G217" s="2">
        <v>53.095154399999998</v>
      </c>
      <c r="H217" s="2">
        <f t="shared" si="68"/>
        <v>0.22129304910306313</v>
      </c>
      <c r="I217" s="2">
        <v>22.7</v>
      </c>
      <c r="J217" s="4">
        <f t="shared" si="69"/>
        <v>0.17944664031620552</v>
      </c>
      <c r="K217" s="2">
        <v>0</v>
      </c>
      <c r="L217" s="4">
        <f t="shared" si="70"/>
        <v>0</v>
      </c>
      <c r="M217" s="2">
        <v>93377</v>
      </c>
      <c r="N217" s="2">
        <f t="shared" si="71"/>
        <v>0.44067507913301446</v>
      </c>
      <c r="O217" s="2">
        <v>0.27834631500000001</v>
      </c>
      <c r="P217" s="2">
        <f t="shared" si="72"/>
        <v>0.24409240212480038</v>
      </c>
      <c r="Q217" s="2">
        <v>0.28070000000000001</v>
      </c>
      <c r="R217" s="2">
        <f t="shared" si="73"/>
        <v>0.65344528083381592</v>
      </c>
      <c r="S217" s="2">
        <f t="shared" si="74"/>
        <v>2.098127338480401E-2</v>
      </c>
      <c r="T217" s="5">
        <f t="shared" si="75"/>
        <v>5.4799209421754619E-2</v>
      </c>
      <c r="U217" s="2" t="str">
        <f t="shared" si="76"/>
        <v>No Impact</v>
      </c>
      <c r="V217" s="2">
        <f t="shared" si="77"/>
        <v>3.0550503537613516E-2</v>
      </c>
      <c r="W217" s="2">
        <f t="shared" si="78"/>
        <v>7.4104350736172039E-2</v>
      </c>
      <c r="X217" s="2" t="s">
        <v>1176</v>
      </c>
      <c r="Y217" s="2">
        <f t="shared" si="79"/>
        <v>1.14120432319945E-2</v>
      </c>
      <c r="Z217" s="2">
        <f t="shared" si="80"/>
        <v>2.9170093161036092E-2</v>
      </c>
      <c r="AA217" s="2" t="str">
        <f t="shared" si="81"/>
        <v>No Impact</v>
      </c>
      <c r="AB217" s="2">
        <f t="shared" si="82"/>
        <v>2.1327292310248259E-2</v>
      </c>
      <c r="AC217" s="2">
        <f t="shared" si="83"/>
        <v>7.7488420910069827E-2</v>
      </c>
      <c r="AD217" s="2" t="str">
        <f t="shared" si="84"/>
        <v>No Impact</v>
      </c>
      <c r="AE217" s="2">
        <f t="shared" si="85"/>
        <v>2.0602866007100512E-2</v>
      </c>
      <c r="AF217" s="2">
        <f t="shared" si="86"/>
        <v>0.15695501672954945</v>
      </c>
      <c r="AG217" s="2" t="s">
        <v>1175</v>
      </c>
    </row>
    <row r="218" spans="1:33" x14ac:dyDescent="0.3">
      <c r="A218">
        <v>303532</v>
      </c>
      <c r="B218" t="s">
        <v>444</v>
      </c>
      <c r="C218" t="s">
        <v>445</v>
      </c>
      <c r="D218" t="s">
        <v>446</v>
      </c>
      <c r="E218" s="13">
        <v>6</v>
      </c>
      <c r="F218" s="14">
        <f t="shared" si="67"/>
        <v>0.62222222222222223</v>
      </c>
      <c r="G218" s="2">
        <v>70.258226399999998</v>
      </c>
      <c r="H218" s="2">
        <f t="shared" si="68"/>
        <v>0.40672533624686785</v>
      </c>
      <c r="I218" s="2">
        <v>39</v>
      </c>
      <c r="J218" s="4">
        <f t="shared" si="69"/>
        <v>0.30830039525691699</v>
      </c>
      <c r="K218" s="2">
        <v>0</v>
      </c>
      <c r="L218" s="4">
        <f t="shared" si="70"/>
        <v>0</v>
      </c>
      <c r="M218" s="2">
        <v>31655</v>
      </c>
      <c r="N218" s="2">
        <f t="shared" si="71"/>
        <v>0.14864231877475126</v>
      </c>
      <c r="O218" s="2">
        <v>0.27454942999999998</v>
      </c>
      <c r="P218" s="2">
        <f t="shared" si="72"/>
        <v>0.23970627802934569</v>
      </c>
      <c r="Q218" s="2">
        <v>0.246</v>
      </c>
      <c r="R218" s="2">
        <f t="shared" si="73"/>
        <v>0.55298204979733645</v>
      </c>
      <c r="S218" s="2">
        <f t="shared" si="74"/>
        <v>6.1717411158845513E-2</v>
      </c>
      <c r="T218" s="5">
        <f t="shared" si="75"/>
        <v>0.16119447456948063</v>
      </c>
      <c r="U218" s="2" t="str">
        <f t="shared" si="76"/>
        <v>Low</v>
      </c>
      <c r="V218" s="2">
        <f t="shared" si="77"/>
        <v>8.6108548171445948E-2</v>
      </c>
      <c r="W218" s="2">
        <f t="shared" si="78"/>
        <v>0.2088678521197905</v>
      </c>
      <c r="X218" s="2" t="s">
        <v>1176</v>
      </c>
      <c r="Y218" s="2">
        <f t="shared" si="79"/>
        <v>3.7326274146245078E-2</v>
      </c>
      <c r="Z218" s="2">
        <f t="shared" si="80"/>
        <v>9.5408935285819868E-2</v>
      </c>
      <c r="AA218" s="2" t="str">
        <f t="shared" si="81"/>
        <v>No Impact</v>
      </c>
      <c r="AB218" s="2">
        <f t="shared" si="82"/>
        <v>4.94370068529945E-2</v>
      </c>
      <c r="AC218" s="2">
        <f t="shared" si="83"/>
        <v>0.17961940690042769</v>
      </c>
      <c r="AD218" s="2" t="str">
        <f t="shared" si="84"/>
        <v>Low</v>
      </c>
      <c r="AE218" s="2">
        <f t="shared" si="85"/>
        <v>2.3146093568899684E-2</v>
      </c>
      <c r="AF218" s="2">
        <f t="shared" si="86"/>
        <v>0.17632961851415896</v>
      </c>
      <c r="AG218" s="2" t="s">
        <v>1175</v>
      </c>
    </row>
    <row r="219" spans="1:33" x14ac:dyDescent="0.3">
      <c r="A219">
        <v>303543</v>
      </c>
      <c r="B219" t="s">
        <v>447</v>
      </c>
      <c r="C219" t="s">
        <v>445</v>
      </c>
      <c r="D219" t="s">
        <v>448</v>
      </c>
      <c r="E219" s="13">
        <v>6</v>
      </c>
      <c r="F219" s="14">
        <f t="shared" si="67"/>
        <v>0.62222222222222223</v>
      </c>
      <c r="G219" s="2">
        <v>70.258226399999998</v>
      </c>
      <c r="H219" s="2">
        <f t="shared" si="68"/>
        <v>0.40672533624686785</v>
      </c>
      <c r="I219" s="2">
        <v>39</v>
      </c>
      <c r="J219" s="4">
        <f t="shared" si="69"/>
        <v>0.30830039525691699</v>
      </c>
      <c r="K219" s="2">
        <v>0</v>
      </c>
      <c r="L219" s="4">
        <f t="shared" si="70"/>
        <v>0</v>
      </c>
      <c r="M219" s="2">
        <v>27057</v>
      </c>
      <c r="N219" s="2">
        <f t="shared" si="71"/>
        <v>0.1268872455086987</v>
      </c>
      <c r="O219" s="2">
        <v>0.21422947000000001</v>
      </c>
      <c r="P219" s="2">
        <f t="shared" si="72"/>
        <v>0.17002525529811727</v>
      </c>
      <c r="Q219" s="2">
        <v>0.28170000000000001</v>
      </c>
      <c r="R219" s="2">
        <f t="shared" si="73"/>
        <v>0.65634047481181246</v>
      </c>
      <c r="S219" s="2">
        <f t="shared" si="74"/>
        <v>6.4339478383142398E-2</v>
      </c>
      <c r="T219" s="5">
        <f t="shared" si="75"/>
        <v>0.16804282968629786</v>
      </c>
      <c r="U219" s="2" t="str">
        <f t="shared" si="76"/>
        <v>Low</v>
      </c>
      <c r="V219" s="2">
        <f t="shared" si="77"/>
        <v>0.10220318256788899</v>
      </c>
      <c r="W219" s="2">
        <f t="shared" si="78"/>
        <v>0.24790755013380369</v>
      </c>
      <c r="X219" s="2" t="s">
        <v>1175</v>
      </c>
      <c r="Y219" s="2">
        <f t="shared" si="79"/>
        <v>2.6475774198395773E-2</v>
      </c>
      <c r="Z219" s="2">
        <f t="shared" si="80"/>
        <v>6.7674191569180045E-2</v>
      </c>
      <c r="AA219" s="2" t="str">
        <f t="shared" si="81"/>
        <v>No Impact</v>
      </c>
      <c r="AB219" s="2">
        <f t="shared" si="82"/>
        <v>5.062930891820358E-2</v>
      </c>
      <c r="AC219" s="2">
        <f t="shared" si="83"/>
        <v>0.18395139630334273</v>
      </c>
      <c r="AD219" s="2" t="str">
        <f t="shared" si="84"/>
        <v>Low</v>
      </c>
      <c r="AE219" s="2">
        <f t="shared" si="85"/>
        <v>1.9758465028353437E-2</v>
      </c>
      <c r="AF219" s="2">
        <f t="shared" si="86"/>
        <v>0.15052227238708663</v>
      </c>
      <c r="AG219" s="2" t="s">
        <v>1175</v>
      </c>
    </row>
    <row r="220" spans="1:33" x14ac:dyDescent="0.3">
      <c r="A220">
        <v>303551</v>
      </c>
      <c r="B220" t="s">
        <v>449</v>
      </c>
      <c r="C220" t="s">
        <v>445</v>
      </c>
      <c r="D220" t="s">
        <v>1142</v>
      </c>
      <c r="E220" s="13">
        <v>5.9</v>
      </c>
      <c r="F220" s="14">
        <f t="shared" si="67"/>
        <v>0.60000000000000009</v>
      </c>
      <c r="G220" s="2">
        <v>72.986558400000007</v>
      </c>
      <c r="H220" s="2">
        <f t="shared" si="68"/>
        <v>0.43620262579314684</v>
      </c>
      <c r="I220" s="2">
        <v>40.1</v>
      </c>
      <c r="J220" s="4">
        <f t="shared" si="69"/>
        <v>0.31699604743083004</v>
      </c>
      <c r="K220" s="2">
        <v>0</v>
      </c>
      <c r="L220" s="4">
        <f t="shared" si="70"/>
        <v>0</v>
      </c>
      <c r="M220" s="2">
        <v>16777</v>
      </c>
      <c r="N220" s="2">
        <f t="shared" si="71"/>
        <v>7.8248238728572575E-2</v>
      </c>
      <c r="O220" s="2">
        <v>0.44293940199999998</v>
      </c>
      <c r="P220" s="2">
        <f t="shared" si="72"/>
        <v>0.43422871250448336</v>
      </c>
      <c r="Q220" s="2">
        <v>0.24249999999999999</v>
      </c>
      <c r="R220" s="2">
        <f t="shared" si="73"/>
        <v>0.54284887087434863</v>
      </c>
      <c r="S220" s="2">
        <f t="shared" si="74"/>
        <v>7.7273021640971731E-2</v>
      </c>
      <c r="T220" s="5">
        <f t="shared" si="75"/>
        <v>0.20182285497610858</v>
      </c>
      <c r="U220" s="2" t="str">
        <f t="shared" si="76"/>
        <v>Low</v>
      </c>
      <c r="V220" s="2">
        <f t="shared" si="77"/>
        <v>8.5863340353775616E-2</v>
      </c>
      <c r="W220" s="2">
        <f t="shared" si="78"/>
        <v>0.20827306761479791</v>
      </c>
      <c r="X220" s="2" t="s">
        <v>1176</v>
      </c>
      <c r="Y220" s="2">
        <f t="shared" si="79"/>
        <v>6.8682702928167846E-2</v>
      </c>
      <c r="Z220" s="2">
        <f t="shared" si="80"/>
        <v>0.175558469437753</v>
      </c>
      <c r="AA220" s="2" t="str">
        <f t="shared" si="81"/>
        <v>Low</v>
      </c>
      <c r="AB220" s="2">
        <f t="shared" si="82"/>
        <v>5.4988810517318638E-2</v>
      </c>
      <c r="AC220" s="2">
        <f t="shared" si="83"/>
        <v>0.1997907672819092</v>
      </c>
      <c r="AD220" s="2" t="str">
        <f t="shared" si="84"/>
        <v>Low</v>
      </c>
      <c r="AE220" s="2">
        <f t="shared" si="85"/>
        <v>1.2376658614419514E-2</v>
      </c>
      <c r="AF220" s="2">
        <f t="shared" si="86"/>
        <v>9.4286817145374444E-2</v>
      </c>
      <c r="AG220" s="2" t="s">
        <v>1175</v>
      </c>
    </row>
    <row r="221" spans="1:33" x14ac:dyDescent="0.3">
      <c r="A221">
        <v>303558</v>
      </c>
      <c r="B221" t="s">
        <v>450</v>
      </c>
      <c r="C221" t="s">
        <v>445</v>
      </c>
      <c r="D221" t="s">
        <v>451</v>
      </c>
      <c r="E221" s="13">
        <v>6</v>
      </c>
      <c r="F221" s="14">
        <f t="shared" si="67"/>
        <v>0.62222222222222223</v>
      </c>
      <c r="G221" s="2">
        <v>69.868198800000002</v>
      </c>
      <c r="H221" s="2">
        <f t="shared" si="68"/>
        <v>0.4025114222157895</v>
      </c>
      <c r="I221" s="2">
        <v>38.700000000000003</v>
      </c>
      <c r="J221" s="4">
        <f t="shared" si="69"/>
        <v>0.30592885375494072</v>
      </c>
      <c r="K221" s="2">
        <v>0</v>
      </c>
      <c r="L221" s="4">
        <f t="shared" si="70"/>
        <v>0</v>
      </c>
      <c r="M221" s="2">
        <v>27947</v>
      </c>
      <c r="N221" s="2">
        <f t="shared" si="71"/>
        <v>0.13109821010347616</v>
      </c>
      <c r="O221" s="2">
        <v>0.440725115</v>
      </c>
      <c r="P221" s="2">
        <f t="shared" si="72"/>
        <v>0.43167079000618491</v>
      </c>
      <c r="Q221" s="2">
        <v>0.30680000000000002</v>
      </c>
      <c r="R221" s="2">
        <f t="shared" si="73"/>
        <v>0.72900984365952526</v>
      </c>
      <c r="S221" s="2">
        <f t="shared" si="74"/>
        <v>8.9536383362161936E-2</v>
      </c>
      <c r="T221" s="5">
        <f t="shared" si="75"/>
        <v>0.23385248992004642</v>
      </c>
      <c r="U221" s="2" t="str">
        <f t="shared" si="76"/>
        <v>Low</v>
      </c>
      <c r="V221" s="2">
        <f t="shared" si="77"/>
        <v>0.11247349691799606</v>
      </c>
      <c r="W221" s="2">
        <f t="shared" si="78"/>
        <v>0.27281957738841334</v>
      </c>
      <c r="X221" s="2" t="s">
        <v>1175</v>
      </c>
      <c r="Y221" s="2">
        <f t="shared" si="79"/>
        <v>6.6599269806327785E-2</v>
      </c>
      <c r="Z221" s="2">
        <f t="shared" si="80"/>
        <v>0.17023304812419904</v>
      </c>
      <c r="AA221" s="2" t="str">
        <f t="shared" si="81"/>
        <v>Low</v>
      </c>
      <c r="AB221" s="2">
        <f t="shared" si="82"/>
        <v>6.6424662971136195E-2</v>
      </c>
      <c r="AC221" s="2">
        <f t="shared" si="83"/>
        <v>0.24134063378704712</v>
      </c>
      <c r="AD221" s="2" t="str">
        <f t="shared" si="84"/>
        <v>Low</v>
      </c>
      <c r="AE221" s="2">
        <f t="shared" si="85"/>
        <v>2.0226166022683536E-2</v>
      </c>
      <c r="AF221" s="2">
        <f t="shared" si="86"/>
        <v>0.15408527266890221</v>
      </c>
      <c r="AG221" s="2" t="s">
        <v>1175</v>
      </c>
    </row>
    <row r="222" spans="1:33" x14ac:dyDescent="0.3">
      <c r="A222">
        <v>303591</v>
      </c>
      <c r="B222" t="s">
        <v>452</v>
      </c>
      <c r="C222" t="s">
        <v>445</v>
      </c>
      <c r="D222" t="s">
        <v>1143</v>
      </c>
      <c r="E222" s="13">
        <v>6</v>
      </c>
      <c r="F222" s="14">
        <f t="shared" si="67"/>
        <v>0.62222222222222223</v>
      </c>
      <c r="G222" s="2">
        <v>72.986558400000007</v>
      </c>
      <c r="H222" s="2">
        <f t="shared" si="68"/>
        <v>0.43620262579314684</v>
      </c>
      <c r="I222" s="2">
        <v>42.3</v>
      </c>
      <c r="J222" s="4">
        <f t="shared" si="69"/>
        <v>0.33438735177865608</v>
      </c>
      <c r="K222" s="2">
        <v>0</v>
      </c>
      <c r="L222" s="4">
        <f t="shared" si="70"/>
        <v>0</v>
      </c>
      <c r="M222" s="2">
        <v>5557</v>
      </c>
      <c r="N222" s="2">
        <f t="shared" si="71"/>
        <v>2.5161696309018561E-2</v>
      </c>
      <c r="O222" s="2">
        <v>0.73285283899999998</v>
      </c>
      <c r="P222" s="2">
        <f t="shared" si="72"/>
        <v>0.76913385490984265</v>
      </c>
      <c r="Q222" s="2">
        <v>0.25059999999999999</v>
      </c>
      <c r="R222" s="2">
        <f t="shared" si="73"/>
        <v>0.56629994209612045</v>
      </c>
      <c r="S222" s="2">
        <f t="shared" si="74"/>
        <v>0.11205449574330928</v>
      </c>
      <c r="T222" s="5">
        <f t="shared" si="75"/>
        <v>0.2926656388422097</v>
      </c>
      <c r="U222" s="2" t="str">
        <f t="shared" si="76"/>
        <v>Low</v>
      </c>
      <c r="V222" s="2">
        <f t="shared" si="77"/>
        <v>9.5034968552263871E-2</v>
      </c>
      <c r="W222" s="2">
        <f t="shared" si="78"/>
        <v>0.23052008400213014</v>
      </c>
      <c r="X222" s="2" t="s">
        <v>1175</v>
      </c>
      <c r="Y222" s="2">
        <f t="shared" si="79"/>
        <v>0.12907402293435469</v>
      </c>
      <c r="Z222" s="2">
        <f t="shared" si="80"/>
        <v>0.32992350248981689</v>
      </c>
      <c r="AA222" s="2" t="str">
        <f t="shared" si="81"/>
        <v>Moderate</v>
      </c>
      <c r="AB222" s="2">
        <f t="shared" si="82"/>
        <v>7.3462345293841255E-2</v>
      </c>
      <c r="AC222" s="2">
        <f t="shared" si="83"/>
        <v>0.26691063499114182</v>
      </c>
      <c r="AD222" s="2" t="str">
        <f t="shared" si="84"/>
        <v>Low</v>
      </c>
      <c r="AE222" s="2">
        <f t="shared" si="85"/>
        <v>4.2225697721214274E-3</v>
      </c>
      <c r="AF222" s="2">
        <f t="shared" si="86"/>
        <v>3.2168025021208163E-2</v>
      </c>
      <c r="AG222" s="2" t="s">
        <v>1176</v>
      </c>
    </row>
    <row r="223" spans="1:33" x14ac:dyDescent="0.3">
      <c r="A223">
        <v>304802</v>
      </c>
      <c r="B223" t="s">
        <v>453</v>
      </c>
      <c r="C223" t="s">
        <v>454</v>
      </c>
      <c r="D223" t="s">
        <v>455</v>
      </c>
      <c r="E223" s="13">
        <v>6.2</v>
      </c>
      <c r="F223" s="14">
        <f t="shared" si="67"/>
        <v>0.66666666666666663</v>
      </c>
      <c r="G223" s="2">
        <v>43.145937000000004</v>
      </c>
      <c r="H223" s="2">
        <f t="shared" si="68"/>
        <v>0.11380027987311775</v>
      </c>
      <c r="I223" s="2">
        <v>10.8</v>
      </c>
      <c r="J223" s="4">
        <f t="shared" si="69"/>
        <v>8.5375494071146252E-2</v>
      </c>
      <c r="K223" s="2">
        <v>0</v>
      </c>
      <c r="L223" s="4">
        <f t="shared" si="70"/>
        <v>0</v>
      </c>
      <c r="M223" s="2">
        <v>7200</v>
      </c>
      <c r="N223" s="2">
        <f t="shared" si="71"/>
        <v>3.2935420836231327E-2</v>
      </c>
      <c r="O223" s="2">
        <v>0.47760546500000001</v>
      </c>
      <c r="P223" s="2">
        <f t="shared" si="72"/>
        <v>0.47427460649886266</v>
      </c>
      <c r="Q223" s="2">
        <v>0.14580000000000001</v>
      </c>
      <c r="R223" s="2">
        <f t="shared" si="73"/>
        <v>0.26288361320208459</v>
      </c>
      <c r="S223" s="2">
        <f t="shared" si="74"/>
        <v>1.7129473541636395E-2</v>
      </c>
      <c r="T223" s="5">
        <f t="shared" si="75"/>
        <v>4.4739019919181423E-2</v>
      </c>
      <c r="U223" s="2" t="str">
        <f t="shared" si="76"/>
        <v>No Impact</v>
      </c>
      <c r="V223" s="2">
        <f t="shared" si="77"/>
        <v>1.2217344327250938E-2</v>
      </c>
      <c r="W223" s="2">
        <f t="shared" si="78"/>
        <v>2.9634810044178683E-2</v>
      </c>
      <c r="X223" s="2" t="s">
        <v>1176</v>
      </c>
      <c r="Y223" s="2">
        <f t="shared" si="79"/>
        <v>2.2041602756021853E-2</v>
      </c>
      <c r="Z223" s="2">
        <f t="shared" si="80"/>
        <v>5.6340095523747594E-2</v>
      </c>
      <c r="AA223" s="2" t="str">
        <f t="shared" si="81"/>
        <v>No Impact</v>
      </c>
      <c r="AB223" s="2">
        <f t="shared" si="82"/>
        <v>1.1424279606055356E-2</v>
      </c>
      <c r="AC223" s="2">
        <f t="shared" si="83"/>
        <v>4.1507818893773085E-2</v>
      </c>
      <c r="AD223" s="2" t="str">
        <f t="shared" si="84"/>
        <v>No Impact</v>
      </c>
      <c r="AE223" s="2">
        <f t="shared" si="85"/>
        <v>1.5306521848884964E-3</v>
      </c>
      <c r="AF223" s="2">
        <f t="shared" si="86"/>
        <v>1.1660685421314612E-2</v>
      </c>
      <c r="AG223" s="2" t="s">
        <v>1176</v>
      </c>
    </row>
    <row r="224" spans="1:33" x14ac:dyDescent="0.3">
      <c r="A224">
        <v>304806</v>
      </c>
      <c r="B224" t="s">
        <v>456</v>
      </c>
      <c r="C224" t="s">
        <v>454</v>
      </c>
      <c r="D224" t="s">
        <v>457</v>
      </c>
      <c r="E224" s="13">
        <v>6.3</v>
      </c>
      <c r="F224" s="14">
        <f t="shared" si="67"/>
        <v>0.68888888888888877</v>
      </c>
      <c r="G224" s="2">
        <v>42.9418224</v>
      </c>
      <c r="H224" s="2">
        <f t="shared" si="68"/>
        <v>0.111594996511407</v>
      </c>
      <c r="I224" s="2">
        <v>13.2</v>
      </c>
      <c r="J224" s="4">
        <f t="shared" si="69"/>
        <v>0.10434782608695652</v>
      </c>
      <c r="K224" s="2">
        <v>0</v>
      </c>
      <c r="L224" s="4">
        <f t="shared" si="70"/>
        <v>0</v>
      </c>
      <c r="M224" s="2">
        <v>27557</v>
      </c>
      <c r="N224" s="2">
        <f t="shared" si="71"/>
        <v>0.12925295595520292</v>
      </c>
      <c r="O224" s="2">
        <v>0.59530444000000005</v>
      </c>
      <c r="P224" s="2">
        <f t="shared" si="72"/>
        <v>0.61023930130995496</v>
      </c>
      <c r="Q224" s="2">
        <v>0.2384</v>
      </c>
      <c r="R224" s="2">
        <f t="shared" si="73"/>
        <v>0.53097857556456285</v>
      </c>
      <c r="S224" s="2">
        <f t="shared" si="74"/>
        <v>2.9709447038023841E-2</v>
      </c>
      <c r="T224" s="5">
        <f t="shared" si="75"/>
        <v>7.7595586320339249E-2</v>
      </c>
      <c r="U224" s="2" t="str">
        <f t="shared" si="76"/>
        <v>No Impact</v>
      </c>
      <c r="V224" s="2">
        <f t="shared" si="77"/>
        <v>2.7646044088030463E-2</v>
      </c>
      <c r="W224" s="2">
        <f t="shared" si="78"/>
        <v>6.7059194132258831E-2</v>
      </c>
      <c r="X224" s="2" t="s">
        <v>1176</v>
      </c>
      <c r="Y224" s="2">
        <f t="shared" si="79"/>
        <v>3.1772849988017222E-2</v>
      </c>
      <c r="Z224" s="2">
        <f t="shared" si="80"/>
        <v>8.1213939984356831E-2</v>
      </c>
      <c r="AA224" s="2" t="str">
        <f t="shared" si="81"/>
        <v>No Impact</v>
      </c>
      <c r="AB224" s="2">
        <f t="shared" si="82"/>
        <v>2.1563369645096246E-2</v>
      </c>
      <c r="AC224" s="2">
        <f t="shared" si="83"/>
        <v>7.8346160356030259E-2</v>
      </c>
      <c r="AD224" s="2" t="str">
        <f t="shared" si="84"/>
        <v>No Impact</v>
      </c>
      <c r="AE224" s="2">
        <f t="shared" si="85"/>
        <v>6.7297120510869087E-3</v>
      </c>
      <c r="AF224" s="2">
        <f t="shared" si="86"/>
        <v>5.1267724946586032E-2</v>
      </c>
      <c r="AG224" s="2" t="s">
        <v>1176</v>
      </c>
    </row>
    <row r="225" spans="1:33" x14ac:dyDescent="0.3">
      <c r="A225">
        <v>304811</v>
      </c>
      <c r="B225" t="s">
        <v>458</v>
      </c>
      <c r="C225" t="s">
        <v>454</v>
      </c>
      <c r="D225" t="s">
        <v>459</v>
      </c>
      <c r="E225" s="13">
        <v>6.2</v>
      </c>
      <c r="F225" s="14">
        <f t="shared" si="67"/>
        <v>0.66666666666666663</v>
      </c>
      <c r="G225" s="2">
        <v>45.3429936</v>
      </c>
      <c r="H225" s="2">
        <f t="shared" si="68"/>
        <v>0.13753759393451601</v>
      </c>
      <c r="I225" s="2">
        <v>12.2</v>
      </c>
      <c r="J225" s="4">
        <f t="shared" si="69"/>
        <v>9.6442687747035571E-2</v>
      </c>
      <c r="K225" s="2">
        <v>0</v>
      </c>
      <c r="L225" s="4">
        <f t="shared" si="70"/>
        <v>0</v>
      </c>
      <c r="M225" s="2">
        <v>22574</v>
      </c>
      <c r="N225" s="2">
        <f t="shared" si="71"/>
        <v>0.10567628564534215</v>
      </c>
      <c r="O225" s="2">
        <v>0.378419901</v>
      </c>
      <c r="P225" s="2">
        <f t="shared" si="72"/>
        <v>0.35969642143883085</v>
      </c>
      <c r="Q225" s="2">
        <v>0.23219999999999999</v>
      </c>
      <c r="R225" s="2">
        <f t="shared" si="73"/>
        <v>0.51302837290098435</v>
      </c>
      <c r="S225" s="2">
        <f t="shared" si="74"/>
        <v>2.3823379207845476E-2</v>
      </c>
      <c r="T225" s="5">
        <f t="shared" si="75"/>
        <v>6.2222264702490739E-2</v>
      </c>
      <c r="U225" s="2" t="str">
        <f t="shared" si="76"/>
        <v>No Impact</v>
      </c>
      <c r="V225" s="2">
        <f t="shared" si="77"/>
        <v>2.8008988747133423E-2</v>
      </c>
      <c r="W225" s="2">
        <f t="shared" si="78"/>
        <v>6.7939565163881027E-2</v>
      </c>
      <c r="X225" s="2" t="s">
        <v>1176</v>
      </c>
      <c r="Y225" s="2">
        <f t="shared" si="79"/>
        <v>1.9637769668557535E-2</v>
      </c>
      <c r="Z225" s="2">
        <f t="shared" si="80"/>
        <v>5.0195706330730124E-2</v>
      </c>
      <c r="AA225" s="2" t="str">
        <f t="shared" si="81"/>
        <v>No Impact</v>
      </c>
      <c r="AB225" s="2">
        <f t="shared" si="82"/>
        <v>1.7713780607123131E-2</v>
      </c>
      <c r="AC225" s="2">
        <f t="shared" si="83"/>
        <v>6.435945396283696E-2</v>
      </c>
      <c r="AD225" s="2" t="str">
        <f t="shared" si="84"/>
        <v>No Impact</v>
      </c>
      <c r="AE225" s="2">
        <f t="shared" si="85"/>
        <v>5.7694389858833602E-3</v>
      </c>
      <c r="AF225" s="2">
        <f t="shared" si="86"/>
        <v>4.3952253644582946E-2</v>
      </c>
      <c r="AG225" s="2" t="s">
        <v>1176</v>
      </c>
    </row>
    <row r="226" spans="1:33" x14ac:dyDescent="0.3">
      <c r="A226">
        <v>304827</v>
      </c>
      <c r="B226" t="s">
        <v>460</v>
      </c>
      <c r="C226" t="s">
        <v>454</v>
      </c>
      <c r="D226" t="s">
        <v>461</v>
      </c>
      <c r="E226" s="13">
        <v>6.3</v>
      </c>
      <c r="F226" s="14">
        <f t="shared" si="67"/>
        <v>0.68888888888888877</v>
      </c>
      <c r="G226" s="2">
        <v>44.281483199999997</v>
      </c>
      <c r="H226" s="2">
        <f t="shared" si="68"/>
        <v>0.12606888359531007</v>
      </c>
      <c r="I226" s="2">
        <v>13.5</v>
      </c>
      <c r="J226" s="4">
        <f t="shared" si="69"/>
        <v>0.1067193675889328</v>
      </c>
      <c r="K226" s="2">
        <v>0</v>
      </c>
      <c r="L226" s="4">
        <f t="shared" si="70"/>
        <v>0</v>
      </c>
      <c r="M226" s="2">
        <v>17728</v>
      </c>
      <c r="N226" s="2">
        <f t="shared" si="71"/>
        <v>8.2747819997823546E-2</v>
      </c>
      <c r="O226" s="2">
        <v>0.68966272200000001</v>
      </c>
      <c r="P226" s="2">
        <f t="shared" si="72"/>
        <v>0.71924105782507308</v>
      </c>
      <c r="Q226" s="2">
        <v>0.2442</v>
      </c>
      <c r="R226" s="2">
        <f t="shared" si="73"/>
        <v>0.54777070063694266</v>
      </c>
      <c r="S226" s="2">
        <f t="shared" si="74"/>
        <v>3.5557312762026193E-2</v>
      </c>
      <c r="T226" s="5">
        <f t="shared" si="75"/>
        <v>9.2869131095367166E-2</v>
      </c>
      <c r="U226" s="2" t="str">
        <f t="shared" si="76"/>
        <v>No Impact</v>
      </c>
      <c r="V226" s="2">
        <f t="shared" si="77"/>
        <v>3.0745182898799288E-2</v>
      </c>
      <c r="W226" s="2">
        <f t="shared" si="78"/>
        <v>7.4576571681553266E-2</v>
      </c>
      <c r="X226" s="2" t="s">
        <v>1176</v>
      </c>
      <c r="Y226" s="2">
        <f t="shared" si="79"/>
        <v>4.0369442625253098E-2</v>
      </c>
      <c r="Z226" s="2">
        <f t="shared" si="80"/>
        <v>0.10318751675741127</v>
      </c>
      <c r="AA226" s="2" t="str">
        <f t="shared" si="81"/>
        <v>No Impact</v>
      </c>
      <c r="AB226" s="2">
        <f t="shared" si="82"/>
        <v>2.4497206365807246E-2</v>
      </c>
      <c r="AC226" s="2">
        <f t="shared" si="83"/>
        <v>8.9005665153394128E-2</v>
      </c>
      <c r="AD226" s="2" t="str">
        <f t="shared" si="84"/>
        <v>No Impact</v>
      </c>
      <c r="AE226" s="2">
        <f t="shared" si="85"/>
        <v>4.6444558961473374E-3</v>
      </c>
      <c r="AF226" s="2">
        <f t="shared" si="86"/>
        <v>3.5382002320853298E-2</v>
      </c>
      <c r="AG226" s="2" t="s">
        <v>1176</v>
      </c>
    </row>
    <row r="227" spans="1:33" x14ac:dyDescent="0.3">
      <c r="A227">
        <v>304833</v>
      </c>
      <c r="B227" t="s">
        <v>462</v>
      </c>
      <c r="C227" t="s">
        <v>454</v>
      </c>
      <c r="D227" t="s">
        <v>463</v>
      </c>
      <c r="E227" s="13">
        <v>5.8</v>
      </c>
      <c r="F227" s="14">
        <f t="shared" si="67"/>
        <v>0.57777777777777772</v>
      </c>
      <c r="G227" s="2">
        <v>43.145937000000004</v>
      </c>
      <c r="H227" s="2">
        <f t="shared" si="68"/>
        <v>0.11380027987311775</v>
      </c>
      <c r="I227" s="2">
        <v>12.5</v>
      </c>
      <c r="J227" s="4">
        <f t="shared" si="69"/>
        <v>9.8814229249011856E-2</v>
      </c>
      <c r="K227" s="2">
        <v>0</v>
      </c>
      <c r="L227" s="4">
        <f t="shared" si="70"/>
        <v>0</v>
      </c>
      <c r="M227" s="2">
        <v>5943</v>
      </c>
      <c r="N227" s="2">
        <f t="shared" si="71"/>
        <v>2.6988024773719796E-2</v>
      </c>
      <c r="O227" s="2">
        <v>0.56994384200000003</v>
      </c>
      <c r="P227" s="2">
        <f t="shared" si="72"/>
        <v>0.5809429886844899</v>
      </c>
      <c r="Q227" s="2">
        <v>0.15090000000000001</v>
      </c>
      <c r="R227" s="2">
        <f t="shared" si="73"/>
        <v>0.27764910248986685</v>
      </c>
      <c r="S227" s="2">
        <f t="shared" si="74"/>
        <v>1.84577459734525E-2</v>
      </c>
      <c r="T227" s="5">
        <f t="shared" si="75"/>
        <v>4.8208222089386785E-2</v>
      </c>
      <c r="U227" s="2" t="str">
        <f t="shared" si="76"/>
        <v>No Impact</v>
      </c>
      <c r="V227" s="2">
        <f t="shared" si="77"/>
        <v>1.1937628254892316E-2</v>
      </c>
      <c r="W227" s="2">
        <f t="shared" si="78"/>
        <v>2.8956321131317148E-2</v>
      </c>
      <c r="X227" s="2" t="s">
        <v>1176</v>
      </c>
      <c r="Y227" s="2">
        <f t="shared" si="79"/>
        <v>2.4977863692012683E-2</v>
      </c>
      <c r="Z227" s="2">
        <f t="shared" si="80"/>
        <v>6.3845412784361774E-2</v>
      </c>
      <c r="AA227" s="2" t="str">
        <f t="shared" si="81"/>
        <v>No Impact</v>
      </c>
      <c r="AB227" s="2">
        <f t="shared" si="82"/>
        <v>1.2077655115963169E-2</v>
      </c>
      <c r="AC227" s="2">
        <f t="shared" si="83"/>
        <v>4.3881727207475886E-2</v>
      </c>
      <c r="AD227" s="2" t="str">
        <f t="shared" si="84"/>
        <v>No Impact</v>
      </c>
      <c r="AE227" s="2">
        <f t="shared" si="85"/>
        <v>1.1603603404201509E-3</v>
      </c>
      <c r="AF227" s="2">
        <f t="shared" si="86"/>
        <v>8.8397593121356827E-3</v>
      </c>
      <c r="AG227" s="2" t="s">
        <v>1176</v>
      </c>
    </row>
    <row r="228" spans="1:33" x14ac:dyDescent="0.3">
      <c r="A228">
        <v>304842</v>
      </c>
      <c r="B228" t="s">
        <v>464</v>
      </c>
      <c r="C228" t="s">
        <v>454</v>
      </c>
      <c r="D228" t="s">
        <v>465</v>
      </c>
      <c r="E228" s="13">
        <v>5.7</v>
      </c>
      <c r="F228" s="14">
        <f t="shared" si="67"/>
        <v>0.55555555555555558</v>
      </c>
      <c r="G228" s="2">
        <v>42.9418224</v>
      </c>
      <c r="H228" s="2">
        <f t="shared" si="68"/>
        <v>0.111594996511407</v>
      </c>
      <c r="I228" s="2">
        <v>13.3</v>
      </c>
      <c r="J228" s="4">
        <f t="shared" si="69"/>
        <v>0.10513833992094862</v>
      </c>
      <c r="K228" s="2">
        <v>0</v>
      </c>
      <c r="L228" s="4">
        <f t="shared" si="70"/>
        <v>0</v>
      </c>
      <c r="M228" s="2">
        <v>9163</v>
      </c>
      <c r="N228" s="2">
        <f t="shared" si="71"/>
        <v>4.222320004920678E-2</v>
      </c>
      <c r="O228" s="2">
        <v>0.22518833299999999</v>
      </c>
      <c r="P228" s="2">
        <f t="shared" si="72"/>
        <v>0.18268482572574052</v>
      </c>
      <c r="Q228" s="2">
        <v>0.24829999999999999</v>
      </c>
      <c r="R228" s="2">
        <f t="shared" si="73"/>
        <v>0.55964099594672845</v>
      </c>
      <c r="S228" s="2">
        <f t="shared" si="74"/>
        <v>1.5641767560510392E-2</v>
      </c>
      <c r="T228" s="5">
        <f t="shared" si="75"/>
        <v>4.0853406776331549E-2</v>
      </c>
      <c r="U228" s="2" t="str">
        <f t="shared" si="76"/>
        <v>No Impact</v>
      </c>
      <c r="V228" s="2">
        <f t="shared" si="77"/>
        <v>2.35847228275285E-2</v>
      </c>
      <c r="W228" s="2">
        <f t="shared" si="78"/>
        <v>5.7207913783639749E-2</v>
      </c>
      <c r="X228" s="2" t="s">
        <v>1176</v>
      </c>
      <c r="Y228" s="2">
        <f t="shared" si="79"/>
        <v>7.6988122934922836E-3</v>
      </c>
      <c r="Z228" s="2">
        <f t="shared" si="80"/>
        <v>1.9678778573225798E-2</v>
      </c>
      <c r="AA228" s="2" t="str">
        <f t="shared" si="81"/>
        <v>No Impact</v>
      </c>
      <c r="AB228" s="2">
        <f t="shared" si="82"/>
        <v>1.1187084977758013E-2</v>
      </c>
      <c r="AC228" s="2">
        <f t="shared" si="83"/>
        <v>4.0646019987107374E-2</v>
      </c>
      <c r="AD228" s="2" t="str">
        <f t="shared" si="84"/>
        <v>No Impact</v>
      </c>
      <c r="AE228" s="2">
        <f t="shared" si="85"/>
        <v>1.7793951430724365E-3</v>
      </c>
      <c r="AF228" s="2">
        <f t="shared" si="86"/>
        <v>1.3555638053131119E-2</v>
      </c>
      <c r="AG228" s="2" t="s">
        <v>1176</v>
      </c>
    </row>
    <row r="229" spans="1:33" x14ac:dyDescent="0.3">
      <c r="A229">
        <v>304845</v>
      </c>
      <c r="B229" t="s">
        <v>466</v>
      </c>
      <c r="C229" t="s">
        <v>454</v>
      </c>
      <c r="D229" t="s">
        <v>467</v>
      </c>
      <c r="E229" s="13">
        <v>6.3</v>
      </c>
      <c r="F229" s="14">
        <f t="shared" si="67"/>
        <v>0.68888888888888877</v>
      </c>
      <c r="G229" s="2">
        <v>42.9418224</v>
      </c>
      <c r="H229" s="2">
        <f t="shared" si="68"/>
        <v>0.111594996511407</v>
      </c>
      <c r="I229" s="2">
        <v>13.2</v>
      </c>
      <c r="J229" s="4">
        <f t="shared" si="69"/>
        <v>0.10434782608695652</v>
      </c>
      <c r="K229" s="2">
        <v>0</v>
      </c>
      <c r="L229" s="4">
        <f t="shared" si="70"/>
        <v>0</v>
      </c>
      <c r="M229" s="2">
        <v>30895</v>
      </c>
      <c r="N229" s="2">
        <f t="shared" si="71"/>
        <v>0.14504643889606489</v>
      </c>
      <c r="O229" s="2">
        <v>0.16234143100000001</v>
      </c>
      <c r="P229" s="2">
        <f t="shared" si="72"/>
        <v>0.1100847045245778</v>
      </c>
      <c r="Q229" s="2">
        <v>0.23419999999999999</v>
      </c>
      <c r="R229" s="2">
        <f t="shared" si="73"/>
        <v>0.51881876085697742</v>
      </c>
      <c r="S229" s="2">
        <f t="shared" si="74"/>
        <v>1.6372311173353107E-2</v>
      </c>
      <c r="T229" s="5">
        <f t="shared" si="75"/>
        <v>4.2761451712292765E-2</v>
      </c>
      <c r="U229" s="2" t="str">
        <f t="shared" si="76"/>
        <v>No Impact</v>
      </c>
      <c r="V229" s="2">
        <f t="shared" si="77"/>
        <v>2.7012928574564117E-2</v>
      </c>
      <c r="W229" s="2">
        <f t="shared" si="78"/>
        <v>6.552348739640558E-2</v>
      </c>
      <c r="X229" s="2" t="s">
        <v>1176</v>
      </c>
      <c r="Y229" s="2">
        <f t="shared" si="79"/>
        <v>5.7316937721420937E-3</v>
      </c>
      <c r="Z229" s="2">
        <f t="shared" si="80"/>
        <v>1.4650666660215104E-2</v>
      </c>
      <c r="AA229" s="2" t="str">
        <f t="shared" si="81"/>
        <v>No Impact</v>
      </c>
      <c r="AB229" s="2">
        <f t="shared" si="82"/>
        <v>1.3817239751941403E-2</v>
      </c>
      <c r="AC229" s="2">
        <f t="shared" si="83"/>
        <v>5.0202157598754328E-2</v>
      </c>
      <c r="AD229" s="2" t="str">
        <f t="shared" si="84"/>
        <v>No Impact</v>
      </c>
      <c r="AE229" s="2">
        <f t="shared" si="85"/>
        <v>7.5520189120038177E-3</v>
      </c>
      <c r="AF229" s="2">
        <f t="shared" si="86"/>
        <v>5.7532153743412452E-2</v>
      </c>
      <c r="AG229" s="2" t="s">
        <v>1176</v>
      </c>
    </row>
    <row r="230" spans="1:33" x14ac:dyDescent="0.3">
      <c r="A230">
        <v>304849</v>
      </c>
      <c r="B230" t="s">
        <v>468</v>
      </c>
      <c r="C230" t="s">
        <v>454</v>
      </c>
      <c r="D230" t="s">
        <v>469</v>
      </c>
      <c r="E230" s="13">
        <v>6.3</v>
      </c>
      <c r="F230" s="14">
        <f t="shared" si="67"/>
        <v>0.68888888888888877</v>
      </c>
      <c r="G230" s="2">
        <v>42.9418224</v>
      </c>
      <c r="H230" s="2">
        <f t="shared" si="68"/>
        <v>0.111594996511407</v>
      </c>
      <c r="I230" s="2">
        <v>13.3</v>
      </c>
      <c r="J230" s="4">
        <f t="shared" si="69"/>
        <v>0.10513833992094862</v>
      </c>
      <c r="K230" s="2">
        <v>0</v>
      </c>
      <c r="L230" s="4">
        <f t="shared" si="70"/>
        <v>0</v>
      </c>
      <c r="M230" s="2">
        <v>49962</v>
      </c>
      <c r="N230" s="2">
        <f t="shared" si="71"/>
        <v>0.23526044106305566</v>
      </c>
      <c r="O230" s="2">
        <v>0.20890495000000001</v>
      </c>
      <c r="P230" s="2">
        <f t="shared" si="72"/>
        <v>0.16387442232089247</v>
      </c>
      <c r="Q230" s="2">
        <v>0.2334</v>
      </c>
      <c r="R230" s="2">
        <f t="shared" si="73"/>
        <v>0.51650260567458017</v>
      </c>
      <c r="S230" s="2">
        <f t="shared" si="74"/>
        <v>1.7777168432298558E-2</v>
      </c>
      <c r="T230" s="5">
        <f t="shared" si="75"/>
        <v>4.6430679300565908E-2</v>
      </c>
      <c r="U230" s="2" t="str">
        <f t="shared" si="76"/>
        <v>No Impact</v>
      </c>
      <c r="V230" s="2">
        <f t="shared" si="77"/>
        <v>2.6990781402041093E-2</v>
      </c>
      <c r="W230" s="2">
        <f t="shared" si="78"/>
        <v>6.5469766454017836E-2</v>
      </c>
      <c r="X230" s="2" t="s">
        <v>1176</v>
      </c>
      <c r="Y230" s="2">
        <f t="shared" si="79"/>
        <v>8.5635554625560269E-3</v>
      </c>
      <c r="Z230" s="2">
        <f t="shared" si="80"/>
        <v>2.1889131118266975E-2</v>
      </c>
      <c r="AA230" s="2" t="str">
        <f t="shared" si="81"/>
        <v>No Impact</v>
      </c>
      <c r="AB230" s="2">
        <f t="shared" si="82"/>
        <v>1.6318726646666528E-2</v>
      </c>
      <c r="AC230" s="2">
        <f t="shared" si="83"/>
        <v>5.9290806386408497E-2</v>
      </c>
      <c r="AD230" s="2" t="str">
        <f t="shared" si="84"/>
        <v>No Impact</v>
      </c>
      <c r="AE230" s="2">
        <f t="shared" si="85"/>
        <v>1.2293961477672402E-2</v>
      </c>
      <c r="AF230" s="2">
        <f t="shared" si="86"/>
        <v>9.3656820790636447E-2</v>
      </c>
      <c r="AG230" s="2" t="s">
        <v>1175</v>
      </c>
    </row>
    <row r="231" spans="1:33" x14ac:dyDescent="0.3">
      <c r="A231">
        <v>304854</v>
      </c>
      <c r="B231" t="s">
        <v>470</v>
      </c>
      <c r="C231" t="s">
        <v>454</v>
      </c>
      <c r="D231" t="s">
        <v>471</v>
      </c>
      <c r="E231" s="13">
        <v>6.3</v>
      </c>
      <c r="F231" s="14">
        <f t="shared" si="67"/>
        <v>0.68888888888888877</v>
      </c>
      <c r="G231" s="2">
        <v>48.521116800000001</v>
      </c>
      <c r="H231" s="2">
        <f t="shared" si="68"/>
        <v>0.17187449200269331</v>
      </c>
      <c r="I231" s="2">
        <v>13.7</v>
      </c>
      <c r="J231" s="4">
        <f t="shared" si="69"/>
        <v>0.108300395256917</v>
      </c>
      <c r="K231" s="2">
        <v>0</v>
      </c>
      <c r="L231" s="4">
        <f t="shared" si="70"/>
        <v>0</v>
      </c>
      <c r="M231" s="2">
        <v>20678</v>
      </c>
      <c r="N231" s="2">
        <f t="shared" si="71"/>
        <v>9.670551163219826E-2</v>
      </c>
      <c r="O231" s="2">
        <v>0.395461795</v>
      </c>
      <c r="P231" s="2">
        <f t="shared" si="72"/>
        <v>0.379383049268113</v>
      </c>
      <c r="Q231" s="2">
        <v>0.26650000000000001</v>
      </c>
      <c r="R231" s="2">
        <f t="shared" si="73"/>
        <v>0.61233352634626526</v>
      </c>
      <c r="S231" s="2">
        <f t="shared" si="74"/>
        <v>3.3496852949597332E-2</v>
      </c>
      <c r="T231" s="5">
        <f t="shared" si="75"/>
        <v>8.7487590771500257E-2</v>
      </c>
      <c r="U231" s="2" t="str">
        <f t="shared" si="76"/>
        <v>No Impact</v>
      </c>
      <c r="V231" s="2">
        <f t="shared" si="77"/>
        <v>4.1365137162141935E-2</v>
      </c>
      <c r="W231" s="2">
        <f t="shared" si="78"/>
        <v>0.10033669751921484</v>
      </c>
      <c r="X231" s="2" t="s">
        <v>1176</v>
      </c>
      <c r="Y231" s="2">
        <f t="shared" si="79"/>
        <v>2.5628568737052729E-2</v>
      </c>
      <c r="Z231" s="2">
        <f t="shared" si="80"/>
        <v>6.5508666804549795E-2</v>
      </c>
      <c r="AA231" s="2" t="str">
        <f t="shared" si="81"/>
        <v>No Impact</v>
      </c>
      <c r="AB231" s="2">
        <f t="shared" si="82"/>
        <v>2.4452839649474433E-2</v>
      </c>
      <c r="AC231" s="2">
        <f t="shared" si="83"/>
        <v>8.8844467625851326E-2</v>
      </c>
      <c r="AD231" s="2" t="str">
        <f t="shared" si="84"/>
        <v>No Impact</v>
      </c>
      <c r="AE231" s="2">
        <f t="shared" si="85"/>
        <v>6.5327743474541044E-3</v>
      </c>
      <c r="AF231" s="2">
        <f t="shared" si="86"/>
        <v>4.9767430737143861E-2</v>
      </c>
      <c r="AG231" s="2" t="s">
        <v>1176</v>
      </c>
    </row>
    <row r="232" spans="1:33" x14ac:dyDescent="0.3">
      <c r="A232">
        <v>304859</v>
      </c>
      <c r="B232" t="s">
        <v>472</v>
      </c>
      <c r="C232" t="s">
        <v>454</v>
      </c>
      <c r="D232" t="s">
        <v>473</v>
      </c>
      <c r="E232" s="13">
        <v>5.9</v>
      </c>
      <c r="F232" s="14">
        <f t="shared" si="67"/>
        <v>0.60000000000000009</v>
      </c>
      <c r="G232" s="2">
        <v>43.145937000000004</v>
      </c>
      <c r="H232" s="2">
        <f t="shared" si="68"/>
        <v>0.11380027987311775</v>
      </c>
      <c r="I232" s="2">
        <v>11.8</v>
      </c>
      <c r="J232" s="4">
        <f t="shared" si="69"/>
        <v>9.3280632411067196E-2</v>
      </c>
      <c r="K232" s="2">
        <v>0</v>
      </c>
      <c r="L232" s="4">
        <f t="shared" si="70"/>
        <v>0</v>
      </c>
      <c r="M232" s="2">
        <v>2267</v>
      </c>
      <c r="N232" s="2">
        <f t="shared" si="71"/>
        <v>9.595321571020993E-3</v>
      </c>
      <c r="O232" s="2">
        <v>0.181822136</v>
      </c>
      <c r="P232" s="2">
        <f t="shared" si="72"/>
        <v>0.13258862276201289</v>
      </c>
      <c r="Q232" s="2">
        <v>0.1447</v>
      </c>
      <c r="R232" s="2">
        <f t="shared" si="73"/>
        <v>0.25969889982628835</v>
      </c>
      <c r="S232" s="2">
        <f t="shared" si="74"/>
        <v>8.5297020958052649E-3</v>
      </c>
      <c r="T232" s="5">
        <f t="shared" si="75"/>
        <v>2.2278005861729459E-2</v>
      </c>
      <c r="U232" s="2" t="str">
        <f t="shared" si="76"/>
        <v>No Impact</v>
      </c>
      <c r="V232" s="2">
        <f t="shared" si="77"/>
        <v>1.1293523869997662E-2</v>
      </c>
      <c r="W232" s="2">
        <f t="shared" si="78"/>
        <v>2.7393959411479245E-2</v>
      </c>
      <c r="X232" s="2" t="s">
        <v>1176</v>
      </c>
      <c r="Y232" s="2">
        <f t="shared" si="79"/>
        <v>5.7658803216128684E-3</v>
      </c>
      <c r="Z232" s="2">
        <f t="shared" si="80"/>
        <v>1.4738050208686168E-2</v>
      </c>
      <c r="AA232" s="2" t="str">
        <f t="shared" si="81"/>
        <v>No Impact</v>
      </c>
      <c r="AB232" s="2">
        <f t="shared" si="82"/>
        <v>5.8285425349101977E-3</v>
      </c>
      <c r="AC232" s="2">
        <f t="shared" si="83"/>
        <v>2.1176835327583573E-2</v>
      </c>
      <c r="AD232" s="2" t="str">
        <f t="shared" si="84"/>
        <v>No Impact</v>
      </c>
      <c r="AE232" s="2">
        <f t="shared" si="85"/>
        <v>4.1727166836330072E-4</v>
      </c>
      <c r="AF232" s="2">
        <f t="shared" si="86"/>
        <v>3.1788238425740183E-3</v>
      </c>
      <c r="AG232" s="2" t="s">
        <v>1176</v>
      </c>
    </row>
    <row r="233" spans="1:33" x14ac:dyDescent="0.3">
      <c r="A233">
        <v>304876</v>
      </c>
      <c r="B233" t="s">
        <v>474</v>
      </c>
      <c r="C233" t="s">
        <v>454</v>
      </c>
      <c r="D233" t="s">
        <v>475</v>
      </c>
      <c r="E233" s="13">
        <v>6.2</v>
      </c>
      <c r="F233" s="14">
        <f t="shared" si="67"/>
        <v>0.66666666666666663</v>
      </c>
      <c r="G233" s="2">
        <v>40.294764000000001</v>
      </c>
      <c r="H233" s="2">
        <f t="shared" si="68"/>
        <v>8.2995798575558444E-2</v>
      </c>
      <c r="I233" s="2">
        <v>12.5</v>
      </c>
      <c r="J233" s="4">
        <f t="shared" si="69"/>
        <v>9.8814229249011856E-2</v>
      </c>
      <c r="K233" s="2">
        <v>0</v>
      </c>
      <c r="L233" s="4">
        <f t="shared" si="70"/>
        <v>0</v>
      </c>
      <c r="M233" s="2">
        <v>6692</v>
      </c>
      <c r="N233" s="2">
        <f t="shared" si="71"/>
        <v>3.0531859022583072E-2</v>
      </c>
      <c r="O233" s="2">
        <v>0.36259102199999999</v>
      </c>
      <c r="P233" s="2">
        <f t="shared" si="72"/>
        <v>0.34141105657106791</v>
      </c>
      <c r="Q233" s="2">
        <v>0.16830000000000001</v>
      </c>
      <c r="R233" s="2">
        <f t="shared" si="73"/>
        <v>0.32802547770700641</v>
      </c>
      <c r="S233" s="2">
        <f t="shared" si="74"/>
        <v>1.4199532074452738E-2</v>
      </c>
      <c r="T233" s="5">
        <f t="shared" si="75"/>
        <v>3.708655416512633E-2</v>
      </c>
      <c r="U233" s="2" t="str">
        <f t="shared" si="76"/>
        <v>No Impact</v>
      </c>
      <c r="V233" s="2">
        <f t="shared" si="77"/>
        <v>1.3915608286785052E-2</v>
      </c>
      <c r="W233" s="2">
        <f t="shared" si="78"/>
        <v>3.3754177436764288E-2</v>
      </c>
      <c r="X233" s="2" t="s">
        <v>1176</v>
      </c>
      <c r="Y233" s="2">
        <f t="shared" si="79"/>
        <v>1.4483455862120419E-2</v>
      </c>
      <c r="Z233" s="2">
        <f t="shared" si="80"/>
        <v>3.7020868936716148E-2</v>
      </c>
      <c r="AA233" s="2" t="str">
        <f t="shared" si="81"/>
        <v>No Impact</v>
      </c>
      <c r="AB233" s="2">
        <f t="shared" si="82"/>
        <v>9.6688311736494812E-3</v>
      </c>
      <c r="AC233" s="2">
        <f t="shared" si="83"/>
        <v>3.5129750593427968E-2</v>
      </c>
      <c r="AD233" s="2" t="str">
        <f t="shared" si="84"/>
        <v>No Impact</v>
      </c>
      <c r="AE233" s="2">
        <f t="shared" si="85"/>
        <v>1.2952328989673935E-3</v>
      </c>
      <c r="AF233" s="2">
        <f t="shared" si="86"/>
        <v>9.867234066174466E-3</v>
      </c>
      <c r="AG233" s="2" t="s">
        <v>1176</v>
      </c>
    </row>
    <row r="234" spans="1:33" x14ac:dyDescent="0.3">
      <c r="A234">
        <v>304879</v>
      </c>
      <c r="B234" t="s">
        <v>476</v>
      </c>
      <c r="C234" t="s">
        <v>454</v>
      </c>
      <c r="D234" t="s">
        <v>477</v>
      </c>
      <c r="E234" s="13">
        <v>6.3</v>
      </c>
      <c r="F234" s="14">
        <f t="shared" si="67"/>
        <v>0.68888888888888877</v>
      </c>
      <c r="G234" s="2">
        <v>50.718592800000003</v>
      </c>
      <c r="H234" s="2">
        <f t="shared" si="68"/>
        <v>0.19561633732173758</v>
      </c>
      <c r="I234" s="2">
        <v>16.2</v>
      </c>
      <c r="J234" s="4">
        <f t="shared" si="69"/>
        <v>0.12806324110671935</v>
      </c>
      <c r="K234" s="2">
        <v>0</v>
      </c>
      <c r="L234" s="4">
        <f t="shared" si="70"/>
        <v>0</v>
      </c>
      <c r="M234" s="2">
        <v>22012</v>
      </c>
      <c r="N234" s="2">
        <f t="shared" si="71"/>
        <v>0.10301722710347144</v>
      </c>
      <c r="O234" s="2">
        <v>0.24983388400000001</v>
      </c>
      <c r="P234" s="2">
        <f t="shared" si="72"/>
        <v>0.21115512311079601</v>
      </c>
      <c r="Q234" s="2">
        <v>0.25629999999999997</v>
      </c>
      <c r="R234" s="2">
        <f t="shared" si="73"/>
        <v>0.58280254777070062</v>
      </c>
      <c r="S234" s="2">
        <f t="shared" si="74"/>
        <v>3.0981317150893792E-2</v>
      </c>
      <c r="T234" s="5">
        <f t="shared" si="75"/>
        <v>8.0917476054777893E-2</v>
      </c>
      <c r="U234" s="2" t="str">
        <f t="shared" si="76"/>
        <v>No Impact</v>
      </c>
      <c r="V234" s="2">
        <f t="shared" si="77"/>
        <v>4.5483509338189843E-2</v>
      </c>
      <c r="W234" s="2">
        <f t="shared" si="78"/>
        <v>0.11032636252817941</v>
      </c>
      <c r="X234" s="2" t="s">
        <v>1176</v>
      </c>
      <c r="Y234" s="2">
        <f t="shared" si="79"/>
        <v>1.6479124963597741E-2</v>
      </c>
      <c r="Z234" s="2">
        <f t="shared" si="80"/>
        <v>4.212195841081557E-2</v>
      </c>
      <c r="AA234" s="2" t="str">
        <f t="shared" si="81"/>
        <v>No Impact</v>
      </c>
      <c r="AB234" s="2">
        <f t="shared" si="82"/>
        <v>2.3676877192986601E-2</v>
      </c>
      <c r="AC234" s="2">
        <f t="shared" si="83"/>
        <v>8.6025164332959897E-2</v>
      </c>
      <c r="AD234" s="2" t="str">
        <f t="shared" si="84"/>
        <v>No Impact</v>
      </c>
      <c r="AE234" s="2">
        <f t="shared" si="85"/>
        <v>8.0397469586881033E-3</v>
      </c>
      <c r="AF234" s="2">
        <f t="shared" si="86"/>
        <v>6.1247722426935422E-2</v>
      </c>
      <c r="AG234" s="2" t="s">
        <v>1175</v>
      </c>
    </row>
    <row r="235" spans="1:33" x14ac:dyDescent="0.3">
      <c r="A235">
        <v>304892</v>
      </c>
      <c r="B235" t="s">
        <v>478</v>
      </c>
      <c r="C235" t="s">
        <v>454</v>
      </c>
      <c r="D235" t="s">
        <v>479</v>
      </c>
      <c r="E235" s="13">
        <v>6.3</v>
      </c>
      <c r="F235" s="14">
        <f t="shared" si="67"/>
        <v>0.68888888888888877</v>
      </c>
      <c r="G235" s="2">
        <v>40.959219599999997</v>
      </c>
      <c r="H235" s="2">
        <f t="shared" si="68"/>
        <v>9.0174672008793963E-2</v>
      </c>
      <c r="I235" s="2">
        <v>13.3</v>
      </c>
      <c r="J235" s="4">
        <f t="shared" si="69"/>
        <v>0.10513833992094862</v>
      </c>
      <c r="K235" s="2">
        <v>0</v>
      </c>
      <c r="L235" s="4">
        <f t="shared" si="70"/>
        <v>0</v>
      </c>
      <c r="M235" s="2">
        <v>17053</v>
      </c>
      <c r="N235" s="2">
        <f t="shared" si="71"/>
        <v>7.9554110895042884E-2</v>
      </c>
      <c r="O235" s="2">
        <v>0.33179571400000002</v>
      </c>
      <c r="P235" s="2">
        <f t="shared" si="72"/>
        <v>0.30583662056741046</v>
      </c>
      <c r="Q235" s="2">
        <v>0.2074</v>
      </c>
      <c r="R235" s="2">
        <f t="shared" si="73"/>
        <v>0.44122756224667059</v>
      </c>
      <c r="S235" s="2">
        <f t="shared" si="74"/>
        <v>1.7590424542280138E-2</v>
      </c>
      <c r="T235" s="5">
        <f t="shared" si="75"/>
        <v>4.5942938764056612E-2</v>
      </c>
      <c r="U235" s="2" t="str">
        <f t="shared" si="76"/>
        <v>No Impact</v>
      </c>
      <c r="V235" s="2">
        <f t="shared" si="77"/>
        <v>2.0778348951058772E-2</v>
      </c>
      <c r="W235" s="2">
        <f t="shared" si="78"/>
        <v>5.0400676914934807E-2</v>
      </c>
      <c r="X235" s="2" t="s">
        <v>1176</v>
      </c>
      <c r="Y235" s="2">
        <f t="shared" si="79"/>
        <v>1.4402500133501497E-2</v>
      </c>
      <c r="Z235" s="2">
        <f t="shared" si="80"/>
        <v>3.681393963424795E-2</v>
      </c>
      <c r="AA235" s="2" t="str">
        <f t="shared" si="81"/>
        <v>No Impact</v>
      </c>
      <c r="AB235" s="2">
        <f t="shared" si="82"/>
        <v>1.2904402763068305E-2</v>
      </c>
      <c r="AC235" s="2">
        <f t="shared" si="83"/>
        <v>4.6885548261426963E-2</v>
      </c>
      <c r="AD235" s="2" t="str">
        <f t="shared" si="84"/>
        <v>No Impact</v>
      </c>
      <c r="AE235" s="2">
        <f t="shared" si="85"/>
        <v>3.746373114706528E-3</v>
      </c>
      <c r="AF235" s="2">
        <f t="shared" si="86"/>
        <v>2.8540303795173281E-2</v>
      </c>
      <c r="AG235" s="2" t="s">
        <v>1176</v>
      </c>
    </row>
    <row r="236" spans="1:33" x14ac:dyDescent="0.3">
      <c r="A236">
        <v>305440</v>
      </c>
      <c r="B236" t="s">
        <v>480</v>
      </c>
      <c r="C236" t="s">
        <v>481</v>
      </c>
      <c r="D236" t="s">
        <v>482</v>
      </c>
      <c r="E236" s="13">
        <v>6.4</v>
      </c>
      <c r="F236" s="14">
        <f t="shared" si="67"/>
        <v>0.71111111111111114</v>
      </c>
      <c r="G236" s="2">
        <v>71.776979999999995</v>
      </c>
      <c r="H236" s="2">
        <f t="shared" si="68"/>
        <v>0.42313416758288314</v>
      </c>
      <c r="I236" s="2">
        <v>35.4</v>
      </c>
      <c r="J236" s="4">
        <f t="shared" si="69"/>
        <v>0.27984189723320158</v>
      </c>
      <c r="K236" s="2">
        <v>0</v>
      </c>
      <c r="L236" s="4">
        <f t="shared" si="70"/>
        <v>0</v>
      </c>
      <c r="M236" s="2">
        <v>17400</v>
      </c>
      <c r="N236" s="2">
        <f t="shared" si="71"/>
        <v>8.1195913944916792E-2</v>
      </c>
      <c r="O236" s="2">
        <v>0.31231489699999998</v>
      </c>
      <c r="P236" s="2">
        <f t="shared" si="72"/>
        <v>0.28333257294868014</v>
      </c>
      <c r="Q236" s="2">
        <v>0.2969</v>
      </c>
      <c r="R236" s="2">
        <f t="shared" si="73"/>
        <v>0.70034742327735966</v>
      </c>
      <c r="S236" s="2">
        <f t="shared" si="74"/>
        <v>8.6053767991057378E-2</v>
      </c>
      <c r="T236" s="5">
        <f t="shared" si="75"/>
        <v>0.22475654204517614</v>
      </c>
      <c r="U236" s="2" t="str">
        <f t="shared" si="76"/>
        <v>Low</v>
      </c>
      <c r="V236" s="2">
        <f t="shared" si="77"/>
        <v>0.12253483837643454</v>
      </c>
      <c r="W236" s="2">
        <f t="shared" si="78"/>
        <v>0.29722471281914531</v>
      </c>
      <c r="X236" s="2" t="s">
        <v>1175</v>
      </c>
      <c r="Y236" s="2">
        <f t="shared" si="79"/>
        <v>4.9572697605680213E-2</v>
      </c>
      <c r="Z236" s="2">
        <f t="shared" si="80"/>
        <v>0.12671177089020158</v>
      </c>
      <c r="AA236" s="2" t="str">
        <f t="shared" si="81"/>
        <v>No Impact</v>
      </c>
      <c r="AB236" s="2">
        <f t="shared" si="82"/>
        <v>6.2731199014154831E-2</v>
      </c>
      <c r="AC236" s="2">
        <f t="shared" si="83"/>
        <v>0.22792117642924564</v>
      </c>
      <c r="AD236" s="2" t="str">
        <f t="shared" si="84"/>
        <v>Low</v>
      </c>
      <c r="AE236" s="2">
        <f t="shared" si="85"/>
        <v>1.4206275144853384E-2</v>
      </c>
      <c r="AF236" s="2">
        <f t="shared" si="86"/>
        <v>0.10822504753739562</v>
      </c>
      <c r="AG236" s="2" t="s">
        <v>1175</v>
      </c>
    </row>
    <row r="237" spans="1:33" x14ac:dyDescent="0.3">
      <c r="A237">
        <v>305454</v>
      </c>
      <c r="B237" t="s">
        <v>483</v>
      </c>
      <c r="C237" t="s">
        <v>481</v>
      </c>
      <c r="D237" t="s">
        <v>484</v>
      </c>
      <c r="E237" s="13">
        <v>6.4</v>
      </c>
      <c r="F237" s="14">
        <f t="shared" si="67"/>
        <v>0.71111111111111114</v>
      </c>
      <c r="G237" s="2">
        <v>71.776979999999995</v>
      </c>
      <c r="H237" s="2">
        <f t="shared" si="68"/>
        <v>0.42313416758288314</v>
      </c>
      <c r="I237" s="2">
        <v>36.5</v>
      </c>
      <c r="J237" s="4">
        <f t="shared" si="69"/>
        <v>0.28853754940711462</v>
      </c>
      <c r="K237" s="2">
        <v>0</v>
      </c>
      <c r="L237" s="4">
        <f t="shared" si="70"/>
        <v>0</v>
      </c>
      <c r="M237" s="2">
        <v>27938</v>
      </c>
      <c r="N237" s="2">
        <f t="shared" si="71"/>
        <v>0.1310556273154391</v>
      </c>
      <c r="O237" s="2">
        <v>0.34327026199999999</v>
      </c>
      <c r="P237" s="2">
        <f t="shared" si="72"/>
        <v>0.31909190521976383</v>
      </c>
      <c r="Q237" s="2">
        <v>0.29870000000000002</v>
      </c>
      <c r="R237" s="2">
        <f t="shared" si="73"/>
        <v>0.70555877243775345</v>
      </c>
      <c r="S237" s="2">
        <f t="shared" si="74"/>
        <v>9.0746743992612108E-2</v>
      </c>
      <c r="T237" s="5">
        <f t="shared" si="75"/>
        <v>0.23701372825136352</v>
      </c>
      <c r="U237" s="2" t="str">
        <f t="shared" si="76"/>
        <v>Low</v>
      </c>
      <c r="V237" s="2">
        <f t="shared" si="77"/>
        <v>0.12497363772895709</v>
      </c>
      <c r="W237" s="2">
        <f t="shared" si="78"/>
        <v>0.30314034829703429</v>
      </c>
      <c r="X237" s="2" t="str">
        <f t="shared" ref="X237:X239" si="88">IF(W237&gt;0.7,"High",IF(W237&gt;0.3,"Moderate",IF(W237&gt;0.15,"Low","No Impact")))</f>
        <v>Moderate</v>
      </c>
      <c r="Y237" s="2">
        <f t="shared" si="79"/>
        <v>5.6519850256267115E-2</v>
      </c>
      <c r="Z237" s="2">
        <f t="shared" si="80"/>
        <v>0.14446924743510434</v>
      </c>
      <c r="AA237" s="2" t="str">
        <f t="shared" si="81"/>
        <v>No Impact</v>
      </c>
      <c r="AB237" s="2">
        <f t="shared" si="82"/>
        <v>6.8821458206150585E-2</v>
      </c>
      <c r="AC237" s="2">
        <f t="shared" si="83"/>
        <v>0.25004890651592043</v>
      </c>
      <c r="AD237" s="2" t="str">
        <f t="shared" si="84"/>
        <v>Low</v>
      </c>
      <c r="AE237" s="2">
        <f t="shared" si="85"/>
        <v>2.3213514068958527E-2</v>
      </c>
      <c r="AF237" s="2">
        <f t="shared" si="86"/>
        <v>0.17684323568329471</v>
      </c>
      <c r="AG237" s="2" t="s">
        <v>1175</v>
      </c>
    </row>
    <row r="238" spans="1:33" x14ac:dyDescent="0.3">
      <c r="A238">
        <v>305480</v>
      </c>
      <c r="B238" t="s">
        <v>485</v>
      </c>
      <c r="C238" t="s">
        <v>481</v>
      </c>
      <c r="D238" t="s">
        <v>486</v>
      </c>
      <c r="E238" s="13">
        <v>6.4</v>
      </c>
      <c r="F238" s="14">
        <f t="shared" si="67"/>
        <v>0.71111111111111114</v>
      </c>
      <c r="G238" s="2">
        <v>68.518198799999993</v>
      </c>
      <c r="H238" s="2">
        <f t="shared" si="68"/>
        <v>0.3879258289348117</v>
      </c>
      <c r="I238" s="2">
        <v>39.6</v>
      </c>
      <c r="J238" s="4">
        <f t="shared" si="69"/>
        <v>0.31304347826086959</v>
      </c>
      <c r="K238" s="2">
        <v>0</v>
      </c>
      <c r="L238" s="4">
        <f t="shared" si="70"/>
        <v>0</v>
      </c>
      <c r="M238" s="2">
        <v>12683</v>
      </c>
      <c r="N238" s="2">
        <f t="shared" si="71"/>
        <v>5.8877801592596271E-2</v>
      </c>
      <c r="O238" s="2">
        <v>0.55463829200000003</v>
      </c>
      <c r="P238" s="2">
        <f t="shared" si="72"/>
        <v>0.56326216831484843</v>
      </c>
      <c r="Q238" s="2">
        <v>0.29010000000000002</v>
      </c>
      <c r="R238" s="2">
        <f t="shared" si="73"/>
        <v>0.68066010422698331</v>
      </c>
      <c r="S238" s="2">
        <f t="shared" si="74"/>
        <v>0.10850949929106624</v>
      </c>
      <c r="T238" s="5">
        <f t="shared" si="75"/>
        <v>0.28340676310940782</v>
      </c>
      <c r="U238" s="2" t="str">
        <f t="shared" si="76"/>
        <v>Low</v>
      </c>
      <c r="V238" s="2">
        <f t="shared" si="77"/>
        <v>0.11875032504427024</v>
      </c>
      <c r="W238" s="2">
        <f t="shared" si="78"/>
        <v>0.28804486728936096</v>
      </c>
      <c r="X238" s="2" t="s">
        <v>1175</v>
      </c>
      <c r="Y238" s="2">
        <f t="shared" si="79"/>
        <v>9.8268673537862228E-2</v>
      </c>
      <c r="Z238" s="2">
        <f t="shared" si="80"/>
        <v>0.25118257122216486</v>
      </c>
      <c r="AA238" s="2" t="str">
        <f t="shared" si="81"/>
        <v>Low</v>
      </c>
      <c r="AB238" s="2">
        <f t="shared" si="82"/>
        <v>7.46384248184742E-2</v>
      </c>
      <c r="AC238" s="2">
        <f t="shared" si="83"/>
        <v>0.2711836830603841</v>
      </c>
      <c r="AD238" s="2" t="str">
        <f t="shared" si="84"/>
        <v>Low</v>
      </c>
      <c r="AE238" s="2">
        <f t="shared" si="85"/>
        <v>1.0272025690345561E-2</v>
      </c>
      <c r="AF238" s="2">
        <f t="shared" si="86"/>
        <v>7.8253480050732224E-2</v>
      </c>
      <c r="AG238" s="2" t="s">
        <v>1175</v>
      </c>
    </row>
    <row r="239" spans="1:33" x14ac:dyDescent="0.3">
      <c r="A239">
        <v>305487</v>
      </c>
      <c r="B239" t="s">
        <v>487</v>
      </c>
      <c r="C239" t="s">
        <v>481</v>
      </c>
      <c r="D239" t="s">
        <v>488</v>
      </c>
      <c r="E239" s="13">
        <v>6.4</v>
      </c>
      <c r="F239" s="14">
        <f t="shared" si="67"/>
        <v>0.71111111111111114</v>
      </c>
      <c r="G239" s="2">
        <v>71.776979999999995</v>
      </c>
      <c r="H239" s="2">
        <f t="shared" si="68"/>
        <v>0.42313416758288314</v>
      </c>
      <c r="I239" s="2">
        <v>39.799999999999997</v>
      </c>
      <c r="J239" s="4">
        <f t="shared" si="69"/>
        <v>0.31462450592885371</v>
      </c>
      <c r="K239" s="2">
        <v>0</v>
      </c>
      <c r="L239" s="4">
        <f t="shared" si="70"/>
        <v>0</v>
      </c>
      <c r="M239" s="2">
        <v>29231</v>
      </c>
      <c r="N239" s="2">
        <f t="shared" si="71"/>
        <v>0.13717335453009893</v>
      </c>
      <c r="O239" s="2">
        <v>0.50431269899999998</v>
      </c>
      <c r="P239" s="2">
        <f t="shared" si="72"/>
        <v>0.50512653974686605</v>
      </c>
      <c r="Q239" s="2">
        <v>0.31619999999999998</v>
      </c>
      <c r="R239" s="2">
        <f t="shared" si="73"/>
        <v>0.75622466705269253</v>
      </c>
      <c r="S239" s="2">
        <f t="shared" si="74"/>
        <v>0.11580461426001948</v>
      </c>
      <c r="T239" s="5">
        <f t="shared" si="75"/>
        <v>0.30246025550748995</v>
      </c>
      <c r="U239" s="2" t="str">
        <f t="shared" si="76"/>
        <v>Moderate</v>
      </c>
      <c r="V239" s="2">
        <f t="shared" si="77"/>
        <v>0.13885792535792157</v>
      </c>
      <c r="W239" s="2">
        <f t="shared" si="78"/>
        <v>0.33681855327038024</v>
      </c>
      <c r="X239" s="2" t="str">
        <f t="shared" si="88"/>
        <v>Moderate</v>
      </c>
      <c r="Y239" s="2">
        <f t="shared" si="79"/>
        <v>9.2751303162117354E-2</v>
      </c>
      <c r="Z239" s="2">
        <f t="shared" si="80"/>
        <v>0.23707973226575388</v>
      </c>
      <c r="AA239" s="2" t="str">
        <f t="shared" si="81"/>
        <v>Low</v>
      </c>
      <c r="AB239" s="2">
        <f t="shared" si="82"/>
        <v>8.5241381751702899E-2</v>
      </c>
      <c r="AC239" s="2">
        <f t="shared" si="83"/>
        <v>0.30970739145155984</v>
      </c>
      <c r="AD239" s="2" t="str">
        <f t="shared" si="84"/>
        <v>Moderate</v>
      </c>
      <c r="AE239" s="2">
        <f t="shared" si="85"/>
        <v>2.5187762650843271E-2</v>
      </c>
      <c r="AF239" s="2">
        <f t="shared" si="86"/>
        <v>0.19188328977534272</v>
      </c>
      <c r="AG239" s="2" t="s">
        <v>1175</v>
      </c>
    </row>
    <row r="240" spans="1:33" x14ac:dyDescent="0.3">
      <c r="A240">
        <v>305610</v>
      </c>
      <c r="B240" t="s">
        <v>1174</v>
      </c>
      <c r="C240" t="s">
        <v>489</v>
      </c>
      <c r="D240" t="s">
        <v>1144</v>
      </c>
      <c r="E240" s="13">
        <v>5.5</v>
      </c>
      <c r="F240" s="14">
        <f t="shared" si="67"/>
        <v>0.51111111111111107</v>
      </c>
      <c r="G240" s="2">
        <v>64.612133999999998</v>
      </c>
      <c r="H240" s="2">
        <f t="shared" si="68"/>
        <v>0.34572414560003883</v>
      </c>
      <c r="I240" s="2">
        <v>19.899999999999999</v>
      </c>
      <c r="J240" s="4">
        <f t="shared" si="69"/>
        <v>0.15731225296442686</v>
      </c>
      <c r="K240" s="2">
        <v>0</v>
      </c>
      <c r="L240" s="4">
        <f t="shared" si="70"/>
        <v>0</v>
      </c>
      <c r="M240" s="2">
        <v>80319</v>
      </c>
      <c r="N240" s="2">
        <f t="shared" si="71"/>
        <v>0.37889218511211104</v>
      </c>
      <c r="O240" s="2">
        <v>0.64021672100000004</v>
      </c>
      <c r="P240" s="2">
        <f t="shared" si="72"/>
        <v>0.66212152525825207</v>
      </c>
      <c r="Q240" s="2">
        <v>0.22500000000000001</v>
      </c>
      <c r="R240" s="2">
        <f t="shared" si="73"/>
        <v>0.49218297625940943</v>
      </c>
      <c r="S240" s="2">
        <f t="shared" si="74"/>
        <v>5.1936558814289678E-2</v>
      </c>
      <c r="T240" s="5">
        <f t="shared" si="75"/>
        <v>0.13564869543003297</v>
      </c>
      <c r="U240" s="2" t="str">
        <f t="shared" si="76"/>
        <v>No Impact</v>
      </c>
      <c r="V240" s="2">
        <f t="shared" si="77"/>
        <v>4.4290375824195545E-2</v>
      </c>
      <c r="W240" s="2">
        <f t="shared" si="78"/>
        <v>0.10743225689462554</v>
      </c>
      <c r="X240" s="2" t="s">
        <v>1176</v>
      </c>
      <c r="Y240" s="2">
        <f t="shared" si="79"/>
        <v>5.9582741804383825E-2</v>
      </c>
      <c r="Z240" s="2">
        <f t="shared" si="80"/>
        <v>0.1522982426452022</v>
      </c>
      <c r="AA240" s="2" t="str">
        <f t="shared" si="81"/>
        <v>Low</v>
      </c>
      <c r="AB240" s="2">
        <f t="shared" si="82"/>
        <v>4.5309916490554721E-2</v>
      </c>
      <c r="AC240" s="2">
        <f t="shared" si="83"/>
        <v>0.16462445533852904</v>
      </c>
      <c r="AD240" s="2" t="str">
        <f t="shared" si="84"/>
        <v>Low</v>
      </c>
      <c r="AE240" s="2">
        <f t="shared" si="85"/>
        <v>3.4095606887917518E-2</v>
      </c>
      <c r="AF240" s="2">
        <f t="shared" si="86"/>
        <v>0.25974427769674946</v>
      </c>
      <c r="AG240" s="2" t="s">
        <v>1175</v>
      </c>
    </row>
    <row r="241" spans="1:33" x14ac:dyDescent="0.3">
      <c r="A241">
        <v>305622</v>
      </c>
      <c r="B241" t="s">
        <v>490</v>
      </c>
      <c r="C241" t="s">
        <v>489</v>
      </c>
      <c r="D241" t="s">
        <v>491</v>
      </c>
      <c r="E241" s="13">
        <v>5.9</v>
      </c>
      <c r="F241" s="14">
        <f t="shared" si="67"/>
        <v>0.60000000000000009</v>
      </c>
      <c r="G241" s="2">
        <v>56.867212799999997</v>
      </c>
      <c r="H241" s="2">
        <f t="shared" si="68"/>
        <v>0.26204690810639308</v>
      </c>
      <c r="I241" s="2">
        <v>28.5</v>
      </c>
      <c r="J241" s="4">
        <f t="shared" si="69"/>
        <v>0.22529644268774704</v>
      </c>
      <c r="K241" s="2">
        <v>0</v>
      </c>
      <c r="L241" s="4">
        <f t="shared" si="70"/>
        <v>0</v>
      </c>
      <c r="M241" s="2">
        <v>22617</v>
      </c>
      <c r="N241" s="2">
        <f t="shared" si="71"/>
        <v>0.10587973674374151</v>
      </c>
      <c r="O241" s="2">
        <v>0.43239641699999998</v>
      </c>
      <c r="P241" s="2">
        <f t="shared" si="72"/>
        <v>0.42204956023979351</v>
      </c>
      <c r="Q241" s="2">
        <v>0.2913</v>
      </c>
      <c r="R241" s="2">
        <f t="shared" si="73"/>
        <v>0.68413433700057913</v>
      </c>
      <c r="S241" s="2">
        <f t="shared" si="74"/>
        <v>5.660459354294263E-2</v>
      </c>
      <c r="T241" s="5">
        <f t="shared" si="75"/>
        <v>0.14784073963973984</v>
      </c>
      <c r="U241" s="2" t="str">
        <f t="shared" si="76"/>
        <v>No Impact</v>
      </c>
      <c r="V241" s="2">
        <f t="shared" si="77"/>
        <v>7.0015747239309853E-2</v>
      </c>
      <c r="W241" s="2">
        <f t="shared" si="78"/>
        <v>0.16983260141977646</v>
      </c>
      <c r="X241" s="2" t="s">
        <v>1176</v>
      </c>
      <c r="Y241" s="2">
        <f t="shared" si="79"/>
        <v>4.31934398465754E-2</v>
      </c>
      <c r="Z241" s="2">
        <f t="shared" si="80"/>
        <v>0.11040587900489476</v>
      </c>
      <c r="AA241" s="2" t="str">
        <f t="shared" si="81"/>
        <v>No Impact</v>
      </c>
      <c r="AB241" s="2">
        <f t="shared" si="82"/>
        <v>4.1256127735644459E-2</v>
      </c>
      <c r="AC241" s="2">
        <f t="shared" si="83"/>
        <v>0.14989583040333032</v>
      </c>
      <c r="AD241" s="2" t="str">
        <f t="shared" si="84"/>
        <v>No Impact</v>
      </c>
      <c r="AE241" s="2">
        <f t="shared" si="85"/>
        <v>1.0835954994038251E-2</v>
      </c>
      <c r="AF241" s="2">
        <f t="shared" si="86"/>
        <v>8.2549558725653713E-2</v>
      </c>
      <c r="AG241" s="2" t="s">
        <v>1175</v>
      </c>
    </row>
    <row r="242" spans="1:33" x14ac:dyDescent="0.3">
      <c r="A242">
        <v>305628</v>
      </c>
      <c r="B242" t="s">
        <v>492</v>
      </c>
      <c r="C242" t="s">
        <v>489</v>
      </c>
      <c r="D242" t="s">
        <v>493</v>
      </c>
      <c r="E242" s="13">
        <v>5.9</v>
      </c>
      <c r="F242" s="14">
        <f t="shared" si="67"/>
        <v>0.60000000000000009</v>
      </c>
      <c r="G242" s="2">
        <v>65.392603199999996</v>
      </c>
      <c r="H242" s="2">
        <f t="shared" si="68"/>
        <v>0.35415644657746848</v>
      </c>
      <c r="I242" s="2">
        <v>29.7</v>
      </c>
      <c r="J242" s="4">
        <f t="shared" si="69"/>
        <v>0.23478260869565218</v>
      </c>
      <c r="K242" s="2">
        <v>0</v>
      </c>
      <c r="L242" s="4">
        <f t="shared" si="70"/>
        <v>0</v>
      </c>
      <c r="M242" s="2">
        <v>12495</v>
      </c>
      <c r="N242" s="2">
        <f t="shared" si="71"/>
        <v>5.7988294464710696E-2</v>
      </c>
      <c r="O242" s="2">
        <v>0.55128769600000005</v>
      </c>
      <c r="P242" s="2">
        <f t="shared" si="72"/>
        <v>0.55939159286952056</v>
      </c>
      <c r="Q242" s="2">
        <v>0.25540000000000002</v>
      </c>
      <c r="R242" s="2">
        <f t="shared" si="73"/>
        <v>0.58019687319050384</v>
      </c>
      <c r="S242" s="2">
        <f t="shared" si="74"/>
        <v>7.047055623316123E-2</v>
      </c>
      <c r="T242" s="5">
        <f t="shared" si="75"/>
        <v>0.18405607220605838</v>
      </c>
      <c r="U242" s="2" t="str">
        <f t="shared" si="76"/>
        <v>Low</v>
      </c>
      <c r="V242" s="2">
        <f t="shared" si="77"/>
        <v>7.1757125657539125E-2</v>
      </c>
      <c r="W242" s="2">
        <f t="shared" si="78"/>
        <v>0.17405654872427784</v>
      </c>
      <c r="X242" s="2" t="s">
        <v>1176</v>
      </c>
      <c r="Y242" s="2">
        <f t="shared" si="79"/>
        <v>6.9183986808783335E-2</v>
      </c>
      <c r="Z242" s="2">
        <f t="shared" si="80"/>
        <v>0.17683979103813779</v>
      </c>
      <c r="AA242" s="2" t="str">
        <f t="shared" si="81"/>
        <v>Low</v>
      </c>
      <c r="AB242" s="2">
        <f t="shared" si="82"/>
        <v>4.8380330517656236E-2</v>
      </c>
      <c r="AC242" s="2">
        <f t="shared" si="83"/>
        <v>0.17578018626954356</v>
      </c>
      <c r="AD242" s="2" t="str">
        <f t="shared" si="84"/>
        <v>Low</v>
      </c>
      <c r="AE242" s="2">
        <f t="shared" si="85"/>
        <v>7.1718299853787129E-3</v>
      </c>
      <c r="AF242" s="2">
        <f t="shared" si="86"/>
        <v>5.4635830517397815E-2</v>
      </c>
      <c r="AG242" s="2" t="s">
        <v>1176</v>
      </c>
    </row>
    <row r="243" spans="1:33" x14ac:dyDescent="0.3">
      <c r="A243">
        <v>305646</v>
      </c>
      <c r="B243" t="s">
        <v>494</v>
      </c>
      <c r="C243" t="s">
        <v>489</v>
      </c>
      <c r="D243" t="s">
        <v>495</v>
      </c>
      <c r="E243" s="13">
        <v>5.9</v>
      </c>
      <c r="F243" s="14">
        <f t="shared" si="67"/>
        <v>0.60000000000000009</v>
      </c>
      <c r="G243" s="2">
        <v>65.392603199999996</v>
      </c>
      <c r="H243" s="2">
        <f t="shared" si="68"/>
        <v>0.35415644657746848</v>
      </c>
      <c r="I243" s="2">
        <v>31</v>
      </c>
      <c r="J243" s="4">
        <f t="shared" si="69"/>
        <v>0.24505928853754941</v>
      </c>
      <c r="K243" s="2">
        <v>0</v>
      </c>
      <c r="L243" s="4">
        <f t="shared" si="70"/>
        <v>0</v>
      </c>
      <c r="M243" s="2">
        <v>45062</v>
      </c>
      <c r="N243" s="2">
        <f t="shared" si="71"/>
        <v>0.21207647868731458</v>
      </c>
      <c r="O243" s="2">
        <v>0.41765406700000002</v>
      </c>
      <c r="P243" s="2">
        <f t="shared" si="72"/>
        <v>0.40501934295414338</v>
      </c>
      <c r="Q243" s="2">
        <v>0.2591</v>
      </c>
      <c r="R243" s="2">
        <f t="shared" si="73"/>
        <v>0.59090909090909094</v>
      </c>
      <c r="S243" s="2">
        <f t="shared" si="74"/>
        <v>6.266147880502719E-2</v>
      </c>
      <c r="T243" s="5">
        <f t="shared" si="75"/>
        <v>0.16366020482820182</v>
      </c>
      <c r="U243" s="2" t="str">
        <f t="shared" si="76"/>
        <v>Low</v>
      </c>
      <c r="V243" s="2">
        <f t="shared" si="77"/>
        <v>7.4357225311999953E-2</v>
      </c>
      <c r="W243" s="2">
        <f t="shared" si="78"/>
        <v>0.18036343975492616</v>
      </c>
      <c r="X243" s="2" t="s">
        <v>1176</v>
      </c>
      <c r="Y243" s="2">
        <f t="shared" si="79"/>
        <v>5.09657322980544E-2</v>
      </c>
      <c r="Z243" s="2">
        <f t="shared" si="80"/>
        <v>0.13027247872551606</v>
      </c>
      <c r="AA243" s="2" t="str">
        <f t="shared" si="81"/>
        <v>No Impact</v>
      </c>
      <c r="AB243" s="2">
        <f t="shared" si="82"/>
        <v>5.0655096434792241E-2</v>
      </c>
      <c r="AC243" s="2">
        <f t="shared" si="83"/>
        <v>0.18404509005079922</v>
      </c>
      <c r="AD243" s="2" t="str">
        <f t="shared" si="84"/>
        <v>Low</v>
      </c>
      <c r="AE243" s="2">
        <f t="shared" si="85"/>
        <v>2.6686708246216967E-2</v>
      </c>
      <c r="AF243" s="2">
        <f t="shared" si="86"/>
        <v>0.20330243072968768</v>
      </c>
      <c r="AG243" s="2" t="s">
        <v>1175</v>
      </c>
    </row>
    <row r="244" spans="1:33" x14ac:dyDescent="0.3">
      <c r="A244">
        <v>305670</v>
      </c>
      <c r="B244" t="s">
        <v>496</v>
      </c>
      <c r="C244" t="s">
        <v>489</v>
      </c>
      <c r="D244" t="s">
        <v>497</v>
      </c>
      <c r="E244" s="13">
        <v>5.9</v>
      </c>
      <c r="F244" s="14">
        <f t="shared" si="67"/>
        <v>0.60000000000000009</v>
      </c>
      <c r="G244" s="2">
        <v>63.413305200000003</v>
      </c>
      <c r="H244" s="2">
        <f t="shared" si="68"/>
        <v>0.33277182760720736</v>
      </c>
      <c r="I244" s="2">
        <v>32.299999999999997</v>
      </c>
      <c r="J244" s="4">
        <f t="shared" si="69"/>
        <v>0.25533596837944661</v>
      </c>
      <c r="K244" s="2">
        <v>0</v>
      </c>
      <c r="L244" s="4">
        <f t="shared" si="70"/>
        <v>0</v>
      </c>
      <c r="M244" s="2">
        <v>15842</v>
      </c>
      <c r="N244" s="2">
        <f t="shared" si="71"/>
        <v>7.3824360193609745E-2</v>
      </c>
      <c r="O244" s="2">
        <v>0.54290676999999998</v>
      </c>
      <c r="P244" s="2">
        <f t="shared" si="72"/>
        <v>0.54971002983276207</v>
      </c>
      <c r="Q244" s="2">
        <v>0.26490000000000002</v>
      </c>
      <c r="R244" s="2">
        <f t="shared" si="73"/>
        <v>0.60770121598147087</v>
      </c>
      <c r="S244" s="2">
        <f t="shared" si="74"/>
        <v>7.1471670566727472E-2</v>
      </c>
      <c r="T244" s="5">
        <f t="shared" si="75"/>
        <v>0.18667079787184901</v>
      </c>
      <c r="U244" s="2" t="str">
        <f t="shared" si="76"/>
        <v>Low</v>
      </c>
      <c r="V244" s="2">
        <f t="shared" si="77"/>
        <v>7.5052702777347213E-2</v>
      </c>
      <c r="W244" s="2">
        <f t="shared" si="78"/>
        <v>0.18205041378328365</v>
      </c>
      <c r="X244" s="2" t="s">
        <v>1176</v>
      </c>
      <c r="Y244" s="2">
        <f t="shared" si="79"/>
        <v>6.789063835610773E-2</v>
      </c>
      <c r="Z244" s="2">
        <f t="shared" si="80"/>
        <v>0.17353388918627144</v>
      </c>
      <c r="AA244" s="2" t="str">
        <f t="shared" si="81"/>
        <v>Low</v>
      </c>
      <c r="AB244" s="2">
        <f t="shared" si="82"/>
        <v>4.9826763588527612E-2</v>
      </c>
      <c r="AC244" s="2">
        <f t="shared" si="83"/>
        <v>0.18103550949498967</v>
      </c>
      <c r="AD244" s="2" t="str">
        <f t="shared" si="84"/>
        <v>Low</v>
      </c>
      <c r="AE244" s="2">
        <f t="shared" si="85"/>
        <v>9.1175031703536278E-3</v>
      </c>
      <c r="AF244" s="2">
        <f t="shared" si="86"/>
        <v>6.9458193929979692E-2</v>
      </c>
      <c r="AG244" s="2" t="s">
        <v>1175</v>
      </c>
    </row>
    <row r="245" spans="1:33" x14ac:dyDescent="0.3">
      <c r="A245">
        <v>305678</v>
      </c>
      <c r="B245" t="s">
        <v>498</v>
      </c>
      <c r="C245" t="s">
        <v>489</v>
      </c>
      <c r="D245" t="s">
        <v>499</v>
      </c>
      <c r="E245" s="13">
        <v>5.9</v>
      </c>
      <c r="F245" s="14">
        <f t="shared" si="67"/>
        <v>0.60000000000000009</v>
      </c>
      <c r="G245" s="2">
        <v>55.682654399999997</v>
      </c>
      <c r="H245" s="2">
        <f t="shared" si="68"/>
        <v>0.24924876955827038</v>
      </c>
      <c r="I245" s="2">
        <v>31.2</v>
      </c>
      <c r="J245" s="4">
        <f t="shared" si="69"/>
        <v>0.24664031620553359</v>
      </c>
      <c r="K245" s="2">
        <v>0</v>
      </c>
      <c r="L245" s="4">
        <f t="shared" si="70"/>
        <v>0</v>
      </c>
      <c r="M245" s="2">
        <v>16520</v>
      </c>
      <c r="N245" s="2">
        <f t="shared" si="71"/>
        <v>7.7032263559069419E-2</v>
      </c>
      <c r="O245" s="2">
        <v>0.50426728499999995</v>
      </c>
      <c r="P245" s="2">
        <f t="shared" si="72"/>
        <v>0.50507407794207848</v>
      </c>
      <c r="Q245" s="2">
        <v>0.24349999999999999</v>
      </c>
      <c r="R245" s="2">
        <f t="shared" si="73"/>
        <v>0.54574406485234517</v>
      </c>
      <c r="S245" s="2">
        <f t="shared" si="74"/>
        <v>5.4714371054106245E-2</v>
      </c>
      <c r="T245" s="5">
        <f t="shared" si="75"/>
        <v>0.14290382775075616</v>
      </c>
      <c r="U245" s="2" t="str">
        <f t="shared" si="76"/>
        <v>No Impact</v>
      </c>
      <c r="V245" s="2">
        <f t="shared" si="77"/>
        <v>5.6831990329936841E-2</v>
      </c>
      <c r="W245" s="2">
        <f t="shared" si="78"/>
        <v>0.13785362782185301</v>
      </c>
      <c r="X245" s="2" t="s">
        <v>1176</v>
      </c>
      <c r="Y245" s="2">
        <f t="shared" si="79"/>
        <v>5.2596751778275656E-2</v>
      </c>
      <c r="Z245" s="2">
        <f t="shared" si="80"/>
        <v>0.13444149466931593</v>
      </c>
      <c r="AA245" s="2" t="str">
        <f t="shared" si="81"/>
        <v>No Impact</v>
      </c>
      <c r="AB245" s="2">
        <f t="shared" si="82"/>
        <v>3.8477882367131407E-2</v>
      </c>
      <c r="AC245" s="2">
        <f t="shared" si="83"/>
        <v>0.13980163544528854</v>
      </c>
      <c r="AD245" s="2" t="str">
        <f t="shared" si="84"/>
        <v>No Impact</v>
      </c>
      <c r="AE245" s="2">
        <f t="shared" si="85"/>
        <v>8.0218863376308996E-3</v>
      </c>
      <c r="AF245" s="2">
        <f t="shared" si="86"/>
        <v>6.111165814947677E-2</v>
      </c>
      <c r="AG245" s="2" t="s">
        <v>1175</v>
      </c>
    </row>
    <row r="246" spans="1:33" x14ac:dyDescent="0.3">
      <c r="A246">
        <v>305682</v>
      </c>
      <c r="B246" t="s">
        <v>500</v>
      </c>
      <c r="C246" t="s">
        <v>489</v>
      </c>
      <c r="D246" t="s">
        <v>501</v>
      </c>
      <c r="E246" s="13">
        <v>5.9</v>
      </c>
      <c r="F246" s="14">
        <f t="shared" si="67"/>
        <v>0.60000000000000009</v>
      </c>
      <c r="G246" s="2">
        <v>65.392603199999996</v>
      </c>
      <c r="H246" s="2">
        <f t="shared" si="68"/>
        <v>0.35415644657746848</v>
      </c>
      <c r="I246" s="2">
        <v>29.2</v>
      </c>
      <c r="J246" s="4">
        <f t="shared" si="69"/>
        <v>0.2308300395256917</v>
      </c>
      <c r="K246" s="2">
        <v>0</v>
      </c>
      <c r="L246" s="4">
        <f t="shared" si="70"/>
        <v>0</v>
      </c>
      <c r="M246" s="2">
        <v>54363</v>
      </c>
      <c r="N246" s="2">
        <f t="shared" si="71"/>
        <v>0.25608342441318555</v>
      </c>
      <c r="O246" s="2">
        <v>0.50357364800000004</v>
      </c>
      <c r="P246" s="2">
        <f t="shared" si="72"/>
        <v>0.50427279532245772</v>
      </c>
      <c r="Q246" s="2">
        <v>0.27460000000000001</v>
      </c>
      <c r="R246" s="2">
        <f t="shared" si="73"/>
        <v>0.63578459756803718</v>
      </c>
      <c r="S246" s="2">
        <f t="shared" si="74"/>
        <v>7.0026407663408757E-2</v>
      </c>
      <c r="T246" s="5">
        <f t="shared" si="75"/>
        <v>0.18289603820612649</v>
      </c>
      <c r="U246" s="2" t="str">
        <f t="shared" si="76"/>
        <v>Low</v>
      </c>
      <c r="V246" s="2">
        <f t="shared" si="77"/>
        <v>7.8104333506465951E-2</v>
      </c>
      <c r="W246" s="2">
        <f t="shared" si="78"/>
        <v>0.1894525540979097</v>
      </c>
      <c r="X246" s="2" t="s">
        <v>1176</v>
      </c>
      <c r="Y246" s="2">
        <f t="shared" si="79"/>
        <v>6.1948481820351557E-2</v>
      </c>
      <c r="Z246" s="2">
        <f t="shared" si="80"/>
        <v>0.15834526290771736</v>
      </c>
      <c r="AA246" s="2" t="str">
        <f t="shared" si="81"/>
        <v>Low</v>
      </c>
      <c r="AB246" s="2">
        <f t="shared" si="82"/>
        <v>5.6931753954228469E-2</v>
      </c>
      <c r="AC246" s="2">
        <f t="shared" si="83"/>
        <v>0.20685006091626246</v>
      </c>
      <c r="AD246" s="2" t="str">
        <f t="shared" si="84"/>
        <v>Low</v>
      </c>
      <c r="AE246" s="2">
        <f t="shared" si="85"/>
        <v>3.1459121945314063E-2</v>
      </c>
      <c r="AF246" s="2">
        <f t="shared" si="86"/>
        <v>0.23965923039648956</v>
      </c>
      <c r="AG246" s="2" t="s">
        <v>1175</v>
      </c>
    </row>
    <row r="247" spans="1:33" x14ac:dyDescent="0.3">
      <c r="A247">
        <v>305924</v>
      </c>
      <c r="B247" t="s">
        <v>502</v>
      </c>
      <c r="C247" t="s">
        <v>503</v>
      </c>
      <c r="D247" t="s">
        <v>504</v>
      </c>
      <c r="E247" s="13">
        <v>5.2</v>
      </c>
      <c r="F247" s="14">
        <f t="shared" si="67"/>
        <v>0.44444444444444442</v>
      </c>
      <c r="G247" s="2">
        <v>63.413305200000003</v>
      </c>
      <c r="H247" s="2">
        <f t="shared" si="68"/>
        <v>0.33277182760720736</v>
      </c>
      <c r="I247" s="2">
        <v>32.799999999999997</v>
      </c>
      <c r="J247" s="4">
        <f t="shared" si="69"/>
        <v>0.25928853754940712</v>
      </c>
      <c r="K247" s="2">
        <v>0</v>
      </c>
      <c r="L247" s="4">
        <f t="shared" si="70"/>
        <v>0</v>
      </c>
      <c r="M247" s="2">
        <v>21467</v>
      </c>
      <c r="N247" s="2">
        <f t="shared" si="71"/>
        <v>0.10043860271678187</v>
      </c>
      <c r="O247" s="2">
        <v>0.49729267300000002</v>
      </c>
      <c r="P247" s="2">
        <f t="shared" si="72"/>
        <v>0.49701707496473074</v>
      </c>
      <c r="Q247" s="2">
        <v>0.2291</v>
      </c>
      <c r="R247" s="2">
        <f t="shared" si="73"/>
        <v>0.50405327156919522</v>
      </c>
      <c r="S247" s="2">
        <f t="shared" si="74"/>
        <v>4.6098428049048255E-2</v>
      </c>
      <c r="T247" s="5">
        <f t="shared" si="75"/>
        <v>0.1204005765685837</v>
      </c>
      <c r="U247" s="2" t="str">
        <f t="shared" si="76"/>
        <v>No Impact</v>
      </c>
      <c r="V247" s="2">
        <f t="shared" si="77"/>
        <v>4.6422438848122374E-2</v>
      </c>
      <c r="W247" s="2">
        <f t="shared" si="78"/>
        <v>0.11260386219802668</v>
      </c>
      <c r="X247" s="2" t="s">
        <v>1176</v>
      </c>
      <c r="Y247" s="2">
        <f t="shared" si="79"/>
        <v>4.5774417249974136E-2</v>
      </c>
      <c r="Z247" s="2">
        <f t="shared" si="80"/>
        <v>0.11700306320523117</v>
      </c>
      <c r="AA247" s="2" t="str">
        <f t="shared" si="81"/>
        <v>No Impact</v>
      </c>
      <c r="AB247" s="2">
        <f t="shared" si="82"/>
        <v>3.3217756632074609E-2</v>
      </c>
      <c r="AC247" s="2">
        <f t="shared" si="83"/>
        <v>0.12069002807063316</v>
      </c>
      <c r="AD247" s="2" t="str">
        <f t="shared" si="84"/>
        <v>No Impact</v>
      </c>
      <c r="AE247" s="2">
        <f t="shared" si="85"/>
        <v>9.2502224578272438E-3</v>
      </c>
      <c r="AF247" s="2">
        <f t="shared" si="86"/>
        <v>7.0469264815873733E-2</v>
      </c>
      <c r="AG247" s="2" t="s">
        <v>1175</v>
      </c>
    </row>
    <row r="248" spans="1:33" x14ac:dyDescent="0.3">
      <c r="A248">
        <v>305944</v>
      </c>
      <c r="B248" t="s">
        <v>505</v>
      </c>
      <c r="C248" t="s">
        <v>503</v>
      </c>
      <c r="D248" t="s">
        <v>506</v>
      </c>
      <c r="E248" s="13">
        <v>5.2</v>
      </c>
      <c r="F248" s="14">
        <f t="shared" si="67"/>
        <v>0.44444444444444442</v>
      </c>
      <c r="G248" s="2">
        <v>61.975414800000003</v>
      </c>
      <c r="H248" s="2">
        <f t="shared" si="68"/>
        <v>0.31723665386126487</v>
      </c>
      <c r="I248" s="2">
        <v>26.8</v>
      </c>
      <c r="J248" s="4">
        <f t="shared" si="69"/>
        <v>0.21185770750988142</v>
      </c>
      <c r="K248" s="2">
        <v>0</v>
      </c>
      <c r="L248" s="4">
        <f t="shared" si="70"/>
        <v>0</v>
      </c>
      <c r="M248" s="2">
        <v>27501</v>
      </c>
      <c r="N248" s="2">
        <f t="shared" si="71"/>
        <v>0.12898799638519443</v>
      </c>
      <c r="O248" s="2">
        <v>0.60663896699999997</v>
      </c>
      <c r="P248" s="2">
        <f t="shared" si="72"/>
        <v>0.6233328350844255</v>
      </c>
      <c r="Q248" s="2">
        <v>0.24410000000000001</v>
      </c>
      <c r="R248" s="2">
        <f t="shared" si="73"/>
        <v>0.54748118123914313</v>
      </c>
      <c r="S248" s="2">
        <f t="shared" si="74"/>
        <v>4.8181085108419307E-2</v>
      </c>
      <c r="T248" s="5">
        <f t="shared" si="75"/>
        <v>0.12584009200013177</v>
      </c>
      <c r="U248" s="2" t="str">
        <f t="shared" si="76"/>
        <v>No Impact</v>
      </c>
      <c r="V248" s="2">
        <f t="shared" si="77"/>
        <v>4.5059654258958144E-2</v>
      </c>
      <c r="W248" s="2">
        <f t="shared" si="78"/>
        <v>0.1092982450893286</v>
      </c>
      <c r="X248" s="2" t="s">
        <v>1176</v>
      </c>
      <c r="Y248" s="2">
        <f t="shared" si="79"/>
        <v>5.1302515957880462E-2</v>
      </c>
      <c r="Z248" s="2">
        <f t="shared" si="80"/>
        <v>0.13113332463474803</v>
      </c>
      <c r="AA248" s="2" t="str">
        <f t="shared" si="81"/>
        <v>No Impact</v>
      </c>
      <c r="AB248" s="2">
        <f t="shared" si="82"/>
        <v>3.4877294063584426E-2</v>
      </c>
      <c r="AC248" s="2">
        <f t="shared" si="83"/>
        <v>0.12671962306741838</v>
      </c>
      <c r="AD248" s="2" t="str">
        <f t="shared" si="84"/>
        <v>No Impact</v>
      </c>
      <c r="AE248" s="2">
        <f t="shared" si="85"/>
        <v>1.0616172244528382E-2</v>
      </c>
      <c r="AF248" s="2">
        <f t="shared" si="86"/>
        <v>8.0875228313841141E-2</v>
      </c>
      <c r="AG248" s="2" t="s">
        <v>1175</v>
      </c>
    </row>
    <row r="249" spans="1:33" x14ac:dyDescent="0.3">
      <c r="A249">
        <v>305956</v>
      </c>
      <c r="B249" t="s">
        <v>507</v>
      </c>
      <c r="C249" t="s">
        <v>503</v>
      </c>
      <c r="D249" t="s">
        <v>508</v>
      </c>
      <c r="E249" s="13">
        <v>5.3</v>
      </c>
      <c r="F249" s="14">
        <f t="shared" si="67"/>
        <v>0.46666666666666656</v>
      </c>
      <c r="G249" s="2">
        <v>70.145726400000001</v>
      </c>
      <c r="H249" s="2">
        <f t="shared" si="68"/>
        <v>0.40550987014011974</v>
      </c>
      <c r="I249" s="2">
        <v>36.5</v>
      </c>
      <c r="J249" s="4">
        <f t="shared" si="69"/>
        <v>0.28853754940711462</v>
      </c>
      <c r="K249" s="2">
        <v>0</v>
      </c>
      <c r="L249" s="4">
        <f t="shared" si="70"/>
        <v>0</v>
      </c>
      <c r="M249" s="2">
        <v>39821</v>
      </c>
      <c r="N249" s="2">
        <f t="shared" si="71"/>
        <v>0.18727910178705767</v>
      </c>
      <c r="O249" s="2">
        <v>0.60621122999999999</v>
      </c>
      <c r="P249" s="2">
        <f t="shared" si="72"/>
        <v>0.62283871752168207</v>
      </c>
      <c r="Q249" s="2">
        <v>0.24479999999999999</v>
      </c>
      <c r="R249" s="2">
        <f t="shared" si="73"/>
        <v>0.54950781702374063</v>
      </c>
      <c r="S249" s="2">
        <f t="shared" si="74"/>
        <v>6.6449233781172096E-2</v>
      </c>
      <c r="T249" s="5">
        <f t="shared" si="75"/>
        <v>0.17355312097152753</v>
      </c>
      <c r="U249" s="2" t="str">
        <f t="shared" si="76"/>
        <v>Low</v>
      </c>
      <c r="V249" s="2">
        <f t="shared" si="77"/>
        <v>6.2292798796305615E-2</v>
      </c>
      <c r="W249" s="2">
        <f t="shared" si="78"/>
        <v>0.15109955240691342</v>
      </c>
      <c r="X249" s="2" t="s">
        <v>1176</v>
      </c>
      <c r="Y249" s="2">
        <f t="shared" si="79"/>
        <v>7.060566876603859E-2</v>
      </c>
      <c r="Z249" s="2">
        <f t="shared" si="80"/>
        <v>0.18047372356848732</v>
      </c>
      <c r="AA249" s="2" t="str">
        <f t="shared" si="81"/>
        <v>Low</v>
      </c>
      <c r="AB249" s="2">
        <f t="shared" si="82"/>
        <v>5.0414736545908188E-2</v>
      </c>
      <c r="AC249" s="2">
        <f t="shared" si="83"/>
        <v>0.18317179080733195</v>
      </c>
      <c r="AD249" s="2" t="str">
        <f t="shared" si="84"/>
        <v>Low</v>
      </c>
      <c r="AE249" s="2">
        <f t="shared" si="85"/>
        <v>2.1230160963970429E-2</v>
      </c>
      <c r="AF249" s="2">
        <f t="shared" si="86"/>
        <v>0.16173382228096875</v>
      </c>
      <c r="AG249" s="2" t="s">
        <v>1175</v>
      </c>
    </row>
    <row r="250" spans="1:33" x14ac:dyDescent="0.3">
      <c r="A250">
        <v>305974</v>
      </c>
      <c r="B250" t="s">
        <v>509</v>
      </c>
      <c r="C250" t="s">
        <v>503</v>
      </c>
      <c r="D250" t="s">
        <v>510</v>
      </c>
      <c r="E250" s="13">
        <v>5.2</v>
      </c>
      <c r="F250" s="14">
        <f t="shared" si="67"/>
        <v>0.44444444444444442</v>
      </c>
      <c r="G250" s="2">
        <v>61.975414800000003</v>
      </c>
      <c r="H250" s="2">
        <f t="shared" si="68"/>
        <v>0.31723665386126487</v>
      </c>
      <c r="I250" s="2">
        <v>32.6</v>
      </c>
      <c r="J250" s="4">
        <f t="shared" si="69"/>
        <v>0.25770750988142294</v>
      </c>
      <c r="K250" s="2">
        <v>0</v>
      </c>
      <c r="L250" s="4">
        <f t="shared" si="70"/>
        <v>0</v>
      </c>
      <c r="M250" s="2">
        <v>40362</v>
      </c>
      <c r="N250" s="2">
        <f t="shared" si="71"/>
        <v>0.18983880049017521</v>
      </c>
      <c r="O250" s="2">
        <v>0.63376100300000004</v>
      </c>
      <c r="P250" s="2">
        <f t="shared" si="72"/>
        <v>0.65466394351077739</v>
      </c>
      <c r="Q250" s="2">
        <v>0.25390000000000001</v>
      </c>
      <c r="R250" s="2">
        <f t="shared" si="73"/>
        <v>0.57585408222350909</v>
      </c>
      <c r="S250" s="2">
        <f t="shared" si="74"/>
        <v>5.5026156677030189E-2</v>
      </c>
      <c r="T250" s="5">
        <f t="shared" si="75"/>
        <v>0.14371815418995484</v>
      </c>
      <c r="U250" s="2" t="str">
        <f t="shared" si="76"/>
        <v>No Impact</v>
      </c>
      <c r="V250" s="2">
        <f t="shared" si="77"/>
        <v>5.1501946804281294E-2</v>
      </c>
      <c r="W250" s="2">
        <f t="shared" si="78"/>
        <v>0.12492489116852924</v>
      </c>
      <c r="X250" s="2" t="s">
        <v>1176</v>
      </c>
      <c r="Y250" s="2">
        <f t="shared" si="79"/>
        <v>5.8550366549779069E-2</v>
      </c>
      <c r="Z250" s="2">
        <f t="shared" si="80"/>
        <v>0.14965940911278611</v>
      </c>
      <c r="AA250" s="2" t="str">
        <f t="shared" si="81"/>
        <v>No Impact</v>
      </c>
      <c r="AB250" s="2">
        <f t="shared" si="82"/>
        <v>4.1533223356757951E-2</v>
      </c>
      <c r="AC250" s="2">
        <f t="shared" si="83"/>
        <v>0.15090260153061785</v>
      </c>
      <c r="AD250" s="2" t="str">
        <f t="shared" si="84"/>
        <v>Low</v>
      </c>
      <c r="AE250" s="2">
        <f t="shared" si="85"/>
        <v>1.6978377172359359E-2</v>
      </c>
      <c r="AF250" s="2">
        <f t="shared" si="86"/>
        <v>0.12934324147960097</v>
      </c>
      <c r="AG250" s="2" t="s">
        <v>1175</v>
      </c>
    </row>
    <row r="251" spans="1:33" x14ac:dyDescent="0.3">
      <c r="A251">
        <v>305984</v>
      </c>
      <c r="B251" t="s">
        <v>511</v>
      </c>
      <c r="C251" t="s">
        <v>503</v>
      </c>
      <c r="D251" t="s">
        <v>512</v>
      </c>
      <c r="E251" s="13">
        <v>5.2</v>
      </c>
      <c r="F251" s="14">
        <f t="shared" si="67"/>
        <v>0.44444444444444442</v>
      </c>
      <c r="G251" s="2">
        <v>70.145726400000001</v>
      </c>
      <c r="H251" s="2">
        <f t="shared" si="68"/>
        <v>0.40550987014011974</v>
      </c>
      <c r="I251" s="2">
        <v>34.5</v>
      </c>
      <c r="J251" s="4">
        <f t="shared" si="69"/>
        <v>0.27272727272727271</v>
      </c>
      <c r="K251" s="2">
        <v>0</v>
      </c>
      <c r="L251" s="4">
        <f t="shared" si="70"/>
        <v>0</v>
      </c>
      <c r="M251" s="2">
        <v>39492</v>
      </c>
      <c r="N251" s="2">
        <f t="shared" si="71"/>
        <v>0.18572246431325792</v>
      </c>
      <c r="O251" s="2">
        <v>0.41339350899999999</v>
      </c>
      <c r="P251" s="2">
        <f t="shared" si="72"/>
        <v>0.40009758838325643</v>
      </c>
      <c r="Q251" s="2">
        <v>0.254</v>
      </c>
      <c r="R251" s="2">
        <f t="shared" si="73"/>
        <v>0.57614360162130873</v>
      </c>
      <c r="S251" s="2">
        <f t="shared" si="74"/>
        <v>5.1498458313412397E-2</v>
      </c>
      <c r="T251" s="5">
        <f t="shared" si="75"/>
        <v>0.13450445786851595</v>
      </c>
      <c r="U251" s="2" t="str">
        <f t="shared" si="76"/>
        <v>No Impact</v>
      </c>
      <c r="V251" s="2">
        <f t="shared" si="77"/>
        <v>6.0785198482550207E-2</v>
      </c>
      <c r="W251" s="2">
        <f t="shared" si="78"/>
        <v>0.14744266530248498</v>
      </c>
      <c r="X251" s="2" t="s">
        <v>1176</v>
      </c>
      <c r="Y251" s="2">
        <f t="shared" si="79"/>
        <v>4.2211718144274601E-2</v>
      </c>
      <c r="Z251" s="2">
        <f t="shared" si="80"/>
        <v>0.10789651999422789</v>
      </c>
      <c r="AA251" s="2" t="str">
        <f t="shared" si="81"/>
        <v>No Impact</v>
      </c>
      <c r="AB251" s="2">
        <f t="shared" si="82"/>
        <v>4.0796368028334563E-2</v>
      </c>
      <c r="AC251" s="2">
        <f t="shared" si="83"/>
        <v>0.14822538611067154</v>
      </c>
      <c r="AD251" s="2" t="str">
        <f t="shared" si="84"/>
        <v>No Impact</v>
      </c>
      <c r="AE251" s="2">
        <f t="shared" si="85"/>
        <v>1.9594380331884601E-2</v>
      </c>
      <c r="AF251" s="2">
        <f t="shared" si="86"/>
        <v>0.1492722561868913</v>
      </c>
      <c r="AG251" s="2" t="s">
        <v>1175</v>
      </c>
    </row>
    <row r="252" spans="1:33" x14ac:dyDescent="0.3">
      <c r="A252">
        <v>305994</v>
      </c>
      <c r="B252" t="s">
        <v>513</v>
      </c>
      <c r="C252" t="s">
        <v>503</v>
      </c>
      <c r="D252" t="s">
        <v>514</v>
      </c>
      <c r="E252" s="13">
        <v>5.2</v>
      </c>
      <c r="F252" s="14">
        <f t="shared" si="67"/>
        <v>0.44444444444444442</v>
      </c>
      <c r="G252" s="2">
        <v>70.145726400000001</v>
      </c>
      <c r="H252" s="2">
        <f t="shared" si="68"/>
        <v>0.40550987014011974</v>
      </c>
      <c r="I252" s="2">
        <v>37.1</v>
      </c>
      <c r="J252" s="4">
        <f t="shared" si="69"/>
        <v>0.29328063241106722</v>
      </c>
      <c r="K252" s="2">
        <v>0</v>
      </c>
      <c r="L252" s="4">
        <f t="shared" si="70"/>
        <v>0</v>
      </c>
      <c r="M252" s="2">
        <v>26166</v>
      </c>
      <c r="N252" s="2">
        <f t="shared" si="71"/>
        <v>0.12267154949302825</v>
      </c>
      <c r="O252" s="2">
        <v>0.50702342499999997</v>
      </c>
      <c r="P252" s="2">
        <f t="shared" si="72"/>
        <v>0.50825794368055788</v>
      </c>
      <c r="Q252" s="2">
        <v>0.25559999999999999</v>
      </c>
      <c r="R252" s="2">
        <f t="shared" si="73"/>
        <v>0.58077591198610312</v>
      </c>
      <c r="S252" s="2">
        <f t="shared" si="74"/>
        <v>5.9189395634177105E-2</v>
      </c>
      <c r="T252" s="5">
        <f t="shared" si="75"/>
        <v>0.15459176511438694</v>
      </c>
      <c r="U252" s="2" t="str">
        <f t="shared" si="76"/>
        <v>Low</v>
      </c>
      <c r="V252" s="2">
        <f t="shared" si="77"/>
        <v>6.3130774218772223E-2</v>
      </c>
      <c r="W252" s="2">
        <f t="shared" si="78"/>
        <v>0.15313217437461038</v>
      </c>
      <c r="X252" s="2" t="s">
        <v>1176</v>
      </c>
      <c r="Y252" s="2">
        <f t="shared" si="79"/>
        <v>5.5248017049581981E-2</v>
      </c>
      <c r="Z252" s="2">
        <f t="shared" si="80"/>
        <v>0.1412183402688667</v>
      </c>
      <c r="AA252" s="2" t="str">
        <f t="shared" si="81"/>
        <v>No Impact</v>
      </c>
      <c r="AB252" s="2">
        <f t="shared" si="82"/>
        <v>4.3337247171699692E-2</v>
      </c>
      <c r="AC252" s="2">
        <f t="shared" si="83"/>
        <v>0.1574571586994537</v>
      </c>
      <c r="AD252" s="2" t="str">
        <f t="shared" si="84"/>
        <v>Low</v>
      </c>
      <c r="AE252" s="2">
        <f t="shared" si="85"/>
        <v>1.3334488800728045E-2</v>
      </c>
      <c r="AF252" s="2">
        <f t="shared" si="86"/>
        <v>0.10158367831334553</v>
      </c>
      <c r="AG252" s="2" t="s">
        <v>1175</v>
      </c>
    </row>
    <row r="253" spans="1:33" x14ac:dyDescent="0.3">
      <c r="A253">
        <v>306702</v>
      </c>
      <c r="B253" t="s">
        <v>515</v>
      </c>
      <c r="C253" t="s">
        <v>516</v>
      </c>
      <c r="D253" t="s">
        <v>517</v>
      </c>
      <c r="E253" s="13">
        <v>4.4000000000000004</v>
      </c>
      <c r="F253" s="14">
        <f t="shared" si="67"/>
        <v>0.26666666666666672</v>
      </c>
      <c r="G253" s="2">
        <v>61.975414800000003</v>
      </c>
      <c r="H253" s="2">
        <f t="shared" si="68"/>
        <v>0.31723665386126487</v>
      </c>
      <c r="I253" s="2">
        <v>32.6</v>
      </c>
      <c r="J253" s="4">
        <f t="shared" si="69"/>
        <v>0.25770750988142294</v>
      </c>
      <c r="K253" s="2">
        <v>0</v>
      </c>
      <c r="L253" s="4">
        <f t="shared" si="70"/>
        <v>0</v>
      </c>
      <c r="M253" s="2">
        <v>60872</v>
      </c>
      <c r="N253" s="2">
        <f t="shared" si="71"/>
        <v>0.28688024300577708</v>
      </c>
      <c r="O253" s="2">
        <v>0.63608018799999999</v>
      </c>
      <c r="P253" s="2">
        <f t="shared" si="72"/>
        <v>0.65734304314384939</v>
      </c>
      <c r="Q253" s="2">
        <v>0.25140000000000001</v>
      </c>
      <c r="R253" s="2">
        <f t="shared" si="73"/>
        <v>0.5686160972785177</v>
      </c>
      <c r="S253" s="2">
        <f t="shared" si="74"/>
        <v>3.2893375796065973E-2</v>
      </c>
      <c r="T253" s="5">
        <f t="shared" si="75"/>
        <v>8.5911419949496623E-2</v>
      </c>
      <c r="U253" s="2" t="str">
        <f t="shared" si="76"/>
        <v>No Impact</v>
      </c>
      <c r="V253" s="2">
        <f t="shared" si="77"/>
        <v>3.0512767277106632E-2</v>
      </c>
      <c r="W253" s="2">
        <f t="shared" si="78"/>
        <v>7.4012816366513273E-2</v>
      </c>
      <c r="X253" s="2" t="s">
        <v>1176</v>
      </c>
      <c r="Y253" s="2">
        <f t="shared" si="79"/>
        <v>3.5273984315025313E-2</v>
      </c>
      <c r="Z253" s="2">
        <f t="shared" si="80"/>
        <v>9.016311870826868E-2</v>
      </c>
      <c r="AA253" s="2" t="str">
        <f t="shared" si="81"/>
        <v>No Impact</v>
      </c>
      <c r="AB253" s="2">
        <f t="shared" si="82"/>
        <v>2.6649707807530596E-2</v>
      </c>
      <c r="AC253" s="2">
        <f t="shared" si="83"/>
        <v>9.6826345589496307E-2</v>
      </c>
      <c r="AD253" s="2" t="str">
        <f t="shared" si="84"/>
        <v>No Impact</v>
      </c>
      <c r="AE253" s="2">
        <f t="shared" si="85"/>
        <v>1.539441133153052E-2</v>
      </c>
      <c r="AF253" s="2">
        <f t="shared" si="86"/>
        <v>0.11727640645962634</v>
      </c>
      <c r="AG253" s="2" t="s">
        <v>1175</v>
      </c>
    </row>
    <row r="254" spans="1:33" x14ac:dyDescent="0.3">
      <c r="A254">
        <v>306704</v>
      </c>
      <c r="B254" t="s">
        <v>518</v>
      </c>
      <c r="C254" t="s">
        <v>516</v>
      </c>
      <c r="D254" t="s">
        <v>519</v>
      </c>
      <c r="E254" s="13">
        <v>4.3</v>
      </c>
      <c r="F254" s="14">
        <f t="shared" si="67"/>
        <v>0.24444444444444435</v>
      </c>
      <c r="G254" s="2">
        <v>59.493383999999999</v>
      </c>
      <c r="H254" s="2">
        <f t="shared" si="68"/>
        <v>0.29042043774299842</v>
      </c>
      <c r="I254" s="2">
        <v>25.5</v>
      </c>
      <c r="J254" s="4">
        <f t="shared" si="69"/>
        <v>0.20158102766798419</v>
      </c>
      <c r="K254" s="2">
        <v>0</v>
      </c>
      <c r="L254" s="4">
        <f t="shared" si="70"/>
        <v>0</v>
      </c>
      <c r="M254" s="2">
        <v>54149</v>
      </c>
      <c r="N254" s="2">
        <f t="shared" si="71"/>
        <v>0.25507090034208174</v>
      </c>
      <c r="O254" s="2">
        <v>0.37712475600000001</v>
      </c>
      <c r="P254" s="2">
        <f t="shared" si="72"/>
        <v>0.35820028271153004</v>
      </c>
      <c r="Q254" s="2">
        <v>0.25040000000000001</v>
      </c>
      <c r="R254" s="2">
        <f t="shared" si="73"/>
        <v>0.56572090330052116</v>
      </c>
      <c r="S254" s="2">
        <f t="shared" si="74"/>
        <v>1.9445519146137787E-2</v>
      </c>
      <c r="T254" s="5">
        <f t="shared" si="75"/>
        <v>5.0788103107970523E-2</v>
      </c>
      <c r="U254" s="2" t="str">
        <f t="shared" si="76"/>
        <v>No Impact</v>
      </c>
      <c r="V254" s="2">
        <f t="shared" si="77"/>
        <v>2.3813149482984495E-2</v>
      </c>
      <c r="W254" s="2">
        <f t="shared" si="78"/>
        <v>5.7761993325162228E-2</v>
      </c>
      <c r="X254" s="2" t="s">
        <v>1176</v>
      </c>
      <c r="Y254" s="2">
        <f t="shared" si="79"/>
        <v>1.5077888809291085E-2</v>
      </c>
      <c r="Z254" s="2">
        <f t="shared" si="80"/>
        <v>3.854028698434013E-2</v>
      </c>
      <c r="AA254" s="2" t="str">
        <f t="shared" si="81"/>
        <v>No Impact</v>
      </c>
      <c r="AB254" s="2">
        <f t="shared" si="82"/>
        <v>1.6615854705683539E-2</v>
      </c>
      <c r="AC254" s="2">
        <f t="shared" si="83"/>
        <v>6.0370361341926158E-2</v>
      </c>
      <c r="AD254" s="2" t="str">
        <f t="shared" si="84"/>
        <v>No Impact</v>
      </c>
      <c r="AE254" s="2">
        <f t="shared" si="85"/>
        <v>1.0736816411004692E-2</v>
      </c>
      <c r="AF254" s="2">
        <f t="shared" si="86"/>
        <v>8.1794309531041012E-2</v>
      </c>
      <c r="AG254" s="2" t="s">
        <v>1175</v>
      </c>
    </row>
    <row r="255" spans="1:33" x14ac:dyDescent="0.3">
      <c r="A255">
        <v>306706</v>
      </c>
      <c r="B255" t="s">
        <v>520</v>
      </c>
      <c r="C255" t="s">
        <v>516</v>
      </c>
      <c r="D255" t="s">
        <v>521</v>
      </c>
      <c r="E255" s="13">
        <v>4.4000000000000004</v>
      </c>
      <c r="F255" s="14">
        <f t="shared" si="67"/>
        <v>0.26666666666666672</v>
      </c>
      <c r="G255" s="2">
        <v>61.975414800000003</v>
      </c>
      <c r="H255" s="2">
        <f t="shared" si="68"/>
        <v>0.31723665386126487</v>
      </c>
      <c r="I255" s="2">
        <v>26.1</v>
      </c>
      <c r="J255" s="4">
        <f t="shared" si="69"/>
        <v>0.20632411067193676</v>
      </c>
      <c r="K255" s="2">
        <v>0</v>
      </c>
      <c r="L255" s="4">
        <f t="shared" si="70"/>
        <v>0</v>
      </c>
      <c r="M255" s="2">
        <v>35234</v>
      </c>
      <c r="N255" s="2">
        <f t="shared" si="71"/>
        <v>0.16557607415082823</v>
      </c>
      <c r="O255" s="2">
        <v>0.59599566900000001</v>
      </c>
      <c r="P255" s="2">
        <f t="shared" si="72"/>
        <v>0.61103780223173065</v>
      </c>
      <c r="Q255" s="2">
        <v>0.21640000000000001</v>
      </c>
      <c r="R255" s="2">
        <f t="shared" si="73"/>
        <v>0.46728430804863935</v>
      </c>
      <c r="S255" s="2">
        <f t="shared" si="74"/>
        <v>2.6346466928667475E-2</v>
      </c>
      <c r="T255" s="5">
        <f t="shared" si="75"/>
        <v>6.881210364443606E-2</v>
      </c>
      <c r="U255" s="2" t="str">
        <f t="shared" si="76"/>
        <v>No Impact</v>
      </c>
      <c r="V255" s="2">
        <f t="shared" si="77"/>
        <v>2.2834161427122614E-2</v>
      </c>
      <c r="W255" s="2">
        <f t="shared" si="78"/>
        <v>5.5387326270369089E-2</v>
      </c>
      <c r="X255" s="2" t="s">
        <v>1176</v>
      </c>
      <c r="Y255" s="2">
        <f t="shared" si="79"/>
        <v>2.9858772430212337E-2</v>
      </c>
      <c r="Z255" s="2">
        <f t="shared" si="80"/>
        <v>7.6321405006739257E-2</v>
      </c>
      <c r="AA255" s="2" t="str">
        <f t="shared" si="81"/>
        <v>No Impact</v>
      </c>
      <c r="AB255" s="2">
        <f t="shared" si="82"/>
        <v>1.9781433336936528E-2</v>
      </c>
      <c r="AC255" s="2">
        <f t="shared" si="83"/>
        <v>7.1871853694266824E-2</v>
      </c>
      <c r="AD255" s="2" t="str">
        <f t="shared" si="84"/>
        <v>No Impact</v>
      </c>
      <c r="AE255" s="2">
        <f t="shared" si="85"/>
        <v>8.0909860239426132E-3</v>
      </c>
      <c r="AF255" s="2">
        <f t="shared" si="86"/>
        <v>6.1638067553747219E-2</v>
      </c>
      <c r="AG255" s="2" t="s">
        <v>1175</v>
      </c>
    </row>
    <row r="256" spans="1:33" x14ac:dyDescent="0.3">
      <c r="A256">
        <v>306758</v>
      </c>
      <c r="B256" t="s">
        <v>522</v>
      </c>
      <c r="C256" t="s">
        <v>516</v>
      </c>
      <c r="D256" t="s">
        <v>523</v>
      </c>
      <c r="E256" s="13">
        <v>4.4000000000000004</v>
      </c>
      <c r="F256" s="14">
        <f t="shared" si="67"/>
        <v>0.26666666666666672</v>
      </c>
      <c r="G256" s="2">
        <v>61.975414800000003</v>
      </c>
      <c r="H256" s="2">
        <f t="shared" si="68"/>
        <v>0.31723665386126487</v>
      </c>
      <c r="I256" s="2">
        <v>31.9</v>
      </c>
      <c r="J256" s="4">
        <f t="shared" si="69"/>
        <v>0.25217391304347825</v>
      </c>
      <c r="K256" s="2">
        <v>0</v>
      </c>
      <c r="L256" s="4">
        <f t="shared" si="70"/>
        <v>0</v>
      </c>
      <c r="M256" s="2">
        <v>84610</v>
      </c>
      <c r="N256" s="2">
        <f t="shared" si="71"/>
        <v>0.39919471216400998</v>
      </c>
      <c r="O256" s="2">
        <v>0.448007286</v>
      </c>
      <c r="P256" s="2">
        <f t="shared" si="72"/>
        <v>0.44008308210624092</v>
      </c>
      <c r="Q256" s="2">
        <v>0.1676</v>
      </c>
      <c r="R256" s="2">
        <f t="shared" si="73"/>
        <v>0.32599884192240886</v>
      </c>
      <c r="S256" s="2">
        <f t="shared" si="74"/>
        <v>2.0356706657309393E-2</v>
      </c>
      <c r="T256" s="5">
        <f t="shared" si="75"/>
        <v>5.3167956529228753E-2</v>
      </c>
      <c r="U256" s="2" t="str">
        <f t="shared" si="76"/>
        <v>No Impact</v>
      </c>
      <c r="V256" s="2">
        <f t="shared" si="77"/>
        <v>1.7325203969670668E-2</v>
      </c>
      <c r="W256" s="2">
        <f t="shared" si="78"/>
        <v>4.2024609838705346E-2</v>
      </c>
      <c r="X256" s="2" t="s">
        <v>1176</v>
      </c>
      <c r="Y256" s="2">
        <f t="shared" si="79"/>
        <v>2.3388209344948119E-2</v>
      </c>
      <c r="Z256" s="2">
        <f t="shared" si="80"/>
        <v>5.9782129421771919E-2</v>
      </c>
      <c r="AA256" s="2" t="str">
        <f t="shared" si="81"/>
        <v>No Impact</v>
      </c>
      <c r="AB256" s="2">
        <f t="shared" si="82"/>
        <v>2.0505603313252862E-2</v>
      </c>
      <c r="AC256" s="2">
        <f t="shared" si="83"/>
        <v>7.4502979442389622E-2</v>
      </c>
      <c r="AD256" s="2" t="str">
        <f t="shared" si="84"/>
        <v>No Impact</v>
      </c>
      <c r="AE256" s="2">
        <f t="shared" si="85"/>
        <v>2.1215197486810573E-2</v>
      </c>
      <c r="AF256" s="2">
        <f t="shared" si="86"/>
        <v>0.16161982878088249</v>
      </c>
      <c r="AG256" s="2" t="s">
        <v>1175</v>
      </c>
    </row>
    <row r="257" spans="1:33" x14ac:dyDescent="0.3">
      <c r="A257">
        <v>306768</v>
      </c>
      <c r="B257" t="s">
        <v>524</v>
      </c>
      <c r="C257" t="s">
        <v>516</v>
      </c>
      <c r="D257" t="s">
        <v>525</v>
      </c>
      <c r="E257" s="13">
        <v>4.4000000000000004</v>
      </c>
      <c r="F257" s="14">
        <f t="shared" si="67"/>
        <v>0.26666666666666672</v>
      </c>
      <c r="G257" s="2">
        <v>61.975414800000003</v>
      </c>
      <c r="H257" s="2">
        <f t="shared" si="68"/>
        <v>0.31723665386126487</v>
      </c>
      <c r="I257" s="2">
        <v>31.9</v>
      </c>
      <c r="J257" s="4">
        <f t="shared" si="69"/>
        <v>0.25217391304347825</v>
      </c>
      <c r="K257" s="2">
        <v>0</v>
      </c>
      <c r="L257" s="4">
        <f t="shared" si="70"/>
        <v>0</v>
      </c>
      <c r="M257" s="2">
        <v>72027</v>
      </c>
      <c r="N257" s="2">
        <f t="shared" si="71"/>
        <v>0.33965924306728551</v>
      </c>
      <c r="O257" s="2">
        <v>0.36961733400000002</v>
      </c>
      <c r="P257" s="2">
        <f t="shared" si="72"/>
        <v>0.34952778287839148</v>
      </c>
      <c r="Q257" s="2">
        <v>0.2056</v>
      </c>
      <c r="R257" s="2">
        <f t="shared" si="73"/>
        <v>0.43601621308627686</v>
      </c>
      <c r="S257" s="2">
        <f t="shared" si="74"/>
        <v>2.0873862429973425E-2</v>
      </c>
      <c r="T257" s="5">
        <f t="shared" si="75"/>
        <v>5.4518671853800577E-2</v>
      </c>
      <c r="U257" s="2" t="str">
        <f t="shared" si="76"/>
        <v>No Impact</v>
      </c>
      <c r="V257" s="2">
        <f t="shared" si="77"/>
        <v>2.3172075646824178E-2</v>
      </c>
      <c r="W257" s="2">
        <f t="shared" si="78"/>
        <v>5.6206982608428283E-2</v>
      </c>
      <c r="X257" s="2" t="s">
        <v>1176</v>
      </c>
      <c r="Y257" s="2">
        <f t="shared" si="79"/>
        <v>1.8575649213122668E-2</v>
      </c>
      <c r="Z257" s="2">
        <f t="shared" si="80"/>
        <v>4.7480841691379963E-2</v>
      </c>
      <c r="AA257" s="2" t="str">
        <f t="shared" si="81"/>
        <v>No Impact</v>
      </c>
      <c r="AB257" s="2">
        <f t="shared" si="82"/>
        <v>2.0000836270538308E-2</v>
      </c>
      <c r="AC257" s="2">
        <f t="shared" si="83"/>
        <v>7.266901006182265E-2</v>
      </c>
      <c r="AD257" s="2" t="str">
        <f t="shared" si="84"/>
        <v>No Impact</v>
      </c>
      <c r="AE257" s="2">
        <f t="shared" si="85"/>
        <v>1.8051185800608705E-2</v>
      </c>
      <c r="AF257" s="2">
        <f t="shared" si="86"/>
        <v>0.13751602171980881</v>
      </c>
      <c r="AG257" s="2" t="s">
        <v>1175</v>
      </c>
    </row>
    <row r="258" spans="1:33" x14ac:dyDescent="0.3">
      <c r="A258">
        <v>306807</v>
      </c>
      <c r="B258" t="s">
        <v>526</v>
      </c>
      <c r="C258" t="s">
        <v>527</v>
      </c>
      <c r="D258" t="s">
        <v>528</v>
      </c>
      <c r="E258" s="13">
        <v>4.4000000000000004</v>
      </c>
      <c r="F258" s="14">
        <f t="shared" ref="F258:F321" si="89">(E258-$AJ$5)/$AK$5</f>
        <v>0.26666666666666672</v>
      </c>
      <c r="G258" s="2">
        <v>59.493383999999999</v>
      </c>
      <c r="H258" s="2">
        <f t="shared" ref="H258:H321" si="90">(G258-$AJ$6)/$AK$6</f>
        <v>0.29042043774299842</v>
      </c>
      <c r="I258" s="2">
        <v>27.2</v>
      </c>
      <c r="J258" s="4">
        <f t="shared" ref="J258:J321" si="91">(I258-$AJ$7)/$AK$7</f>
        <v>0.21501976284584981</v>
      </c>
      <c r="K258" s="2">
        <v>0</v>
      </c>
      <c r="L258" s="4">
        <f t="shared" ref="L258:L321" si="92">(K258-$AJ$8)/$AK$8</f>
        <v>0</v>
      </c>
      <c r="M258" s="2">
        <v>27160</v>
      </c>
      <c r="N258" s="2">
        <f t="shared" ref="N258:N321" si="93">(M258-$AJ$9)/$AK$9</f>
        <v>0.12737458186067857</v>
      </c>
      <c r="O258" s="2">
        <v>0.56178408499999999</v>
      </c>
      <c r="P258" s="2">
        <f t="shared" ref="P258:P321" si="94">(O258-$AJ$11)/$AK$11</f>
        <v>0.57151691789468329</v>
      </c>
      <c r="Q258" s="2">
        <v>0.3105</v>
      </c>
      <c r="R258" s="2">
        <f t="shared" ref="R258:R321" si="95">(Q258-$AJ$12)/$AK$12</f>
        <v>0.73972206137811236</v>
      </c>
      <c r="S258" s="2">
        <f t="shared" ref="S258:S321" si="96">F258*(R258*0.5+P258*0.5)*(H258*0.35+J258*0.35+L258*0.3)</f>
        <v>3.0928468326166067E-2</v>
      </c>
      <c r="T258" s="5">
        <f t="shared" ref="T258:T321" si="97">(S258-$AJ$10)/$AK$10</f>
        <v>8.0779444689339133E-2</v>
      </c>
      <c r="U258" s="2" t="str">
        <f t="shared" ref="U258:U321" si="98">IF(T258&gt;0.7,"High",IF(T258&gt;0.3,"Moderate",IF(T258&gt;0.15,"Low","No Impact")))</f>
        <v>No Impact</v>
      </c>
      <c r="V258" s="2">
        <f t="shared" ref="V258:V321" si="99">F258*(R258*1)*(H258*0.35+J258*0.35+L258*0.3)</f>
        <v>3.4895958261075284E-2</v>
      </c>
      <c r="W258" s="2">
        <f t="shared" ref="W258:W321" si="100">(V258-$AJ$13)/$AK$13</f>
        <v>8.464483497202438E-2</v>
      </c>
      <c r="X258" s="2" t="s">
        <v>1176</v>
      </c>
      <c r="Y258" s="2">
        <f t="shared" ref="Y258:Y321" si="101">F258*(P258*1)*(H258*0.35+J258*0.35+L258*0.3)</f>
        <v>2.696097839125685E-2</v>
      </c>
      <c r="Z258" s="2">
        <f t="shared" ref="Z258:Z321" si="102">(Y258-$AJ$14)/$AK$14</f>
        <v>6.8914412204535036E-2</v>
      </c>
      <c r="AA258" s="2" t="str">
        <f t="shared" ref="AA258:AA321" si="103">IF(Z258&gt;0.7,"High",IF(Z258&gt;0.3,"Moderate",IF(Z258&gt;0.15,"Low","No Impact")))</f>
        <v>No Impact</v>
      </c>
      <c r="AB258" s="2">
        <f t="shared" ref="AB258:AB321" si="104">F258*(R258*0.35+P258*0.3+N258*0.35)*(H258*0.35+J258*0.35+L258*0.3)</f>
        <v>2.2404966559469087E-2</v>
      </c>
      <c r="AC258" s="2">
        <f t="shared" ref="AC258:AC321" si="105">(AB258-$AJ$15)/$AK$15</f>
        <v>8.1403933231689762E-2</v>
      </c>
      <c r="AD258" s="2" t="str">
        <f t="shared" ref="AD258:AD321" si="106">IF(AC258&gt;0.7,"High",IF(AC258&gt;0.3,"Moderate",IF(AC258&gt;0.15,"Low","No Impact")))</f>
        <v>No Impact</v>
      </c>
      <c r="AE258" s="2">
        <f t="shared" ref="AE258:AE321" si="107">F258*(N258*1)*(H258*0.35+J258*0.35+L258*0.3)</f>
        <v>6.0088218591876595E-3</v>
      </c>
      <c r="AF258" s="2">
        <f t="shared" ref="AF258:AF321" si="108">(AE258-$AJ$16)/$AK$16</f>
        <v>4.5775900066944528E-2</v>
      </c>
      <c r="AG258" s="2" t="s">
        <v>1176</v>
      </c>
    </row>
    <row r="259" spans="1:33" x14ac:dyDescent="0.3">
      <c r="A259">
        <v>306852</v>
      </c>
      <c r="B259" t="s">
        <v>529</v>
      </c>
      <c r="C259" t="s">
        <v>527</v>
      </c>
      <c r="D259" t="s">
        <v>530</v>
      </c>
      <c r="E259" s="13">
        <v>4.5</v>
      </c>
      <c r="F259" s="14">
        <f t="shared" si="89"/>
        <v>0.28888888888888886</v>
      </c>
      <c r="G259" s="2">
        <v>48.521116800000001</v>
      </c>
      <c r="H259" s="2">
        <f t="shared" si="90"/>
        <v>0.17187449200269331</v>
      </c>
      <c r="I259" s="2">
        <v>14.3</v>
      </c>
      <c r="J259" s="4">
        <f t="shared" si="91"/>
        <v>0.11304347826086956</v>
      </c>
      <c r="K259" s="2">
        <v>0</v>
      </c>
      <c r="L259" s="4">
        <f t="shared" si="92"/>
        <v>0</v>
      </c>
      <c r="M259" s="2">
        <v>22807</v>
      </c>
      <c r="N259" s="2">
        <f t="shared" si="93"/>
        <v>0.10677870671341311</v>
      </c>
      <c r="O259" s="2">
        <v>0.32644362900000001</v>
      </c>
      <c r="P259" s="2">
        <f t="shared" si="94"/>
        <v>0.29965394477411633</v>
      </c>
      <c r="Q259" s="2">
        <v>0.27600000000000002</v>
      </c>
      <c r="R259" s="2">
        <f t="shared" si="95"/>
        <v>0.63983786913723228</v>
      </c>
      <c r="S259" s="2">
        <f t="shared" si="96"/>
        <v>1.3532615090886525E-2</v>
      </c>
      <c r="T259" s="5">
        <f t="shared" si="97"/>
        <v>3.5344690228696282E-2</v>
      </c>
      <c r="U259" s="2" t="str">
        <f t="shared" si="98"/>
        <v>No Impact</v>
      </c>
      <c r="V259" s="2">
        <f t="shared" si="99"/>
        <v>1.8432687704981382E-2</v>
      </c>
      <c r="W259" s="2">
        <f t="shared" si="100"/>
        <v>4.4710960427167101E-2</v>
      </c>
      <c r="X259" s="2" t="s">
        <v>1176</v>
      </c>
      <c r="Y259" s="2">
        <f t="shared" si="101"/>
        <v>8.6325424767916652E-3</v>
      </c>
      <c r="Z259" s="2">
        <f t="shared" si="102"/>
        <v>2.2065467431690106E-2</v>
      </c>
      <c r="AA259" s="2" t="str">
        <f t="shared" si="103"/>
        <v>No Impact</v>
      </c>
      <c r="AB259" s="2">
        <f t="shared" si="104"/>
        <v>1.0117845706931318E-2</v>
      </c>
      <c r="AC259" s="2">
        <f t="shared" si="105"/>
        <v>3.6761154460526579E-2</v>
      </c>
      <c r="AD259" s="2" t="str">
        <f t="shared" si="106"/>
        <v>No Impact</v>
      </c>
      <c r="AE259" s="2">
        <f t="shared" si="107"/>
        <v>3.0761207632866751E-3</v>
      </c>
      <c r="AF259" s="2">
        <f t="shared" si="108"/>
        <v>2.3434243842452761E-2</v>
      </c>
      <c r="AG259" s="2" t="s">
        <v>1176</v>
      </c>
    </row>
    <row r="260" spans="1:33" x14ac:dyDescent="0.3">
      <c r="A260">
        <v>306860</v>
      </c>
      <c r="B260" t="s">
        <v>531</v>
      </c>
      <c r="C260" t="s">
        <v>527</v>
      </c>
      <c r="D260" t="s">
        <v>532</v>
      </c>
      <c r="E260" s="13">
        <v>4.4000000000000004</v>
      </c>
      <c r="F260" s="14">
        <f t="shared" si="89"/>
        <v>0.26666666666666672</v>
      </c>
      <c r="G260" s="2">
        <v>48.521116800000001</v>
      </c>
      <c r="H260" s="2">
        <f t="shared" si="90"/>
        <v>0.17187449200269331</v>
      </c>
      <c r="I260" s="2">
        <v>15.3</v>
      </c>
      <c r="J260" s="4">
        <f t="shared" si="91"/>
        <v>0.12094861660079052</v>
      </c>
      <c r="K260" s="2">
        <v>0</v>
      </c>
      <c r="L260" s="4">
        <f t="shared" si="92"/>
        <v>0</v>
      </c>
      <c r="M260" s="2">
        <v>70583</v>
      </c>
      <c r="N260" s="2">
        <f t="shared" si="93"/>
        <v>0.33282707129778144</v>
      </c>
      <c r="O260" s="2">
        <v>0.187955236</v>
      </c>
      <c r="P260" s="2">
        <f t="shared" si="94"/>
        <v>0.13967351937853748</v>
      </c>
      <c r="Q260" s="2">
        <v>0.23830000000000001</v>
      </c>
      <c r="R260" s="2">
        <f t="shared" si="95"/>
        <v>0.53068905616676321</v>
      </c>
      <c r="S260" s="2">
        <f t="shared" si="96"/>
        <v>9.1605571522552619E-3</v>
      </c>
      <c r="T260" s="5">
        <f t="shared" si="97"/>
        <v>2.3925682707607379E-2</v>
      </c>
      <c r="U260" s="2" t="str">
        <f t="shared" si="98"/>
        <v>No Impact</v>
      </c>
      <c r="V260" s="2">
        <f t="shared" si="99"/>
        <v>1.4503815118669376E-2</v>
      </c>
      <c r="W260" s="2">
        <f t="shared" si="100"/>
        <v>3.5180952132039034E-2</v>
      </c>
      <c r="X260" s="2" t="s">
        <v>1176</v>
      </c>
      <c r="Y260" s="2">
        <f t="shared" si="101"/>
        <v>3.8172991858411469E-3</v>
      </c>
      <c r="Z260" s="2">
        <f t="shared" si="102"/>
        <v>9.7573213324633097E-3</v>
      </c>
      <c r="AA260" s="2" t="str">
        <f t="shared" si="103"/>
        <v>No Impact</v>
      </c>
      <c r="AB260" s="2">
        <f t="shared" si="104"/>
        <v>9.4052006636837424E-3</v>
      </c>
      <c r="AC260" s="2">
        <f t="shared" si="105"/>
        <v>3.4171902235380879E-2</v>
      </c>
      <c r="AD260" s="2" t="str">
        <f t="shared" si="106"/>
        <v>No Impact</v>
      </c>
      <c r="AE260" s="2">
        <f t="shared" si="107"/>
        <v>9.0962160468489074E-3</v>
      </c>
      <c r="AF260" s="2">
        <f t="shared" si="108"/>
        <v>6.9296026160473451E-2</v>
      </c>
      <c r="AG260" s="2" t="s">
        <v>1175</v>
      </c>
    </row>
    <row r="261" spans="1:33" x14ac:dyDescent="0.3">
      <c r="A261">
        <v>306863</v>
      </c>
      <c r="B261" t="s">
        <v>533</v>
      </c>
      <c r="C261" t="s">
        <v>527</v>
      </c>
      <c r="D261" t="s">
        <v>534</v>
      </c>
      <c r="E261" s="13">
        <v>4</v>
      </c>
      <c r="F261" s="14">
        <f t="shared" si="89"/>
        <v>0.17777777777777773</v>
      </c>
      <c r="G261" s="2">
        <v>59.493383999999999</v>
      </c>
      <c r="H261" s="2">
        <f t="shared" si="90"/>
        <v>0.29042043774299842</v>
      </c>
      <c r="I261" s="2">
        <v>22.5</v>
      </c>
      <c r="J261" s="4">
        <f t="shared" si="91"/>
        <v>0.17786561264822134</v>
      </c>
      <c r="K261" s="2">
        <v>0</v>
      </c>
      <c r="L261" s="4">
        <f t="shared" si="92"/>
        <v>0</v>
      </c>
      <c r="M261" s="2">
        <v>31340</v>
      </c>
      <c r="N261" s="2">
        <f t="shared" si="93"/>
        <v>0.14715192119345361</v>
      </c>
      <c r="O261" s="2">
        <v>0.30908217599999999</v>
      </c>
      <c r="P261" s="2">
        <f t="shared" si="94"/>
        <v>0.27959816554050682</v>
      </c>
      <c r="Q261" s="2">
        <v>0.2591</v>
      </c>
      <c r="R261" s="2">
        <f t="shared" si="95"/>
        <v>0.59090909090909094</v>
      </c>
      <c r="S261" s="2">
        <f t="shared" si="96"/>
        <v>1.2682332598745558E-2</v>
      </c>
      <c r="T261" s="5">
        <f t="shared" si="97"/>
        <v>3.3123909463872385E-2</v>
      </c>
      <c r="U261" s="2" t="str">
        <f t="shared" si="98"/>
        <v>No Impact</v>
      </c>
      <c r="V261" s="2">
        <f t="shared" si="99"/>
        <v>1.7217790135596361E-2</v>
      </c>
      <c r="W261" s="2">
        <f t="shared" si="100"/>
        <v>4.176406315330098E-2</v>
      </c>
      <c r="X261" s="2" t="s">
        <v>1176</v>
      </c>
      <c r="Y261" s="2">
        <f t="shared" si="101"/>
        <v>8.146875061894758E-3</v>
      </c>
      <c r="Z261" s="2">
        <f t="shared" si="102"/>
        <v>2.0824062763847257E-2</v>
      </c>
      <c r="AA261" s="2" t="str">
        <f t="shared" si="103"/>
        <v>No Impact</v>
      </c>
      <c r="AB261" s="2">
        <f t="shared" si="104"/>
        <v>9.9709781358826889E-3</v>
      </c>
      <c r="AC261" s="2">
        <f t="shared" si="105"/>
        <v>3.6227540722884546E-2</v>
      </c>
      <c r="AD261" s="2" t="str">
        <f t="shared" si="106"/>
        <v>No Impact</v>
      </c>
      <c r="AE261" s="2">
        <f t="shared" si="107"/>
        <v>4.2876830567301046E-3</v>
      </c>
      <c r="AF261" s="2">
        <f t="shared" si="108"/>
        <v>3.2664065556129308E-2</v>
      </c>
      <c r="AG261" s="2" t="s">
        <v>1176</v>
      </c>
    </row>
    <row r="262" spans="1:33" x14ac:dyDescent="0.3">
      <c r="A262">
        <v>306864</v>
      </c>
      <c r="B262" t="s">
        <v>535</v>
      </c>
      <c r="C262" t="s">
        <v>527</v>
      </c>
      <c r="D262" t="s">
        <v>536</v>
      </c>
      <c r="E262" s="13">
        <v>4.5</v>
      </c>
      <c r="F262" s="14">
        <f t="shared" si="89"/>
        <v>0.28888888888888886</v>
      </c>
      <c r="G262" s="2">
        <v>50.9506236</v>
      </c>
      <c r="H262" s="2">
        <f t="shared" si="90"/>
        <v>0.19812323130504114</v>
      </c>
      <c r="I262" s="2">
        <v>19.600000000000001</v>
      </c>
      <c r="J262" s="4">
        <f t="shared" si="91"/>
        <v>0.15494071146245061</v>
      </c>
      <c r="K262" s="2">
        <v>0</v>
      </c>
      <c r="L262" s="4">
        <f t="shared" si="92"/>
        <v>0</v>
      </c>
      <c r="M262" s="2">
        <v>38383</v>
      </c>
      <c r="N262" s="2">
        <f t="shared" si="93"/>
        <v>0.18047531854291163</v>
      </c>
      <c r="O262" s="2">
        <v>0.55348882899999996</v>
      </c>
      <c r="P262" s="2">
        <f t="shared" si="94"/>
        <v>0.56193431999678412</v>
      </c>
      <c r="Q262" s="2">
        <v>0.2636</v>
      </c>
      <c r="R262" s="2">
        <f t="shared" si="95"/>
        <v>0.60393746381007529</v>
      </c>
      <c r="S262" s="2">
        <f t="shared" si="96"/>
        <v>2.0810046264695493E-2</v>
      </c>
      <c r="T262" s="5">
        <f t="shared" si="97"/>
        <v>5.4351995821253787E-2</v>
      </c>
      <c r="U262" s="2" t="str">
        <f t="shared" si="98"/>
        <v>No Impact</v>
      </c>
      <c r="V262" s="2">
        <f t="shared" si="99"/>
        <v>2.1559774818175993E-2</v>
      </c>
      <c r="W262" s="2">
        <f t="shared" si="100"/>
        <v>5.2296130338799894E-2</v>
      </c>
      <c r="X262" s="2" t="s">
        <v>1176</v>
      </c>
      <c r="Y262" s="2">
        <f t="shared" si="101"/>
        <v>2.0060317711214987E-2</v>
      </c>
      <c r="Z262" s="2">
        <f t="shared" si="102"/>
        <v>5.1275772846319123E-2</v>
      </c>
      <c r="AA262" s="2" t="str">
        <f t="shared" si="103"/>
        <v>No Impact</v>
      </c>
      <c r="AB262" s="2">
        <f t="shared" si="104"/>
        <v>1.5818972702006974E-2</v>
      </c>
      <c r="AC262" s="2">
        <f t="shared" si="105"/>
        <v>5.7475051087896509E-2</v>
      </c>
      <c r="AD262" s="2" t="str">
        <f t="shared" si="106"/>
        <v>No Impact</v>
      </c>
      <c r="AE262" s="2">
        <f t="shared" si="107"/>
        <v>6.442732006516805E-3</v>
      </c>
      <c r="AF262" s="2">
        <f t="shared" si="108"/>
        <v>4.9081477767139052E-2</v>
      </c>
      <c r="AG262" s="2" t="s">
        <v>1176</v>
      </c>
    </row>
    <row r="263" spans="1:33" x14ac:dyDescent="0.3">
      <c r="A263">
        <v>306876</v>
      </c>
      <c r="B263" t="s">
        <v>537</v>
      </c>
      <c r="C263" t="s">
        <v>527</v>
      </c>
      <c r="D263" t="s">
        <v>538</v>
      </c>
      <c r="E263" s="13">
        <v>4.4000000000000004</v>
      </c>
      <c r="F263" s="14">
        <f t="shared" si="89"/>
        <v>0.26666666666666672</v>
      </c>
      <c r="G263" s="2">
        <v>58.002966000000001</v>
      </c>
      <c r="H263" s="2">
        <f t="shared" si="90"/>
        <v>0.27431774828622196</v>
      </c>
      <c r="I263" s="2">
        <v>17.2</v>
      </c>
      <c r="J263" s="4">
        <f t="shared" si="91"/>
        <v>0.13596837944664031</v>
      </c>
      <c r="K263" s="2">
        <v>0</v>
      </c>
      <c r="L263" s="4">
        <f t="shared" si="92"/>
        <v>0</v>
      </c>
      <c r="M263" s="2">
        <v>46047</v>
      </c>
      <c r="N263" s="2">
        <f t="shared" si="93"/>
        <v>0.21673692826692784</v>
      </c>
      <c r="O263" s="2">
        <v>0.31808093599999998</v>
      </c>
      <c r="P263" s="2">
        <f t="shared" si="94"/>
        <v>0.28999344431908808</v>
      </c>
      <c r="Q263" s="2">
        <v>0.28699999999999998</v>
      </c>
      <c r="R263" s="2">
        <f t="shared" si="95"/>
        <v>0.67168500289519395</v>
      </c>
      <c r="S263" s="2">
        <f t="shared" si="96"/>
        <v>1.8412955224145985E-2</v>
      </c>
      <c r="T263" s="5">
        <f t="shared" si="97"/>
        <v>4.8091236928077041E-2</v>
      </c>
      <c r="U263" s="2" t="str">
        <f t="shared" si="98"/>
        <v>No Impact</v>
      </c>
      <c r="V263" s="2">
        <f t="shared" si="99"/>
        <v>2.5721083630116517E-2</v>
      </c>
      <c r="W263" s="2">
        <f t="shared" si="100"/>
        <v>6.2389943926582501E-2</v>
      </c>
      <c r="X263" s="2" t="s">
        <v>1176</v>
      </c>
      <c r="Y263" s="2">
        <f t="shared" si="101"/>
        <v>1.1104826818175447E-2</v>
      </c>
      <c r="Z263" s="2">
        <f t="shared" si="102"/>
        <v>2.8384823492009877E-2</v>
      </c>
      <c r="AA263" s="2" t="str">
        <f t="shared" si="103"/>
        <v>No Impact</v>
      </c>
      <c r="AB263" s="2">
        <f t="shared" si="104"/>
        <v>1.5238683047148278E-2</v>
      </c>
      <c r="AC263" s="2">
        <f t="shared" si="105"/>
        <v>5.5366685507712531E-2</v>
      </c>
      <c r="AD263" s="2" t="str">
        <f t="shared" si="106"/>
        <v>No Impact</v>
      </c>
      <c r="AE263" s="2">
        <f t="shared" si="107"/>
        <v>8.2995878032996115E-3</v>
      </c>
      <c r="AF263" s="2">
        <f t="shared" si="108"/>
        <v>6.3227220041440324E-2</v>
      </c>
      <c r="AG263" s="2" t="s">
        <v>1175</v>
      </c>
    </row>
    <row r="264" spans="1:33" x14ac:dyDescent="0.3">
      <c r="A264">
        <v>308207</v>
      </c>
      <c r="B264" t="s">
        <v>539</v>
      </c>
      <c r="C264" t="s">
        <v>1024</v>
      </c>
      <c r="D264" t="s">
        <v>1025</v>
      </c>
      <c r="E264" s="13">
        <v>5.4</v>
      </c>
      <c r="F264" s="14">
        <f t="shared" si="89"/>
        <v>0.48888888888888893</v>
      </c>
      <c r="G264" s="2">
        <v>48.521116800000001</v>
      </c>
      <c r="H264" s="2">
        <f t="shared" si="90"/>
        <v>0.17187449200269331</v>
      </c>
      <c r="I264" s="2">
        <v>16</v>
      </c>
      <c r="J264" s="4">
        <f t="shared" si="91"/>
        <v>0.12648221343873517</v>
      </c>
      <c r="K264" s="2">
        <v>0</v>
      </c>
      <c r="L264" s="4">
        <f t="shared" si="92"/>
        <v>0</v>
      </c>
      <c r="M264" s="2">
        <v>27077</v>
      </c>
      <c r="N264" s="2">
        <f t="shared" si="93"/>
        <v>0.12698187392655888</v>
      </c>
      <c r="O264" s="2">
        <v>0.50474936699999995</v>
      </c>
      <c r="P264" s="2">
        <f t="shared" si="94"/>
        <v>0.50563097431270465</v>
      </c>
      <c r="Q264" s="2">
        <v>0.26879999999999998</v>
      </c>
      <c r="R264" s="2">
        <f t="shared" si="95"/>
        <v>0.61899247249565725</v>
      </c>
      <c r="S264" s="2">
        <f t="shared" si="96"/>
        <v>2.8707220974220377E-2</v>
      </c>
      <c r="T264" s="5">
        <f t="shared" si="97"/>
        <v>7.4977957020580716E-2</v>
      </c>
      <c r="U264" s="2" t="str">
        <f t="shared" si="98"/>
        <v>No Impact</v>
      </c>
      <c r="V264" s="2">
        <f t="shared" si="99"/>
        <v>3.1600894930194051E-2</v>
      </c>
      <c r="W264" s="2">
        <f t="shared" si="100"/>
        <v>7.6652216177087285E-2</v>
      </c>
      <c r="X264" s="2" t="s">
        <v>1176</v>
      </c>
      <c r="Y264" s="2">
        <f t="shared" si="101"/>
        <v>2.5813547018246702E-2</v>
      </c>
      <c r="Z264" s="2">
        <f t="shared" si="102"/>
        <v>6.598148605220816E-2</v>
      </c>
      <c r="AA264" s="2" t="str">
        <f t="shared" si="103"/>
        <v>No Impact</v>
      </c>
      <c r="AB264" s="2">
        <f t="shared" si="104"/>
        <v>2.1073321400643951E-2</v>
      </c>
      <c r="AC264" s="2">
        <f t="shared" si="105"/>
        <v>7.6565668764319222E-2</v>
      </c>
      <c r="AD264" s="2" t="str">
        <f t="shared" si="106"/>
        <v>No Impact</v>
      </c>
      <c r="AE264" s="2">
        <f t="shared" si="107"/>
        <v>6.4826973417200758E-3</v>
      </c>
      <c r="AF264" s="2">
        <f t="shared" si="108"/>
        <v>4.938593831419448E-2</v>
      </c>
      <c r="AG264" s="2" t="s">
        <v>1176</v>
      </c>
    </row>
    <row r="265" spans="1:33" x14ac:dyDescent="0.3">
      <c r="A265">
        <v>308229</v>
      </c>
      <c r="B265" t="s">
        <v>541</v>
      </c>
      <c r="C265" t="s">
        <v>540</v>
      </c>
      <c r="D265" t="s">
        <v>1145</v>
      </c>
      <c r="E265" s="13">
        <v>5.4</v>
      </c>
      <c r="F265" s="14">
        <f t="shared" si="89"/>
        <v>0.48888888888888893</v>
      </c>
      <c r="G265" s="2">
        <v>68.187524400000001</v>
      </c>
      <c r="H265" s="2">
        <f t="shared" si="90"/>
        <v>0.384353175374196</v>
      </c>
      <c r="I265" s="2">
        <v>32.6</v>
      </c>
      <c r="J265" s="4">
        <f t="shared" si="91"/>
        <v>0.25770750988142294</v>
      </c>
      <c r="K265" s="2">
        <v>0</v>
      </c>
      <c r="L265" s="4">
        <f t="shared" si="92"/>
        <v>0</v>
      </c>
      <c r="M265" s="2">
        <v>14728</v>
      </c>
      <c r="N265" s="2">
        <f t="shared" si="93"/>
        <v>6.8553557318798405E-2</v>
      </c>
      <c r="O265" s="2">
        <v>0.32035223899999998</v>
      </c>
      <c r="P265" s="2">
        <f t="shared" si="94"/>
        <v>0.29261723113811955</v>
      </c>
      <c r="Q265" s="2">
        <v>0.25480000000000003</v>
      </c>
      <c r="R265" s="2">
        <f t="shared" si="95"/>
        <v>0.57845975680370598</v>
      </c>
      <c r="S265" s="2">
        <f t="shared" si="96"/>
        <v>4.7849877955223705E-2</v>
      </c>
      <c r="T265" s="5">
        <f t="shared" si="97"/>
        <v>0.12497504011233289</v>
      </c>
      <c r="U265" s="2" t="str">
        <f t="shared" si="98"/>
        <v>No Impact</v>
      </c>
      <c r="V265" s="2">
        <f t="shared" si="99"/>
        <v>6.3551739164791857E-2</v>
      </c>
      <c r="W265" s="2">
        <f t="shared" si="100"/>
        <v>0.15415328140707107</v>
      </c>
      <c r="X265" s="2" t="s">
        <v>1176</v>
      </c>
      <c r="Y265" s="2">
        <f t="shared" si="101"/>
        <v>3.214801674565556E-2</v>
      </c>
      <c r="Z265" s="2">
        <f t="shared" si="102"/>
        <v>8.2172896154497577E-2</v>
      </c>
      <c r="AA265" s="2" t="str">
        <f t="shared" si="103"/>
        <v>No Impact</v>
      </c>
      <c r="AB265" s="2">
        <f t="shared" si="104"/>
        <v>3.4523555754704137E-2</v>
      </c>
      <c r="AC265" s="2">
        <f t="shared" si="105"/>
        <v>0.12543438617134223</v>
      </c>
      <c r="AD265" s="2" t="str">
        <f t="shared" si="106"/>
        <v>No Impact</v>
      </c>
      <c r="AE265" s="2">
        <f t="shared" si="107"/>
        <v>7.5315486380866442E-3</v>
      </c>
      <c r="AF265" s="2">
        <f t="shared" si="108"/>
        <v>5.7376208828563174E-2</v>
      </c>
      <c r="AG265" s="2" t="s">
        <v>1176</v>
      </c>
    </row>
    <row r="266" spans="1:33" x14ac:dyDescent="0.3">
      <c r="A266">
        <v>308247</v>
      </c>
      <c r="B266" t="s">
        <v>542</v>
      </c>
      <c r="C266" t="s">
        <v>540</v>
      </c>
      <c r="D266" t="s">
        <v>543</v>
      </c>
      <c r="E266" s="13">
        <v>5.6</v>
      </c>
      <c r="F266" s="14">
        <f t="shared" si="89"/>
        <v>0.53333333333333321</v>
      </c>
      <c r="G266" s="2">
        <v>65.392603199999996</v>
      </c>
      <c r="H266" s="2">
        <f t="shared" si="90"/>
        <v>0.35415644657746848</v>
      </c>
      <c r="I266" s="2">
        <v>30</v>
      </c>
      <c r="J266" s="4">
        <f t="shared" si="91"/>
        <v>0.23715415019762845</v>
      </c>
      <c r="K266" s="2">
        <v>0</v>
      </c>
      <c r="L266" s="4">
        <f t="shared" si="92"/>
        <v>0</v>
      </c>
      <c r="M266" s="2">
        <v>15025</v>
      </c>
      <c r="N266" s="2">
        <f t="shared" si="93"/>
        <v>6.99587893240219E-2</v>
      </c>
      <c r="O266" s="2">
        <v>0.25794140999999998</v>
      </c>
      <c r="P266" s="2">
        <f t="shared" si="94"/>
        <v>0.22052085716466513</v>
      </c>
      <c r="Q266" s="2">
        <v>0.2944</v>
      </c>
      <c r="R266" s="2">
        <f t="shared" si="95"/>
        <v>0.69310943833236827</v>
      </c>
      <c r="S266" s="2">
        <f t="shared" si="96"/>
        <v>5.0422332357801497E-2</v>
      </c>
      <c r="T266" s="5">
        <f t="shared" si="97"/>
        <v>0.13169381570566144</v>
      </c>
      <c r="U266" s="2" t="str">
        <f t="shared" si="98"/>
        <v>No Impact</v>
      </c>
      <c r="V266" s="2">
        <f t="shared" si="99"/>
        <v>7.6504018380676109E-2</v>
      </c>
      <c r="W266" s="2">
        <f t="shared" si="100"/>
        <v>0.18557077476082207</v>
      </c>
      <c r="X266" s="2" t="s">
        <v>1176</v>
      </c>
      <c r="Y266" s="2">
        <f t="shared" si="101"/>
        <v>2.4340646334926885E-2</v>
      </c>
      <c r="Z266" s="2">
        <f t="shared" si="102"/>
        <v>6.2216634370877495E-2</v>
      </c>
      <c r="AA266" s="2" t="str">
        <f t="shared" si="103"/>
        <v>No Impact</v>
      </c>
      <c r="AB266" s="2">
        <f t="shared" si="104"/>
        <v>3.6781268733418276E-2</v>
      </c>
      <c r="AC266" s="2">
        <f t="shared" si="105"/>
        <v>0.13363733153560972</v>
      </c>
      <c r="AD266" s="2" t="str">
        <f t="shared" si="106"/>
        <v>No Impact</v>
      </c>
      <c r="AE266" s="2">
        <f t="shared" si="107"/>
        <v>7.7219097134387897E-3</v>
      </c>
      <c r="AF266" s="2">
        <f t="shared" si="108"/>
        <v>5.8826401522931712E-2</v>
      </c>
      <c r="AG266" s="2" t="s">
        <v>1176</v>
      </c>
    </row>
    <row r="267" spans="1:33" x14ac:dyDescent="0.3">
      <c r="A267">
        <v>308273</v>
      </c>
      <c r="B267" t="s">
        <v>544</v>
      </c>
      <c r="C267" t="s">
        <v>540</v>
      </c>
      <c r="D267" t="s">
        <v>545</v>
      </c>
      <c r="E267" s="13">
        <v>5.6</v>
      </c>
      <c r="F267" s="14">
        <f t="shared" si="89"/>
        <v>0.53333333333333321</v>
      </c>
      <c r="G267" s="2">
        <v>62.073853200000002</v>
      </c>
      <c r="H267" s="2">
        <f t="shared" si="90"/>
        <v>0.31830019642839835</v>
      </c>
      <c r="I267" s="2">
        <v>30.2</v>
      </c>
      <c r="J267" s="4">
        <f t="shared" si="91"/>
        <v>0.23873517786561263</v>
      </c>
      <c r="K267" s="2">
        <v>0</v>
      </c>
      <c r="L267" s="4">
        <f t="shared" si="92"/>
        <v>0</v>
      </c>
      <c r="M267" s="2">
        <v>21428</v>
      </c>
      <c r="N267" s="2">
        <f t="shared" si="93"/>
        <v>0.10025407730195456</v>
      </c>
      <c r="O267" s="2">
        <v>0.43020465400000002</v>
      </c>
      <c r="P267" s="2">
        <f t="shared" si="94"/>
        <v>0.41951765724409418</v>
      </c>
      <c r="Q267" s="2">
        <v>0.29570000000000002</v>
      </c>
      <c r="R267" s="2">
        <f t="shared" si="95"/>
        <v>0.69687319050376384</v>
      </c>
      <c r="S267" s="2">
        <f t="shared" si="96"/>
        <v>5.8041124748472714E-2</v>
      </c>
      <c r="T267" s="5">
        <f t="shared" si="97"/>
        <v>0.15159269372417319</v>
      </c>
      <c r="U267" s="2" t="str">
        <f t="shared" si="98"/>
        <v>Low</v>
      </c>
      <c r="V267" s="2">
        <f t="shared" si="99"/>
        <v>7.246083012144211E-2</v>
      </c>
      <c r="W267" s="2">
        <f t="shared" si="100"/>
        <v>0.17576347844291482</v>
      </c>
      <c r="X267" s="2" t="s">
        <v>1176</v>
      </c>
      <c r="Y267" s="2">
        <f t="shared" si="101"/>
        <v>4.3621419375503297E-2</v>
      </c>
      <c r="Z267" s="2">
        <f t="shared" si="102"/>
        <v>0.11149982883281363</v>
      </c>
      <c r="AA267" s="2" t="str">
        <f t="shared" si="103"/>
        <v>No Impact</v>
      </c>
      <c r="AB267" s="2">
        <f t="shared" si="104"/>
        <v>4.2096260763482864E-2</v>
      </c>
      <c r="AC267" s="2">
        <f t="shared" si="105"/>
        <v>0.15294828454211995</v>
      </c>
      <c r="AD267" s="2" t="str">
        <f t="shared" si="106"/>
        <v>Low</v>
      </c>
      <c r="AE267" s="2">
        <f t="shared" si="107"/>
        <v>1.0424412595220391E-2</v>
      </c>
      <c r="AF267" s="2">
        <f t="shared" si="108"/>
        <v>7.9414381121279909E-2</v>
      </c>
      <c r="AG267" s="2" t="s">
        <v>1175</v>
      </c>
    </row>
    <row r="268" spans="1:33" x14ac:dyDescent="0.3">
      <c r="A268">
        <v>308276</v>
      </c>
      <c r="B268" t="s">
        <v>546</v>
      </c>
      <c r="C268" t="s">
        <v>540</v>
      </c>
      <c r="D268" t="s">
        <v>547</v>
      </c>
      <c r="E268" s="13">
        <v>5.6</v>
      </c>
      <c r="F268" s="14">
        <f t="shared" si="89"/>
        <v>0.53333333333333321</v>
      </c>
      <c r="G268" s="2">
        <v>62.073853200000002</v>
      </c>
      <c r="H268" s="2">
        <f t="shared" si="90"/>
        <v>0.31830019642839835</v>
      </c>
      <c r="I268" s="2">
        <v>26.3</v>
      </c>
      <c r="J268" s="4">
        <f t="shared" si="91"/>
        <v>0.20790513833992094</v>
      </c>
      <c r="K268" s="2">
        <v>0</v>
      </c>
      <c r="L268" s="4">
        <f t="shared" si="92"/>
        <v>0</v>
      </c>
      <c r="M268" s="2">
        <v>45411</v>
      </c>
      <c r="N268" s="2">
        <f t="shared" si="93"/>
        <v>0.2137277445789745</v>
      </c>
      <c r="O268" s="2">
        <v>0.371754786</v>
      </c>
      <c r="P268" s="2">
        <f t="shared" si="94"/>
        <v>0.35199694634267276</v>
      </c>
      <c r="Q268" s="2">
        <v>0.29480000000000001</v>
      </c>
      <c r="R268" s="2">
        <f t="shared" si="95"/>
        <v>0.69426751592356695</v>
      </c>
      <c r="S268" s="2">
        <f t="shared" si="96"/>
        <v>5.1384661218146867E-2</v>
      </c>
      <c r="T268" s="5">
        <f t="shared" si="97"/>
        <v>0.13420724088169764</v>
      </c>
      <c r="U268" s="2" t="str">
        <f t="shared" si="98"/>
        <v>No Impact</v>
      </c>
      <c r="V268" s="2">
        <f t="shared" si="99"/>
        <v>6.819442385192824E-2</v>
      </c>
      <c r="W268" s="2">
        <f t="shared" si="100"/>
        <v>0.16541473685213198</v>
      </c>
      <c r="X268" s="2" t="s">
        <v>1176</v>
      </c>
      <c r="Y268" s="2">
        <f t="shared" si="101"/>
        <v>3.4574898584365472E-2</v>
      </c>
      <c r="Z268" s="2">
        <f t="shared" si="102"/>
        <v>8.837619979494675E-2</v>
      </c>
      <c r="AA268" s="2" t="str">
        <f t="shared" si="103"/>
        <v>No Impact</v>
      </c>
      <c r="AB268" s="2">
        <f t="shared" si="104"/>
        <v>4.1588210310001053E-2</v>
      </c>
      <c r="AC268" s="2">
        <f t="shared" si="105"/>
        <v>0.15110238554986799</v>
      </c>
      <c r="AD268" s="2" t="str">
        <f t="shared" si="106"/>
        <v>Low</v>
      </c>
      <c r="AE268" s="2">
        <f t="shared" si="107"/>
        <v>2.0993406818618655E-2</v>
      </c>
      <c r="AF268" s="2">
        <f t="shared" si="108"/>
        <v>0.15993020181225961</v>
      </c>
      <c r="AG268" s="2" t="s">
        <v>1175</v>
      </c>
    </row>
    <row r="269" spans="1:33" x14ac:dyDescent="0.3">
      <c r="A269">
        <v>308614</v>
      </c>
      <c r="B269" t="s">
        <v>548</v>
      </c>
      <c r="C269" t="s">
        <v>549</v>
      </c>
      <c r="D269" t="s">
        <v>550</v>
      </c>
      <c r="E269" s="13">
        <v>6.5</v>
      </c>
      <c r="F269" s="14">
        <f t="shared" si="89"/>
        <v>0.73333333333333328</v>
      </c>
      <c r="G269" s="2">
        <v>66.803446800000003</v>
      </c>
      <c r="H269" s="2">
        <f t="shared" si="90"/>
        <v>0.36939940282389105</v>
      </c>
      <c r="I269" s="2">
        <v>31.6</v>
      </c>
      <c r="J269" s="4">
        <f t="shared" si="91"/>
        <v>0.24980237154150198</v>
      </c>
      <c r="K269" s="2">
        <v>0</v>
      </c>
      <c r="L269" s="4">
        <f t="shared" si="92"/>
        <v>0</v>
      </c>
      <c r="M269" s="2">
        <v>19841</v>
      </c>
      <c r="N269" s="2">
        <f t="shared" si="93"/>
        <v>9.2745312344750253E-2</v>
      </c>
      <c r="O269" s="2">
        <v>0.28689072700000001</v>
      </c>
      <c r="P269" s="2">
        <f t="shared" si="94"/>
        <v>0.25396282257595754</v>
      </c>
      <c r="Q269" s="2">
        <v>0.2636</v>
      </c>
      <c r="R269" s="2">
        <f t="shared" si="95"/>
        <v>0.60393746381007529</v>
      </c>
      <c r="S269" s="2">
        <f t="shared" si="96"/>
        <v>6.8172383710047302E-2</v>
      </c>
      <c r="T269" s="5">
        <f t="shared" si="97"/>
        <v>0.17805367020348714</v>
      </c>
      <c r="U269" s="2" t="str">
        <f t="shared" si="98"/>
        <v>Low</v>
      </c>
      <c r="V269" s="2">
        <f t="shared" si="99"/>
        <v>9.5982848293879694E-2</v>
      </c>
      <c r="W269" s="2">
        <f t="shared" si="100"/>
        <v>0.23281929366137291</v>
      </c>
      <c r="X269" s="2" t="s">
        <v>1175</v>
      </c>
      <c r="Y269" s="2">
        <f t="shared" si="101"/>
        <v>4.036191912621493E-2</v>
      </c>
      <c r="Z269" s="2">
        <f t="shared" si="102"/>
        <v>0.10316828609350832</v>
      </c>
      <c r="AA269" s="2" t="str">
        <f t="shared" si="103"/>
        <v>No Impact</v>
      </c>
      <c r="AB269" s="2">
        <f t="shared" si="104"/>
        <v>5.0861526874175819E-2</v>
      </c>
      <c r="AC269" s="2">
        <f t="shared" si="105"/>
        <v>0.18479511347350625</v>
      </c>
      <c r="AD269" s="2" t="str">
        <f t="shared" si="106"/>
        <v>Low</v>
      </c>
      <c r="AE269" s="2">
        <f t="shared" si="107"/>
        <v>1.4739869238438428E-2</v>
      </c>
      <c r="AF269" s="2">
        <f t="shared" si="108"/>
        <v>0.11229002907232216</v>
      </c>
      <c r="AG269" s="2" t="s">
        <v>1175</v>
      </c>
    </row>
    <row r="270" spans="1:33" x14ac:dyDescent="0.3">
      <c r="A270">
        <v>308625</v>
      </c>
      <c r="B270" t="s">
        <v>551</v>
      </c>
      <c r="C270" t="s">
        <v>549</v>
      </c>
      <c r="D270" t="s">
        <v>552</v>
      </c>
      <c r="E270" s="13">
        <v>6.5</v>
      </c>
      <c r="F270" s="14">
        <f t="shared" si="89"/>
        <v>0.73333333333333328</v>
      </c>
      <c r="G270" s="2">
        <v>69.481274400000004</v>
      </c>
      <c r="H270" s="2">
        <f t="shared" si="90"/>
        <v>0.39833103560179967</v>
      </c>
      <c r="I270" s="2">
        <v>34.1</v>
      </c>
      <c r="J270" s="4">
        <f t="shared" si="91"/>
        <v>0.26956521739130435</v>
      </c>
      <c r="K270" s="2">
        <v>0</v>
      </c>
      <c r="L270" s="4">
        <f t="shared" si="92"/>
        <v>0</v>
      </c>
      <c r="M270" s="2">
        <v>5388</v>
      </c>
      <c r="N270" s="2">
        <f t="shared" si="93"/>
        <v>2.4362086178100144E-2</v>
      </c>
      <c r="O270" s="2">
        <v>0.41456011700000001</v>
      </c>
      <c r="P270" s="2">
        <f t="shared" si="94"/>
        <v>0.40144524243618407</v>
      </c>
      <c r="Q270" s="2">
        <v>0.29039999999999999</v>
      </c>
      <c r="R270" s="2">
        <f t="shared" si="95"/>
        <v>0.68152866242038224</v>
      </c>
      <c r="S270" s="2">
        <f t="shared" si="96"/>
        <v>9.2825324020019723E-2</v>
      </c>
      <c r="T270" s="5">
        <f t="shared" si="97"/>
        <v>0.24244259522872647</v>
      </c>
      <c r="U270" s="2" t="str">
        <f t="shared" si="98"/>
        <v>Low</v>
      </c>
      <c r="V270" s="2">
        <f t="shared" si="99"/>
        <v>0.11683221291741366</v>
      </c>
      <c r="W270" s="2">
        <f t="shared" si="100"/>
        <v>0.28339222863072533</v>
      </c>
      <c r="X270" s="2" t="s">
        <v>1175</v>
      </c>
      <c r="Y270" s="2">
        <f t="shared" si="101"/>
        <v>6.8818435122625782E-2</v>
      </c>
      <c r="Z270" s="2">
        <f t="shared" si="102"/>
        <v>0.17590541175796692</v>
      </c>
      <c r="AA270" s="2" t="str">
        <f t="shared" si="103"/>
        <v>Low</v>
      </c>
      <c r="AB270" s="2">
        <f t="shared" si="104"/>
        <v>6.2998514313480608E-2</v>
      </c>
      <c r="AC270" s="2">
        <f t="shared" si="105"/>
        <v>0.22889241272724975</v>
      </c>
      <c r="AD270" s="2" t="str">
        <f t="shared" si="106"/>
        <v>Low</v>
      </c>
      <c r="AE270" s="2">
        <f t="shared" si="107"/>
        <v>4.176312158851698E-3</v>
      </c>
      <c r="AF270" s="2">
        <f t="shared" si="108"/>
        <v>3.1815629171906556E-2</v>
      </c>
      <c r="AG270" s="2" t="s">
        <v>1176</v>
      </c>
    </row>
    <row r="271" spans="1:33" x14ac:dyDescent="0.3">
      <c r="A271">
        <v>308636</v>
      </c>
      <c r="B271" t="s">
        <v>553</v>
      </c>
      <c r="C271" t="s">
        <v>549</v>
      </c>
      <c r="D271" t="s">
        <v>554</v>
      </c>
      <c r="E271" s="13">
        <v>6.4</v>
      </c>
      <c r="F271" s="14">
        <f t="shared" si="89"/>
        <v>0.71111111111111114</v>
      </c>
      <c r="G271" s="2">
        <v>80.284996800000002</v>
      </c>
      <c r="H271" s="2">
        <f t="shared" si="90"/>
        <v>0.51505599919216127</v>
      </c>
      <c r="I271" s="2">
        <v>33.799999999999997</v>
      </c>
      <c r="J271" s="4">
        <f t="shared" si="91"/>
        <v>0.26719367588932802</v>
      </c>
      <c r="K271" s="2">
        <v>0</v>
      </c>
      <c r="L271" s="4">
        <f t="shared" si="92"/>
        <v>0</v>
      </c>
      <c r="M271" s="2">
        <v>3568</v>
      </c>
      <c r="N271" s="2">
        <f t="shared" si="93"/>
        <v>1.5750900152824893E-2</v>
      </c>
      <c r="O271" s="2">
        <v>0.44414229500000002</v>
      </c>
      <c r="P271" s="2">
        <f t="shared" si="94"/>
        <v>0.43561828263145691</v>
      </c>
      <c r="Q271" s="2">
        <v>0.2777</v>
      </c>
      <c r="R271" s="2">
        <f t="shared" si="95"/>
        <v>0.64475969889982632</v>
      </c>
      <c r="S271" s="2">
        <f t="shared" si="96"/>
        <v>0.10517115155780071</v>
      </c>
      <c r="T271" s="5">
        <f t="shared" si="97"/>
        <v>0.27468761564858912</v>
      </c>
      <c r="U271" s="2" t="str">
        <f t="shared" si="98"/>
        <v>Low</v>
      </c>
      <c r="V271" s="2">
        <f t="shared" si="99"/>
        <v>0.12553036283698474</v>
      </c>
      <c r="W271" s="2">
        <f t="shared" si="100"/>
        <v>0.30449075984158119</v>
      </c>
      <c r="X271" s="2" t="str">
        <f t="shared" ref="X271:X321" si="109">IF(W271&gt;0.7,"High",IF(W271&gt;0.3,"Moderate",IF(W271&gt;0.15,"Low","No Impact")))</f>
        <v>Moderate</v>
      </c>
      <c r="Y271" s="2">
        <f t="shared" si="101"/>
        <v>8.4811940278616701E-2</v>
      </c>
      <c r="Z271" s="2">
        <f t="shared" si="102"/>
        <v>0.21678608718897208</v>
      </c>
      <c r="AA271" s="2" t="str">
        <f t="shared" si="103"/>
        <v>Low</v>
      </c>
      <c r="AB271" s="2">
        <f t="shared" si="104"/>
        <v>7.045251696952988E-2</v>
      </c>
      <c r="AC271" s="2">
        <f t="shared" si="105"/>
        <v>0.25597503000816801</v>
      </c>
      <c r="AD271" s="2" t="str">
        <f t="shared" si="106"/>
        <v>Low</v>
      </c>
      <c r="AE271" s="2">
        <f t="shared" si="107"/>
        <v>3.0665939800006317E-3</v>
      </c>
      <c r="AF271" s="2">
        <f t="shared" si="108"/>
        <v>2.3361667705252994E-2</v>
      </c>
      <c r="AG271" s="2" t="s">
        <v>1176</v>
      </c>
    </row>
    <row r="272" spans="1:33" x14ac:dyDescent="0.3">
      <c r="A272">
        <v>308665</v>
      </c>
      <c r="B272" t="s">
        <v>555</v>
      </c>
      <c r="C272" t="s">
        <v>549</v>
      </c>
      <c r="D272" t="s">
        <v>556</v>
      </c>
      <c r="E272" s="13">
        <v>6.5</v>
      </c>
      <c r="F272" s="14">
        <f t="shared" si="89"/>
        <v>0.73333333333333328</v>
      </c>
      <c r="G272" s="2">
        <v>80.284996800000002</v>
      </c>
      <c r="H272" s="2">
        <f t="shared" si="90"/>
        <v>0.51505599919216127</v>
      </c>
      <c r="I272" s="2">
        <v>33.700000000000003</v>
      </c>
      <c r="J272" s="4">
        <f t="shared" si="91"/>
        <v>0.26640316205533598</v>
      </c>
      <c r="K272" s="2">
        <v>0</v>
      </c>
      <c r="L272" s="4">
        <f t="shared" si="92"/>
        <v>0</v>
      </c>
      <c r="M272" s="2">
        <v>22687</v>
      </c>
      <c r="N272" s="2">
        <f t="shared" si="93"/>
        <v>0.1062109362062521</v>
      </c>
      <c r="O272" s="2">
        <v>0.49966044599999998</v>
      </c>
      <c r="P272" s="2">
        <f t="shared" si="94"/>
        <v>0.49975230297607864</v>
      </c>
      <c r="Q272" s="2">
        <v>0.28089999999999998</v>
      </c>
      <c r="R272" s="2">
        <f t="shared" si="95"/>
        <v>0.65402431962941521</v>
      </c>
      <c r="S272" s="2">
        <f t="shared" si="96"/>
        <v>0.11570909501025994</v>
      </c>
      <c r="T272" s="5">
        <f t="shared" si="97"/>
        <v>0.30221077687597975</v>
      </c>
      <c r="U272" s="2" t="str">
        <f t="shared" si="98"/>
        <v>Moderate</v>
      </c>
      <c r="V272" s="2">
        <f t="shared" si="99"/>
        <v>0.13118061270495407</v>
      </c>
      <c r="W272" s="2">
        <f t="shared" si="100"/>
        <v>0.31819619999733834</v>
      </c>
      <c r="X272" s="2" t="str">
        <f t="shared" si="109"/>
        <v>Moderate</v>
      </c>
      <c r="Y272" s="2">
        <f t="shared" si="101"/>
        <v>0.10023757731556582</v>
      </c>
      <c r="Z272" s="2">
        <f t="shared" si="102"/>
        <v>0.25621524639287507</v>
      </c>
      <c r="AA272" s="2" t="str">
        <f t="shared" si="103"/>
        <v>Low</v>
      </c>
      <c r="AB272" s="2">
        <f t="shared" si="104"/>
        <v>8.3440610210957569E-2</v>
      </c>
      <c r="AC272" s="2">
        <f t="shared" si="105"/>
        <v>0.30316465076595028</v>
      </c>
      <c r="AD272" s="2" t="str">
        <f t="shared" si="106"/>
        <v>Moderate</v>
      </c>
      <c r="AE272" s="2">
        <f t="shared" si="107"/>
        <v>2.1303207341582624E-2</v>
      </c>
      <c r="AF272" s="2">
        <f t="shared" si="108"/>
        <v>0.16229029803614783</v>
      </c>
      <c r="AG272" s="2" t="s">
        <v>1175</v>
      </c>
    </row>
    <row r="273" spans="1:33" x14ac:dyDescent="0.3">
      <c r="A273">
        <v>308669</v>
      </c>
      <c r="B273" t="s">
        <v>557</v>
      </c>
      <c r="C273" t="s">
        <v>549</v>
      </c>
      <c r="D273" t="s">
        <v>558</v>
      </c>
      <c r="E273" s="13">
        <v>6.4</v>
      </c>
      <c r="F273" s="14">
        <f t="shared" si="89"/>
        <v>0.71111111111111114</v>
      </c>
      <c r="G273" s="2">
        <v>71.776979999999995</v>
      </c>
      <c r="H273" s="2">
        <f t="shared" si="90"/>
        <v>0.42313416758288314</v>
      </c>
      <c r="I273" s="2">
        <v>34.200000000000003</v>
      </c>
      <c r="J273" s="4">
        <f t="shared" si="91"/>
        <v>0.27035573122529649</v>
      </c>
      <c r="K273" s="2">
        <v>0</v>
      </c>
      <c r="L273" s="4">
        <f t="shared" si="92"/>
        <v>0</v>
      </c>
      <c r="M273" s="2">
        <v>23823</v>
      </c>
      <c r="N273" s="2">
        <f t="shared" si="93"/>
        <v>0.11158583034070962</v>
      </c>
      <c r="O273" s="2">
        <v>0.53887619899999994</v>
      </c>
      <c r="P273" s="2">
        <f t="shared" si="94"/>
        <v>0.54505395397543677</v>
      </c>
      <c r="Q273" s="2">
        <v>0.32069999999999999</v>
      </c>
      <c r="R273" s="2">
        <f t="shared" si="95"/>
        <v>0.76925303995367689</v>
      </c>
      <c r="S273" s="2">
        <f t="shared" si="96"/>
        <v>0.11342596212550199</v>
      </c>
      <c r="T273" s="5">
        <f t="shared" si="97"/>
        <v>0.29624765562995653</v>
      </c>
      <c r="U273" s="2" t="str">
        <f t="shared" si="98"/>
        <v>Low</v>
      </c>
      <c r="V273" s="2">
        <f t="shared" si="99"/>
        <v>0.1327745596390229</v>
      </c>
      <c r="W273" s="2">
        <f t="shared" si="100"/>
        <v>0.3220625324298515</v>
      </c>
      <c r="X273" s="2" t="str">
        <f t="shared" si="109"/>
        <v>Moderate</v>
      </c>
      <c r="Y273" s="2">
        <f t="shared" si="101"/>
        <v>9.4077364611981046E-2</v>
      </c>
      <c r="Z273" s="2">
        <f t="shared" si="102"/>
        <v>0.24046925114886997</v>
      </c>
      <c r="AA273" s="2" t="str">
        <f t="shared" si="103"/>
        <v>Low</v>
      </c>
      <c r="AB273" s="2">
        <f t="shared" si="104"/>
        <v>8.1435280658814752E-2</v>
      </c>
      <c r="AC273" s="2">
        <f t="shared" si="105"/>
        <v>0.29587868974758058</v>
      </c>
      <c r="AD273" s="2" t="str">
        <f t="shared" si="106"/>
        <v>Low</v>
      </c>
      <c r="AE273" s="2">
        <f t="shared" si="107"/>
        <v>1.9259929718749791E-2</v>
      </c>
      <c r="AF273" s="2">
        <f t="shared" si="108"/>
        <v>0.14672437272438221</v>
      </c>
      <c r="AG273" s="2" t="s">
        <v>1175</v>
      </c>
    </row>
    <row r="274" spans="1:33" x14ac:dyDescent="0.3">
      <c r="A274">
        <v>308694</v>
      </c>
      <c r="B274" t="s">
        <v>559</v>
      </c>
      <c r="C274" t="s">
        <v>549</v>
      </c>
      <c r="D274" t="s">
        <v>560</v>
      </c>
      <c r="E274" s="13">
        <v>6.4</v>
      </c>
      <c r="F274" s="14">
        <f t="shared" si="89"/>
        <v>0.71111111111111114</v>
      </c>
      <c r="G274" s="2">
        <v>71.776979999999995</v>
      </c>
      <c r="H274" s="2">
        <f t="shared" si="90"/>
        <v>0.42313416758288314</v>
      </c>
      <c r="I274" s="2">
        <v>34.9</v>
      </c>
      <c r="J274" s="4">
        <f t="shared" si="91"/>
        <v>0.27588932806324107</v>
      </c>
      <c r="K274" s="2">
        <v>0</v>
      </c>
      <c r="L274" s="4">
        <f t="shared" si="92"/>
        <v>0</v>
      </c>
      <c r="M274" s="2">
        <v>35519</v>
      </c>
      <c r="N274" s="2">
        <f t="shared" si="93"/>
        <v>0.16692452910533562</v>
      </c>
      <c r="O274" s="2">
        <v>0.482092462</v>
      </c>
      <c r="P274" s="2">
        <f t="shared" si="94"/>
        <v>0.47945794116871249</v>
      </c>
      <c r="Q274" s="2">
        <v>0.26950000000000002</v>
      </c>
      <c r="R274" s="2">
        <f t="shared" si="95"/>
        <v>0.62101910828025486</v>
      </c>
      <c r="S274" s="2">
        <f t="shared" si="96"/>
        <v>9.5730047962471976E-2</v>
      </c>
      <c r="T274" s="5">
        <f t="shared" si="97"/>
        <v>0.25002919746756441</v>
      </c>
      <c r="U274" s="2" t="str">
        <f t="shared" si="98"/>
        <v>Low</v>
      </c>
      <c r="V274" s="2">
        <f t="shared" si="99"/>
        <v>0.10804439593001666</v>
      </c>
      <c r="W274" s="2">
        <f t="shared" si="100"/>
        <v>0.26207619790024694</v>
      </c>
      <c r="X274" s="2" t="s">
        <v>1175</v>
      </c>
      <c r="Y274" s="2">
        <f t="shared" si="101"/>
        <v>8.3415699994927303E-2</v>
      </c>
      <c r="Z274" s="2">
        <f t="shared" si="102"/>
        <v>0.21321718560645564</v>
      </c>
      <c r="AA274" s="2" t="str">
        <f t="shared" si="103"/>
        <v>Low</v>
      </c>
      <c r="AB274" s="2">
        <f t="shared" si="104"/>
        <v>7.3004736083975924E-2</v>
      </c>
      <c r="AC274" s="2">
        <f t="shared" si="105"/>
        <v>0.26524800409779908</v>
      </c>
      <c r="AD274" s="2" t="str">
        <f t="shared" si="106"/>
        <v>Low</v>
      </c>
      <c r="AE274" s="2">
        <f t="shared" si="107"/>
        <v>2.9041392885691176E-2</v>
      </c>
      <c r="AF274" s="2">
        <f t="shared" si="108"/>
        <v>0.22124069072002672</v>
      </c>
      <c r="AG274" s="2" t="s">
        <v>1175</v>
      </c>
    </row>
    <row r="275" spans="1:33" x14ac:dyDescent="0.3">
      <c r="A275">
        <v>309309</v>
      </c>
      <c r="B275" t="s">
        <v>561</v>
      </c>
      <c r="C275" t="s">
        <v>562</v>
      </c>
      <c r="D275" t="s">
        <v>563</v>
      </c>
      <c r="E275" s="13">
        <v>5.9</v>
      </c>
      <c r="F275" s="14">
        <f t="shared" si="89"/>
        <v>0.60000000000000009</v>
      </c>
      <c r="G275" s="2">
        <v>71.776979999999995</v>
      </c>
      <c r="H275" s="2">
        <f t="shared" si="90"/>
        <v>0.42313416758288314</v>
      </c>
      <c r="I275" s="2">
        <v>35.799999999999997</v>
      </c>
      <c r="J275" s="4">
        <f t="shared" si="91"/>
        <v>0.28300395256916994</v>
      </c>
      <c r="K275" s="2">
        <v>0</v>
      </c>
      <c r="L275" s="4">
        <f t="shared" si="92"/>
        <v>0</v>
      </c>
      <c r="M275" s="2">
        <v>14864</v>
      </c>
      <c r="N275" s="2">
        <f t="shared" si="93"/>
        <v>6.9197030560247549E-2</v>
      </c>
      <c r="O275" s="2">
        <v>0.51767582099999998</v>
      </c>
      <c r="P275" s="2">
        <f t="shared" si="94"/>
        <v>0.52056348645310024</v>
      </c>
      <c r="Q275" s="2">
        <v>0.22739999999999999</v>
      </c>
      <c r="R275" s="2">
        <f t="shared" si="95"/>
        <v>0.49913144180660107</v>
      </c>
      <c r="S275" s="2">
        <f t="shared" si="96"/>
        <v>7.5604773275838269E-2</v>
      </c>
      <c r="T275" s="5">
        <f t="shared" si="97"/>
        <v>0.19746569848461271</v>
      </c>
      <c r="U275" s="2" t="str">
        <f t="shared" si="98"/>
        <v>Low</v>
      </c>
      <c r="V275" s="2">
        <f t="shared" si="99"/>
        <v>7.4015704985480421E-2</v>
      </c>
      <c r="W275" s="2">
        <f t="shared" si="100"/>
        <v>0.17953503632030599</v>
      </c>
      <c r="X275" s="2" t="s">
        <v>1176</v>
      </c>
      <c r="Y275" s="2">
        <f t="shared" si="101"/>
        <v>7.7193841566196103E-2</v>
      </c>
      <c r="Z275" s="2">
        <f t="shared" si="102"/>
        <v>0.19731361896976082</v>
      </c>
      <c r="AA275" s="2" t="str">
        <f t="shared" si="103"/>
        <v>Low</v>
      </c>
      <c r="AB275" s="2">
        <f t="shared" si="104"/>
        <v>5.2655054804150905E-2</v>
      </c>
      <c r="AC275" s="2">
        <f t="shared" si="105"/>
        <v>0.19131153595837525</v>
      </c>
      <c r="AD275" s="2" t="str">
        <f t="shared" si="106"/>
        <v>Low</v>
      </c>
      <c r="AE275" s="2">
        <f t="shared" si="107"/>
        <v>1.0261158826782649E-2</v>
      </c>
      <c r="AF275" s="2">
        <f t="shared" si="108"/>
        <v>7.8170695026953174E-2</v>
      </c>
      <c r="AG275" s="2" t="s">
        <v>1175</v>
      </c>
    </row>
    <row r="276" spans="1:33" x14ac:dyDescent="0.3">
      <c r="A276">
        <v>309319</v>
      </c>
      <c r="B276" t="s">
        <v>564</v>
      </c>
      <c r="C276" t="s">
        <v>562</v>
      </c>
      <c r="D276" t="s">
        <v>565</v>
      </c>
      <c r="E276" s="13">
        <v>5.9</v>
      </c>
      <c r="F276" s="14">
        <f t="shared" si="89"/>
        <v>0.60000000000000009</v>
      </c>
      <c r="G276" s="2">
        <v>52.5254148</v>
      </c>
      <c r="H276" s="2">
        <f t="shared" si="90"/>
        <v>0.21513750089442099</v>
      </c>
      <c r="I276" s="2">
        <v>27.9</v>
      </c>
      <c r="J276" s="4">
        <f t="shared" si="91"/>
        <v>0.22055335968379444</v>
      </c>
      <c r="K276" s="2">
        <v>0</v>
      </c>
      <c r="L276" s="4">
        <f t="shared" si="92"/>
        <v>0</v>
      </c>
      <c r="M276" s="2">
        <v>8293</v>
      </c>
      <c r="N276" s="2">
        <f t="shared" si="93"/>
        <v>3.8106863872289488E-2</v>
      </c>
      <c r="O276" s="2">
        <v>0.45000120500000002</v>
      </c>
      <c r="P276" s="2">
        <f t="shared" si="94"/>
        <v>0.44238643766488567</v>
      </c>
      <c r="Q276" s="2">
        <v>0.18279999999999999</v>
      </c>
      <c r="R276" s="2">
        <f t="shared" si="95"/>
        <v>0.370005790387956</v>
      </c>
      <c r="S276" s="2">
        <f t="shared" si="96"/>
        <v>3.7164946241576624E-2</v>
      </c>
      <c r="T276" s="5">
        <f t="shared" si="97"/>
        <v>9.7067972705386585E-2</v>
      </c>
      <c r="U276" s="2" t="str">
        <f t="shared" si="98"/>
        <v>No Impact</v>
      </c>
      <c r="V276" s="2">
        <f t="shared" si="99"/>
        <v>3.385370965894078E-2</v>
      </c>
      <c r="W276" s="2">
        <f t="shared" si="100"/>
        <v>8.211672096330537E-2</v>
      </c>
      <c r="X276" s="2" t="s">
        <v>1176</v>
      </c>
      <c r="Y276" s="2">
        <f t="shared" si="101"/>
        <v>4.0476182824212469E-2</v>
      </c>
      <c r="Z276" s="2">
        <f t="shared" si="102"/>
        <v>0.10346035322362294</v>
      </c>
      <c r="AA276" s="2" t="str">
        <f t="shared" si="103"/>
        <v>No Impact</v>
      </c>
      <c r="AB276" s="2">
        <f t="shared" si="104"/>
        <v>2.5211959933005436E-2</v>
      </c>
      <c r="AC276" s="2">
        <f t="shared" si="105"/>
        <v>9.1602578275619836E-2</v>
      </c>
      <c r="AD276" s="2" t="str">
        <f t="shared" si="106"/>
        <v>No Impact</v>
      </c>
      <c r="AE276" s="2">
        <f t="shared" si="107"/>
        <v>3.4865905860354896E-3</v>
      </c>
      <c r="AF276" s="2">
        <f t="shared" si="108"/>
        <v>2.6561250438249289E-2</v>
      </c>
      <c r="AG276" s="2" t="s">
        <v>1176</v>
      </c>
    </row>
    <row r="277" spans="1:33" x14ac:dyDescent="0.3">
      <c r="A277">
        <v>309323</v>
      </c>
      <c r="B277" t="s">
        <v>566</v>
      </c>
      <c r="C277" t="s">
        <v>562</v>
      </c>
      <c r="D277" t="s">
        <v>567</v>
      </c>
      <c r="E277" s="13">
        <v>5.9</v>
      </c>
      <c r="F277" s="14">
        <f t="shared" si="89"/>
        <v>0.60000000000000009</v>
      </c>
      <c r="G277" s="2">
        <v>60.365465999999998</v>
      </c>
      <c r="H277" s="2">
        <f t="shared" si="90"/>
        <v>0.29984253652793291</v>
      </c>
      <c r="I277" s="2">
        <v>18.7</v>
      </c>
      <c r="J277" s="4">
        <f t="shared" si="91"/>
        <v>0.14782608695652175</v>
      </c>
      <c r="K277" s="2">
        <v>0</v>
      </c>
      <c r="L277" s="4">
        <f t="shared" si="92"/>
        <v>0</v>
      </c>
      <c r="M277" s="2">
        <v>27551</v>
      </c>
      <c r="N277" s="2">
        <f t="shared" si="93"/>
        <v>0.12922456742984487</v>
      </c>
      <c r="O277" s="2">
        <v>0.80807754700000001</v>
      </c>
      <c r="P277" s="2">
        <f t="shared" si="94"/>
        <v>0.85603269549425309</v>
      </c>
      <c r="Q277" s="2">
        <v>0.25600000000000001</v>
      </c>
      <c r="R277" s="2">
        <f t="shared" si="95"/>
        <v>0.58193398957730169</v>
      </c>
      <c r="S277" s="2">
        <f t="shared" si="96"/>
        <v>6.7591919484861179E-2</v>
      </c>
      <c r="T277" s="5">
        <f t="shared" si="97"/>
        <v>0.17653760489827791</v>
      </c>
      <c r="U277" s="2" t="str">
        <f t="shared" si="98"/>
        <v>Low</v>
      </c>
      <c r="V277" s="2">
        <f t="shared" si="99"/>
        <v>5.4707853495306415E-2</v>
      </c>
      <c r="W277" s="2">
        <f t="shared" si="100"/>
        <v>0.1327012485554597</v>
      </c>
      <c r="X277" s="2" t="s">
        <v>1176</v>
      </c>
      <c r="Y277" s="2">
        <f t="shared" si="101"/>
        <v>8.0475985474415923E-2</v>
      </c>
      <c r="Z277" s="2">
        <f t="shared" si="102"/>
        <v>0.20570304070821724</v>
      </c>
      <c r="AA277" s="2" t="str">
        <f t="shared" si="103"/>
        <v>Low</v>
      </c>
      <c r="AB277" s="2">
        <f t="shared" si="104"/>
        <v>4.7542503505976441E-2</v>
      </c>
      <c r="AC277" s="2">
        <f t="shared" si="105"/>
        <v>0.17273611057599322</v>
      </c>
      <c r="AD277" s="2" t="str">
        <f t="shared" si="106"/>
        <v>Low</v>
      </c>
      <c r="AE277" s="2">
        <f t="shared" si="107"/>
        <v>1.2148454686555477E-2</v>
      </c>
      <c r="AF277" s="2">
        <f t="shared" si="108"/>
        <v>9.2548333222637447E-2</v>
      </c>
      <c r="AG277" s="2" t="s">
        <v>1175</v>
      </c>
    </row>
    <row r="278" spans="1:33" x14ac:dyDescent="0.3">
      <c r="A278">
        <v>309325</v>
      </c>
      <c r="B278" t="s">
        <v>568</v>
      </c>
      <c r="C278" t="s">
        <v>562</v>
      </c>
      <c r="D278" t="s">
        <v>569</v>
      </c>
      <c r="E278" s="13">
        <v>5</v>
      </c>
      <c r="F278" s="14">
        <f t="shared" si="89"/>
        <v>0.39999999999999997</v>
      </c>
      <c r="G278" s="2">
        <v>56.867212799999997</v>
      </c>
      <c r="H278" s="2">
        <f t="shared" si="90"/>
        <v>0.26204690810639308</v>
      </c>
      <c r="I278" s="2">
        <v>26.8</v>
      </c>
      <c r="J278" s="4">
        <f t="shared" si="91"/>
        <v>0.21185770750988142</v>
      </c>
      <c r="K278" s="2">
        <v>0</v>
      </c>
      <c r="L278" s="4">
        <f t="shared" si="92"/>
        <v>0</v>
      </c>
      <c r="M278" s="2">
        <v>20219</v>
      </c>
      <c r="N278" s="2">
        <f t="shared" si="93"/>
        <v>9.453378944230742E-2</v>
      </c>
      <c r="O278" s="2">
        <v>0.47338655699999999</v>
      </c>
      <c r="P278" s="2">
        <f t="shared" si="94"/>
        <v>0.46940096559709543</v>
      </c>
      <c r="Q278" s="2">
        <v>0.2432</v>
      </c>
      <c r="R278" s="2">
        <f t="shared" si="95"/>
        <v>0.54487550665894624</v>
      </c>
      <c r="S278" s="2">
        <f t="shared" si="96"/>
        <v>3.364692111991912E-2</v>
      </c>
      <c r="T278" s="5">
        <f t="shared" si="97"/>
        <v>8.7879541104646339E-2</v>
      </c>
      <c r="U278" s="2" t="str">
        <f t="shared" si="98"/>
        <v>No Impact</v>
      </c>
      <c r="V278" s="2">
        <f t="shared" si="99"/>
        <v>3.61506624558703E-2</v>
      </c>
      <c r="W278" s="2">
        <f t="shared" si="100"/>
        <v>8.7688288563771602E-2</v>
      </c>
      <c r="X278" s="2" t="s">
        <v>1176</v>
      </c>
      <c r="Y278" s="2">
        <f t="shared" si="101"/>
        <v>3.1143179783967943E-2</v>
      </c>
      <c r="Z278" s="2">
        <f t="shared" si="102"/>
        <v>7.9604452696282829E-2</v>
      </c>
      <c r="AA278" s="2" t="str">
        <f t="shared" si="103"/>
        <v>No Impact</v>
      </c>
      <c r="AB278" s="2">
        <f t="shared" si="104"/>
        <v>2.4190885753016905E-2</v>
      </c>
      <c r="AC278" s="2">
        <f t="shared" si="105"/>
        <v>8.7892710905286289E-2</v>
      </c>
      <c r="AD278" s="2" t="str">
        <f t="shared" si="106"/>
        <v>No Impact</v>
      </c>
      <c r="AE278" s="2">
        <f t="shared" si="107"/>
        <v>6.2719998807769135E-3</v>
      </c>
      <c r="AF278" s="2">
        <f t="shared" si="108"/>
        <v>4.7780820681734483E-2</v>
      </c>
      <c r="AG278" s="2" t="s">
        <v>1176</v>
      </c>
    </row>
    <row r="279" spans="1:33" x14ac:dyDescent="0.3">
      <c r="A279">
        <v>309328</v>
      </c>
      <c r="B279" t="s">
        <v>570</v>
      </c>
      <c r="C279" t="s">
        <v>562</v>
      </c>
      <c r="D279" t="s">
        <v>571</v>
      </c>
      <c r="E279" s="13">
        <v>5.9</v>
      </c>
      <c r="F279" s="14">
        <f t="shared" si="89"/>
        <v>0.60000000000000009</v>
      </c>
      <c r="G279" s="2">
        <v>60.365465999999998</v>
      </c>
      <c r="H279" s="2">
        <f t="shared" si="90"/>
        <v>0.29984253652793291</v>
      </c>
      <c r="I279" s="2">
        <v>18.399999999999999</v>
      </c>
      <c r="J279" s="4">
        <f t="shared" si="91"/>
        <v>0.14545454545454545</v>
      </c>
      <c r="K279" s="2">
        <v>0</v>
      </c>
      <c r="L279" s="4">
        <f t="shared" si="92"/>
        <v>0</v>
      </c>
      <c r="M279" s="2">
        <v>34950</v>
      </c>
      <c r="N279" s="2">
        <f t="shared" si="93"/>
        <v>0.16423235061721386</v>
      </c>
      <c r="O279" s="2">
        <v>0.64504028599999996</v>
      </c>
      <c r="P279" s="2">
        <f t="shared" si="94"/>
        <v>0.66769365996143404</v>
      </c>
      <c r="Q279" s="2">
        <v>0.25330000000000003</v>
      </c>
      <c r="R279" s="2">
        <f t="shared" si="95"/>
        <v>0.57411696583671112</v>
      </c>
      <c r="S279" s="2">
        <f t="shared" si="96"/>
        <v>5.8062338044488696E-2</v>
      </c>
      <c r="T279" s="5">
        <f t="shared" si="97"/>
        <v>0.15164809893383732</v>
      </c>
      <c r="U279" s="2" t="str">
        <f t="shared" si="98"/>
        <v>Low</v>
      </c>
      <c r="V279" s="2">
        <f t="shared" si="99"/>
        <v>5.3687048016781556E-2</v>
      </c>
      <c r="W279" s="2">
        <f t="shared" si="100"/>
        <v>0.13022514772390131</v>
      </c>
      <c r="X279" s="2" t="s">
        <v>1176</v>
      </c>
      <c r="Y279" s="2">
        <f t="shared" si="101"/>
        <v>6.2437628072195828E-2</v>
      </c>
      <c r="Z279" s="2">
        <f t="shared" si="102"/>
        <v>0.15959555976040246</v>
      </c>
      <c r="AA279" s="2" t="str">
        <f t="shared" si="103"/>
        <v>Low</v>
      </c>
      <c r="AB279" s="2">
        <f t="shared" si="104"/>
        <v>4.2896970935059488E-2</v>
      </c>
      <c r="AC279" s="2">
        <f t="shared" si="105"/>
        <v>0.15585750367315279</v>
      </c>
      <c r="AD279" s="2" t="str">
        <f t="shared" si="106"/>
        <v>Low</v>
      </c>
      <c r="AE279" s="2">
        <f t="shared" si="107"/>
        <v>1.5357759164363409E-2</v>
      </c>
      <c r="AF279" s="2">
        <f t="shared" si="108"/>
        <v>0.11699718600996144</v>
      </c>
      <c r="AG279" s="2" t="s">
        <v>1175</v>
      </c>
    </row>
    <row r="280" spans="1:33" x14ac:dyDescent="0.3">
      <c r="A280">
        <v>309338</v>
      </c>
      <c r="B280" t="s">
        <v>572</v>
      </c>
      <c r="C280" t="s">
        <v>562</v>
      </c>
      <c r="D280" t="s">
        <v>573</v>
      </c>
      <c r="E280" s="13">
        <v>5.9</v>
      </c>
      <c r="F280" s="14">
        <f t="shared" si="89"/>
        <v>0.60000000000000009</v>
      </c>
      <c r="G280" s="2">
        <v>60.365465999999998</v>
      </c>
      <c r="H280" s="2">
        <f t="shared" si="90"/>
        <v>0.29984253652793291</v>
      </c>
      <c r="I280" s="2">
        <v>16.399999999999999</v>
      </c>
      <c r="J280" s="4">
        <f t="shared" si="91"/>
        <v>0.12964426877470356</v>
      </c>
      <c r="K280" s="2">
        <v>0</v>
      </c>
      <c r="L280" s="4">
        <f t="shared" si="92"/>
        <v>0</v>
      </c>
      <c r="M280" s="2">
        <v>19705</v>
      </c>
      <c r="N280" s="2">
        <f t="shared" si="93"/>
        <v>9.2101839103301109E-2</v>
      </c>
      <c r="O280" s="2">
        <v>0.71237718800000005</v>
      </c>
      <c r="P280" s="2">
        <f t="shared" si="94"/>
        <v>0.74548058486842195</v>
      </c>
      <c r="Q280" s="2">
        <v>0.23230000000000001</v>
      </c>
      <c r="R280" s="2">
        <f t="shared" si="95"/>
        <v>0.51331789229878411</v>
      </c>
      <c r="S280" s="2">
        <f t="shared" si="96"/>
        <v>5.6766920330228544E-2</v>
      </c>
      <c r="T280" s="5">
        <f t="shared" si="97"/>
        <v>0.14826470721540108</v>
      </c>
      <c r="U280" s="2" t="str">
        <f t="shared" si="98"/>
        <v>No Impact</v>
      </c>
      <c r="V280" s="2">
        <f t="shared" si="99"/>
        <v>4.6297284950298404E-2</v>
      </c>
      <c r="W280" s="2">
        <f t="shared" si="100"/>
        <v>0.11230028460465157</v>
      </c>
      <c r="X280" s="2" t="s">
        <v>1176</v>
      </c>
      <c r="Y280" s="2">
        <f t="shared" si="101"/>
        <v>6.7236555710158699E-2</v>
      </c>
      <c r="Z280" s="2">
        <f t="shared" si="102"/>
        <v>0.17186200174863372</v>
      </c>
      <c r="AA280" s="2" t="str">
        <f t="shared" si="103"/>
        <v>Low</v>
      </c>
      <c r="AB280" s="2">
        <f t="shared" si="104"/>
        <v>3.9282421006616657E-2</v>
      </c>
      <c r="AC280" s="2">
        <f t="shared" si="105"/>
        <v>0.14272476454334523</v>
      </c>
      <c r="AD280" s="2" t="str">
        <f t="shared" si="106"/>
        <v>No Impact</v>
      </c>
      <c r="AE280" s="2">
        <f t="shared" si="107"/>
        <v>8.3068701741845895E-3</v>
      </c>
      <c r="AF280" s="2">
        <f t="shared" si="108"/>
        <v>6.3282697985319034E-2</v>
      </c>
      <c r="AG280" s="2" t="s">
        <v>1175</v>
      </c>
    </row>
    <row r="281" spans="1:33" x14ac:dyDescent="0.3">
      <c r="A281">
        <v>309347</v>
      </c>
      <c r="B281" t="s">
        <v>574</v>
      </c>
      <c r="C281" t="s">
        <v>562</v>
      </c>
      <c r="D281" t="s">
        <v>575</v>
      </c>
      <c r="E281" s="13">
        <v>5.9</v>
      </c>
      <c r="F281" s="14">
        <f t="shared" si="89"/>
        <v>0.60000000000000009</v>
      </c>
      <c r="G281" s="2">
        <v>60.365465999999998</v>
      </c>
      <c r="H281" s="2">
        <f t="shared" si="90"/>
        <v>0.29984253652793291</v>
      </c>
      <c r="I281" s="2">
        <v>19.2</v>
      </c>
      <c r="J281" s="4">
        <f t="shared" si="91"/>
        <v>0.1517786561264822</v>
      </c>
      <c r="K281" s="2">
        <v>0</v>
      </c>
      <c r="L281" s="4">
        <f t="shared" si="92"/>
        <v>0</v>
      </c>
      <c r="M281" s="2">
        <v>36750</v>
      </c>
      <c r="N281" s="2">
        <f t="shared" si="93"/>
        <v>0.17274890822462893</v>
      </c>
      <c r="O281" s="2">
        <v>0.55803476600000002</v>
      </c>
      <c r="P281" s="2">
        <f t="shared" si="94"/>
        <v>0.56718574157318657</v>
      </c>
      <c r="Q281" s="2">
        <v>0.2198</v>
      </c>
      <c r="R281" s="2">
        <f t="shared" si="95"/>
        <v>0.47712796757382747</v>
      </c>
      <c r="S281" s="2">
        <f t="shared" si="96"/>
        <v>4.9521591297184704E-2</v>
      </c>
      <c r="T281" s="5">
        <f t="shared" si="97"/>
        <v>0.12934124648308687</v>
      </c>
      <c r="U281" s="2" t="str">
        <f t="shared" si="98"/>
        <v>No Impact</v>
      </c>
      <c r="V281" s="2">
        <f t="shared" si="99"/>
        <v>4.5251031370538507E-2</v>
      </c>
      <c r="W281" s="2">
        <f t="shared" si="100"/>
        <v>0.10976245598464056</v>
      </c>
      <c r="X281" s="2" t="s">
        <v>1176</v>
      </c>
      <c r="Y281" s="2">
        <f t="shared" si="101"/>
        <v>5.3792151223830902E-2</v>
      </c>
      <c r="Z281" s="2">
        <f t="shared" si="102"/>
        <v>0.13749703104283204</v>
      </c>
      <c r="AA281" s="2" t="str">
        <f t="shared" si="103"/>
        <v>No Impact</v>
      </c>
      <c r="AB281" s="2">
        <f t="shared" si="104"/>
        <v>3.7709760842056142E-2</v>
      </c>
      <c r="AC281" s="2">
        <f t="shared" si="105"/>
        <v>0.13701082059738043</v>
      </c>
      <c r="AD281" s="2" t="str">
        <f t="shared" si="106"/>
        <v>No Impact</v>
      </c>
      <c r="AE281" s="2">
        <f t="shared" si="107"/>
        <v>1.6383584272052554E-2</v>
      </c>
      <c r="AF281" s="2">
        <f t="shared" si="108"/>
        <v>0.1248120403551507</v>
      </c>
      <c r="AG281" s="2" t="s">
        <v>1175</v>
      </c>
    </row>
    <row r="282" spans="1:33" x14ac:dyDescent="0.3">
      <c r="A282">
        <v>309357</v>
      </c>
      <c r="B282" t="s">
        <v>576</v>
      </c>
      <c r="C282" t="s">
        <v>562</v>
      </c>
      <c r="D282" t="s">
        <v>577</v>
      </c>
      <c r="E282" s="13">
        <v>5.3</v>
      </c>
      <c r="F282" s="14">
        <f t="shared" si="89"/>
        <v>0.46666666666666656</v>
      </c>
      <c r="G282" s="2">
        <v>60.365465999999998</v>
      </c>
      <c r="H282" s="2">
        <f t="shared" si="90"/>
        <v>0.29984253652793291</v>
      </c>
      <c r="I282" s="2">
        <v>21.8</v>
      </c>
      <c r="J282" s="4">
        <f t="shared" si="91"/>
        <v>0.17233201581027668</v>
      </c>
      <c r="K282" s="2">
        <v>0</v>
      </c>
      <c r="L282" s="4">
        <f t="shared" si="92"/>
        <v>0</v>
      </c>
      <c r="M282" s="2">
        <v>40172</v>
      </c>
      <c r="N282" s="2">
        <f t="shared" si="93"/>
        <v>0.18893983052050362</v>
      </c>
      <c r="O282" s="2">
        <v>0.64604982</v>
      </c>
      <c r="P282" s="2">
        <f t="shared" si="94"/>
        <v>0.6688598636791081</v>
      </c>
      <c r="Q282" s="2">
        <v>0.26679999999999998</v>
      </c>
      <c r="R282" s="2">
        <f t="shared" si="95"/>
        <v>0.61320208453966418</v>
      </c>
      <c r="S282" s="2">
        <f t="shared" si="96"/>
        <v>4.9437490495054207E-2</v>
      </c>
      <c r="T282" s="5">
        <f t="shared" si="97"/>
        <v>0.12912159072702467</v>
      </c>
      <c r="U282" s="2" t="str">
        <f t="shared" si="98"/>
        <v>No Impact</v>
      </c>
      <c r="V282" s="2">
        <f t="shared" si="99"/>
        <v>4.729127522752756E-2</v>
      </c>
      <c r="W282" s="2">
        <f t="shared" si="100"/>
        <v>0.11471134156289273</v>
      </c>
      <c r="X282" s="2" t="s">
        <v>1176</v>
      </c>
      <c r="Y282" s="2">
        <f t="shared" si="101"/>
        <v>5.1583705762580853E-2</v>
      </c>
      <c r="Z282" s="2">
        <f t="shared" si="102"/>
        <v>0.1318520682139914</v>
      </c>
      <c r="AA282" s="2" t="str">
        <f t="shared" si="103"/>
        <v>No Impact</v>
      </c>
      <c r="AB282" s="2">
        <f t="shared" si="104"/>
        <v>3.7127043875732638E-2</v>
      </c>
      <c r="AC282" s="2">
        <f t="shared" si="105"/>
        <v>0.13489363586989314</v>
      </c>
      <c r="AD282" s="2" t="str">
        <f t="shared" si="106"/>
        <v>No Impact</v>
      </c>
      <c r="AE282" s="2">
        <f t="shared" si="107"/>
        <v>1.4571388049496408E-2</v>
      </c>
      <c r="AF282" s="2">
        <f t="shared" si="108"/>
        <v>0.11100651988384831</v>
      </c>
      <c r="AG282" s="2" t="s">
        <v>1175</v>
      </c>
    </row>
    <row r="283" spans="1:33" x14ac:dyDescent="0.3">
      <c r="A283">
        <v>309366</v>
      </c>
      <c r="B283" t="s">
        <v>578</v>
      </c>
      <c r="C283" t="s">
        <v>562</v>
      </c>
      <c r="D283" t="s">
        <v>579</v>
      </c>
      <c r="E283" s="13">
        <v>5.9</v>
      </c>
      <c r="F283" s="14">
        <f t="shared" si="89"/>
        <v>0.60000000000000009</v>
      </c>
      <c r="G283" s="2">
        <v>60.365465999999998</v>
      </c>
      <c r="H283" s="2">
        <f t="shared" si="90"/>
        <v>0.29984253652793291</v>
      </c>
      <c r="I283" s="2">
        <v>14</v>
      </c>
      <c r="J283" s="4">
        <f t="shared" si="91"/>
        <v>0.11067193675889328</v>
      </c>
      <c r="K283" s="2">
        <v>0</v>
      </c>
      <c r="L283" s="4">
        <f t="shared" si="92"/>
        <v>0</v>
      </c>
      <c r="M283" s="2">
        <v>80305</v>
      </c>
      <c r="N283" s="2">
        <f t="shared" si="93"/>
        <v>0.37882594521960888</v>
      </c>
      <c r="O283" s="2">
        <v>0.62998493700000002</v>
      </c>
      <c r="P283" s="2">
        <f t="shared" si="94"/>
        <v>0.65030186931874168</v>
      </c>
      <c r="Q283" s="2">
        <v>0.24299999999999999</v>
      </c>
      <c r="R283" s="2">
        <f t="shared" si="95"/>
        <v>0.54429646786334684</v>
      </c>
      <c r="S283" s="2">
        <f t="shared" si="96"/>
        <v>5.149199025365047E-2</v>
      </c>
      <c r="T283" s="5">
        <f t="shared" si="97"/>
        <v>0.13448756449150562</v>
      </c>
      <c r="U283" s="2" t="str">
        <f t="shared" si="98"/>
        <v>No Impact</v>
      </c>
      <c r="V283" s="2">
        <f t="shared" si="99"/>
        <v>4.692273134152837E-2</v>
      </c>
      <c r="W283" s="2">
        <f t="shared" si="100"/>
        <v>0.11381738885418759</v>
      </c>
      <c r="X283" s="2" t="s">
        <v>1176</v>
      </c>
      <c r="Y283" s="2">
        <f t="shared" si="101"/>
        <v>5.6061249165772563E-2</v>
      </c>
      <c r="Z283" s="2">
        <f t="shared" si="102"/>
        <v>0.14329702645227682</v>
      </c>
      <c r="AA283" s="2" t="str">
        <f t="shared" si="103"/>
        <v>No Impact</v>
      </c>
      <c r="AB283" s="2">
        <f t="shared" si="104"/>
        <v>4.4671575421903767E-2</v>
      </c>
      <c r="AC283" s="2">
        <f t="shared" si="105"/>
        <v>0.16230517163892688</v>
      </c>
      <c r="AD283" s="2" t="str">
        <f t="shared" si="106"/>
        <v>Low</v>
      </c>
      <c r="AE283" s="2">
        <f t="shared" si="107"/>
        <v>3.2657842007534479E-2</v>
      </c>
      <c r="AF283" s="2">
        <f t="shared" si="108"/>
        <v>0.24879121850702768</v>
      </c>
      <c r="AG283" s="2" t="s">
        <v>1175</v>
      </c>
    </row>
    <row r="284" spans="1:33" x14ac:dyDescent="0.3">
      <c r="A284">
        <v>309376</v>
      </c>
      <c r="B284" t="s">
        <v>580</v>
      </c>
      <c r="C284" t="s">
        <v>562</v>
      </c>
      <c r="D284" t="s">
        <v>581</v>
      </c>
      <c r="E284" s="13">
        <v>5.2</v>
      </c>
      <c r="F284" s="14">
        <f t="shared" si="89"/>
        <v>0.44444444444444442</v>
      </c>
      <c r="G284" s="2">
        <v>55.682654399999997</v>
      </c>
      <c r="H284" s="2">
        <f t="shared" si="90"/>
        <v>0.24924876955827038</v>
      </c>
      <c r="I284" s="2">
        <v>31.1</v>
      </c>
      <c r="J284" s="4">
        <f t="shared" si="91"/>
        <v>0.24584980237154153</v>
      </c>
      <c r="K284" s="2">
        <v>0</v>
      </c>
      <c r="L284" s="4">
        <f t="shared" si="92"/>
        <v>0</v>
      </c>
      <c r="M284" s="2">
        <v>29372</v>
      </c>
      <c r="N284" s="2">
        <f t="shared" si="93"/>
        <v>0.13784048487601311</v>
      </c>
      <c r="O284" s="2">
        <v>0.37781035000000002</v>
      </c>
      <c r="P284" s="2">
        <f t="shared" si="94"/>
        <v>0.35899227413689561</v>
      </c>
      <c r="Q284" s="2">
        <v>0.249</v>
      </c>
      <c r="R284" s="2">
        <f t="shared" si="95"/>
        <v>0.56166763173132606</v>
      </c>
      <c r="S284" s="2">
        <f t="shared" si="96"/>
        <v>3.5452464804430456E-2</v>
      </c>
      <c r="T284" s="5">
        <f t="shared" si="97"/>
        <v>9.2595287602631721E-2</v>
      </c>
      <c r="U284" s="2" t="str">
        <f t="shared" si="98"/>
        <v>No Impact</v>
      </c>
      <c r="V284" s="2">
        <f t="shared" si="99"/>
        <v>4.3257019924125624E-2</v>
      </c>
      <c r="W284" s="2">
        <f t="shared" si="100"/>
        <v>0.10492571332948285</v>
      </c>
      <c r="X284" s="2" t="s">
        <v>1176</v>
      </c>
      <c r="Y284" s="2">
        <f t="shared" si="101"/>
        <v>2.7647909684735284E-2</v>
      </c>
      <c r="Z284" s="2">
        <f t="shared" si="102"/>
        <v>7.0670263406519565E-2</v>
      </c>
      <c r="AA284" s="2" t="str">
        <f t="shared" si="103"/>
        <v>No Impact</v>
      </c>
      <c r="AB284" s="2">
        <f t="shared" si="104"/>
        <v>2.7149870693970242E-2</v>
      </c>
      <c r="AC284" s="2">
        <f t="shared" si="105"/>
        <v>9.8643586695598057E-2</v>
      </c>
      <c r="AD284" s="2" t="str">
        <f t="shared" si="106"/>
        <v>No Impact</v>
      </c>
      <c r="AE284" s="2">
        <f t="shared" si="107"/>
        <v>1.0615830900301966E-2</v>
      </c>
      <c r="AF284" s="2">
        <f t="shared" si="108"/>
        <v>8.0872627914035156E-2</v>
      </c>
      <c r="AG284" s="2" t="s">
        <v>1175</v>
      </c>
    </row>
    <row r="285" spans="1:33" x14ac:dyDescent="0.3">
      <c r="A285">
        <v>309385</v>
      </c>
      <c r="B285" t="s">
        <v>582</v>
      </c>
      <c r="C285" t="s">
        <v>562</v>
      </c>
      <c r="D285" t="s">
        <v>1146</v>
      </c>
      <c r="E285" s="13">
        <v>5.9</v>
      </c>
      <c r="F285" s="14">
        <f t="shared" si="89"/>
        <v>0.60000000000000009</v>
      </c>
      <c r="G285" s="2">
        <v>56.867212799999997</v>
      </c>
      <c r="H285" s="2">
        <f t="shared" si="90"/>
        <v>0.26204690810639308</v>
      </c>
      <c r="I285" s="2">
        <v>26.8</v>
      </c>
      <c r="J285" s="4">
        <f t="shared" si="91"/>
        <v>0.21185770750988142</v>
      </c>
      <c r="K285" s="2">
        <v>0</v>
      </c>
      <c r="L285" s="4">
        <f t="shared" si="92"/>
        <v>0</v>
      </c>
      <c r="M285" s="2">
        <v>55940</v>
      </c>
      <c r="N285" s="2">
        <f t="shared" si="93"/>
        <v>0.26354487516145975</v>
      </c>
      <c r="O285" s="2">
        <v>0.80603027999999999</v>
      </c>
      <c r="P285" s="2">
        <f t="shared" si="94"/>
        <v>0.85366771285229026</v>
      </c>
      <c r="Q285" s="2">
        <v>0.28649999999999998</v>
      </c>
      <c r="R285" s="2">
        <f t="shared" si="95"/>
        <v>0.67023740590619574</v>
      </c>
      <c r="S285" s="2">
        <f t="shared" si="96"/>
        <v>7.5829495301795932E-2</v>
      </c>
      <c r="T285" s="5">
        <f t="shared" si="97"/>
        <v>0.19805263089506661</v>
      </c>
      <c r="U285" s="2" t="str">
        <f t="shared" si="98"/>
        <v>Low</v>
      </c>
      <c r="V285" s="2">
        <f t="shared" si="99"/>
        <v>6.6702006045701187E-2</v>
      </c>
      <c r="W285" s="2">
        <f t="shared" si="100"/>
        <v>0.1617946769594564</v>
      </c>
      <c r="X285" s="2" t="s">
        <v>1176</v>
      </c>
      <c r="Y285" s="2">
        <f t="shared" si="101"/>
        <v>8.4956984557890664E-2</v>
      </c>
      <c r="Z285" s="2">
        <f t="shared" si="102"/>
        <v>0.21715683194106303</v>
      </c>
      <c r="AA285" s="2" t="str">
        <f t="shared" si="103"/>
        <v>Low</v>
      </c>
      <c r="AB285" s="2">
        <f t="shared" si="104"/>
        <v>5.8012589741298366E-2</v>
      </c>
      <c r="AC285" s="2">
        <f t="shared" si="105"/>
        <v>0.21077706004886654</v>
      </c>
      <c r="AD285" s="2" t="str">
        <f t="shared" si="106"/>
        <v>Low</v>
      </c>
      <c r="AE285" s="2">
        <f t="shared" si="107"/>
        <v>2.6227977879816438E-2</v>
      </c>
      <c r="AF285" s="2">
        <f t="shared" si="108"/>
        <v>0.19980776972922623</v>
      </c>
      <c r="AG285" s="2" t="s">
        <v>1175</v>
      </c>
    </row>
    <row r="286" spans="1:33" x14ac:dyDescent="0.3">
      <c r="A286">
        <v>309395</v>
      </c>
      <c r="B286" t="s">
        <v>583</v>
      </c>
      <c r="C286" t="s">
        <v>562</v>
      </c>
      <c r="D286" t="s">
        <v>584</v>
      </c>
      <c r="E286" s="13">
        <v>5.9</v>
      </c>
      <c r="F286" s="14">
        <f t="shared" si="89"/>
        <v>0.60000000000000009</v>
      </c>
      <c r="G286" s="2">
        <v>60.365465999999998</v>
      </c>
      <c r="H286" s="2">
        <f t="shared" si="90"/>
        <v>0.29984253652793291</v>
      </c>
      <c r="I286" s="2">
        <v>20.100000000000001</v>
      </c>
      <c r="J286" s="4">
        <f t="shared" si="91"/>
        <v>0.15889328063241107</v>
      </c>
      <c r="K286" s="2">
        <v>0</v>
      </c>
      <c r="L286" s="4">
        <f t="shared" si="92"/>
        <v>0</v>
      </c>
      <c r="M286" s="2">
        <v>51021</v>
      </c>
      <c r="N286" s="2">
        <f t="shared" si="93"/>
        <v>0.24027101578875151</v>
      </c>
      <c r="O286" s="2">
        <v>0.68154551299999999</v>
      </c>
      <c r="P286" s="2">
        <f t="shared" si="94"/>
        <v>0.70986413806512727</v>
      </c>
      <c r="Q286" s="2">
        <v>0.23799999999999999</v>
      </c>
      <c r="R286" s="2">
        <f t="shared" si="95"/>
        <v>0.52982049797336428</v>
      </c>
      <c r="S286" s="2">
        <f t="shared" si="96"/>
        <v>5.9712213176095319E-2</v>
      </c>
      <c r="T286" s="5">
        <f t="shared" si="97"/>
        <v>0.15595726793413922</v>
      </c>
      <c r="U286" s="2" t="str">
        <f t="shared" si="98"/>
        <v>Low</v>
      </c>
      <c r="V286" s="2">
        <f t="shared" si="99"/>
        <v>5.1040004208083446E-2</v>
      </c>
      <c r="W286" s="2">
        <f t="shared" si="100"/>
        <v>0.12380438734028702</v>
      </c>
      <c r="X286" s="2" t="s">
        <v>1176</v>
      </c>
      <c r="Y286" s="2">
        <f t="shared" si="101"/>
        <v>6.8384422144107171E-2</v>
      </c>
      <c r="Z286" s="2">
        <f t="shared" si="102"/>
        <v>0.17479603995143603</v>
      </c>
      <c r="AA286" s="2" t="str">
        <f t="shared" si="103"/>
        <v>Low</v>
      </c>
      <c r="AB286" s="2">
        <f t="shared" si="104"/>
        <v>4.6480565792494564E-2</v>
      </c>
      <c r="AC286" s="2">
        <f t="shared" si="105"/>
        <v>0.16887777378736021</v>
      </c>
      <c r="AD286" s="2" t="str">
        <f t="shared" si="106"/>
        <v>Low</v>
      </c>
      <c r="AE286" s="2">
        <f t="shared" si="107"/>
        <v>2.314639336123776E-2</v>
      </c>
      <c r="AF286" s="2">
        <f t="shared" si="108"/>
        <v>0.17633190236687254</v>
      </c>
      <c r="AG286" s="2" t="s">
        <v>1175</v>
      </c>
    </row>
    <row r="287" spans="1:33" x14ac:dyDescent="0.3">
      <c r="A287">
        <v>400108</v>
      </c>
      <c r="B287" t="s">
        <v>585</v>
      </c>
      <c r="C287" t="s">
        <v>586</v>
      </c>
      <c r="D287" t="s">
        <v>587</v>
      </c>
      <c r="E287" s="13">
        <v>6.9</v>
      </c>
      <c r="F287" s="14">
        <f t="shared" si="89"/>
        <v>0.8222222222222223</v>
      </c>
      <c r="G287" s="2">
        <v>52.5254148</v>
      </c>
      <c r="H287" s="2">
        <f t="shared" si="90"/>
        <v>0.21513750089442099</v>
      </c>
      <c r="I287" s="2">
        <v>25</v>
      </c>
      <c r="J287" s="4">
        <f t="shared" si="91"/>
        <v>0.19762845849802371</v>
      </c>
      <c r="K287" s="2">
        <v>0</v>
      </c>
      <c r="L287" s="4">
        <f t="shared" si="92"/>
        <v>0</v>
      </c>
      <c r="M287" s="2">
        <v>24641</v>
      </c>
      <c r="N287" s="2">
        <f t="shared" si="93"/>
        <v>0.11545613263119048</v>
      </c>
      <c r="O287" s="2">
        <v>0.51801354700000002</v>
      </c>
      <c r="P287" s="2">
        <f t="shared" si="94"/>
        <v>0.52095362419660884</v>
      </c>
      <c r="Q287" s="2">
        <v>0.20669999999999999</v>
      </c>
      <c r="R287" s="2">
        <f t="shared" si="95"/>
        <v>0.43920092646207298</v>
      </c>
      <c r="S287" s="2">
        <f t="shared" si="96"/>
        <v>5.7025916997401109E-2</v>
      </c>
      <c r="T287" s="5">
        <f t="shared" si="97"/>
        <v>0.14894115865586538</v>
      </c>
      <c r="U287" s="2" t="str">
        <f t="shared" si="98"/>
        <v>No Impact</v>
      </c>
      <c r="V287" s="2">
        <f t="shared" si="99"/>
        <v>5.2170425189207267E-2</v>
      </c>
      <c r="W287" s="2">
        <f t="shared" si="100"/>
        <v>0.12654637530004656</v>
      </c>
      <c r="X287" s="2" t="s">
        <v>1176</v>
      </c>
      <c r="Y287" s="2">
        <f t="shared" si="101"/>
        <v>6.1881408805594944E-2</v>
      </c>
      <c r="Z287" s="2">
        <f t="shared" si="102"/>
        <v>0.15817381892969626</v>
      </c>
      <c r="AA287" s="2" t="str">
        <f t="shared" si="103"/>
        <v>Low</v>
      </c>
      <c r="AB287" s="2">
        <f t="shared" si="104"/>
        <v>4.1624126076426064E-2</v>
      </c>
      <c r="AC287" s="2">
        <f t="shared" si="105"/>
        <v>0.1512328782530937</v>
      </c>
      <c r="AD287" s="2" t="str">
        <f t="shared" si="106"/>
        <v>Low</v>
      </c>
      <c r="AE287" s="2">
        <f t="shared" si="107"/>
        <v>1.3714441767214404E-2</v>
      </c>
      <c r="AF287" s="2">
        <f t="shared" si="108"/>
        <v>0.10447820396772564</v>
      </c>
      <c r="AG287" s="2" t="s">
        <v>1175</v>
      </c>
    </row>
    <row r="288" spans="1:33" x14ac:dyDescent="0.3">
      <c r="A288">
        <v>400114</v>
      </c>
      <c r="B288" t="s">
        <v>588</v>
      </c>
      <c r="C288" t="s">
        <v>586</v>
      </c>
      <c r="D288" t="s">
        <v>589</v>
      </c>
      <c r="E288" s="13">
        <v>6.8</v>
      </c>
      <c r="F288" s="14">
        <f t="shared" si="89"/>
        <v>0.79999999999999993</v>
      </c>
      <c r="G288" s="2">
        <v>75.334996799999999</v>
      </c>
      <c r="H288" s="2">
        <f t="shared" si="90"/>
        <v>0.46157549049524305</v>
      </c>
      <c r="I288" s="2">
        <v>64.400000000000006</v>
      </c>
      <c r="J288" s="4">
        <f t="shared" si="91"/>
        <v>0.50909090909090915</v>
      </c>
      <c r="K288" s="2">
        <v>0</v>
      </c>
      <c r="L288" s="4">
        <f t="shared" si="92"/>
        <v>0</v>
      </c>
      <c r="M288" s="2">
        <v>9991</v>
      </c>
      <c r="N288" s="2">
        <f t="shared" si="93"/>
        <v>4.6140816548617715E-2</v>
      </c>
      <c r="O288" s="2">
        <v>0.60079026599999996</v>
      </c>
      <c r="P288" s="2">
        <f t="shared" si="94"/>
        <v>0.61657647338708432</v>
      </c>
      <c r="Q288" s="2">
        <v>0.21179999999999999</v>
      </c>
      <c r="R288" s="2">
        <f t="shared" si="95"/>
        <v>0.45396641574985525</v>
      </c>
      <c r="S288" s="2">
        <f t="shared" si="96"/>
        <v>0.14547960165215543</v>
      </c>
      <c r="T288" s="5">
        <f t="shared" si="97"/>
        <v>0.3799658395997958</v>
      </c>
      <c r="U288" s="2" t="str">
        <f t="shared" si="98"/>
        <v>Moderate</v>
      </c>
      <c r="V288" s="2">
        <f t="shared" si="99"/>
        <v>0.12338198496650382</v>
      </c>
      <c r="W288" s="2">
        <f t="shared" si="100"/>
        <v>0.29927958068599259</v>
      </c>
      <c r="X288" s="2" t="s">
        <v>1175</v>
      </c>
      <c r="Y288" s="2">
        <f t="shared" si="101"/>
        <v>0.16757721833780703</v>
      </c>
      <c r="Z288" s="2">
        <f t="shared" si="102"/>
        <v>0.42834074242520997</v>
      </c>
      <c r="AA288" s="2" t="str">
        <f t="shared" si="103"/>
        <v>Moderate</v>
      </c>
      <c r="AB288" s="2">
        <f t="shared" si="104"/>
        <v>9.7846019586393232E-2</v>
      </c>
      <c r="AC288" s="2">
        <f t="shared" si="105"/>
        <v>0.35550380422375888</v>
      </c>
      <c r="AD288" s="2" t="str">
        <f t="shared" si="106"/>
        <v>Moderate</v>
      </c>
      <c r="AE288" s="2">
        <f t="shared" si="107"/>
        <v>1.2540455276499333E-2</v>
      </c>
      <c r="AF288" s="2">
        <f t="shared" si="108"/>
        <v>9.5534639066272353E-2</v>
      </c>
      <c r="AG288" s="2" t="s">
        <v>1175</v>
      </c>
    </row>
    <row r="289" spans="1:33" x14ac:dyDescent="0.3">
      <c r="A289">
        <v>400134</v>
      </c>
      <c r="B289" t="s">
        <v>590</v>
      </c>
      <c r="C289" t="s">
        <v>586</v>
      </c>
      <c r="D289" t="s">
        <v>591</v>
      </c>
      <c r="E289" s="13">
        <v>6.9</v>
      </c>
      <c r="F289" s="14">
        <f t="shared" si="89"/>
        <v>0.8222222222222223</v>
      </c>
      <c r="G289" s="2">
        <v>73.492603200000005</v>
      </c>
      <c r="H289" s="2">
        <f t="shared" si="90"/>
        <v>0.44167000626333469</v>
      </c>
      <c r="I289" s="2">
        <v>45.8</v>
      </c>
      <c r="J289" s="4">
        <f t="shared" si="91"/>
        <v>0.36205533596837941</v>
      </c>
      <c r="K289" s="2">
        <v>0</v>
      </c>
      <c r="L289" s="4">
        <f t="shared" si="92"/>
        <v>0</v>
      </c>
      <c r="M289" s="2">
        <v>15140</v>
      </c>
      <c r="N289" s="2">
        <f t="shared" si="93"/>
        <v>7.0502902726717859E-2</v>
      </c>
      <c r="O289" s="2">
        <v>0.790922071</v>
      </c>
      <c r="P289" s="2">
        <f t="shared" si="94"/>
        <v>0.83621485885906577</v>
      </c>
      <c r="Q289" s="2">
        <v>0.27800000000000002</v>
      </c>
      <c r="R289" s="2">
        <f t="shared" si="95"/>
        <v>0.64562825709322536</v>
      </c>
      <c r="S289" s="2">
        <f t="shared" si="96"/>
        <v>0.17137092786952132</v>
      </c>
      <c r="T289" s="5">
        <f t="shared" si="97"/>
        <v>0.4475891998015652</v>
      </c>
      <c r="U289" s="2" t="str">
        <f t="shared" si="98"/>
        <v>Moderate</v>
      </c>
      <c r="V289" s="2">
        <f t="shared" si="99"/>
        <v>0.14933013122073319</v>
      </c>
      <c r="W289" s="2">
        <f t="shared" si="100"/>
        <v>0.36222029551281953</v>
      </c>
      <c r="X289" s="2" t="str">
        <f t="shared" si="109"/>
        <v>Moderate</v>
      </c>
      <c r="Y289" s="2">
        <f t="shared" si="101"/>
        <v>0.19341172451830943</v>
      </c>
      <c r="Z289" s="2">
        <f t="shared" si="102"/>
        <v>0.49437580176864626</v>
      </c>
      <c r="AA289" s="2" t="str">
        <f t="shared" si="103"/>
        <v>Moderate</v>
      </c>
      <c r="AB289" s="2">
        <f t="shared" si="104"/>
        <v>0.11599648494526831</v>
      </c>
      <c r="AC289" s="2">
        <f t="shared" si="105"/>
        <v>0.42144986427594472</v>
      </c>
      <c r="AD289" s="2" t="str">
        <f t="shared" si="106"/>
        <v>Moderate</v>
      </c>
      <c r="AE289" s="2">
        <f t="shared" si="107"/>
        <v>1.6306919035768204E-2</v>
      </c>
      <c r="AF289" s="2">
        <f t="shared" si="108"/>
        <v>0.12422799571595157</v>
      </c>
      <c r="AG289" s="2" t="s">
        <v>1175</v>
      </c>
    </row>
    <row r="290" spans="1:33" x14ac:dyDescent="0.3">
      <c r="A290">
        <v>400138</v>
      </c>
      <c r="B290" t="s">
        <v>592</v>
      </c>
      <c r="C290" t="s">
        <v>586</v>
      </c>
      <c r="D290" t="s">
        <v>1128</v>
      </c>
      <c r="E290" s="13">
        <v>6.9</v>
      </c>
      <c r="F290" s="14">
        <f t="shared" si="89"/>
        <v>0.8222222222222223</v>
      </c>
      <c r="G290" s="2">
        <v>78.175414799999999</v>
      </c>
      <c r="H290" s="2">
        <f t="shared" si="90"/>
        <v>0.49226377323299719</v>
      </c>
      <c r="I290" s="2">
        <v>63.8</v>
      </c>
      <c r="J290" s="4">
        <f t="shared" si="91"/>
        <v>0.5043478260869565</v>
      </c>
      <c r="K290" s="2">
        <v>0</v>
      </c>
      <c r="L290" s="4">
        <f t="shared" si="92"/>
        <v>0</v>
      </c>
      <c r="M290" s="2">
        <v>6938</v>
      </c>
      <c r="N290" s="2">
        <f t="shared" si="93"/>
        <v>3.1695788562263134E-2</v>
      </c>
      <c r="O290" s="2">
        <v>0.72552366400000001</v>
      </c>
      <c r="P290" s="2">
        <f t="shared" si="94"/>
        <v>0.76066726425268461</v>
      </c>
      <c r="Q290" s="2">
        <v>0.24859999999999999</v>
      </c>
      <c r="R290" s="2">
        <f t="shared" si="95"/>
        <v>0.56050955414012738</v>
      </c>
      <c r="S290" s="2">
        <f t="shared" si="96"/>
        <v>0.18945852042688519</v>
      </c>
      <c r="T290" s="5">
        <f t="shared" si="97"/>
        <v>0.49483064956048373</v>
      </c>
      <c r="U290" s="2" t="str">
        <f t="shared" si="98"/>
        <v>Moderate</v>
      </c>
      <c r="V290" s="2">
        <f t="shared" si="99"/>
        <v>0.16075563745010887</v>
      </c>
      <c r="W290" s="2">
        <f t="shared" si="100"/>
        <v>0.38993439586856493</v>
      </c>
      <c r="X290" s="2" t="str">
        <f t="shared" si="109"/>
        <v>Moderate</v>
      </c>
      <c r="Y290" s="2">
        <f t="shared" si="101"/>
        <v>0.21816140340366144</v>
      </c>
      <c r="Z290" s="2">
        <f t="shared" si="102"/>
        <v>0.55763795597845556</v>
      </c>
      <c r="AA290" s="2" t="str">
        <f t="shared" si="103"/>
        <v>Moderate</v>
      </c>
      <c r="AB290" s="2">
        <f t="shared" si="104"/>
        <v>0.12489454701931646</v>
      </c>
      <c r="AC290" s="2">
        <f t="shared" si="105"/>
        <v>0.45377918059269318</v>
      </c>
      <c r="AD290" s="2" t="str">
        <f t="shared" si="106"/>
        <v>Moderate</v>
      </c>
      <c r="AE290" s="2">
        <f t="shared" si="107"/>
        <v>9.0904368305141526E-3</v>
      </c>
      <c r="AF290" s="2">
        <f t="shared" si="108"/>
        <v>6.9251999421854046E-2</v>
      </c>
      <c r="AG290" s="2" t="s">
        <v>1175</v>
      </c>
    </row>
    <row r="291" spans="1:33" x14ac:dyDescent="0.3">
      <c r="A291">
        <v>400156</v>
      </c>
      <c r="B291" t="s">
        <v>593</v>
      </c>
      <c r="C291" t="s">
        <v>586</v>
      </c>
      <c r="D291" t="s">
        <v>594</v>
      </c>
      <c r="E291" s="13">
        <v>6.9</v>
      </c>
      <c r="F291" s="14">
        <f t="shared" si="89"/>
        <v>0.8222222222222223</v>
      </c>
      <c r="G291" s="2">
        <v>79.8982776</v>
      </c>
      <c r="H291" s="2">
        <f t="shared" si="90"/>
        <v>0.51087782958835004</v>
      </c>
      <c r="I291" s="2">
        <v>60.4</v>
      </c>
      <c r="J291" s="4">
        <f t="shared" si="91"/>
        <v>0.47747035573122526</v>
      </c>
      <c r="K291" s="2">
        <v>0</v>
      </c>
      <c r="L291" s="4">
        <f t="shared" si="92"/>
        <v>0</v>
      </c>
      <c r="M291" s="2">
        <v>11647</v>
      </c>
      <c r="N291" s="2">
        <f t="shared" si="93"/>
        <v>5.3976049547439592E-2</v>
      </c>
      <c r="O291" s="2">
        <v>0.760101841</v>
      </c>
      <c r="P291" s="2">
        <f t="shared" si="94"/>
        <v>0.80061163320686557</v>
      </c>
      <c r="Q291" s="2">
        <v>0.2364</v>
      </c>
      <c r="R291" s="2">
        <f t="shared" si="95"/>
        <v>0.52518818760856978</v>
      </c>
      <c r="S291" s="2">
        <f t="shared" si="96"/>
        <v>0.18854507131832665</v>
      </c>
      <c r="T291" s="5">
        <f t="shared" si="97"/>
        <v>0.49244488926472069</v>
      </c>
      <c r="U291" s="2" t="str">
        <f t="shared" si="98"/>
        <v>Moderate</v>
      </c>
      <c r="V291" s="2">
        <f t="shared" si="99"/>
        <v>0.14937646352568834</v>
      </c>
      <c r="W291" s="2">
        <f t="shared" si="100"/>
        <v>0.36233268074315084</v>
      </c>
      <c r="X291" s="2" t="str">
        <f t="shared" si="109"/>
        <v>Moderate</v>
      </c>
      <c r="Y291" s="2">
        <f t="shared" si="101"/>
        <v>0.22771367911096499</v>
      </c>
      <c r="Z291" s="2">
        <f t="shared" si="102"/>
        <v>0.58205433494035397</v>
      </c>
      <c r="AA291" s="2" t="str">
        <f t="shared" si="103"/>
        <v>Moderate</v>
      </c>
      <c r="AB291" s="2">
        <f t="shared" si="104"/>
        <v>0.12596910751259977</v>
      </c>
      <c r="AC291" s="2">
        <f t="shared" si="105"/>
        <v>0.45768337970928041</v>
      </c>
      <c r="AD291" s="2" t="str">
        <f t="shared" si="106"/>
        <v>Moderate</v>
      </c>
      <c r="AE291" s="2">
        <f t="shared" si="107"/>
        <v>1.5352118700912482E-2</v>
      </c>
      <c r="AF291" s="2">
        <f t="shared" si="108"/>
        <v>0.11695421630686297</v>
      </c>
      <c r="AG291" s="2" t="s">
        <v>1175</v>
      </c>
    </row>
    <row r="292" spans="1:33" x14ac:dyDescent="0.3">
      <c r="A292">
        <v>400158</v>
      </c>
      <c r="B292" t="s">
        <v>595</v>
      </c>
      <c r="C292" t="s">
        <v>586</v>
      </c>
      <c r="D292" t="s">
        <v>596</v>
      </c>
      <c r="E292" s="13">
        <v>6.9</v>
      </c>
      <c r="F292" s="14">
        <f t="shared" si="89"/>
        <v>0.8222222222222223</v>
      </c>
      <c r="G292" s="2">
        <v>73.492603200000005</v>
      </c>
      <c r="H292" s="2">
        <f t="shared" si="90"/>
        <v>0.44167000626333469</v>
      </c>
      <c r="I292" s="2">
        <v>47.7</v>
      </c>
      <c r="J292" s="4">
        <f t="shared" si="91"/>
        <v>0.37707509881422929</v>
      </c>
      <c r="K292" s="2">
        <v>0</v>
      </c>
      <c r="L292" s="4">
        <f t="shared" si="92"/>
        <v>0</v>
      </c>
      <c r="M292" s="2">
        <v>34915</v>
      </c>
      <c r="N292" s="2">
        <f t="shared" si="93"/>
        <v>0.16406675088595857</v>
      </c>
      <c r="O292" s="2">
        <v>0.72880974300000001</v>
      </c>
      <c r="P292" s="2">
        <f t="shared" si="94"/>
        <v>0.76446331029607739</v>
      </c>
      <c r="Q292" s="2">
        <v>0.35799999999999998</v>
      </c>
      <c r="R292" s="2">
        <f t="shared" si="95"/>
        <v>0.87724377533294728</v>
      </c>
      <c r="S292" s="2">
        <f t="shared" si="96"/>
        <v>0.19340675935858251</v>
      </c>
      <c r="T292" s="5">
        <f t="shared" si="97"/>
        <v>0.50514272014347839</v>
      </c>
      <c r="U292" s="2" t="str">
        <f t="shared" si="98"/>
        <v>Moderate</v>
      </c>
      <c r="V292" s="2">
        <f t="shared" si="99"/>
        <v>0.20669323686280636</v>
      </c>
      <c r="W292" s="2">
        <f t="shared" si="100"/>
        <v>0.50136221487865462</v>
      </c>
      <c r="X292" s="2" t="str">
        <f t="shared" si="109"/>
        <v>Moderate</v>
      </c>
      <c r="Y292" s="2">
        <f t="shared" si="101"/>
        <v>0.18012028185435869</v>
      </c>
      <c r="Z292" s="2">
        <f t="shared" si="102"/>
        <v>0.46040181368691241</v>
      </c>
      <c r="AA292" s="2" t="str">
        <f t="shared" si="103"/>
        <v>Moderate</v>
      </c>
      <c r="AB292" s="2">
        <f t="shared" si="104"/>
        <v>0.13990861765764903</v>
      </c>
      <c r="AC292" s="2">
        <f t="shared" si="105"/>
        <v>0.50832978215394187</v>
      </c>
      <c r="AD292" s="2" t="str">
        <f t="shared" si="106"/>
        <v>Moderate</v>
      </c>
      <c r="AE292" s="2">
        <f t="shared" si="107"/>
        <v>3.8656857712454883E-2</v>
      </c>
      <c r="AF292" s="2">
        <f t="shared" si="108"/>
        <v>0.29449241415631794</v>
      </c>
      <c r="AG292" s="2" t="s">
        <v>1175</v>
      </c>
    </row>
    <row r="293" spans="1:33" x14ac:dyDescent="0.3">
      <c r="A293">
        <v>400160</v>
      </c>
      <c r="B293" t="s">
        <v>597</v>
      </c>
      <c r="C293" t="s">
        <v>586</v>
      </c>
      <c r="D293" t="s">
        <v>598</v>
      </c>
      <c r="E293" s="13">
        <v>6.9</v>
      </c>
      <c r="F293" s="14">
        <f t="shared" si="89"/>
        <v>0.8222222222222223</v>
      </c>
      <c r="G293" s="2">
        <v>115.20198000000001</v>
      </c>
      <c r="H293" s="2">
        <f t="shared" si="90"/>
        <v>0.89230408478766576</v>
      </c>
      <c r="I293" s="2">
        <v>112.7</v>
      </c>
      <c r="J293" s="4">
        <f t="shared" si="91"/>
        <v>0.89090909090909098</v>
      </c>
      <c r="K293" s="2">
        <v>1.2</v>
      </c>
      <c r="L293" s="4">
        <f t="shared" si="92"/>
        <v>0.6</v>
      </c>
      <c r="M293" s="2">
        <v>36030</v>
      </c>
      <c r="N293" s="2">
        <f t="shared" si="93"/>
        <v>0.16934228518166292</v>
      </c>
      <c r="O293" s="2">
        <v>0.57720619699999998</v>
      </c>
      <c r="P293" s="2">
        <f t="shared" si="94"/>
        <v>0.58933238953683209</v>
      </c>
      <c r="Q293" s="2">
        <v>0.2072</v>
      </c>
      <c r="R293" s="2">
        <f t="shared" si="95"/>
        <v>0.44064852345107125</v>
      </c>
      <c r="S293" s="2">
        <f t="shared" si="96"/>
        <v>0.34049578950658088</v>
      </c>
      <c r="T293" s="5">
        <f t="shared" si="97"/>
        <v>0.88931208960418873</v>
      </c>
      <c r="U293" s="2" t="str">
        <f t="shared" si="98"/>
        <v>High</v>
      </c>
      <c r="V293" s="2">
        <f t="shared" si="99"/>
        <v>0.29134319868536002</v>
      </c>
      <c r="W293" s="2">
        <f t="shared" si="100"/>
        <v>0.70669206985073107</v>
      </c>
      <c r="X293" s="2" t="str">
        <f t="shared" si="109"/>
        <v>High</v>
      </c>
      <c r="Y293" s="2">
        <f t="shared" si="101"/>
        <v>0.38964838032780164</v>
      </c>
      <c r="Z293" s="2">
        <f t="shared" si="102"/>
        <v>0.9959723533418765</v>
      </c>
      <c r="AA293" s="2" t="str">
        <f t="shared" si="103"/>
        <v>High</v>
      </c>
      <c r="AB293" s="2">
        <f t="shared" si="104"/>
        <v>0.25805199532024731</v>
      </c>
      <c r="AC293" s="2">
        <f t="shared" si="105"/>
        <v>0.93757994869560313</v>
      </c>
      <c r="AD293" s="2" t="str">
        <f t="shared" si="106"/>
        <v>High</v>
      </c>
      <c r="AE293" s="2">
        <f t="shared" si="107"/>
        <v>0.11196389052008786</v>
      </c>
      <c r="AF293" s="2">
        <f t="shared" si="108"/>
        <v>0.85295387076872808</v>
      </c>
      <c r="AG293" s="2" t="str">
        <f t="shared" ref="AG293:AG321" si="110">IF(AF293&gt;0.7,"High",IF(AF293&gt;0.3,"Moderate",IF(AF293&gt;0.15,"Low","No Impact")))</f>
        <v>High</v>
      </c>
    </row>
    <row r="294" spans="1:33" x14ac:dyDescent="0.3">
      <c r="A294">
        <v>400173</v>
      </c>
      <c r="B294" t="s">
        <v>599</v>
      </c>
      <c r="C294" t="s">
        <v>586</v>
      </c>
      <c r="D294" t="s">
        <v>600</v>
      </c>
      <c r="E294" s="13">
        <v>6.8</v>
      </c>
      <c r="F294" s="14">
        <f t="shared" si="89"/>
        <v>0.79999999999999993</v>
      </c>
      <c r="G294" s="2">
        <v>82.587524400000007</v>
      </c>
      <c r="H294" s="2">
        <f t="shared" si="90"/>
        <v>0.53993283703795814</v>
      </c>
      <c r="I294" s="2">
        <v>69.599999999999994</v>
      </c>
      <c r="J294" s="4">
        <f t="shared" si="91"/>
        <v>0.55019762845849796</v>
      </c>
      <c r="K294" s="2">
        <v>1.2</v>
      </c>
      <c r="L294" s="4">
        <f t="shared" si="92"/>
        <v>0.6</v>
      </c>
      <c r="M294" s="2">
        <v>24278</v>
      </c>
      <c r="N294" s="2">
        <f t="shared" si="93"/>
        <v>0.11373862684702843</v>
      </c>
      <c r="O294" s="2">
        <v>0.61359024600000001</v>
      </c>
      <c r="P294" s="2">
        <f t="shared" si="94"/>
        <v>0.63136288401035523</v>
      </c>
      <c r="Q294" s="2">
        <v>0.1694</v>
      </c>
      <c r="R294" s="2">
        <f t="shared" si="95"/>
        <v>0.33121019108280259</v>
      </c>
      <c r="S294" s="2">
        <f t="shared" si="96"/>
        <v>0.21621149422629965</v>
      </c>
      <c r="T294" s="5">
        <f t="shared" si="97"/>
        <v>0.5647044740420154</v>
      </c>
      <c r="U294" s="2" t="str">
        <f t="shared" si="98"/>
        <v>Moderate</v>
      </c>
      <c r="V294" s="2">
        <f t="shared" si="99"/>
        <v>0.14879171705495797</v>
      </c>
      <c r="W294" s="2">
        <f t="shared" si="100"/>
        <v>0.36091429961874838</v>
      </c>
      <c r="X294" s="2" t="str">
        <f t="shared" si="109"/>
        <v>Moderate</v>
      </c>
      <c r="Y294" s="2">
        <f t="shared" si="101"/>
        <v>0.28363127139764133</v>
      </c>
      <c r="Z294" s="2">
        <f t="shared" si="102"/>
        <v>0.72498416294610624</v>
      </c>
      <c r="AA294" s="2" t="str">
        <f t="shared" si="103"/>
        <v>High</v>
      </c>
      <c r="AB294" s="2">
        <f t="shared" si="104"/>
        <v>0.15504992352012645</v>
      </c>
      <c r="AC294" s="2">
        <f t="shared" si="105"/>
        <v>0.56334266727466442</v>
      </c>
      <c r="AD294" s="2" t="str">
        <f t="shared" si="106"/>
        <v>Moderate</v>
      </c>
      <c r="AE294" s="2">
        <f t="shared" si="107"/>
        <v>5.1095546090282155E-2</v>
      </c>
      <c r="AF294" s="2">
        <f t="shared" si="108"/>
        <v>0.38925178121538107</v>
      </c>
      <c r="AG294" s="2" t="str">
        <f t="shared" si="110"/>
        <v>Moderate</v>
      </c>
    </row>
    <row r="295" spans="1:33" x14ac:dyDescent="0.3">
      <c r="A295">
        <v>400177</v>
      </c>
      <c r="B295" t="s">
        <v>601</v>
      </c>
      <c r="C295" t="s">
        <v>586</v>
      </c>
      <c r="D295" t="s">
        <v>602</v>
      </c>
      <c r="E295" s="13">
        <v>6.9</v>
      </c>
      <c r="F295" s="14">
        <f t="shared" si="89"/>
        <v>0.8222222222222223</v>
      </c>
      <c r="G295" s="2">
        <v>79.550024399999998</v>
      </c>
      <c r="H295" s="2">
        <f t="shared" si="90"/>
        <v>0.50711525215575826</v>
      </c>
      <c r="I295" s="2">
        <v>71.8</v>
      </c>
      <c r="J295" s="4">
        <f t="shared" si="91"/>
        <v>0.56758893280632405</v>
      </c>
      <c r="K295" s="2">
        <v>1.2</v>
      </c>
      <c r="L295" s="4">
        <f t="shared" si="92"/>
        <v>0.6</v>
      </c>
      <c r="M295" s="2">
        <v>16547</v>
      </c>
      <c r="N295" s="2">
        <f t="shared" si="93"/>
        <v>7.7160011923180644E-2</v>
      </c>
      <c r="O295" s="2">
        <v>0.69603377499999997</v>
      </c>
      <c r="P295" s="2">
        <f t="shared" si="94"/>
        <v>0.72660083539977394</v>
      </c>
      <c r="Q295" s="2">
        <v>0.3664</v>
      </c>
      <c r="R295" s="2">
        <f t="shared" si="95"/>
        <v>0.90156340474811825</v>
      </c>
      <c r="S295" s="2">
        <f t="shared" si="96"/>
        <v>0.37226020098059398</v>
      </c>
      <c r="T295" s="5">
        <f t="shared" si="97"/>
        <v>0.97227486334050217</v>
      </c>
      <c r="U295" s="2" t="str">
        <f t="shared" si="98"/>
        <v>High</v>
      </c>
      <c r="V295" s="2">
        <f t="shared" si="99"/>
        <v>0.41226329134682116</v>
      </c>
      <c r="W295" s="2">
        <f t="shared" si="100"/>
        <v>1</v>
      </c>
      <c r="X295" s="2" t="str">
        <f t="shared" si="109"/>
        <v>High</v>
      </c>
      <c r="Y295" s="2">
        <f t="shared" si="101"/>
        <v>0.3322571106143668</v>
      </c>
      <c r="Z295" s="2">
        <f t="shared" si="102"/>
        <v>0.84927568823658173</v>
      </c>
      <c r="AA295" s="2" t="str">
        <f t="shared" si="103"/>
        <v>High</v>
      </c>
      <c r="AB295" s="2">
        <f t="shared" si="104"/>
        <v>0.25631848223700998</v>
      </c>
      <c r="AC295" s="2">
        <f t="shared" si="105"/>
        <v>0.93128157806828915</v>
      </c>
      <c r="AD295" s="2" t="str">
        <f t="shared" si="106"/>
        <v>High</v>
      </c>
      <c r="AE295" s="2">
        <f t="shared" si="107"/>
        <v>3.5283420232321505E-2</v>
      </c>
      <c r="AF295" s="2">
        <f t="shared" si="108"/>
        <v>0.2687931771691946</v>
      </c>
      <c r="AG295" s="2" t="s">
        <v>1175</v>
      </c>
    </row>
    <row r="296" spans="1:33" x14ac:dyDescent="0.3">
      <c r="A296">
        <v>401807</v>
      </c>
      <c r="B296" t="s">
        <v>603</v>
      </c>
      <c r="C296" t="s">
        <v>604</v>
      </c>
      <c r="D296" t="s">
        <v>605</v>
      </c>
      <c r="E296" s="13">
        <v>6.3</v>
      </c>
      <c r="F296" s="14">
        <f t="shared" si="89"/>
        <v>0.68888888888888877</v>
      </c>
      <c r="G296" s="2">
        <v>110.322288</v>
      </c>
      <c r="H296" s="2">
        <f t="shared" si="90"/>
        <v>0.83958319378882085</v>
      </c>
      <c r="I296" s="2">
        <v>86.7</v>
      </c>
      <c r="J296" s="4">
        <f t="shared" si="91"/>
        <v>0.68537549407114629</v>
      </c>
      <c r="K296" s="2">
        <v>1.2</v>
      </c>
      <c r="L296" s="4">
        <f t="shared" si="92"/>
        <v>0.6</v>
      </c>
      <c r="M296" s="2">
        <v>51862</v>
      </c>
      <c r="N296" s="2">
        <f t="shared" si="93"/>
        <v>0.24425014075977156</v>
      </c>
      <c r="O296" s="2">
        <v>0.58041230399999999</v>
      </c>
      <c r="P296" s="2">
        <f t="shared" si="94"/>
        <v>0.59303605271475446</v>
      </c>
      <c r="Q296" s="2">
        <v>0.2145</v>
      </c>
      <c r="R296" s="2">
        <f t="shared" si="95"/>
        <v>0.46178343949044587</v>
      </c>
      <c r="S296" s="2">
        <f t="shared" si="96"/>
        <v>0.25931918867307341</v>
      </c>
      <c r="T296" s="5">
        <f t="shared" si="97"/>
        <v>0.67729380703210307</v>
      </c>
      <c r="U296" s="2" t="str">
        <f t="shared" si="98"/>
        <v>Moderate</v>
      </c>
      <c r="V296" s="2">
        <f t="shared" si="99"/>
        <v>0.22705175199403344</v>
      </c>
      <c r="W296" s="2">
        <f t="shared" si="100"/>
        <v>0.55074452845966237</v>
      </c>
      <c r="X296" s="2" t="str">
        <f t="shared" si="109"/>
        <v>Moderate</v>
      </c>
      <c r="Y296" s="2">
        <f t="shared" si="101"/>
        <v>0.29158662535211344</v>
      </c>
      <c r="Z296" s="2">
        <f t="shared" si="102"/>
        <v>0.74531868247634903</v>
      </c>
      <c r="AA296" s="2" t="str">
        <f t="shared" si="103"/>
        <v>High</v>
      </c>
      <c r="AB296" s="2">
        <f t="shared" si="104"/>
        <v>0.20897700232102204</v>
      </c>
      <c r="AC296" s="2">
        <f t="shared" si="105"/>
        <v>0.75927584621676236</v>
      </c>
      <c r="AD296" s="2" t="str">
        <f t="shared" si="106"/>
        <v>High</v>
      </c>
      <c r="AE296" s="2">
        <f t="shared" si="107"/>
        <v>0.1200940043356466</v>
      </c>
      <c r="AF296" s="2">
        <f t="shared" si="108"/>
        <v>0.91489001836559081</v>
      </c>
      <c r="AG296" s="2" t="str">
        <f t="shared" si="110"/>
        <v>High</v>
      </c>
    </row>
    <row r="297" spans="1:33" x14ac:dyDescent="0.3">
      <c r="A297">
        <v>401823</v>
      </c>
      <c r="B297" t="s">
        <v>606</v>
      </c>
      <c r="C297" t="s">
        <v>604</v>
      </c>
      <c r="D297" t="s">
        <v>607</v>
      </c>
      <c r="E297" s="13">
        <v>6.3</v>
      </c>
      <c r="F297" s="14">
        <f t="shared" si="89"/>
        <v>0.68888888888888877</v>
      </c>
      <c r="G297" s="2">
        <v>67.621507199999996</v>
      </c>
      <c r="H297" s="2">
        <f t="shared" si="90"/>
        <v>0.37823784450809389</v>
      </c>
      <c r="I297" s="2">
        <v>33.299999999999997</v>
      </c>
      <c r="J297" s="4">
        <f t="shared" si="91"/>
        <v>0.26324110671936757</v>
      </c>
      <c r="K297" s="2">
        <v>0</v>
      </c>
      <c r="L297" s="4">
        <f t="shared" si="92"/>
        <v>0</v>
      </c>
      <c r="M297" s="2">
        <v>55839</v>
      </c>
      <c r="N297" s="2">
        <f t="shared" si="93"/>
        <v>0.2630670016512659</v>
      </c>
      <c r="O297" s="2">
        <v>0.56507036399999999</v>
      </c>
      <c r="P297" s="2">
        <f t="shared" si="94"/>
        <v>0.575313194976103</v>
      </c>
      <c r="Q297" s="2">
        <v>0.21540000000000001</v>
      </c>
      <c r="R297" s="2">
        <f t="shared" si="95"/>
        <v>0.46438911407064282</v>
      </c>
      <c r="S297" s="2">
        <f t="shared" si="96"/>
        <v>8.0404183808193655E-2</v>
      </c>
      <c r="T297" s="5">
        <f t="shared" si="97"/>
        <v>0.21000087201959949</v>
      </c>
      <c r="U297" s="2" t="str">
        <f t="shared" si="98"/>
        <v>Low</v>
      </c>
      <c r="V297" s="2">
        <f t="shared" si="99"/>
        <v>7.1825997425156038E-2</v>
      </c>
      <c r="W297" s="2">
        <f t="shared" si="100"/>
        <v>0.17422360644943186</v>
      </c>
      <c r="X297" s="2" t="s">
        <v>1176</v>
      </c>
      <c r="Y297" s="2">
        <f t="shared" si="101"/>
        <v>8.8982370191231272E-2</v>
      </c>
      <c r="Z297" s="2">
        <f t="shared" si="102"/>
        <v>0.22744603883825071</v>
      </c>
      <c r="AA297" s="2" t="str">
        <f t="shared" si="103"/>
        <v>Low</v>
      </c>
      <c r="AB297" s="2">
        <f t="shared" si="104"/>
        <v>6.6074599235330919E-2</v>
      </c>
      <c r="AC297" s="2">
        <f t="shared" si="105"/>
        <v>0.24006874771211409</v>
      </c>
      <c r="AD297" s="2" t="str">
        <f t="shared" si="106"/>
        <v>Low</v>
      </c>
      <c r="AE297" s="2">
        <f t="shared" si="107"/>
        <v>4.0687968797591213E-2</v>
      </c>
      <c r="AF297" s="2">
        <f t="shared" si="108"/>
        <v>0.30996565337639914</v>
      </c>
      <c r="AG297" s="2" t="str">
        <f t="shared" si="110"/>
        <v>Moderate</v>
      </c>
    </row>
    <row r="298" spans="1:33" x14ac:dyDescent="0.3">
      <c r="A298">
        <v>401831</v>
      </c>
      <c r="B298" t="s">
        <v>608</v>
      </c>
      <c r="C298" t="s">
        <v>604</v>
      </c>
      <c r="D298" t="s">
        <v>609</v>
      </c>
      <c r="E298" s="13">
        <v>5.7</v>
      </c>
      <c r="F298" s="14">
        <f t="shared" si="89"/>
        <v>0.55555555555555558</v>
      </c>
      <c r="G298" s="2">
        <v>68.827366799999993</v>
      </c>
      <c r="H298" s="2">
        <f t="shared" si="90"/>
        <v>0.39126612427073271</v>
      </c>
      <c r="I298" s="2">
        <v>33.4</v>
      </c>
      <c r="J298" s="4">
        <f t="shared" si="91"/>
        <v>0.26403162055335966</v>
      </c>
      <c r="K298" s="2">
        <v>0</v>
      </c>
      <c r="L298" s="4">
        <f t="shared" si="92"/>
        <v>0</v>
      </c>
      <c r="M298" s="2">
        <v>46381</v>
      </c>
      <c r="N298" s="2">
        <f t="shared" si="93"/>
        <v>0.21831722284519264</v>
      </c>
      <c r="O298" s="2">
        <v>0.42488198199999999</v>
      </c>
      <c r="P298" s="2">
        <f t="shared" si="94"/>
        <v>0.41336895905823873</v>
      </c>
      <c r="Q298" s="2">
        <v>0.22789999999999999</v>
      </c>
      <c r="R298" s="2">
        <f t="shared" si="95"/>
        <v>0.50057903879559928</v>
      </c>
      <c r="S298" s="2">
        <f t="shared" si="96"/>
        <v>5.8227172682788916E-2</v>
      </c>
      <c r="T298" s="5">
        <f t="shared" si="97"/>
        <v>0.15207861655297836</v>
      </c>
      <c r="U298" s="2" t="str">
        <f t="shared" si="98"/>
        <v>Low</v>
      </c>
      <c r="V298" s="2">
        <f t="shared" si="99"/>
        <v>6.3783283516743797E-2</v>
      </c>
      <c r="W298" s="2">
        <f t="shared" si="100"/>
        <v>0.15471492334030146</v>
      </c>
      <c r="X298" s="2" t="s">
        <v>1176</v>
      </c>
      <c r="Y298" s="2">
        <f t="shared" si="101"/>
        <v>5.2671061848834022E-2</v>
      </c>
      <c r="Z298" s="2">
        <f t="shared" si="102"/>
        <v>0.13463143713947007</v>
      </c>
      <c r="AA298" s="2" t="str">
        <f t="shared" si="103"/>
        <v>No Impact</v>
      </c>
      <c r="AB298" s="2">
        <f t="shared" si="104"/>
        <v>4.7861685015439644E-2</v>
      </c>
      <c r="AC298" s="2">
        <f t="shared" si="105"/>
        <v>0.17389579230174662</v>
      </c>
      <c r="AD298" s="2" t="str">
        <f t="shared" si="106"/>
        <v>Low</v>
      </c>
      <c r="AE298" s="2">
        <f t="shared" si="107"/>
        <v>2.7817763514083192E-2</v>
      </c>
      <c r="AF298" s="2">
        <f t="shared" si="108"/>
        <v>0.21191894060888636</v>
      </c>
      <c r="AG298" s="2" t="s">
        <v>1175</v>
      </c>
    </row>
    <row r="299" spans="1:33" x14ac:dyDescent="0.3">
      <c r="A299">
        <v>401855</v>
      </c>
      <c r="B299" t="s">
        <v>610</v>
      </c>
      <c r="C299" t="s">
        <v>604</v>
      </c>
      <c r="D299" t="s">
        <v>611</v>
      </c>
      <c r="E299" s="13">
        <v>6.3</v>
      </c>
      <c r="F299" s="14">
        <f t="shared" si="89"/>
        <v>0.68888888888888877</v>
      </c>
      <c r="G299" s="2">
        <v>68.827366799999993</v>
      </c>
      <c r="H299" s="2">
        <f t="shared" si="90"/>
        <v>0.39126612427073271</v>
      </c>
      <c r="I299" s="2">
        <v>31.5</v>
      </c>
      <c r="J299" s="4">
        <f t="shared" si="91"/>
        <v>0.24901185770750989</v>
      </c>
      <c r="K299" s="2">
        <v>0</v>
      </c>
      <c r="L299" s="4">
        <f t="shared" si="92"/>
        <v>0</v>
      </c>
      <c r="M299" s="2">
        <v>28593</v>
      </c>
      <c r="N299" s="2">
        <f t="shared" si="93"/>
        <v>0.13415470800035958</v>
      </c>
      <c r="O299" s="2">
        <v>0.42239408699999997</v>
      </c>
      <c r="P299" s="2">
        <f t="shared" si="94"/>
        <v>0.41049496729750296</v>
      </c>
      <c r="Q299" s="2">
        <v>0.2515</v>
      </c>
      <c r="R299" s="2">
        <f t="shared" si="95"/>
        <v>0.56890561667631734</v>
      </c>
      <c r="S299" s="2">
        <f t="shared" si="96"/>
        <v>7.559901810652786E-2</v>
      </c>
      <c r="T299" s="5">
        <f t="shared" si="97"/>
        <v>0.19745066704574271</v>
      </c>
      <c r="U299" s="2" t="str">
        <f t="shared" si="98"/>
        <v>Low</v>
      </c>
      <c r="V299" s="2">
        <f t="shared" si="99"/>
        <v>8.7826588466008007E-2</v>
      </c>
      <c r="W299" s="2">
        <f t="shared" si="100"/>
        <v>0.21303518966990173</v>
      </c>
      <c r="X299" s="2" t="s">
        <v>1176</v>
      </c>
      <c r="Y299" s="2">
        <f t="shared" si="101"/>
        <v>6.3371447747047727E-2</v>
      </c>
      <c r="Z299" s="2">
        <f t="shared" si="102"/>
        <v>0.16198247736641624</v>
      </c>
      <c r="AA299" s="2" t="str">
        <f t="shared" si="103"/>
        <v>Low</v>
      </c>
      <c r="AB299" s="2">
        <f t="shared" si="104"/>
        <v>5.6999434085858322E-2</v>
      </c>
      <c r="AC299" s="2">
        <f t="shared" si="105"/>
        <v>0.20709596304254704</v>
      </c>
      <c r="AD299" s="2" t="str">
        <f t="shared" si="106"/>
        <v>Low</v>
      </c>
      <c r="AE299" s="2">
        <f t="shared" si="107"/>
        <v>2.0710553710403427E-2</v>
      </c>
      <c r="AF299" s="2">
        <f t="shared" si="108"/>
        <v>0.15777539411139771</v>
      </c>
      <c r="AG299" s="2" t="s">
        <v>1175</v>
      </c>
    </row>
    <row r="300" spans="1:33" x14ac:dyDescent="0.3">
      <c r="A300">
        <v>404104</v>
      </c>
      <c r="B300" t="s">
        <v>612</v>
      </c>
      <c r="C300" t="s">
        <v>1157</v>
      </c>
      <c r="D300" t="s">
        <v>613</v>
      </c>
      <c r="E300" s="13">
        <v>5.8</v>
      </c>
      <c r="F300" s="14">
        <f t="shared" si="89"/>
        <v>0.57777777777777772</v>
      </c>
      <c r="G300" s="2">
        <v>72.483616799999993</v>
      </c>
      <c r="H300" s="2">
        <f t="shared" si="90"/>
        <v>0.43076877274004727</v>
      </c>
      <c r="I300" s="2">
        <v>36.9</v>
      </c>
      <c r="J300" s="4">
        <f t="shared" si="91"/>
        <v>0.29169960474308299</v>
      </c>
      <c r="K300" s="2">
        <v>0</v>
      </c>
      <c r="L300" s="4">
        <f t="shared" si="92"/>
        <v>0</v>
      </c>
      <c r="M300" s="2">
        <v>51104</v>
      </c>
      <c r="N300" s="2">
        <f t="shared" si="93"/>
        <v>0.2406637237228712</v>
      </c>
      <c r="O300" s="2">
        <v>0.40040139699999999</v>
      </c>
      <c r="P300" s="2">
        <f t="shared" si="94"/>
        <v>0.38508922876898172</v>
      </c>
      <c r="Q300" s="2">
        <v>0.2404</v>
      </c>
      <c r="R300" s="2">
        <f t="shared" si="95"/>
        <v>0.53676896352055592</v>
      </c>
      <c r="S300" s="2">
        <f t="shared" si="96"/>
        <v>6.7341354125798641E-2</v>
      </c>
      <c r="T300" s="5">
        <f t="shared" si="97"/>
        <v>0.17588317447676452</v>
      </c>
      <c r="U300" s="2" t="str">
        <f t="shared" si="98"/>
        <v>Low</v>
      </c>
      <c r="V300" s="2">
        <f t="shared" si="99"/>
        <v>7.8421495103061734E-2</v>
      </c>
      <c r="W300" s="2">
        <f t="shared" si="100"/>
        <v>0.19022187216054792</v>
      </c>
      <c r="X300" s="2" t="s">
        <v>1176</v>
      </c>
      <c r="Y300" s="2">
        <f t="shared" si="101"/>
        <v>5.6261213148535577E-2</v>
      </c>
      <c r="Z300" s="2">
        <f t="shared" si="102"/>
        <v>0.14380815034897709</v>
      </c>
      <c r="AA300" s="2" t="str">
        <f t="shared" si="103"/>
        <v>No Impact</v>
      </c>
      <c r="AB300" s="2">
        <f t="shared" si="104"/>
        <v>5.663215605376113E-2</v>
      </c>
      <c r="AC300" s="2">
        <f t="shared" si="105"/>
        <v>0.20576153228930538</v>
      </c>
      <c r="AD300" s="2" t="str">
        <f t="shared" si="106"/>
        <v>Low</v>
      </c>
      <c r="AE300" s="2">
        <f t="shared" si="107"/>
        <v>3.5160768066082454E-2</v>
      </c>
      <c r="AF300" s="2">
        <f t="shared" si="108"/>
        <v>0.26785879877750235</v>
      </c>
      <c r="AG300" s="2" t="s">
        <v>1175</v>
      </c>
    </row>
    <row r="301" spans="1:33" x14ac:dyDescent="0.3">
      <c r="A301">
        <v>404109</v>
      </c>
      <c r="B301" t="s">
        <v>614</v>
      </c>
      <c r="C301" t="s">
        <v>1157</v>
      </c>
      <c r="D301" t="s">
        <v>615</v>
      </c>
      <c r="E301" s="13">
        <v>5.7</v>
      </c>
      <c r="F301" s="14">
        <f t="shared" si="89"/>
        <v>0.55555555555555558</v>
      </c>
      <c r="G301" s="2">
        <v>75.573853200000002</v>
      </c>
      <c r="H301" s="2">
        <f t="shared" si="90"/>
        <v>0.46415612923817529</v>
      </c>
      <c r="I301" s="2">
        <v>55.7</v>
      </c>
      <c r="J301" s="4">
        <f t="shared" si="91"/>
        <v>0.44031620553359685</v>
      </c>
      <c r="K301" s="2">
        <v>0</v>
      </c>
      <c r="L301" s="4">
        <f t="shared" si="92"/>
        <v>0</v>
      </c>
      <c r="M301" s="2">
        <v>40351</v>
      </c>
      <c r="N301" s="2">
        <f t="shared" si="93"/>
        <v>0.18978675486035212</v>
      </c>
      <c r="O301" s="2">
        <v>0.25991775700000003</v>
      </c>
      <c r="P301" s="2">
        <f t="shared" si="94"/>
        <v>0.22280391372225897</v>
      </c>
      <c r="Q301" s="2">
        <v>0.27460000000000001</v>
      </c>
      <c r="R301" s="2">
        <f t="shared" si="95"/>
        <v>0.63578459756803718</v>
      </c>
      <c r="S301" s="2">
        <f t="shared" si="96"/>
        <v>7.5499817887565004E-2</v>
      </c>
      <c r="T301" s="5">
        <f t="shared" si="97"/>
        <v>0.19719157440279728</v>
      </c>
      <c r="U301" s="2" t="str">
        <f t="shared" si="98"/>
        <v>Low</v>
      </c>
      <c r="V301" s="2">
        <f t="shared" si="99"/>
        <v>0.1118151959894461</v>
      </c>
      <c r="W301" s="2">
        <f t="shared" si="100"/>
        <v>0.27122278004465916</v>
      </c>
      <c r="X301" s="2" t="s">
        <v>1175</v>
      </c>
      <c r="Y301" s="2">
        <f t="shared" si="101"/>
        <v>3.9184439785683901E-2</v>
      </c>
      <c r="Z301" s="2">
        <f t="shared" si="102"/>
        <v>0.10015855493842554</v>
      </c>
      <c r="AA301" s="2" t="str">
        <f t="shared" si="103"/>
        <v>No Impact</v>
      </c>
      <c r="AB301" s="2">
        <f t="shared" si="104"/>
        <v>6.2572854135605371E-2</v>
      </c>
      <c r="AC301" s="2">
        <f t="shared" si="105"/>
        <v>0.22734586220653494</v>
      </c>
      <c r="AD301" s="2" t="str">
        <f t="shared" si="106"/>
        <v>Low</v>
      </c>
      <c r="AE301" s="2">
        <f t="shared" si="107"/>
        <v>3.3377724581697354E-2</v>
      </c>
      <c r="AF301" s="2">
        <f t="shared" si="108"/>
        <v>0.25427536723818506</v>
      </c>
      <c r="AG301" s="2" t="s">
        <v>1175</v>
      </c>
    </row>
    <row r="302" spans="1:33" x14ac:dyDescent="0.3">
      <c r="A302">
        <v>404111</v>
      </c>
      <c r="B302" t="s">
        <v>616</v>
      </c>
      <c r="C302" t="s">
        <v>1157</v>
      </c>
      <c r="D302" t="s">
        <v>617</v>
      </c>
      <c r="E302" s="13">
        <v>5.8</v>
      </c>
      <c r="F302" s="14">
        <f t="shared" si="89"/>
        <v>0.57777777777777772</v>
      </c>
      <c r="G302" s="2">
        <v>72.265651199999994</v>
      </c>
      <c r="H302" s="2">
        <f t="shared" si="90"/>
        <v>0.42841384119127374</v>
      </c>
      <c r="I302" s="2">
        <v>46.5</v>
      </c>
      <c r="J302" s="4">
        <f t="shared" si="91"/>
        <v>0.3675889328063241</v>
      </c>
      <c r="K302" s="2">
        <v>0</v>
      </c>
      <c r="L302" s="4">
        <f t="shared" si="92"/>
        <v>0</v>
      </c>
      <c r="M302" s="2">
        <v>18322</v>
      </c>
      <c r="N302" s="2">
        <f t="shared" si="93"/>
        <v>8.5558284008270521E-2</v>
      </c>
      <c r="O302" s="2">
        <v>0.45861526499999999</v>
      </c>
      <c r="P302" s="2">
        <f t="shared" si="94"/>
        <v>0.45233731479856021</v>
      </c>
      <c r="Q302" s="2">
        <v>0.25330000000000003</v>
      </c>
      <c r="R302" s="2">
        <f t="shared" si="95"/>
        <v>0.57411696583671112</v>
      </c>
      <c r="S302" s="2">
        <f t="shared" si="96"/>
        <v>8.2613890426479999E-2</v>
      </c>
      <c r="T302" s="5">
        <f t="shared" si="97"/>
        <v>0.21577221742439326</v>
      </c>
      <c r="U302" s="2" t="str">
        <f t="shared" si="98"/>
        <v>Low</v>
      </c>
      <c r="V302" s="2">
        <f t="shared" si="99"/>
        <v>9.2415292141921471E-2</v>
      </c>
      <c r="W302" s="2">
        <f t="shared" si="100"/>
        <v>0.2241657069199888</v>
      </c>
      <c r="X302" s="2" t="s">
        <v>1175</v>
      </c>
      <c r="Y302" s="2">
        <f t="shared" si="101"/>
        <v>7.2812488711038556E-2</v>
      </c>
      <c r="Z302" s="2">
        <f t="shared" si="102"/>
        <v>0.18611453144807952</v>
      </c>
      <c r="AA302" s="2" t="str">
        <f t="shared" si="103"/>
        <v>Low</v>
      </c>
      <c r="AB302" s="2">
        <f t="shared" si="104"/>
        <v>5.9009393330491822E-2</v>
      </c>
      <c r="AC302" s="2">
        <f t="shared" si="105"/>
        <v>0.21439874511607851</v>
      </c>
      <c r="AD302" s="2" t="str">
        <f t="shared" si="106"/>
        <v>Low</v>
      </c>
      <c r="AE302" s="2">
        <f t="shared" si="107"/>
        <v>1.3772269907164989E-2</v>
      </c>
      <c r="AF302" s="2">
        <f t="shared" si="108"/>
        <v>0.1049187454278436</v>
      </c>
      <c r="AG302" s="2" t="s">
        <v>1175</v>
      </c>
    </row>
    <row r="303" spans="1:33" x14ac:dyDescent="0.3">
      <c r="A303">
        <v>404123</v>
      </c>
      <c r="B303" t="s">
        <v>618</v>
      </c>
      <c r="C303" t="s">
        <v>1157</v>
      </c>
      <c r="D303" t="s">
        <v>619</v>
      </c>
      <c r="E303" s="13">
        <v>5.8</v>
      </c>
      <c r="F303" s="14">
        <f t="shared" si="89"/>
        <v>0.57777777777777772</v>
      </c>
      <c r="G303" s="2">
        <v>74.0304936</v>
      </c>
      <c r="H303" s="2">
        <f t="shared" si="90"/>
        <v>0.44748145115529198</v>
      </c>
      <c r="I303" s="2">
        <v>43.2</v>
      </c>
      <c r="J303" s="4">
        <f t="shared" si="91"/>
        <v>0.34150197628458501</v>
      </c>
      <c r="K303" s="2">
        <v>0</v>
      </c>
      <c r="L303" s="4">
        <f t="shared" si="92"/>
        <v>0</v>
      </c>
      <c r="M303" s="2">
        <v>65394</v>
      </c>
      <c r="N303" s="2">
        <f t="shared" si="93"/>
        <v>0.30827572828396094</v>
      </c>
      <c r="O303" s="2">
        <v>0.27359148900000002</v>
      </c>
      <c r="P303" s="2">
        <f t="shared" si="94"/>
        <v>0.23859967403630306</v>
      </c>
      <c r="Q303" s="2">
        <v>0.26989999999999997</v>
      </c>
      <c r="R303" s="2">
        <f t="shared" si="95"/>
        <v>0.62217718587145332</v>
      </c>
      <c r="S303" s="2">
        <f t="shared" si="96"/>
        <v>6.8668466249307808E-2</v>
      </c>
      <c r="T303" s="5">
        <f t="shared" si="97"/>
        <v>0.17934934613605952</v>
      </c>
      <c r="U303" s="2" t="str">
        <f t="shared" si="98"/>
        <v>Low</v>
      </c>
      <c r="V303" s="2">
        <f t="shared" si="99"/>
        <v>9.9268358802493004E-2</v>
      </c>
      <c r="W303" s="2">
        <f t="shared" si="100"/>
        <v>0.24078874080249452</v>
      </c>
      <c r="X303" s="2" t="s">
        <v>1175</v>
      </c>
      <c r="Y303" s="2">
        <f t="shared" si="101"/>
        <v>3.8068573696122626E-2</v>
      </c>
      <c r="Z303" s="2">
        <f t="shared" si="102"/>
        <v>9.7306312169445547E-2</v>
      </c>
      <c r="AA303" s="2" t="str">
        <f t="shared" si="103"/>
        <v>No Impact</v>
      </c>
      <c r="AB303" s="2">
        <f t="shared" si="104"/>
        <v>6.3379383103556911E-2</v>
      </c>
      <c r="AC303" s="2">
        <f t="shared" si="105"/>
        <v>0.23027622276218607</v>
      </c>
      <c r="AD303" s="2" t="str">
        <f t="shared" si="106"/>
        <v>Low</v>
      </c>
      <c r="AE303" s="2">
        <f t="shared" si="107"/>
        <v>4.9185386896707414E-2</v>
      </c>
      <c r="AF303" s="2">
        <f t="shared" si="108"/>
        <v>0.37469996749779921</v>
      </c>
      <c r="AG303" s="2" t="str">
        <f t="shared" si="110"/>
        <v>Moderate</v>
      </c>
    </row>
    <row r="304" spans="1:33" x14ac:dyDescent="0.3">
      <c r="A304">
        <v>404138</v>
      </c>
      <c r="B304" t="s">
        <v>620</v>
      </c>
      <c r="C304" t="s">
        <v>1157</v>
      </c>
      <c r="D304" t="s">
        <v>621</v>
      </c>
      <c r="E304" s="13">
        <v>5.8</v>
      </c>
      <c r="F304" s="14">
        <f t="shared" si="89"/>
        <v>0.57777777777777772</v>
      </c>
      <c r="G304" s="2">
        <v>75.573853200000002</v>
      </c>
      <c r="H304" s="2">
        <f t="shared" si="90"/>
        <v>0.46415612923817529</v>
      </c>
      <c r="I304" s="2">
        <v>46.6</v>
      </c>
      <c r="J304" s="4">
        <f t="shared" si="91"/>
        <v>0.36837944664031624</v>
      </c>
      <c r="K304" s="2">
        <v>0</v>
      </c>
      <c r="L304" s="4">
        <f t="shared" si="92"/>
        <v>0</v>
      </c>
      <c r="M304" s="2">
        <v>45853</v>
      </c>
      <c r="N304" s="2">
        <f t="shared" si="93"/>
        <v>0.21581903261368421</v>
      </c>
      <c r="O304" s="2">
        <v>0.36480931</v>
      </c>
      <c r="P304" s="2">
        <f t="shared" si="94"/>
        <v>0.34397360098509622</v>
      </c>
      <c r="Q304" s="2">
        <v>0.24229999999999999</v>
      </c>
      <c r="R304" s="2">
        <f t="shared" si="95"/>
        <v>0.54226983207874924</v>
      </c>
      <c r="S304" s="2">
        <f t="shared" si="96"/>
        <v>7.4602728899116594E-2</v>
      </c>
      <c r="T304" s="5">
        <f t="shared" si="97"/>
        <v>0.19484854371794194</v>
      </c>
      <c r="U304" s="2" t="str">
        <f t="shared" si="98"/>
        <v>Low</v>
      </c>
      <c r="V304" s="2">
        <f t="shared" si="99"/>
        <v>9.1295027446090013E-2</v>
      </c>
      <c r="W304" s="2">
        <f t="shared" si="100"/>
        <v>0.22144835439468472</v>
      </c>
      <c r="X304" s="2" t="s">
        <v>1175</v>
      </c>
      <c r="Y304" s="2">
        <f t="shared" si="101"/>
        <v>5.7910430352143161E-2</v>
      </c>
      <c r="Z304" s="2">
        <f t="shared" si="102"/>
        <v>0.14802368112589728</v>
      </c>
      <c r="AA304" s="2" t="str">
        <f t="shared" si="103"/>
        <v>No Impact</v>
      </c>
      <c r="AB304" s="2">
        <f t="shared" si="104"/>
        <v>6.2043529089312086E-2</v>
      </c>
      <c r="AC304" s="2">
        <f t="shared" si="105"/>
        <v>0.22542266626638707</v>
      </c>
      <c r="AD304" s="2" t="str">
        <f t="shared" si="106"/>
        <v>Low</v>
      </c>
      <c r="AE304" s="2">
        <f t="shared" si="107"/>
        <v>3.6334686792964664E-2</v>
      </c>
      <c r="AF304" s="2">
        <f t="shared" si="108"/>
        <v>0.27680184744623748</v>
      </c>
      <c r="AG304" s="2" t="s">
        <v>1175</v>
      </c>
    </row>
    <row r="305" spans="1:33" x14ac:dyDescent="0.3">
      <c r="A305">
        <v>404147</v>
      </c>
      <c r="B305" s="9" t="s">
        <v>622</v>
      </c>
      <c r="C305" t="s">
        <v>1157</v>
      </c>
      <c r="D305" s="9" t="s">
        <v>1161</v>
      </c>
      <c r="E305" s="13">
        <v>5.8</v>
      </c>
      <c r="F305" s="14">
        <f t="shared" si="89"/>
        <v>0.57777777777777772</v>
      </c>
      <c r="G305" s="2">
        <v>76.646116800000001</v>
      </c>
      <c r="H305" s="2">
        <f t="shared" si="90"/>
        <v>0.47574101868972857</v>
      </c>
      <c r="I305" s="2">
        <v>51.3</v>
      </c>
      <c r="J305" s="4">
        <f t="shared" si="91"/>
        <v>0.40553359683794465</v>
      </c>
      <c r="K305" s="2">
        <v>0</v>
      </c>
      <c r="L305" s="4">
        <f t="shared" si="92"/>
        <v>0</v>
      </c>
      <c r="M305" s="2">
        <v>77221</v>
      </c>
      <c r="N305" s="2">
        <f t="shared" si="93"/>
        <v>0.36423424318557107</v>
      </c>
      <c r="O305" s="2">
        <v>0.29103323199999998</v>
      </c>
      <c r="P305" s="2">
        <f t="shared" si="94"/>
        <v>0.25874820348584582</v>
      </c>
      <c r="Q305" s="2">
        <v>0.24229999999999999</v>
      </c>
      <c r="R305" s="2">
        <f t="shared" si="95"/>
        <v>0.54226983207874924</v>
      </c>
      <c r="S305" s="2">
        <f t="shared" si="96"/>
        <v>7.1376038200428621E-2</v>
      </c>
      <c r="T305" s="5">
        <f t="shared" si="97"/>
        <v>0.18642102380083841</v>
      </c>
      <c r="U305" s="2" t="str">
        <f t="shared" si="98"/>
        <v>Low</v>
      </c>
      <c r="V305" s="2">
        <f t="shared" si="99"/>
        <v>9.6639702306107675E-2</v>
      </c>
      <c r="W305" s="2">
        <f t="shared" si="100"/>
        <v>0.23441258131519752</v>
      </c>
      <c r="X305" s="2" t="s">
        <v>1175</v>
      </c>
      <c r="Y305" s="2">
        <f t="shared" si="101"/>
        <v>4.611237409474956E-2</v>
      </c>
      <c r="Z305" s="2">
        <f t="shared" si="102"/>
        <v>0.11786690786881171</v>
      </c>
      <c r="AA305" s="2" t="str">
        <f t="shared" si="103"/>
        <v>No Impact</v>
      </c>
      <c r="AB305" s="2">
        <f t="shared" si="104"/>
        <v>7.0376594713603136E-2</v>
      </c>
      <c r="AC305" s="2">
        <f t="shared" si="105"/>
        <v>0.25569918178336232</v>
      </c>
      <c r="AD305" s="2" t="str">
        <f t="shared" si="106"/>
        <v>Low</v>
      </c>
      <c r="AE305" s="2">
        <f t="shared" si="107"/>
        <v>6.4911390508687369E-2</v>
      </c>
      <c r="AF305" s="2">
        <f t="shared" si="108"/>
        <v>0.49450248231086502</v>
      </c>
      <c r="AG305" s="2" t="str">
        <f t="shared" si="110"/>
        <v>Moderate</v>
      </c>
    </row>
    <row r="306" spans="1:33" x14ac:dyDescent="0.3">
      <c r="A306">
        <v>404161</v>
      </c>
      <c r="B306" t="s">
        <v>623</v>
      </c>
      <c r="C306" t="s">
        <v>1157</v>
      </c>
      <c r="D306" t="s">
        <v>624</v>
      </c>
      <c r="E306" s="13">
        <v>5.8</v>
      </c>
      <c r="F306" s="14">
        <f t="shared" si="89"/>
        <v>0.57777777777777772</v>
      </c>
      <c r="G306" s="2">
        <v>75.573853200000002</v>
      </c>
      <c r="H306" s="2">
        <f t="shared" si="90"/>
        <v>0.46415612923817529</v>
      </c>
      <c r="I306" s="2">
        <v>49</v>
      </c>
      <c r="J306" s="4">
        <f t="shared" si="91"/>
        <v>0.38735177865612647</v>
      </c>
      <c r="K306" s="2">
        <v>0</v>
      </c>
      <c r="L306" s="4">
        <f t="shared" si="92"/>
        <v>0</v>
      </c>
      <c r="M306" s="2">
        <v>71555</v>
      </c>
      <c r="N306" s="2">
        <f t="shared" si="93"/>
        <v>0.33742601240578557</v>
      </c>
      <c r="O306" s="2">
        <v>0.36750103000000001</v>
      </c>
      <c r="P306" s="2">
        <f t="shared" si="94"/>
        <v>0.34708304937508361</v>
      </c>
      <c r="Q306" s="2">
        <v>0.25640000000000002</v>
      </c>
      <c r="R306" s="2">
        <f t="shared" si="95"/>
        <v>0.58309206716850037</v>
      </c>
      <c r="S306" s="2">
        <f t="shared" si="96"/>
        <v>8.0085203932406937E-2</v>
      </c>
      <c r="T306" s="5">
        <f t="shared" si="97"/>
        <v>0.20916775552118802</v>
      </c>
      <c r="U306" s="2" t="str">
        <f t="shared" si="98"/>
        <v>Low</v>
      </c>
      <c r="V306" s="2">
        <f t="shared" si="99"/>
        <v>0.10040485125871471</v>
      </c>
      <c r="W306" s="2">
        <f t="shared" si="100"/>
        <v>0.24354545594079582</v>
      </c>
      <c r="X306" s="2" t="s">
        <v>1175</v>
      </c>
      <c r="Y306" s="2">
        <f t="shared" si="101"/>
        <v>5.9765556606099196E-2</v>
      </c>
      <c r="Z306" s="2">
        <f t="shared" si="102"/>
        <v>0.15276553186667158</v>
      </c>
      <c r="AA306" s="2" t="str">
        <f t="shared" si="103"/>
        <v>Low</v>
      </c>
      <c r="AB306" s="2">
        <f t="shared" si="104"/>
        <v>7.3407300999901295E-2</v>
      </c>
      <c r="AC306" s="2">
        <f t="shared" si="105"/>
        <v>0.26671064263601907</v>
      </c>
      <c r="AD306" s="2" t="str">
        <f t="shared" si="106"/>
        <v>Low</v>
      </c>
      <c r="AE306" s="2">
        <f t="shared" si="107"/>
        <v>5.8102674507204022E-2</v>
      </c>
      <c r="AF306" s="2">
        <f t="shared" si="108"/>
        <v>0.44263289613041468</v>
      </c>
      <c r="AG306" s="2" t="str">
        <f t="shared" si="110"/>
        <v>Moderate</v>
      </c>
    </row>
    <row r="307" spans="1:33" x14ac:dyDescent="0.3">
      <c r="A307">
        <v>404190</v>
      </c>
      <c r="B307" t="s">
        <v>625</v>
      </c>
      <c r="C307" t="s">
        <v>1157</v>
      </c>
      <c r="D307" t="s">
        <v>626</v>
      </c>
      <c r="E307" s="13">
        <v>5.8</v>
      </c>
      <c r="F307" s="14">
        <f t="shared" si="89"/>
        <v>0.57777777777777772</v>
      </c>
      <c r="G307" s="2">
        <v>75.573853200000002</v>
      </c>
      <c r="H307" s="2">
        <f t="shared" si="90"/>
        <v>0.46415612923817529</v>
      </c>
      <c r="I307" s="2">
        <v>50</v>
      </c>
      <c r="J307" s="4">
        <f t="shared" si="91"/>
        <v>0.39525691699604742</v>
      </c>
      <c r="K307" s="2">
        <v>0</v>
      </c>
      <c r="L307" s="4">
        <f t="shared" si="92"/>
        <v>0</v>
      </c>
      <c r="M307" s="2">
        <v>72161</v>
      </c>
      <c r="N307" s="2">
        <f t="shared" si="93"/>
        <v>0.34029325346694866</v>
      </c>
      <c r="O307" s="2">
        <v>0.36351896700000003</v>
      </c>
      <c r="P307" s="2">
        <f t="shared" si="94"/>
        <v>0.34248300948082339</v>
      </c>
      <c r="Q307" s="2">
        <v>0.26050000000000001</v>
      </c>
      <c r="R307" s="2">
        <f t="shared" si="95"/>
        <v>0.59496236247828616</v>
      </c>
      <c r="S307" s="2">
        <f t="shared" si="96"/>
        <v>8.1460448038014721E-2</v>
      </c>
      <c r="T307" s="5">
        <f t="shared" si="97"/>
        <v>0.21275963902449421</v>
      </c>
      <c r="U307" s="2" t="str">
        <f t="shared" si="98"/>
        <v>Low</v>
      </c>
      <c r="V307" s="2">
        <f t="shared" si="99"/>
        <v>0.10339994641383954</v>
      </c>
      <c r="W307" s="2">
        <f t="shared" si="100"/>
        <v>0.25081046162524612</v>
      </c>
      <c r="X307" s="2" t="s">
        <v>1175</v>
      </c>
      <c r="Y307" s="2">
        <f t="shared" si="101"/>
        <v>5.952094966218989E-2</v>
      </c>
      <c r="Z307" s="2">
        <f t="shared" si="102"/>
        <v>0.1521402969988552</v>
      </c>
      <c r="AA307" s="2" t="str">
        <f t="shared" si="103"/>
        <v>Low</v>
      </c>
      <c r="AB307" s="2">
        <f t="shared" si="104"/>
        <v>7.4745401479419174E-2</v>
      </c>
      <c r="AC307" s="2">
        <f t="shared" si="105"/>
        <v>0.27157236121090933</v>
      </c>
      <c r="AD307" s="2" t="str">
        <f t="shared" si="106"/>
        <v>Low</v>
      </c>
      <c r="AE307" s="2">
        <f t="shared" si="107"/>
        <v>5.9140386674052477E-2</v>
      </c>
      <c r="AF307" s="2">
        <f t="shared" si="108"/>
        <v>0.45053830746745993</v>
      </c>
      <c r="AG307" s="2" t="str">
        <f t="shared" si="110"/>
        <v>Moderate</v>
      </c>
    </row>
    <row r="308" spans="1:33" x14ac:dyDescent="0.3">
      <c r="A308">
        <v>404414</v>
      </c>
      <c r="B308" t="s">
        <v>627</v>
      </c>
      <c r="C308" t="s">
        <v>628</v>
      </c>
      <c r="D308" t="s">
        <v>629</v>
      </c>
      <c r="E308" s="13">
        <v>4.7</v>
      </c>
      <c r="F308" s="14">
        <f t="shared" si="89"/>
        <v>0.33333333333333331</v>
      </c>
      <c r="G308" s="2">
        <v>75.018383999999998</v>
      </c>
      <c r="H308" s="2">
        <f t="shared" si="90"/>
        <v>0.45815476047424186</v>
      </c>
      <c r="I308" s="2">
        <v>44.6</v>
      </c>
      <c r="J308" s="4">
        <f t="shared" si="91"/>
        <v>0.35256916996047433</v>
      </c>
      <c r="K308" s="2">
        <v>0</v>
      </c>
      <c r="L308" s="4">
        <f t="shared" si="92"/>
        <v>0</v>
      </c>
      <c r="M308" s="2">
        <v>28168</v>
      </c>
      <c r="N308" s="2">
        <f t="shared" si="93"/>
        <v>0.13214385412083102</v>
      </c>
      <c r="O308" s="2">
        <v>0.30674729899999997</v>
      </c>
      <c r="P308" s="2">
        <f t="shared" si="94"/>
        <v>0.27690093866383741</v>
      </c>
      <c r="Q308" s="2">
        <v>0.251</v>
      </c>
      <c r="R308" s="2">
        <f t="shared" si="95"/>
        <v>0.56745801968731913</v>
      </c>
      <c r="S308" s="2">
        <f t="shared" si="96"/>
        <v>3.993161744904572E-2</v>
      </c>
      <c r="T308" s="5">
        <f t="shared" si="97"/>
        <v>0.10429400670811992</v>
      </c>
      <c r="U308" s="2" t="str">
        <f t="shared" si="98"/>
        <v>No Impact</v>
      </c>
      <c r="V308" s="2">
        <f t="shared" si="99"/>
        <v>5.3672709542387113E-2</v>
      </c>
      <c r="W308" s="2">
        <f t="shared" si="100"/>
        <v>0.13019036782790913</v>
      </c>
      <c r="X308" s="2" t="s">
        <v>1176</v>
      </c>
      <c r="Y308" s="2">
        <f t="shared" si="101"/>
        <v>2.6190525355704323E-2</v>
      </c>
      <c r="Z308" s="2">
        <f t="shared" si="102"/>
        <v>6.6945072764927741E-2</v>
      </c>
      <c r="AA308" s="2" t="str">
        <f t="shared" si="103"/>
        <v>No Impact</v>
      </c>
      <c r="AB308" s="2">
        <f t="shared" si="104"/>
        <v>3.1017170159035087E-2</v>
      </c>
      <c r="AC308" s="2">
        <f t="shared" si="105"/>
        <v>0.11269464035843146</v>
      </c>
      <c r="AD308" s="2" t="str">
        <f t="shared" si="106"/>
        <v>No Impact</v>
      </c>
      <c r="AE308" s="2">
        <f t="shared" si="107"/>
        <v>1.2498754892823719E-2</v>
      </c>
      <c r="AF308" s="2">
        <f t="shared" si="108"/>
        <v>9.5216960719231761E-2</v>
      </c>
      <c r="AG308" s="2" t="s">
        <v>1175</v>
      </c>
    </row>
    <row r="309" spans="1:33" x14ac:dyDescent="0.3">
      <c r="A309">
        <v>404419</v>
      </c>
      <c r="B309" t="s">
        <v>630</v>
      </c>
      <c r="C309" t="s">
        <v>628</v>
      </c>
      <c r="D309" t="s">
        <v>1147</v>
      </c>
      <c r="E309" s="13">
        <v>4.5999999999999996</v>
      </c>
      <c r="F309" s="14">
        <f t="shared" si="89"/>
        <v>0.31111111111111101</v>
      </c>
      <c r="G309" s="2">
        <v>68.911739999999995</v>
      </c>
      <c r="H309" s="2">
        <f t="shared" si="90"/>
        <v>0.3921777044033361</v>
      </c>
      <c r="I309" s="2">
        <v>36.200000000000003</v>
      </c>
      <c r="J309" s="4">
        <f t="shared" si="91"/>
        <v>0.28616600790513835</v>
      </c>
      <c r="K309" s="2">
        <v>0</v>
      </c>
      <c r="L309" s="4">
        <f t="shared" si="92"/>
        <v>0</v>
      </c>
      <c r="M309" s="2">
        <v>45089</v>
      </c>
      <c r="N309" s="2">
        <f t="shared" si="93"/>
        <v>0.2122042270514258</v>
      </c>
      <c r="O309" s="2">
        <v>0.28617822300000001</v>
      </c>
      <c r="P309" s="2">
        <f t="shared" si="94"/>
        <v>0.25313974498406105</v>
      </c>
      <c r="Q309" s="2">
        <v>0.24909999999999999</v>
      </c>
      <c r="R309" s="2">
        <f t="shared" si="95"/>
        <v>0.5619571511291257</v>
      </c>
      <c r="S309" s="2">
        <f t="shared" si="96"/>
        <v>3.0103196517362402E-2</v>
      </c>
      <c r="T309" s="5">
        <f t="shared" si="97"/>
        <v>7.8623987208228552E-2</v>
      </c>
      <c r="U309" s="2" t="str">
        <f t="shared" si="98"/>
        <v>No Impact</v>
      </c>
      <c r="V309" s="2">
        <f t="shared" si="99"/>
        <v>4.1508455339346766E-2</v>
      </c>
      <c r="W309" s="2">
        <f t="shared" si="100"/>
        <v>0.10068433501256678</v>
      </c>
      <c r="X309" s="2" t="s">
        <v>1176</v>
      </c>
      <c r="Y309" s="2">
        <f t="shared" si="101"/>
        <v>1.8697937695378031E-2</v>
      </c>
      <c r="Z309" s="2">
        <f t="shared" si="102"/>
        <v>4.7793420810420609E-2</v>
      </c>
      <c r="AA309" s="2" t="str">
        <f t="shared" si="103"/>
        <v>No Impact</v>
      </c>
      <c r="AB309" s="2">
        <f t="shared" si="104"/>
        <v>2.5623336152823199E-2</v>
      </c>
      <c r="AC309" s="2">
        <f t="shared" si="105"/>
        <v>9.3097230911778184E-2</v>
      </c>
      <c r="AD309" s="2" t="str">
        <f t="shared" si="106"/>
        <v>No Impact</v>
      </c>
      <c r="AE309" s="2">
        <f t="shared" si="107"/>
        <v>1.5674272786966915E-2</v>
      </c>
      <c r="AF309" s="2">
        <f t="shared" si="108"/>
        <v>0.11940842340352321</v>
      </c>
      <c r="AG309" s="2" t="s">
        <v>1175</v>
      </c>
    </row>
    <row r="310" spans="1:33" x14ac:dyDescent="0.3">
      <c r="A310">
        <v>404433</v>
      </c>
      <c r="B310" t="s">
        <v>631</v>
      </c>
      <c r="C310" t="s">
        <v>628</v>
      </c>
      <c r="D310" t="s">
        <v>1140</v>
      </c>
      <c r="E310" s="13">
        <v>4.5999999999999996</v>
      </c>
      <c r="F310" s="14">
        <f t="shared" si="89"/>
        <v>0.31111111111111101</v>
      </c>
      <c r="G310" s="2">
        <v>68.911739999999995</v>
      </c>
      <c r="H310" s="2">
        <f t="shared" si="90"/>
        <v>0.3921777044033361</v>
      </c>
      <c r="I310" s="2">
        <v>40.700000000000003</v>
      </c>
      <c r="J310" s="4">
        <f t="shared" si="91"/>
        <v>0.32173913043478264</v>
      </c>
      <c r="K310" s="2">
        <v>0</v>
      </c>
      <c r="L310" s="4">
        <f t="shared" si="92"/>
        <v>0</v>
      </c>
      <c r="M310" s="2">
        <v>31560</v>
      </c>
      <c r="N310" s="2">
        <f t="shared" si="93"/>
        <v>0.14819283378991546</v>
      </c>
      <c r="O310" s="2">
        <v>0.31026662799999999</v>
      </c>
      <c r="P310" s="2">
        <f t="shared" si="94"/>
        <v>0.28096643280620209</v>
      </c>
      <c r="Q310" s="2">
        <v>0.2021</v>
      </c>
      <c r="R310" s="2">
        <f t="shared" si="95"/>
        <v>0.42588303416328899</v>
      </c>
      <c r="S310" s="2">
        <f t="shared" si="96"/>
        <v>2.7474394415697379E-2</v>
      </c>
      <c r="T310" s="5">
        <f t="shared" si="97"/>
        <v>7.1758041836112813E-2</v>
      </c>
      <c r="U310" s="2" t="str">
        <f t="shared" si="98"/>
        <v>No Impact</v>
      </c>
      <c r="V310" s="2">
        <f t="shared" si="99"/>
        <v>3.310712960065415E-2</v>
      </c>
      <c r="W310" s="2">
        <f t="shared" si="100"/>
        <v>8.0305790730231183E-2</v>
      </c>
      <c r="X310" s="2" t="s">
        <v>1176</v>
      </c>
      <c r="Y310" s="2">
        <f t="shared" si="101"/>
        <v>2.1841659230740607E-2</v>
      </c>
      <c r="Z310" s="2">
        <f t="shared" si="102"/>
        <v>5.5829023918003193E-2</v>
      </c>
      <c r="AA310" s="2" t="str">
        <f t="shared" si="103"/>
        <v>No Impact</v>
      </c>
      <c r="AB310" s="2">
        <f t="shared" si="104"/>
        <v>2.2172048027654555E-2</v>
      </c>
      <c r="AC310" s="2">
        <f t="shared" si="105"/>
        <v>8.0557670660311803E-2</v>
      </c>
      <c r="AD310" s="2" t="str">
        <f t="shared" si="106"/>
        <v>No Impact</v>
      </c>
      <c r="AE310" s="2">
        <f t="shared" si="107"/>
        <v>1.1520156852009782E-2</v>
      </c>
      <c r="AF310" s="2">
        <f t="shared" si="108"/>
        <v>8.7761887633063987E-2</v>
      </c>
      <c r="AG310" s="2" t="s">
        <v>1175</v>
      </c>
    </row>
    <row r="311" spans="1:33" x14ac:dyDescent="0.3">
      <c r="A311">
        <v>404442</v>
      </c>
      <c r="B311" t="s">
        <v>632</v>
      </c>
      <c r="C311" t="s">
        <v>628</v>
      </c>
      <c r="D311" t="s">
        <v>633</v>
      </c>
      <c r="E311" s="13">
        <v>4.5999999999999996</v>
      </c>
      <c r="F311" s="14">
        <f t="shared" si="89"/>
        <v>0.31111111111111101</v>
      </c>
      <c r="G311" s="2">
        <v>74.0304936</v>
      </c>
      <c r="H311" s="2">
        <f t="shared" si="90"/>
        <v>0.44748145115529198</v>
      </c>
      <c r="I311" s="2">
        <v>41.9</v>
      </c>
      <c r="J311" s="4">
        <f t="shared" si="91"/>
        <v>0.33122529644268772</v>
      </c>
      <c r="K311" s="2">
        <v>0</v>
      </c>
      <c r="L311" s="4">
        <f t="shared" si="92"/>
        <v>0</v>
      </c>
      <c r="M311" s="2">
        <v>23944</v>
      </c>
      <c r="N311" s="2">
        <f t="shared" si="93"/>
        <v>0.11215833226876364</v>
      </c>
      <c r="O311" s="2">
        <v>0.28074116799999999</v>
      </c>
      <c r="P311" s="2">
        <f t="shared" si="94"/>
        <v>0.24685891268500215</v>
      </c>
      <c r="Q311" s="2">
        <v>0.2442</v>
      </c>
      <c r="R311" s="2">
        <f t="shared" si="95"/>
        <v>0.54777070063694266</v>
      </c>
      <c r="S311" s="2">
        <f t="shared" si="96"/>
        <v>3.3689320716681792E-2</v>
      </c>
      <c r="T311" s="5">
        <f t="shared" si="97"/>
        <v>8.7990281017319066E-2</v>
      </c>
      <c r="U311" s="2" t="str">
        <f t="shared" si="98"/>
        <v>No Impact</v>
      </c>
      <c r="V311" s="2">
        <f t="shared" si="99"/>
        <v>4.6446853989778984E-2</v>
      </c>
      <c r="W311" s="2">
        <f t="shared" si="100"/>
        <v>0.11266308440424555</v>
      </c>
      <c r="X311" s="2" t="s">
        <v>1176</v>
      </c>
      <c r="Y311" s="2">
        <f t="shared" si="101"/>
        <v>2.0931787443584596E-2</v>
      </c>
      <c r="Z311" s="2">
        <f t="shared" si="102"/>
        <v>5.3503319023937471E-2</v>
      </c>
      <c r="AA311" s="2" t="str">
        <f t="shared" si="103"/>
        <v>No Impact</v>
      </c>
      <c r="AB311" s="2">
        <f t="shared" si="104"/>
        <v>2.586450050694232E-2</v>
      </c>
      <c r="AC311" s="2">
        <f t="shared" si="105"/>
        <v>9.3973453017643344E-2</v>
      </c>
      <c r="AD311" s="2" t="str">
        <f t="shared" si="106"/>
        <v>No Impact</v>
      </c>
      <c r="AE311" s="2">
        <f t="shared" si="107"/>
        <v>9.5101867926979979E-3</v>
      </c>
      <c r="AF311" s="2">
        <f t="shared" si="108"/>
        <v>7.2449703193459808E-2</v>
      </c>
      <c r="AG311" s="2" t="s">
        <v>1175</v>
      </c>
    </row>
    <row r="312" spans="1:33" x14ac:dyDescent="0.3">
      <c r="A312">
        <v>404471</v>
      </c>
      <c r="B312" t="s">
        <v>634</v>
      </c>
      <c r="C312" t="s">
        <v>628</v>
      </c>
      <c r="D312" t="s">
        <v>635</v>
      </c>
      <c r="E312" s="13">
        <v>4.5999999999999996</v>
      </c>
      <c r="F312" s="14">
        <f t="shared" si="89"/>
        <v>0.31111111111111101</v>
      </c>
      <c r="G312" s="2">
        <v>74.0304936</v>
      </c>
      <c r="H312" s="2">
        <f t="shared" si="90"/>
        <v>0.44748145115529198</v>
      </c>
      <c r="I312" s="2">
        <v>40.1</v>
      </c>
      <c r="J312" s="4">
        <f t="shared" si="91"/>
        <v>0.31699604743083004</v>
      </c>
      <c r="K312" s="2">
        <v>0</v>
      </c>
      <c r="L312" s="4">
        <f t="shared" si="92"/>
        <v>0</v>
      </c>
      <c r="M312" s="2">
        <v>47194</v>
      </c>
      <c r="N312" s="2">
        <f t="shared" si="93"/>
        <v>0.22216386803120844</v>
      </c>
      <c r="O312" s="2">
        <v>0.22264962799999999</v>
      </c>
      <c r="P312" s="2">
        <f t="shared" si="94"/>
        <v>0.17975213875424909</v>
      </c>
      <c r="Q312" s="2">
        <v>0.2407</v>
      </c>
      <c r="R312" s="2">
        <f t="shared" si="95"/>
        <v>0.53763752171395485</v>
      </c>
      <c r="S312" s="2">
        <f t="shared" si="96"/>
        <v>2.9858871560186344E-2</v>
      </c>
      <c r="T312" s="5">
        <f t="shared" si="97"/>
        <v>7.798585556341861E-2</v>
      </c>
      <c r="U312" s="2" t="str">
        <f t="shared" si="98"/>
        <v>No Impact</v>
      </c>
      <c r="V312" s="2">
        <f t="shared" si="99"/>
        <v>4.475461688788971E-2</v>
      </c>
      <c r="W312" s="2">
        <f t="shared" si="100"/>
        <v>0.10855833596457508</v>
      </c>
      <c r="X312" s="2" t="s">
        <v>1176</v>
      </c>
      <c r="Y312" s="2">
        <f t="shared" si="101"/>
        <v>1.4963126232482971E-2</v>
      </c>
      <c r="Z312" s="2">
        <f t="shared" si="102"/>
        <v>3.8246944680176059E-2</v>
      </c>
      <c r="AA312" s="2" t="str">
        <f t="shared" si="103"/>
        <v>No Impact</v>
      </c>
      <c r="AB312" s="2">
        <f t="shared" si="104"/>
        <v>2.6625817379538442E-2</v>
      </c>
      <c r="AC312" s="2">
        <f t="shared" si="105"/>
        <v>9.6739544531347532E-2</v>
      </c>
      <c r="AD312" s="2" t="str">
        <f t="shared" si="106"/>
        <v>No Impact</v>
      </c>
      <c r="AE312" s="2">
        <f t="shared" si="107"/>
        <v>1.8493610282949019E-2</v>
      </c>
      <c r="AF312" s="2">
        <f t="shared" si="108"/>
        <v>0.14088646260911783</v>
      </c>
      <c r="AG312" s="2" t="s">
        <v>1175</v>
      </c>
    </row>
    <row r="313" spans="1:33" x14ac:dyDescent="0.3">
      <c r="A313">
        <v>404480</v>
      </c>
      <c r="B313" t="s">
        <v>636</v>
      </c>
      <c r="C313" t="s">
        <v>628</v>
      </c>
      <c r="D313" t="s">
        <v>637</v>
      </c>
      <c r="E313" s="13">
        <v>4.5999999999999996</v>
      </c>
      <c r="F313" s="14">
        <f t="shared" si="89"/>
        <v>0.31111111111111101</v>
      </c>
      <c r="G313" s="2">
        <v>74.0304936</v>
      </c>
      <c r="H313" s="2">
        <f t="shared" si="90"/>
        <v>0.44748145115529198</v>
      </c>
      <c r="I313" s="2">
        <v>37.799999999999997</v>
      </c>
      <c r="J313" s="4">
        <f t="shared" si="91"/>
        <v>0.29881422924901185</v>
      </c>
      <c r="K313" s="2">
        <v>0</v>
      </c>
      <c r="L313" s="4">
        <f t="shared" si="92"/>
        <v>0</v>
      </c>
      <c r="M313" s="2">
        <v>21848</v>
      </c>
      <c r="N313" s="2">
        <f t="shared" si="93"/>
        <v>0.10224127407701807</v>
      </c>
      <c r="O313" s="2">
        <v>0.24534339099999999</v>
      </c>
      <c r="P313" s="2">
        <f t="shared" si="94"/>
        <v>0.20596774989623445</v>
      </c>
      <c r="Q313" s="2">
        <v>0.27429999999999999</v>
      </c>
      <c r="R313" s="2">
        <f t="shared" si="95"/>
        <v>0.63491603937463814</v>
      </c>
      <c r="S313" s="2">
        <f t="shared" si="96"/>
        <v>3.4166498936764322E-2</v>
      </c>
      <c r="T313" s="5">
        <f t="shared" si="97"/>
        <v>8.9236582361104114E-2</v>
      </c>
      <c r="U313" s="2" t="str">
        <f t="shared" si="98"/>
        <v>No Impact</v>
      </c>
      <c r="V313" s="2">
        <f t="shared" si="99"/>
        <v>5.1595377294734131E-2</v>
      </c>
      <c r="W313" s="2">
        <f t="shared" si="100"/>
        <v>0.12515151937534244</v>
      </c>
      <c r="X313" s="2" t="s">
        <v>1176</v>
      </c>
      <c r="Y313" s="2">
        <f t="shared" si="101"/>
        <v>1.6737620578794514E-2</v>
      </c>
      <c r="Z313" s="2">
        <f t="shared" si="102"/>
        <v>4.2782693830733125E-2</v>
      </c>
      <c r="AA313" s="2" t="str">
        <f t="shared" si="103"/>
        <v>No Impact</v>
      </c>
      <c r="AB313" s="2">
        <f t="shared" si="104"/>
        <v>2.5987630657076398E-2</v>
      </c>
      <c r="AC313" s="2">
        <f t="shared" si="105"/>
        <v>9.4420821617534706E-2</v>
      </c>
      <c r="AD313" s="2" t="str">
        <f t="shared" si="106"/>
        <v>No Impact</v>
      </c>
      <c r="AE313" s="2">
        <f t="shared" si="107"/>
        <v>8.3084640865174284E-3</v>
      </c>
      <c r="AF313" s="2">
        <f t="shared" si="108"/>
        <v>6.3294840593865823E-2</v>
      </c>
      <c r="AG313" s="2" t="s">
        <v>1175</v>
      </c>
    </row>
    <row r="314" spans="1:33" x14ac:dyDescent="0.3">
      <c r="A314">
        <v>404712</v>
      </c>
      <c r="B314" t="s">
        <v>638</v>
      </c>
      <c r="C314" t="s">
        <v>639</v>
      </c>
      <c r="D314" t="s">
        <v>640</v>
      </c>
      <c r="E314" s="13">
        <v>6.9</v>
      </c>
      <c r="F314" s="14">
        <f t="shared" si="89"/>
        <v>0.8222222222222223</v>
      </c>
      <c r="G314" s="2">
        <v>68.911739999999995</v>
      </c>
      <c r="H314" s="2">
        <f t="shared" si="90"/>
        <v>0.3921777044033361</v>
      </c>
      <c r="I314" s="2">
        <v>33.299999999999997</v>
      </c>
      <c r="J314" s="4">
        <f t="shared" si="91"/>
        <v>0.26324110671936757</v>
      </c>
      <c r="K314" s="2">
        <v>0</v>
      </c>
      <c r="L314" s="4">
        <f t="shared" si="92"/>
        <v>0</v>
      </c>
      <c r="M314" s="2">
        <v>34844</v>
      </c>
      <c r="N314" s="2">
        <f t="shared" si="93"/>
        <v>0.16373082000255496</v>
      </c>
      <c r="O314" s="2">
        <v>0.25517379499999998</v>
      </c>
      <c r="P314" s="2">
        <f t="shared" si="94"/>
        <v>0.21732373561938745</v>
      </c>
      <c r="Q314" s="2">
        <v>0.22109999999999999</v>
      </c>
      <c r="R314" s="2">
        <f t="shared" si="95"/>
        <v>0.48089171974522293</v>
      </c>
      <c r="S314" s="2">
        <f t="shared" si="96"/>
        <v>6.5846943227003144E-2</v>
      </c>
      <c r="T314" s="5">
        <f t="shared" si="97"/>
        <v>0.17198004932781341</v>
      </c>
      <c r="U314" s="2" t="str">
        <f t="shared" si="98"/>
        <v>Low</v>
      </c>
      <c r="V314" s="2">
        <f t="shared" si="99"/>
        <v>9.0703376801832339E-2</v>
      </c>
      <c r="W314" s="2">
        <f t="shared" si="100"/>
        <v>0.22001322626982836</v>
      </c>
      <c r="X314" s="2" t="s">
        <v>1175</v>
      </c>
      <c r="Y314" s="2">
        <f t="shared" si="101"/>
        <v>4.0990509652173948E-2</v>
      </c>
      <c r="Z314" s="2">
        <f t="shared" si="102"/>
        <v>0.10477501363822729</v>
      </c>
      <c r="AA314" s="2" t="str">
        <f t="shared" si="103"/>
        <v>No Impact</v>
      </c>
      <c r="AB314" s="2">
        <f t="shared" si="104"/>
        <v>5.4852064013763989E-2</v>
      </c>
      <c r="AC314" s="2">
        <f t="shared" si="105"/>
        <v>0.19929392640444199</v>
      </c>
      <c r="AD314" s="2" t="str">
        <f t="shared" si="106"/>
        <v>Low</v>
      </c>
      <c r="AE314" s="2">
        <f t="shared" si="107"/>
        <v>3.0882083535629965E-2</v>
      </c>
      <c r="AF314" s="2">
        <f t="shared" si="108"/>
        <v>0.23526328503557004</v>
      </c>
      <c r="AG314" s="2" t="s">
        <v>1175</v>
      </c>
    </row>
    <row r="315" spans="1:33" x14ac:dyDescent="0.3">
      <c r="A315">
        <v>404717</v>
      </c>
      <c r="B315" t="s">
        <v>641</v>
      </c>
      <c r="C315" t="s">
        <v>639</v>
      </c>
      <c r="D315" t="s">
        <v>642</v>
      </c>
      <c r="E315" s="13">
        <v>6.9</v>
      </c>
      <c r="F315" s="14">
        <f t="shared" si="89"/>
        <v>0.8222222222222223</v>
      </c>
      <c r="G315" s="2">
        <v>79.550024399999998</v>
      </c>
      <c r="H315" s="2">
        <f t="shared" si="90"/>
        <v>0.50711525215575826</v>
      </c>
      <c r="I315" s="2">
        <v>79.2</v>
      </c>
      <c r="J315" s="4">
        <f t="shared" si="91"/>
        <v>0.62608695652173918</v>
      </c>
      <c r="K315" s="2">
        <v>0.5</v>
      </c>
      <c r="L315" s="4">
        <f t="shared" si="92"/>
        <v>0.25</v>
      </c>
      <c r="M315" s="2">
        <v>30636</v>
      </c>
      <c r="N315" s="2">
        <f t="shared" si="93"/>
        <v>0.1438210008847757</v>
      </c>
      <c r="O315" s="2">
        <v>0.250517557</v>
      </c>
      <c r="P315" s="2">
        <f t="shared" si="94"/>
        <v>0.21194489541591235</v>
      </c>
      <c r="Q315" s="2">
        <v>0.31530000000000002</v>
      </c>
      <c r="R315" s="2">
        <f t="shared" si="95"/>
        <v>0.75361899247249575</v>
      </c>
      <c r="S315" s="2">
        <f t="shared" si="96"/>
        <v>0.1872117725248722</v>
      </c>
      <c r="T315" s="5">
        <f t="shared" si="97"/>
        <v>0.48896255916662473</v>
      </c>
      <c r="U315" s="2" t="str">
        <f t="shared" si="98"/>
        <v>Moderate</v>
      </c>
      <c r="V315" s="2">
        <f t="shared" si="99"/>
        <v>0.29223617237327715</v>
      </c>
      <c r="W315" s="2">
        <f t="shared" si="100"/>
        <v>0.70885809750019713</v>
      </c>
      <c r="X315" s="2" t="str">
        <f t="shared" si="109"/>
        <v>High</v>
      </c>
      <c r="Y315" s="2">
        <f t="shared" si="101"/>
        <v>8.2187372676467224E-2</v>
      </c>
      <c r="Z315" s="2">
        <f t="shared" si="102"/>
        <v>0.2100774829622111</v>
      </c>
      <c r="AA315" s="2" t="str">
        <f t="shared" si="103"/>
        <v>Low</v>
      </c>
      <c r="AB315" s="2">
        <f t="shared" si="104"/>
        <v>0.14645854285426377</v>
      </c>
      <c r="AC315" s="2">
        <f t="shared" si="105"/>
        <v>0.53212761608342141</v>
      </c>
      <c r="AD315" s="2" t="str">
        <f t="shared" si="106"/>
        <v>Moderate</v>
      </c>
      <c r="AE315" s="2">
        <f t="shared" si="107"/>
        <v>5.5770487773361792E-2</v>
      </c>
      <c r="AF315" s="2">
        <f t="shared" si="108"/>
        <v>0.42486602778789934</v>
      </c>
      <c r="AG315" s="2" t="str">
        <f t="shared" si="110"/>
        <v>Moderate</v>
      </c>
    </row>
    <row r="316" spans="1:33" x14ac:dyDescent="0.3">
      <c r="A316">
        <v>404730</v>
      </c>
      <c r="B316" t="s">
        <v>643</v>
      </c>
      <c r="C316" t="s">
        <v>639</v>
      </c>
      <c r="D316" t="s">
        <v>644</v>
      </c>
      <c r="E316" s="13">
        <v>6.9</v>
      </c>
      <c r="F316" s="14">
        <f t="shared" si="89"/>
        <v>0.8222222222222223</v>
      </c>
      <c r="G316" s="2">
        <v>78.175414799999999</v>
      </c>
      <c r="H316" s="2">
        <f t="shared" si="90"/>
        <v>0.49226377323299719</v>
      </c>
      <c r="I316" s="2">
        <v>61.4</v>
      </c>
      <c r="J316" s="4">
        <f t="shared" si="91"/>
        <v>0.48537549407114622</v>
      </c>
      <c r="K316" s="2">
        <v>0</v>
      </c>
      <c r="L316" s="4">
        <f t="shared" si="92"/>
        <v>0</v>
      </c>
      <c r="M316" s="2">
        <v>69387</v>
      </c>
      <c r="N316" s="2">
        <f t="shared" si="93"/>
        <v>0.32716829190974339</v>
      </c>
      <c r="O316" s="2">
        <v>0.63466354700000005</v>
      </c>
      <c r="P316" s="2">
        <f t="shared" si="94"/>
        <v>0.65570655343591544</v>
      </c>
      <c r="Q316" s="2">
        <v>0.20180000000000001</v>
      </c>
      <c r="R316" s="2">
        <f t="shared" si="95"/>
        <v>0.42501447596989006</v>
      </c>
      <c r="S316" s="2">
        <f t="shared" si="96"/>
        <v>0.15202657037514114</v>
      </c>
      <c r="T316" s="5">
        <f t="shared" si="97"/>
        <v>0.39706531223659081</v>
      </c>
      <c r="U316" s="2" t="str">
        <f t="shared" si="98"/>
        <v>Moderate</v>
      </c>
      <c r="V316" s="2">
        <f t="shared" si="99"/>
        <v>0.11957478643126906</v>
      </c>
      <c r="W316" s="2">
        <f t="shared" si="100"/>
        <v>0.29004470914844421</v>
      </c>
      <c r="X316" s="2" t="s">
        <v>1175</v>
      </c>
      <c r="Y316" s="2">
        <f t="shared" si="101"/>
        <v>0.18447835431901324</v>
      </c>
      <c r="Z316" s="2">
        <f t="shared" si="102"/>
        <v>0.4715413946727357</v>
      </c>
      <c r="AA316" s="2" t="str">
        <f t="shared" si="103"/>
        <v>Moderate</v>
      </c>
      <c r="AB316" s="2">
        <f t="shared" si="104"/>
        <v>0.12941094309872939</v>
      </c>
      <c r="AC316" s="2">
        <f t="shared" si="105"/>
        <v>0.47018859606405944</v>
      </c>
      <c r="AD316" s="2" t="str">
        <f t="shared" si="106"/>
        <v>Moderate</v>
      </c>
      <c r="AE316" s="2">
        <f t="shared" si="107"/>
        <v>9.2046461577375005E-2</v>
      </c>
      <c r="AF316" s="2">
        <f t="shared" si="108"/>
        <v>0.70122059289196459</v>
      </c>
      <c r="AG316" s="2" t="str">
        <f t="shared" si="110"/>
        <v>High</v>
      </c>
    </row>
    <row r="317" spans="1:33" x14ac:dyDescent="0.3">
      <c r="A317" s="9">
        <v>404733</v>
      </c>
      <c r="B317" s="9" t="s">
        <v>1162</v>
      </c>
      <c r="C317" s="9" t="s">
        <v>639</v>
      </c>
      <c r="D317" s="9" t="s">
        <v>1163</v>
      </c>
      <c r="E317" s="15">
        <v>6.9</v>
      </c>
      <c r="F317" s="14">
        <f t="shared" si="89"/>
        <v>0.8222222222222223</v>
      </c>
      <c r="G317" s="2">
        <v>79.550024399999998</v>
      </c>
      <c r="H317" s="2">
        <f t="shared" si="90"/>
        <v>0.50711525215575826</v>
      </c>
      <c r="I317" s="2">
        <v>79.2</v>
      </c>
      <c r="J317" s="4">
        <f t="shared" si="91"/>
        <v>0.62608695652173918</v>
      </c>
      <c r="K317" s="2">
        <v>0.5</v>
      </c>
      <c r="L317" s="4">
        <f t="shared" si="92"/>
        <v>0.25</v>
      </c>
      <c r="M317" s="2">
        <v>68200</v>
      </c>
      <c r="N317" s="2">
        <f t="shared" si="93"/>
        <v>0.32155209530974249</v>
      </c>
      <c r="O317" s="2">
        <v>0.63466354700000005</v>
      </c>
      <c r="P317" s="2">
        <f t="shared" si="94"/>
        <v>0.65570655343591544</v>
      </c>
      <c r="Q317" s="2">
        <v>0.20180000000000001</v>
      </c>
      <c r="R317" s="2">
        <f t="shared" si="95"/>
        <v>0.42501447596989006</v>
      </c>
      <c r="S317" s="2">
        <f t="shared" si="96"/>
        <v>0.2095394225672908</v>
      </c>
      <c r="T317" s="5">
        <f t="shared" si="97"/>
        <v>0.54727825565129617</v>
      </c>
      <c r="U317" s="2" t="str">
        <f t="shared" si="98"/>
        <v>Moderate</v>
      </c>
      <c r="V317" s="2">
        <f t="shared" si="99"/>
        <v>0.16481087247175216</v>
      </c>
      <c r="W317" s="2">
        <f t="shared" si="100"/>
        <v>0.39977091322715697</v>
      </c>
      <c r="X317" s="2" t="str">
        <f t="shared" si="109"/>
        <v>Moderate</v>
      </c>
      <c r="Y317" s="2">
        <f t="shared" si="101"/>
        <v>0.25426797266282952</v>
      </c>
      <c r="Z317" s="2">
        <f t="shared" si="102"/>
        <v>0.64992922824270016</v>
      </c>
      <c r="AA317" s="2" t="str">
        <f t="shared" si="103"/>
        <v>Moderate</v>
      </c>
      <c r="AB317" s="2">
        <f t="shared" si="104"/>
        <v>0.17760588357538112</v>
      </c>
      <c r="AC317" s="2">
        <f t="shared" si="105"/>
        <v>0.64529520496049275</v>
      </c>
      <c r="AD317" s="2" t="str">
        <f t="shared" si="106"/>
        <v>Moderate</v>
      </c>
      <c r="AE317" s="2">
        <f t="shared" si="107"/>
        <v>0.12469053260405438</v>
      </c>
      <c r="AF317" s="2">
        <f t="shared" si="108"/>
        <v>0.94990690247371212</v>
      </c>
      <c r="AG317" s="2" t="str">
        <f t="shared" si="110"/>
        <v>High</v>
      </c>
    </row>
    <row r="318" spans="1:33" x14ac:dyDescent="0.3">
      <c r="A318">
        <v>404740</v>
      </c>
      <c r="B318" t="s">
        <v>645</v>
      </c>
      <c r="C318" t="s">
        <v>639</v>
      </c>
      <c r="D318" t="s">
        <v>646</v>
      </c>
      <c r="E318" s="13">
        <v>6.9</v>
      </c>
      <c r="F318" s="14">
        <f t="shared" si="89"/>
        <v>0.8222222222222223</v>
      </c>
      <c r="G318" s="2">
        <v>78.175414799999999</v>
      </c>
      <c r="H318" s="2">
        <f t="shared" si="90"/>
        <v>0.49226377323299719</v>
      </c>
      <c r="I318" s="2">
        <v>63.3</v>
      </c>
      <c r="J318" s="4">
        <f t="shared" si="91"/>
        <v>0.50039525691699605</v>
      </c>
      <c r="K318" s="2">
        <v>0</v>
      </c>
      <c r="L318" s="4">
        <f t="shared" si="92"/>
        <v>0</v>
      </c>
      <c r="M318" s="2">
        <v>17988</v>
      </c>
      <c r="N318" s="2">
        <f t="shared" si="93"/>
        <v>8.3977989430005728E-2</v>
      </c>
      <c r="O318" s="2">
        <v>0.725192638</v>
      </c>
      <c r="P318" s="2">
        <f t="shared" si="94"/>
        <v>0.76028486628308001</v>
      </c>
      <c r="Q318" s="2">
        <v>0.1832</v>
      </c>
      <c r="R318" s="2">
        <f t="shared" si="95"/>
        <v>0.37116386797915463</v>
      </c>
      <c r="S318" s="2">
        <f t="shared" si="96"/>
        <v>0.16160777001847304</v>
      </c>
      <c r="T318" s="5">
        <f t="shared" si="97"/>
        <v>0.42208963540979033</v>
      </c>
      <c r="U318" s="2" t="str">
        <f t="shared" si="98"/>
        <v>Moderate</v>
      </c>
      <c r="V318" s="2">
        <f t="shared" si="99"/>
        <v>0.10602860421184568</v>
      </c>
      <c r="W318" s="2">
        <f t="shared" si="100"/>
        <v>0.25718662426979927</v>
      </c>
      <c r="X318" s="2" t="s">
        <v>1175</v>
      </c>
      <c r="Y318" s="2">
        <f t="shared" si="101"/>
        <v>0.21718693582510043</v>
      </c>
      <c r="Z318" s="2">
        <f t="shared" si="102"/>
        <v>0.55514713908693325</v>
      </c>
      <c r="AA318" s="2" t="str">
        <f t="shared" si="103"/>
        <v>Moderate</v>
      </c>
      <c r="AB318" s="2">
        <f t="shared" si="104"/>
        <v>0.11066244871049859</v>
      </c>
      <c r="AC318" s="2">
        <f t="shared" si="105"/>
        <v>0.40206971798748281</v>
      </c>
      <c r="AD318" s="2" t="str">
        <f t="shared" si="106"/>
        <v>Moderate</v>
      </c>
      <c r="AE318" s="2">
        <f t="shared" si="107"/>
        <v>2.3989589968064211E-2</v>
      </c>
      <c r="AF318" s="2">
        <f t="shared" si="108"/>
        <v>0.18275547166471365</v>
      </c>
      <c r="AG318" s="2" t="s">
        <v>1175</v>
      </c>
    </row>
    <row r="319" spans="1:33" x14ac:dyDescent="0.3">
      <c r="A319">
        <v>404748</v>
      </c>
      <c r="B319" t="s">
        <v>647</v>
      </c>
      <c r="C319" t="s">
        <v>639</v>
      </c>
      <c r="D319" t="s">
        <v>648</v>
      </c>
      <c r="E319" s="13">
        <v>6</v>
      </c>
      <c r="F319" s="14">
        <f t="shared" si="89"/>
        <v>0.62222222222222223</v>
      </c>
      <c r="G319" s="2">
        <v>73.411739999999995</v>
      </c>
      <c r="H319" s="2">
        <f t="shared" si="90"/>
        <v>0.44079634867326173</v>
      </c>
      <c r="I319" s="2">
        <v>55.4</v>
      </c>
      <c r="J319" s="4">
        <f t="shared" si="91"/>
        <v>0.43794466403162052</v>
      </c>
      <c r="K319" s="2">
        <v>0</v>
      </c>
      <c r="L319" s="4">
        <f t="shared" si="92"/>
        <v>0</v>
      </c>
      <c r="M319" s="2">
        <v>12622</v>
      </c>
      <c r="N319" s="2">
        <f t="shared" si="93"/>
        <v>5.8589184918122761E-2</v>
      </c>
      <c r="O319" s="2">
        <v>0.65296287099999994</v>
      </c>
      <c r="P319" s="2">
        <f t="shared" si="94"/>
        <v>0.67684575199655961</v>
      </c>
      <c r="Q319" s="2">
        <v>0.2263</v>
      </c>
      <c r="R319" s="2">
        <f t="shared" si="95"/>
        <v>0.4959467284308049</v>
      </c>
      <c r="S319" s="2">
        <f t="shared" si="96"/>
        <v>0.11221880387828276</v>
      </c>
      <c r="T319" s="5">
        <f t="shared" si="97"/>
        <v>0.293094781331942</v>
      </c>
      <c r="U319" s="2" t="str">
        <f t="shared" si="98"/>
        <v>Low</v>
      </c>
      <c r="V319" s="2">
        <f t="shared" si="99"/>
        <v>9.4909456840262113E-2</v>
      </c>
      <c r="W319" s="2">
        <f t="shared" si="100"/>
        <v>0.23021563848239512</v>
      </c>
      <c r="X319" s="2" t="s">
        <v>1175</v>
      </c>
      <c r="Y319" s="2">
        <f t="shared" si="101"/>
        <v>0.1295281509163034</v>
      </c>
      <c r="Z319" s="2">
        <f t="shared" si="102"/>
        <v>0.3310842898502554</v>
      </c>
      <c r="AA319" s="2" t="str">
        <f t="shared" si="103"/>
        <v>Moderate</v>
      </c>
      <c r="AB319" s="2">
        <f t="shared" si="104"/>
        <v>7.6001034914128796E-2</v>
      </c>
      <c r="AC319" s="2">
        <f t="shared" si="105"/>
        <v>0.27613445238883078</v>
      </c>
      <c r="AD319" s="2" t="str">
        <f t="shared" si="106"/>
        <v>Low</v>
      </c>
      <c r="AE319" s="2">
        <f t="shared" si="107"/>
        <v>1.1212227843274381E-2</v>
      </c>
      <c r="AF319" s="2">
        <f t="shared" si="108"/>
        <v>8.5416048821079199E-2</v>
      </c>
      <c r="AG319" s="2" t="s">
        <v>1175</v>
      </c>
    </row>
    <row r="320" spans="1:33" x14ac:dyDescent="0.3">
      <c r="A320">
        <v>404753</v>
      </c>
      <c r="B320" t="s">
        <v>649</v>
      </c>
      <c r="C320" t="s">
        <v>639</v>
      </c>
      <c r="D320" t="s">
        <v>650</v>
      </c>
      <c r="E320" s="13">
        <v>6.9</v>
      </c>
      <c r="F320" s="14">
        <f t="shared" si="89"/>
        <v>0.8222222222222223</v>
      </c>
      <c r="G320" s="2">
        <v>119.0094012</v>
      </c>
      <c r="H320" s="2">
        <f t="shared" si="90"/>
        <v>0.93344000854512643</v>
      </c>
      <c r="I320" s="2">
        <v>126.5</v>
      </c>
      <c r="J320" s="4">
        <f t="shared" si="91"/>
        <v>1</v>
      </c>
      <c r="K320" s="2">
        <v>0.5</v>
      </c>
      <c r="L320" s="4">
        <f t="shared" si="92"/>
        <v>0.25</v>
      </c>
      <c r="M320" s="2">
        <v>26404</v>
      </c>
      <c r="N320" s="2">
        <f t="shared" si="93"/>
        <v>0.12379762766556425</v>
      </c>
      <c r="O320" s="2">
        <v>0.61498952399999995</v>
      </c>
      <c r="P320" s="2">
        <f t="shared" si="94"/>
        <v>0.63297931615197622</v>
      </c>
      <c r="Q320" s="2">
        <v>0.26429999999999998</v>
      </c>
      <c r="R320" s="2">
        <f t="shared" si="95"/>
        <v>0.60596409959467279</v>
      </c>
      <c r="S320" s="2">
        <f t="shared" si="96"/>
        <v>0.38287547587273585</v>
      </c>
      <c r="T320" s="5">
        <f t="shared" si="97"/>
        <v>1</v>
      </c>
      <c r="U320" s="2" t="str">
        <f t="shared" si="98"/>
        <v>High</v>
      </c>
      <c r="V320" s="2">
        <f t="shared" si="99"/>
        <v>0.3745268590079785</v>
      </c>
      <c r="W320" s="2">
        <f t="shared" si="100"/>
        <v>0.90846521353972198</v>
      </c>
      <c r="X320" s="2" t="str">
        <f t="shared" si="109"/>
        <v>High</v>
      </c>
      <c r="Y320" s="2">
        <f t="shared" si="101"/>
        <v>0.3912240927374932</v>
      </c>
      <c r="Z320" s="2">
        <f t="shared" si="102"/>
        <v>1</v>
      </c>
      <c r="AA320" s="2" t="str">
        <f t="shared" si="103"/>
        <v>High</v>
      </c>
      <c r="AB320" s="2">
        <f t="shared" si="104"/>
        <v>0.27523199027374579</v>
      </c>
      <c r="AC320" s="2">
        <f t="shared" si="105"/>
        <v>1</v>
      </c>
      <c r="AD320" s="2" t="str">
        <f t="shared" si="106"/>
        <v>High</v>
      </c>
      <c r="AE320" s="2">
        <f t="shared" si="107"/>
        <v>7.6515319427729697E-2</v>
      </c>
      <c r="AF320" s="2">
        <f t="shared" si="108"/>
        <v>0.58290255524193713</v>
      </c>
      <c r="AG320" s="2" t="str">
        <f t="shared" si="110"/>
        <v>Moderate</v>
      </c>
    </row>
    <row r="321" spans="1:33" x14ac:dyDescent="0.3">
      <c r="A321">
        <v>404764</v>
      </c>
      <c r="B321" t="s">
        <v>651</v>
      </c>
      <c r="C321" t="s">
        <v>639</v>
      </c>
      <c r="D321" t="s">
        <v>652</v>
      </c>
      <c r="E321" s="13">
        <v>6.9</v>
      </c>
      <c r="F321" s="14">
        <f t="shared" si="89"/>
        <v>0.8222222222222223</v>
      </c>
      <c r="G321" s="2">
        <v>79.550024399999998</v>
      </c>
      <c r="H321" s="2">
        <f t="shared" si="90"/>
        <v>0.50711525215575826</v>
      </c>
      <c r="I321" s="2">
        <v>71.7</v>
      </c>
      <c r="J321" s="4">
        <f t="shared" si="91"/>
        <v>0.56679841897233207</v>
      </c>
      <c r="K321" s="2">
        <v>0.5</v>
      </c>
      <c r="L321" s="4">
        <f t="shared" si="92"/>
        <v>0.25</v>
      </c>
      <c r="M321" s="2">
        <v>42872</v>
      </c>
      <c r="N321" s="2">
        <f t="shared" si="93"/>
        <v>0.20171466693162624</v>
      </c>
      <c r="O321" s="2">
        <v>0.70813871699999997</v>
      </c>
      <c r="P321" s="2">
        <f t="shared" si="94"/>
        <v>0.74058434498204506</v>
      </c>
      <c r="Q321" s="2">
        <v>0.2094</v>
      </c>
      <c r="R321" s="2">
        <f t="shared" si="95"/>
        <v>0.44701795020266361</v>
      </c>
      <c r="S321" s="2">
        <f t="shared" si="96"/>
        <v>0.22013108534122117</v>
      </c>
      <c r="T321" s="5">
        <f t="shared" si="97"/>
        <v>0.57494172182077974</v>
      </c>
      <c r="U321" s="2" t="str">
        <f t="shared" si="98"/>
        <v>Moderate</v>
      </c>
      <c r="V321" s="2">
        <f t="shared" si="99"/>
        <v>0.16571632935386954</v>
      </c>
      <c r="W321" s="2">
        <f t="shared" si="100"/>
        <v>0.40196722054125067</v>
      </c>
      <c r="X321" s="2" t="str">
        <f t="shared" si="109"/>
        <v>Moderate</v>
      </c>
      <c r="Y321" s="2">
        <f t="shared" si="101"/>
        <v>0.27454584132857274</v>
      </c>
      <c r="Z321" s="2">
        <f t="shared" si="102"/>
        <v>0.70176107868895943</v>
      </c>
      <c r="AA321" s="2" t="str">
        <f t="shared" si="103"/>
        <v>High</v>
      </c>
      <c r="AB321" s="2">
        <f t="shared" si="104"/>
        <v>0.1665370071822096</v>
      </c>
      <c r="AC321" s="2">
        <f t="shared" si="105"/>
        <v>0.60507867205615107</v>
      </c>
      <c r="AD321" s="2" t="str">
        <f t="shared" si="106"/>
        <v>Moderate</v>
      </c>
      <c r="AE321" s="2">
        <f t="shared" si="107"/>
        <v>7.4778684313666938E-2</v>
      </c>
      <c r="AF321" s="2">
        <f t="shared" si="108"/>
        <v>0.56967266803658878</v>
      </c>
      <c r="AG321" s="2" t="str">
        <f t="shared" si="110"/>
        <v>Moderate</v>
      </c>
    </row>
    <row r="322" spans="1:33" x14ac:dyDescent="0.3">
      <c r="A322">
        <v>404769</v>
      </c>
      <c r="B322" t="s">
        <v>653</v>
      </c>
      <c r="C322" t="s">
        <v>639</v>
      </c>
      <c r="D322" t="s">
        <v>654</v>
      </c>
      <c r="E322" s="13">
        <v>6.9</v>
      </c>
      <c r="F322" s="14">
        <f t="shared" ref="F322:F385" si="111">(E322-$AJ$5)/$AK$5</f>
        <v>0.8222222222222223</v>
      </c>
      <c r="G322" s="2">
        <v>73.411739999999995</v>
      </c>
      <c r="H322" s="2">
        <f t="shared" ref="H322:H385" si="112">(G322-$AJ$6)/$AK$6</f>
        <v>0.44079634867326173</v>
      </c>
      <c r="I322" s="2">
        <v>55.4</v>
      </c>
      <c r="J322" s="4">
        <f t="shared" ref="J322:J385" si="113">(I322-$AJ$7)/$AK$7</f>
        <v>0.43794466403162052</v>
      </c>
      <c r="K322" s="2">
        <v>0</v>
      </c>
      <c r="L322" s="4">
        <f t="shared" ref="L322:L385" si="114">(K322-$AJ$8)/$AK$8</f>
        <v>0</v>
      </c>
      <c r="M322" s="2">
        <v>16829</v>
      </c>
      <c r="N322" s="2">
        <f t="shared" ref="N322:N385" si="115">(M322-$AJ$9)/$AK$9</f>
        <v>7.849427261500902E-2</v>
      </c>
      <c r="O322" s="2">
        <v>0.63000545600000002</v>
      </c>
      <c r="P322" s="2">
        <f t="shared" ref="P322:P385" si="116">(O322-$AJ$11)/$AK$11</f>
        <v>0.65032557266512026</v>
      </c>
      <c r="Q322" s="2">
        <v>0.25719999999999998</v>
      </c>
      <c r="R322" s="2">
        <f t="shared" ref="R322:R385" si="117">(Q322-$AJ$12)/$AK$12</f>
        <v>0.58540822235089751</v>
      </c>
      <c r="S322" s="2">
        <f t="shared" ref="S322:S385" si="118">F322*(R322*0.5+P322*0.5)*(H322*0.35+J322*0.35+L322*0.3)</f>
        <v>0.15624750073038884</v>
      </c>
      <c r="T322" s="5">
        <f t="shared" ref="T322:T385" si="119">(S322-$AJ$10)/$AK$10</f>
        <v>0.40808960243336145</v>
      </c>
      <c r="U322" s="2" t="str">
        <f t="shared" ref="U322:U385" si="120">IF(T322&gt;0.7,"High",IF(T322&gt;0.3,"Moderate",IF(T322&gt;0.15,"Low","No Impact")))</f>
        <v>Moderate</v>
      </c>
      <c r="V322" s="2">
        <f t="shared" ref="V322:V385" si="121">F322*(R322*1)*(H322*0.35+J322*0.35+L322*0.3)</f>
        <v>0.1480392816288752</v>
      </c>
      <c r="W322" s="2">
        <f t="shared" ref="W322:W385" si="122">(V322-$AJ$13)/$AK$13</f>
        <v>0.35908916640442645</v>
      </c>
      <c r="X322" s="2" t="str">
        <f t="shared" ref="X322:X347" si="123">IF(W322&gt;0.7,"High",IF(W322&gt;0.3,"Moderate",IF(W322&gt;0.15,"Low","No Impact")))</f>
        <v>Moderate</v>
      </c>
      <c r="Y322" s="2">
        <f t="shared" ref="Y322:Y385" si="124">F322*(P322*1)*(H322*0.35+J322*0.35+L322*0.3)</f>
        <v>0.16445571983190252</v>
      </c>
      <c r="Z322" s="2">
        <f t="shared" ref="Z322:Z385" si="125">(Y322-$AJ$14)/$AK$14</f>
        <v>0.42036194315427905</v>
      </c>
      <c r="AA322" s="2" t="str">
        <f t="shared" ref="AA322:AA385" si="126">IF(Z322&gt;0.7,"High",IF(Z322&gt;0.3,"Moderate",IF(Z322&gt;0.15,"Low","No Impact")))</f>
        <v>Moderate</v>
      </c>
      <c r="AB322" s="2">
        <f t="shared" ref="AB322:AB385" si="127">F322*(R322*0.35+P322*0.3+N322*0.35)*(H322*0.35+J322*0.35+L322*0.3)</f>
        <v>0.10809789427926392</v>
      </c>
      <c r="AC322" s="2">
        <f t="shared" ref="AC322:AC385" si="128">(AB322-$AJ$15)/$AK$15</f>
        <v>0.39275192600885434</v>
      </c>
      <c r="AD322" s="2" t="str">
        <f t="shared" ref="AD322:AD385" si="129">IF(AC322&gt;0.7,"High",IF(AC322&gt;0.3,"Moderate",IF(AC322&gt;0.15,"Low","No Impact")))</f>
        <v>Moderate</v>
      </c>
      <c r="AE322" s="2">
        <f t="shared" ref="AE322:AE385" si="130">F322*(N322*1)*(H322*0.35+J322*0.35+L322*0.3)</f>
        <v>1.9849799313105279E-2</v>
      </c>
      <c r="AF322" s="2">
        <f t="shared" ref="AF322:AF385" si="131">(AE322-$AJ$16)/$AK$16</f>
        <v>0.15121806753453196</v>
      </c>
      <c r="AG322" s="2" t="s">
        <v>1175</v>
      </c>
    </row>
    <row r="323" spans="1:33" x14ac:dyDescent="0.3">
      <c r="A323">
        <v>404775</v>
      </c>
      <c r="B323" t="s">
        <v>655</v>
      </c>
      <c r="C323" t="s">
        <v>639</v>
      </c>
      <c r="D323" t="s">
        <v>656</v>
      </c>
      <c r="E323" s="13">
        <v>6.4</v>
      </c>
      <c r="F323" s="14">
        <f t="shared" si="111"/>
        <v>0.71111111111111114</v>
      </c>
      <c r="G323" s="2">
        <v>78.175414799999999</v>
      </c>
      <c r="H323" s="2">
        <f t="shared" si="112"/>
        <v>0.49226377323299719</v>
      </c>
      <c r="I323" s="2">
        <v>55.5</v>
      </c>
      <c r="J323" s="4">
        <f t="shared" si="113"/>
        <v>0.43873517786561267</v>
      </c>
      <c r="K323" s="2">
        <v>0</v>
      </c>
      <c r="L323" s="4">
        <f t="shared" si="114"/>
        <v>0</v>
      </c>
      <c r="M323" s="2">
        <v>27731</v>
      </c>
      <c r="N323" s="2">
        <f t="shared" si="115"/>
        <v>0.13007622319058637</v>
      </c>
      <c r="O323" s="2">
        <v>0.56979338000000002</v>
      </c>
      <c r="P323" s="2">
        <f t="shared" si="116"/>
        <v>0.58076917646640835</v>
      </c>
      <c r="Q323" s="2">
        <v>0.22600000000000001</v>
      </c>
      <c r="R323" s="2">
        <f t="shared" si="117"/>
        <v>0.49507817023740597</v>
      </c>
      <c r="S323" s="2">
        <f t="shared" si="118"/>
        <v>0.12464514238692115</v>
      </c>
      <c r="T323" s="5">
        <f t="shared" si="119"/>
        <v>0.32555008153186599</v>
      </c>
      <c r="U323" s="2" t="str">
        <f t="shared" si="120"/>
        <v>Moderate</v>
      </c>
      <c r="V323" s="2">
        <f t="shared" si="121"/>
        <v>0.11471718401493006</v>
      </c>
      <c r="W323" s="2">
        <f t="shared" si="122"/>
        <v>0.27826194187738856</v>
      </c>
      <c r="X323" s="2" t="s">
        <v>1175</v>
      </c>
      <c r="Y323" s="2">
        <f t="shared" si="124"/>
        <v>0.13457310075891227</v>
      </c>
      <c r="Z323" s="2">
        <f t="shared" si="125"/>
        <v>0.34397958422568126</v>
      </c>
      <c r="AA323" s="2" t="str">
        <f t="shared" si="126"/>
        <v>Moderate</v>
      </c>
      <c r="AB323" s="2">
        <f t="shared" si="127"/>
        <v>9.1072172260120376E-2</v>
      </c>
      <c r="AC323" s="2">
        <f t="shared" si="128"/>
        <v>0.33089239433809992</v>
      </c>
      <c r="AD323" s="2" t="str">
        <f t="shared" si="129"/>
        <v>Moderate</v>
      </c>
      <c r="AE323" s="2">
        <f t="shared" si="130"/>
        <v>3.0140650363489136E-2</v>
      </c>
      <c r="AF323" s="2">
        <f t="shared" si="131"/>
        <v>0.22961496135588874</v>
      </c>
      <c r="AG323" s="2" t="s">
        <v>1175</v>
      </c>
    </row>
    <row r="324" spans="1:33" x14ac:dyDescent="0.3">
      <c r="A324">
        <v>404794</v>
      </c>
      <c r="B324" t="s">
        <v>657</v>
      </c>
      <c r="C324" t="s">
        <v>639</v>
      </c>
      <c r="D324" t="s">
        <v>658</v>
      </c>
      <c r="E324" s="13">
        <v>6.9</v>
      </c>
      <c r="F324" s="14">
        <f t="shared" si="111"/>
        <v>0.8222222222222223</v>
      </c>
      <c r="G324" s="2">
        <v>78.175414799999999</v>
      </c>
      <c r="H324" s="2">
        <f t="shared" si="112"/>
        <v>0.49226377323299719</v>
      </c>
      <c r="I324" s="2">
        <v>55.5</v>
      </c>
      <c r="J324" s="4">
        <f t="shared" si="113"/>
        <v>0.43873517786561267</v>
      </c>
      <c r="K324" s="2">
        <v>0</v>
      </c>
      <c r="L324" s="4">
        <f t="shared" si="114"/>
        <v>0</v>
      </c>
      <c r="M324" s="2">
        <v>14270</v>
      </c>
      <c r="N324" s="2">
        <f t="shared" si="115"/>
        <v>6.6386566549800574E-2</v>
      </c>
      <c r="O324" s="2">
        <v>0.71954688300000003</v>
      </c>
      <c r="P324" s="2">
        <f t="shared" si="116"/>
        <v>0.75376294580286174</v>
      </c>
      <c r="Q324" s="2">
        <v>0.21460000000000001</v>
      </c>
      <c r="R324" s="2">
        <f t="shared" si="117"/>
        <v>0.46207295888824557</v>
      </c>
      <c r="S324" s="2">
        <f t="shared" si="118"/>
        <v>0.16287386975646759</v>
      </c>
      <c r="T324" s="5">
        <f t="shared" si="119"/>
        <v>0.42539645399123266</v>
      </c>
      <c r="U324" s="2" t="str">
        <f t="shared" si="120"/>
        <v>Moderate</v>
      </c>
      <c r="V324" s="2">
        <f t="shared" si="121"/>
        <v>0.12379896108277869</v>
      </c>
      <c r="W324" s="2">
        <f t="shared" si="122"/>
        <v>0.30029101227601518</v>
      </c>
      <c r="X324" s="2" t="str">
        <f t="shared" si="123"/>
        <v>Moderate</v>
      </c>
      <c r="Y324" s="2">
        <f t="shared" si="124"/>
        <v>0.20194877843015643</v>
      </c>
      <c r="Z324" s="2">
        <f t="shared" si="125"/>
        <v>0.51619719280852605</v>
      </c>
      <c r="AA324" s="2" t="str">
        <f t="shared" si="126"/>
        <v>Moderate</v>
      </c>
      <c r="AB324" s="2">
        <f t="shared" si="127"/>
        <v>0.11013948982993881</v>
      </c>
      <c r="AC324" s="2">
        <f t="shared" si="128"/>
        <v>0.40016965222826767</v>
      </c>
      <c r="AD324" s="2" t="str">
        <f t="shared" si="129"/>
        <v>Moderate</v>
      </c>
      <c r="AE324" s="2">
        <f t="shared" si="130"/>
        <v>1.7786342634055242E-2</v>
      </c>
      <c r="AF324" s="2">
        <f t="shared" si="131"/>
        <v>0.13549841583804559</v>
      </c>
      <c r="AG324" s="2" t="s">
        <v>1175</v>
      </c>
    </row>
    <row r="325" spans="1:33" x14ac:dyDescent="0.3">
      <c r="A325">
        <v>405015</v>
      </c>
      <c r="B325" t="s">
        <v>659</v>
      </c>
      <c r="C325" t="s">
        <v>660</v>
      </c>
      <c r="D325" t="s">
        <v>661</v>
      </c>
      <c r="E325" s="13">
        <v>5.6</v>
      </c>
      <c r="F325" s="14">
        <f t="shared" si="111"/>
        <v>0.53333333333333321</v>
      </c>
      <c r="G325" s="2">
        <v>60.583226400000001</v>
      </c>
      <c r="H325" s="2">
        <f t="shared" si="112"/>
        <v>0.30219525106652778</v>
      </c>
      <c r="I325" s="2">
        <v>19.5</v>
      </c>
      <c r="J325" s="4">
        <f t="shared" si="113"/>
        <v>0.1541501976284585</v>
      </c>
      <c r="K325" s="2">
        <v>0</v>
      </c>
      <c r="L325" s="4">
        <f t="shared" si="114"/>
        <v>0</v>
      </c>
      <c r="M325" s="2">
        <v>38100</v>
      </c>
      <c r="N325" s="2">
        <f t="shared" si="115"/>
        <v>0.17913632643019026</v>
      </c>
      <c r="O325" s="2">
        <v>0.78116169000000002</v>
      </c>
      <c r="P325" s="2">
        <f t="shared" si="116"/>
        <v>0.82493976301473082</v>
      </c>
      <c r="Q325" s="2">
        <v>0.22189999999999999</v>
      </c>
      <c r="R325" s="2">
        <f t="shared" si="117"/>
        <v>0.48320787492762013</v>
      </c>
      <c r="S325" s="2">
        <f t="shared" si="118"/>
        <v>5.5716940607634921E-2</v>
      </c>
      <c r="T325" s="5">
        <f t="shared" si="119"/>
        <v>0.14552235418221118</v>
      </c>
      <c r="U325" s="2" t="str">
        <f t="shared" si="120"/>
        <v>No Impact</v>
      </c>
      <c r="V325" s="2">
        <f t="shared" si="121"/>
        <v>4.1161813372735175E-2</v>
      </c>
      <c r="W325" s="2">
        <f t="shared" si="122"/>
        <v>9.9843508351820084E-2</v>
      </c>
      <c r="X325" s="2" t="s">
        <v>1176</v>
      </c>
      <c r="Y325" s="2">
        <f t="shared" si="124"/>
        <v>7.0272067842534661E-2</v>
      </c>
      <c r="Z325" s="2">
        <f t="shared" si="125"/>
        <v>0.17962101298727121</v>
      </c>
      <c r="AA325" s="2" t="str">
        <f t="shared" si="126"/>
        <v>Low</v>
      </c>
      <c r="AB325" s="2">
        <f t="shared" si="127"/>
        <v>4.0829127454358342E-2</v>
      </c>
      <c r="AC325" s="2">
        <f t="shared" si="128"/>
        <v>0.14834441088679293</v>
      </c>
      <c r="AD325" s="2" t="str">
        <f t="shared" si="129"/>
        <v>No Impact</v>
      </c>
      <c r="AE325" s="2">
        <f t="shared" si="130"/>
        <v>1.5259635488973244E-2</v>
      </c>
      <c r="AF325" s="2">
        <f t="shared" si="131"/>
        <v>0.11624966849918791</v>
      </c>
      <c r="AG325" s="2" t="s">
        <v>1175</v>
      </c>
    </row>
    <row r="326" spans="1:33" x14ac:dyDescent="0.3">
      <c r="A326">
        <v>405039</v>
      </c>
      <c r="B326" t="s">
        <v>662</v>
      </c>
      <c r="C326" t="s">
        <v>660</v>
      </c>
      <c r="D326" s="16" t="s">
        <v>1144</v>
      </c>
      <c r="E326" s="13">
        <v>5.0999999999999996</v>
      </c>
      <c r="F326" s="14">
        <f t="shared" si="111"/>
        <v>0.42222222222222211</v>
      </c>
      <c r="G326" s="2">
        <v>100.93205519999999</v>
      </c>
      <c r="H326" s="2">
        <f t="shared" si="112"/>
        <v>0.73812977420771231</v>
      </c>
      <c r="I326" s="2">
        <v>95.1</v>
      </c>
      <c r="J326" s="4">
        <f t="shared" si="113"/>
        <v>0.7517786561264822</v>
      </c>
      <c r="K326" s="2">
        <v>0.5</v>
      </c>
      <c r="L326" s="4">
        <f t="shared" si="114"/>
        <v>0.25</v>
      </c>
      <c r="M326" s="2">
        <v>15743</v>
      </c>
      <c r="N326" s="2">
        <f t="shared" si="115"/>
        <v>7.3355949525201913E-2</v>
      </c>
      <c r="O326" s="2">
        <v>0.66743674099999994</v>
      </c>
      <c r="P326" s="2">
        <f t="shared" si="116"/>
        <v>0.69356582383478438</v>
      </c>
      <c r="Q326" s="2">
        <v>0.23139999999999999</v>
      </c>
      <c r="R326" s="2">
        <f t="shared" si="117"/>
        <v>0.51071221771858721</v>
      </c>
      <c r="S326" s="2">
        <f t="shared" si="118"/>
        <v>0.15164390947720832</v>
      </c>
      <c r="T326" s="5">
        <f t="shared" si="119"/>
        <v>0.39606587267452281</v>
      </c>
      <c r="U326" s="2" t="str">
        <f t="shared" si="120"/>
        <v>Moderate</v>
      </c>
      <c r="V326" s="2">
        <f t="shared" si="121"/>
        <v>0.12861879838434212</v>
      </c>
      <c r="W326" s="2">
        <f t="shared" si="122"/>
        <v>0.31198217518750682</v>
      </c>
      <c r="X326" s="2" t="str">
        <f t="shared" si="123"/>
        <v>Moderate</v>
      </c>
      <c r="Y326" s="2">
        <f t="shared" si="124"/>
        <v>0.1746690205700745</v>
      </c>
      <c r="Z326" s="2">
        <f t="shared" si="125"/>
        <v>0.44646795484365881</v>
      </c>
      <c r="AA326" s="2" t="str">
        <f t="shared" si="126"/>
        <v>Moderate</v>
      </c>
      <c r="AB326" s="2">
        <f t="shared" si="127"/>
        <v>0.10388322437541793</v>
      </c>
      <c r="AC326" s="2">
        <f t="shared" si="128"/>
        <v>0.37743877182334673</v>
      </c>
      <c r="AD326" s="2" t="str">
        <f t="shared" si="129"/>
        <v>Moderate</v>
      </c>
      <c r="AE326" s="2">
        <f t="shared" si="130"/>
        <v>1.8474110771073766E-2</v>
      </c>
      <c r="AF326" s="2">
        <f t="shared" si="131"/>
        <v>0.14073791307180861</v>
      </c>
      <c r="AG326" s="2" t="s">
        <v>1175</v>
      </c>
    </row>
    <row r="327" spans="1:33" x14ac:dyDescent="0.3">
      <c r="A327">
        <v>405063</v>
      </c>
      <c r="B327" t="s">
        <v>663</v>
      </c>
      <c r="C327" t="s">
        <v>660</v>
      </c>
      <c r="D327" t="s">
        <v>664</v>
      </c>
      <c r="E327" s="13">
        <v>5.5</v>
      </c>
      <c r="F327" s="14">
        <f t="shared" si="111"/>
        <v>0.51111111111111107</v>
      </c>
      <c r="G327" s="2">
        <v>62.073853200000002</v>
      </c>
      <c r="H327" s="2">
        <f t="shared" si="112"/>
        <v>0.31830019642839835</v>
      </c>
      <c r="I327" s="2">
        <v>26.4</v>
      </c>
      <c r="J327" s="4">
        <f t="shared" si="113"/>
        <v>0.20869565217391303</v>
      </c>
      <c r="K327" s="2">
        <v>0</v>
      </c>
      <c r="L327" s="4">
        <f t="shared" si="114"/>
        <v>0</v>
      </c>
      <c r="M327" s="2">
        <v>11398</v>
      </c>
      <c r="N327" s="2">
        <f t="shared" si="115"/>
        <v>5.2797925745080507E-2</v>
      </c>
      <c r="O327" s="2">
        <v>0.42017280800000001</v>
      </c>
      <c r="P327" s="2">
        <f t="shared" si="116"/>
        <v>0.4079289677097811</v>
      </c>
      <c r="Q327" s="2">
        <v>0.27650000000000002</v>
      </c>
      <c r="R327" s="2">
        <f t="shared" si="117"/>
        <v>0.64128546612623061</v>
      </c>
      <c r="S327" s="2">
        <f t="shared" si="118"/>
        <v>4.9456664332754231E-2</v>
      </c>
      <c r="T327" s="5">
        <f t="shared" si="119"/>
        <v>0.12917166924839332</v>
      </c>
      <c r="U327" s="2" t="str">
        <f t="shared" si="120"/>
        <v>No Impact</v>
      </c>
      <c r="V327" s="2">
        <f t="shared" si="121"/>
        <v>6.0456354805801103E-2</v>
      </c>
      <c r="W327" s="2">
        <f t="shared" si="122"/>
        <v>0.14664501078496828</v>
      </c>
      <c r="X327" s="2" t="s">
        <v>1176</v>
      </c>
      <c r="Y327" s="2">
        <f t="shared" si="124"/>
        <v>3.8456973859707373E-2</v>
      </c>
      <c r="Z327" s="2">
        <f t="shared" si="125"/>
        <v>9.8299093981186775E-2</v>
      </c>
      <c r="AA327" s="2" t="str">
        <f t="shared" si="126"/>
        <v>No Impact</v>
      </c>
      <c r="AB327" s="2">
        <f t="shared" si="127"/>
        <v>3.4438925907617282E-2</v>
      </c>
      <c r="AC327" s="2">
        <f t="shared" si="128"/>
        <v>0.12512690066792134</v>
      </c>
      <c r="AD327" s="2" t="str">
        <f t="shared" si="129"/>
        <v>No Impact</v>
      </c>
      <c r="AE327" s="2">
        <f t="shared" si="130"/>
        <v>4.977455907641949E-3</v>
      </c>
      <c r="AF327" s="2">
        <f t="shared" si="131"/>
        <v>3.7918834932251351E-2</v>
      </c>
      <c r="AG327" s="2" t="s">
        <v>1176</v>
      </c>
    </row>
    <row r="328" spans="1:33" x14ac:dyDescent="0.3">
      <c r="A328">
        <v>405071</v>
      </c>
      <c r="B328" t="s">
        <v>665</v>
      </c>
      <c r="C328" t="s">
        <v>660</v>
      </c>
      <c r="D328" t="s">
        <v>666</v>
      </c>
      <c r="E328" s="13">
        <v>5.5</v>
      </c>
      <c r="F328" s="14">
        <f t="shared" si="111"/>
        <v>0.51111111111111107</v>
      </c>
      <c r="G328" s="2">
        <v>62.073853200000002</v>
      </c>
      <c r="H328" s="2">
        <f t="shared" si="112"/>
        <v>0.31830019642839835</v>
      </c>
      <c r="I328" s="2">
        <v>26.4</v>
      </c>
      <c r="J328" s="4">
        <f t="shared" si="113"/>
        <v>0.20869565217391303</v>
      </c>
      <c r="K328" s="2">
        <v>0</v>
      </c>
      <c r="L328" s="4">
        <f t="shared" si="114"/>
        <v>0</v>
      </c>
      <c r="M328" s="2">
        <v>32093</v>
      </c>
      <c r="N328" s="2">
        <f t="shared" si="115"/>
        <v>0.15071468112588893</v>
      </c>
      <c r="O328" s="2">
        <v>0.26753194899999999</v>
      </c>
      <c r="P328" s="2">
        <f t="shared" si="116"/>
        <v>0.23159975320610371</v>
      </c>
      <c r="Q328" s="2">
        <v>0.24629999999999999</v>
      </c>
      <c r="R328" s="2">
        <f t="shared" si="117"/>
        <v>0.55385060799073538</v>
      </c>
      <c r="S328" s="2">
        <f t="shared" si="118"/>
        <v>3.7023656567256195E-2</v>
      </c>
      <c r="T328" s="5">
        <f t="shared" si="119"/>
        <v>9.6698950181814486E-2</v>
      </c>
      <c r="U328" s="2" t="str">
        <f t="shared" si="120"/>
        <v>No Impact</v>
      </c>
      <c r="V328" s="2">
        <f t="shared" si="121"/>
        <v>5.221354706252708E-2</v>
      </c>
      <c r="W328" s="2">
        <f t="shared" si="122"/>
        <v>0.12665097319713056</v>
      </c>
      <c r="X328" s="2" t="s">
        <v>1176</v>
      </c>
      <c r="Y328" s="2">
        <f t="shared" si="124"/>
        <v>2.1833766071985308E-2</v>
      </c>
      <c r="Z328" s="2">
        <f t="shared" si="125"/>
        <v>5.5808848374365096E-2</v>
      </c>
      <c r="AA328" s="2" t="str">
        <f t="shared" si="126"/>
        <v>No Impact</v>
      </c>
      <c r="AB328" s="2">
        <f t="shared" si="127"/>
        <v>2.9797822110641935E-2</v>
      </c>
      <c r="AC328" s="2">
        <f t="shared" si="128"/>
        <v>0.10826438482316324</v>
      </c>
      <c r="AD328" s="2" t="str">
        <f t="shared" si="129"/>
        <v>No Impact</v>
      </c>
      <c r="AE328" s="2">
        <f t="shared" si="130"/>
        <v>1.4208430906176777E-2</v>
      </c>
      <c r="AF328" s="2">
        <f t="shared" si="131"/>
        <v>0.10824147037655117</v>
      </c>
      <c r="AG328" s="2" t="s">
        <v>1175</v>
      </c>
    </row>
    <row r="329" spans="1:33" x14ac:dyDescent="0.3">
      <c r="A329">
        <v>405079</v>
      </c>
      <c r="B329" t="s">
        <v>667</v>
      </c>
      <c r="C329" t="s">
        <v>660</v>
      </c>
      <c r="D329" t="s">
        <v>668</v>
      </c>
      <c r="E329" s="13">
        <v>5.5</v>
      </c>
      <c r="F329" s="14">
        <f t="shared" si="111"/>
        <v>0.51111111111111107</v>
      </c>
      <c r="G329" s="2">
        <v>63.7648668</v>
      </c>
      <c r="H329" s="2">
        <f t="shared" si="112"/>
        <v>0.33657014946706643</v>
      </c>
      <c r="I329" s="2">
        <v>25.4</v>
      </c>
      <c r="J329" s="4">
        <f t="shared" si="113"/>
        <v>0.20079051383399207</v>
      </c>
      <c r="K329" s="2">
        <v>0</v>
      </c>
      <c r="L329" s="4">
        <f t="shared" si="114"/>
        <v>0</v>
      </c>
      <c r="M329" s="2">
        <v>55212</v>
      </c>
      <c r="N329" s="2">
        <f t="shared" si="115"/>
        <v>0.26010040075134966</v>
      </c>
      <c r="O329" s="2">
        <v>0.372812751</v>
      </c>
      <c r="P329" s="2">
        <f t="shared" si="116"/>
        <v>0.35321909707377147</v>
      </c>
      <c r="Q329" s="2">
        <v>0.24060000000000001</v>
      </c>
      <c r="R329" s="2">
        <f t="shared" si="117"/>
        <v>0.5373480023161552</v>
      </c>
      <c r="S329" s="2">
        <f t="shared" si="118"/>
        <v>4.2804151158891975E-2</v>
      </c>
      <c r="T329" s="5">
        <f t="shared" si="119"/>
        <v>0.11179653400710278</v>
      </c>
      <c r="U329" s="2" t="str">
        <f t="shared" si="120"/>
        <v>No Impact</v>
      </c>
      <c r="V329" s="2">
        <f t="shared" si="121"/>
        <v>5.1654109234050401E-2</v>
      </c>
      <c r="W329" s="2">
        <f t="shared" si="122"/>
        <v>0.12529398158468541</v>
      </c>
      <c r="X329" s="2" t="s">
        <v>1176</v>
      </c>
      <c r="Y329" s="2">
        <f t="shared" si="124"/>
        <v>3.3954193083733562E-2</v>
      </c>
      <c r="Z329" s="2">
        <f t="shared" si="125"/>
        <v>8.6789627004174377E-2</v>
      </c>
      <c r="AA329" s="2" t="str">
        <f t="shared" si="126"/>
        <v>No Impact</v>
      </c>
      <c r="AB329" s="2">
        <f t="shared" si="127"/>
        <v>3.7016208646173186E-2</v>
      </c>
      <c r="AC329" s="2">
        <f t="shared" si="128"/>
        <v>0.13449093838749215</v>
      </c>
      <c r="AD329" s="2" t="str">
        <f t="shared" si="129"/>
        <v>No Impact</v>
      </c>
      <c r="AE329" s="2">
        <f t="shared" si="130"/>
        <v>2.5002892826101374E-2</v>
      </c>
      <c r="AF329" s="2">
        <f t="shared" si="131"/>
        <v>0.19047493006339036</v>
      </c>
      <c r="AG329" s="2" t="s">
        <v>1175</v>
      </c>
    </row>
    <row r="330" spans="1:33" x14ac:dyDescent="0.3">
      <c r="A330">
        <v>405094</v>
      </c>
      <c r="B330" t="s">
        <v>669</v>
      </c>
      <c r="C330" t="s">
        <v>660</v>
      </c>
      <c r="D330" t="s">
        <v>1137</v>
      </c>
      <c r="E330" s="13">
        <v>5.2</v>
      </c>
      <c r="F330" s="14">
        <f t="shared" si="111"/>
        <v>0.44444444444444442</v>
      </c>
      <c r="G330" s="2">
        <v>64.612133999999998</v>
      </c>
      <c r="H330" s="2">
        <f t="shared" si="112"/>
        <v>0.34572414560003883</v>
      </c>
      <c r="I330" s="2">
        <v>26</v>
      </c>
      <c r="J330" s="4">
        <f t="shared" si="113"/>
        <v>0.20553359683794467</v>
      </c>
      <c r="K330" s="2">
        <v>0</v>
      </c>
      <c r="L330" s="4">
        <f t="shared" si="114"/>
        <v>0</v>
      </c>
      <c r="M330" s="2">
        <v>51537</v>
      </c>
      <c r="N330" s="2">
        <f t="shared" si="115"/>
        <v>0.24271242896954384</v>
      </c>
      <c r="O330" s="2">
        <v>0.34081370100000002</v>
      </c>
      <c r="P330" s="2">
        <f t="shared" si="116"/>
        <v>0.31625411018671595</v>
      </c>
      <c r="Q330" s="2">
        <v>0.24060000000000001</v>
      </c>
      <c r="R330" s="2">
        <f t="shared" si="117"/>
        <v>0.5373480023161552</v>
      </c>
      <c r="S330" s="2">
        <f t="shared" si="118"/>
        <v>3.659870460389316E-2</v>
      </c>
      <c r="T330" s="5">
        <f t="shared" si="119"/>
        <v>9.5589054170861082E-2</v>
      </c>
      <c r="U330" s="2" t="str">
        <f t="shared" si="120"/>
        <v>No Impact</v>
      </c>
      <c r="V330" s="2">
        <f t="shared" si="121"/>
        <v>4.6078238369389957E-2</v>
      </c>
      <c r="W330" s="2">
        <f t="shared" si="122"/>
        <v>0.11176895769414046</v>
      </c>
      <c r="X330" s="2" t="s">
        <v>1176</v>
      </c>
      <c r="Y330" s="2">
        <f t="shared" si="124"/>
        <v>2.7119170838396357E-2</v>
      </c>
      <c r="Z330" s="2">
        <f t="shared" si="125"/>
        <v>6.931876472288992E-2</v>
      </c>
      <c r="AA330" s="2" t="str">
        <f t="shared" si="126"/>
        <v>No Impact</v>
      </c>
      <c r="AB330" s="2">
        <f t="shared" si="127"/>
        <v>3.1547643766487748E-2</v>
      </c>
      <c r="AC330" s="2">
        <f t="shared" si="128"/>
        <v>0.1146220093642111</v>
      </c>
      <c r="AD330" s="2" t="str">
        <f t="shared" si="129"/>
        <v>No Impact</v>
      </c>
      <c r="AE330" s="2">
        <f t="shared" si="130"/>
        <v>2.0812883101949578E-2</v>
      </c>
      <c r="AF330" s="2">
        <f t="shared" si="131"/>
        <v>0.15855495125439498</v>
      </c>
      <c r="AG330" s="2" t="s">
        <v>1175</v>
      </c>
    </row>
    <row r="331" spans="1:33" x14ac:dyDescent="0.3">
      <c r="A331">
        <v>405557</v>
      </c>
      <c r="B331" t="s">
        <v>670</v>
      </c>
      <c r="C331" t="s">
        <v>671</v>
      </c>
      <c r="D331" t="s">
        <v>672</v>
      </c>
      <c r="E331" s="13">
        <v>4.9000000000000004</v>
      </c>
      <c r="F331" s="14">
        <f t="shared" si="111"/>
        <v>0.37777777777777782</v>
      </c>
      <c r="G331" s="2">
        <v>71.2074456</v>
      </c>
      <c r="H331" s="2">
        <f t="shared" si="112"/>
        <v>0.41698083638441974</v>
      </c>
      <c r="I331" s="2">
        <v>41.4</v>
      </c>
      <c r="J331" s="4">
        <f t="shared" si="113"/>
        <v>0.32727272727272727</v>
      </c>
      <c r="K331" s="2">
        <v>0</v>
      </c>
      <c r="L331" s="4">
        <f t="shared" si="114"/>
        <v>0</v>
      </c>
      <c r="M331" s="2">
        <v>51857</v>
      </c>
      <c r="N331" s="2">
        <f t="shared" si="115"/>
        <v>0.24422648365530653</v>
      </c>
      <c r="O331" s="2">
        <v>0.50164850000000005</v>
      </c>
      <c r="P331" s="2">
        <f t="shared" si="116"/>
        <v>0.50204888334458209</v>
      </c>
      <c r="Q331" s="2">
        <v>0.28420000000000001</v>
      </c>
      <c r="R331" s="2">
        <f t="shared" si="117"/>
        <v>0.66357845975680374</v>
      </c>
      <c r="S331" s="2">
        <f t="shared" si="118"/>
        <v>5.7352863431072661E-2</v>
      </c>
      <c r="T331" s="5">
        <f t="shared" si="119"/>
        <v>0.14979508233151032</v>
      </c>
      <c r="U331" s="2" t="str">
        <f t="shared" si="120"/>
        <v>No Impact</v>
      </c>
      <c r="V331" s="2">
        <f t="shared" si="121"/>
        <v>6.5300672643749447E-2</v>
      </c>
      <c r="W331" s="2">
        <f t="shared" si="122"/>
        <v>0.15839555452637794</v>
      </c>
      <c r="X331" s="2" t="s">
        <v>1176</v>
      </c>
      <c r="Y331" s="2">
        <f t="shared" si="124"/>
        <v>4.9405054218395868E-2</v>
      </c>
      <c r="Z331" s="2">
        <f t="shared" si="125"/>
        <v>0.12628326101466886</v>
      </c>
      <c r="AA331" s="2" t="str">
        <f t="shared" si="126"/>
        <v>No Impact</v>
      </c>
      <c r="AB331" s="2">
        <f t="shared" si="127"/>
        <v>4.6088498182849394E-2</v>
      </c>
      <c r="AC331" s="2">
        <f t="shared" si="128"/>
        <v>0.16745327509716354</v>
      </c>
      <c r="AD331" s="2" t="str">
        <f t="shared" si="129"/>
        <v>Low</v>
      </c>
      <c r="AE331" s="2">
        <f t="shared" si="130"/>
        <v>2.4033561405766651E-2</v>
      </c>
      <c r="AF331" s="2">
        <f t="shared" si="131"/>
        <v>0.18309045116406245</v>
      </c>
      <c r="AG331" s="2" t="s">
        <v>1175</v>
      </c>
    </row>
    <row r="332" spans="1:33" x14ac:dyDescent="0.3">
      <c r="A332">
        <v>405566</v>
      </c>
      <c r="B332" t="s">
        <v>673</v>
      </c>
      <c r="C332" t="s">
        <v>671</v>
      </c>
      <c r="D332" t="s">
        <v>1138</v>
      </c>
      <c r="E332" s="13">
        <v>4.8</v>
      </c>
      <c r="F332" s="14">
        <f t="shared" si="111"/>
        <v>0.35555555555555546</v>
      </c>
      <c r="G332" s="2">
        <v>71.2074456</v>
      </c>
      <c r="H332" s="2">
        <f t="shared" si="112"/>
        <v>0.41698083638441974</v>
      </c>
      <c r="I332" s="2">
        <v>40.1</v>
      </c>
      <c r="J332" s="4">
        <f t="shared" si="113"/>
        <v>0.31699604743083004</v>
      </c>
      <c r="K332" s="2">
        <v>0</v>
      </c>
      <c r="L332" s="4">
        <f t="shared" si="114"/>
        <v>0</v>
      </c>
      <c r="M332" s="2">
        <v>16134</v>
      </c>
      <c r="N332" s="2">
        <f t="shared" si="115"/>
        <v>7.5205935094368195E-2</v>
      </c>
      <c r="O332" s="2">
        <v>0.59765024</v>
      </c>
      <c r="P332" s="2">
        <f t="shared" si="116"/>
        <v>0.61294914632846798</v>
      </c>
      <c r="Q332" s="2">
        <v>0.3145</v>
      </c>
      <c r="R332" s="2">
        <f t="shared" si="117"/>
        <v>0.7513028372900985</v>
      </c>
      <c r="S332" s="2">
        <f t="shared" si="118"/>
        <v>6.2304941668674646E-2</v>
      </c>
      <c r="T332" s="5">
        <f t="shared" si="119"/>
        <v>0.16272899570455698</v>
      </c>
      <c r="U332" s="2" t="str">
        <f t="shared" si="120"/>
        <v>Low</v>
      </c>
      <c r="V332" s="2">
        <f t="shared" si="121"/>
        <v>6.8623509461514548E-2</v>
      </c>
      <c r="W332" s="2">
        <f t="shared" si="122"/>
        <v>0.16645554164507032</v>
      </c>
      <c r="X332" s="2" t="s">
        <v>1176</v>
      </c>
      <c r="Y332" s="2">
        <f t="shared" si="124"/>
        <v>5.5986373875834744E-2</v>
      </c>
      <c r="Z332" s="2">
        <f t="shared" si="125"/>
        <v>0.14310563923628536</v>
      </c>
      <c r="AA332" s="2" t="str">
        <f t="shared" si="126"/>
        <v>No Impact</v>
      </c>
      <c r="AB332" s="2">
        <f t="shared" si="127"/>
        <v>4.3218381786603928E-2</v>
      </c>
      <c r="AC332" s="2">
        <f t="shared" si="128"/>
        <v>0.15702528526432891</v>
      </c>
      <c r="AD332" s="2" t="str">
        <f t="shared" si="129"/>
        <v>Low</v>
      </c>
      <c r="AE332" s="2">
        <f t="shared" si="130"/>
        <v>6.8692608923526036E-3</v>
      </c>
      <c r="AF332" s="2">
        <f t="shared" si="131"/>
        <v>5.2330824163359942E-2</v>
      </c>
      <c r="AG332" s="2" t="s">
        <v>1176</v>
      </c>
    </row>
    <row r="333" spans="1:33" x14ac:dyDescent="0.3">
      <c r="A333">
        <v>405585</v>
      </c>
      <c r="B333" t="s">
        <v>674</v>
      </c>
      <c r="C333" t="s">
        <v>671</v>
      </c>
      <c r="D333" t="s">
        <v>675</v>
      </c>
      <c r="E333" s="13">
        <v>4.9000000000000004</v>
      </c>
      <c r="F333" s="14">
        <f t="shared" si="111"/>
        <v>0.37777777777777782</v>
      </c>
      <c r="G333" s="2">
        <v>72.265651199999994</v>
      </c>
      <c r="H333" s="2">
        <f t="shared" si="112"/>
        <v>0.42841384119127374</v>
      </c>
      <c r="I333" s="2">
        <v>42.5</v>
      </c>
      <c r="J333" s="4">
        <f t="shared" si="113"/>
        <v>0.33596837944664032</v>
      </c>
      <c r="K333" s="2">
        <v>0</v>
      </c>
      <c r="L333" s="4">
        <f t="shared" si="114"/>
        <v>0</v>
      </c>
      <c r="M333" s="2">
        <v>23104</v>
      </c>
      <c r="N333" s="2">
        <f t="shared" si="115"/>
        <v>0.10818393871863659</v>
      </c>
      <c r="O333" s="2">
        <v>0.22540707800000001</v>
      </c>
      <c r="P333" s="2">
        <f t="shared" si="116"/>
        <v>0.18293751779180528</v>
      </c>
      <c r="Q333" s="2">
        <v>0.25919999999999999</v>
      </c>
      <c r="R333" s="2">
        <f t="shared" si="117"/>
        <v>0.59119861030689058</v>
      </c>
      <c r="S333" s="2">
        <f t="shared" si="118"/>
        <v>3.91203173488789E-2</v>
      </c>
      <c r="T333" s="5">
        <f t="shared" si="119"/>
        <v>0.10217504074844981</v>
      </c>
      <c r="U333" s="2" t="str">
        <f t="shared" si="120"/>
        <v>No Impact</v>
      </c>
      <c r="V333" s="2">
        <f t="shared" si="121"/>
        <v>5.9751447870607939E-2</v>
      </c>
      <c r="W333" s="2">
        <f t="shared" si="122"/>
        <v>0.14493516431066708</v>
      </c>
      <c r="X333" s="2" t="s">
        <v>1176</v>
      </c>
      <c r="Y333" s="2">
        <f t="shared" si="124"/>
        <v>1.8489186827149864E-2</v>
      </c>
      <c r="Z333" s="2">
        <f t="shared" si="125"/>
        <v>4.7259836933294115E-2</v>
      </c>
      <c r="AA333" s="2" t="str">
        <f t="shared" si="126"/>
        <v>No Impact</v>
      </c>
      <c r="AB333" s="2">
        <f t="shared" si="127"/>
        <v>3.0286651773384656E-2</v>
      </c>
      <c r="AC333" s="2">
        <f t="shared" si="128"/>
        <v>0.11004044894367673</v>
      </c>
      <c r="AD333" s="2" t="str">
        <f t="shared" si="129"/>
        <v>No Impact</v>
      </c>
      <c r="AE333" s="2">
        <f t="shared" si="130"/>
        <v>1.0933968487219762E-2</v>
      </c>
      <c r="AF333" s="2">
        <f t="shared" si="131"/>
        <v>8.3296236855615047E-2</v>
      </c>
      <c r="AG333" s="2" t="s">
        <v>1175</v>
      </c>
    </row>
    <row r="334" spans="1:33" x14ac:dyDescent="0.3">
      <c r="A334">
        <v>405595</v>
      </c>
      <c r="B334" t="s">
        <v>676</v>
      </c>
      <c r="C334" t="s">
        <v>671</v>
      </c>
      <c r="D334" t="s">
        <v>1141</v>
      </c>
      <c r="E334" s="13">
        <v>3.8</v>
      </c>
      <c r="F334" s="14">
        <f t="shared" si="111"/>
        <v>0.13333333333333325</v>
      </c>
      <c r="G334" s="2">
        <v>68.911739999999995</v>
      </c>
      <c r="H334" s="2">
        <f t="shared" si="112"/>
        <v>0.3921777044033361</v>
      </c>
      <c r="I334" s="2">
        <v>34.4</v>
      </c>
      <c r="J334" s="4">
        <f t="shared" si="113"/>
        <v>0.27193675889328062</v>
      </c>
      <c r="K334" s="2">
        <v>0</v>
      </c>
      <c r="L334" s="4">
        <f t="shared" si="114"/>
        <v>0</v>
      </c>
      <c r="M334" s="2">
        <v>24428</v>
      </c>
      <c r="N334" s="2">
        <f t="shared" si="115"/>
        <v>0.11444833998097968</v>
      </c>
      <c r="O334" s="2">
        <v>0.20688532600000001</v>
      </c>
      <c r="P334" s="2">
        <f t="shared" si="116"/>
        <v>0.16154137259982942</v>
      </c>
      <c r="Q334" s="2">
        <v>0.2908</v>
      </c>
      <c r="R334" s="2">
        <f t="shared" si="117"/>
        <v>0.68268674001158081</v>
      </c>
      <c r="S334" s="2">
        <f t="shared" si="118"/>
        <v>1.3082162331159646E-2</v>
      </c>
      <c r="T334" s="5">
        <f t="shared" si="119"/>
        <v>3.4168190849361249E-2</v>
      </c>
      <c r="U334" s="2" t="str">
        <f t="shared" si="120"/>
        <v>No Impact</v>
      </c>
      <c r="V334" s="2">
        <f t="shared" si="121"/>
        <v>2.1157833103983687E-2</v>
      </c>
      <c r="W334" s="2">
        <f t="shared" si="122"/>
        <v>5.132116671087366E-2</v>
      </c>
      <c r="X334" s="2" t="s">
        <v>1176</v>
      </c>
      <c r="Y334" s="2">
        <f t="shared" si="124"/>
        <v>5.0064915583356061E-3</v>
      </c>
      <c r="Z334" s="2">
        <f t="shared" si="125"/>
        <v>1.2796991931923025E-2</v>
      </c>
      <c r="AA334" s="2" t="str">
        <f t="shared" si="126"/>
        <v>No Impact</v>
      </c>
      <c r="AB334" s="2">
        <f t="shared" si="127"/>
        <v>1.014863341929537E-2</v>
      </c>
      <c r="AC334" s="2">
        <f t="shared" si="128"/>
        <v>3.6873015412203856E-2</v>
      </c>
      <c r="AD334" s="2" t="str">
        <f t="shared" si="129"/>
        <v>No Impact</v>
      </c>
      <c r="AE334" s="2">
        <f t="shared" si="130"/>
        <v>3.5469839011439928E-3</v>
      </c>
      <c r="AF334" s="2">
        <f t="shared" si="131"/>
        <v>2.7021333699478151E-2</v>
      </c>
      <c r="AG334" s="2" t="s">
        <v>1176</v>
      </c>
    </row>
    <row r="335" spans="1:33" x14ac:dyDescent="0.3">
      <c r="A335">
        <v>405747</v>
      </c>
      <c r="B335" t="s">
        <v>677</v>
      </c>
      <c r="C335" t="s">
        <v>678</v>
      </c>
      <c r="D335" t="s">
        <v>679</v>
      </c>
      <c r="E335" s="13">
        <v>4.9000000000000004</v>
      </c>
      <c r="F335" s="14">
        <f t="shared" si="111"/>
        <v>0.37777777777777782</v>
      </c>
      <c r="G335" s="2">
        <v>64.612133999999998</v>
      </c>
      <c r="H335" s="2">
        <f t="shared" si="112"/>
        <v>0.34572414560003883</v>
      </c>
      <c r="I335" s="2">
        <v>23.8</v>
      </c>
      <c r="J335" s="4">
        <f t="shared" si="113"/>
        <v>0.18814229249011857</v>
      </c>
      <c r="K335" s="2">
        <v>0</v>
      </c>
      <c r="L335" s="4">
        <f t="shared" si="114"/>
        <v>0</v>
      </c>
      <c r="M335" s="2">
        <v>56017</v>
      </c>
      <c r="N335" s="2">
        <f t="shared" si="115"/>
        <v>0.26390919457022138</v>
      </c>
      <c r="O335" s="2">
        <v>0.212554406</v>
      </c>
      <c r="P335" s="2">
        <f t="shared" si="116"/>
        <v>0.16809023788994487</v>
      </c>
      <c r="Q335" s="2">
        <v>0.21740000000000001</v>
      </c>
      <c r="R335" s="2">
        <f t="shared" si="117"/>
        <v>0.47017950202663583</v>
      </c>
      <c r="S335" s="2">
        <f t="shared" si="118"/>
        <v>2.2527413510116407E-2</v>
      </c>
      <c r="T335" s="5">
        <f t="shared" si="119"/>
        <v>5.8837441752483267E-2</v>
      </c>
      <c r="U335" s="2" t="str">
        <f t="shared" si="120"/>
        <v>No Impact</v>
      </c>
      <c r="V335" s="2">
        <f t="shared" si="121"/>
        <v>3.3189504072428572E-2</v>
      </c>
      <c r="W335" s="2">
        <f t="shared" si="122"/>
        <v>8.050560107838349E-2</v>
      </c>
      <c r="X335" s="2" t="s">
        <v>1176</v>
      </c>
      <c r="Y335" s="2">
        <f t="shared" si="124"/>
        <v>1.1865322947804242E-2</v>
      </c>
      <c r="Z335" s="2">
        <f t="shared" si="125"/>
        <v>3.0328712285533334E-2</v>
      </c>
      <c r="AA335" s="2" t="str">
        <f t="shared" si="126"/>
        <v>No Impact</v>
      </c>
      <c r="AB335" s="2">
        <f t="shared" si="127"/>
        <v>2.1696104086532598E-2</v>
      </c>
      <c r="AC335" s="2">
        <f t="shared" si="128"/>
        <v>7.8828424213891884E-2</v>
      </c>
      <c r="AD335" s="2" t="str">
        <f t="shared" si="129"/>
        <v>No Impact</v>
      </c>
      <c r="AE335" s="2">
        <f t="shared" si="130"/>
        <v>1.8629087933832358E-2</v>
      </c>
      <c r="AF335" s="2">
        <f t="shared" si="131"/>
        <v>0.14191854702657442</v>
      </c>
      <c r="AG335" s="2" t="s">
        <v>1175</v>
      </c>
    </row>
    <row r="336" spans="1:33" x14ac:dyDescent="0.3">
      <c r="A336">
        <v>405760</v>
      </c>
      <c r="B336" t="s">
        <v>680</v>
      </c>
      <c r="C336" t="s">
        <v>678</v>
      </c>
      <c r="D336" t="s">
        <v>681</v>
      </c>
      <c r="E336" s="13">
        <v>5.4</v>
      </c>
      <c r="F336" s="14">
        <f t="shared" si="111"/>
        <v>0.48888888888888893</v>
      </c>
      <c r="G336" s="2">
        <v>68.827366799999993</v>
      </c>
      <c r="H336" s="2">
        <f t="shared" si="112"/>
        <v>0.39126612427073271</v>
      </c>
      <c r="I336" s="2">
        <v>32.799999999999997</v>
      </c>
      <c r="J336" s="4">
        <f t="shared" si="113"/>
        <v>0.25928853754940712</v>
      </c>
      <c r="K336" s="2">
        <v>0</v>
      </c>
      <c r="L336" s="4">
        <f t="shared" si="114"/>
        <v>0</v>
      </c>
      <c r="M336" s="2">
        <v>60437</v>
      </c>
      <c r="N336" s="2">
        <f t="shared" si="115"/>
        <v>0.28482207491731842</v>
      </c>
      <c r="O336" s="2">
        <v>0.20150099499999999</v>
      </c>
      <c r="P336" s="2">
        <f t="shared" si="116"/>
        <v>0.15532144654544444</v>
      </c>
      <c r="Q336" s="2">
        <v>0.22459999999999999</v>
      </c>
      <c r="R336" s="2">
        <f t="shared" si="117"/>
        <v>0.49102489866821081</v>
      </c>
      <c r="S336" s="2">
        <f t="shared" si="118"/>
        <v>3.5974710398049746E-2</v>
      </c>
      <c r="T336" s="5">
        <f t="shared" si="119"/>
        <v>9.3959296599104708E-2</v>
      </c>
      <c r="U336" s="2" t="str">
        <f t="shared" si="120"/>
        <v>No Impact</v>
      </c>
      <c r="V336" s="2">
        <f t="shared" si="121"/>
        <v>5.4659482980387128E-2</v>
      </c>
      <c r="W336" s="2">
        <f t="shared" si="122"/>
        <v>0.13258391937303052</v>
      </c>
      <c r="X336" s="2" t="s">
        <v>1176</v>
      </c>
      <c r="Y336" s="2">
        <f t="shared" si="124"/>
        <v>1.7289937815712364E-2</v>
      </c>
      <c r="Z336" s="2">
        <f t="shared" si="125"/>
        <v>4.4194460762194701E-2</v>
      </c>
      <c r="AA336" s="2" t="str">
        <f t="shared" si="126"/>
        <v>No Impact</v>
      </c>
      <c r="AB336" s="2">
        <f t="shared" si="127"/>
        <v>3.5414752068939917E-2</v>
      </c>
      <c r="AC336" s="2">
        <f t="shared" si="128"/>
        <v>0.12867236847619493</v>
      </c>
      <c r="AD336" s="2" t="str">
        <f t="shared" si="129"/>
        <v>No Impact</v>
      </c>
      <c r="AE336" s="2">
        <f t="shared" si="130"/>
        <v>3.1705576231687758E-2</v>
      </c>
      <c r="AF336" s="2">
        <f t="shared" si="131"/>
        <v>0.24153674766168565</v>
      </c>
      <c r="AG336" s="2" t="s">
        <v>1175</v>
      </c>
    </row>
    <row r="337" spans="1:33" x14ac:dyDescent="0.3">
      <c r="A337">
        <v>405787</v>
      </c>
      <c r="B337" t="s">
        <v>682</v>
      </c>
      <c r="C337" t="s">
        <v>678</v>
      </c>
      <c r="D337" t="s">
        <v>683</v>
      </c>
      <c r="E337" s="13">
        <v>5.4</v>
      </c>
      <c r="F337" s="14">
        <f t="shared" si="111"/>
        <v>0.48888888888888893</v>
      </c>
      <c r="G337" s="2">
        <v>64.612133999999998</v>
      </c>
      <c r="H337" s="2">
        <f t="shared" si="112"/>
        <v>0.34572414560003883</v>
      </c>
      <c r="I337" s="2">
        <v>24</v>
      </c>
      <c r="J337" s="4">
        <f t="shared" si="113"/>
        <v>0.18972332015810275</v>
      </c>
      <c r="K337" s="2">
        <v>0</v>
      </c>
      <c r="L337" s="4">
        <f t="shared" si="114"/>
        <v>0</v>
      </c>
      <c r="M337" s="2">
        <v>21638</v>
      </c>
      <c r="N337" s="2">
        <f t="shared" si="115"/>
        <v>0.10124767568948631</v>
      </c>
      <c r="O337" s="2">
        <v>0.35461685300000001</v>
      </c>
      <c r="P337" s="2">
        <f t="shared" si="116"/>
        <v>0.33219937520802234</v>
      </c>
      <c r="Q337" s="2">
        <v>0.25690000000000002</v>
      </c>
      <c r="R337" s="2">
        <f t="shared" si="117"/>
        <v>0.5845396641574987</v>
      </c>
      <c r="S337" s="2">
        <f t="shared" si="118"/>
        <v>4.199627871668473E-2</v>
      </c>
      <c r="T337" s="5">
        <f t="shared" si="119"/>
        <v>0.10968652045670299</v>
      </c>
      <c r="U337" s="2" t="str">
        <f t="shared" si="120"/>
        <v>No Impact</v>
      </c>
      <c r="V337" s="2">
        <f t="shared" si="121"/>
        <v>5.3556114887189088E-2</v>
      </c>
      <c r="W337" s="2">
        <f t="shared" si="122"/>
        <v>0.12990755182744224</v>
      </c>
      <c r="X337" s="2" t="s">
        <v>1176</v>
      </c>
      <c r="Y337" s="2">
        <f t="shared" si="124"/>
        <v>3.0436442546180366E-2</v>
      </c>
      <c r="Z337" s="2">
        <f t="shared" si="125"/>
        <v>7.7797975920166199E-2</v>
      </c>
      <c r="AA337" s="2" t="str">
        <f t="shared" si="126"/>
        <v>No Impact</v>
      </c>
      <c r="AB337" s="2">
        <f t="shared" si="127"/>
        <v>3.1122318010373677E-2</v>
      </c>
      <c r="AC337" s="2">
        <f t="shared" si="128"/>
        <v>0.11307667389760694</v>
      </c>
      <c r="AD337" s="2" t="str">
        <f t="shared" si="129"/>
        <v>No Impact</v>
      </c>
      <c r="AE337" s="2">
        <f t="shared" si="130"/>
        <v>9.2764143885811085E-3</v>
      </c>
      <c r="AF337" s="2">
        <f t="shared" si="131"/>
        <v>7.0668797974427267E-2</v>
      </c>
      <c r="AG337" s="2" t="s">
        <v>1175</v>
      </c>
    </row>
    <row r="338" spans="1:33" x14ac:dyDescent="0.3">
      <c r="A338">
        <v>406528</v>
      </c>
      <c r="B338" t="s">
        <v>684</v>
      </c>
      <c r="C338" t="s">
        <v>685</v>
      </c>
      <c r="D338" t="s">
        <v>686</v>
      </c>
      <c r="E338" s="13">
        <v>5.5</v>
      </c>
      <c r="F338" s="14">
        <f t="shared" si="111"/>
        <v>0.51111111111111107</v>
      </c>
      <c r="G338" s="2">
        <v>73.411739999999995</v>
      </c>
      <c r="H338" s="2">
        <f t="shared" si="112"/>
        <v>0.44079634867326173</v>
      </c>
      <c r="I338" s="2">
        <v>47.2</v>
      </c>
      <c r="J338" s="4">
        <f t="shared" si="113"/>
        <v>0.37312252964426879</v>
      </c>
      <c r="K338" s="2">
        <v>0</v>
      </c>
      <c r="L338" s="4">
        <f t="shared" si="114"/>
        <v>0</v>
      </c>
      <c r="M338" s="2">
        <v>44158</v>
      </c>
      <c r="N338" s="2">
        <f t="shared" si="115"/>
        <v>0.20779927420003502</v>
      </c>
      <c r="O338" s="2">
        <v>0.37309673399999999</v>
      </c>
      <c r="P338" s="2">
        <f t="shared" si="116"/>
        <v>0.35354715143385862</v>
      </c>
      <c r="Q338" s="2">
        <v>0.2235</v>
      </c>
      <c r="R338" s="2">
        <f t="shared" si="117"/>
        <v>0.48784018529241463</v>
      </c>
      <c r="S338" s="2">
        <f t="shared" si="118"/>
        <v>6.1253437228639136E-2</v>
      </c>
      <c r="T338" s="5">
        <f t="shared" si="119"/>
        <v>0.15998266039112727</v>
      </c>
      <c r="U338" s="2" t="str">
        <f t="shared" si="120"/>
        <v>Low</v>
      </c>
      <c r="V338" s="2">
        <f t="shared" si="121"/>
        <v>7.1030040180264833E-2</v>
      </c>
      <c r="W338" s="2">
        <f t="shared" si="122"/>
        <v>0.17229290521651128</v>
      </c>
      <c r="X338" s="2" t="s">
        <v>1176</v>
      </c>
      <c r="Y338" s="2">
        <f t="shared" si="124"/>
        <v>5.1476834277013439E-2</v>
      </c>
      <c r="Z338" s="2">
        <f t="shared" si="125"/>
        <v>0.13157889616873314</v>
      </c>
      <c r="AA338" s="2" t="str">
        <f t="shared" si="126"/>
        <v>No Impact</v>
      </c>
      <c r="AB338" s="2">
        <f t="shared" si="127"/>
        <v>5.0893091273860318E-2</v>
      </c>
      <c r="AC338" s="2">
        <f t="shared" si="128"/>
        <v>0.1849097963621236</v>
      </c>
      <c r="AD338" s="2" t="str">
        <f t="shared" si="129"/>
        <v>Low</v>
      </c>
      <c r="AE338" s="2">
        <f t="shared" si="130"/>
        <v>3.0255791221896006E-2</v>
      </c>
      <c r="AF338" s="2">
        <f t="shared" si="131"/>
        <v>0.23049211773555342</v>
      </c>
      <c r="AG338" s="2" t="s">
        <v>1175</v>
      </c>
    </row>
    <row r="339" spans="1:33" x14ac:dyDescent="0.3">
      <c r="A339">
        <v>406552</v>
      </c>
      <c r="B339" t="s">
        <v>687</v>
      </c>
      <c r="C339" t="s">
        <v>685</v>
      </c>
      <c r="D339" t="s">
        <v>1131</v>
      </c>
      <c r="E339" s="13">
        <v>5.4</v>
      </c>
      <c r="F339" s="14">
        <f t="shared" si="111"/>
        <v>0.48888888888888893</v>
      </c>
      <c r="G339" s="2">
        <v>73.411739999999995</v>
      </c>
      <c r="H339" s="2">
        <f t="shared" si="112"/>
        <v>0.44079634867326173</v>
      </c>
      <c r="I339" s="2">
        <v>44.8</v>
      </c>
      <c r="J339" s="4">
        <f t="shared" si="113"/>
        <v>0.35415019762845845</v>
      </c>
      <c r="K339" s="2">
        <v>0</v>
      </c>
      <c r="L339" s="4">
        <f t="shared" si="114"/>
        <v>0</v>
      </c>
      <c r="M339" s="2">
        <v>38864</v>
      </c>
      <c r="N339" s="2">
        <f t="shared" si="115"/>
        <v>0.18275113199244866</v>
      </c>
      <c r="O339" s="2">
        <v>0.493462503</v>
      </c>
      <c r="P339" s="2">
        <f t="shared" si="116"/>
        <v>0.49259250036563501</v>
      </c>
      <c r="Q339" s="2">
        <v>0.27760000000000001</v>
      </c>
      <c r="R339" s="2">
        <f t="shared" si="117"/>
        <v>0.64447017950202667</v>
      </c>
      <c r="S339" s="2">
        <f t="shared" si="118"/>
        <v>7.7334013191424411E-2</v>
      </c>
      <c r="T339" s="5">
        <f t="shared" si="119"/>
        <v>0.20198215363662911</v>
      </c>
      <c r="U339" s="2" t="str">
        <f t="shared" si="120"/>
        <v>Low</v>
      </c>
      <c r="V339" s="2">
        <f t="shared" si="121"/>
        <v>8.7663532091106916E-2</v>
      </c>
      <c r="W339" s="2">
        <f t="shared" si="122"/>
        <v>0.21263967452624585</v>
      </c>
      <c r="X339" s="2" t="s">
        <v>1176</v>
      </c>
      <c r="Y339" s="2">
        <f t="shared" si="124"/>
        <v>6.700449429174192E-2</v>
      </c>
      <c r="Z339" s="2">
        <f t="shared" si="125"/>
        <v>0.1712688342450861</v>
      </c>
      <c r="AA339" s="2" t="str">
        <f t="shared" si="126"/>
        <v>Low</v>
      </c>
      <c r="AB339" s="2">
        <f t="shared" si="127"/>
        <v>5.9484085460772038E-2</v>
      </c>
      <c r="AC339" s="2">
        <f t="shared" si="128"/>
        <v>0.21612344335994213</v>
      </c>
      <c r="AD339" s="2" t="str">
        <f t="shared" si="129"/>
        <v>Low</v>
      </c>
      <c r="AE339" s="2">
        <f t="shared" si="130"/>
        <v>2.4858574118177268E-2</v>
      </c>
      <c r="AF339" s="2">
        <f t="shared" si="131"/>
        <v>0.18937549345060026</v>
      </c>
      <c r="AG339" s="2" t="s">
        <v>1175</v>
      </c>
    </row>
    <row r="340" spans="1:33" x14ac:dyDescent="0.3">
      <c r="A340">
        <v>406576</v>
      </c>
      <c r="B340" t="s">
        <v>688</v>
      </c>
      <c r="C340" t="s">
        <v>685</v>
      </c>
      <c r="D340" t="s">
        <v>689</v>
      </c>
      <c r="E340" s="13">
        <v>5.5</v>
      </c>
      <c r="F340" s="14">
        <f t="shared" si="111"/>
        <v>0.51111111111111107</v>
      </c>
      <c r="G340" s="2">
        <v>73.411739999999995</v>
      </c>
      <c r="H340" s="2">
        <f t="shared" si="112"/>
        <v>0.44079634867326173</v>
      </c>
      <c r="I340" s="2">
        <v>51.3</v>
      </c>
      <c r="J340" s="4">
        <f t="shared" si="113"/>
        <v>0.40553359683794465</v>
      </c>
      <c r="K340" s="2">
        <v>0</v>
      </c>
      <c r="L340" s="4">
        <f t="shared" si="114"/>
        <v>0</v>
      </c>
      <c r="M340" s="2">
        <v>41242</v>
      </c>
      <c r="N340" s="2">
        <f t="shared" si="115"/>
        <v>0.19400245087602258</v>
      </c>
      <c r="O340" s="2">
        <v>0.445470268</v>
      </c>
      <c r="P340" s="2">
        <f t="shared" si="116"/>
        <v>0.43715234394050712</v>
      </c>
      <c r="Q340" s="2">
        <v>0.25840000000000002</v>
      </c>
      <c r="R340" s="2">
        <f t="shared" si="117"/>
        <v>0.58888245512449344</v>
      </c>
      <c r="S340" s="2">
        <f t="shared" si="118"/>
        <v>7.7670333371794797E-2</v>
      </c>
      <c r="T340" s="5">
        <f t="shared" si="119"/>
        <v>0.2028605598066868</v>
      </c>
      <c r="U340" s="2" t="str">
        <f t="shared" si="120"/>
        <v>Low</v>
      </c>
      <c r="V340" s="2">
        <f t="shared" si="121"/>
        <v>8.9156228712712116E-2</v>
      </c>
      <c r="W340" s="2">
        <f t="shared" si="122"/>
        <v>0.21626041072307947</v>
      </c>
      <c r="X340" s="2" t="s">
        <v>1176</v>
      </c>
      <c r="Y340" s="2">
        <f t="shared" si="124"/>
        <v>6.6184438030877493E-2</v>
      </c>
      <c r="Z340" s="2">
        <f t="shared" si="125"/>
        <v>0.16917270500333545</v>
      </c>
      <c r="AA340" s="2" t="str">
        <f t="shared" si="126"/>
        <v>Low</v>
      </c>
      <c r="AB340" s="2">
        <f t="shared" si="127"/>
        <v>6.1340135031277526E-2</v>
      </c>
      <c r="AC340" s="2">
        <f t="shared" si="128"/>
        <v>0.2228670256326985</v>
      </c>
      <c r="AD340" s="2" t="str">
        <f t="shared" si="129"/>
        <v>Low</v>
      </c>
      <c r="AE340" s="2">
        <f t="shared" si="130"/>
        <v>2.9371781635900103E-2</v>
      </c>
      <c r="AF340" s="2">
        <f t="shared" si="131"/>
        <v>0.223757630440861</v>
      </c>
      <c r="AG340" s="2" t="s">
        <v>1175</v>
      </c>
    </row>
    <row r="341" spans="1:33" x14ac:dyDescent="0.3">
      <c r="A341">
        <v>408704</v>
      </c>
      <c r="B341" t="s">
        <v>690</v>
      </c>
      <c r="C341" t="s">
        <v>691</v>
      </c>
      <c r="D341" t="s">
        <v>692</v>
      </c>
      <c r="E341" s="13">
        <v>6.9</v>
      </c>
      <c r="F341" s="14">
        <f t="shared" si="111"/>
        <v>0.8222222222222223</v>
      </c>
      <c r="G341" s="2">
        <v>88.398853200000005</v>
      </c>
      <c r="H341" s="2">
        <f t="shared" si="112"/>
        <v>0.60271926540746346</v>
      </c>
      <c r="I341" s="2">
        <v>65.3</v>
      </c>
      <c r="J341" s="4">
        <f t="shared" si="113"/>
        <v>0.51620553359683796</v>
      </c>
      <c r="K341" s="2">
        <v>0</v>
      </c>
      <c r="L341" s="4">
        <f t="shared" si="114"/>
        <v>0</v>
      </c>
      <c r="M341" s="2">
        <v>39423</v>
      </c>
      <c r="N341" s="2">
        <f t="shared" si="115"/>
        <v>0.18539599627164033</v>
      </c>
      <c r="O341" s="2">
        <v>0.28199001099999998</v>
      </c>
      <c r="P341" s="2">
        <f t="shared" si="116"/>
        <v>0.24830156379867557</v>
      </c>
      <c r="Q341" s="2">
        <v>0.1522</v>
      </c>
      <c r="R341" s="2">
        <f t="shared" si="117"/>
        <v>0.28141285466126237</v>
      </c>
      <c r="S341" s="2">
        <f t="shared" si="118"/>
        <v>8.5284469552270176E-2</v>
      </c>
      <c r="T341" s="5">
        <f t="shared" si="119"/>
        <v>0.22274727666448377</v>
      </c>
      <c r="U341" s="2" t="str">
        <f t="shared" si="120"/>
        <v>Low</v>
      </c>
      <c r="V341" s="2">
        <f t="shared" si="121"/>
        <v>9.0615415395912932E-2</v>
      </c>
      <c r="W341" s="2">
        <f t="shared" si="122"/>
        <v>0.21979986406231275</v>
      </c>
      <c r="X341" s="2" t="s">
        <v>1175</v>
      </c>
      <c r="Y341" s="2">
        <f t="shared" si="124"/>
        <v>7.9953523708627433E-2</v>
      </c>
      <c r="Z341" s="2">
        <f t="shared" si="125"/>
        <v>0.20436758674337399</v>
      </c>
      <c r="AA341" s="2" t="str">
        <f t="shared" si="126"/>
        <v>Low</v>
      </c>
      <c r="AB341" s="2">
        <f t="shared" si="127"/>
        <v>7.6595691082726805E-2</v>
      </c>
      <c r="AC341" s="2">
        <f t="shared" si="128"/>
        <v>0.27829501580301302</v>
      </c>
      <c r="AD341" s="2" t="str">
        <f t="shared" si="129"/>
        <v>Low</v>
      </c>
      <c r="AE341" s="2">
        <f t="shared" si="130"/>
        <v>5.969782451876874E-2</v>
      </c>
      <c r="AF341" s="2">
        <f t="shared" si="131"/>
        <v>0.45478493345692045</v>
      </c>
      <c r="AG341" s="2" t="str">
        <f t="shared" ref="AG341:AG347" si="132">IF(AF341&gt;0.7,"High",IF(AF341&gt;0.3,"Moderate",IF(AF341&gt;0.15,"Low","No Impact")))</f>
        <v>Moderate</v>
      </c>
    </row>
    <row r="342" spans="1:33" x14ac:dyDescent="0.3">
      <c r="A342">
        <v>408725</v>
      </c>
      <c r="B342" t="s">
        <v>693</v>
      </c>
      <c r="C342" t="s">
        <v>691</v>
      </c>
      <c r="D342" t="s">
        <v>694</v>
      </c>
      <c r="E342" s="13">
        <v>6.7</v>
      </c>
      <c r="F342" s="14">
        <f t="shared" si="111"/>
        <v>0.77777777777777779</v>
      </c>
      <c r="G342" s="2">
        <v>75.257650799999993</v>
      </c>
      <c r="H342" s="2">
        <f t="shared" si="112"/>
        <v>0.46073983323753148</v>
      </c>
      <c r="I342" s="2">
        <v>40.299999999999997</v>
      </c>
      <c r="J342" s="4">
        <f t="shared" si="113"/>
        <v>0.31857707509881422</v>
      </c>
      <c r="K342" s="2">
        <v>0</v>
      </c>
      <c r="L342" s="4">
        <f t="shared" si="114"/>
        <v>0</v>
      </c>
      <c r="M342" s="2">
        <v>18680</v>
      </c>
      <c r="N342" s="2">
        <f t="shared" si="115"/>
        <v>8.7252132687967526E-2</v>
      </c>
      <c r="O342" s="2">
        <v>0.294554975</v>
      </c>
      <c r="P342" s="2">
        <f t="shared" si="116"/>
        <v>0.26281648625719622</v>
      </c>
      <c r="Q342" s="2">
        <v>0.20319999999999999</v>
      </c>
      <c r="R342" s="2">
        <f t="shared" si="117"/>
        <v>0.42906774753908511</v>
      </c>
      <c r="S342" s="2">
        <f t="shared" si="118"/>
        <v>7.3390713940083854E-2</v>
      </c>
      <c r="T342" s="5">
        <f t="shared" si="119"/>
        <v>0.19168298458603347</v>
      </c>
      <c r="U342" s="2" t="str">
        <f t="shared" si="120"/>
        <v>Low</v>
      </c>
      <c r="V342" s="2">
        <f t="shared" si="121"/>
        <v>9.1025598741505398E-2</v>
      </c>
      <c r="W342" s="2">
        <f t="shared" si="122"/>
        <v>0.22079481887444857</v>
      </c>
      <c r="X342" s="2" t="s">
        <v>1175</v>
      </c>
      <c r="Y342" s="2">
        <f t="shared" si="124"/>
        <v>5.5755829138662283E-2</v>
      </c>
      <c r="Z342" s="2">
        <f t="shared" si="125"/>
        <v>0.1425163484910266</v>
      </c>
      <c r="AA342" s="2" t="str">
        <f t="shared" si="126"/>
        <v>No Impact</v>
      </c>
      <c r="AB342" s="2">
        <f t="shared" si="127"/>
        <v>5.5064317291737754E-2</v>
      </c>
      <c r="AC342" s="2">
        <f t="shared" si="128"/>
        <v>0.20006510593834231</v>
      </c>
      <c r="AD342" s="2" t="str">
        <f t="shared" si="129"/>
        <v>Low</v>
      </c>
      <c r="AE342" s="2">
        <f t="shared" si="130"/>
        <v>1.8510311401749073E-2</v>
      </c>
      <c r="AF342" s="2">
        <f t="shared" si="131"/>
        <v>0.14101369366424196</v>
      </c>
      <c r="AG342" s="2" t="s">
        <v>1175</v>
      </c>
    </row>
    <row r="343" spans="1:33" x14ac:dyDescent="0.3">
      <c r="A343">
        <v>408743</v>
      </c>
      <c r="B343" t="s">
        <v>695</v>
      </c>
      <c r="C343" t="s">
        <v>691</v>
      </c>
      <c r="D343" t="s">
        <v>696</v>
      </c>
      <c r="E343" s="13">
        <v>6.5</v>
      </c>
      <c r="F343" s="14">
        <f t="shared" si="111"/>
        <v>0.73333333333333328</v>
      </c>
      <c r="G343" s="2">
        <v>76.646116800000001</v>
      </c>
      <c r="H343" s="2">
        <f t="shared" si="112"/>
        <v>0.47574101868972857</v>
      </c>
      <c r="I343" s="2">
        <v>51.3</v>
      </c>
      <c r="J343" s="4">
        <f t="shared" si="113"/>
        <v>0.40553359683794465</v>
      </c>
      <c r="K343" s="2">
        <v>0</v>
      </c>
      <c r="L343" s="4">
        <f t="shared" si="114"/>
        <v>0</v>
      </c>
      <c r="M343" s="2">
        <v>48599</v>
      </c>
      <c r="N343" s="2">
        <f t="shared" si="115"/>
        <v>0.22881151438588523</v>
      </c>
      <c r="O343" s="2">
        <v>0.52139542699999997</v>
      </c>
      <c r="P343" s="2">
        <f t="shared" si="116"/>
        <v>0.52486033861011783</v>
      </c>
      <c r="Q343" s="2">
        <v>0.2661</v>
      </c>
      <c r="R343" s="2">
        <f t="shared" si="117"/>
        <v>0.61117544875506669</v>
      </c>
      <c r="S343" s="2">
        <f t="shared" si="118"/>
        <v>0.12848213605611106</v>
      </c>
      <c r="T343" s="5">
        <f t="shared" si="119"/>
        <v>0.33557160004371056</v>
      </c>
      <c r="U343" s="2" t="str">
        <f t="shared" si="120"/>
        <v>Moderate</v>
      </c>
      <c r="V343" s="2">
        <f t="shared" si="121"/>
        <v>0.13824410821287075</v>
      </c>
      <c r="W343" s="2">
        <f t="shared" si="122"/>
        <v>0.33532965731982023</v>
      </c>
      <c r="X343" s="2" t="str">
        <f t="shared" si="123"/>
        <v>Moderate</v>
      </c>
      <c r="Y343" s="2">
        <f t="shared" si="124"/>
        <v>0.11872016389935135</v>
      </c>
      <c r="Z343" s="2">
        <f t="shared" si="125"/>
        <v>0.30345821257744265</v>
      </c>
      <c r="AA343" s="2" t="str">
        <f t="shared" si="126"/>
        <v>Moderate</v>
      </c>
      <c r="AB343" s="2">
        <f t="shared" si="127"/>
        <v>0.10211599955760069</v>
      </c>
      <c r="AC343" s="2">
        <f t="shared" si="128"/>
        <v>0.37101791639858467</v>
      </c>
      <c r="AD343" s="2" t="str">
        <f t="shared" si="129"/>
        <v>Moderate</v>
      </c>
      <c r="AE343" s="2">
        <f t="shared" si="130"/>
        <v>5.1755750037972913E-2</v>
      </c>
      <c r="AF343" s="2">
        <f t="shared" si="131"/>
        <v>0.39428129126602185</v>
      </c>
      <c r="AG343" s="2" t="str">
        <f t="shared" si="132"/>
        <v>Moderate</v>
      </c>
    </row>
    <row r="344" spans="1:33" x14ac:dyDescent="0.3">
      <c r="A344">
        <v>408747</v>
      </c>
      <c r="B344" t="s">
        <v>697</v>
      </c>
      <c r="C344" t="s">
        <v>975</v>
      </c>
      <c r="D344" t="s">
        <v>1140</v>
      </c>
      <c r="E344" s="13">
        <v>6.9</v>
      </c>
      <c r="F344" s="14">
        <f t="shared" si="111"/>
        <v>0.8222222222222223</v>
      </c>
      <c r="G344" s="2">
        <v>88.398853200000005</v>
      </c>
      <c r="H344" s="2">
        <f t="shared" si="112"/>
        <v>0.60271926540746346</v>
      </c>
      <c r="I344" s="2">
        <v>59.4</v>
      </c>
      <c r="J344" s="4">
        <f t="shared" si="113"/>
        <v>0.46956521739130436</v>
      </c>
      <c r="K344" s="2">
        <v>0</v>
      </c>
      <c r="L344" s="4">
        <f t="shared" si="114"/>
        <v>0</v>
      </c>
      <c r="M344" s="2">
        <v>39782</v>
      </c>
      <c r="N344" s="2">
        <f t="shared" si="115"/>
        <v>0.18709457637223034</v>
      </c>
      <c r="O344" s="2">
        <v>0.48282998199999999</v>
      </c>
      <c r="P344" s="2">
        <f t="shared" si="116"/>
        <v>0.4803099169970243</v>
      </c>
      <c r="Q344" s="2">
        <v>0.2636</v>
      </c>
      <c r="R344" s="2">
        <f t="shared" si="117"/>
        <v>0.60393746381007529</v>
      </c>
      <c r="S344" s="2">
        <f t="shared" si="118"/>
        <v>0.16728833625903156</v>
      </c>
      <c r="T344" s="5">
        <f t="shared" si="119"/>
        <v>0.43692622484558558</v>
      </c>
      <c r="U344" s="2" t="str">
        <f t="shared" si="120"/>
        <v>Moderate</v>
      </c>
      <c r="V344" s="2">
        <f t="shared" si="121"/>
        <v>0.18636280855035112</v>
      </c>
      <c r="W344" s="2">
        <f t="shared" si="122"/>
        <v>0.45204802964999202</v>
      </c>
      <c r="X344" s="2" t="str">
        <f t="shared" si="123"/>
        <v>Moderate</v>
      </c>
      <c r="Y344" s="2">
        <f t="shared" si="124"/>
        <v>0.148213863967712</v>
      </c>
      <c r="Z344" s="2">
        <f t="shared" si="125"/>
        <v>0.37884646349518603</v>
      </c>
      <c r="AA344" s="2" t="str">
        <f t="shared" si="126"/>
        <v>Moderate</v>
      </c>
      <c r="AB344" s="2">
        <f t="shared" si="127"/>
        <v>0.12989789450801037</v>
      </c>
      <c r="AC344" s="2">
        <f t="shared" si="128"/>
        <v>0.47195783592893364</v>
      </c>
      <c r="AD344" s="2" t="str">
        <f t="shared" si="129"/>
        <v>Moderate</v>
      </c>
      <c r="AE344" s="2">
        <f t="shared" si="130"/>
        <v>5.7733578071639625E-2</v>
      </c>
      <c r="AF344" s="2">
        <f t="shared" si="131"/>
        <v>0.43982107678455956</v>
      </c>
      <c r="AG344" s="2" t="str">
        <f t="shared" si="132"/>
        <v>Moderate</v>
      </c>
    </row>
    <row r="345" spans="1:33" x14ac:dyDescent="0.3">
      <c r="A345">
        <v>408782</v>
      </c>
      <c r="B345" t="s">
        <v>698</v>
      </c>
      <c r="C345" t="s">
        <v>691</v>
      </c>
      <c r="D345" t="s">
        <v>699</v>
      </c>
      <c r="E345" s="13">
        <v>7</v>
      </c>
      <c r="F345" s="14">
        <f t="shared" si="111"/>
        <v>0.84444444444444444</v>
      </c>
      <c r="G345" s="2">
        <v>76.646116800000001</v>
      </c>
      <c r="H345" s="2">
        <f t="shared" si="112"/>
        <v>0.47574101868972857</v>
      </c>
      <c r="I345" s="2">
        <v>52.3</v>
      </c>
      <c r="J345" s="4">
        <f t="shared" si="113"/>
        <v>0.41343873517786561</v>
      </c>
      <c r="K345" s="2">
        <v>0</v>
      </c>
      <c r="L345" s="4">
        <f t="shared" si="114"/>
        <v>0</v>
      </c>
      <c r="M345" s="2">
        <v>45523</v>
      </c>
      <c r="N345" s="2">
        <f t="shared" si="115"/>
        <v>0.21425766371899144</v>
      </c>
      <c r="O345" s="2">
        <v>0.34313562800000003</v>
      </c>
      <c r="P345" s="2">
        <f t="shared" si="116"/>
        <v>0.318936377351138</v>
      </c>
      <c r="Q345" s="2">
        <v>0.21709999999999999</v>
      </c>
      <c r="R345" s="2">
        <f t="shared" si="117"/>
        <v>0.46931094383323685</v>
      </c>
      <c r="S345" s="2">
        <f t="shared" si="118"/>
        <v>0.10357649261332134</v>
      </c>
      <c r="T345" s="5">
        <f t="shared" si="119"/>
        <v>0.27052266112690171</v>
      </c>
      <c r="U345" s="2" t="str">
        <f t="shared" si="120"/>
        <v>Low</v>
      </c>
      <c r="V345" s="2">
        <f t="shared" si="121"/>
        <v>0.12333586223739061</v>
      </c>
      <c r="W345" s="2">
        <f t="shared" si="122"/>
        <v>0.29916770381002206</v>
      </c>
      <c r="X345" s="2" t="s">
        <v>1175</v>
      </c>
      <c r="Y345" s="2">
        <f t="shared" si="124"/>
        <v>8.3817122989252077E-2</v>
      </c>
      <c r="Z345" s="2">
        <f t="shared" si="125"/>
        <v>0.21424325481276632</v>
      </c>
      <c r="AA345" s="2" t="str">
        <f t="shared" si="126"/>
        <v>Low</v>
      </c>
      <c r="AB345" s="2">
        <f t="shared" si="127"/>
        <v>8.8020259779672955E-2</v>
      </c>
      <c r="AC345" s="2">
        <f t="shared" si="128"/>
        <v>0.31980388505030971</v>
      </c>
      <c r="AD345" s="2" t="str">
        <f t="shared" si="129"/>
        <v>Moderate</v>
      </c>
      <c r="AE345" s="2">
        <f t="shared" si="130"/>
        <v>5.6307345999458906E-2</v>
      </c>
      <c r="AF345" s="2">
        <f t="shared" si="131"/>
        <v>0.42895587586192108</v>
      </c>
      <c r="AG345" s="2" t="str">
        <f t="shared" si="132"/>
        <v>Moderate</v>
      </c>
    </row>
    <row r="346" spans="1:33" x14ac:dyDescent="0.3">
      <c r="A346">
        <v>408786</v>
      </c>
      <c r="B346" t="s">
        <v>700</v>
      </c>
      <c r="C346" t="s">
        <v>691</v>
      </c>
      <c r="D346" t="s">
        <v>701</v>
      </c>
      <c r="E346" s="13">
        <v>6.9</v>
      </c>
      <c r="F346" s="14">
        <f t="shared" si="111"/>
        <v>0.8222222222222223</v>
      </c>
      <c r="G346" s="2">
        <v>119.0094012</v>
      </c>
      <c r="H346" s="2">
        <f t="shared" si="112"/>
        <v>0.93344000854512643</v>
      </c>
      <c r="I346" s="2">
        <v>100.8</v>
      </c>
      <c r="J346" s="4">
        <f t="shared" si="113"/>
        <v>0.79683794466403157</v>
      </c>
      <c r="K346" s="2">
        <v>0</v>
      </c>
      <c r="L346" s="4">
        <f t="shared" si="114"/>
        <v>0</v>
      </c>
      <c r="M346" s="2">
        <v>55956</v>
      </c>
      <c r="N346" s="2">
        <f t="shared" si="115"/>
        <v>0.26362057789574789</v>
      </c>
      <c r="O346" s="2">
        <v>0.40875665799999999</v>
      </c>
      <c r="P346" s="2">
        <f t="shared" si="116"/>
        <v>0.39474114385092718</v>
      </c>
      <c r="Q346" s="2">
        <v>0.2243</v>
      </c>
      <c r="R346" s="2">
        <f t="shared" si="117"/>
        <v>0.49015634047481182</v>
      </c>
      <c r="S346" s="2">
        <f t="shared" si="118"/>
        <v>0.22031095525921104</v>
      </c>
      <c r="T346" s="5">
        <f t="shared" si="119"/>
        <v>0.57541150881243774</v>
      </c>
      <c r="U346" s="2" t="str">
        <f t="shared" si="120"/>
        <v>Moderate</v>
      </c>
      <c r="V346" s="2">
        <f t="shared" si="121"/>
        <v>0.24406626419250599</v>
      </c>
      <c r="W346" s="2">
        <f t="shared" si="122"/>
        <v>0.59201551366644112</v>
      </c>
      <c r="X346" s="2" t="str">
        <f t="shared" si="123"/>
        <v>Moderate</v>
      </c>
      <c r="Y346" s="2">
        <f t="shared" si="124"/>
        <v>0.19655564632591607</v>
      </c>
      <c r="Z346" s="2">
        <f t="shared" si="125"/>
        <v>0.50241191678806607</v>
      </c>
      <c r="AA346" s="2" t="str">
        <f t="shared" si="126"/>
        <v>Moderate</v>
      </c>
      <c r="AB346" s="2">
        <f t="shared" si="127"/>
        <v>0.19033300594641717</v>
      </c>
      <c r="AC346" s="2">
        <f t="shared" si="128"/>
        <v>0.69153664062492126</v>
      </c>
      <c r="AD346" s="2" t="str">
        <f t="shared" si="129"/>
        <v>Moderate</v>
      </c>
      <c r="AE346" s="2">
        <f t="shared" si="130"/>
        <v>0.13126605594647217</v>
      </c>
      <c r="AF346" s="2">
        <f t="shared" si="131"/>
        <v>1</v>
      </c>
      <c r="AG346" s="2" t="str">
        <f t="shared" si="132"/>
        <v>High</v>
      </c>
    </row>
    <row r="347" spans="1:33" x14ac:dyDescent="0.3">
      <c r="A347">
        <v>408790</v>
      </c>
      <c r="B347" t="s">
        <v>702</v>
      </c>
      <c r="C347" t="s">
        <v>691</v>
      </c>
      <c r="D347" t="s">
        <v>703</v>
      </c>
      <c r="E347" s="13">
        <v>7</v>
      </c>
      <c r="F347" s="14">
        <f t="shared" si="111"/>
        <v>0.84444444444444444</v>
      </c>
      <c r="G347" s="2">
        <v>76.646116800000001</v>
      </c>
      <c r="H347" s="2">
        <f t="shared" si="112"/>
        <v>0.47574101868972857</v>
      </c>
      <c r="I347" s="2">
        <v>56.7</v>
      </c>
      <c r="J347" s="4">
        <f t="shared" si="113"/>
        <v>0.44822134387351781</v>
      </c>
      <c r="K347" s="2">
        <v>0</v>
      </c>
      <c r="L347" s="4">
        <f t="shared" si="114"/>
        <v>0</v>
      </c>
      <c r="M347" s="2">
        <v>36530</v>
      </c>
      <c r="N347" s="2">
        <f t="shared" si="115"/>
        <v>0.1717079956281671</v>
      </c>
      <c r="O347" s="2">
        <v>0.39832599400000002</v>
      </c>
      <c r="P347" s="2">
        <f t="shared" si="116"/>
        <v>0.38269174369738257</v>
      </c>
      <c r="Q347" s="2">
        <v>0.2296</v>
      </c>
      <c r="R347" s="2">
        <f t="shared" si="117"/>
        <v>0.50550086855819343</v>
      </c>
      <c r="S347" s="2">
        <f t="shared" si="118"/>
        <v>0.1212748004547861</v>
      </c>
      <c r="T347" s="5">
        <f t="shared" si="119"/>
        <v>0.31674737113509116</v>
      </c>
      <c r="U347" s="2" t="str">
        <f t="shared" si="120"/>
        <v>Moderate</v>
      </c>
      <c r="V347" s="2">
        <f t="shared" si="121"/>
        <v>0.13804329402928131</v>
      </c>
      <c r="W347" s="2">
        <f t="shared" si="122"/>
        <v>0.33484255553849646</v>
      </c>
      <c r="X347" s="2" t="str">
        <f t="shared" si="123"/>
        <v>Moderate</v>
      </c>
      <c r="Y347" s="2">
        <f t="shared" si="124"/>
        <v>0.10450630688029088</v>
      </c>
      <c r="Z347" s="2">
        <f t="shared" si="125"/>
        <v>0.2671264597970795</v>
      </c>
      <c r="AA347" s="2" t="str">
        <f t="shared" si="126"/>
        <v>Low</v>
      </c>
      <c r="AB347" s="2">
        <f t="shared" si="127"/>
        <v>9.6078684559346886E-2</v>
      </c>
      <c r="AC347" s="2">
        <f t="shared" si="128"/>
        <v>0.34908254837596098</v>
      </c>
      <c r="AD347" s="2" t="str">
        <f t="shared" si="129"/>
        <v>Moderate</v>
      </c>
      <c r="AE347" s="2">
        <f t="shared" si="130"/>
        <v>4.6890398814317585E-2</v>
      </c>
      <c r="AF347" s="2">
        <f t="shared" si="131"/>
        <v>0.35721648278545526</v>
      </c>
      <c r="AG347" s="2" t="str">
        <f t="shared" si="132"/>
        <v>Moderate</v>
      </c>
    </row>
    <row r="348" spans="1:33" x14ac:dyDescent="0.3">
      <c r="A348">
        <v>453907</v>
      </c>
      <c r="B348" t="s">
        <v>704</v>
      </c>
      <c r="C348" t="s">
        <v>705</v>
      </c>
      <c r="D348" t="s">
        <v>706</v>
      </c>
      <c r="E348" s="13">
        <v>6.7</v>
      </c>
      <c r="F348" s="14">
        <f t="shared" si="111"/>
        <v>0.77777777777777779</v>
      </c>
      <c r="G348" s="2">
        <v>47.146507200000002</v>
      </c>
      <c r="H348" s="2">
        <f t="shared" si="112"/>
        <v>0.15702301307993224</v>
      </c>
      <c r="I348" s="2">
        <v>9.3000000000000007</v>
      </c>
      <c r="J348" s="4">
        <f t="shared" si="113"/>
        <v>7.3517786561264828E-2</v>
      </c>
      <c r="K348" s="2">
        <v>0</v>
      </c>
      <c r="L348" s="4">
        <f t="shared" si="114"/>
        <v>0</v>
      </c>
      <c r="M348" s="2">
        <v>31094</v>
      </c>
      <c r="N348" s="2">
        <f t="shared" si="115"/>
        <v>0.14598799165377355</v>
      </c>
      <c r="O348" s="2">
        <v>0.44590688899999997</v>
      </c>
      <c r="P348" s="2">
        <f t="shared" si="116"/>
        <v>0.43765672421240931</v>
      </c>
      <c r="Q348" s="2">
        <v>0.25969999999999999</v>
      </c>
      <c r="R348" s="2">
        <f t="shared" si="117"/>
        <v>0.59264620729588879</v>
      </c>
      <c r="S348" s="2">
        <f t="shared" si="118"/>
        <v>3.2330045065075093E-2</v>
      </c>
      <c r="T348" s="5">
        <f t="shared" si="119"/>
        <v>8.4440104165410923E-2</v>
      </c>
      <c r="U348" s="2" t="str">
        <f t="shared" si="120"/>
        <v>No Impact</v>
      </c>
      <c r="V348" s="2">
        <f t="shared" si="121"/>
        <v>3.7193485534341805E-2</v>
      </c>
      <c r="W348" s="2">
        <f t="shared" si="122"/>
        <v>9.0217796042025886E-2</v>
      </c>
      <c r="X348" s="2" t="s">
        <v>1176</v>
      </c>
      <c r="Y348" s="2">
        <f t="shared" si="124"/>
        <v>2.7466604595808384E-2</v>
      </c>
      <c r="Z348" s="2">
        <f t="shared" si="125"/>
        <v>7.020683313140981E-2</v>
      </c>
      <c r="AA348" s="2" t="str">
        <f t="shared" si="126"/>
        <v>No Impact</v>
      </c>
      <c r="AB348" s="2">
        <f t="shared" si="127"/>
        <v>2.4464388148683971E-2</v>
      </c>
      <c r="AC348" s="2">
        <f t="shared" si="128"/>
        <v>8.8886426771654287E-2</v>
      </c>
      <c r="AD348" s="2" t="str">
        <f t="shared" si="129"/>
        <v>No Impact</v>
      </c>
      <c r="AE348" s="2">
        <f t="shared" si="130"/>
        <v>9.1619623797766364E-3</v>
      </c>
      <c r="AF348" s="2">
        <f t="shared" si="131"/>
        <v>6.9796889330724712E-2</v>
      </c>
      <c r="AG348" s="2" t="s">
        <v>1175</v>
      </c>
    </row>
    <row r="349" spans="1:33" x14ac:dyDescent="0.3">
      <c r="A349">
        <v>453915</v>
      </c>
      <c r="B349" t="s">
        <v>707</v>
      </c>
      <c r="C349" t="s">
        <v>705</v>
      </c>
      <c r="D349" t="s">
        <v>708</v>
      </c>
      <c r="E349" s="13">
        <v>6.7</v>
      </c>
      <c r="F349" s="14">
        <f t="shared" si="111"/>
        <v>0.77777777777777779</v>
      </c>
      <c r="G349" s="2">
        <v>47.146507200000002</v>
      </c>
      <c r="H349" s="2">
        <f t="shared" si="112"/>
        <v>0.15702301307993224</v>
      </c>
      <c r="I349" s="2">
        <v>13.6</v>
      </c>
      <c r="J349" s="4">
        <f t="shared" si="113"/>
        <v>0.10750988142292491</v>
      </c>
      <c r="K349" s="2">
        <v>0</v>
      </c>
      <c r="L349" s="4">
        <f t="shared" si="114"/>
        <v>0</v>
      </c>
      <c r="M349" s="2">
        <v>33936</v>
      </c>
      <c r="N349" s="2">
        <f t="shared" si="115"/>
        <v>0.15943468983170336</v>
      </c>
      <c r="O349" s="2">
        <v>0.58724859500000004</v>
      </c>
      <c r="P349" s="2">
        <f t="shared" si="116"/>
        <v>0.60093326863744889</v>
      </c>
      <c r="Q349" s="2">
        <v>0.23680000000000001</v>
      </c>
      <c r="R349" s="2">
        <f t="shared" si="117"/>
        <v>0.52634626519976846</v>
      </c>
      <c r="S349" s="2">
        <f t="shared" si="118"/>
        <v>4.0588676061082601E-2</v>
      </c>
      <c r="T349" s="5">
        <f t="shared" si="119"/>
        <v>0.10601012239962293</v>
      </c>
      <c r="U349" s="2" t="str">
        <f t="shared" si="120"/>
        <v>No Impact</v>
      </c>
      <c r="V349" s="2">
        <f t="shared" si="121"/>
        <v>3.7903106395328318E-2</v>
      </c>
      <c r="W349" s="2">
        <f t="shared" si="122"/>
        <v>9.1939076776646367E-2</v>
      </c>
      <c r="X349" s="2" t="s">
        <v>1176</v>
      </c>
      <c r="Y349" s="2">
        <f t="shared" si="124"/>
        <v>4.3274245726836892E-2</v>
      </c>
      <c r="Z349" s="2">
        <f t="shared" si="125"/>
        <v>0.11061242528300373</v>
      </c>
      <c r="AA349" s="2" t="str">
        <f t="shared" si="126"/>
        <v>No Impact</v>
      </c>
      <c r="AB349" s="2">
        <f t="shared" si="127"/>
        <v>3.0266769832797531E-2</v>
      </c>
      <c r="AC349" s="2">
        <f t="shared" si="128"/>
        <v>0.10996821191713288</v>
      </c>
      <c r="AD349" s="2" t="str">
        <f t="shared" si="129"/>
        <v>No Impact</v>
      </c>
      <c r="AE349" s="2">
        <f t="shared" si="130"/>
        <v>1.1481168218233006E-2</v>
      </c>
      <c r="AF349" s="2">
        <f t="shared" si="131"/>
        <v>8.7464867710467437E-2</v>
      </c>
      <c r="AG349" s="2" t="s">
        <v>1175</v>
      </c>
    </row>
    <row r="350" spans="1:33" x14ac:dyDescent="0.3">
      <c r="A350">
        <v>453929</v>
      </c>
      <c r="B350" t="s">
        <v>709</v>
      </c>
      <c r="C350" t="s">
        <v>705</v>
      </c>
      <c r="D350" t="s">
        <v>710</v>
      </c>
      <c r="E350" s="13">
        <v>6.7</v>
      </c>
      <c r="F350" s="14">
        <f t="shared" si="111"/>
        <v>0.77777777777777779</v>
      </c>
      <c r="G350" s="2">
        <v>47.146507200000002</v>
      </c>
      <c r="H350" s="2">
        <f t="shared" si="112"/>
        <v>0.15702301307993224</v>
      </c>
      <c r="I350" s="2">
        <v>9.4</v>
      </c>
      <c r="J350" s="4">
        <f t="shared" si="113"/>
        <v>7.4308300395256918E-2</v>
      </c>
      <c r="K350" s="2">
        <v>0</v>
      </c>
      <c r="L350" s="4">
        <f t="shared" si="114"/>
        <v>0</v>
      </c>
      <c r="M350" s="2">
        <v>49714</v>
      </c>
      <c r="N350" s="2">
        <f t="shared" si="115"/>
        <v>0.23408704868158955</v>
      </c>
      <c r="O350" s="2">
        <v>0.44299260299999998</v>
      </c>
      <c r="P350" s="2">
        <f t="shared" si="116"/>
        <v>0.43429016977485163</v>
      </c>
      <c r="Q350" s="2">
        <v>0.219</v>
      </c>
      <c r="R350" s="2">
        <f t="shared" si="117"/>
        <v>0.47481181239143028</v>
      </c>
      <c r="S350" s="2">
        <f t="shared" si="118"/>
        <v>2.8624677847927153E-2</v>
      </c>
      <c r="T350" s="5">
        <f t="shared" si="119"/>
        <v>7.4762369625997471E-2</v>
      </c>
      <c r="U350" s="2" t="str">
        <f t="shared" si="120"/>
        <v>No Impact</v>
      </c>
      <c r="V350" s="2">
        <f t="shared" si="121"/>
        <v>2.9900573169378823E-2</v>
      </c>
      <c r="W350" s="2">
        <f t="shared" si="122"/>
        <v>7.2527857311032395E-2</v>
      </c>
      <c r="X350" s="2" t="s">
        <v>1176</v>
      </c>
      <c r="Y350" s="2">
        <f t="shared" si="124"/>
        <v>2.7348782526475483E-2</v>
      </c>
      <c r="Z350" s="2">
        <f t="shared" si="125"/>
        <v>6.9905670520210517E-2</v>
      </c>
      <c r="AA350" s="2" t="str">
        <f t="shared" si="126"/>
        <v>No Impact</v>
      </c>
      <c r="AB350" s="2">
        <f t="shared" si="127"/>
        <v>2.3829285617945128E-2</v>
      </c>
      <c r="AC350" s="2">
        <f t="shared" si="128"/>
        <v>8.6578909647256175E-2</v>
      </c>
      <c r="AD350" s="2" t="str">
        <f t="shared" si="129"/>
        <v>No Impact</v>
      </c>
      <c r="AE350" s="2">
        <f t="shared" si="130"/>
        <v>1.4741286430628281E-2</v>
      </c>
      <c r="AF350" s="2">
        <f t="shared" si="131"/>
        <v>0.11230082540637543</v>
      </c>
      <c r="AG350" s="2" t="s">
        <v>1175</v>
      </c>
    </row>
    <row r="351" spans="1:33" x14ac:dyDescent="0.3">
      <c r="A351">
        <v>453936</v>
      </c>
      <c r="B351" t="s">
        <v>711</v>
      </c>
      <c r="C351" t="s">
        <v>705</v>
      </c>
      <c r="D351" t="s">
        <v>712</v>
      </c>
      <c r="E351" s="13">
        <v>6.7</v>
      </c>
      <c r="F351" s="14">
        <f t="shared" si="111"/>
        <v>0.77777777777777779</v>
      </c>
      <c r="G351" s="2">
        <v>54.160390800000002</v>
      </c>
      <c r="H351" s="2">
        <f t="shared" si="112"/>
        <v>0.23280201567972456</v>
      </c>
      <c r="I351" s="2">
        <v>12.8</v>
      </c>
      <c r="J351" s="4">
        <f t="shared" si="113"/>
        <v>0.10118577075098814</v>
      </c>
      <c r="K351" s="2">
        <v>0</v>
      </c>
      <c r="L351" s="4">
        <f t="shared" si="114"/>
        <v>0</v>
      </c>
      <c r="M351" s="2">
        <v>72151</v>
      </c>
      <c r="N351" s="2">
        <f t="shared" si="115"/>
        <v>0.34024593925801855</v>
      </c>
      <c r="O351" s="2">
        <v>0.49431894599999998</v>
      </c>
      <c r="P351" s="2">
        <f t="shared" si="116"/>
        <v>0.49358185487036282</v>
      </c>
      <c r="Q351" s="2">
        <v>0.24079999999999999</v>
      </c>
      <c r="R351" s="2">
        <f t="shared" si="117"/>
        <v>0.53792704111175449</v>
      </c>
      <c r="S351" s="2">
        <f t="shared" si="118"/>
        <v>4.6891825749389236E-2</v>
      </c>
      <c r="T351" s="5">
        <f t="shared" si="119"/>
        <v>0.12247278476769202</v>
      </c>
      <c r="U351" s="2" t="str">
        <f t="shared" si="120"/>
        <v>No Impact</v>
      </c>
      <c r="V351" s="2">
        <f t="shared" si="121"/>
        <v>4.8907733468804199E-2</v>
      </c>
      <c r="W351" s="2">
        <f t="shared" si="122"/>
        <v>0.1186322781953924</v>
      </c>
      <c r="X351" s="2" t="s">
        <v>1176</v>
      </c>
      <c r="Y351" s="2">
        <f t="shared" si="124"/>
        <v>4.4875918029974281E-2</v>
      </c>
      <c r="Z351" s="2">
        <f t="shared" si="125"/>
        <v>0.11470642750032652</v>
      </c>
      <c r="AA351" s="2" t="str">
        <f t="shared" si="126"/>
        <v>No Impact</v>
      </c>
      <c r="AB351" s="2">
        <f t="shared" si="127"/>
        <v>4.1407657099886176E-2</v>
      </c>
      <c r="AC351" s="2">
        <f t="shared" si="128"/>
        <v>0.15044638182757067</v>
      </c>
      <c r="AD351" s="2" t="str">
        <f t="shared" si="129"/>
        <v>Low</v>
      </c>
      <c r="AE351" s="2">
        <f t="shared" si="130"/>
        <v>3.0934785648035517E-2</v>
      </c>
      <c r="AF351" s="2">
        <f t="shared" si="131"/>
        <v>0.23566477582483428</v>
      </c>
      <c r="AG351" s="2" t="s">
        <v>1175</v>
      </c>
    </row>
    <row r="352" spans="1:33" x14ac:dyDescent="0.3">
      <c r="A352">
        <v>453958</v>
      </c>
      <c r="B352" t="s">
        <v>713</v>
      </c>
      <c r="C352" t="s">
        <v>705</v>
      </c>
      <c r="D352" t="s">
        <v>714</v>
      </c>
      <c r="E352" s="13">
        <v>5.7</v>
      </c>
      <c r="F352" s="14">
        <f t="shared" si="111"/>
        <v>0.55555555555555558</v>
      </c>
      <c r="G352" s="2">
        <v>54.160390800000002</v>
      </c>
      <c r="H352" s="2">
        <f t="shared" si="112"/>
        <v>0.23280201567972456</v>
      </c>
      <c r="I352" s="2">
        <v>13.2</v>
      </c>
      <c r="J352" s="4">
        <f t="shared" si="113"/>
        <v>0.10434782608695652</v>
      </c>
      <c r="K352" s="2">
        <v>0</v>
      </c>
      <c r="L352" s="4">
        <f t="shared" si="114"/>
        <v>0</v>
      </c>
      <c r="M352" s="2">
        <v>42481</v>
      </c>
      <c r="N352" s="2">
        <f t="shared" si="115"/>
        <v>0.19986468136245997</v>
      </c>
      <c r="O352" s="2">
        <v>0.70818958799999998</v>
      </c>
      <c r="P352" s="2">
        <f t="shared" si="116"/>
        <v>0.74064311065939892</v>
      </c>
      <c r="Q352" s="2">
        <v>0.24909999999999999</v>
      </c>
      <c r="R352" s="2">
        <f t="shared" si="117"/>
        <v>0.5619571511291257</v>
      </c>
      <c r="S352" s="2">
        <f t="shared" si="118"/>
        <v>4.2697226458759285E-2</v>
      </c>
      <c r="T352" s="5">
        <f t="shared" si="119"/>
        <v>0.11151726644657553</v>
      </c>
      <c r="U352" s="2" t="str">
        <f t="shared" si="120"/>
        <v>No Impact</v>
      </c>
      <c r="V352" s="2">
        <f t="shared" si="121"/>
        <v>3.6840176446663257E-2</v>
      </c>
      <c r="W352" s="2">
        <f t="shared" si="122"/>
        <v>8.9360797383415444E-2</v>
      </c>
      <c r="X352" s="2" t="s">
        <v>1176</v>
      </c>
      <c r="Y352" s="2">
        <f t="shared" si="124"/>
        <v>4.855427647085532E-2</v>
      </c>
      <c r="Z352" s="2">
        <f t="shared" si="125"/>
        <v>0.12410860520145592</v>
      </c>
      <c r="AA352" s="2" t="str">
        <f t="shared" si="126"/>
        <v>No Impact</v>
      </c>
      <c r="AB352" s="2">
        <f t="shared" si="127"/>
        <v>3.2046223779684524E-2</v>
      </c>
      <c r="AC352" s="2">
        <f t="shared" si="128"/>
        <v>0.11643349941920395</v>
      </c>
      <c r="AD352" s="2" t="str">
        <f t="shared" si="129"/>
        <v>No Impact</v>
      </c>
      <c r="AE352" s="2">
        <f t="shared" si="130"/>
        <v>1.3102511663130848E-2</v>
      </c>
      <c r="AF352" s="2">
        <f t="shared" si="131"/>
        <v>9.9816449642349314E-2</v>
      </c>
      <c r="AG352" s="2" t="s">
        <v>1175</v>
      </c>
    </row>
    <row r="353" spans="1:33" x14ac:dyDescent="0.3">
      <c r="A353">
        <v>453961</v>
      </c>
      <c r="B353" t="s">
        <v>715</v>
      </c>
      <c r="C353" t="s">
        <v>705</v>
      </c>
      <c r="D353" t="s">
        <v>716</v>
      </c>
      <c r="E353" s="13">
        <v>5.9</v>
      </c>
      <c r="F353" s="14">
        <f t="shared" si="111"/>
        <v>0.60000000000000009</v>
      </c>
      <c r="G353" s="2">
        <v>54.160390800000002</v>
      </c>
      <c r="H353" s="2">
        <f t="shared" si="112"/>
        <v>0.23280201567972456</v>
      </c>
      <c r="I353" s="2">
        <v>13.7</v>
      </c>
      <c r="J353" s="4">
        <f t="shared" si="113"/>
        <v>0.108300395256917</v>
      </c>
      <c r="K353" s="2">
        <v>0</v>
      </c>
      <c r="L353" s="4">
        <f t="shared" si="114"/>
        <v>0</v>
      </c>
      <c r="M353" s="2">
        <v>49997</v>
      </c>
      <c r="N353" s="2">
        <f t="shared" si="115"/>
        <v>0.23542604079431093</v>
      </c>
      <c r="O353" s="2">
        <v>0.57369328600000002</v>
      </c>
      <c r="P353" s="2">
        <f t="shared" si="116"/>
        <v>0.58527430940475333</v>
      </c>
      <c r="Q353" s="2">
        <v>0.2329</v>
      </c>
      <c r="R353" s="2">
        <f t="shared" si="117"/>
        <v>0.51505500868558196</v>
      </c>
      <c r="S353" s="2">
        <f t="shared" si="118"/>
        <v>3.9409123238612835E-2</v>
      </c>
      <c r="T353" s="5">
        <f t="shared" si="119"/>
        <v>0.10292934837046615</v>
      </c>
      <c r="U353" s="2" t="str">
        <f t="shared" si="120"/>
        <v>No Impact</v>
      </c>
      <c r="V353" s="2">
        <f t="shared" si="121"/>
        <v>3.6894166097805429E-2</v>
      </c>
      <c r="W353" s="2">
        <f t="shared" si="122"/>
        <v>8.9491756535674177E-2</v>
      </c>
      <c r="X353" s="2" t="s">
        <v>1176</v>
      </c>
      <c r="Y353" s="2">
        <f t="shared" si="124"/>
        <v>4.1924080379420255E-2</v>
      </c>
      <c r="Z353" s="2">
        <f t="shared" si="125"/>
        <v>0.10716129491429564</v>
      </c>
      <c r="AA353" s="2" t="str">
        <f t="shared" si="126"/>
        <v>No Impact</v>
      </c>
      <c r="AB353" s="2">
        <f t="shared" si="127"/>
        <v>3.139255492130523E-2</v>
      </c>
      <c r="AC353" s="2">
        <f t="shared" si="128"/>
        <v>0.11405852528291566</v>
      </c>
      <c r="AD353" s="2" t="str">
        <f t="shared" si="129"/>
        <v>No Impact</v>
      </c>
      <c r="AE353" s="2">
        <f t="shared" si="130"/>
        <v>1.6863921923563594E-2</v>
      </c>
      <c r="AF353" s="2">
        <f t="shared" si="131"/>
        <v>0.1284713081532699</v>
      </c>
      <c r="AG353" s="2" t="s">
        <v>1175</v>
      </c>
    </row>
    <row r="354" spans="1:33" x14ac:dyDescent="0.3">
      <c r="A354">
        <v>453985</v>
      </c>
      <c r="B354" t="s">
        <v>717</v>
      </c>
      <c r="C354" t="s">
        <v>705</v>
      </c>
      <c r="D354" t="s">
        <v>718</v>
      </c>
      <c r="E354" s="13">
        <v>6.7</v>
      </c>
      <c r="F354" s="14">
        <f t="shared" si="111"/>
        <v>0.77777777777777779</v>
      </c>
      <c r="G354" s="2">
        <v>54.160390800000002</v>
      </c>
      <c r="H354" s="2">
        <f t="shared" si="112"/>
        <v>0.23280201567972456</v>
      </c>
      <c r="I354" s="2">
        <v>20.100000000000001</v>
      </c>
      <c r="J354" s="4">
        <f t="shared" si="113"/>
        <v>0.15889328063241107</v>
      </c>
      <c r="K354" s="2">
        <v>0</v>
      </c>
      <c r="L354" s="4">
        <f t="shared" si="114"/>
        <v>0</v>
      </c>
      <c r="M354" s="2">
        <v>35824</v>
      </c>
      <c r="N354" s="2">
        <f t="shared" si="115"/>
        <v>0.16836761247770318</v>
      </c>
      <c r="O354" s="2">
        <v>0.71828706899999994</v>
      </c>
      <c r="P354" s="2">
        <f t="shared" si="116"/>
        <v>0.7523076210982178</v>
      </c>
      <c r="Q354" s="2">
        <v>0.24229999999999999</v>
      </c>
      <c r="R354" s="2">
        <f t="shared" si="117"/>
        <v>0.54226983207874924</v>
      </c>
      <c r="S354" s="2">
        <f t="shared" si="118"/>
        <v>6.9019208491491499E-2</v>
      </c>
      <c r="T354" s="5">
        <f t="shared" si="119"/>
        <v>0.18026542006684393</v>
      </c>
      <c r="U354" s="2" t="str">
        <f t="shared" si="120"/>
        <v>Low</v>
      </c>
      <c r="V354" s="2">
        <f t="shared" si="121"/>
        <v>5.7821236585020377E-2</v>
      </c>
      <c r="W354" s="2">
        <f t="shared" si="122"/>
        <v>0.14025317751702907</v>
      </c>
      <c r="X354" s="2" t="s">
        <v>1176</v>
      </c>
      <c r="Y354" s="2">
        <f t="shared" si="124"/>
        <v>8.0217180397962606E-2</v>
      </c>
      <c r="Z354" s="2">
        <f t="shared" si="125"/>
        <v>0.20504151428063352</v>
      </c>
      <c r="AA354" s="2" t="str">
        <f t="shared" si="126"/>
        <v>Low</v>
      </c>
      <c r="AB354" s="2">
        <f t="shared" si="127"/>
        <v>5.0586042212361342E-2</v>
      </c>
      <c r="AC354" s="2">
        <f t="shared" si="128"/>
        <v>0.18379419544235556</v>
      </c>
      <c r="AD354" s="2" t="str">
        <f t="shared" si="129"/>
        <v>Low</v>
      </c>
      <c r="AE354" s="2">
        <f t="shared" si="130"/>
        <v>1.795272939490121E-2</v>
      </c>
      <c r="AF354" s="2">
        <f t="shared" si="131"/>
        <v>0.13676596943098523</v>
      </c>
      <c r="AG354" s="2" t="s">
        <v>1175</v>
      </c>
    </row>
    <row r="355" spans="1:33" x14ac:dyDescent="0.3">
      <c r="A355">
        <v>456113</v>
      </c>
      <c r="B355" t="s">
        <v>719</v>
      </c>
      <c r="C355" t="s">
        <v>720</v>
      </c>
      <c r="D355" t="s">
        <v>721</v>
      </c>
      <c r="E355" s="13">
        <v>4.4000000000000004</v>
      </c>
      <c r="F355" s="14">
        <f t="shared" si="111"/>
        <v>0.26666666666666672</v>
      </c>
      <c r="G355" s="2">
        <v>53.095154399999998</v>
      </c>
      <c r="H355" s="2">
        <f t="shared" si="112"/>
        <v>0.22129304910306313</v>
      </c>
      <c r="I355" s="2">
        <v>17.5</v>
      </c>
      <c r="J355" s="4">
        <f t="shared" si="113"/>
        <v>0.13833992094861661</v>
      </c>
      <c r="K355" s="2">
        <v>0</v>
      </c>
      <c r="L355" s="4">
        <f t="shared" si="114"/>
        <v>0</v>
      </c>
      <c r="M355" s="2">
        <v>67704</v>
      </c>
      <c r="N355" s="2">
        <f t="shared" si="115"/>
        <v>0.31920531054681034</v>
      </c>
      <c r="O355" s="2">
        <v>0.60988778600000004</v>
      </c>
      <c r="P355" s="2">
        <f t="shared" si="116"/>
        <v>0.62708583874339108</v>
      </c>
      <c r="Q355" s="2">
        <v>0.25380000000000003</v>
      </c>
      <c r="R355" s="2">
        <f t="shared" si="117"/>
        <v>0.57556456282570945</v>
      </c>
      <c r="S355" s="2">
        <f t="shared" si="118"/>
        <v>2.0183927673006575E-2</v>
      </c>
      <c r="T355" s="5">
        <f t="shared" si="119"/>
        <v>5.2716689746186617E-2</v>
      </c>
      <c r="U355" s="2" t="str">
        <f t="shared" si="120"/>
        <v>No Impact</v>
      </c>
      <c r="V355" s="2">
        <f t="shared" si="121"/>
        <v>1.9319252697313938E-2</v>
      </c>
      <c r="W355" s="2">
        <f t="shared" si="122"/>
        <v>4.6861442924496031E-2</v>
      </c>
      <c r="X355" s="2" t="s">
        <v>1176</v>
      </c>
      <c r="Y355" s="2">
        <f t="shared" si="124"/>
        <v>2.1048602648699212E-2</v>
      </c>
      <c r="Z355" s="2">
        <f t="shared" si="125"/>
        <v>5.3801908009848923E-2</v>
      </c>
      <c r="AA355" s="2" t="str">
        <f t="shared" si="126"/>
        <v>No Impact</v>
      </c>
      <c r="AB355" s="2">
        <f t="shared" si="127"/>
        <v>1.6826346532351436E-2</v>
      </c>
      <c r="AC355" s="2">
        <f t="shared" si="128"/>
        <v>6.1135140997294495E-2</v>
      </c>
      <c r="AD355" s="2" t="str">
        <f t="shared" si="129"/>
        <v>No Impact</v>
      </c>
      <c r="AE355" s="2">
        <f t="shared" si="130"/>
        <v>1.0714363696233695E-2</v>
      </c>
      <c r="AF355" s="2">
        <f t="shared" si="131"/>
        <v>8.1623262152424311E-2</v>
      </c>
      <c r="AG355" s="2" t="s">
        <v>1175</v>
      </c>
    </row>
    <row r="356" spans="1:33" x14ac:dyDescent="0.3">
      <c r="A356">
        <v>456116</v>
      </c>
      <c r="B356" t="s">
        <v>722</v>
      </c>
      <c r="C356" t="s">
        <v>720</v>
      </c>
      <c r="D356" t="s">
        <v>723</v>
      </c>
      <c r="E356" s="13">
        <v>5.3</v>
      </c>
      <c r="F356" s="14">
        <f t="shared" si="111"/>
        <v>0.46666666666666656</v>
      </c>
      <c r="G356" s="2">
        <v>54.603360000000002</v>
      </c>
      <c r="H356" s="2">
        <f t="shared" si="112"/>
        <v>0.23758791833690981</v>
      </c>
      <c r="I356" s="2">
        <v>12.1</v>
      </c>
      <c r="J356" s="4">
        <f t="shared" si="113"/>
        <v>9.5652173913043481E-2</v>
      </c>
      <c r="K356" s="2">
        <v>0</v>
      </c>
      <c r="L356" s="4">
        <f t="shared" si="114"/>
        <v>0</v>
      </c>
      <c r="M356" s="2">
        <v>30622</v>
      </c>
      <c r="N356" s="2">
        <f t="shared" si="115"/>
        <v>0.14375476099227358</v>
      </c>
      <c r="O356" s="2">
        <v>0.345899717</v>
      </c>
      <c r="P356" s="2">
        <f t="shared" si="116"/>
        <v>0.32212942569599989</v>
      </c>
      <c r="Q356" s="2">
        <v>0.1865</v>
      </c>
      <c r="R356" s="2">
        <f t="shared" si="117"/>
        <v>0.38071800810654316</v>
      </c>
      <c r="S356" s="2">
        <f t="shared" si="118"/>
        <v>1.9127717067036854E-2</v>
      </c>
      <c r="T356" s="5">
        <f t="shared" si="119"/>
        <v>4.9958062796883668E-2</v>
      </c>
      <c r="U356" s="2" t="str">
        <f t="shared" si="120"/>
        <v>No Impact</v>
      </c>
      <c r="V356" s="2">
        <f t="shared" si="121"/>
        <v>2.0722182343298336E-2</v>
      </c>
      <c r="W356" s="2">
        <f t="shared" si="122"/>
        <v>5.0264437261928245E-2</v>
      </c>
      <c r="X356" s="2" t="s">
        <v>1176</v>
      </c>
      <c r="Y356" s="2">
        <f t="shared" si="124"/>
        <v>1.7533251790775375E-2</v>
      </c>
      <c r="Z356" s="2">
        <f t="shared" si="125"/>
        <v>4.481639069846341E-2</v>
      </c>
      <c r="AA356" s="2" t="str">
        <f t="shared" si="126"/>
        <v>No Impact</v>
      </c>
      <c r="AB356" s="2">
        <f t="shared" si="127"/>
        <v>1.5251299938445574E-2</v>
      </c>
      <c r="AC356" s="2">
        <f t="shared" si="128"/>
        <v>5.5412526440973046E-2</v>
      </c>
      <c r="AD356" s="2" t="str">
        <f t="shared" si="129"/>
        <v>No Impact</v>
      </c>
      <c r="AE356" s="2">
        <f t="shared" si="130"/>
        <v>7.8244588030244189E-3</v>
      </c>
      <c r="AF356" s="2">
        <f t="shared" si="131"/>
        <v>5.9607632351009965E-2</v>
      </c>
      <c r="AG356" s="2" t="s">
        <v>1176</v>
      </c>
    </row>
    <row r="357" spans="1:33" x14ac:dyDescent="0.3">
      <c r="A357">
        <v>456120</v>
      </c>
      <c r="B357" t="s">
        <v>724</v>
      </c>
      <c r="C357" t="s">
        <v>720</v>
      </c>
      <c r="D357" t="s">
        <v>725</v>
      </c>
      <c r="E357" s="13">
        <v>5.4</v>
      </c>
      <c r="F357" s="14">
        <f t="shared" si="111"/>
        <v>0.48888888888888893</v>
      </c>
      <c r="G357" s="2">
        <v>60.365465999999998</v>
      </c>
      <c r="H357" s="2">
        <f t="shared" si="112"/>
        <v>0.29984253652793291</v>
      </c>
      <c r="I357" s="2">
        <v>11.6</v>
      </c>
      <c r="J357" s="4">
        <f t="shared" si="113"/>
        <v>9.1699604743083002E-2</v>
      </c>
      <c r="K357" s="2">
        <v>0</v>
      </c>
      <c r="L357" s="4">
        <f t="shared" si="114"/>
        <v>0</v>
      </c>
      <c r="M357" s="2">
        <v>47760</v>
      </c>
      <c r="N357" s="2">
        <f t="shared" si="115"/>
        <v>0.22484185225665118</v>
      </c>
      <c r="O357" s="2">
        <v>0.41156439900000003</v>
      </c>
      <c r="P357" s="2">
        <f t="shared" si="116"/>
        <v>0.397984618555559</v>
      </c>
      <c r="Q357" s="2">
        <v>0.24210000000000001</v>
      </c>
      <c r="R357" s="2">
        <f t="shared" si="117"/>
        <v>0.54169079328315006</v>
      </c>
      <c r="S357" s="2">
        <f t="shared" si="118"/>
        <v>3.1477815843923326E-2</v>
      </c>
      <c r="T357" s="5">
        <f t="shared" si="119"/>
        <v>8.221423890410326E-2</v>
      </c>
      <c r="U357" s="2" t="str">
        <f t="shared" si="120"/>
        <v>No Impact</v>
      </c>
      <c r="V357" s="2">
        <f t="shared" si="121"/>
        <v>3.6291772287519439E-2</v>
      </c>
      <c r="W357" s="2">
        <f t="shared" si="122"/>
        <v>8.8030569418290933E-2</v>
      </c>
      <c r="X357" s="2" t="s">
        <v>1176</v>
      </c>
      <c r="Y357" s="2">
        <f t="shared" si="124"/>
        <v>2.6663859400327217E-2</v>
      </c>
      <c r="Z357" s="2">
        <f t="shared" si="125"/>
        <v>6.8154952354169962E-2</v>
      </c>
      <c r="AA357" s="2" t="str">
        <f t="shared" si="126"/>
        <v>No Impact</v>
      </c>
      <c r="AB357" s="2">
        <f t="shared" si="127"/>
        <v>2.597360006416017E-2</v>
      </c>
      <c r="AC357" s="2">
        <f t="shared" si="128"/>
        <v>9.4369844284186669E-2</v>
      </c>
      <c r="AD357" s="2" t="str">
        <f t="shared" si="129"/>
        <v>No Impact</v>
      </c>
      <c r="AE357" s="2">
        <f t="shared" si="130"/>
        <v>1.5063776981229147E-2</v>
      </c>
      <c r="AF357" s="2">
        <f t="shared" si="131"/>
        <v>0.11475759572887505</v>
      </c>
      <c r="AG357" s="2" t="s">
        <v>1175</v>
      </c>
    </row>
    <row r="358" spans="1:33" x14ac:dyDescent="0.3">
      <c r="A358">
        <v>456122</v>
      </c>
      <c r="B358" t="s">
        <v>726</v>
      </c>
      <c r="C358" t="s">
        <v>720</v>
      </c>
      <c r="D358" t="s">
        <v>727</v>
      </c>
      <c r="E358" s="13">
        <v>5.3</v>
      </c>
      <c r="F358" s="14">
        <f t="shared" si="111"/>
        <v>0.46666666666666656</v>
      </c>
      <c r="G358" s="2">
        <v>50.718592800000003</v>
      </c>
      <c r="H358" s="2">
        <f t="shared" si="112"/>
        <v>0.19561633732173758</v>
      </c>
      <c r="I358" s="2">
        <v>15.5</v>
      </c>
      <c r="J358" s="4">
        <f t="shared" si="113"/>
        <v>0.1225296442687747</v>
      </c>
      <c r="K358" s="2">
        <v>0</v>
      </c>
      <c r="L358" s="4">
        <f t="shared" si="114"/>
        <v>0</v>
      </c>
      <c r="M358" s="2">
        <v>46008</v>
      </c>
      <c r="N358" s="2">
        <f t="shared" si="115"/>
        <v>0.21655240285210051</v>
      </c>
      <c r="O358" s="2">
        <v>0.36805424799999997</v>
      </c>
      <c r="P358" s="2">
        <f t="shared" si="116"/>
        <v>0.34772212135114794</v>
      </c>
      <c r="Q358" s="2">
        <v>0.2351</v>
      </c>
      <c r="R358" s="2">
        <f t="shared" si="117"/>
        <v>0.52142443543717432</v>
      </c>
      <c r="S358" s="2">
        <f t="shared" si="118"/>
        <v>2.2582097897193832E-2</v>
      </c>
      <c r="T358" s="5">
        <f t="shared" si="119"/>
        <v>5.8980267267627E-2</v>
      </c>
      <c r="U358" s="2" t="str">
        <f t="shared" si="120"/>
        <v>No Impact</v>
      </c>
      <c r="V358" s="2">
        <f t="shared" si="121"/>
        <v>2.7095217843448288E-2</v>
      </c>
      <c r="W358" s="2">
        <f t="shared" si="122"/>
        <v>6.5723091073500717E-2</v>
      </c>
      <c r="X358" s="2" t="s">
        <v>1176</v>
      </c>
      <c r="Y358" s="2">
        <f t="shared" si="124"/>
        <v>1.8068977950939376E-2</v>
      </c>
      <c r="Z358" s="2">
        <f t="shared" si="125"/>
        <v>4.618574951380474E-2</v>
      </c>
      <c r="AA358" s="2" t="str">
        <f t="shared" si="126"/>
        <v>No Impact</v>
      </c>
      <c r="AB358" s="2">
        <f t="shared" si="127"/>
        <v>1.8842532952573675E-2</v>
      </c>
      <c r="AC358" s="2">
        <f t="shared" si="128"/>
        <v>6.8460548259062795E-2</v>
      </c>
      <c r="AD358" s="2" t="str">
        <f t="shared" si="129"/>
        <v>No Impact</v>
      </c>
      <c r="AE358" s="2">
        <f t="shared" si="130"/>
        <v>1.125289520595704E-2</v>
      </c>
      <c r="AF358" s="2">
        <f t="shared" si="131"/>
        <v>8.5725857494688182E-2</v>
      </c>
      <c r="AG358" s="2" t="s">
        <v>1175</v>
      </c>
    </row>
    <row r="359" spans="1:33" x14ac:dyDescent="0.3">
      <c r="A359">
        <v>456123</v>
      </c>
      <c r="B359" t="s">
        <v>728</v>
      </c>
      <c r="C359" t="s">
        <v>720</v>
      </c>
      <c r="D359" t="s">
        <v>729</v>
      </c>
      <c r="E359" s="13">
        <v>5.4</v>
      </c>
      <c r="F359" s="14">
        <f t="shared" si="111"/>
        <v>0.48888888888888893</v>
      </c>
      <c r="G359" s="2">
        <v>54.603360000000002</v>
      </c>
      <c r="H359" s="2">
        <f t="shared" si="112"/>
        <v>0.23758791833690981</v>
      </c>
      <c r="I359" s="2">
        <v>9.9</v>
      </c>
      <c r="J359" s="4">
        <f t="shared" si="113"/>
        <v>7.8260869565217397E-2</v>
      </c>
      <c r="K359" s="2">
        <v>0</v>
      </c>
      <c r="L359" s="4">
        <f t="shared" si="114"/>
        <v>0</v>
      </c>
      <c r="M359" s="2">
        <v>52514</v>
      </c>
      <c r="N359" s="2">
        <f t="shared" si="115"/>
        <v>0.24733502718201303</v>
      </c>
      <c r="O359" s="2">
        <v>0.35122262900000001</v>
      </c>
      <c r="P359" s="2">
        <f t="shared" si="116"/>
        <v>0.32827840112748774</v>
      </c>
      <c r="Q359" s="2">
        <v>0.2263</v>
      </c>
      <c r="R359" s="2">
        <f t="shared" si="117"/>
        <v>0.4959467284308049</v>
      </c>
      <c r="S359" s="2">
        <f t="shared" si="118"/>
        <v>2.2272721251076065E-2</v>
      </c>
      <c r="T359" s="5">
        <f t="shared" si="119"/>
        <v>5.817223263074521E-2</v>
      </c>
      <c r="U359" s="2" t="str">
        <f t="shared" si="120"/>
        <v>No Impact</v>
      </c>
      <c r="V359" s="2">
        <f t="shared" si="121"/>
        <v>2.680355849776651E-2</v>
      </c>
      <c r="W359" s="2">
        <f t="shared" si="122"/>
        <v>6.5015632146636387E-2</v>
      </c>
      <c r="X359" s="2" t="s">
        <v>1176</v>
      </c>
      <c r="Y359" s="2">
        <f t="shared" si="124"/>
        <v>1.774188400438562E-2</v>
      </c>
      <c r="Z359" s="2">
        <f t="shared" si="125"/>
        <v>4.5349671284918069E-2</v>
      </c>
      <c r="AA359" s="2" t="str">
        <f t="shared" si="126"/>
        <v>No Impact</v>
      </c>
      <c r="AB359" s="2">
        <f t="shared" si="127"/>
        <v>1.9382358735944544E-2</v>
      </c>
      <c r="AC359" s="2">
        <f t="shared" si="128"/>
        <v>7.0421896512345261E-2</v>
      </c>
      <c r="AD359" s="2" t="str">
        <f t="shared" si="129"/>
        <v>No Impact</v>
      </c>
      <c r="AE359" s="2">
        <f t="shared" si="130"/>
        <v>1.3367280172601654E-2</v>
      </c>
      <c r="AF359" s="2">
        <f t="shared" si="131"/>
        <v>0.10183348677782</v>
      </c>
      <c r="AG359" s="2" t="s">
        <v>1175</v>
      </c>
    </row>
    <row r="360" spans="1:33" x14ac:dyDescent="0.3">
      <c r="A360">
        <v>456124</v>
      </c>
      <c r="B360" t="s">
        <v>730</v>
      </c>
      <c r="C360" t="s">
        <v>720</v>
      </c>
      <c r="D360" t="s">
        <v>731</v>
      </c>
      <c r="E360" s="13">
        <v>5.4</v>
      </c>
      <c r="F360" s="14">
        <f t="shared" si="111"/>
        <v>0.48888888888888893</v>
      </c>
      <c r="G360" s="2">
        <v>54.603360000000002</v>
      </c>
      <c r="H360" s="2">
        <f t="shared" si="112"/>
        <v>0.23758791833690981</v>
      </c>
      <c r="I360" s="2">
        <v>13.6</v>
      </c>
      <c r="J360" s="4">
        <f t="shared" si="113"/>
        <v>0.10750988142292491</v>
      </c>
      <c r="K360" s="2">
        <v>0</v>
      </c>
      <c r="L360" s="4">
        <f t="shared" si="114"/>
        <v>0</v>
      </c>
      <c r="M360" s="2">
        <v>39702</v>
      </c>
      <c r="N360" s="2">
        <f t="shared" si="115"/>
        <v>0.18671606270078966</v>
      </c>
      <c r="O360" s="2">
        <v>0.36162643500000002</v>
      </c>
      <c r="P360" s="2">
        <f t="shared" si="116"/>
        <v>0.34029677518438856</v>
      </c>
      <c r="Q360" s="2">
        <v>0.19450000000000001</v>
      </c>
      <c r="R360" s="2">
        <f t="shared" si="117"/>
        <v>0.40387955993051539</v>
      </c>
      <c r="S360" s="2">
        <f t="shared" si="118"/>
        <v>2.197183158097199E-2</v>
      </c>
      <c r="T360" s="5">
        <f t="shared" si="119"/>
        <v>5.738636440709307E-2</v>
      </c>
      <c r="U360" s="2" t="str">
        <f t="shared" si="120"/>
        <v>No Impact</v>
      </c>
      <c r="V360" s="2">
        <f t="shared" si="121"/>
        <v>2.3849115461109602E-2</v>
      </c>
      <c r="W360" s="2">
        <f t="shared" si="122"/>
        <v>5.7849233637069723E-2</v>
      </c>
      <c r="X360" s="2" t="s">
        <v>1176</v>
      </c>
      <c r="Y360" s="2">
        <f t="shared" si="124"/>
        <v>2.0094547700834381E-2</v>
      </c>
      <c r="Z360" s="2">
        <f t="shared" si="125"/>
        <v>5.1363267431276498E-2</v>
      </c>
      <c r="AA360" s="2" t="str">
        <f t="shared" si="126"/>
        <v>No Impact</v>
      </c>
      <c r="AB360" s="2">
        <f t="shared" si="127"/>
        <v>1.8234513388663956E-2</v>
      </c>
      <c r="AC360" s="2">
        <f t="shared" si="128"/>
        <v>6.6251431639643005E-2</v>
      </c>
      <c r="AD360" s="2" t="str">
        <f t="shared" si="129"/>
        <v>No Impact</v>
      </c>
      <c r="AE360" s="2">
        <f t="shared" si="130"/>
        <v>1.1025596191500807E-2</v>
      </c>
      <c r="AF360" s="2">
        <f t="shared" si="131"/>
        <v>8.3994267306978718E-2</v>
      </c>
      <c r="AG360" s="2" t="s">
        <v>1175</v>
      </c>
    </row>
    <row r="361" spans="1:33" x14ac:dyDescent="0.3">
      <c r="A361">
        <v>456131</v>
      </c>
      <c r="B361" t="s">
        <v>732</v>
      </c>
      <c r="C361" t="s">
        <v>720</v>
      </c>
      <c r="D361" t="s">
        <v>733</v>
      </c>
      <c r="E361" s="13">
        <v>5.4</v>
      </c>
      <c r="F361" s="14">
        <f t="shared" si="111"/>
        <v>0.48888888888888893</v>
      </c>
      <c r="G361" s="2">
        <v>44.281483199999997</v>
      </c>
      <c r="H361" s="2">
        <f t="shared" si="112"/>
        <v>0.12606888359531007</v>
      </c>
      <c r="I361" s="2">
        <v>11.4</v>
      </c>
      <c r="J361" s="4">
        <f t="shared" si="113"/>
        <v>9.0118577075098821E-2</v>
      </c>
      <c r="K361" s="2">
        <v>0</v>
      </c>
      <c r="L361" s="4">
        <f t="shared" si="114"/>
        <v>0</v>
      </c>
      <c r="M361" s="2">
        <v>55685</v>
      </c>
      <c r="N361" s="2">
        <f t="shared" si="115"/>
        <v>0.26233836283374262</v>
      </c>
      <c r="O361" s="2">
        <v>0.57984758999999997</v>
      </c>
      <c r="P361" s="2">
        <f t="shared" si="116"/>
        <v>0.59238370067289903</v>
      </c>
      <c r="Q361" s="2">
        <v>0.23080000000000001</v>
      </c>
      <c r="R361" s="2">
        <f t="shared" si="117"/>
        <v>0.50897510133178925</v>
      </c>
      <c r="S361" s="2">
        <f t="shared" si="118"/>
        <v>2.0370774585905093E-2</v>
      </c>
      <c r="T361" s="5">
        <f t="shared" si="119"/>
        <v>5.3204699359423437E-2</v>
      </c>
      <c r="U361" s="2" t="str">
        <f t="shared" si="120"/>
        <v>No Impact</v>
      </c>
      <c r="V361" s="2">
        <f t="shared" si="121"/>
        <v>1.88280459377923E-2</v>
      </c>
      <c r="W361" s="2">
        <f t="shared" si="122"/>
        <v>4.5669954936523788E-2</v>
      </c>
      <c r="X361" s="2" t="s">
        <v>1176</v>
      </c>
      <c r="Y361" s="2">
        <f t="shared" si="124"/>
        <v>2.1913503234017889E-2</v>
      </c>
      <c r="Z361" s="2">
        <f t="shared" si="125"/>
        <v>5.6012662923399237E-2</v>
      </c>
      <c r="AA361" s="2" t="str">
        <f t="shared" si="126"/>
        <v>No Impact</v>
      </c>
      <c r="AB361" s="2">
        <f t="shared" si="127"/>
        <v>1.6560421333336059E-2</v>
      </c>
      <c r="AC361" s="2">
        <f t="shared" si="128"/>
        <v>6.0168955348777087E-2</v>
      </c>
      <c r="AD361" s="2" t="str">
        <f t="shared" si="129"/>
        <v>No Impact</v>
      </c>
      <c r="AE361" s="2">
        <f t="shared" si="130"/>
        <v>9.7044408140096825E-3</v>
      </c>
      <c r="AF361" s="2">
        <f t="shared" si="131"/>
        <v>7.3929552800512041E-2</v>
      </c>
      <c r="AG361" s="2" t="s">
        <v>1175</v>
      </c>
    </row>
    <row r="362" spans="1:33" x14ac:dyDescent="0.3">
      <c r="A362">
        <v>456152</v>
      </c>
      <c r="B362" t="s">
        <v>734</v>
      </c>
      <c r="C362" t="s">
        <v>720</v>
      </c>
      <c r="D362" t="s">
        <v>735</v>
      </c>
      <c r="E362" s="13">
        <v>5.3</v>
      </c>
      <c r="F362" s="14">
        <f t="shared" si="111"/>
        <v>0.46666666666666656</v>
      </c>
      <c r="G362" s="2">
        <v>48.774452400000001</v>
      </c>
      <c r="H362" s="2">
        <f t="shared" si="112"/>
        <v>0.17461156609542844</v>
      </c>
      <c r="I362" s="2">
        <v>8.9</v>
      </c>
      <c r="J362" s="4">
        <f t="shared" si="113"/>
        <v>7.0355731225296439E-2</v>
      </c>
      <c r="K362" s="2">
        <v>0</v>
      </c>
      <c r="L362" s="4">
        <f t="shared" si="114"/>
        <v>0</v>
      </c>
      <c r="M362" s="2">
        <v>87952</v>
      </c>
      <c r="N362" s="2">
        <f t="shared" si="115"/>
        <v>0.41500712078844398</v>
      </c>
      <c r="O362" s="2">
        <v>0.25703116199999998</v>
      </c>
      <c r="P362" s="2">
        <f t="shared" si="116"/>
        <v>0.21946934765472753</v>
      </c>
      <c r="Q362" s="2">
        <v>0.2293</v>
      </c>
      <c r="R362" s="2">
        <f t="shared" si="117"/>
        <v>0.5046323103647945</v>
      </c>
      <c r="S362" s="2">
        <f t="shared" si="118"/>
        <v>1.4486133468957342E-2</v>
      </c>
      <c r="T362" s="5">
        <f t="shared" si="119"/>
        <v>3.7835104052922924E-2</v>
      </c>
      <c r="U362" s="2" t="str">
        <f t="shared" si="120"/>
        <v>No Impact</v>
      </c>
      <c r="V362" s="2">
        <f t="shared" si="121"/>
        <v>2.0191007491093559E-2</v>
      </c>
      <c r="W362" s="2">
        <f t="shared" si="122"/>
        <v>4.8976001295511037E-2</v>
      </c>
      <c r="X362" s="2" t="s">
        <v>1176</v>
      </c>
      <c r="Y362" s="2">
        <f t="shared" si="124"/>
        <v>8.7812594468211214E-3</v>
      </c>
      <c r="Z362" s="2">
        <f t="shared" si="125"/>
        <v>2.2445599874426046E-2</v>
      </c>
      <c r="AA362" s="2" t="str">
        <f t="shared" si="126"/>
        <v>No Impact</v>
      </c>
      <c r="AB362" s="2">
        <f t="shared" si="127"/>
        <v>1.5512975164712653E-2</v>
      </c>
      <c r="AC362" s="2">
        <f t="shared" si="128"/>
        <v>5.6363270669530258E-2</v>
      </c>
      <c r="AD362" s="2" t="str">
        <f t="shared" si="129"/>
        <v>No Impact</v>
      </c>
      <c r="AE362" s="2">
        <f t="shared" si="130"/>
        <v>1.6604984882238782E-2</v>
      </c>
      <c r="AF362" s="2">
        <f t="shared" si="131"/>
        <v>0.12649869581676151</v>
      </c>
      <c r="AG362" s="2" t="s">
        <v>1175</v>
      </c>
    </row>
    <row r="363" spans="1:33" x14ac:dyDescent="0.3">
      <c r="A363">
        <v>456165</v>
      </c>
      <c r="B363" t="s">
        <v>736</v>
      </c>
      <c r="C363" t="s">
        <v>720</v>
      </c>
      <c r="D363" t="s">
        <v>737</v>
      </c>
      <c r="E363" s="13">
        <v>5.3</v>
      </c>
      <c r="F363" s="14">
        <f t="shared" si="111"/>
        <v>0.46666666666666656</v>
      </c>
      <c r="G363" s="2">
        <v>49.4037504</v>
      </c>
      <c r="H363" s="2">
        <f t="shared" si="112"/>
        <v>0.18141059178471192</v>
      </c>
      <c r="I363" s="2">
        <v>13.2</v>
      </c>
      <c r="J363" s="4">
        <f t="shared" si="113"/>
        <v>0.10434782608695652</v>
      </c>
      <c r="K363" s="2">
        <v>0</v>
      </c>
      <c r="L363" s="4">
        <f t="shared" si="114"/>
        <v>0</v>
      </c>
      <c r="M363" s="2">
        <v>36359</v>
      </c>
      <c r="N363" s="2">
        <f t="shared" si="115"/>
        <v>0.17089892265546267</v>
      </c>
      <c r="O363" s="2">
        <v>0.34999158899999999</v>
      </c>
      <c r="P363" s="2">
        <f t="shared" si="116"/>
        <v>0.32685631586378644</v>
      </c>
      <c r="Q363" s="2">
        <v>0.23230000000000001</v>
      </c>
      <c r="R363" s="2">
        <f t="shared" si="117"/>
        <v>0.51331789229878411</v>
      </c>
      <c r="S363" s="2">
        <f t="shared" si="118"/>
        <v>1.9607092950991292E-2</v>
      </c>
      <c r="T363" s="5">
        <f t="shared" si="119"/>
        <v>5.1210104032645073E-2</v>
      </c>
      <c r="U363" s="2" t="str">
        <f t="shared" si="120"/>
        <v>No Impact</v>
      </c>
      <c r="V363" s="2">
        <f t="shared" si="121"/>
        <v>2.3958535098858265E-2</v>
      </c>
      <c r="W363" s="2">
        <f t="shared" si="122"/>
        <v>5.8114645668762385E-2</v>
      </c>
      <c r="X363" s="2" t="s">
        <v>1176</v>
      </c>
      <c r="Y363" s="2">
        <f t="shared" si="124"/>
        <v>1.5255650803124323E-2</v>
      </c>
      <c r="Z363" s="2">
        <f t="shared" si="125"/>
        <v>3.8994660825658015E-2</v>
      </c>
      <c r="AA363" s="2" t="str">
        <f t="shared" si="126"/>
        <v>No Impact</v>
      </c>
      <c r="AB363" s="2">
        <f t="shared" si="127"/>
        <v>1.5753962754474552E-2</v>
      </c>
      <c r="AC363" s="2">
        <f t="shared" si="128"/>
        <v>5.7238850537706963E-2</v>
      </c>
      <c r="AD363" s="2" t="str">
        <f t="shared" si="129"/>
        <v>No Impact</v>
      </c>
      <c r="AE363" s="2">
        <f t="shared" si="130"/>
        <v>7.9765149398196115E-3</v>
      </c>
      <c r="AF363" s="2">
        <f t="shared" si="131"/>
        <v>6.0766013592061338E-2</v>
      </c>
      <c r="AG363" s="2" t="s">
        <v>1176</v>
      </c>
    </row>
    <row r="364" spans="1:33" x14ac:dyDescent="0.3">
      <c r="A364">
        <v>456172</v>
      </c>
      <c r="B364" t="s">
        <v>738</v>
      </c>
      <c r="C364" t="s">
        <v>720</v>
      </c>
      <c r="D364" t="s">
        <v>739</v>
      </c>
      <c r="E364" s="13">
        <v>5.4</v>
      </c>
      <c r="F364" s="14">
        <f t="shared" si="111"/>
        <v>0.48888888888888893</v>
      </c>
      <c r="G364" s="2">
        <v>44.281483199999997</v>
      </c>
      <c r="H364" s="2">
        <f t="shared" si="112"/>
        <v>0.12606888359531007</v>
      </c>
      <c r="I364" s="2">
        <v>12.3</v>
      </c>
      <c r="J364" s="4">
        <f t="shared" si="113"/>
        <v>9.7233201581027676E-2</v>
      </c>
      <c r="K364" s="2">
        <v>0</v>
      </c>
      <c r="L364" s="4">
        <f t="shared" si="114"/>
        <v>0</v>
      </c>
      <c r="M364" s="2">
        <v>50033</v>
      </c>
      <c r="N364" s="2">
        <f t="shared" si="115"/>
        <v>0.23559637194645924</v>
      </c>
      <c r="O364" s="2">
        <v>0.43192635800000001</v>
      </c>
      <c r="P364" s="2">
        <f t="shared" si="116"/>
        <v>0.42150655272015963</v>
      </c>
      <c r="Q364" s="2">
        <v>0.23019999999999999</v>
      </c>
      <c r="R364" s="2">
        <f t="shared" si="117"/>
        <v>0.50723798494499128</v>
      </c>
      <c r="S364" s="2">
        <f t="shared" si="118"/>
        <v>1.7743417303300743E-2</v>
      </c>
      <c r="T364" s="5">
        <f t="shared" si="119"/>
        <v>4.6342527587738436E-2</v>
      </c>
      <c r="U364" s="2" t="str">
        <f t="shared" si="120"/>
        <v>No Impact</v>
      </c>
      <c r="V364" s="2">
        <f t="shared" si="121"/>
        <v>1.9381293507449437E-2</v>
      </c>
      <c r="W364" s="2">
        <f t="shared" si="122"/>
        <v>4.7011931244551934E-2</v>
      </c>
      <c r="X364" s="2" t="s">
        <v>1176</v>
      </c>
      <c r="Y364" s="2">
        <f t="shared" si="124"/>
        <v>1.6105541099152049E-2</v>
      </c>
      <c r="Z364" s="2">
        <f t="shared" si="125"/>
        <v>4.1167048241987178E-2</v>
      </c>
      <c r="AA364" s="2" t="str">
        <f t="shared" si="126"/>
        <v>No Impact</v>
      </c>
      <c r="AB364" s="2">
        <f t="shared" si="127"/>
        <v>1.4765819261944202E-2</v>
      </c>
      <c r="AC364" s="2">
        <f t="shared" si="128"/>
        <v>5.3648630187421581E-2</v>
      </c>
      <c r="AD364" s="2" t="str">
        <f t="shared" si="129"/>
        <v>No Impact</v>
      </c>
      <c r="AE364" s="2">
        <f t="shared" si="130"/>
        <v>9.0020120131179514E-3</v>
      </c>
      <c r="AF364" s="2">
        <f t="shared" si="131"/>
        <v>6.8578368933312067E-2</v>
      </c>
      <c r="AG364" s="2" t="s">
        <v>1175</v>
      </c>
    </row>
    <row r="365" spans="1:33" x14ac:dyDescent="0.3">
      <c r="A365">
        <v>456181</v>
      </c>
      <c r="B365" t="s">
        <v>740</v>
      </c>
      <c r="C365" t="s">
        <v>720</v>
      </c>
      <c r="D365" t="s">
        <v>741</v>
      </c>
      <c r="E365" s="13">
        <v>5.4</v>
      </c>
      <c r="F365" s="14">
        <f t="shared" si="111"/>
        <v>0.48888888888888893</v>
      </c>
      <c r="G365" s="2">
        <v>54.603360000000002</v>
      </c>
      <c r="H365" s="2">
        <f t="shared" si="112"/>
        <v>0.23758791833690981</v>
      </c>
      <c r="I365" s="2">
        <v>9.5</v>
      </c>
      <c r="J365" s="4">
        <f t="shared" si="113"/>
        <v>7.5098814229249009E-2</v>
      </c>
      <c r="K365" s="2">
        <v>0</v>
      </c>
      <c r="L365" s="4">
        <f t="shared" si="114"/>
        <v>0</v>
      </c>
      <c r="M365" s="2">
        <v>71423</v>
      </c>
      <c r="N365" s="2">
        <f t="shared" si="115"/>
        <v>0.33680146484790846</v>
      </c>
      <c r="O365" s="2">
        <v>0.18965890399999999</v>
      </c>
      <c r="P365" s="2">
        <f t="shared" si="116"/>
        <v>0.14164157984532932</v>
      </c>
      <c r="Q365" s="2">
        <v>0.20830000000000001</v>
      </c>
      <c r="R365" s="2">
        <f t="shared" si="117"/>
        <v>0.44383323682686748</v>
      </c>
      <c r="S365" s="2">
        <f t="shared" si="118"/>
        <v>1.5662673301916671E-2</v>
      </c>
      <c r="T365" s="5">
        <f t="shared" si="119"/>
        <v>4.0908008710181257E-2</v>
      </c>
      <c r="U365" s="2" t="str">
        <f t="shared" si="120"/>
        <v>No Impact</v>
      </c>
      <c r="V365" s="2">
        <f t="shared" si="121"/>
        <v>2.3746930836287695E-2</v>
      </c>
      <c r="W365" s="2">
        <f t="shared" si="122"/>
        <v>5.7601371101241999E-2</v>
      </c>
      <c r="X365" s="2" t="s">
        <v>1176</v>
      </c>
      <c r="Y365" s="2">
        <f t="shared" si="124"/>
        <v>7.5784157675456527E-3</v>
      </c>
      <c r="Z365" s="2">
        <f t="shared" si="125"/>
        <v>1.9371035445484901E-2</v>
      </c>
      <c r="AA365" s="2" t="str">
        <f t="shared" si="126"/>
        <v>No Impact</v>
      </c>
      <c r="AB365" s="2">
        <f t="shared" si="127"/>
        <v>1.6892050013686499E-2</v>
      </c>
      <c r="AC365" s="2">
        <f t="shared" si="128"/>
        <v>6.1373861362865788E-2</v>
      </c>
      <c r="AD365" s="2" t="str">
        <f t="shared" si="129"/>
        <v>No Impact</v>
      </c>
      <c r="AE365" s="2">
        <f t="shared" si="130"/>
        <v>1.8020284259206033E-2</v>
      </c>
      <c r="AF365" s="2">
        <f t="shared" si="131"/>
        <v>0.13728061020249108</v>
      </c>
      <c r="AG365" s="2" t="s">
        <v>1175</v>
      </c>
    </row>
    <row r="366" spans="1:33" x14ac:dyDescent="0.3">
      <c r="A366">
        <v>456194</v>
      </c>
      <c r="B366" t="s">
        <v>742</v>
      </c>
      <c r="C366" t="s">
        <v>720</v>
      </c>
      <c r="D366" t="s">
        <v>743</v>
      </c>
      <c r="E366" s="13">
        <v>5.3</v>
      </c>
      <c r="F366" s="14">
        <f t="shared" si="111"/>
        <v>0.46666666666666656</v>
      </c>
      <c r="G366" s="2">
        <v>47.895544800000003</v>
      </c>
      <c r="H366" s="2">
        <f t="shared" si="112"/>
        <v>0.16511572255086535</v>
      </c>
      <c r="I366" s="2">
        <v>10.3</v>
      </c>
      <c r="J366" s="4">
        <f t="shared" si="113"/>
        <v>8.1422924901185773E-2</v>
      </c>
      <c r="K366" s="2">
        <v>0</v>
      </c>
      <c r="L366" s="4">
        <f t="shared" si="114"/>
        <v>0</v>
      </c>
      <c r="M366" s="2">
        <v>46016</v>
      </c>
      <c r="N366" s="2">
        <f t="shared" si="115"/>
        <v>0.21659025421924458</v>
      </c>
      <c r="O366" s="2">
        <v>0.46018296400000003</v>
      </c>
      <c r="P366" s="2">
        <f t="shared" si="116"/>
        <v>0.45414830521789612</v>
      </c>
      <c r="Q366" s="2">
        <v>0.22040000000000001</v>
      </c>
      <c r="R366" s="2">
        <f t="shared" si="117"/>
        <v>0.47886508396062544</v>
      </c>
      <c r="S366" s="2">
        <f t="shared" si="118"/>
        <v>1.8785281820189355E-2</v>
      </c>
      <c r="T366" s="5">
        <f t="shared" si="119"/>
        <v>4.9063685203053861E-2</v>
      </c>
      <c r="U366" s="2" t="str">
        <f t="shared" si="120"/>
        <v>No Impact</v>
      </c>
      <c r="V366" s="2">
        <f t="shared" si="121"/>
        <v>1.9282929184905359E-2</v>
      </c>
      <c r="W366" s="2">
        <f t="shared" si="122"/>
        <v>4.6773335365149882E-2</v>
      </c>
      <c r="X366" s="2" t="s">
        <v>1176</v>
      </c>
      <c r="Y366" s="2">
        <f t="shared" si="124"/>
        <v>1.8287634455473357E-2</v>
      </c>
      <c r="Z366" s="2">
        <f t="shared" si="125"/>
        <v>4.6744652987780452E-2</v>
      </c>
      <c r="AA366" s="2" t="str">
        <f t="shared" si="126"/>
        <v>No Impact</v>
      </c>
      <c r="AB366" s="2">
        <f t="shared" si="127"/>
        <v>1.5287893690690946E-2</v>
      </c>
      <c r="AC366" s="2">
        <f t="shared" si="128"/>
        <v>5.5545482469118522E-2</v>
      </c>
      <c r="AD366" s="2" t="str">
        <f t="shared" si="129"/>
        <v>No Impact</v>
      </c>
      <c r="AE366" s="2">
        <f t="shared" si="130"/>
        <v>8.7216518266630474E-3</v>
      </c>
      <c r="AF366" s="2">
        <f t="shared" si="131"/>
        <v>6.6442552598819399E-2</v>
      </c>
      <c r="AG366" s="2" t="s">
        <v>1175</v>
      </c>
    </row>
    <row r="367" spans="1:33" x14ac:dyDescent="0.3">
      <c r="A367">
        <v>457204</v>
      </c>
      <c r="B367" t="s">
        <v>744</v>
      </c>
      <c r="C367" t="s">
        <v>745</v>
      </c>
      <c r="D367" t="s">
        <v>746</v>
      </c>
      <c r="E367" s="13">
        <v>5.7</v>
      </c>
      <c r="F367" s="14">
        <f t="shared" si="111"/>
        <v>0.55555555555555558</v>
      </c>
      <c r="G367" s="2">
        <v>40.980311999999998</v>
      </c>
      <c r="H367" s="2">
        <f t="shared" si="112"/>
        <v>9.0402557318215962E-2</v>
      </c>
      <c r="I367" s="2">
        <v>11.8</v>
      </c>
      <c r="J367" s="4">
        <f t="shared" si="113"/>
        <v>9.3280632411067196E-2</v>
      </c>
      <c r="K367" s="2">
        <v>0</v>
      </c>
      <c r="L367" s="4">
        <f t="shared" si="114"/>
        <v>0</v>
      </c>
      <c r="M367" s="2">
        <v>26281</v>
      </c>
      <c r="N367" s="2">
        <f t="shared" si="115"/>
        <v>0.12321566289572422</v>
      </c>
      <c r="O367" s="2">
        <v>0.24351576999999999</v>
      </c>
      <c r="P367" s="2">
        <f t="shared" si="116"/>
        <v>0.20385650014664791</v>
      </c>
      <c r="Q367" s="2">
        <v>0.1845</v>
      </c>
      <c r="R367" s="2">
        <f t="shared" si="117"/>
        <v>0.37492762015055009</v>
      </c>
      <c r="S367" s="2">
        <f t="shared" si="118"/>
        <v>1.0335977689804517E-2</v>
      </c>
      <c r="T367" s="5">
        <f t="shared" si="119"/>
        <v>2.6995663972064113E-2</v>
      </c>
      <c r="U367" s="2" t="str">
        <f t="shared" si="120"/>
        <v>No Impact</v>
      </c>
      <c r="V367" s="2">
        <f t="shared" si="121"/>
        <v>1.3390980786334298E-2</v>
      </c>
      <c r="W367" s="2">
        <f t="shared" si="122"/>
        <v>3.2481622951651509E-2</v>
      </c>
      <c r="X367" s="2" t="s">
        <v>1176</v>
      </c>
      <c r="Y367" s="2">
        <f t="shared" si="124"/>
        <v>7.2809745932747383E-3</v>
      </c>
      <c r="Z367" s="2">
        <f t="shared" si="125"/>
        <v>1.861075206878986E-2</v>
      </c>
      <c r="AA367" s="2" t="str">
        <f t="shared" si="126"/>
        <v>No Impact</v>
      </c>
      <c r="AB367" s="2">
        <f t="shared" si="127"/>
        <v>8.4114129494208718E-3</v>
      </c>
      <c r="AC367" s="2">
        <f t="shared" si="128"/>
        <v>3.0561174742277885E-2</v>
      </c>
      <c r="AD367" s="2" t="str">
        <f t="shared" si="129"/>
        <v>No Impact</v>
      </c>
      <c r="AE367" s="2">
        <f t="shared" si="130"/>
        <v>4.400792274918415E-3</v>
      </c>
      <c r="AF367" s="2">
        <f t="shared" si="131"/>
        <v>3.3525744665574286E-2</v>
      </c>
      <c r="AG367" s="2" t="s">
        <v>1176</v>
      </c>
    </row>
    <row r="368" spans="1:33" x14ac:dyDescent="0.3">
      <c r="A368">
        <v>457209</v>
      </c>
      <c r="B368" t="s">
        <v>747</v>
      </c>
      <c r="C368" t="s">
        <v>745</v>
      </c>
      <c r="D368" t="s">
        <v>748</v>
      </c>
      <c r="E368" s="13">
        <v>5.5</v>
      </c>
      <c r="F368" s="14">
        <f t="shared" si="111"/>
        <v>0.51111111111111107</v>
      </c>
      <c r="G368" s="2">
        <v>52.5291408</v>
      </c>
      <c r="H368" s="2">
        <f t="shared" si="112"/>
        <v>0.21517775713187651</v>
      </c>
      <c r="I368" s="2">
        <v>8.9</v>
      </c>
      <c r="J368" s="4">
        <f t="shared" si="113"/>
        <v>7.0355731225296439E-2</v>
      </c>
      <c r="K368" s="2">
        <v>0</v>
      </c>
      <c r="L368" s="4">
        <f t="shared" si="114"/>
        <v>0</v>
      </c>
      <c r="M368" s="2">
        <v>31977</v>
      </c>
      <c r="N368" s="2">
        <f t="shared" si="115"/>
        <v>0.15016583630229993</v>
      </c>
      <c r="O368" s="2">
        <v>0.39021097500000002</v>
      </c>
      <c r="P368" s="2">
        <f t="shared" si="116"/>
        <v>0.37331735380383241</v>
      </c>
      <c r="Q368" s="2">
        <v>0.18640000000000001</v>
      </c>
      <c r="R368" s="2">
        <f t="shared" si="117"/>
        <v>0.38042848870874357</v>
      </c>
      <c r="S368" s="2">
        <f t="shared" si="118"/>
        <v>1.9250204688511369E-2</v>
      </c>
      <c r="T368" s="5">
        <f t="shared" si="119"/>
        <v>5.027797783243227E-2</v>
      </c>
      <c r="U368" s="2" t="str">
        <f t="shared" si="120"/>
        <v>No Impact</v>
      </c>
      <c r="V368" s="2">
        <f t="shared" si="121"/>
        <v>1.943181869520471E-2</v>
      </c>
      <c r="W368" s="2">
        <f t="shared" si="122"/>
        <v>4.7134486875421253E-2</v>
      </c>
      <c r="X368" s="2" t="s">
        <v>1176</v>
      </c>
      <c r="Y368" s="2">
        <f t="shared" si="124"/>
        <v>1.9068590681818029E-2</v>
      </c>
      <c r="Z368" s="2">
        <f t="shared" si="125"/>
        <v>4.8740839421187773E-2</v>
      </c>
      <c r="AA368" s="2" t="str">
        <f t="shared" si="126"/>
        <v>No Impact</v>
      </c>
      <c r="AB368" s="2">
        <f t="shared" si="127"/>
        <v>1.5206313842619518E-2</v>
      </c>
      <c r="AC368" s="2">
        <f t="shared" si="128"/>
        <v>5.5249078522795682E-2</v>
      </c>
      <c r="AD368" s="2" t="str">
        <f t="shared" si="129"/>
        <v>No Impact</v>
      </c>
      <c r="AE368" s="2">
        <f t="shared" si="130"/>
        <v>7.6702859850070332E-3</v>
      </c>
      <c r="AF368" s="2">
        <f t="shared" si="131"/>
        <v>5.8433125987535056E-2</v>
      </c>
      <c r="AG368" s="2" t="s">
        <v>1176</v>
      </c>
    </row>
    <row r="369" spans="1:33" x14ac:dyDescent="0.3">
      <c r="A369">
        <v>457218</v>
      </c>
      <c r="B369" t="s">
        <v>749</v>
      </c>
      <c r="C369" t="s">
        <v>745</v>
      </c>
      <c r="D369" t="s">
        <v>1148</v>
      </c>
      <c r="E369" s="13">
        <v>5.7</v>
      </c>
      <c r="F369" s="14">
        <f t="shared" si="111"/>
        <v>0.55555555555555558</v>
      </c>
      <c r="G369" s="2">
        <v>54.603360000000002</v>
      </c>
      <c r="H369" s="2">
        <f t="shared" si="112"/>
        <v>0.23758791833690981</v>
      </c>
      <c r="I369" s="2">
        <v>9.5</v>
      </c>
      <c r="J369" s="4">
        <f t="shared" si="113"/>
        <v>7.5098814229249009E-2</v>
      </c>
      <c r="K369" s="2">
        <v>0</v>
      </c>
      <c r="L369" s="4">
        <f t="shared" si="114"/>
        <v>0</v>
      </c>
      <c r="M369" s="2">
        <v>33559</v>
      </c>
      <c r="N369" s="2">
        <f t="shared" si="115"/>
        <v>0.15765094415503919</v>
      </c>
      <c r="O369" s="2">
        <v>0.67750976500000004</v>
      </c>
      <c r="P369" s="2">
        <f t="shared" si="116"/>
        <v>0.70520208178847343</v>
      </c>
      <c r="Q369" s="2">
        <v>0.20039999999999999</v>
      </c>
      <c r="R369" s="2">
        <f t="shared" si="117"/>
        <v>0.42096120440069484</v>
      </c>
      <c r="S369" s="2">
        <f t="shared" si="118"/>
        <v>3.4235475389739076E-2</v>
      </c>
      <c r="T369" s="5">
        <f t="shared" si="119"/>
        <v>8.9416736111661066E-2</v>
      </c>
      <c r="U369" s="2" t="str">
        <f t="shared" si="120"/>
        <v>No Impact</v>
      </c>
      <c r="V369" s="2">
        <f t="shared" si="121"/>
        <v>2.559452457744937E-2</v>
      </c>
      <c r="W369" s="2">
        <f t="shared" si="122"/>
        <v>6.2082957941355217E-2</v>
      </c>
      <c r="X369" s="2" t="s">
        <v>1176</v>
      </c>
      <c r="Y369" s="2">
        <f t="shared" si="124"/>
        <v>4.2876426202028778E-2</v>
      </c>
      <c r="Z369" s="2">
        <f t="shared" si="125"/>
        <v>0.10959556683232788</v>
      </c>
      <c r="AA369" s="2" t="str">
        <f t="shared" si="126"/>
        <v>No Impact</v>
      </c>
      <c r="AB369" s="2">
        <f t="shared" si="127"/>
        <v>2.5175834479489036E-2</v>
      </c>
      <c r="AC369" s="2">
        <f t="shared" si="128"/>
        <v>9.1471323716582315E-2</v>
      </c>
      <c r="AD369" s="2" t="str">
        <f t="shared" si="129"/>
        <v>No Impact</v>
      </c>
      <c r="AE369" s="2">
        <f t="shared" si="130"/>
        <v>9.5852086193517847E-3</v>
      </c>
      <c r="AF369" s="2">
        <f t="shared" si="131"/>
        <v>7.3021228147971878E-2</v>
      </c>
      <c r="AG369" s="2" t="s">
        <v>1175</v>
      </c>
    </row>
    <row r="370" spans="1:33" x14ac:dyDescent="0.3">
      <c r="A370">
        <v>457238</v>
      </c>
      <c r="B370" t="s">
        <v>750</v>
      </c>
      <c r="C370" t="s">
        <v>745</v>
      </c>
      <c r="D370" t="s">
        <v>751</v>
      </c>
      <c r="E370" s="13">
        <v>5.7</v>
      </c>
      <c r="F370" s="14">
        <f t="shared" si="111"/>
        <v>0.55555555555555558</v>
      </c>
      <c r="G370" s="2">
        <v>43.145937000000004</v>
      </c>
      <c r="H370" s="2">
        <f t="shared" si="112"/>
        <v>0.11380027987311775</v>
      </c>
      <c r="I370" s="2">
        <v>12.5</v>
      </c>
      <c r="J370" s="4">
        <f t="shared" si="113"/>
        <v>9.8814229249011856E-2</v>
      </c>
      <c r="K370" s="2">
        <v>0</v>
      </c>
      <c r="L370" s="4">
        <f t="shared" si="114"/>
        <v>0</v>
      </c>
      <c r="M370" s="2">
        <v>1928</v>
      </c>
      <c r="N370" s="2">
        <f t="shared" si="115"/>
        <v>7.9913698882911523E-3</v>
      </c>
      <c r="O370" s="2">
        <v>0.46773857499999999</v>
      </c>
      <c r="P370" s="2">
        <f t="shared" si="116"/>
        <v>0.46287647250844671</v>
      </c>
      <c r="Q370" s="2">
        <v>0.15609999999999999</v>
      </c>
      <c r="R370" s="2">
        <f t="shared" si="117"/>
        <v>0.29270411117544876</v>
      </c>
      <c r="S370" s="2">
        <f t="shared" si="118"/>
        <v>1.561849672659924E-2</v>
      </c>
      <c r="T370" s="5">
        <f t="shared" si="119"/>
        <v>4.0792627657851556E-2</v>
      </c>
      <c r="U370" s="2" t="str">
        <f t="shared" si="120"/>
        <v>No Impact</v>
      </c>
      <c r="V370" s="2">
        <f t="shared" si="121"/>
        <v>1.2100888511366138E-2</v>
      </c>
      <c r="W370" s="2">
        <f t="shared" si="122"/>
        <v>2.935233081711883E-2</v>
      </c>
      <c r="X370" s="2" t="s">
        <v>1176</v>
      </c>
      <c r="Y370" s="2">
        <f t="shared" si="124"/>
        <v>1.9136104941832339E-2</v>
      </c>
      <c r="Z370" s="2">
        <f t="shared" si="125"/>
        <v>4.891341125729811E-2</v>
      </c>
      <c r="AA370" s="2" t="str">
        <f t="shared" si="126"/>
        <v>No Impact</v>
      </c>
      <c r="AB370" s="2">
        <f t="shared" si="127"/>
        <v>1.0091774375575915E-2</v>
      </c>
      <c r="AC370" s="2">
        <f t="shared" si="128"/>
        <v>3.6666429529280502E-2</v>
      </c>
      <c r="AD370" s="2" t="str">
        <f t="shared" si="129"/>
        <v>No Impact</v>
      </c>
      <c r="AE370" s="2">
        <f t="shared" si="130"/>
        <v>3.3037689728018717E-4</v>
      </c>
      <c r="AF370" s="2">
        <f t="shared" si="131"/>
        <v>2.5168494238518805E-3</v>
      </c>
      <c r="AG370" s="2" t="s">
        <v>1176</v>
      </c>
    </row>
    <row r="371" spans="1:33" x14ac:dyDescent="0.3">
      <c r="A371">
        <v>457240</v>
      </c>
      <c r="B371" t="s">
        <v>752</v>
      </c>
      <c r="C371" t="s">
        <v>745</v>
      </c>
      <c r="D371" t="s">
        <v>753</v>
      </c>
      <c r="E371" s="13">
        <v>5.7</v>
      </c>
      <c r="F371" s="14">
        <f t="shared" si="111"/>
        <v>0.55555555555555558</v>
      </c>
      <c r="G371" s="2">
        <v>52.5291408</v>
      </c>
      <c r="H371" s="2">
        <f t="shared" si="112"/>
        <v>0.21517775713187651</v>
      </c>
      <c r="I371" s="2">
        <v>9.1</v>
      </c>
      <c r="J371" s="4">
        <f t="shared" si="113"/>
        <v>7.1936758893280633E-2</v>
      </c>
      <c r="K371" s="2">
        <v>0</v>
      </c>
      <c r="L371" s="4">
        <f t="shared" si="114"/>
        <v>0</v>
      </c>
      <c r="M371" s="2">
        <v>27627</v>
      </c>
      <c r="N371" s="2">
        <f t="shared" si="115"/>
        <v>0.12958415541771348</v>
      </c>
      <c r="O371" s="2">
        <v>0.36442624499999998</v>
      </c>
      <c r="P371" s="2">
        <f t="shared" si="116"/>
        <v>0.3435310880760602</v>
      </c>
      <c r="Q371" s="2">
        <v>0.19570000000000001</v>
      </c>
      <c r="R371" s="2">
        <f t="shared" si="117"/>
        <v>0.40735379270411126</v>
      </c>
      <c r="S371" s="2">
        <f t="shared" si="118"/>
        <v>2.096013394375899E-2</v>
      </c>
      <c r="T371" s="5">
        <f t="shared" si="119"/>
        <v>5.4743997107628638E-2</v>
      </c>
      <c r="U371" s="2" t="str">
        <f t="shared" si="120"/>
        <v>No Impact</v>
      </c>
      <c r="V371" s="2">
        <f t="shared" si="121"/>
        <v>2.2741675258410324E-2</v>
      </c>
      <c r="W371" s="2">
        <f t="shared" si="122"/>
        <v>5.5162988642805534E-2</v>
      </c>
      <c r="X371" s="2" t="s">
        <v>1176</v>
      </c>
      <c r="Y371" s="2">
        <f t="shared" si="124"/>
        <v>1.9178592629107656E-2</v>
      </c>
      <c r="Z371" s="2">
        <f t="shared" si="125"/>
        <v>4.902201317641311E-2</v>
      </c>
      <c r="AA371" s="2" t="str">
        <f t="shared" si="126"/>
        <v>No Impact</v>
      </c>
      <c r="AB371" s="2">
        <f t="shared" si="127"/>
        <v>1.6245204561532844E-2</v>
      </c>
      <c r="AC371" s="2">
        <f t="shared" si="128"/>
        <v>5.9023678698741963E-2</v>
      </c>
      <c r="AD371" s="2" t="str">
        <f t="shared" si="129"/>
        <v>No Impact</v>
      </c>
      <c r="AE371" s="2">
        <f t="shared" si="130"/>
        <v>7.234401235305523E-3</v>
      </c>
      <c r="AF371" s="2">
        <f t="shared" si="131"/>
        <v>5.5112505538031674E-2</v>
      </c>
      <c r="AG371" s="2" t="s">
        <v>1176</v>
      </c>
    </row>
    <row r="372" spans="1:33" x14ac:dyDescent="0.3">
      <c r="A372">
        <v>457247</v>
      </c>
      <c r="B372" t="s">
        <v>754</v>
      </c>
      <c r="C372" t="s">
        <v>745</v>
      </c>
      <c r="D372" t="s">
        <v>755</v>
      </c>
      <c r="E372" s="13">
        <v>5.7</v>
      </c>
      <c r="F372" s="14">
        <f t="shared" si="111"/>
        <v>0.55555555555555558</v>
      </c>
      <c r="G372" s="2">
        <v>40.980311999999998</v>
      </c>
      <c r="H372" s="2">
        <f t="shared" si="112"/>
        <v>9.0402557318215962E-2</v>
      </c>
      <c r="I372" s="2">
        <v>12.6</v>
      </c>
      <c r="J372" s="4">
        <f t="shared" si="113"/>
        <v>9.9604743083003947E-2</v>
      </c>
      <c r="K372" s="2">
        <v>0</v>
      </c>
      <c r="L372" s="4">
        <f t="shared" si="114"/>
        <v>0</v>
      </c>
      <c r="M372" s="2">
        <v>54514</v>
      </c>
      <c r="N372" s="2">
        <f t="shared" si="115"/>
        <v>0.25679786896802981</v>
      </c>
      <c r="O372" s="2">
        <v>0.42756501099999999</v>
      </c>
      <c r="P372" s="2">
        <f t="shared" si="116"/>
        <v>0.41646836769076345</v>
      </c>
      <c r="Q372" s="2">
        <v>0.21210000000000001</v>
      </c>
      <c r="R372" s="2">
        <f t="shared" si="117"/>
        <v>0.45483497394325428</v>
      </c>
      <c r="S372" s="2">
        <f t="shared" si="118"/>
        <v>1.6095527366959593E-2</v>
      </c>
      <c r="T372" s="5">
        <f t="shared" si="119"/>
        <v>4.2038543550670222E-2</v>
      </c>
      <c r="U372" s="2" t="str">
        <f t="shared" si="120"/>
        <v>No Impact</v>
      </c>
      <c r="V372" s="2">
        <f t="shared" si="121"/>
        <v>1.680427107469774E-2</v>
      </c>
      <c r="W372" s="2">
        <f t="shared" si="122"/>
        <v>4.076101711554269E-2</v>
      </c>
      <c r="X372" s="2" t="s">
        <v>1176</v>
      </c>
      <c r="Y372" s="2">
        <f t="shared" si="124"/>
        <v>1.5386783659221451E-2</v>
      </c>
      <c r="Z372" s="2">
        <f t="shared" si="125"/>
        <v>3.9329846870002974E-2</v>
      </c>
      <c r="AA372" s="2" t="str">
        <f t="shared" si="126"/>
        <v>No Impact</v>
      </c>
      <c r="AB372" s="2">
        <f t="shared" si="127"/>
        <v>1.3818196670769917E-2</v>
      </c>
      <c r="AC372" s="2">
        <f t="shared" si="128"/>
        <v>5.020563437057711E-2</v>
      </c>
      <c r="AD372" s="2" t="str">
        <f t="shared" si="129"/>
        <v>No Impact</v>
      </c>
      <c r="AE372" s="2">
        <f t="shared" si="130"/>
        <v>9.4876191338836343E-3</v>
      </c>
      <c r="AF372" s="2">
        <f t="shared" si="131"/>
        <v>7.2277780157823185E-2</v>
      </c>
      <c r="AG372" s="2" t="s">
        <v>1175</v>
      </c>
    </row>
    <row r="373" spans="1:33" x14ac:dyDescent="0.3">
      <c r="A373">
        <v>457256</v>
      </c>
      <c r="B373" t="s">
        <v>756</v>
      </c>
      <c r="C373" t="s">
        <v>745</v>
      </c>
      <c r="D373" t="s">
        <v>757</v>
      </c>
      <c r="E373" s="13">
        <v>5.8</v>
      </c>
      <c r="F373" s="14">
        <f t="shared" si="111"/>
        <v>0.57777777777777772</v>
      </c>
      <c r="G373" s="2">
        <v>40.980311999999998</v>
      </c>
      <c r="H373" s="2">
        <f t="shared" si="112"/>
        <v>9.0402557318215962E-2</v>
      </c>
      <c r="I373" s="2">
        <v>12.3</v>
      </c>
      <c r="J373" s="4">
        <f t="shared" si="113"/>
        <v>9.7233201581027676E-2</v>
      </c>
      <c r="K373" s="2">
        <v>0</v>
      </c>
      <c r="L373" s="4">
        <f t="shared" si="114"/>
        <v>0</v>
      </c>
      <c r="M373" s="2">
        <v>20648</v>
      </c>
      <c r="N373" s="2">
        <f t="shared" si="115"/>
        <v>9.6563569005408009E-2</v>
      </c>
      <c r="O373" s="2">
        <v>0.25438529300000001</v>
      </c>
      <c r="P373" s="2">
        <f t="shared" si="116"/>
        <v>0.21641286588761677</v>
      </c>
      <c r="Q373" s="2">
        <v>0.1691</v>
      </c>
      <c r="R373" s="2">
        <f t="shared" si="117"/>
        <v>0.3303416328894036</v>
      </c>
      <c r="S373" s="2">
        <f t="shared" si="118"/>
        <v>1.0373059192415291E-2</v>
      </c>
      <c r="T373" s="5">
        <f t="shared" si="119"/>
        <v>2.7092514005423521E-2</v>
      </c>
      <c r="U373" s="2" t="str">
        <f t="shared" si="120"/>
        <v>No Impact</v>
      </c>
      <c r="V373" s="2">
        <f t="shared" si="121"/>
        <v>1.2534522603273091E-2</v>
      </c>
      <c r="W373" s="2">
        <f t="shared" si="122"/>
        <v>3.0404168565006391E-2</v>
      </c>
      <c r="X373" s="2" t="s">
        <v>1176</v>
      </c>
      <c r="Y373" s="2">
        <f t="shared" si="124"/>
        <v>8.2115957815574927E-3</v>
      </c>
      <c r="Z373" s="2">
        <f t="shared" si="125"/>
        <v>2.0989494087899584E-2</v>
      </c>
      <c r="AA373" s="2" t="str">
        <f t="shared" si="126"/>
        <v>No Impact</v>
      </c>
      <c r="AB373" s="2">
        <f t="shared" si="127"/>
        <v>8.1329685275957683E-3</v>
      </c>
      <c r="AC373" s="2">
        <f t="shared" si="128"/>
        <v>2.9549503019277362E-2</v>
      </c>
      <c r="AD373" s="2" t="str">
        <f t="shared" si="129"/>
        <v>No Impact</v>
      </c>
      <c r="AE373" s="2">
        <f t="shared" si="130"/>
        <v>3.6640196628083964E-3</v>
      </c>
      <c r="AF373" s="2">
        <f t="shared" si="131"/>
        <v>2.7912925671374742E-2</v>
      </c>
      <c r="AG373" s="2" t="s">
        <v>1176</v>
      </c>
    </row>
    <row r="374" spans="1:33" x14ac:dyDescent="0.3">
      <c r="A374">
        <v>457263</v>
      </c>
      <c r="B374" t="s">
        <v>758</v>
      </c>
      <c r="C374" t="s">
        <v>745</v>
      </c>
      <c r="D374" t="s">
        <v>1149</v>
      </c>
      <c r="E374" s="13">
        <v>5.8</v>
      </c>
      <c r="F374" s="14">
        <f t="shared" si="111"/>
        <v>0.57777777777777772</v>
      </c>
      <c r="G374" s="2">
        <v>49.006483199999998</v>
      </c>
      <c r="H374" s="2">
        <f t="shared" si="112"/>
        <v>0.17711846007873203</v>
      </c>
      <c r="I374" s="2">
        <v>11.6</v>
      </c>
      <c r="J374" s="4">
        <f t="shared" si="113"/>
        <v>9.1699604743083002E-2</v>
      </c>
      <c r="K374" s="2">
        <v>0</v>
      </c>
      <c r="L374" s="4">
        <f t="shared" si="114"/>
        <v>0</v>
      </c>
      <c r="M374" s="2">
        <v>14378</v>
      </c>
      <c r="N374" s="2">
        <f t="shared" si="115"/>
        <v>6.6897560006245471E-2</v>
      </c>
      <c r="O374" s="2">
        <v>0.27473238</v>
      </c>
      <c r="P374" s="2">
        <f t="shared" si="116"/>
        <v>0.23991762006453071</v>
      </c>
      <c r="Q374" s="2">
        <v>0.17399999999999999</v>
      </c>
      <c r="R374" s="2">
        <f t="shared" si="117"/>
        <v>0.34452808338158658</v>
      </c>
      <c r="S374" s="2">
        <f t="shared" si="118"/>
        <v>1.5885522480485192E-2</v>
      </c>
      <c r="T374" s="5">
        <f t="shared" si="119"/>
        <v>4.1490049589296203E-2</v>
      </c>
      <c r="U374" s="2" t="str">
        <f t="shared" si="120"/>
        <v>No Impact</v>
      </c>
      <c r="V374" s="2">
        <f t="shared" si="121"/>
        <v>1.8728886469506753E-2</v>
      </c>
      <c r="W374" s="2">
        <f t="shared" si="122"/>
        <v>4.5429430324299393E-2</v>
      </c>
      <c r="X374" s="2" t="s">
        <v>1176</v>
      </c>
      <c r="Y374" s="2">
        <f t="shared" si="124"/>
        <v>1.3042158491463637E-2</v>
      </c>
      <c r="Z374" s="2">
        <f t="shared" si="125"/>
        <v>3.3336797844438409E-2</v>
      </c>
      <c r="AA374" s="2" t="str">
        <f t="shared" si="126"/>
        <v>No Impact</v>
      </c>
      <c r="AB374" s="2">
        <f t="shared" si="127"/>
        <v>1.1740573885136316E-2</v>
      </c>
      <c r="AC374" s="2">
        <f t="shared" si="128"/>
        <v>4.26570104494726E-2</v>
      </c>
      <c r="AD374" s="2" t="str">
        <f t="shared" si="129"/>
        <v>No Impact</v>
      </c>
      <c r="AE374" s="2">
        <f t="shared" si="130"/>
        <v>3.63661735248532E-3</v>
      </c>
      <c r="AF374" s="2">
        <f t="shared" si="131"/>
        <v>2.7704171701237554E-2</v>
      </c>
      <c r="AG374" s="2" t="s">
        <v>1176</v>
      </c>
    </row>
    <row r="375" spans="1:33" x14ac:dyDescent="0.3">
      <c r="A375">
        <v>457274</v>
      </c>
      <c r="B375" t="s">
        <v>759</v>
      </c>
      <c r="C375" t="s">
        <v>745</v>
      </c>
      <c r="D375" t="s">
        <v>760</v>
      </c>
      <c r="E375" s="13">
        <v>5.8</v>
      </c>
      <c r="F375" s="14">
        <f t="shared" si="111"/>
        <v>0.57777777777777772</v>
      </c>
      <c r="G375" s="2">
        <v>52.5291408</v>
      </c>
      <c r="H375" s="2">
        <f t="shared" si="112"/>
        <v>0.21517775713187651</v>
      </c>
      <c r="I375" s="2">
        <v>6.5</v>
      </c>
      <c r="J375" s="4">
        <f t="shared" si="113"/>
        <v>5.1383399209486168E-2</v>
      </c>
      <c r="K375" s="2">
        <v>0</v>
      </c>
      <c r="L375" s="4">
        <f t="shared" si="114"/>
        <v>0</v>
      </c>
      <c r="M375" s="2">
        <v>65362</v>
      </c>
      <c r="N375" s="2">
        <f t="shared" si="115"/>
        <v>0.30812432281538471</v>
      </c>
      <c r="O375" s="2">
        <v>0.54663404500000001</v>
      </c>
      <c r="P375" s="2">
        <f t="shared" si="116"/>
        <v>0.55401574114292451</v>
      </c>
      <c r="Q375" s="2">
        <v>0.19600000000000001</v>
      </c>
      <c r="R375" s="2">
        <f t="shared" si="117"/>
        <v>0.40822235089751019</v>
      </c>
      <c r="S375" s="2">
        <f t="shared" si="118"/>
        <v>2.5934524625100482E-2</v>
      </c>
      <c r="T375" s="5">
        <f t="shared" si="119"/>
        <v>6.7736186461106407E-2</v>
      </c>
      <c r="U375" s="2" t="str">
        <f t="shared" si="120"/>
        <v>No Impact</v>
      </c>
      <c r="V375" s="2">
        <f t="shared" si="121"/>
        <v>2.2005058206369582E-2</v>
      </c>
      <c r="W375" s="2">
        <f t="shared" si="122"/>
        <v>5.3376225019892878E-2</v>
      </c>
      <c r="X375" s="2" t="s">
        <v>1176</v>
      </c>
      <c r="Y375" s="2">
        <f t="shared" si="124"/>
        <v>2.9863991043831386E-2</v>
      </c>
      <c r="Z375" s="2">
        <f t="shared" si="125"/>
        <v>7.6334744199585317E-2</v>
      </c>
      <c r="AA375" s="2" t="str">
        <f t="shared" si="126"/>
        <v>No Impact</v>
      </c>
      <c r="AB375" s="2">
        <f t="shared" si="127"/>
        <v>2.2474227971605875E-2</v>
      </c>
      <c r="AC375" s="2">
        <f t="shared" si="128"/>
        <v>8.1655580622198035E-2</v>
      </c>
      <c r="AD375" s="2" t="str">
        <f t="shared" si="129"/>
        <v>No Impact</v>
      </c>
      <c r="AE375" s="2">
        <f t="shared" si="130"/>
        <v>1.6609315103506023E-2</v>
      </c>
      <c r="AF375" s="2">
        <f t="shared" si="131"/>
        <v>0.12653168394332645</v>
      </c>
      <c r="AG375" s="2" t="s">
        <v>1175</v>
      </c>
    </row>
    <row r="376" spans="1:33" x14ac:dyDescent="0.3">
      <c r="A376">
        <v>457283</v>
      </c>
      <c r="B376" t="s">
        <v>761</v>
      </c>
      <c r="C376" t="s">
        <v>745</v>
      </c>
      <c r="D376" t="s">
        <v>762</v>
      </c>
      <c r="E376" s="13">
        <v>5.3</v>
      </c>
      <c r="F376" s="14">
        <f t="shared" si="111"/>
        <v>0.46666666666666656</v>
      </c>
      <c r="G376" s="2">
        <v>54.603360000000002</v>
      </c>
      <c r="H376" s="2">
        <f t="shared" si="112"/>
        <v>0.23758791833690981</v>
      </c>
      <c r="I376" s="2">
        <v>8.4</v>
      </c>
      <c r="J376" s="4">
        <f t="shared" si="113"/>
        <v>6.6403162055335974E-2</v>
      </c>
      <c r="K376" s="2">
        <v>0</v>
      </c>
      <c r="L376" s="4">
        <f t="shared" si="114"/>
        <v>0</v>
      </c>
      <c r="M376" s="2">
        <v>51043</v>
      </c>
      <c r="N376" s="2">
        <f t="shared" si="115"/>
        <v>0.24037510704839771</v>
      </c>
      <c r="O376" s="2">
        <v>0.39175342299999999</v>
      </c>
      <c r="P376" s="2">
        <f t="shared" si="116"/>
        <v>0.3750991745170712</v>
      </c>
      <c r="Q376" s="2">
        <v>0.1948</v>
      </c>
      <c r="R376" s="2">
        <f t="shared" si="117"/>
        <v>0.40474811812391437</v>
      </c>
      <c r="S376" s="2">
        <f t="shared" si="118"/>
        <v>1.9360440717523582E-2</v>
      </c>
      <c r="T376" s="5">
        <f t="shared" si="119"/>
        <v>5.056589397216657E-2</v>
      </c>
      <c r="U376" s="2" t="str">
        <f t="shared" si="120"/>
        <v>No Impact</v>
      </c>
      <c r="V376" s="2">
        <f t="shared" si="121"/>
        <v>2.0096503560152114E-2</v>
      </c>
      <c r="W376" s="2">
        <f t="shared" si="122"/>
        <v>4.8746769314577908E-2</v>
      </c>
      <c r="X376" s="2" t="s">
        <v>1176</v>
      </c>
      <c r="Y376" s="2">
        <f t="shared" si="124"/>
        <v>1.8624377874895053E-2</v>
      </c>
      <c r="Z376" s="2">
        <f t="shared" si="125"/>
        <v>4.7605396039327758E-2</v>
      </c>
      <c r="AA376" s="2" t="str">
        <f t="shared" si="126"/>
        <v>No Impact</v>
      </c>
      <c r="AB376" s="2">
        <f t="shared" si="127"/>
        <v>1.6798365900593113E-2</v>
      </c>
      <c r="AC376" s="2">
        <f t="shared" si="128"/>
        <v>6.1033479007601754E-2</v>
      </c>
      <c r="AD376" s="2" t="str">
        <f t="shared" si="129"/>
        <v>No Impact</v>
      </c>
      <c r="AE376" s="2">
        <f t="shared" si="130"/>
        <v>1.1935075120203874E-2</v>
      </c>
      <c r="AF376" s="2">
        <f t="shared" si="131"/>
        <v>9.0922783000890753E-2</v>
      </c>
      <c r="AG376" s="2" t="s">
        <v>1175</v>
      </c>
    </row>
    <row r="377" spans="1:33" x14ac:dyDescent="0.3">
      <c r="A377">
        <v>458937</v>
      </c>
      <c r="B377" t="s">
        <v>763</v>
      </c>
      <c r="C377" t="s">
        <v>764</v>
      </c>
      <c r="D377" t="s">
        <v>765</v>
      </c>
      <c r="E377" s="13">
        <v>4.7</v>
      </c>
      <c r="F377" s="14">
        <f t="shared" si="111"/>
        <v>0.33333333333333331</v>
      </c>
      <c r="G377" s="2">
        <v>42.2597916</v>
      </c>
      <c r="H377" s="2">
        <f t="shared" si="112"/>
        <v>0.10422623810111083</v>
      </c>
      <c r="I377" s="2">
        <v>12</v>
      </c>
      <c r="J377" s="4">
        <f t="shared" si="113"/>
        <v>9.4861660079051377E-2</v>
      </c>
      <c r="K377" s="2">
        <v>0</v>
      </c>
      <c r="L377" s="4">
        <f t="shared" si="114"/>
        <v>0</v>
      </c>
      <c r="M377" s="2">
        <v>16994</v>
      </c>
      <c r="N377" s="2">
        <f t="shared" si="115"/>
        <v>7.9274957062355392E-2</v>
      </c>
      <c r="O377" s="2">
        <v>0.417449071</v>
      </c>
      <c r="P377" s="2">
        <f t="shared" si="116"/>
        <v>0.40478253359724375</v>
      </c>
      <c r="Q377" s="2">
        <v>0.2291</v>
      </c>
      <c r="R377" s="2">
        <f t="shared" si="117"/>
        <v>0.50405327156919522</v>
      </c>
      <c r="S377" s="2">
        <f t="shared" si="118"/>
        <v>1.0554728930751931E-2</v>
      </c>
      <c r="T377" s="5">
        <f t="shared" si="119"/>
        <v>2.7567001795278795E-2</v>
      </c>
      <c r="U377" s="2" t="str">
        <f t="shared" si="120"/>
        <v>No Impact</v>
      </c>
      <c r="V377" s="2">
        <f t="shared" si="121"/>
        <v>1.1707605747546982E-2</v>
      </c>
      <c r="W377" s="2">
        <f t="shared" si="122"/>
        <v>2.8398370636637221E-2</v>
      </c>
      <c r="X377" s="2" t="s">
        <v>1176</v>
      </c>
      <c r="Y377" s="2">
        <f t="shared" si="124"/>
        <v>9.4018521139568826E-3</v>
      </c>
      <c r="Z377" s="2">
        <f t="shared" si="125"/>
        <v>2.4031884253778345E-2</v>
      </c>
      <c r="AA377" s="2" t="str">
        <f t="shared" si="126"/>
        <v>No Impact</v>
      </c>
      <c r="AB377" s="2">
        <f t="shared" si="127"/>
        <v>7.5626772661730743E-3</v>
      </c>
      <c r="AC377" s="2">
        <f t="shared" si="128"/>
        <v>2.7477464587787322E-2</v>
      </c>
      <c r="AD377" s="2" t="str">
        <f t="shared" si="129"/>
        <v>No Impact</v>
      </c>
      <c r="AE377" s="2">
        <f t="shared" si="130"/>
        <v>1.8413132009844758E-3</v>
      </c>
      <c r="AF377" s="2">
        <f t="shared" si="131"/>
        <v>1.4027336981430513E-2</v>
      </c>
      <c r="AG377" s="2" t="s">
        <v>1176</v>
      </c>
    </row>
    <row r="378" spans="1:33" x14ac:dyDescent="0.3">
      <c r="A378">
        <v>458967</v>
      </c>
      <c r="B378" t="s">
        <v>766</v>
      </c>
      <c r="C378" t="s">
        <v>764</v>
      </c>
      <c r="D378" t="s">
        <v>767</v>
      </c>
      <c r="E378" s="13">
        <v>5.8</v>
      </c>
      <c r="F378" s="14">
        <f t="shared" si="111"/>
        <v>0.57777777777777772</v>
      </c>
      <c r="G378" s="2">
        <v>48.774452400000001</v>
      </c>
      <c r="H378" s="2">
        <f t="shared" si="112"/>
        <v>0.17461156609542844</v>
      </c>
      <c r="I378" s="2">
        <v>9.1</v>
      </c>
      <c r="J378" s="4">
        <f t="shared" si="113"/>
        <v>7.1936758893280633E-2</v>
      </c>
      <c r="K378" s="2">
        <v>0</v>
      </c>
      <c r="L378" s="4">
        <f t="shared" si="114"/>
        <v>0</v>
      </c>
      <c r="M378" s="2">
        <v>17930</v>
      </c>
      <c r="N378" s="2">
        <f t="shared" si="115"/>
        <v>8.3703567018211245E-2</v>
      </c>
      <c r="O378" s="2">
        <v>0.85863824200000005</v>
      </c>
      <c r="P378" s="2">
        <f t="shared" si="116"/>
        <v>0.91443991157333737</v>
      </c>
      <c r="Q378" s="2">
        <v>0.21820000000000001</v>
      </c>
      <c r="R378" s="2">
        <f t="shared" si="117"/>
        <v>0.47249565720903308</v>
      </c>
      <c r="S378" s="2">
        <f t="shared" si="118"/>
        <v>3.4574604847667313E-2</v>
      </c>
      <c r="T378" s="5">
        <f t="shared" si="119"/>
        <v>9.030247959563642E-2</v>
      </c>
      <c r="U378" s="2" t="str">
        <f t="shared" si="120"/>
        <v>No Impact</v>
      </c>
      <c r="V378" s="2">
        <f t="shared" si="121"/>
        <v>2.3557475931752659E-2</v>
      </c>
      <c r="W378" s="2">
        <f t="shared" si="122"/>
        <v>5.7141822777363571E-2</v>
      </c>
      <c r="X378" s="2" t="s">
        <v>1176</v>
      </c>
      <c r="Y378" s="2">
        <f t="shared" si="124"/>
        <v>4.5591733763581971E-2</v>
      </c>
      <c r="Z378" s="2">
        <f t="shared" si="125"/>
        <v>0.11653610963620661</v>
      </c>
      <c r="AA378" s="2" t="str">
        <f t="shared" si="126"/>
        <v>No Impact</v>
      </c>
      <c r="AB378" s="2">
        <f t="shared" si="127"/>
        <v>2.338327588222992E-2</v>
      </c>
      <c r="AC378" s="2">
        <f t="shared" si="128"/>
        <v>8.4958423106895789E-2</v>
      </c>
      <c r="AD378" s="2" t="str">
        <f t="shared" si="129"/>
        <v>No Impact</v>
      </c>
      <c r="AE378" s="2">
        <f t="shared" si="130"/>
        <v>4.1732547915482934E-3</v>
      </c>
      <c r="AF378" s="2">
        <f t="shared" si="131"/>
        <v>3.1792337794091019E-2</v>
      </c>
      <c r="AG378" s="2" t="s">
        <v>1176</v>
      </c>
    </row>
    <row r="379" spans="1:33" x14ac:dyDescent="0.3">
      <c r="A379">
        <v>458970</v>
      </c>
      <c r="B379" t="s">
        <v>768</v>
      </c>
      <c r="C379" t="s">
        <v>764</v>
      </c>
      <c r="D379" t="s">
        <v>769</v>
      </c>
      <c r="E379" s="13">
        <v>5.8</v>
      </c>
      <c r="F379" s="14">
        <f t="shared" si="111"/>
        <v>0.57777777777777772</v>
      </c>
      <c r="G379" s="2">
        <v>48.774452400000001</v>
      </c>
      <c r="H379" s="2">
        <f t="shared" si="112"/>
        <v>0.17461156609542844</v>
      </c>
      <c r="I379" s="2">
        <v>11.7</v>
      </c>
      <c r="J379" s="4">
        <f t="shared" si="113"/>
        <v>9.2490118577075092E-2</v>
      </c>
      <c r="K379" s="2">
        <v>0</v>
      </c>
      <c r="L379" s="4">
        <f t="shared" si="114"/>
        <v>0</v>
      </c>
      <c r="M379" s="2">
        <v>28699</v>
      </c>
      <c r="N379" s="2">
        <f t="shared" si="115"/>
        <v>0.13465623861501846</v>
      </c>
      <c r="O379" s="2">
        <v>0.61534026100000005</v>
      </c>
      <c r="P379" s="2">
        <f t="shared" si="116"/>
        <v>0.63338448407433057</v>
      </c>
      <c r="Q379" s="2">
        <v>0.20699999999999999</v>
      </c>
      <c r="R379" s="2">
        <f t="shared" si="117"/>
        <v>0.44006948465547191</v>
      </c>
      <c r="S379" s="2">
        <f t="shared" si="118"/>
        <v>2.8990715639351638E-2</v>
      </c>
      <c r="T379" s="5">
        <f t="shared" si="119"/>
        <v>7.5718392705277041E-2</v>
      </c>
      <c r="U379" s="2" t="str">
        <f t="shared" si="120"/>
        <v>No Impact</v>
      </c>
      <c r="V379" s="2">
        <f t="shared" si="121"/>
        <v>2.3769867479830585E-2</v>
      </c>
      <c r="W379" s="2">
        <f t="shared" si="122"/>
        <v>5.7657007011652453E-2</v>
      </c>
      <c r="X379" s="2" t="s">
        <v>1176</v>
      </c>
      <c r="Y379" s="2">
        <f t="shared" si="124"/>
        <v>3.4211563798872691E-2</v>
      </c>
      <c r="Z379" s="2">
        <f t="shared" si="125"/>
        <v>8.7447487089779646E-2</v>
      </c>
      <c r="AA379" s="2" t="str">
        <f t="shared" si="126"/>
        <v>No Impact</v>
      </c>
      <c r="AB379" s="2">
        <f t="shared" si="127"/>
        <v>2.1128580592526137E-2</v>
      </c>
      <c r="AC379" s="2">
        <f t="shared" si="128"/>
        <v>7.6766441907830718E-2</v>
      </c>
      <c r="AD379" s="2" t="str">
        <f t="shared" si="129"/>
        <v>No Impact</v>
      </c>
      <c r="AE379" s="2">
        <f t="shared" si="130"/>
        <v>7.273308099781774E-3</v>
      </c>
      <c r="AF379" s="2">
        <f t="shared" si="131"/>
        <v>5.5408902532637166E-2</v>
      </c>
      <c r="AG379" s="2" t="s">
        <v>1176</v>
      </c>
    </row>
    <row r="380" spans="1:33" x14ac:dyDescent="0.3">
      <c r="A380">
        <v>458988</v>
      </c>
      <c r="B380" t="s">
        <v>770</v>
      </c>
      <c r="C380" t="s">
        <v>764</v>
      </c>
      <c r="D380" t="s">
        <v>771</v>
      </c>
      <c r="E380" s="13">
        <v>5.8</v>
      </c>
      <c r="F380" s="14">
        <f t="shared" si="111"/>
        <v>0.57777777777777772</v>
      </c>
      <c r="G380" s="2">
        <v>48.774452400000001</v>
      </c>
      <c r="H380" s="2">
        <f t="shared" si="112"/>
        <v>0.17461156609542844</v>
      </c>
      <c r="I380" s="2">
        <v>9.1</v>
      </c>
      <c r="J380" s="4">
        <f t="shared" si="113"/>
        <v>7.1936758893280633E-2</v>
      </c>
      <c r="K380" s="2">
        <v>0</v>
      </c>
      <c r="L380" s="4">
        <f t="shared" si="114"/>
        <v>0</v>
      </c>
      <c r="M380" s="2">
        <v>54612</v>
      </c>
      <c r="N380" s="2">
        <f t="shared" si="115"/>
        <v>0.25726154821554459</v>
      </c>
      <c r="O380" s="2">
        <v>0.69571266600000004</v>
      </c>
      <c r="P380" s="2">
        <f t="shared" si="116"/>
        <v>0.72622989345073752</v>
      </c>
      <c r="Q380" s="2">
        <v>0.22919999999999999</v>
      </c>
      <c r="R380" s="2">
        <f t="shared" si="117"/>
        <v>0.50434279096699475</v>
      </c>
      <c r="S380" s="2">
        <f t="shared" si="118"/>
        <v>3.0676669672138501E-2</v>
      </c>
      <c r="T380" s="5">
        <f t="shared" si="119"/>
        <v>8.0121793129250024E-2</v>
      </c>
      <c r="U380" s="2" t="str">
        <f t="shared" si="120"/>
        <v>No Impact</v>
      </c>
      <c r="V380" s="2">
        <f t="shared" si="121"/>
        <v>2.514529600068206E-2</v>
      </c>
      <c r="W380" s="2">
        <f t="shared" si="122"/>
        <v>6.0993293675347615E-2</v>
      </c>
      <c r="X380" s="2" t="s">
        <v>1176</v>
      </c>
      <c r="Y380" s="2">
        <f t="shared" si="124"/>
        <v>3.6208043343594939E-2</v>
      </c>
      <c r="Z380" s="2">
        <f t="shared" si="125"/>
        <v>9.2550648121484974E-2</v>
      </c>
      <c r="AA380" s="2" t="str">
        <f t="shared" si="126"/>
        <v>No Impact</v>
      </c>
      <c r="AB380" s="2">
        <f t="shared" si="127"/>
        <v>2.4152517294250407E-2</v>
      </c>
      <c r="AC380" s="2">
        <f t="shared" si="128"/>
        <v>8.7753306838454018E-2</v>
      </c>
      <c r="AD380" s="2" t="str">
        <f t="shared" si="129"/>
        <v>No Impact</v>
      </c>
      <c r="AE380" s="2">
        <f t="shared" si="130"/>
        <v>1.2826430545523447E-2</v>
      </c>
      <c r="AF380" s="2">
        <f t="shared" si="131"/>
        <v>9.7713231749370341E-2</v>
      </c>
      <c r="AG380" s="2" t="s">
        <v>1175</v>
      </c>
    </row>
    <row r="381" spans="1:33" x14ac:dyDescent="0.3">
      <c r="A381">
        <v>458990</v>
      </c>
      <c r="B381" t="s">
        <v>772</v>
      </c>
      <c r="C381" t="s">
        <v>764</v>
      </c>
      <c r="D381" t="s">
        <v>773</v>
      </c>
      <c r="E381" s="13">
        <v>5.8</v>
      </c>
      <c r="F381" s="14">
        <f t="shared" si="111"/>
        <v>0.57777777777777772</v>
      </c>
      <c r="G381" s="2">
        <v>42.2597916</v>
      </c>
      <c r="H381" s="2">
        <f t="shared" si="112"/>
        <v>0.10422623810111083</v>
      </c>
      <c r="I381" s="2">
        <v>8.3000000000000007</v>
      </c>
      <c r="J381" s="4">
        <f t="shared" si="113"/>
        <v>6.5612648221343883E-2</v>
      </c>
      <c r="K381" s="2">
        <v>0</v>
      </c>
      <c r="L381" s="4">
        <f t="shared" si="114"/>
        <v>0</v>
      </c>
      <c r="M381" s="2">
        <v>22103</v>
      </c>
      <c r="N381" s="2">
        <f t="shared" si="115"/>
        <v>0.1034477864047352</v>
      </c>
      <c r="O381" s="2">
        <v>0.70139331699999996</v>
      </c>
      <c r="P381" s="2">
        <f t="shared" si="116"/>
        <v>0.73279212544590422</v>
      </c>
      <c r="Q381" s="2">
        <v>0.24909999999999999</v>
      </c>
      <c r="R381" s="2">
        <f t="shared" si="117"/>
        <v>0.5619571511291257</v>
      </c>
      <c r="S381" s="2">
        <f t="shared" si="118"/>
        <v>2.2234209492475478E-2</v>
      </c>
      <c r="T381" s="5">
        <f t="shared" si="119"/>
        <v>5.8071647033005366E-2</v>
      </c>
      <c r="U381" s="2" t="str">
        <f t="shared" si="120"/>
        <v>No Impact</v>
      </c>
      <c r="V381" s="2">
        <f t="shared" si="121"/>
        <v>1.930052906776137E-2</v>
      </c>
      <c r="W381" s="2">
        <f t="shared" si="122"/>
        <v>4.6816026245530024E-2</v>
      </c>
      <c r="X381" s="2" t="s">
        <v>1176</v>
      </c>
      <c r="Y381" s="2">
        <f t="shared" si="124"/>
        <v>2.516788991718959E-2</v>
      </c>
      <c r="Z381" s="2">
        <f t="shared" si="125"/>
        <v>6.4331134979657173E-2</v>
      </c>
      <c r="AA381" s="2" t="str">
        <f t="shared" si="126"/>
        <v>No Impact</v>
      </c>
      <c r="AB381" s="2">
        <f t="shared" si="127"/>
        <v>1.5549079260452873E-2</v>
      </c>
      <c r="AC381" s="2">
        <f t="shared" si="128"/>
        <v>5.649444762938987E-2</v>
      </c>
      <c r="AD381" s="2" t="str">
        <f t="shared" si="129"/>
        <v>No Impact</v>
      </c>
      <c r="AE381" s="2">
        <f t="shared" si="130"/>
        <v>3.5529346045129083E-3</v>
      </c>
      <c r="AF381" s="2">
        <f t="shared" si="131"/>
        <v>2.7066666846162636E-2</v>
      </c>
      <c r="AG381" s="2" t="s">
        <v>1176</v>
      </c>
    </row>
    <row r="382" spans="1:33" x14ac:dyDescent="0.3">
      <c r="A382">
        <v>501006</v>
      </c>
      <c r="B382" t="s">
        <v>774</v>
      </c>
      <c r="C382" t="s">
        <v>1158</v>
      </c>
      <c r="D382" t="s">
        <v>775</v>
      </c>
      <c r="E382" s="13">
        <v>6.2</v>
      </c>
      <c r="F382" s="14">
        <f t="shared" si="111"/>
        <v>0.66666666666666663</v>
      </c>
      <c r="G382" s="2">
        <v>46.447110000000002</v>
      </c>
      <c r="H382" s="2">
        <f t="shared" si="112"/>
        <v>0.14946662559766957</v>
      </c>
      <c r="I382" s="2">
        <v>21</v>
      </c>
      <c r="J382" s="4">
        <f t="shared" si="113"/>
        <v>0.16600790513833993</v>
      </c>
      <c r="K382" s="2">
        <v>0</v>
      </c>
      <c r="L382" s="4">
        <f t="shared" si="114"/>
        <v>0</v>
      </c>
      <c r="M382" s="2">
        <v>21874</v>
      </c>
      <c r="N382" s="2">
        <f t="shared" si="115"/>
        <v>0.10236429102023628</v>
      </c>
      <c r="O382" s="2">
        <v>0.76440728400000002</v>
      </c>
      <c r="P382" s="2">
        <f t="shared" si="116"/>
        <v>0.80558523848695873</v>
      </c>
      <c r="Q382" s="2">
        <v>0.2336</v>
      </c>
      <c r="R382" s="2">
        <f t="shared" si="117"/>
        <v>0.51708164447017957</v>
      </c>
      <c r="S382" s="2">
        <f t="shared" si="118"/>
        <v>4.8681233325779082E-2</v>
      </c>
      <c r="T382" s="5">
        <f t="shared" si="119"/>
        <v>0.12714638673269391</v>
      </c>
      <c r="U382" s="2" t="str">
        <f t="shared" si="120"/>
        <v>No Impact</v>
      </c>
      <c r="V382" s="2">
        <f t="shared" si="121"/>
        <v>3.806275413300126E-2</v>
      </c>
      <c r="W382" s="2">
        <f t="shared" si="122"/>
        <v>9.2326323812761055E-2</v>
      </c>
      <c r="X382" s="2" t="s">
        <v>1176</v>
      </c>
      <c r="Y382" s="2">
        <f t="shared" si="124"/>
        <v>5.9299712518556889E-2</v>
      </c>
      <c r="Z382" s="2">
        <f t="shared" si="125"/>
        <v>0.15157479720541214</v>
      </c>
      <c r="AA382" s="2" t="str">
        <f t="shared" si="126"/>
        <v>Low</v>
      </c>
      <c r="AB382" s="2">
        <f t="shared" si="127"/>
        <v>3.3749166047139068E-2</v>
      </c>
      <c r="AC382" s="2">
        <f t="shared" si="128"/>
        <v>0.12262079714488182</v>
      </c>
      <c r="AD382" s="2" t="str">
        <f t="shared" si="129"/>
        <v>No Impact</v>
      </c>
      <c r="AE382" s="2">
        <f t="shared" si="130"/>
        <v>7.5351095572044474E-3</v>
      </c>
      <c r="AF382" s="2">
        <f t="shared" si="131"/>
        <v>5.7403336322355288E-2</v>
      </c>
      <c r="AG382" s="2" t="s">
        <v>1176</v>
      </c>
    </row>
    <row r="383" spans="1:33" x14ac:dyDescent="0.3">
      <c r="A383">
        <v>501020</v>
      </c>
      <c r="B383" t="s">
        <v>776</v>
      </c>
      <c r="C383" t="s">
        <v>1158</v>
      </c>
      <c r="D383" t="s">
        <v>777</v>
      </c>
      <c r="E383" s="13">
        <v>6.1</v>
      </c>
      <c r="F383" s="14">
        <f t="shared" si="111"/>
        <v>0.64444444444444438</v>
      </c>
      <c r="G383" s="2">
        <v>46.447110000000002</v>
      </c>
      <c r="H383" s="2">
        <f t="shared" si="112"/>
        <v>0.14946662559766957</v>
      </c>
      <c r="I383" s="2">
        <v>20.3</v>
      </c>
      <c r="J383" s="4">
        <f t="shared" si="113"/>
        <v>0.16047430830039527</v>
      </c>
      <c r="K383" s="2">
        <v>0</v>
      </c>
      <c r="L383" s="4">
        <f t="shared" si="114"/>
        <v>0</v>
      </c>
      <c r="M383" s="2">
        <v>69668</v>
      </c>
      <c r="N383" s="2">
        <f t="shared" si="115"/>
        <v>0.32849782118067877</v>
      </c>
      <c r="O383" s="2">
        <v>0.87982179100000002</v>
      </c>
      <c r="P383" s="2">
        <f t="shared" si="116"/>
        <v>0.93891093840089301</v>
      </c>
      <c r="Q383" s="2">
        <v>0.26250000000000001</v>
      </c>
      <c r="R383" s="2">
        <f t="shared" si="117"/>
        <v>0.60075275043427923</v>
      </c>
      <c r="S383" s="2">
        <f t="shared" si="118"/>
        <v>5.3818097070067822E-2</v>
      </c>
      <c r="T383" s="5">
        <f t="shared" si="119"/>
        <v>0.14056292570683332</v>
      </c>
      <c r="U383" s="2" t="str">
        <f t="shared" si="120"/>
        <v>No Impact</v>
      </c>
      <c r="V383" s="2">
        <f t="shared" si="121"/>
        <v>4.1997963675356229E-2</v>
      </c>
      <c r="W383" s="2">
        <f t="shared" si="122"/>
        <v>0.10187170324613007</v>
      </c>
      <c r="X383" s="2" t="s">
        <v>1176</v>
      </c>
      <c r="Y383" s="2">
        <f t="shared" si="124"/>
        <v>6.5638230464779415E-2</v>
      </c>
      <c r="Z383" s="2">
        <f t="shared" si="125"/>
        <v>0.16777655487802973</v>
      </c>
      <c r="AA383" s="2" t="str">
        <f t="shared" si="126"/>
        <v>Low</v>
      </c>
      <c r="AB383" s="2">
        <f t="shared" si="127"/>
        <v>4.2428478838219125E-2</v>
      </c>
      <c r="AC383" s="2">
        <f t="shared" si="128"/>
        <v>0.15415533200199494</v>
      </c>
      <c r="AD383" s="2" t="str">
        <f t="shared" si="129"/>
        <v>Low</v>
      </c>
      <c r="AE383" s="2">
        <f t="shared" si="130"/>
        <v>2.2964921178316076E-2</v>
      </c>
      <c r="AF383" s="2">
        <f t="shared" si="131"/>
        <v>0.17494942628337015</v>
      </c>
      <c r="AG383" s="2" t="s">
        <v>1175</v>
      </c>
    </row>
    <row r="384" spans="1:33" x14ac:dyDescent="0.3">
      <c r="A384">
        <v>501027</v>
      </c>
      <c r="B384" t="s">
        <v>778</v>
      </c>
      <c r="C384" t="s">
        <v>1158</v>
      </c>
      <c r="D384" t="s">
        <v>779</v>
      </c>
      <c r="E384" s="13">
        <v>4.8</v>
      </c>
      <c r="F384" s="14">
        <f t="shared" si="111"/>
        <v>0.35555555555555546</v>
      </c>
      <c r="G384" s="2">
        <v>54.160390800000002</v>
      </c>
      <c r="H384" s="2">
        <f t="shared" si="112"/>
        <v>0.23280201567972456</v>
      </c>
      <c r="I384" s="2">
        <v>22.5</v>
      </c>
      <c r="J384" s="4">
        <f t="shared" si="113"/>
        <v>0.17786561264822134</v>
      </c>
      <c r="K384" s="2">
        <v>0</v>
      </c>
      <c r="L384" s="4">
        <f t="shared" si="114"/>
        <v>0</v>
      </c>
      <c r="M384" s="2">
        <v>18408</v>
      </c>
      <c r="N384" s="2">
        <f t="shared" si="115"/>
        <v>8.5965186205069238E-2</v>
      </c>
      <c r="O384" s="2">
        <v>0.847729446</v>
      </c>
      <c r="P384" s="2">
        <f t="shared" si="116"/>
        <v>0.9018381780501995</v>
      </c>
      <c r="Q384" s="2">
        <v>0.2495</v>
      </c>
      <c r="R384" s="2">
        <f t="shared" si="117"/>
        <v>0.56311522872032427</v>
      </c>
      <c r="S384" s="2">
        <f t="shared" si="118"/>
        <v>3.7433445228317937E-2</v>
      </c>
      <c r="T384" s="5">
        <f t="shared" si="119"/>
        <v>9.7769242448843746E-2</v>
      </c>
      <c r="U384" s="2" t="str">
        <f t="shared" si="120"/>
        <v>No Impact</v>
      </c>
      <c r="V384" s="2">
        <f t="shared" si="121"/>
        <v>2.8778175434266137E-2</v>
      </c>
      <c r="W384" s="2">
        <f t="shared" si="122"/>
        <v>6.9805330812381675E-2</v>
      </c>
      <c r="X384" s="2" t="s">
        <v>1176</v>
      </c>
      <c r="Y384" s="2">
        <f t="shared" si="124"/>
        <v>4.608871502236974E-2</v>
      </c>
      <c r="Z384" s="2">
        <f t="shared" si="125"/>
        <v>0.11780643339185844</v>
      </c>
      <c r="AA384" s="2" t="str">
        <f t="shared" si="126"/>
        <v>No Impact</v>
      </c>
      <c r="AB384" s="2">
        <f t="shared" si="127"/>
        <v>2.5436622875586463E-2</v>
      </c>
      <c r="AC384" s="2">
        <f t="shared" si="128"/>
        <v>9.2418845826341606E-2</v>
      </c>
      <c r="AD384" s="2" t="str">
        <f t="shared" si="129"/>
        <v>No Impact</v>
      </c>
      <c r="AE384" s="2">
        <f t="shared" si="130"/>
        <v>4.3932770482354166E-3</v>
      </c>
      <c r="AF384" s="2">
        <f t="shared" si="131"/>
        <v>3.3468492799287826E-2</v>
      </c>
      <c r="AG384" s="2" t="s">
        <v>1176</v>
      </c>
    </row>
    <row r="385" spans="1:33" x14ac:dyDescent="0.3">
      <c r="A385">
        <v>501033</v>
      </c>
      <c r="B385" t="s">
        <v>780</v>
      </c>
      <c r="C385" t="s">
        <v>1158</v>
      </c>
      <c r="D385" t="s">
        <v>781</v>
      </c>
      <c r="E385" s="13">
        <v>6.1</v>
      </c>
      <c r="F385" s="14">
        <f t="shared" si="111"/>
        <v>0.64444444444444438</v>
      </c>
      <c r="G385" s="2">
        <v>48.693592799999998</v>
      </c>
      <c r="H385" s="2">
        <f t="shared" si="112"/>
        <v>0.17373794740027096</v>
      </c>
      <c r="I385" s="2">
        <v>17.899999999999999</v>
      </c>
      <c r="J385" s="4">
        <f t="shared" si="113"/>
        <v>0.14150197628458497</v>
      </c>
      <c r="K385" s="2">
        <v>0</v>
      </c>
      <c r="L385" s="4">
        <f t="shared" si="114"/>
        <v>0</v>
      </c>
      <c r="M385" s="2">
        <v>19139</v>
      </c>
      <c r="N385" s="2">
        <f t="shared" si="115"/>
        <v>8.9423854877858366E-2</v>
      </c>
      <c r="O385" s="2">
        <v>0.66511355699999997</v>
      </c>
      <c r="P385" s="2">
        <f t="shared" si="116"/>
        <v>0.69088210459636268</v>
      </c>
      <c r="Q385" s="2">
        <v>0.25</v>
      </c>
      <c r="R385" s="2">
        <f t="shared" si="117"/>
        <v>0.56456282570932259</v>
      </c>
      <c r="S385" s="2">
        <f t="shared" si="118"/>
        <v>4.4633651053378326E-2</v>
      </c>
      <c r="T385" s="5">
        <f t="shared" si="119"/>
        <v>0.11657484969921167</v>
      </c>
      <c r="U385" s="2" t="str">
        <f t="shared" si="120"/>
        <v>No Impact</v>
      </c>
      <c r="V385" s="2">
        <f t="shared" si="121"/>
        <v>4.0142740716287144E-2</v>
      </c>
      <c r="W385" s="2">
        <f t="shared" si="122"/>
        <v>9.7371610713010606E-2</v>
      </c>
      <c r="X385" s="2" t="s">
        <v>1176</v>
      </c>
      <c r="Y385" s="2">
        <f t="shared" si="124"/>
        <v>4.9124561390469522E-2</v>
      </c>
      <c r="Z385" s="2">
        <f t="shared" si="125"/>
        <v>0.12556629896367741</v>
      </c>
      <c r="AA385" s="2" t="str">
        <f t="shared" si="126"/>
        <v>No Impact</v>
      </c>
      <c r="AB385" s="2">
        <f t="shared" si="127"/>
        <v>3.1012769124238896E-2</v>
      </c>
      <c r="AC385" s="2">
        <f t="shared" si="128"/>
        <v>0.11267865008494685</v>
      </c>
      <c r="AD385" s="2" t="str">
        <f t="shared" si="129"/>
        <v>No Impact</v>
      </c>
      <c r="AE385" s="2">
        <f t="shared" si="130"/>
        <v>6.3584041611358276E-3</v>
      </c>
      <c r="AF385" s="2">
        <f t="shared" si="131"/>
        <v>4.8439058485376184E-2</v>
      </c>
      <c r="AG385" s="2" t="s">
        <v>1176</v>
      </c>
    </row>
    <row r="386" spans="1:33" x14ac:dyDescent="0.3">
      <c r="A386">
        <v>501040</v>
      </c>
      <c r="B386" t="s">
        <v>782</v>
      </c>
      <c r="C386" t="s">
        <v>1158</v>
      </c>
      <c r="D386" t="s">
        <v>783</v>
      </c>
      <c r="E386" s="13">
        <v>6.1</v>
      </c>
      <c r="F386" s="14">
        <f t="shared" ref="F386:F449" si="133">(E386-$AJ$5)/$AK$5</f>
        <v>0.64444444444444438</v>
      </c>
      <c r="G386" s="2">
        <v>45.114687000000004</v>
      </c>
      <c r="H386" s="2">
        <f t="shared" ref="H386:H449" si="134">(G386-$AJ$6)/$AK$6</f>
        <v>0.13507093674121021</v>
      </c>
      <c r="I386" s="2">
        <v>19.3</v>
      </c>
      <c r="J386" s="4">
        <f t="shared" ref="J386:J449" si="135">(I386-$AJ$7)/$AK$7</f>
        <v>0.15256916996047432</v>
      </c>
      <c r="K386" s="2">
        <v>0</v>
      </c>
      <c r="L386" s="4">
        <f t="shared" ref="L386:L449" si="136">(K386-$AJ$8)/$AK$8</f>
        <v>0</v>
      </c>
      <c r="M386" s="2">
        <v>26980</v>
      </c>
      <c r="N386" s="2">
        <f t="shared" ref="N386:N449" si="137">(M386-$AJ$9)/$AK$9</f>
        <v>0.12652292609993707</v>
      </c>
      <c r="O386" s="2">
        <v>0.87153118100000004</v>
      </c>
      <c r="P386" s="2">
        <f t="shared" ref="P386:P449" si="138">(O386-$AJ$11)/$AK$11</f>
        <v>0.9293337075163608</v>
      </c>
      <c r="Q386" s="2">
        <v>0.24379999999999999</v>
      </c>
      <c r="R386" s="2">
        <f t="shared" ref="R386:R449" si="139">(Q386-$AJ$12)/$AK$12</f>
        <v>0.54661262304574409</v>
      </c>
      <c r="S386" s="2">
        <f t="shared" ref="S386:S449" si="140">F386*(R386*0.5+P386*0.5)*(H386*0.35+J386*0.35+L386*0.3)</f>
        <v>4.7878831156552906E-2</v>
      </c>
      <c r="T386" s="5">
        <f t="shared" ref="T386:T449" si="141">(S386-$AJ$10)/$AK$10</f>
        <v>0.12505066052459149</v>
      </c>
      <c r="U386" s="2" t="str">
        <f t="shared" ref="U386:U449" si="142">IF(T386&gt;0.7,"High",IF(T386&gt;0.3,"Moderate",IF(T386&gt;0.15,"Low","No Impact")))</f>
        <v>No Impact</v>
      </c>
      <c r="V386" s="2">
        <f t="shared" ref="V386:V449" si="143">F386*(R386*1)*(H386*0.35+J386*0.35+L386*0.3)</f>
        <v>3.5463584203472433E-2</v>
      </c>
      <c r="W386" s="2">
        <f t="shared" ref="W386:W449" si="144">(V386-$AJ$13)/$AK$13</f>
        <v>8.6021687954842163E-2</v>
      </c>
      <c r="X386" s="2" t="s">
        <v>1176</v>
      </c>
      <c r="Y386" s="2">
        <f t="shared" ref="Y386:Y449" si="145">F386*(P386*1)*(H386*0.35+J386*0.35+L386*0.3)</f>
        <v>6.029407810963338E-2</v>
      </c>
      <c r="Z386" s="2">
        <f t="shared" ref="Z386:Z449" si="146">(Y386-$AJ$14)/$AK$14</f>
        <v>0.15411647500474876</v>
      </c>
      <c r="AA386" s="2" t="str">
        <f t="shared" ref="AA386:AA449" si="147">IF(Z386&gt;0.7,"High",IF(Z386&gt;0.3,"Moderate",IF(Z386&gt;0.15,"Low","No Impact")))</f>
        <v>Low</v>
      </c>
      <c r="AB386" s="2">
        <f t="shared" ref="AB386:AB449" si="148">F386*(R386*0.35+P386*0.3+N386*0.35)*(H386*0.35+J386*0.35+L386*0.3)</f>
        <v>3.3373508436120303E-2</v>
      </c>
      <c r="AC386" s="2">
        <f t="shared" ref="AC386:AC449" si="149">(AB386-$AJ$15)/$AK$15</f>
        <v>0.12125592087942613</v>
      </c>
      <c r="AD386" s="2" t="str">
        <f t="shared" ref="AD386:AD449" si="150">IF(AC386&gt;0.7,"High",IF(AC386&gt;0.3,"Moderate",IF(AC386&gt;0.15,"Low","No Impact")))</f>
        <v>No Impact</v>
      </c>
      <c r="AE386" s="2">
        <f t="shared" ref="AE386:AE449" si="151">F386*(N386*1)*(H386*0.35+J386*0.35+L386*0.3)</f>
        <v>8.2086586628998155E-3</v>
      </c>
      <c r="AF386" s="2">
        <f t="shared" ref="AF386:AF449" si="152">(AE386-$AJ$16)/$AK$16</f>
        <v>6.2534511330538889E-2</v>
      </c>
      <c r="AG386" s="2" t="s">
        <v>1175</v>
      </c>
    </row>
    <row r="387" spans="1:33" x14ac:dyDescent="0.3">
      <c r="A387">
        <v>501054</v>
      </c>
      <c r="B387" t="s">
        <v>784</v>
      </c>
      <c r="C387" t="s">
        <v>1158</v>
      </c>
      <c r="D387" t="s">
        <v>785</v>
      </c>
      <c r="E387" s="13">
        <v>5.9</v>
      </c>
      <c r="F387" s="14">
        <f t="shared" si="133"/>
        <v>0.60000000000000009</v>
      </c>
      <c r="G387" s="2">
        <v>46.447110000000002</v>
      </c>
      <c r="H387" s="2">
        <f t="shared" si="134"/>
        <v>0.14946662559766957</v>
      </c>
      <c r="I387" s="2">
        <v>20.100000000000001</v>
      </c>
      <c r="J387" s="4">
        <f t="shared" si="135"/>
        <v>0.15889328063241107</v>
      </c>
      <c r="K387" s="2">
        <v>0</v>
      </c>
      <c r="L387" s="4">
        <f t="shared" si="136"/>
        <v>0</v>
      </c>
      <c r="M387" s="2">
        <v>34433</v>
      </c>
      <c r="N387" s="2">
        <f t="shared" si="137"/>
        <v>0.16178620601552851</v>
      </c>
      <c r="O387" s="2">
        <v>0.85363144800000001</v>
      </c>
      <c r="P387" s="2">
        <f t="shared" si="138"/>
        <v>0.90865611253692258</v>
      </c>
      <c r="Q387" s="2">
        <v>0.25059999999999999</v>
      </c>
      <c r="R387" s="2">
        <f t="shared" si="139"/>
        <v>0.56629994209612045</v>
      </c>
      <c r="S387" s="2">
        <f t="shared" si="140"/>
        <v>4.7755817623514163E-2</v>
      </c>
      <c r="T387" s="5">
        <f t="shared" si="141"/>
        <v>0.12472937190520852</v>
      </c>
      <c r="U387" s="2" t="str">
        <f t="shared" si="142"/>
        <v>No Impact</v>
      </c>
      <c r="V387" s="2">
        <f t="shared" si="143"/>
        <v>3.6671081379000561E-2</v>
      </c>
      <c r="W387" s="2">
        <f t="shared" si="144"/>
        <v>8.8950634579178678E-2</v>
      </c>
      <c r="X387" s="2" t="s">
        <v>1176</v>
      </c>
      <c r="Y387" s="2">
        <f t="shared" si="145"/>
        <v>5.8840553868027758E-2</v>
      </c>
      <c r="Z387" s="2">
        <f t="shared" si="146"/>
        <v>0.15040115105464397</v>
      </c>
      <c r="AA387" s="2" t="str">
        <f t="shared" si="147"/>
        <v>Low</v>
      </c>
      <c r="AB387" s="2">
        <f t="shared" si="148"/>
        <v>3.4153840522804291E-2</v>
      </c>
      <c r="AC387" s="2">
        <f t="shared" si="149"/>
        <v>0.12409110034351339</v>
      </c>
      <c r="AD387" s="2" t="str">
        <f t="shared" si="150"/>
        <v>No Impact</v>
      </c>
      <c r="AE387" s="2">
        <f t="shared" si="151"/>
        <v>1.0476559656416466E-2</v>
      </c>
      <c r="AF387" s="2">
        <f t="shared" si="152"/>
        <v>7.9811643466218038E-2</v>
      </c>
      <c r="AG387" s="2" t="s">
        <v>1175</v>
      </c>
    </row>
    <row r="388" spans="1:33" x14ac:dyDescent="0.3">
      <c r="A388">
        <v>501067</v>
      </c>
      <c r="B388" t="s">
        <v>786</v>
      </c>
      <c r="C388" t="s">
        <v>1158</v>
      </c>
      <c r="D388" t="s">
        <v>787</v>
      </c>
      <c r="E388" s="13">
        <v>6.2</v>
      </c>
      <c r="F388" s="14">
        <f t="shared" si="133"/>
        <v>0.66666666666666663</v>
      </c>
      <c r="G388" s="2">
        <v>51.094555200000002</v>
      </c>
      <c r="H388" s="2">
        <f t="shared" si="134"/>
        <v>0.1996782889182859</v>
      </c>
      <c r="I388" s="2">
        <v>20.9</v>
      </c>
      <c r="J388" s="4">
        <f t="shared" si="135"/>
        <v>0.16521739130434782</v>
      </c>
      <c r="K388" s="2">
        <v>0</v>
      </c>
      <c r="L388" s="4">
        <f t="shared" si="136"/>
        <v>0</v>
      </c>
      <c r="M388" s="2">
        <v>24547</v>
      </c>
      <c r="N388" s="2">
        <f t="shared" si="137"/>
        <v>0.11501137906724769</v>
      </c>
      <c r="O388" s="2">
        <v>0.89411355100000001</v>
      </c>
      <c r="P388" s="2">
        <f t="shared" si="138"/>
        <v>0.95542063856364623</v>
      </c>
      <c r="Q388" s="2">
        <v>0.22209999999999999</v>
      </c>
      <c r="R388" s="2">
        <f t="shared" si="139"/>
        <v>0.48378691372321947</v>
      </c>
      <c r="S388" s="2">
        <f t="shared" si="140"/>
        <v>6.1268738856881208E-2</v>
      </c>
      <c r="T388" s="5">
        <f t="shared" si="141"/>
        <v>0.16002262541685056</v>
      </c>
      <c r="U388" s="2" t="str">
        <f t="shared" si="142"/>
        <v>Low</v>
      </c>
      <c r="V388" s="2">
        <f t="shared" si="143"/>
        <v>4.1190742825363315E-2</v>
      </c>
      <c r="W388" s="2">
        <f t="shared" si="144"/>
        <v>9.9913680625790022E-2</v>
      </c>
      <c r="X388" s="2" t="s">
        <v>1176</v>
      </c>
      <c r="Y388" s="2">
        <f t="shared" si="145"/>
        <v>8.1346734888399094E-2</v>
      </c>
      <c r="Z388" s="2">
        <f t="shared" si="146"/>
        <v>0.20792874569455977</v>
      </c>
      <c r="AA388" s="2" t="str">
        <f t="shared" si="147"/>
        <v>Low</v>
      </c>
      <c r="AB388" s="2">
        <f t="shared" si="148"/>
        <v>4.2248098146240615E-2</v>
      </c>
      <c r="AC388" s="2">
        <f t="shared" si="149"/>
        <v>0.15349995508959788</v>
      </c>
      <c r="AD388" s="2" t="str">
        <f t="shared" si="150"/>
        <v>Low</v>
      </c>
      <c r="AE388" s="2">
        <f t="shared" si="151"/>
        <v>9.7923362595535215E-3</v>
      </c>
      <c r="AF388" s="2">
        <f t="shared" si="152"/>
        <v>7.4599150473041193E-2</v>
      </c>
      <c r="AG388" s="2" t="s">
        <v>1175</v>
      </c>
    </row>
    <row r="389" spans="1:33" x14ac:dyDescent="0.3">
      <c r="A389">
        <v>501081</v>
      </c>
      <c r="B389" t="s">
        <v>788</v>
      </c>
      <c r="C389" t="s">
        <v>1158</v>
      </c>
      <c r="D389" t="s">
        <v>789</v>
      </c>
      <c r="E389" s="13">
        <v>6.2</v>
      </c>
      <c r="F389" s="14">
        <f t="shared" si="133"/>
        <v>0.66666666666666663</v>
      </c>
      <c r="G389" s="2">
        <v>54.160390800000002</v>
      </c>
      <c r="H389" s="2">
        <f t="shared" si="134"/>
        <v>0.23280201567972456</v>
      </c>
      <c r="I389" s="2">
        <v>16.8</v>
      </c>
      <c r="J389" s="4">
        <f t="shared" si="135"/>
        <v>0.13280632411067195</v>
      </c>
      <c r="K389" s="2">
        <v>0</v>
      </c>
      <c r="L389" s="4">
        <f t="shared" si="136"/>
        <v>0</v>
      </c>
      <c r="M389" s="2">
        <v>19425</v>
      </c>
      <c r="N389" s="2">
        <f t="shared" si="137"/>
        <v>9.0777041253258764E-2</v>
      </c>
      <c r="O389" s="2">
        <v>0.87325476099999999</v>
      </c>
      <c r="P389" s="2">
        <f t="shared" si="138"/>
        <v>0.93132477012911929</v>
      </c>
      <c r="Q389" s="2">
        <v>0.216</v>
      </c>
      <c r="R389" s="2">
        <f t="shared" si="139"/>
        <v>0.46612623045744067</v>
      </c>
      <c r="S389" s="2">
        <f t="shared" si="140"/>
        <v>5.9607303030669398E-2</v>
      </c>
      <c r="T389" s="5">
        <f t="shared" si="141"/>
        <v>0.15568326201828162</v>
      </c>
      <c r="U389" s="2" t="str">
        <f t="shared" si="142"/>
        <v>Low</v>
      </c>
      <c r="V389" s="2">
        <f t="shared" si="143"/>
        <v>3.9764582025070147E-2</v>
      </c>
      <c r="W389" s="2">
        <f t="shared" si="144"/>
        <v>9.6454336002517724E-2</v>
      </c>
      <c r="X389" s="2" t="s">
        <v>1176</v>
      </c>
      <c r="Y389" s="2">
        <f t="shared" si="145"/>
        <v>7.9450024036268649E-2</v>
      </c>
      <c r="Z389" s="2">
        <f t="shared" si="146"/>
        <v>0.20308060140247725</v>
      </c>
      <c r="AA389" s="2" t="str">
        <f t="shared" si="147"/>
        <v>Low</v>
      </c>
      <c r="AB389" s="2">
        <f t="shared" si="148"/>
        <v>4.0463033126056348E-2</v>
      </c>
      <c r="AC389" s="2">
        <f t="shared" si="149"/>
        <v>0.14701428088287197</v>
      </c>
      <c r="AD389" s="2" t="str">
        <f t="shared" si="150"/>
        <v>No Impact</v>
      </c>
      <c r="AE389" s="2">
        <f t="shared" si="151"/>
        <v>7.7440634468605961E-3</v>
      </c>
      <c r="AF389" s="2">
        <f t="shared" si="152"/>
        <v>5.8995171227041968E-2</v>
      </c>
      <c r="AG389" s="2" t="s">
        <v>1176</v>
      </c>
    </row>
    <row r="390" spans="1:33" x14ac:dyDescent="0.3">
      <c r="A390">
        <v>501085</v>
      </c>
      <c r="B390" t="s">
        <v>790</v>
      </c>
      <c r="C390" t="s">
        <v>1158</v>
      </c>
      <c r="D390" t="s">
        <v>791</v>
      </c>
      <c r="E390" s="13">
        <v>6.1</v>
      </c>
      <c r="F390" s="14">
        <f t="shared" si="133"/>
        <v>0.64444444444444438</v>
      </c>
      <c r="G390" s="2">
        <v>46.447110000000002</v>
      </c>
      <c r="H390" s="2">
        <f t="shared" si="134"/>
        <v>0.14946662559766957</v>
      </c>
      <c r="I390" s="2">
        <v>25.2</v>
      </c>
      <c r="J390" s="4">
        <f t="shared" si="135"/>
        <v>0.19920948616600789</v>
      </c>
      <c r="K390" s="2">
        <v>0</v>
      </c>
      <c r="L390" s="4">
        <f t="shared" si="136"/>
        <v>0</v>
      </c>
      <c r="M390" s="2">
        <v>37871</v>
      </c>
      <c r="N390" s="2">
        <f t="shared" si="137"/>
        <v>0.17805283104569133</v>
      </c>
      <c r="O390" s="2">
        <v>0.49323930100000002</v>
      </c>
      <c r="P390" s="2">
        <f t="shared" si="138"/>
        <v>0.4923346596171389</v>
      </c>
      <c r="Q390" s="2">
        <v>0.25750000000000001</v>
      </c>
      <c r="R390" s="2">
        <f t="shared" si="139"/>
        <v>0.58627678054429655</v>
      </c>
      <c r="S390" s="2">
        <f t="shared" si="140"/>
        <v>4.2414148189466601E-2</v>
      </c>
      <c r="T390" s="5">
        <f t="shared" si="141"/>
        <v>0.11077791831087311</v>
      </c>
      <c r="U390" s="2" t="str">
        <f t="shared" si="142"/>
        <v>No Impact</v>
      </c>
      <c r="V390" s="2">
        <f t="shared" si="143"/>
        <v>4.6108226418083285E-2</v>
      </c>
      <c r="W390" s="2">
        <f t="shared" si="144"/>
        <v>0.11184169773508701</v>
      </c>
      <c r="X390" s="2" t="s">
        <v>1176</v>
      </c>
      <c r="Y390" s="2">
        <f t="shared" si="145"/>
        <v>3.8720069960849895E-2</v>
      </c>
      <c r="Z390" s="2">
        <f t="shared" si="146"/>
        <v>9.8971588610291983E-2</v>
      </c>
      <c r="AA390" s="2" t="str">
        <f t="shared" si="147"/>
        <v>No Impact</v>
      </c>
      <c r="AB390" s="2">
        <f t="shared" si="148"/>
        <v>3.265498992845664E-2</v>
      </c>
      <c r="AC390" s="2">
        <f t="shared" si="149"/>
        <v>0.11864532860434567</v>
      </c>
      <c r="AD390" s="2" t="str">
        <f t="shared" si="150"/>
        <v>No Impact</v>
      </c>
      <c r="AE390" s="2">
        <f t="shared" si="151"/>
        <v>1.4003113411064342E-2</v>
      </c>
      <c r="AF390" s="2">
        <f t="shared" si="152"/>
        <v>0.10667733794618274</v>
      </c>
      <c r="AG390" s="2" t="s">
        <v>1175</v>
      </c>
    </row>
    <row r="391" spans="1:33" x14ac:dyDescent="0.3">
      <c r="A391">
        <v>501088</v>
      </c>
      <c r="B391" t="s">
        <v>792</v>
      </c>
      <c r="C391" t="s">
        <v>1158</v>
      </c>
      <c r="D391" t="s">
        <v>764</v>
      </c>
      <c r="E391" s="13">
        <v>6.2</v>
      </c>
      <c r="F391" s="14">
        <f t="shared" si="133"/>
        <v>0.66666666666666663</v>
      </c>
      <c r="G391" s="2">
        <v>51.094555200000002</v>
      </c>
      <c r="H391" s="2">
        <f t="shared" si="134"/>
        <v>0.1996782889182859</v>
      </c>
      <c r="I391" s="2">
        <v>22.7</v>
      </c>
      <c r="J391" s="4">
        <f t="shared" si="135"/>
        <v>0.17944664031620552</v>
      </c>
      <c r="K391" s="2">
        <v>0</v>
      </c>
      <c r="L391" s="4">
        <f t="shared" si="136"/>
        <v>0</v>
      </c>
      <c r="M391" s="2">
        <v>36509</v>
      </c>
      <c r="N391" s="2">
        <f t="shared" si="137"/>
        <v>0.17160863578941393</v>
      </c>
      <c r="O391" s="2">
        <v>0.84913773699999995</v>
      </c>
      <c r="P391" s="2">
        <f t="shared" si="138"/>
        <v>0.90346502192050682</v>
      </c>
      <c r="Q391" s="2">
        <v>0.23050000000000001</v>
      </c>
      <c r="R391" s="2">
        <f t="shared" si="139"/>
        <v>0.50810654313839032</v>
      </c>
      <c r="S391" s="2">
        <f t="shared" si="140"/>
        <v>6.2435563133110369E-2</v>
      </c>
      <c r="T391" s="5">
        <f t="shared" si="141"/>
        <v>0.16307015483504969</v>
      </c>
      <c r="U391" s="2" t="str">
        <f t="shared" si="142"/>
        <v>Low</v>
      </c>
      <c r="V391" s="2">
        <f t="shared" si="143"/>
        <v>4.4948366682548993E-2</v>
      </c>
      <c r="W391" s="2">
        <f t="shared" si="144"/>
        <v>0.1090283021214607</v>
      </c>
      <c r="X391" s="2" t="s">
        <v>1176</v>
      </c>
      <c r="Y391" s="2">
        <f t="shared" si="145"/>
        <v>7.9922759583671746E-2</v>
      </c>
      <c r="Z391" s="2">
        <f t="shared" si="146"/>
        <v>0.20428895118506668</v>
      </c>
      <c r="AA391" s="2" t="str">
        <f t="shared" si="147"/>
        <v>Low</v>
      </c>
      <c r="AB391" s="2">
        <f t="shared" si="148"/>
        <v>4.502208035246829E-2</v>
      </c>
      <c r="AC391" s="2">
        <f t="shared" si="149"/>
        <v>0.1635786607061531</v>
      </c>
      <c r="AD391" s="2" t="str">
        <f t="shared" si="150"/>
        <v>Low</v>
      </c>
      <c r="AE391" s="2">
        <f t="shared" si="151"/>
        <v>1.5180926109927471E-2</v>
      </c>
      <c r="AF391" s="2">
        <f t="shared" si="152"/>
        <v>0.11565005134395115</v>
      </c>
      <c r="AG391" s="2" t="s">
        <v>1175</v>
      </c>
    </row>
    <row r="392" spans="1:33" x14ac:dyDescent="0.3">
      <c r="A392">
        <v>501094</v>
      </c>
      <c r="B392" t="s">
        <v>793</v>
      </c>
      <c r="C392" t="s">
        <v>1158</v>
      </c>
      <c r="D392" t="s">
        <v>1150</v>
      </c>
      <c r="E392" s="13">
        <v>6.1</v>
      </c>
      <c r="F392" s="14">
        <f t="shared" si="133"/>
        <v>0.64444444444444438</v>
      </c>
      <c r="G392" s="2">
        <v>45.114687000000004</v>
      </c>
      <c r="H392" s="2">
        <f t="shared" si="134"/>
        <v>0.13507093674121021</v>
      </c>
      <c r="I392" s="2">
        <v>15.3</v>
      </c>
      <c r="J392" s="4">
        <f t="shared" si="135"/>
        <v>0.12094861660079052</v>
      </c>
      <c r="K392" s="2">
        <v>0</v>
      </c>
      <c r="L392" s="4">
        <f t="shared" si="136"/>
        <v>0</v>
      </c>
      <c r="M392" s="2">
        <v>25068</v>
      </c>
      <c r="N392" s="2">
        <f t="shared" si="137"/>
        <v>0.11747644935250505</v>
      </c>
      <c r="O392" s="2">
        <v>0.82032770200000005</v>
      </c>
      <c r="P392" s="2">
        <f t="shared" si="138"/>
        <v>0.87018395370158741</v>
      </c>
      <c r="Q392" s="2">
        <v>0.27139999999999997</v>
      </c>
      <c r="R392" s="2">
        <f t="shared" si="139"/>
        <v>0.62651997683844818</v>
      </c>
      <c r="S392" s="2">
        <f t="shared" si="140"/>
        <v>4.3214805984311995E-2</v>
      </c>
      <c r="T392" s="5">
        <f t="shared" si="141"/>
        <v>0.11286908853539677</v>
      </c>
      <c r="U392" s="2" t="str">
        <f t="shared" si="142"/>
        <v>No Impact</v>
      </c>
      <c r="V392" s="2">
        <f t="shared" si="143"/>
        <v>3.6179418910993431E-2</v>
      </c>
      <c r="W392" s="2">
        <f t="shared" si="144"/>
        <v>8.7758041209051244E-2</v>
      </c>
      <c r="X392" s="2" t="s">
        <v>1176</v>
      </c>
      <c r="Y392" s="2">
        <f t="shared" si="145"/>
        <v>5.0250193057630552E-2</v>
      </c>
      <c r="Z392" s="2">
        <f t="shared" si="146"/>
        <v>0.1284435033282775</v>
      </c>
      <c r="AA392" s="2" t="str">
        <f t="shared" si="147"/>
        <v>No Impact</v>
      </c>
      <c r="AB392" s="2">
        <f t="shared" si="148"/>
        <v>3.0112208811577171E-2</v>
      </c>
      <c r="AC392" s="2">
        <f t="shared" si="149"/>
        <v>0.10940664557789072</v>
      </c>
      <c r="AD392" s="2" t="str">
        <f t="shared" si="150"/>
        <v>No Impact</v>
      </c>
      <c r="AE392" s="2">
        <f t="shared" si="151"/>
        <v>6.7838693584008894E-3</v>
      </c>
      <c r="AF392" s="2">
        <f t="shared" si="152"/>
        <v>5.1680301579010067E-2</v>
      </c>
      <c r="AG392" s="2" t="s">
        <v>1176</v>
      </c>
    </row>
    <row r="393" spans="1:33" x14ac:dyDescent="0.3">
      <c r="A393">
        <v>501095</v>
      </c>
      <c r="B393" t="s">
        <v>794</v>
      </c>
      <c r="C393" t="s">
        <v>1158</v>
      </c>
      <c r="D393" t="s">
        <v>795</v>
      </c>
      <c r="E393" s="13">
        <v>6.2</v>
      </c>
      <c r="F393" s="14">
        <f t="shared" si="133"/>
        <v>0.66666666666666663</v>
      </c>
      <c r="G393" s="2">
        <v>43.993202400000001</v>
      </c>
      <c r="H393" s="2">
        <f t="shared" si="134"/>
        <v>0.12295425655863244</v>
      </c>
      <c r="I393" s="2">
        <v>13.2</v>
      </c>
      <c r="J393" s="4">
        <f t="shared" si="135"/>
        <v>0.10434782608695652</v>
      </c>
      <c r="K393" s="2">
        <v>0</v>
      </c>
      <c r="L393" s="4">
        <f t="shared" si="136"/>
        <v>0</v>
      </c>
      <c r="M393" s="2">
        <v>3652</v>
      </c>
      <c r="N393" s="2">
        <f t="shared" si="137"/>
        <v>1.6148339507837599E-2</v>
      </c>
      <c r="O393" s="2">
        <v>0.842282313</v>
      </c>
      <c r="P393" s="2">
        <f t="shared" si="138"/>
        <v>0.89554570374496067</v>
      </c>
      <c r="Q393" s="2">
        <v>0.2198</v>
      </c>
      <c r="R393" s="2">
        <f t="shared" si="139"/>
        <v>0.47712796757382747</v>
      </c>
      <c r="S393" s="2">
        <f t="shared" si="140"/>
        <v>3.6401351499744841E-2</v>
      </c>
      <c r="T393" s="5">
        <f t="shared" si="141"/>
        <v>9.5073604327283429E-2</v>
      </c>
      <c r="U393" s="2" t="str">
        <f t="shared" si="142"/>
        <v>No Impact</v>
      </c>
      <c r="V393" s="2">
        <f t="shared" si="143"/>
        <v>2.5305508834197202E-2</v>
      </c>
      <c r="W393" s="2">
        <f t="shared" si="144"/>
        <v>6.1381911427347183E-2</v>
      </c>
      <c r="X393" s="2" t="s">
        <v>1176</v>
      </c>
      <c r="Y393" s="2">
        <f t="shared" si="145"/>
        <v>4.7497194165292467E-2</v>
      </c>
      <c r="Z393" s="2">
        <f t="shared" si="146"/>
        <v>0.12140661847521372</v>
      </c>
      <c r="AA393" s="2" t="str">
        <f t="shared" si="147"/>
        <v>No Impact</v>
      </c>
      <c r="AB393" s="2">
        <f t="shared" si="148"/>
        <v>2.340584802300439E-2</v>
      </c>
      <c r="AC393" s="2">
        <f t="shared" si="149"/>
        <v>8.5040434433965792E-2</v>
      </c>
      <c r="AD393" s="2" t="str">
        <f t="shared" si="150"/>
        <v>No Impact</v>
      </c>
      <c r="AE393" s="2">
        <f t="shared" si="151"/>
        <v>8.5646194699322395E-4</v>
      </c>
      <c r="AF393" s="2">
        <f t="shared" si="152"/>
        <v>6.5246261938613666E-3</v>
      </c>
      <c r="AG393" s="2" t="s">
        <v>1176</v>
      </c>
    </row>
    <row r="394" spans="1:33" x14ac:dyDescent="0.3">
      <c r="A394">
        <v>503813</v>
      </c>
      <c r="B394" t="s">
        <v>796</v>
      </c>
      <c r="C394" t="s">
        <v>797</v>
      </c>
      <c r="D394" t="s">
        <v>798</v>
      </c>
      <c r="E394" s="13">
        <v>4.9000000000000004</v>
      </c>
      <c r="F394" s="14">
        <f t="shared" si="133"/>
        <v>0.37777777777777782</v>
      </c>
      <c r="G394" s="2">
        <v>48.693592799999998</v>
      </c>
      <c r="H394" s="2">
        <f t="shared" si="134"/>
        <v>0.17373794740027096</v>
      </c>
      <c r="I394" s="2">
        <v>15.9</v>
      </c>
      <c r="J394" s="4">
        <f t="shared" si="135"/>
        <v>0.12569169960474308</v>
      </c>
      <c r="K394" s="2">
        <v>0</v>
      </c>
      <c r="L394" s="4">
        <f t="shared" si="136"/>
        <v>0</v>
      </c>
      <c r="M394" s="2">
        <v>9388</v>
      </c>
      <c r="N394" s="2">
        <f t="shared" si="137"/>
        <v>4.328776975013366E-2</v>
      </c>
      <c r="O394" s="2">
        <v>0.78389416199999995</v>
      </c>
      <c r="P394" s="2">
        <f t="shared" si="138"/>
        <v>0.82809628771309673</v>
      </c>
      <c r="Q394" s="2">
        <v>0.24809999999999999</v>
      </c>
      <c r="R394" s="2">
        <f t="shared" si="139"/>
        <v>0.55906195715112916</v>
      </c>
      <c r="S394" s="2">
        <f t="shared" si="140"/>
        <v>2.7459666737986121E-2</v>
      </c>
      <c r="T394" s="5">
        <f t="shared" si="141"/>
        <v>7.1719575863128548E-2</v>
      </c>
      <c r="U394" s="2" t="str">
        <f t="shared" si="142"/>
        <v>No Impact</v>
      </c>
      <c r="V394" s="2">
        <f t="shared" si="143"/>
        <v>2.2133963570621883E-2</v>
      </c>
      <c r="W394" s="2">
        <f t="shared" si="144"/>
        <v>5.3688902299092733E-2</v>
      </c>
      <c r="X394" s="2" t="s">
        <v>1176</v>
      </c>
      <c r="Y394" s="2">
        <f t="shared" si="145"/>
        <v>3.2785369905350352E-2</v>
      </c>
      <c r="Z394" s="2">
        <f t="shared" si="146"/>
        <v>8.3802021690287234E-2</v>
      </c>
      <c r="AA394" s="2" t="str">
        <f t="shared" si="147"/>
        <v>No Impact</v>
      </c>
      <c r="AB394" s="2">
        <f t="shared" si="148"/>
        <v>1.818233419165936E-2</v>
      </c>
      <c r="AC394" s="2">
        <f t="shared" si="149"/>
        <v>6.6061849037153009E-2</v>
      </c>
      <c r="AD394" s="2" t="str">
        <f t="shared" si="150"/>
        <v>No Impact</v>
      </c>
      <c r="AE394" s="2">
        <f t="shared" si="151"/>
        <v>1.713817058104561E-3</v>
      </c>
      <c r="AF394" s="2">
        <f t="shared" si="152"/>
        <v>1.3056056615302156E-2</v>
      </c>
      <c r="AG394" s="2" t="s">
        <v>1176</v>
      </c>
    </row>
    <row r="395" spans="1:33" x14ac:dyDescent="0.3">
      <c r="A395">
        <v>503847</v>
      </c>
      <c r="B395" t="s">
        <v>799</v>
      </c>
      <c r="C395" t="s">
        <v>797</v>
      </c>
      <c r="D395" t="s">
        <v>800</v>
      </c>
      <c r="E395" s="13">
        <v>4.9000000000000004</v>
      </c>
      <c r="F395" s="14">
        <f t="shared" si="133"/>
        <v>0.37777777777777782</v>
      </c>
      <c r="G395" s="2">
        <v>48.693592799999998</v>
      </c>
      <c r="H395" s="2">
        <f t="shared" si="134"/>
        <v>0.17373794740027096</v>
      </c>
      <c r="I395" s="2">
        <v>20.7</v>
      </c>
      <c r="J395" s="4">
        <f t="shared" si="135"/>
        <v>0.16363636363636364</v>
      </c>
      <c r="K395" s="2">
        <v>0</v>
      </c>
      <c r="L395" s="4">
        <f t="shared" si="136"/>
        <v>0</v>
      </c>
      <c r="M395" s="2">
        <v>39555</v>
      </c>
      <c r="N395" s="2">
        <f t="shared" si="137"/>
        <v>0.18602054382951744</v>
      </c>
      <c r="O395" s="2">
        <v>0.88421506900000002</v>
      </c>
      <c r="P395" s="2">
        <f t="shared" si="138"/>
        <v>0.94398600980648761</v>
      </c>
      <c r="Q395" s="2">
        <v>0.26300000000000001</v>
      </c>
      <c r="R395" s="2">
        <f t="shared" si="139"/>
        <v>0.60220034742327744</v>
      </c>
      <c r="S395" s="2">
        <f t="shared" si="140"/>
        <v>3.4486435157528701E-2</v>
      </c>
      <c r="T395" s="5">
        <f t="shared" si="141"/>
        <v>9.0072196655895664E-2</v>
      </c>
      <c r="U395" s="2" t="str">
        <f t="shared" si="142"/>
        <v>No Impact</v>
      </c>
      <c r="V395" s="2">
        <f t="shared" si="143"/>
        <v>2.6863182612040085E-2</v>
      </c>
      <c r="W395" s="2">
        <f t="shared" si="144"/>
        <v>6.5160258446200409E-2</v>
      </c>
      <c r="X395" s="2" t="s">
        <v>1176</v>
      </c>
      <c r="Y395" s="2">
        <f t="shared" si="145"/>
        <v>4.2109687703017311E-2</v>
      </c>
      <c r="Z395" s="2">
        <f t="shared" si="146"/>
        <v>0.10763572204453273</v>
      </c>
      <c r="AA395" s="2" t="str">
        <f t="shared" si="147"/>
        <v>No Impact</v>
      </c>
      <c r="AB395" s="2">
        <f t="shared" si="148"/>
        <v>2.4939346585860809E-2</v>
      </c>
      <c r="AC395" s="2">
        <f t="shared" si="149"/>
        <v>9.0612092587987789E-2</v>
      </c>
      <c r="AD395" s="2" t="str">
        <f t="shared" si="150"/>
        <v>No Impact</v>
      </c>
      <c r="AE395" s="2">
        <f t="shared" si="151"/>
        <v>8.2980753164045348E-3</v>
      </c>
      <c r="AF395" s="2">
        <f t="shared" si="152"/>
        <v>6.3215697741298288E-2</v>
      </c>
      <c r="AG395" s="2" t="s">
        <v>1175</v>
      </c>
    </row>
    <row r="396" spans="1:33" x14ac:dyDescent="0.3">
      <c r="A396">
        <v>503858</v>
      </c>
      <c r="B396" t="s">
        <v>801</v>
      </c>
      <c r="C396" t="s">
        <v>797</v>
      </c>
      <c r="D396" t="s">
        <v>802</v>
      </c>
      <c r="E396" s="13">
        <v>4.8</v>
      </c>
      <c r="F396" s="14">
        <f t="shared" si="133"/>
        <v>0.35555555555555546</v>
      </c>
      <c r="G396" s="2">
        <v>45.114687000000004</v>
      </c>
      <c r="H396" s="2">
        <f t="shared" si="134"/>
        <v>0.13507093674121021</v>
      </c>
      <c r="I396" s="2">
        <v>18.600000000000001</v>
      </c>
      <c r="J396" s="4">
        <f t="shared" si="135"/>
        <v>0.14703557312252966</v>
      </c>
      <c r="K396" s="2">
        <v>0</v>
      </c>
      <c r="L396" s="4">
        <f t="shared" si="136"/>
        <v>0</v>
      </c>
      <c r="M396" s="2">
        <v>15941</v>
      </c>
      <c r="N396" s="2">
        <f t="shared" si="137"/>
        <v>7.4292770862017576E-2</v>
      </c>
      <c r="O396" s="2">
        <v>0.85942818399999998</v>
      </c>
      <c r="P396" s="2">
        <f t="shared" si="138"/>
        <v>0.91535244477890232</v>
      </c>
      <c r="Q396" s="2">
        <v>0.29299999999999998</v>
      </c>
      <c r="R396" s="2">
        <f t="shared" si="139"/>
        <v>0.68905616676317316</v>
      </c>
      <c r="S396" s="2">
        <f t="shared" si="140"/>
        <v>2.8162655969619959E-2</v>
      </c>
      <c r="T396" s="5">
        <f t="shared" si="141"/>
        <v>7.3555653846528832E-2</v>
      </c>
      <c r="U396" s="2" t="str">
        <f t="shared" si="142"/>
        <v>No Impact</v>
      </c>
      <c r="V396" s="2">
        <f t="shared" si="143"/>
        <v>2.4190410882480372E-2</v>
      </c>
      <c r="W396" s="2">
        <f t="shared" si="144"/>
        <v>5.867709153403599E-2</v>
      </c>
      <c r="X396" s="2" t="s">
        <v>1176</v>
      </c>
      <c r="Y396" s="2">
        <f t="shared" si="145"/>
        <v>3.2134901056759535E-2</v>
      </c>
      <c r="Z396" s="2">
        <f t="shared" si="146"/>
        <v>8.213937140707149E-2</v>
      </c>
      <c r="AA396" s="2" t="str">
        <f t="shared" si="147"/>
        <v>No Impact</v>
      </c>
      <c r="AB396" s="2">
        <f t="shared" si="148"/>
        <v>1.9019972117454678E-2</v>
      </c>
      <c r="AC396" s="2">
        <f t="shared" si="149"/>
        <v>6.9105237725227392E-2</v>
      </c>
      <c r="AD396" s="2" t="str">
        <f t="shared" si="150"/>
        <v>No Impact</v>
      </c>
      <c r="AE396" s="2">
        <f t="shared" si="151"/>
        <v>2.6081656901676843E-3</v>
      </c>
      <c r="AF396" s="2">
        <f t="shared" si="152"/>
        <v>1.9869307959029751E-2</v>
      </c>
      <c r="AG396" s="2" t="s">
        <v>1176</v>
      </c>
    </row>
    <row r="397" spans="1:33" x14ac:dyDescent="0.3">
      <c r="A397">
        <v>503861</v>
      </c>
      <c r="B397" t="s">
        <v>803</v>
      </c>
      <c r="C397" t="s">
        <v>797</v>
      </c>
      <c r="D397" t="s">
        <v>804</v>
      </c>
      <c r="E397" s="13">
        <v>4.9000000000000004</v>
      </c>
      <c r="F397" s="14">
        <f t="shared" si="133"/>
        <v>0.37777777777777782</v>
      </c>
      <c r="G397" s="2">
        <v>48.693592799999998</v>
      </c>
      <c r="H397" s="2">
        <f t="shared" si="134"/>
        <v>0.17373794740027096</v>
      </c>
      <c r="I397" s="2">
        <v>14.9</v>
      </c>
      <c r="J397" s="4">
        <f t="shared" si="135"/>
        <v>0.11778656126482213</v>
      </c>
      <c r="K397" s="2">
        <v>0</v>
      </c>
      <c r="L397" s="4">
        <f t="shared" si="136"/>
        <v>0</v>
      </c>
      <c r="M397" s="2">
        <v>16611</v>
      </c>
      <c r="N397" s="2">
        <f t="shared" si="137"/>
        <v>7.746282286033318E-2</v>
      </c>
      <c r="O397" s="2">
        <v>0.90196335400000005</v>
      </c>
      <c r="P397" s="2">
        <f t="shared" si="138"/>
        <v>0.9644886535503715</v>
      </c>
      <c r="Q397" s="2">
        <v>0.26229999999999998</v>
      </c>
      <c r="R397" s="2">
        <f t="shared" si="139"/>
        <v>0.60017371163867972</v>
      </c>
      <c r="S397" s="2">
        <f t="shared" si="140"/>
        <v>3.0155752134100874E-2</v>
      </c>
      <c r="T397" s="5">
        <f t="shared" si="141"/>
        <v>7.8761252768574708E-2</v>
      </c>
      <c r="U397" s="2" t="str">
        <f t="shared" si="142"/>
        <v>No Impact</v>
      </c>
      <c r="V397" s="2">
        <f t="shared" si="143"/>
        <v>2.3134306912779325E-2</v>
      </c>
      <c r="W397" s="2">
        <f t="shared" si="144"/>
        <v>5.6115369469840394E-2</v>
      </c>
      <c r="X397" s="2" t="s">
        <v>1176</v>
      </c>
      <c r="Y397" s="2">
        <f t="shared" si="145"/>
        <v>3.7177197355422423E-2</v>
      </c>
      <c r="Z397" s="2">
        <f t="shared" si="146"/>
        <v>9.5027883112423467E-2</v>
      </c>
      <c r="AA397" s="2" t="str">
        <f t="shared" si="147"/>
        <v>No Impact</v>
      </c>
      <c r="AB397" s="2">
        <f t="shared" si="148"/>
        <v>2.02952258135819E-2</v>
      </c>
      <c r="AC397" s="2">
        <f t="shared" si="149"/>
        <v>7.373861517113714E-2</v>
      </c>
      <c r="AD397" s="2" t="str">
        <f t="shared" si="150"/>
        <v>No Impact</v>
      </c>
      <c r="AE397" s="2">
        <f t="shared" si="151"/>
        <v>2.985883392806892E-3</v>
      </c>
      <c r="AF397" s="2">
        <f t="shared" si="152"/>
        <v>2.2746805114830897E-2</v>
      </c>
      <c r="AG397" s="2" t="s">
        <v>1176</v>
      </c>
    </row>
    <row r="398" spans="1:33" x14ac:dyDescent="0.3">
      <c r="A398">
        <v>503874</v>
      </c>
      <c r="B398" t="s">
        <v>805</v>
      </c>
      <c r="C398" t="s">
        <v>797</v>
      </c>
      <c r="D398" t="s">
        <v>806</v>
      </c>
      <c r="E398" s="13">
        <v>4.9000000000000004</v>
      </c>
      <c r="F398" s="14">
        <f t="shared" si="133"/>
        <v>0.37777777777777782</v>
      </c>
      <c r="G398" s="2">
        <v>48.183616800000003</v>
      </c>
      <c r="H398" s="2">
        <f t="shared" si="134"/>
        <v>0.1682280936824489</v>
      </c>
      <c r="I398" s="2">
        <v>26.5</v>
      </c>
      <c r="J398" s="4">
        <f t="shared" si="135"/>
        <v>0.20948616600790515</v>
      </c>
      <c r="K398" s="2">
        <v>0</v>
      </c>
      <c r="L398" s="4">
        <f t="shared" si="136"/>
        <v>0</v>
      </c>
      <c r="M398" s="2">
        <v>30322</v>
      </c>
      <c r="N398" s="2">
        <f t="shared" si="137"/>
        <v>0.14233533472437107</v>
      </c>
      <c r="O398" s="2">
        <v>0.89419333700000003</v>
      </c>
      <c r="P398" s="2">
        <f t="shared" si="138"/>
        <v>0.95551280656375148</v>
      </c>
      <c r="Q398" s="2">
        <v>0.27539999999999998</v>
      </c>
      <c r="R398" s="2">
        <f t="shared" si="139"/>
        <v>0.63810075275043421</v>
      </c>
      <c r="S398" s="2">
        <f t="shared" si="140"/>
        <v>3.9794298516041812E-2</v>
      </c>
      <c r="T398" s="5">
        <f t="shared" si="141"/>
        <v>0.10393535502720226</v>
      </c>
      <c r="U398" s="2" t="str">
        <f t="shared" si="142"/>
        <v>No Impact</v>
      </c>
      <c r="V398" s="2">
        <f t="shared" si="143"/>
        <v>3.1868167398361735E-2</v>
      </c>
      <c r="W398" s="2">
        <f t="shared" si="144"/>
        <v>7.7300521456207652E-2</v>
      </c>
      <c r="X398" s="2" t="s">
        <v>1176</v>
      </c>
      <c r="Y398" s="2">
        <f t="shared" si="145"/>
        <v>4.7720429633721896E-2</v>
      </c>
      <c r="Z398" s="2">
        <f t="shared" si="146"/>
        <v>0.12197722614629909</v>
      </c>
      <c r="AA398" s="2" t="str">
        <f t="shared" si="147"/>
        <v>No Impact</v>
      </c>
      <c r="AB398" s="2">
        <f t="shared" si="148"/>
        <v>2.7957977329032119E-2</v>
      </c>
      <c r="AC398" s="2">
        <f t="shared" si="149"/>
        <v>0.10157967938692414</v>
      </c>
      <c r="AD398" s="2" t="str">
        <f t="shared" si="150"/>
        <v>No Impact</v>
      </c>
      <c r="AE398" s="2">
        <f t="shared" si="151"/>
        <v>7.1085424271112811E-3</v>
      </c>
      <c r="AF398" s="2">
        <f t="shared" si="152"/>
        <v>5.4153698576957406E-2</v>
      </c>
      <c r="AG398" s="2" t="s">
        <v>1176</v>
      </c>
    </row>
    <row r="399" spans="1:33" x14ac:dyDescent="0.3">
      <c r="A399">
        <v>506403</v>
      </c>
      <c r="B399" t="s">
        <v>807</v>
      </c>
      <c r="C399" t="s">
        <v>808</v>
      </c>
      <c r="D399" t="s">
        <v>809</v>
      </c>
      <c r="E399" s="13">
        <v>6.3</v>
      </c>
      <c r="F399" s="14">
        <f t="shared" si="133"/>
        <v>0.68888888888888877</v>
      </c>
      <c r="G399" s="2">
        <v>50.215649399999997</v>
      </c>
      <c r="H399" s="2">
        <f t="shared" si="134"/>
        <v>0.1901824648211804</v>
      </c>
      <c r="I399" s="2">
        <v>12.9</v>
      </c>
      <c r="J399" s="4">
        <f t="shared" si="135"/>
        <v>0.10197628458498025</v>
      </c>
      <c r="K399" s="2">
        <v>0</v>
      </c>
      <c r="L399" s="4">
        <f t="shared" si="136"/>
        <v>0</v>
      </c>
      <c r="M399" s="2">
        <v>16370</v>
      </c>
      <c r="N399" s="2">
        <f t="shared" si="137"/>
        <v>7.6322550425118166E-2</v>
      </c>
      <c r="O399" s="2">
        <v>0.82563470800000005</v>
      </c>
      <c r="P399" s="2">
        <f t="shared" si="138"/>
        <v>0.87631455467878905</v>
      </c>
      <c r="Q399" s="2">
        <v>0.19339999999999999</v>
      </c>
      <c r="R399" s="2">
        <f t="shared" si="139"/>
        <v>0.40069484655471915</v>
      </c>
      <c r="S399" s="2">
        <f t="shared" si="140"/>
        <v>4.4978008284895163E-2</v>
      </c>
      <c r="T399" s="5">
        <f t="shared" si="141"/>
        <v>0.11747424716187731</v>
      </c>
      <c r="U399" s="2" t="str">
        <f t="shared" si="142"/>
        <v>No Impact</v>
      </c>
      <c r="V399" s="2">
        <f t="shared" si="143"/>
        <v>2.8226035157837413E-2</v>
      </c>
      <c r="W399" s="2">
        <f t="shared" si="144"/>
        <v>6.8466040392841918E-2</v>
      </c>
      <c r="X399" s="2" t="s">
        <v>1176</v>
      </c>
      <c r="Y399" s="2">
        <f t="shared" si="145"/>
        <v>6.1729981411952906E-2</v>
      </c>
      <c r="Z399" s="2">
        <f t="shared" si="146"/>
        <v>0.15778675842791973</v>
      </c>
      <c r="AA399" s="2" t="str">
        <f t="shared" si="147"/>
        <v>Low</v>
      </c>
      <c r="AB399" s="2">
        <f t="shared" si="148"/>
        <v>3.0279835564513791E-2</v>
      </c>
      <c r="AC399" s="2">
        <f t="shared" si="149"/>
        <v>0.11001568362165118</v>
      </c>
      <c r="AD399" s="2" t="str">
        <f t="shared" si="150"/>
        <v>No Impact</v>
      </c>
      <c r="AE399" s="2">
        <f t="shared" si="151"/>
        <v>5.3763681019566439E-3</v>
      </c>
      <c r="AF399" s="2">
        <f t="shared" si="152"/>
        <v>4.0957794177567321E-2</v>
      </c>
      <c r="AG399" s="2" t="s">
        <v>1176</v>
      </c>
    </row>
    <row r="400" spans="1:33" x14ac:dyDescent="0.3">
      <c r="A400">
        <v>506406</v>
      </c>
      <c r="B400" t="s">
        <v>810</v>
      </c>
      <c r="C400" t="s">
        <v>808</v>
      </c>
      <c r="D400" t="s">
        <v>811</v>
      </c>
      <c r="E400" s="13">
        <v>6.3</v>
      </c>
      <c r="F400" s="14">
        <f t="shared" si="133"/>
        <v>0.68888888888888877</v>
      </c>
      <c r="G400" s="2">
        <v>53.822890800000003</v>
      </c>
      <c r="H400" s="2">
        <f t="shared" si="134"/>
        <v>0.22915561735948015</v>
      </c>
      <c r="I400" s="2">
        <v>11.6</v>
      </c>
      <c r="J400" s="4">
        <f t="shared" si="135"/>
        <v>9.1699604743083002E-2</v>
      </c>
      <c r="K400" s="2">
        <v>0</v>
      </c>
      <c r="L400" s="4">
        <f t="shared" si="136"/>
        <v>0</v>
      </c>
      <c r="M400" s="2">
        <v>16682</v>
      </c>
      <c r="N400" s="2">
        <f t="shared" si="137"/>
        <v>7.7798753743736779E-2</v>
      </c>
      <c r="O400" s="2">
        <v>0.753647548</v>
      </c>
      <c r="P400" s="2">
        <f t="shared" si="138"/>
        <v>0.79315569760533322</v>
      </c>
      <c r="Q400" s="2">
        <v>0.2442</v>
      </c>
      <c r="R400" s="2">
        <f t="shared" si="139"/>
        <v>0.54777070063694266</v>
      </c>
      <c r="S400" s="2">
        <f t="shared" si="140"/>
        <v>5.1868212500485407E-2</v>
      </c>
      <c r="T400" s="5">
        <f t="shared" si="141"/>
        <v>0.13547018748656001</v>
      </c>
      <c r="U400" s="2" t="str">
        <f t="shared" si="142"/>
        <v>No Impact</v>
      </c>
      <c r="V400" s="2">
        <f t="shared" si="143"/>
        <v>4.2376504988521108E-2</v>
      </c>
      <c r="W400" s="2">
        <f t="shared" si="144"/>
        <v>0.10278990605756212</v>
      </c>
      <c r="X400" s="2" t="s">
        <v>1176</v>
      </c>
      <c r="Y400" s="2">
        <f t="shared" si="145"/>
        <v>6.1359920012449713E-2</v>
      </c>
      <c r="Z400" s="2">
        <f t="shared" si="146"/>
        <v>0.1568408519605706</v>
      </c>
      <c r="AA400" s="2" t="str">
        <f t="shared" si="147"/>
        <v>Low</v>
      </c>
      <c r="AB400" s="2">
        <f t="shared" si="148"/>
        <v>3.5346279705797699E-2</v>
      </c>
      <c r="AC400" s="2">
        <f t="shared" si="149"/>
        <v>0.12842358793627981</v>
      </c>
      <c r="AD400" s="2" t="str">
        <f t="shared" si="150"/>
        <v>No Impact</v>
      </c>
      <c r="AE400" s="2">
        <f t="shared" si="151"/>
        <v>6.0186484459439915E-3</v>
      </c>
      <c r="AF400" s="2">
        <f t="shared" si="152"/>
        <v>4.5850760141664372E-2</v>
      </c>
      <c r="AG400" s="2" t="s">
        <v>1176</v>
      </c>
    </row>
    <row r="401" spans="1:33" x14ac:dyDescent="0.3">
      <c r="A401">
        <v>506428</v>
      </c>
      <c r="B401" t="s">
        <v>812</v>
      </c>
      <c r="C401" t="s">
        <v>808</v>
      </c>
      <c r="D401" t="s">
        <v>813</v>
      </c>
      <c r="E401" s="13">
        <v>6.3</v>
      </c>
      <c r="F401" s="14">
        <f t="shared" si="133"/>
        <v>0.68888888888888877</v>
      </c>
      <c r="G401" s="2">
        <v>53.822890800000003</v>
      </c>
      <c r="H401" s="2">
        <f t="shared" si="134"/>
        <v>0.22915561735948015</v>
      </c>
      <c r="I401" s="2">
        <v>18.7</v>
      </c>
      <c r="J401" s="4">
        <f t="shared" si="135"/>
        <v>0.14782608695652175</v>
      </c>
      <c r="K401" s="2">
        <v>0</v>
      </c>
      <c r="L401" s="4">
        <f t="shared" si="136"/>
        <v>0</v>
      </c>
      <c r="M401" s="2">
        <v>18479</v>
      </c>
      <c r="N401" s="2">
        <f t="shared" si="137"/>
        <v>8.6301117088472837E-2</v>
      </c>
      <c r="O401" s="2">
        <v>0.77411432899999999</v>
      </c>
      <c r="P401" s="2">
        <f t="shared" si="138"/>
        <v>0.81679872111025709</v>
      </c>
      <c r="Q401" s="2">
        <v>0.25869999999999999</v>
      </c>
      <c r="R401" s="2">
        <f t="shared" si="139"/>
        <v>0.58975101331789226</v>
      </c>
      <c r="S401" s="2">
        <f t="shared" si="140"/>
        <v>6.3923801661954313E-2</v>
      </c>
      <c r="T401" s="5">
        <f t="shared" si="141"/>
        <v>0.16695715889414128</v>
      </c>
      <c r="U401" s="2" t="str">
        <f t="shared" si="142"/>
        <v>Low</v>
      </c>
      <c r="V401" s="2">
        <f t="shared" si="143"/>
        <v>5.3605110267354428E-2</v>
      </c>
      <c r="W401" s="2">
        <f t="shared" si="144"/>
        <v>0.13002639670447524</v>
      </c>
      <c r="X401" s="2" t="s">
        <v>1176</v>
      </c>
      <c r="Y401" s="2">
        <f t="shared" si="145"/>
        <v>7.4242493056554185E-2</v>
      </c>
      <c r="Z401" s="2">
        <f t="shared" si="146"/>
        <v>0.18976973666693384</v>
      </c>
      <c r="AA401" s="2" t="str">
        <f t="shared" si="147"/>
        <v>Low</v>
      </c>
      <c r="AB401" s="2">
        <f t="shared" si="148"/>
        <v>4.3780039744343871E-2</v>
      </c>
      <c r="AC401" s="2">
        <f t="shared" si="149"/>
        <v>0.15906595632578988</v>
      </c>
      <c r="AD401" s="2" t="str">
        <f t="shared" si="150"/>
        <v>Low</v>
      </c>
      <c r="AE401" s="2">
        <f t="shared" si="151"/>
        <v>7.8442949537244986E-3</v>
      </c>
      <c r="AF401" s="2">
        <f t="shared" si="152"/>
        <v>5.9758746441831503E-2</v>
      </c>
      <c r="AG401" s="2" t="s">
        <v>1176</v>
      </c>
    </row>
    <row r="402" spans="1:33" x14ac:dyDescent="0.3">
      <c r="A402">
        <v>506447</v>
      </c>
      <c r="B402" t="s">
        <v>814</v>
      </c>
      <c r="C402" t="s">
        <v>808</v>
      </c>
      <c r="D402" t="s">
        <v>815</v>
      </c>
      <c r="E402" s="13">
        <v>6.3</v>
      </c>
      <c r="F402" s="14">
        <f t="shared" si="133"/>
        <v>0.68888888888888877</v>
      </c>
      <c r="G402" s="2">
        <v>53.822890800000003</v>
      </c>
      <c r="H402" s="2">
        <f t="shared" si="134"/>
        <v>0.22915561735948015</v>
      </c>
      <c r="I402" s="2">
        <v>10.4</v>
      </c>
      <c r="J402" s="4">
        <f t="shared" si="135"/>
        <v>8.2213438735177863E-2</v>
      </c>
      <c r="K402" s="2">
        <v>0</v>
      </c>
      <c r="L402" s="4">
        <f t="shared" si="136"/>
        <v>0</v>
      </c>
      <c r="M402" s="2">
        <v>23845</v>
      </c>
      <c r="N402" s="2">
        <f t="shared" si="137"/>
        <v>0.1116899216003558</v>
      </c>
      <c r="O402" s="2">
        <v>0.81261634500000002</v>
      </c>
      <c r="P402" s="2">
        <f t="shared" si="138"/>
        <v>0.86127587016828233</v>
      </c>
      <c r="Q402" s="2">
        <v>0.23480000000000001</v>
      </c>
      <c r="R402" s="2">
        <f t="shared" si="139"/>
        <v>0.52055587724377539</v>
      </c>
      <c r="S402" s="2">
        <f t="shared" si="140"/>
        <v>5.1870190761950749E-2</v>
      </c>
      <c r="T402" s="5">
        <f t="shared" si="141"/>
        <v>0.13547535433998886</v>
      </c>
      <c r="U402" s="2" t="str">
        <f t="shared" si="142"/>
        <v>No Impact</v>
      </c>
      <c r="V402" s="2">
        <f t="shared" si="143"/>
        <v>3.9080492549774283E-2</v>
      </c>
      <c r="W402" s="2">
        <f t="shared" si="144"/>
        <v>9.4794985073986066E-2</v>
      </c>
      <c r="X402" s="2" t="s">
        <v>1176</v>
      </c>
      <c r="Y402" s="2">
        <f t="shared" si="145"/>
        <v>6.4659888974127222E-2</v>
      </c>
      <c r="Z402" s="2">
        <f t="shared" si="146"/>
        <v>0.16527583595807135</v>
      </c>
      <c r="AA402" s="2" t="str">
        <f t="shared" si="147"/>
        <v>Low</v>
      </c>
      <c r="AB402" s="2">
        <f t="shared" si="148"/>
        <v>3.601091336909247E-2</v>
      </c>
      <c r="AC402" s="2">
        <f t="shared" si="149"/>
        <v>0.13083840048272008</v>
      </c>
      <c r="AD402" s="2" t="str">
        <f t="shared" si="150"/>
        <v>No Impact</v>
      </c>
      <c r="AE402" s="2">
        <f t="shared" si="151"/>
        <v>8.3850693840951569E-3</v>
      </c>
      <c r="AF402" s="2">
        <f t="shared" si="152"/>
        <v>6.3878428613063767E-2</v>
      </c>
      <c r="AG402" s="2" t="s">
        <v>1175</v>
      </c>
    </row>
    <row r="403" spans="1:33" x14ac:dyDescent="0.3">
      <c r="A403">
        <v>506450</v>
      </c>
      <c r="B403" t="s">
        <v>816</v>
      </c>
      <c r="C403" t="s">
        <v>808</v>
      </c>
      <c r="D403" t="s">
        <v>817</v>
      </c>
      <c r="E403" s="13">
        <v>6.3</v>
      </c>
      <c r="F403" s="14">
        <f t="shared" si="133"/>
        <v>0.68888888888888877</v>
      </c>
      <c r="G403" s="2">
        <v>53.822890800000003</v>
      </c>
      <c r="H403" s="2">
        <f t="shared" si="134"/>
        <v>0.22915561735948015</v>
      </c>
      <c r="I403" s="2">
        <v>13.1</v>
      </c>
      <c r="J403" s="4">
        <f t="shared" si="135"/>
        <v>0.10355731225296443</v>
      </c>
      <c r="K403" s="2">
        <v>0</v>
      </c>
      <c r="L403" s="4">
        <f t="shared" si="136"/>
        <v>0</v>
      </c>
      <c r="M403" s="2">
        <v>24941</v>
      </c>
      <c r="N403" s="2">
        <f t="shared" si="137"/>
        <v>0.11687555889909299</v>
      </c>
      <c r="O403" s="2">
        <v>0.84988257899999997</v>
      </c>
      <c r="P403" s="2">
        <f t="shared" si="138"/>
        <v>0.90432545605098658</v>
      </c>
      <c r="Q403" s="2">
        <v>0.2298</v>
      </c>
      <c r="R403" s="2">
        <f t="shared" si="139"/>
        <v>0.50607990735379271</v>
      </c>
      <c r="S403" s="2">
        <f t="shared" si="140"/>
        <v>5.6571912103718536E-2</v>
      </c>
      <c r="T403" s="5">
        <f t="shared" si="141"/>
        <v>0.1477553817589573</v>
      </c>
      <c r="U403" s="2" t="str">
        <f t="shared" si="142"/>
        <v>No Impact</v>
      </c>
      <c r="V403" s="2">
        <f t="shared" si="143"/>
        <v>4.0598127005363825E-2</v>
      </c>
      <c r="W403" s="2">
        <f t="shared" si="144"/>
        <v>9.8476211337502256E-2</v>
      </c>
      <c r="X403" s="2" t="s">
        <v>1176</v>
      </c>
      <c r="Y403" s="2">
        <f t="shared" si="145"/>
        <v>7.2545697202073239E-2</v>
      </c>
      <c r="Z403" s="2">
        <f t="shared" si="146"/>
        <v>0.18543259106169249</v>
      </c>
      <c r="AA403" s="2" t="str">
        <f t="shared" si="147"/>
        <v>Low</v>
      </c>
      <c r="AB403" s="2">
        <f t="shared" si="148"/>
        <v>3.9254600756084883E-2</v>
      </c>
      <c r="AC403" s="2">
        <f t="shared" si="149"/>
        <v>0.14262368526653552</v>
      </c>
      <c r="AD403" s="2" t="str">
        <f t="shared" si="150"/>
        <v>No Impact</v>
      </c>
      <c r="AE403" s="2">
        <f t="shared" si="151"/>
        <v>9.3758489816730683E-3</v>
      </c>
      <c r="AF403" s="2">
        <f t="shared" si="152"/>
        <v>7.1426302207909437E-2</v>
      </c>
      <c r="AG403" s="2" t="s">
        <v>1175</v>
      </c>
    </row>
    <row r="404" spans="1:33" x14ac:dyDescent="0.3">
      <c r="A404">
        <v>506460</v>
      </c>
      <c r="B404" t="s">
        <v>818</v>
      </c>
      <c r="C404" t="s">
        <v>808</v>
      </c>
      <c r="D404" t="s">
        <v>819</v>
      </c>
      <c r="E404" s="13">
        <v>6.3</v>
      </c>
      <c r="F404" s="14">
        <f t="shared" si="133"/>
        <v>0.68888888888888877</v>
      </c>
      <c r="G404" s="2">
        <v>53.822890800000003</v>
      </c>
      <c r="H404" s="2">
        <f t="shared" si="134"/>
        <v>0.22915561735948015</v>
      </c>
      <c r="I404" s="2">
        <v>13.1</v>
      </c>
      <c r="J404" s="4">
        <f t="shared" si="135"/>
        <v>0.10355731225296443</v>
      </c>
      <c r="K404" s="2">
        <v>0</v>
      </c>
      <c r="L404" s="4">
        <f t="shared" si="136"/>
        <v>0</v>
      </c>
      <c r="M404" s="2">
        <v>27111</v>
      </c>
      <c r="N404" s="2">
        <f t="shared" si="137"/>
        <v>0.12714274223692118</v>
      </c>
      <c r="O404" s="2">
        <v>0.81779459700000001</v>
      </c>
      <c r="P404" s="2">
        <f t="shared" si="138"/>
        <v>0.86725773579485166</v>
      </c>
      <c r="Q404" s="2">
        <v>0.22020000000000001</v>
      </c>
      <c r="R404" s="2">
        <f t="shared" si="139"/>
        <v>0.4782860451650261</v>
      </c>
      <c r="S404" s="2">
        <f t="shared" si="140"/>
        <v>5.3970288601576488E-2</v>
      </c>
      <c r="T404" s="5">
        <f t="shared" si="141"/>
        <v>0.1409604218670712</v>
      </c>
      <c r="U404" s="2" t="str">
        <f t="shared" si="142"/>
        <v>No Impact</v>
      </c>
      <c r="V404" s="2">
        <f t="shared" si="143"/>
        <v>3.8368481586304952E-2</v>
      </c>
      <c r="W404" s="2">
        <f t="shared" si="144"/>
        <v>9.3067906824687505E-2</v>
      </c>
      <c r="X404" s="2" t="s">
        <v>1176</v>
      </c>
      <c r="Y404" s="2">
        <f t="shared" si="145"/>
        <v>6.9572095616848031E-2</v>
      </c>
      <c r="Z404" s="2">
        <f t="shared" si="146"/>
        <v>0.17783182812192014</v>
      </c>
      <c r="AA404" s="2" t="str">
        <f t="shared" si="147"/>
        <v>Low</v>
      </c>
      <c r="AB404" s="2">
        <f t="shared" si="148"/>
        <v>3.7870418908240715E-2</v>
      </c>
      <c r="AC404" s="2">
        <f t="shared" si="149"/>
        <v>0.13759453932144586</v>
      </c>
      <c r="AD404" s="2" t="str">
        <f t="shared" si="150"/>
        <v>No Impact</v>
      </c>
      <c r="AE404" s="2">
        <f t="shared" si="151"/>
        <v>1.0199490479941653E-2</v>
      </c>
      <c r="AF404" s="2">
        <f t="shared" si="152"/>
        <v>7.7700898426481355E-2</v>
      </c>
      <c r="AG404" s="2" t="s">
        <v>1175</v>
      </c>
    </row>
    <row r="405" spans="1:33" x14ac:dyDescent="0.3">
      <c r="A405">
        <v>506469</v>
      </c>
      <c r="B405" t="s">
        <v>820</v>
      </c>
      <c r="C405" t="s">
        <v>808</v>
      </c>
      <c r="D405" t="s">
        <v>821</v>
      </c>
      <c r="E405" s="13">
        <v>6.3</v>
      </c>
      <c r="F405" s="14">
        <f t="shared" si="133"/>
        <v>0.68888888888888877</v>
      </c>
      <c r="G405" s="2">
        <v>53.822890800000003</v>
      </c>
      <c r="H405" s="2">
        <f t="shared" si="134"/>
        <v>0.22915561735948015</v>
      </c>
      <c r="I405" s="2">
        <v>10.199999999999999</v>
      </c>
      <c r="J405" s="4">
        <f t="shared" si="135"/>
        <v>8.0632411067193668E-2</v>
      </c>
      <c r="K405" s="2">
        <v>0</v>
      </c>
      <c r="L405" s="4">
        <f t="shared" si="136"/>
        <v>0</v>
      </c>
      <c r="M405" s="2">
        <v>14414</v>
      </c>
      <c r="N405" s="2">
        <f t="shared" si="137"/>
        <v>6.7067891158393775E-2</v>
      </c>
      <c r="O405" s="2">
        <v>0.820304547</v>
      </c>
      <c r="P405" s="2">
        <f t="shared" si="138"/>
        <v>0.87015720527401308</v>
      </c>
      <c r="Q405" s="2">
        <v>0.22009999999999999</v>
      </c>
      <c r="R405" s="2">
        <f t="shared" si="139"/>
        <v>0.4779965257672264</v>
      </c>
      <c r="S405" s="2">
        <f t="shared" si="140"/>
        <v>5.0349049632836977E-2</v>
      </c>
      <c r="T405" s="5">
        <f t="shared" si="141"/>
        <v>0.13150241476832672</v>
      </c>
      <c r="U405" s="2" t="str">
        <f t="shared" si="142"/>
        <v>No Impact</v>
      </c>
      <c r="V405" s="2">
        <f t="shared" si="143"/>
        <v>3.5703154983059614E-2</v>
      </c>
      <c r="W405" s="2">
        <f t="shared" si="144"/>
        <v>8.660279906663805E-2</v>
      </c>
      <c r="X405" s="2" t="s">
        <v>1176</v>
      </c>
      <c r="Y405" s="2">
        <f t="shared" si="145"/>
        <v>6.4994944282614348E-2</v>
      </c>
      <c r="Z405" s="2">
        <f t="shared" si="146"/>
        <v>0.16613226406336176</v>
      </c>
      <c r="AA405" s="2" t="str">
        <f t="shared" si="147"/>
        <v>Low</v>
      </c>
      <c r="AB405" s="2">
        <f t="shared" si="148"/>
        <v>3.3747921108006361E-2</v>
      </c>
      <c r="AC405" s="2">
        <f t="shared" si="149"/>
        <v>0.12261627390929621</v>
      </c>
      <c r="AD405" s="2" t="str">
        <f t="shared" si="150"/>
        <v>No Impact</v>
      </c>
      <c r="AE405" s="2">
        <f t="shared" si="151"/>
        <v>5.0095245118605561E-3</v>
      </c>
      <c r="AF405" s="2">
        <f t="shared" si="152"/>
        <v>3.816313726911507E-2</v>
      </c>
      <c r="AG405" s="2" t="s">
        <v>1176</v>
      </c>
    </row>
    <row r="406" spans="1:33" x14ac:dyDescent="0.3">
      <c r="A406">
        <v>506475</v>
      </c>
      <c r="B406" t="s">
        <v>822</v>
      </c>
      <c r="C406" t="s">
        <v>808</v>
      </c>
      <c r="D406" t="s">
        <v>823</v>
      </c>
      <c r="E406" s="13">
        <v>6.3</v>
      </c>
      <c r="F406" s="14">
        <f t="shared" si="133"/>
        <v>0.68888888888888877</v>
      </c>
      <c r="G406" s="2">
        <v>53.822890800000003</v>
      </c>
      <c r="H406" s="2">
        <f t="shared" si="134"/>
        <v>0.22915561735948015</v>
      </c>
      <c r="I406" s="2">
        <v>13.3</v>
      </c>
      <c r="J406" s="4">
        <f t="shared" si="135"/>
        <v>0.10513833992094862</v>
      </c>
      <c r="K406" s="2">
        <v>0</v>
      </c>
      <c r="L406" s="4">
        <f t="shared" si="136"/>
        <v>0</v>
      </c>
      <c r="M406" s="2">
        <v>24149</v>
      </c>
      <c r="N406" s="2">
        <f t="shared" si="137"/>
        <v>0.11312827355183035</v>
      </c>
      <c r="O406" s="2">
        <v>0.82400132800000003</v>
      </c>
      <c r="P406" s="2">
        <f t="shared" si="138"/>
        <v>0.87442769021620115</v>
      </c>
      <c r="Q406" s="2">
        <v>0.25509999999999999</v>
      </c>
      <c r="R406" s="2">
        <f t="shared" si="139"/>
        <v>0.5793283149971048</v>
      </c>
      <c r="S406" s="2">
        <f t="shared" si="140"/>
        <v>5.858781166385487E-2</v>
      </c>
      <c r="T406" s="5">
        <f t="shared" si="141"/>
        <v>0.15302053893712664</v>
      </c>
      <c r="U406" s="2" t="str">
        <f t="shared" si="142"/>
        <v>Low</v>
      </c>
      <c r="V406" s="2">
        <f t="shared" si="143"/>
        <v>4.669501359082414E-2</v>
      </c>
      <c r="W406" s="2">
        <f t="shared" si="144"/>
        <v>0.1132650288563806</v>
      </c>
      <c r="X406" s="2" t="s">
        <v>1176</v>
      </c>
      <c r="Y406" s="2">
        <f t="shared" si="145"/>
        <v>7.0480609736885594E-2</v>
      </c>
      <c r="Z406" s="2">
        <f t="shared" si="146"/>
        <v>0.18015406271049175</v>
      </c>
      <c r="AA406" s="2" t="str">
        <f t="shared" si="147"/>
        <v>Low</v>
      </c>
      <c r="AB406" s="2">
        <f t="shared" si="148"/>
        <v>4.0678864968720196E-2</v>
      </c>
      <c r="AC406" s="2">
        <f t="shared" si="149"/>
        <v>0.14779846241078659</v>
      </c>
      <c r="AD406" s="2" t="str">
        <f t="shared" si="150"/>
        <v>No Impact</v>
      </c>
      <c r="AE406" s="2">
        <f t="shared" si="151"/>
        <v>9.1183636881887759E-3</v>
      </c>
      <c r="AF406" s="2">
        <f t="shared" si="152"/>
        <v>6.9464749454398733E-2</v>
      </c>
      <c r="AG406" s="2" t="s">
        <v>1175</v>
      </c>
    </row>
    <row r="407" spans="1:33" x14ac:dyDescent="0.3">
      <c r="A407">
        <v>506479</v>
      </c>
      <c r="B407" t="s">
        <v>824</v>
      </c>
      <c r="C407" t="s">
        <v>808</v>
      </c>
      <c r="D407" t="s">
        <v>825</v>
      </c>
      <c r="E407" s="13">
        <v>6.3</v>
      </c>
      <c r="F407" s="14">
        <f t="shared" si="133"/>
        <v>0.68888888888888877</v>
      </c>
      <c r="G407" s="2">
        <v>53.822890800000003</v>
      </c>
      <c r="H407" s="2">
        <f t="shared" si="134"/>
        <v>0.22915561735948015</v>
      </c>
      <c r="I407" s="2">
        <v>9.9</v>
      </c>
      <c r="J407" s="4">
        <f t="shared" si="135"/>
        <v>7.8260869565217397E-2</v>
      </c>
      <c r="K407" s="2">
        <v>0</v>
      </c>
      <c r="L407" s="4">
        <f t="shared" si="136"/>
        <v>0</v>
      </c>
      <c r="M407" s="2">
        <v>11888</v>
      </c>
      <c r="N407" s="2">
        <f t="shared" si="137"/>
        <v>5.5116321982654613E-2</v>
      </c>
      <c r="O407" s="2">
        <v>0.69620968100000002</v>
      </c>
      <c r="P407" s="2">
        <f t="shared" si="138"/>
        <v>0.72680404027564871</v>
      </c>
      <c r="Q407" s="2">
        <v>0.22070000000000001</v>
      </c>
      <c r="R407" s="2">
        <f t="shared" si="139"/>
        <v>0.47973364215402436</v>
      </c>
      <c r="S407" s="2">
        <f t="shared" si="140"/>
        <v>4.4715209956350456E-2</v>
      </c>
      <c r="T407" s="5">
        <f t="shared" si="141"/>
        <v>0.11678786648433279</v>
      </c>
      <c r="U407" s="2" t="str">
        <f t="shared" si="142"/>
        <v>No Impact</v>
      </c>
      <c r="V407" s="2">
        <f t="shared" si="143"/>
        <v>3.5558591902150986E-2</v>
      </c>
      <c r="W407" s="2">
        <f t="shared" si="144"/>
        <v>8.6252141892101952E-2</v>
      </c>
      <c r="X407" s="2" t="s">
        <v>1176</v>
      </c>
      <c r="Y407" s="2">
        <f t="shared" si="145"/>
        <v>5.3871828010549919E-2</v>
      </c>
      <c r="Z407" s="2">
        <f t="shared" si="146"/>
        <v>0.13770069126774687</v>
      </c>
      <c r="AA407" s="2" t="str">
        <f t="shared" si="147"/>
        <v>No Impact</v>
      </c>
      <c r="AB407" s="2">
        <f t="shared" si="148"/>
        <v>3.0036912722785792E-2</v>
      </c>
      <c r="AC407" s="2">
        <f t="shared" si="149"/>
        <v>0.10913307240525011</v>
      </c>
      <c r="AD407" s="2" t="str">
        <f t="shared" si="150"/>
        <v>No Impact</v>
      </c>
      <c r="AE407" s="2">
        <f t="shared" si="151"/>
        <v>4.0853061539084887E-3</v>
      </c>
      <c r="AF407" s="2">
        <f t="shared" si="152"/>
        <v>3.1122334898021159E-2</v>
      </c>
      <c r="AG407" s="2" t="s">
        <v>1176</v>
      </c>
    </row>
    <row r="408" spans="1:33" x14ac:dyDescent="0.3">
      <c r="A408">
        <v>506485</v>
      </c>
      <c r="B408" t="s">
        <v>826</v>
      </c>
      <c r="C408" t="s">
        <v>808</v>
      </c>
      <c r="D408" t="s">
        <v>827</v>
      </c>
      <c r="E408" s="13">
        <v>6.3</v>
      </c>
      <c r="F408" s="14">
        <f t="shared" si="133"/>
        <v>0.68888888888888877</v>
      </c>
      <c r="G408" s="2">
        <v>48.957264000000002</v>
      </c>
      <c r="H408" s="2">
        <f t="shared" si="134"/>
        <v>0.17658668879516534</v>
      </c>
      <c r="I408" s="2">
        <v>17.3</v>
      </c>
      <c r="J408" s="4">
        <f t="shared" si="135"/>
        <v>0.13675889328063243</v>
      </c>
      <c r="K408" s="2">
        <v>0</v>
      </c>
      <c r="L408" s="4">
        <f t="shared" si="136"/>
        <v>0</v>
      </c>
      <c r="M408" s="2">
        <v>16424</v>
      </c>
      <c r="N408" s="2">
        <f t="shared" si="137"/>
        <v>7.6578047153340614E-2</v>
      </c>
      <c r="O408" s="2">
        <v>0.54262870699999999</v>
      </c>
      <c r="P408" s="2">
        <f t="shared" si="138"/>
        <v>0.54938881419827379</v>
      </c>
      <c r="Q408" s="2">
        <v>0.1963</v>
      </c>
      <c r="R408" s="2">
        <f t="shared" si="139"/>
        <v>0.40909090909090912</v>
      </c>
      <c r="S408" s="2">
        <f t="shared" si="140"/>
        <v>3.6207099408895542E-2</v>
      </c>
      <c r="T408" s="5">
        <f t="shared" si="141"/>
        <v>9.4566253757476057E-2</v>
      </c>
      <c r="U408" s="2" t="str">
        <f t="shared" si="142"/>
        <v>No Impact</v>
      </c>
      <c r="V408" s="2">
        <f t="shared" si="143"/>
        <v>3.0907268777476411E-2</v>
      </c>
      <c r="W408" s="2">
        <f t="shared" si="144"/>
        <v>7.496973275623349E-2</v>
      </c>
      <c r="X408" s="2" t="s">
        <v>1176</v>
      </c>
      <c r="Y408" s="2">
        <f t="shared" si="145"/>
        <v>4.150693004031468E-2</v>
      </c>
      <c r="Z408" s="2">
        <f t="shared" si="146"/>
        <v>0.10609502535971205</v>
      </c>
      <c r="AA408" s="2" t="str">
        <f t="shared" si="147"/>
        <v>No Impact</v>
      </c>
      <c r="AB408" s="2">
        <f t="shared" si="148"/>
        <v>2.5294567617637119E-2</v>
      </c>
      <c r="AC408" s="2">
        <f t="shared" si="149"/>
        <v>9.1902716659059649E-2</v>
      </c>
      <c r="AD408" s="2" t="str">
        <f t="shared" si="150"/>
        <v>No Impact</v>
      </c>
      <c r="AE408" s="2">
        <f t="shared" si="151"/>
        <v>5.7855558097884814E-3</v>
      </c>
      <c r="AF408" s="2">
        <f t="shared" si="152"/>
        <v>4.407503347360206E-2</v>
      </c>
      <c r="AG408" s="2" t="s">
        <v>1176</v>
      </c>
    </row>
    <row r="409" spans="1:33" x14ac:dyDescent="0.3">
      <c r="A409">
        <v>506486</v>
      </c>
      <c r="B409" t="s">
        <v>828</v>
      </c>
      <c r="C409" t="s">
        <v>808</v>
      </c>
      <c r="D409" t="s">
        <v>829</v>
      </c>
      <c r="E409" s="13">
        <v>6.2</v>
      </c>
      <c r="F409" s="14">
        <f t="shared" si="133"/>
        <v>0.66666666666666663</v>
      </c>
      <c r="G409" s="2">
        <v>53.822890800000003</v>
      </c>
      <c r="H409" s="2">
        <f t="shared" si="134"/>
        <v>0.22915561735948015</v>
      </c>
      <c r="I409" s="2">
        <v>12</v>
      </c>
      <c r="J409" s="4">
        <f t="shared" si="135"/>
        <v>9.4861660079051377E-2</v>
      </c>
      <c r="K409" s="2">
        <v>0</v>
      </c>
      <c r="L409" s="4">
        <f t="shared" si="136"/>
        <v>0</v>
      </c>
      <c r="M409" s="2">
        <v>21186</v>
      </c>
      <c r="N409" s="2">
        <f t="shared" si="137"/>
        <v>9.9109073445846518E-2</v>
      </c>
      <c r="O409" s="2">
        <v>0.89698827599999997</v>
      </c>
      <c r="P409" s="2">
        <f t="shared" si="138"/>
        <v>0.95874149252427587</v>
      </c>
      <c r="Q409" s="2">
        <v>0.25</v>
      </c>
      <c r="R409" s="2">
        <f t="shared" si="139"/>
        <v>0.56456282570932259</v>
      </c>
      <c r="S409" s="2">
        <f t="shared" si="140"/>
        <v>5.7583973755514384E-2</v>
      </c>
      <c r="T409" s="5">
        <f t="shared" si="141"/>
        <v>0.15039869979725404</v>
      </c>
      <c r="U409" s="2" t="str">
        <f t="shared" si="142"/>
        <v>Low</v>
      </c>
      <c r="V409" s="2">
        <f t="shared" si="143"/>
        <v>4.2683225603512405E-2</v>
      </c>
      <c r="W409" s="2">
        <f t="shared" si="144"/>
        <v>0.10353389811659136</v>
      </c>
      <c r="X409" s="2" t="s">
        <v>1176</v>
      </c>
      <c r="Y409" s="2">
        <f t="shared" si="145"/>
        <v>7.2484721907516342E-2</v>
      </c>
      <c r="Z409" s="2">
        <f t="shared" si="146"/>
        <v>0.18527673334308872</v>
      </c>
      <c r="AA409" s="2" t="str">
        <f t="shared" si="147"/>
        <v>Low</v>
      </c>
      <c r="AB409" s="2">
        <f t="shared" si="148"/>
        <v>3.9307111458853503E-2</v>
      </c>
      <c r="AC409" s="2">
        <f t="shared" si="149"/>
        <v>0.14281447232844788</v>
      </c>
      <c r="AD409" s="2" t="str">
        <f t="shared" si="150"/>
        <v>No Impact</v>
      </c>
      <c r="AE409" s="2">
        <f t="shared" si="151"/>
        <v>7.493045501055018E-3</v>
      </c>
      <c r="AF409" s="2">
        <f t="shared" si="152"/>
        <v>5.708288747633692E-2</v>
      </c>
      <c r="AG409" s="2" t="s">
        <v>1176</v>
      </c>
    </row>
    <row r="410" spans="1:33" x14ac:dyDescent="0.3">
      <c r="A410">
        <v>506909</v>
      </c>
      <c r="B410" t="s">
        <v>830</v>
      </c>
      <c r="C410" t="s">
        <v>831</v>
      </c>
      <c r="D410" t="s">
        <v>832</v>
      </c>
      <c r="E410" s="13">
        <v>5.8</v>
      </c>
      <c r="F410" s="14">
        <f t="shared" si="133"/>
        <v>0.57777777777777772</v>
      </c>
      <c r="G410" s="2">
        <v>57.236353200000003</v>
      </c>
      <c r="H410" s="2">
        <f t="shared" si="134"/>
        <v>0.26603515383822829</v>
      </c>
      <c r="I410" s="2">
        <v>17.7</v>
      </c>
      <c r="J410" s="4">
        <f t="shared" si="135"/>
        <v>0.13992094861660079</v>
      </c>
      <c r="K410" s="2">
        <v>0</v>
      </c>
      <c r="L410" s="4">
        <f t="shared" si="136"/>
        <v>0</v>
      </c>
      <c r="M410" s="2">
        <v>16182</v>
      </c>
      <c r="N410" s="2">
        <f t="shared" si="137"/>
        <v>7.5433043297232591E-2</v>
      </c>
      <c r="O410" s="2">
        <v>0.417964479</v>
      </c>
      <c r="P410" s="2">
        <f t="shared" si="138"/>
        <v>0.40537792783430654</v>
      </c>
      <c r="Q410" s="2">
        <v>0.26450000000000001</v>
      </c>
      <c r="R410" s="2">
        <f t="shared" si="139"/>
        <v>0.60654313839027219</v>
      </c>
      <c r="S410" s="2">
        <f t="shared" si="140"/>
        <v>4.1535992683687011E-2</v>
      </c>
      <c r="T410" s="5">
        <f t="shared" si="141"/>
        <v>0.10848433838445473</v>
      </c>
      <c r="U410" s="2" t="str">
        <f t="shared" si="142"/>
        <v>No Impact</v>
      </c>
      <c r="V410" s="2">
        <f t="shared" si="143"/>
        <v>4.9793155216175049E-2</v>
      </c>
      <c r="W410" s="2">
        <f t="shared" si="144"/>
        <v>0.12077998759847379</v>
      </c>
      <c r="X410" s="2" t="s">
        <v>1176</v>
      </c>
      <c r="Y410" s="2">
        <f t="shared" si="145"/>
        <v>3.3278830151198965E-2</v>
      </c>
      <c r="Z410" s="2">
        <f t="shared" si="146"/>
        <v>8.5063345455896222E-2</v>
      </c>
      <c r="AA410" s="2" t="str">
        <f t="shared" si="147"/>
        <v>No Impact</v>
      </c>
      <c r="AB410" s="2">
        <f t="shared" si="148"/>
        <v>2.9578646172056605E-2</v>
      </c>
      <c r="AC410" s="2">
        <f t="shared" si="149"/>
        <v>0.10746805319627882</v>
      </c>
      <c r="AD410" s="2" t="str">
        <f t="shared" si="150"/>
        <v>No Impact</v>
      </c>
      <c r="AE410" s="2">
        <f t="shared" si="151"/>
        <v>6.1925508601018498E-3</v>
      </c>
      <c r="AF410" s="2">
        <f t="shared" si="152"/>
        <v>4.7175568850998738E-2</v>
      </c>
      <c r="AG410" s="2" t="s">
        <v>1176</v>
      </c>
    </row>
    <row r="411" spans="1:33" x14ac:dyDescent="0.3">
      <c r="A411">
        <v>506915</v>
      </c>
      <c r="B411" t="s">
        <v>833</v>
      </c>
      <c r="C411" t="s">
        <v>831</v>
      </c>
      <c r="D411" t="s">
        <v>834</v>
      </c>
      <c r="E411" s="13">
        <v>6.5</v>
      </c>
      <c r="F411" s="14">
        <f t="shared" si="133"/>
        <v>0.73333333333333328</v>
      </c>
      <c r="G411" s="2">
        <v>57.236353200000003</v>
      </c>
      <c r="H411" s="2">
        <f t="shared" si="134"/>
        <v>0.26603515383822829</v>
      </c>
      <c r="I411" s="2">
        <v>23.1</v>
      </c>
      <c r="J411" s="4">
        <f t="shared" si="135"/>
        <v>0.18260869565217391</v>
      </c>
      <c r="K411" s="2">
        <v>0</v>
      </c>
      <c r="L411" s="4">
        <f t="shared" si="136"/>
        <v>0</v>
      </c>
      <c r="M411" s="2">
        <v>28067</v>
      </c>
      <c r="N411" s="2">
        <f t="shared" si="137"/>
        <v>0.13166598061063717</v>
      </c>
      <c r="O411" s="2">
        <v>0.48119969899999998</v>
      </c>
      <c r="P411" s="2">
        <f t="shared" si="138"/>
        <v>0.47842663015828407</v>
      </c>
      <c r="Q411" s="2">
        <v>0.23880000000000001</v>
      </c>
      <c r="R411" s="2">
        <f t="shared" si="139"/>
        <v>0.53213665315576153</v>
      </c>
      <c r="S411" s="2">
        <f t="shared" si="140"/>
        <v>5.8184151869391403E-2</v>
      </c>
      <c r="T411" s="5">
        <f t="shared" si="141"/>
        <v>0.15196625413723613</v>
      </c>
      <c r="U411" s="2" t="str">
        <f t="shared" si="142"/>
        <v>Low</v>
      </c>
      <c r="V411" s="2">
        <f t="shared" si="143"/>
        <v>6.1276558041863209E-2</v>
      </c>
      <c r="W411" s="2">
        <f t="shared" si="144"/>
        <v>0.14863452392687956</v>
      </c>
      <c r="X411" s="2" t="s">
        <v>1176</v>
      </c>
      <c r="Y411" s="2">
        <f t="shared" si="145"/>
        <v>5.5091745696919596E-2</v>
      </c>
      <c r="Z411" s="2">
        <f t="shared" si="146"/>
        <v>0.14081889822129517</v>
      </c>
      <c r="AA411" s="2" t="str">
        <f t="shared" si="147"/>
        <v>No Impact</v>
      </c>
      <c r="AB411" s="2">
        <f t="shared" si="148"/>
        <v>4.3280875749924293E-2</v>
      </c>
      <c r="AC411" s="2">
        <f t="shared" si="149"/>
        <v>0.15725234449264827</v>
      </c>
      <c r="AD411" s="2" t="str">
        <f t="shared" si="150"/>
        <v>Low</v>
      </c>
      <c r="AE411" s="2">
        <f t="shared" si="151"/>
        <v>1.5161590646275125E-2</v>
      </c>
      <c r="AF411" s="2">
        <f t="shared" si="152"/>
        <v>0.11550275154498232</v>
      </c>
      <c r="AG411" s="2" t="s">
        <v>1175</v>
      </c>
    </row>
    <row r="412" spans="1:33" x14ac:dyDescent="0.3">
      <c r="A412">
        <v>506941</v>
      </c>
      <c r="B412" t="s">
        <v>835</v>
      </c>
      <c r="C412" t="s">
        <v>831</v>
      </c>
      <c r="D412" t="s">
        <v>836</v>
      </c>
      <c r="E412" s="13">
        <v>6.5</v>
      </c>
      <c r="F412" s="14">
        <f t="shared" si="133"/>
        <v>0.73333333333333328</v>
      </c>
      <c r="G412" s="2">
        <v>57.236353200000003</v>
      </c>
      <c r="H412" s="2">
        <f t="shared" si="134"/>
        <v>0.26603515383822829</v>
      </c>
      <c r="I412" s="2">
        <v>18.7</v>
      </c>
      <c r="J412" s="4">
        <f t="shared" si="135"/>
        <v>0.14782608695652175</v>
      </c>
      <c r="K412" s="2">
        <v>0</v>
      </c>
      <c r="L412" s="4">
        <f t="shared" si="136"/>
        <v>0</v>
      </c>
      <c r="M412" s="2">
        <v>24217</v>
      </c>
      <c r="N412" s="2">
        <f t="shared" si="137"/>
        <v>0.11345001017255492</v>
      </c>
      <c r="O412" s="2">
        <v>0.45781498399999998</v>
      </c>
      <c r="P412" s="2">
        <f t="shared" si="138"/>
        <v>0.45141283808219018</v>
      </c>
      <c r="Q412" s="2">
        <v>0.23089999999999999</v>
      </c>
      <c r="R412" s="2">
        <f t="shared" si="139"/>
        <v>0.50926462072958889</v>
      </c>
      <c r="S412" s="2">
        <f t="shared" si="140"/>
        <v>5.1023686188781739E-2</v>
      </c>
      <c r="T412" s="5">
        <f t="shared" si="141"/>
        <v>0.13326444080148273</v>
      </c>
      <c r="U412" s="2" t="str">
        <f t="shared" si="142"/>
        <v>No Impact</v>
      </c>
      <c r="V412" s="2">
        <f t="shared" si="143"/>
        <v>5.4096321209190619E-2</v>
      </c>
      <c r="W412" s="2">
        <f t="shared" si="144"/>
        <v>0.13121789483721333</v>
      </c>
      <c r="X412" s="2" t="s">
        <v>1176</v>
      </c>
      <c r="Y412" s="2">
        <f t="shared" si="145"/>
        <v>4.7951051168372859E-2</v>
      </c>
      <c r="Z412" s="2">
        <f t="shared" si="146"/>
        <v>0.1225667131920412</v>
      </c>
      <c r="AA412" s="2" t="str">
        <f t="shared" si="147"/>
        <v>No Impact</v>
      </c>
      <c r="AB412" s="2">
        <f t="shared" si="148"/>
        <v>3.753693292476936E-2</v>
      </c>
      <c r="AC412" s="2">
        <f t="shared" si="149"/>
        <v>0.13638288517056146</v>
      </c>
      <c r="AD412" s="2" t="str">
        <f t="shared" si="150"/>
        <v>No Impact</v>
      </c>
      <c r="AE412" s="2">
        <f t="shared" si="151"/>
        <v>1.205115757440225E-2</v>
      </c>
      <c r="AF412" s="2">
        <f t="shared" si="152"/>
        <v>9.1807112566225688E-2</v>
      </c>
      <c r="AG412" s="2" t="s">
        <v>1175</v>
      </c>
    </row>
    <row r="413" spans="1:33" x14ac:dyDescent="0.3">
      <c r="A413">
        <v>506944</v>
      </c>
      <c r="B413" t="s">
        <v>837</v>
      </c>
      <c r="C413" t="s">
        <v>831</v>
      </c>
      <c r="D413" t="s">
        <v>838</v>
      </c>
      <c r="E413" s="13">
        <v>6.5</v>
      </c>
      <c r="F413" s="14">
        <f t="shared" si="133"/>
        <v>0.73333333333333328</v>
      </c>
      <c r="G413" s="2">
        <v>60.959401200000002</v>
      </c>
      <c r="H413" s="2">
        <f t="shared" si="134"/>
        <v>0.30625949746308567</v>
      </c>
      <c r="I413" s="2">
        <v>17.600000000000001</v>
      </c>
      <c r="J413" s="4">
        <f t="shared" si="135"/>
        <v>0.1391304347826087</v>
      </c>
      <c r="K413" s="2">
        <v>0</v>
      </c>
      <c r="L413" s="4">
        <f t="shared" si="136"/>
        <v>0</v>
      </c>
      <c r="M413" s="2">
        <v>32668</v>
      </c>
      <c r="N413" s="2">
        <f t="shared" si="137"/>
        <v>0.15343524813936874</v>
      </c>
      <c r="O413" s="2">
        <v>0.705817849</v>
      </c>
      <c r="P413" s="2">
        <f t="shared" si="138"/>
        <v>0.73790330116397584</v>
      </c>
      <c r="Q413" s="2">
        <v>0.23769999999999999</v>
      </c>
      <c r="R413" s="2">
        <f t="shared" si="139"/>
        <v>0.52895193977996524</v>
      </c>
      <c r="S413" s="2">
        <f t="shared" si="140"/>
        <v>7.2411386474237657E-2</v>
      </c>
      <c r="T413" s="5">
        <f t="shared" si="141"/>
        <v>0.18912516219322051</v>
      </c>
      <c r="U413" s="2" t="str">
        <f t="shared" si="142"/>
        <v>Low</v>
      </c>
      <c r="V413" s="2">
        <f t="shared" si="143"/>
        <v>6.0468066279089003E-2</v>
      </c>
      <c r="W413" s="2">
        <f t="shared" si="144"/>
        <v>0.14667341853684362</v>
      </c>
      <c r="X413" s="2" t="s">
        <v>1176</v>
      </c>
      <c r="Y413" s="2">
        <f t="shared" si="145"/>
        <v>8.4354706669386312E-2</v>
      </c>
      <c r="Z413" s="2">
        <f t="shared" si="146"/>
        <v>0.21561736159737824</v>
      </c>
      <c r="AA413" s="2" t="str">
        <f t="shared" si="147"/>
        <v>Low</v>
      </c>
      <c r="AB413" s="2">
        <f t="shared" si="148"/>
        <v>5.260931177559542E-2</v>
      </c>
      <c r="AC413" s="2">
        <f t="shared" si="149"/>
        <v>0.19114533787758534</v>
      </c>
      <c r="AD413" s="2" t="str">
        <f t="shared" si="150"/>
        <v>Low</v>
      </c>
      <c r="AE413" s="2">
        <f t="shared" si="151"/>
        <v>1.7540218791709646E-2</v>
      </c>
      <c r="AF413" s="2">
        <f t="shared" si="152"/>
        <v>0.13362341593368371</v>
      </c>
      <c r="AG413" s="2" t="s">
        <v>1175</v>
      </c>
    </row>
    <row r="414" spans="1:33" x14ac:dyDescent="0.3">
      <c r="A414">
        <v>506963</v>
      </c>
      <c r="B414" t="s">
        <v>839</v>
      </c>
      <c r="C414" t="s">
        <v>831</v>
      </c>
      <c r="D414" t="s">
        <v>840</v>
      </c>
      <c r="E414" s="13">
        <v>6.5</v>
      </c>
      <c r="F414" s="14">
        <f t="shared" si="133"/>
        <v>0.73333333333333328</v>
      </c>
      <c r="G414" s="2">
        <v>57.236353200000003</v>
      </c>
      <c r="H414" s="2">
        <f t="shared" si="134"/>
        <v>0.26603515383822829</v>
      </c>
      <c r="I414" s="2">
        <v>15</v>
      </c>
      <c r="J414" s="4">
        <f t="shared" si="135"/>
        <v>0.11857707509881422</v>
      </c>
      <c r="K414" s="2">
        <v>0</v>
      </c>
      <c r="L414" s="4">
        <f t="shared" si="136"/>
        <v>0</v>
      </c>
      <c r="M414" s="2">
        <v>46818</v>
      </c>
      <c r="N414" s="2">
        <f t="shared" si="137"/>
        <v>0.22038485377543729</v>
      </c>
      <c r="O414" s="2">
        <v>0.33944766900000001</v>
      </c>
      <c r="P414" s="2">
        <f t="shared" si="138"/>
        <v>0.31467608349632048</v>
      </c>
      <c r="Q414" s="2">
        <v>0.24510000000000001</v>
      </c>
      <c r="R414" s="2">
        <f t="shared" si="139"/>
        <v>0.55037637521713967</v>
      </c>
      <c r="S414" s="2">
        <f t="shared" si="140"/>
        <v>4.2697751800967451E-2</v>
      </c>
      <c r="T414" s="5">
        <f t="shared" si="141"/>
        <v>0.11151863854335704</v>
      </c>
      <c r="U414" s="2" t="str">
        <f t="shared" si="142"/>
        <v>No Impact</v>
      </c>
      <c r="V414" s="2">
        <f t="shared" si="143"/>
        <v>5.4331581002815564E-2</v>
      </c>
      <c r="W414" s="2">
        <f t="shared" si="144"/>
        <v>0.13178854907338453</v>
      </c>
      <c r="X414" s="2" t="s">
        <v>1176</v>
      </c>
      <c r="Y414" s="2">
        <f t="shared" si="145"/>
        <v>3.1063922599119338E-2</v>
      </c>
      <c r="Z414" s="2">
        <f t="shared" si="146"/>
        <v>7.9401865007232231E-2</v>
      </c>
      <c r="AA414" s="2" t="str">
        <f t="shared" si="147"/>
        <v>No Impact</v>
      </c>
      <c r="AB414" s="2">
        <f t="shared" si="148"/>
        <v>3.594974689752365E-2</v>
      </c>
      <c r="AC414" s="2">
        <f t="shared" si="149"/>
        <v>0.13061616442829929</v>
      </c>
      <c r="AD414" s="2" t="str">
        <f t="shared" si="150"/>
        <v>No Impact</v>
      </c>
      <c r="AE414" s="2">
        <f t="shared" si="151"/>
        <v>2.1755762190864014E-2</v>
      </c>
      <c r="AF414" s="2">
        <f t="shared" si="152"/>
        <v>0.16573791323276754</v>
      </c>
      <c r="AG414" s="2" t="s">
        <v>1175</v>
      </c>
    </row>
    <row r="415" spans="1:33" x14ac:dyDescent="0.3">
      <c r="A415">
        <v>506991</v>
      </c>
      <c r="B415" t="s">
        <v>841</v>
      </c>
      <c r="C415" t="s">
        <v>831</v>
      </c>
      <c r="D415" t="s">
        <v>842</v>
      </c>
      <c r="E415" s="13">
        <v>6.5</v>
      </c>
      <c r="F415" s="14">
        <f t="shared" si="133"/>
        <v>0.73333333333333328</v>
      </c>
      <c r="G415" s="2">
        <v>51.094555200000002</v>
      </c>
      <c r="H415" s="2">
        <f t="shared" si="134"/>
        <v>0.1996782889182859</v>
      </c>
      <c r="I415" s="2">
        <v>17.7</v>
      </c>
      <c r="J415" s="4">
        <f t="shared" si="135"/>
        <v>0.13992094861660079</v>
      </c>
      <c r="K415" s="2">
        <v>0</v>
      </c>
      <c r="L415" s="4">
        <f t="shared" si="136"/>
        <v>0</v>
      </c>
      <c r="M415" s="2">
        <v>38033</v>
      </c>
      <c r="N415" s="2">
        <f t="shared" si="137"/>
        <v>0.17881932123035868</v>
      </c>
      <c r="O415" s="2">
        <v>0.69627307800000005</v>
      </c>
      <c r="P415" s="2">
        <f t="shared" si="138"/>
        <v>0.72687727586463258</v>
      </c>
      <c r="Q415" s="2">
        <v>0.18940000000000001</v>
      </c>
      <c r="R415" s="2">
        <f t="shared" si="139"/>
        <v>0.38911407064273312</v>
      </c>
      <c r="S415" s="2">
        <f t="shared" si="140"/>
        <v>4.863702566407721E-2</v>
      </c>
      <c r="T415" s="5">
        <f t="shared" si="141"/>
        <v>0.12703092448847178</v>
      </c>
      <c r="U415" s="2" t="str">
        <f t="shared" si="142"/>
        <v>No Impact</v>
      </c>
      <c r="V415" s="2">
        <f t="shared" si="143"/>
        <v>3.3916662704121164E-2</v>
      </c>
      <c r="W415" s="2">
        <f t="shared" si="144"/>
        <v>8.2269422032019798E-2</v>
      </c>
      <c r="X415" s="2" t="s">
        <v>1176</v>
      </c>
      <c r="Y415" s="2">
        <f t="shared" si="145"/>
        <v>6.3357388624033256E-2</v>
      </c>
      <c r="Z415" s="2">
        <f t="shared" si="146"/>
        <v>0.1619465411260991</v>
      </c>
      <c r="AA415" s="2" t="str">
        <f t="shared" si="147"/>
        <v>Low</v>
      </c>
      <c r="AB415" s="2">
        <f t="shared" si="148"/>
        <v>3.6333348845964883E-2</v>
      </c>
      <c r="AC415" s="2">
        <f t="shared" si="149"/>
        <v>0.13200990484364744</v>
      </c>
      <c r="AD415" s="2" t="str">
        <f t="shared" si="150"/>
        <v>No Impact</v>
      </c>
      <c r="AE415" s="2">
        <f t="shared" si="151"/>
        <v>1.5586572320892845E-2</v>
      </c>
      <c r="AF415" s="2">
        <f t="shared" si="152"/>
        <v>0.11874031110715139</v>
      </c>
      <c r="AG415" s="2" t="s">
        <v>1175</v>
      </c>
    </row>
    <row r="416" spans="1:33" x14ac:dyDescent="0.3">
      <c r="A416">
        <v>507018</v>
      </c>
      <c r="B416" t="s">
        <v>843</v>
      </c>
      <c r="C416" t="s">
        <v>382</v>
      </c>
      <c r="D416" t="s">
        <v>844</v>
      </c>
      <c r="E416" s="13">
        <v>5</v>
      </c>
      <c r="F416" s="14">
        <f t="shared" si="133"/>
        <v>0.39999999999999997</v>
      </c>
      <c r="G416" s="2">
        <v>43.314476399999997</v>
      </c>
      <c r="H416" s="2">
        <f t="shared" si="134"/>
        <v>0.11562120368068805</v>
      </c>
      <c r="I416" s="2">
        <v>11.1</v>
      </c>
      <c r="J416" s="4">
        <f t="shared" si="135"/>
        <v>8.7747035573122523E-2</v>
      </c>
      <c r="K416" s="2">
        <v>0</v>
      </c>
      <c r="L416" s="4">
        <f t="shared" si="136"/>
        <v>0</v>
      </c>
      <c r="M416" s="2">
        <v>11807</v>
      </c>
      <c r="N416" s="2">
        <f t="shared" si="137"/>
        <v>5.4733076890320934E-2</v>
      </c>
      <c r="O416" s="2">
        <v>0.81925989899999996</v>
      </c>
      <c r="P416" s="2">
        <f t="shared" si="138"/>
        <v>0.86895043820994133</v>
      </c>
      <c r="Q416" s="2">
        <v>0.2268</v>
      </c>
      <c r="R416" s="2">
        <f t="shared" si="139"/>
        <v>0.49739432541980316</v>
      </c>
      <c r="S416" s="2">
        <f t="shared" si="140"/>
        <v>1.9450979015513157E-2</v>
      </c>
      <c r="T416" s="5">
        <f t="shared" si="141"/>
        <v>5.0802363277972072E-2</v>
      </c>
      <c r="U416" s="2" t="str">
        <f t="shared" si="142"/>
        <v>No Impact</v>
      </c>
      <c r="V416" s="2">
        <f t="shared" si="143"/>
        <v>1.4161589144564713E-2</v>
      </c>
      <c r="W416" s="2">
        <f t="shared" si="144"/>
        <v>3.4350837054398606E-2</v>
      </c>
      <c r="X416" s="2" t="s">
        <v>1176</v>
      </c>
      <c r="Y416" s="2">
        <f t="shared" si="145"/>
        <v>2.4740368886461601E-2</v>
      </c>
      <c r="Z416" s="2">
        <f t="shared" si="146"/>
        <v>6.3238357109724572E-2</v>
      </c>
      <c r="AA416" s="2" t="str">
        <f t="shared" si="147"/>
        <v>No Impact</v>
      </c>
      <c r="AB416" s="2">
        <f t="shared" si="148"/>
        <v>1.2924084370866402E-2</v>
      </c>
      <c r="AC416" s="2">
        <f t="shared" si="149"/>
        <v>4.6957057419132517E-2</v>
      </c>
      <c r="AD416" s="2" t="str">
        <f t="shared" si="150"/>
        <v>No Impact</v>
      </c>
      <c r="AE416" s="2">
        <f t="shared" si="151"/>
        <v>1.5583357266579195E-3</v>
      </c>
      <c r="AF416" s="2">
        <f t="shared" si="152"/>
        <v>1.1871581845144943E-2</v>
      </c>
      <c r="AG416" s="2" t="s">
        <v>1176</v>
      </c>
    </row>
    <row r="417" spans="1:33" x14ac:dyDescent="0.3">
      <c r="A417">
        <v>507037</v>
      </c>
      <c r="B417" t="s">
        <v>845</v>
      </c>
      <c r="C417" t="s">
        <v>382</v>
      </c>
      <c r="D417" t="s">
        <v>846</v>
      </c>
      <c r="E417" s="13">
        <v>5.3</v>
      </c>
      <c r="F417" s="14">
        <f t="shared" si="133"/>
        <v>0.46666666666666656</v>
      </c>
      <c r="G417" s="2">
        <v>46.323853200000002</v>
      </c>
      <c r="H417" s="2">
        <f t="shared" si="134"/>
        <v>0.14813494148365861</v>
      </c>
      <c r="I417" s="2">
        <v>10.6</v>
      </c>
      <c r="J417" s="4">
        <f t="shared" si="135"/>
        <v>8.3794466403162057E-2</v>
      </c>
      <c r="K417" s="2">
        <v>0</v>
      </c>
      <c r="L417" s="4">
        <f t="shared" si="136"/>
        <v>0</v>
      </c>
      <c r="M417" s="2">
        <v>29737</v>
      </c>
      <c r="N417" s="2">
        <f t="shared" si="137"/>
        <v>0.13956745350196118</v>
      </c>
      <c r="O417" s="2">
        <v>0.82508137100000001</v>
      </c>
      <c r="P417" s="2">
        <f t="shared" si="138"/>
        <v>0.87567534523509871</v>
      </c>
      <c r="Q417" s="2">
        <v>0.20530000000000001</v>
      </c>
      <c r="R417" s="2">
        <f t="shared" si="139"/>
        <v>0.43514765489287788</v>
      </c>
      <c r="S417" s="2">
        <f t="shared" si="140"/>
        <v>2.4828169518235438E-2</v>
      </c>
      <c r="T417" s="5">
        <f t="shared" si="141"/>
        <v>6.4846591340543533E-2</v>
      </c>
      <c r="U417" s="2" t="str">
        <f t="shared" si="142"/>
        <v>No Impact</v>
      </c>
      <c r="V417" s="2">
        <f t="shared" si="143"/>
        <v>1.6484177863965142E-2</v>
      </c>
      <c r="W417" s="2">
        <f t="shared" si="144"/>
        <v>3.9984588028958518E-2</v>
      </c>
      <c r="X417" s="2" t="s">
        <v>1176</v>
      </c>
      <c r="Y417" s="2">
        <f t="shared" si="145"/>
        <v>3.3172161172505731E-2</v>
      </c>
      <c r="Z417" s="2">
        <f t="shared" si="146"/>
        <v>8.4790691034368024E-2</v>
      </c>
      <c r="AA417" s="2" t="str">
        <f t="shared" si="147"/>
        <v>No Impact</v>
      </c>
      <c r="AB417" s="2">
        <f t="shared" si="148"/>
        <v>1.757158399078728E-2</v>
      </c>
      <c r="AC417" s="2">
        <f t="shared" si="149"/>
        <v>6.3842811198329741E-2</v>
      </c>
      <c r="AD417" s="2" t="str">
        <f t="shared" si="150"/>
        <v>No Impact</v>
      </c>
      <c r="AE417" s="2">
        <f t="shared" si="151"/>
        <v>5.2870668189936004E-3</v>
      </c>
      <c r="AF417" s="2">
        <f t="shared" si="152"/>
        <v>4.0277486672941301E-2</v>
      </c>
      <c r="AG417" s="2" t="s">
        <v>1176</v>
      </c>
    </row>
    <row r="418" spans="1:33" x14ac:dyDescent="0.3">
      <c r="A418">
        <v>507056</v>
      </c>
      <c r="B418" t="s">
        <v>847</v>
      </c>
      <c r="C418" t="s">
        <v>382</v>
      </c>
      <c r="D418" t="s">
        <v>848</v>
      </c>
      <c r="E418" s="13">
        <v>5</v>
      </c>
      <c r="F418" s="14">
        <f t="shared" si="133"/>
        <v>0.39999999999999997</v>
      </c>
      <c r="G418" s="2">
        <v>46.323853200000002</v>
      </c>
      <c r="H418" s="2">
        <f t="shared" si="134"/>
        <v>0.14813494148365861</v>
      </c>
      <c r="I418" s="2">
        <v>12.2</v>
      </c>
      <c r="J418" s="4">
        <f t="shared" si="135"/>
        <v>9.6442687747035571E-2</v>
      </c>
      <c r="K418" s="2">
        <v>0</v>
      </c>
      <c r="L418" s="4">
        <f t="shared" si="136"/>
        <v>0</v>
      </c>
      <c r="M418" s="2">
        <v>14402</v>
      </c>
      <c r="N418" s="2">
        <f t="shared" si="137"/>
        <v>6.7011114107677683E-2</v>
      </c>
      <c r="O418" s="2">
        <v>0.69754317799999999</v>
      </c>
      <c r="P418" s="2">
        <f t="shared" si="138"/>
        <v>0.72834448285500408</v>
      </c>
      <c r="Q418" s="2">
        <v>0.2167</v>
      </c>
      <c r="R418" s="2">
        <f t="shared" si="139"/>
        <v>0.46815286624203828</v>
      </c>
      <c r="S418" s="2">
        <f t="shared" si="140"/>
        <v>2.0484553951607538E-2</v>
      </c>
      <c r="T418" s="5">
        <f t="shared" si="141"/>
        <v>5.3501870039898841E-2</v>
      </c>
      <c r="U418" s="2" t="str">
        <f t="shared" si="142"/>
        <v>No Impact</v>
      </c>
      <c r="V418" s="2">
        <f t="shared" si="143"/>
        <v>1.6029960540024479E-2</v>
      </c>
      <c r="W418" s="2">
        <f t="shared" si="144"/>
        <v>3.8882822886452659E-2</v>
      </c>
      <c r="X418" s="2" t="s">
        <v>1176</v>
      </c>
      <c r="Y418" s="2">
        <f t="shared" si="145"/>
        <v>2.4939147363190597E-2</v>
      </c>
      <c r="Z418" s="2">
        <f t="shared" si="146"/>
        <v>6.37464507584007E-2</v>
      </c>
      <c r="AA418" s="2" t="str">
        <f t="shared" si="147"/>
        <v>No Impact</v>
      </c>
      <c r="AB418" s="2">
        <f t="shared" si="148"/>
        <v>1.3895311949573351E-2</v>
      </c>
      <c r="AC418" s="2">
        <f t="shared" si="149"/>
        <v>5.0485817203709031E-2</v>
      </c>
      <c r="AD418" s="2" t="str">
        <f t="shared" si="150"/>
        <v>No Impact</v>
      </c>
      <c r="AE418" s="2">
        <f t="shared" si="151"/>
        <v>2.2945187188788663E-3</v>
      </c>
      <c r="AF418" s="2">
        <f t="shared" si="152"/>
        <v>1.7479909046818076E-2</v>
      </c>
      <c r="AG418" s="2" t="s">
        <v>1176</v>
      </c>
    </row>
    <row r="419" spans="1:33" x14ac:dyDescent="0.3">
      <c r="A419">
        <v>507066</v>
      </c>
      <c r="B419" t="s">
        <v>849</v>
      </c>
      <c r="C419" t="s">
        <v>382</v>
      </c>
      <c r="D419" t="s">
        <v>1151</v>
      </c>
      <c r="E419" s="13">
        <v>5</v>
      </c>
      <c r="F419" s="14">
        <f t="shared" si="133"/>
        <v>0.39999999999999997</v>
      </c>
      <c r="G419" s="2">
        <v>48.176586</v>
      </c>
      <c r="H419" s="2">
        <f t="shared" si="134"/>
        <v>0.16815213191264153</v>
      </c>
      <c r="I419" s="2">
        <v>16.8</v>
      </c>
      <c r="J419" s="4">
        <f t="shared" si="135"/>
        <v>0.13280632411067195</v>
      </c>
      <c r="K419" s="2">
        <v>0</v>
      </c>
      <c r="L419" s="4">
        <f t="shared" si="136"/>
        <v>0</v>
      </c>
      <c r="M419" s="2">
        <v>71171</v>
      </c>
      <c r="N419" s="2">
        <f t="shared" si="137"/>
        <v>0.33560914678287035</v>
      </c>
      <c r="O419" s="2">
        <v>0.53317454900000005</v>
      </c>
      <c r="P419" s="2">
        <f t="shared" si="138"/>
        <v>0.53846746414262681</v>
      </c>
      <c r="Q419" s="2">
        <v>0.20899999999999999</v>
      </c>
      <c r="R419" s="2">
        <f t="shared" si="139"/>
        <v>0.44585987261146498</v>
      </c>
      <c r="S419" s="2">
        <f t="shared" si="140"/>
        <v>2.0736914484373609E-2</v>
      </c>
      <c r="T419" s="5">
        <f t="shared" si="141"/>
        <v>5.4160989123435949E-2</v>
      </c>
      <c r="U419" s="2" t="str">
        <f t="shared" si="142"/>
        <v>No Impact</v>
      </c>
      <c r="V419" s="2">
        <f t="shared" si="143"/>
        <v>1.8785941840945678E-2</v>
      </c>
      <c r="W419" s="2">
        <f t="shared" si="144"/>
        <v>4.5567825793011954E-2</v>
      </c>
      <c r="X419" s="2" t="s">
        <v>1176</v>
      </c>
      <c r="Y419" s="2">
        <f t="shared" si="145"/>
        <v>2.2687887127801537E-2</v>
      </c>
      <c r="Z419" s="2">
        <f t="shared" si="146"/>
        <v>5.7992049950320528E-2</v>
      </c>
      <c r="AA419" s="2" t="str">
        <f t="shared" si="147"/>
        <v>No Impact</v>
      </c>
      <c r="AB419" s="2">
        <f t="shared" si="148"/>
        <v>1.8330661904182085E-2</v>
      </c>
      <c r="AC419" s="2">
        <f t="shared" si="149"/>
        <v>6.6600767904742494E-2</v>
      </c>
      <c r="AD419" s="2" t="str">
        <f t="shared" si="150"/>
        <v>No Impact</v>
      </c>
      <c r="AE419" s="2">
        <f t="shared" si="151"/>
        <v>1.4140617490030392E-2</v>
      </c>
      <c r="AF419" s="2">
        <f t="shared" si="152"/>
        <v>0.10772485992720518</v>
      </c>
      <c r="AG419" s="2" t="s">
        <v>1175</v>
      </c>
    </row>
    <row r="420" spans="1:33" x14ac:dyDescent="0.3">
      <c r="A420">
        <v>507088</v>
      </c>
      <c r="B420" t="s">
        <v>850</v>
      </c>
      <c r="C420" t="s">
        <v>382</v>
      </c>
      <c r="D420" t="s">
        <v>1150</v>
      </c>
      <c r="E420" s="13">
        <v>5.2</v>
      </c>
      <c r="F420" s="14">
        <f t="shared" si="133"/>
        <v>0.44444444444444442</v>
      </c>
      <c r="G420" s="2">
        <v>46.5769764</v>
      </c>
      <c r="H420" s="2">
        <f t="shared" si="134"/>
        <v>0.15086972077638416</v>
      </c>
      <c r="I420" s="2">
        <v>19.3</v>
      </c>
      <c r="J420" s="4">
        <f t="shared" si="135"/>
        <v>0.15256916996047432</v>
      </c>
      <c r="K420" s="2">
        <v>0</v>
      </c>
      <c r="L420" s="4">
        <f t="shared" si="136"/>
        <v>0</v>
      </c>
      <c r="M420" s="2">
        <v>62302</v>
      </c>
      <c r="N420" s="2">
        <f t="shared" si="137"/>
        <v>0.29364617488277905</v>
      </c>
      <c r="O420" s="2">
        <v>0.438278634</v>
      </c>
      <c r="P420" s="2">
        <f t="shared" si="138"/>
        <v>0.42884463928969707</v>
      </c>
      <c r="Q420" s="2">
        <v>0.25380000000000003</v>
      </c>
      <c r="R420" s="2">
        <f t="shared" si="139"/>
        <v>0.57556456282570945</v>
      </c>
      <c r="S420" s="2">
        <f t="shared" si="140"/>
        <v>2.3704863321672712E-2</v>
      </c>
      <c r="T420" s="5">
        <f t="shared" si="141"/>
        <v>6.1912723105702346E-2</v>
      </c>
      <c r="U420" s="2" t="str">
        <f t="shared" si="142"/>
        <v>No Impact</v>
      </c>
      <c r="V420" s="2">
        <f t="shared" si="143"/>
        <v>2.7167571276421047E-2</v>
      </c>
      <c r="W420" s="2">
        <f t="shared" si="144"/>
        <v>6.5898594045730882E-2</v>
      </c>
      <c r="X420" s="2" t="s">
        <v>1176</v>
      </c>
      <c r="Y420" s="2">
        <f t="shared" si="145"/>
        <v>2.0242155366924381E-2</v>
      </c>
      <c r="Z420" s="2">
        <f t="shared" si="146"/>
        <v>5.1740564404622776E-2</v>
      </c>
      <c r="AA420" s="2" t="str">
        <f t="shared" si="147"/>
        <v>No Impact</v>
      </c>
      <c r="AB420" s="2">
        <f t="shared" si="148"/>
        <v>2.0432496344826957E-2</v>
      </c>
      <c r="AC420" s="2">
        <f t="shared" si="149"/>
        <v>7.4237359997668853E-2</v>
      </c>
      <c r="AD420" s="2" t="str">
        <f t="shared" si="150"/>
        <v>No Impact</v>
      </c>
      <c r="AE420" s="2">
        <f t="shared" si="151"/>
        <v>1.3860570822863648E-2</v>
      </c>
      <c r="AF420" s="2">
        <f t="shared" si="152"/>
        <v>0.10559143201891986</v>
      </c>
      <c r="AG420" s="2" t="s">
        <v>1175</v>
      </c>
    </row>
    <row r="421" spans="1:33" x14ac:dyDescent="0.3">
      <c r="A421">
        <v>507605</v>
      </c>
      <c r="B421" t="s">
        <v>851</v>
      </c>
      <c r="C421" t="s">
        <v>852</v>
      </c>
      <c r="D421" t="s">
        <v>853</v>
      </c>
      <c r="E421" s="13">
        <v>5</v>
      </c>
      <c r="F421" s="14">
        <f t="shared" si="133"/>
        <v>0.39999999999999997</v>
      </c>
      <c r="G421" s="2">
        <v>61.451585999999999</v>
      </c>
      <c r="H421" s="2">
        <f t="shared" si="134"/>
        <v>0.31157713250892216</v>
      </c>
      <c r="I421" s="2">
        <v>23.1</v>
      </c>
      <c r="J421" s="4">
        <f t="shared" si="135"/>
        <v>0.18260869565217391</v>
      </c>
      <c r="K421" s="2">
        <v>0</v>
      </c>
      <c r="L421" s="4">
        <f t="shared" si="136"/>
        <v>0</v>
      </c>
      <c r="M421" s="2">
        <v>10847</v>
      </c>
      <c r="N421" s="2">
        <f t="shared" si="137"/>
        <v>5.019091283303289E-2</v>
      </c>
      <c r="O421" s="2">
        <v>0.485705946</v>
      </c>
      <c r="P421" s="2">
        <f t="shared" si="138"/>
        <v>0.48363220223823128</v>
      </c>
      <c r="Q421" s="2">
        <v>0.2616</v>
      </c>
      <c r="R421" s="2">
        <f t="shared" si="139"/>
        <v>0.59814707585408222</v>
      </c>
      <c r="S421" s="2">
        <f t="shared" si="140"/>
        <v>3.742199919020938E-2</v>
      </c>
      <c r="T421" s="5">
        <f t="shared" si="141"/>
        <v>9.7739347512161096E-2</v>
      </c>
      <c r="U421" s="2" t="str">
        <f t="shared" si="142"/>
        <v>No Impact</v>
      </c>
      <c r="V421" s="2">
        <f t="shared" si="143"/>
        <v>4.1383413126032255E-2</v>
      </c>
      <c r="W421" s="2">
        <f t="shared" si="144"/>
        <v>0.10038102832497398</v>
      </c>
      <c r="X421" s="2" t="s">
        <v>1176</v>
      </c>
      <c r="Y421" s="2">
        <f t="shared" si="145"/>
        <v>3.3460585254386499E-2</v>
      </c>
      <c r="Z421" s="2">
        <f t="shared" si="146"/>
        <v>8.5527926003366464E-2</v>
      </c>
      <c r="AA421" s="2" t="str">
        <f t="shared" si="147"/>
        <v>No Impact</v>
      </c>
      <c r="AB421" s="2">
        <f t="shared" si="148"/>
        <v>2.5737748423830375E-2</v>
      </c>
      <c r="AC421" s="2">
        <f t="shared" si="149"/>
        <v>9.3512924853799168E-2</v>
      </c>
      <c r="AD421" s="2" t="str">
        <f t="shared" si="150"/>
        <v>No Impact</v>
      </c>
      <c r="AE421" s="2">
        <f t="shared" si="151"/>
        <v>3.4725092954375238E-3</v>
      </c>
      <c r="AF421" s="2">
        <f t="shared" si="152"/>
        <v>2.6453977537449193E-2</v>
      </c>
      <c r="AG421" s="2" t="s">
        <v>1176</v>
      </c>
    </row>
    <row r="422" spans="1:33" x14ac:dyDescent="0.3">
      <c r="A422">
        <v>507616</v>
      </c>
      <c r="B422" t="s">
        <v>854</v>
      </c>
      <c r="C422" t="s">
        <v>852</v>
      </c>
      <c r="D422" t="s">
        <v>855</v>
      </c>
      <c r="E422" s="13">
        <v>4.9000000000000004</v>
      </c>
      <c r="F422" s="14">
        <f t="shared" si="133"/>
        <v>0.37777777777777782</v>
      </c>
      <c r="G422" s="2">
        <v>65.392603199999996</v>
      </c>
      <c r="H422" s="2">
        <f t="shared" si="134"/>
        <v>0.35415644657746848</v>
      </c>
      <c r="I422" s="2">
        <v>27.1</v>
      </c>
      <c r="J422" s="4">
        <f t="shared" si="135"/>
        <v>0.21422924901185772</v>
      </c>
      <c r="K422" s="2">
        <v>0</v>
      </c>
      <c r="L422" s="4">
        <f t="shared" si="136"/>
        <v>0</v>
      </c>
      <c r="M422" s="2">
        <v>28096</v>
      </c>
      <c r="N422" s="2">
        <f t="shared" si="137"/>
        <v>0.13180319181653441</v>
      </c>
      <c r="O422" s="2">
        <v>0.42041826599999998</v>
      </c>
      <c r="P422" s="2">
        <f t="shared" si="138"/>
        <v>0.40821251836992017</v>
      </c>
      <c r="Q422" s="2">
        <v>0.2482</v>
      </c>
      <c r="R422" s="2">
        <f t="shared" si="139"/>
        <v>0.55935147654892881</v>
      </c>
      <c r="S422" s="2">
        <f t="shared" si="140"/>
        <v>3.6357774766231851E-2</v>
      </c>
      <c r="T422" s="5">
        <f t="shared" si="141"/>
        <v>9.4959789950915599E-2</v>
      </c>
      <c r="U422" s="2" t="str">
        <f t="shared" si="142"/>
        <v>No Impact</v>
      </c>
      <c r="V422" s="2">
        <f t="shared" si="143"/>
        <v>4.2037064434649295E-2</v>
      </c>
      <c r="W422" s="2">
        <f t="shared" si="144"/>
        <v>0.10196654739091271</v>
      </c>
      <c r="X422" s="2" t="s">
        <v>1176</v>
      </c>
      <c r="Y422" s="2">
        <f t="shared" si="145"/>
        <v>3.0678485097814404E-2</v>
      </c>
      <c r="Z422" s="2">
        <f t="shared" si="146"/>
        <v>7.8416655996693202E-2</v>
      </c>
      <c r="AA422" s="2" t="str">
        <f t="shared" si="147"/>
        <v>No Impact</v>
      </c>
      <c r="AB422" s="2">
        <f t="shared" si="148"/>
        <v>2.7383420064897024E-2</v>
      </c>
      <c r="AC422" s="2">
        <f t="shared" si="149"/>
        <v>9.9492141293828051E-2</v>
      </c>
      <c r="AD422" s="2" t="str">
        <f t="shared" si="150"/>
        <v>No Impact</v>
      </c>
      <c r="AE422" s="2">
        <f t="shared" si="151"/>
        <v>9.9054342383584227E-3</v>
      </c>
      <c r="AF422" s="2">
        <f t="shared" si="152"/>
        <v>7.5460743959563106E-2</v>
      </c>
      <c r="AG422" s="2" t="s">
        <v>1175</v>
      </c>
    </row>
    <row r="423" spans="1:33" x14ac:dyDescent="0.3">
      <c r="A423">
        <v>507619</v>
      </c>
      <c r="B423" t="s">
        <v>856</v>
      </c>
      <c r="C423" t="s">
        <v>852</v>
      </c>
      <c r="D423" t="s">
        <v>857</v>
      </c>
      <c r="E423" s="13">
        <v>5.0999999999999996</v>
      </c>
      <c r="F423" s="14">
        <f t="shared" si="133"/>
        <v>0.42222222222222211</v>
      </c>
      <c r="G423" s="2">
        <v>55.942603200000001</v>
      </c>
      <c r="H423" s="2">
        <f t="shared" si="134"/>
        <v>0.25205729361062462</v>
      </c>
      <c r="I423" s="2">
        <v>20.6</v>
      </c>
      <c r="J423" s="4">
        <f t="shared" si="135"/>
        <v>0.16284584980237155</v>
      </c>
      <c r="K423" s="2">
        <v>0</v>
      </c>
      <c r="L423" s="4">
        <f t="shared" si="136"/>
        <v>0</v>
      </c>
      <c r="M423" s="2">
        <v>13803</v>
      </c>
      <c r="N423" s="2">
        <f t="shared" si="137"/>
        <v>6.4176992992765663E-2</v>
      </c>
      <c r="O423" s="2">
        <v>0.43528149999999999</v>
      </c>
      <c r="P423" s="2">
        <f t="shared" si="138"/>
        <v>0.42538237965984088</v>
      </c>
      <c r="Q423" s="2">
        <v>0.26019999999999999</v>
      </c>
      <c r="R423" s="2">
        <f t="shared" si="139"/>
        <v>0.59409380428488712</v>
      </c>
      <c r="S423" s="2">
        <f t="shared" si="140"/>
        <v>3.1253808419997774E-2</v>
      </c>
      <c r="T423" s="5">
        <f t="shared" si="141"/>
        <v>8.1629172902121946E-2</v>
      </c>
      <c r="U423" s="2" t="str">
        <f t="shared" si="142"/>
        <v>No Impact</v>
      </c>
      <c r="V423" s="2">
        <f t="shared" si="143"/>
        <v>3.6425949394486658E-2</v>
      </c>
      <c r="W423" s="2">
        <f t="shared" si="144"/>
        <v>8.8356034017695054E-2</v>
      </c>
      <c r="X423" s="2" t="s">
        <v>1176</v>
      </c>
      <c r="Y423" s="2">
        <f t="shared" si="145"/>
        <v>2.6081667445508896E-2</v>
      </c>
      <c r="Z423" s="2">
        <f t="shared" si="146"/>
        <v>6.6666823259807245E-2</v>
      </c>
      <c r="AA423" s="2" t="str">
        <f t="shared" si="147"/>
        <v>No Impact</v>
      </c>
      <c r="AB423" s="2">
        <f t="shared" si="148"/>
        <v>2.1950802345872742E-2</v>
      </c>
      <c r="AC423" s="2">
        <f t="shared" si="149"/>
        <v>7.9753819038406365E-2</v>
      </c>
      <c r="AD423" s="2" t="str">
        <f t="shared" si="150"/>
        <v>No Impact</v>
      </c>
      <c r="AE423" s="2">
        <f t="shared" si="151"/>
        <v>3.9349137832849716E-3</v>
      </c>
      <c r="AF423" s="2">
        <f t="shared" si="152"/>
        <v>2.997662842014203E-2</v>
      </c>
      <c r="AG423" s="2" t="s">
        <v>1176</v>
      </c>
    </row>
    <row r="424" spans="1:33" x14ac:dyDescent="0.3">
      <c r="A424">
        <v>507622</v>
      </c>
      <c r="B424" t="s">
        <v>858</v>
      </c>
      <c r="C424" t="s">
        <v>852</v>
      </c>
      <c r="D424" t="s">
        <v>859</v>
      </c>
      <c r="E424" s="13">
        <v>5</v>
      </c>
      <c r="F424" s="14">
        <f t="shared" si="133"/>
        <v>0.39999999999999997</v>
      </c>
      <c r="G424" s="2">
        <v>61.451585999999999</v>
      </c>
      <c r="H424" s="2">
        <f t="shared" si="134"/>
        <v>0.31157713250892216</v>
      </c>
      <c r="I424" s="2">
        <v>20.5</v>
      </c>
      <c r="J424" s="4">
        <f t="shared" si="135"/>
        <v>0.16205533596837945</v>
      </c>
      <c r="K424" s="2">
        <v>0</v>
      </c>
      <c r="L424" s="4">
        <f t="shared" si="136"/>
        <v>0</v>
      </c>
      <c r="M424" s="2">
        <v>30646</v>
      </c>
      <c r="N424" s="2">
        <f t="shared" si="137"/>
        <v>0.14386831509370579</v>
      </c>
      <c r="O424" s="2">
        <v>0.79541027200000003</v>
      </c>
      <c r="P424" s="2">
        <f t="shared" si="138"/>
        <v>0.84139958437783802</v>
      </c>
      <c r="Q424" s="2">
        <v>0.25369999999999998</v>
      </c>
      <c r="R424" s="2">
        <f t="shared" si="139"/>
        <v>0.57527504342790969</v>
      </c>
      <c r="S424" s="2">
        <f t="shared" si="140"/>
        <v>4.696881706977591E-2</v>
      </c>
      <c r="T424" s="5">
        <f t="shared" si="141"/>
        <v>0.12267387187104116</v>
      </c>
      <c r="U424" s="2" t="str">
        <f t="shared" si="142"/>
        <v>No Impact</v>
      </c>
      <c r="V424" s="2">
        <f t="shared" si="143"/>
        <v>3.8145651442100678E-2</v>
      </c>
      <c r="W424" s="2">
        <f t="shared" si="144"/>
        <v>9.2527402373087389E-2</v>
      </c>
      <c r="X424" s="2" t="s">
        <v>1176</v>
      </c>
      <c r="Y424" s="2">
        <f t="shared" si="145"/>
        <v>5.5791982697451135E-2</v>
      </c>
      <c r="Z424" s="2">
        <f t="shared" si="146"/>
        <v>0.14260875987227839</v>
      </c>
      <c r="AA424" s="2" t="str">
        <f t="shared" si="147"/>
        <v>No Impact</v>
      </c>
      <c r="AB424" s="2">
        <f t="shared" si="148"/>
        <v>3.3427467369432182E-2</v>
      </c>
      <c r="AC424" s="2">
        <f t="shared" si="149"/>
        <v>0.12145196979531782</v>
      </c>
      <c r="AD424" s="2" t="str">
        <f t="shared" si="150"/>
        <v>No Impact</v>
      </c>
      <c r="AE424" s="2">
        <f t="shared" si="151"/>
        <v>9.5396987298902933E-3</v>
      </c>
      <c r="AF424" s="2">
        <f t="shared" si="152"/>
        <v>7.2674528545143488E-2</v>
      </c>
      <c r="AG424" s="2" t="s">
        <v>1175</v>
      </c>
    </row>
    <row r="425" spans="1:33" x14ac:dyDescent="0.3">
      <c r="A425">
        <v>507633</v>
      </c>
      <c r="B425" t="s">
        <v>860</v>
      </c>
      <c r="C425" t="s">
        <v>852</v>
      </c>
      <c r="D425" t="s">
        <v>417</v>
      </c>
      <c r="E425" s="13">
        <v>5</v>
      </c>
      <c r="F425" s="14">
        <f t="shared" si="133"/>
        <v>0.39999999999999997</v>
      </c>
      <c r="G425" s="2">
        <v>61.451585999999999</v>
      </c>
      <c r="H425" s="2">
        <f t="shared" si="134"/>
        <v>0.31157713250892216</v>
      </c>
      <c r="I425" s="2">
        <v>21.4</v>
      </c>
      <c r="J425" s="4">
        <f t="shared" si="135"/>
        <v>0.1691699604743083</v>
      </c>
      <c r="K425" s="2">
        <v>0</v>
      </c>
      <c r="L425" s="4">
        <f t="shared" si="136"/>
        <v>0</v>
      </c>
      <c r="M425" s="2">
        <v>16518</v>
      </c>
      <c r="N425" s="2">
        <f t="shared" si="137"/>
        <v>7.7022800717283402E-2</v>
      </c>
      <c r="O425" s="2">
        <v>0.59002752400000003</v>
      </c>
      <c r="P425" s="2">
        <f t="shared" si="138"/>
        <v>0.60414346000391317</v>
      </c>
      <c r="Q425" s="2">
        <v>0.24990000000000001</v>
      </c>
      <c r="R425" s="2">
        <f t="shared" si="139"/>
        <v>0.56427330631152295</v>
      </c>
      <c r="S425" s="2">
        <f t="shared" si="140"/>
        <v>3.9319907465930864E-2</v>
      </c>
      <c r="T425" s="5">
        <f t="shared" si="141"/>
        <v>0.1026963332564043</v>
      </c>
      <c r="U425" s="2" t="str">
        <f t="shared" si="142"/>
        <v>No Impact</v>
      </c>
      <c r="V425" s="2">
        <f t="shared" si="143"/>
        <v>3.797818523202208E-2</v>
      </c>
      <c r="W425" s="2">
        <f t="shared" si="144"/>
        <v>9.2121190581754955E-2</v>
      </c>
      <c r="X425" s="2" t="s">
        <v>1176</v>
      </c>
      <c r="Y425" s="2">
        <f t="shared" si="145"/>
        <v>4.0661629699839649E-2</v>
      </c>
      <c r="Z425" s="2">
        <f t="shared" si="146"/>
        <v>0.10393437023604558</v>
      </c>
      <c r="AA425" s="2" t="str">
        <f t="shared" si="147"/>
        <v>No Impact</v>
      </c>
      <c r="AB425" s="2">
        <f t="shared" si="148"/>
        <v>2.7305249630534396E-2</v>
      </c>
      <c r="AC425" s="2">
        <f t="shared" si="149"/>
        <v>9.9208124765499062E-2</v>
      </c>
      <c r="AD425" s="2" t="str">
        <f t="shared" si="150"/>
        <v>No Impact</v>
      </c>
      <c r="AE425" s="2">
        <f t="shared" si="151"/>
        <v>5.1839882553564934E-3</v>
      </c>
      <c r="AF425" s="2">
        <f t="shared" si="152"/>
        <v>3.9492222250285529E-2</v>
      </c>
      <c r="AG425" s="2" t="s">
        <v>1176</v>
      </c>
    </row>
    <row r="426" spans="1:33" x14ac:dyDescent="0.3">
      <c r="A426">
        <v>507639</v>
      </c>
      <c r="B426" t="s">
        <v>861</v>
      </c>
      <c r="C426" t="s">
        <v>852</v>
      </c>
      <c r="D426" t="s">
        <v>862</v>
      </c>
      <c r="E426" s="13">
        <v>5.0999999999999996</v>
      </c>
      <c r="F426" s="14">
        <f t="shared" si="133"/>
        <v>0.42222222222222211</v>
      </c>
      <c r="G426" s="2">
        <v>61.451585999999999</v>
      </c>
      <c r="H426" s="2">
        <f t="shared" si="134"/>
        <v>0.31157713250892216</v>
      </c>
      <c r="I426" s="2">
        <v>21.1</v>
      </c>
      <c r="J426" s="4">
        <f t="shared" si="135"/>
        <v>0.16679841897233202</v>
      </c>
      <c r="K426" s="2">
        <v>0</v>
      </c>
      <c r="L426" s="4">
        <f t="shared" si="136"/>
        <v>0</v>
      </c>
      <c r="M426" s="2">
        <v>58204</v>
      </c>
      <c r="N426" s="2">
        <f t="shared" si="137"/>
        <v>0.27425681206323071</v>
      </c>
      <c r="O426" s="2">
        <v>0.76685145899999996</v>
      </c>
      <c r="P426" s="2">
        <f t="shared" si="138"/>
        <v>0.80840872533499541</v>
      </c>
      <c r="Q426" s="2">
        <v>0.21820000000000001</v>
      </c>
      <c r="R426" s="2">
        <f t="shared" si="139"/>
        <v>0.47249565720903308</v>
      </c>
      <c r="S426" s="2">
        <f t="shared" si="140"/>
        <v>4.5275663484686611E-2</v>
      </c>
      <c r="T426" s="5">
        <f t="shared" si="141"/>
        <v>0.11825166754669816</v>
      </c>
      <c r="U426" s="2" t="str">
        <f t="shared" si="142"/>
        <v>No Impact</v>
      </c>
      <c r="V426" s="2">
        <f t="shared" si="143"/>
        <v>3.3402265876058379E-2</v>
      </c>
      <c r="W426" s="2">
        <f t="shared" si="144"/>
        <v>8.1021683417256629E-2</v>
      </c>
      <c r="X426" s="2" t="s">
        <v>1176</v>
      </c>
      <c r="Y426" s="2">
        <f t="shared" si="145"/>
        <v>5.7149061093314822E-2</v>
      </c>
      <c r="Z426" s="2">
        <f t="shared" si="146"/>
        <v>0.14607756054446569</v>
      </c>
      <c r="AA426" s="2" t="str">
        <f t="shared" si="147"/>
        <v>No Impact</v>
      </c>
      <c r="AB426" s="2">
        <f t="shared" si="148"/>
        <v>3.5621350757486001E-2</v>
      </c>
      <c r="AC426" s="2">
        <f t="shared" si="149"/>
        <v>0.12942300319834552</v>
      </c>
      <c r="AD426" s="2" t="str">
        <f t="shared" si="150"/>
        <v>No Impact</v>
      </c>
      <c r="AE426" s="2">
        <f t="shared" si="151"/>
        <v>1.9388112493917489E-2</v>
      </c>
      <c r="AF426" s="2">
        <f t="shared" si="152"/>
        <v>0.14770088393471345</v>
      </c>
      <c r="AG426" s="2" t="s">
        <v>1175</v>
      </c>
    </row>
    <row r="427" spans="1:33" x14ac:dyDescent="0.3">
      <c r="A427">
        <v>507655</v>
      </c>
      <c r="B427" t="s">
        <v>863</v>
      </c>
      <c r="C427" t="s">
        <v>852</v>
      </c>
      <c r="D427" t="s">
        <v>864</v>
      </c>
      <c r="E427" s="13">
        <v>5.0999999999999996</v>
      </c>
      <c r="F427" s="14">
        <f t="shared" si="133"/>
        <v>0.42222222222222211</v>
      </c>
      <c r="G427" s="2">
        <v>62.073853200000002</v>
      </c>
      <c r="H427" s="2">
        <f t="shared" si="134"/>
        <v>0.31830019642839835</v>
      </c>
      <c r="I427" s="2">
        <v>25.8</v>
      </c>
      <c r="J427" s="4">
        <f t="shared" si="135"/>
        <v>0.20395256916996049</v>
      </c>
      <c r="K427" s="2">
        <v>0</v>
      </c>
      <c r="L427" s="4">
        <f t="shared" si="136"/>
        <v>0</v>
      </c>
      <c r="M427" s="2">
        <v>95538</v>
      </c>
      <c r="N427" s="2">
        <f t="shared" si="137"/>
        <v>0.45089967968280553</v>
      </c>
      <c r="O427" s="2">
        <v>0.44126817699999998</v>
      </c>
      <c r="P427" s="2">
        <f t="shared" si="138"/>
        <v>0.43229812987123895</v>
      </c>
      <c r="Q427" s="2">
        <v>0.24340000000000001</v>
      </c>
      <c r="R427" s="2">
        <f t="shared" si="139"/>
        <v>0.54545454545454553</v>
      </c>
      <c r="S427" s="2">
        <f t="shared" si="140"/>
        <v>3.7730181752828502E-2</v>
      </c>
      <c r="T427" s="5">
        <f t="shared" si="141"/>
        <v>9.8544263423572351E-2</v>
      </c>
      <c r="U427" s="2" t="str">
        <f t="shared" si="142"/>
        <v>No Impact</v>
      </c>
      <c r="V427" s="2">
        <f t="shared" si="143"/>
        <v>4.2096738075504063E-2</v>
      </c>
      <c r="W427" s="2">
        <f t="shared" si="144"/>
        <v>0.10211129382385323</v>
      </c>
      <c r="X427" s="2" t="s">
        <v>1176</v>
      </c>
      <c r="Y427" s="2">
        <f t="shared" si="145"/>
        <v>3.3363625430152935E-2</v>
      </c>
      <c r="Z427" s="2">
        <f t="shared" si="146"/>
        <v>8.5280088955409852E-2</v>
      </c>
      <c r="AA427" s="2" t="str">
        <f t="shared" si="147"/>
        <v>No Impact</v>
      </c>
      <c r="AB427" s="2">
        <f t="shared" si="148"/>
        <v>3.6922681288581068E-2</v>
      </c>
      <c r="AC427" s="2">
        <f t="shared" si="149"/>
        <v>0.13415112557176861</v>
      </c>
      <c r="AD427" s="2" t="str">
        <f t="shared" si="150"/>
        <v>No Impact</v>
      </c>
      <c r="AE427" s="2">
        <f t="shared" si="151"/>
        <v>3.4799243808882198E-2</v>
      </c>
      <c r="AF427" s="2">
        <f t="shared" si="152"/>
        <v>0.26510466516242914</v>
      </c>
      <c r="AG427" s="2" t="s">
        <v>1175</v>
      </c>
    </row>
    <row r="428" spans="1:33" x14ac:dyDescent="0.3">
      <c r="A428">
        <v>507672</v>
      </c>
      <c r="B428" t="s">
        <v>865</v>
      </c>
      <c r="C428" t="s">
        <v>852</v>
      </c>
      <c r="D428" t="s">
        <v>866</v>
      </c>
      <c r="E428" s="13">
        <v>5</v>
      </c>
      <c r="F428" s="14">
        <f t="shared" si="133"/>
        <v>0.39999999999999997</v>
      </c>
      <c r="G428" s="2">
        <v>59.929524000000001</v>
      </c>
      <c r="H428" s="2">
        <f t="shared" si="134"/>
        <v>0.2951325567456396</v>
      </c>
      <c r="I428" s="2">
        <v>22.2</v>
      </c>
      <c r="J428" s="4">
        <f t="shared" si="135"/>
        <v>0.17549407114624505</v>
      </c>
      <c r="K428" s="2">
        <v>0</v>
      </c>
      <c r="L428" s="4">
        <f t="shared" si="136"/>
        <v>0</v>
      </c>
      <c r="M428" s="2">
        <v>62096</v>
      </c>
      <c r="N428" s="2">
        <f t="shared" si="137"/>
        <v>0.29267150217881932</v>
      </c>
      <c r="O428" s="2">
        <v>0.40221934999999998</v>
      </c>
      <c r="P428" s="2">
        <f t="shared" si="138"/>
        <v>0.38718931014034375</v>
      </c>
      <c r="Q428" s="2">
        <v>0.27260000000000001</v>
      </c>
      <c r="R428" s="2">
        <f t="shared" si="139"/>
        <v>0.62999420961204411</v>
      </c>
      <c r="S428" s="2">
        <f t="shared" si="140"/>
        <v>3.3509955489378518E-2</v>
      </c>
      <c r="T428" s="5">
        <f t="shared" si="141"/>
        <v>8.7521812184483988E-2</v>
      </c>
      <c r="U428" s="2" t="str">
        <f t="shared" si="142"/>
        <v>No Impact</v>
      </c>
      <c r="V428" s="2">
        <f t="shared" si="143"/>
        <v>4.1508887064558117E-2</v>
      </c>
      <c r="W428" s="2">
        <f t="shared" si="144"/>
        <v>0.10068538222006843</v>
      </c>
      <c r="X428" s="2" t="s">
        <v>1176</v>
      </c>
      <c r="Y428" s="2">
        <f t="shared" si="145"/>
        <v>2.5511023914198905E-2</v>
      </c>
      <c r="Z428" s="2">
        <f t="shared" si="146"/>
        <v>6.5208212857474773E-2</v>
      </c>
      <c r="AA428" s="2" t="str">
        <f t="shared" si="147"/>
        <v>No Impact</v>
      </c>
      <c r="AB428" s="2">
        <f t="shared" si="148"/>
        <v>2.8930628752228047E-2</v>
      </c>
      <c r="AC428" s="2">
        <f t="shared" si="149"/>
        <v>0.10511361242366354</v>
      </c>
      <c r="AD428" s="2" t="str">
        <f t="shared" si="150"/>
        <v>No Impact</v>
      </c>
      <c r="AE428" s="2">
        <f t="shared" si="151"/>
        <v>1.9283460301065813E-2</v>
      </c>
      <c r="AF428" s="2">
        <f t="shared" si="152"/>
        <v>0.14690363142265236</v>
      </c>
      <c r="AG428" s="2" t="s">
        <v>1175</v>
      </c>
    </row>
    <row r="429" spans="1:33" x14ac:dyDescent="0.3">
      <c r="A429">
        <v>507683</v>
      </c>
      <c r="B429" t="s">
        <v>867</v>
      </c>
      <c r="C429" t="s">
        <v>852</v>
      </c>
      <c r="D429" t="s">
        <v>868</v>
      </c>
      <c r="E429" s="13">
        <v>5</v>
      </c>
      <c r="F429" s="14">
        <f t="shared" si="133"/>
        <v>0.39999999999999997</v>
      </c>
      <c r="G429" s="2">
        <v>65.392603199999996</v>
      </c>
      <c r="H429" s="2">
        <f t="shared" si="134"/>
        <v>0.35415644657746848</v>
      </c>
      <c r="I429" s="2">
        <v>27.1</v>
      </c>
      <c r="J429" s="4">
        <f t="shared" si="135"/>
        <v>0.21422924901185772</v>
      </c>
      <c r="K429" s="2">
        <v>0</v>
      </c>
      <c r="L429" s="4">
        <f t="shared" si="136"/>
        <v>0</v>
      </c>
      <c r="M429" s="2">
        <v>30851</v>
      </c>
      <c r="N429" s="2">
        <f t="shared" si="137"/>
        <v>0.1448382563767725</v>
      </c>
      <c r="O429" s="2">
        <v>0.44990489500000003</v>
      </c>
      <c r="P429" s="2">
        <f t="shared" si="138"/>
        <v>0.44227518130299076</v>
      </c>
      <c r="Q429" s="2">
        <v>0.23960000000000001</v>
      </c>
      <c r="R429" s="2">
        <f t="shared" si="139"/>
        <v>0.53445280833815867</v>
      </c>
      <c r="S429" s="2">
        <f t="shared" si="140"/>
        <v>3.8861075245562413E-2</v>
      </c>
      <c r="T429" s="5">
        <f t="shared" si="141"/>
        <v>0.10149794827412624</v>
      </c>
      <c r="U429" s="2" t="str">
        <f t="shared" si="142"/>
        <v>No Impact</v>
      </c>
      <c r="V429" s="2">
        <f t="shared" si="143"/>
        <v>4.2528546371773432E-2</v>
      </c>
      <c r="W429" s="2">
        <f t="shared" si="144"/>
        <v>0.10315870285912944</v>
      </c>
      <c r="X429" s="2" t="s">
        <v>1176</v>
      </c>
      <c r="Y429" s="2">
        <f t="shared" si="145"/>
        <v>3.51936041193514E-2</v>
      </c>
      <c r="Z429" s="2">
        <f t="shared" si="146"/>
        <v>8.995766051393439E-2</v>
      </c>
      <c r="AA429" s="2" t="str">
        <f t="shared" si="147"/>
        <v>No Impact</v>
      </c>
      <c r="AB429" s="2">
        <f t="shared" si="148"/>
        <v>2.9476948127760309E-2</v>
      </c>
      <c r="AC429" s="2">
        <f t="shared" si="149"/>
        <v>0.10709855383613849</v>
      </c>
      <c r="AD429" s="2" t="str">
        <f t="shared" si="150"/>
        <v>No Impact</v>
      </c>
      <c r="AE429" s="2">
        <f t="shared" si="151"/>
        <v>1.1525359033811976E-2</v>
      </c>
      <c r="AF429" s="2">
        <f t="shared" si="152"/>
        <v>8.7801518455858846E-2</v>
      </c>
      <c r="AG429" s="2" t="s">
        <v>1175</v>
      </c>
    </row>
    <row r="430" spans="1:33" x14ac:dyDescent="0.3">
      <c r="A430">
        <v>508110</v>
      </c>
      <c r="B430" t="s">
        <v>869</v>
      </c>
      <c r="C430" t="s">
        <v>870</v>
      </c>
      <c r="D430" t="s">
        <v>871</v>
      </c>
      <c r="E430" s="13">
        <v>4.3</v>
      </c>
      <c r="F430" s="14">
        <f t="shared" si="133"/>
        <v>0.24444444444444435</v>
      </c>
      <c r="G430" s="2">
        <v>60.959401200000002</v>
      </c>
      <c r="H430" s="2">
        <f t="shared" si="134"/>
        <v>0.30625949746308567</v>
      </c>
      <c r="I430" s="2">
        <v>17.399999999999999</v>
      </c>
      <c r="J430" s="4">
        <f t="shared" si="135"/>
        <v>0.13754940711462449</v>
      </c>
      <c r="K430" s="2">
        <v>0</v>
      </c>
      <c r="L430" s="4">
        <f t="shared" si="136"/>
        <v>0</v>
      </c>
      <c r="M430" s="2">
        <v>16015</v>
      </c>
      <c r="N430" s="2">
        <f t="shared" si="137"/>
        <v>7.4642896008100187E-2</v>
      </c>
      <c r="O430" s="2">
        <v>0.46798931599999999</v>
      </c>
      <c r="P430" s="2">
        <f t="shared" si="138"/>
        <v>0.46316612603806856</v>
      </c>
      <c r="Q430" s="2">
        <v>0.24279999999999999</v>
      </c>
      <c r="R430" s="2">
        <f t="shared" si="139"/>
        <v>0.54371742906774756</v>
      </c>
      <c r="S430" s="2">
        <f t="shared" si="140"/>
        <v>1.9115844081899629E-2</v>
      </c>
      <c r="T430" s="5">
        <f t="shared" si="141"/>
        <v>4.9927052753448102E-2</v>
      </c>
      <c r="U430" s="2" t="str">
        <f t="shared" si="142"/>
        <v>No Impact</v>
      </c>
      <c r="V430" s="2">
        <f t="shared" si="143"/>
        <v>2.0645123353073513E-2</v>
      </c>
      <c r="W430" s="2">
        <f t="shared" si="144"/>
        <v>5.007752032839996E-2</v>
      </c>
      <c r="X430" s="2" t="s">
        <v>1176</v>
      </c>
      <c r="Y430" s="2">
        <f t="shared" si="145"/>
        <v>1.7586564810725742E-2</v>
      </c>
      <c r="Z430" s="2">
        <f t="shared" si="146"/>
        <v>4.4952663031737471E-2</v>
      </c>
      <c r="AA430" s="2" t="str">
        <f t="shared" si="147"/>
        <v>No Impact</v>
      </c>
      <c r="AB430" s="2">
        <f t="shared" si="148"/>
        <v>1.3493737675154233E-2</v>
      </c>
      <c r="AC430" s="2">
        <f t="shared" si="149"/>
        <v>4.9026777961869036E-2</v>
      </c>
      <c r="AD430" s="2" t="str">
        <f t="shared" si="150"/>
        <v>No Impact</v>
      </c>
      <c r="AE430" s="2">
        <f t="shared" si="151"/>
        <v>2.834214452459378E-3</v>
      </c>
      <c r="AF430" s="2">
        <f t="shared" si="152"/>
        <v>2.1591373581111611E-2</v>
      </c>
      <c r="AG430" s="2" t="s">
        <v>1176</v>
      </c>
    </row>
    <row r="431" spans="1:33" x14ac:dyDescent="0.3">
      <c r="A431">
        <v>508112</v>
      </c>
      <c r="B431" t="s">
        <v>872</v>
      </c>
      <c r="C431" t="s">
        <v>870</v>
      </c>
      <c r="D431" t="s">
        <v>873</v>
      </c>
      <c r="E431" s="13">
        <v>4.5999999999999996</v>
      </c>
      <c r="F431" s="14">
        <f t="shared" si="133"/>
        <v>0.31111111111111101</v>
      </c>
      <c r="G431" s="2">
        <v>50.215649399999997</v>
      </c>
      <c r="H431" s="2">
        <f t="shared" si="134"/>
        <v>0.1901824648211804</v>
      </c>
      <c r="I431" s="2">
        <v>12.2</v>
      </c>
      <c r="J431" s="4">
        <f t="shared" si="135"/>
        <v>9.6442687747035571E-2</v>
      </c>
      <c r="K431" s="2">
        <v>0</v>
      </c>
      <c r="L431" s="4">
        <f t="shared" si="136"/>
        <v>0</v>
      </c>
      <c r="M431" s="2">
        <v>22499</v>
      </c>
      <c r="N431" s="2">
        <f t="shared" si="137"/>
        <v>0.10532142907836653</v>
      </c>
      <c r="O431" s="2">
        <v>0.53453666399999999</v>
      </c>
      <c r="P431" s="2">
        <f t="shared" si="138"/>
        <v>0.54004096595326367</v>
      </c>
      <c r="Q431" s="2">
        <v>0.24099999999999999</v>
      </c>
      <c r="R431" s="2">
        <f t="shared" si="139"/>
        <v>0.53850607990735377</v>
      </c>
      <c r="S431" s="2">
        <f t="shared" si="140"/>
        <v>1.6830885407797889E-2</v>
      </c>
      <c r="T431" s="5">
        <f t="shared" si="141"/>
        <v>4.3959162883005637E-2</v>
      </c>
      <c r="U431" s="2" t="str">
        <f t="shared" si="142"/>
        <v>No Impact</v>
      </c>
      <c r="V431" s="2">
        <f t="shared" si="143"/>
        <v>1.6806933285123331E-2</v>
      </c>
      <c r="W431" s="2">
        <f t="shared" si="144"/>
        <v>4.0767474664593184E-2</v>
      </c>
      <c r="X431" s="2" t="s">
        <v>1176</v>
      </c>
      <c r="Y431" s="2">
        <f t="shared" si="145"/>
        <v>1.6854837530472452E-2</v>
      </c>
      <c r="Z431" s="2">
        <f t="shared" si="146"/>
        <v>4.3082309712919063E-2</v>
      </c>
      <c r="AA431" s="2" t="str">
        <f t="shared" si="147"/>
        <v>No Impact</v>
      </c>
      <c r="AB431" s="2">
        <f t="shared" si="148"/>
        <v>1.2089367391451927E-2</v>
      </c>
      <c r="AC431" s="2">
        <f t="shared" si="149"/>
        <v>4.3924281401401921E-2</v>
      </c>
      <c r="AD431" s="2" t="str">
        <f t="shared" si="150"/>
        <v>No Impact</v>
      </c>
      <c r="AE431" s="2">
        <f t="shared" si="151"/>
        <v>3.2871128071915051E-3</v>
      </c>
      <c r="AF431" s="2">
        <f t="shared" si="152"/>
        <v>2.5041605641994209E-2</v>
      </c>
      <c r="AG431" s="2" t="s">
        <v>1176</v>
      </c>
    </row>
    <row r="432" spans="1:33" x14ac:dyDescent="0.3">
      <c r="A432">
        <v>508122</v>
      </c>
      <c r="B432" t="s">
        <v>874</v>
      </c>
      <c r="C432" t="s">
        <v>870</v>
      </c>
      <c r="D432" t="s">
        <v>875</v>
      </c>
      <c r="E432" s="13">
        <v>4.5999999999999996</v>
      </c>
      <c r="F432" s="14">
        <f t="shared" si="133"/>
        <v>0.31111111111111101</v>
      </c>
      <c r="G432" s="2">
        <v>56.111353200000003</v>
      </c>
      <c r="H432" s="2">
        <f t="shared" si="134"/>
        <v>0.25388049277074687</v>
      </c>
      <c r="I432" s="2">
        <v>16.8</v>
      </c>
      <c r="J432" s="4">
        <f t="shared" si="135"/>
        <v>0.13280632411067195</v>
      </c>
      <c r="K432" s="2">
        <v>0</v>
      </c>
      <c r="L432" s="4">
        <f t="shared" si="136"/>
        <v>0</v>
      </c>
      <c r="M432" s="2">
        <v>27245</v>
      </c>
      <c r="N432" s="2">
        <f t="shared" si="137"/>
        <v>0.12777675263658431</v>
      </c>
      <c r="O432" s="2">
        <v>0.86567191799999998</v>
      </c>
      <c r="P432" s="2">
        <f t="shared" si="138"/>
        <v>0.9225651447008143</v>
      </c>
      <c r="Q432" s="2">
        <v>0.19739999999999999</v>
      </c>
      <c r="R432" s="2">
        <f t="shared" si="139"/>
        <v>0.41227562246670529</v>
      </c>
      <c r="S432" s="2">
        <f t="shared" si="140"/>
        <v>2.8102334486309322E-2</v>
      </c>
      <c r="T432" s="5">
        <f t="shared" si="141"/>
        <v>7.3398105277576647E-2</v>
      </c>
      <c r="U432" s="2" t="str">
        <f t="shared" si="142"/>
        <v>No Impact</v>
      </c>
      <c r="V432" s="2">
        <f t="shared" si="143"/>
        <v>1.7359235240762959E-2</v>
      </c>
      <c r="W432" s="2">
        <f t="shared" si="144"/>
        <v>4.2107157258780302E-2</v>
      </c>
      <c r="X432" s="2" t="s">
        <v>1176</v>
      </c>
      <c r="Y432" s="2">
        <f t="shared" si="145"/>
        <v>3.8845433731855693E-2</v>
      </c>
      <c r="Z432" s="2">
        <f t="shared" si="146"/>
        <v>9.9292028412781119E-2</v>
      </c>
      <c r="AA432" s="2" t="str">
        <f t="shared" si="147"/>
        <v>No Impact</v>
      </c>
      <c r="AB432" s="2">
        <f t="shared" si="148"/>
        <v>1.9612416666238228E-2</v>
      </c>
      <c r="AC432" s="2">
        <f t="shared" si="149"/>
        <v>7.1257765664273678E-2</v>
      </c>
      <c r="AD432" s="2" t="str">
        <f t="shared" si="150"/>
        <v>No Impact</v>
      </c>
      <c r="AE432" s="2">
        <f t="shared" si="151"/>
        <v>5.3801548926128324E-3</v>
      </c>
      <c r="AF432" s="2">
        <f t="shared" si="152"/>
        <v>4.0986642386869297E-2</v>
      </c>
      <c r="AG432" s="2" t="s">
        <v>1176</v>
      </c>
    </row>
    <row r="433" spans="1:33" x14ac:dyDescent="0.3">
      <c r="A433">
        <v>508125</v>
      </c>
      <c r="B433" t="s">
        <v>876</v>
      </c>
      <c r="C433" t="s">
        <v>870</v>
      </c>
      <c r="D433" t="s">
        <v>877</v>
      </c>
      <c r="E433" s="13">
        <v>4.5999999999999996</v>
      </c>
      <c r="F433" s="14">
        <f t="shared" si="133"/>
        <v>0.31111111111111101</v>
      </c>
      <c r="G433" s="2">
        <v>56.111353200000003</v>
      </c>
      <c r="H433" s="2">
        <f t="shared" si="134"/>
        <v>0.25388049277074687</v>
      </c>
      <c r="I433" s="2">
        <v>13.9</v>
      </c>
      <c r="J433" s="4">
        <f t="shared" si="135"/>
        <v>0.10988142292490119</v>
      </c>
      <c r="K433" s="2">
        <v>0</v>
      </c>
      <c r="L433" s="4">
        <f t="shared" si="136"/>
        <v>0</v>
      </c>
      <c r="M433" s="2">
        <v>29401</v>
      </c>
      <c r="N433" s="2">
        <f t="shared" si="137"/>
        <v>0.13797769608191035</v>
      </c>
      <c r="O433" s="2">
        <v>0.39844107499999998</v>
      </c>
      <c r="P433" s="2">
        <f t="shared" si="138"/>
        <v>0.38282468413330012</v>
      </c>
      <c r="Q433" s="2">
        <v>0.27479999999999999</v>
      </c>
      <c r="R433" s="2">
        <f t="shared" si="139"/>
        <v>0.63636363636363635</v>
      </c>
      <c r="S433" s="2">
        <f t="shared" si="140"/>
        <v>2.0184836555567982E-2</v>
      </c>
      <c r="T433" s="5">
        <f t="shared" si="141"/>
        <v>5.2719063579504968E-2</v>
      </c>
      <c r="U433" s="2" t="str">
        <f t="shared" si="142"/>
        <v>No Impact</v>
      </c>
      <c r="V433" s="2">
        <f t="shared" si="143"/>
        <v>2.5206128703759038E-2</v>
      </c>
      <c r="W433" s="2">
        <f t="shared" si="144"/>
        <v>6.1140851569426051E-2</v>
      </c>
      <c r="X433" s="2" t="s">
        <v>1176</v>
      </c>
      <c r="Y433" s="2">
        <f t="shared" si="145"/>
        <v>1.5163544407376927E-2</v>
      </c>
      <c r="Z433" s="2">
        <f t="shared" si="146"/>
        <v>3.8759229528206707E-2</v>
      </c>
      <c r="AA433" s="2" t="str">
        <f t="shared" si="147"/>
        <v>No Impact</v>
      </c>
      <c r="AB433" s="2">
        <f t="shared" si="148"/>
        <v>1.5284044329657569E-2</v>
      </c>
      <c r="AC433" s="2">
        <f t="shared" si="149"/>
        <v>5.55314965911341E-2</v>
      </c>
      <c r="AD433" s="2" t="str">
        <f t="shared" si="150"/>
        <v>No Impact</v>
      </c>
      <c r="AE433" s="2">
        <f t="shared" si="151"/>
        <v>5.4652456032252272E-3</v>
      </c>
      <c r="AF433" s="2">
        <f t="shared" si="152"/>
        <v>4.163487326421883E-2</v>
      </c>
      <c r="AG433" s="2" t="s">
        <v>1176</v>
      </c>
    </row>
    <row r="434" spans="1:33" x14ac:dyDescent="0.3">
      <c r="A434">
        <v>508131</v>
      </c>
      <c r="B434" t="s">
        <v>878</v>
      </c>
      <c r="C434" t="s">
        <v>870</v>
      </c>
      <c r="D434" t="s">
        <v>1148</v>
      </c>
      <c r="E434" s="13">
        <v>4.5</v>
      </c>
      <c r="F434" s="14">
        <f t="shared" si="133"/>
        <v>0.28888888888888886</v>
      </c>
      <c r="G434" s="2">
        <v>49.196329200000001</v>
      </c>
      <c r="H434" s="2">
        <f t="shared" si="134"/>
        <v>0.17916958344319167</v>
      </c>
      <c r="I434" s="2">
        <v>10.4</v>
      </c>
      <c r="J434" s="4">
        <f t="shared" si="135"/>
        <v>8.2213438735177863E-2</v>
      </c>
      <c r="K434" s="2">
        <v>0</v>
      </c>
      <c r="L434" s="4">
        <f t="shared" si="136"/>
        <v>0</v>
      </c>
      <c r="M434" s="2">
        <v>23168</v>
      </c>
      <c r="N434" s="2">
        <f t="shared" si="137"/>
        <v>0.10848674965578912</v>
      </c>
      <c r="O434" s="2">
        <v>0.50848118200000003</v>
      </c>
      <c r="P434" s="2">
        <f t="shared" si="138"/>
        <v>0.50994193018607958</v>
      </c>
      <c r="Q434" s="2">
        <v>0.2331</v>
      </c>
      <c r="R434" s="2">
        <f t="shared" si="139"/>
        <v>0.51563404748118125</v>
      </c>
      <c r="S434" s="2">
        <f t="shared" si="140"/>
        <v>1.35523341749859E-2</v>
      </c>
      <c r="T434" s="5">
        <f t="shared" si="141"/>
        <v>3.5396192832916167E-2</v>
      </c>
      <c r="U434" s="2" t="str">
        <f t="shared" si="142"/>
        <v>No Impact</v>
      </c>
      <c r="V434" s="2">
        <f t="shared" si="143"/>
        <v>1.3627551884279264E-2</v>
      </c>
      <c r="W434" s="2">
        <f t="shared" si="144"/>
        <v>3.3055457932622316E-2</v>
      </c>
      <c r="X434" s="2" t="s">
        <v>1176</v>
      </c>
      <c r="Y434" s="2">
        <f t="shared" si="145"/>
        <v>1.3477116465692536E-2</v>
      </c>
      <c r="Z434" s="2">
        <f t="shared" si="146"/>
        <v>3.444858513541374E-2</v>
      </c>
      <c r="AA434" s="2" t="str">
        <f t="shared" si="147"/>
        <v>No Impact</v>
      </c>
      <c r="AB434" s="2">
        <f t="shared" si="148"/>
        <v>9.8162864709267546E-3</v>
      </c>
      <c r="AC434" s="2">
        <f t="shared" si="149"/>
        <v>3.5665499715943176E-2</v>
      </c>
      <c r="AD434" s="2" t="str">
        <f t="shared" si="150"/>
        <v>No Impact</v>
      </c>
      <c r="AE434" s="2">
        <f t="shared" si="151"/>
        <v>2.8671667763464333E-3</v>
      </c>
      <c r="AF434" s="2">
        <f t="shared" si="152"/>
        <v>2.1842408196644608E-2</v>
      </c>
      <c r="AG434" s="2" t="s">
        <v>1176</v>
      </c>
    </row>
    <row r="435" spans="1:33" x14ac:dyDescent="0.3">
      <c r="A435">
        <v>508134</v>
      </c>
      <c r="B435" t="s">
        <v>879</v>
      </c>
      <c r="C435" t="s">
        <v>870</v>
      </c>
      <c r="D435" t="s">
        <v>880</v>
      </c>
      <c r="E435" s="13">
        <v>4.7</v>
      </c>
      <c r="F435" s="14">
        <f t="shared" si="133"/>
        <v>0.33333333333333331</v>
      </c>
      <c r="G435" s="2">
        <v>56.0304936</v>
      </c>
      <c r="H435" s="2">
        <f t="shared" si="134"/>
        <v>0.25300687407558942</v>
      </c>
      <c r="I435" s="2">
        <v>22.2</v>
      </c>
      <c r="J435" s="4">
        <f t="shared" si="135"/>
        <v>0.17549407114624505</v>
      </c>
      <c r="K435" s="2">
        <v>0</v>
      </c>
      <c r="L435" s="4">
        <f t="shared" si="136"/>
        <v>0</v>
      </c>
      <c r="M435" s="2">
        <v>52038</v>
      </c>
      <c r="N435" s="2">
        <f t="shared" si="137"/>
        <v>0.24508287083694105</v>
      </c>
      <c r="O435" s="2">
        <v>0.58318782499999999</v>
      </c>
      <c r="P435" s="2">
        <f t="shared" si="138"/>
        <v>0.5962423071932389</v>
      </c>
      <c r="Q435" s="2">
        <v>0.2021</v>
      </c>
      <c r="R435" s="2">
        <f t="shared" si="139"/>
        <v>0.42588303416328899</v>
      </c>
      <c r="S435" s="2">
        <f t="shared" si="140"/>
        <v>2.5548931036210306E-2</v>
      </c>
      <c r="T435" s="5">
        <f t="shared" si="141"/>
        <v>6.672908725212405E-2</v>
      </c>
      <c r="U435" s="2" t="str">
        <f t="shared" si="142"/>
        <v>No Impact</v>
      </c>
      <c r="V435" s="2">
        <f t="shared" si="143"/>
        <v>2.1290649647506415E-2</v>
      </c>
      <c r="W435" s="2">
        <f t="shared" si="144"/>
        <v>5.1643331080853901E-2</v>
      </c>
      <c r="X435" s="2" t="s">
        <v>1176</v>
      </c>
      <c r="Y435" s="2">
        <f t="shared" si="145"/>
        <v>2.9807212424914194E-2</v>
      </c>
      <c r="Z435" s="2">
        <f t="shared" si="146"/>
        <v>7.6189613518803628E-2</v>
      </c>
      <c r="AA435" s="2" t="str">
        <f t="shared" si="147"/>
        <v>No Impact</v>
      </c>
      <c r="AB435" s="2">
        <f t="shared" si="148"/>
        <v>2.0682135978063326E-2</v>
      </c>
      <c r="AC435" s="2">
        <f t="shared" si="149"/>
        <v>7.5144375323133297E-2</v>
      </c>
      <c r="AD435" s="2" t="str">
        <f t="shared" si="150"/>
        <v>No Impact</v>
      </c>
      <c r="AE435" s="2">
        <f t="shared" si="151"/>
        <v>1.2252128211319499E-2</v>
      </c>
      <c r="AF435" s="2">
        <f t="shared" si="152"/>
        <v>9.3338130127987445E-2</v>
      </c>
      <c r="AG435" s="2" t="s">
        <v>1175</v>
      </c>
    </row>
    <row r="436" spans="1:33" x14ac:dyDescent="0.3">
      <c r="A436">
        <v>508140</v>
      </c>
      <c r="B436" t="s">
        <v>881</v>
      </c>
      <c r="C436" t="s">
        <v>870</v>
      </c>
      <c r="D436" t="s">
        <v>882</v>
      </c>
      <c r="E436" s="13">
        <v>3.6</v>
      </c>
      <c r="F436" s="14">
        <f t="shared" si="133"/>
        <v>8.8888888888888865E-2</v>
      </c>
      <c r="G436" s="2">
        <v>56.111353200000003</v>
      </c>
      <c r="H436" s="2">
        <f t="shared" si="134"/>
        <v>0.25388049277074687</v>
      </c>
      <c r="I436" s="2">
        <v>16.600000000000001</v>
      </c>
      <c r="J436" s="4">
        <f t="shared" si="135"/>
        <v>0.13122529644268777</v>
      </c>
      <c r="K436" s="2">
        <v>0</v>
      </c>
      <c r="L436" s="4">
        <f t="shared" si="136"/>
        <v>0</v>
      </c>
      <c r="M436" s="2">
        <v>7843</v>
      </c>
      <c r="N436" s="2">
        <f t="shared" si="137"/>
        <v>3.5977724470435714E-2</v>
      </c>
      <c r="O436" s="2">
        <v>0.481206209</v>
      </c>
      <c r="P436" s="2">
        <f t="shared" si="138"/>
        <v>0.47843415044606247</v>
      </c>
      <c r="Q436" s="2">
        <v>0.2225</v>
      </c>
      <c r="R436" s="2">
        <f t="shared" si="139"/>
        <v>0.48494499131441809</v>
      </c>
      <c r="S436" s="2">
        <f t="shared" si="140"/>
        <v>5.7711559842133723E-3</v>
      </c>
      <c r="T436" s="5">
        <f t="shared" si="141"/>
        <v>1.5073193108172981E-2</v>
      </c>
      <c r="U436" s="2" t="str">
        <f t="shared" si="142"/>
        <v>No Impact</v>
      </c>
      <c r="V436" s="2">
        <f t="shared" si="143"/>
        <v>5.8101594010519465E-3</v>
      </c>
      <c r="W436" s="2">
        <f t="shared" si="144"/>
        <v>1.4093322211809743E-2</v>
      </c>
      <c r="X436" s="2" t="s">
        <v>1176</v>
      </c>
      <c r="Y436" s="2">
        <f t="shared" si="145"/>
        <v>5.7321525673747981E-3</v>
      </c>
      <c r="Z436" s="2">
        <f t="shared" si="146"/>
        <v>1.4651839377440912E-2</v>
      </c>
      <c r="AA436" s="2" t="str">
        <f t="shared" si="147"/>
        <v>No Impact</v>
      </c>
      <c r="AB436" s="2">
        <f t="shared" si="148"/>
        <v>3.9040696203224519E-3</v>
      </c>
      <c r="AC436" s="2">
        <f t="shared" si="149"/>
        <v>1.4184650615793111E-2</v>
      </c>
      <c r="AD436" s="2" t="str">
        <f t="shared" si="150"/>
        <v>No Impact</v>
      </c>
      <c r="AE436" s="2">
        <f t="shared" si="151"/>
        <v>4.3105159926237551E-4</v>
      </c>
      <c r="AF436" s="2">
        <f t="shared" si="152"/>
        <v>3.2838009503245091E-3</v>
      </c>
      <c r="AG436" s="2" t="s">
        <v>1176</v>
      </c>
    </row>
    <row r="437" spans="1:33" x14ac:dyDescent="0.3">
      <c r="A437">
        <v>508153</v>
      </c>
      <c r="B437" t="s">
        <v>883</v>
      </c>
      <c r="C437" t="s">
        <v>870</v>
      </c>
      <c r="D437" t="s">
        <v>884</v>
      </c>
      <c r="E437" s="13">
        <v>3.5</v>
      </c>
      <c r="F437" s="14">
        <f t="shared" si="133"/>
        <v>6.6666666666666624E-2</v>
      </c>
      <c r="G437" s="2">
        <v>49.196329200000001</v>
      </c>
      <c r="H437" s="2">
        <f t="shared" si="134"/>
        <v>0.17916958344319167</v>
      </c>
      <c r="I437" s="2">
        <v>12.1</v>
      </c>
      <c r="J437" s="4">
        <f t="shared" si="135"/>
        <v>9.5652173913043481E-2</v>
      </c>
      <c r="K437" s="2">
        <v>0</v>
      </c>
      <c r="L437" s="4">
        <f t="shared" si="136"/>
        <v>0</v>
      </c>
      <c r="M437" s="2">
        <v>20804</v>
      </c>
      <c r="N437" s="2">
        <f t="shared" si="137"/>
        <v>9.7301670664717316E-2</v>
      </c>
      <c r="O437" s="2">
        <v>0.57937071699999998</v>
      </c>
      <c r="P437" s="2">
        <f t="shared" si="138"/>
        <v>0.5918328216876857</v>
      </c>
      <c r="Q437" s="2">
        <v>0.23549999999999999</v>
      </c>
      <c r="R437" s="2">
        <f t="shared" si="139"/>
        <v>0.52258251302837289</v>
      </c>
      <c r="S437" s="2">
        <f t="shared" si="140"/>
        <v>3.5730984416330468E-3</v>
      </c>
      <c r="T437" s="5">
        <f t="shared" si="141"/>
        <v>9.3322729367516614E-3</v>
      </c>
      <c r="U437" s="2" t="str">
        <f t="shared" si="142"/>
        <v>No Impact</v>
      </c>
      <c r="V437" s="2">
        <f t="shared" si="143"/>
        <v>3.3510643738622163E-3</v>
      </c>
      <c r="W437" s="2">
        <f t="shared" si="144"/>
        <v>8.1284568483277735E-3</v>
      </c>
      <c r="X437" s="2" t="s">
        <v>1176</v>
      </c>
      <c r="Y437" s="2">
        <f t="shared" si="145"/>
        <v>3.7951325094038773E-3</v>
      </c>
      <c r="Z437" s="2">
        <f t="shared" si="146"/>
        <v>9.7006615386296437E-3</v>
      </c>
      <c r="AA437" s="2" t="str">
        <f t="shared" si="147"/>
        <v>No Impact</v>
      </c>
      <c r="AB437" s="2">
        <f t="shared" si="148"/>
        <v>2.5297939820334366E-3</v>
      </c>
      <c r="AC437" s="2">
        <f t="shared" si="149"/>
        <v>9.1914968878337982E-3</v>
      </c>
      <c r="AD437" s="2" t="str">
        <f t="shared" si="150"/>
        <v>No Impact</v>
      </c>
      <c r="AE437" s="2">
        <f t="shared" si="151"/>
        <v>6.2394770960142191E-4</v>
      </c>
      <c r="AF437" s="2">
        <f t="shared" si="152"/>
        <v>4.7533058344943037E-3</v>
      </c>
      <c r="AG437" s="2" t="s">
        <v>1176</v>
      </c>
    </row>
    <row r="438" spans="1:33" x14ac:dyDescent="0.3">
      <c r="A438">
        <v>508172</v>
      </c>
      <c r="B438" t="s">
        <v>885</v>
      </c>
      <c r="C438" t="s">
        <v>870</v>
      </c>
      <c r="D438" t="s">
        <v>886</v>
      </c>
      <c r="E438" s="13">
        <v>4.5</v>
      </c>
      <c r="F438" s="14">
        <f t="shared" si="133"/>
        <v>0.28888888888888886</v>
      </c>
      <c r="G438" s="2">
        <v>56.111353200000003</v>
      </c>
      <c r="H438" s="2">
        <f t="shared" si="134"/>
        <v>0.25388049277074687</v>
      </c>
      <c r="I438" s="2">
        <v>16.8</v>
      </c>
      <c r="J438" s="4">
        <f t="shared" si="135"/>
        <v>0.13280632411067195</v>
      </c>
      <c r="K438" s="2">
        <v>0</v>
      </c>
      <c r="L438" s="4">
        <f t="shared" si="136"/>
        <v>0</v>
      </c>
      <c r="M438" s="2">
        <v>62600</v>
      </c>
      <c r="N438" s="2">
        <f t="shared" si="137"/>
        <v>0.29505613830889554</v>
      </c>
      <c r="O438" s="2">
        <v>0.77853773400000004</v>
      </c>
      <c r="P438" s="2">
        <f t="shared" si="138"/>
        <v>0.82190859492904655</v>
      </c>
      <c r="Q438" s="2">
        <v>0.22059999999999999</v>
      </c>
      <c r="R438" s="2">
        <f t="shared" si="139"/>
        <v>0.47944412275622467</v>
      </c>
      <c r="S438" s="2">
        <f t="shared" si="140"/>
        <v>2.5440361413219332E-2</v>
      </c>
      <c r="T438" s="5">
        <f t="shared" si="141"/>
        <v>6.6445523457019387E-2</v>
      </c>
      <c r="U438" s="2" t="str">
        <f t="shared" si="142"/>
        <v>No Impact</v>
      </c>
      <c r="V438" s="2">
        <f t="shared" si="143"/>
        <v>1.8745466305334323E-2</v>
      </c>
      <c r="W438" s="2">
        <f t="shared" si="144"/>
        <v>4.5469646943570551E-2</v>
      </c>
      <c r="X438" s="2" t="s">
        <v>1176</v>
      </c>
      <c r="Y438" s="2">
        <f t="shared" si="145"/>
        <v>3.2135256521104341E-2</v>
      </c>
      <c r="Z438" s="2">
        <f t="shared" si="146"/>
        <v>8.2140280002302224E-2</v>
      </c>
      <c r="AA438" s="2" t="str">
        <f t="shared" si="147"/>
        <v>No Impact</v>
      </c>
      <c r="AB438" s="2">
        <f t="shared" si="148"/>
        <v>2.0239161338452865E-2</v>
      </c>
      <c r="AC438" s="2">
        <f t="shared" si="149"/>
        <v>7.3534916193146699E-2</v>
      </c>
      <c r="AD438" s="2" t="str">
        <f t="shared" si="150"/>
        <v>No Impact</v>
      </c>
      <c r="AE438" s="2">
        <f t="shared" si="151"/>
        <v>1.1536203357870145E-2</v>
      </c>
      <c r="AF438" s="2">
        <f t="shared" si="152"/>
        <v>8.7884131771083243E-2</v>
      </c>
      <c r="AG438" s="2" t="s">
        <v>1175</v>
      </c>
    </row>
    <row r="439" spans="1:33" x14ac:dyDescent="0.3">
      <c r="A439">
        <v>508182</v>
      </c>
      <c r="B439" t="s">
        <v>887</v>
      </c>
      <c r="C439" t="s">
        <v>870</v>
      </c>
      <c r="D439" t="s">
        <v>888</v>
      </c>
      <c r="E439" s="13">
        <v>4.5999999999999996</v>
      </c>
      <c r="F439" s="14">
        <f t="shared" si="133"/>
        <v>0.31111111111111101</v>
      </c>
      <c r="G439" s="2">
        <v>57.236353200000003</v>
      </c>
      <c r="H439" s="2">
        <f t="shared" si="134"/>
        <v>0.26603515383822829</v>
      </c>
      <c r="I439" s="2">
        <v>13.9</v>
      </c>
      <c r="J439" s="4">
        <f t="shared" si="135"/>
        <v>0.10988142292490119</v>
      </c>
      <c r="K439" s="2">
        <v>0</v>
      </c>
      <c r="L439" s="4">
        <f t="shared" si="136"/>
        <v>0</v>
      </c>
      <c r="M439" s="2">
        <v>25708</v>
      </c>
      <c r="N439" s="2">
        <f t="shared" si="137"/>
        <v>0.12050455872403042</v>
      </c>
      <c r="O439" s="2">
        <v>0.42773845199999999</v>
      </c>
      <c r="P439" s="2">
        <f t="shared" si="138"/>
        <v>0.41666872502295543</v>
      </c>
      <c r="Q439" s="2">
        <v>0.27629999999999999</v>
      </c>
      <c r="R439" s="2">
        <f t="shared" si="139"/>
        <v>0.64070642733063121</v>
      </c>
      <c r="S439" s="2">
        <f t="shared" si="140"/>
        <v>2.1640841704144976E-2</v>
      </c>
      <c r="T439" s="5">
        <f t="shared" si="141"/>
        <v>5.6521880005023319E-2</v>
      </c>
      <c r="U439" s="2" t="str">
        <f t="shared" si="142"/>
        <v>No Impact</v>
      </c>
      <c r="V439" s="2">
        <f t="shared" si="143"/>
        <v>2.6226124837202252E-2</v>
      </c>
      <c r="W439" s="2">
        <f t="shared" si="144"/>
        <v>6.3614989225754828E-2</v>
      </c>
      <c r="X439" s="2" t="s">
        <v>1176</v>
      </c>
      <c r="Y439" s="2">
        <f t="shared" si="145"/>
        <v>1.70555585710877E-2</v>
      </c>
      <c r="Z439" s="2">
        <f t="shared" si="146"/>
        <v>4.3595368709901466E-2</v>
      </c>
      <c r="AA439" s="2" t="str">
        <f t="shared" si="147"/>
        <v>No Impact</v>
      </c>
      <c r="AB439" s="2">
        <f t="shared" si="148"/>
        <v>1.6022231685631754E-2</v>
      </c>
      <c r="AC439" s="2">
        <f t="shared" si="149"/>
        <v>5.8213551664892005E-2</v>
      </c>
      <c r="AD439" s="2" t="str">
        <f t="shared" si="150"/>
        <v>No Impact</v>
      </c>
      <c r="AE439" s="2">
        <f t="shared" si="151"/>
        <v>4.9326297750990249E-3</v>
      </c>
      <c r="AF439" s="2">
        <f t="shared" si="152"/>
        <v>3.7577344268730516E-2</v>
      </c>
      <c r="AG439" s="2" t="s">
        <v>1176</v>
      </c>
    </row>
    <row r="440" spans="1:33" x14ac:dyDescent="0.3">
      <c r="A440">
        <v>508185</v>
      </c>
      <c r="B440" t="s">
        <v>889</v>
      </c>
      <c r="C440" t="s">
        <v>870</v>
      </c>
      <c r="D440" t="s">
        <v>890</v>
      </c>
      <c r="E440" s="13">
        <v>4.5999999999999996</v>
      </c>
      <c r="F440" s="14">
        <f t="shared" si="133"/>
        <v>0.31111111111111101</v>
      </c>
      <c r="G440" s="2">
        <v>56.0304936</v>
      </c>
      <c r="H440" s="2">
        <f t="shared" si="134"/>
        <v>0.25300687407558942</v>
      </c>
      <c r="I440" s="2">
        <v>21.5</v>
      </c>
      <c r="J440" s="4">
        <f t="shared" si="135"/>
        <v>0.16996047430830039</v>
      </c>
      <c r="K440" s="2">
        <v>0</v>
      </c>
      <c r="L440" s="4">
        <f t="shared" si="136"/>
        <v>0</v>
      </c>
      <c r="M440" s="2">
        <v>13822</v>
      </c>
      <c r="N440" s="2">
        <f t="shared" si="137"/>
        <v>6.4266889989732817E-2</v>
      </c>
      <c r="O440" s="2">
        <v>0.65374169699999995</v>
      </c>
      <c r="P440" s="2">
        <f t="shared" si="138"/>
        <v>0.67774544410858462</v>
      </c>
      <c r="Q440" s="2">
        <v>0.20930000000000001</v>
      </c>
      <c r="R440" s="2">
        <f t="shared" si="139"/>
        <v>0.44672843080486402</v>
      </c>
      <c r="S440" s="2">
        <f t="shared" si="140"/>
        <v>2.5894634363062056E-2</v>
      </c>
      <c r="T440" s="5">
        <f t="shared" si="141"/>
        <v>6.7632000467089684E-2</v>
      </c>
      <c r="U440" s="2" t="str">
        <f t="shared" si="142"/>
        <v>No Impact</v>
      </c>
      <c r="V440" s="2">
        <f t="shared" si="143"/>
        <v>2.0574723225413854E-2</v>
      </c>
      <c r="W440" s="2">
        <f t="shared" si="144"/>
        <v>4.9906755360629808E-2</v>
      </c>
      <c r="X440" s="2" t="s">
        <v>1176</v>
      </c>
      <c r="Y440" s="2">
        <f t="shared" si="145"/>
        <v>3.1214545500710261E-2</v>
      </c>
      <c r="Z440" s="2">
        <f t="shared" si="146"/>
        <v>7.9786869163129118E-2</v>
      </c>
      <c r="AA440" s="2" t="str">
        <f t="shared" si="147"/>
        <v>No Impact</v>
      </c>
      <c r="AB440" s="2">
        <f t="shared" si="148"/>
        <v>1.7601483339597691E-2</v>
      </c>
      <c r="AC440" s="2">
        <f t="shared" si="149"/>
        <v>6.3951444459967213E-2</v>
      </c>
      <c r="AD440" s="2" t="str">
        <f t="shared" si="150"/>
        <v>No Impact</v>
      </c>
      <c r="AE440" s="2">
        <f t="shared" si="151"/>
        <v>2.9599044585421892E-3</v>
      </c>
      <c r="AF440" s="2">
        <f t="shared" si="152"/>
        <v>2.254889458817276E-2</v>
      </c>
      <c r="AG440" s="2" t="s">
        <v>1176</v>
      </c>
    </row>
    <row r="441" spans="1:33" x14ac:dyDescent="0.3">
      <c r="A441">
        <v>508190</v>
      </c>
      <c r="B441" t="s">
        <v>891</v>
      </c>
      <c r="C441" t="s">
        <v>870</v>
      </c>
      <c r="D441" t="s">
        <v>892</v>
      </c>
      <c r="E441" s="13">
        <v>3.6</v>
      </c>
      <c r="F441" s="14">
        <f t="shared" si="133"/>
        <v>8.8888888888888865E-2</v>
      </c>
      <c r="G441" s="2">
        <v>49.196329200000001</v>
      </c>
      <c r="H441" s="2">
        <f t="shared" si="134"/>
        <v>0.17916958344319167</v>
      </c>
      <c r="I441" s="2">
        <v>13.8</v>
      </c>
      <c r="J441" s="4">
        <f t="shared" si="135"/>
        <v>0.1090909090909091</v>
      </c>
      <c r="K441" s="2">
        <v>0</v>
      </c>
      <c r="L441" s="4">
        <f t="shared" si="136"/>
        <v>0</v>
      </c>
      <c r="M441" s="2">
        <v>6230</v>
      </c>
      <c r="N441" s="2">
        <f t="shared" si="137"/>
        <v>2.8345942570013202E-2</v>
      </c>
      <c r="O441" s="2">
        <v>0.43769973899999998</v>
      </c>
      <c r="P441" s="2">
        <f t="shared" si="138"/>
        <v>0.42817590549653811</v>
      </c>
      <c r="Q441" s="2">
        <v>0.22120000000000001</v>
      </c>
      <c r="R441" s="2">
        <f t="shared" si="139"/>
        <v>0.48118123914302263</v>
      </c>
      <c r="S441" s="2">
        <f t="shared" si="140"/>
        <v>4.077604819605383E-3</v>
      </c>
      <c r="T441" s="5">
        <f t="shared" si="141"/>
        <v>1.0649950379586964E-2</v>
      </c>
      <c r="U441" s="2" t="str">
        <f t="shared" si="142"/>
        <v>No Impact</v>
      </c>
      <c r="V441" s="2">
        <f t="shared" si="143"/>
        <v>4.3152834975766939E-3</v>
      </c>
      <c r="W441" s="2">
        <f t="shared" si="144"/>
        <v>1.0467299874017677E-2</v>
      </c>
      <c r="X441" s="2" t="s">
        <v>1176</v>
      </c>
      <c r="Y441" s="2">
        <f t="shared" si="145"/>
        <v>3.839926141634073E-3</v>
      </c>
      <c r="Z441" s="2">
        <f t="shared" si="146"/>
        <v>9.8151576370594813E-3</v>
      </c>
      <c r="AA441" s="2" t="str">
        <f t="shared" si="147"/>
        <v>No Impact</v>
      </c>
      <c r="AB441" s="2">
        <f t="shared" si="148"/>
        <v>2.7513003450781066E-3</v>
      </c>
      <c r="AC441" s="2">
        <f t="shared" si="149"/>
        <v>9.9962956426019479E-3</v>
      </c>
      <c r="AD441" s="2" t="str">
        <f t="shared" si="150"/>
        <v>No Impact</v>
      </c>
      <c r="AE441" s="2">
        <f t="shared" si="151"/>
        <v>2.5420936696012161E-4</v>
      </c>
      <c r="AF441" s="2">
        <f t="shared" si="152"/>
        <v>1.9365963662668695E-3</v>
      </c>
      <c r="AG441" s="2" t="s">
        <v>1176</v>
      </c>
    </row>
    <row r="442" spans="1:33" x14ac:dyDescent="0.3">
      <c r="A442">
        <v>508194</v>
      </c>
      <c r="B442" t="s">
        <v>893</v>
      </c>
      <c r="C442" t="s">
        <v>870</v>
      </c>
      <c r="D442" t="s">
        <v>894</v>
      </c>
      <c r="E442" s="13">
        <v>4.7</v>
      </c>
      <c r="F442" s="14">
        <f t="shared" si="133"/>
        <v>0.33333333333333331</v>
      </c>
      <c r="G442" s="2">
        <v>49.196329200000001</v>
      </c>
      <c r="H442" s="2">
        <f t="shared" si="134"/>
        <v>0.17916958344319167</v>
      </c>
      <c r="I442" s="2">
        <v>12.1</v>
      </c>
      <c r="J442" s="4">
        <f t="shared" si="135"/>
        <v>9.5652173913043481E-2</v>
      </c>
      <c r="K442" s="2">
        <v>0</v>
      </c>
      <c r="L442" s="4">
        <f t="shared" si="136"/>
        <v>0</v>
      </c>
      <c r="M442" s="2">
        <v>17904</v>
      </c>
      <c r="N442" s="2">
        <f t="shared" si="137"/>
        <v>8.3580550074993015E-2</v>
      </c>
      <c r="O442" s="2">
        <v>0.30696793999999999</v>
      </c>
      <c r="P442" s="2">
        <f t="shared" si="138"/>
        <v>0.27715582097039804</v>
      </c>
      <c r="Q442" s="2">
        <v>0.2596</v>
      </c>
      <c r="R442" s="2">
        <f t="shared" si="139"/>
        <v>0.59235668789808926</v>
      </c>
      <c r="S442" s="2">
        <f t="shared" si="140"/>
        <v>1.3939389084277221E-2</v>
      </c>
      <c r="T442" s="5">
        <f t="shared" si="141"/>
        <v>3.6407108740781666E-2</v>
      </c>
      <c r="U442" s="2" t="str">
        <f t="shared" si="142"/>
        <v>No Impact</v>
      </c>
      <c r="V442" s="2">
        <f t="shared" si="143"/>
        <v>1.8992459027485038E-2</v>
      </c>
      <c r="W442" s="2">
        <f t="shared" si="144"/>
        <v>4.6068760974179043E-2</v>
      </c>
      <c r="X442" s="2" t="s">
        <v>1176</v>
      </c>
      <c r="Y442" s="2">
        <f t="shared" si="145"/>
        <v>8.8863191410694011E-3</v>
      </c>
      <c r="Z442" s="2">
        <f t="shared" si="146"/>
        <v>2.2714140836494999E-2</v>
      </c>
      <c r="AA442" s="2" t="str">
        <f t="shared" si="147"/>
        <v>No Impact</v>
      </c>
      <c r="AB442" s="2">
        <f t="shared" si="148"/>
        <v>1.0251188009414007E-2</v>
      </c>
      <c r="AC442" s="2">
        <f t="shared" si="149"/>
        <v>3.7245626859065961E-2</v>
      </c>
      <c r="AD442" s="2" t="str">
        <f t="shared" si="150"/>
        <v>No Impact</v>
      </c>
      <c r="AE442" s="2">
        <f t="shared" si="151"/>
        <v>2.6798045927812122E-3</v>
      </c>
      <c r="AF442" s="2">
        <f t="shared" si="152"/>
        <v>2.0415061406842194E-2</v>
      </c>
      <c r="AG442" s="2" t="s">
        <v>1176</v>
      </c>
    </row>
    <row r="443" spans="1:33" x14ac:dyDescent="0.3">
      <c r="A443">
        <v>508811</v>
      </c>
      <c r="B443" t="s">
        <v>895</v>
      </c>
      <c r="C443" t="s">
        <v>896</v>
      </c>
      <c r="D443" t="s">
        <v>897</v>
      </c>
      <c r="E443" s="13">
        <v>7</v>
      </c>
      <c r="F443" s="14">
        <f t="shared" si="133"/>
        <v>0.84444444444444444</v>
      </c>
      <c r="G443" s="2">
        <v>53.7910416</v>
      </c>
      <c r="H443" s="2">
        <f t="shared" si="134"/>
        <v>0.22881151404279529</v>
      </c>
      <c r="I443" s="2">
        <v>19.899999999999999</v>
      </c>
      <c r="J443" s="4">
        <f t="shared" si="135"/>
        <v>0.15731225296442686</v>
      </c>
      <c r="K443" s="2">
        <v>0</v>
      </c>
      <c r="L443" s="4">
        <f t="shared" si="136"/>
        <v>0</v>
      </c>
      <c r="M443" s="2">
        <v>36657</v>
      </c>
      <c r="N443" s="2">
        <f t="shared" si="137"/>
        <v>0.17230888608157915</v>
      </c>
      <c r="O443" s="2">
        <v>0.74833581599999999</v>
      </c>
      <c r="P443" s="2">
        <f t="shared" si="138"/>
        <v>0.78701963719955381</v>
      </c>
      <c r="Q443" s="2">
        <v>0.23930000000000001</v>
      </c>
      <c r="R443" s="2">
        <f t="shared" si="139"/>
        <v>0.53358425014475974</v>
      </c>
      <c r="S443" s="2">
        <f t="shared" si="140"/>
        <v>7.5354334272074538E-2</v>
      </c>
      <c r="T443" s="5">
        <f t="shared" si="141"/>
        <v>0.19681159807979345</v>
      </c>
      <c r="U443" s="2" t="str">
        <f t="shared" si="142"/>
        <v>Low</v>
      </c>
      <c r="V443" s="2">
        <f t="shared" si="143"/>
        <v>6.089318126812282E-2</v>
      </c>
      <c r="W443" s="2">
        <f t="shared" si="144"/>
        <v>0.14770459205618611</v>
      </c>
      <c r="X443" s="2" t="s">
        <v>1176</v>
      </c>
      <c r="Y443" s="2">
        <f t="shared" si="145"/>
        <v>8.9815487276026271E-2</v>
      </c>
      <c r="Z443" s="2">
        <f t="shared" si="146"/>
        <v>0.22957555258819762</v>
      </c>
      <c r="AA443" s="2" t="str">
        <f t="shared" si="147"/>
        <v>Low</v>
      </c>
      <c r="AB443" s="2">
        <f t="shared" si="148"/>
        <v>5.5139682938432605E-2</v>
      </c>
      <c r="AC443" s="2">
        <f t="shared" si="149"/>
        <v>0.20033893183561499</v>
      </c>
      <c r="AD443" s="2" t="str">
        <f t="shared" si="150"/>
        <v>Low</v>
      </c>
      <c r="AE443" s="2">
        <f t="shared" si="151"/>
        <v>1.9664066605090683E-2</v>
      </c>
      <c r="AF443" s="2">
        <f t="shared" si="152"/>
        <v>0.14980313427798364</v>
      </c>
      <c r="AG443" s="2" t="s">
        <v>1175</v>
      </c>
    </row>
    <row r="444" spans="1:33" x14ac:dyDescent="0.3">
      <c r="A444">
        <v>508827</v>
      </c>
      <c r="B444" t="s">
        <v>898</v>
      </c>
      <c r="C444" t="s">
        <v>896</v>
      </c>
      <c r="D444" t="s">
        <v>899</v>
      </c>
      <c r="E444" s="13">
        <v>5.4</v>
      </c>
      <c r="F444" s="14">
        <f t="shared" si="133"/>
        <v>0.48888888888888893</v>
      </c>
      <c r="G444" s="2">
        <v>56.867212799999997</v>
      </c>
      <c r="H444" s="2">
        <f t="shared" si="134"/>
        <v>0.26204690810639308</v>
      </c>
      <c r="I444" s="2">
        <v>23.9</v>
      </c>
      <c r="J444" s="4">
        <f t="shared" si="135"/>
        <v>0.18893280632411066</v>
      </c>
      <c r="K444" s="2">
        <v>0</v>
      </c>
      <c r="L444" s="4">
        <f t="shared" si="136"/>
        <v>0</v>
      </c>
      <c r="M444" s="2">
        <v>9272</v>
      </c>
      <c r="N444" s="2">
        <f t="shared" si="137"/>
        <v>4.2738924926544693E-2</v>
      </c>
      <c r="O444" s="2">
        <v>0.661952396</v>
      </c>
      <c r="P444" s="2">
        <f t="shared" si="138"/>
        <v>0.68723036259424486</v>
      </c>
      <c r="Q444" s="2">
        <v>0.14419999999999999</v>
      </c>
      <c r="R444" s="2">
        <f t="shared" si="139"/>
        <v>0.25825130283729009</v>
      </c>
      <c r="S444" s="2">
        <f t="shared" si="140"/>
        <v>3.6480294404022763E-2</v>
      </c>
      <c r="T444" s="5">
        <f t="shared" si="141"/>
        <v>9.5279788607167057E-2</v>
      </c>
      <c r="U444" s="2" t="str">
        <f t="shared" si="142"/>
        <v>No Impact</v>
      </c>
      <c r="V444" s="2">
        <f t="shared" si="143"/>
        <v>1.9928643573277179E-2</v>
      </c>
      <c r="W444" s="2">
        <f t="shared" si="144"/>
        <v>4.8339602364722747E-2</v>
      </c>
      <c r="X444" s="2" t="s">
        <v>1176</v>
      </c>
      <c r="Y444" s="2">
        <f t="shared" si="145"/>
        <v>5.3031945234768341E-2</v>
      </c>
      <c r="Z444" s="2">
        <f t="shared" si="146"/>
        <v>0.13555388387174855</v>
      </c>
      <c r="AA444" s="2" t="str">
        <f t="shared" si="147"/>
        <v>No Impact</v>
      </c>
      <c r="AB444" s="2">
        <f t="shared" si="148"/>
        <v>2.4038930511899634E-2</v>
      </c>
      <c r="AC444" s="2">
        <f t="shared" si="149"/>
        <v>8.7340612143197854E-2</v>
      </c>
      <c r="AD444" s="2" t="str">
        <f t="shared" si="150"/>
        <v>No Impact</v>
      </c>
      <c r="AE444" s="2">
        <f t="shared" si="151"/>
        <v>3.298061973777488E-3</v>
      </c>
      <c r="AF444" s="2">
        <f t="shared" si="152"/>
        <v>2.5125017659724427E-2</v>
      </c>
      <c r="AG444" s="2" t="s">
        <v>1176</v>
      </c>
    </row>
    <row r="445" spans="1:33" x14ac:dyDescent="0.3">
      <c r="A445">
        <v>508844</v>
      </c>
      <c r="B445" t="s">
        <v>900</v>
      </c>
      <c r="C445" t="s">
        <v>896</v>
      </c>
      <c r="D445" t="s">
        <v>901</v>
      </c>
      <c r="E445" s="13">
        <v>6.9</v>
      </c>
      <c r="F445" s="14">
        <f t="shared" si="133"/>
        <v>0.8222222222222223</v>
      </c>
      <c r="G445" s="2">
        <v>53.7910416</v>
      </c>
      <c r="H445" s="2">
        <f t="shared" si="134"/>
        <v>0.22881151404279529</v>
      </c>
      <c r="I445" s="2">
        <v>20.3</v>
      </c>
      <c r="J445" s="4">
        <f t="shared" si="135"/>
        <v>0.16047430830039527</v>
      </c>
      <c r="K445" s="2">
        <v>0</v>
      </c>
      <c r="L445" s="4">
        <f t="shared" si="136"/>
        <v>0</v>
      </c>
      <c r="M445" s="2">
        <v>21302</v>
      </c>
      <c r="N445" s="2">
        <f t="shared" si="137"/>
        <v>9.96579182694355E-2</v>
      </c>
      <c r="O445" s="2">
        <v>0.43977144000000001</v>
      </c>
      <c r="P445" s="2">
        <f t="shared" si="138"/>
        <v>0.43056911405425785</v>
      </c>
      <c r="Q445" s="2">
        <v>0.24809999999999999</v>
      </c>
      <c r="R445" s="2">
        <f t="shared" si="139"/>
        <v>0.55906195715112916</v>
      </c>
      <c r="S445" s="2">
        <f t="shared" si="140"/>
        <v>5.5433100250541927E-2</v>
      </c>
      <c r="T445" s="5">
        <f t="shared" si="141"/>
        <v>0.14478101561398349</v>
      </c>
      <c r="U445" s="2" t="str">
        <f t="shared" si="142"/>
        <v>No Impact</v>
      </c>
      <c r="V445" s="2">
        <f t="shared" si="143"/>
        <v>6.2630486084628956E-2</v>
      </c>
      <c r="W445" s="2">
        <f t="shared" si="144"/>
        <v>0.1519186582924269</v>
      </c>
      <c r="X445" s="2" t="s">
        <v>1176</v>
      </c>
      <c r="Y445" s="2">
        <f t="shared" si="145"/>
        <v>4.8235714416454904E-2</v>
      </c>
      <c r="Z445" s="2">
        <f t="shared" si="146"/>
        <v>0.12329433516974249</v>
      </c>
      <c r="AA445" s="2" t="str">
        <f t="shared" si="147"/>
        <v>No Impact</v>
      </c>
      <c r="AB445" s="2">
        <f t="shared" si="148"/>
        <v>4.0298944831801867E-2</v>
      </c>
      <c r="AC445" s="2">
        <f t="shared" si="149"/>
        <v>0.14641809911602402</v>
      </c>
      <c r="AD445" s="2" t="str">
        <f t="shared" si="150"/>
        <v>No Impact</v>
      </c>
      <c r="AE445" s="2">
        <f t="shared" si="151"/>
        <v>1.1164458220700743E-2</v>
      </c>
      <c r="AF445" s="2">
        <f t="shared" si="152"/>
        <v>8.5052134309980321E-2</v>
      </c>
      <c r="AG445" s="2" t="s">
        <v>1175</v>
      </c>
    </row>
    <row r="446" spans="1:33" x14ac:dyDescent="0.3">
      <c r="A446">
        <v>508850</v>
      </c>
      <c r="B446" t="s">
        <v>902</v>
      </c>
      <c r="C446" t="s">
        <v>896</v>
      </c>
      <c r="D446" t="s">
        <v>903</v>
      </c>
      <c r="E446" s="13">
        <v>6.9</v>
      </c>
      <c r="F446" s="14">
        <f t="shared" si="133"/>
        <v>0.8222222222222223</v>
      </c>
      <c r="G446" s="2">
        <v>54.160390800000002</v>
      </c>
      <c r="H446" s="2">
        <f t="shared" si="134"/>
        <v>0.23280201567972456</v>
      </c>
      <c r="I446" s="2">
        <v>22.1</v>
      </c>
      <c r="J446" s="4">
        <f t="shared" si="135"/>
        <v>0.17470355731225298</v>
      </c>
      <c r="K446" s="2">
        <v>0</v>
      </c>
      <c r="L446" s="4">
        <f t="shared" si="136"/>
        <v>0</v>
      </c>
      <c r="M446" s="2">
        <v>13658</v>
      </c>
      <c r="N446" s="2">
        <f t="shared" si="137"/>
        <v>6.349093696327944E-2</v>
      </c>
      <c r="O446" s="2">
        <v>0.73200539499999995</v>
      </c>
      <c r="P446" s="2">
        <f t="shared" si="138"/>
        <v>0.76815489596113884</v>
      </c>
      <c r="Q446" s="2">
        <v>0.22900000000000001</v>
      </c>
      <c r="R446" s="2">
        <f t="shared" si="139"/>
        <v>0.50376375217139557</v>
      </c>
      <c r="S446" s="2">
        <f t="shared" si="140"/>
        <v>7.4579616563425197E-2</v>
      </c>
      <c r="T446" s="5">
        <f t="shared" si="141"/>
        <v>0.19478817856752662</v>
      </c>
      <c r="U446" s="2" t="str">
        <f t="shared" si="142"/>
        <v>Low</v>
      </c>
      <c r="V446" s="2">
        <f t="shared" si="143"/>
        <v>5.9076903276254464E-2</v>
      </c>
      <c r="W446" s="2">
        <f t="shared" si="144"/>
        <v>0.14329896577319892</v>
      </c>
      <c r="X446" s="2" t="s">
        <v>1176</v>
      </c>
      <c r="Y446" s="2">
        <f t="shared" si="145"/>
        <v>9.0082329850595916E-2</v>
      </c>
      <c r="Z446" s="2">
        <f t="shared" si="146"/>
        <v>0.23025762350234424</v>
      </c>
      <c r="AA446" s="2" t="str">
        <f t="shared" si="147"/>
        <v>Low</v>
      </c>
      <c r="AB446" s="2">
        <f t="shared" si="148"/>
        <v>5.0307592157592548E-2</v>
      </c>
      <c r="AC446" s="2">
        <f t="shared" si="149"/>
        <v>0.18278250325318873</v>
      </c>
      <c r="AD446" s="2" t="str">
        <f t="shared" si="150"/>
        <v>Low</v>
      </c>
      <c r="AE446" s="2">
        <f t="shared" si="151"/>
        <v>7.4456487306420521E-3</v>
      </c>
      <c r="AF446" s="2">
        <f t="shared" si="152"/>
        <v>5.6721813396132262E-2</v>
      </c>
      <c r="AG446" s="2" t="s">
        <v>1176</v>
      </c>
    </row>
    <row r="447" spans="1:33" x14ac:dyDescent="0.3">
      <c r="A447">
        <v>508861</v>
      </c>
      <c r="B447" t="s">
        <v>904</v>
      </c>
      <c r="C447" t="s">
        <v>896</v>
      </c>
      <c r="D447" t="s">
        <v>905</v>
      </c>
      <c r="E447" s="13">
        <v>6.8</v>
      </c>
      <c r="F447" s="14">
        <f t="shared" si="133"/>
        <v>0.79999999999999993</v>
      </c>
      <c r="G447" s="2">
        <v>50.799243599999997</v>
      </c>
      <c r="H447" s="2">
        <f t="shared" si="134"/>
        <v>0.19648770011180081</v>
      </c>
      <c r="I447" s="2">
        <v>21.6</v>
      </c>
      <c r="J447" s="4">
        <f t="shared" si="135"/>
        <v>0.1707509881422925</v>
      </c>
      <c r="K447" s="2">
        <v>0</v>
      </c>
      <c r="L447" s="4">
        <f t="shared" si="136"/>
        <v>0</v>
      </c>
      <c r="M447" s="2">
        <v>35856</v>
      </c>
      <c r="N447" s="2">
        <f t="shared" si="137"/>
        <v>0.16851901794627944</v>
      </c>
      <c r="O447" s="2">
        <v>0.42796689500000001</v>
      </c>
      <c r="P447" s="2">
        <f t="shared" si="138"/>
        <v>0.41693262012294868</v>
      </c>
      <c r="Q447" s="2">
        <v>0.2276</v>
      </c>
      <c r="R447" s="2">
        <f t="shared" si="139"/>
        <v>0.49971048060220036</v>
      </c>
      <c r="S447" s="2">
        <f t="shared" si="140"/>
        <v>4.7127753387045578E-2</v>
      </c>
      <c r="T447" s="5">
        <f t="shared" si="141"/>
        <v>0.12308898416546897</v>
      </c>
      <c r="U447" s="2" t="str">
        <f t="shared" si="142"/>
        <v>No Impact</v>
      </c>
      <c r="V447" s="2">
        <f t="shared" si="143"/>
        <v>5.1383645992888881E-2</v>
      </c>
      <c r="W447" s="2">
        <f t="shared" si="144"/>
        <v>0.12463793665699381</v>
      </c>
      <c r="X447" s="2" t="s">
        <v>1176</v>
      </c>
      <c r="Y447" s="2">
        <f t="shared" si="145"/>
        <v>4.2871860781202274E-2</v>
      </c>
      <c r="Z447" s="2">
        <f t="shared" si="146"/>
        <v>0.10958389725238316</v>
      </c>
      <c r="AA447" s="2" t="str">
        <f t="shared" si="147"/>
        <v>No Impact</v>
      </c>
      <c r="AB447" s="2">
        <f t="shared" si="148"/>
        <v>3.6910731235324831E-2</v>
      </c>
      <c r="AC447" s="2">
        <f t="shared" si="149"/>
        <v>0.13410770746021713</v>
      </c>
      <c r="AD447" s="2" t="str">
        <f t="shared" si="150"/>
        <v>No Impact</v>
      </c>
      <c r="AE447" s="2">
        <f t="shared" si="151"/>
        <v>1.7328276867008705E-2</v>
      </c>
      <c r="AF447" s="2">
        <f t="shared" si="152"/>
        <v>0.13200881783234844</v>
      </c>
      <c r="AG447" s="2" t="s">
        <v>1175</v>
      </c>
    </row>
    <row r="448" spans="1:33" x14ac:dyDescent="0.3">
      <c r="A448">
        <v>508867</v>
      </c>
      <c r="B448" t="s">
        <v>906</v>
      </c>
      <c r="C448" t="s">
        <v>896</v>
      </c>
      <c r="D448" t="s">
        <v>907</v>
      </c>
      <c r="E448" s="13">
        <v>6.9</v>
      </c>
      <c r="F448" s="14">
        <f t="shared" si="133"/>
        <v>0.8222222222222223</v>
      </c>
      <c r="G448" s="2">
        <v>59.929524000000001</v>
      </c>
      <c r="H448" s="2">
        <f t="shared" si="134"/>
        <v>0.2951325567456396</v>
      </c>
      <c r="I448" s="2">
        <v>22.1</v>
      </c>
      <c r="J448" s="4">
        <f t="shared" si="135"/>
        <v>0.17470355731225298</v>
      </c>
      <c r="K448" s="2">
        <v>0</v>
      </c>
      <c r="L448" s="4">
        <f t="shared" si="136"/>
        <v>0</v>
      </c>
      <c r="M448" s="2">
        <v>61653</v>
      </c>
      <c r="N448" s="2">
        <f t="shared" si="137"/>
        <v>0.29057548272321659</v>
      </c>
      <c r="O448" s="2">
        <v>0.77601999499999996</v>
      </c>
      <c r="P448" s="2">
        <f t="shared" si="138"/>
        <v>0.81900012767392416</v>
      </c>
      <c r="Q448" s="2">
        <v>0.24729999999999999</v>
      </c>
      <c r="R448" s="2">
        <f t="shared" si="139"/>
        <v>0.55674580196873191</v>
      </c>
      <c r="S448" s="2">
        <f t="shared" si="140"/>
        <v>9.3006198040108623E-2</v>
      </c>
      <c r="T448" s="5">
        <f t="shared" si="141"/>
        <v>0.24291500474954159</v>
      </c>
      <c r="U448" s="2" t="str">
        <f t="shared" si="142"/>
        <v>Low</v>
      </c>
      <c r="V448" s="2">
        <f t="shared" si="143"/>
        <v>7.5276705095326454E-2</v>
      </c>
      <c r="W448" s="2">
        <f t="shared" si="144"/>
        <v>0.1825937614998544</v>
      </c>
      <c r="X448" s="2" t="s">
        <v>1176</v>
      </c>
      <c r="Y448" s="2">
        <f t="shared" si="145"/>
        <v>0.11073569098489081</v>
      </c>
      <c r="Z448" s="2">
        <f t="shared" si="146"/>
        <v>0.28304926266182989</v>
      </c>
      <c r="AA448" s="2" t="str">
        <f t="shared" si="147"/>
        <v>Low</v>
      </c>
      <c r="AB448" s="2">
        <f t="shared" si="148"/>
        <v>7.3318439483335468E-2</v>
      </c>
      <c r="AC448" s="2">
        <f t="shared" si="149"/>
        <v>0.26638778221388049</v>
      </c>
      <c r="AD448" s="2" t="str">
        <f t="shared" si="150"/>
        <v>Low</v>
      </c>
      <c r="AE448" s="2">
        <f t="shared" si="151"/>
        <v>3.9288244012868498E-2</v>
      </c>
      <c r="AF448" s="2">
        <f t="shared" si="152"/>
        <v>0.2993023880361691</v>
      </c>
      <c r="AG448" s="2" t="s">
        <v>1175</v>
      </c>
    </row>
    <row r="449" spans="1:33" x14ac:dyDescent="0.3">
      <c r="A449">
        <v>508878</v>
      </c>
      <c r="B449" t="s">
        <v>908</v>
      </c>
      <c r="C449" t="s">
        <v>896</v>
      </c>
      <c r="D449" t="s">
        <v>909</v>
      </c>
      <c r="E449" s="13">
        <v>7</v>
      </c>
      <c r="F449" s="14">
        <f t="shared" si="133"/>
        <v>0.84444444444444444</v>
      </c>
      <c r="G449" s="2">
        <v>50.936353199999999</v>
      </c>
      <c r="H449" s="2">
        <f t="shared" si="134"/>
        <v>0.19796905186033234</v>
      </c>
      <c r="I449" s="2">
        <v>21.6</v>
      </c>
      <c r="J449" s="4">
        <f t="shared" si="135"/>
        <v>0.1707509881422925</v>
      </c>
      <c r="K449" s="2">
        <v>0</v>
      </c>
      <c r="L449" s="4">
        <f t="shared" si="136"/>
        <v>0</v>
      </c>
      <c r="M449" s="2">
        <v>46801</v>
      </c>
      <c r="N449" s="2">
        <f t="shared" si="137"/>
        <v>0.22030441962025615</v>
      </c>
      <c r="O449" s="2">
        <v>0.74951789000000002</v>
      </c>
      <c r="P449" s="2">
        <f t="shared" si="138"/>
        <v>0.78838515742310822</v>
      </c>
      <c r="Q449" s="2">
        <v>0.22120000000000001</v>
      </c>
      <c r="R449" s="2">
        <f t="shared" si="139"/>
        <v>0.48118123914302263</v>
      </c>
      <c r="S449" s="2">
        <f t="shared" si="140"/>
        <v>6.9176931273560338E-2</v>
      </c>
      <c r="T449" s="5">
        <f t="shared" si="141"/>
        <v>0.18067736283154914</v>
      </c>
      <c r="U449" s="2" t="str">
        <f t="shared" si="142"/>
        <v>Low</v>
      </c>
      <c r="V449" s="2">
        <f t="shared" si="143"/>
        <v>5.2437811209174678E-2</v>
      </c>
      <c r="W449" s="2">
        <f t="shared" si="144"/>
        <v>0.12719495601431266</v>
      </c>
      <c r="X449" s="2" t="s">
        <v>1176</v>
      </c>
      <c r="Y449" s="2">
        <f t="shared" si="145"/>
        <v>8.5916051337946012E-2</v>
      </c>
      <c r="Z449" s="2">
        <f t="shared" si="146"/>
        <v>0.21960828316264938</v>
      </c>
      <c r="AA449" s="2" t="str">
        <f t="shared" si="147"/>
        <v>Low</v>
      </c>
      <c r="AB449" s="2">
        <f t="shared" si="148"/>
        <v>5.2530909242427322E-2</v>
      </c>
      <c r="AC449" s="2">
        <f t="shared" si="149"/>
        <v>0.19086047806499554</v>
      </c>
      <c r="AD449" s="2" t="str">
        <f t="shared" si="150"/>
        <v>Low</v>
      </c>
      <c r="AE449" s="2">
        <f t="shared" si="151"/>
        <v>2.400817119380683E-2</v>
      </c>
      <c r="AF449" s="2">
        <f t="shared" si="152"/>
        <v>0.18289702559203053</v>
      </c>
      <c r="AG449" s="2" t="s">
        <v>1175</v>
      </c>
    </row>
    <row r="450" spans="1:33" x14ac:dyDescent="0.3">
      <c r="A450">
        <v>508889</v>
      </c>
      <c r="B450" t="s">
        <v>910</v>
      </c>
      <c r="C450" t="s">
        <v>896</v>
      </c>
      <c r="D450" t="s">
        <v>911</v>
      </c>
      <c r="E450" s="13">
        <v>6.9</v>
      </c>
      <c r="F450" s="14">
        <f t="shared" ref="F450:F513" si="153">(E450-$AJ$5)/$AK$5</f>
        <v>0.8222222222222223</v>
      </c>
      <c r="G450" s="2">
        <v>55.942603200000001</v>
      </c>
      <c r="H450" s="2">
        <f t="shared" ref="H450:H513" si="154">(G450-$AJ$6)/$AK$6</f>
        <v>0.25205729361062462</v>
      </c>
      <c r="I450" s="2">
        <v>20.5</v>
      </c>
      <c r="J450" s="4">
        <f t="shared" ref="J450:J513" si="155">(I450-$AJ$7)/$AK$7</f>
        <v>0.16205533596837945</v>
      </c>
      <c r="K450" s="2">
        <v>0</v>
      </c>
      <c r="L450" s="4">
        <f t="shared" ref="L450:L513" si="156">(K450-$AJ$8)/$AK$8</f>
        <v>0</v>
      </c>
      <c r="M450" s="2">
        <v>22985</v>
      </c>
      <c r="N450" s="2">
        <f t="shared" ref="N450:N513" si="157">(M450-$AJ$9)/$AK$9</f>
        <v>0.10762089963236859</v>
      </c>
      <c r="O450" s="2">
        <v>0.615979622</v>
      </c>
      <c r="P450" s="2">
        <f t="shared" ref="P450:P513" si="158">(O450-$AJ$11)/$AK$11</f>
        <v>0.63412306759418802</v>
      </c>
      <c r="Q450" s="2">
        <v>0.2097</v>
      </c>
      <c r="R450" s="2">
        <f t="shared" ref="R450:R513" si="159">(Q450-$AJ$12)/$AK$12</f>
        <v>0.44788650839606259</v>
      </c>
      <c r="S450" s="2">
        <f t="shared" ref="S450:S513" si="160">F450*(R450*0.5+P450*0.5)*(H450*0.35+J450*0.35+L450*0.3)</f>
        <v>6.447284564579632E-2</v>
      </c>
      <c r="T450" s="5">
        <f t="shared" ref="T450:T513" si="161">(S450-$AJ$10)/$AK$10</f>
        <v>0.16839116033440199</v>
      </c>
      <c r="U450" s="2" t="str">
        <f t="shared" ref="U450:U513" si="162">IF(T450&gt;0.7,"High",IF(T450&gt;0.3,"Moderate",IF(T450&gt;0.15,"Low","No Impact")))</f>
        <v>Low</v>
      </c>
      <c r="V450" s="2">
        <f t="shared" ref="V450:V513" si="163">F450*(R450*1)*(H450*0.35+J450*0.35+L450*0.3)</f>
        <v>5.3375715637685242E-2</v>
      </c>
      <c r="W450" s="2">
        <f t="shared" ref="W450:W513" si="164">(V450-$AJ$13)/$AK$13</f>
        <v>0.12946996921145307</v>
      </c>
      <c r="X450" s="2" t="s">
        <v>1176</v>
      </c>
      <c r="Y450" s="2">
        <f t="shared" ref="Y450:Y513" si="165">F450*(P450*1)*(H450*0.35+J450*0.35+L450*0.3)</f>
        <v>7.5569975653907384E-2</v>
      </c>
      <c r="Z450" s="2">
        <f t="shared" ref="Z450:Z513" si="166">(Y450-$AJ$14)/$AK$14</f>
        <v>0.19316288811643806</v>
      </c>
      <c r="AA450" s="2" t="str">
        <f t="shared" ref="AA450:AA513" si="167">IF(Z450&gt;0.7,"High",IF(Z450&gt;0.3,"Moderate",IF(Z450&gt;0.15,"Low","No Impact")))</f>
        <v>Low</v>
      </c>
      <c r="AB450" s="2">
        <f t="shared" ref="AB450:AB513" si="168">F450*(R450*0.35+P450*0.3+N450*0.35)*(H450*0.35+J450*0.35+L450*0.3)</f>
        <v>4.5841397947063725E-2</v>
      </c>
      <c r="AC450" s="2">
        <f t="shared" ref="AC450:AC513" si="169">(AB450-$AJ$15)/$AK$15</f>
        <v>0.16655548616085603</v>
      </c>
      <c r="AD450" s="2" t="str">
        <f t="shared" ref="AD450:AD513" si="170">IF(AC450&gt;0.7,"High",IF(AC450&gt;0.3,"Moderate",IF(AC450&gt;0.15,"Low","No Impact")))</f>
        <v>Low</v>
      </c>
      <c r="AE450" s="2">
        <f t="shared" ref="AE450:AE513" si="171">F450*(N450*1)*(H450*0.35+J450*0.35+L450*0.3)</f>
        <v>1.2825442222004803E-2</v>
      </c>
      <c r="AF450" s="2">
        <f t="shared" ref="AF450:AF513" si="172">(AE450-$AJ$16)/$AK$16</f>
        <v>9.7705702586468948E-2</v>
      </c>
      <c r="AG450" s="2" t="s">
        <v>1175</v>
      </c>
    </row>
    <row r="451" spans="1:33" x14ac:dyDescent="0.3">
      <c r="A451">
        <v>508894</v>
      </c>
      <c r="B451" t="s">
        <v>912</v>
      </c>
      <c r="C451" t="s">
        <v>896</v>
      </c>
      <c r="D451" t="s">
        <v>913</v>
      </c>
      <c r="E451" s="13">
        <v>6.9</v>
      </c>
      <c r="F451" s="14">
        <f t="shared" si="153"/>
        <v>0.8222222222222223</v>
      </c>
      <c r="G451" s="2">
        <v>53.7910416</v>
      </c>
      <c r="H451" s="2">
        <f t="shared" si="154"/>
        <v>0.22881151404279529</v>
      </c>
      <c r="I451" s="2">
        <v>20</v>
      </c>
      <c r="J451" s="4">
        <f t="shared" si="155"/>
        <v>0.15810276679841898</v>
      </c>
      <c r="K451" s="2">
        <v>0</v>
      </c>
      <c r="L451" s="4">
        <f t="shared" si="156"/>
        <v>0</v>
      </c>
      <c r="M451" s="2">
        <v>56867</v>
      </c>
      <c r="N451" s="2">
        <f t="shared" si="157"/>
        <v>0.26793090232927852</v>
      </c>
      <c r="O451" s="2">
        <v>0.82256426500000002</v>
      </c>
      <c r="P451" s="2">
        <f t="shared" si="158"/>
        <v>0.87276760921533159</v>
      </c>
      <c r="Q451" s="2">
        <v>0.24010000000000001</v>
      </c>
      <c r="R451" s="2">
        <f t="shared" si="159"/>
        <v>0.53590040532715699</v>
      </c>
      <c r="S451" s="2">
        <f t="shared" si="160"/>
        <v>7.842430382988809E-2</v>
      </c>
      <c r="T451" s="5">
        <f t="shared" si="161"/>
        <v>0.20482979133392074</v>
      </c>
      <c r="U451" s="2" t="str">
        <f t="shared" si="162"/>
        <v>Low</v>
      </c>
      <c r="V451" s="2">
        <f t="shared" si="163"/>
        <v>5.967000851309455E-2</v>
      </c>
      <c r="W451" s="2">
        <f t="shared" si="164"/>
        <v>0.14473762220778585</v>
      </c>
      <c r="X451" s="2" t="s">
        <v>1176</v>
      </c>
      <c r="Y451" s="2">
        <f t="shared" si="165"/>
        <v>9.7178599146681657E-2</v>
      </c>
      <c r="Z451" s="2">
        <f t="shared" si="166"/>
        <v>0.24839625409237606</v>
      </c>
      <c r="AA451" s="2" t="str">
        <f t="shared" si="167"/>
        <v>Low</v>
      </c>
      <c r="AB451" s="2">
        <f t="shared" si="168"/>
        <v>6.0479582062633985E-2</v>
      </c>
      <c r="AC451" s="2">
        <f t="shared" si="169"/>
        <v>0.21974037975193575</v>
      </c>
      <c r="AD451" s="2" t="str">
        <f t="shared" si="170"/>
        <v>Low</v>
      </c>
      <c r="AE451" s="2">
        <f t="shared" si="171"/>
        <v>2.9832855254418263E-2</v>
      </c>
      <c r="AF451" s="2">
        <f t="shared" si="172"/>
        <v>0.22727014260703879</v>
      </c>
      <c r="AG451" s="2" t="s">
        <v>1175</v>
      </c>
    </row>
    <row r="452" spans="1:33" x14ac:dyDescent="0.3">
      <c r="A452">
        <v>552710</v>
      </c>
      <c r="B452" t="s">
        <v>914</v>
      </c>
      <c r="C452" t="s">
        <v>915</v>
      </c>
      <c r="D452" t="s">
        <v>916</v>
      </c>
      <c r="E452" s="13">
        <v>6.4</v>
      </c>
      <c r="F452" s="14">
        <f t="shared" si="153"/>
        <v>0.71111111111111114</v>
      </c>
      <c r="G452" s="2">
        <v>52.110572400000002</v>
      </c>
      <c r="H452" s="2">
        <f t="shared" si="154"/>
        <v>0.21065548421138053</v>
      </c>
      <c r="I452" s="2">
        <v>21</v>
      </c>
      <c r="J452" s="4">
        <f t="shared" si="155"/>
        <v>0.16600790513833993</v>
      </c>
      <c r="K452" s="2">
        <v>0</v>
      </c>
      <c r="L452" s="4">
        <f t="shared" si="156"/>
        <v>0</v>
      </c>
      <c r="M452" s="2">
        <v>22770</v>
      </c>
      <c r="N452" s="2">
        <f t="shared" si="157"/>
        <v>0.10660364414037179</v>
      </c>
      <c r="O452" s="2">
        <v>0.869308521</v>
      </c>
      <c r="P452" s="2">
        <f t="shared" si="158"/>
        <v>0.92676611261106268</v>
      </c>
      <c r="Q452" s="2">
        <v>0.2455</v>
      </c>
      <c r="R452" s="2">
        <f t="shared" si="159"/>
        <v>0.55153445280833824</v>
      </c>
      <c r="S452" s="2">
        <f t="shared" si="160"/>
        <v>6.929336729136637E-2</v>
      </c>
      <c r="T452" s="5">
        <f t="shared" si="161"/>
        <v>0.18098147219645591</v>
      </c>
      <c r="U452" s="2" t="str">
        <f t="shared" si="162"/>
        <v>Low</v>
      </c>
      <c r="V452" s="2">
        <f t="shared" si="163"/>
        <v>5.170488371077421E-2</v>
      </c>
      <c r="W452" s="2">
        <f t="shared" si="164"/>
        <v>0.12541714189943942</v>
      </c>
      <c r="X452" s="2" t="s">
        <v>1176</v>
      </c>
      <c r="Y452" s="2">
        <f t="shared" si="165"/>
        <v>8.6881850871958502E-2</v>
      </c>
      <c r="Z452" s="2">
        <f t="shared" si="166"/>
        <v>0.22207694384061161</v>
      </c>
      <c r="AA452" s="2" t="str">
        <f t="shared" si="167"/>
        <v>Low</v>
      </c>
      <c r="AB452" s="2">
        <f t="shared" si="168"/>
        <v>4.7659097104408757E-2</v>
      </c>
      <c r="AC452" s="2">
        <f t="shared" si="169"/>
        <v>0.17315972993185497</v>
      </c>
      <c r="AD452" s="2" t="str">
        <f t="shared" si="170"/>
        <v>Low</v>
      </c>
      <c r="AE452" s="2">
        <f t="shared" si="171"/>
        <v>9.9938072687149274E-3</v>
      </c>
      <c r="AF452" s="2">
        <f t="shared" si="172"/>
        <v>7.6133979928445589E-2</v>
      </c>
      <c r="AG452" s="2" t="s">
        <v>1175</v>
      </c>
    </row>
    <row r="453" spans="1:33" x14ac:dyDescent="0.3">
      <c r="A453">
        <v>552712</v>
      </c>
      <c r="B453" t="s">
        <v>917</v>
      </c>
      <c r="C453" t="s">
        <v>915</v>
      </c>
      <c r="D453" t="s">
        <v>918</v>
      </c>
      <c r="E453" s="13">
        <v>6</v>
      </c>
      <c r="F453" s="14">
        <f t="shared" si="153"/>
        <v>0.62222222222222223</v>
      </c>
      <c r="G453" s="2">
        <v>50.180493599999998</v>
      </c>
      <c r="H453" s="2">
        <f t="shared" si="154"/>
        <v>0.18980263652468607</v>
      </c>
      <c r="I453" s="2">
        <v>11.3</v>
      </c>
      <c r="J453" s="4">
        <f t="shared" si="155"/>
        <v>8.9328063241106731E-2</v>
      </c>
      <c r="K453" s="2">
        <v>0</v>
      </c>
      <c r="L453" s="4">
        <f t="shared" si="156"/>
        <v>0</v>
      </c>
      <c r="M453" s="2">
        <v>46581</v>
      </c>
      <c r="N453" s="2">
        <f t="shared" si="157"/>
        <v>0.21926350702379432</v>
      </c>
      <c r="O453" s="2">
        <v>0.80881435300000004</v>
      </c>
      <c r="P453" s="2">
        <f t="shared" si="158"/>
        <v>0.85688384651680882</v>
      </c>
      <c r="Q453" s="2">
        <v>0.26500000000000001</v>
      </c>
      <c r="R453" s="2">
        <f t="shared" si="159"/>
        <v>0.60799073537927051</v>
      </c>
      <c r="S453" s="2">
        <f t="shared" si="160"/>
        <v>4.4523737530166689E-2</v>
      </c>
      <c r="T453" s="5">
        <f t="shared" si="161"/>
        <v>0.11628777588503986</v>
      </c>
      <c r="U453" s="2" t="str">
        <f t="shared" si="162"/>
        <v>No Impact</v>
      </c>
      <c r="V453" s="2">
        <f t="shared" si="163"/>
        <v>3.6958822628707561E-2</v>
      </c>
      <c r="W453" s="2">
        <f t="shared" si="164"/>
        <v>8.9648589637866968E-2</v>
      </c>
      <c r="X453" s="2" t="s">
        <v>1176</v>
      </c>
      <c r="Y453" s="2">
        <f t="shared" si="165"/>
        <v>5.2088652431625811E-2</v>
      </c>
      <c r="Z453" s="2">
        <f t="shared" si="166"/>
        <v>0.13314275219388569</v>
      </c>
      <c r="AA453" s="2" t="str">
        <f t="shared" si="167"/>
        <v>No Impact</v>
      </c>
      <c r="AB453" s="2">
        <f t="shared" si="168"/>
        <v>3.3227225742643869E-2</v>
      </c>
      <c r="AC453" s="2">
        <f t="shared" si="169"/>
        <v>0.12072443217663784</v>
      </c>
      <c r="AD453" s="2" t="str">
        <f t="shared" si="170"/>
        <v>No Impact</v>
      </c>
      <c r="AE453" s="2">
        <f t="shared" si="171"/>
        <v>1.3328691694595657E-2</v>
      </c>
      <c r="AF453" s="2">
        <f t="shared" si="172"/>
        <v>0.10153951528817813</v>
      </c>
      <c r="AG453" s="2" t="s">
        <v>1175</v>
      </c>
    </row>
    <row r="454" spans="1:33" x14ac:dyDescent="0.3">
      <c r="A454">
        <v>552717</v>
      </c>
      <c r="B454" t="s">
        <v>919</v>
      </c>
      <c r="C454" t="s">
        <v>915</v>
      </c>
      <c r="D454" t="s">
        <v>920</v>
      </c>
      <c r="E454" s="13">
        <v>6.4</v>
      </c>
      <c r="F454" s="14">
        <f t="shared" si="153"/>
        <v>0.71111111111111114</v>
      </c>
      <c r="G454" s="2">
        <v>51.709791600000003</v>
      </c>
      <c r="H454" s="2">
        <f t="shared" si="154"/>
        <v>0.20632539106795472</v>
      </c>
      <c r="I454" s="2">
        <v>13</v>
      </c>
      <c r="J454" s="4">
        <f t="shared" si="155"/>
        <v>0.10276679841897234</v>
      </c>
      <c r="K454" s="2">
        <v>0</v>
      </c>
      <c r="L454" s="4">
        <f t="shared" si="156"/>
        <v>0</v>
      </c>
      <c r="M454" s="2">
        <v>39215</v>
      </c>
      <c r="N454" s="2">
        <f t="shared" si="157"/>
        <v>0.18441186072589461</v>
      </c>
      <c r="O454" s="2">
        <v>0.72110038200000004</v>
      </c>
      <c r="P454" s="2">
        <f t="shared" si="158"/>
        <v>0.75555753252228153</v>
      </c>
      <c r="Q454" s="2">
        <v>0.26860000000000001</v>
      </c>
      <c r="R454" s="2">
        <f t="shared" si="159"/>
        <v>0.61841343370005797</v>
      </c>
      <c r="S454" s="2">
        <f t="shared" si="160"/>
        <v>5.284952639445193E-2</v>
      </c>
      <c r="T454" s="5">
        <f t="shared" si="161"/>
        <v>0.1380331980625957</v>
      </c>
      <c r="U454" s="2" t="str">
        <f t="shared" si="162"/>
        <v>No Impact</v>
      </c>
      <c r="V454" s="2">
        <f t="shared" si="163"/>
        <v>4.7574305266252684E-2</v>
      </c>
      <c r="W454" s="2">
        <f t="shared" si="164"/>
        <v>0.11539786894640168</v>
      </c>
      <c r="X454" s="2" t="s">
        <v>1176</v>
      </c>
      <c r="Y454" s="2">
        <f t="shared" si="165"/>
        <v>5.8124747522651184E-2</v>
      </c>
      <c r="Z454" s="2">
        <f t="shared" si="166"/>
        <v>0.14857149291583177</v>
      </c>
      <c r="AA454" s="2" t="str">
        <f t="shared" si="167"/>
        <v>No Impact</v>
      </c>
      <c r="AB454" s="2">
        <f t="shared" si="168"/>
        <v>3.9053787587374239E-2</v>
      </c>
      <c r="AC454" s="2">
        <f t="shared" si="169"/>
        <v>0.14189407106539953</v>
      </c>
      <c r="AD454" s="2" t="str">
        <f t="shared" si="170"/>
        <v>No Impact</v>
      </c>
      <c r="AE454" s="2">
        <f t="shared" si="171"/>
        <v>1.418673282111556E-2</v>
      </c>
      <c r="AF454" s="2">
        <f t="shared" si="172"/>
        <v>0.10807617185436456</v>
      </c>
      <c r="AG454" s="2" t="s">
        <v>1175</v>
      </c>
    </row>
    <row r="455" spans="1:33" x14ac:dyDescent="0.3">
      <c r="A455">
        <v>552721</v>
      </c>
      <c r="B455" t="s">
        <v>921</v>
      </c>
      <c r="C455" t="s">
        <v>915</v>
      </c>
      <c r="D455" t="s">
        <v>922</v>
      </c>
      <c r="E455" s="13">
        <v>6.4</v>
      </c>
      <c r="F455" s="14">
        <f t="shared" si="153"/>
        <v>0.71111111111111114</v>
      </c>
      <c r="G455" s="2">
        <v>50.050414799999999</v>
      </c>
      <c r="H455" s="2">
        <f t="shared" si="154"/>
        <v>0.18839724654596188</v>
      </c>
      <c r="I455" s="2">
        <v>11.5</v>
      </c>
      <c r="J455" s="4">
        <f t="shared" si="155"/>
        <v>9.0909090909090912E-2</v>
      </c>
      <c r="K455" s="2">
        <v>0</v>
      </c>
      <c r="L455" s="4">
        <f t="shared" si="156"/>
        <v>0</v>
      </c>
      <c r="M455" s="2">
        <v>24638</v>
      </c>
      <c r="N455" s="2">
        <f t="shared" si="157"/>
        <v>0.11544193836851145</v>
      </c>
      <c r="O455" s="2">
        <v>0.855496017</v>
      </c>
      <c r="P455" s="2">
        <f t="shared" si="158"/>
        <v>0.91081004425161427</v>
      </c>
      <c r="Q455" s="2">
        <v>0.28470000000000001</v>
      </c>
      <c r="R455" s="2">
        <f t="shared" si="159"/>
        <v>0.66502605674580206</v>
      </c>
      <c r="S455" s="2">
        <f t="shared" si="160"/>
        <v>5.4773103441658186E-2</v>
      </c>
      <c r="T455" s="5">
        <f t="shared" si="161"/>
        <v>0.14305722589520004</v>
      </c>
      <c r="U455" s="2" t="str">
        <f t="shared" si="162"/>
        <v>No Impact</v>
      </c>
      <c r="V455" s="2">
        <f t="shared" si="163"/>
        <v>4.6230113619659459E-2</v>
      </c>
      <c r="W455" s="2">
        <f t="shared" si="164"/>
        <v>0.11213735151783828</v>
      </c>
      <c r="X455" s="2" t="s">
        <v>1176</v>
      </c>
      <c r="Y455" s="2">
        <f t="shared" si="165"/>
        <v>6.3316093263656892E-2</v>
      </c>
      <c r="Z455" s="2">
        <f t="shared" si="166"/>
        <v>0.16184098688968332</v>
      </c>
      <c r="AA455" s="2" t="str">
        <f t="shared" si="167"/>
        <v>Low</v>
      </c>
      <c r="AB455" s="2">
        <f t="shared" si="168"/>
        <v>3.7984149229936322E-2</v>
      </c>
      <c r="AC455" s="2">
        <f t="shared" si="169"/>
        <v>0.13800775553800007</v>
      </c>
      <c r="AD455" s="2" t="str">
        <f t="shared" si="170"/>
        <v>No Impact</v>
      </c>
      <c r="AE455" s="2">
        <f t="shared" si="171"/>
        <v>8.0250899541669703E-3</v>
      </c>
      <c r="AF455" s="2">
        <f t="shared" si="172"/>
        <v>6.1136063670865916E-2</v>
      </c>
      <c r="AG455" s="2" t="s">
        <v>1175</v>
      </c>
    </row>
    <row r="456" spans="1:33" x14ac:dyDescent="0.3">
      <c r="A456">
        <v>552730</v>
      </c>
      <c r="B456" t="s">
        <v>923</v>
      </c>
      <c r="C456" t="s">
        <v>915</v>
      </c>
      <c r="D456" t="s">
        <v>924</v>
      </c>
      <c r="E456" s="13">
        <v>6.4</v>
      </c>
      <c r="F456" s="14">
        <f t="shared" si="153"/>
        <v>0.71111111111111114</v>
      </c>
      <c r="G456" s="2">
        <v>51.709791600000003</v>
      </c>
      <c r="H456" s="2">
        <f t="shared" si="154"/>
        <v>0.20632539106795472</v>
      </c>
      <c r="I456" s="2">
        <v>12.4</v>
      </c>
      <c r="J456" s="4">
        <f t="shared" si="155"/>
        <v>9.8023715415019766E-2</v>
      </c>
      <c r="K456" s="2">
        <v>0</v>
      </c>
      <c r="L456" s="4">
        <f t="shared" si="156"/>
        <v>0</v>
      </c>
      <c r="M456" s="2">
        <v>37811</v>
      </c>
      <c r="N456" s="2">
        <f t="shared" si="157"/>
        <v>0.17776894579211083</v>
      </c>
      <c r="O456" s="2">
        <v>0.80787603399999997</v>
      </c>
      <c r="P456" s="2">
        <f t="shared" si="158"/>
        <v>0.85579990966459352</v>
      </c>
      <c r="Q456" s="2">
        <v>0.2419</v>
      </c>
      <c r="R456" s="2">
        <f t="shared" si="159"/>
        <v>0.54111175448755067</v>
      </c>
      <c r="S456" s="2">
        <f t="shared" si="160"/>
        <v>5.2907408315421331E-2</v>
      </c>
      <c r="T456" s="5">
        <f t="shared" si="161"/>
        <v>0.13818437494546465</v>
      </c>
      <c r="U456" s="2" t="str">
        <f t="shared" si="162"/>
        <v>No Impact</v>
      </c>
      <c r="V456" s="2">
        <f t="shared" si="163"/>
        <v>4.0988734325334925E-2</v>
      </c>
      <c r="W456" s="2">
        <f t="shared" si="164"/>
        <v>9.9423681869489286E-2</v>
      </c>
      <c r="X456" s="2" t="s">
        <v>1176</v>
      </c>
      <c r="Y456" s="2">
        <f t="shared" si="165"/>
        <v>6.4826082305507737E-2</v>
      </c>
      <c r="Z456" s="2">
        <f t="shared" si="166"/>
        <v>0.1657006393750021</v>
      </c>
      <c r="AA456" s="2" t="str">
        <f t="shared" si="167"/>
        <v>Low</v>
      </c>
      <c r="AB456" s="2">
        <f t="shared" si="168"/>
        <v>3.8506925564719914E-2</v>
      </c>
      <c r="AC456" s="2">
        <f t="shared" si="169"/>
        <v>0.13990715805390544</v>
      </c>
      <c r="AD456" s="2" t="str">
        <f t="shared" si="170"/>
        <v>No Impact</v>
      </c>
      <c r="AE456" s="2">
        <f t="shared" si="171"/>
        <v>1.3465839597715369E-2</v>
      </c>
      <c r="AF456" s="2">
        <f t="shared" si="172"/>
        <v>0.10258432388039818</v>
      </c>
      <c r="AG456" s="2" t="s">
        <v>1175</v>
      </c>
    </row>
    <row r="457" spans="1:33" x14ac:dyDescent="0.3">
      <c r="A457">
        <v>552738</v>
      </c>
      <c r="B457" t="s">
        <v>925</v>
      </c>
      <c r="C457" t="s">
        <v>915</v>
      </c>
      <c r="D457" t="s">
        <v>926</v>
      </c>
      <c r="E457" s="13">
        <v>6.4</v>
      </c>
      <c r="F457" s="14">
        <f t="shared" si="153"/>
        <v>0.71111111111111114</v>
      </c>
      <c r="G457" s="2">
        <v>52.110572400000002</v>
      </c>
      <c r="H457" s="2">
        <f t="shared" si="154"/>
        <v>0.21065548421138053</v>
      </c>
      <c r="I457" s="2">
        <v>16.5</v>
      </c>
      <c r="J457" s="4">
        <f t="shared" si="155"/>
        <v>0.13043478260869565</v>
      </c>
      <c r="K457" s="2">
        <v>0</v>
      </c>
      <c r="L457" s="4">
        <f t="shared" si="156"/>
        <v>0</v>
      </c>
      <c r="M457" s="2">
        <v>22131</v>
      </c>
      <c r="N457" s="2">
        <f t="shared" si="157"/>
        <v>0.10358026618973944</v>
      </c>
      <c r="O457" s="2">
        <v>0.82222690200000004</v>
      </c>
      <c r="P457" s="2">
        <f t="shared" si="158"/>
        <v>0.87237789080584194</v>
      </c>
      <c r="Q457" s="2">
        <v>0.21740000000000001</v>
      </c>
      <c r="R457" s="2">
        <f t="shared" si="159"/>
        <v>0.47017950202663583</v>
      </c>
      <c r="S457" s="2">
        <f t="shared" si="160"/>
        <v>5.698725005151057E-2</v>
      </c>
      <c r="T457" s="5">
        <f t="shared" si="161"/>
        <v>0.14884016773759776</v>
      </c>
      <c r="U457" s="2" t="str">
        <f t="shared" si="162"/>
        <v>No Impact</v>
      </c>
      <c r="V457" s="2">
        <f t="shared" si="163"/>
        <v>3.9915220003454946E-2</v>
      </c>
      <c r="W457" s="2">
        <f t="shared" si="164"/>
        <v>9.6819728657033921E-2</v>
      </c>
      <c r="X457" s="2" t="s">
        <v>1176</v>
      </c>
      <c r="Y457" s="2">
        <f t="shared" si="165"/>
        <v>7.4059280099566194E-2</v>
      </c>
      <c r="Z457" s="2">
        <f t="shared" si="166"/>
        <v>0.18930142972881556</v>
      </c>
      <c r="AA457" s="2" t="str">
        <f t="shared" si="167"/>
        <v>Low</v>
      </c>
      <c r="AB457" s="2">
        <f t="shared" si="168"/>
        <v>3.9265765806129185E-2</v>
      </c>
      <c r="AC457" s="2">
        <f t="shared" si="169"/>
        <v>0.14266425122703014</v>
      </c>
      <c r="AD457" s="2" t="str">
        <f t="shared" si="170"/>
        <v>No Impact</v>
      </c>
      <c r="AE457" s="2">
        <f t="shared" si="171"/>
        <v>8.7932993572860142E-3</v>
      </c>
      <c r="AF457" s="2">
        <f t="shared" si="172"/>
        <v>6.6988371775805897E-2</v>
      </c>
      <c r="AG457" s="2" t="s">
        <v>1175</v>
      </c>
    </row>
    <row r="458" spans="1:33" x14ac:dyDescent="0.3">
      <c r="A458">
        <v>552743</v>
      </c>
      <c r="B458" t="s">
        <v>927</v>
      </c>
      <c r="C458" t="s">
        <v>915</v>
      </c>
      <c r="D458" t="s">
        <v>928</v>
      </c>
      <c r="E458" s="13">
        <v>6.4</v>
      </c>
      <c r="F458" s="14">
        <f t="shared" si="153"/>
        <v>0.71111111111111114</v>
      </c>
      <c r="G458" s="2">
        <v>41.191250400000001</v>
      </c>
      <c r="H458" s="2">
        <f t="shared" si="154"/>
        <v>9.268156599209762E-2</v>
      </c>
      <c r="I458" s="2">
        <v>19.8</v>
      </c>
      <c r="J458" s="4">
        <f t="shared" si="155"/>
        <v>0.15652173913043479</v>
      </c>
      <c r="K458" s="2">
        <v>0</v>
      </c>
      <c r="L458" s="4">
        <f t="shared" si="156"/>
        <v>0</v>
      </c>
      <c r="M458" s="2">
        <v>17312</v>
      </c>
      <c r="N458" s="2">
        <f t="shared" si="157"/>
        <v>8.0779548906332058E-2</v>
      </c>
      <c r="O458" s="2">
        <v>0.83397162599999997</v>
      </c>
      <c r="P458" s="2">
        <f t="shared" si="158"/>
        <v>0.88594528010808948</v>
      </c>
      <c r="Q458" s="2">
        <v>0.23449999999999999</v>
      </c>
      <c r="R458" s="2">
        <f t="shared" si="159"/>
        <v>0.51968731905037635</v>
      </c>
      <c r="S458" s="2">
        <f t="shared" si="160"/>
        <v>4.359143158200636E-2</v>
      </c>
      <c r="T458" s="5">
        <f t="shared" si="161"/>
        <v>0.11385276500836981</v>
      </c>
      <c r="U458" s="2" t="str">
        <f t="shared" si="162"/>
        <v>No Impact</v>
      </c>
      <c r="V458" s="2">
        <f t="shared" si="163"/>
        <v>3.2233051831585868E-2</v>
      </c>
      <c r="W458" s="2">
        <f t="shared" si="164"/>
        <v>7.8185597670565946E-2</v>
      </c>
      <c r="X458" s="2" t="s">
        <v>1176</v>
      </c>
      <c r="Y458" s="2">
        <f t="shared" si="165"/>
        <v>5.4949811332426865E-2</v>
      </c>
      <c r="Z458" s="2">
        <f t="shared" si="166"/>
        <v>0.14045610265955052</v>
      </c>
      <c r="AA458" s="2" t="str">
        <f t="shared" si="167"/>
        <v>No Impact</v>
      </c>
      <c r="AB458" s="2">
        <f t="shared" si="168"/>
        <v>2.9520104426319992E-2</v>
      </c>
      <c r="AC458" s="2">
        <f t="shared" si="169"/>
        <v>0.10725535355450248</v>
      </c>
      <c r="AD458" s="2" t="str">
        <f t="shared" si="170"/>
        <v>No Impact</v>
      </c>
      <c r="AE458" s="2">
        <f t="shared" si="171"/>
        <v>5.0102653872482264E-3</v>
      </c>
      <c r="AF458" s="2">
        <f t="shared" si="172"/>
        <v>3.8168781343528128E-2</v>
      </c>
      <c r="AG458" s="2" t="s">
        <v>1176</v>
      </c>
    </row>
    <row r="459" spans="1:33" x14ac:dyDescent="0.3">
      <c r="A459">
        <v>552747</v>
      </c>
      <c r="B459" t="s">
        <v>929</v>
      </c>
      <c r="C459" t="s">
        <v>915</v>
      </c>
      <c r="D459" t="s">
        <v>930</v>
      </c>
      <c r="E459" s="13">
        <v>6.4</v>
      </c>
      <c r="F459" s="14">
        <f t="shared" si="153"/>
        <v>0.71111111111111114</v>
      </c>
      <c r="G459" s="2">
        <v>48.183616800000003</v>
      </c>
      <c r="H459" s="2">
        <f t="shared" si="154"/>
        <v>0.1682280936824489</v>
      </c>
      <c r="I459" s="2">
        <v>26.5</v>
      </c>
      <c r="J459" s="4">
        <f t="shared" si="155"/>
        <v>0.20948616600790515</v>
      </c>
      <c r="K459" s="2">
        <v>0</v>
      </c>
      <c r="L459" s="4">
        <f t="shared" si="156"/>
        <v>0</v>
      </c>
      <c r="M459" s="2">
        <v>12348</v>
      </c>
      <c r="N459" s="2">
        <f t="shared" si="157"/>
        <v>5.7292775593438462E-2</v>
      </c>
      <c r="O459" s="2">
        <v>0.832106974</v>
      </c>
      <c r="P459" s="2">
        <f t="shared" si="158"/>
        <v>0.88379125251261659</v>
      </c>
      <c r="Q459" s="2">
        <v>0.24299999999999999</v>
      </c>
      <c r="R459" s="2">
        <f t="shared" si="159"/>
        <v>0.54429646786334684</v>
      </c>
      <c r="S459" s="2">
        <f t="shared" si="160"/>
        <v>6.7126465289295043E-2</v>
      </c>
      <c r="T459" s="5">
        <f t="shared" si="161"/>
        <v>0.1753219245403099</v>
      </c>
      <c r="U459" s="2" t="str">
        <f t="shared" si="162"/>
        <v>Low</v>
      </c>
      <c r="V459" s="2">
        <f t="shared" si="163"/>
        <v>5.1168702644535123E-2</v>
      </c>
      <c r="W459" s="2">
        <f t="shared" si="164"/>
        <v>0.12411656268830608</v>
      </c>
      <c r="X459" s="2" t="s">
        <v>1176</v>
      </c>
      <c r="Y459" s="2">
        <f t="shared" si="165"/>
        <v>8.3084227934054955E-2</v>
      </c>
      <c r="Z459" s="2">
        <f t="shared" si="166"/>
        <v>0.21236991656800519</v>
      </c>
      <c r="AA459" s="2" t="str">
        <f t="shared" si="167"/>
        <v>Low</v>
      </c>
      <c r="AB459" s="2">
        <f t="shared" si="168"/>
        <v>4.4719424737137435E-2</v>
      </c>
      <c r="AC459" s="2">
        <f t="shared" si="169"/>
        <v>0.16247902248811807</v>
      </c>
      <c r="AD459" s="2" t="str">
        <f t="shared" si="170"/>
        <v>Low</v>
      </c>
      <c r="AE459" s="2">
        <f t="shared" si="171"/>
        <v>5.3860298038104302E-3</v>
      </c>
      <c r="AF459" s="2">
        <f t="shared" si="172"/>
        <v>4.1031398140024503E-2</v>
      </c>
      <c r="AG459" s="2" t="s">
        <v>1176</v>
      </c>
    </row>
    <row r="460" spans="1:33" x14ac:dyDescent="0.3">
      <c r="A460">
        <v>552756</v>
      </c>
      <c r="B460" t="s">
        <v>931</v>
      </c>
      <c r="C460" t="s">
        <v>915</v>
      </c>
      <c r="D460" t="s">
        <v>932</v>
      </c>
      <c r="E460" s="13">
        <v>5</v>
      </c>
      <c r="F460" s="14">
        <f t="shared" si="153"/>
        <v>0.39999999999999997</v>
      </c>
      <c r="G460" s="2">
        <v>50.050414799999999</v>
      </c>
      <c r="H460" s="2">
        <f t="shared" si="154"/>
        <v>0.18839724654596188</v>
      </c>
      <c r="I460" s="2">
        <v>11</v>
      </c>
      <c r="J460" s="4">
        <f t="shared" si="155"/>
        <v>8.6956521739130432E-2</v>
      </c>
      <c r="K460" s="2">
        <v>0</v>
      </c>
      <c r="L460" s="4">
        <f t="shared" si="156"/>
        <v>0</v>
      </c>
      <c r="M460" s="2">
        <v>26833</v>
      </c>
      <c r="N460" s="2">
        <f t="shared" si="157"/>
        <v>0.12582740722866484</v>
      </c>
      <c r="O460" s="2">
        <v>0.86891489</v>
      </c>
      <c r="P460" s="2">
        <f t="shared" si="158"/>
        <v>0.92631139396306084</v>
      </c>
      <c r="Q460" s="2">
        <v>0.2666</v>
      </c>
      <c r="R460" s="2">
        <f t="shared" si="159"/>
        <v>0.6126230457440649</v>
      </c>
      <c r="S460" s="2">
        <f t="shared" si="160"/>
        <v>2.9662597798194495E-2</v>
      </c>
      <c r="T460" s="5">
        <f t="shared" si="161"/>
        <v>7.7473224762126217E-2</v>
      </c>
      <c r="U460" s="2" t="str">
        <f t="shared" si="162"/>
        <v>No Impact</v>
      </c>
      <c r="V460" s="2">
        <f t="shared" si="163"/>
        <v>2.3616328985748621E-2</v>
      </c>
      <c r="W460" s="2">
        <f t="shared" si="164"/>
        <v>5.7284578766633669E-2</v>
      </c>
      <c r="X460" s="2" t="s">
        <v>1176</v>
      </c>
      <c r="Y460" s="2">
        <f t="shared" si="165"/>
        <v>3.5708866610640363E-2</v>
      </c>
      <c r="Z460" s="2">
        <f t="shared" si="166"/>
        <v>9.1274712558667995E-2</v>
      </c>
      <c r="AA460" s="2" t="str">
        <f t="shared" si="167"/>
        <v>No Impact</v>
      </c>
      <c r="AB460" s="2">
        <f t="shared" si="168"/>
        <v>2.0676080614167956E-2</v>
      </c>
      <c r="AC460" s="2">
        <f t="shared" si="169"/>
        <v>7.5122374378078366E-2</v>
      </c>
      <c r="AD460" s="2" t="str">
        <f t="shared" si="170"/>
        <v>No Impact</v>
      </c>
      <c r="AE460" s="2">
        <f t="shared" si="171"/>
        <v>4.8505871027538011E-3</v>
      </c>
      <c r="AF460" s="2">
        <f t="shared" si="172"/>
        <v>3.6952333699519238E-2</v>
      </c>
      <c r="AG460" s="2" t="s">
        <v>1176</v>
      </c>
    </row>
    <row r="461" spans="1:33" x14ac:dyDescent="0.3">
      <c r="A461">
        <v>552760</v>
      </c>
      <c r="B461" t="s">
        <v>933</v>
      </c>
      <c r="C461" t="s">
        <v>915</v>
      </c>
      <c r="D461" t="s">
        <v>934</v>
      </c>
      <c r="E461" s="13">
        <v>6.3</v>
      </c>
      <c r="F461" s="14">
        <f t="shared" si="153"/>
        <v>0.68888888888888877</v>
      </c>
      <c r="G461" s="2">
        <v>50.180493599999998</v>
      </c>
      <c r="H461" s="2">
        <f t="shared" si="154"/>
        <v>0.18980263652468607</v>
      </c>
      <c r="I461" s="2">
        <v>11.2</v>
      </c>
      <c r="J461" s="4">
        <f t="shared" si="155"/>
        <v>8.8537549407114613E-2</v>
      </c>
      <c r="K461" s="2">
        <v>0</v>
      </c>
      <c r="L461" s="4">
        <f t="shared" si="156"/>
        <v>0</v>
      </c>
      <c r="M461" s="2">
        <v>15773</v>
      </c>
      <c r="N461" s="2">
        <f t="shared" si="157"/>
        <v>7.3497892151992164E-2</v>
      </c>
      <c r="O461" s="2">
        <v>0.79009336799999996</v>
      </c>
      <c r="P461" s="2">
        <f t="shared" si="158"/>
        <v>0.83525754932868079</v>
      </c>
      <c r="Q461" s="2">
        <v>0.24329999999999999</v>
      </c>
      <c r="R461" s="2">
        <f t="shared" si="159"/>
        <v>0.54516502605674577</v>
      </c>
      <c r="S461" s="2">
        <f t="shared" si="160"/>
        <v>4.6320708642499958E-2</v>
      </c>
      <c r="T461" s="5">
        <f t="shared" si="161"/>
        <v>0.12098113240842963</v>
      </c>
      <c r="U461" s="2" t="str">
        <f t="shared" si="162"/>
        <v>No Impact</v>
      </c>
      <c r="V461" s="2">
        <f t="shared" si="163"/>
        <v>3.658652181489383E-2</v>
      </c>
      <c r="W461" s="2">
        <f t="shared" si="164"/>
        <v>8.87455239960111E-2</v>
      </c>
      <c r="X461" s="2" t="s">
        <v>1176</v>
      </c>
      <c r="Y461" s="2">
        <f t="shared" si="165"/>
        <v>5.6054895470106086E-2</v>
      </c>
      <c r="Z461" s="2">
        <f t="shared" si="166"/>
        <v>0.14328078589914009</v>
      </c>
      <c r="AA461" s="2" t="str">
        <f t="shared" si="167"/>
        <v>No Impact</v>
      </c>
      <c r="AB461" s="2">
        <f t="shared" si="168"/>
        <v>3.1348129963641759E-2</v>
      </c>
      <c r="AC461" s="2">
        <f t="shared" si="169"/>
        <v>0.11389711614722875</v>
      </c>
      <c r="AD461" s="2" t="str">
        <f t="shared" si="170"/>
        <v>No Impact</v>
      </c>
      <c r="AE461" s="2">
        <f t="shared" si="171"/>
        <v>4.9325105354202899E-3</v>
      </c>
      <c r="AF461" s="2">
        <f t="shared" si="172"/>
        <v>3.7576435887063407E-2</v>
      </c>
      <c r="AG461" s="2" t="s">
        <v>1176</v>
      </c>
    </row>
    <row r="462" spans="1:33" x14ac:dyDescent="0.3">
      <c r="A462">
        <v>552764</v>
      </c>
      <c r="B462" t="s">
        <v>935</v>
      </c>
      <c r="C462" t="s">
        <v>915</v>
      </c>
      <c r="D462" t="s">
        <v>936</v>
      </c>
      <c r="E462" s="13">
        <v>6.4</v>
      </c>
      <c r="F462" s="14">
        <f t="shared" si="153"/>
        <v>0.71111111111111114</v>
      </c>
      <c r="G462" s="2">
        <v>51.709791600000003</v>
      </c>
      <c r="H462" s="2">
        <f t="shared" si="154"/>
        <v>0.20632539106795472</v>
      </c>
      <c r="I462" s="2">
        <v>13</v>
      </c>
      <c r="J462" s="4">
        <f t="shared" si="155"/>
        <v>0.10276679841897234</v>
      </c>
      <c r="K462" s="2">
        <v>0</v>
      </c>
      <c r="L462" s="4">
        <f t="shared" si="156"/>
        <v>0</v>
      </c>
      <c r="M462" s="2">
        <v>51759</v>
      </c>
      <c r="N462" s="2">
        <f t="shared" si="157"/>
        <v>0.24376280440779172</v>
      </c>
      <c r="O462" s="2">
        <v>0.52087077400000004</v>
      </c>
      <c r="P462" s="2">
        <f t="shared" si="158"/>
        <v>0.52425426464025771</v>
      </c>
      <c r="Q462" s="2">
        <v>0.25019999999999998</v>
      </c>
      <c r="R462" s="2">
        <f t="shared" si="159"/>
        <v>0.56514186450492176</v>
      </c>
      <c r="S462" s="2">
        <f t="shared" si="160"/>
        <v>4.1903410549910515E-2</v>
      </c>
      <c r="T462" s="5">
        <f t="shared" si="161"/>
        <v>0.10944396596411625</v>
      </c>
      <c r="U462" s="2" t="str">
        <f t="shared" si="162"/>
        <v>No Impact</v>
      </c>
      <c r="V462" s="2">
        <f t="shared" si="163"/>
        <v>4.3476144138448129E-2</v>
      </c>
      <c r="W462" s="2">
        <f t="shared" si="164"/>
        <v>0.10545722855026966</v>
      </c>
      <c r="X462" s="2" t="s">
        <v>1176</v>
      </c>
      <c r="Y462" s="2">
        <f t="shared" si="165"/>
        <v>4.0330676961372908E-2</v>
      </c>
      <c r="Z462" s="2">
        <f t="shared" si="166"/>
        <v>0.10308842862710482</v>
      </c>
      <c r="AA462" s="2" t="str">
        <f t="shared" si="167"/>
        <v>No Impact</v>
      </c>
      <c r="AB462" s="2">
        <f t="shared" si="168"/>
        <v>3.3879255790315858E-2</v>
      </c>
      <c r="AC462" s="2">
        <f t="shared" si="169"/>
        <v>0.12309345202430701</v>
      </c>
      <c r="AD462" s="2" t="str">
        <f t="shared" si="170"/>
        <v>No Impact</v>
      </c>
      <c r="AE462" s="2">
        <f t="shared" si="171"/>
        <v>1.8752577866991832E-2</v>
      </c>
      <c r="AF462" s="2">
        <f t="shared" si="172"/>
        <v>0.14285930762358534</v>
      </c>
      <c r="AG462" s="2" t="s">
        <v>1175</v>
      </c>
    </row>
    <row r="463" spans="1:33" x14ac:dyDescent="0.3">
      <c r="A463">
        <v>552769</v>
      </c>
      <c r="B463" t="s">
        <v>937</v>
      </c>
      <c r="C463" t="s">
        <v>915</v>
      </c>
      <c r="D463" t="s">
        <v>382</v>
      </c>
      <c r="E463" s="13">
        <v>6.3</v>
      </c>
      <c r="F463" s="14">
        <f t="shared" si="153"/>
        <v>0.68888888888888877</v>
      </c>
      <c r="G463" s="2">
        <v>52.110572400000002</v>
      </c>
      <c r="H463" s="2">
        <f t="shared" si="154"/>
        <v>0.21065548421138053</v>
      </c>
      <c r="I463" s="2">
        <v>23.5</v>
      </c>
      <c r="J463" s="4">
        <f t="shared" si="155"/>
        <v>0.1857707509881423</v>
      </c>
      <c r="K463" s="2">
        <v>0</v>
      </c>
      <c r="L463" s="4">
        <f t="shared" si="156"/>
        <v>0</v>
      </c>
      <c r="M463" s="2">
        <v>37424</v>
      </c>
      <c r="N463" s="2">
        <f t="shared" si="157"/>
        <v>0.17593788590651657</v>
      </c>
      <c r="O463" s="2">
        <v>0.81448562099999999</v>
      </c>
      <c r="P463" s="2">
        <f t="shared" si="158"/>
        <v>0.86343523936293942</v>
      </c>
      <c r="Q463" s="2">
        <v>0.25969999999999999</v>
      </c>
      <c r="R463" s="2">
        <f t="shared" si="159"/>
        <v>0.59264620729588879</v>
      </c>
      <c r="S463" s="2">
        <f t="shared" si="160"/>
        <v>6.9588149039608305E-2</v>
      </c>
      <c r="T463" s="5">
        <f t="shared" si="161"/>
        <v>0.18175138765675017</v>
      </c>
      <c r="U463" s="2" t="str">
        <f t="shared" si="162"/>
        <v>Low</v>
      </c>
      <c r="V463" s="2">
        <f t="shared" si="163"/>
        <v>5.6646766148553296E-2</v>
      </c>
      <c r="W463" s="2">
        <f t="shared" si="164"/>
        <v>0.13740434168536864</v>
      </c>
      <c r="X463" s="2" t="s">
        <v>1176</v>
      </c>
      <c r="Y463" s="2">
        <f t="shared" si="165"/>
        <v>8.2529531930663327E-2</v>
      </c>
      <c r="Z463" s="2">
        <f t="shared" si="166"/>
        <v>0.21095206931961544</v>
      </c>
      <c r="AA463" s="2" t="str">
        <f t="shared" si="167"/>
        <v>Low</v>
      </c>
      <c r="AB463" s="2">
        <f t="shared" si="168"/>
        <v>5.0471048402823987E-2</v>
      </c>
      <c r="AC463" s="2">
        <f t="shared" si="169"/>
        <v>0.18337638859721747</v>
      </c>
      <c r="AD463" s="2" t="str">
        <f t="shared" si="170"/>
        <v>Low</v>
      </c>
      <c r="AE463" s="2">
        <f t="shared" si="171"/>
        <v>1.681663049037525E-2</v>
      </c>
      <c r="AF463" s="2">
        <f t="shared" si="172"/>
        <v>0.12811103654422859</v>
      </c>
      <c r="AG463" s="2" t="s">
        <v>1175</v>
      </c>
    </row>
    <row r="464" spans="1:33" x14ac:dyDescent="0.3">
      <c r="A464">
        <v>552777</v>
      </c>
      <c r="B464" t="s">
        <v>938</v>
      </c>
      <c r="C464" t="s">
        <v>915</v>
      </c>
      <c r="D464" t="s">
        <v>939</v>
      </c>
      <c r="E464" s="13">
        <v>6.4</v>
      </c>
      <c r="F464" s="14">
        <f t="shared" si="153"/>
        <v>0.71111111111111114</v>
      </c>
      <c r="G464" s="2">
        <v>52.110572400000002</v>
      </c>
      <c r="H464" s="2">
        <f t="shared" si="154"/>
        <v>0.21065548421138053</v>
      </c>
      <c r="I464" s="2">
        <v>14</v>
      </c>
      <c r="J464" s="4">
        <f t="shared" si="155"/>
        <v>0.11067193675889328</v>
      </c>
      <c r="K464" s="2">
        <v>0</v>
      </c>
      <c r="L464" s="4">
        <f t="shared" si="156"/>
        <v>0</v>
      </c>
      <c r="M464" s="2">
        <v>48158</v>
      </c>
      <c r="N464" s="2">
        <f t="shared" si="157"/>
        <v>0.22672495777206852</v>
      </c>
      <c r="O464" s="2">
        <v>0.80802117699999998</v>
      </c>
      <c r="P464" s="2">
        <f t="shared" si="158"/>
        <v>0.85596757742634721</v>
      </c>
      <c r="Q464" s="2">
        <v>0.22570000000000001</v>
      </c>
      <c r="R464" s="2">
        <f t="shared" si="159"/>
        <v>0.49420961204400704</v>
      </c>
      <c r="S464" s="2">
        <f t="shared" si="160"/>
        <v>5.3990092071427756E-2</v>
      </c>
      <c r="T464" s="5">
        <f t="shared" si="161"/>
        <v>0.14101214487128327</v>
      </c>
      <c r="U464" s="2" t="str">
        <f t="shared" si="162"/>
        <v>No Impact</v>
      </c>
      <c r="V464" s="2">
        <f t="shared" si="163"/>
        <v>3.9524327125253063E-2</v>
      </c>
      <c r="W464" s="2">
        <f t="shared" si="164"/>
        <v>9.5871565465193875E-2</v>
      </c>
      <c r="X464" s="2" t="s">
        <v>1176</v>
      </c>
      <c r="Y464" s="2">
        <f t="shared" si="165"/>
        <v>6.8455857017602456E-2</v>
      </c>
      <c r="Z464" s="2">
        <f t="shared" si="166"/>
        <v>0.17497863318846146</v>
      </c>
      <c r="AA464" s="2" t="str">
        <f t="shared" si="167"/>
        <v>Low</v>
      </c>
      <c r="AB464" s="2">
        <f t="shared" si="168"/>
        <v>4.0716572668584472E-2</v>
      </c>
      <c r="AC464" s="2">
        <f t="shared" si="169"/>
        <v>0.14793546574323632</v>
      </c>
      <c r="AD464" s="2" t="str">
        <f t="shared" si="170"/>
        <v>No Impact</v>
      </c>
      <c r="AE464" s="2">
        <f t="shared" si="171"/>
        <v>1.8132288769900484E-2</v>
      </c>
      <c r="AF464" s="2">
        <f t="shared" si="172"/>
        <v>0.13813387352244735</v>
      </c>
      <c r="AG464" s="2" t="s">
        <v>1175</v>
      </c>
    </row>
    <row r="465" spans="1:33" x14ac:dyDescent="0.3">
      <c r="A465">
        <v>553221</v>
      </c>
      <c r="B465" t="s">
        <v>940</v>
      </c>
      <c r="C465" t="s">
        <v>941</v>
      </c>
      <c r="D465" t="s">
        <v>942</v>
      </c>
      <c r="E465" s="13">
        <v>7</v>
      </c>
      <c r="F465" s="14">
        <f t="shared" si="153"/>
        <v>0.84444444444444444</v>
      </c>
      <c r="G465" s="2">
        <v>47.146507200000002</v>
      </c>
      <c r="H465" s="2">
        <f t="shared" si="154"/>
        <v>0.15702301307993224</v>
      </c>
      <c r="I465" s="2">
        <v>14.8</v>
      </c>
      <c r="J465" s="4">
        <f t="shared" si="155"/>
        <v>0.11699604743083004</v>
      </c>
      <c r="K465" s="2">
        <v>0</v>
      </c>
      <c r="L465" s="4">
        <f t="shared" si="156"/>
        <v>0</v>
      </c>
      <c r="M465" s="2">
        <v>4647</v>
      </c>
      <c r="N465" s="2">
        <f t="shared" si="157"/>
        <v>2.0856103296380935E-2</v>
      </c>
      <c r="O465" s="2">
        <v>0.78593915299999995</v>
      </c>
      <c r="P465" s="2">
        <f t="shared" si="158"/>
        <v>0.83045864114231249</v>
      </c>
      <c r="Q465" s="2">
        <v>0.16830000000000001</v>
      </c>
      <c r="R465" s="2">
        <f t="shared" si="159"/>
        <v>0.32802547770700641</v>
      </c>
      <c r="S465" s="2">
        <f t="shared" si="160"/>
        <v>4.6911572302084349E-2</v>
      </c>
      <c r="T465" s="5">
        <f t="shared" si="161"/>
        <v>0.12252435911480868</v>
      </c>
      <c r="U465" s="2" t="str">
        <f t="shared" si="162"/>
        <v>No Impact</v>
      </c>
      <c r="V465" s="2">
        <f t="shared" si="163"/>
        <v>2.6566080042016511E-2</v>
      </c>
      <c r="W465" s="2">
        <f t="shared" si="164"/>
        <v>6.4439596247407568E-2</v>
      </c>
      <c r="X465" s="2" t="s">
        <v>1176</v>
      </c>
      <c r="Y465" s="2">
        <f t="shared" si="165"/>
        <v>6.7257064562152191E-2</v>
      </c>
      <c r="Z465" s="2">
        <f t="shared" si="166"/>
        <v>0.17191442401089777</v>
      </c>
      <c r="AA465" s="2" t="str">
        <f t="shared" si="167"/>
        <v>Low</v>
      </c>
      <c r="AB465" s="2">
        <f t="shared" si="168"/>
        <v>3.0066429262555611E-2</v>
      </c>
      <c r="AC465" s="2">
        <f t="shared" si="169"/>
        <v>0.1092403148073432</v>
      </c>
      <c r="AD465" s="2" t="str">
        <f t="shared" si="170"/>
        <v>No Impact</v>
      </c>
      <c r="AE465" s="2">
        <f t="shared" si="171"/>
        <v>1.6890910834405162E-3</v>
      </c>
      <c r="AF465" s="2">
        <f t="shared" si="172"/>
        <v>1.2867691279833195E-2</v>
      </c>
      <c r="AG465" s="2" t="s">
        <v>1176</v>
      </c>
    </row>
    <row r="466" spans="1:33" x14ac:dyDescent="0.3">
      <c r="A466">
        <v>553224</v>
      </c>
      <c r="B466" t="s">
        <v>943</v>
      </c>
      <c r="C466" t="s">
        <v>941</v>
      </c>
      <c r="D466" t="s">
        <v>944</v>
      </c>
      <c r="E466" s="13">
        <v>7.1</v>
      </c>
      <c r="F466" s="14">
        <f t="shared" si="153"/>
        <v>0.86666666666666659</v>
      </c>
      <c r="G466" s="2">
        <v>45.610182000000002</v>
      </c>
      <c r="H466" s="2">
        <f t="shared" si="154"/>
        <v>0.1404243356617717</v>
      </c>
      <c r="I466" s="2">
        <v>17</v>
      </c>
      <c r="J466" s="4">
        <f t="shared" si="155"/>
        <v>0.13438735177865613</v>
      </c>
      <c r="K466" s="2">
        <v>0</v>
      </c>
      <c r="L466" s="4">
        <f t="shared" si="156"/>
        <v>0</v>
      </c>
      <c r="M466" s="2">
        <v>17828</v>
      </c>
      <c r="N466" s="2">
        <f t="shared" si="157"/>
        <v>8.3220962087124387E-2</v>
      </c>
      <c r="O466" s="2">
        <v>0.51726448899999999</v>
      </c>
      <c r="P466" s="2">
        <f t="shared" si="158"/>
        <v>0.5200883197845203</v>
      </c>
      <c r="Q466" s="2">
        <v>0.2109</v>
      </c>
      <c r="R466" s="2">
        <f t="shared" si="159"/>
        <v>0.45136074116965841</v>
      </c>
      <c r="S466" s="2">
        <f t="shared" si="160"/>
        <v>4.0489775948324251E-2</v>
      </c>
      <c r="T466" s="5">
        <f t="shared" si="161"/>
        <v>0.10575181357863377</v>
      </c>
      <c r="U466" s="2" t="str">
        <f t="shared" si="162"/>
        <v>No Impact</v>
      </c>
      <c r="V466" s="2">
        <f t="shared" si="163"/>
        <v>3.7625226100642783E-2</v>
      </c>
      <c r="W466" s="2">
        <f t="shared" si="164"/>
        <v>9.1265040789164364E-2</v>
      </c>
      <c r="X466" s="2" t="s">
        <v>1176</v>
      </c>
      <c r="Y466" s="2">
        <f t="shared" si="165"/>
        <v>4.3354325796005726E-2</v>
      </c>
      <c r="Z466" s="2">
        <f t="shared" si="166"/>
        <v>0.11081711633004149</v>
      </c>
      <c r="AA466" s="2" t="str">
        <f t="shared" si="167"/>
        <v>No Impact</v>
      </c>
      <c r="AB466" s="2">
        <f t="shared" si="168"/>
        <v>2.8603168416484279E-2</v>
      </c>
      <c r="AC466" s="2">
        <f t="shared" si="169"/>
        <v>0.10392385125012381</v>
      </c>
      <c r="AD466" s="2" t="str">
        <f t="shared" si="170"/>
        <v>No Impact</v>
      </c>
      <c r="AE466" s="2">
        <f t="shared" si="171"/>
        <v>6.9372615498788171E-3</v>
      </c>
      <c r="AF466" s="2">
        <f t="shared" si="172"/>
        <v>5.2848861039198905E-2</v>
      </c>
      <c r="AG466" s="2" t="s">
        <v>1176</v>
      </c>
    </row>
    <row r="467" spans="1:33" x14ac:dyDescent="0.3">
      <c r="A467">
        <v>553230</v>
      </c>
      <c r="B467" t="s">
        <v>945</v>
      </c>
      <c r="C467" t="s">
        <v>941</v>
      </c>
      <c r="D467" t="s">
        <v>946</v>
      </c>
      <c r="E467" s="13">
        <v>6.7</v>
      </c>
      <c r="F467" s="14">
        <f t="shared" si="153"/>
        <v>0.77777777777777779</v>
      </c>
      <c r="G467" s="2">
        <v>45.114687000000004</v>
      </c>
      <c r="H467" s="2">
        <f t="shared" si="154"/>
        <v>0.13507093674121021</v>
      </c>
      <c r="I467" s="2">
        <v>17.600000000000001</v>
      </c>
      <c r="J467" s="4">
        <f t="shared" si="155"/>
        <v>0.1391304347826087</v>
      </c>
      <c r="K467" s="2">
        <v>0</v>
      </c>
      <c r="L467" s="4">
        <f t="shared" si="156"/>
        <v>0</v>
      </c>
      <c r="M467" s="2">
        <v>31462</v>
      </c>
      <c r="N467" s="2">
        <f t="shared" si="157"/>
        <v>0.14772915454240063</v>
      </c>
      <c r="O467" s="2">
        <v>0.81807762799999995</v>
      </c>
      <c r="P467" s="2">
        <f t="shared" si="158"/>
        <v>0.86758469041393027</v>
      </c>
      <c r="Q467" s="2">
        <v>0.24529999999999999</v>
      </c>
      <c r="R467" s="2">
        <f t="shared" si="159"/>
        <v>0.55095541401273884</v>
      </c>
      <c r="S467" s="2">
        <f t="shared" si="160"/>
        <v>5.2942545743253792E-2</v>
      </c>
      <c r="T467" s="5">
        <f t="shared" si="161"/>
        <v>0.13827614741470512</v>
      </c>
      <c r="U467" s="2" t="str">
        <f t="shared" si="162"/>
        <v>No Impact</v>
      </c>
      <c r="V467" s="2">
        <f t="shared" si="163"/>
        <v>4.1125354324264202E-2</v>
      </c>
      <c r="W467" s="2">
        <f t="shared" si="164"/>
        <v>9.9755072031545572E-2</v>
      </c>
      <c r="X467" s="2" t="s">
        <v>1176</v>
      </c>
      <c r="Y467" s="2">
        <f t="shared" si="165"/>
        <v>6.4759737162243369E-2</v>
      </c>
      <c r="Z467" s="2">
        <f t="shared" si="166"/>
        <v>0.16553105589459799</v>
      </c>
      <c r="AA467" s="2" t="str">
        <f t="shared" si="167"/>
        <v>Low</v>
      </c>
      <c r="AB467" s="2">
        <f t="shared" si="168"/>
        <v>3.7681263250728285E-2</v>
      </c>
      <c r="AC467" s="2">
        <f t="shared" si="169"/>
        <v>0.13690728033921673</v>
      </c>
      <c r="AD467" s="2" t="str">
        <f t="shared" si="170"/>
        <v>No Impact</v>
      </c>
      <c r="AE467" s="2">
        <f t="shared" si="171"/>
        <v>1.1027051681608013E-2</v>
      </c>
      <c r="AF467" s="2">
        <f t="shared" si="172"/>
        <v>8.400535539899695E-2</v>
      </c>
      <c r="AG467" s="2" t="s">
        <v>1175</v>
      </c>
    </row>
    <row r="468" spans="1:33" x14ac:dyDescent="0.3">
      <c r="A468">
        <v>553267</v>
      </c>
      <c r="B468" t="s">
        <v>947</v>
      </c>
      <c r="C468" t="s">
        <v>941</v>
      </c>
      <c r="D468" t="s">
        <v>948</v>
      </c>
      <c r="E468" s="13">
        <v>7</v>
      </c>
      <c r="F468" s="14">
        <f t="shared" si="153"/>
        <v>0.84444444444444444</v>
      </c>
      <c r="G468" s="2">
        <v>41.191250400000001</v>
      </c>
      <c r="H468" s="2">
        <f t="shared" si="154"/>
        <v>9.268156599209762E-2</v>
      </c>
      <c r="I468" s="2">
        <v>19.899999999999999</v>
      </c>
      <c r="J468" s="4">
        <f t="shared" si="155"/>
        <v>0.15731225296442686</v>
      </c>
      <c r="K468" s="2">
        <v>0</v>
      </c>
      <c r="L468" s="4">
        <f t="shared" si="156"/>
        <v>0</v>
      </c>
      <c r="M468" s="2">
        <v>6784</v>
      </c>
      <c r="N468" s="2">
        <f t="shared" si="157"/>
        <v>3.0967149744739842E-2</v>
      </c>
      <c r="O468" s="2">
        <v>0.83888978599999997</v>
      </c>
      <c r="P468" s="2">
        <f t="shared" si="158"/>
        <v>0.89162669002208517</v>
      </c>
      <c r="Q468" s="2">
        <v>0.2389</v>
      </c>
      <c r="R468" s="2">
        <f t="shared" si="159"/>
        <v>0.53242617255356117</v>
      </c>
      <c r="S468" s="2">
        <f t="shared" si="160"/>
        <v>5.2609541107774577E-2</v>
      </c>
      <c r="T468" s="5">
        <f t="shared" si="161"/>
        <v>0.1374064008352979</v>
      </c>
      <c r="U468" s="2" t="str">
        <f t="shared" si="162"/>
        <v>No Impact</v>
      </c>
      <c r="V468" s="2">
        <f t="shared" si="163"/>
        <v>3.9339405646991864E-2</v>
      </c>
      <c r="W468" s="2">
        <f t="shared" si="164"/>
        <v>9.5423013575800381E-2</v>
      </c>
      <c r="X468" s="2" t="s">
        <v>1176</v>
      </c>
      <c r="Y468" s="2">
        <f t="shared" si="165"/>
        <v>6.5879676568557283E-2</v>
      </c>
      <c r="Z468" s="2">
        <f t="shared" si="166"/>
        <v>0.1683937103862409</v>
      </c>
      <c r="AA468" s="2" t="str">
        <f t="shared" si="167"/>
        <v>Low</v>
      </c>
      <c r="AB468" s="2">
        <f t="shared" si="168"/>
        <v>3.4333520047128883E-2</v>
      </c>
      <c r="AC468" s="2">
        <f t="shared" si="169"/>
        <v>0.12474392970446771</v>
      </c>
      <c r="AD468" s="2" t="str">
        <f t="shared" si="170"/>
        <v>No Impact</v>
      </c>
      <c r="AE468" s="2">
        <f t="shared" si="171"/>
        <v>2.2880717146129951E-3</v>
      </c>
      <c r="AF468" s="2">
        <f t="shared" si="172"/>
        <v>1.7430795022484926E-2</v>
      </c>
      <c r="AG468" s="2" t="s">
        <v>1176</v>
      </c>
    </row>
    <row r="469" spans="1:33" x14ac:dyDescent="0.3">
      <c r="A469">
        <v>553282</v>
      </c>
      <c r="B469" t="s">
        <v>949</v>
      </c>
      <c r="C469" t="s">
        <v>941</v>
      </c>
      <c r="D469" t="s">
        <v>950</v>
      </c>
      <c r="E469" s="13">
        <v>5.9</v>
      </c>
      <c r="F469" s="14">
        <f t="shared" si="153"/>
        <v>0.60000000000000009</v>
      </c>
      <c r="G469" s="2">
        <v>41.915257199999999</v>
      </c>
      <c r="H469" s="2">
        <f t="shared" si="154"/>
        <v>0.10050383911614365</v>
      </c>
      <c r="I469" s="2">
        <v>19.3</v>
      </c>
      <c r="J469" s="4">
        <f t="shared" si="155"/>
        <v>0.15256916996047432</v>
      </c>
      <c r="K469" s="2">
        <v>0</v>
      </c>
      <c r="L469" s="4">
        <f t="shared" si="156"/>
        <v>0</v>
      </c>
      <c r="M469" s="2">
        <v>9977</v>
      </c>
      <c r="N469" s="2">
        <f t="shared" si="157"/>
        <v>4.6074576656115598E-2</v>
      </c>
      <c r="O469" s="2">
        <v>0.919713369</v>
      </c>
      <c r="P469" s="2">
        <f t="shared" si="158"/>
        <v>0.98499329577318862</v>
      </c>
      <c r="Q469" s="2">
        <v>0.24379999999999999</v>
      </c>
      <c r="R469" s="2">
        <f t="shared" si="159"/>
        <v>0.54661262304574409</v>
      </c>
      <c r="S469" s="2">
        <f t="shared" si="160"/>
        <v>4.0698852452481893E-2</v>
      </c>
      <c r="T469" s="5">
        <f t="shared" si="161"/>
        <v>0.10629788277693138</v>
      </c>
      <c r="U469" s="2" t="str">
        <f t="shared" si="162"/>
        <v>No Impact</v>
      </c>
      <c r="V469" s="2">
        <f t="shared" si="163"/>
        <v>2.9049909275824411E-2</v>
      </c>
      <c r="W469" s="2">
        <f t="shared" si="164"/>
        <v>7.0464457752038481E-2</v>
      </c>
      <c r="X469" s="2" t="s">
        <v>1176</v>
      </c>
      <c r="Y469" s="2">
        <f t="shared" si="165"/>
        <v>5.2347795629139368E-2</v>
      </c>
      <c r="Z469" s="2">
        <f t="shared" si="166"/>
        <v>0.13380514288588083</v>
      </c>
      <c r="AA469" s="2" t="str">
        <f t="shared" si="167"/>
        <v>No Impact</v>
      </c>
      <c r="AB469" s="2">
        <f t="shared" si="168"/>
        <v>2.6728833969367996E-2</v>
      </c>
      <c r="AC469" s="2">
        <f t="shared" si="169"/>
        <v>9.7113834561104229E-2</v>
      </c>
      <c r="AD469" s="2" t="str">
        <f t="shared" si="170"/>
        <v>No Impact</v>
      </c>
      <c r="AE469" s="2">
        <f t="shared" si="171"/>
        <v>2.4486486688218398E-3</v>
      </c>
      <c r="AF469" s="2">
        <f t="shared" si="172"/>
        <v>1.8654088836342831E-2</v>
      </c>
      <c r="AG469" s="2" t="s">
        <v>1176</v>
      </c>
    </row>
    <row r="470" spans="1:33" x14ac:dyDescent="0.3">
      <c r="A470">
        <v>553288</v>
      </c>
      <c r="B470" t="s">
        <v>951</v>
      </c>
      <c r="C470" t="s">
        <v>941</v>
      </c>
      <c r="D470" t="s">
        <v>952</v>
      </c>
      <c r="E470" s="13">
        <v>7</v>
      </c>
      <c r="F470" s="14">
        <f t="shared" si="153"/>
        <v>0.84444444444444444</v>
      </c>
      <c r="G470" s="2">
        <v>47.146507200000002</v>
      </c>
      <c r="H470" s="2">
        <f t="shared" si="154"/>
        <v>0.15702301307993224</v>
      </c>
      <c r="I470" s="2">
        <v>13.7</v>
      </c>
      <c r="J470" s="4">
        <f t="shared" si="155"/>
        <v>0.108300395256917</v>
      </c>
      <c r="K470" s="2">
        <v>0</v>
      </c>
      <c r="L470" s="4">
        <f t="shared" si="156"/>
        <v>0</v>
      </c>
      <c r="M470" s="2">
        <v>16704</v>
      </c>
      <c r="N470" s="2">
        <f t="shared" si="157"/>
        <v>7.7902845003382973E-2</v>
      </c>
      <c r="O470" s="2">
        <v>0.86517404200000003</v>
      </c>
      <c r="P470" s="2">
        <f t="shared" si="158"/>
        <v>0.92199000325719727</v>
      </c>
      <c r="Q470" s="2">
        <v>0.1938</v>
      </c>
      <c r="R470" s="2">
        <f t="shared" si="159"/>
        <v>0.40185292414591783</v>
      </c>
      <c r="S470" s="2">
        <f t="shared" si="160"/>
        <v>5.1906429823292362E-2</v>
      </c>
      <c r="T470" s="5">
        <f t="shared" si="161"/>
        <v>0.13557000407240907</v>
      </c>
      <c r="U470" s="2" t="str">
        <f t="shared" si="162"/>
        <v>No Impact</v>
      </c>
      <c r="V470" s="2">
        <f t="shared" si="163"/>
        <v>3.1512425189870498E-2</v>
      </c>
      <c r="W470" s="2">
        <f t="shared" si="164"/>
        <v>7.6437620936180603E-2</v>
      </c>
      <c r="X470" s="2" t="s">
        <v>1176</v>
      </c>
      <c r="Y470" s="2">
        <f t="shared" si="165"/>
        <v>7.2300434456714233E-2</v>
      </c>
      <c r="Z470" s="2">
        <f t="shared" si="166"/>
        <v>0.18480567991303895</v>
      </c>
      <c r="AA470" s="2" t="str">
        <f t="shared" si="167"/>
        <v>Low</v>
      </c>
      <c r="AB470" s="2">
        <f t="shared" si="168"/>
        <v>3.4857618755570037E-2</v>
      </c>
      <c r="AC470" s="2">
        <f t="shared" si="169"/>
        <v>0.12664813679870804</v>
      </c>
      <c r="AD470" s="2" t="str">
        <f t="shared" si="170"/>
        <v>No Impact</v>
      </c>
      <c r="AE470" s="2">
        <f t="shared" si="171"/>
        <v>6.1089702917174124E-3</v>
      </c>
      <c r="AF470" s="2">
        <f t="shared" si="172"/>
        <v>4.6538842411845874E-2</v>
      </c>
      <c r="AG470" s="2" t="s">
        <v>1176</v>
      </c>
    </row>
    <row r="471" spans="1:33" x14ac:dyDescent="0.3">
      <c r="A471">
        <v>553291</v>
      </c>
      <c r="B471" t="s">
        <v>953</v>
      </c>
      <c r="C471" t="s">
        <v>941</v>
      </c>
      <c r="D471" t="s">
        <v>954</v>
      </c>
      <c r="E471" s="13">
        <v>7.1</v>
      </c>
      <c r="F471" s="14">
        <f t="shared" si="153"/>
        <v>0.86666666666666659</v>
      </c>
      <c r="G471" s="2">
        <v>38.810962799999999</v>
      </c>
      <c r="H471" s="2">
        <f t="shared" si="154"/>
        <v>6.696459797331647E-2</v>
      </c>
      <c r="I471" s="2">
        <v>16.100000000000001</v>
      </c>
      <c r="J471" s="4">
        <f t="shared" si="155"/>
        <v>0.12727272727272729</v>
      </c>
      <c r="K471" s="2">
        <v>0</v>
      </c>
      <c r="L471" s="4">
        <f t="shared" si="156"/>
        <v>0</v>
      </c>
      <c r="M471" s="2">
        <v>13827</v>
      </c>
      <c r="N471" s="2">
        <f t="shared" si="157"/>
        <v>6.4290547094197861E-2</v>
      </c>
      <c r="O471" s="2">
        <v>0.69581584500000004</v>
      </c>
      <c r="P471" s="2">
        <f t="shared" si="158"/>
        <v>0.72634908481366933</v>
      </c>
      <c r="Q471" s="2">
        <v>0.218</v>
      </c>
      <c r="R471" s="2">
        <f t="shared" si="159"/>
        <v>0.47191661841343374</v>
      </c>
      <c r="S471" s="2">
        <f t="shared" si="160"/>
        <v>3.5300101977883497E-2</v>
      </c>
      <c r="T471" s="5">
        <f t="shared" si="161"/>
        <v>9.2197344051403576E-2</v>
      </c>
      <c r="U471" s="2" t="str">
        <f t="shared" si="162"/>
        <v>No Impact</v>
      </c>
      <c r="V471" s="2">
        <f t="shared" si="163"/>
        <v>2.7804692582267584E-2</v>
      </c>
      <c r="W471" s="2">
        <f t="shared" si="164"/>
        <v>6.7444017369173354E-2</v>
      </c>
      <c r="X471" s="2" t="s">
        <v>1176</v>
      </c>
      <c r="Y471" s="2">
        <f t="shared" si="165"/>
        <v>4.2795511373499399E-2</v>
      </c>
      <c r="Z471" s="2">
        <f t="shared" si="166"/>
        <v>0.10938874207375231</v>
      </c>
      <c r="AA471" s="2" t="str">
        <f t="shared" si="167"/>
        <v>No Impact</v>
      </c>
      <c r="AB471" s="2">
        <f t="shared" si="168"/>
        <v>2.3896065220549777E-2</v>
      </c>
      <c r="AC471" s="2">
        <f t="shared" si="169"/>
        <v>8.6821539882710394E-2</v>
      </c>
      <c r="AD471" s="2" t="str">
        <f t="shared" si="170"/>
        <v>No Impact</v>
      </c>
      <c r="AE471" s="2">
        <f t="shared" si="171"/>
        <v>3.7879125848751466E-3</v>
      </c>
      <c r="AF471" s="2">
        <f t="shared" si="172"/>
        <v>2.8856756284501961E-2</v>
      </c>
      <c r="AG471" s="2" t="s">
        <v>1176</v>
      </c>
    </row>
    <row r="472" spans="1:33" x14ac:dyDescent="0.3">
      <c r="A472">
        <v>554906</v>
      </c>
      <c r="B472" t="s">
        <v>955</v>
      </c>
      <c r="C472" t="s">
        <v>956</v>
      </c>
      <c r="D472" t="s">
        <v>957</v>
      </c>
      <c r="E472" s="13">
        <v>7.5</v>
      </c>
      <c r="F472" s="14">
        <f t="shared" si="153"/>
        <v>0.95555555555555549</v>
      </c>
      <c r="G472" s="2">
        <v>52.135182</v>
      </c>
      <c r="H472" s="2">
        <f t="shared" si="154"/>
        <v>0.21092136985316387</v>
      </c>
      <c r="I472" s="2">
        <v>18.100000000000001</v>
      </c>
      <c r="J472" s="4">
        <f t="shared" si="155"/>
        <v>0.14308300395256918</v>
      </c>
      <c r="K472" s="2">
        <v>0</v>
      </c>
      <c r="L472" s="4">
        <f t="shared" si="156"/>
        <v>0</v>
      </c>
      <c r="M472" s="2">
        <v>22341</v>
      </c>
      <c r="N472" s="2">
        <f t="shared" si="157"/>
        <v>0.10457386457727121</v>
      </c>
      <c r="O472" s="2">
        <v>0.72534964700000004</v>
      </c>
      <c r="P472" s="2">
        <f t="shared" si="158"/>
        <v>0.76046624153097486</v>
      </c>
      <c r="Q472" s="2">
        <v>0.22309999999999999</v>
      </c>
      <c r="R472" s="2">
        <f t="shared" si="159"/>
        <v>0.486682107701216</v>
      </c>
      <c r="S472" s="2">
        <f t="shared" si="160"/>
        <v>7.3827937274584102E-2</v>
      </c>
      <c r="T472" s="5">
        <f t="shared" si="161"/>
        <v>0.19282493115104557</v>
      </c>
      <c r="U472" s="2" t="str">
        <f t="shared" si="162"/>
        <v>Low</v>
      </c>
      <c r="V472" s="2">
        <f t="shared" si="163"/>
        <v>5.7620628920606889E-2</v>
      </c>
      <c r="W472" s="2">
        <f t="shared" si="164"/>
        <v>0.13976657667571205</v>
      </c>
      <c r="X472" s="2" t="s">
        <v>1176</v>
      </c>
      <c r="Y472" s="2">
        <f t="shared" si="165"/>
        <v>9.0035245628561328E-2</v>
      </c>
      <c r="Z472" s="2">
        <f t="shared" si="166"/>
        <v>0.23013727247358953</v>
      </c>
      <c r="AA472" s="2" t="str">
        <f t="shared" si="167"/>
        <v>Low</v>
      </c>
      <c r="AB472" s="2">
        <f t="shared" si="168"/>
        <v>5.1511144292724138E-2</v>
      </c>
      <c r="AC472" s="2">
        <f t="shared" si="169"/>
        <v>0.18715536751920134</v>
      </c>
      <c r="AD472" s="2" t="str">
        <f t="shared" si="170"/>
        <v>Low</v>
      </c>
      <c r="AE472" s="2">
        <f t="shared" si="171"/>
        <v>1.2381001376980942E-2</v>
      </c>
      <c r="AF472" s="2">
        <f t="shared" si="172"/>
        <v>9.4319900812969357E-2</v>
      </c>
      <c r="AG472" s="2" t="s">
        <v>1175</v>
      </c>
    </row>
    <row r="473" spans="1:33" x14ac:dyDescent="0.3">
      <c r="A473">
        <v>554908</v>
      </c>
      <c r="B473" t="s">
        <v>958</v>
      </c>
      <c r="C473" t="s">
        <v>956</v>
      </c>
      <c r="D473" t="s">
        <v>959</v>
      </c>
      <c r="E473" s="13">
        <v>7.4</v>
      </c>
      <c r="F473" s="14">
        <f t="shared" si="153"/>
        <v>0.93333333333333335</v>
      </c>
      <c r="G473" s="2">
        <v>45.610182000000002</v>
      </c>
      <c r="H473" s="2">
        <f t="shared" si="154"/>
        <v>0.1404243356617717</v>
      </c>
      <c r="I473" s="2">
        <v>16.3</v>
      </c>
      <c r="J473" s="4">
        <f t="shared" si="155"/>
        <v>0.12885375494071147</v>
      </c>
      <c r="K473" s="2">
        <v>0</v>
      </c>
      <c r="L473" s="4">
        <f t="shared" si="156"/>
        <v>0</v>
      </c>
      <c r="M473" s="2">
        <v>15830</v>
      </c>
      <c r="N473" s="2">
        <f t="shared" si="157"/>
        <v>7.3767583142893639E-2</v>
      </c>
      <c r="O473" s="2">
        <v>0.62281246999999995</v>
      </c>
      <c r="P473" s="2">
        <f t="shared" si="158"/>
        <v>0.64201630619724781</v>
      </c>
      <c r="Q473" s="2">
        <v>0.22070000000000001</v>
      </c>
      <c r="R473" s="2">
        <f t="shared" si="159"/>
        <v>0.47973364215402436</v>
      </c>
      <c r="S473" s="2">
        <f t="shared" si="160"/>
        <v>4.9336905090159221E-2</v>
      </c>
      <c r="T473" s="5">
        <f t="shared" si="161"/>
        <v>0.12885888023436198</v>
      </c>
      <c r="U473" s="2" t="str">
        <f t="shared" si="162"/>
        <v>No Impact</v>
      </c>
      <c r="V473" s="2">
        <f t="shared" si="163"/>
        <v>4.2199374657956798E-2</v>
      </c>
      <c r="W473" s="2">
        <f t="shared" si="164"/>
        <v>0.10236025264363423</v>
      </c>
      <c r="X473" s="2" t="s">
        <v>1176</v>
      </c>
      <c r="Y473" s="2">
        <f t="shared" si="165"/>
        <v>5.6474435522361657E-2</v>
      </c>
      <c r="Z473" s="2">
        <f t="shared" si="166"/>
        <v>0.14435316375122978</v>
      </c>
      <c r="AA473" s="2" t="str">
        <f t="shared" si="167"/>
        <v>No Impact</v>
      </c>
      <c r="AB473" s="2">
        <f t="shared" si="168"/>
        <v>3.3983228427132667E-2</v>
      </c>
      <c r="AC473" s="2">
        <f t="shared" si="169"/>
        <v>0.12347121565822687</v>
      </c>
      <c r="AD473" s="2" t="str">
        <f t="shared" si="170"/>
        <v>No Impact</v>
      </c>
      <c r="AE473" s="2">
        <f t="shared" si="171"/>
        <v>6.4889046861122523E-3</v>
      </c>
      <c r="AF473" s="2">
        <f t="shared" si="172"/>
        <v>4.9433226581884246E-2</v>
      </c>
      <c r="AG473" s="2" t="s">
        <v>1176</v>
      </c>
    </row>
    <row r="474" spans="1:33" x14ac:dyDescent="0.3">
      <c r="A474">
        <v>554909</v>
      </c>
      <c r="B474" t="s">
        <v>960</v>
      </c>
      <c r="C474" t="s">
        <v>956</v>
      </c>
      <c r="D474" t="s">
        <v>961</v>
      </c>
      <c r="E474" s="13">
        <v>7.5</v>
      </c>
      <c r="F474" s="14">
        <f t="shared" si="153"/>
        <v>0.95555555555555549</v>
      </c>
      <c r="G474" s="2">
        <v>32.612914799999999</v>
      </c>
      <c r="H474" s="2">
        <f t="shared" si="154"/>
        <v>0</v>
      </c>
      <c r="I474" s="2">
        <v>16.3</v>
      </c>
      <c r="J474" s="4">
        <f t="shared" si="155"/>
        <v>0.12885375494071147</v>
      </c>
      <c r="K474" s="2">
        <v>0</v>
      </c>
      <c r="L474" s="4">
        <f t="shared" si="156"/>
        <v>0</v>
      </c>
      <c r="M474" s="2">
        <v>8414</v>
      </c>
      <c r="N474" s="2">
        <f t="shared" si="157"/>
        <v>3.86793658003435E-2</v>
      </c>
      <c r="O474" s="2">
        <v>0.40579541200000002</v>
      </c>
      <c r="P474" s="2">
        <f t="shared" si="158"/>
        <v>0.39132034168463337</v>
      </c>
      <c r="Q474" s="2">
        <v>0.17799999999999999</v>
      </c>
      <c r="R474" s="2">
        <f t="shared" si="159"/>
        <v>0.35610885929357267</v>
      </c>
      <c r="S474" s="2">
        <f t="shared" si="160"/>
        <v>1.6105014882562017E-2</v>
      </c>
      <c r="T474" s="5">
        <f t="shared" si="161"/>
        <v>4.2063323188438348E-2</v>
      </c>
      <c r="U474" s="2" t="str">
        <f t="shared" si="162"/>
        <v>No Impact</v>
      </c>
      <c r="V474" s="2">
        <f t="shared" si="163"/>
        <v>1.5346305633307468E-2</v>
      </c>
      <c r="W474" s="2">
        <f t="shared" si="164"/>
        <v>3.7224526062392529E-2</v>
      </c>
      <c r="X474" s="2" t="s">
        <v>1176</v>
      </c>
      <c r="Y474" s="2">
        <f t="shared" si="165"/>
        <v>1.6863724131816572E-2</v>
      </c>
      <c r="Z474" s="2">
        <f t="shared" si="166"/>
        <v>4.3105024575089072E-2</v>
      </c>
      <c r="AA474" s="2" t="str">
        <f t="shared" si="167"/>
        <v>No Impact</v>
      </c>
      <c r="AB474" s="2">
        <f t="shared" si="168"/>
        <v>1.1013726937150576E-2</v>
      </c>
      <c r="AC474" s="2">
        <f t="shared" si="169"/>
        <v>4.0016158463979136E-2</v>
      </c>
      <c r="AD474" s="2" t="str">
        <f t="shared" si="170"/>
        <v>No Impact</v>
      </c>
      <c r="AE474" s="2">
        <f t="shared" si="171"/>
        <v>1.6668649312799762E-3</v>
      </c>
      <c r="AF474" s="2">
        <f t="shared" si="172"/>
        <v>1.2698369881393346E-2</v>
      </c>
      <c r="AG474" s="2" t="s">
        <v>1176</v>
      </c>
    </row>
    <row r="475" spans="1:33" x14ac:dyDescent="0.3">
      <c r="A475">
        <v>554918</v>
      </c>
      <c r="B475" t="s">
        <v>962</v>
      </c>
      <c r="C475" t="s">
        <v>956</v>
      </c>
      <c r="D475" t="s">
        <v>963</v>
      </c>
      <c r="E475" s="13">
        <v>6.6</v>
      </c>
      <c r="F475" s="14">
        <f t="shared" si="153"/>
        <v>0.75555555555555542</v>
      </c>
      <c r="G475" s="2">
        <v>52.135182</v>
      </c>
      <c r="H475" s="2">
        <f t="shared" si="154"/>
        <v>0.21092136985316387</v>
      </c>
      <c r="I475" s="2">
        <v>16.3</v>
      </c>
      <c r="J475" s="4">
        <f t="shared" si="155"/>
        <v>0.12885375494071147</v>
      </c>
      <c r="K475" s="2">
        <v>0</v>
      </c>
      <c r="L475" s="4">
        <f t="shared" si="156"/>
        <v>0</v>
      </c>
      <c r="M475" s="2">
        <v>21184</v>
      </c>
      <c r="N475" s="2">
        <f t="shared" si="157"/>
        <v>9.9099610604060501E-2</v>
      </c>
      <c r="O475" s="2">
        <v>0.38601844499999999</v>
      </c>
      <c r="P475" s="2">
        <f t="shared" si="158"/>
        <v>0.36847418450744429</v>
      </c>
      <c r="Q475" s="2">
        <v>0.2253</v>
      </c>
      <c r="R475" s="2">
        <f t="shared" si="159"/>
        <v>0.49305153445280836</v>
      </c>
      <c r="S475" s="2">
        <f t="shared" si="160"/>
        <v>3.870475114674389E-2</v>
      </c>
      <c r="T475" s="5">
        <f t="shared" si="161"/>
        <v>0.10108965861163952</v>
      </c>
      <c r="U475" s="2" t="str">
        <f t="shared" si="162"/>
        <v>No Impact</v>
      </c>
      <c r="V475" s="2">
        <f t="shared" si="163"/>
        <v>4.4301491002607211E-2</v>
      </c>
      <c r="W475" s="2">
        <f t="shared" si="164"/>
        <v>0.10745921825316744</v>
      </c>
      <c r="X475" s="2" t="s">
        <v>1176</v>
      </c>
      <c r="Y475" s="2">
        <f t="shared" si="165"/>
        <v>3.3108011290880576E-2</v>
      </c>
      <c r="Z475" s="2">
        <f t="shared" si="166"/>
        <v>8.4626718817891577E-2</v>
      </c>
      <c r="AA475" s="2" t="str">
        <f t="shared" si="167"/>
        <v>No Impact</v>
      </c>
      <c r="AB475" s="2">
        <f t="shared" si="168"/>
        <v>2.8554417268454018E-2</v>
      </c>
      <c r="AC475" s="2">
        <f t="shared" si="169"/>
        <v>0.1037467237731115</v>
      </c>
      <c r="AD475" s="2" t="str">
        <f t="shared" si="170"/>
        <v>No Impact</v>
      </c>
      <c r="AE475" s="2">
        <f t="shared" si="171"/>
        <v>8.9042629436494949E-3</v>
      </c>
      <c r="AF475" s="2">
        <f t="shared" si="172"/>
        <v>6.7833705213787232E-2</v>
      </c>
      <c r="AG475" s="2" t="s">
        <v>1175</v>
      </c>
    </row>
    <row r="476" spans="1:33" x14ac:dyDescent="0.3">
      <c r="A476">
        <v>554952</v>
      </c>
      <c r="B476" t="s">
        <v>964</v>
      </c>
      <c r="C476" t="s">
        <v>956</v>
      </c>
      <c r="D476" t="s">
        <v>965</v>
      </c>
      <c r="E476" s="13">
        <v>7.5</v>
      </c>
      <c r="F476" s="14">
        <f t="shared" si="153"/>
        <v>0.95555555555555549</v>
      </c>
      <c r="G476" s="2">
        <v>52.135182</v>
      </c>
      <c r="H476" s="2">
        <f t="shared" si="154"/>
        <v>0.21092136985316387</v>
      </c>
      <c r="I476" s="2">
        <v>15.4</v>
      </c>
      <c r="J476" s="4">
        <f t="shared" si="155"/>
        <v>0.12173913043478261</v>
      </c>
      <c r="K476" s="2">
        <v>0</v>
      </c>
      <c r="L476" s="4">
        <f t="shared" si="156"/>
        <v>0</v>
      </c>
      <c r="M476" s="2">
        <v>24931</v>
      </c>
      <c r="N476" s="2">
        <f t="shared" si="157"/>
        <v>0.1168282446901629</v>
      </c>
      <c r="O476" s="2">
        <v>0.74543969700000001</v>
      </c>
      <c r="P476" s="2">
        <f t="shared" si="158"/>
        <v>0.78367406910117732</v>
      </c>
      <c r="Q476" s="2">
        <v>0.218</v>
      </c>
      <c r="R476" s="2">
        <f t="shared" si="159"/>
        <v>0.47191661841343374</v>
      </c>
      <c r="S476" s="2">
        <f t="shared" si="160"/>
        <v>6.9846285169952574E-2</v>
      </c>
      <c r="T476" s="5">
        <f t="shared" si="161"/>
        <v>0.18242559153401827</v>
      </c>
      <c r="U476" s="2" t="str">
        <f t="shared" si="162"/>
        <v>Low</v>
      </c>
      <c r="V476" s="2">
        <f t="shared" si="163"/>
        <v>5.2503770590064718E-2</v>
      </c>
      <c r="W476" s="2">
        <f t="shared" si="164"/>
        <v>0.12735494935418668</v>
      </c>
      <c r="X476" s="2" t="s">
        <v>1176</v>
      </c>
      <c r="Y476" s="2">
        <f t="shared" si="165"/>
        <v>8.7188799749840451E-2</v>
      </c>
      <c r="Z476" s="2">
        <f t="shared" si="166"/>
        <v>0.22286152966643369</v>
      </c>
      <c r="AA476" s="2" t="str">
        <f t="shared" si="167"/>
        <v>Low</v>
      </c>
      <c r="AB476" s="2">
        <f t="shared" si="168"/>
        <v>4.9082223402680807E-2</v>
      </c>
      <c r="AC476" s="2">
        <f t="shared" si="169"/>
        <v>0.1783303726934635</v>
      </c>
      <c r="AD476" s="2" t="str">
        <f t="shared" si="170"/>
        <v>Low</v>
      </c>
      <c r="AE476" s="2">
        <f t="shared" si="171"/>
        <v>1.2997896489160063E-2</v>
      </c>
      <c r="AF476" s="2">
        <f t="shared" si="172"/>
        <v>9.9019479144405467E-2</v>
      </c>
      <c r="AG476" s="2" t="s">
        <v>1175</v>
      </c>
    </row>
    <row r="477" spans="1:33" x14ac:dyDescent="0.3">
      <c r="A477">
        <v>554961</v>
      </c>
      <c r="B477" t="s">
        <v>966</v>
      </c>
      <c r="C477" t="s">
        <v>956</v>
      </c>
      <c r="D477" t="s">
        <v>967</v>
      </c>
      <c r="E477" s="13">
        <v>7.5</v>
      </c>
      <c r="F477" s="14">
        <f t="shared" si="153"/>
        <v>0.95555555555555549</v>
      </c>
      <c r="G477" s="2">
        <v>52.135182</v>
      </c>
      <c r="H477" s="2">
        <f t="shared" si="154"/>
        <v>0.21092136985316387</v>
      </c>
      <c r="I477" s="2">
        <v>15.7</v>
      </c>
      <c r="J477" s="4">
        <f t="shared" si="155"/>
        <v>0.12411067193675888</v>
      </c>
      <c r="K477" s="2">
        <v>0</v>
      </c>
      <c r="L477" s="4">
        <f t="shared" si="156"/>
        <v>0</v>
      </c>
      <c r="M477" s="2">
        <v>39159</v>
      </c>
      <c r="N477" s="2">
        <f t="shared" si="157"/>
        <v>0.18414690115588611</v>
      </c>
      <c r="O477" s="2">
        <v>0.67837783500000004</v>
      </c>
      <c r="P477" s="2">
        <f t="shared" si="158"/>
        <v>0.70620486768890023</v>
      </c>
      <c r="Q477" s="2">
        <v>0.2094</v>
      </c>
      <c r="R477" s="2">
        <f t="shared" si="159"/>
        <v>0.44701795020266361</v>
      </c>
      <c r="S477" s="2">
        <f t="shared" si="160"/>
        <v>6.4609080661332544E-2</v>
      </c>
      <c r="T477" s="5">
        <f t="shared" si="161"/>
        <v>0.16874698102316688</v>
      </c>
      <c r="U477" s="2" t="str">
        <f t="shared" si="162"/>
        <v>Low</v>
      </c>
      <c r="V477" s="2">
        <f t="shared" si="163"/>
        <v>5.0088184787240517E-2</v>
      </c>
      <c r="W477" s="2">
        <f t="shared" si="164"/>
        <v>0.12149562145979004</v>
      </c>
      <c r="X477" s="2" t="s">
        <v>1176</v>
      </c>
      <c r="Y477" s="2">
        <f t="shared" si="165"/>
        <v>7.9129976535424584E-2</v>
      </c>
      <c r="Z477" s="2">
        <f t="shared" si="166"/>
        <v>0.20226253445111794</v>
      </c>
      <c r="AA477" s="2" t="str">
        <f t="shared" si="167"/>
        <v>Low</v>
      </c>
      <c r="AB477" s="2">
        <f t="shared" si="168"/>
        <v>4.8491613279574131E-2</v>
      </c>
      <c r="AC477" s="2">
        <f t="shared" si="169"/>
        <v>0.17618450977062791</v>
      </c>
      <c r="AD477" s="2" t="str">
        <f t="shared" si="170"/>
        <v>Low</v>
      </c>
      <c r="AE477" s="2">
        <f t="shared" si="171"/>
        <v>2.0633587552607358E-2</v>
      </c>
      <c r="AF477" s="2">
        <f t="shared" si="172"/>
        <v>0.15718905701730954</v>
      </c>
      <c r="AG477" s="2" t="s">
        <v>1175</v>
      </c>
    </row>
    <row r="478" spans="1:33" x14ac:dyDescent="0.3">
      <c r="A478">
        <v>554977</v>
      </c>
      <c r="B478" t="s">
        <v>968</v>
      </c>
      <c r="C478" t="s">
        <v>956</v>
      </c>
      <c r="D478" t="s">
        <v>969</v>
      </c>
      <c r="E478" s="13">
        <v>7</v>
      </c>
      <c r="F478" s="14">
        <f t="shared" si="153"/>
        <v>0.84444444444444444</v>
      </c>
      <c r="G478" s="2">
        <v>52.135182</v>
      </c>
      <c r="H478" s="2">
        <f t="shared" si="154"/>
        <v>0.21092136985316387</v>
      </c>
      <c r="I478" s="2">
        <v>13</v>
      </c>
      <c r="J478" s="4">
        <f t="shared" si="155"/>
        <v>0.10276679841897234</v>
      </c>
      <c r="K478" s="2">
        <v>0</v>
      </c>
      <c r="L478" s="4">
        <f t="shared" si="156"/>
        <v>0</v>
      </c>
      <c r="M478" s="2">
        <v>11356</v>
      </c>
      <c r="N478" s="2">
        <f t="shared" si="157"/>
        <v>5.259920606757415E-2</v>
      </c>
      <c r="O478" s="2">
        <v>0.701447602</v>
      </c>
      <c r="P478" s="2">
        <f t="shared" si="158"/>
        <v>0.73285483494237891</v>
      </c>
      <c r="Q478" s="2">
        <v>0.25159999999999999</v>
      </c>
      <c r="R478" s="2">
        <f t="shared" si="159"/>
        <v>0.56919513607411698</v>
      </c>
      <c r="S478" s="2">
        <f t="shared" si="160"/>
        <v>6.0358011293471896E-2</v>
      </c>
      <c r="T478" s="5">
        <f t="shared" si="161"/>
        <v>0.15764397329416399</v>
      </c>
      <c r="U478" s="2" t="str">
        <f t="shared" si="162"/>
        <v>Low</v>
      </c>
      <c r="V478" s="2">
        <f t="shared" si="163"/>
        <v>5.2771379311240839E-2</v>
      </c>
      <c r="W478" s="2">
        <f t="shared" si="164"/>
        <v>0.12800407026015401</v>
      </c>
      <c r="X478" s="2" t="s">
        <v>1176</v>
      </c>
      <c r="Y478" s="2">
        <f t="shared" si="165"/>
        <v>6.7944643275702932E-2</v>
      </c>
      <c r="Z478" s="2">
        <f t="shared" si="166"/>
        <v>0.17367193007025003</v>
      </c>
      <c r="AA478" s="2" t="str">
        <f t="shared" si="167"/>
        <v>Low</v>
      </c>
      <c r="AB478" s="2">
        <f t="shared" si="168"/>
        <v>4.0560183069449224E-2</v>
      </c>
      <c r="AC478" s="2">
        <f t="shared" si="169"/>
        <v>0.1473672556344488</v>
      </c>
      <c r="AD478" s="2" t="str">
        <f t="shared" si="170"/>
        <v>No Impact</v>
      </c>
      <c r="AE478" s="2">
        <f t="shared" si="171"/>
        <v>4.8765923651544309E-3</v>
      </c>
      <c r="AF478" s="2">
        <f t="shared" si="172"/>
        <v>3.7150444796962695E-2</v>
      </c>
      <c r="AG478" s="2" t="s">
        <v>1176</v>
      </c>
    </row>
    <row r="479" spans="1:33" x14ac:dyDescent="0.3">
      <c r="A479">
        <v>554979</v>
      </c>
      <c r="B479" t="s">
        <v>970</v>
      </c>
      <c r="C479" t="s">
        <v>956</v>
      </c>
      <c r="D479" t="s">
        <v>971</v>
      </c>
      <c r="E479" s="13">
        <v>7.4</v>
      </c>
      <c r="F479" s="14">
        <f t="shared" si="153"/>
        <v>0.93333333333333335</v>
      </c>
      <c r="G479" s="2">
        <v>46.228932</v>
      </c>
      <c r="H479" s="2">
        <f t="shared" si="154"/>
        <v>0.14710939924888647</v>
      </c>
      <c r="I479" s="2">
        <v>14.9</v>
      </c>
      <c r="J479" s="4">
        <f t="shared" si="155"/>
        <v>0.11778656126482213</v>
      </c>
      <c r="K479" s="2">
        <v>0</v>
      </c>
      <c r="L479" s="4">
        <f t="shared" si="156"/>
        <v>0</v>
      </c>
      <c r="M479" s="2">
        <v>21408</v>
      </c>
      <c r="N479" s="2">
        <f t="shared" si="157"/>
        <v>0.10015944888409438</v>
      </c>
      <c r="O479" s="2">
        <v>0.78291707300000002</v>
      </c>
      <c r="P479" s="2">
        <f t="shared" si="158"/>
        <v>0.82696756413935035</v>
      </c>
      <c r="Q479" s="2">
        <v>0.23480000000000001</v>
      </c>
      <c r="R479" s="2">
        <f t="shared" si="159"/>
        <v>0.52055587724377539</v>
      </c>
      <c r="S479" s="2">
        <f t="shared" si="160"/>
        <v>5.8302407665587128E-2</v>
      </c>
      <c r="T479" s="5">
        <f t="shared" si="161"/>
        <v>0.15227511642706071</v>
      </c>
      <c r="U479" s="2" t="str">
        <f t="shared" si="162"/>
        <v>Low</v>
      </c>
      <c r="V479" s="2">
        <f t="shared" si="163"/>
        <v>4.5045095373825041E-2</v>
      </c>
      <c r="W479" s="2">
        <f t="shared" si="164"/>
        <v>0.109262930557478</v>
      </c>
      <c r="X479" s="2" t="s">
        <v>1176</v>
      </c>
      <c r="Y479" s="2">
        <f t="shared" si="165"/>
        <v>7.1559719957349208E-2</v>
      </c>
      <c r="Z479" s="2">
        <f t="shared" si="166"/>
        <v>0.1829123545450074</v>
      </c>
      <c r="AA479" s="2" t="str">
        <f t="shared" si="167"/>
        <v>Low</v>
      </c>
      <c r="AB479" s="2">
        <f t="shared" si="168"/>
        <v>4.0267172322016799E-2</v>
      </c>
      <c r="AC479" s="2">
        <f t="shared" si="169"/>
        <v>0.14630266010127335</v>
      </c>
      <c r="AD479" s="2" t="str">
        <f t="shared" si="170"/>
        <v>No Impact</v>
      </c>
      <c r="AE479" s="2">
        <f t="shared" si="171"/>
        <v>8.667065582780787E-3</v>
      </c>
      <c r="AF479" s="2">
        <f t="shared" si="172"/>
        <v>6.6026708277995741E-2</v>
      </c>
      <c r="AG479" s="2" t="s">
        <v>1175</v>
      </c>
    </row>
    <row r="480" spans="1:33" x14ac:dyDescent="0.3">
      <c r="A480">
        <v>554994</v>
      </c>
      <c r="B480" t="s">
        <v>972</v>
      </c>
      <c r="C480" t="s">
        <v>956</v>
      </c>
      <c r="D480" t="s">
        <v>973</v>
      </c>
      <c r="E480" s="13">
        <v>6.7</v>
      </c>
      <c r="F480" s="14">
        <f t="shared" si="153"/>
        <v>0.77777777777777779</v>
      </c>
      <c r="G480" s="2">
        <v>38.810962799999999</v>
      </c>
      <c r="H480" s="2">
        <f t="shared" si="154"/>
        <v>6.696459797331647E-2</v>
      </c>
      <c r="I480" s="2">
        <v>15.2</v>
      </c>
      <c r="J480" s="4">
        <f t="shared" si="155"/>
        <v>0.12015810276679842</v>
      </c>
      <c r="K480" s="2">
        <v>0</v>
      </c>
      <c r="L480" s="4">
        <f t="shared" si="156"/>
        <v>0</v>
      </c>
      <c r="M480" s="2">
        <v>22322</v>
      </c>
      <c r="N480" s="2">
        <f t="shared" si="157"/>
        <v>0.10448396758030404</v>
      </c>
      <c r="O480" s="2">
        <v>0.50337483299999997</v>
      </c>
      <c r="P480" s="2">
        <f t="shared" si="158"/>
        <v>0.50404312619578207</v>
      </c>
      <c r="Q480" s="2">
        <v>0.2112</v>
      </c>
      <c r="R480" s="2">
        <f t="shared" si="159"/>
        <v>0.45222929936305734</v>
      </c>
      <c r="S480" s="2">
        <f t="shared" si="160"/>
        <v>2.4355760185499037E-2</v>
      </c>
      <c r="T480" s="5">
        <f t="shared" si="161"/>
        <v>6.3612745449370747E-2</v>
      </c>
      <c r="U480" s="2" t="str">
        <f t="shared" si="162"/>
        <v>No Impact</v>
      </c>
      <c r="V480" s="2">
        <f t="shared" si="163"/>
        <v>2.3036089026003525E-2</v>
      </c>
      <c r="W480" s="2">
        <f t="shared" si="164"/>
        <v>5.587712879006769E-2</v>
      </c>
      <c r="X480" s="2" t="s">
        <v>1176</v>
      </c>
      <c r="Y480" s="2">
        <f t="shared" si="165"/>
        <v>2.5675431344994549E-2</v>
      </c>
      <c r="Z480" s="2">
        <f t="shared" si="166"/>
        <v>6.5628451369998994E-2</v>
      </c>
      <c r="AA480" s="2" t="str">
        <f t="shared" si="167"/>
        <v>No Impact</v>
      </c>
      <c r="AB480" s="2">
        <f t="shared" si="168"/>
        <v>1.7628067094210848E-2</v>
      </c>
      <c r="AC480" s="2">
        <f t="shared" si="169"/>
        <v>6.4048031177909109E-2</v>
      </c>
      <c r="AD480" s="2" t="str">
        <f t="shared" si="170"/>
        <v>No Impact</v>
      </c>
      <c r="AE480" s="2">
        <f t="shared" si="171"/>
        <v>5.3223043760321437E-3</v>
      </c>
      <c r="AF480" s="2">
        <f t="shared" si="172"/>
        <v>4.054593045899451E-2</v>
      </c>
      <c r="AG480" s="2" t="s">
        <v>1176</v>
      </c>
    </row>
    <row r="481" spans="1:33" x14ac:dyDescent="0.3">
      <c r="A481">
        <v>555202</v>
      </c>
      <c r="B481" t="s">
        <v>974</v>
      </c>
      <c r="C481" t="s">
        <v>975</v>
      </c>
      <c r="D481" t="s">
        <v>976</v>
      </c>
      <c r="E481" s="13">
        <v>6.2</v>
      </c>
      <c r="F481" s="14">
        <f t="shared" si="153"/>
        <v>0.66666666666666663</v>
      </c>
      <c r="G481" s="2">
        <v>52.799633999999998</v>
      </c>
      <c r="H481" s="2">
        <f t="shared" si="154"/>
        <v>0.218100204391484</v>
      </c>
      <c r="I481" s="2">
        <v>14.6</v>
      </c>
      <c r="J481" s="4">
        <f t="shared" si="155"/>
        <v>0.11541501976284585</v>
      </c>
      <c r="K481" s="2">
        <v>0</v>
      </c>
      <c r="L481" s="4">
        <f t="shared" si="156"/>
        <v>0</v>
      </c>
      <c r="M481" s="2">
        <v>25242</v>
      </c>
      <c r="N481" s="2">
        <f t="shared" si="157"/>
        <v>0.11829971658788851</v>
      </c>
      <c r="O481" s="2">
        <v>0.617277564</v>
      </c>
      <c r="P481" s="2">
        <f t="shared" si="158"/>
        <v>0.63562243738829605</v>
      </c>
      <c r="Q481" s="2">
        <v>0.2505</v>
      </c>
      <c r="R481" s="2">
        <f t="shared" si="159"/>
        <v>0.5660104226983208</v>
      </c>
      <c r="S481" s="2">
        <f t="shared" si="160"/>
        <v>4.675566614634958E-2</v>
      </c>
      <c r="T481" s="5">
        <f t="shared" si="161"/>
        <v>0.12211716104243438</v>
      </c>
      <c r="U481" s="2" t="str">
        <f t="shared" si="162"/>
        <v>No Impact</v>
      </c>
      <c r="V481" s="2">
        <f t="shared" si="163"/>
        <v>4.4047055033314061E-2</v>
      </c>
      <c r="W481" s="2">
        <f t="shared" si="164"/>
        <v>0.10684204962662799</v>
      </c>
      <c r="X481" s="2" t="s">
        <v>1176</v>
      </c>
      <c r="Y481" s="2">
        <f t="shared" si="165"/>
        <v>4.9464277259385105E-2</v>
      </c>
      <c r="Z481" s="2">
        <f t="shared" si="166"/>
        <v>0.12643463983332709</v>
      </c>
      <c r="AA481" s="2" t="str">
        <f t="shared" si="167"/>
        <v>No Impact</v>
      </c>
      <c r="AB481" s="2">
        <f t="shared" si="168"/>
        <v>3.3477890886583726E-2</v>
      </c>
      <c r="AC481" s="2">
        <f t="shared" si="169"/>
        <v>0.12163517348868716</v>
      </c>
      <c r="AD481" s="2" t="str">
        <f t="shared" si="170"/>
        <v>No Impact</v>
      </c>
      <c r="AE481" s="2">
        <f t="shared" si="171"/>
        <v>9.2061098488807752E-3</v>
      </c>
      <c r="AF481" s="2">
        <f t="shared" si="172"/>
        <v>7.0133209857656226E-2</v>
      </c>
      <c r="AG481" s="2" t="s">
        <v>1175</v>
      </c>
    </row>
    <row r="482" spans="1:33" x14ac:dyDescent="0.3">
      <c r="A482">
        <v>555233</v>
      </c>
      <c r="B482" t="s">
        <v>977</v>
      </c>
      <c r="C482" t="s">
        <v>975</v>
      </c>
      <c r="D482" t="s">
        <v>978</v>
      </c>
      <c r="E482" s="13">
        <v>5.9</v>
      </c>
      <c r="F482" s="14">
        <f t="shared" si="153"/>
        <v>0.60000000000000009</v>
      </c>
      <c r="G482" s="2">
        <v>52.799633999999998</v>
      </c>
      <c r="H482" s="2">
        <f t="shared" si="154"/>
        <v>0.218100204391484</v>
      </c>
      <c r="I482" s="2">
        <v>16.7</v>
      </c>
      <c r="J482" s="4">
        <f t="shared" si="155"/>
        <v>0.13201581027667983</v>
      </c>
      <c r="K482" s="2">
        <v>0</v>
      </c>
      <c r="L482" s="4">
        <f t="shared" si="156"/>
        <v>0</v>
      </c>
      <c r="M482" s="2">
        <v>21858</v>
      </c>
      <c r="N482" s="2">
        <f t="shared" si="157"/>
        <v>0.10228858828594815</v>
      </c>
      <c r="O482" s="2">
        <v>0.66648638500000001</v>
      </c>
      <c r="P482" s="2">
        <f t="shared" si="158"/>
        <v>0.69246798195891524</v>
      </c>
      <c r="Q482" s="2">
        <v>0.1946</v>
      </c>
      <c r="R482" s="2">
        <f t="shared" si="159"/>
        <v>0.40416907932831503</v>
      </c>
      <c r="S482" s="2">
        <f t="shared" si="160"/>
        <v>4.0314770730705662E-2</v>
      </c>
      <c r="T482" s="5">
        <f t="shared" si="161"/>
        <v>0.10529473228550659</v>
      </c>
      <c r="U482" s="2" t="str">
        <f t="shared" si="162"/>
        <v>No Impact</v>
      </c>
      <c r="V482" s="2">
        <f t="shared" si="163"/>
        <v>2.9716274134371432E-2</v>
      </c>
      <c r="W482" s="2">
        <f t="shared" si="164"/>
        <v>7.2080815241375149E-2</v>
      </c>
      <c r="X482" s="2" t="s">
        <v>1176</v>
      </c>
      <c r="Y482" s="2">
        <f t="shared" si="165"/>
        <v>5.0913267327039893E-2</v>
      </c>
      <c r="Z482" s="2">
        <f t="shared" si="166"/>
        <v>0.13013837407299478</v>
      </c>
      <c r="AA482" s="2" t="str">
        <f t="shared" si="167"/>
        <v>No Impact</v>
      </c>
      <c r="AB482" s="2">
        <f t="shared" si="168"/>
        <v>2.8306922301580065E-2</v>
      </c>
      <c r="AC482" s="2">
        <f t="shared" si="169"/>
        <v>0.10284750066090062</v>
      </c>
      <c r="AD482" s="2" t="str">
        <f t="shared" si="170"/>
        <v>No Impact</v>
      </c>
      <c r="AE482" s="2">
        <f t="shared" si="171"/>
        <v>7.5207033041088476E-3</v>
      </c>
      <c r="AF482" s="2">
        <f t="shared" si="172"/>
        <v>5.7293587819654219E-2</v>
      </c>
      <c r="AG482" s="2" t="s">
        <v>1176</v>
      </c>
    </row>
    <row r="483" spans="1:33" x14ac:dyDescent="0.3">
      <c r="A483">
        <v>555239</v>
      </c>
      <c r="B483" t="s">
        <v>979</v>
      </c>
      <c r="C483" t="s">
        <v>691</v>
      </c>
      <c r="D483" t="s">
        <v>1140</v>
      </c>
      <c r="E483" s="13">
        <v>6.2</v>
      </c>
      <c r="F483" s="14">
        <f t="shared" si="153"/>
        <v>0.66666666666666663</v>
      </c>
      <c r="G483" s="2">
        <v>52.799633999999998</v>
      </c>
      <c r="H483" s="2">
        <f t="shared" si="154"/>
        <v>0.218100204391484</v>
      </c>
      <c r="I483" s="2">
        <v>12.8</v>
      </c>
      <c r="J483" s="4">
        <f t="shared" si="155"/>
        <v>0.10118577075098814</v>
      </c>
      <c r="K483" s="2">
        <v>0</v>
      </c>
      <c r="L483" s="4">
        <f t="shared" si="156"/>
        <v>0</v>
      </c>
      <c r="M483" s="2">
        <v>24184</v>
      </c>
      <c r="N483" s="2">
        <f t="shared" si="157"/>
        <v>0.11329387328308564</v>
      </c>
      <c r="O483" s="2">
        <v>0.70450839499999995</v>
      </c>
      <c r="P483" s="2">
        <f t="shared" si="158"/>
        <v>0.73639063282103434</v>
      </c>
      <c r="Q483" s="2">
        <v>0.25480000000000003</v>
      </c>
      <c r="R483" s="2">
        <f t="shared" si="159"/>
        <v>0.57845975680370598</v>
      </c>
      <c r="S483" s="2">
        <f t="shared" si="160"/>
        <v>4.89782170287427E-2</v>
      </c>
      <c r="T483" s="5">
        <f t="shared" si="161"/>
        <v>0.12792205329187131</v>
      </c>
      <c r="U483" s="2" t="str">
        <f t="shared" si="162"/>
        <v>No Impact</v>
      </c>
      <c r="V483" s="2">
        <f t="shared" si="163"/>
        <v>4.309528709074132E-2</v>
      </c>
      <c r="W483" s="2">
        <f t="shared" si="164"/>
        <v>0.10453340861359137</v>
      </c>
      <c r="X483" s="2" t="s">
        <v>1176</v>
      </c>
      <c r="Y483" s="2">
        <f t="shared" si="165"/>
        <v>5.4861146966744087E-2</v>
      </c>
      <c r="Z483" s="2">
        <f t="shared" si="166"/>
        <v>0.14022946946561207</v>
      </c>
      <c r="AA483" s="2" t="str">
        <f t="shared" si="167"/>
        <v>No Impact</v>
      </c>
      <c r="AB483" s="2">
        <f t="shared" si="168"/>
        <v>3.449583473117273E-2</v>
      </c>
      <c r="AC483" s="2">
        <f t="shared" si="169"/>
        <v>0.12533366741585222</v>
      </c>
      <c r="AD483" s="2" t="str">
        <f t="shared" si="170"/>
        <v>No Impact</v>
      </c>
      <c r="AE483" s="2">
        <f t="shared" si="171"/>
        <v>8.4404004554001211E-3</v>
      </c>
      <c r="AF483" s="2">
        <f t="shared" si="172"/>
        <v>6.4299947115360565E-2</v>
      </c>
      <c r="AG483" s="2" t="s">
        <v>1175</v>
      </c>
    </row>
    <row r="484" spans="1:33" x14ac:dyDescent="0.3">
      <c r="A484">
        <v>555255</v>
      </c>
      <c r="B484" t="s">
        <v>980</v>
      </c>
      <c r="C484" t="s">
        <v>975</v>
      </c>
      <c r="D484" t="s">
        <v>981</v>
      </c>
      <c r="E484" s="13">
        <v>6.2</v>
      </c>
      <c r="F484" s="14">
        <f t="shared" si="153"/>
        <v>0.66666666666666663</v>
      </c>
      <c r="G484" s="2">
        <v>52.799633999999998</v>
      </c>
      <c r="H484" s="2">
        <f t="shared" si="154"/>
        <v>0.218100204391484</v>
      </c>
      <c r="I484" s="2">
        <v>14.6</v>
      </c>
      <c r="J484" s="4">
        <f t="shared" si="155"/>
        <v>0.11541501976284585</v>
      </c>
      <c r="K484" s="2">
        <v>0</v>
      </c>
      <c r="L484" s="4">
        <f t="shared" si="156"/>
        <v>0</v>
      </c>
      <c r="M484" s="2">
        <v>29622</v>
      </c>
      <c r="N484" s="2">
        <f t="shared" si="157"/>
        <v>0.1390233400992652</v>
      </c>
      <c r="O484" s="2">
        <v>0.66461306899999995</v>
      </c>
      <c r="P484" s="2">
        <f t="shared" si="158"/>
        <v>0.69030394579611287</v>
      </c>
      <c r="Q484" s="2">
        <v>0.2482</v>
      </c>
      <c r="R484" s="2">
        <f t="shared" si="159"/>
        <v>0.55935147654892881</v>
      </c>
      <c r="S484" s="2">
        <f t="shared" si="160"/>
        <v>4.8624229301559366E-2</v>
      </c>
      <c r="T484" s="5">
        <f t="shared" si="161"/>
        <v>0.12699750275392827</v>
      </c>
      <c r="U484" s="2" t="str">
        <f t="shared" si="162"/>
        <v>No Impact</v>
      </c>
      <c r="V484" s="2">
        <f t="shared" si="163"/>
        <v>4.3528854385863312E-2</v>
      </c>
      <c r="W484" s="2">
        <f t="shared" si="164"/>
        <v>0.10558508433690297</v>
      </c>
      <c r="X484" s="2" t="s">
        <v>1176</v>
      </c>
      <c r="Y484" s="2">
        <f t="shared" si="165"/>
        <v>5.3719604217255412E-2</v>
      </c>
      <c r="Z484" s="2">
        <f t="shared" si="166"/>
        <v>0.1373115951049074</v>
      </c>
      <c r="AA484" s="2" t="str">
        <f t="shared" si="167"/>
        <v>No Impact</v>
      </c>
      <c r="AB484" s="2">
        <f t="shared" si="168"/>
        <v>3.5137569669159804E-2</v>
      </c>
      <c r="AC484" s="2">
        <f t="shared" si="169"/>
        <v>0.127665282056101</v>
      </c>
      <c r="AD484" s="2" t="str">
        <f t="shared" si="170"/>
        <v>No Impact</v>
      </c>
      <c r="AE484" s="2">
        <f t="shared" si="171"/>
        <v>1.0818826768374347E-2</v>
      </c>
      <c r="AF484" s="2">
        <f t="shared" si="172"/>
        <v>8.2419073921029984E-2</v>
      </c>
      <c r="AG484" s="2" t="s">
        <v>1175</v>
      </c>
    </row>
    <row r="485" spans="1:33" x14ac:dyDescent="0.3">
      <c r="A485">
        <v>555270</v>
      </c>
      <c r="B485" t="s">
        <v>982</v>
      </c>
      <c r="C485" t="s">
        <v>975</v>
      </c>
      <c r="D485" t="s">
        <v>983</v>
      </c>
      <c r="E485" s="13">
        <v>6.2</v>
      </c>
      <c r="F485" s="14">
        <f t="shared" si="153"/>
        <v>0.66666666666666663</v>
      </c>
      <c r="G485" s="2">
        <v>57.116822399999997</v>
      </c>
      <c r="H485" s="2">
        <f t="shared" si="154"/>
        <v>0.26474372596167278</v>
      </c>
      <c r="I485" s="2">
        <v>18.5</v>
      </c>
      <c r="J485" s="4">
        <f t="shared" si="155"/>
        <v>0.14624505928853754</v>
      </c>
      <c r="K485" s="2">
        <v>0</v>
      </c>
      <c r="L485" s="4">
        <f t="shared" si="156"/>
        <v>0</v>
      </c>
      <c r="M485" s="2">
        <v>23187</v>
      </c>
      <c r="N485" s="2">
        <f t="shared" si="157"/>
        <v>0.10857664665275629</v>
      </c>
      <c r="O485" s="2">
        <v>0.61013070800000002</v>
      </c>
      <c r="P485" s="2">
        <f t="shared" si="158"/>
        <v>0.62736645984134798</v>
      </c>
      <c r="Q485" s="2">
        <v>0.2324</v>
      </c>
      <c r="R485" s="2">
        <f t="shared" si="159"/>
        <v>0.51360741169658375</v>
      </c>
      <c r="S485" s="2">
        <f t="shared" si="160"/>
        <v>5.4708204304320482E-2</v>
      </c>
      <c r="T485" s="5">
        <f t="shared" si="161"/>
        <v>0.14288772133973127</v>
      </c>
      <c r="U485" s="2" t="str">
        <f t="shared" si="162"/>
        <v>No Impact</v>
      </c>
      <c r="V485" s="2">
        <f t="shared" si="163"/>
        <v>4.9253606786692841E-2</v>
      </c>
      <c r="W485" s="2">
        <f t="shared" si="164"/>
        <v>0.119471240395395</v>
      </c>
      <c r="X485" s="2" t="s">
        <v>1176</v>
      </c>
      <c r="Y485" s="2">
        <f t="shared" si="165"/>
        <v>6.0162801821948102E-2</v>
      </c>
      <c r="Z485" s="2">
        <f t="shared" si="166"/>
        <v>0.1537809223378189</v>
      </c>
      <c r="AA485" s="2" t="str">
        <f t="shared" si="167"/>
        <v>Low</v>
      </c>
      <c r="AB485" s="2">
        <f t="shared" si="168"/>
        <v>3.8931878624599466E-2</v>
      </c>
      <c r="AC485" s="2">
        <f t="shared" si="169"/>
        <v>0.14145113940380918</v>
      </c>
      <c r="AD485" s="2" t="str">
        <f t="shared" si="170"/>
        <v>No Impact</v>
      </c>
      <c r="AE485" s="2">
        <f t="shared" si="171"/>
        <v>1.0412216293350112E-2</v>
      </c>
      <c r="AF485" s="2">
        <f t="shared" si="172"/>
        <v>7.9321468282676347E-2</v>
      </c>
      <c r="AG485" s="2" t="s">
        <v>1175</v>
      </c>
    </row>
    <row r="486" spans="1:33" x14ac:dyDescent="0.3">
      <c r="A486">
        <v>557312</v>
      </c>
      <c r="B486" t="s">
        <v>984</v>
      </c>
      <c r="C486" t="s">
        <v>985</v>
      </c>
      <c r="D486" t="s">
        <v>986</v>
      </c>
      <c r="E486" s="13">
        <v>5.9</v>
      </c>
      <c r="F486" s="14">
        <f t="shared" si="153"/>
        <v>0.60000000000000009</v>
      </c>
      <c r="G486" s="2">
        <v>51.544555199999998</v>
      </c>
      <c r="H486" s="2">
        <f t="shared" si="154"/>
        <v>0.20454015334527842</v>
      </c>
      <c r="I486" s="2">
        <v>15</v>
      </c>
      <c r="J486" s="4">
        <f t="shared" si="155"/>
        <v>0.11857707509881422</v>
      </c>
      <c r="K486" s="2">
        <v>0</v>
      </c>
      <c r="L486" s="4">
        <f t="shared" si="156"/>
        <v>0</v>
      </c>
      <c r="M486" s="2">
        <v>27341</v>
      </c>
      <c r="N486" s="2">
        <f t="shared" si="157"/>
        <v>0.1282309690423131</v>
      </c>
      <c r="O486" s="2">
        <v>0.62528721200000004</v>
      </c>
      <c r="P486" s="2">
        <f t="shared" si="158"/>
        <v>0.64487510374213886</v>
      </c>
      <c r="Q486" s="2">
        <v>0.19589999999999999</v>
      </c>
      <c r="R486" s="2">
        <f t="shared" si="159"/>
        <v>0.40793283149971049</v>
      </c>
      <c r="S486" s="2">
        <f t="shared" si="160"/>
        <v>3.571894012252589E-2</v>
      </c>
      <c r="T486" s="5">
        <f t="shared" si="161"/>
        <v>9.3291271897494227E-2</v>
      </c>
      <c r="U486" s="2" t="str">
        <f t="shared" si="162"/>
        <v>No Impact</v>
      </c>
      <c r="V486" s="2">
        <f t="shared" si="163"/>
        <v>2.7680126440162878E-2</v>
      </c>
      <c r="W486" s="2">
        <f t="shared" si="164"/>
        <v>6.7141865456259262E-2</v>
      </c>
      <c r="X486" s="2" t="s">
        <v>1176</v>
      </c>
      <c r="Y486" s="2">
        <f t="shared" si="165"/>
        <v>4.3757753804888902E-2</v>
      </c>
      <c r="Z486" s="2">
        <f t="shared" si="166"/>
        <v>0.11184831051355992</v>
      </c>
      <c r="AA486" s="2" t="str">
        <f t="shared" si="167"/>
        <v>No Impact</v>
      </c>
      <c r="AB486" s="2">
        <f t="shared" si="168"/>
        <v>2.5860742591371128E-2</v>
      </c>
      <c r="AC486" s="2">
        <f t="shared" si="169"/>
        <v>9.395979938832702E-2</v>
      </c>
      <c r="AD486" s="2" t="str">
        <f t="shared" si="170"/>
        <v>No Impact</v>
      </c>
      <c r="AE486" s="2">
        <f t="shared" si="171"/>
        <v>8.7010634167070163E-3</v>
      </c>
      <c r="AF486" s="2">
        <f t="shared" si="172"/>
        <v>6.6285707709959271E-2</v>
      </c>
      <c r="AG486" s="2" t="s">
        <v>1175</v>
      </c>
    </row>
    <row r="487" spans="1:33" x14ac:dyDescent="0.3">
      <c r="A487">
        <v>557315</v>
      </c>
      <c r="B487" t="s">
        <v>987</v>
      </c>
      <c r="C487" t="s">
        <v>985</v>
      </c>
      <c r="D487" t="s">
        <v>988</v>
      </c>
      <c r="E487" s="13">
        <v>5.9</v>
      </c>
      <c r="F487" s="14">
        <f t="shared" si="153"/>
        <v>0.60000000000000009</v>
      </c>
      <c r="G487" s="2">
        <v>51.544555199999998</v>
      </c>
      <c r="H487" s="2">
        <f t="shared" si="154"/>
        <v>0.20454015334527842</v>
      </c>
      <c r="I487" s="2">
        <v>14.3</v>
      </c>
      <c r="J487" s="4">
        <f t="shared" si="155"/>
        <v>0.11304347826086956</v>
      </c>
      <c r="K487" s="2">
        <v>0</v>
      </c>
      <c r="L487" s="4">
        <f t="shared" si="156"/>
        <v>0</v>
      </c>
      <c r="M487" s="2">
        <v>28057</v>
      </c>
      <c r="N487" s="2">
        <f t="shared" si="157"/>
        <v>0.13161866640170711</v>
      </c>
      <c r="O487" s="2">
        <v>0.75376172500000005</v>
      </c>
      <c r="P487" s="2">
        <f t="shared" si="158"/>
        <v>0.79328759374936875</v>
      </c>
      <c r="Q487" s="2">
        <v>0.25850000000000001</v>
      </c>
      <c r="R487" s="2">
        <f t="shared" si="159"/>
        <v>0.58917197452229308</v>
      </c>
      <c r="S487" s="2">
        <f t="shared" si="160"/>
        <v>4.60998856752401E-2</v>
      </c>
      <c r="T487" s="5">
        <f t="shared" si="161"/>
        <v>0.12040438361887472</v>
      </c>
      <c r="U487" s="2" t="str">
        <f t="shared" si="162"/>
        <v>No Impact</v>
      </c>
      <c r="V487" s="2">
        <f t="shared" si="163"/>
        <v>3.929338881496449E-2</v>
      </c>
      <c r="W487" s="2">
        <f t="shared" si="164"/>
        <v>9.5311393567438632E-2</v>
      </c>
      <c r="X487" s="2" t="s">
        <v>1176</v>
      </c>
      <c r="Y487" s="2">
        <f t="shared" si="165"/>
        <v>5.2906382535515696E-2</v>
      </c>
      <c r="Z487" s="2">
        <f t="shared" si="166"/>
        <v>0.13523293559278637</v>
      </c>
      <c r="AA487" s="2" t="str">
        <f t="shared" si="167"/>
        <v>No Impact</v>
      </c>
      <c r="AB487" s="2">
        <f t="shared" si="168"/>
        <v>3.2696895999523683E-2</v>
      </c>
      <c r="AC487" s="2">
        <f t="shared" si="169"/>
        <v>0.11879758587293339</v>
      </c>
      <c r="AD487" s="2" t="str">
        <f t="shared" si="170"/>
        <v>No Impact</v>
      </c>
      <c r="AE487" s="2">
        <f t="shared" si="171"/>
        <v>8.7779861532325688E-3</v>
      </c>
      <c r="AF487" s="2">
        <f t="shared" si="172"/>
        <v>6.6871714015785358E-2</v>
      </c>
      <c r="AG487" s="2" t="s">
        <v>1175</v>
      </c>
    </row>
    <row r="488" spans="1:33" x14ac:dyDescent="0.3">
      <c r="A488">
        <v>557336</v>
      </c>
      <c r="B488" t="s">
        <v>989</v>
      </c>
      <c r="C488" t="s">
        <v>985</v>
      </c>
      <c r="D488" t="s">
        <v>990</v>
      </c>
      <c r="E488" s="13">
        <v>5.9</v>
      </c>
      <c r="F488" s="14">
        <f t="shared" si="153"/>
        <v>0.60000000000000009</v>
      </c>
      <c r="G488" s="2">
        <v>52.799633999999998</v>
      </c>
      <c r="H488" s="2">
        <f t="shared" si="154"/>
        <v>0.218100204391484</v>
      </c>
      <c r="I488" s="2">
        <v>12.7</v>
      </c>
      <c r="J488" s="4">
        <f t="shared" si="155"/>
        <v>0.10039525691699604</v>
      </c>
      <c r="K488" s="2">
        <v>0</v>
      </c>
      <c r="L488" s="4">
        <f t="shared" si="156"/>
        <v>0</v>
      </c>
      <c r="M488" s="2">
        <v>28976</v>
      </c>
      <c r="N488" s="2">
        <f t="shared" si="157"/>
        <v>0.13596684220238181</v>
      </c>
      <c r="O488" s="2">
        <v>0.753953023</v>
      </c>
      <c r="P488" s="2">
        <f t="shared" si="158"/>
        <v>0.79350857931180019</v>
      </c>
      <c r="Q488" s="2">
        <v>0.23319999999999999</v>
      </c>
      <c r="R488" s="2">
        <f t="shared" si="159"/>
        <v>0.51592356687898089</v>
      </c>
      <c r="S488" s="2">
        <f t="shared" si="160"/>
        <v>4.3790060522584516E-2</v>
      </c>
      <c r="T488" s="5">
        <f t="shared" si="161"/>
        <v>0.11437154710096897</v>
      </c>
      <c r="U488" s="2" t="str">
        <f t="shared" si="162"/>
        <v>No Impact</v>
      </c>
      <c r="V488" s="2">
        <f t="shared" si="163"/>
        <v>3.4507056030937872E-2</v>
      </c>
      <c r="W488" s="2">
        <f t="shared" si="164"/>
        <v>8.370150036450473E-2</v>
      </c>
      <c r="X488" s="2" t="s">
        <v>1176</v>
      </c>
      <c r="Y488" s="2">
        <f t="shared" si="165"/>
        <v>5.3073065014231167E-2</v>
      </c>
      <c r="Z488" s="2">
        <f t="shared" si="166"/>
        <v>0.13565898930933831</v>
      </c>
      <c r="AA488" s="2" t="str">
        <f t="shared" si="167"/>
        <v>No Impact</v>
      </c>
      <c r="AB488" s="2">
        <f t="shared" si="168"/>
        <v>3.1182293541645621E-2</v>
      </c>
      <c r="AC488" s="2">
        <f t="shared" si="169"/>
        <v>0.11329458291033577</v>
      </c>
      <c r="AD488" s="2" t="str">
        <f t="shared" si="170"/>
        <v>No Impact</v>
      </c>
      <c r="AE488" s="2">
        <f t="shared" si="171"/>
        <v>9.0940126472800302E-3</v>
      </c>
      <c r="AF488" s="2">
        <f t="shared" si="172"/>
        <v>6.9279240407652667E-2</v>
      </c>
      <c r="AG488" s="2" t="s">
        <v>1175</v>
      </c>
    </row>
    <row r="489" spans="1:33" x14ac:dyDescent="0.3">
      <c r="A489">
        <v>557345</v>
      </c>
      <c r="B489" t="s">
        <v>991</v>
      </c>
      <c r="C489" t="s">
        <v>985</v>
      </c>
      <c r="D489" t="s">
        <v>454</v>
      </c>
      <c r="E489" s="13">
        <v>5.9</v>
      </c>
      <c r="F489" s="14">
        <f t="shared" si="153"/>
        <v>0.60000000000000009</v>
      </c>
      <c r="G489" s="2">
        <v>51.140257200000001</v>
      </c>
      <c r="H489" s="2">
        <f t="shared" si="154"/>
        <v>0.20017205986949124</v>
      </c>
      <c r="I489" s="2">
        <v>12.3</v>
      </c>
      <c r="J489" s="4">
        <f t="shared" si="155"/>
        <v>9.7233201581027676E-2</v>
      </c>
      <c r="K489" s="2">
        <v>0</v>
      </c>
      <c r="L489" s="4">
        <f t="shared" si="156"/>
        <v>0</v>
      </c>
      <c r="M489" s="2">
        <v>24819</v>
      </c>
      <c r="N489" s="2">
        <f t="shared" si="157"/>
        <v>0.11629832555014596</v>
      </c>
      <c r="O489" s="2">
        <v>0.73058227099999995</v>
      </c>
      <c r="P489" s="2">
        <f t="shared" si="158"/>
        <v>0.76651091715556019</v>
      </c>
      <c r="Q489" s="2">
        <v>0.2472</v>
      </c>
      <c r="R489" s="2">
        <f t="shared" si="159"/>
        <v>0.55645628257093227</v>
      </c>
      <c r="S489" s="2">
        <f t="shared" si="160"/>
        <v>4.1313027622137427E-2</v>
      </c>
      <c r="T489" s="5">
        <f t="shared" si="161"/>
        <v>0.10790199484040468</v>
      </c>
      <c r="U489" s="2" t="str">
        <f t="shared" si="162"/>
        <v>No Impact</v>
      </c>
      <c r="V489" s="2">
        <f t="shared" si="163"/>
        <v>3.4753535502796314E-2</v>
      </c>
      <c r="W489" s="2">
        <f t="shared" si="164"/>
        <v>8.4299369437575045E-2</v>
      </c>
      <c r="X489" s="2" t="s">
        <v>1176</v>
      </c>
      <c r="Y489" s="2">
        <f t="shared" si="165"/>
        <v>4.7872519741478547E-2</v>
      </c>
      <c r="Z489" s="2">
        <f t="shared" si="166"/>
        <v>0.12236598059823593</v>
      </c>
      <c r="AA489" s="2" t="str">
        <f t="shared" si="167"/>
        <v>No Impact</v>
      </c>
      <c r="AB489" s="2">
        <f t="shared" si="168"/>
        <v>2.906769179128493E-2</v>
      </c>
      <c r="AC489" s="2">
        <f t="shared" si="169"/>
        <v>0.10561160336912216</v>
      </c>
      <c r="AD489" s="2" t="str">
        <f t="shared" si="170"/>
        <v>No Impact</v>
      </c>
      <c r="AE489" s="2">
        <f t="shared" si="171"/>
        <v>7.2634241224647329E-3</v>
      </c>
      <c r="AF489" s="2">
        <f t="shared" si="172"/>
        <v>5.5333605249986491E-2</v>
      </c>
      <c r="AG489" s="2" t="s">
        <v>1176</v>
      </c>
    </row>
    <row r="490" spans="1:33" x14ac:dyDescent="0.3">
      <c r="A490">
        <v>557364</v>
      </c>
      <c r="B490" t="s">
        <v>992</v>
      </c>
      <c r="C490" t="s">
        <v>985</v>
      </c>
      <c r="D490" t="s">
        <v>993</v>
      </c>
      <c r="E490" s="13">
        <v>5.9</v>
      </c>
      <c r="F490" s="14">
        <f t="shared" si="153"/>
        <v>0.60000000000000009</v>
      </c>
      <c r="G490" s="2">
        <v>51.140257200000001</v>
      </c>
      <c r="H490" s="2">
        <f t="shared" si="154"/>
        <v>0.20017205986949124</v>
      </c>
      <c r="I490" s="2">
        <v>11.7</v>
      </c>
      <c r="J490" s="4">
        <f t="shared" si="155"/>
        <v>9.2490118577075092E-2</v>
      </c>
      <c r="K490" s="2">
        <v>0</v>
      </c>
      <c r="L490" s="4">
        <f t="shared" si="156"/>
        <v>0</v>
      </c>
      <c r="M490" s="2">
        <v>45805</v>
      </c>
      <c r="N490" s="2">
        <f t="shared" si="157"/>
        <v>0.21559192441081981</v>
      </c>
      <c r="O490" s="2">
        <v>0.77131277499999995</v>
      </c>
      <c r="P490" s="2">
        <f t="shared" si="158"/>
        <v>0.81356239356699012</v>
      </c>
      <c r="Q490" s="2">
        <v>0.2535</v>
      </c>
      <c r="R490" s="2">
        <f t="shared" si="159"/>
        <v>0.57469600463231041</v>
      </c>
      <c r="S490" s="2">
        <f t="shared" si="160"/>
        <v>4.2660526341693553E-2</v>
      </c>
      <c r="T490" s="5">
        <f t="shared" si="161"/>
        <v>0.11142141252179208</v>
      </c>
      <c r="U490" s="2" t="str">
        <f t="shared" si="162"/>
        <v>No Impact</v>
      </c>
      <c r="V490" s="2">
        <f t="shared" si="163"/>
        <v>3.532027477864829E-2</v>
      </c>
      <c r="W490" s="2">
        <f t="shared" si="164"/>
        <v>8.5674071691565448E-2</v>
      </c>
      <c r="X490" s="2" t="s">
        <v>1176</v>
      </c>
      <c r="Y490" s="2">
        <f t="shared" si="165"/>
        <v>5.0000777904738808E-2</v>
      </c>
      <c r="Z490" s="2">
        <f t="shared" si="166"/>
        <v>0.12780597829461579</v>
      </c>
      <c r="AA490" s="2" t="str">
        <f t="shared" si="167"/>
        <v>No Impact</v>
      </c>
      <c r="AB490" s="2">
        <f t="shared" si="168"/>
        <v>3.1999856309585052E-2</v>
      </c>
      <c r="AC490" s="2">
        <f t="shared" si="169"/>
        <v>0.11626503255583767</v>
      </c>
      <c r="AD490" s="2" t="str">
        <f t="shared" si="170"/>
        <v>No Impact</v>
      </c>
      <c r="AE490" s="2">
        <f t="shared" si="171"/>
        <v>1.3250076473247181E-2</v>
      </c>
      <c r="AF490" s="2">
        <f t="shared" si="172"/>
        <v>0.10094061543717221</v>
      </c>
      <c r="AG490" s="2" t="s">
        <v>1175</v>
      </c>
    </row>
    <row r="491" spans="1:33" x14ac:dyDescent="0.3">
      <c r="A491">
        <v>557385</v>
      </c>
      <c r="B491" t="s">
        <v>994</v>
      </c>
      <c r="C491" t="s">
        <v>985</v>
      </c>
      <c r="D491" t="s">
        <v>995</v>
      </c>
      <c r="E491" s="13">
        <v>5.9</v>
      </c>
      <c r="F491" s="14">
        <f t="shared" si="153"/>
        <v>0.60000000000000009</v>
      </c>
      <c r="G491" s="2">
        <v>49.2910416</v>
      </c>
      <c r="H491" s="2">
        <f t="shared" si="154"/>
        <v>0.18019286977286963</v>
      </c>
      <c r="I491" s="2">
        <v>11.6</v>
      </c>
      <c r="J491" s="4">
        <f t="shared" si="155"/>
        <v>9.1699604743083002E-2</v>
      </c>
      <c r="K491" s="2">
        <v>0</v>
      </c>
      <c r="L491" s="4">
        <f t="shared" si="156"/>
        <v>0</v>
      </c>
      <c r="M491" s="2">
        <v>25576</v>
      </c>
      <c r="N491" s="2">
        <f t="shared" si="157"/>
        <v>0.11988001116615331</v>
      </c>
      <c r="O491" s="2">
        <v>0.74570453400000003</v>
      </c>
      <c r="P491" s="2">
        <f t="shared" si="158"/>
        <v>0.7839800061909411</v>
      </c>
      <c r="Q491" s="2">
        <v>0.24990000000000001</v>
      </c>
      <c r="R491" s="2">
        <f t="shared" si="159"/>
        <v>0.56427330631152295</v>
      </c>
      <c r="S491" s="2">
        <f t="shared" si="160"/>
        <v>3.8490892588115617E-2</v>
      </c>
      <c r="T491" s="5">
        <f t="shared" si="161"/>
        <v>0.1005310995706333</v>
      </c>
      <c r="U491" s="2" t="str">
        <f t="shared" si="162"/>
        <v>No Impact</v>
      </c>
      <c r="V491" s="2">
        <f t="shared" si="163"/>
        <v>3.2218549766831001E-2</v>
      </c>
      <c r="W491" s="2">
        <f t="shared" si="164"/>
        <v>7.8150420964176459E-2</v>
      </c>
      <c r="X491" s="2" t="s">
        <v>1176</v>
      </c>
      <c r="Y491" s="2">
        <f t="shared" si="165"/>
        <v>4.4763235409400241E-2</v>
      </c>
      <c r="Z491" s="2">
        <f t="shared" si="166"/>
        <v>0.11441840173027341</v>
      </c>
      <c r="AA491" s="2" t="str">
        <f t="shared" si="167"/>
        <v>No Impact</v>
      </c>
      <c r="AB491" s="2">
        <f t="shared" si="168"/>
        <v>2.7101156797961885E-2</v>
      </c>
      <c r="AC491" s="2">
        <f t="shared" si="169"/>
        <v>9.8466594566304119E-2</v>
      </c>
      <c r="AD491" s="2" t="str">
        <f t="shared" si="170"/>
        <v>No Impact</v>
      </c>
      <c r="AE491" s="2">
        <f t="shared" si="171"/>
        <v>6.8448393050027463E-3</v>
      </c>
      <c r="AF491" s="2">
        <f t="shared" si="172"/>
        <v>5.2144777685664168E-2</v>
      </c>
      <c r="AG491" s="2" t="s">
        <v>1176</v>
      </c>
    </row>
    <row r="492" spans="1:33" x14ac:dyDescent="0.3">
      <c r="A492">
        <v>557704</v>
      </c>
      <c r="B492" t="s">
        <v>996</v>
      </c>
      <c r="C492" t="s">
        <v>997</v>
      </c>
      <c r="D492" t="s">
        <v>998</v>
      </c>
      <c r="E492" s="13">
        <v>5.0999999999999996</v>
      </c>
      <c r="F492" s="14">
        <f t="shared" si="153"/>
        <v>0.42222222222222211</v>
      </c>
      <c r="G492" s="2">
        <v>48.113305199999999</v>
      </c>
      <c r="H492" s="2">
        <f t="shared" si="154"/>
        <v>0.1674684370894601</v>
      </c>
      <c r="I492" s="2">
        <v>11</v>
      </c>
      <c r="J492" s="4">
        <f t="shared" si="155"/>
        <v>8.6956521739130432E-2</v>
      </c>
      <c r="K492" s="2">
        <v>0</v>
      </c>
      <c r="L492" s="4">
        <f t="shared" si="156"/>
        <v>0</v>
      </c>
      <c r="M492" s="2">
        <v>20430</v>
      </c>
      <c r="N492" s="2">
        <f t="shared" si="157"/>
        <v>9.5532119250732184E-2</v>
      </c>
      <c r="O492" s="2">
        <v>0.73481706899999999</v>
      </c>
      <c r="P492" s="2">
        <f t="shared" si="158"/>
        <v>0.77140291402857153</v>
      </c>
      <c r="Q492" s="2">
        <v>0.29720000000000002</v>
      </c>
      <c r="R492" s="2">
        <f t="shared" si="159"/>
        <v>0.7012159814707587</v>
      </c>
      <c r="S492" s="2">
        <f t="shared" si="160"/>
        <v>2.7684024026146472E-2</v>
      </c>
      <c r="T492" s="5">
        <f t="shared" si="161"/>
        <v>7.2305555645847577E-2</v>
      </c>
      <c r="U492" s="2" t="str">
        <f t="shared" si="162"/>
        <v>No Impact</v>
      </c>
      <c r="V492" s="2">
        <f t="shared" si="163"/>
        <v>2.6364567421867893E-2</v>
      </c>
      <c r="W492" s="2">
        <f t="shared" si="164"/>
        <v>6.3950800314375805E-2</v>
      </c>
      <c r="X492" s="2" t="s">
        <v>1176</v>
      </c>
      <c r="Y492" s="2">
        <f t="shared" si="165"/>
        <v>2.9003480630425047E-2</v>
      </c>
      <c r="Z492" s="2">
        <f t="shared" si="166"/>
        <v>7.4135210915770577E-2</v>
      </c>
      <c r="AA492" s="2" t="str">
        <f t="shared" si="167"/>
        <v>No Impact</v>
      </c>
      <c r="AB492" s="2">
        <f t="shared" si="168"/>
        <v>1.9185790474402407E-2</v>
      </c>
      <c r="AC492" s="2">
        <f t="shared" si="169"/>
        <v>6.970770532640562E-2</v>
      </c>
      <c r="AD492" s="2" t="str">
        <f t="shared" si="170"/>
        <v>No Impact</v>
      </c>
      <c r="AE492" s="2">
        <f t="shared" si="171"/>
        <v>3.5918505360603837E-3</v>
      </c>
      <c r="AF492" s="2">
        <f t="shared" si="172"/>
        <v>2.7363132914765664E-2</v>
      </c>
      <c r="AG492" s="2" t="s">
        <v>1176</v>
      </c>
    </row>
    <row r="493" spans="1:33" x14ac:dyDescent="0.3">
      <c r="A493">
        <v>557725</v>
      </c>
      <c r="B493" t="s">
        <v>999</v>
      </c>
      <c r="C493" t="s">
        <v>997</v>
      </c>
      <c r="D493" t="s">
        <v>1000</v>
      </c>
      <c r="E493" s="13">
        <v>5.3</v>
      </c>
      <c r="F493" s="14">
        <f t="shared" si="153"/>
        <v>0.46666666666666656</v>
      </c>
      <c r="G493" s="2">
        <v>51.544555199999998</v>
      </c>
      <c r="H493" s="2">
        <f t="shared" si="154"/>
        <v>0.20454015334527842</v>
      </c>
      <c r="I493" s="2">
        <v>11.6</v>
      </c>
      <c r="J493" s="4">
        <f t="shared" si="155"/>
        <v>9.1699604743083002E-2</v>
      </c>
      <c r="K493" s="2">
        <v>0</v>
      </c>
      <c r="L493" s="4">
        <f t="shared" si="156"/>
        <v>0</v>
      </c>
      <c r="M493" s="2">
        <v>33064</v>
      </c>
      <c r="N493" s="2">
        <f t="shared" si="157"/>
        <v>0.15530889081300006</v>
      </c>
      <c r="O493" s="2">
        <v>0.42470186700000001</v>
      </c>
      <c r="P493" s="2">
        <f t="shared" si="158"/>
        <v>0.41316089198708628</v>
      </c>
      <c r="Q493" s="2">
        <v>0.30969999999999998</v>
      </c>
      <c r="R493" s="2">
        <f t="shared" si="159"/>
        <v>0.73740590619571511</v>
      </c>
      <c r="S493" s="2">
        <f t="shared" si="160"/>
        <v>2.783556311325084E-2</v>
      </c>
      <c r="T493" s="5">
        <f t="shared" si="161"/>
        <v>7.270134774185201E-2</v>
      </c>
      <c r="U493" s="2" t="str">
        <f t="shared" si="162"/>
        <v>No Impact</v>
      </c>
      <c r="V493" s="2">
        <f t="shared" si="163"/>
        <v>3.5679994719843428E-2</v>
      </c>
      <c r="W493" s="2">
        <f t="shared" si="164"/>
        <v>8.6546620736667107E-2</v>
      </c>
      <c r="X493" s="2" t="s">
        <v>1176</v>
      </c>
      <c r="Y493" s="2">
        <f t="shared" si="165"/>
        <v>1.9991131506658252E-2</v>
      </c>
      <c r="Z493" s="2">
        <f t="shared" si="166"/>
        <v>5.1098927386540247E-2</v>
      </c>
      <c r="AA493" s="2" t="str">
        <f t="shared" si="167"/>
        <v>No Impact</v>
      </c>
      <c r="AB493" s="2">
        <f t="shared" si="168"/>
        <v>2.1115499805191222E-2</v>
      </c>
      <c r="AC493" s="2">
        <f t="shared" si="169"/>
        <v>7.6718915501754512E-2</v>
      </c>
      <c r="AD493" s="2" t="str">
        <f t="shared" si="170"/>
        <v>No Impact</v>
      </c>
      <c r="AE493" s="2">
        <f t="shared" si="171"/>
        <v>7.5147491464244275E-3</v>
      </c>
      <c r="AF493" s="2">
        <f t="shared" si="172"/>
        <v>5.7248228357594598E-2</v>
      </c>
      <c r="AG493" s="2" t="s">
        <v>1176</v>
      </c>
    </row>
    <row r="494" spans="1:33" x14ac:dyDescent="0.3">
      <c r="A494">
        <v>557734</v>
      </c>
      <c r="B494" t="s">
        <v>1001</v>
      </c>
      <c r="C494" t="s">
        <v>997</v>
      </c>
      <c r="D494" t="s">
        <v>1002</v>
      </c>
      <c r="E494" s="13">
        <v>5.3</v>
      </c>
      <c r="F494" s="14">
        <f t="shared" si="153"/>
        <v>0.46666666666666656</v>
      </c>
      <c r="G494" s="2">
        <v>51.544555199999998</v>
      </c>
      <c r="H494" s="2">
        <f t="shared" si="154"/>
        <v>0.20454015334527842</v>
      </c>
      <c r="I494" s="2">
        <v>12.1</v>
      </c>
      <c r="J494" s="4">
        <f t="shared" si="155"/>
        <v>9.5652173913043481E-2</v>
      </c>
      <c r="K494" s="2">
        <v>0</v>
      </c>
      <c r="L494" s="4">
        <f t="shared" si="156"/>
        <v>0</v>
      </c>
      <c r="M494" s="2">
        <v>34418</v>
      </c>
      <c r="N494" s="2">
        <f t="shared" si="157"/>
        <v>0.16171523470213339</v>
      </c>
      <c r="O494" s="2">
        <v>0.478422764</v>
      </c>
      <c r="P494" s="2">
        <f t="shared" si="158"/>
        <v>0.47521874224094884</v>
      </c>
      <c r="Q494" s="2">
        <v>0.27</v>
      </c>
      <c r="R494" s="2">
        <f t="shared" si="159"/>
        <v>0.62246670526925318</v>
      </c>
      <c r="S494" s="2">
        <f t="shared" si="160"/>
        <v>2.6910534508663868E-2</v>
      </c>
      <c r="T494" s="5">
        <f t="shared" si="161"/>
        <v>7.0285343941978343E-2</v>
      </c>
      <c r="U494" s="2" t="str">
        <f t="shared" si="162"/>
        <v>No Impact</v>
      </c>
      <c r="V494" s="2">
        <f t="shared" si="163"/>
        <v>3.0520422386280843E-2</v>
      </c>
      <c r="W494" s="2">
        <f t="shared" si="164"/>
        <v>7.4031384862265584E-2</v>
      </c>
      <c r="X494" s="2" t="s">
        <v>1176</v>
      </c>
      <c r="Y494" s="2">
        <f t="shared" si="165"/>
        <v>2.3300646631046886E-2</v>
      </c>
      <c r="Z494" s="2">
        <f t="shared" si="166"/>
        <v>5.955831213769687E-2</v>
      </c>
      <c r="AA494" s="2" t="str">
        <f t="shared" si="167"/>
        <v>No Impact</v>
      </c>
      <c r="AB494" s="2">
        <f t="shared" si="168"/>
        <v>2.0447536111481892E-2</v>
      </c>
      <c r="AC494" s="2">
        <f t="shared" si="169"/>
        <v>7.4292003960530789E-2</v>
      </c>
      <c r="AD494" s="2" t="str">
        <f t="shared" si="170"/>
        <v>No Impact</v>
      </c>
      <c r="AE494" s="2">
        <f t="shared" si="171"/>
        <v>7.9291265341986609E-3</v>
      </c>
      <c r="AF494" s="2">
        <f t="shared" si="172"/>
        <v>6.0405003235809947E-2</v>
      </c>
      <c r="AG494" s="2" t="s">
        <v>1176</v>
      </c>
    </row>
    <row r="495" spans="1:33" x14ac:dyDescent="0.3">
      <c r="A495">
        <v>557773</v>
      </c>
      <c r="B495" t="s">
        <v>1003</v>
      </c>
      <c r="C495" t="s">
        <v>997</v>
      </c>
      <c r="D495" t="s">
        <v>1004</v>
      </c>
      <c r="E495" s="13">
        <v>5.5</v>
      </c>
      <c r="F495" s="14">
        <f t="shared" si="153"/>
        <v>0.51111111111111107</v>
      </c>
      <c r="G495" s="2">
        <v>55.510182</v>
      </c>
      <c r="H495" s="2">
        <f t="shared" si="154"/>
        <v>0.24738535305560813</v>
      </c>
      <c r="I495" s="2">
        <v>13.7</v>
      </c>
      <c r="J495" s="4">
        <f t="shared" si="155"/>
        <v>0.108300395256917</v>
      </c>
      <c r="K495" s="2">
        <v>0</v>
      </c>
      <c r="L495" s="4">
        <f t="shared" si="156"/>
        <v>0</v>
      </c>
      <c r="M495" s="2">
        <v>44101</v>
      </c>
      <c r="N495" s="2">
        <f t="shared" si="157"/>
        <v>0.20752958320913353</v>
      </c>
      <c r="O495" s="2">
        <v>0.61299686499999995</v>
      </c>
      <c r="P495" s="2">
        <f t="shared" si="158"/>
        <v>0.63067741613290162</v>
      </c>
      <c r="Q495" s="2">
        <v>0.30170000000000002</v>
      </c>
      <c r="R495" s="2">
        <f t="shared" si="159"/>
        <v>0.71424435437174305</v>
      </c>
      <c r="S495" s="2">
        <f t="shared" si="160"/>
        <v>4.2787494735868813E-2</v>
      </c>
      <c r="T495" s="5">
        <f t="shared" si="161"/>
        <v>0.11175303050773346</v>
      </c>
      <c r="U495" s="2" t="str">
        <f t="shared" si="162"/>
        <v>No Impact</v>
      </c>
      <c r="V495" s="2">
        <f t="shared" si="163"/>
        <v>4.5446102848551412E-2</v>
      </c>
      <c r="W495" s="2">
        <f t="shared" si="164"/>
        <v>0.1102356280620662</v>
      </c>
      <c r="X495" s="2" t="s">
        <v>1176</v>
      </c>
      <c r="Y495" s="2">
        <f t="shared" si="165"/>
        <v>4.0128886623186207E-2</v>
      </c>
      <c r="Z495" s="2">
        <f t="shared" si="166"/>
        <v>0.10257263642020181</v>
      </c>
      <c r="AA495" s="2" t="str">
        <f t="shared" si="167"/>
        <v>No Impact</v>
      </c>
      <c r="AB495" s="2">
        <f t="shared" si="168"/>
        <v>3.2566460879422159E-2</v>
      </c>
      <c r="AC495" s="2">
        <f t="shared" si="169"/>
        <v>0.1183236761360173</v>
      </c>
      <c r="AD495" s="2" t="str">
        <f t="shared" si="170"/>
        <v>No Impact</v>
      </c>
      <c r="AE495" s="2">
        <f t="shared" si="171"/>
        <v>1.3204739701352292E-2</v>
      </c>
      <c r="AF495" s="2">
        <f t="shared" si="172"/>
        <v>0.10059523466399369</v>
      </c>
      <c r="AG495" s="2" t="s">
        <v>1175</v>
      </c>
    </row>
    <row r="496" spans="1:33" x14ac:dyDescent="0.3">
      <c r="A496">
        <v>557790</v>
      </c>
      <c r="B496" t="s">
        <v>1005</v>
      </c>
      <c r="C496" t="s">
        <v>997</v>
      </c>
      <c r="D496" t="s">
        <v>1006</v>
      </c>
      <c r="E496" s="13">
        <v>5.4</v>
      </c>
      <c r="F496" s="14">
        <f t="shared" si="153"/>
        <v>0.48888888888888893</v>
      </c>
      <c r="G496" s="2">
        <v>48.334791600000003</v>
      </c>
      <c r="H496" s="2">
        <f t="shared" si="154"/>
        <v>0.16986140786551049</v>
      </c>
      <c r="I496" s="2">
        <v>15.4</v>
      </c>
      <c r="J496" s="4">
        <f t="shared" si="155"/>
        <v>0.12173913043478261</v>
      </c>
      <c r="K496" s="2">
        <v>0</v>
      </c>
      <c r="L496" s="4">
        <f t="shared" si="156"/>
        <v>0</v>
      </c>
      <c r="M496" s="2">
        <v>24227</v>
      </c>
      <c r="N496" s="2">
        <f t="shared" si="157"/>
        <v>0.11349732438148501</v>
      </c>
      <c r="O496" s="2">
        <v>0.30467203999999998</v>
      </c>
      <c r="P496" s="2">
        <f t="shared" si="158"/>
        <v>0.27450361993961769</v>
      </c>
      <c r="Q496" s="2">
        <v>0.28910000000000002</v>
      </c>
      <c r="R496" s="2">
        <f t="shared" si="159"/>
        <v>0.67776491024898677</v>
      </c>
      <c r="S496" s="2">
        <f t="shared" si="160"/>
        <v>2.3757239147473113E-2</v>
      </c>
      <c r="T496" s="5">
        <f t="shared" si="161"/>
        <v>6.2049519085337797E-2</v>
      </c>
      <c r="U496" s="2" t="str">
        <f t="shared" si="162"/>
        <v>No Impact</v>
      </c>
      <c r="V496" s="2">
        <f t="shared" si="163"/>
        <v>3.3817820390140862E-2</v>
      </c>
      <c r="W496" s="2">
        <f t="shared" si="164"/>
        <v>8.2029666720171882E-2</v>
      </c>
      <c r="X496" s="2" t="s">
        <v>1176</v>
      </c>
      <c r="Y496" s="2">
        <f t="shared" si="165"/>
        <v>1.3696657904805362E-2</v>
      </c>
      <c r="Z496" s="2">
        <f t="shared" si="166"/>
        <v>3.5009750572789135E-2</v>
      </c>
      <c r="AA496" s="2" t="str">
        <f t="shared" si="167"/>
        <v>No Impact</v>
      </c>
      <c r="AB496" s="2">
        <f t="shared" si="168"/>
        <v>1.7927310041009586E-2</v>
      </c>
      <c r="AC496" s="2">
        <f t="shared" si="169"/>
        <v>6.5135270152205355E-2</v>
      </c>
      <c r="AD496" s="2" t="str">
        <f t="shared" si="170"/>
        <v>No Impact</v>
      </c>
      <c r="AE496" s="2">
        <f t="shared" si="171"/>
        <v>5.6630729514819305E-3</v>
      </c>
      <c r="AF496" s="2">
        <f t="shared" si="172"/>
        <v>4.3141944889326336E-2</v>
      </c>
      <c r="AG496" s="2" t="s">
        <v>1176</v>
      </c>
    </row>
    <row r="497" spans="1:33" x14ac:dyDescent="0.3">
      <c r="A497">
        <v>558503</v>
      </c>
      <c r="B497" t="s">
        <v>1007</v>
      </c>
      <c r="C497" t="s">
        <v>1008</v>
      </c>
      <c r="D497" t="s">
        <v>1009</v>
      </c>
      <c r="E497" s="13">
        <v>6.3</v>
      </c>
      <c r="F497" s="14">
        <f t="shared" si="153"/>
        <v>0.68888888888888877</v>
      </c>
      <c r="G497" s="2">
        <v>52.110572400000002</v>
      </c>
      <c r="H497" s="2">
        <f t="shared" si="154"/>
        <v>0.21065548421138053</v>
      </c>
      <c r="I497" s="2">
        <v>17.899999999999999</v>
      </c>
      <c r="J497" s="4">
        <f t="shared" si="155"/>
        <v>0.14150197628458497</v>
      </c>
      <c r="K497" s="2">
        <v>0</v>
      </c>
      <c r="L497" s="4">
        <f t="shared" si="156"/>
        <v>0</v>
      </c>
      <c r="M497" s="2">
        <v>34851</v>
      </c>
      <c r="N497" s="2">
        <f t="shared" si="157"/>
        <v>0.16376393994880603</v>
      </c>
      <c r="O497" s="2">
        <v>0.14470218800000001</v>
      </c>
      <c r="P497" s="2">
        <f t="shared" si="158"/>
        <v>8.9708025023386789E-2</v>
      </c>
      <c r="Q497" s="2">
        <v>0.2417</v>
      </c>
      <c r="R497" s="2">
        <f t="shared" si="159"/>
        <v>0.54053271569195138</v>
      </c>
      <c r="S497" s="2">
        <f t="shared" si="160"/>
        <v>2.6756579660586616E-2</v>
      </c>
      <c r="T497" s="5">
        <f t="shared" si="161"/>
        <v>6.9883242324667055E-2</v>
      </c>
      <c r="U497" s="2" t="str">
        <f t="shared" si="162"/>
        <v>No Impact</v>
      </c>
      <c r="V497" s="2">
        <f t="shared" si="163"/>
        <v>4.5896133754061298E-2</v>
      </c>
      <c r="W497" s="2">
        <f t="shared" si="164"/>
        <v>0.11132723848423035</v>
      </c>
      <c r="X497" s="2" t="s">
        <v>1176</v>
      </c>
      <c r="Y497" s="2">
        <f t="shared" si="165"/>
        <v>7.6170255671119298E-3</v>
      </c>
      <c r="Z497" s="2">
        <f t="shared" si="166"/>
        <v>1.9469725174167288E-2</v>
      </c>
      <c r="AA497" s="2" t="str">
        <f t="shared" si="167"/>
        <v>No Impact</v>
      </c>
      <c r="AB497" s="2">
        <f t="shared" si="168"/>
        <v>2.3215520205767722E-2</v>
      </c>
      <c r="AC497" s="2">
        <f t="shared" si="169"/>
        <v>8.4348916645472644E-2</v>
      </c>
      <c r="AD497" s="2" t="str">
        <f t="shared" si="170"/>
        <v>No Impact</v>
      </c>
      <c r="AE497" s="2">
        <f t="shared" si="171"/>
        <v>1.3905044919179127E-2</v>
      </c>
      <c r="AF497" s="2">
        <f t="shared" si="172"/>
        <v>0.10593024082973394</v>
      </c>
      <c r="AG497" s="2" t="s">
        <v>1175</v>
      </c>
    </row>
    <row r="498" spans="1:33" x14ac:dyDescent="0.3">
      <c r="A498">
        <v>558527</v>
      </c>
      <c r="B498" t="s">
        <v>1010</v>
      </c>
      <c r="C498" t="s">
        <v>1008</v>
      </c>
      <c r="D498" t="s">
        <v>1011</v>
      </c>
      <c r="E498" s="13">
        <v>6.3</v>
      </c>
      <c r="F498" s="14">
        <f t="shared" si="153"/>
        <v>0.68888888888888877</v>
      </c>
      <c r="G498" s="2">
        <v>52.799633999999998</v>
      </c>
      <c r="H498" s="2">
        <f t="shared" si="154"/>
        <v>0.218100204391484</v>
      </c>
      <c r="I498" s="2">
        <v>14.1</v>
      </c>
      <c r="J498" s="4">
        <f t="shared" si="155"/>
        <v>0.11146245059288537</v>
      </c>
      <c r="K498" s="2">
        <v>0</v>
      </c>
      <c r="L498" s="4">
        <f t="shared" si="156"/>
        <v>0</v>
      </c>
      <c r="M498" s="2">
        <v>23068</v>
      </c>
      <c r="N498" s="2">
        <f t="shared" si="157"/>
        <v>0.1080136075664883</v>
      </c>
      <c r="O498" s="2">
        <v>0.758806651</v>
      </c>
      <c r="P498" s="2">
        <f t="shared" si="158"/>
        <v>0.79911544249600863</v>
      </c>
      <c r="Q498" s="2">
        <v>0.22950000000000001</v>
      </c>
      <c r="R498" s="2">
        <f t="shared" si="159"/>
        <v>0.50521134916039379</v>
      </c>
      <c r="S498" s="2">
        <f t="shared" si="160"/>
        <v>5.1821697717966457E-2</v>
      </c>
      <c r="T498" s="5">
        <f t="shared" si="161"/>
        <v>0.13534869946904485</v>
      </c>
      <c r="U498" s="2" t="str">
        <f t="shared" si="162"/>
        <v>No Impact</v>
      </c>
      <c r="V498" s="2">
        <f t="shared" si="163"/>
        <v>4.0144709113316676E-2</v>
      </c>
      <c r="W498" s="2">
        <f t="shared" si="164"/>
        <v>9.7376385324456374E-2</v>
      </c>
      <c r="X498" s="2" t="s">
        <v>1176</v>
      </c>
      <c r="Y498" s="2">
        <f t="shared" si="165"/>
        <v>6.3498686322616252E-2</v>
      </c>
      <c r="Z498" s="2">
        <f t="shared" si="166"/>
        <v>0.16230770931897368</v>
      </c>
      <c r="AA498" s="2" t="str">
        <f t="shared" si="167"/>
        <v>Low</v>
      </c>
      <c r="AB498" s="2">
        <f t="shared" si="168"/>
        <v>3.61042665698054E-2</v>
      </c>
      <c r="AC498" s="2">
        <f t="shared" si="169"/>
        <v>0.13117758053450143</v>
      </c>
      <c r="AD498" s="2" t="str">
        <f t="shared" si="170"/>
        <v>No Impact</v>
      </c>
      <c r="AE498" s="2">
        <f t="shared" si="171"/>
        <v>8.5828928095991186E-3</v>
      </c>
      <c r="AF498" s="2">
        <f t="shared" si="172"/>
        <v>6.5385470354187084E-2</v>
      </c>
      <c r="AG498" s="2" t="s">
        <v>1175</v>
      </c>
    </row>
    <row r="499" spans="1:33" x14ac:dyDescent="0.3">
      <c r="A499">
        <v>558542</v>
      </c>
      <c r="B499" t="s">
        <v>1012</v>
      </c>
      <c r="C499" t="s">
        <v>1008</v>
      </c>
      <c r="D499" t="s">
        <v>1013</v>
      </c>
      <c r="E499" s="13">
        <v>6.4</v>
      </c>
      <c r="F499" s="14">
        <f t="shared" si="153"/>
        <v>0.71111111111111114</v>
      </c>
      <c r="G499" s="2">
        <v>39.823462800000001</v>
      </c>
      <c r="H499" s="2">
        <f t="shared" si="154"/>
        <v>7.7903792934049768E-2</v>
      </c>
      <c r="I499" s="2">
        <v>15</v>
      </c>
      <c r="J499" s="4">
        <f t="shared" si="155"/>
        <v>0.11857707509881422</v>
      </c>
      <c r="K499" s="2">
        <v>0</v>
      </c>
      <c r="L499" s="4">
        <f t="shared" si="156"/>
        <v>0</v>
      </c>
      <c r="M499" s="2">
        <v>14370</v>
      </c>
      <c r="N499" s="2">
        <f t="shared" si="157"/>
        <v>6.6859708639101414E-2</v>
      </c>
      <c r="O499" s="2">
        <v>0.69438634099999996</v>
      </c>
      <c r="P499" s="2">
        <f t="shared" si="158"/>
        <v>0.72469773589502973</v>
      </c>
      <c r="Q499" s="2">
        <v>0.27250000000000002</v>
      </c>
      <c r="R499" s="2">
        <f t="shared" si="159"/>
        <v>0.62970469021424447</v>
      </c>
      <c r="S499" s="2">
        <f t="shared" si="160"/>
        <v>3.3116429341055464E-2</v>
      </c>
      <c r="T499" s="5">
        <f t="shared" si="161"/>
        <v>8.6493994595942855E-2</v>
      </c>
      <c r="U499" s="2" t="str">
        <f t="shared" si="162"/>
        <v>No Impact</v>
      </c>
      <c r="V499" s="2">
        <f t="shared" si="163"/>
        <v>3.0793758896484384E-2</v>
      </c>
      <c r="W499" s="2">
        <f t="shared" si="164"/>
        <v>7.4694399290037169E-2</v>
      </c>
      <c r="X499" s="2" t="s">
        <v>1176</v>
      </c>
      <c r="Y499" s="2">
        <f t="shared" si="165"/>
        <v>3.5439099785626552E-2</v>
      </c>
      <c r="Z499" s="2">
        <f t="shared" si="166"/>
        <v>9.058516702703627E-2</v>
      </c>
      <c r="AA499" s="2" t="str">
        <f t="shared" si="167"/>
        <v>No Impact</v>
      </c>
      <c r="AB499" s="2">
        <f t="shared" si="168"/>
        <v>2.2553894039949791E-2</v>
      </c>
      <c r="AC499" s="2">
        <f t="shared" si="169"/>
        <v>8.1945031235350532E-2</v>
      </c>
      <c r="AD499" s="2" t="str">
        <f t="shared" si="170"/>
        <v>No Impact</v>
      </c>
      <c r="AE499" s="2">
        <f t="shared" si="171"/>
        <v>3.2695671156922719E-3</v>
      </c>
      <c r="AF499" s="2">
        <f t="shared" si="172"/>
        <v>2.4907940534341488E-2</v>
      </c>
      <c r="AG499" s="2" t="s">
        <v>1176</v>
      </c>
    </row>
    <row r="500" spans="1:33" x14ac:dyDescent="0.3">
      <c r="A500">
        <v>558549</v>
      </c>
      <c r="B500" t="s">
        <v>1014</v>
      </c>
      <c r="C500" t="s">
        <v>1008</v>
      </c>
      <c r="D500" t="s">
        <v>1015</v>
      </c>
      <c r="E500" s="13">
        <v>6.3</v>
      </c>
      <c r="F500" s="14">
        <f t="shared" si="153"/>
        <v>0.68888888888888877</v>
      </c>
      <c r="G500" s="2">
        <v>49.2910416</v>
      </c>
      <c r="H500" s="2">
        <f t="shared" si="154"/>
        <v>0.18019286977286963</v>
      </c>
      <c r="I500" s="2">
        <v>15.5</v>
      </c>
      <c r="J500" s="4">
        <f t="shared" si="155"/>
        <v>0.1225296442687747</v>
      </c>
      <c r="K500" s="2">
        <v>0</v>
      </c>
      <c r="L500" s="4">
        <f t="shared" si="156"/>
        <v>0</v>
      </c>
      <c r="M500" s="2">
        <v>70957</v>
      </c>
      <c r="N500" s="2">
        <f t="shared" si="157"/>
        <v>0.33459662271176654</v>
      </c>
      <c r="O500" s="2">
        <v>0.71655502900000001</v>
      </c>
      <c r="P500" s="2">
        <f t="shared" si="158"/>
        <v>0.75030678557691799</v>
      </c>
      <c r="Q500" s="2">
        <v>0.2737</v>
      </c>
      <c r="R500" s="2">
        <f t="shared" si="159"/>
        <v>0.63317892298784018</v>
      </c>
      <c r="S500" s="2">
        <f t="shared" si="160"/>
        <v>5.0490146104843217E-2</v>
      </c>
      <c r="T500" s="5">
        <f t="shared" si="161"/>
        <v>0.1318709326831517</v>
      </c>
      <c r="U500" s="2" t="str">
        <f t="shared" si="162"/>
        <v>No Impact</v>
      </c>
      <c r="V500" s="2">
        <f t="shared" si="163"/>
        <v>4.6215578714331039E-2</v>
      </c>
      <c r="W500" s="2">
        <f t="shared" si="164"/>
        <v>0.11210209515222558</v>
      </c>
      <c r="X500" s="2" t="s">
        <v>1176</v>
      </c>
      <c r="Y500" s="2">
        <f t="shared" si="165"/>
        <v>5.4764713495355381E-2</v>
      </c>
      <c r="Z500" s="2">
        <f t="shared" si="166"/>
        <v>0.13998297781752891</v>
      </c>
      <c r="AA500" s="2" t="str">
        <f t="shared" si="167"/>
        <v>No Impact</v>
      </c>
      <c r="AB500" s="2">
        <f t="shared" si="168"/>
        <v>4.1152611315914155E-2</v>
      </c>
      <c r="AC500" s="2">
        <f t="shared" si="169"/>
        <v>0.14951972434230396</v>
      </c>
      <c r="AD500" s="2" t="str">
        <f t="shared" si="170"/>
        <v>No Impact</v>
      </c>
      <c r="AE500" s="2">
        <f t="shared" si="171"/>
        <v>2.4422127763690488E-2</v>
      </c>
      <c r="AF500" s="2">
        <f t="shared" si="172"/>
        <v>0.18605059463087223</v>
      </c>
      <c r="AG500" s="2" t="s">
        <v>1175</v>
      </c>
    </row>
    <row r="501" spans="1:33" x14ac:dyDescent="0.3">
      <c r="A501">
        <v>558558</v>
      </c>
      <c r="B501" t="s">
        <v>1016</v>
      </c>
      <c r="C501" t="s">
        <v>1008</v>
      </c>
      <c r="D501" t="s">
        <v>1017</v>
      </c>
      <c r="E501" s="13">
        <v>6.3</v>
      </c>
      <c r="F501" s="14">
        <f t="shared" si="153"/>
        <v>0.68888888888888877</v>
      </c>
      <c r="G501" s="2">
        <v>52.110572400000002</v>
      </c>
      <c r="H501" s="2">
        <f t="shared" si="154"/>
        <v>0.21065548421138053</v>
      </c>
      <c r="I501" s="2">
        <v>17.3</v>
      </c>
      <c r="J501" s="4">
        <f t="shared" si="155"/>
        <v>0.13675889328063243</v>
      </c>
      <c r="K501" s="2">
        <v>0</v>
      </c>
      <c r="L501" s="4">
        <f t="shared" si="156"/>
        <v>0</v>
      </c>
      <c r="M501" s="2">
        <v>23688</v>
      </c>
      <c r="N501" s="2">
        <f t="shared" si="157"/>
        <v>0.11094708852015349</v>
      </c>
      <c r="O501" s="2">
        <v>0.65789067400000001</v>
      </c>
      <c r="P501" s="2">
        <f t="shared" si="158"/>
        <v>0.68253830140902627</v>
      </c>
      <c r="Q501" s="2">
        <v>0.26529999999999998</v>
      </c>
      <c r="R501" s="2">
        <f t="shared" si="159"/>
        <v>0.60885929357266932</v>
      </c>
      <c r="S501" s="2">
        <f t="shared" si="160"/>
        <v>5.4087261037493825E-2</v>
      </c>
      <c r="T501" s="5">
        <f t="shared" si="161"/>
        <v>0.14126593225697201</v>
      </c>
      <c r="U501" s="2" t="str">
        <f t="shared" si="162"/>
        <v>No Impact</v>
      </c>
      <c r="V501" s="2">
        <f t="shared" si="163"/>
        <v>5.1001382803467006E-2</v>
      </c>
      <c r="W501" s="2">
        <f t="shared" si="164"/>
        <v>0.12371070593467298</v>
      </c>
      <c r="X501" s="2" t="s">
        <v>1176</v>
      </c>
      <c r="Y501" s="2">
        <f t="shared" si="165"/>
        <v>5.7173139271520637E-2</v>
      </c>
      <c r="Z501" s="2">
        <f t="shared" si="166"/>
        <v>0.14613910628935409</v>
      </c>
      <c r="AA501" s="2" t="str">
        <f t="shared" si="167"/>
        <v>No Impact</v>
      </c>
      <c r="AB501" s="2">
        <f t="shared" si="168"/>
        <v>3.8255162884854831E-2</v>
      </c>
      <c r="AC501" s="2">
        <f t="shared" si="169"/>
        <v>0.13899242906613521</v>
      </c>
      <c r="AD501" s="2" t="str">
        <f t="shared" si="170"/>
        <v>No Impact</v>
      </c>
      <c r="AE501" s="2">
        <f t="shared" si="171"/>
        <v>9.2935346348148231E-3</v>
      </c>
      <c r="AF501" s="2">
        <f t="shared" si="172"/>
        <v>7.0799221990828706E-2</v>
      </c>
      <c r="AG501" s="2" t="s">
        <v>1175</v>
      </c>
    </row>
    <row r="502" spans="1:33" x14ac:dyDescent="0.3">
      <c r="A502">
        <v>558573</v>
      </c>
      <c r="B502" t="s">
        <v>1018</v>
      </c>
      <c r="C502" t="s">
        <v>1008</v>
      </c>
      <c r="D502" t="s">
        <v>1019</v>
      </c>
      <c r="E502" s="13">
        <v>6.3</v>
      </c>
      <c r="F502" s="14">
        <f t="shared" si="153"/>
        <v>0.68888888888888877</v>
      </c>
      <c r="G502" s="2">
        <v>39.823462800000001</v>
      </c>
      <c r="H502" s="2">
        <f t="shared" si="154"/>
        <v>7.7903792934049768E-2</v>
      </c>
      <c r="I502" s="2">
        <v>15.3</v>
      </c>
      <c r="J502" s="4">
        <f t="shared" si="155"/>
        <v>0.12094861660079052</v>
      </c>
      <c r="K502" s="2">
        <v>0</v>
      </c>
      <c r="L502" s="4">
        <f t="shared" si="156"/>
        <v>0</v>
      </c>
      <c r="M502" s="2">
        <v>13223</v>
      </c>
      <c r="N502" s="2">
        <f t="shared" si="157"/>
        <v>6.1432768874820798E-2</v>
      </c>
      <c r="O502" s="2">
        <v>0.75639385299999995</v>
      </c>
      <c r="P502" s="2">
        <f t="shared" si="158"/>
        <v>0.79632820204883537</v>
      </c>
      <c r="Q502" s="2">
        <v>0.27339999999999998</v>
      </c>
      <c r="R502" s="2">
        <f t="shared" si="159"/>
        <v>0.63231036479444125</v>
      </c>
      <c r="S502" s="2">
        <f t="shared" si="160"/>
        <v>3.4248413354193034E-2</v>
      </c>
      <c r="T502" s="5">
        <f t="shared" si="161"/>
        <v>8.9450527684298273E-2</v>
      </c>
      <c r="U502" s="2" t="str">
        <f t="shared" si="162"/>
        <v>No Impact</v>
      </c>
      <c r="V502" s="2">
        <f t="shared" si="163"/>
        <v>3.0316452662300642E-2</v>
      </c>
      <c r="W502" s="2">
        <f t="shared" si="164"/>
        <v>7.3536628893782791E-2</v>
      </c>
      <c r="X502" s="2" t="s">
        <v>1176</v>
      </c>
      <c r="Y502" s="2">
        <f t="shared" si="165"/>
        <v>3.818037404608543E-2</v>
      </c>
      <c r="Z502" s="2">
        <f t="shared" si="166"/>
        <v>9.7592082785412745E-2</v>
      </c>
      <c r="AA502" s="2" t="str">
        <f t="shared" si="167"/>
        <v>No Impact</v>
      </c>
      <c r="AB502" s="2">
        <f t="shared" si="168"/>
        <v>2.3095769879015324E-2</v>
      </c>
      <c r="AC502" s="2">
        <f t="shared" si="169"/>
        <v>8.3913827953081568E-2</v>
      </c>
      <c r="AD502" s="2" t="str">
        <f t="shared" si="170"/>
        <v>No Impact</v>
      </c>
      <c r="AE502" s="2">
        <f t="shared" si="171"/>
        <v>2.9454263810984958E-3</v>
      </c>
      <c r="AF502" s="2">
        <f t="shared" si="172"/>
        <v>2.2438598919278761E-2</v>
      </c>
      <c r="AG502" s="2" t="s">
        <v>1176</v>
      </c>
    </row>
    <row r="503" spans="1:33" x14ac:dyDescent="0.3">
      <c r="A503">
        <v>558576</v>
      </c>
      <c r="B503" t="s">
        <v>1020</v>
      </c>
      <c r="C503" t="s">
        <v>1008</v>
      </c>
      <c r="D503" t="s">
        <v>1152</v>
      </c>
      <c r="E503" s="13">
        <v>6.3</v>
      </c>
      <c r="F503" s="14">
        <f t="shared" si="153"/>
        <v>0.68888888888888877</v>
      </c>
      <c r="G503" s="2">
        <v>41.915257199999999</v>
      </c>
      <c r="H503" s="2">
        <f t="shared" si="154"/>
        <v>0.10050383911614365</v>
      </c>
      <c r="I503" s="2">
        <v>19.100000000000001</v>
      </c>
      <c r="J503" s="4">
        <f t="shared" si="155"/>
        <v>0.15098814229249014</v>
      </c>
      <c r="K503" s="2">
        <v>0</v>
      </c>
      <c r="L503" s="4">
        <f t="shared" si="156"/>
        <v>0</v>
      </c>
      <c r="M503" s="2">
        <v>36763</v>
      </c>
      <c r="N503" s="2">
        <f t="shared" si="157"/>
        <v>0.17281041669623803</v>
      </c>
      <c r="O503" s="2">
        <v>0.77634236400000001</v>
      </c>
      <c r="P503" s="2">
        <f t="shared" si="158"/>
        <v>0.81937252516253067</v>
      </c>
      <c r="Q503" s="2">
        <v>0.2681</v>
      </c>
      <c r="R503" s="2">
        <f t="shared" si="159"/>
        <v>0.61696583671105976</v>
      </c>
      <c r="S503" s="2">
        <f t="shared" si="160"/>
        <v>4.3547991661321124E-2</v>
      </c>
      <c r="T503" s="5">
        <f t="shared" si="161"/>
        <v>0.1137393079618295</v>
      </c>
      <c r="U503" s="2" t="str">
        <f t="shared" si="162"/>
        <v>No Impact</v>
      </c>
      <c r="V503" s="2">
        <f t="shared" si="163"/>
        <v>3.7411272755211437E-2</v>
      </c>
      <c r="W503" s="2">
        <f t="shared" si="164"/>
        <v>9.0746068205570074E-2</v>
      </c>
      <c r="X503" s="2" t="s">
        <v>1176</v>
      </c>
      <c r="Y503" s="2">
        <f t="shared" si="165"/>
        <v>4.9684710567430811E-2</v>
      </c>
      <c r="Z503" s="2">
        <f t="shared" si="166"/>
        <v>0.12699808495886442</v>
      </c>
      <c r="AA503" s="2" t="str">
        <f t="shared" si="167"/>
        <v>No Impact</v>
      </c>
      <c r="AB503" s="2">
        <f t="shared" si="168"/>
        <v>3.1666936379133225E-2</v>
      </c>
      <c r="AC503" s="2">
        <f t="shared" si="169"/>
        <v>0.11505543504458651</v>
      </c>
      <c r="AD503" s="2" t="str">
        <f t="shared" si="170"/>
        <v>No Impact</v>
      </c>
      <c r="AE503" s="2">
        <f t="shared" si="171"/>
        <v>1.0478793555942794E-2</v>
      </c>
      <c r="AF503" s="2">
        <f t="shared" si="172"/>
        <v>7.9828661571243131E-2</v>
      </c>
      <c r="AG503" s="2" t="s">
        <v>1175</v>
      </c>
    </row>
    <row r="504" spans="1:33" x14ac:dyDescent="0.3">
      <c r="A504">
        <v>558592</v>
      </c>
      <c r="B504" t="s">
        <v>1021</v>
      </c>
      <c r="C504" t="s">
        <v>1008</v>
      </c>
      <c r="D504" t="s">
        <v>1022</v>
      </c>
      <c r="E504" s="13">
        <v>6</v>
      </c>
      <c r="F504" s="14">
        <f t="shared" si="153"/>
        <v>0.62222222222222223</v>
      </c>
      <c r="G504" s="2">
        <v>49.2910416</v>
      </c>
      <c r="H504" s="2">
        <f t="shared" si="154"/>
        <v>0.18019286977286963</v>
      </c>
      <c r="I504" s="2">
        <v>13.2</v>
      </c>
      <c r="J504" s="4">
        <f t="shared" si="155"/>
        <v>0.10434782608695652</v>
      </c>
      <c r="K504" s="2">
        <v>0</v>
      </c>
      <c r="L504" s="4">
        <f t="shared" si="156"/>
        <v>0</v>
      </c>
      <c r="M504" s="2">
        <v>16160</v>
      </c>
      <c r="N504" s="2">
        <f t="shared" si="157"/>
        <v>7.5328952037586411E-2</v>
      </c>
      <c r="O504" s="2">
        <v>0.79946117699999997</v>
      </c>
      <c r="P504" s="2">
        <f t="shared" si="158"/>
        <v>0.8460791498713669</v>
      </c>
      <c r="Q504" s="2">
        <v>0.2752</v>
      </c>
      <c r="R504" s="2">
        <f t="shared" si="159"/>
        <v>0.63752171395483503</v>
      </c>
      <c r="S504" s="2">
        <f t="shared" si="160"/>
        <v>4.5966880636435531E-2</v>
      </c>
      <c r="T504" s="5">
        <f t="shared" si="161"/>
        <v>0.12005699903253789</v>
      </c>
      <c r="U504" s="2" t="str">
        <f t="shared" si="162"/>
        <v>No Impact</v>
      </c>
      <c r="V504" s="2">
        <f t="shared" si="163"/>
        <v>3.950507881603748E-2</v>
      </c>
      <c r="W504" s="2">
        <f t="shared" si="164"/>
        <v>9.5824876105215451E-2</v>
      </c>
      <c r="X504" s="2" t="s">
        <v>1176</v>
      </c>
      <c r="Y504" s="2">
        <f t="shared" si="165"/>
        <v>5.2428682456833568E-2</v>
      </c>
      <c r="Z504" s="2">
        <f t="shared" si="166"/>
        <v>0.13401189607208727</v>
      </c>
      <c r="AA504" s="2" t="str">
        <f t="shared" si="167"/>
        <v>No Impact</v>
      </c>
      <c r="AB504" s="2">
        <f t="shared" si="168"/>
        <v>3.1189141052416536E-2</v>
      </c>
      <c r="AC504" s="2">
        <f t="shared" si="169"/>
        <v>0.1133194619615104</v>
      </c>
      <c r="AD504" s="2" t="str">
        <f t="shared" si="170"/>
        <v>No Impact</v>
      </c>
      <c r="AE504" s="2">
        <f t="shared" si="171"/>
        <v>4.6678820850095505E-3</v>
      </c>
      <c r="AF504" s="2">
        <f t="shared" si="172"/>
        <v>3.5560465737715354E-2</v>
      </c>
      <c r="AG504" s="2" t="s">
        <v>1176</v>
      </c>
    </row>
    <row r="505" spans="1:33" x14ac:dyDescent="0.3">
      <c r="A505">
        <v>559408</v>
      </c>
      <c r="B505" t="s">
        <v>1023</v>
      </c>
      <c r="C505" t="s">
        <v>540</v>
      </c>
      <c r="D505" t="s">
        <v>1153</v>
      </c>
      <c r="E505" s="13">
        <v>5.5</v>
      </c>
      <c r="F505" s="14">
        <f t="shared" si="153"/>
        <v>0.51111111111111107</v>
      </c>
      <c r="G505" s="2">
        <v>46.503149399999998</v>
      </c>
      <c r="H505" s="2">
        <f t="shared" si="154"/>
        <v>0.15007208329849175</v>
      </c>
      <c r="I505" s="2">
        <v>9.1</v>
      </c>
      <c r="J505" s="4">
        <f t="shared" si="155"/>
        <v>7.1936758893280633E-2</v>
      </c>
      <c r="K505" s="2">
        <v>0</v>
      </c>
      <c r="L505" s="4">
        <f t="shared" si="156"/>
        <v>0</v>
      </c>
      <c r="M505" s="2">
        <v>24763</v>
      </c>
      <c r="N505" s="2">
        <f t="shared" si="157"/>
        <v>0.1160333659801375</v>
      </c>
      <c r="O505" s="2">
        <v>0.71686328200000005</v>
      </c>
      <c r="P505" s="2">
        <f t="shared" si="158"/>
        <v>0.75066287640157991</v>
      </c>
      <c r="Q505" s="2">
        <v>0.29780000000000001</v>
      </c>
      <c r="R505" s="2">
        <f t="shared" si="159"/>
        <v>0.70295309785755655</v>
      </c>
      <c r="S505" s="2">
        <f t="shared" si="160"/>
        <v>2.8865117505174728E-2</v>
      </c>
      <c r="T505" s="5">
        <f t="shared" si="161"/>
        <v>7.5390353585271727E-2</v>
      </c>
      <c r="U505" s="2" t="str">
        <f t="shared" si="162"/>
        <v>No Impact</v>
      </c>
      <c r="V505" s="2">
        <f t="shared" si="163"/>
        <v>2.7917722602940665E-2</v>
      </c>
      <c r="W505" s="2">
        <f t="shared" si="164"/>
        <v>6.7718186869697702E-2</v>
      </c>
      <c r="X505" s="2" t="s">
        <v>1176</v>
      </c>
      <c r="Y505" s="2">
        <f t="shared" si="165"/>
        <v>2.981251240740878E-2</v>
      </c>
      <c r="Z505" s="2">
        <f t="shared" si="166"/>
        <v>7.6203160696988639E-2</v>
      </c>
      <c r="AA505" s="2" t="str">
        <f t="shared" si="167"/>
        <v>No Impact</v>
      </c>
      <c r="AB505" s="2">
        <f t="shared" si="168"/>
        <v>2.0327845980915547E-2</v>
      </c>
      <c r="AC505" s="2">
        <f t="shared" si="169"/>
        <v>7.385713397885714E-2</v>
      </c>
      <c r="AD505" s="2" t="str">
        <f t="shared" si="170"/>
        <v>No Impact</v>
      </c>
      <c r="AE505" s="2">
        <f t="shared" si="171"/>
        <v>4.608255279039096E-3</v>
      </c>
      <c r="AF505" s="2">
        <f t="shared" si="172"/>
        <v>3.5106221831775426E-2</v>
      </c>
      <c r="AG505" s="2" t="s">
        <v>1176</v>
      </c>
    </row>
    <row r="506" spans="1:33" x14ac:dyDescent="0.3">
      <c r="A506">
        <v>559451</v>
      </c>
      <c r="B506" t="s">
        <v>1026</v>
      </c>
      <c r="C506" t="s">
        <v>1024</v>
      </c>
      <c r="D506" t="s">
        <v>1027</v>
      </c>
      <c r="E506" s="13">
        <v>5.6</v>
      </c>
      <c r="F506" s="14">
        <f t="shared" si="153"/>
        <v>0.53333333333333321</v>
      </c>
      <c r="G506" s="2">
        <v>48.095726399999997</v>
      </c>
      <c r="H506" s="2">
        <f t="shared" si="154"/>
        <v>0.16727851321748405</v>
      </c>
      <c r="I506" s="2">
        <v>10.1</v>
      </c>
      <c r="J506" s="4">
        <f t="shared" si="155"/>
        <v>7.9841897233201578E-2</v>
      </c>
      <c r="K506" s="2">
        <v>0</v>
      </c>
      <c r="L506" s="4">
        <f t="shared" si="156"/>
        <v>0</v>
      </c>
      <c r="M506" s="2">
        <v>7570</v>
      </c>
      <c r="N506" s="2">
        <f t="shared" si="157"/>
        <v>3.4686046566644431E-2</v>
      </c>
      <c r="O506" s="2">
        <v>0.45161105200000001</v>
      </c>
      <c r="P506" s="2">
        <f t="shared" si="158"/>
        <v>0.44424611703802847</v>
      </c>
      <c r="Q506" s="2">
        <v>0.24149999999999999</v>
      </c>
      <c r="R506" s="2">
        <f t="shared" si="159"/>
        <v>0.5399536768963521</v>
      </c>
      <c r="S506" s="2">
        <f t="shared" si="160"/>
        <v>2.2700146657304132E-2</v>
      </c>
      <c r="T506" s="5">
        <f t="shared" si="161"/>
        <v>5.9288588817449993E-2</v>
      </c>
      <c r="U506" s="2" t="str">
        <f t="shared" si="162"/>
        <v>No Impact</v>
      </c>
      <c r="V506" s="2">
        <f t="shared" si="163"/>
        <v>2.4907600528343569E-2</v>
      </c>
      <c r="W506" s="2">
        <f t="shared" si="164"/>
        <v>6.0416731373227617E-2</v>
      </c>
      <c r="X506" s="2" t="s">
        <v>1176</v>
      </c>
      <c r="Y506" s="2">
        <f t="shared" si="165"/>
        <v>2.0492692786264699E-2</v>
      </c>
      <c r="Z506" s="2">
        <f t="shared" si="166"/>
        <v>5.2380958040881845E-2</v>
      </c>
      <c r="AA506" s="2" t="str">
        <f t="shared" si="167"/>
        <v>No Impact</v>
      </c>
      <c r="AB506" s="2">
        <f t="shared" si="168"/>
        <v>1.5425481185011095E-2</v>
      </c>
      <c r="AC506" s="2">
        <f t="shared" si="169"/>
        <v>5.6045378917141529E-2</v>
      </c>
      <c r="AD506" s="2" t="str">
        <f t="shared" si="170"/>
        <v>No Impact</v>
      </c>
      <c r="AE506" s="2">
        <f t="shared" si="171"/>
        <v>1.600037612032676E-3</v>
      </c>
      <c r="AF506" s="2">
        <f t="shared" si="172"/>
        <v>1.2189271632303336E-2</v>
      </c>
      <c r="AG506" s="2" t="s">
        <v>1176</v>
      </c>
    </row>
    <row r="507" spans="1:33" x14ac:dyDescent="0.3">
      <c r="A507">
        <v>559482</v>
      </c>
      <c r="B507" t="s">
        <v>1028</v>
      </c>
      <c r="C507" t="s">
        <v>1024</v>
      </c>
      <c r="D507" t="s">
        <v>1152</v>
      </c>
      <c r="E507" s="13">
        <v>5.6</v>
      </c>
      <c r="F507" s="14">
        <f t="shared" si="153"/>
        <v>0.53333333333333321</v>
      </c>
      <c r="G507" s="2">
        <v>50.050414799999999</v>
      </c>
      <c r="H507" s="2">
        <f t="shared" si="154"/>
        <v>0.18839724654596188</v>
      </c>
      <c r="I507" s="2">
        <v>10.9</v>
      </c>
      <c r="J507" s="4">
        <f t="shared" si="155"/>
        <v>8.6166007905138342E-2</v>
      </c>
      <c r="K507" s="2">
        <v>0</v>
      </c>
      <c r="L507" s="4">
        <f t="shared" si="156"/>
        <v>0</v>
      </c>
      <c r="M507" s="2">
        <v>41019</v>
      </c>
      <c r="N507" s="2">
        <f t="shared" si="157"/>
        <v>0.19294734401688171</v>
      </c>
      <c r="O507" s="2">
        <v>0.58979496399999998</v>
      </c>
      <c r="P507" s="2">
        <f t="shared" si="158"/>
        <v>0.60387480898613444</v>
      </c>
      <c r="Q507" s="2">
        <v>0.2402</v>
      </c>
      <c r="R507" s="2">
        <f t="shared" si="159"/>
        <v>0.53618992472495663</v>
      </c>
      <c r="S507" s="2">
        <f t="shared" si="160"/>
        <v>2.9215189133446777E-2</v>
      </c>
      <c r="T507" s="5">
        <f t="shared" si="161"/>
        <v>7.6304675996426652E-2</v>
      </c>
      <c r="U507" s="2" t="str">
        <f t="shared" si="162"/>
        <v>No Impact</v>
      </c>
      <c r="V507" s="2">
        <f t="shared" si="163"/>
        <v>2.7480702804123239E-2</v>
      </c>
      <c r="W507" s="2">
        <f t="shared" si="164"/>
        <v>6.6658136634835108E-2</v>
      </c>
      <c r="X507" s="2" t="s">
        <v>1176</v>
      </c>
      <c r="Y507" s="2">
        <f t="shared" si="165"/>
        <v>3.0949675462770311E-2</v>
      </c>
      <c r="Z507" s="2">
        <f t="shared" si="166"/>
        <v>7.9109840210012786E-2</v>
      </c>
      <c r="AA507" s="2" t="str">
        <f t="shared" si="167"/>
        <v>No Impact</v>
      </c>
      <c r="AB507" s="2">
        <f t="shared" si="168"/>
        <v>2.2364263666724338E-2</v>
      </c>
      <c r="AC507" s="2">
        <f t="shared" si="169"/>
        <v>8.125604746919439E-2</v>
      </c>
      <c r="AD507" s="2" t="str">
        <f t="shared" si="170"/>
        <v>No Impact</v>
      </c>
      <c r="AE507" s="2">
        <f t="shared" si="171"/>
        <v>9.8889001327145953E-3</v>
      </c>
      <c r="AF507" s="2">
        <f t="shared" si="172"/>
        <v>7.533478522998438E-2</v>
      </c>
      <c r="AG507" s="2" t="s">
        <v>1175</v>
      </c>
    </row>
    <row r="508" spans="1:33" x14ac:dyDescent="0.3">
      <c r="A508">
        <v>559486</v>
      </c>
      <c r="B508" t="s">
        <v>1029</v>
      </c>
      <c r="C508" t="s">
        <v>1024</v>
      </c>
      <c r="D508" t="s">
        <v>1030</v>
      </c>
      <c r="E508" s="13">
        <v>5.7</v>
      </c>
      <c r="F508" s="14">
        <f t="shared" si="153"/>
        <v>0.55555555555555558</v>
      </c>
      <c r="G508" s="2">
        <v>45.409791599999998</v>
      </c>
      <c r="H508" s="2">
        <f t="shared" si="154"/>
        <v>0.13825928909005877</v>
      </c>
      <c r="I508" s="2">
        <v>10.3</v>
      </c>
      <c r="J508" s="4">
        <f t="shared" si="155"/>
        <v>8.1422924901185773E-2</v>
      </c>
      <c r="K508" s="2">
        <v>0</v>
      </c>
      <c r="L508" s="4">
        <f t="shared" si="156"/>
        <v>0</v>
      </c>
      <c r="M508" s="2">
        <v>19234</v>
      </c>
      <c r="N508" s="2">
        <f t="shared" si="157"/>
        <v>8.9873339862694163E-2</v>
      </c>
      <c r="O508" s="2">
        <v>0.69294752999999998</v>
      </c>
      <c r="P508" s="2">
        <f t="shared" si="158"/>
        <v>0.72303563562180428</v>
      </c>
      <c r="Q508" s="2">
        <v>0.2641</v>
      </c>
      <c r="R508" s="2">
        <f t="shared" si="159"/>
        <v>0.60538506079907362</v>
      </c>
      <c r="S508" s="2">
        <f t="shared" si="160"/>
        <v>2.8372399970982023E-2</v>
      </c>
      <c r="T508" s="5">
        <f t="shared" si="161"/>
        <v>7.4103466424192549E-2</v>
      </c>
      <c r="U508" s="2" t="str">
        <f t="shared" si="162"/>
        <v>No Impact</v>
      </c>
      <c r="V508" s="2">
        <f t="shared" si="163"/>
        <v>2.5859619814304242E-2</v>
      </c>
      <c r="W508" s="2">
        <f t="shared" si="164"/>
        <v>6.2725982053419213E-2</v>
      </c>
      <c r="X508" s="2" t="s">
        <v>1176</v>
      </c>
      <c r="Y508" s="2">
        <f t="shared" si="165"/>
        <v>3.0885180127659808E-2</v>
      </c>
      <c r="Z508" s="2">
        <f t="shared" si="166"/>
        <v>7.8944984986861227E-2</v>
      </c>
      <c r="AA508" s="2" t="str">
        <f t="shared" si="167"/>
        <v>No Impact</v>
      </c>
      <c r="AB508" s="2">
        <f t="shared" si="168"/>
        <v>1.9660080889570244E-2</v>
      </c>
      <c r="AC508" s="2">
        <f t="shared" si="169"/>
        <v>7.1430944019321027E-2</v>
      </c>
      <c r="AD508" s="2" t="str">
        <f t="shared" si="170"/>
        <v>No Impact</v>
      </c>
      <c r="AE508" s="2">
        <f t="shared" si="171"/>
        <v>3.8390283321880444E-3</v>
      </c>
      <c r="AF508" s="2">
        <f t="shared" si="172"/>
        <v>2.9246161960968249E-2</v>
      </c>
      <c r="AG508" s="2" t="s">
        <v>1176</v>
      </c>
    </row>
    <row r="509" spans="1:33" x14ac:dyDescent="0.3">
      <c r="A509">
        <v>559494</v>
      </c>
      <c r="B509" t="s">
        <v>1031</v>
      </c>
      <c r="C509" t="s">
        <v>1024</v>
      </c>
      <c r="D509" t="s">
        <v>1032</v>
      </c>
      <c r="E509" s="13">
        <v>5.7</v>
      </c>
      <c r="F509" s="14">
        <f t="shared" si="153"/>
        <v>0.55555555555555558</v>
      </c>
      <c r="G509" s="2">
        <v>50.180493599999998</v>
      </c>
      <c r="H509" s="2">
        <f t="shared" si="154"/>
        <v>0.18980263652468607</v>
      </c>
      <c r="I509" s="2">
        <v>10.6</v>
      </c>
      <c r="J509" s="4">
        <f t="shared" si="155"/>
        <v>8.3794466403162057E-2</v>
      </c>
      <c r="K509" s="2">
        <v>0</v>
      </c>
      <c r="L509" s="4">
        <f t="shared" si="156"/>
        <v>0</v>
      </c>
      <c r="M509" s="2">
        <v>95551</v>
      </c>
      <c r="N509" s="2">
        <f t="shared" si="157"/>
        <v>0.45096118815441466</v>
      </c>
      <c r="O509" s="2">
        <v>0.57879135599999998</v>
      </c>
      <c r="P509" s="2">
        <f t="shared" si="158"/>
        <v>0.59116354957592387</v>
      </c>
      <c r="Q509" s="2">
        <v>0.28339999999999999</v>
      </c>
      <c r="R509" s="2">
        <f t="shared" si="159"/>
        <v>0.66126230457440649</v>
      </c>
      <c r="S509" s="2">
        <f t="shared" si="160"/>
        <v>3.3314174962392536E-2</v>
      </c>
      <c r="T509" s="5">
        <f t="shared" si="161"/>
        <v>8.7010469621893072E-2</v>
      </c>
      <c r="U509" s="2" t="str">
        <f t="shared" si="162"/>
        <v>No Impact</v>
      </c>
      <c r="V509" s="2">
        <f t="shared" si="163"/>
        <v>3.5178782101351377E-2</v>
      </c>
      <c r="W509" s="2">
        <f t="shared" si="164"/>
        <v>8.5330862193492826E-2</v>
      </c>
      <c r="X509" s="2" t="s">
        <v>1176</v>
      </c>
      <c r="Y509" s="2">
        <f t="shared" si="165"/>
        <v>3.144956782343368E-2</v>
      </c>
      <c r="Z509" s="2">
        <f t="shared" si="166"/>
        <v>8.038760497435922E-2</v>
      </c>
      <c r="AA509" s="2" t="str">
        <f t="shared" si="167"/>
        <v>No Impact</v>
      </c>
      <c r="AB509" s="2">
        <f t="shared" si="168"/>
        <v>3.0144252493593999E-2</v>
      </c>
      <c r="AC509" s="2">
        <f t="shared" si="169"/>
        <v>0.10952306984232654</v>
      </c>
      <c r="AD509" s="2" t="str">
        <f t="shared" si="170"/>
        <v>No Impact</v>
      </c>
      <c r="AE509" s="2">
        <f t="shared" si="171"/>
        <v>2.3990881174545457E-2</v>
      </c>
      <c r="AF509" s="2">
        <f t="shared" si="172"/>
        <v>0.18276530822506382</v>
      </c>
      <c r="AG509" s="2" t="s">
        <v>1175</v>
      </c>
    </row>
    <row r="510" spans="1:33" x14ac:dyDescent="0.3">
      <c r="A510">
        <v>603602</v>
      </c>
      <c r="B510" t="s">
        <v>1033</v>
      </c>
      <c r="C510" t="s">
        <v>1034</v>
      </c>
      <c r="D510" t="s">
        <v>1035</v>
      </c>
      <c r="E510" s="13">
        <v>5.7</v>
      </c>
      <c r="F510" s="14">
        <f t="shared" si="153"/>
        <v>0.55555555555555558</v>
      </c>
      <c r="G510" s="2">
        <v>43.718983199999997</v>
      </c>
      <c r="H510" s="2">
        <f t="shared" si="154"/>
        <v>0.11999155306156938</v>
      </c>
      <c r="I510" s="2">
        <v>9.8000000000000007</v>
      </c>
      <c r="J510" s="4">
        <f t="shared" si="155"/>
        <v>7.7470355731225307E-2</v>
      </c>
      <c r="K510" s="2">
        <v>0</v>
      </c>
      <c r="L510" s="4">
        <f t="shared" si="156"/>
        <v>0</v>
      </c>
      <c r="M510" s="2">
        <v>7462</v>
      </c>
      <c r="N510" s="2">
        <f t="shared" si="157"/>
        <v>3.4175053110199527E-2</v>
      </c>
      <c r="O510" s="2">
        <v>0.62655862399999995</v>
      </c>
      <c r="P510" s="2">
        <f t="shared" si="158"/>
        <v>0.6463438263419673</v>
      </c>
      <c r="Q510" s="2">
        <v>0.16619999999999999</v>
      </c>
      <c r="R510" s="2">
        <f t="shared" si="159"/>
        <v>0.32194557035321364</v>
      </c>
      <c r="S510" s="2">
        <f t="shared" si="160"/>
        <v>1.8588915385371916E-2</v>
      </c>
      <c r="T510" s="5">
        <f t="shared" si="161"/>
        <v>4.8550812357463953E-2</v>
      </c>
      <c r="U510" s="2" t="str">
        <f t="shared" si="162"/>
        <v>No Impact</v>
      </c>
      <c r="V510" s="2">
        <f t="shared" si="163"/>
        <v>1.2361219665147605E-2</v>
      </c>
      <c r="W510" s="2">
        <f t="shared" si="164"/>
        <v>2.9983799005642221E-2</v>
      </c>
      <c r="X510" s="2" t="s">
        <v>1176</v>
      </c>
      <c r="Y510" s="2">
        <f t="shared" si="165"/>
        <v>2.4816611105596232E-2</v>
      </c>
      <c r="Z510" s="2">
        <f t="shared" si="166"/>
        <v>6.3433238305821538E-2</v>
      </c>
      <c r="AA510" s="2" t="str">
        <f t="shared" si="167"/>
        <v>No Impact</v>
      </c>
      <c r="AB510" s="2">
        <f t="shared" si="168"/>
        <v>1.22306675614132E-2</v>
      </c>
      <c r="AC510" s="2">
        <f t="shared" si="169"/>
        <v>4.4437667108567488E-2</v>
      </c>
      <c r="AD510" s="2" t="str">
        <f t="shared" si="170"/>
        <v>No Impact</v>
      </c>
      <c r="AE510" s="2">
        <f t="shared" si="171"/>
        <v>1.3121638483790537E-3</v>
      </c>
      <c r="AF510" s="2">
        <f t="shared" si="172"/>
        <v>9.9962159974862769E-3</v>
      </c>
      <c r="AG510" s="2" t="s">
        <v>1176</v>
      </c>
    </row>
    <row r="511" spans="1:33" x14ac:dyDescent="0.3">
      <c r="A511">
        <v>603605</v>
      </c>
      <c r="B511" t="s">
        <v>1036</v>
      </c>
      <c r="C511" t="s">
        <v>1034</v>
      </c>
      <c r="D511" t="s">
        <v>1037</v>
      </c>
      <c r="E511" s="13">
        <v>5.6</v>
      </c>
      <c r="F511" s="14">
        <f t="shared" si="153"/>
        <v>0.53333333333333321</v>
      </c>
      <c r="G511" s="2">
        <v>43.718983199999997</v>
      </c>
      <c r="H511" s="2">
        <f t="shared" si="154"/>
        <v>0.11999155306156938</v>
      </c>
      <c r="I511" s="2">
        <v>4.9000000000000004</v>
      </c>
      <c r="J511" s="4">
        <f t="shared" si="155"/>
        <v>3.8735177865612654E-2</v>
      </c>
      <c r="K511" s="2">
        <v>0</v>
      </c>
      <c r="L511" s="4">
        <f t="shared" si="156"/>
        <v>0</v>
      </c>
      <c r="M511" s="2">
        <v>12557</v>
      </c>
      <c r="N511" s="2">
        <f t="shared" si="157"/>
        <v>5.8281642560077215E-2</v>
      </c>
      <c r="O511" s="2">
        <v>0.14019719999999999</v>
      </c>
      <c r="P511" s="2">
        <f t="shared" si="158"/>
        <v>8.4503907327819469E-2</v>
      </c>
      <c r="Q511" s="2">
        <v>0.25169999999999998</v>
      </c>
      <c r="R511" s="2">
        <f t="shared" si="159"/>
        <v>0.56948465547191662</v>
      </c>
      <c r="S511" s="2">
        <f t="shared" si="160"/>
        <v>9.6885102194503615E-3</v>
      </c>
      <c r="T511" s="5">
        <f t="shared" si="161"/>
        <v>2.5304598570504239E-2</v>
      </c>
      <c r="U511" s="2" t="str">
        <f t="shared" si="162"/>
        <v>No Impact</v>
      </c>
      <c r="V511" s="2">
        <f t="shared" si="163"/>
        <v>1.6873255032899971E-2</v>
      </c>
      <c r="W511" s="2">
        <f t="shared" si="164"/>
        <v>4.0928346974034018E-2</v>
      </c>
      <c r="X511" s="2" t="s">
        <v>1176</v>
      </c>
      <c r="Y511" s="2">
        <f t="shared" si="165"/>
        <v>2.5037654060007532E-3</v>
      </c>
      <c r="Z511" s="2">
        <f t="shared" si="166"/>
        <v>6.3998241736117987E-3</v>
      </c>
      <c r="AA511" s="2" t="str">
        <f t="shared" si="167"/>
        <v>No Impact</v>
      </c>
      <c r="AB511" s="2">
        <f t="shared" si="168"/>
        <v>7.2611580502948839E-3</v>
      </c>
      <c r="AC511" s="2">
        <f t="shared" si="169"/>
        <v>2.6381955248272321E-2</v>
      </c>
      <c r="AD511" s="2" t="str">
        <f t="shared" si="170"/>
        <v>No Impact</v>
      </c>
      <c r="AE511" s="2">
        <f t="shared" si="171"/>
        <v>1.7268261913704803E-3</v>
      </c>
      <c r="AF511" s="2">
        <f t="shared" si="172"/>
        <v>1.3155161697511865E-2</v>
      </c>
      <c r="AG511" s="2" t="s">
        <v>1176</v>
      </c>
    </row>
    <row r="512" spans="1:33" x14ac:dyDescent="0.3">
      <c r="A512">
        <v>603611</v>
      </c>
      <c r="B512" t="s">
        <v>1038</v>
      </c>
      <c r="C512" t="s">
        <v>1034</v>
      </c>
      <c r="D512" t="s">
        <v>1039</v>
      </c>
      <c r="E512" s="13">
        <v>5.7</v>
      </c>
      <c r="F512" s="14">
        <f t="shared" si="153"/>
        <v>0.55555555555555558</v>
      </c>
      <c r="G512" s="2">
        <v>43.718983199999997</v>
      </c>
      <c r="H512" s="2">
        <f t="shared" si="154"/>
        <v>0.11999155306156938</v>
      </c>
      <c r="I512" s="2">
        <v>9.3000000000000007</v>
      </c>
      <c r="J512" s="4">
        <f t="shared" si="155"/>
        <v>7.3517786561264828E-2</v>
      </c>
      <c r="K512" s="2">
        <v>0</v>
      </c>
      <c r="L512" s="4">
        <f t="shared" si="156"/>
        <v>0</v>
      </c>
      <c r="M512" s="2">
        <v>22652</v>
      </c>
      <c r="N512" s="2">
        <f t="shared" si="157"/>
        <v>0.10604533647499681</v>
      </c>
      <c r="O512" s="2">
        <v>0.23161327400000001</v>
      </c>
      <c r="P512" s="2">
        <f t="shared" si="158"/>
        <v>0.1901068541864325</v>
      </c>
      <c r="Q512" s="2">
        <v>0.16589999999999999</v>
      </c>
      <c r="R512" s="2">
        <f t="shared" si="159"/>
        <v>0.32107701215981471</v>
      </c>
      <c r="S512" s="2">
        <f t="shared" si="160"/>
        <v>9.6171106502439731E-3</v>
      </c>
      <c r="T512" s="5">
        <f t="shared" si="161"/>
        <v>2.5118116088063601E-2</v>
      </c>
      <c r="U512" s="2" t="str">
        <f t="shared" si="162"/>
        <v>No Impact</v>
      </c>
      <c r="V512" s="2">
        <f t="shared" si="163"/>
        <v>1.2081105670495255E-2</v>
      </c>
      <c r="W512" s="2">
        <f t="shared" si="164"/>
        <v>2.9304344878797097E-2</v>
      </c>
      <c r="X512" s="2" t="s">
        <v>1176</v>
      </c>
      <c r="Y512" s="2">
        <f t="shared" si="165"/>
        <v>7.1531156299926915E-3</v>
      </c>
      <c r="Z512" s="2">
        <f t="shared" si="166"/>
        <v>1.828393435573087E-2</v>
      </c>
      <c r="AA512" s="2" t="str">
        <f t="shared" si="167"/>
        <v>No Impact</v>
      </c>
      <c r="AB512" s="2">
        <f t="shared" si="168"/>
        <v>7.7708736021941125E-3</v>
      </c>
      <c r="AC512" s="2">
        <f t="shared" si="169"/>
        <v>2.8233904040243289E-2</v>
      </c>
      <c r="AD512" s="2" t="str">
        <f t="shared" si="170"/>
        <v>No Impact</v>
      </c>
      <c r="AE512" s="2">
        <f t="shared" si="171"/>
        <v>3.9901483672084778E-3</v>
      </c>
      <c r="AF512" s="2">
        <f t="shared" si="172"/>
        <v>3.0397411870404525E-2</v>
      </c>
      <c r="AG512" s="2" t="s">
        <v>1176</v>
      </c>
    </row>
    <row r="513" spans="1:33" x14ac:dyDescent="0.3">
      <c r="A513">
        <v>603626</v>
      </c>
      <c r="B513" t="s">
        <v>1040</v>
      </c>
      <c r="C513" t="s">
        <v>1034</v>
      </c>
      <c r="D513" t="s">
        <v>1041</v>
      </c>
      <c r="E513" s="13">
        <v>5.2</v>
      </c>
      <c r="F513" s="14">
        <f t="shared" si="153"/>
        <v>0.44444444444444442</v>
      </c>
      <c r="G513" s="2">
        <v>47.206483200000001</v>
      </c>
      <c r="H513" s="2">
        <f t="shared" si="154"/>
        <v>0.15767100237076179</v>
      </c>
      <c r="I513" s="2">
        <v>4.9000000000000004</v>
      </c>
      <c r="J513" s="4">
        <f t="shared" si="155"/>
        <v>3.8735177865612654E-2</v>
      </c>
      <c r="K513" s="2">
        <v>0</v>
      </c>
      <c r="L513" s="4">
        <f t="shared" si="156"/>
        <v>0</v>
      </c>
      <c r="M513" s="2">
        <v>8086</v>
      </c>
      <c r="N513" s="2">
        <f t="shared" si="157"/>
        <v>3.7127459747436753E-2</v>
      </c>
      <c r="O513" s="2">
        <v>0.23125285600000001</v>
      </c>
      <c r="P513" s="2">
        <f t="shared" si="158"/>
        <v>0.18969050286838218</v>
      </c>
      <c r="Q513" s="2">
        <v>0.3009</v>
      </c>
      <c r="R513" s="2">
        <f t="shared" si="159"/>
        <v>0.71192819918934569</v>
      </c>
      <c r="S513" s="2">
        <f t="shared" si="160"/>
        <v>1.3773159967842804E-2</v>
      </c>
      <c r="T513" s="5">
        <f t="shared" si="161"/>
        <v>3.597294900240848E-2</v>
      </c>
      <c r="U513" s="2" t="str">
        <f t="shared" si="162"/>
        <v>No Impact</v>
      </c>
      <c r="V513" s="2">
        <f t="shared" si="163"/>
        <v>2.1750881943052903E-2</v>
      </c>
      <c r="W513" s="2">
        <f t="shared" si="164"/>
        <v>5.2759686345090394E-2</v>
      </c>
      <c r="X513" s="2" t="s">
        <v>1176</v>
      </c>
      <c r="Y513" s="2">
        <f t="shared" si="165"/>
        <v>5.7954379926327066E-3</v>
      </c>
      <c r="Z513" s="2">
        <f t="shared" si="166"/>
        <v>1.4813601974460652E-2</v>
      </c>
      <c r="AA513" s="2" t="str">
        <f t="shared" si="167"/>
        <v>No Impact</v>
      </c>
      <c r="AB513" s="2">
        <f t="shared" si="168"/>
        <v>9.7484523722947899E-3</v>
      </c>
      <c r="AC513" s="2">
        <f t="shared" si="169"/>
        <v>3.5419038181568128E-2</v>
      </c>
      <c r="AD513" s="2" t="str">
        <f t="shared" si="170"/>
        <v>No Impact</v>
      </c>
      <c r="AE513" s="2">
        <f t="shared" si="171"/>
        <v>1.1343208412470354E-3</v>
      </c>
      <c r="AF513" s="2">
        <f t="shared" si="172"/>
        <v>8.6413873949986748E-3</v>
      </c>
      <c r="AG513" s="2" t="s">
        <v>1176</v>
      </c>
    </row>
    <row r="514" spans="1:33" x14ac:dyDescent="0.3">
      <c r="A514">
        <v>603644</v>
      </c>
      <c r="B514" t="s">
        <v>1042</v>
      </c>
      <c r="C514" t="s">
        <v>1034</v>
      </c>
      <c r="D514" t="s">
        <v>1043</v>
      </c>
      <c r="E514" s="13">
        <v>5.7</v>
      </c>
      <c r="F514" s="14">
        <f t="shared" ref="F514:F547" si="173">(E514-$AJ$5)/$AK$5</f>
        <v>0.55555555555555558</v>
      </c>
      <c r="G514" s="2">
        <v>43.718983199999997</v>
      </c>
      <c r="H514" s="2">
        <f t="shared" ref="H514:H547" si="174">(G514-$AJ$6)/$AK$6</f>
        <v>0.11999155306156938</v>
      </c>
      <c r="I514" s="2">
        <v>7.2</v>
      </c>
      <c r="J514" s="4">
        <f t="shared" ref="J514:J547" si="175">(I514-$AJ$7)/$AK$7</f>
        <v>5.6916996047430835E-2</v>
      </c>
      <c r="K514" s="2">
        <v>0</v>
      </c>
      <c r="L514" s="4">
        <f t="shared" ref="L514:L547" si="176">(K514-$AJ$8)/$AK$8</f>
        <v>0</v>
      </c>
      <c r="M514" s="2">
        <v>33136</v>
      </c>
      <c r="N514" s="2">
        <f t="shared" ref="N514:N547" si="177">(M514-$AJ$9)/$AK$9</f>
        <v>0.15564955311729667</v>
      </c>
      <c r="O514" s="2">
        <v>0.37104742400000001</v>
      </c>
      <c r="P514" s="2">
        <f t="shared" ref="P514:P547" si="178">(O514-$AJ$11)/$AK$11</f>
        <v>0.35117980873845012</v>
      </c>
      <c r="Q514" s="2">
        <v>0.2009</v>
      </c>
      <c r="R514" s="2">
        <f t="shared" ref="R514:R547" si="179">(Q514-$AJ$12)/$AK$12</f>
        <v>0.42240880138969311</v>
      </c>
      <c r="S514" s="2">
        <f t="shared" ref="S514:S547" si="180">F514*(R514*0.5+P514*0.5)*(H514*0.35+J514*0.35+L514*0.3)</f>
        <v>1.3305292644098958E-2</v>
      </c>
      <c r="T514" s="5">
        <f t="shared" ref="T514:T547" si="181">(S514-$AJ$10)/$AK$10</f>
        <v>3.4750965999508179E-2</v>
      </c>
      <c r="U514" s="2" t="str">
        <f t="shared" ref="U514:U547" si="182">IF(T514&gt;0.7,"High",IF(T514&gt;0.3,"Moderate",IF(T514&gt;0.15,"Low","No Impact")))</f>
        <v>No Impact</v>
      </c>
      <c r="V514" s="2">
        <f t="shared" ref="V514:V547" si="183">F514*(R514*1)*(H514*0.35+J514*0.35+L514*0.3)</f>
        <v>1.4530391591473808E-2</v>
      </c>
      <c r="W514" s="2">
        <f t="shared" ref="W514:W547" si="184">(V514-$AJ$13)/$AK$13</f>
        <v>3.5245416937327925E-2</v>
      </c>
      <c r="X514" s="2" t="s">
        <v>1176</v>
      </c>
      <c r="Y514" s="2">
        <f t="shared" ref="Y514:Y547" si="185">F514*(P514*1)*(H514*0.35+J514*0.35+L514*0.3)</f>
        <v>1.2080193696724107E-2</v>
      </c>
      <c r="Z514" s="2">
        <f t="shared" ref="Z514:Z547" si="186">(Y514-$AJ$14)/$AK$14</f>
        <v>3.087793906606303E-2</v>
      </c>
      <c r="AA514" s="2" t="str">
        <f t="shared" ref="AA514:AA547" si="187">IF(Z514&gt;0.7,"High",IF(Z514&gt;0.3,"Moderate",IF(Z514&gt;0.15,"Low","No Impact")))</f>
        <v>No Impact</v>
      </c>
      <c r="AB514" s="2">
        <f t="shared" ref="AB514:AB547" si="188">F514*(R514*0.35+P514*0.3+N514*0.35)*(H514*0.35+J514*0.35+L514*0.3)</f>
        <v>1.0583655018756419E-2</v>
      </c>
      <c r="AC514" s="2">
        <f t="shared" ref="AC514:AC547" si="189">(AB514-$AJ$15)/$AK$15</f>
        <v>3.8453578772692495E-2</v>
      </c>
      <c r="AD514" s="2" t="str">
        <f t="shared" ref="AD514:AD547" si="190">IF(AC514&gt;0.7,"High",IF(AC514&gt;0.3,"Moderate",IF(AC514&gt;0.15,"Low","No Impact")))</f>
        <v>No Impact</v>
      </c>
      <c r="AE514" s="2">
        <f t="shared" ref="AE514:AE547" si="191">F514*(N514*1)*(H514*0.35+J514*0.35+L514*0.3)</f>
        <v>5.3541710077810133E-3</v>
      </c>
      <c r="AF514" s="2">
        <f t="shared" ref="AF514:AF547" si="192">(AE514-$AJ$16)/$AK$16</f>
        <v>4.0788694146218149E-2</v>
      </c>
      <c r="AG514" s="2" t="s">
        <v>1176</v>
      </c>
    </row>
    <row r="515" spans="1:33" x14ac:dyDescent="0.3">
      <c r="A515">
        <v>603668</v>
      </c>
      <c r="B515" t="s">
        <v>1044</v>
      </c>
      <c r="C515" t="s">
        <v>1034</v>
      </c>
      <c r="D515" t="s">
        <v>1045</v>
      </c>
      <c r="E515" s="13">
        <v>5.6</v>
      </c>
      <c r="F515" s="14">
        <f t="shared" si="173"/>
        <v>0.53333333333333321</v>
      </c>
      <c r="G515" s="2">
        <v>43.145937000000004</v>
      </c>
      <c r="H515" s="2">
        <f t="shared" si="174"/>
        <v>0.11380027987311775</v>
      </c>
      <c r="I515" s="2">
        <v>9.1</v>
      </c>
      <c r="J515" s="4">
        <f t="shared" si="175"/>
        <v>7.1936758893280633E-2</v>
      </c>
      <c r="K515" s="2">
        <v>0</v>
      </c>
      <c r="L515" s="4">
        <f t="shared" si="176"/>
        <v>0</v>
      </c>
      <c r="M515" s="2">
        <v>9664</v>
      </c>
      <c r="N515" s="2">
        <f t="shared" si="177"/>
        <v>4.4593641916603977E-2</v>
      </c>
      <c r="O515" s="2">
        <v>0.42105625299999999</v>
      </c>
      <c r="P515" s="2">
        <f t="shared" si="178"/>
        <v>0.40894951465853224</v>
      </c>
      <c r="Q515" s="2">
        <v>0.152</v>
      </c>
      <c r="R515" s="2">
        <f t="shared" si="179"/>
        <v>0.28083381586566303</v>
      </c>
      <c r="S515" s="2">
        <f t="shared" si="180"/>
        <v>1.1957709232185528E-2</v>
      </c>
      <c r="T515" s="5">
        <f t="shared" si="181"/>
        <v>3.1231327117331894E-2</v>
      </c>
      <c r="U515" s="2" t="str">
        <f t="shared" si="182"/>
        <v>No Impact</v>
      </c>
      <c r="V515" s="2">
        <f t="shared" si="183"/>
        <v>9.7367650509464949E-3</v>
      </c>
      <c r="W515" s="2">
        <f t="shared" si="184"/>
        <v>2.3617831748098405E-2</v>
      </c>
      <c r="X515" s="2" t="s">
        <v>1176</v>
      </c>
      <c r="Y515" s="2">
        <f t="shared" si="185"/>
        <v>1.4178653413424563E-2</v>
      </c>
      <c r="Z515" s="2">
        <f t="shared" si="186"/>
        <v>3.6241769555174795E-2</v>
      </c>
      <c r="AA515" s="2" t="str">
        <f t="shared" si="187"/>
        <v>No Impact</v>
      </c>
      <c r="AB515" s="2">
        <f t="shared" si="188"/>
        <v>8.2025996036887202E-3</v>
      </c>
      <c r="AC515" s="2">
        <f t="shared" si="189"/>
        <v>2.980249350931341E-2</v>
      </c>
      <c r="AD515" s="2" t="str">
        <f t="shared" si="190"/>
        <v>No Impact</v>
      </c>
      <c r="AE515" s="2">
        <f t="shared" si="191"/>
        <v>1.5461023195145094E-3</v>
      </c>
      <c r="AF515" s="2">
        <f t="shared" si="192"/>
        <v>1.1778386334278078E-2</v>
      </c>
      <c r="AG515" s="2" t="s">
        <v>1176</v>
      </c>
    </row>
    <row r="516" spans="1:33" x14ac:dyDescent="0.3">
      <c r="A516">
        <v>603671</v>
      </c>
      <c r="B516" t="s">
        <v>1046</v>
      </c>
      <c r="C516" t="s">
        <v>1034</v>
      </c>
      <c r="D516" t="s">
        <v>1047</v>
      </c>
      <c r="E516" s="13">
        <v>5.5</v>
      </c>
      <c r="F516" s="14">
        <f t="shared" si="173"/>
        <v>0.51111111111111107</v>
      </c>
      <c r="G516" s="2">
        <v>45.213123600000003</v>
      </c>
      <c r="H516" s="2">
        <f t="shared" si="174"/>
        <v>0.13613445986088599</v>
      </c>
      <c r="I516" s="2">
        <v>6.8</v>
      </c>
      <c r="J516" s="4">
        <f t="shared" si="175"/>
        <v>5.3754940711462453E-2</v>
      </c>
      <c r="K516" s="2">
        <v>0</v>
      </c>
      <c r="L516" s="4">
        <f t="shared" si="176"/>
        <v>0</v>
      </c>
      <c r="M516" s="2">
        <v>31830</v>
      </c>
      <c r="N516" s="2">
        <f t="shared" si="177"/>
        <v>0.1494703174310277</v>
      </c>
      <c r="O516" s="2">
        <v>0.46997111000000003</v>
      </c>
      <c r="P516" s="2">
        <f t="shared" si="178"/>
        <v>0.46545547491632733</v>
      </c>
      <c r="Q516" s="2">
        <v>0.23139999999999999</v>
      </c>
      <c r="R516" s="2">
        <f t="shared" si="179"/>
        <v>0.51071221771858721</v>
      </c>
      <c r="S516" s="2">
        <f t="shared" si="180"/>
        <v>1.6579770877787975E-2</v>
      </c>
      <c r="T516" s="5">
        <f t="shared" si="181"/>
        <v>4.3303298128446681E-2</v>
      </c>
      <c r="U516" s="2" t="str">
        <f t="shared" si="182"/>
        <v>No Impact</v>
      </c>
      <c r="V516" s="2">
        <f t="shared" si="183"/>
        <v>1.7348436376551903E-2</v>
      </c>
      <c r="W516" s="2">
        <f t="shared" si="184"/>
        <v>4.2080963162828229E-2</v>
      </c>
      <c r="X516" s="2" t="s">
        <v>1176</v>
      </c>
      <c r="Y516" s="2">
        <f t="shared" si="185"/>
        <v>1.5811105379024047E-2</v>
      </c>
      <c r="Z516" s="2">
        <f t="shared" si="186"/>
        <v>4.0414447045911135E-2</v>
      </c>
      <c r="AA516" s="2" t="str">
        <f t="shared" si="187"/>
        <v>No Impact</v>
      </c>
      <c r="AB516" s="2">
        <f t="shared" si="188"/>
        <v>1.2592364804435893E-2</v>
      </c>
      <c r="AC516" s="2">
        <f t="shared" si="189"/>
        <v>4.5751821188777964E-2</v>
      </c>
      <c r="AD516" s="2" t="str">
        <f t="shared" si="190"/>
        <v>No Impact</v>
      </c>
      <c r="AE516" s="2">
        <f t="shared" si="191"/>
        <v>5.0773727398157496E-3</v>
      </c>
      <c r="AF516" s="2">
        <f t="shared" si="192"/>
        <v>3.8680012918847859E-2</v>
      </c>
      <c r="AG516" s="2" t="s">
        <v>1176</v>
      </c>
    </row>
    <row r="517" spans="1:33" x14ac:dyDescent="0.3">
      <c r="A517">
        <v>603677</v>
      </c>
      <c r="B517" t="s">
        <v>1048</v>
      </c>
      <c r="C517" t="s">
        <v>1034</v>
      </c>
      <c r="D517" t="s">
        <v>1049</v>
      </c>
      <c r="E517" s="13">
        <v>5.8</v>
      </c>
      <c r="F517" s="14">
        <f t="shared" si="173"/>
        <v>0.57777777777777772</v>
      </c>
      <c r="G517" s="2">
        <v>43.718983199999997</v>
      </c>
      <c r="H517" s="2">
        <f t="shared" si="174"/>
        <v>0.11999155306156938</v>
      </c>
      <c r="I517" s="2">
        <v>10.3</v>
      </c>
      <c r="J517" s="4">
        <f t="shared" si="175"/>
        <v>8.1422924901185773E-2</v>
      </c>
      <c r="K517" s="2">
        <v>0</v>
      </c>
      <c r="L517" s="4">
        <f t="shared" si="176"/>
        <v>0</v>
      </c>
      <c r="M517" s="2">
        <v>22206</v>
      </c>
      <c r="N517" s="2">
        <f t="shared" si="177"/>
        <v>0.10393512275671507</v>
      </c>
      <c r="O517" s="2">
        <v>0.41293518299999998</v>
      </c>
      <c r="P517" s="2">
        <f t="shared" si="178"/>
        <v>0.39956813470947561</v>
      </c>
      <c r="Q517" s="2">
        <v>0.19520000000000001</v>
      </c>
      <c r="R517" s="2">
        <f t="shared" si="179"/>
        <v>0.40590619571511299</v>
      </c>
      <c r="S517" s="2">
        <f t="shared" si="180"/>
        <v>1.6403679390570011E-2</v>
      </c>
      <c r="T517" s="5">
        <f t="shared" si="181"/>
        <v>4.2843379699833366E-2</v>
      </c>
      <c r="U517" s="2" t="str">
        <f t="shared" si="182"/>
        <v>No Impact</v>
      </c>
      <c r="V517" s="2">
        <f t="shared" si="183"/>
        <v>1.6532755534609939E-2</v>
      </c>
      <c r="W517" s="2">
        <f t="shared" si="184"/>
        <v>4.0102419695430928E-2</v>
      </c>
      <c r="X517" s="2" t="s">
        <v>1176</v>
      </c>
      <c r="Y517" s="2">
        <f t="shared" si="185"/>
        <v>1.6274603246530083E-2</v>
      </c>
      <c r="Z517" s="2">
        <f t="shared" si="186"/>
        <v>4.1599184581533818E-2</v>
      </c>
      <c r="AA517" s="2" t="str">
        <f t="shared" si="187"/>
        <v>No Impact</v>
      </c>
      <c r="AB517" s="2">
        <f t="shared" si="188"/>
        <v>1.2150510135453459E-2</v>
      </c>
      <c r="AC517" s="2">
        <f t="shared" si="189"/>
        <v>4.4146431246486137E-2</v>
      </c>
      <c r="AD517" s="2" t="str">
        <f t="shared" si="190"/>
        <v>No Impact</v>
      </c>
      <c r="AE517" s="2">
        <f t="shared" si="191"/>
        <v>4.233327783945591E-3</v>
      </c>
      <c r="AF517" s="2">
        <f t="shared" si="192"/>
        <v>3.2249980799848685E-2</v>
      </c>
      <c r="AG517" s="2" t="s">
        <v>1176</v>
      </c>
    </row>
    <row r="518" spans="1:33" x14ac:dyDescent="0.3">
      <c r="A518">
        <v>605814</v>
      </c>
      <c r="B518" t="s">
        <v>1050</v>
      </c>
      <c r="C518" t="s">
        <v>1051</v>
      </c>
      <c r="D518" t="s">
        <v>1052</v>
      </c>
      <c r="E518" s="13">
        <v>5.4</v>
      </c>
      <c r="F518" s="14">
        <f t="shared" si="173"/>
        <v>0.48888888888888893</v>
      </c>
      <c r="G518" s="2">
        <v>46.879531200000002</v>
      </c>
      <c r="H518" s="2">
        <f t="shared" si="174"/>
        <v>0.15413856615268609</v>
      </c>
      <c r="I518" s="2">
        <v>17</v>
      </c>
      <c r="J518" s="4">
        <f t="shared" si="175"/>
        <v>0.13438735177865613</v>
      </c>
      <c r="K518" s="2">
        <v>0</v>
      </c>
      <c r="L518" s="4">
        <f t="shared" si="176"/>
        <v>0</v>
      </c>
      <c r="M518" s="2">
        <v>18472</v>
      </c>
      <c r="N518" s="2">
        <f t="shared" si="177"/>
        <v>8.6267997142221775E-2</v>
      </c>
      <c r="O518" s="2">
        <v>9.4888317E-2</v>
      </c>
      <c r="P518" s="2">
        <f t="shared" si="178"/>
        <v>3.2163532661629864E-2</v>
      </c>
      <c r="Q518" s="2">
        <v>0.29049999999999998</v>
      </c>
      <c r="R518" s="2">
        <f t="shared" si="179"/>
        <v>0.68181818181818177</v>
      </c>
      <c r="S518" s="2">
        <f t="shared" si="180"/>
        <v>1.7624635195387831E-2</v>
      </c>
      <c r="T518" s="5">
        <f t="shared" si="181"/>
        <v>4.6032290668953924E-2</v>
      </c>
      <c r="U518" s="2" t="str">
        <f t="shared" si="182"/>
        <v>No Impact</v>
      </c>
      <c r="V518" s="2">
        <f t="shared" si="183"/>
        <v>3.3661357091989919E-2</v>
      </c>
      <c r="W518" s="2">
        <f t="shared" si="184"/>
        <v>8.165014396994158E-2</v>
      </c>
      <c r="X518" s="2" t="s">
        <v>1176</v>
      </c>
      <c r="Y518" s="2">
        <f t="shared" si="185"/>
        <v>1.587913298785739E-3</v>
      </c>
      <c r="Z518" s="2">
        <f t="shared" si="186"/>
        <v>4.0588331042567217E-3</v>
      </c>
      <c r="AA518" s="2" t="str">
        <f t="shared" si="187"/>
        <v>No Impact</v>
      </c>
      <c r="AB518" s="2">
        <f t="shared" si="188"/>
        <v>1.3748516538638608E-2</v>
      </c>
      <c r="AC518" s="2">
        <f t="shared" si="189"/>
        <v>4.9952465645306462E-2</v>
      </c>
      <c r="AD518" s="2" t="str">
        <f t="shared" si="190"/>
        <v>No Impact</v>
      </c>
      <c r="AE518" s="2">
        <f t="shared" si="191"/>
        <v>4.2590501908754711E-3</v>
      </c>
      <c r="AF518" s="2">
        <f t="shared" si="192"/>
        <v>3.2445937071593219E-2</v>
      </c>
      <c r="AG518" s="2" t="s">
        <v>1176</v>
      </c>
    </row>
    <row r="519" spans="1:33" x14ac:dyDescent="0.3">
      <c r="A519">
        <v>605835</v>
      </c>
      <c r="B519" t="s">
        <v>1053</v>
      </c>
      <c r="C519" t="s">
        <v>1051</v>
      </c>
      <c r="D519" t="s">
        <v>1054</v>
      </c>
      <c r="E519" s="13">
        <v>5.4</v>
      </c>
      <c r="F519" s="14">
        <f t="shared" si="173"/>
        <v>0.48888888888888893</v>
      </c>
      <c r="G519" s="2">
        <v>46.879531200000002</v>
      </c>
      <c r="H519" s="2">
        <f t="shared" si="174"/>
        <v>0.15413856615268609</v>
      </c>
      <c r="I519" s="2">
        <v>17</v>
      </c>
      <c r="J519" s="4">
        <f t="shared" si="175"/>
        <v>0.13438735177865613</v>
      </c>
      <c r="K519" s="2">
        <v>0</v>
      </c>
      <c r="L519" s="4">
        <f t="shared" si="176"/>
        <v>0</v>
      </c>
      <c r="M519" s="2">
        <v>9958</v>
      </c>
      <c r="N519" s="2">
        <f t="shared" si="177"/>
        <v>4.5984679659148438E-2</v>
      </c>
      <c r="O519" s="2">
        <v>0.56265147900000001</v>
      </c>
      <c r="P519" s="2">
        <f t="shared" si="178"/>
        <v>0.57251892288657869</v>
      </c>
      <c r="Q519" s="2">
        <v>0.31280000000000002</v>
      </c>
      <c r="R519" s="2">
        <f t="shared" si="179"/>
        <v>0.74638100752750447</v>
      </c>
      <c r="S519" s="2">
        <f t="shared" si="180"/>
        <v>3.2557038452597352E-2</v>
      </c>
      <c r="T519" s="5">
        <f t="shared" si="181"/>
        <v>8.5032968952597529E-2</v>
      </c>
      <c r="U519" s="2" t="str">
        <f t="shared" si="182"/>
        <v>No Impact</v>
      </c>
      <c r="V519" s="2">
        <f t="shared" si="183"/>
        <v>3.6848823177558401E-2</v>
      </c>
      <c r="W519" s="2">
        <f t="shared" si="184"/>
        <v>8.9381771190874509E-2</v>
      </c>
      <c r="X519" s="2" t="s">
        <v>1176</v>
      </c>
      <c r="Y519" s="2">
        <f t="shared" si="185"/>
        <v>2.8265253727636303E-2</v>
      </c>
      <c r="Z519" s="2">
        <f t="shared" si="186"/>
        <v>7.2248244043093629E-2</v>
      </c>
      <c r="AA519" s="2" t="str">
        <f t="shared" si="187"/>
        <v>No Impact</v>
      </c>
      <c r="AB519" s="2">
        <f t="shared" si="188"/>
        <v>2.2171256348123579E-2</v>
      </c>
      <c r="AC519" s="2">
        <f t="shared" si="189"/>
        <v>8.0554794252194459E-2</v>
      </c>
      <c r="AD519" s="2" t="str">
        <f t="shared" si="190"/>
        <v>No Impact</v>
      </c>
      <c r="AE519" s="2">
        <f t="shared" si="191"/>
        <v>2.2702631933921298E-3</v>
      </c>
      <c r="AF519" s="2">
        <f t="shared" si="192"/>
        <v>1.7295127647606785E-2</v>
      </c>
      <c r="AG519" s="2" t="s">
        <v>1176</v>
      </c>
    </row>
    <row r="520" spans="1:33" x14ac:dyDescent="0.3">
      <c r="A520">
        <v>605856</v>
      </c>
      <c r="B520" t="s">
        <v>1055</v>
      </c>
      <c r="C520" t="s">
        <v>1051</v>
      </c>
      <c r="D520" t="s">
        <v>1056</v>
      </c>
      <c r="E520" s="13">
        <v>5.4</v>
      </c>
      <c r="F520" s="14">
        <f t="shared" si="173"/>
        <v>0.48888888888888893</v>
      </c>
      <c r="G520" s="2">
        <v>44.000233199999997</v>
      </c>
      <c r="H520" s="2">
        <f t="shared" si="174"/>
        <v>0.12303021832843973</v>
      </c>
      <c r="I520" s="2">
        <v>5.5</v>
      </c>
      <c r="J520" s="4">
        <f t="shared" si="175"/>
        <v>4.3478260869565216E-2</v>
      </c>
      <c r="K520" s="2">
        <v>0</v>
      </c>
      <c r="L520" s="4">
        <f t="shared" si="176"/>
        <v>0</v>
      </c>
      <c r="M520" s="2">
        <v>24711</v>
      </c>
      <c r="N520" s="2">
        <f t="shared" si="177"/>
        <v>0.11578733209370105</v>
      </c>
      <c r="O520" s="2">
        <v>0.87064115099999995</v>
      </c>
      <c r="P520" s="2">
        <f t="shared" si="178"/>
        <v>0.9283055536405711</v>
      </c>
      <c r="Q520" s="2">
        <v>0.31790000000000002</v>
      </c>
      <c r="R520" s="2">
        <f t="shared" si="179"/>
        <v>0.76114649681528668</v>
      </c>
      <c r="S520" s="2">
        <f t="shared" si="180"/>
        <v>2.4067470059056018E-2</v>
      </c>
      <c r="T520" s="5">
        <f t="shared" si="181"/>
        <v>6.2859784905773944E-2</v>
      </c>
      <c r="U520" s="2" t="str">
        <f t="shared" si="182"/>
        <v>No Impact</v>
      </c>
      <c r="V520" s="2">
        <f t="shared" si="183"/>
        <v>2.1686168030296431E-2</v>
      </c>
      <c r="W520" s="2">
        <f t="shared" si="184"/>
        <v>5.2602714055500752E-2</v>
      </c>
      <c r="X520" s="2" t="s">
        <v>1176</v>
      </c>
      <c r="Y520" s="2">
        <f t="shared" si="185"/>
        <v>2.6448772087815601E-2</v>
      </c>
      <c r="Z520" s="2">
        <f t="shared" si="186"/>
        <v>6.760517201981836E-2</v>
      </c>
      <c r="AA520" s="2" t="str">
        <f t="shared" si="187"/>
        <v>No Impact</v>
      </c>
      <c r="AB520" s="2">
        <f t="shared" si="188"/>
        <v>1.6679422616856603E-2</v>
      </c>
      <c r="AC520" s="2">
        <f t="shared" si="189"/>
        <v>6.0601322543455967E-2</v>
      </c>
      <c r="AD520" s="2" t="str">
        <f t="shared" si="190"/>
        <v>No Impact</v>
      </c>
      <c r="AE520" s="2">
        <f t="shared" si="191"/>
        <v>3.2989490854519366E-3</v>
      </c>
      <c r="AF520" s="2">
        <f t="shared" si="192"/>
        <v>2.5131775779087824E-2</v>
      </c>
      <c r="AG520" s="2" t="s">
        <v>1176</v>
      </c>
    </row>
    <row r="521" spans="1:33" x14ac:dyDescent="0.3">
      <c r="A521">
        <v>605865</v>
      </c>
      <c r="B521" t="s">
        <v>1057</v>
      </c>
      <c r="C521" t="s">
        <v>1051</v>
      </c>
      <c r="D521" t="s">
        <v>1058</v>
      </c>
      <c r="E521" s="13">
        <v>5.3</v>
      </c>
      <c r="F521" s="14">
        <f t="shared" si="173"/>
        <v>0.46666666666666656</v>
      </c>
      <c r="G521" s="2">
        <v>44.000233199999997</v>
      </c>
      <c r="H521" s="2">
        <f t="shared" si="174"/>
        <v>0.12303021832843973</v>
      </c>
      <c r="I521" s="2">
        <v>13</v>
      </c>
      <c r="J521" s="4">
        <f t="shared" si="175"/>
        <v>0.10276679841897234</v>
      </c>
      <c r="K521" s="2">
        <v>0</v>
      </c>
      <c r="L521" s="4">
        <f t="shared" si="176"/>
        <v>0</v>
      </c>
      <c r="M521" s="2">
        <v>33224</v>
      </c>
      <c r="N521" s="2">
        <f t="shared" si="177"/>
        <v>0.15606591815588139</v>
      </c>
      <c r="O521" s="2">
        <v>0.244596706</v>
      </c>
      <c r="P521" s="2">
        <f t="shared" si="178"/>
        <v>0.20510518675033604</v>
      </c>
      <c r="Q521" s="2">
        <v>0.29349999999999998</v>
      </c>
      <c r="R521" s="2">
        <f t="shared" si="179"/>
        <v>0.69050376375217137</v>
      </c>
      <c r="S521" s="2">
        <f t="shared" si="180"/>
        <v>1.6515109384319319E-2</v>
      </c>
      <c r="T521" s="5">
        <f t="shared" si="181"/>
        <v>4.3134414254854973E-2</v>
      </c>
      <c r="U521" s="2" t="str">
        <f t="shared" si="182"/>
        <v>No Impact</v>
      </c>
      <c r="V521" s="2">
        <f t="shared" si="183"/>
        <v>2.5465902684989678E-2</v>
      </c>
      <c r="W521" s="2">
        <f t="shared" si="184"/>
        <v>6.1770968261072264E-2</v>
      </c>
      <c r="X521" s="2" t="s">
        <v>1176</v>
      </c>
      <c r="Y521" s="2">
        <f t="shared" si="185"/>
        <v>7.5643160836489599E-3</v>
      </c>
      <c r="Z521" s="2">
        <f t="shared" si="186"/>
        <v>1.9334995528316114E-2</v>
      </c>
      <c r="AA521" s="2" t="str">
        <f t="shared" si="187"/>
        <v>No Impact</v>
      </c>
      <c r="AB521" s="2">
        <f t="shared" si="188"/>
        <v>1.3196869435889661E-2</v>
      </c>
      <c r="AC521" s="2">
        <f t="shared" si="189"/>
        <v>4.7948167009089507E-2</v>
      </c>
      <c r="AD521" s="2" t="str">
        <f t="shared" si="190"/>
        <v>No Impact</v>
      </c>
      <c r="AE521" s="2">
        <f t="shared" si="191"/>
        <v>5.7557390601388177E-3</v>
      </c>
      <c r="AF521" s="2">
        <f t="shared" si="192"/>
        <v>4.3847886025355248E-2</v>
      </c>
      <c r="AG521" s="2" t="s">
        <v>1176</v>
      </c>
    </row>
    <row r="522" spans="1:33" x14ac:dyDescent="0.3">
      <c r="A522">
        <v>605874</v>
      </c>
      <c r="B522" t="s">
        <v>1059</v>
      </c>
      <c r="C522" t="s">
        <v>1051</v>
      </c>
      <c r="D522" t="s">
        <v>1060</v>
      </c>
      <c r="E522" s="13">
        <v>5.3</v>
      </c>
      <c r="F522" s="14">
        <f t="shared" si="173"/>
        <v>0.46666666666666656</v>
      </c>
      <c r="G522" s="2">
        <v>43.718983199999997</v>
      </c>
      <c r="H522" s="2">
        <f t="shared" si="174"/>
        <v>0.11999155306156938</v>
      </c>
      <c r="I522" s="2">
        <v>10.6</v>
      </c>
      <c r="J522" s="4">
        <f t="shared" si="175"/>
        <v>8.3794466403162057E-2</v>
      </c>
      <c r="K522" s="2">
        <v>0</v>
      </c>
      <c r="L522" s="4">
        <f t="shared" si="176"/>
        <v>0</v>
      </c>
      <c r="M522" s="2">
        <v>39868</v>
      </c>
      <c r="N522" s="2">
        <f t="shared" si="177"/>
        <v>0.18750147856902907</v>
      </c>
      <c r="O522" s="2">
        <v>0.48573176099999998</v>
      </c>
      <c r="P522" s="2">
        <f t="shared" si="178"/>
        <v>0.4836620234715644</v>
      </c>
      <c r="Q522" s="2">
        <v>0.2225</v>
      </c>
      <c r="R522" s="2">
        <f t="shared" si="179"/>
        <v>0.48494499131441809</v>
      </c>
      <c r="S522" s="2">
        <f t="shared" si="180"/>
        <v>1.6120066384122878E-2</v>
      </c>
      <c r="T522" s="5">
        <f t="shared" si="181"/>
        <v>4.210263492948562E-2</v>
      </c>
      <c r="U522" s="2" t="str">
        <f t="shared" si="182"/>
        <v>No Impact</v>
      </c>
      <c r="V522" s="2">
        <f t="shared" si="183"/>
        <v>1.6141418208422919E-2</v>
      </c>
      <c r="W522" s="2">
        <f t="shared" si="184"/>
        <v>3.9153178435292139E-2</v>
      </c>
      <c r="X522" s="2" t="s">
        <v>1176</v>
      </c>
      <c r="Y522" s="2">
        <f t="shared" si="185"/>
        <v>1.6098714559822837E-2</v>
      </c>
      <c r="Z522" s="2">
        <f t="shared" si="186"/>
        <v>4.1149599062716431E-2</v>
      </c>
      <c r="AA522" s="2" t="str">
        <f t="shared" si="187"/>
        <v>No Impact</v>
      </c>
      <c r="AB522" s="2">
        <f t="shared" si="188"/>
        <v>1.2663459362017805E-2</v>
      </c>
      <c r="AC522" s="2">
        <f t="shared" si="189"/>
        <v>4.6010128944032724E-2</v>
      </c>
      <c r="AD522" s="2" t="str">
        <f t="shared" si="190"/>
        <v>No Impact</v>
      </c>
      <c r="AE522" s="2">
        <f t="shared" si="191"/>
        <v>6.2409960603512322E-3</v>
      </c>
      <c r="AF522" s="2">
        <f t="shared" si="192"/>
        <v>4.754462999098711E-2</v>
      </c>
      <c r="AG522" s="2" t="s">
        <v>1176</v>
      </c>
    </row>
    <row r="523" spans="1:33" x14ac:dyDescent="0.3">
      <c r="A523">
        <v>605880</v>
      </c>
      <c r="B523" t="s">
        <v>1061</v>
      </c>
      <c r="C523" t="s">
        <v>1051</v>
      </c>
      <c r="D523" t="s">
        <v>1062</v>
      </c>
      <c r="E523" s="13">
        <v>5.2</v>
      </c>
      <c r="F523" s="14">
        <f t="shared" si="173"/>
        <v>0.44444444444444442</v>
      </c>
      <c r="G523" s="2">
        <v>44.000233199999997</v>
      </c>
      <c r="H523" s="2">
        <f t="shared" si="174"/>
        <v>0.12303021832843973</v>
      </c>
      <c r="I523" s="2">
        <v>13.1</v>
      </c>
      <c r="J523" s="4">
        <f t="shared" si="175"/>
        <v>0.10355731225296443</v>
      </c>
      <c r="K523" s="2">
        <v>0</v>
      </c>
      <c r="L523" s="4">
        <f t="shared" si="176"/>
        <v>0</v>
      </c>
      <c r="M523" s="2">
        <v>16043</v>
      </c>
      <c r="N523" s="2">
        <f t="shared" si="177"/>
        <v>7.4775375793104421E-2</v>
      </c>
      <c r="O523" s="2">
        <v>0.23939532899999999</v>
      </c>
      <c r="P523" s="2">
        <f t="shared" si="178"/>
        <v>0.19909660735189663</v>
      </c>
      <c r="Q523" s="2">
        <v>0.25800000000000001</v>
      </c>
      <c r="R523" s="2">
        <f t="shared" si="179"/>
        <v>0.58772437753329476</v>
      </c>
      <c r="S523" s="2">
        <f t="shared" si="180"/>
        <v>1.3866519642481628E-2</v>
      </c>
      <c r="T523" s="5">
        <f t="shared" si="181"/>
        <v>3.621678722272284E-2</v>
      </c>
      <c r="U523" s="2" t="str">
        <f t="shared" si="182"/>
        <v>No Impact</v>
      </c>
      <c r="V523" s="2">
        <f t="shared" si="183"/>
        <v>2.0715491279429663E-2</v>
      </c>
      <c r="W523" s="2">
        <f t="shared" si="184"/>
        <v>5.0248207187582272E-2</v>
      </c>
      <c r="X523" s="2" t="s">
        <v>1176</v>
      </c>
      <c r="Y523" s="2">
        <f t="shared" si="185"/>
        <v>7.0175480055335955E-3</v>
      </c>
      <c r="Z523" s="2">
        <f t="shared" si="186"/>
        <v>1.7937412689566355E-2</v>
      </c>
      <c r="AA523" s="2" t="str">
        <f t="shared" si="187"/>
        <v>No Impact</v>
      </c>
      <c r="AB523" s="2">
        <f t="shared" si="188"/>
        <v>1.0278147704697734E-2</v>
      </c>
      <c r="AC523" s="2">
        <f t="shared" si="189"/>
        <v>3.7343579481713178E-2</v>
      </c>
      <c r="AD523" s="2" t="str">
        <f t="shared" si="190"/>
        <v>No Impact</v>
      </c>
      <c r="AE523" s="2">
        <f t="shared" si="191"/>
        <v>2.6356038721064945E-3</v>
      </c>
      <c r="AF523" s="2">
        <f t="shared" si="192"/>
        <v>2.0078335203285488E-2</v>
      </c>
      <c r="AG523" s="2" t="s">
        <v>1176</v>
      </c>
    </row>
    <row r="524" spans="1:33" x14ac:dyDescent="0.3">
      <c r="A524">
        <v>605883</v>
      </c>
      <c r="B524" t="s">
        <v>1063</v>
      </c>
      <c r="C524" t="s">
        <v>1051</v>
      </c>
      <c r="D524" t="s">
        <v>1064</v>
      </c>
      <c r="E524" s="13">
        <v>5.4</v>
      </c>
      <c r="F524" s="14">
        <f t="shared" si="173"/>
        <v>0.48888888888888893</v>
      </c>
      <c r="G524" s="2">
        <v>43.718983199999997</v>
      </c>
      <c r="H524" s="2">
        <f t="shared" si="174"/>
        <v>0.11999155306156938</v>
      </c>
      <c r="I524" s="2">
        <v>5.8</v>
      </c>
      <c r="J524" s="4">
        <f t="shared" si="175"/>
        <v>4.5849802371541501E-2</v>
      </c>
      <c r="K524" s="2">
        <v>0</v>
      </c>
      <c r="L524" s="4">
        <f t="shared" si="176"/>
        <v>0</v>
      </c>
      <c r="M524" s="2">
        <v>37332</v>
      </c>
      <c r="N524" s="2">
        <f t="shared" si="177"/>
        <v>0.17550259518435982</v>
      </c>
      <c r="O524" s="2">
        <v>0.23516765100000001</v>
      </c>
      <c r="P524" s="2">
        <f t="shared" si="178"/>
        <v>0.19421283543264614</v>
      </c>
      <c r="Q524" s="2">
        <v>0.29859999999999998</v>
      </c>
      <c r="R524" s="2">
        <f t="shared" si="179"/>
        <v>0.70526925303995369</v>
      </c>
      <c r="S524" s="2">
        <f t="shared" si="180"/>
        <v>1.2762435903319779E-2</v>
      </c>
      <c r="T524" s="5">
        <f t="shared" si="181"/>
        <v>3.3333124494925578E-2</v>
      </c>
      <c r="U524" s="2" t="str">
        <f t="shared" si="182"/>
        <v>No Impact</v>
      </c>
      <c r="V524" s="2">
        <f t="shared" si="183"/>
        <v>2.0013636184327013E-2</v>
      </c>
      <c r="W524" s="2">
        <f t="shared" si="184"/>
        <v>4.8545763361429906E-2</v>
      </c>
      <c r="X524" s="2" t="s">
        <v>1176</v>
      </c>
      <c r="Y524" s="2">
        <f t="shared" si="185"/>
        <v>5.5112356223125467E-3</v>
      </c>
      <c r="Z524" s="2">
        <f t="shared" si="186"/>
        <v>1.4087158037095945E-2</v>
      </c>
      <c r="AA524" s="2" t="str">
        <f t="shared" si="187"/>
        <v>No Impact</v>
      </c>
      <c r="AB524" s="2">
        <f t="shared" si="188"/>
        <v>1.0401244693000453E-2</v>
      </c>
      <c r="AC524" s="2">
        <f t="shared" si="189"/>
        <v>3.7790827594769684E-2</v>
      </c>
      <c r="AD524" s="2" t="str">
        <f t="shared" si="190"/>
        <v>No Impact</v>
      </c>
      <c r="AE524" s="2">
        <f t="shared" si="191"/>
        <v>4.9802895479778104E-3</v>
      </c>
      <c r="AF524" s="2">
        <f t="shared" si="192"/>
        <v>3.79404219321458E-2</v>
      </c>
      <c r="AG524" s="2" t="s">
        <v>1176</v>
      </c>
    </row>
    <row r="525" spans="1:33" x14ac:dyDescent="0.3">
      <c r="A525">
        <v>609018</v>
      </c>
      <c r="B525" t="s">
        <v>1065</v>
      </c>
      <c r="C525" t="s">
        <v>1066</v>
      </c>
      <c r="D525" t="s">
        <v>1067</v>
      </c>
      <c r="E525" s="13">
        <v>6.2</v>
      </c>
      <c r="F525" s="14">
        <f t="shared" si="173"/>
        <v>0.66666666666666663</v>
      </c>
      <c r="G525" s="2">
        <v>53.000233199999997</v>
      </c>
      <c r="H525" s="2">
        <f t="shared" si="174"/>
        <v>0.22026750686829102</v>
      </c>
      <c r="I525" s="2">
        <v>26.1</v>
      </c>
      <c r="J525" s="4">
        <f t="shared" si="175"/>
        <v>0.20632411067193676</v>
      </c>
      <c r="K525" s="2">
        <v>0</v>
      </c>
      <c r="L525" s="4">
        <f t="shared" si="176"/>
        <v>0</v>
      </c>
      <c r="M525" s="2">
        <v>14050</v>
      </c>
      <c r="N525" s="2">
        <f t="shared" si="177"/>
        <v>6.5345653953338731E-2</v>
      </c>
      <c r="O525" s="2">
        <v>0.23123280099999999</v>
      </c>
      <c r="P525" s="2">
        <f t="shared" si="178"/>
        <v>0.18966733553022616</v>
      </c>
      <c r="Q525" s="2">
        <v>0.23330000000000001</v>
      </c>
      <c r="R525" s="2">
        <f t="shared" si="179"/>
        <v>0.51621308627678064</v>
      </c>
      <c r="S525" s="2">
        <f t="shared" si="180"/>
        <v>3.5130978275006754E-2</v>
      </c>
      <c r="T525" s="5">
        <f t="shared" si="181"/>
        <v>9.1755624188068804E-2</v>
      </c>
      <c r="U525" s="2" t="str">
        <f t="shared" si="182"/>
        <v>No Impact</v>
      </c>
      <c r="V525" s="2">
        <f t="shared" si="183"/>
        <v>5.1382840943057173E-2</v>
      </c>
      <c r="W525" s="2">
        <f t="shared" si="184"/>
        <v>0.12463598390047</v>
      </c>
      <c r="X525" s="2" t="s">
        <v>1176</v>
      </c>
      <c r="Y525" s="2">
        <f t="shared" si="185"/>
        <v>1.8879115606956338E-2</v>
      </c>
      <c r="Z525" s="2">
        <f t="shared" si="186"/>
        <v>4.8256526010078842E-2</v>
      </c>
      <c r="AA525" s="2" t="str">
        <f t="shared" si="187"/>
        <v>No Impact</v>
      </c>
      <c r="AB525" s="2">
        <f t="shared" si="188"/>
        <v>2.5924261516723172E-2</v>
      </c>
      <c r="AC525" s="2">
        <f t="shared" si="189"/>
        <v>9.4190582609742779E-2</v>
      </c>
      <c r="AD525" s="2" t="str">
        <f t="shared" si="190"/>
        <v>No Impact</v>
      </c>
      <c r="AE525" s="2">
        <f t="shared" si="191"/>
        <v>6.5043785844750412E-3</v>
      </c>
      <c r="AF525" s="2">
        <f t="shared" si="192"/>
        <v>4.9551108529743627E-2</v>
      </c>
      <c r="AG525" s="2" t="s">
        <v>1176</v>
      </c>
    </row>
    <row r="526" spans="1:33" x14ac:dyDescent="0.3">
      <c r="A526">
        <v>609023</v>
      </c>
      <c r="B526" t="s">
        <v>1068</v>
      </c>
      <c r="C526" t="s">
        <v>1066</v>
      </c>
      <c r="D526" t="s">
        <v>1069</v>
      </c>
      <c r="E526" s="13">
        <v>6.5</v>
      </c>
      <c r="F526" s="14">
        <f t="shared" si="173"/>
        <v>0.73333333333333328</v>
      </c>
      <c r="G526" s="2">
        <v>51.537733199999998</v>
      </c>
      <c r="H526" s="2">
        <f t="shared" si="174"/>
        <v>0.20446644748056519</v>
      </c>
      <c r="I526" s="2">
        <v>23.7</v>
      </c>
      <c r="J526" s="4">
        <f t="shared" si="175"/>
        <v>0.18735177865612648</v>
      </c>
      <c r="K526" s="2">
        <v>0</v>
      </c>
      <c r="L526" s="4">
        <f t="shared" si="176"/>
        <v>0</v>
      </c>
      <c r="M526" s="2">
        <v>23393</v>
      </c>
      <c r="N526" s="2">
        <f t="shared" si="177"/>
        <v>0.10955131935671601</v>
      </c>
      <c r="O526" s="2">
        <v>0.50806203900000002</v>
      </c>
      <c r="P526" s="2">
        <f t="shared" si="178"/>
        <v>0.50945774032735558</v>
      </c>
      <c r="Q526" s="2">
        <v>0.214</v>
      </c>
      <c r="R526" s="2">
        <f t="shared" si="179"/>
        <v>0.4603358425014476</v>
      </c>
      <c r="S526" s="2">
        <f t="shared" si="180"/>
        <v>4.876445950565015E-2</v>
      </c>
      <c r="T526" s="5">
        <f t="shared" si="181"/>
        <v>0.12736375813701631</v>
      </c>
      <c r="U526" s="2" t="str">
        <f t="shared" si="182"/>
        <v>No Impact</v>
      </c>
      <c r="V526" s="2">
        <f t="shared" si="183"/>
        <v>4.6294446463921217E-2</v>
      </c>
      <c r="W526" s="2">
        <f t="shared" si="184"/>
        <v>0.11229339947459811</v>
      </c>
      <c r="X526" s="2" t="s">
        <v>1176</v>
      </c>
      <c r="Y526" s="2">
        <f t="shared" si="185"/>
        <v>5.1234472547379083E-2</v>
      </c>
      <c r="Z526" s="2">
        <f t="shared" si="186"/>
        <v>0.1309594002477675</v>
      </c>
      <c r="AA526" s="2" t="str">
        <f t="shared" si="187"/>
        <v>No Impact</v>
      </c>
      <c r="AB526" s="2">
        <f t="shared" si="188"/>
        <v>3.5429422318564711E-2</v>
      </c>
      <c r="AC526" s="2">
        <f t="shared" si="189"/>
        <v>0.12872566987335521</v>
      </c>
      <c r="AD526" s="2" t="str">
        <f t="shared" si="190"/>
        <v>No Impact</v>
      </c>
      <c r="AE526" s="2">
        <f t="shared" si="191"/>
        <v>1.1017212262795889E-2</v>
      </c>
      <c r="AF526" s="2">
        <f t="shared" si="192"/>
        <v>8.3930397568191595E-2</v>
      </c>
      <c r="AG526" s="2" t="s">
        <v>1175</v>
      </c>
    </row>
    <row r="527" spans="1:33" x14ac:dyDescent="0.3">
      <c r="A527">
        <v>609027</v>
      </c>
      <c r="B527" t="s">
        <v>1070</v>
      </c>
      <c r="C527" t="s">
        <v>1066</v>
      </c>
      <c r="D527" t="s">
        <v>1071</v>
      </c>
      <c r="E527" s="13">
        <v>6.3</v>
      </c>
      <c r="F527" s="14">
        <f t="shared" si="173"/>
        <v>0.68888888888888877</v>
      </c>
      <c r="G527" s="2">
        <v>53.000233199999997</v>
      </c>
      <c r="H527" s="2">
        <f t="shared" si="174"/>
        <v>0.22026750686829102</v>
      </c>
      <c r="I527" s="2">
        <v>10.4</v>
      </c>
      <c r="J527" s="4">
        <f t="shared" si="175"/>
        <v>8.2213438735177863E-2</v>
      </c>
      <c r="K527" s="2">
        <v>0</v>
      </c>
      <c r="L527" s="4">
        <f t="shared" si="176"/>
        <v>0</v>
      </c>
      <c r="M527" s="2">
        <v>9097</v>
      </c>
      <c r="N527" s="2">
        <f t="shared" si="177"/>
        <v>4.1910926270268226E-2</v>
      </c>
      <c r="O527" s="2">
        <v>0.21953971899999999</v>
      </c>
      <c r="P527" s="2">
        <f t="shared" si="178"/>
        <v>0.1761596025569265</v>
      </c>
      <c r="Q527" s="2">
        <v>0.16289999999999999</v>
      </c>
      <c r="R527" s="2">
        <f t="shared" si="179"/>
        <v>0.31239143022582511</v>
      </c>
      <c r="S527" s="2">
        <f t="shared" si="180"/>
        <v>1.7815383948141181E-2</v>
      </c>
      <c r="T527" s="5">
        <f t="shared" si="181"/>
        <v>4.653049116695801E-2</v>
      </c>
      <c r="U527" s="2" t="str">
        <f t="shared" si="182"/>
        <v>No Impact</v>
      </c>
      <c r="V527" s="2">
        <f t="shared" si="183"/>
        <v>2.2783180868054104E-2</v>
      </c>
      <c r="W527" s="2">
        <f t="shared" si="184"/>
        <v>5.5263666075201189E-2</v>
      </c>
      <c r="X527" s="2" t="s">
        <v>1176</v>
      </c>
      <c r="Y527" s="2">
        <f t="shared" si="185"/>
        <v>1.2847587028228255E-2</v>
      </c>
      <c r="Z527" s="2">
        <f t="shared" si="186"/>
        <v>3.2839457657963915E-2</v>
      </c>
      <c r="AA527" s="2" t="str">
        <f t="shared" si="187"/>
        <v>No Impact</v>
      </c>
      <c r="AB527" s="2">
        <f t="shared" si="188"/>
        <v>1.2898209011709611E-2</v>
      </c>
      <c r="AC527" s="2">
        <f t="shared" si="189"/>
        <v>4.6863044513397775E-2</v>
      </c>
      <c r="AD527" s="2" t="str">
        <f t="shared" si="190"/>
        <v>No Impact</v>
      </c>
      <c r="AE527" s="2">
        <f t="shared" si="191"/>
        <v>3.0566274269205719E-3</v>
      </c>
      <c r="AF527" s="2">
        <f t="shared" si="192"/>
        <v>2.3285741350886683E-2</v>
      </c>
      <c r="AG527" s="2" t="s">
        <v>1176</v>
      </c>
    </row>
    <row r="528" spans="1:33" x14ac:dyDescent="0.3">
      <c r="A528">
        <v>609029</v>
      </c>
      <c r="B528" t="s">
        <v>1072</v>
      </c>
      <c r="C528" t="s">
        <v>1066</v>
      </c>
      <c r="D528" t="s">
        <v>1073</v>
      </c>
      <c r="E528" s="13">
        <v>6.5</v>
      </c>
      <c r="F528" s="14">
        <f t="shared" si="173"/>
        <v>0.73333333333333328</v>
      </c>
      <c r="G528" s="2">
        <v>53.000233199999997</v>
      </c>
      <c r="H528" s="2">
        <f t="shared" si="174"/>
        <v>0.22026750686829102</v>
      </c>
      <c r="I528" s="2">
        <v>9.6</v>
      </c>
      <c r="J528" s="4">
        <f t="shared" si="175"/>
        <v>7.5889328063241099E-2</v>
      </c>
      <c r="K528" s="2">
        <v>0</v>
      </c>
      <c r="L528" s="4">
        <f t="shared" si="176"/>
        <v>0</v>
      </c>
      <c r="M528" s="2">
        <v>10856</v>
      </c>
      <c r="N528" s="2">
        <f t="shared" si="177"/>
        <v>5.0233495621069962E-2</v>
      </c>
      <c r="O528" s="2">
        <v>0.55183957800000005</v>
      </c>
      <c r="P528" s="2">
        <f t="shared" si="178"/>
        <v>0.5600291215115647</v>
      </c>
      <c r="Q528" s="2">
        <v>0.16769999999999999</v>
      </c>
      <c r="R528" s="2">
        <f t="shared" si="179"/>
        <v>0.32628836132020844</v>
      </c>
      <c r="S528" s="2">
        <f t="shared" si="180"/>
        <v>3.3686085825692359E-2</v>
      </c>
      <c r="T528" s="5">
        <f t="shared" si="181"/>
        <v>8.7981832079757682E-2</v>
      </c>
      <c r="U528" s="2" t="str">
        <f t="shared" si="182"/>
        <v>No Impact</v>
      </c>
      <c r="V528" s="2">
        <f t="shared" si="183"/>
        <v>2.4802348946654531E-2</v>
      </c>
      <c r="W528" s="2">
        <f t="shared" si="184"/>
        <v>6.0161429521478481E-2</v>
      </c>
      <c r="X528" s="2" t="s">
        <v>1176</v>
      </c>
      <c r="Y528" s="2">
        <f t="shared" si="185"/>
        <v>4.2569822704730191E-2</v>
      </c>
      <c r="Z528" s="2">
        <f t="shared" si="186"/>
        <v>0.10881186382683759</v>
      </c>
      <c r="AA528" s="2" t="str">
        <f t="shared" si="187"/>
        <v>No Impact</v>
      </c>
      <c r="AB528" s="2">
        <f t="shared" si="188"/>
        <v>2.2788218820264501E-2</v>
      </c>
      <c r="AC528" s="2">
        <f t="shared" si="189"/>
        <v>8.2796403127410212E-2</v>
      </c>
      <c r="AD528" s="2" t="str">
        <f t="shared" si="190"/>
        <v>No Impact</v>
      </c>
      <c r="AE528" s="2">
        <f t="shared" si="191"/>
        <v>3.8184282214753181E-3</v>
      </c>
      <c r="AF528" s="2">
        <f t="shared" si="192"/>
        <v>2.9089227934389995E-2</v>
      </c>
      <c r="AG528" s="2" t="s">
        <v>1176</v>
      </c>
    </row>
    <row r="529" spans="1:33" x14ac:dyDescent="0.3">
      <c r="A529">
        <v>609032</v>
      </c>
      <c r="B529" t="s">
        <v>1074</v>
      </c>
      <c r="C529" t="s">
        <v>1066</v>
      </c>
      <c r="D529" t="s">
        <v>1075</v>
      </c>
      <c r="E529" s="13">
        <v>6.4</v>
      </c>
      <c r="F529" s="14">
        <f t="shared" si="173"/>
        <v>0.71111111111111114</v>
      </c>
      <c r="G529" s="2">
        <v>53.000233199999997</v>
      </c>
      <c r="H529" s="2">
        <f t="shared" si="174"/>
        <v>0.22026750686829102</v>
      </c>
      <c r="I529" s="2">
        <v>11.2</v>
      </c>
      <c r="J529" s="4">
        <f t="shared" si="175"/>
        <v>8.8537549407114613E-2</v>
      </c>
      <c r="K529" s="2">
        <v>0</v>
      </c>
      <c r="L529" s="4">
        <f t="shared" si="176"/>
        <v>0</v>
      </c>
      <c r="M529" s="2">
        <v>11765</v>
      </c>
      <c r="N529" s="2">
        <f t="shared" si="177"/>
        <v>5.4534357212814577E-2</v>
      </c>
      <c r="O529" s="2">
        <v>0.37322738300000002</v>
      </c>
      <c r="P529" s="2">
        <f t="shared" si="178"/>
        <v>0.35369807586979679</v>
      </c>
      <c r="Q529" s="2">
        <v>0.16550000000000001</v>
      </c>
      <c r="R529" s="2">
        <f t="shared" si="179"/>
        <v>0.31991893456861614</v>
      </c>
      <c r="S529" s="2">
        <f t="shared" si="180"/>
        <v>2.5886477719387239E-2</v>
      </c>
      <c r="T529" s="5">
        <f t="shared" si="181"/>
        <v>6.7610696820894475E-2</v>
      </c>
      <c r="U529" s="2" t="str">
        <f t="shared" si="182"/>
        <v>No Impact</v>
      </c>
      <c r="V529" s="2">
        <f t="shared" si="183"/>
        <v>2.458837660982063E-2</v>
      </c>
      <c r="W529" s="2">
        <f t="shared" si="184"/>
        <v>5.9642410871685834E-2</v>
      </c>
      <c r="X529" s="2" t="s">
        <v>1176</v>
      </c>
      <c r="Y529" s="2">
        <f t="shared" si="185"/>
        <v>2.7184578828953851E-2</v>
      </c>
      <c r="Z529" s="2">
        <f t="shared" si="186"/>
        <v>6.9485952766192211E-2</v>
      </c>
      <c r="AA529" s="2" t="str">
        <f t="shared" si="187"/>
        <v>No Impact</v>
      </c>
      <c r="AB529" s="2">
        <f t="shared" si="188"/>
        <v>1.8228298843730964E-2</v>
      </c>
      <c r="AC529" s="2">
        <f t="shared" si="189"/>
        <v>6.6228852342349792E-2</v>
      </c>
      <c r="AD529" s="2" t="str">
        <f t="shared" si="190"/>
        <v>No Impact</v>
      </c>
      <c r="AE529" s="2">
        <f t="shared" si="191"/>
        <v>4.1914096617359621E-3</v>
      </c>
      <c r="AF529" s="2">
        <f t="shared" si="192"/>
        <v>3.1930643695466408E-2</v>
      </c>
      <c r="AG529" s="2" t="s">
        <v>1176</v>
      </c>
    </row>
    <row r="530" spans="1:33" x14ac:dyDescent="0.3">
      <c r="A530">
        <v>609033</v>
      </c>
      <c r="B530" t="s">
        <v>1076</v>
      </c>
      <c r="C530" t="s">
        <v>1066</v>
      </c>
      <c r="D530" t="s">
        <v>1077</v>
      </c>
      <c r="E530" s="13">
        <v>5.9</v>
      </c>
      <c r="F530" s="14">
        <f t="shared" si="173"/>
        <v>0.60000000000000009</v>
      </c>
      <c r="G530" s="2">
        <v>51.537733199999998</v>
      </c>
      <c r="H530" s="2">
        <f t="shared" si="174"/>
        <v>0.20446644748056519</v>
      </c>
      <c r="I530" s="2">
        <v>33.700000000000003</v>
      </c>
      <c r="J530" s="4">
        <f t="shared" si="175"/>
        <v>0.26640316205533598</v>
      </c>
      <c r="K530" s="2">
        <v>0</v>
      </c>
      <c r="L530" s="4">
        <f t="shared" si="176"/>
        <v>0</v>
      </c>
      <c r="M530" s="2">
        <v>20104</v>
      </c>
      <c r="N530" s="2">
        <f t="shared" si="177"/>
        <v>9.3989676039611461E-2</v>
      </c>
      <c r="O530" s="2">
        <v>0.393606291</v>
      </c>
      <c r="P530" s="2">
        <f t="shared" si="178"/>
        <v>0.37723958935199425</v>
      </c>
      <c r="Q530" s="2">
        <v>0.22020000000000001</v>
      </c>
      <c r="R530" s="2">
        <f t="shared" si="179"/>
        <v>0.4782860451650261</v>
      </c>
      <c r="S530" s="2">
        <f t="shared" si="180"/>
        <v>4.229830725466327E-2</v>
      </c>
      <c r="T530" s="5">
        <f t="shared" si="181"/>
        <v>0.11047536319281735</v>
      </c>
      <c r="U530" s="2" t="str">
        <f t="shared" si="182"/>
        <v>No Impact</v>
      </c>
      <c r="V530" s="2">
        <f t="shared" si="183"/>
        <v>4.7294176299998512E-2</v>
      </c>
      <c r="W530" s="2">
        <f t="shared" si="184"/>
        <v>0.11471837850392494</v>
      </c>
      <c r="X530" s="2" t="s">
        <v>1176</v>
      </c>
      <c r="Y530" s="2">
        <f t="shared" si="185"/>
        <v>3.730243820932802E-2</v>
      </c>
      <c r="Z530" s="2">
        <f t="shared" si="186"/>
        <v>9.5348008728995945E-2</v>
      </c>
      <c r="AA530" s="2" t="str">
        <f t="shared" si="187"/>
        <v>No Impact</v>
      </c>
      <c r="AB530" s="2">
        <f t="shared" si="188"/>
        <v>3.0996573999000448E-2</v>
      </c>
      <c r="AC530" s="2">
        <f t="shared" si="189"/>
        <v>0.11261980835938167</v>
      </c>
      <c r="AD530" s="2" t="str">
        <f t="shared" si="190"/>
        <v>No Impact</v>
      </c>
      <c r="AE530" s="2">
        <f t="shared" si="191"/>
        <v>9.2939452320073158E-3</v>
      </c>
      <c r="AF530" s="2">
        <f t="shared" si="192"/>
        <v>7.0802349967741943E-2</v>
      </c>
      <c r="AG530" s="2" t="s">
        <v>1175</v>
      </c>
    </row>
    <row r="531" spans="1:33" x14ac:dyDescent="0.3">
      <c r="A531">
        <v>609047</v>
      </c>
      <c r="B531" t="s">
        <v>1078</v>
      </c>
      <c r="C531" t="s">
        <v>1066</v>
      </c>
      <c r="D531" t="s">
        <v>1079</v>
      </c>
      <c r="E531" s="13">
        <v>6.5</v>
      </c>
      <c r="F531" s="14">
        <f t="shared" si="173"/>
        <v>0.73333333333333328</v>
      </c>
      <c r="G531" s="2">
        <v>39.728750400000003</v>
      </c>
      <c r="H531" s="2">
        <f t="shared" si="174"/>
        <v>7.6880506604371804E-2</v>
      </c>
      <c r="I531" s="2">
        <v>13.2</v>
      </c>
      <c r="J531" s="4">
        <f t="shared" si="175"/>
        <v>0.10434782608695652</v>
      </c>
      <c r="K531" s="2">
        <v>0</v>
      </c>
      <c r="L531" s="4">
        <f t="shared" si="176"/>
        <v>0</v>
      </c>
      <c r="M531" s="2">
        <v>19694</v>
      </c>
      <c r="N531" s="2">
        <f t="shared" si="177"/>
        <v>9.2049793473478025E-2</v>
      </c>
      <c r="O531" s="2">
        <v>0.36827500400000002</v>
      </c>
      <c r="P531" s="2">
        <f t="shared" si="178"/>
        <v>0.34797713650457412</v>
      </c>
      <c r="Q531" s="2">
        <v>0.2094</v>
      </c>
      <c r="R531" s="2">
        <f t="shared" si="179"/>
        <v>0.44701795020266361</v>
      </c>
      <c r="S531" s="2">
        <f t="shared" si="180"/>
        <v>1.8489706371258002E-2</v>
      </c>
      <c r="T531" s="5">
        <f t="shared" si="181"/>
        <v>4.8291696743209017E-2</v>
      </c>
      <c r="U531" s="2" t="str">
        <f t="shared" si="182"/>
        <v>No Impact</v>
      </c>
      <c r="V531" s="2">
        <f t="shared" si="183"/>
        <v>2.079316156823648E-2</v>
      </c>
      <c r="W531" s="2">
        <f t="shared" si="184"/>
        <v>5.0436606907948052E-2</v>
      </c>
      <c r="X531" s="2" t="s">
        <v>1176</v>
      </c>
      <c r="Y531" s="2">
        <f t="shared" si="185"/>
        <v>1.6186251174279527E-2</v>
      </c>
      <c r="Z531" s="2">
        <f t="shared" si="186"/>
        <v>4.1373349634528545E-2</v>
      </c>
      <c r="AA531" s="2" t="str">
        <f t="shared" si="187"/>
        <v>No Impact</v>
      </c>
      <c r="AB531" s="2">
        <f t="shared" si="188"/>
        <v>1.3632084316354152E-2</v>
      </c>
      <c r="AC531" s="2">
        <f t="shared" si="189"/>
        <v>4.9529432617173894E-2</v>
      </c>
      <c r="AD531" s="2" t="str">
        <f t="shared" si="190"/>
        <v>No Impact</v>
      </c>
      <c r="AE531" s="2">
        <f t="shared" si="191"/>
        <v>4.2817211862500809E-3</v>
      </c>
      <c r="AF531" s="2">
        <f t="shared" si="192"/>
        <v>3.2618647337100508E-2</v>
      </c>
      <c r="AG531" s="2" t="s">
        <v>1176</v>
      </c>
    </row>
    <row r="532" spans="1:33" x14ac:dyDescent="0.3">
      <c r="A532">
        <v>609050</v>
      </c>
      <c r="B532" t="s">
        <v>1080</v>
      </c>
      <c r="C532" t="s">
        <v>1066</v>
      </c>
      <c r="D532" t="s">
        <v>1081</v>
      </c>
      <c r="E532" s="13">
        <v>6.4</v>
      </c>
      <c r="F532" s="14">
        <f t="shared" si="173"/>
        <v>0.71111111111111114</v>
      </c>
      <c r="G532" s="2">
        <v>53.000233199999997</v>
      </c>
      <c r="H532" s="2">
        <f t="shared" si="174"/>
        <v>0.22026750686829102</v>
      </c>
      <c r="I532" s="2">
        <v>10.6</v>
      </c>
      <c r="J532" s="4">
        <f t="shared" si="175"/>
        <v>8.3794466403162057E-2</v>
      </c>
      <c r="K532" s="2">
        <v>0</v>
      </c>
      <c r="L532" s="4">
        <f t="shared" si="176"/>
        <v>0</v>
      </c>
      <c r="M532" s="2">
        <v>10210</v>
      </c>
      <c r="N532" s="2">
        <f t="shared" si="177"/>
        <v>4.7176997724186549E-2</v>
      </c>
      <c r="O532" s="2">
        <v>0.21808956400000001</v>
      </c>
      <c r="P532" s="2">
        <f t="shared" si="178"/>
        <v>0.17448439780681055</v>
      </c>
      <c r="Q532" s="2">
        <v>0.17</v>
      </c>
      <c r="R532" s="2">
        <f t="shared" si="179"/>
        <v>0.33294730746960055</v>
      </c>
      <c r="S532" s="2">
        <f t="shared" si="180"/>
        <v>1.9200618653296139E-2</v>
      </c>
      <c r="T532" s="5">
        <f t="shared" si="181"/>
        <v>5.0148468270342396E-2</v>
      </c>
      <c r="U532" s="2" t="str">
        <f t="shared" si="182"/>
        <v>No Impact</v>
      </c>
      <c r="V532" s="2">
        <f t="shared" si="183"/>
        <v>2.5196668698039739E-2</v>
      </c>
      <c r="W532" s="2">
        <f t="shared" si="184"/>
        <v>6.1117905054618983E-2</v>
      </c>
      <c r="X532" s="2" t="s">
        <v>1176</v>
      </c>
      <c r="Y532" s="2">
        <f t="shared" si="185"/>
        <v>1.3204568608552536E-2</v>
      </c>
      <c r="Z532" s="2">
        <f t="shared" si="186"/>
        <v>3.3751931063746236E-2</v>
      </c>
      <c r="AA532" s="2" t="str">
        <f t="shared" si="187"/>
        <v>No Impact</v>
      </c>
      <c r="AB532" s="2">
        <f t="shared" si="188"/>
        <v>1.4029790084712401E-2</v>
      </c>
      <c r="AC532" s="2">
        <f t="shared" si="189"/>
        <v>5.0974416421428227E-2</v>
      </c>
      <c r="AD532" s="2" t="str">
        <f t="shared" si="190"/>
        <v>No Impact</v>
      </c>
      <c r="AE532" s="2">
        <f t="shared" si="191"/>
        <v>3.5702441652363764E-3</v>
      </c>
      <c r="AF532" s="2">
        <f t="shared" si="192"/>
        <v>2.7198533082248278E-2</v>
      </c>
      <c r="AG532" s="2" t="s">
        <v>1176</v>
      </c>
    </row>
    <row r="533" spans="1:33" x14ac:dyDescent="0.3">
      <c r="A533">
        <v>609086</v>
      </c>
      <c r="B533" t="s">
        <v>1082</v>
      </c>
      <c r="C533" t="s">
        <v>1066</v>
      </c>
      <c r="D533" t="s">
        <v>1083</v>
      </c>
      <c r="E533" s="13">
        <v>6.5</v>
      </c>
      <c r="F533" s="14">
        <f t="shared" si="173"/>
        <v>0.73333333333333328</v>
      </c>
      <c r="G533" s="2">
        <v>43.145937000000004</v>
      </c>
      <c r="H533" s="2">
        <f t="shared" si="174"/>
        <v>0.11380027987311775</v>
      </c>
      <c r="I533" s="2">
        <v>10.7</v>
      </c>
      <c r="J533" s="4">
        <f t="shared" si="175"/>
        <v>8.4584980237154148E-2</v>
      </c>
      <c r="K533" s="2">
        <v>0</v>
      </c>
      <c r="L533" s="4">
        <f t="shared" si="176"/>
        <v>0</v>
      </c>
      <c r="M533" s="2">
        <v>7371</v>
      </c>
      <c r="N533" s="2">
        <f t="shared" si="177"/>
        <v>3.3744493808935759E-2</v>
      </c>
      <c r="O533" s="2">
        <v>0.54880257700000001</v>
      </c>
      <c r="P533" s="2">
        <f t="shared" si="178"/>
        <v>0.5565208079165993</v>
      </c>
      <c r="Q533" s="2">
        <v>0.15190000000000001</v>
      </c>
      <c r="R533" s="2">
        <f t="shared" si="179"/>
        <v>0.28054429646786339</v>
      </c>
      <c r="S533" s="2">
        <f t="shared" si="180"/>
        <v>2.1311210236026418E-2</v>
      </c>
      <c r="T533" s="5">
        <f t="shared" si="181"/>
        <v>5.5660943515510146E-2</v>
      </c>
      <c r="U533" s="2" t="str">
        <f t="shared" si="182"/>
        <v>No Impact</v>
      </c>
      <c r="V533" s="2">
        <f t="shared" si="183"/>
        <v>1.4285002328322445E-2</v>
      </c>
      <c r="W533" s="2">
        <f t="shared" si="184"/>
        <v>3.4650192311944224E-2</v>
      </c>
      <c r="X533" s="2" t="s">
        <v>1176</v>
      </c>
      <c r="Y533" s="2">
        <f t="shared" si="185"/>
        <v>2.8337418143730392E-2</v>
      </c>
      <c r="Z533" s="2">
        <f t="shared" si="186"/>
        <v>7.2432702049217784E-2</v>
      </c>
      <c r="AA533" s="2" t="str">
        <f t="shared" si="187"/>
        <v>No Impact</v>
      </c>
      <c r="AB533" s="2">
        <f t="shared" si="188"/>
        <v>1.4102357439343476E-2</v>
      </c>
      <c r="AC533" s="2">
        <f t="shared" si="189"/>
        <v>5.1238075288113381E-2</v>
      </c>
      <c r="AD533" s="2" t="str">
        <f t="shared" si="190"/>
        <v>No Impact</v>
      </c>
      <c r="AE533" s="2">
        <f t="shared" si="191"/>
        <v>1.7182319466042962E-3</v>
      </c>
      <c r="AF533" s="2">
        <f t="shared" si="192"/>
        <v>1.3089689746639138E-2</v>
      </c>
      <c r="AG533" s="2" t="s">
        <v>1176</v>
      </c>
    </row>
    <row r="534" spans="1:33" x14ac:dyDescent="0.3">
      <c r="A534">
        <v>609089</v>
      </c>
      <c r="B534" t="s">
        <v>1084</v>
      </c>
      <c r="C534" t="s">
        <v>1066</v>
      </c>
      <c r="D534" t="s">
        <v>1085</v>
      </c>
      <c r="E534" s="13">
        <v>6.5</v>
      </c>
      <c r="F534" s="14">
        <f t="shared" si="173"/>
        <v>0.73333333333333328</v>
      </c>
      <c r="G534" s="2">
        <v>53.000233199999997</v>
      </c>
      <c r="H534" s="2">
        <f t="shared" si="174"/>
        <v>0.22026750686829102</v>
      </c>
      <c r="I534" s="2">
        <v>20.6</v>
      </c>
      <c r="J534" s="4">
        <f t="shared" si="175"/>
        <v>0.16284584980237155</v>
      </c>
      <c r="K534" s="2">
        <v>0</v>
      </c>
      <c r="L534" s="4">
        <f t="shared" si="176"/>
        <v>0</v>
      </c>
      <c r="M534" s="2">
        <v>23247</v>
      </c>
      <c r="N534" s="2">
        <f t="shared" si="177"/>
        <v>0.10886053190633679</v>
      </c>
      <c r="O534" s="2">
        <v>0.205712969</v>
      </c>
      <c r="P534" s="2">
        <f t="shared" si="178"/>
        <v>0.16018707735881607</v>
      </c>
      <c r="Q534" s="2">
        <v>0.184</v>
      </c>
      <c r="R534" s="2">
        <f t="shared" si="179"/>
        <v>0.37348002316155188</v>
      </c>
      <c r="S534" s="2">
        <f t="shared" si="180"/>
        <v>2.6238390925549113E-2</v>
      </c>
      <c r="T534" s="5">
        <f t="shared" si="181"/>
        <v>6.8529829093233713E-2</v>
      </c>
      <c r="U534" s="2" t="str">
        <f t="shared" si="182"/>
        <v>No Impact</v>
      </c>
      <c r="V534" s="2">
        <f t="shared" si="183"/>
        <v>3.6725197566200456E-2</v>
      </c>
      <c r="W534" s="2">
        <f t="shared" si="184"/>
        <v>8.90819006616453E-2</v>
      </c>
      <c r="X534" s="2" t="s">
        <v>1176</v>
      </c>
      <c r="Y534" s="2">
        <f t="shared" si="185"/>
        <v>1.5751584284897771E-2</v>
      </c>
      <c r="Z534" s="2">
        <f t="shared" si="186"/>
        <v>4.0262306379650552E-2</v>
      </c>
      <c r="AA534" s="2" t="str">
        <f t="shared" si="187"/>
        <v>No Impact</v>
      </c>
      <c r="AB534" s="2">
        <f t="shared" si="188"/>
        <v>2.13258765872247E-2</v>
      </c>
      <c r="AC534" s="2">
        <f t="shared" si="189"/>
        <v>7.7483277165615733E-2</v>
      </c>
      <c r="AD534" s="2" t="str">
        <f t="shared" si="190"/>
        <v>No Impact</v>
      </c>
      <c r="AE534" s="2">
        <f t="shared" si="191"/>
        <v>1.0704520438814881E-2</v>
      </c>
      <c r="AF534" s="2">
        <f t="shared" si="192"/>
        <v>8.1548275078669102E-2</v>
      </c>
      <c r="AG534" s="2" t="s">
        <v>1175</v>
      </c>
    </row>
    <row r="535" spans="1:33" x14ac:dyDescent="0.3">
      <c r="A535">
        <v>609092</v>
      </c>
      <c r="B535" t="s">
        <v>1086</v>
      </c>
      <c r="C535" t="s">
        <v>1066</v>
      </c>
      <c r="D535" t="s">
        <v>1087</v>
      </c>
      <c r="E535" s="13">
        <v>6.4</v>
      </c>
      <c r="F535" s="14">
        <f t="shared" si="173"/>
        <v>0.71111111111111114</v>
      </c>
      <c r="G535" s="2">
        <v>53.000233199999997</v>
      </c>
      <c r="H535" s="2">
        <f t="shared" si="174"/>
        <v>0.22026750686829102</v>
      </c>
      <c r="I535" s="2">
        <v>17.899999999999999</v>
      </c>
      <c r="J535" s="4">
        <f t="shared" si="175"/>
        <v>0.14150197628458497</v>
      </c>
      <c r="K535" s="2">
        <v>0</v>
      </c>
      <c r="L535" s="4">
        <f t="shared" si="176"/>
        <v>0</v>
      </c>
      <c r="M535" s="2">
        <v>18280</v>
      </c>
      <c r="N535" s="2">
        <f t="shared" si="177"/>
        <v>8.5359564330764165E-2</v>
      </c>
      <c r="O535" s="2">
        <v>0.38569935500000002</v>
      </c>
      <c r="P535" s="2">
        <f t="shared" si="178"/>
        <v>0.36810557488729029</v>
      </c>
      <c r="Q535" s="2">
        <v>0.21279999999999999</v>
      </c>
      <c r="R535" s="2">
        <f t="shared" si="179"/>
        <v>0.45686160972785178</v>
      </c>
      <c r="S535" s="2">
        <f t="shared" si="180"/>
        <v>3.7140189581762177E-2</v>
      </c>
      <c r="T535" s="5">
        <f t="shared" si="181"/>
        <v>9.7003312884179668E-2</v>
      </c>
      <c r="U535" s="2" t="str">
        <f t="shared" si="182"/>
        <v>No Impact</v>
      </c>
      <c r="V535" s="2">
        <f t="shared" si="183"/>
        <v>4.1136004229882714E-2</v>
      </c>
      <c r="W535" s="2">
        <f t="shared" si="184"/>
        <v>9.9780904808419099E-2</v>
      </c>
      <c r="X535" s="2" t="s">
        <v>1176</v>
      </c>
      <c r="Y535" s="2">
        <f t="shared" si="185"/>
        <v>3.314437493364164E-2</v>
      </c>
      <c r="Z535" s="2">
        <f t="shared" si="186"/>
        <v>8.4719667190540665E-2</v>
      </c>
      <c r="AA535" s="2" t="str">
        <f t="shared" si="187"/>
        <v>No Impact</v>
      </c>
      <c r="AB535" s="2">
        <f t="shared" si="188"/>
        <v>2.703094736150196E-2</v>
      </c>
      <c r="AC535" s="2">
        <f t="shared" si="189"/>
        <v>9.8211502720366828E-2</v>
      </c>
      <c r="AD535" s="2" t="str">
        <f t="shared" si="190"/>
        <v>No Impact</v>
      </c>
      <c r="AE535" s="2">
        <f t="shared" si="191"/>
        <v>7.6858097170014773E-3</v>
      </c>
      <c r="AF535" s="2">
        <f t="shared" si="192"/>
        <v>5.8551387573765497E-2</v>
      </c>
      <c r="AG535" s="2" t="s">
        <v>1176</v>
      </c>
    </row>
    <row r="536" spans="1:33" x14ac:dyDescent="0.3">
      <c r="A536">
        <v>609108</v>
      </c>
      <c r="B536" t="s">
        <v>1088</v>
      </c>
      <c r="C536" t="s">
        <v>1089</v>
      </c>
      <c r="D536" t="s">
        <v>1090</v>
      </c>
      <c r="E536" s="13">
        <v>7</v>
      </c>
      <c r="F536" s="14">
        <f t="shared" si="173"/>
        <v>0.84444444444444444</v>
      </c>
      <c r="G536" s="2">
        <v>41.300233200000001</v>
      </c>
      <c r="H536" s="2">
        <f t="shared" si="174"/>
        <v>9.3859031766484385E-2</v>
      </c>
      <c r="I536" s="2">
        <v>16.100000000000001</v>
      </c>
      <c r="J536" s="4">
        <f t="shared" si="175"/>
        <v>0.12727272727272729</v>
      </c>
      <c r="K536" s="2">
        <v>0</v>
      </c>
      <c r="L536" s="4">
        <f t="shared" si="176"/>
        <v>0</v>
      </c>
      <c r="M536" s="2">
        <v>33148</v>
      </c>
      <c r="N536" s="2">
        <f t="shared" si="177"/>
        <v>0.15570633016801275</v>
      </c>
      <c r="O536" s="2">
        <v>0.42358372100000002</v>
      </c>
      <c r="P536" s="2">
        <f t="shared" si="178"/>
        <v>0.41186922075847748</v>
      </c>
      <c r="Q536" s="2">
        <v>0.2142</v>
      </c>
      <c r="R536" s="2">
        <f t="shared" si="179"/>
        <v>0.46091488129704694</v>
      </c>
      <c r="S536" s="2">
        <f t="shared" si="180"/>
        <v>2.8521153042907327E-2</v>
      </c>
      <c r="T536" s="5">
        <f t="shared" si="181"/>
        <v>7.449198196331458E-2</v>
      </c>
      <c r="U536" s="2" t="str">
        <f t="shared" si="182"/>
        <v>No Impact</v>
      </c>
      <c r="V536" s="2">
        <f t="shared" si="183"/>
        <v>3.012388479182045E-2</v>
      </c>
      <c r="W536" s="2">
        <f t="shared" si="184"/>
        <v>7.3069529652782961E-2</v>
      </c>
      <c r="X536" s="2" t="s">
        <v>1176</v>
      </c>
      <c r="Y536" s="2">
        <f t="shared" si="185"/>
        <v>2.6918421293994202E-2</v>
      </c>
      <c r="Z536" s="2">
        <f t="shared" si="186"/>
        <v>6.8805632867953631E-2</v>
      </c>
      <c r="AA536" s="2" t="str">
        <f t="shared" si="187"/>
        <v>No Impact</v>
      </c>
      <c r="AB536" s="2">
        <f t="shared" si="188"/>
        <v>2.2180645317604858E-2</v>
      </c>
      <c r="AC536" s="2">
        <f t="shared" si="189"/>
        <v>8.0588907181697825E-2</v>
      </c>
      <c r="AD536" s="2" t="str">
        <f t="shared" si="190"/>
        <v>No Impact</v>
      </c>
      <c r="AE536" s="2">
        <f t="shared" si="191"/>
        <v>1.0176455006484132E-2</v>
      </c>
      <c r="AF536" s="2">
        <f t="shared" si="192"/>
        <v>7.7525411524773005E-2</v>
      </c>
      <c r="AG536" s="2" t="s">
        <v>1175</v>
      </c>
    </row>
    <row r="537" spans="1:33" x14ac:dyDescent="0.3">
      <c r="A537">
        <v>609117</v>
      </c>
      <c r="B537" t="s">
        <v>1091</v>
      </c>
      <c r="C537" t="s">
        <v>1089</v>
      </c>
      <c r="D537" t="s">
        <v>1092</v>
      </c>
      <c r="E537" s="13">
        <v>6.1</v>
      </c>
      <c r="F537" s="14">
        <f t="shared" si="173"/>
        <v>0.64444444444444438</v>
      </c>
      <c r="G537" s="2">
        <v>51.133437000000001</v>
      </c>
      <c r="H537" s="2">
        <f t="shared" si="174"/>
        <v>0.20009837345223574</v>
      </c>
      <c r="I537" s="2">
        <v>23.7</v>
      </c>
      <c r="J537" s="4">
        <f t="shared" si="175"/>
        <v>0.18735177865612648</v>
      </c>
      <c r="K537" s="2">
        <v>0</v>
      </c>
      <c r="L537" s="4">
        <f t="shared" si="176"/>
        <v>0</v>
      </c>
      <c r="M537" s="2">
        <v>29012</v>
      </c>
      <c r="N537" s="2">
        <f t="shared" si="177"/>
        <v>0.1361371733545301</v>
      </c>
      <c r="O537" s="2">
        <v>0.16897221900000001</v>
      </c>
      <c r="P537" s="2">
        <f t="shared" si="178"/>
        <v>0.11774452540897423</v>
      </c>
      <c r="Q537" s="2">
        <v>0.24479999999999999</v>
      </c>
      <c r="R537" s="2">
        <f t="shared" si="179"/>
        <v>0.54950781702374063</v>
      </c>
      <c r="S537" s="2">
        <f t="shared" si="180"/>
        <v>2.9156102988196618E-2</v>
      </c>
      <c r="T537" s="5">
        <f t="shared" si="181"/>
        <v>7.6150353902237997E-2</v>
      </c>
      <c r="U537" s="2" t="str">
        <f t="shared" si="182"/>
        <v>No Impact</v>
      </c>
      <c r="V537" s="2">
        <f t="shared" si="183"/>
        <v>4.8022331244431352E-2</v>
      </c>
      <c r="W537" s="2">
        <f t="shared" si="184"/>
        <v>0.11648461614796556</v>
      </c>
      <c r="X537" s="2" t="s">
        <v>1176</v>
      </c>
      <c r="Y537" s="2">
        <f t="shared" si="185"/>
        <v>1.0289874731961888E-2</v>
      </c>
      <c r="Z537" s="2">
        <f t="shared" si="186"/>
        <v>2.6301740927970593E-2</v>
      </c>
      <c r="AA537" s="2" t="str">
        <f t="shared" si="187"/>
        <v>No Impact</v>
      </c>
      <c r="AB537" s="2">
        <f t="shared" si="188"/>
        <v>2.4058811114714061E-2</v>
      </c>
      <c r="AC537" s="2">
        <f t="shared" si="189"/>
        <v>8.7412844309214061E-2</v>
      </c>
      <c r="AD537" s="2" t="str">
        <f t="shared" si="190"/>
        <v>No Impact</v>
      </c>
      <c r="AE537" s="2">
        <f t="shared" si="191"/>
        <v>1.1897236455927197E-2</v>
      </c>
      <c r="AF537" s="2">
        <f t="shared" si="192"/>
        <v>9.0634523678982684E-2</v>
      </c>
      <c r="AG537" s="2" t="s">
        <v>1175</v>
      </c>
    </row>
    <row r="538" spans="1:33" x14ac:dyDescent="0.3">
      <c r="A538">
        <v>609120</v>
      </c>
      <c r="B538" t="s">
        <v>1093</v>
      </c>
      <c r="C538" t="s">
        <v>1089</v>
      </c>
      <c r="D538" t="s">
        <v>1094</v>
      </c>
      <c r="E538" s="13">
        <v>7</v>
      </c>
      <c r="F538" s="14">
        <f t="shared" si="173"/>
        <v>0.84444444444444444</v>
      </c>
      <c r="G538" s="2">
        <v>47.2943736</v>
      </c>
      <c r="H538" s="2">
        <f t="shared" si="174"/>
        <v>0.15862058283572655</v>
      </c>
      <c r="I538" s="2">
        <v>22</v>
      </c>
      <c r="J538" s="4">
        <f t="shared" si="175"/>
        <v>0.17391304347826086</v>
      </c>
      <c r="K538" s="2">
        <v>0</v>
      </c>
      <c r="L538" s="4">
        <f t="shared" si="176"/>
        <v>0</v>
      </c>
      <c r="M538" s="2">
        <v>16977</v>
      </c>
      <c r="N538" s="2">
        <f t="shared" si="177"/>
        <v>7.9194522907174256E-2</v>
      </c>
      <c r="O538" s="2">
        <v>0.44502898200000002</v>
      </c>
      <c r="P538" s="2">
        <f t="shared" si="178"/>
        <v>0.43664257470662543</v>
      </c>
      <c r="Q538" s="2">
        <v>0.23630000000000001</v>
      </c>
      <c r="R538" s="2">
        <f t="shared" si="179"/>
        <v>0.52489866821077025</v>
      </c>
      <c r="S538" s="2">
        <f t="shared" si="180"/>
        <v>4.7251175461760858E-2</v>
      </c>
      <c r="T538" s="5">
        <f t="shared" si="181"/>
        <v>0.12341133982022577</v>
      </c>
      <c r="U538" s="2" t="str">
        <f t="shared" si="182"/>
        <v>No Impact</v>
      </c>
      <c r="V538" s="2">
        <f t="shared" si="183"/>
        <v>5.1588175242530718E-2</v>
      </c>
      <c r="W538" s="2">
        <f t="shared" si="184"/>
        <v>0.12513404983014018</v>
      </c>
      <c r="X538" s="2" t="s">
        <v>1176</v>
      </c>
      <c r="Y538" s="2">
        <f t="shared" si="185"/>
        <v>4.2914175680990999E-2</v>
      </c>
      <c r="Z538" s="2">
        <f t="shared" si="186"/>
        <v>0.10969205751289431</v>
      </c>
      <c r="AA538" s="2" t="str">
        <f t="shared" si="187"/>
        <v>No Impact</v>
      </c>
      <c r="AB538" s="2">
        <f t="shared" si="188"/>
        <v>3.3654307127667302E-2</v>
      </c>
      <c r="AC538" s="2">
        <f t="shared" si="189"/>
        <v>0.12227614636726901</v>
      </c>
      <c r="AD538" s="2" t="str">
        <f t="shared" si="190"/>
        <v>No Impact</v>
      </c>
      <c r="AE538" s="2">
        <f t="shared" si="191"/>
        <v>7.7834088242407333E-3</v>
      </c>
      <c r="AF538" s="2">
        <f t="shared" si="192"/>
        <v>5.9294908863679587E-2</v>
      </c>
      <c r="AG538" s="2" t="s">
        <v>1176</v>
      </c>
    </row>
    <row r="539" spans="1:33" x14ac:dyDescent="0.3">
      <c r="A539">
        <v>609127</v>
      </c>
      <c r="B539" t="s">
        <v>1095</v>
      </c>
      <c r="C539" t="s">
        <v>1089</v>
      </c>
      <c r="D539" t="s">
        <v>1132</v>
      </c>
      <c r="E539" s="13">
        <v>6.9</v>
      </c>
      <c r="F539" s="14">
        <f t="shared" si="173"/>
        <v>0.8222222222222223</v>
      </c>
      <c r="G539" s="2">
        <v>47.2943736</v>
      </c>
      <c r="H539" s="2">
        <f t="shared" si="174"/>
        <v>0.15862058283572655</v>
      </c>
      <c r="I539" s="2">
        <v>39.9</v>
      </c>
      <c r="J539" s="4">
        <f t="shared" si="175"/>
        <v>0.31541501976284586</v>
      </c>
      <c r="K539" s="2">
        <v>0</v>
      </c>
      <c r="L539" s="4">
        <f t="shared" si="176"/>
        <v>0</v>
      </c>
      <c r="M539" s="2">
        <v>8775</v>
      </c>
      <c r="N539" s="2">
        <f t="shared" si="177"/>
        <v>4.0387408742719524E-2</v>
      </c>
      <c r="O539" s="2">
        <v>0.250346597</v>
      </c>
      <c r="P539" s="2">
        <f t="shared" si="178"/>
        <v>0.21174740411044515</v>
      </c>
      <c r="Q539" s="2">
        <v>0.2392</v>
      </c>
      <c r="R539" s="2">
        <f t="shared" si="179"/>
        <v>0.5332947307469601</v>
      </c>
      <c r="S539" s="2">
        <f t="shared" si="180"/>
        <v>5.0818173786577971E-2</v>
      </c>
      <c r="T539" s="5">
        <f t="shared" si="181"/>
        <v>0.1327276803789581</v>
      </c>
      <c r="U539" s="2" t="str">
        <f t="shared" si="182"/>
        <v>No Impact</v>
      </c>
      <c r="V539" s="2">
        <f t="shared" si="183"/>
        <v>7.2750420516155753E-2</v>
      </c>
      <c r="W539" s="2">
        <f t="shared" si="184"/>
        <v>0.17646591885124605</v>
      </c>
      <c r="X539" s="2" t="s">
        <v>1176</v>
      </c>
      <c r="Y539" s="2">
        <f t="shared" si="185"/>
        <v>2.8885927057000202E-2</v>
      </c>
      <c r="Z539" s="2">
        <f t="shared" si="186"/>
        <v>7.3834734601537749E-2</v>
      </c>
      <c r="AA539" s="2" t="str">
        <f t="shared" si="187"/>
        <v>No Impact</v>
      </c>
      <c r="AB539" s="2">
        <f t="shared" si="188"/>
        <v>3.6056759256570099E-2</v>
      </c>
      <c r="AC539" s="2">
        <f t="shared" si="189"/>
        <v>0.13100497228068597</v>
      </c>
      <c r="AD539" s="2" t="str">
        <f t="shared" si="190"/>
        <v>No Impact</v>
      </c>
      <c r="AE539" s="2">
        <f t="shared" si="191"/>
        <v>5.5095255966158057E-3</v>
      </c>
      <c r="AF539" s="2">
        <f t="shared" si="192"/>
        <v>4.1972203376495799E-2</v>
      </c>
      <c r="AG539" s="2" t="s">
        <v>1176</v>
      </c>
    </row>
    <row r="540" spans="1:33" x14ac:dyDescent="0.3">
      <c r="A540">
        <v>609131</v>
      </c>
      <c r="B540" t="s">
        <v>1096</v>
      </c>
      <c r="C540" t="s">
        <v>1089</v>
      </c>
      <c r="D540" t="s">
        <v>1097</v>
      </c>
      <c r="E540" s="13">
        <v>7</v>
      </c>
      <c r="F540" s="14">
        <f t="shared" si="173"/>
        <v>0.84444444444444444</v>
      </c>
      <c r="G540" s="2">
        <v>47.2943736</v>
      </c>
      <c r="H540" s="2">
        <f t="shared" si="174"/>
        <v>0.15862058283572655</v>
      </c>
      <c r="I540" s="2">
        <v>22.4</v>
      </c>
      <c r="J540" s="4">
        <f t="shared" si="175"/>
        <v>0.17707509881422923</v>
      </c>
      <c r="K540" s="2">
        <v>0</v>
      </c>
      <c r="L540" s="4">
        <f t="shared" si="176"/>
        <v>0</v>
      </c>
      <c r="M540" s="2">
        <v>13160</v>
      </c>
      <c r="N540" s="2">
        <f t="shared" si="177"/>
        <v>6.113468935856127E-2</v>
      </c>
      <c r="O540" s="2">
        <v>0.20688483899999999</v>
      </c>
      <c r="P540" s="2">
        <f t="shared" si="178"/>
        <v>0.16154081002223369</v>
      </c>
      <c r="Q540" s="2">
        <v>0.2535</v>
      </c>
      <c r="R540" s="2">
        <f t="shared" si="179"/>
        <v>0.57469600463231041</v>
      </c>
      <c r="S540" s="2">
        <f t="shared" si="180"/>
        <v>3.6523502304129069E-2</v>
      </c>
      <c r="T540" s="5">
        <f t="shared" si="181"/>
        <v>9.5392639658825079E-2</v>
      </c>
      <c r="U540" s="2" t="str">
        <f t="shared" si="182"/>
        <v>No Impact</v>
      </c>
      <c r="V540" s="2">
        <f t="shared" si="183"/>
        <v>5.7019454696002426E-2</v>
      </c>
      <c r="W540" s="2">
        <f t="shared" si="184"/>
        <v>0.13830834782724849</v>
      </c>
      <c r="X540" s="2" t="s">
        <v>1176</v>
      </c>
      <c r="Y540" s="2">
        <f t="shared" si="185"/>
        <v>1.6027549912255704E-2</v>
      </c>
      <c r="Z540" s="2">
        <f t="shared" si="186"/>
        <v>4.0967696544726866E-2</v>
      </c>
      <c r="AA540" s="2" t="str">
        <f t="shared" si="187"/>
        <v>No Impact</v>
      </c>
      <c r="AB540" s="2">
        <f t="shared" si="188"/>
        <v>2.6888028370914176E-2</v>
      </c>
      <c r="AC540" s="2">
        <f t="shared" si="189"/>
        <v>9.7692235354514337E-2</v>
      </c>
      <c r="AD540" s="2" t="str">
        <f t="shared" si="190"/>
        <v>No Impact</v>
      </c>
      <c r="AE540" s="2">
        <f t="shared" si="191"/>
        <v>6.0655835818189101E-3</v>
      </c>
      <c r="AF540" s="2">
        <f t="shared" si="192"/>
        <v>4.6208317436552987E-2</v>
      </c>
      <c r="AG540" s="2" t="s">
        <v>1176</v>
      </c>
    </row>
    <row r="541" spans="1:33" x14ac:dyDescent="0.3">
      <c r="A541">
        <v>609135</v>
      </c>
      <c r="B541" t="s">
        <v>1098</v>
      </c>
      <c r="C541" t="s">
        <v>1089</v>
      </c>
      <c r="D541" t="s">
        <v>1099</v>
      </c>
      <c r="E541" s="13">
        <v>7</v>
      </c>
      <c r="F541" s="14">
        <f t="shared" si="173"/>
        <v>0.84444444444444444</v>
      </c>
      <c r="G541" s="2">
        <v>36.881092799999998</v>
      </c>
      <c r="H541" s="2">
        <f t="shared" si="174"/>
        <v>4.6114006191716142E-2</v>
      </c>
      <c r="I541" s="2">
        <v>23.2</v>
      </c>
      <c r="J541" s="4">
        <f t="shared" si="175"/>
        <v>0.183399209486166</v>
      </c>
      <c r="K541" s="2">
        <v>0</v>
      </c>
      <c r="L541" s="4">
        <f t="shared" si="176"/>
        <v>0</v>
      </c>
      <c r="M541" s="2">
        <v>11651</v>
      </c>
      <c r="N541" s="2">
        <f t="shared" si="177"/>
        <v>5.3994975231011627E-2</v>
      </c>
      <c r="O541" s="2">
        <v>0.16908443100000001</v>
      </c>
      <c r="P541" s="2">
        <f t="shared" si="178"/>
        <v>0.11787415160439473</v>
      </c>
      <c r="Q541" s="2">
        <v>0.23710000000000001</v>
      </c>
      <c r="R541" s="2">
        <f t="shared" si="179"/>
        <v>0.52721482339316739</v>
      </c>
      <c r="S541" s="2">
        <f t="shared" si="180"/>
        <v>2.1879452435172489E-2</v>
      </c>
      <c r="T541" s="5">
        <f t="shared" si="181"/>
        <v>5.7145087146937064E-2</v>
      </c>
      <c r="U541" s="2" t="str">
        <f t="shared" si="182"/>
        <v>No Impact</v>
      </c>
      <c r="V541" s="2">
        <f t="shared" si="183"/>
        <v>3.5763040754470385E-2</v>
      </c>
      <c r="W541" s="2">
        <f t="shared" si="184"/>
        <v>8.674806005074151E-2</v>
      </c>
      <c r="X541" s="2" t="s">
        <v>1176</v>
      </c>
      <c r="Y541" s="2">
        <f t="shared" si="185"/>
        <v>7.9958641158745947E-3</v>
      </c>
      <c r="Z541" s="2">
        <f t="shared" si="186"/>
        <v>2.0438066735424001E-2</v>
      </c>
      <c r="AA541" s="2" t="str">
        <f t="shared" si="187"/>
        <v>No Impact</v>
      </c>
      <c r="AB541" s="2">
        <f t="shared" si="188"/>
        <v>1.6197765024206189E-2</v>
      </c>
      <c r="AC541" s="2">
        <f t="shared" si="189"/>
        <v>5.8851316695039298E-2</v>
      </c>
      <c r="AD541" s="2" t="str">
        <f t="shared" si="190"/>
        <v>No Impact</v>
      </c>
      <c r="AE541" s="2">
        <f t="shared" si="191"/>
        <v>3.6626900725119354E-3</v>
      </c>
      <c r="AF541" s="2">
        <f t="shared" si="192"/>
        <v>2.7902796698679753E-2</v>
      </c>
      <c r="AG541" s="2" t="s">
        <v>1176</v>
      </c>
    </row>
    <row r="542" spans="1:33" x14ac:dyDescent="0.3">
      <c r="A542">
        <v>609138</v>
      </c>
      <c r="B542" t="s">
        <v>1100</v>
      </c>
      <c r="C542" t="s">
        <v>1089</v>
      </c>
      <c r="D542" t="s">
        <v>1101</v>
      </c>
      <c r="E542" s="13">
        <v>6.5</v>
      </c>
      <c r="F542" s="14">
        <f t="shared" si="173"/>
        <v>0.73333333333333328</v>
      </c>
      <c r="G542" s="2">
        <v>51.133437000000001</v>
      </c>
      <c r="H542" s="2">
        <f t="shared" si="174"/>
        <v>0.20009837345223574</v>
      </c>
      <c r="I542" s="2">
        <v>24.1</v>
      </c>
      <c r="J542" s="4">
        <f t="shared" si="175"/>
        <v>0.19051383399209487</v>
      </c>
      <c r="K542" s="2">
        <v>0</v>
      </c>
      <c r="L542" s="4">
        <f t="shared" si="176"/>
        <v>0</v>
      </c>
      <c r="M542" s="2">
        <v>29178</v>
      </c>
      <c r="N542" s="2">
        <f t="shared" si="177"/>
        <v>0.13692258922276948</v>
      </c>
      <c r="O542" s="2">
        <v>0.24309862900000001</v>
      </c>
      <c r="P542" s="2">
        <f t="shared" si="178"/>
        <v>0.20337462297857409</v>
      </c>
      <c r="Q542" s="2">
        <v>0.25309999999999999</v>
      </c>
      <c r="R542" s="2">
        <f t="shared" si="179"/>
        <v>0.57353792704111173</v>
      </c>
      <c r="S542" s="2">
        <f t="shared" si="180"/>
        <v>3.8945512523147152E-2</v>
      </c>
      <c r="T542" s="5">
        <f t="shared" si="181"/>
        <v>0.10171848284190516</v>
      </c>
      <c r="U542" s="2" t="str">
        <f t="shared" si="182"/>
        <v>No Impact</v>
      </c>
      <c r="V542" s="2">
        <f t="shared" si="183"/>
        <v>5.7501268371874019E-2</v>
      </c>
      <c r="W542" s="2">
        <f t="shared" si="184"/>
        <v>0.13947705162888352</v>
      </c>
      <c r="X542" s="2" t="s">
        <v>1176</v>
      </c>
      <c r="Y542" s="2">
        <f t="shared" si="185"/>
        <v>2.0389756674420289E-2</v>
      </c>
      <c r="Z542" s="2">
        <f t="shared" si="186"/>
        <v>5.2117845124895153E-2</v>
      </c>
      <c r="AA542" s="2" t="str">
        <f t="shared" si="187"/>
        <v>No Impact</v>
      </c>
      <c r="AB542" s="2">
        <f t="shared" si="188"/>
        <v>3.1046984127621375E-2</v>
      </c>
      <c r="AC542" s="2">
        <f t="shared" si="189"/>
        <v>0.1128029634082217</v>
      </c>
      <c r="AD542" s="2" t="str">
        <f t="shared" si="190"/>
        <v>No Impact</v>
      </c>
      <c r="AE542" s="2">
        <f t="shared" si="191"/>
        <v>1.3727466271826819E-2</v>
      </c>
      <c r="AF542" s="2">
        <f t="shared" si="192"/>
        <v>0.10457742615063122</v>
      </c>
      <c r="AG542" s="2" t="s">
        <v>1175</v>
      </c>
    </row>
    <row r="543" spans="1:33" x14ac:dyDescent="0.3">
      <c r="A543">
        <v>609141</v>
      </c>
      <c r="B543" t="s">
        <v>1102</v>
      </c>
      <c r="C543" t="s">
        <v>1089</v>
      </c>
      <c r="D543" t="s">
        <v>1103</v>
      </c>
      <c r="E543" s="13">
        <v>6.9</v>
      </c>
      <c r="F543" s="14">
        <f t="shared" si="173"/>
        <v>0.8222222222222223</v>
      </c>
      <c r="G543" s="2">
        <v>51.133437000000001</v>
      </c>
      <c r="H543" s="2">
        <f t="shared" si="174"/>
        <v>0.20009837345223574</v>
      </c>
      <c r="I543" s="2">
        <v>34</v>
      </c>
      <c r="J543" s="4">
        <f t="shared" si="175"/>
        <v>0.26877470355731226</v>
      </c>
      <c r="K543" s="2">
        <v>0</v>
      </c>
      <c r="L543" s="4">
        <f t="shared" si="176"/>
        <v>0</v>
      </c>
      <c r="M543" s="2">
        <v>28466</v>
      </c>
      <c r="N543" s="2">
        <f t="shared" si="177"/>
        <v>0.13355381754694753</v>
      </c>
      <c r="O543" s="2">
        <v>0.18108813900000001</v>
      </c>
      <c r="P543" s="2">
        <f t="shared" si="178"/>
        <v>0.13174071666854645</v>
      </c>
      <c r="Q543" s="2">
        <v>0.20530000000000001</v>
      </c>
      <c r="R543" s="2">
        <f t="shared" si="179"/>
        <v>0.43514765489287788</v>
      </c>
      <c r="S543" s="2">
        <f t="shared" si="180"/>
        <v>3.8245478905327049E-2</v>
      </c>
      <c r="T543" s="5">
        <f t="shared" si="181"/>
        <v>9.9890124375684702E-2</v>
      </c>
      <c r="U543" s="2" t="str">
        <f t="shared" si="182"/>
        <v>No Impact</v>
      </c>
      <c r="V543" s="2">
        <f t="shared" si="183"/>
        <v>5.8715017949895726E-2</v>
      </c>
      <c r="W543" s="2">
        <f t="shared" si="184"/>
        <v>0.14242116429546731</v>
      </c>
      <c r="X543" s="2" t="s">
        <v>1176</v>
      </c>
      <c r="Y543" s="2">
        <f t="shared" si="185"/>
        <v>1.7775939860758361E-2</v>
      </c>
      <c r="Z543" s="2">
        <f t="shared" si="186"/>
        <v>4.5436720771401491E-2</v>
      </c>
      <c r="AA543" s="2" t="str">
        <f t="shared" si="187"/>
        <v>No Impact</v>
      </c>
      <c r="AB543" s="2">
        <f t="shared" si="188"/>
        <v>3.219024258209275E-2</v>
      </c>
      <c r="AC543" s="2">
        <f t="shared" si="189"/>
        <v>0.11695676272978417</v>
      </c>
      <c r="AD543" s="2" t="str">
        <f t="shared" si="190"/>
        <v>No Impact</v>
      </c>
      <c r="AE543" s="2">
        <f t="shared" si="191"/>
        <v>1.8020583832576386E-2</v>
      </c>
      <c r="AF543" s="2">
        <f t="shared" si="192"/>
        <v>0.13728289238708324</v>
      </c>
      <c r="AG543" s="2" t="s">
        <v>1175</v>
      </c>
    </row>
    <row r="544" spans="1:33" x14ac:dyDescent="0.3">
      <c r="A544">
        <v>609153</v>
      </c>
      <c r="B544" t="s">
        <v>1104</v>
      </c>
      <c r="C544" t="s">
        <v>1089</v>
      </c>
      <c r="D544" t="s">
        <v>1105</v>
      </c>
      <c r="E544" s="13">
        <v>7</v>
      </c>
      <c r="F544" s="14">
        <f t="shared" si="173"/>
        <v>0.84444444444444444</v>
      </c>
      <c r="G544" s="2">
        <v>51.133437000000001</v>
      </c>
      <c r="H544" s="2">
        <f t="shared" si="174"/>
        <v>0.20009837345223574</v>
      </c>
      <c r="I544" s="2">
        <v>27</v>
      </c>
      <c r="J544" s="4">
        <f t="shared" si="175"/>
        <v>0.2134387351778656</v>
      </c>
      <c r="K544" s="2">
        <v>0</v>
      </c>
      <c r="L544" s="4">
        <f t="shared" si="176"/>
        <v>0</v>
      </c>
      <c r="M544" s="2">
        <v>17294</v>
      </c>
      <c r="N544" s="2">
        <f t="shared" si="177"/>
        <v>8.0694383330257913E-2</v>
      </c>
      <c r="O544" s="2">
        <v>0.38552161600000001</v>
      </c>
      <c r="P544" s="2">
        <f t="shared" si="178"/>
        <v>0.36790025254789838</v>
      </c>
      <c r="Q544" s="2">
        <v>0.2225</v>
      </c>
      <c r="R544" s="2">
        <f t="shared" si="179"/>
        <v>0.48494499131441809</v>
      </c>
      <c r="S544" s="2">
        <f t="shared" si="180"/>
        <v>5.2118733091128376E-2</v>
      </c>
      <c r="T544" s="5">
        <f t="shared" si="181"/>
        <v>0.13612450098123324</v>
      </c>
      <c r="U544" s="2" t="str">
        <f t="shared" si="182"/>
        <v>No Impact</v>
      </c>
      <c r="V544" s="2">
        <f t="shared" si="183"/>
        <v>5.9271523756720589E-2</v>
      </c>
      <c r="W544" s="2">
        <f t="shared" si="184"/>
        <v>0.14377104389548412</v>
      </c>
      <c r="X544" s="2" t="s">
        <v>1176</v>
      </c>
      <c r="Y544" s="2">
        <f t="shared" si="185"/>
        <v>4.4965942425536178E-2</v>
      </c>
      <c r="Z544" s="2">
        <f t="shared" si="186"/>
        <v>0.1149365370391639</v>
      </c>
      <c r="AA544" s="2" t="str">
        <f t="shared" si="187"/>
        <v>No Impact</v>
      </c>
      <c r="AB544" s="2">
        <f t="shared" si="188"/>
        <v>3.7686769770234517E-2</v>
      </c>
      <c r="AC544" s="2">
        <f t="shared" si="189"/>
        <v>0.13692728716873082</v>
      </c>
      <c r="AD544" s="2" t="str">
        <f t="shared" si="190"/>
        <v>No Impact</v>
      </c>
      <c r="AE544" s="2">
        <f t="shared" si="191"/>
        <v>9.8627249363470188E-3</v>
      </c>
      <c r="AF544" s="2">
        <f t="shared" si="192"/>
        <v>7.5135379555921547E-2</v>
      </c>
      <c r="AG544" s="2" t="s">
        <v>1175</v>
      </c>
    </row>
    <row r="545" spans="1:33" x14ac:dyDescent="0.3">
      <c r="A545">
        <v>609159</v>
      </c>
      <c r="B545" t="s">
        <v>1106</v>
      </c>
      <c r="C545" t="s">
        <v>1089</v>
      </c>
      <c r="D545" t="s">
        <v>1107</v>
      </c>
      <c r="E545" s="13">
        <v>7</v>
      </c>
      <c r="F545" s="14">
        <f t="shared" si="173"/>
        <v>0.84444444444444444</v>
      </c>
      <c r="G545" s="2">
        <v>51.133437000000001</v>
      </c>
      <c r="H545" s="2">
        <f t="shared" si="174"/>
        <v>0.20009837345223574</v>
      </c>
      <c r="I545" s="2">
        <v>25.5</v>
      </c>
      <c r="J545" s="4">
        <f t="shared" si="175"/>
        <v>0.20158102766798419</v>
      </c>
      <c r="K545" s="2">
        <v>0</v>
      </c>
      <c r="L545" s="4">
        <f t="shared" si="176"/>
        <v>0</v>
      </c>
      <c r="M545" s="2">
        <v>16637</v>
      </c>
      <c r="N545" s="2">
        <f t="shared" si="177"/>
        <v>7.758583980355141E-2</v>
      </c>
      <c r="O545" s="2">
        <v>0.40573087299999999</v>
      </c>
      <c r="P545" s="2">
        <f t="shared" si="178"/>
        <v>0.39124578686851524</v>
      </c>
      <c r="Q545" s="2">
        <v>0.1827</v>
      </c>
      <c r="R545" s="2">
        <f t="shared" si="179"/>
        <v>0.36971627099015636</v>
      </c>
      <c r="S545" s="2">
        <f t="shared" si="180"/>
        <v>4.517016692099135E-2</v>
      </c>
      <c r="T545" s="5">
        <f t="shared" si="181"/>
        <v>0.11797613001467214</v>
      </c>
      <c r="U545" s="2" t="str">
        <f t="shared" si="182"/>
        <v>No Impact</v>
      </c>
      <c r="V545" s="2">
        <f t="shared" si="183"/>
        <v>4.3892190159981519E-2</v>
      </c>
      <c r="W545" s="2">
        <f t="shared" si="184"/>
        <v>0.10646640407054024</v>
      </c>
      <c r="X545" s="2" t="s">
        <v>1176</v>
      </c>
      <c r="Y545" s="2">
        <f t="shared" si="185"/>
        <v>4.6448143682001196E-2</v>
      </c>
      <c r="Z545" s="2">
        <f t="shared" si="186"/>
        <v>0.11872516172762233</v>
      </c>
      <c r="AA545" s="2" t="str">
        <f t="shared" si="187"/>
        <v>No Impact</v>
      </c>
      <c r="AB545" s="2">
        <f t="shared" si="188"/>
        <v>3.2520517876663727E-2</v>
      </c>
      <c r="AC545" s="2">
        <f t="shared" si="189"/>
        <v>0.11815675148923936</v>
      </c>
      <c r="AD545" s="2" t="str">
        <f t="shared" si="190"/>
        <v>No Impact</v>
      </c>
      <c r="AE545" s="2">
        <f t="shared" si="191"/>
        <v>9.2108806173424006E-3</v>
      </c>
      <c r="AF545" s="2">
        <f t="shared" si="192"/>
        <v>7.0169554123713632E-2</v>
      </c>
      <c r="AG545" s="2" t="s">
        <v>1175</v>
      </c>
    </row>
    <row r="546" spans="1:33" x14ac:dyDescent="0.3">
      <c r="A546">
        <v>609162</v>
      </c>
      <c r="B546" t="s">
        <v>1108</v>
      </c>
      <c r="C546" t="s">
        <v>1089</v>
      </c>
      <c r="D546" t="s">
        <v>1109</v>
      </c>
      <c r="E546" s="13">
        <v>7</v>
      </c>
      <c r="F546" s="14">
        <f t="shared" si="173"/>
        <v>0.84444444444444444</v>
      </c>
      <c r="G546" s="2">
        <v>51.133437000000001</v>
      </c>
      <c r="H546" s="2">
        <f t="shared" si="174"/>
        <v>0.20009837345223574</v>
      </c>
      <c r="I546" s="2">
        <v>23.1</v>
      </c>
      <c r="J546" s="4">
        <f t="shared" si="175"/>
        <v>0.18260869565217391</v>
      </c>
      <c r="K546" s="2">
        <v>0</v>
      </c>
      <c r="L546" s="4">
        <f t="shared" si="176"/>
        <v>0</v>
      </c>
      <c r="M546" s="2">
        <v>11227</v>
      </c>
      <c r="N546" s="2">
        <f t="shared" si="177"/>
        <v>5.1988852772376075E-2</v>
      </c>
      <c r="O546" s="2">
        <v>0.52805083100000005</v>
      </c>
      <c r="P546" s="2">
        <f t="shared" si="178"/>
        <v>0.53254859565487578</v>
      </c>
      <c r="Q546" s="2">
        <v>0.23880000000000001</v>
      </c>
      <c r="R546" s="2">
        <f t="shared" si="179"/>
        <v>0.53213665315576153</v>
      </c>
      <c r="S546" s="2">
        <f t="shared" si="180"/>
        <v>6.0213913283450465E-2</v>
      </c>
      <c r="T546" s="5">
        <f t="shared" si="181"/>
        <v>0.15726761591663027</v>
      </c>
      <c r="U546" s="2" t="str">
        <f t="shared" si="182"/>
        <v>Low</v>
      </c>
      <c r="V546" s="2">
        <f t="shared" si="183"/>
        <v>6.019061562816018E-2</v>
      </c>
      <c r="W546" s="2">
        <f t="shared" si="184"/>
        <v>0.14600042470801541</v>
      </c>
      <c r="X546" s="2" t="s">
        <v>1176</v>
      </c>
      <c r="Y546" s="2">
        <f t="shared" si="185"/>
        <v>6.0237210938740737E-2</v>
      </c>
      <c r="Z546" s="2">
        <f t="shared" si="186"/>
        <v>0.15397111797805152</v>
      </c>
      <c r="AA546" s="2" t="str">
        <f t="shared" si="187"/>
        <v>Low</v>
      </c>
      <c r="AB546" s="2">
        <f t="shared" si="188"/>
        <v>4.1196061292494299E-2</v>
      </c>
      <c r="AC546" s="2">
        <f t="shared" si="189"/>
        <v>0.14967759108060327</v>
      </c>
      <c r="AD546" s="2" t="str">
        <f t="shared" si="190"/>
        <v>No Impact</v>
      </c>
      <c r="AE546" s="2">
        <f t="shared" si="191"/>
        <v>5.8805215457600497E-3</v>
      </c>
      <c r="AF546" s="2">
        <f t="shared" si="192"/>
        <v>4.4798493436551609E-2</v>
      </c>
      <c r="AG546" s="2" t="s">
        <v>1176</v>
      </c>
    </row>
    <row r="547" spans="1:33" x14ac:dyDescent="0.3">
      <c r="A547">
        <v>609194</v>
      </c>
      <c r="B547" t="s">
        <v>1110</v>
      </c>
      <c r="C547" t="s">
        <v>1089</v>
      </c>
      <c r="D547" t="s">
        <v>1111</v>
      </c>
      <c r="E547" s="13">
        <v>7</v>
      </c>
      <c r="F547" s="14">
        <f t="shared" si="173"/>
        <v>0.84444444444444444</v>
      </c>
      <c r="G547" s="2">
        <v>46.879531200000002</v>
      </c>
      <c r="H547" s="2">
        <f t="shared" si="174"/>
        <v>0.15413856615268609</v>
      </c>
      <c r="I547" s="2">
        <v>21.5</v>
      </c>
      <c r="J547" s="4">
        <f t="shared" si="175"/>
        <v>0.16996047430830039</v>
      </c>
      <c r="K547" s="2">
        <v>0</v>
      </c>
      <c r="L547" s="4">
        <f t="shared" si="176"/>
        <v>0</v>
      </c>
      <c r="M547" s="2">
        <v>13447</v>
      </c>
      <c r="N547" s="2">
        <f t="shared" si="177"/>
        <v>6.2492607154854676E-2</v>
      </c>
      <c r="O547" s="2">
        <v>0.22514314299999999</v>
      </c>
      <c r="P547" s="2">
        <f t="shared" si="178"/>
        <v>0.18263262268354313</v>
      </c>
      <c r="Q547" s="2">
        <v>0.182</v>
      </c>
      <c r="R547" s="2">
        <f t="shared" si="179"/>
        <v>0.36768963520555881</v>
      </c>
      <c r="S547" s="2">
        <f t="shared" si="180"/>
        <v>2.6357484212869039E-2</v>
      </c>
      <c r="T547" s="5">
        <f t="shared" si="181"/>
        <v>6.8840878755133464E-2</v>
      </c>
      <c r="U547" s="2" t="str">
        <f t="shared" si="182"/>
        <v>No Impact</v>
      </c>
      <c r="V547" s="2">
        <f t="shared" si="183"/>
        <v>3.522072246301565E-2</v>
      </c>
      <c r="W547" s="2">
        <f t="shared" si="184"/>
        <v>8.5432594175322341E-2</v>
      </c>
      <c r="X547" s="2" t="s">
        <v>1176</v>
      </c>
      <c r="Y547" s="2">
        <f t="shared" si="185"/>
        <v>1.7494245962722428E-2</v>
      </c>
      <c r="Z547" s="2">
        <f t="shared" si="186"/>
        <v>4.4716688689366742E-2</v>
      </c>
      <c r="AA547" s="2" t="str">
        <f t="shared" si="187"/>
        <v>No Impact</v>
      </c>
      <c r="AB547" s="2">
        <f t="shared" si="188"/>
        <v>1.9670669120624762E-2</v>
      </c>
      <c r="AC547" s="2">
        <f t="shared" si="189"/>
        <v>7.1469414224197961E-2</v>
      </c>
      <c r="AD547" s="2" t="str">
        <f t="shared" si="190"/>
        <v>No Impact</v>
      </c>
      <c r="AE547" s="2">
        <f t="shared" si="191"/>
        <v>5.9861213421501611E-3</v>
      </c>
      <c r="AF547" s="2">
        <f t="shared" si="192"/>
        <v>4.5602964901994072E-2</v>
      </c>
      <c r="AG547" s="2" t="s">
        <v>1176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2026-09-01T08:47:42Z</dcterms:modified>
</cp:coreProperties>
</file>