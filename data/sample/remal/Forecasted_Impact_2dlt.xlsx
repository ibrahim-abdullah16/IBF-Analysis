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brahim\IBF-Analysis\data\sample\remal\"/>
    </mc:Choice>
  </mc:AlternateContent>
  <xr:revisionPtr revIDLastSave="0" documentId="13_ncr:1_{1534FD68-40EA-401A-931A-81F8D84BD8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mal" sheetId="1" r:id="rId1"/>
  </sheets>
  <definedNames>
    <definedName name="_xlnm._FilterDatabase" localSheetId="0" hidden="1">Remal!$A$1:$AK$547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13" i="1" l="1"/>
  <c r="AJ12" i="1"/>
  <c r="AI12" i="1" l="1"/>
  <c r="AJ11" i="1"/>
  <c r="AI11" i="1"/>
  <c r="AJ9" i="1"/>
  <c r="AI9" i="1"/>
  <c r="AJ8" i="1"/>
  <c r="AI8" i="1"/>
  <c r="AJ7" i="1"/>
  <c r="AI7" i="1"/>
  <c r="AJ6" i="1"/>
  <c r="AI6" i="1"/>
  <c r="AJ5" i="1"/>
  <c r="AI5" i="1"/>
  <c r="AK12" i="1" l="1"/>
  <c r="AK11" i="1"/>
  <c r="AK9" i="1"/>
  <c r="AK8" i="1"/>
  <c r="L46" i="1" s="1"/>
  <c r="AK7" i="1"/>
  <c r="J7" i="1" s="1"/>
  <c r="AK6" i="1"/>
  <c r="AK5" i="1"/>
  <c r="F547" i="1" s="1"/>
  <c r="F500" i="1" l="1"/>
  <c r="F249" i="1"/>
  <c r="F537" i="1"/>
  <c r="F382" i="1"/>
  <c r="F131" i="1"/>
  <c r="F419" i="1"/>
  <c r="F260" i="1"/>
  <c r="F348" i="1"/>
  <c r="F492" i="1"/>
  <c r="F120" i="1"/>
  <c r="F205" i="1"/>
  <c r="F445" i="1"/>
  <c r="F50" i="1"/>
  <c r="F194" i="1"/>
  <c r="F338" i="1"/>
  <c r="F482" i="1"/>
  <c r="F166" i="1"/>
  <c r="F459" i="1"/>
  <c r="F3" i="1"/>
  <c r="F375" i="1"/>
  <c r="F531" i="1"/>
  <c r="F124" i="1"/>
  <c r="F268" i="1"/>
  <c r="F412" i="1"/>
  <c r="F8" i="1"/>
  <c r="F181" i="1"/>
  <c r="F293" i="1"/>
  <c r="F461" i="1"/>
  <c r="F36" i="1"/>
  <c r="F113" i="1"/>
  <c r="F114" i="1"/>
  <c r="F258" i="1"/>
  <c r="F402" i="1"/>
  <c r="F546" i="1"/>
  <c r="F243" i="1"/>
  <c r="F54" i="1"/>
  <c r="F127" i="1"/>
  <c r="F271" i="1"/>
  <c r="F415" i="1"/>
  <c r="F93" i="1"/>
  <c r="F105" i="1"/>
  <c r="F393" i="1"/>
  <c r="F238" i="1"/>
  <c r="F526" i="1"/>
  <c r="F275" i="1"/>
  <c r="F409" i="1"/>
  <c r="F512" i="1"/>
  <c r="F117" i="1"/>
  <c r="F261" i="1"/>
  <c r="F405" i="1"/>
  <c r="F20" i="1"/>
  <c r="F250" i="1"/>
  <c r="F394" i="1"/>
  <c r="F538" i="1"/>
  <c r="F143" i="1"/>
  <c r="F287" i="1"/>
  <c r="F431" i="1"/>
  <c r="F476" i="1"/>
  <c r="F360" i="1"/>
  <c r="F504" i="1"/>
  <c r="F204" i="1"/>
  <c r="F529" i="1"/>
  <c r="F229" i="1"/>
  <c r="F457" i="1"/>
  <c r="F62" i="1"/>
  <c r="F206" i="1"/>
  <c r="F350" i="1"/>
  <c r="F494" i="1"/>
  <c r="F84" i="1"/>
  <c r="F80" i="1"/>
  <c r="F39" i="1"/>
  <c r="F387" i="1"/>
  <c r="F543" i="1"/>
  <c r="F136" i="1"/>
  <c r="F280" i="1"/>
  <c r="F424" i="1"/>
  <c r="F116" i="1"/>
  <c r="F63" i="1"/>
  <c r="F305" i="1"/>
  <c r="F473" i="1"/>
  <c r="F132" i="1"/>
  <c r="F149" i="1"/>
  <c r="F126" i="1"/>
  <c r="F270" i="1"/>
  <c r="F414" i="1"/>
  <c r="F68" i="1"/>
  <c r="F17" i="1"/>
  <c r="F78" i="1"/>
  <c r="F139" i="1"/>
  <c r="F283" i="1"/>
  <c r="F427" i="1"/>
  <c r="F129" i="1"/>
  <c r="F299" i="1"/>
  <c r="F469" i="1"/>
  <c r="F399" i="1"/>
  <c r="F99" i="1"/>
  <c r="F282" i="1"/>
  <c r="F200" i="1"/>
  <c r="F141" i="1"/>
  <c r="F167" i="1"/>
  <c r="F272" i="1"/>
  <c r="F518" i="1"/>
  <c r="F160" i="1"/>
  <c r="F497" i="1"/>
  <c r="F294" i="1"/>
  <c r="F438" i="1"/>
  <c r="F153" i="1"/>
  <c r="F344" i="1"/>
  <c r="F286" i="1"/>
  <c r="F430" i="1"/>
  <c r="F35" i="1"/>
  <c r="F179" i="1"/>
  <c r="F323" i="1"/>
  <c r="F467" i="1"/>
  <c r="F108" i="1"/>
  <c r="F396" i="1"/>
  <c r="F540" i="1"/>
  <c r="F157" i="1"/>
  <c r="F380" i="1"/>
  <c r="F301" i="1"/>
  <c r="F493" i="1"/>
  <c r="F98" i="1"/>
  <c r="F242" i="1"/>
  <c r="F386" i="1"/>
  <c r="F530" i="1"/>
  <c r="F169" i="1"/>
  <c r="F452" i="1"/>
  <c r="F195" i="1"/>
  <c r="F423" i="1"/>
  <c r="F28" i="1"/>
  <c r="F172" i="1"/>
  <c r="F316" i="1"/>
  <c r="F460" i="1"/>
  <c r="F428" i="1"/>
  <c r="F267" i="1"/>
  <c r="F365" i="1"/>
  <c r="F509" i="1"/>
  <c r="F145" i="1"/>
  <c r="F245" i="1"/>
  <c r="F162" i="1"/>
  <c r="F306" i="1"/>
  <c r="F450" i="1"/>
  <c r="F142" i="1"/>
  <c r="F125" i="1"/>
  <c r="F31" i="1"/>
  <c r="F175" i="1"/>
  <c r="F319" i="1"/>
  <c r="F463" i="1"/>
  <c r="F524" i="1"/>
  <c r="F406" i="1"/>
  <c r="F443" i="1"/>
  <c r="F253" i="1"/>
  <c r="F506" i="1"/>
  <c r="F4" i="1"/>
  <c r="F216" i="1"/>
  <c r="F151" i="1"/>
  <c r="F429" i="1"/>
  <c r="F455" i="1"/>
  <c r="F86" i="1"/>
  <c r="F411" i="1"/>
  <c r="F341" i="1"/>
  <c r="F89" i="1"/>
  <c r="F297" i="1"/>
  <c r="F21" i="1"/>
  <c r="F453" i="1"/>
  <c r="F191" i="1"/>
  <c r="F180" i="1"/>
  <c r="F505" i="1"/>
  <c r="F254" i="1"/>
  <c r="F542" i="1"/>
  <c r="F51" i="1"/>
  <c r="F46" i="1"/>
  <c r="F219" i="1"/>
  <c r="F328" i="1"/>
  <c r="F29" i="1"/>
  <c r="F377" i="1"/>
  <c r="F521" i="1"/>
  <c r="F27" i="1"/>
  <c r="F281" i="1"/>
  <c r="F174" i="1"/>
  <c r="F318" i="1"/>
  <c r="F462" i="1"/>
  <c r="F96" i="1"/>
  <c r="F161" i="1"/>
  <c r="F43" i="1"/>
  <c r="F187" i="1"/>
  <c r="F331" i="1"/>
  <c r="F475" i="1"/>
  <c r="F273" i="1"/>
  <c r="F58" i="1"/>
  <c r="F74" i="1"/>
  <c r="F123" i="1"/>
  <c r="F317" i="1"/>
  <c r="F439" i="1"/>
  <c r="F274" i="1"/>
  <c r="F384" i="1"/>
  <c r="F230" i="1"/>
  <c r="F16" i="1"/>
  <c r="F61" i="1"/>
  <c r="F163" i="1"/>
  <c r="F404" i="1"/>
  <c r="F56" i="1"/>
  <c r="F82" i="1"/>
  <c r="F177" i="1"/>
  <c r="F310" i="1"/>
  <c r="F59" i="1"/>
  <c r="F491" i="1"/>
  <c r="F241" i="1"/>
  <c r="F349" i="1"/>
  <c r="F122" i="1"/>
  <c r="F266" i="1"/>
  <c r="F410" i="1"/>
  <c r="F32" i="1"/>
  <c r="F111" i="1"/>
  <c r="F154" i="1"/>
  <c r="F279" i="1"/>
  <c r="F196" i="1"/>
  <c r="F178" i="1"/>
  <c r="F65" i="1"/>
  <c r="F389" i="1"/>
  <c r="F533" i="1"/>
  <c r="F87" i="1"/>
  <c r="F329" i="1"/>
  <c r="F186" i="1"/>
  <c r="F330" i="1"/>
  <c r="F474" i="1"/>
  <c r="F240" i="1"/>
  <c r="F197" i="1"/>
  <c r="F55" i="1"/>
  <c r="F199" i="1"/>
  <c r="F343" i="1"/>
  <c r="F487" i="1"/>
  <c r="F262" i="1"/>
  <c r="F516" i="1"/>
  <c r="F362" i="1"/>
  <c r="F292" i="1"/>
  <c r="F138" i="1"/>
  <c r="F53" i="1"/>
  <c r="F418" i="1"/>
  <c r="F528" i="1"/>
  <c r="F374" i="1"/>
  <c r="F304" i="1"/>
  <c r="F209" i="1"/>
  <c r="F19" i="1"/>
  <c r="F9" i="1"/>
  <c r="F442" i="1"/>
  <c r="F217" i="1"/>
  <c r="F472" i="1"/>
  <c r="F104" i="1"/>
  <c r="F465" i="1"/>
  <c r="F454" i="1"/>
  <c r="F347" i="1"/>
  <c r="F420" i="1"/>
  <c r="F517" i="1"/>
  <c r="F447" i="1"/>
  <c r="F189" i="1"/>
  <c r="F322" i="1"/>
  <c r="F359" i="1"/>
  <c r="F503" i="1"/>
  <c r="F288" i="1"/>
  <c r="F432" i="1"/>
  <c r="F284" i="1"/>
  <c r="F265" i="1"/>
  <c r="F60" i="1"/>
  <c r="F373" i="1"/>
  <c r="F541" i="1"/>
  <c r="F134" i="1"/>
  <c r="F278" i="1"/>
  <c r="F422" i="1"/>
  <c r="F140" i="1"/>
  <c r="F183" i="1"/>
  <c r="F48" i="1"/>
  <c r="F303" i="1"/>
  <c r="F471" i="1"/>
  <c r="F64" i="1"/>
  <c r="F208" i="1"/>
  <c r="F352" i="1"/>
  <c r="F496" i="1"/>
  <c r="F72" i="1"/>
  <c r="F101" i="1"/>
  <c r="F401" i="1"/>
  <c r="F545" i="1"/>
  <c r="F147" i="1"/>
  <c r="F18" i="1"/>
  <c r="F198" i="1"/>
  <c r="F342" i="1"/>
  <c r="F486" i="1"/>
  <c r="F49" i="1"/>
  <c r="F233" i="1"/>
  <c r="F67" i="1"/>
  <c r="F211" i="1"/>
  <c r="F355" i="1"/>
  <c r="F499" i="1"/>
  <c r="F11" i="1"/>
  <c r="F128" i="1"/>
  <c r="F176" i="1"/>
  <c r="F224" i="1"/>
  <c r="F295" i="1"/>
  <c r="F248" i="1"/>
  <c r="F24" i="1"/>
  <c r="F481" i="1"/>
  <c r="F159" i="1"/>
  <c r="F171" i="1"/>
  <c r="F451" i="1"/>
  <c r="F47" i="1"/>
  <c r="F10" i="1"/>
  <c r="F184" i="1"/>
  <c r="F321" i="1"/>
  <c r="F264" i="1"/>
  <c r="F484" i="1"/>
  <c r="F45" i="1"/>
  <c r="F333" i="1"/>
  <c r="F466" i="1"/>
  <c r="F57" i="1"/>
  <c r="F489" i="1"/>
  <c r="F334" i="1"/>
  <c r="F227" i="1"/>
  <c r="F371" i="1"/>
  <c r="F300" i="1"/>
  <c r="F464" i="1"/>
  <c r="F289" i="1"/>
  <c r="F144" i="1"/>
  <c r="F2" i="1"/>
  <c r="F146" i="1"/>
  <c r="F290" i="1"/>
  <c r="F434" i="1"/>
  <c r="F212" i="1"/>
  <c r="F168" i="1"/>
  <c r="F315" i="1"/>
  <c r="F483" i="1"/>
  <c r="F76" i="1"/>
  <c r="F220" i="1"/>
  <c r="F364" i="1"/>
  <c r="F508" i="1"/>
  <c r="F156" i="1"/>
  <c r="F137" i="1"/>
  <c r="F44" i="1"/>
  <c r="F231" i="1"/>
  <c r="F42" i="1"/>
  <c r="F210" i="1"/>
  <c r="F354" i="1"/>
  <c r="F498" i="1"/>
  <c r="F133" i="1"/>
  <c r="F269" i="1"/>
  <c r="F79" i="1"/>
  <c r="F223" i="1"/>
  <c r="F367" i="1"/>
  <c r="F511" i="1"/>
  <c r="F417" i="1"/>
  <c r="F155" i="1"/>
  <c r="F13" i="1"/>
  <c r="F252" i="1"/>
  <c r="F436" i="1"/>
  <c r="F185" i="1"/>
  <c r="F7" i="1"/>
  <c r="F536" i="1"/>
  <c r="F23" i="1"/>
  <c r="F73" i="1"/>
  <c r="F97" i="1"/>
  <c r="F448" i="1"/>
  <c r="F150" i="1"/>
  <c r="F392" i="1"/>
  <c r="F441" i="1"/>
  <c r="F165" i="1"/>
  <c r="F298" i="1"/>
  <c r="F335" i="1"/>
  <c r="F408" i="1"/>
  <c r="F110" i="1"/>
  <c r="F398" i="1"/>
  <c r="F435" i="1"/>
  <c r="F33" i="1"/>
  <c r="F203" i="1"/>
  <c r="F106" i="1"/>
  <c r="F52" i="1"/>
  <c r="F236" i="1"/>
  <c r="F118" i="1"/>
  <c r="F215" i="1"/>
  <c r="F201" i="1"/>
  <c r="F190" i="1"/>
  <c r="F478" i="1"/>
  <c r="F515" i="1"/>
  <c r="F385" i="1"/>
  <c r="F413" i="1"/>
  <c r="F356" i="1"/>
  <c r="F69" i="1"/>
  <c r="F213" i="1"/>
  <c r="F357" i="1"/>
  <c r="F501" i="1"/>
  <c r="F202" i="1"/>
  <c r="F346" i="1"/>
  <c r="F490" i="1"/>
  <c r="F95" i="1"/>
  <c r="F239" i="1"/>
  <c r="F383" i="1"/>
  <c r="F527" i="1"/>
  <c r="F312" i="1"/>
  <c r="F456" i="1"/>
  <c r="F34" i="1"/>
  <c r="F313" i="1"/>
  <c r="F192" i="1"/>
  <c r="F397" i="1"/>
  <c r="F14" i="1"/>
  <c r="F158" i="1"/>
  <c r="F302" i="1"/>
  <c r="F446" i="1"/>
  <c r="F308" i="1"/>
  <c r="F255" i="1"/>
  <c r="F276" i="1"/>
  <c r="F339" i="1"/>
  <c r="F495" i="1"/>
  <c r="F88" i="1"/>
  <c r="F232" i="1"/>
  <c r="F376" i="1"/>
  <c r="F520" i="1"/>
  <c r="F228" i="1"/>
  <c r="F173" i="1"/>
  <c r="F425" i="1"/>
  <c r="F188" i="1"/>
  <c r="F5" i="1"/>
  <c r="F66" i="1"/>
  <c r="F222" i="1"/>
  <c r="F366" i="1"/>
  <c r="F510" i="1"/>
  <c r="F15" i="1"/>
  <c r="F353" i="1"/>
  <c r="F91" i="1"/>
  <c r="F235" i="1"/>
  <c r="F379" i="1"/>
  <c r="F523" i="1"/>
  <c r="F152" i="1"/>
  <c r="F372" i="1"/>
  <c r="F218" i="1"/>
  <c r="F148" i="1"/>
  <c r="F485" i="1"/>
  <c r="F426" i="1"/>
  <c r="F285" i="1"/>
  <c r="F311" i="1"/>
  <c r="F277" i="1"/>
  <c r="F296" i="1"/>
  <c r="F332" i="1"/>
  <c r="F307" i="1"/>
  <c r="F309" i="1"/>
  <c r="F479" i="1"/>
  <c r="F325" i="1"/>
  <c r="F40" i="1"/>
  <c r="F22" i="1"/>
  <c r="F164" i="1"/>
  <c r="F340" i="1"/>
  <c r="F477" i="1"/>
  <c r="F71" i="1"/>
  <c r="F320" i="1"/>
  <c r="F345" i="1"/>
  <c r="F83" i="1"/>
  <c r="F444" i="1"/>
  <c r="F207" i="1"/>
  <c r="F368" i="1"/>
  <c r="F81" i="1"/>
  <c r="F225" i="1"/>
  <c r="F369" i="1"/>
  <c r="F513" i="1"/>
  <c r="F214" i="1"/>
  <c r="F358" i="1"/>
  <c r="F502" i="1"/>
  <c r="F107" i="1"/>
  <c r="F251" i="1"/>
  <c r="F395" i="1"/>
  <c r="F539" i="1"/>
  <c r="F324" i="1"/>
  <c r="F468" i="1"/>
  <c r="F130" i="1"/>
  <c r="F337" i="1"/>
  <c r="F25" i="1"/>
  <c r="F421" i="1"/>
  <c r="F26" i="1"/>
  <c r="F170" i="1"/>
  <c r="F314" i="1"/>
  <c r="F458" i="1"/>
  <c r="F416" i="1"/>
  <c r="F291" i="1"/>
  <c r="F85" i="1"/>
  <c r="F351" i="1"/>
  <c r="F507" i="1"/>
  <c r="F100" i="1"/>
  <c r="F244" i="1"/>
  <c r="F388" i="1"/>
  <c r="F532" i="1"/>
  <c r="F37" i="1"/>
  <c r="F221" i="1"/>
  <c r="F437" i="1"/>
  <c r="F440" i="1"/>
  <c r="F41" i="1"/>
  <c r="F90" i="1"/>
  <c r="F234" i="1"/>
  <c r="F378" i="1"/>
  <c r="F522" i="1"/>
  <c r="F75" i="1"/>
  <c r="F6" i="1"/>
  <c r="F103" i="1"/>
  <c r="F247" i="1"/>
  <c r="F391" i="1"/>
  <c r="F535" i="1"/>
  <c r="F488" i="1"/>
  <c r="F237" i="1"/>
  <c r="F381" i="1"/>
  <c r="F525" i="1"/>
  <c r="F226" i="1"/>
  <c r="F370" i="1"/>
  <c r="F514" i="1"/>
  <c r="F119" i="1"/>
  <c r="F263" i="1"/>
  <c r="F407" i="1"/>
  <c r="F92" i="1"/>
  <c r="F336" i="1"/>
  <c r="F480" i="1"/>
  <c r="F12" i="1"/>
  <c r="F361" i="1"/>
  <c r="F121" i="1"/>
  <c r="F433" i="1"/>
  <c r="F38" i="1"/>
  <c r="F182" i="1"/>
  <c r="F326" i="1"/>
  <c r="F470" i="1"/>
  <c r="F94" i="1"/>
  <c r="F327" i="1"/>
  <c r="F193" i="1"/>
  <c r="F363" i="1"/>
  <c r="F519" i="1"/>
  <c r="F112" i="1"/>
  <c r="F256" i="1"/>
  <c r="F400" i="1"/>
  <c r="F544" i="1"/>
  <c r="F109" i="1"/>
  <c r="F257" i="1"/>
  <c r="F449" i="1"/>
  <c r="F70" i="1"/>
  <c r="F77" i="1"/>
  <c r="F102" i="1"/>
  <c r="F246" i="1"/>
  <c r="F390" i="1"/>
  <c r="F534" i="1"/>
  <c r="F135" i="1"/>
  <c r="F30" i="1"/>
  <c r="F115" i="1"/>
  <c r="F259" i="1"/>
  <c r="F403" i="1"/>
  <c r="AE119" i="1"/>
  <c r="H306" i="1"/>
  <c r="H113" i="1"/>
  <c r="N276" i="1"/>
  <c r="N317" i="1"/>
  <c r="N105" i="1"/>
  <c r="N80" i="1"/>
  <c r="N113" i="1"/>
  <c r="P30" i="1"/>
  <c r="P113" i="1"/>
  <c r="P80" i="1"/>
  <c r="P105" i="1"/>
  <c r="P317" i="1"/>
  <c r="R80" i="1"/>
  <c r="R105" i="1"/>
  <c r="R317" i="1"/>
  <c r="R113" i="1"/>
  <c r="N36" i="1"/>
  <c r="H105" i="1"/>
  <c r="J113" i="1"/>
  <c r="L113" i="1"/>
  <c r="H80" i="1"/>
  <c r="L105" i="1"/>
  <c r="J105" i="1"/>
  <c r="J80" i="1"/>
  <c r="L80" i="1"/>
  <c r="H317" i="1"/>
  <c r="H36" i="1"/>
  <c r="R36" i="1"/>
  <c r="R7" i="1"/>
  <c r="P7" i="1"/>
  <c r="P36" i="1"/>
  <c r="N7" i="1"/>
  <c r="J36" i="1"/>
  <c r="L36" i="1"/>
  <c r="H7" i="1"/>
  <c r="L317" i="1"/>
  <c r="L7" i="1"/>
  <c r="J294" i="1"/>
  <c r="J317" i="1"/>
  <c r="P24" i="1"/>
  <c r="H482" i="1"/>
  <c r="H422" i="1"/>
  <c r="H164" i="1"/>
  <c r="H150" i="1"/>
  <c r="H136" i="1"/>
  <c r="H260" i="1"/>
  <c r="H235" i="1"/>
  <c r="H121" i="1"/>
  <c r="L221" i="1"/>
  <c r="H106" i="1"/>
  <c r="H456" i="1"/>
  <c r="L376" i="1"/>
  <c r="H486" i="1"/>
  <c r="H476" i="1"/>
  <c r="L521" i="1"/>
  <c r="H29" i="1"/>
  <c r="H24" i="1"/>
  <c r="L466" i="1"/>
  <c r="H17" i="1"/>
  <c r="H436" i="1"/>
  <c r="H377" i="1"/>
  <c r="H176" i="1"/>
  <c r="J116" i="1"/>
  <c r="L535" i="1"/>
  <c r="L454" i="1"/>
  <c r="J78" i="1"/>
  <c r="L390" i="1"/>
  <c r="L527" i="1"/>
  <c r="L382" i="1"/>
  <c r="J143" i="1"/>
  <c r="L370" i="1"/>
  <c r="J89" i="1"/>
  <c r="L29" i="1"/>
  <c r="L503" i="1"/>
  <c r="L61" i="1"/>
  <c r="L181" i="1"/>
  <c r="J293" i="1"/>
  <c r="J313" i="1"/>
  <c r="L266" i="1"/>
  <c r="J367" i="1"/>
  <c r="J301" i="1"/>
  <c r="L74" i="1"/>
  <c r="L178" i="1"/>
  <c r="L21" i="1"/>
  <c r="J289" i="1"/>
  <c r="L192" i="1"/>
  <c r="L103" i="1"/>
  <c r="L208" i="1"/>
  <c r="L122" i="1"/>
  <c r="H89" i="1"/>
  <c r="J265" i="1"/>
  <c r="H139" i="1"/>
  <c r="J43" i="1"/>
  <c r="J504" i="1"/>
  <c r="L539" i="1"/>
  <c r="L394" i="1"/>
  <c r="J161" i="1"/>
  <c r="J66" i="1"/>
  <c r="L434" i="1"/>
  <c r="J449" i="1"/>
  <c r="J54" i="1"/>
  <c r="L448" i="1"/>
  <c r="L515" i="1"/>
  <c r="J401" i="1"/>
  <c r="J296" i="1"/>
  <c r="L462" i="1"/>
  <c r="L253" i="1"/>
  <c r="J338" i="1"/>
  <c r="J34" i="1"/>
  <c r="L44" i="1"/>
  <c r="L278" i="1"/>
  <c r="L60" i="1"/>
  <c r="L75" i="1"/>
  <c r="L58" i="1"/>
  <c r="L254" i="1"/>
  <c r="J352" i="1"/>
  <c r="L89" i="1"/>
  <c r="L134" i="1"/>
  <c r="J211" i="1"/>
  <c r="J277" i="1"/>
  <c r="L207" i="1"/>
  <c r="L507" i="1"/>
  <c r="L478" i="1"/>
  <c r="H18" i="1"/>
  <c r="J35" i="1"/>
  <c r="J193" i="1"/>
  <c r="H245" i="1"/>
  <c r="J252" i="1"/>
  <c r="J9" i="1"/>
  <c r="J515" i="1"/>
  <c r="J505" i="1"/>
  <c r="J479" i="1"/>
  <c r="J467" i="1"/>
  <c r="J447" i="1"/>
  <c r="J230" i="1"/>
  <c r="J67" i="1"/>
  <c r="J519" i="1"/>
  <c r="J405" i="1"/>
  <c r="J40" i="1"/>
  <c r="J393" i="1"/>
  <c r="J489" i="1"/>
  <c r="J336" i="1"/>
  <c r="J218" i="1"/>
  <c r="J55" i="1"/>
  <c r="H74" i="1"/>
  <c r="H41" i="1"/>
  <c r="H55" i="1"/>
  <c r="J337" i="1"/>
  <c r="J546" i="1"/>
  <c r="J182" i="1"/>
  <c r="J322" i="1"/>
  <c r="H544" i="1"/>
  <c r="L293" i="1"/>
  <c r="L222" i="1"/>
  <c r="L218" i="1"/>
  <c r="L169" i="1"/>
  <c r="H253" i="1"/>
  <c r="H43" i="1"/>
  <c r="H86" i="1"/>
  <c r="J244" i="1"/>
  <c r="J532" i="1"/>
  <c r="J170" i="1"/>
  <c r="J288" i="1"/>
  <c r="J222" i="1"/>
  <c r="P377" i="1"/>
  <c r="H408" i="1"/>
  <c r="H502" i="1"/>
  <c r="H364" i="1"/>
  <c r="H65" i="1"/>
  <c r="J152" i="1"/>
  <c r="L362" i="1"/>
  <c r="L236" i="1"/>
  <c r="L146" i="1"/>
  <c r="L83" i="1"/>
  <c r="H479" i="1"/>
  <c r="H30" i="1"/>
  <c r="H242" i="1"/>
  <c r="J226" i="1"/>
  <c r="J518" i="1"/>
  <c r="J63" i="1"/>
  <c r="J264" i="1"/>
  <c r="J270" i="1"/>
  <c r="P185" i="1"/>
  <c r="J131" i="1"/>
  <c r="J20" i="1"/>
  <c r="J180" i="1"/>
  <c r="J437" i="1"/>
  <c r="H244" i="1"/>
  <c r="H85" i="1"/>
  <c r="H32" i="1"/>
  <c r="H284" i="1"/>
  <c r="H62" i="1"/>
  <c r="H285" i="1"/>
  <c r="J68" i="1"/>
  <c r="J196" i="1"/>
  <c r="J181" i="1"/>
  <c r="L534" i="1"/>
  <c r="L109" i="1"/>
  <c r="H131" i="1"/>
  <c r="H481" i="1"/>
  <c r="H201" i="1"/>
  <c r="J178" i="1"/>
  <c r="J319" i="1"/>
  <c r="J3" i="1"/>
  <c r="J168" i="1"/>
  <c r="J458" i="1"/>
  <c r="L235" i="1"/>
  <c r="L407" i="1"/>
  <c r="L229" i="1"/>
  <c r="H254" i="1"/>
  <c r="H240" i="1"/>
  <c r="H320" i="1"/>
  <c r="J57" i="1"/>
  <c r="J37" i="1"/>
  <c r="J243" i="1"/>
  <c r="J305" i="1"/>
  <c r="J371" i="1"/>
  <c r="J478" i="1"/>
  <c r="J133" i="1"/>
  <c r="J132" i="1"/>
  <c r="J524" i="1"/>
  <c r="L249" i="1"/>
  <c r="L16" i="1"/>
  <c r="L333" i="1"/>
  <c r="L383" i="1"/>
  <c r="L59" i="1"/>
  <c r="L217" i="1"/>
  <c r="H344" i="1"/>
  <c r="H77" i="1"/>
  <c r="H521" i="1"/>
  <c r="H464" i="1"/>
  <c r="H310" i="1"/>
  <c r="H177" i="1"/>
  <c r="J269" i="1"/>
  <c r="J38" i="1"/>
  <c r="J507" i="1"/>
  <c r="J147" i="1"/>
  <c r="J287" i="1"/>
  <c r="J335" i="1"/>
  <c r="J466" i="1"/>
  <c r="J33" i="1"/>
  <c r="J120" i="1"/>
  <c r="H526" i="1"/>
  <c r="J544" i="1"/>
  <c r="P143" i="1"/>
  <c r="H499" i="1"/>
  <c r="H16" i="1"/>
  <c r="J332" i="1"/>
  <c r="L491" i="1"/>
  <c r="H19" i="1"/>
  <c r="H141" i="1"/>
  <c r="J295" i="1"/>
  <c r="J2" i="1"/>
  <c r="J275" i="1"/>
  <c r="J95" i="1"/>
  <c r="J191" i="1"/>
  <c r="J314" i="1"/>
  <c r="J454" i="1"/>
  <c r="J429" i="1"/>
  <c r="J104" i="1"/>
  <c r="H199" i="1"/>
  <c r="H76" i="1"/>
  <c r="H297" i="1"/>
  <c r="H220" i="1"/>
  <c r="H110" i="1"/>
  <c r="H539" i="1"/>
  <c r="H487" i="1"/>
  <c r="H304" i="1"/>
  <c r="J306" i="1"/>
  <c r="J455" i="1"/>
  <c r="L250" i="1"/>
  <c r="L241" i="1"/>
  <c r="H525" i="1"/>
  <c r="H451" i="1"/>
  <c r="J221" i="1"/>
  <c r="J97" i="1"/>
  <c r="J291" i="1"/>
  <c r="J383" i="1"/>
  <c r="J169" i="1"/>
  <c r="H264" i="1"/>
  <c r="L2" i="1"/>
  <c r="L264" i="1"/>
  <c r="L71" i="1"/>
  <c r="H197" i="1"/>
  <c r="H537" i="1"/>
  <c r="H189" i="1"/>
  <c r="J247" i="1"/>
  <c r="L263" i="1"/>
  <c r="L30" i="1"/>
  <c r="L349" i="1"/>
  <c r="L347" i="1"/>
  <c r="L514" i="1"/>
  <c r="L205" i="1"/>
  <c r="H410" i="1"/>
  <c r="H3" i="1"/>
  <c r="H507" i="1"/>
  <c r="H420" i="1"/>
  <c r="H226" i="1"/>
  <c r="L15" i="1"/>
  <c r="L279" i="1"/>
  <c r="L45" i="1"/>
  <c r="L363" i="1"/>
  <c r="L290" i="1"/>
  <c r="L490" i="1"/>
  <c r="L193" i="1"/>
  <c r="H538" i="1"/>
  <c r="H493" i="1"/>
  <c r="H279" i="1"/>
  <c r="H67" i="1"/>
  <c r="H42" i="1"/>
  <c r="J543" i="1"/>
  <c r="J534" i="1"/>
  <c r="J212" i="1"/>
  <c r="J53" i="1"/>
  <c r="J176" i="1"/>
  <c r="J242" i="1"/>
  <c r="J442" i="1"/>
  <c r="J417" i="1"/>
  <c r="J79" i="1"/>
  <c r="H432" i="1"/>
  <c r="H95" i="1"/>
  <c r="N34" i="1"/>
  <c r="N490" i="1"/>
  <c r="N442" i="1"/>
  <c r="N119" i="1"/>
  <c r="N519" i="1"/>
  <c r="N458" i="1"/>
  <c r="N350" i="1"/>
  <c r="N99" i="1"/>
  <c r="N24" i="1"/>
  <c r="P12" i="1"/>
  <c r="P237" i="1"/>
  <c r="P55" i="1"/>
  <c r="P158" i="1"/>
  <c r="P454" i="1"/>
  <c r="P536" i="1"/>
  <c r="P476" i="1"/>
  <c r="P107" i="1"/>
  <c r="P99" i="1"/>
  <c r="P462" i="1"/>
  <c r="P371" i="1"/>
  <c r="P504" i="1"/>
  <c r="P373" i="1"/>
  <c r="P72" i="1"/>
  <c r="P477" i="1"/>
  <c r="P186" i="1"/>
  <c r="P306" i="1"/>
  <c r="P112" i="1"/>
  <c r="P474" i="1"/>
  <c r="P385" i="1"/>
  <c r="P520" i="1"/>
  <c r="P394" i="1"/>
  <c r="P127" i="1"/>
  <c r="P287" i="1"/>
  <c r="P440" i="1"/>
  <c r="P191" i="1"/>
  <c r="P38" i="1"/>
  <c r="P154" i="1"/>
  <c r="P416" i="1"/>
  <c r="P245" i="1"/>
  <c r="P220" i="1"/>
  <c r="P210" i="1"/>
  <c r="P410" i="1"/>
  <c r="P379" i="1"/>
  <c r="P97" i="1"/>
  <c r="P320" i="1"/>
  <c r="P119" i="1"/>
  <c r="P203" i="1"/>
  <c r="P545" i="1"/>
  <c r="P257" i="1"/>
  <c r="P267" i="1"/>
  <c r="P116" i="1"/>
  <c r="P138" i="1"/>
  <c r="P223" i="1"/>
  <c r="P242" i="1"/>
  <c r="P432" i="1"/>
  <c r="N177" i="1"/>
  <c r="N2" i="1"/>
  <c r="N426" i="1"/>
  <c r="N308" i="1"/>
  <c r="N495" i="1"/>
  <c r="N444" i="1"/>
  <c r="N338" i="1"/>
  <c r="N268" i="1"/>
  <c r="N491" i="1"/>
  <c r="P9" i="1"/>
  <c r="N219" i="1"/>
  <c r="N83" i="1"/>
  <c r="N170" i="1"/>
  <c r="N408" i="1"/>
  <c r="N272" i="1"/>
  <c r="N447" i="1"/>
  <c r="N430" i="1"/>
  <c r="N326" i="1"/>
  <c r="N232" i="1"/>
  <c r="N527" i="1"/>
  <c r="P391" i="1"/>
  <c r="N107" i="1"/>
  <c r="N138" i="1"/>
  <c r="N9" i="1"/>
  <c r="N431" i="1"/>
  <c r="N132" i="1"/>
  <c r="N101" i="1"/>
  <c r="N316" i="1"/>
  <c r="N208" i="1"/>
  <c r="N84" i="1"/>
  <c r="P142" i="1"/>
  <c r="N266" i="1"/>
  <c r="N246" i="1"/>
  <c r="N120" i="1"/>
  <c r="N376" i="1"/>
  <c r="N152" i="1"/>
  <c r="N417" i="1"/>
  <c r="N402" i="1"/>
  <c r="N233" i="1"/>
  <c r="N196" i="1"/>
  <c r="P338" i="1"/>
  <c r="P321" i="1"/>
  <c r="P275" i="1"/>
  <c r="N313" i="1"/>
  <c r="N475" i="1"/>
  <c r="N100" i="1"/>
  <c r="N529" i="1"/>
  <c r="N134" i="1"/>
  <c r="N88" i="1"/>
  <c r="N70" i="1"/>
  <c r="N433" i="1"/>
  <c r="N130" i="1"/>
  <c r="P402" i="1"/>
  <c r="N380" i="1"/>
  <c r="N461" i="1"/>
  <c r="N82" i="1"/>
  <c r="N291" i="1"/>
  <c r="N473" i="1"/>
  <c r="N389" i="1"/>
  <c r="N71" i="1"/>
  <c r="N344" i="1"/>
  <c r="N209" i="1"/>
  <c r="N421" i="1"/>
  <c r="N200" i="1"/>
  <c r="P225" i="1"/>
  <c r="N401" i="1"/>
  <c r="N334" i="1"/>
  <c r="N65" i="1"/>
  <c r="N255" i="1"/>
  <c r="N96" i="1"/>
  <c r="N345" i="1"/>
  <c r="N303" i="1"/>
  <c r="N11" i="1"/>
  <c r="N197" i="1"/>
  <c r="N148" i="1"/>
  <c r="N249" i="1"/>
  <c r="P325" i="1"/>
  <c r="N360" i="1"/>
  <c r="N357" i="1"/>
  <c r="N205" i="1"/>
  <c r="N63" i="1"/>
  <c r="N43" i="1"/>
  <c r="N410" i="1"/>
  <c r="N361" i="1"/>
  <c r="N335" i="1"/>
  <c r="P155" i="1"/>
  <c r="P503" i="1"/>
  <c r="P251" i="1"/>
  <c r="P18" i="1"/>
  <c r="N33" i="1"/>
  <c r="N381" i="1"/>
  <c r="N341" i="1"/>
  <c r="N187" i="1"/>
  <c r="N45" i="1"/>
  <c r="N28" i="1"/>
  <c r="N173" i="1"/>
  <c r="N124" i="1"/>
  <c r="H454" i="1"/>
  <c r="H239" i="1"/>
  <c r="H406" i="1"/>
  <c r="H474" i="1"/>
  <c r="H243" i="1"/>
  <c r="P405" i="1"/>
  <c r="P77" i="1"/>
  <c r="H307" i="1"/>
  <c r="H263" i="1"/>
  <c r="P411" i="1"/>
  <c r="P459" i="1"/>
  <c r="P420" i="1"/>
  <c r="P56" i="1"/>
  <c r="P296" i="1"/>
  <c r="N510" i="1"/>
  <c r="N226" i="1"/>
  <c r="N61" i="1"/>
  <c r="N220" i="1"/>
  <c r="N373" i="1"/>
  <c r="N87" i="1"/>
  <c r="N245" i="1"/>
  <c r="N398" i="1"/>
  <c r="N131" i="1"/>
  <c r="N506" i="1"/>
  <c r="N146" i="1"/>
  <c r="N331" i="1"/>
  <c r="N507" i="1"/>
  <c r="N168" i="1"/>
  <c r="N391" i="1"/>
  <c r="N46" i="1"/>
  <c r="N273" i="1"/>
  <c r="N488" i="1"/>
  <c r="N154" i="1"/>
  <c r="N377" i="1"/>
  <c r="N509" i="1"/>
  <c r="N225" i="1"/>
  <c r="N486" i="1"/>
  <c r="N198" i="1"/>
  <c r="N469" i="1"/>
  <c r="N179" i="1"/>
  <c r="N86" i="1"/>
  <c r="N244" i="1"/>
  <c r="N397" i="1"/>
  <c r="N112" i="1"/>
  <c r="N269" i="1"/>
  <c r="N422" i="1"/>
  <c r="N175" i="1"/>
  <c r="N358" i="1"/>
  <c r="N530" i="1"/>
  <c r="N176" i="1"/>
  <c r="N359" i="1"/>
  <c r="N531" i="1"/>
  <c r="N202" i="1"/>
  <c r="N425" i="1"/>
  <c r="N81" i="1"/>
  <c r="N309" i="1"/>
  <c r="N516" i="1"/>
  <c r="N206" i="1"/>
  <c r="N427" i="1"/>
  <c r="N468" i="1"/>
  <c r="N178" i="1"/>
  <c r="N450" i="1"/>
  <c r="N151" i="1"/>
  <c r="N452" i="1"/>
  <c r="N156" i="1"/>
  <c r="N98" i="1"/>
  <c r="N256" i="1"/>
  <c r="N409" i="1"/>
  <c r="N125" i="1"/>
  <c r="N281" i="1"/>
  <c r="N446" i="1"/>
  <c r="N189" i="1"/>
  <c r="N372" i="1"/>
  <c r="N542" i="1"/>
  <c r="N190" i="1"/>
  <c r="N375" i="1"/>
  <c r="N543" i="1"/>
  <c r="N222" i="1"/>
  <c r="N441" i="1"/>
  <c r="N97" i="1"/>
  <c r="N323" i="1"/>
  <c r="N546" i="1"/>
  <c r="N224" i="1"/>
  <c r="N443" i="1"/>
  <c r="N451" i="1"/>
  <c r="N155" i="1"/>
  <c r="N424" i="1"/>
  <c r="N128" i="1"/>
  <c r="N315" i="1"/>
  <c r="N73" i="1"/>
  <c r="N292" i="1"/>
  <c r="N50" i="1"/>
  <c r="N257" i="1"/>
  <c r="N42" i="1"/>
  <c r="N275" i="1"/>
  <c r="N518" i="1"/>
  <c r="N234" i="1"/>
  <c r="N471" i="1"/>
  <c r="N186" i="1"/>
  <c r="N501" i="1"/>
  <c r="N223" i="1"/>
  <c r="N502" i="1"/>
  <c r="N274" i="1"/>
  <c r="N533" i="1"/>
  <c r="N199" i="1"/>
  <c r="N354" i="1"/>
  <c r="N270" i="1"/>
  <c r="N111" i="1"/>
  <c r="N62" i="1"/>
  <c r="N305" i="1"/>
  <c r="N56" i="1"/>
  <c r="N289" i="1"/>
  <c r="N14" i="1"/>
  <c r="N248" i="1"/>
  <c r="N483" i="1"/>
  <c r="N238" i="1"/>
  <c r="N515" i="1"/>
  <c r="N239" i="1"/>
  <c r="N10" i="1"/>
  <c r="N294" i="1"/>
  <c r="N547" i="1"/>
  <c r="N129" i="1"/>
  <c r="N333" i="1"/>
  <c r="N106" i="1"/>
  <c r="N258" i="1"/>
  <c r="N322" i="1"/>
  <c r="N218" i="1"/>
  <c r="N203" i="1"/>
  <c r="N280" i="1"/>
  <c r="N429" i="1"/>
  <c r="N58" i="1"/>
  <c r="N240" i="1"/>
  <c r="N64" i="1"/>
  <c r="N204" i="1"/>
  <c r="N145" i="1"/>
  <c r="N74" i="1"/>
  <c r="N35" i="1"/>
  <c r="P144" i="1"/>
  <c r="P20" i="1"/>
  <c r="N517" i="1"/>
  <c r="N29" i="1"/>
  <c r="N162" i="1"/>
  <c r="N117" i="1"/>
  <c r="N38" i="1"/>
  <c r="N59" i="1"/>
  <c r="P187" i="1"/>
  <c r="P145" i="1"/>
  <c r="P446" i="1"/>
  <c r="P314" i="1"/>
  <c r="N243" i="1"/>
  <c r="N503" i="1"/>
  <c r="N392" i="1"/>
  <c r="N254" i="1"/>
  <c r="N416" i="1"/>
  <c r="N25" i="1"/>
  <c r="P109" i="1"/>
  <c r="P181" i="1"/>
  <c r="P513" i="1"/>
  <c r="P292" i="1"/>
  <c r="N489" i="1"/>
  <c r="N545" i="1"/>
  <c r="N102" i="1"/>
  <c r="N85" i="1"/>
  <c r="N13" i="1"/>
  <c r="N108" i="1"/>
  <c r="P492" i="1"/>
  <c r="P130" i="1"/>
  <c r="N295" i="1"/>
  <c r="N356" i="1"/>
  <c r="N403" i="1"/>
  <c r="N388" i="1"/>
  <c r="N221" i="1"/>
  <c r="N184" i="1"/>
  <c r="P233" i="1"/>
  <c r="P35" i="1"/>
  <c r="P148" i="1"/>
  <c r="P418" i="1"/>
  <c r="N314" i="1"/>
  <c r="N116" i="1"/>
  <c r="N27" i="1"/>
  <c r="N172" i="1"/>
  <c r="P448" i="1"/>
  <c r="P528" i="1"/>
  <c r="P125" i="1"/>
  <c r="P400" i="1"/>
  <c r="N411" i="1"/>
  <c r="N457" i="1"/>
  <c r="N57" i="1"/>
  <c r="N385" i="1"/>
  <c r="P4" i="1"/>
  <c r="P496" i="1"/>
  <c r="P423" i="1"/>
  <c r="P213" i="1"/>
  <c r="N467" i="1"/>
  <c r="N47" i="1"/>
  <c r="N407" i="1"/>
  <c r="N319" i="1"/>
  <c r="N261" i="1"/>
  <c r="N185" i="1"/>
  <c r="N136" i="1"/>
  <c r="P96" i="1"/>
  <c r="H269" i="1"/>
  <c r="H219" i="1"/>
  <c r="H517" i="1"/>
  <c r="H54" i="1"/>
  <c r="H342" i="1"/>
  <c r="H79" i="1"/>
  <c r="H367" i="1"/>
  <c r="H135" i="1"/>
  <c r="H478" i="1"/>
  <c r="H208" i="1"/>
  <c r="H34" i="1"/>
  <c r="H267" i="1"/>
  <c r="H109" i="1"/>
  <c r="H159" i="1"/>
  <c r="H430" i="1"/>
  <c r="H227" i="1"/>
  <c r="H519" i="1"/>
  <c r="H175" i="1"/>
  <c r="H345" i="1"/>
  <c r="H153" i="1"/>
  <c r="H438" i="1"/>
  <c r="H178" i="1"/>
  <c r="H463" i="1"/>
  <c r="H251" i="1"/>
  <c r="H322" i="1"/>
  <c r="H33" i="1"/>
  <c r="H380" i="1"/>
  <c r="H282" i="1"/>
  <c r="H386" i="1"/>
  <c r="H183" i="1"/>
  <c r="H501" i="1"/>
  <c r="H157" i="1"/>
  <c r="H325" i="1"/>
  <c r="H165" i="1"/>
  <c r="H450" i="1"/>
  <c r="H190" i="1"/>
  <c r="H475" i="1"/>
  <c r="H265" i="1"/>
  <c r="H409" i="1"/>
  <c r="H335" i="1"/>
  <c r="H48" i="1"/>
  <c r="H394" i="1"/>
  <c r="H296" i="1"/>
  <c r="H368" i="1"/>
  <c r="H309" i="1"/>
  <c r="H166" i="1"/>
  <c r="H511" i="1"/>
  <c r="H434" i="1"/>
  <c r="H308" i="1"/>
  <c r="H93" i="1"/>
  <c r="H20" i="1"/>
  <c r="H173" i="1"/>
  <c r="H214" i="1"/>
  <c r="H518" i="1"/>
  <c r="H202" i="1"/>
  <c r="H60" i="1"/>
  <c r="H448" i="1"/>
  <c r="H349" i="1"/>
  <c r="H195" i="1"/>
  <c r="H49" i="1"/>
  <c r="H155" i="1"/>
  <c r="H22" i="1"/>
  <c r="H500" i="1"/>
  <c r="H541" i="1"/>
  <c r="H4" i="1"/>
  <c r="H330" i="1"/>
  <c r="N508" i="1"/>
  <c r="N30" i="1"/>
  <c r="N371" i="1"/>
  <c r="N306" i="1"/>
  <c r="N247" i="1"/>
  <c r="N386" i="1"/>
  <c r="N349" i="1"/>
  <c r="N363" i="1"/>
  <c r="H365" i="1"/>
  <c r="H363" i="1"/>
  <c r="H355" i="1"/>
  <c r="H497" i="1"/>
  <c r="H288" i="1"/>
  <c r="P266" i="1"/>
  <c r="P436" i="1"/>
  <c r="P353" i="1"/>
  <c r="N55" i="1"/>
  <c r="N525" i="1"/>
  <c r="N404" i="1"/>
  <c r="N474" i="1"/>
  <c r="N169" i="1"/>
  <c r="N355" i="1"/>
  <c r="N26" i="1"/>
  <c r="N482" i="1"/>
  <c r="N231" i="1"/>
  <c r="N374" i="1"/>
  <c r="N161" i="1"/>
  <c r="N337" i="1"/>
  <c r="N49" i="1"/>
  <c r="N382" i="1"/>
  <c r="H337" i="1"/>
  <c r="H223" i="1"/>
  <c r="H194" i="1"/>
  <c r="H343" i="1"/>
  <c r="H462" i="1"/>
  <c r="N78" i="1"/>
  <c r="N15" i="1"/>
  <c r="N428" i="1"/>
  <c r="N310" i="1"/>
  <c r="N460" i="1"/>
  <c r="N153" i="1"/>
  <c r="N339" i="1"/>
  <c r="N8" i="1"/>
  <c r="N262" i="1"/>
  <c r="N470" i="1"/>
  <c r="N217" i="1"/>
  <c r="N362" i="1"/>
  <c r="N137" i="1"/>
  <c r="N325" i="1"/>
  <c r="N37" i="1"/>
  <c r="N405" i="1"/>
  <c r="H312" i="1"/>
  <c r="H209" i="1"/>
  <c r="H180" i="1"/>
  <c r="H293" i="1"/>
  <c r="H331" i="1"/>
  <c r="H426" i="1"/>
  <c r="H412" i="1"/>
  <c r="H543" i="1"/>
  <c r="P240" i="1"/>
  <c r="P425" i="1"/>
  <c r="P160" i="1"/>
  <c r="P294" i="1"/>
  <c r="P128" i="1"/>
  <c r="J10" i="1"/>
  <c r="J248" i="1"/>
  <c r="J92" i="1"/>
  <c r="J276" i="1"/>
  <c r="J121" i="1"/>
  <c r="J323" i="1"/>
  <c r="J49" i="1"/>
  <c r="J527" i="1"/>
  <c r="J350" i="1"/>
  <c r="J72" i="1"/>
  <c r="J432" i="1"/>
  <c r="J14" i="1"/>
  <c r="J385" i="1"/>
  <c r="J308" i="1"/>
  <c r="J523" i="1"/>
  <c r="J200" i="1"/>
  <c r="J17" i="1"/>
  <c r="J16" i="1"/>
  <c r="J300" i="1"/>
  <c r="J145" i="1"/>
  <c r="J406" i="1"/>
  <c r="J77" i="1"/>
  <c r="J347" i="1"/>
  <c r="J112" i="1"/>
  <c r="J380" i="1"/>
  <c r="J114" i="1"/>
  <c r="J461" i="1"/>
  <c r="J148" i="1"/>
  <c r="J415" i="1"/>
  <c r="J368" i="1"/>
  <c r="J362" i="1"/>
  <c r="J174" i="1"/>
  <c r="J29" i="1"/>
  <c r="J107" i="1"/>
  <c r="J312" i="1"/>
  <c r="J157" i="1"/>
  <c r="J418" i="1"/>
  <c r="J94" i="1"/>
  <c r="J359" i="1"/>
  <c r="J128" i="1"/>
  <c r="J474" i="1"/>
  <c r="J129" i="1"/>
  <c r="J475" i="1"/>
  <c r="J163" i="1"/>
  <c r="J433" i="1"/>
  <c r="J386" i="1"/>
  <c r="J340" i="1"/>
  <c r="L119" i="1"/>
  <c r="L404" i="1"/>
  <c r="L90" i="1"/>
  <c r="L377" i="1"/>
  <c r="L371" i="1"/>
  <c r="L96" i="1"/>
  <c r="L358" i="1"/>
  <c r="J316" i="1"/>
  <c r="J520" i="1"/>
  <c r="J434" i="1"/>
  <c r="J273" i="1"/>
  <c r="J488" i="1"/>
  <c r="J503" i="1"/>
  <c r="J206" i="1"/>
  <c r="J430" i="1"/>
  <c r="J19" i="1"/>
  <c r="J156" i="1"/>
  <c r="J42" i="1"/>
  <c r="J482" i="1"/>
  <c r="L70" i="1"/>
  <c r="L313" i="1"/>
  <c r="L502" i="1"/>
  <c r="L206" i="1"/>
  <c r="L395" i="1"/>
  <c r="L435" i="1"/>
  <c r="L95" i="1"/>
  <c r="L334" i="1"/>
  <c r="L526" i="1"/>
  <c r="L230" i="1"/>
  <c r="L419" i="1"/>
  <c r="L405" i="1"/>
  <c r="L108" i="1"/>
  <c r="L346" i="1"/>
  <c r="L538" i="1"/>
  <c r="L242" i="1"/>
  <c r="L431" i="1"/>
  <c r="L391" i="1"/>
  <c r="L191" i="1"/>
  <c r="L420" i="1"/>
  <c r="L164" i="1"/>
  <c r="L421" i="1"/>
  <c r="L359" i="1"/>
  <c r="L84" i="1"/>
  <c r="L323" i="1"/>
  <c r="L33" i="1"/>
  <c r="J499" i="1"/>
  <c r="J400" i="1"/>
  <c r="J353" i="1"/>
  <c r="J258" i="1"/>
  <c r="J365" i="1"/>
  <c r="J491" i="1"/>
  <c r="J194" i="1"/>
  <c r="J334" i="1"/>
  <c r="J441" i="1"/>
  <c r="J144" i="1"/>
  <c r="J4" i="1"/>
  <c r="J500" i="1"/>
  <c r="P409" i="1"/>
  <c r="P387" i="1"/>
  <c r="P114" i="1"/>
  <c r="P108" i="1"/>
  <c r="P263" i="1"/>
  <c r="P333" i="1"/>
  <c r="P244" i="1"/>
  <c r="P79" i="1"/>
  <c r="P527" i="1"/>
  <c r="P299" i="1"/>
  <c r="P206" i="1"/>
  <c r="P58" i="1"/>
  <c r="P204" i="1"/>
  <c r="P302" i="1"/>
  <c r="P441" i="1"/>
  <c r="P490" i="1"/>
  <c r="P197" i="1"/>
  <c r="P348" i="1"/>
  <c r="P16" i="1"/>
  <c r="P195" i="1"/>
  <c r="P444" i="1"/>
  <c r="P136" i="1"/>
  <c r="P413" i="1"/>
  <c r="P95" i="1"/>
  <c r="P415" i="1"/>
  <c r="P178" i="1"/>
  <c r="P498" i="1"/>
  <c r="P261" i="1"/>
  <c r="P52" i="1"/>
  <c r="P152" i="1"/>
  <c r="P26" i="1"/>
  <c r="P517" i="1"/>
  <c r="P60" i="1"/>
  <c r="P455" i="1"/>
  <c r="P337" i="1"/>
  <c r="P221" i="1"/>
  <c r="P289" i="1"/>
  <c r="P209" i="1"/>
  <c r="P29" i="1"/>
  <c r="P495" i="1"/>
  <c r="P259" i="1"/>
  <c r="P162" i="1"/>
  <c r="P23" i="1"/>
  <c r="P173" i="1"/>
  <c r="P277" i="1"/>
  <c r="P417" i="1"/>
  <c r="P470" i="1"/>
  <c r="P180" i="1"/>
  <c r="P328" i="1"/>
  <c r="P538" i="1"/>
  <c r="P175" i="1"/>
  <c r="P430" i="1"/>
  <c r="P121" i="1"/>
  <c r="P399" i="1"/>
  <c r="P76" i="1"/>
  <c r="P403" i="1"/>
  <c r="P166" i="1"/>
  <c r="P486" i="1"/>
  <c r="P249" i="1"/>
  <c r="P33" i="1"/>
  <c r="P140" i="1"/>
  <c r="P14" i="1"/>
  <c r="P518" i="1"/>
  <c r="P269" i="1"/>
  <c r="P6" i="1"/>
  <c r="P46" i="1"/>
  <c r="P497" i="1"/>
  <c r="P460" i="1"/>
  <c r="P433" i="1"/>
  <c r="P207" i="1"/>
  <c r="P106" i="1"/>
  <c r="P397" i="1"/>
  <c r="P466" i="1"/>
  <c r="P253" i="1"/>
  <c r="P172" i="1"/>
  <c r="P222" i="1"/>
  <c r="P404" i="1"/>
  <c r="P539" i="1"/>
  <c r="P255" i="1"/>
  <c r="P398" i="1"/>
  <c r="P92" i="1"/>
  <c r="P313" i="1"/>
  <c r="P31" i="1"/>
  <c r="P279" i="1"/>
  <c r="P547" i="1"/>
  <c r="P310" i="1"/>
  <c r="P118" i="1"/>
  <c r="P390" i="1"/>
  <c r="P201" i="1"/>
  <c r="P284" i="1"/>
  <c r="P82" i="1"/>
  <c r="P25" i="1"/>
  <c r="P345" i="1"/>
  <c r="P71" i="1"/>
  <c r="P482" i="1"/>
  <c r="P381" i="1"/>
  <c r="P542" i="1"/>
  <c r="P461" i="1"/>
  <c r="P428" i="1"/>
  <c r="P363" i="1"/>
  <c r="P163" i="1"/>
  <c r="P45" i="1"/>
  <c r="P376" i="1"/>
  <c r="P445" i="1"/>
  <c r="P533" i="1"/>
  <c r="P147" i="1"/>
  <c r="P194" i="1"/>
  <c r="P384" i="1"/>
  <c r="P521" i="1"/>
  <c r="P235" i="1"/>
  <c r="P382" i="1"/>
  <c r="P65" i="1"/>
  <c r="P295" i="1"/>
  <c r="P10" i="1"/>
  <c r="P264" i="1"/>
  <c r="P535" i="1"/>
  <c r="P298" i="1"/>
  <c r="P102" i="1"/>
  <c r="P378" i="1"/>
  <c r="P189" i="1"/>
  <c r="P272" i="1"/>
  <c r="P66" i="1"/>
  <c r="P13" i="1"/>
  <c r="P479" i="1"/>
  <c r="P193" i="1"/>
  <c r="P64" i="1"/>
  <c r="P2" i="1"/>
  <c r="P406" i="1"/>
  <c r="P431" i="1"/>
  <c r="P392" i="1"/>
  <c r="P334" i="1"/>
  <c r="P131" i="1"/>
  <c r="P526" i="1"/>
  <c r="P352" i="1"/>
  <c r="P422" i="1"/>
  <c r="P512" i="1"/>
  <c r="P124" i="1"/>
  <c r="P171" i="1"/>
  <c r="P368" i="1"/>
  <c r="P505" i="1"/>
  <c r="P218" i="1"/>
  <c r="P364" i="1"/>
  <c r="P42" i="1"/>
  <c r="P280" i="1"/>
  <c r="P543" i="1"/>
  <c r="P246" i="1"/>
  <c r="P523" i="1"/>
  <c r="P286" i="1"/>
  <c r="P84" i="1"/>
  <c r="P366" i="1"/>
  <c r="P177" i="1"/>
  <c r="P260" i="1"/>
  <c r="P48" i="1"/>
  <c r="P111" i="1"/>
  <c r="P5" i="1"/>
  <c r="P447" i="1"/>
  <c r="P192" i="1"/>
  <c r="P508" i="1"/>
  <c r="P500" i="1"/>
  <c r="P393" i="1"/>
  <c r="P360" i="1"/>
  <c r="P137" i="1"/>
  <c r="P78" i="1"/>
  <c r="P356" i="1"/>
  <c r="P326" i="1"/>
  <c r="P303" i="1"/>
  <c r="P491" i="1"/>
  <c r="P532" i="1"/>
  <c r="P146" i="1"/>
  <c r="P276" i="1"/>
  <c r="P489" i="1"/>
  <c r="P122" i="1"/>
  <c r="P347" i="1"/>
  <c r="P502" i="1"/>
  <c r="P265" i="1"/>
  <c r="P471" i="1"/>
  <c r="P231" i="1"/>
  <c r="P463" i="1"/>
  <c r="P274" i="1"/>
  <c r="P546" i="1"/>
  <c r="P354" i="1"/>
  <c r="P117" i="1"/>
  <c r="P248" i="1"/>
  <c r="P75" i="1"/>
  <c r="P98" i="1"/>
  <c r="P59" i="1"/>
  <c r="P156" i="1"/>
  <c r="P307" i="1"/>
  <c r="P478" i="1"/>
  <c r="P473" i="1"/>
  <c r="P361" i="1"/>
  <c r="P104" i="1"/>
  <c r="P28" i="1"/>
  <c r="P316" i="1"/>
  <c r="P304" i="1"/>
  <c r="P278" i="1"/>
  <c r="P465" i="1"/>
  <c r="P509" i="1"/>
  <c r="P115" i="1"/>
  <c r="P256" i="1"/>
  <c r="P469" i="1"/>
  <c r="P93" i="1"/>
  <c r="P327" i="1"/>
  <c r="P488" i="1"/>
  <c r="P247" i="1"/>
  <c r="P457" i="1"/>
  <c r="P216" i="1"/>
  <c r="P451" i="1"/>
  <c r="P262" i="1"/>
  <c r="P534" i="1"/>
  <c r="P342" i="1"/>
  <c r="P101" i="1"/>
  <c r="P236" i="1"/>
  <c r="P63" i="1"/>
  <c r="P86" i="1"/>
  <c r="P282" i="1"/>
  <c r="P281" i="1"/>
  <c r="P252" i="1"/>
  <c r="P442" i="1"/>
  <c r="P483" i="1"/>
  <c r="P85" i="1"/>
  <c r="P239" i="1"/>
  <c r="P453" i="1"/>
  <c r="P69" i="1"/>
  <c r="P311" i="1"/>
  <c r="P472" i="1"/>
  <c r="P232" i="1"/>
  <c r="P443" i="1"/>
  <c r="P198" i="1"/>
  <c r="P439" i="1"/>
  <c r="P250" i="1"/>
  <c r="P522" i="1"/>
  <c r="P330" i="1"/>
  <c r="P83" i="1"/>
  <c r="P224" i="1"/>
  <c r="P51" i="1"/>
  <c r="P73" i="1"/>
  <c r="P305" i="1"/>
  <c r="P161" i="1"/>
  <c r="P449" i="1"/>
  <c r="P519" i="1"/>
  <c r="P300" i="1"/>
  <c r="P362" i="1"/>
  <c r="P288" i="1"/>
  <c r="P132" i="1"/>
  <c r="P103" i="1"/>
  <c r="P507" i="1"/>
  <c r="P241" i="1"/>
  <c r="P228" i="1"/>
  <c r="P227" i="1"/>
  <c r="P421" i="1"/>
  <c r="P464" i="1"/>
  <c r="P47" i="1"/>
  <c r="P219" i="1"/>
  <c r="P435" i="1"/>
  <c r="P43" i="1"/>
  <c r="P291" i="1"/>
  <c r="P458" i="1"/>
  <c r="P217" i="1"/>
  <c r="P429" i="1"/>
  <c r="P183" i="1"/>
  <c r="P427" i="1"/>
  <c r="P238" i="1"/>
  <c r="P510" i="1"/>
  <c r="P67" i="1"/>
  <c r="P212" i="1"/>
  <c r="P39" i="1"/>
  <c r="P61" i="1"/>
  <c r="H71" i="1"/>
  <c r="H545" i="1"/>
  <c r="H27" i="1"/>
  <c r="H52" i="1"/>
  <c r="H72" i="1"/>
  <c r="H97" i="1"/>
  <c r="H143" i="1"/>
  <c r="H161" i="1"/>
  <c r="H185" i="1"/>
  <c r="H247" i="1"/>
  <c r="H271" i="1"/>
  <c r="H291" i="1"/>
  <c r="H315" i="1"/>
  <c r="H356" i="1"/>
  <c r="H374" i="1"/>
  <c r="H398" i="1"/>
  <c r="H418" i="1"/>
  <c r="H460" i="1"/>
  <c r="H484" i="1"/>
  <c r="H504" i="1"/>
  <c r="H2" i="1"/>
  <c r="H206" i="1"/>
  <c r="H8" i="1"/>
  <c r="H51" i="1"/>
  <c r="H96" i="1"/>
  <c r="H140" i="1"/>
  <c r="H160" i="1"/>
  <c r="H184" i="1"/>
  <c r="H228" i="1"/>
  <c r="H246" i="1"/>
  <c r="H270" i="1"/>
  <c r="H314" i="1"/>
  <c r="H329" i="1"/>
  <c r="H373" i="1"/>
  <c r="H397" i="1"/>
  <c r="H417" i="1"/>
  <c r="H459" i="1"/>
  <c r="H483" i="1"/>
  <c r="H503" i="1"/>
  <c r="H9" i="1"/>
  <c r="H119" i="1"/>
  <c r="H229" i="1"/>
  <c r="H332" i="1"/>
  <c r="H442" i="1"/>
  <c r="H528" i="1"/>
  <c r="H144" i="1"/>
  <c r="H485" i="1"/>
  <c r="H26" i="1"/>
  <c r="H116" i="1"/>
  <c r="H204" i="1"/>
  <c r="H290" i="1"/>
  <c r="H353" i="1"/>
  <c r="H441" i="1"/>
  <c r="H527" i="1"/>
  <c r="H205" i="1"/>
  <c r="H10" i="1"/>
  <c r="H28" i="1"/>
  <c r="H53" i="1"/>
  <c r="H73" i="1"/>
  <c r="H98" i="1"/>
  <c r="H120" i="1"/>
  <c r="H162" i="1"/>
  <c r="H186" i="1"/>
  <c r="H230" i="1"/>
  <c r="H248" i="1"/>
  <c r="H272" i="1"/>
  <c r="H292" i="1"/>
  <c r="H333" i="1"/>
  <c r="H357" i="1"/>
  <c r="H375" i="1"/>
  <c r="H399" i="1"/>
  <c r="H419" i="1"/>
  <c r="H443" i="1"/>
  <c r="H461" i="1"/>
  <c r="H505" i="1"/>
  <c r="H529" i="1"/>
  <c r="H35" i="1"/>
  <c r="H99" i="1"/>
  <c r="H169" i="1"/>
  <c r="H231" i="1"/>
  <c r="H299" i="1"/>
  <c r="H358" i="1"/>
  <c r="H424" i="1"/>
  <c r="H488" i="1"/>
  <c r="H361" i="1"/>
  <c r="H187" i="1"/>
  <c r="H382" i="1"/>
  <c r="H126" i="1"/>
  <c r="H383" i="1"/>
  <c r="H127" i="1"/>
  <c r="H514" i="1"/>
  <c r="H192" i="1"/>
  <c r="H385" i="1"/>
  <c r="H145" i="1"/>
  <c r="H400" i="1"/>
  <c r="H146" i="1"/>
  <c r="H401" i="1"/>
  <c r="H13" i="1"/>
  <c r="H215" i="1"/>
  <c r="H404" i="1"/>
  <c r="H84" i="1"/>
  <c r="H216" i="1"/>
  <c r="H341" i="1"/>
  <c r="H471" i="1"/>
  <c r="H37" i="1"/>
  <c r="H100" i="1"/>
  <c r="H170" i="1"/>
  <c r="H232" i="1"/>
  <c r="H300" i="1"/>
  <c r="H359" i="1"/>
  <c r="H425" i="1"/>
  <c r="H489" i="1"/>
  <c r="H102" i="1"/>
  <c r="H172" i="1"/>
  <c r="H302" i="1"/>
  <c r="H429" i="1"/>
  <c r="H56" i="1"/>
  <c r="H255" i="1"/>
  <c r="H444" i="1"/>
  <c r="H57" i="1"/>
  <c r="H188" i="1"/>
  <c r="H318" i="1"/>
  <c r="H445" i="1"/>
  <c r="H58" i="1"/>
  <c r="H257" i="1"/>
  <c r="H446" i="1"/>
  <c r="H128" i="1"/>
  <c r="H319" i="1"/>
  <c r="H515" i="1"/>
  <c r="H11" i="1"/>
  <c r="H81" i="1"/>
  <c r="H211" i="1"/>
  <c r="H338" i="1"/>
  <c r="H530" i="1"/>
  <c r="H82" i="1"/>
  <c r="H276" i="1"/>
  <c r="H469" i="1"/>
  <c r="H147" i="1"/>
  <c r="H532" i="1"/>
  <c r="H14" i="1"/>
  <c r="H148" i="1"/>
  <c r="H278" i="1"/>
  <c r="H405" i="1"/>
  <c r="H533" i="1"/>
  <c r="H38" i="1"/>
  <c r="H101" i="1"/>
  <c r="H171" i="1"/>
  <c r="H233" i="1"/>
  <c r="H301" i="1"/>
  <c r="H360" i="1"/>
  <c r="H428" i="1"/>
  <c r="H490" i="1"/>
  <c r="H39" i="1"/>
  <c r="H234" i="1"/>
  <c r="H491" i="1"/>
  <c r="H125" i="1"/>
  <c r="H316" i="1"/>
  <c r="H512" i="1"/>
  <c r="H256" i="1"/>
  <c r="H513" i="1"/>
  <c r="H191" i="1"/>
  <c r="H384" i="1"/>
  <c r="H59" i="1"/>
  <c r="H258" i="1"/>
  <c r="H447" i="1"/>
  <c r="H275" i="1"/>
  <c r="H468" i="1"/>
  <c r="H12" i="1"/>
  <c r="H212" i="1"/>
  <c r="H339" i="1"/>
  <c r="H531" i="1"/>
  <c r="H83" i="1"/>
  <c r="H277" i="1"/>
  <c r="H340" i="1"/>
  <c r="H470" i="1"/>
  <c r="H472" i="1"/>
  <c r="H495" i="1"/>
  <c r="H350" i="1"/>
  <c r="H465" i="1"/>
  <c r="H152" i="1"/>
  <c r="H46" i="1"/>
  <c r="H5" i="1"/>
  <c r="H129" i="1"/>
  <c r="H111" i="1"/>
  <c r="H542" i="1"/>
  <c r="J8" i="1"/>
  <c r="J39" i="1"/>
  <c r="J65" i="1"/>
  <c r="J98" i="1"/>
  <c r="J124" i="1"/>
  <c r="J150" i="1"/>
  <c r="J172" i="1"/>
  <c r="J198" i="1"/>
  <c r="J220" i="1"/>
  <c r="J246" i="1"/>
  <c r="J268" i="1"/>
  <c r="J339" i="1"/>
  <c r="J361" i="1"/>
  <c r="J387" i="1"/>
  <c r="J409" i="1"/>
  <c r="J435" i="1"/>
  <c r="J456" i="1"/>
  <c r="J480" i="1"/>
  <c r="J498" i="1"/>
  <c r="J522" i="1"/>
  <c r="J542" i="1"/>
  <c r="J324" i="1"/>
  <c r="J23" i="1"/>
  <c r="J50" i="1"/>
  <c r="J83" i="1"/>
  <c r="J110" i="1"/>
  <c r="J137" i="1"/>
  <c r="J185" i="1"/>
  <c r="J207" i="1"/>
  <c r="J233" i="1"/>
  <c r="J255" i="1"/>
  <c r="J281" i="1"/>
  <c r="J348" i="1"/>
  <c r="J374" i="1"/>
  <c r="J396" i="1"/>
  <c r="J422" i="1"/>
  <c r="J468" i="1"/>
  <c r="J486" i="1"/>
  <c r="J510" i="1"/>
  <c r="J530" i="1"/>
  <c r="J375" i="1"/>
  <c r="J223" i="1"/>
  <c r="J525" i="1"/>
  <c r="J45" i="1"/>
  <c r="J102" i="1"/>
  <c r="J154" i="1"/>
  <c r="J202" i="1"/>
  <c r="J250" i="1"/>
  <c r="J298" i="1"/>
  <c r="J372" i="1"/>
  <c r="J439" i="1"/>
  <c r="J508" i="1"/>
  <c r="J22" i="1"/>
  <c r="J46" i="1"/>
  <c r="J82" i="1"/>
  <c r="J136" i="1"/>
  <c r="J155" i="1"/>
  <c r="J184" i="1"/>
  <c r="J232" i="1"/>
  <c r="J251" i="1"/>
  <c r="J280" i="1"/>
  <c r="J325" i="1"/>
  <c r="J344" i="1"/>
  <c r="J373" i="1"/>
  <c r="J421" i="1"/>
  <c r="J440" i="1"/>
  <c r="J465" i="1"/>
  <c r="J509" i="1"/>
  <c r="J529" i="1"/>
  <c r="J159" i="1"/>
  <c r="J326" i="1"/>
  <c r="J444" i="1"/>
  <c r="J304" i="1"/>
  <c r="J11" i="1"/>
  <c r="J44" i="1"/>
  <c r="J70" i="1"/>
  <c r="J101" i="1"/>
  <c r="J127" i="1"/>
  <c r="J153" i="1"/>
  <c r="J175" i="1"/>
  <c r="J201" i="1"/>
  <c r="J249" i="1"/>
  <c r="J271" i="1"/>
  <c r="J297" i="1"/>
  <c r="J342" i="1"/>
  <c r="J364" i="1"/>
  <c r="J390" i="1"/>
  <c r="J412" i="1"/>
  <c r="J438" i="1"/>
  <c r="J459" i="1"/>
  <c r="J483" i="1"/>
  <c r="J501" i="1"/>
  <c r="J545" i="1"/>
  <c r="J21" i="1"/>
  <c r="J81" i="1"/>
  <c r="J135" i="1"/>
  <c r="J183" i="1"/>
  <c r="J231" i="1"/>
  <c r="J279" i="1"/>
  <c r="J343" i="1"/>
  <c r="J391" i="1"/>
  <c r="J420" i="1"/>
  <c r="J464" i="1"/>
  <c r="J484" i="1"/>
  <c r="J528" i="1"/>
  <c r="J106" i="1"/>
  <c r="J203" i="1"/>
  <c r="J299" i="1"/>
  <c r="J392" i="1"/>
  <c r="J485" i="1"/>
  <c r="J303" i="1"/>
  <c r="J24" i="1"/>
  <c r="J51" i="1"/>
  <c r="J84" i="1"/>
  <c r="J111" i="1"/>
  <c r="J138" i="1"/>
  <c r="J160" i="1"/>
  <c r="J186" i="1"/>
  <c r="J208" i="1"/>
  <c r="J234" i="1"/>
  <c r="J256" i="1"/>
  <c r="J282" i="1"/>
  <c r="J327" i="1"/>
  <c r="J349" i="1"/>
  <c r="J397" i="1"/>
  <c r="J423" i="1"/>
  <c r="J445" i="1"/>
  <c r="J469" i="1"/>
  <c r="J487" i="1"/>
  <c r="J511" i="1"/>
  <c r="J531" i="1"/>
  <c r="J85" i="1"/>
  <c r="J165" i="1"/>
  <c r="J235" i="1"/>
  <c r="J309" i="1"/>
  <c r="J376" i="1"/>
  <c r="J450" i="1"/>
  <c r="J512" i="1"/>
  <c r="J517" i="1"/>
  <c r="J25" i="1"/>
  <c r="J261" i="1"/>
  <c r="J470" i="1"/>
  <c r="J118" i="1"/>
  <c r="J403" i="1"/>
  <c r="J119" i="1"/>
  <c r="J330" i="1"/>
  <c r="J472" i="1"/>
  <c r="J123" i="1"/>
  <c r="J331" i="1"/>
  <c r="J541" i="1"/>
  <c r="J139" i="1"/>
  <c r="J424" i="1"/>
  <c r="J59" i="1"/>
  <c r="J284" i="1"/>
  <c r="J495" i="1"/>
  <c r="J141" i="1"/>
  <c r="J356" i="1"/>
  <c r="J64" i="1"/>
  <c r="J219" i="1"/>
  <c r="J360" i="1"/>
  <c r="J497" i="1"/>
  <c r="J86" i="1"/>
  <c r="J166" i="1"/>
  <c r="J236" i="1"/>
  <c r="J310" i="1"/>
  <c r="J377" i="1"/>
  <c r="J451" i="1"/>
  <c r="J513" i="1"/>
  <c r="J6" i="1"/>
  <c r="J88" i="1"/>
  <c r="J171" i="1"/>
  <c r="J238" i="1"/>
  <c r="J379" i="1"/>
  <c r="J453" i="1"/>
  <c r="J187" i="1"/>
  <c r="J402" i="1"/>
  <c r="J26" i="1"/>
  <c r="J188" i="1"/>
  <c r="J329" i="1"/>
  <c r="J471" i="1"/>
  <c r="J189" i="1"/>
  <c r="J404" i="1"/>
  <c r="J190" i="1"/>
  <c r="J408" i="1"/>
  <c r="J58" i="1"/>
  <c r="J283" i="1"/>
  <c r="J354" i="1"/>
  <c r="J214" i="1"/>
  <c r="J425" i="1"/>
  <c r="J60" i="1"/>
  <c r="J285" i="1"/>
  <c r="J496" i="1"/>
  <c r="J142" i="1"/>
  <c r="J286" i="1"/>
  <c r="J427" i="1"/>
  <c r="J87" i="1"/>
  <c r="J167" i="1"/>
  <c r="J237" i="1"/>
  <c r="J311" i="1"/>
  <c r="J378" i="1"/>
  <c r="J452" i="1"/>
  <c r="J516" i="1"/>
  <c r="J315" i="1"/>
  <c r="J117" i="1"/>
  <c r="J328" i="1"/>
  <c r="J536" i="1"/>
  <c r="J262" i="1"/>
  <c r="J537" i="1"/>
  <c r="J27" i="1"/>
  <c r="J263" i="1"/>
  <c r="J540" i="1"/>
  <c r="J28" i="1"/>
  <c r="J267" i="1"/>
  <c r="J473" i="1"/>
  <c r="J213" i="1"/>
  <c r="J494" i="1"/>
  <c r="J140" i="1"/>
  <c r="J355" i="1"/>
  <c r="J215" i="1"/>
  <c r="J426" i="1"/>
  <c r="H210" i="1"/>
  <c r="H167" i="1"/>
  <c r="H280" i="1"/>
  <c r="H376" i="1"/>
  <c r="H427" i="1"/>
  <c r="H402" i="1"/>
  <c r="J388" i="1"/>
  <c r="J320" i="1"/>
  <c r="J414" i="1"/>
  <c r="J460" i="1"/>
  <c r="J443" i="1"/>
  <c r="J538" i="1"/>
  <c r="J253" i="1"/>
  <c r="J381" i="1"/>
  <c r="J90" i="1"/>
  <c r="H115" i="1"/>
  <c r="H44" i="1"/>
  <c r="H69" i="1"/>
  <c r="H328" i="1"/>
  <c r="L14" i="1"/>
  <c r="L28" i="1"/>
  <c r="L43" i="1"/>
  <c r="L57" i="1"/>
  <c r="L73" i="1"/>
  <c r="L88" i="1"/>
  <c r="L102" i="1"/>
  <c r="L118" i="1"/>
  <c r="L132" i="1"/>
  <c r="L148" i="1"/>
  <c r="L162" i="1"/>
  <c r="L176" i="1"/>
  <c r="L190" i="1"/>
  <c r="L204" i="1"/>
  <c r="L220" i="1"/>
  <c r="L234" i="1"/>
  <c r="L248" i="1"/>
  <c r="L262" i="1"/>
  <c r="L276" i="1"/>
  <c r="L292" i="1"/>
  <c r="L306" i="1"/>
  <c r="L319" i="1"/>
  <c r="L331" i="1"/>
  <c r="L345" i="1"/>
  <c r="L361" i="1"/>
  <c r="L375" i="1"/>
  <c r="L389" i="1"/>
  <c r="L403" i="1"/>
  <c r="L417" i="1"/>
  <c r="L433" i="1"/>
  <c r="L447" i="1"/>
  <c r="L461" i="1"/>
  <c r="L475" i="1"/>
  <c r="L489" i="1"/>
  <c r="L505" i="1"/>
  <c r="L519" i="1"/>
  <c r="L533" i="1"/>
  <c r="L547" i="1"/>
  <c r="L19" i="1"/>
  <c r="L39" i="1"/>
  <c r="L56" i="1"/>
  <c r="L78" i="1"/>
  <c r="L98" i="1"/>
  <c r="L117" i="1"/>
  <c r="L139" i="1"/>
  <c r="L156" i="1"/>
  <c r="L175" i="1"/>
  <c r="L197" i="1"/>
  <c r="L214" i="1"/>
  <c r="L233" i="1"/>
  <c r="L255" i="1"/>
  <c r="L272" i="1"/>
  <c r="L291" i="1"/>
  <c r="L311" i="1"/>
  <c r="L327" i="1"/>
  <c r="L344" i="1"/>
  <c r="L366" i="1"/>
  <c r="L385" i="1"/>
  <c r="L402" i="1"/>
  <c r="L424" i="1"/>
  <c r="L441" i="1"/>
  <c r="L460" i="1"/>
  <c r="L482" i="1"/>
  <c r="L499" i="1"/>
  <c r="L518" i="1"/>
  <c r="L540" i="1"/>
  <c r="L4" i="1"/>
  <c r="L200" i="1"/>
  <c r="L388" i="1"/>
  <c r="L524" i="1"/>
  <c r="L20" i="1"/>
  <c r="L40" i="1"/>
  <c r="L62" i="1"/>
  <c r="L79" i="1"/>
  <c r="L99" i="1"/>
  <c r="L123" i="1"/>
  <c r="L140" i="1"/>
  <c r="L159" i="1"/>
  <c r="L179" i="1"/>
  <c r="L198" i="1"/>
  <c r="L215" i="1"/>
  <c r="L237" i="1"/>
  <c r="L256" i="1"/>
  <c r="L273" i="1"/>
  <c r="L295" i="1"/>
  <c r="L312" i="1"/>
  <c r="L328" i="1"/>
  <c r="L350" i="1"/>
  <c r="L367" i="1"/>
  <c r="L386" i="1"/>
  <c r="L408" i="1"/>
  <c r="L425" i="1"/>
  <c r="L444" i="1"/>
  <c r="L464" i="1"/>
  <c r="L483" i="1"/>
  <c r="L500" i="1"/>
  <c r="L522" i="1"/>
  <c r="L541" i="1"/>
  <c r="L24" i="1"/>
  <c r="L82" i="1"/>
  <c r="L142" i="1"/>
  <c r="L239" i="1"/>
  <c r="L297" i="1"/>
  <c r="L369" i="1"/>
  <c r="L427" i="1"/>
  <c r="L485" i="1"/>
  <c r="L3" i="1"/>
  <c r="L23" i="1"/>
  <c r="L41" i="1"/>
  <c r="L63" i="1"/>
  <c r="L81" i="1"/>
  <c r="L100" i="1"/>
  <c r="L124" i="1"/>
  <c r="L141" i="1"/>
  <c r="L160" i="1"/>
  <c r="L180" i="1"/>
  <c r="L199" i="1"/>
  <c r="L216" i="1"/>
  <c r="L238" i="1"/>
  <c r="L257" i="1"/>
  <c r="L274" i="1"/>
  <c r="L296" i="1"/>
  <c r="L315" i="1"/>
  <c r="L329" i="1"/>
  <c r="L351" i="1"/>
  <c r="L368" i="1"/>
  <c r="L387" i="1"/>
  <c r="L409" i="1"/>
  <c r="L426" i="1"/>
  <c r="L445" i="1"/>
  <c r="L465" i="1"/>
  <c r="L484" i="1"/>
  <c r="L501" i="1"/>
  <c r="L523" i="1"/>
  <c r="L542" i="1"/>
  <c r="L42" i="1"/>
  <c r="L64" i="1"/>
  <c r="L101" i="1"/>
  <c r="L125" i="1"/>
  <c r="L161" i="1"/>
  <c r="L183" i="1"/>
  <c r="L219" i="1"/>
  <c r="L258" i="1"/>
  <c r="L275" i="1"/>
  <c r="L330" i="1"/>
  <c r="L352" i="1"/>
  <c r="L410" i="1"/>
  <c r="L446" i="1"/>
  <c r="L468" i="1"/>
  <c r="L504" i="1"/>
  <c r="L543" i="1"/>
  <c r="L5" i="1"/>
  <c r="L32" i="1"/>
  <c r="L65" i="1"/>
  <c r="L92" i="1"/>
  <c r="L126" i="1"/>
  <c r="L152" i="1"/>
  <c r="L184" i="1"/>
  <c r="L210" i="1"/>
  <c r="L240" i="1"/>
  <c r="L268" i="1"/>
  <c r="L298" i="1"/>
  <c r="L322" i="1"/>
  <c r="L353" i="1"/>
  <c r="L379" i="1"/>
  <c r="L411" i="1"/>
  <c r="L437" i="1"/>
  <c r="L469" i="1"/>
  <c r="L495" i="1"/>
  <c r="L525" i="1"/>
  <c r="L246" i="1"/>
  <c r="L474" i="1"/>
  <c r="L17" i="1"/>
  <c r="L76" i="1"/>
  <c r="L110" i="1"/>
  <c r="L137" i="1"/>
  <c r="L167" i="1"/>
  <c r="L225" i="1"/>
  <c r="L251" i="1"/>
  <c r="L309" i="1"/>
  <c r="L338" i="1"/>
  <c r="L364" i="1"/>
  <c r="L396" i="1"/>
  <c r="L422" i="1"/>
  <c r="L452" i="1"/>
  <c r="L480" i="1"/>
  <c r="L536" i="1"/>
  <c r="L310" i="1"/>
  <c r="L6" i="1"/>
  <c r="L35" i="1"/>
  <c r="L66" i="1"/>
  <c r="L93" i="1"/>
  <c r="L127" i="1"/>
  <c r="L153" i="1"/>
  <c r="L185" i="1"/>
  <c r="L211" i="1"/>
  <c r="L243" i="1"/>
  <c r="L269" i="1"/>
  <c r="L299" i="1"/>
  <c r="L324" i="1"/>
  <c r="L354" i="1"/>
  <c r="L380" i="1"/>
  <c r="L412" i="1"/>
  <c r="L438" i="1"/>
  <c r="L470" i="1"/>
  <c r="L496" i="1"/>
  <c r="L528" i="1"/>
  <c r="L213" i="1"/>
  <c r="L69" i="1"/>
  <c r="L165" i="1"/>
  <c r="L223" i="1"/>
  <c r="L304" i="1"/>
  <c r="L336" i="1"/>
  <c r="L392" i="1"/>
  <c r="L450" i="1"/>
  <c r="L508" i="1"/>
  <c r="L531" i="1"/>
  <c r="L49" i="1"/>
  <c r="L72" i="1"/>
  <c r="L107" i="1"/>
  <c r="L166" i="1"/>
  <c r="L189" i="1"/>
  <c r="L247" i="1"/>
  <c r="L282" i="1"/>
  <c r="L305" i="1"/>
  <c r="L360" i="1"/>
  <c r="L393" i="1"/>
  <c r="L451" i="1"/>
  <c r="L509" i="1"/>
  <c r="L50" i="1"/>
  <c r="L283" i="1"/>
  <c r="L510" i="1"/>
  <c r="L252" i="1"/>
  <c r="L8" i="1"/>
  <c r="L37" i="1"/>
  <c r="L67" i="1"/>
  <c r="L94" i="1"/>
  <c r="L128" i="1"/>
  <c r="L154" i="1"/>
  <c r="L186" i="1"/>
  <c r="L212" i="1"/>
  <c r="L244" i="1"/>
  <c r="L270" i="1"/>
  <c r="L300" i="1"/>
  <c r="L325" i="1"/>
  <c r="L355" i="1"/>
  <c r="L381" i="1"/>
  <c r="L413" i="1"/>
  <c r="L439" i="1"/>
  <c r="L471" i="1"/>
  <c r="L497" i="1"/>
  <c r="L529" i="1"/>
  <c r="L11" i="1"/>
  <c r="L38" i="1"/>
  <c r="L68" i="1"/>
  <c r="L97" i="1"/>
  <c r="L129" i="1"/>
  <c r="L155" i="1"/>
  <c r="L187" i="1"/>
  <c r="L245" i="1"/>
  <c r="L271" i="1"/>
  <c r="L303" i="1"/>
  <c r="L326" i="1"/>
  <c r="L356" i="1"/>
  <c r="L384" i="1"/>
  <c r="L414" i="1"/>
  <c r="L440" i="1"/>
  <c r="L472" i="1"/>
  <c r="L498" i="1"/>
  <c r="L530" i="1"/>
  <c r="L12" i="1"/>
  <c r="L48" i="1"/>
  <c r="L106" i="1"/>
  <c r="L130" i="1"/>
  <c r="L188" i="1"/>
  <c r="L281" i="1"/>
  <c r="L357" i="1"/>
  <c r="L415" i="1"/>
  <c r="L473" i="1"/>
  <c r="L13" i="1"/>
  <c r="L131" i="1"/>
  <c r="L224" i="1"/>
  <c r="L337" i="1"/>
  <c r="L416" i="1"/>
  <c r="L532" i="1"/>
  <c r="L195" i="1"/>
  <c r="L18" i="1"/>
  <c r="L51" i="1"/>
  <c r="L77" i="1"/>
  <c r="L111" i="1"/>
  <c r="L138" i="1"/>
  <c r="L168" i="1"/>
  <c r="L196" i="1"/>
  <c r="L226" i="1"/>
  <c r="L284" i="1"/>
  <c r="L339" i="1"/>
  <c r="L365" i="1"/>
  <c r="L397" i="1"/>
  <c r="L423" i="1"/>
  <c r="L453" i="1"/>
  <c r="L481" i="1"/>
  <c r="L511" i="1"/>
  <c r="L537" i="1"/>
  <c r="L25" i="1"/>
  <c r="L112" i="1"/>
  <c r="L201" i="1"/>
  <c r="L285" i="1"/>
  <c r="L372" i="1"/>
  <c r="L456" i="1"/>
  <c r="L544" i="1"/>
  <c r="L459" i="1"/>
  <c r="L52" i="1"/>
  <c r="L316" i="1"/>
  <c r="L53" i="1"/>
  <c r="L318" i="1"/>
  <c r="L231" i="1"/>
  <c r="L400" i="1"/>
  <c r="L232" i="1"/>
  <c r="L494" i="1"/>
  <c r="L259" i="1"/>
  <c r="L86" i="1"/>
  <c r="L341" i="1"/>
  <c r="L87" i="1"/>
  <c r="L261" i="1"/>
  <c r="L91" i="1"/>
  <c r="L267" i="1"/>
  <c r="L436" i="1"/>
  <c r="L26" i="1"/>
  <c r="L114" i="1"/>
  <c r="L202" i="1"/>
  <c r="L286" i="1"/>
  <c r="L373" i="1"/>
  <c r="L457" i="1"/>
  <c r="L545" i="1"/>
  <c r="L31" i="1"/>
  <c r="L116" i="1"/>
  <c r="L209" i="1"/>
  <c r="L378" i="1"/>
  <c r="L227" i="1"/>
  <c r="L486" i="1"/>
  <c r="L144" i="1"/>
  <c r="L399" i="1"/>
  <c r="L147" i="1"/>
  <c r="L488" i="1"/>
  <c r="L55" i="1"/>
  <c r="L401" i="1"/>
  <c r="L171" i="1"/>
  <c r="L340" i="1"/>
  <c r="L512" i="1"/>
  <c r="L260" i="1"/>
  <c r="L513" i="1"/>
  <c r="L432" i="1"/>
  <c r="L174" i="1"/>
  <c r="L343" i="1"/>
  <c r="L517" i="1"/>
  <c r="L27" i="1"/>
  <c r="L115" i="1"/>
  <c r="L203" i="1"/>
  <c r="L287" i="1"/>
  <c r="L374" i="1"/>
  <c r="L458" i="1"/>
  <c r="L546" i="1"/>
  <c r="L288" i="1"/>
  <c r="L143" i="1"/>
  <c r="L398" i="1"/>
  <c r="L228" i="1"/>
  <c r="L487" i="1"/>
  <c r="L54" i="1"/>
  <c r="L151" i="1"/>
  <c r="L321" i="1"/>
  <c r="L85" i="1"/>
  <c r="L428" i="1"/>
  <c r="L172" i="1"/>
  <c r="L429" i="1"/>
  <c r="L173" i="1"/>
  <c r="L342" i="1"/>
  <c r="L516" i="1"/>
  <c r="L280" i="1"/>
  <c r="L47" i="1"/>
  <c r="L9" i="1"/>
  <c r="H259" i="1"/>
  <c r="H516" i="1"/>
  <c r="H453" i="1"/>
  <c r="H196" i="1"/>
  <c r="H323" i="1"/>
  <c r="H151" i="1"/>
  <c r="H351" i="1"/>
  <c r="H435" i="1"/>
  <c r="H266" i="1"/>
  <c r="H90" i="1"/>
  <c r="H536" i="1"/>
  <c r="H362" i="1"/>
  <c r="H193" i="1"/>
  <c r="H15" i="1"/>
  <c r="H415" i="1"/>
  <c r="H274" i="1"/>
  <c r="H130" i="1"/>
  <c r="H534" i="1"/>
  <c r="H390" i="1"/>
  <c r="H249" i="1"/>
  <c r="H103" i="1"/>
  <c r="J125" i="1"/>
  <c r="J410" i="1"/>
  <c r="H156" i="1"/>
  <c r="H411" i="1"/>
  <c r="J535" i="1"/>
  <c r="J245" i="1"/>
  <c r="J492" i="1"/>
  <c r="J307" i="1"/>
  <c r="J115" i="1"/>
  <c r="J74" i="1"/>
  <c r="J399" i="1"/>
  <c r="J210" i="1"/>
  <c r="J521" i="1"/>
  <c r="J446" i="1"/>
  <c r="J257" i="1"/>
  <c r="J52" i="1"/>
  <c r="J431" i="1"/>
  <c r="J290" i="1"/>
  <c r="J146" i="1"/>
  <c r="J526" i="1"/>
  <c r="J382" i="1"/>
  <c r="J241" i="1"/>
  <c r="J93" i="1"/>
  <c r="J369" i="1"/>
  <c r="J228" i="1"/>
  <c r="J75" i="1"/>
  <c r="J18" i="1"/>
  <c r="H347" i="1"/>
  <c r="H203" i="1"/>
  <c r="J41" i="1"/>
  <c r="J341" i="1"/>
  <c r="H68" i="1"/>
  <c r="H326" i="1"/>
  <c r="H88" i="1"/>
  <c r="H389" i="1"/>
  <c r="H372" i="1"/>
  <c r="P389" i="1"/>
  <c r="P437" i="1"/>
  <c r="P494" i="1"/>
  <c r="P27" i="1"/>
  <c r="P174" i="1"/>
  <c r="P396" i="1"/>
  <c r="P90" i="1"/>
  <c r="P395" i="1"/>
  <c r="P89" i="1"/>
  <c r="P346" i="1"/>
  <c r="P11" i="1"/>
  <c r="P349" i="1"/>
  <c r="P123" i="1"/>
  <c r="P419" i="1"/>
  <c r="P196" i="1"/>
  <c r="P484" i="1"/>
  <c r="P271" i="1"/>
  <c r="P15" i="1"/>
  <c r="P386" i="1"/>
  <c r="P199" i="1"/>
  <c r="P529" i="1"/>
  <c r="P357" i="1"/>
  <c r="P168" i="1"/>
  <c r="P511" i="1"/>
  <c r="P367" i="1"/>
  <c r="P226" i="1"/>
  <c r="P68" i="1"/>
  <c r="P450" i="1"/>
  <c r="P309" i="1"/>
  <c r="P165" i="1"/>
  <c r="P341" i="1"/>
  <c r="P200" i="1"/>
  <c r="P32" i="1"/>
  <c r="P87" i="1"/>
  <c r="P49" i="1"/>
  <c r="N39" i="1"/>
  <c r="N318" i="1"/>
  <c r="N89" i="1"/>
  <c r="N180" i="1"/>
  <c r="N250" i="1"/>
  <c r="N336" i="1"/>
  <c r="N406" i="1"/>
  <c r="N492" i="1"/>
  <c r="N17" i="1"/>
  <c r="N60" i="1"/>
  <c r="N109" i="1"/>
  <c r="N133" i="1"/>
  <c r="N157" i="1"/>
  <c r="N201" i="1"/>
  <c r="N227" i="1"/>
  <c r="N271" i="1"/>
  <c r="N297" i="1"/>
  <c r="N364" i="1"/>
  <c r="N383" i="1"/>
  <c r="N432" i="1"/>
  <c r="N453" i="1"/>
  <c r="N472" i="1"/>
  <c r="N511" i="1"/>
  <c r="N528" i="1"/>
  <c r="N18" i="1"/>
  <c r="N51" i="1"/>
  <c r="N90" i="1"/>
  <c r="N122" i="1"/>
  <c r="N158" i="1"/>
  <c r="N192" i="1"/>
  <c r="N228" i="1"/>
  <c r="N260" i="1"/>
  <c r="N298" i="1"/>
  <c r="N327" i="1"/>
  <c r="N365" i="1"/>
  <c r="N395" i="1"/>
  <c r="N435" i="1"/>
  <c r="N463" i="1"/>
  <c r="N493" i="1"/>
  <c r="N521" i="1"/>
  <c r="N31" i="1"/>
  <c r="N68" i="1"/>
  <c r="N103" i="1"/>
  <c r="N141" i="1"/>
  <c r="N171" i="1"/>
  <c r="N211" i="1"/>
  <c r="N241" i="1"/>
  <c r="N279" i="1"/>
  <c r="N346" i="1"/>
  <c r="N378" i="1"/>
  <c r="N414" i="1"/>
  <c r="N448" i="1"/>
  <c r="N478" i="1"/>
  <c r="N504" i="1"/>
  <c r="N536" i="1"/>
  <c r="N19" i="1"/>
  <c r="N52" i="1"/>
  <c r="N91" i="1"/>
  <c r="N123" i="1"/>
  <c r="N163" i="1"/>
  <c r="N193" i="1"/>
  <c r="N229" i="1"/>
  <c r="N263" i="1"/>
  <c r="N299" i="1"/>
  <c r="N328" i="1"/>
  <c r="N366" i="1"/>
  <c r="N396" i="1"/>
  <c r="N436" i="1"/>
  <c r="N464" i="1"/>
  <c r="N496" i="1"/>
  <c r="N522" i="1"/>
  <c r="N66" i="1"/>
  <c r="N236" i="1"/>
  <c r="N412" i="1"/>
  <c r="N534" i="1"/>
  <c r="N23" i="1"/>
  <c r="N67" i="1"/>
  <c r="N95" i="1"/>
  <c r="N167" i="1"/>
  <c r="N210" i="1"/>
  <c r="N237" i="1"/>
  <c r="N307" i="1"/>
  <c r="N343" i="1"/>
  <c r="N370" i="1"/>
  <c r="N413" i="1"/>
  <c r="N477" i="1"/>
  <c r="N500" i="1"/>
  <c r="N535" i="1"/>
  <c r="N311" i="1"/>
  <c r="N20" i="1"/>
  <c r="N53" i="1"/>
  <c r="N92" i="1"/>
  <c r="N126" i="1"/>
  <c r="N164" i="1"/>
  <c r="N194" i="1"/>
  <c r="N230" i="1"/>
  <c r="N264" i="1"/>
  <c r="N300" i="1"/>
  <c r="N329" i="1"/>
  <c r="N367" i="1"/>
  <c r="N399" i="1"/>
  <c r="N437" i="1"/>
  <c r="N465" i="1"/>
  <c r="N497" i="1"/>
  <c r="N523" i="1"/>
  <c r="N21" i="1"/>
  <c r="N54" i="1"/>
  <c r="N93" i="1"/>
  <c r="N127" i="1"/>
  <c r="N165" i="1"/>
  <c r="N195" i="1"/>
  <c r="N235" i="1"/>
  <c r="N265" i="1"/>
  <c r="N301" i="1"/>
  <c r="N332" i="1"/>
  <c r="N368" i="1"/>
  <c r="N400" i="1"/>
  <c r="N438" i="1"/>
  <c r="N466" i="1"/>
  <c r="N498" i="1"/>
  <c r="N524" i="1"/>
  <c r="N22" i="1"/>
  <c r="N94" i="1"/>
  <c r="N139" i="1"/>
  <c r="N166" i="1"/>
  <c r="N207" i="1"/>
  <c r="N277" i="1"/>
  <c r="N302" i="1"/>
  <c r="N342" i="1"/>
  <c r="N369" i="1"/>
  <c r="N439" i="1"/>
  <c r="N476" i="1"/>
  <c r="N499" i="1"/>
  <c r="N140" i="1"/>
  <c r="N278" i="1"/>
  <c r="N440" i="1"/>
  <c r="N32" i="1"/>
  <c r="N69" i="1"/>
  <c r="N104" i="1"/>
  <c r="N142" i="1"/>
  <c r="N174" i="1"/>
  <c r="N212" i="1"/>
  <c r="N242" i="1"/>
  <c r="N282" i="1"/>
  <c r="N312" i="1"/>
  <c r="N347" i="1"/>
  <c r="N379" i="1"/>
  <c r="N415" i="1"/>
  <c r="N449" i="1"/>
  <c r="N479" i="1"/>
  <c r="N505" i="1"/>
  <c r="N537" i="1"/>
  <c r="N72" i="1"/>
  <c r="N181" i="1"/>
  <c r="N283" i="1"/>
  <c r="N384" i="1"/>
  <c r="N480" i="1"/>
  <c r="N114" i="1"/>
  <c r="N320" i="1"/>
  <c r="N4" i="1"/>
  <c r="N215" i="1"/>
  <c r="N514" i="1"/>
  <c r="N216" i="1"/>
  <c r="N520" i="1"/>
  <c r="N454" i="1"/>
  <c r="N144" i="1"/>
  <c r="N252" i="1"/>
  <c r="N455" i="1"/>
  <c r="N44" i="1"/>
  <c r="N352" i="1"/>
  <c r="N48" i="1"/>
  <c r="N259" i="1"/>
  <c r="N462" i="1"/>
  <c r="N75" i="1"/>
  <c r="N182" i="1"/>
  <c r="N284" i="1"/>
  <c r="N387" i="1"/>
  <c r="N481" i="1"/>
  <c r="N77" i="1"/>
  <c r="N191" i="1"/>
  <c r="N286" i="1"/>
  <c r="N394" i="1"/>
  <c r="N485" i="1"/>
  <c r="N418" i="1"/>
  <c r="N419" i="1"/>
  <c r="N321" i="1"/>
  <c r="N324" i="1"/>
  <c r="N40" i="1"/>
  <c r="N143" i="1"/>
  <c r="N348" i="1"/>
  <c r="N538" i="1"/>
  <c r="N351" i="1"/>
  <c r="N253" i="1"/>
  <c r="N540" i="1"/>
  <c r="N150" i="1"/>
  <c r="N353" i="1"/>
  <c r="N541" i="1"/>
  <c r="N76" i="1"/>
  <c r="N183" i="1"/>
  <c r="N285" i="1"/>
  <c r="N390" i="1"/>
  <c r="N484" i="1"/>
  <c r="N110" i="1"/>
  <c r="N213" i="1"/>
  <c r="N512" i="1"/>
  <c r="N3" i="1"/>
  <c r="N214" i="1"/>
  <c r="N513" i="1"/>
  <c r="N115" i="1"/>
  <c r="N420" i="1"/>
  <c r="N5" i="1"/>
  <c r="N121" i="1"/>
  <c r="N423" i="1"/>
  <c r="N251" i="1"/>
  <c r="N41" i="1"/>
  <c r="N539" i="1"/>
  <c r="N147" i="1"/>
  <c r="N456" i="1"/>
  <c r="L149" i="1"/>
  <c r="L492" i="1"/>
  <c r="L120" i="1"/>
  <c r="L294" i="1"/>
  <c r="L463" i="1"/>
  <c r="L467" i="1"/>
  <c r="L182" i="1"/>
  <c r="L34" i="1"/>
  <c r="L430" i="1"/>
  <c r="L289" i="1"/>
  <c r="L145" i="1"/>
  <c r="N6" i="1"/>
  <c r="N287" i="1"/>
  <c r="N544" i="1"/>
  <c r="N267" i="1"/>
  <c r="N526" i="1"/>
  <c r="N393" i="1"/>
  <c r="N188" i="1"/>
  <c r="N532" i="1"/>
  <c r="N340" i="1"/>
  <c r="N135" i="1"/>
  <c r="N487" i="1"/>
  <c r="N288" i="1"/>
  <c r="N79" i="1"/>
  <c r="N459" i="1"/>
  <c r="N290" i="1"/>
  <c r="N118" i="1"/>
  <c r="N494" i="1"/>
  <c r="N330" i="1"/>
  <c r="N159" i="1"/>
  <c r="N434" i="1"/>
  <c r="N293" i="1"/>
  <c r="N149" i="1"/>
  <c r="N445" i="1"/>
  <c r="N304" i="1"/>
  <c r="N160" i="1"/>
  <c r="N12" i="1"/>
  <c r="N296" i="1"/>
  <c r="H21" i="1"/>
  <c r="H283" i="1"/>
  <c r="H540" i="1"/>
  <c r="H423" i="1"/>
  <c r="H168" i="1"/>
  <c r="H480" i="1"/>
  <c r="H311" i="1"/>
  <c r="H137" i="1"/>
  <c r="H268" i="1"/>
  <c r="H421" i="1"/>
  <c r="H252" i="1"/>
  <c r="H75" i="1"/>
  <c r="H520" i="1"/>
  <c r="H348" i="1"/>
  <c r="H179" i="1"/>
  <c r="H547" i="1"/>
  <c r="H403" i="1"/>
  <c r="H262" i="1"/>
  <c r="H118" i="1"/>
  <c r="H522" i="1"/>
  <c r="H378" i="1"/>
  <c r="H237" i="1"/>
  <c r="H91" i="1"/>
  <c r="J151" i="1"/>
  <c r="J436" i="1"/>
  <c r="H174" i="1"/>
  <c r="H431" i="1"/>
  <c r="J493" i="1"/>
  <c r="J197" i="1"/>
  <c r="J476" i="1"/>
  <c r="J292" i="1"/>
  <c r="J96" i="1"/>
  <c r="J15" i="1"/>
  <c r="J384" i="1"/>
  <c r="J195" i="1"/>
  <c r="J416" i="1"/>
  <c r="J428" i="1"/>
  <c r="J239" i="1"/>
  <c r="J31" i="1"/>
  <c r="J419" i="1"/>
  <c r="J278" i="1"/>
  <c r="J134" i="1"/>
  <c r="J514" i="1"/>
  <c r="J370" i="1"/>
  <c r="J229" i="1"/>
  <c r="J76" i="1"/>
  <c r="J357" i="1"/>
  <c r="J216" i="1"/>
  <c r="J61" i="1"/>
  <c r="J5" i="1"/>
  <c r="H477" i="1"/>
  <c r="H289" i="1"/>
  <c r="J69" i="1"/>
  <c r="J363" i="1"/>
  <c r="H87" i="1"/>
  <c r="H346" i="1"/>
  <c r="H114" i="1"/>
  <c r="H413" i="1"/>
  <c r="H6" i="1"/>
  <c r="H396" i="1"/>
  <c r="N16" i="1"/>
  <c r="P380" i="1"/>
  <c r="P157" i="1"/>
  <c r="P230" i="1"/>
  <c r="P408" i="1"/>
  <c r="P258" i="1"/>
  <c r="P134" i="1"/>
  <c r="P170" i="1"/>
  <c r="P243" i="1"/>
  <c r="P290" i="1"/>
  <c r="P359" i="1"/>
  <c r="P407" i="1"/>
  <c r="P456" i="1"/>
  <c r="P514" i="1"/>
  <c r="P149" i="1"/>
  <c r="P375" i="1"/>
  <c r="P57" i="1"/>
  <c r="P374" i="1"/>
  <c r="P54" i="1"/>
  <c r="P322" i="1"/>
  <c r="P540" i="1"/>
  <c r="P332" i="1"/>
  <c r="P94" i="1"/>
  <c r="P401" i="1"/>
  <c r="P179" i="1"/>
  <c r="P468" i="1"/>
  <c r="P254" i="1"/>
  <c r="P544" i="1"/>
  <c r="P372" i="1"/>
  <c r="P184" i="1"/>
  <c r="P515" i="1"/>
  <c r="P339" i="1"/>
  <c r="P150" i="1"/>
  <c r="P499" i="1"/>
  <c r="P355" i="1"/>
  <c r="P214" i="1"/>
  <c r="P53" i="1"/>
  <c r="P438" i="1"/>
  <c r="P297" i="1"/>
  <c r="P153" i="1"/>
  <c r="P329" i="1"/>
  <c r="P188" i="1"/>
  <c r="P17" i="1"/>
  <c r="P74" i="1"/>
  <c r="P37" i="1"/>
  <c r="H224" i="1"/>
  <c r="H181" i="1"/>
  <c r="H294" i="1"/>
  <c r="H392" i="1"/>
  <c r="H439" i="1"/>
  <c r="H154" i="1"/>
  <c r="H414" i="1"/>
  <c r="H25" i="1"/>
  <c r="H287" i="1"/>
  <c r="H327" i="1"/>
  <c r="H496" i="1"/>
  <c r="H467" i="1"/>
  <c r="H336" i="1"/>
  <c r="H449" i="1"/>
  <c r="H63" i="1"/>
  <c r="H31" i="1"/>
  <c r="H142" i="1"/>
  <c r="H546" i="1"/>
  <c r="H117" i="1"/>
  <c r="H132" i="1"/>
  <c r="J260" i="1"/>
  <c r="J130" i="1"/>
  <c r="J225" i="1"/>
  <c r="J272" i="1"/>
  <c r="J302" i="1"/>
  <c r="J394" i="1"/>
  <c r="J240" i="1"/>
  <c r="H200" i="1"/>
  <c r="H305" i="1"/>
  <c r="H371" i="1"/>
  <c r="L476" i="1"/>
  <c r="L479" i="1"/>
  <c r="L442" i="1"/>
  <c r="L163" i="1"/>
  <c r="L332" i="1"/>
  <c r="L506" i="1"/>
  <c r="L136" i="1"/>
  <c r="L308" i="1"/>
  <c r="L477" i="1"/>
  <c r="L455" i="1"/>
  <c r="L314" i="1"/>
  <c r="L170" i="1"/>
  <c r="L22" i="1"/>
  <c r="L418" i="1"/>
  <c r="L277" i="1"/>
  <c r="L133" i="1"/>
  <c r="H40" i="1"/>
  <c r="H303" i="1"/>
  <c r="H395" i="1"/>
  <c r="H138" i="1"/>
  <c r="H466" i="1"/>
  <c r="H295" i="1"/>
  <c r="H123" i="1"/>
  <c r="H182" i="1"/>
  <c r="H407" i="1"/>
  <c r="H236" i="1"/>
  <c r="H61" i="1"/>
  <c r="H506" i="1"/>
  <c r="H334" i="1"/>
  <c r="H163" i="1"/>
  <c r="H535" i="1"/>
  <c r="H391" i="1"/>
  <c r="H250" i="1"/>
  <c r="H104" i="1"/>
  <c r="H510" i="1"/>
  <c r="H366" i="1"/>
  <c r="H225" i="1"/>
  <c r="H78" i="1"/>
  <c r="J173" i="1"/>
  <c r="J457" i="1"/>
  <c r="H198" i="1"/>
  <c r="H455" i="1"/>
  <c r="J477" i="1"/>
  <c r="J179" i="1"/>
  <c r="J462" i="1"/>
  <c r="J274" i="1"/>
  <c r="J73" i="1"/>
  <c r="J547" i="1"/>
  <c r="J366" i="1"/>
  <c r="J177" i="1"/>
  <c r="J321" i="1"/>
  <c r="J413" i="1"/>
  <c r="J224" i="1"/>
  <c r="J12" i="1"/>
  <c r="J407" i="1"/>
  <c r="J266" i="1"/>
  <c r="J122" i="1"/>
  <c r="J502" i="1"/>
  <c r="J358" i="1"/>
  <c r="J217" i="1"/>
  <c r="J62" i="1"/>
  <c r="J345" i="1"/>
  <c r="J204" i="1"/>
  <c r="J47" i="1"/>
  <c r="J103" i="1"/>
  <c r="H352" i="1"/>
  <c r="J100" i="1"/>
  <c r="J389" i="1"/>
  <c r="H112" i="1"/>
  <c r="H370" i="1"/>
  <c r="H134" i="1"/>
  <c r="H433" i="1"/>
  <c r="H50" i="1"/>
  <c r="H416" i="1"/>
  <c r="P229" i="1"/>
  <c r="P480" i="1"/>
  <c r="P412" i="1"/>
  <c r="P481" i="1"/>
  <c r="P110" i="1"/>
  <c r="P370" i="1"/>
  <c r="P41" i="1"/>
  <c r="P40" i="1"/>
  <c r="P133" i="1"/>
  <c r="P208" i="1"/>
  <c r="P211" i="1"/>
  <c r="P318" i="1"/>
  <c r="P369" i="1"/>
  <c r="P424" i="1"/>
  <c r="P493" i="1"/>
  <c r="P126" i="1"/>
  <c r="P351" i="1"/>
  <c r="P22" i="1"/>
  <c r="P350" i="1"/>
  <c r="P21" i="1"/>
  <c r="P301" i="1"/>
  <c r="P524" i="1"/>
  <c r="P315" i="1"/>
  <c r="P70" i="1"/>
  <c r="P383" i="1"/>
  <c r="P159" i="1"/>
  <c r="P452" i="1"/>
  <c r="P234" i="1"/>
  <c r="P530" i="1"/>
  <c r="P358" i="1"/>
  <c r="P169" i="1"/>
  <c r="P501" i="1"/>
  <c r="P324" i="1"/>
  <c r="P135" i="1"/>
  <c r="P487" i="1"/>
  <c r="P343" i="1"/>
  <c r="P202" i="1"/>
  <c r="P34" i="1"/>
  <c r="P426" i="1"/>
  <c r="P285" i="1"/>
  <c r="P141" i="1"/>
  <c r="P319" i="1"/>
  <c r="P176" i="1"/>
  <c r="P100" i="1"/>
  <c r="P62" i="1"/>
  <c r="H217" i="1"/>
  <c r="H524" i="1"/>
  <c r="H509" i="1"/>
  <c r="H122" i="1"/>
  <c r="H221" i="1"/>
  <c r="H298" i="1"/>
  <c r="H273" i="1"/>
  <c r="H369" i="1"/>
  <c r="H23" i="1"/>
  <c r="H45" i="1"/>
  <c r="H313" i="1"/>
  <c r="H241" i="1"/>
  <c r="H508" i="1"/>
  <c r="H437" i="1"/>
  <c r="H107" i="1"/>
  <c r="H207" i="1"/>
  <c r="H286" i="1"/>
  <c r="H261" i="1"/>
  <c r="J99" i="1"/>
  <c r="H387" i="1"/>
  <c r="J506" i="1"/>
  <c r="J149" i="1"/>
  <c r="J13" i="1"/>
  <c r="J71" i="1"/>
  <c r="J158" i="1"/>
  <c r="J108" i="1"/>
  <c r="J30" i="1"/>
  <c r="J318" i="1"/>
  <c r="L135" i="1"/>
  <c r="L307" i="1"/>
  <c r="L104" i="1"/>
  <c r="L449" i="1"/>
  <c r="L335" i="1"/>
  <c r="L194" i="1"/>
  <c r="L301" i="1"/>
  <c r="L157" i="1"/>
  <c r="H494" i="1"/>
  <c r="L177" i="1"/>
  <c r="L348" i="1"/>
  <c r="L520" i="1"/>
  <c r="L150" i="1"/>
  <c r="L320" i="1"/>
  <c r="L493" i="1"/>
  <c r="L443" i="1"/>
  <c r="L302" i="1"/>
  <c r="L158" i="1"/>
  <c r="L10" i="1"/>
  <c r="L406" i="1"/>
  <c r="L265" i="1"/>
  <c r="L121" i="1"/>
  <c r="H64" i="1"/>
  <c r="H324" i="1"/>
  <c r="H381" i="1"/>
  <c r="H124" i="1"/>
  <c r="H452" i="1"/>
  <c r="H281" i="1"/>
  <c r="H108" i="1"/>
  <c r="H94" i="1"/>
  <c r="H393" i="1"/>
  <c r="H222" i="1"/>
  <c r="H47" i="1"/>
  <c r="H492" i="1"/>
  <c r="H321" i="1"/>
  <c r="H149" i="1"/>
  <c r="H523" i="1"/>
  <c r="H379" i="1"/>
  <c r="H238" i="1"/>
  <c r="H92" i="1"/>
  <c r="H498" i="1"/>
  <c r="H354" i="1"/>
  <c r="H213" i="1"/>
  <c r="H66" i="1"/>
  <c r="J199" i="1"/>
  <c r="J481" i="1"/>
  <c r="H218" i="1"/>
  <c r="H473" i="1"/>
  <c r="J463" i="1"/>
  <c r="J164" i="1"/>
  <c r="J448" i="1"/>
  <c r="J259" i="1"/>
  <c r="J56" i="1"/>
  <c r="J533" i="1"/>
  <c r="J351" i="1"/>
  <c r="J162" i="1"/>
  <c r="J227" i="1"/>
  <c r="J398" i="1"/>
  <c r="J209" i="1"/>
  <c r="J539" i="1"/>
  <c r="J395" i="1"/>
  <c r="J254" i="1"/>
  <c r="J109" i="1"/>
  <c r="J490" i="1"/>
  <c r="J346" i="1"/>
  <c r="J205" i="1"/>
  <c r="J48" i="1"/>
  <c r="J333" i="1"/>
  <c r="J192" i="1"/>
  <c r="J32" i="1"/>
  <c r="J91" i="1"/>
  <c r="H440" i="1"/>
  <c r="J126" i="1"/>
  <c r="J411" i="1"/>
  <c r="H133" i="1"/>
  <c r="H388" i="1"/>
  <c r="H158" i="1"/>
  <c r="H457" i="1"/>
  <c r="H70" i="1"/>
  <c r="H458" i="1"/>
  <c r="P3" i="1"/>
  <c r="P268" i="1"/>
  <c r="P525" i="1"/>
  <c r="P8" i="1"/>
  <c r="P344" i="1"/>
  <c r="P336" i="1"/>
  <c r="P541" i="1"/>
  <c r="P531" i="1"/>
  <c r="P81" i="1"/>
  <c r="P167" i="1"/>
  <c r="P182" i="1"/>
  <c r="P283" i="1"/>
  <c r="P335" i="1"/>
  <c r="P388" i="1"/>
  <c r="P467" i="1"/>
  <c r="P91" i="1"/>
  <c r="P537" i="1"/>
  <c r="P323" i="1"/>
  <c r="P205" i="1"/>
  <c r="P270" i="1"/>
  <c r="P506" i="1"/>
  <c r="P293" i="1"/>
  <c r="P44" i="1"/>
  <c r="P365" i="1"/>
  <c r="P139" i="1"/>
  <c r="P434" i="1"/>
  <c r="P215" i="1"/>
  <c r="P516" i="1"/>
  <c r="P340" i="1"/>
  <c r="P151" i="1"/>
  <c r="P485" i="1"/>
  <c r="P312" i="1"/>
  <c r="P120" i="1"/>
  <c r="P475" i="1"/>
  <c r="P331" i="1"/>
  <c r="P190" i="1"/>
  <c r="P19" i="1"/>
  <c r="P414" i="1"/>
  <c r="P273" i="1"/>
  <c r="P129" i="1"/>
  <c r="P308" i="1"/>
  <c r="P164" i="1"/>
  <c r="P88" i="1"/>
  <c r="P50" i="1"/>
  <c r="R51" i="1"/>
  <c r="R74" i="1"/>
  <c r="R441" i="1"/>
  <c r="R172" i="1"/>
  <c r="R377" i="1"/>
  <c r="R142" i="1"/>
  <c r="R535" i="1"/>
  <c r="R299" i="1"/>
  <c r="R75" i="1"/>
  <c r="R46" i="1"/>
  <c r="R129" i="1"/>
  <c r="R510" i="1"/>
  <c r="R48" i="1"/>
  <c r="R432" i="1"/>
  <c r="R481" i="1"/>
  <c r="R478" i="1"/>
  <c r="R57" i="1"/>
  <c r="R184" i="1"/>
  <c r="R295" i="1"/>
  <c r="R393" i="1"/>
  <c r="R218" i="1"/>
  <c r="R10" i="1"/>
  <c r="R395" i="1"/>
  <c r="R77" i="1"/>
  <c r="R389" i="1"/>
  <c r="R154" i="1"/>
  <c r="R547" i="1"/>
  <c r="R311" i="1"/>
  <c r="R207" i="1"/>
  <c r="R61" i="1"/>
  <c r="R146" i="1"/>
  <c r="R527" i="1"/>
  <c r="R63" i="1"/>
  <c r="R447" i="1"/>
  <c r="R496" i="1"/>
  <c r="R503" i="1"/>
  <c r="R88" i="1"/>
  <c r="R213" i="1"/>
  <c r="R515" i="1"/>
  <c r="R262" i="1"/>
  <c r="R177" i="1"/>
  <c r="R480" i="1"/>
  <c r="R87" i="1"/>
  <c r="R266" i="1"/>
  <c r="R423" i="1"/>
  <c r="R37" i="1"/>
  <c r="R426" i="1"/>
  <c r="R509" i="1"/>
  <c r="R31" i="1"/>
  <c r="R255" i="1"/>
  <c r="R194" i="1"/>
  <c r="R114" i="1"/>
  <c r="R34" i="1"/>
  <c r="R183" i="1"/>
  <c r="R390" i="1"/>
  <c r="R537" i="1"/>
  <c r="R128" i="1"/>
  <c r="R286" i="1"/>
  <c r="R223" i="1"/>
  <c r="R292" i="1"/>
  <c r="R228" i="1"/>
  <c r="R115" i="1"/>
  <c r="R264" i="1"/>
  <c r="R361" i="1"/>
  <c r="R35" i="1"/>
  <c r="R149" i="1"/>
  <c r="R346" i="1"/>
  <c r="R533" i="1"/>
  <c r="R143" i="1"/>
  <c r="R396" i="1"/>
  <c r="R323" i="1"/>
  <c r="R148" i="1"/>
  <c r="R285" i="1"/>
  <c r="R484" i="1"/>
  <c r="R85" i="1"/>
  <c r="R236" i="1"/>
  <c r="R391" i="1"/>
  <c r="R411" i="1"/>
  <c r="R352" i="1"/>
  <c r="R181" i="1"/>
  <c r="R409" i="1"/>
  <c r="R468" i="1"/>
  <c r="R442" i="1"/>
  <c r="R5" i="1"/>
  <c r="R165" i="1"/>
  <c r="R520" i="1"/>
  <c r="R347" i="1"/>
  <c r="R90" i="1"/>
  <c r="R401" i="1"/>
  <c r="R250" i="1"/>
  <c r="R6" i="1"/>
  <c r="R321" i="1"/>
  <c r="R222" i="1"/>
  <c r="R76" i="1"/>
  <c r="R161" i="1"/>
  <c r="R542" i="1"/>
  <c r="R82" i="1"/>
  <c r="R465" i="1"/>
  <c r="R529" i="1"/>
  <c r="R526" i="1"/>
  <c r="R123" i="1"/>
  <c r="R235" i="1"/>
  <c r="R342" i="1"/>
  <c r="R469" i="1"/>
  <c r="R101" i="1"/>
  <c r="R489" i="1"/>
  <c r="R471" i="1"/>
  <c r="R102" i="1"/>
  <c r="R413" i="1"/>
  <c r="R19" i="1"/>
  <c r="R416" i="1"/>
  <c r="R240" i="1"/>
  <c r="R95" i="1"/>
  <c r="R33" i="1"/>
  <c r="R97" i="1"/>
  <c r="R544" i="1"/>
  <c r="R153" i="1"/>
  <c r="R364" i="1"/>
  <c r="R443" i="1"/>
  <c r="R116" i="1"/>
  <c r="R274" i="1"/>
  <c r="R428" i="1"/>
  <c r="R111" i="1"/>
  <c r="R64" i="1"/>
  <c r="R495" i="1"/>
  <c r="R22" i="1"/>
  <c r="R294" i="1"/>
  <c r="R376" i="1"/>
  <c r="R9" i="1"/>
  <c r="R394" i="1"/>
  <c r="R521" i="1"/>
  <c r="R131" i="1"/>
  <c r="R270" i="1"/>
  <c r="R305" i="1"/>
  <c r="R150" i="1"/>
  <c r="R458" i="1"/>
  <c r="R546" i="1"/>
  <c r="R519" i="1"/>
  <c r="R224" i="1"/>
  <c r="R298" i="1"/>
  <c r="R452" i="1"/>
  <c r="R241" i="1"/>
  <c r="R243" i="1"/>
  <c r="R173" i="1"/>
  <c r="R387" i="1"/>
  <c r="R69" i="1"/>
  <c r="R474" i="1"/>
  <c r="R545" i="1"/>
  <c r="R155" i="1"/>
  <c r="R256" i="1"/>
  <c r="R258" i="1"/>
  <c r="R315" i="1"/>
  <c r="R506" i="1"/>
  <c r="R20" i="1"/>
  <c r="R248" i="1"/>
  <c r="R167" i="1"/>
  <c r="R440" i="1"/>
  <c r="R502" i="1"/>
  <c r="R300" i="1"/>
  <c r="R464" i="1"/>
  <c r="R335" i="1"/>
  <c r="R204" i="1"/>
  <c r="R100" i="1"/>
  <c r="R378" i="1"/>
  <c r="R403" i="1"/>
  <c r="R429" i="1"/>
  <c r="R494" i="1"/>
  <c r="R327" i="1"/>
  <c r="R272" i="1"/>
  <c r="R11" i="1"/>
  <c r="R435" i="1"/>
  <c r="R282" i="1"/>
  <c r="R156" i="1"/>
  <c r="R45" i="1"/>
  <c r="R483" i="1"/>
  <c r="R383" i="1"/>
  <c r="R375" i="1"/>
  <c r="R457" i="1"/>
  <c r="R366" i="1"/>
  <c r="R422" i="1"/>
  <c r="R350" i="1"/>
  <c r="R231" i="1"/>
  <c r="R23" i="1"/>
  <c r="R112" i="1"/>
  <c r="R186" i="1"/>
  <c r="R306" i="1"/>
  <c r="R330" i="1"/>
  <c r="R360" i="1"/>
  <c r="R289" i="1"/>
  <c r="R472" i="1"/>
  <c r="R338" i="1"/>
  <c r="R271" i="1"/>
  <c r="R518" i="1"/>
  <c r="R455" i="1"/>
  <c r="R397" i="1"/>
  <c r="R59" i="1"/>
  <c r="R261" i="1"/>
  <c r="R444" i="1"/>
  <c r="R118" i="1"/>
  <c r="R490" i="1"/>
  <c r="R448" i="1"/>
  <c r="R365" i="1"/>
  <c r="R277" i="1"/>
  <c r="R26" i="1"/>
  <c r="R244" i="1"/>
  <c r="R260" i="1"/>
  <c r="R211" i="1"/>
  <c r="R287" i="1"/>
  <c r="R371" i="1"/>
  <c r="R417" i="1"/>
  <c r="R275" i="1"/>
  <c r="R386" i="1"/>
  <c r="R304" i="1"/>
  <c r="R179" i="1"/>
  <c r="R158" i="1"/>
  <c r="R291" i="1"/>
  <c r="R439" i="1"/>
  <c r="R135" i="1"/>
  <c r="R276" i="1"/>
  <c r="R427" i="1"/>
  <c r="R267" i="1"/>
  <c r="R32" i="1"/>
  <c r="R27" i="1"/>
  <c r="R415" i="1"/>
  <c r="R283" i="1"/>
  <c r="R514" i="1"/>
  <c r="R459" i="1"/>
  <c r="R130" i="1"/>
  <c r="R141" i="1"/>
  <c r="R25" i="1"/>
  <c r="R466" i="1"/>
  <c r="R532" i="1"/>
  <c r="R232" i="1"/>
  <c r="R418" i="1"/>
  <c r="R60" i="1"/>
  <c r="R104" i="1"/>
  <c r="R522" i="1"/>
  <c r="R279" i="1"/>
  <c r="R38" i="1"/>
  <c r="R103" i="1"/>
  <c r="R168" i="1"/>
  <c r="R219" i="1"/>
  <c r="R278" i="1"/>
  <c r="R325" i="1"/>
  <c r="R373" i="1"/>
  <c r="R420" i="1"/>
  <c r="R454" i="1"/>
  <c r="R498" i="1"/>
  <c r="R539" i="1"/>
  <c r="R39" i="1"/>
  <c r="R107" i="1"/>
  <c r="R169" i="1"/>
  <c r="R220" i="1"/>
  <c r="R326" i="1"/>
  <c r="R374" i="1"/>
  <c r="R421" i="1"/>
  <c r="R467" i="1"/>
  <c r="R501" i="1"/>
  <c r="R541" i="1"/>
  <c r="R83" i="1"/>
  <c r="R536" i="1"/>
  <c r="R324" i="1"/>
  <c r="R40" i="1"/>
  <c r="R109" i="1"/>
  <c r="R508" i="1"/>
  <c r="R216" i="1"/>
  <c r="R410" i="1"/>
  <c r="R89" i="1"/>
  <c r="R504" i="1"/>
  <c r="R205" i="1"/>
  <c r="R407" i="1"/>
  <c r="R86" i="1"/>
  <c r="R400" i="1"/>
  <c r="R49" i="1"/>
  <c r="R384" i="1"/>
  <c r="R195" i="1"/>
  <c r="R134" i="1"/>
  <c r="R229" i="1"/>
  <c r="R462" i="1"/>
  <c r="R273" i="1"/>
  <c r="R78" i="1"/>
  <c r="R193" i="1"/>
  <c r="R540" i="1"/>
  <c r="R348" i="1"/>
  <c r="R159" i="1"/>
  <c r="R524" i="1"/>
  <c r="R380" i="1"/>
  <c r="R239" i="1"/>
  <c r="R93" i="1"/>
  <c r="R499" i="1"/>
  <c r="R355" i="1"/>
  <c r="R214" i="1"/>
  <c r="R67" i="1"/>
  <c r="R473" i="1"/>
  <c r="R329" i="1"/>
  <c r="R188" i="1"/>
  <c r="R41" i="1"/>
  <c r="R516" i="1"/>
  <c r="R71" i="1"/>
  <c r="R138" i="1"/>
  <c r="R198" i="1"/>
  <c r="R253" i="1"/>
  <c r="R313" i="1"/>
  <c r="R372" i="1"/>
  <c r="R381" i="1"/>
  <c r="R2" i="1"/>
  <c r="R263" i="1"/>
  <c r="R523" i="1"/>
  <c r="R238" i="1"/>
  <c r="R497" i="1"/>
  <c r="R212" i="1"/>
  <c r="R517" i="1"/>
  <c r="R269" i="1"/>
  <c r="R345" i="1"/>
  <c r="R237" i="1"/>
  <c r="R339" i="1"/>
  <c r="R233" i="1"/>
  <c r="R121" i="1"/>
  <c r="R210" i="1"/>
  <c r="R259" i="1"/>
  <c r="R96" i="1"/>
  <c r="R12" i="1"/>
  <c r="R174" i="1"/>
  <c r="R251" i="1"/>
  <c r="R511" i="1"/>
  <c r="R226" i="1"/>
  <c r="R485" i="1"/>
  <c r="R200" i="1"/>
  <c r="R470" i="1"/>
  <c r="R199" i="1"/>
  <c r="R108" i="1"/>
  <c r="R486" i="1"/>
  <c r="R293" i="1"/>
  <c r="R382" i="1"/>
  <c r="R15" i="1"/>
  <c r="R180" i="1"/>
  <c r="R196" i="1"/>
  <c r="R257" i="1"/>
  <c r="R175" i="1"/>
  <c r="R333" i="1"/>
  <c r="R512" i="1"/>
  <c r="R227" i="1"/>
  <c r="R487" i="1"/>
  <c r="R202" i="1"/>
  <c r="R55" i="1"/>
  <c r="R319" i="1"/>
  <c r="R176" i="1"/>
  <c r="R28" i="1"/>
  <c r="R137" i="1"/>
  <c r="R197" i="1"/>
  <c r="R252" i="1"/>
  <c r="R312" i="1"/>
  <c r="R358" i="1"/>
  <c r="R265" i="1"/>
  <c r="R162" i="1"/>
  <c r="R160" i="1"/>
  <c r="R126" i="1"/>
  <c r="R356" i="1"/>
  <c r="R215" i="1"/>
  <c r="R68" i="1"/>
  <c r="R475" i="1"/>
  <c r="R190" i="1"/>
  <c r="R43" i="1"/>
  <c r="R449" i="1"/>
  <c r="R308" i="1"/>
  <c r="R164" i="1"/>
  <c r="R16" i="1"/>
  <c r="R136" i="1"/>
  <c r="R189" i="1"/>
  <c r="R249" i="1"/>
  <c r="R309" i="1"/>
  <c r="R357" i="1"/>
  <c r="R406" i="1"/>
  <c r="R453" i="1"/>
  <c r="R192" i="1"/>
  <c r="R404" i="1"/>
  <c r="R119" i="1"/>
  <c r="R379" i="1"/>
  <c r="R92" i="1"/>
  <c r="R353" i="1"/>
  <c r="R65" i="1"/>
  <c r="R424" i="1"/>
  <c r="R8" i="1"/>
  <c r="R73" i="1"/>
  <c r="R201" i="1"/>
  <c r="R42" i="1"/>
  <c r="R534" i="1"/>
  <c r="R124" i="1"/>
  <c r="R530" i="1"/>
  <c r="R430" i="1"/>
  <c r="R433" i="1"/>
  <c r="R399" i="1"/>
  <c r="R14" i="1"/>
  <c r="R290" i="1"/>
  <c r="R208" i="1"/>
  <c r="R363" i="1"/>
  <c r="R392" i="1"/>
  <c r="R106" i="1"/>
  <c r="R367" i="1"/>
  <c r="R79" i="1"/>
  <c r="R341" i="1"/>
  <c r="R53" i="1"/>
  <c r="R4" i="1"/>
  <c r="R72" i="1"/>
  <c r="R254" i="1"/>
  <c r="R297" i="1"/>
  <c r="R185" i="1"/>
  <c r="R58" i="1"/>
  <c r="R482" i="1"/>
  <c r="R182" i="1"/>
  <c r="R385" i="1"/>
  <c r="R369" i="1"/>
  <c r="R117" i="1"/>
  <c r="R446" i="1"/>
  <c r="R62" i="1"/>
  <c r="R525" i="1"/>
  <c r="R144" i="1"/>
  <c r="R368" i="1"/>
  <c r="R81" i="1"/>
  <c r="R343" i="1"/>
  <c r="R461" i="1"/>
  <c r="R70" i="1"/>
  <c r="R419" i="1"/>
  <c r="R170" i="1"/>
  <c r="R230" i="1"/>
  <c r="R268" i="1"/>
  <c r="R460" i="1"/>
  <c r="R157" i="1"/>
  <c r="R362" i="1"/>
  <c r="R24" i="1"/>
  <c r="R456" i="1"/>
  <c r="R151" i="1"/>
  <c r="R359" i="1"/>
  <c r="R21" i="1"/>
  <c r="R370" i="1"/>
  <c r="R543" i="1"/>
  <c r="R351" i="1"/>
  <c r="R84" i="1"/>
  <c r="R163" i="1"/>
  <c r="R431" i="1"/>
  <c r="R242" i="1"/>
  <c r="R47" i="1"/>
  <c r="R507" i="1"/>
  <c r="R318" i="1"/>
  <c r="R500" i="1"/>
  <c r="R331" i="1"/>
  <c r="R221" i="1"/>
  <c r="R281" i="1"/>
  <c r="R245" i="1"/>
  <c r="R438" i="1"/>
  <c r="R125" i="1"/>
  <c r="R340" i="1"/>
  <c r="R531" i="1"/>
  <c r="R234" i="1"/>
  <c r="R434" i="1"/>
  <c r="R122" i="1"/>
  <c r="R334" i="1"/>
  <c r="R99" i="1"/>
  <c r="R337" i="1"/>
  <c r="R528" i="1"/>
  <c r="R336" i="1"/>
  <c r="R147" i="1"/>
  <c r="R50" i="1"/>
  <c r="R133" i="1"/>
  <c r="R414" i="1"/>
  <c r="R225" i="1"/>
  <c r="R29" i="1"/>
  <c r="R145" i="1"/>
  <c r="R492" i="1"/>
  <c r="R303" i="1"/>
  <c r="R110" i="1"/>
  <c r="R488" i="1"/>
  <c r="R344" i="1"/>
  <c r="R203" i="1"/>
  <c r="R56" i="1"/>
  <c r="R463" i="1"/>
  <c r="R320" i="1"/>
  <c r="R178" i="1"/>
  <c r="R30" i="1"/>
  <c r="R437" i="1"/>
  <c r="R296" i="1"/>
  <c r="R152" i="1"/>
  <c r="R3" i="1"/>
  <c r="R187" i="1"/>
  <c r="R247" i="1"/>
  <c r="R302" i="1"/>
  <c r="R354" i="1"/>
  <c r="R405" i="1"/>
  <c r="R450" i="1"/>
  <c r="R493" i="1"/>
  <c r="R436" i="1"/>
  <c r="R479" i="1"/>
  <c r="R139" i="1"/>
  <c r="R171" i="1"/>
  <c r="R388" i="1"/>
  <c r="R52" i="1"/>
  <c r="R280" i="1"/>
  <c r="R328" i="1"/>
  <c r="R217" i="1"/>
  <c r="R412" i="1"/>
  <c r="R91" i="1"/>
  <c r="R316" i="1"/>
  <c r="R505" i="1"/>
  <c r="R206" i="1"/>
  <c r="R408" i="1"/>
  <c r="R54" i="1"/>
  <c r="R314" i="1"/>
  <c r="R66" i="1"/>
  <c r="R307" i="1"/>
  <c r="R513" i="1"/>
  <c r="R322" i="1"/>
  <c r="R132" i="1"/>
  <c r="R17" i="1"/>
  <c r="R98" i="1"/>
  <c r="R398" i="1"/>
  <c r="R209" i="1"/>
  <c r="R13" i="1"/>
  <c r="R127" i="1"/>
  <c r="R477" i="1"/>
  <c r="R288" i="1"/>
  <c r="R94" i="1"/>
  <c r="R476" i="1"/>
  <c r="R332" i="1"/>
  <c r="R191" i="1"/>
  <c r="R44" i="1"/>
  <c r="R451" i="1"/>
  <c r="R310" i="1"/>
  <c r="R166" i="1"/>
  <c r="R18" i="1"/>
  <c r="R425" i="1"/>
  <c r="R284" i="1"/>
  <c r="R140" i="1"/>
  <c r="R120" i="1"/>
  <c r="R246" i="1"/>
  <c r="R301" i="1"/>
  <c r="R349" i="1"/>
  <c r="R402" i="1"/>
  <c r="R445" i="1"/>
  <c r="R491" i="1"/>
  <c r="R538" i="1"/>
  <c r="AE118" i="1" l="1"/>
  <c r="V118" i="1"/>
  <c r="AE108" i="1"/>
  <c r="V108" i="1"/>
  <c r="AB108" i="1"/>
  <c r="Y108" i="1"/>
  <c r="AE116" i="1"/>
  <c r="V116" i="1"/>
  <c r="AB116" i="1"/>
  <c r="AE117" i="1"/>
  <c r="V117" i="1"/>
  <c r="V109" i="1"/>
  <c r="AB109" i="1"/>
  <c r="Y109" i="1"/>
  <c r="AE109" i="1"/>
  <c r="AE122" i="1"/>
  <c r="AE112" i="1"/>
  <c r="V112" i="1"/>
  <c r="AB112" i="1"/>
  <c r="Y112" i="1"/>
  <c r="V105" i="1"/>
  <c r="S105" i="1"/>
  <c r="AE105" i="1"/>
  <c r="AB105" i="1"/>
  <c r="Y105" i="1"/>
  <c r="AE115" i="1"/>
  <c r="Y115" i="1"/>
  <c r="V115" i="1"/>
  <c r="AB115" i="1"/>
  <c r="V110" i="1"/>
  <c r="Y110" i="1"/>
  <c r="AB110" i="1"/>
  <c r="AE110" i="1"/>
  <c r="AE121" i="1"/>
  <c r="AE113" i="1"/>
  <c r="V113" i="1"/>
  <c r="Y113" i="1"/>
  <c r="S113" i="1"/>
  <c r="AB113" i="1"/>
  <c r="AB106" i="1"/>
  <c r="Y106" i="1"/>
  <c r="V106" i="1"/>
  <c r="AE106" i="1"/>
  <c r="V107" i="1"/>
  <c r="AB107" i="1"/>
  <c r="Y107" i="1"/>
  <c r="AE107" i="1"/>
  <c r="Y111" i="1"/>
  <c r="V111" i="1"/>
  <c r="AB111" i="1"/>
  <c r="AE111" i="1"/>
  <c r="V317" i="1"/>
  <c r="AE317" i="1"/>
  <c r="S317" i="1"/>
  <c r="AB317" i="1"/>
  <c r="Y317" i="1"/>
  <c r="AE120" i="1"/>
  <c r="V114" i="1"/>
  <c r="AB114" i="1"/>
  <c r="Y114" i="1"/>
  <c r="AE114" i="1"/>
  <c r="AE80" i="1"/>
  <c r="Y80" i="1"/>
  <c r="AB80" i="1"/>
  <c r="S80" i="1"/>
  <c r="V80" i="1"/>
  <c r="V36" i="1"/>
  <c r="Y36" i="1"/>
  <c r="AE36" i="1"/>
  <c r="AB36" i="1"/>
  <c r="S36" i="1"/>
  <c r="AE7" i="1"/>
  <c r="S7" i="1"/>
  <c r="Y7" i="1"/>
  <c r="V7" i="1"/>
  <c r="AB7" i="1"/>
  <c r="V5" i="1"/>
  <c r="S450" i="1"/>
  <c r="AB161" i="1"/>
  <c r="S161" i="1"/>
  <c r="AB293" i="1"/>
  <c r="S293" i="1"/>
  <c r="S497" i="1"/>
  <c r="AB497" i="1"/>
  <c r="S246" i="1"/>
  <c r="AB246" i="1"/>
  <c r="S466" i="1"/>
  <c r="AB466" i="1"/>
  <c r="S297" i="1"/>
  <c r="AB297" i="1"/>
  <c r="S302" i="1"/>
  <c r="AB302" i="1"/>
  <c r="S407" i="1"/>
  <c r="AB407" i="1"/>
  <c r="S111" i="1"/>
  <c r="AB158" i="1"/>
  <c r="S158" i="1"/>
  <c r="S216" i="1"/>
  <c r="AB216" i="1"/>
  <c r="AB531" i="1"/>
  <c r="S531" i="1"/>
  <c r="S427" i="1"/>
  <c r="AB427" i="1"/>
  <c r="S40" i="1"/>
  <c r="AB40" i="1"/>
  <c r="S237" i="1"/>
  <c r="AB237" i="1"/>
  <c r="AB124" i="1"/>
  <c r="S124" i="1"/>
  <c r="S188" i="1"/>
  <c r="AB188" i="1"/>
  <c r="AB292" i="1"/>
  <c r="S292" i="1"/>
  <c r="AB145" i="1"/>
  <c r="S145" i="1"/>
  <c r="S437" i="1"/>
  <c r="AB437" i="1"/>
  <c r="S534" i="1"/>
  <c r="AB534" i="1"/>
  <c r="S10" i="1"/>
  <c r="AB10" i="1"/>
  <c r="S478" i="1"/>
  <c r="AB478" i="1"/>
  <c r="S516" i="1"/>
  <c r="AB516" i="1"/>
  <c r="S533" i="1"/>
  <c r="AB533" i="1"/>
  <c r="S224" i="1"/>
  <c r="AB224" i="1"/>
  <c r="S310" i="1"/>
  <c r="AB310" i="1"/>
  <c r="AB307" i="1"/>
  <c r="S307" i="1"/>
  <c r="S45" i="1"/>
  <c r="AB45" i="1"/>
  <c r="AB506" i="1"/>
  <c r="S506" i="1"/>
  <c r="AB127" i="1"/>
  <c r="S127" i="1"/>
  <c r="S201" i="1"/>
  <c r="AB201" i="1"/>
  <c r="AB385" i="1"/>
  <c r="S385" i="1"/>
  <c r="S523" i="1"/>
  <c r="AB523" i="1"/>
  <c r="S408" i="1"/>
  <c r="AB408" i="1"/>
  <c r="AB85" i="1"/>
  <c r="S85" i="1"/>
  <c r="S352" i="1"/>
  <c r="AB352" i="1"/>
  <c r="AB148" i="1"/>
  <c r="S148" i="1"/>
  <c r="S19" i="1"/>
  <c r="AB19" i="1"/>
  <c r="S130" i="1"/>
  <c r="AB130" i="1"/>
  <c r="AB467" i="1"/>
  <c r="S467" i="1"/>
  <c r="S470" i="1"/>
  <c r="AB470" i="1"/>
  <c r="S241" i="1"/>
  <c r="AB241" i="1"/>
  <c r="AB197" i="1"/>
  <c r="S197" i="1"/>
  <c r="S41" i="1"/>
  <c r="AB41" i="1"/>
  <c r="AB507" i="1"/>
  <c r="S507" i="1"/>
  <c r="AB52" i="1"/>
  <c r="S52" i="1"/>
  <c r="AB397" i="1"/>
  <c r="S397" i="1"/>
  <c r="S508" i="1"/>
  <c r="AB508" i="1"/>
  <c r="S178" i="1"/>
  <c r="AB178" i="1"/>
  <c r="AB135" i="1"/>
  <c r="S135" i="1"/>
  <c r="S227" i="1"/>
  <c r="AB227" i="1"/>
  <c r="AB255" i="1"/>
  <c r="S255" i="1"/>
  <c r="S51" i="1"/>
  <c r="AB51" i="1"/>
  <c r="AB25" i="1"/>
  <c r="S25" i="1"/>
  <c r="S351" i="1"/>
  <c r="AB351" i="1"/>
  <c r="S381" i="1"/>
  <c r="AB381" i="1"/>
  <c r="S294" i="1"/>
  <c r="AB294" i="1"/>
  <c r="S449" i="1"/>
  <c r="AB449" i="1"/>
  <c r="AB146" i="1"/>
  <c r="S146" i="1"/>
  <c r="S55" i="1"/>
  <c r="AB55" i="1"/>
  <c r="S393" i="1"/>
  <c r="AB393" i="1"/>
  <c r="S421" i="1"/>
  <c r="AB421" i="1"/>
  <c r="S263" i="1"/>
  <c r="AB263" i="1"/>
  <c r="S141" i="1"/>
  <c r="AB141" i="1"/>
  <c r="AB447" i="1"/>
  <c r="S447" i="1"/>
  <c r="S448" i="1"/>
  <c r="AB448" i="1"/>
  <c r="S58" i="1"/>
  <c r="AB58" i="1"/>
  <c r="S322" i="1"/>
  <c r="AB322" i="1"/>
  <c r="S486" i="1"/>
  <c r="AB486" i="1"/>
  <c r="AB434" i="1"/>
  <c r="S434" i="1"/>
  <c r="S133" i="1"/>
  <c r="AB133" i="1"/>
  <c r="S110" i="1"/>
  <c r="S8" i="1"/>
  <c r="AB8" i="1"/>
  <c r="S343" i="1"/>
  <c r="AB343" i="1"/>
  <c r="S402" i="1"/>
  <c r="AB402" i="1"/>
  <c r="S274" i="1"/>
  <c r="AB274" i="1"/>
  <c r="S29" i="1"/>
  <c r="AB29" i="1"/>
  <c r="S47" i="1"/>
  <c r="AB47" i="1"/>
  <c r="AB49" i="1"/>
  <c r="S49" i="1"/>
  <c r="S228" i="1"/>
  <c r="AB228" i="1"/>
  <c r="AB137" i="1"/>
  <c r="S137" i="1"/>
  <c r="S321" i="1"/>
  <c r="AB321" i="1"/>
  <c r="AB502" i="1"/>
  <c r="S502" i="1"/>
  <c r="S314" i="1"/>
  <c r="AB314" i="1"/>
  <c r="AB38" i="1"/>
  <c r="S38" i="1"/>
  <c r="S168" i="1"/>
  <c r="AB168" i="1"/>
  <c r="S67" i="1"/>
  <c r="AB67" i="1"/>
  <c r="S82" i="1"/>
  <c r="AB82" i="1"/>
  <c r="S285" i="1"/>
  <c r="AB285" i="1"/>
  <c r="S439" i="1"/>
  <c r="AB439" i="1"/>
  <c r="AB281" i="1"/>
  <c r="S281" i="1"/>
  <c r="S334" i="1"/>
  <c r="AB334" i="1"/>
  <c r="S206" i="1"/>
  <c r="AB206" i="1"/>
  <c r="S143" i="1"/>
  <c r="AB143" i="1"/>
  <c r="S226" i="1"/>
  <c r="AB226" i="1"/>
  <c r="S498" i="1"/>
  <c r="AB498" i="1"/>
  <c r="S26" i="1"/>
  <c r="AB26" i="1"/>
  <c r="S396" i="1"/>
  <c r="AB396" i="1"/>
  <c r="S151" i="1"/>
  <c r="AB151" i="1"/>
  <c r="S469" i="1"/>
  <c r="AB469" i="1"/>
  <c r="S53" i="1"/>
  <c r="AB53" i="1"/>
  <c r="S16" i="1"/>
  <c r="AB16" i="1"/>
  <c r="S253" i="1"/>
  <c r="AB253" i="1"/>
  <c r="AB337" i="1"/>
  <c r="S337" i="1"/>
  <c r="S541" i="1"/>
  <c r="AB541" i="1"/>
  <c r="S499" i="1"/>
  <c r="AB499" i="1"/>
  <c r="AB174" i="1"/>
  <c r="S174" i="1"/>
  <c r="AB387" i="1"/>
  <c r="S387" i="1"/>
  <c r="S308" i="1"/>
  <c r="AB308" i="1"/>
  <c r="S207" i="1"/>
  <c r="AB207" i="1"/>
  <c r="S32" i="1"/>
  <c r="AB32" i="1"/>
  <c r="S266" i="1"/>
  <c r="AB266" i="1"/>
  <c r="AB362" i="1"/>
  <c r="S362" i="1"/>
  <c r="AB459" i="1"/>
  <c r="S459" i="1"/>
  <c r="AB181" i="1"/>
  <c r="S181" i="1"/>
  <c r="S117" i="1"/>
  <c r="AB117" i="1"/>
  <c r="S132" i="1"/>
  <c r="AB132" i="1"/>
  <c r="AB170" i="1"/>
  <c r="S170" i="1"/>
  <c r="AB88" i="1"/>
  <c r="S88" i="1"/>
  <c r="S242" i="1"/>
  <c r="AB242" i="1"/>
  <c r="S384" i="1"/>
  <c r="AB384" i="1"/>
  <c r="S194" i="1"/>
  <c r="AB194" i="1"/>
  <c r="S153" i="1"/>
  <c r="AB153" i="1"/>
  <c r="S417" i="1"/>
  <c r="AB417" i="1"/>
  <c r="S379" i="1"/>
  <c r="AB379" i="1"/>
  <c r="AB492" i="1"/>
  <c r="S492" i="1"/>
  <c r="S104" i="1"/>
  <c r="AB104" i="1"/>
  <c r="S195" i="1"/>
  <c r="AB195" i="1"/>
  <c r="S347" i="1"/>
  <c r="AB347" i="1"/>
  <c r="S431" i="1"/>
  <c r="AB431" i="1"/>
  <c r="AB540" i="1"/>
  <c r="S540" i="1"/>
  <c r="S140" i="1"/>
  <c r="AB140" i="1"/>
  <c r="S465" i="1"/>
  <c r="AB465" i="1"/>
  <c r="AB196" i="1"/>
  <c r="S196" i="1"/>
  <c r="S355" i="1"/>
  <c r="AB355" i="1"/>
  <c r="S236" i="1"/>
  <c r="AB236" i="1"/>
  <c r="S424" i="1"/>
  <c r="AB424" i="1"/>
  <c r="S367" i="1"/>
  <c r="AB367" i="1"/>
  <c r="S300" i="1"/>
  <c r="AB300" i="1"/>
  <c r="AB131" i="1"/>
  <c r="S131" i="1"/>
  <c r="S323" i="1"/>
  <c r="AB323" i="1"/>
  <c r="S134" i="1"/>
  <c r="AB134" i="1"/>
  <c r="AB279" i="1"/>
  <c r="S279" i="1"/>
  <c r="AB410" i="1"/>
  <c r="S410" i="1"/>
  <c r="S415" i="1"/>
  <c r="AB415" i="1"/>
  <c r="S376" i="1"/>
  <c r="AB376" i="1"/>
  <c r="S163" i="1"/>
  <c r="AB163" i="1"/>
  <c r="S11" i="1"/>
  <c r="AB11" i="1"/>
  <c r="AB479" i="1"/>
  <c r="S479" i="1"/>
  <c r="S291" i="1"/>
  <c r="AB291" i="1"/>
  <c r="S190" i="1"/>
  <c r="AB190" i="1"/>
  <c r="AB231" i="1"/>
  <c r="S231" i="1"/>
  <c r="S333" i="1"/>
  <c r="AB333" i="1"/>
  <c r="S475" i="1"/>
  <c r="AB475" i="1"/>
  <c r="S180" i="1"/>
  <c r="AB180" i="1"/>
  <c r="S18" i="1"/>
  <c r="AB18" i="1"/>
  <c r="S344" i="1"/>
  <c r="AB344" i="1"/>
  <c r="AB258" i="1"/>
  <c r="S258" i="1"/>
  <c r="S468" i="1"/>
  <c r="AB468" i="1"/>
  <c r="S521" i="1"/>
  <c r="AB521" i="1"/>
  <c r="S112" i="1"/>
  <c r="AB269" i="1"/>
  <c r="S269" i="1"/>
  <c r="AB21" i="1"/>
  <c r="S21" i="1"/>
  <c r="S65" i="1"/>
  <c r="AB65" i="1"/>
  <c r="AB60" i="1"/>
  <c r="S60" i="1"/>
  <c r="S366" i="1"/>
  <c r="AB366" i="1"/>
  <c r="AB257" i="1"/>
  <c r="S257" i="1"/>
  <c r="AB361" i="1"/>
  <c r="S361" i="1"/>
  <c r="AB280" i="1"/>
  <c r="S280" i="1"/>
  <c r="S309" i="1"/>
  <c r="AB309" i="1"/>
  <c r="AB61" i="1"/>
  <c r="S61" i="1"/>
  <c r="AB244" i="1"/>
  <c r="S244" i="1"/>
  <c r="AB173" i="1"/>
  <c r="S173" i="1"/>
  <c r="S452" i="1"/>
  <c r="AB452" i="1"/>
  <c r="AB35" i="1"/>
  <c r="S35" i="1"/>
  <c r="AB382" i="1"/>
  <c r="S382" i="1"/>
  <c r="S43" i="1"/>
  <c r="AB43" i="1"/>
  <c r="S471" i="1"/>
  <c r="AB471" i="1"/>
  <c r="S103" i="1"/>
  <c r="AB103" i="1"/>
  <c r="S312" i="1"/>
  <c r="AB312" i="1"/>
  <c r="S271" i="1"/>
  <c r="AB271" i="1"/>
  <c r="S480" i="1"/>
  <c r="AB480" i="1"/>
  <c r="S345" i="1"/>
  <c r="AB345" i="1"/>
  <c r="S129" i="1"/>
  <c r="AB129" i="1"/>
  <c r="S429" i="1"/>
  <c r="AB429" i="1"/>
  <c r="AB363" i="1"/>
  <c r="S363" i="1"/>
  <c r="S404" i="1"/>
  <c r="AB404" i="1"/>
  <c r="AB186" i="1"/>
  <c r="S186" i="1"/>
  <c r="AB482" i="1"/>
  <c r="S482" i="1"/>
  <c r="AB234" i="1"/>
  <c r="S234" i="1"/>
  <c r="S177" i="1"/>
  <c r="AB177" i="1"/>
  <c r="AB327" i="1"/>
  <c r="S327" i="1"/>
  <c r="AB328" i="1"/>
  <c r="S328" i="1"/>
  <c r="AB433" i="1"/>
  <c r="S433" i="1"/>
  <c r="S536" i="1"/>
  <c r="AB536" i="1"/>
  <c r="S418" i="1"/>
  <c r="AB418" i="1"/>
  <c r="S205" i="1"/>
  <c r="AB205" i="1"/>
  <c r="S46" i="1"/>
  <c r="AB46" i="1"/>
  <c r="AB484" i="1"/>
  <c r="S484" i="1"/>
  <c r="S243" i="1"/>
  <c r="AB243" i="1"/>
  <c r="S530" i="1"/>
  <c r="AB530" i="1"/>
  <c r="S193" i="1"/>
  <c r="AB193" i="1"/>
  <c r="AB458" i="1"/>
  <c r="S458" i="1"/>
  <c r="AB265" i="1"/>
  <c r="S265" i="1"/>
  <c r="S539" i="1"/>
  <c r="AB539" i="1"/>
  <c r="AB295" i="1"/>
  <c r="S295" i="1"/>
  <c r="AB230" i="1"/>
  <c r="S230" i="1"/>
  <c r="AB420" i="1"/>
  <c r="S420" i="1"/>
  <c r="S331" i="1"/>
  <c r="AB331" i="1"/>
  <c r="S28" i="1"/>
  <c r="AB28" i="1"/>
  <c r="AB74" i="1"/>
  <c r="S74" i="1"/>
  <c r="AB422" i="1"/>
  <c r="S422" i="1"/>
  <c r="S428" i="1"/>
  <c r="AB428" i="1"/>
  <c r="AB184" i="1"/>
  <c r="S184" i="1"/>
  <c r="AB259" i="1"/>
  <c r="S259" i="1"/>
  <c r="AB138" i="1"/>
  <c r="S138" i="1"/>
  <c r="S413" i="1"/>
  <c r="AB413" i="1"/>
  <c r="AB340" i="1"/>
  <c r="S340" i="1"/>
  <c r="AB275" i="1"/>
  <c r="S275" i="1"/>
  <c r="S77" i="1"/>
  <c r="AB77" i="1"/>
  <c r="S392" i="1"/>
  <c r="AB392" i="1"/>
  <c r="S152" i="1"/>
  <c r="AB152" i="1"/>
  <c r="S262" i="1"/>
  <c r="AB262" i="1"/>
  <c r="AB464" i="1"/>
  <c r="S464" i="1"/>
  <c r="S377" i="1"/>
  <c r="AB377" i="1"/>
  <c r="S30" i="1"/>
  <c r="AB30" i="1"/>
  <c r="S9" i="1"/>
  <c r="AB9" i="1"/>
  <c r="S128" i="1"/>
  <c r="AB128" i="1"/>
  <c r="S159" i="1"/>
  <c r="AB159" i="1"/>
  <c r="S176" i="1"/>
  <c r="AB176" i="1"/>
  <c r="AB423" i="1"/>
  <c r="S423" i="1"/>
  <c r="S545" i="1"/>
  <c r="AB545" i="1"/>
  <c r="AB185" i="1"/>
  <c r="S185" i="1"/>
  <c r="S175" i="1"/>
  <c r="AB175" i="1"/>
  <c r="S493" i="1"/>
  <c r="AB493" i="1"/>
  <c r="S187" i="1"/>
  <c r="AB187" i="1"/>
  <c r="AB419" i="1"/>
  <c r="S419" i="1"/>
  <c r="S204" i="1"/>
  <c r="AB204" i="1"/>
  <c r="S114" i="1"/>
  <c r="S203" i="1"/>
  <c r="AB203" i="1"/>
  <c r="AB220" i="1"/>
  <c r="S220" i="1"/>
  <c r="AB412" i="1"/>
  <c r="S412" i="1"/>
  <c r="S365" i="1"/>
  <c r="AB365" i="1"/>
  <c r="S496" i="1"/>
  <c r="AB496" i="1"/>
  <c r="S505" i="1"/>
  <c r="AB505" i="1"/>
  <c r="AB306" i="1"/>
  <c r="S306" i="1"/>
  <c r="S444" i="1"/>
  <c r="AB444" i="1"/>
  <c r="AB171" i="1"/>
  <c r="S171" i="1"/>
  <c r="S249" i="1"/>
  <c r="AB249" i="1"/>
  <c r="AB520" i="1"/>
  <c r="S520" i="1"/>
  <c r="S501" i="1"/>
  <c r="AB501" i="1"/>
  <c r="AB359" i="1"/>
  <c r="S359" i="1"/>
  <c r="AB97" i="1"/>
  <c r="S97" i="1"/>
  <c r="S500" i="1"/>
  <c r="AB500" i="1"/>
  <c r="S165" i="1"/>
  <c r="AB165" i="1"/>
  <c r="S515" i="1"/>
  <c r="AB515" i="1"/>
  <c r="S456" i="1"/>
  <c r="AB456" i="1"/>
  <c r="AB160" i="1"/>
  <c r="S160" i="1"/>
  <c r="S238" i="1"/>
  <c r="AB238" i="1"/>
  <c r="S445" i="1"/>
  <c r="AB445" i="1"/>
  <c r="S399" i="1"/>
  <c r="AB399" i="1"/>
  <c r="S156" i="1"/>
  <c r="AB156" i="1"/>
  <c r="AB277" i="1"/>
  <c r="S277" i="1"/>
  <c r="S474" i="1"/>
  <c r="AB474" i="1"/>
  <c r="S542" i="1"/>
  <c r="AB542" i="1"/>
  <c r="S162" i="1"/>
  <c r="AB162" i="1"/>
  <c r="S368" i="1"/>
  <c r="AB368" i="1"/>
  <c r="AB87" i="1"/>
  <c r="S87" i="1"/>
  <c r="S240" i="1"/>
  <c r="AB240" i="1"/>
  <c r="AB538" i="1"/>
  <c r="S538" i="1"/>
  <c r="AB150" i="1"/>
  <c r="S150" i="1"/>
  <c r="S215" i="1"/>
  <c r="AB215" i="1"/>
  <c r="S260" i="1"/>
  <c r="AB260" i="1"/>
  <c r="S83" i="1"/>
  <c r="AB83" i="1"/>
  <c r="S44" i="1"/>
  <c r="AB44" i="1"/>
  <c r="AB304" i="1"/>
  <c r="S304" i="1"/>
  <c r="AB59" i="1"/>
  <c r="S59" i="1"/>
  <c r="S78" i="1"/>
  <c r="AB78" i="1"/>
  <c r="AB182" i="1"/>
  <c r="S182" i="1"/>
  <c r="S525" i="1"/>
  <c r="AB525" i="1"/>
  <c r="S529" i="1"/>
  <c r="AB529" i="1"/>
  <c r="S20" i="1"/>
  <c r="AB20" i="1"/>
  <c r="S522" i="1"/>
  <c r="AB522" i="1"/>
  <c r="AB219" i="1"/>
  <c r="S219" i="1"/>
  <c r="AB147" i="1"/>
  <c r="S147" i="1"/>
  <c r="AB209" i="1"/>
  <c r="S209" i="1"/>
  <c r="S489" i="1"/>
  <c r="AB489" i="1"/>
  <c r="S453" i="1"/>
  <c r="AB453" i="1"/>
  <c r="S296" i="1"/>
  <c r="AB296" i="1"/>
  <c r="S252" i="1"/>
  <c r="AB252" i="1"/>
  <c r="AB12" i="1"/>
  <c r="S12" i="1"/>
  <c r="S476" i="1"/>
  <c r="AB476" i="1"/>
  <c r="S92" i="1"/>
  <c r="AB92" i="1"/>
  <c r="S106" i="1"/>
  <c r="S336" i="1"/>
  <c r="AB336" i="1"/>
  <c r="AB268" i="1"/>
  <c r="S268" i="1"/>
  <c r="S69" i="1"/>
  <c r="AB69" i="1"/>
  <c r="AB504" i="1"/>
  <c r="S504" i="1"/>
  <c r="AB24" i="1"/>
  <c r="S24" i="1"/>
  <c r="AB518" i="1"/>
  <c r="S518" i="1"/>
  <c r="S272" i="1"/>
  <c r="AB272" i="1"/>
  <c r="S341" i="1"/>
  <c r="AB341" i="1"/>
  <c r="S5" i="1"/>
  <c r="AB5" i="1"/>
  <c r="AB217" i="1"/>
  <c r="S217" i="1"/>
  <c r="S210" i="1"/>
  <c r="AB210" i="1"/>
  <c r="AB495" i="1"/>
  <c r="S495" i="1"/>
  <c r="AB305" i="1"/>
  <c r="S305" i="1"/>
  <c r="S283" i="1"/>
  <c r="AB283" i="1"/>
  <c r="S414" i="1"/>
  <c r="AB414" i="1"/>
  <c r="AB490" i="1"/>
  <c r="S490" i="1"/>
  <c r="AB350" i="1"/>
  <c r="S350" i="1"/>
  <c r="AB37" i="1"/>
  <c r="S37" i="1"/>
  <c r="S33" i="1"/>
  <c r="AB33" i="1"/>
  <c r="S354" i="1"/>
  <c r="AB354" i="1"/>
  <c r="S346" i="1"/>
  <c r="AB346" i="1"/>
  <c r="S251" i="1"/>
  <c r="AB251" i="1"/>
  <c r="S102" i="1"/>
  <c r="AB102" i="1"/>
  <c r="S122" i="1"/>
  <c r="AB122" i="1"/>
  <c r="S477" i="1"/>
  <c r="AB477" i="1"/>
  <c r="S401" i="1"/>
  <c r="AB401" i="1"/>
  <c r="AB315" i="1"/>
  <c r="S315" i="1"/>
  <c r="S229" i="1"/>
  <c r="AB229" i="1"/>
  <c r="S273" i="1"/>
  <c r="AB273" i="1"/>
  <c r="AB373" i="1"/>
  <c r="S373" i="1"/>
  <c r="AB71" i="1"/>
  <c r="S71" i="1"/>
  <c r="S510" i="1"/>
  <c r="AB510" i="1"/>
  <c r="AB169" i="1"/>
  <c r="S169" i="1"/>
  <c r="S488" i="1"/>
  <c r="AB488" i="1"/>
  <c r="AB526" i="1"/>
  <c r="S526" i="1"/>
  <c r="S84" i="1"/>
  <c r="AB84" i="1"/>
  <c r="S126" i="1"/>
  <c r="AB126" i="1"/>
  <c r="AB313" i="1"/>
  <c r="S313" i="1"/>
  <c r="S202" i="1"/>
  <c r="AB202" i="1"/>
  <c r="S391" i="1"/>
  <c r="AB391" i="1"/>
  <c r="AB386" i="1"/>
  <c r="S386" i="1"/>
  <c r="S485" i="1"/>
  <c r="AB485" i="1"/>
  <c r="S512" i="1"/>
  <c r="AB512" i="1"/>
  <c r="S394" i="1"/>
  <c r="AB394" i="1"/>
  <c r="AB527" i="1"/>
  <c r="S527" i="1"/>
  <c r="AB95" i="1"/>
  <c r="S95" i="1"/>
  <c r="S388" i="1"/>
  <c r="AB388" i="1"/>
  <c r="S142" i="1"/>
  <c r="AB142" i="1"/>
  <c r="S301" i="1"/>
  <c r="AB301" i="1"/>
  <c r="S455" i="1"/>
  <c r="AB455" i="1"/>
  <c r="S239" i="1"/>
  <c r="AB239" i="1"/>
  <c r="S535" i="1"/>
  <c r="AB535" i="1"/>
  <c r="S120" i="1"/>
  <c r="AB120" i="1"/>
  <c r="AB73" i="1"/>
  <c r="S73" i="1"/>
  <c r="S461" i="1"/>
  <c r="AB461" i="1"/>
  <c r="S248" i="1"/>
  <c r="AB248" i="1"/>
  <c r="S451" i="1"/>
  <c r="AB451" i="1"/>
  <c r="S405" i="1"/>
  <c r="AB405" i="1"/>
  <c r="S123" i="1"/>
  <c r="AB123" i="1"/>
  <c r="S426" i="1"/>
  <c r="AB426" i="1"/>
  <c r="AB483" i="1"/>
  <c r="S483" i="1"/>
  <c r="AB325" i="1"/>
  <c r="S325" i="1"/>
  <c r="AB223" i="1"/>
  <c r="S223" i="1"/>
  <c r="AB199" i="1"/>
  <c r="S199" i="1"/>
  <c r="S76" i="1"/>
  <c r="AB76" i="1"/>
  <c r="AB356" i="1"/>
  <c r="S356" i="1"/>
  <c r="S460" i="1"/>
  <c r="AB460" i="1"/>
  <c r="S3" i="1"/>
  <c r="AB3" i="1"/>
  <c r="S299" i="1"/>
  <c r="AB299" i="1"/>
  <c r="S298" i="1"/>
  <c r="AB298" i="1"/>
  <c r="AB524" i="1"/>
  <c r="S524" i="1"/>
  <c r="S63" i="1"/>
  <c r="AB63" i="1"/>
  <c r="S261" i="1"/>
  <c r="AB261" i="1"/>
  <c r="S139" i="1"/>
  <c r="AB139" i="1"/>
  <c r="S353" i="1"/>
  <c r="AB353" i="1"/>
  <c r="AB149" i="1"/>
  <c r="S149" i="1"/>
  <c r="AB34" i="1"/>
  <c r="S34" i="1"/>
  <c r="S79" i="1"/>
  <c r="AB79" i="1"/>
  <c r="S17" i="1"/>
  <c r="AB17" i="1"/>
  <c r="S225" i="1"/>
  <c r="AB225" i="1"/>
  <c r="S57" i="1"/>
  <c r="AB57" i="1"/>
  <c r="S119" i="1"/>
  <c r="AB119" i="1"/>
  <c r="S403" i="1"/>
  <c r="AB403" i="1"/>
  <c r="S443" i="1"/>
  <c r="AB443" i="1"/>
  <c r="S166" i="1"/>
  <c r="AB166" i="1"/>
  <c r="S462" i="1"/>
  <c r="AB462" i="1"/>
  <c r="S189" i="1"/>
  <c r="AB189" i="1"/>
  <c r="S357" i="1"/>
  <c r="AB357" i="1"/>
  <c r="S457" i="1"/>
  <c r="AB457" i="1"/>
  <c r="AB436" i="1"/>
  <c r="S436" i="1"/>
  <c r="AB136" i="1"/>
  <c r="S136" i="1"/>
  <c r="S192" i="1"/>
  <c r="AB192" i="1"/>
  <c r="AB543" i="1"/>
  <c r="S543" i="1"/>
  <c r="S532" i="1"/>
  <c r="AB532" i="1"/>
  <c r="AB15" i="1"/>
  <c r="S15" i="1"/>
  <c r="AB435" i="1"/>
  <c r="S435" i="1"/>
  <c r="S48" i="1"/>
  <c r="AB48" i="1"/>
  <c r="S191" i="1"/>
  <c r="AB191" i="1"/>
  <c r="S286" i="1"/>
  <c r="AB286" i="1"/>
  <c r="AB233" i="1"/>
  <c r="S233" i="1"/>
  <c r="AB409" i="1"/>
  <c r="S409" i="1"/>
  <c r="AB254" i="1"/>
  <c r="S254" i="1"/>
  <c r="S211" i="1"/>
  <c r="AB211" i="1"/>
  <c r="AB125" i="1"/>
  <c r="S125" i="1"/>
  <c r="S115" i="1"/>
  <c r="AB338" i="1"/>
  <c r="S338" i="1"/>
  <c r="S342" i="1"/>
  <c r="AB342" i="1"/>
  <c r="S89" i="1"/>
  <c r="AB89" i="1"/>
  <c r="S487" i="1"/>
  <c r="AB487" i="1"/>
  <c r="AB222" i="1"/>
  <c r="S222" i="1"/>
  <c r="S438" i="1"/>
  <c r="AB438" i="1"/>
  <c r="S154" i="1"/>
  <c r="AB154" i="1"/>
  <c r="S329" i="1"/>
  <c r="AB329" i="1"/>
  <c r="S330" i="1"/>
  <c r="AB330" i="1"/>
  <c r="S42" i="1"/>
  <c r="AB42" i="1"/>
  <c r="S430" i="1"/>
  <c r="AB430" i="1"/>
  <c r="S390" i="1"/>
  <c r="AB390" i="1"/>
  <c r="S278" i="1"/>
  <c r="AB278" i="1"/>
  <c r="AB406" i="1"/>
  <c r="S406" i="1"/>
  <c r="AB450" i="1"/>
  <c r="S463" i="1"/>
  <c r="AB463" i="1"/>
  <c r="S378" i="1"/>
  <c r="AB378" i="1"/>
  <c r="S31" i="1"/>
  <c r="AB31" i="1"/>
  <c r="S332" i="1"/>
  <c r="AB332" i="1"/>
  <c r="S6" i="1"/>
  <c r="AB6" i="1"/>
  <c r="AB245" i="1"/>
  <c r="S245" i="1"/>
  <c r="S289" i="1"/>
  <c r="AB289" i="1"/>
  <c r="S440" i="1"/>
  <c r="AB440" i="1"/>
  <c r="AB50" i="1"/>
  <c r="S50" i="1"/>
  <c r="S2" i="1"/>
  <c r="AB2" i="1"/>
  <c r="S68" i="1"/>
  <c r="AB68" i="1"/>
  <c r="AB339" i="1"/>
  <c r="S339" i="1"/>
  <c r="S517" i="1"/>
  <c r="AB517" i="1"/>
  <c r="S155" i="1"/>
  <c r="AB155" i="1"/>
  <c r="S267" i="1"/>
  <c r="AB267" i="1"/>
  <c r="S81" i="1"/>
  <c r="AB81" i="1"/>
  <c r="S90" i="1"/>
  <c r="AB90" i="1"/>
  <c r="S494" i="1"/>
  <c r="AB494" i="1"/>
  <c r="S121" i="1"/>
  <c r="AB121" i="1"/>
  <c r="S54" i="1"/>
  <c r="AB54" i="1"/>
  <c r="AB349" i="1"/>
  <c r="S349" i="1"/>
  <c r="S491" i="1"/>
  <c r="AB491" i="1"/>
  <c r="S270" i="1"/>
  <c r="AB270" i="1"/>
  <c r="S547" i="1"/>
  <c r="AB547" i="1"/>
  <c r="AB324" i="1"/>
  <c r="S324" i="1"/>
  <c r="AB235" i="1"/>
  <c r="S235" i="1"/>
  <c r="S91" i="1"/>
  <c r="AB91" i="1"/>
  <c r="S284" i="1"/>
  <c r="AB284" i="1"/>
  <c r="S369" i="1"/>
  <c r="AB369" i="1"/>
  <c r="S22" i="1"/>
  <c r="AB22" i="1"/>
  <c r="S370" i="1"/>
  <c r="AB370" i="1"/>
  <c r="S287" i="1"/>
  <c r="AB287" i="1"/>
  <c r="AB326" i="1"/>
  <c r="S326" i="1"/>
  <c r="S66" i="1"/>
  <c r="AB66" i="1"/>
  <c r="S320" i="1"/>
  <c r="AB320" i="1"/>
  <c r="AB100" i="1"/>
  <c r="S100" i="1"/>
  <c r="S56" i="1"/>
  <c r="AB56" i="1"/>
  <c r="S441" i="1"/>
  <c r="AB441" i="1"/>
  <c r="AB335" i="1"/>
  <c r="S335" i="1"/>
  <c r="S218" i="1"/>
  <c r="AB218" i="1"/>
  <c r="S411" i="1"/>
  <c r="AB411" i="1"/>
  <c r="AB183" i="1"/>
  <c r="S183" i="1"/>
  <c r="S213" i="1"/>
  <c r="AB213" i="1"/>
  <c r="S383" i="1"/>
  <c r="AB383" i="1"/>
  <c r="S93" i="1"/>
  <c r="AB93" i="1"/>
  <c r="AB360" i="1"/>
  <c r="S360" i="1"/>
  <c r="S503" i="1"/>
  <c r="AB503" i="1"/>
  <c r="AB13" i="1"/>
  <c r="S13" i="1"/>
  <c r="S389" i="1"/>
  <c r="AB389" i="1"/>
  <c r="S107" i="1"/>
  <c r="S364" i="1"/>
  <c r="AB364" i="1"/>
  <c r="S454" i="1"/>
  <c r="AB454" i="1"/>
  <c r="S318" i="1"/>
  <c r="AB318" i="1"/>
  <c r="S101" i="1"/>
  <c r="AB101" i="1"/>
  <c r="S250" i="1"/>
  <c r="AB250" i="1"/>
  <c r="S164" i="1"/>
  <c r="AB164" i="1"/>
  <c r="S144" i="1"/>
  <c r="AB144" i="1"/>
  <c r="AB232" i="1"/>
  <c r="S232" i="1"/>
  <c r="AB72" i="1"/>
  <c r="S72" i="1"/>
  <c r="S290" i="1"/>
  <c r="AB290" i="1"/>
  <c r="S514" i="1"/>
  <c r="AB514" i="1"/>
  <c r="AB221" i="1"/>
  <c r="S221" i="1"/>
  <c r="S395" i="1"/>
  <c r="AB395" i="1"/>
  <c r="AB172" i="1"/>
  <c r="S172" i="1"/>
  <c r="S4" i="1"/>
  <c r="AB4" i="1"/>
  <c r="S513" i="1"/>
  <c r="AB513" i="1"/>
  <c r="S546" i="1"/>
  <c r="AB546" i="1"/>
  <c r="S303" i="1"/>
  <c r="AB303" i="1"/>
  <c r="AB282" i="1"/>
  <c r="S282" i="1"/>
  <c r="S214" i="1"/>
  <c r="AB214" i="1"/>
  <c r="S157" i="1"/>
  <c r="AB157" i="1"/>
  <c r="AB256" i="1"/>
  <c r="S256" i="1"/>
  <c r="S64" i="1"/>
  <c r="AB64" i="1"/>
  <c r="S473" i="1"/>
  <c r="AB473" i="1"/>
  <c r="AB70" i="1"/>
  <c r="S70" i="1"/>
  <c r="S108" i="1"/>
  <c r="S75" i="1"/>
  <c r="AB75" i="1"/>
  <c r="AB481" i="1"/>
  <c r="S481" i="1"/>
  <c r="S348" i="1"/>
  <c r="AB348" i="1"/>
  <c r="S472" i="1"/>
  <c r="AB472" i="1"/>
  <c r="S116" i="1"/>
  <c r="AB544" i="1"/>
  <c r="S544" i="1"/>
  <c r="AB39" i="1"/>
  <c r="S39" i="1"/>
  <c r="AB62" i="1"/>
  <c r="S62" i="1"/>
  <c r="S212" i="1"/>
  <c r="AB212" i="1"/>
  <c r="AB398" i="1"/>
  <c r="S398" i="1"/>
  <c r="S109" i="1"/>
  <c r="AB528" i="1"/>
  <c r="S528" i="1"/>
  <c r="S442" i="1"/>
  <c r="AB442" i="1"/>
  <c r="S537" i="1"/>
  <c r="AB537" i="1"/>
  <c r="S276" i="1"/>
  <c r="AB276" i="1"/>
  <c r="S319" i="1"/>
  <c r="AB319" i="1"/>
  <c r="AB358" i="1"/>
  <c r="S358" i="1"/>
  <c r="AB208" i="1"/>
  <c r="S208" i="1"/>
  <c r="AB98" i="1"/>
  <c r="S98" i="1"/>
  <c r="AB400" i="1"/>
  <c r="S400" i="1"/>
  <c r="S416" i="1"/>
  <c r="AB416" i="1"/>
  <c r="S118" i="1"/>
  <c r="AB118" i="1"/>
  <c r="AB167" i="1"/>
  <c r="S167" i="1"/>
  <c r="S179" i="1"/>
  <c r="AB179" i="1"/>
  <c r="AB380" i="1"/>
  <c r="S380" i="1"/>
  <c r="AB96" i="1"/>
  <c r="S96" i="1"/>
  <c r="S288" i="1"/>
  <c r="AB288" i="1"/>
  <c r="S371" i="1"/>
  <c r="AB371" i="1"/>
  <c r="S264" i="1"/>
  <c r="AB264" i="1"/>
  <c r="S432" i="1"/>
  <c r="AB432" i="1"/>
  <c r="AB374" i="1"/>
  <c r="S374" i="1"/>
  <c r="S200" i="1"/>
  <c r="AB200" i="1"/>
  <c r="AB99" i="1"/>
  <c r="S99" i="1"/>
  <c r="S425" i="1"/>
  <c r="AB425" i="1"/>
  <c r="S94" i="1"/>
  <c r="AB94" i="1"/>
  <c r="AB14" i="1"/>
  <c r="S14" i="1"/>
  <c r="AB86" i="1"/>
  <c r="S86" i="1"/>
  <c r="AB375" i="1"/>
  <c r="S375" i="1"/>
  <c r="S247" i="1"/>
  <c r="AB247" i="1"/>
  <c r="S511" i="1"/>
  <c r="AB511" i="1"/>
  <c r="S509" i="1"/>
  <c r="AB509" i="1"/>
  <c r="AB446" i="1"/>
  <c r="S446" i="1"/>
  <c r="AB519" i="1"/>
  <c r="S519" i="1"/>
  <c r="AB311" i="1"/>
  <c r="S311" i="1"/>
  <c r="AB23" i="1"/>
  <c r="S23" i="1"/>
  <c r="AB316" i="1"/>
  <c r="S316" i="1"/>
  <c r="S27" i="1"/>
  <c r="AB27" i="1"/>
  <c r="S198" i="1"/>
  <c r="AB198" i="1"/>
  <c r="AB372" i="1"/>
  <c r="S372" i="1"/>
  <c r="V2" i="1"/>
  <c r="AE406" i="1"/>
  <c r="Y465" i="1"/>
  <c r="AE483" i="1"/>
  <c r="Y194" i="1"/>
  <c r="Y244" i="1"/>
  <c r="Y16" i="1"/>
  <c r="AE203" i="1"/>
  <c r="Y450" i="1"/>
  <c r="AE244" i="1"/>
  <c r="V274" i="1"/>
  <c r="AE388" i="1"/>
  <c r="Y43" i="1"/>
  <c r="V305" i="1"/>
  <c r="Y178" i="1"/>
  <c r="Y242" i="1"/>
  <c r="Y5" i="1"/>
  <c r="AE178" i="1"/>
  <c r="AE58" i="1"/>
  <c r="Y129" i="1"/>
  <c r="V213" i="1"/>
  <c r="Y353" i="1"/>
  <c r="AE363" i="1"/>
  <c r="AE448" i="1"/>
  <c r="AE217" i="1"/>
  <c r="AE27" i="1"/>
  <c r="AE173" i="1"/>
  <c r="AE2" i="1"/>
  <c r="AE507" i="1"/>
  <c r="Y140" i="1"/>
  <c r="Y95" i="1"/>
  <c r="AE25" i="1"/>
  <c r="Y482" i="1"/>
  <c r="AE426" i="1"/>
  <c r="Y314" i="1"/>
  <c r="Y287" i="1"/>
  <c r="AE197" i="1"/>
  <c r="AE222" i="1"/>
  <c r="AE519" i="1"/>
  <c r="AE360" i="1"/>
  <c r="AE177" i="1"/>
  <c r="AE390" i="1"/>
  <c r="Y89" i="1"/>
  <c r="Y186" i="1"/>
  <c r="AE383" i="1"/>
  <c r="AE52" i="1"/>
  <c r="Y27" i="1"/>
  <c r="Y175" i="1"/>
  <c r="Y483" i="1"/>
  <c r="V165" i="1"/>
  <c r="AE314" i="1"/>
  <c r="Y413" i="1"/>
  <c r="AE438" i="1"/>
  <c r="Y52" i="1"/>
  <c r="Y360" i="1"/>
  <c r="Y320" i="1"/>
  <c r="Y58" i="1"/>
  <c r="Y404" i="1"/>
  <c r="AE129" i="1"/>
  <c r="V300" i="1"/>
  <c r="Y446" i="1"/>
  <c r="Y149" i="1"/>
  <c r="AE397" i="1"/>
  <c r="AE175" i="1"/>
  <c r="AE309" i="1"/>
  <c r="V154" i="1"/>
  <c r="V74" i="1"/>
  <c r="Y293" i="1"/>
  <c r="AE95" i="1"/>
  <c r="Y383" i="1"/>
  <c r="Y466" i="1"/>
  <c r="Y278" i="1"/>
  <c r="AE5" i="1"/>
  <c r="Y507" i="1"/>
  <c r="AE327" i="1"/>
  <c r="V33" i="1"/>
  <c r="AE186" i="1"/>
  <c r="V401" i="1"/>
  <c r="Y434" i="1"/>
  <c r="AE370" i="1"/>
  <c r="Y139" i="1"/>
  <c r="AE151" i="1"/>
  <c r="AE16" i="1"/>
  <c r="Y539" i="1"/>
  <c r="Y487" i="1"/>
  <c r="Y305" i="1"/>
  <c r="AE396" i="1"/>
  <c r="AE293" i="1"/>
  <c r="AE539" i="1"/>
  <c r="AE351" i="1"/>
  <c r="AE480" i="1"/>
  <c r="AE312" i="1"/>
  <c r="AE413" i="1"/>
  <c r="AE236" i="1"/>
  <c r="AE39" i="1"/>
  <c r="Y511" i="1"/>
  <c r="AE458" i="1"/>
  <c r="Y316" i="1"/>
  <c r="Y338" i="1"/>
  <c r="AE325" i="1"/>
  <c r="AE486" i="1"/>
  <c r="Y59" i="1"/>
  <c r="AE302" i="1"/>
  <c r="AE185" i="1"/>
  <c r="AE367" i="1"/>
  <c r="AE182" i="1"/>
  <c r="Y529" i="1"/>
  <c r="AE20" i="1"/>
  <c r="Y213" i="1"/>
  <c r="AE93" i="1"/>
  <c r="AE503" i="1"/>
  <c r="V413" i="1"/>
  <c r="AE103" i="1"/>
  <c r="Y322" i="1"/>
  <c r="AE41" i="1"/>
  <c r="Y168" i="1"/>
  <c r="Y438" i="1"/>
  <c r="Y93" i="1"/>
  <c r="Y522" i="1"/>
  <c r="Y280" i="1"/>
  <c r="Y222" i="1"/>
  <c r="Y430" i="1"/>
  <c r="AE265" i="1"/>
  <c r="AE353" i="1"/>
  <c r="Y397" i="1"/>
  <c r="AE22" i="1"/>
  <c r="AE280" i="1"/>
  <c r="AE544" i="1"/>
  <c r="AE253" i="1"/>
  <c r="V376" i="1"/>
  <c r="V218" i="1"/>
  <c r="AE158" i="1"/>
  <c r="Y227" i="1"/>
  <c r="V520" i="1"/>
  <c r="Y369" i="1"/>
  <c r="Y348" i="1"/>
  <c r="AE242" i="1"/>
  <c r="AE466" i="1"/>
  <c r="AE194" i="1"/>
  <c r="AE522" i="1"/>
  <c r="AE123" i="1"/>
  <c r="AE241" i="1"/>
  <c r="AE365" i="1"/>
  <c r="AE511" i="1"/>
  <c r="Y203" i="1"/>
  <c r="AE497" i="1"/>
  <c r="AE450" i="1"/>
  <c r="Y197" i="1"/>
  <c r="AE81" i="1"/>
  <c r="AE297" i="1"/>
  <c r="Y300" i="1"/>
  <c r="Y375" i="1"/>
  <c r="AE407" i="1"/>
  <c r="AE509" i="1"/>
  <c r="AE446" i="1"/>
  <c r="Y519" i="1"/>
  <c r="AE311" i="1"/>
  <c r="Y325" i="1"/>
  <c r="Y544" i="1"/>
  <c r="AE267" i="1"/>
  <c r="Y67" i="1"/>
  <c r="AE339" i="1"/>
  <c r="Y44" i="1"/>
  <c r="AE452" i="1"/>
  <c r="Y61" i="1"/>
  <c r="AE322" i="1"/>
  <c r="Y406" i="1"/>
  <c r="Y311" i="1"/>
  <c r="V228" i="1"/>
  <c r="Y345" i="1"/>
  <c r="Y351" i="1"/>
  <c r="Y20" i="1"/>
  <c r="Y312" i="1"/>
  <c r="AE70" i="1"/>
  <c r="Y234" i="1"/>
  <c r="Y481" i="1"/>
  <c r="Y327" i="1"/>
  <c r="AE304" i="1"/>
  <c r="AE139" i="1"/>
  <c r="AE234" i="1"/>
  <c r="AE424" i="1"/>
  <c r="AE287" i="1"/>
  <c r="Y509" i="1"/>
  <c r="Y2" i="1"/>
  <c r="Y497" i="1"/>
  <c r="V250" i="1"/>
  <c r="Y63" i="1"/>
  <c r="AE348" i="1"/>
  <c r="AE50" i="1"/>
  <c r="Y23" i="1"/>
  <c r="AE83" i="1"/>
  <c r="AE35" i="1"/>
  <c r="Y508" i="1"/>
  <c r="Y133" i="1"/>
  <c r="Y297" i="1"/>
  <c r="Y372" i="1"/>
  <c r="AE529" i="1"/>
  <c r="V294" i="1"/>
  <c r="AE465" i="1"/>
  <c r="Y182" i="1"/>
  <c r="Y22" i="1"/>
  <c r="Y198" i="1"/>
  <c r="Y241" i="1"/>
  <c r="AE63" i="1"/>
  <c r="Y407" i="1"/>
  <c r="Y363" i="1"/>
  <c r="AE326" i="1"/>
  <c r="Y25" i="1"/>
  <c r="Y50" i="1"/>
  <c r="V283" i="1"/>
  <c r="V403" i="1"/>
  <c r="Y452" i="1"/>
  <c r="Y412" i="1"/>
  <c r="Y355" i="1"/>
  <c r="V432" i="1"/>
  <c r="AE487" i="1"/>
  <c r="AE278" i="1"/>
  <c r="AE329" i="1"/>
  <c r="AE227" i="1"/>
  <c r="AE89" i="1"/>
  <c r="Y382" i="1"/>
  <c r="AE196" i="1"/>
  <c r="AE440" i="1"/>
  <c r="AE68" i="1"/>
  <c r="AE210" i="1"/>
  <c r="AE42" i="1"/>
  <c r="Y253" i="1"/>
  <c r="Y219" i="1"/>
  <c r="AE472" i="1"/>
  <c r="Y390" i="1"/>
  <c r="AE495" i="1"/>
  <c r="Y39" i="1"/>
  <c r="AE375" i="1"/>
  <c r="Y271" i="1"/>
  <c r="Y503" i="1"/>
  <c r="AE481" i="1"/>
  <c r="AE372" i="1"/>
  <c r="Y135" i="1"/>
  <c r="AE330" i="1"/>
  <c r="AE369" i="1"/>
  <c r="V276" i="1"/>
  <c r="Y388" i="1"/>
  <c r="Y329" i="1"/>
  <c r="Y75" i="1"/>
  <c r="AE342" i="1"/>
  <c r="Y267" i="1"/>
  <c r="Y365" i="1"/>
  <c r="Y448" i="1"/>
  <c r="Y35" i="1"/>
  <c r="AE75" i="1"/>
  <c r="AE337" i="1"/>
  <c r="Y370" i="1"/>
  <c r="Y177" i="1"/>
  <c r="Y78" i="1"/>
  <c r="V243" i="1"/>
  <c r="V48" i="1"/>
  <c r="Y217" i="1"/>
  <c r="Y342" i="1"/>
  <c r="V129" i="1"/>
  <c r="AE13" i="1"/>
  <c r="Y426" i="1"/>
  <c r="V101" i="1"/>
  <c r="Y151" i="1"/>
  <c r="Y261" i="1"/>
  <c r="Y424" i="1"/>
  <c r="Y154" i="1"/>
  <c r="AE168" i="1"/>
  <c r="AE149" i="1"/>
  <c r="AE135" i="1"/>
  <c r="AE430" i="1"/>
  <c r="AE147" i="1"/>
  <c r="AE44" i="1"/>
  <c r="AE140" i="1"/>
  <c r="AE300" i="1"/>
  <c r="AE412" i="1"/>
  <c r="AE51" i="1"/>
  <c r="Y367" i="1"/>
  <c r="Y123" i="1"/>
  <c r="Y389" i="1"/>
  <c r="AE260" i="1"/>
  <c r="AE38" i="1"/>
  <c r="AE482" i="1"/>
  <c r="AE389" i="1"/>
  <c r="AE220" i="1"/>
  <c r="AE355" i="1"/>
  <c r="AE88" i="1"/>
  <c r="Y472" i="1"/>
  <c r="Y247" i="1"/>
  <c r="AE470" i="1"/>
  <c r="Y302" i="1"/>
  <c r="V306" i="1"/>
  <c r="V87" i="1"/>
  <c r="V527" i="1"/>
  <c r="Y66" i="1"/>
  <c r="Y339" i="1"/>
  <c r="AE434" i="1"/>
  <c r="AE384" i="1"/>
  <c r="AE66" i="1"/>
  <c r="AE133" i="1"/>
  <c r="AE469" i="1"/>
  <c r="Y304" i="1"/>
  <c r="Y384" i="1"/>
  <c r="AE161" i="1"/>
  <c r="Y41" i="1"/>
  <c r="Y525" i="1"/>
  <c r="Y81" i="1"/>
  <c r="Y330" i="1"/>
  <c r="Y429" i="1"/>
  <c r="Y471" i="1"/>
  <c r="Y53" i="1"/>
  <c r="Y147" i="1"/>
  <c r="Y103" i="1"/>
  <c r="Y173" i="1"/>
  <c r="Y236" i="1"/>
  <c r="Y326" i="1"/>
  <c r="Y469" i="1"/>
  <c r="Y473" i="1"/>
  <c r="Y480" i="1"/>
  <c r="Y283" i="1"/>
  <c r="Y82" i="1"/>
  <c r="Y309" i="1"/>
  <c r="Y70" i="1"/>
  <c r="Y255" i="1"/>
  <c r="V518" i="1"/>
  <c r="V167" i="1"/>
  <c r="V31" i="1"/>
  <c r="V285" i="1"/>
  <c r="V277" i="1"/>
  <c r="AE142" i="1"/>
  <c r="Y142" i="1"/>
  <c r="Y207" i="1"/>
  <c r="AE207" i="1"/>
  <c r="Y73" i="1"/>
  <c r="AE73" i="1"/>
  <c r="Y9" i="1"/>
  <c r="AE9" i="1"/>
  <c r="Y99" i="1"/>
  <c r="AE99" i="1"/>
  <c r="Y94" i="1"/>
  <c r="AE94" i="1"/>
  <c r="Y125" i="1"/>
  <c r="AE125" i="1"/>
  <c r="AE219" i="1"/>
  <c r="Y531" i="1"/>
  <c r="AE531" i="1"/>
  <c r="Y40" i="1"/>
  <c r="AE40" i="1"/>
  <c r="AE124" i="1"/>
  <c r="Y124" i="1"/>
  <c r="AE437" i="1"/>
  <c r="Y437" i="1"/>
  <c r="Y478" i="1"/>
  <c r="AE478" i="1"/>
  <c r="AE310" i="1"/>
  <c r="Y310" i="1"/>
  <c r="Y21" i="1"/>
  <c r="AE21" i="1"/>
  <c r="Y13" i="1"/>
  <c r="Y14" i="1"/>
  <c r="AE14" i="1"/>
  <c r="AE86" i="1"/>
  <c r="Y86" i="1"/>
  <c r="Y223" i="1"/>
  <c r="AE223" i="1"/>
  <c r="Y76" i="1"/>
  <c r="AE76" i="1"/>
  <c r="AE419" i="1"/>
  <c r="Y419" i="1"/>
  <c r="AE3" i="1"/>
  <c r="Y3" i="1"/>
  <c r="Y238" i="1"/>
  <c r="AE238" i="1"/>
  <c r="AE445" i="1"/>
  <c r="Y445" i="1"/>
  <c r="Y474" i="1"/>
  <c r="AE474" i="1"/>
  <c r="Y155" i="1"/>
  <c r="AE155" i="1"/>
  <c r="AE512" i="1"/>
  <c r="Y512" i="1"/>
  <c r="AE289" i="1"/>
  <c r="Y289" i="1"/>
  <c r="AE525" i="1"/>
  <c r="V327" i="1"/>
  <c r="V390" i="1"/>
  <c r="AE131" i="1"/>
  <c r="Y131" i="1"/>
  <c r="AE134" i="1"/>
  <c r="Y134" i="1"/>
  <c r="AE376" i="1"/>
  <c r="Y376" i="1"/>
  <c r="Y11" i="1"/>
  <c r="AE11" i="1"/>
  <c r="Y291" i="1"/>
  <c r="AE291" i="1"/>
  <c r="Y333" i="1"/>
  <c r="AE333" i="1"/>
  <c r="Y180" i="1"/>
  <c r="AE180" i="1"/>
  <c r="AE471" i="1"/>
  <c r="AE283" i="1"/>
  <c r="Y532" i="1"/>
  <c r="AE532" i="1"/>
  <c r="Y48" i="1"/>
  <c r="AE48" i="1"/>
  <c r="Y42" i="1"/>
  <c r="AE484" i="1"/>
  <c r="Y484" i="1"/>
  <c r="Y324" i="1"/>
  <c r="AE324" i="1"/>
  <c r="Y91" i="1"/>
  <c r="AE91" i="1"/>
  <c r="AE394" i="1"/>
  <c r="Y394" i="1"/>
  <c r="AE53" i="1"/>
  <c r="V371" i="1"/>
  <c r="V535" i="1"/>
  <c r="Y171" i="1"/>
  <c r="AE171" i="1"/>
  <c r="Y501" i="1"/>
  <c r="AE501" i="1"/>
  <c r="AE500" i="1"/>
  <c r="Y500" i="1"/>
  <c r="Y456" i="1"/>
  <c r="AE456" i="1"/>
  <c r="Y68" i="1"/>
  <c r="AE96" i="1"/>
  <c r="Y96" i="1"/>
  <c r="AE371" i="1"/>
  <c r="Y371" i="1"/>
  <c r="Y158" i="1"/>
  <c r="Y411" i="1"/>
  <c r="AE411" i="1"/>
  <c r="AE284" i="1"/>
  <c r="Y284" i="1"/>
  <c r="V532" i="1"/>
  <c r="V464" i="1"/>
  <c r="V34" i="1"/>
  <c r="AE34" i="1"/>
  <c r="Y34" i="1"/>
  <c r="Y403" i="1"/>
  <c r="AE403" i="1"/>
  <c r="Y462" i="1"/>
  <c r="AE462" i="1"/>
  <c r="Y357" i="1"/>
  <c r="AE357" i="1"/>
  <c r="Y136" i="1"/>
  <c r="AE136" i="1"/>
  <c r="Y196" i="1"/>
  <c r="Y336" i="1"/>
  <c r="AE336" i="1"/>
  <c r="Y69" i="1"/>
  <c r="AE69" i="1"/>
  <c r="Y421" i="1"/>
  <c r="AE421" i="1"/>
  <c r="Y4" i="1"/>
  <c r="AE4" i="1"/>
  <c r="AE546" i="1"/>
  <c r="Y546" i="1"/>
  <c r="Y303" i="1"/>
  <c r="AE303" i="1"/>
  <c r="AE152" i="1"/>
  <c r="Y152" i="1"/>
  <c r="Y161" i="1"/>
  <c r="V291" i="1"/>
  <c r="V82" i="1"/>
  <c r="V23" i="1"/>
  <c r="V207" i="1"/>
  <c r="AE62" i="1"/>
  <c r="Y62" i="1"/>
  <c r="AE528" i="1"/>
  <c r="Y528" i="1"/>
  <c r="AE319" i="1"/>
  <c r="Y319" i="1"/>
  <c r="Y98" i="1"/>
  <c r="AE98" i="1"/>
  <c r="Y396" i="1"/>
  <c r="Y510" i="1"/>
  <c r="AE510" i="1"/>
  <c r="Y169" i="1"/>
  <c r="AE169" i="1"/>
  <c r="AE23" i="1"/>
  <c r="AE82" i="1"/>
  <c r="AE181" i="1"/>
  <c r="Y181" i="1"/>
  <c r="AE423" i="1"/>
  <c r="Y423" i="1"/>
  <c r="Y545" i="1"/>
  <c r="AE545" i="1"/>
  <c r="AE404" i="1"/>
  <c r="AE338" i="1"/>
  <c r="V231" i="1"/>
  <c r="V69" i="1"/>
  <c r="Y463" i="1"/>
  <c r="AE463" i="1"/>
  <c r="Y378" i="1"/>
  <c r="AE378" i="1"/>
  <c r="Y252" i="1"/>
  <c r="AE252" i="1"/>
  <c r="Y476" i="1"/>
  <c r="AE476" i="1"/>
  <c r="AE320" i="1"/>
  <c r="AE255" i="1"/>
  <c r="AE49" i="1"/>
  <c r="Y49" i="1"/>
  <c r="AE148" i="1"/>
  <c r="Y148" i="1"/>
  <c r="Y130" i="1"/>
  <c r="AE130" i="1"/>
  <c r="Y132" i="1"/>
  <c r="AE132" i="1"/>
  <c r="V88" i="1"/>
  <c r="V244" i="1"/>
  <c r="Y490" i="1"/>
  <c r="AE490" i="1"/>
  <c r="Y37" i="1"/>
  <c r="AE37" i="1"/>
  <c r="Y251" i="1"/>
  <c r="AE251" i="1"/>
  <c r="Y122" i="1"/>
  <c r="Y315" i="1"/>
  <c r="AE315" i="1"/>
  <c r="AE71" i="1"/>
  <c r="Y71" i="1"/>
  <c r="Y38" i="1"/>
  <c r="Y486" i="1"/>
  <c r="AE61" i="1"/>
  <c r="Y83" i="1"/>
  <c r="Y524" i="1"/>
  <c r="AE524" i="1"/>
  <c r="Y195" i="1"/>
  <c r="AE195" i="1"/>
  <c r="AE347" i="1"/>
  <c r="Y347" i="1"/>
  <c r="AE467" i="1"/>
  <c r="Y467" i="1"/>
  <c r="V51" i="1"/>
  <c r="V130" i="1"/>
  <c r="V26" i="1"/>
  <c r="V271" i="1"/>
  <c r="Y328" i="1"/>
  <c r="AE328" i="1"/>
  <c r="AE90" i="1"/>
  <c r="Y90" i="1"/>
  <c r="Y494" i="1"/>
  <c r="AE494" i="1"/>
  <c r="AE8" i="1"/>
  <c r="Y8" i="1"/>
  <c r="Y433" i="1"/>
  <c r="AE433" i="1"/>
  <c r="Y343" i="1"/>
  <c r="AE343" i="1"/>
  <c r="Y121" i="1"/>
  <c r="AE536" i="1"/>
  <c r="Y536" i="1"/>
  <c r="Y402" i="1"/>
  <c r="AE402" i="1"/>
  <c r="Y418" i="1"/>
  <c r="AE418" i="1"/>
  <c r="Y274" i="1"/>
  <c r="AE274" i="1"/>
  <c r="Y54" i="1"/>
  <c r="AE54" i="1"/>
  <c r="Y29" i="1"/>
  <c r="AE29" i="1"/>
  <c r="Y205" i="1"/>
  <c r="AE205" i="1"/>
  <c r="Y349" i="1"/>
  <c r="AE349" i="1"/>
  <c r="AE47" i="1"/>
  <c r="Y47" i="1"/>
  <c r="AE316" i="1"/>
  <c r="AE67" i="1"/>
  <c r="Y470" i="1"/>
  <c r="Y221" i="1"/>
  <c r="AE221" i="1"/>
  <c r="AE395" i="1"/>
  <c r="Y395" i="1"/>
  <c r="Y392" i="1"/>
  <c r="AE392" i="1"/>
  <c r="AE174" i="1"/>
  <c r="Y174" i="1"/>
  <c r="Y220" i="1"/>
  <c r="AE65" i="1"/>
  <c r="Y65" i="1"/>
  <c r="Y60" i="1"/>
  <c r="AE60" i="1"/>
  <c r="Y366" i="1"/>
  <c r="AE366" i="1"/>
  <c r="AE257" i="1"/>
  <c r="Y257" i="1"/>
  <c r="AE431" i="1"/>
  <c r="Y431" i="1"/>
  <c r="AE540" i="1"/>
  <c r="Y540" i="1"/>
  <c r="AE473" i="1"/>
  <c r="AE387" i="1"/>
  <c r="Y387" i="1"/>
  <c r="Y301" i="1"/>
  <c r="AE301" i="1"/>
  <c r="AE455" i="1"/>
  <c r="Y455" i="1"/>
  <c r="AE377" i="1"/>
  <c r="Y377" i="1"/>
  <c r="AE30" i="1"/>
  <c r="Y30" i="1"/>
  <c r="AE461" i="1"/>
  <c r="Y461" i="1"/>
  <c r="AE266" i="1"/>
  <c r="Y266" i="1"/>
  <c r="Y299" i="1"/>
  <c r="AE299" i="1"/>
  <c r="Y298" i="1"/>
  <c r="AE298" i="1"/>
  <c r="Y264" i="1"/>
  <c r="AE264" i="1"/>
  <c r="Y374" i="1"/>
  <c r="AE374" i="1"/>
  <c r="Y216" i="1"/>
  <c r="AE216" i="1"/>
  <c r="AE188" i="1"/>
  <c r="Y188" i="1"/>
  <c r="AE145" i="1"/>
  <c r="Y145" i="1"/>
  <c r="AE534" i="1"/>
  <c r="Y534" i="1"/>
  <c r="AE516" i="1"/>
  <c r="Y516" i="1"/>
  <c r="AE224" i="1"/>
  <c r="Y224" i="1"/>
  <c r="AE382" i="1"/>
  <c r="AE258" i="1"/>
  <c r="Y258" i="1"/>
  <c r="Y269" i="1"/>
  <c r="AE269" i="1"/>
  <c r="Y263" i="1"/>
  <c r="AE263" i="1"/>
  <c r="AE518" i="1"/>
  <c r="Y518" i="1"/>
  <c r="AE272" i="1"/>
  <c r="Y272" i="1"/>
  <c r="AE341" i="1"/>
  <c r="Y341" i="1"/>
  <c r="V298" i="1"/>
  <c r="AE493" i="1"/>
  <c r="Y493" i="1"/>
  <c r="Y356" i="1"/>
  <c r="AE356" i="1"/>
  <c r="Y492" i="1"/>
  <c r="AE492" i="1"/>
  <c r="AE399" i="1"/>
  <c r="Y399" i="1"/>
  <c r="AE277" i="1"/>
  <c r="Y277" i="1"/>
  <c r="Y542" i="1"/>
  <c r="AE542" i="1"/>
  <c r="Y162" i="1"/>
  <c r="AE162" i="1"/>
  <c r="Y368" i="1"/>
  <c r="AE368" i="1"/>
  <c r="Y210" i="1"/>
  <c r="Y126" i="1"/>
  <c r="AE126" i="1"/>
  <c r="AE313" i="1"/>
  <c r="Y313" i="1"/>
  <c r="Y391" i="1"/>
  <c r="AE391" i="1"/>
  <c r="Y386" i="1"/>
  <c r="AE386" i="1"/>
  <c r="AE485" i="1"/>
  <c r="Y485" i="1"/>
  <c r="AE323" i="1"/>
  <c r="Y323" i="1"/>
  <c r="Y279" i="1"/>
  <c r="AE279" i="1"/>
  <c r="Y415" i="1"/>
  <c r="AE415" i="1"/>
  <c r="AE479" i="1"/>
  <c r="Y479" i="1"/>
  <c r="Y231" i="1"/>
  <c r="AE231" i="1"/>
  <c r="Y543" i="1"/>
  <c r="AE543" i="1"/>
  <c r="Y15" i="1"/>
  <c r="AE15" i="1"/>
  <c r="Y286" i="1"/>
  <c r="AE286" i="1"/>
  <c r="Y88" i="1"/>
  <c r="Y270" i="1"/>
  <c r="AE270" i="1"/>
  <c r="AE502" i="1"/>
  <c r="Y502" i="1"/>
  <c r="Y547" i="1"/>
  <c r="AE547" i="1"/>
  <c r="Y527" i="1"/>
  <c r="AE527" i="1"/>
  <c r="V155" i="1"/>
  <c r="V146" i="1"/>
  <c r="Y505" i="1"/>
  <c r="AE505" i="1"/>
  <c r="Y306" i="1"/>
  <c r="AE306" i="1"/>
  <c r="Y249" i="1"/>
  <c r="AE249" i="1"/>
  <c r="AE359" i="1"/>
  <c r="Y359" i="1"/>
  <c r="Y165" i="1"/>
  <c r="AE165" i="1"/>
  <c r="AE160" i="1"/>
  <c r="Y160" i="1"/>
  <c r="Y179" i="1"/>
  <c r="AE179" i="1"/>
  <c r="AE380" i="1"/>
  <c r="Y380" i="1"/>
  <c r="Y288" i="1"/>
  <c r="AE288" i="1"/>
  <c r="Y184" i="1"/>
  <c r="AE184" i="1"/>
  <c r="Y498" i="1"/>
  <c r="AE498" i="1"/>
  <c r="V391" i="1"/>
  <c r="V177" i="1"/>
  <c r="V142" i="1"/>
  <c r="Y17" i="1"/>
  <c r="AE17" i="1"/>
  <c r="Y225" i="1"/>
  <c r="AE225" i="1"/>
  <c r="Y119" i="1"/>
  <c r="Y166" i="1"/>
  <c r="AE166" i="1"/>
  <c r="AE457" i="1"/>
  <c r="Y457" i="1"/>
  <c r="AE305" i="1"/>
  <c r="Y116" i="1"/>
  <c r="Y6" i="1"/>
  <c r="AE6" i="1"/>
  <c r="Y513" i="1"/>
  <c r="AE513" i="1"/>
  <c r="Y214" i="1"/>
  <c r="AE214" i="1"/>
  <c r="Y458" i="1"/>
  <c r="Y440" i="1"/>
  <c r="V240" i="1"/>
  <c r="V236" i="1"/>
  <c r="V57" i="1"/>
  <c r="Y398" i="1"/>
  <c r="AE398" i="1"/>
  <c r="Y442" i="1"/>
  <c r="AE442" i="1"/>
  <c r="Y276" i="1"/>
  <c r="AE276" i="1"/>
  <c r="AE358" i="1"/>
  <c r="Y358" i="1"/>
  <c r="Y400" i="1"/>
  <c r="AE400" i="1"/>
  <c r="Y118" i="1"/>
  <c r="Y526" i="1"/>
  <c r="AE526" i="1"/>
  <c r="AE261" i="1"/>
  <c r="Y159" i="1"/>
  <c r="AE159" i="1"/>
  <c r="AE176" i="1"/>
  <c r="Y176" i="1"/>
  <c r="AE405" i="1"/>
  <c r="Y405" i="1"/>
  <c r="Y157" i="1"/>
  <c r="AE157" i="1"/>
  <c r="Y64" i="1"/>
  <c r="AE64" i="1"/>
  <c r="AE198" i="1"/>
  <c r="Y265" i="1"/>
  <c r="V102" i="1"/>
  <c r="V135" i="1"/>
  <c r="V11" i="1"/>
  <c r="AE209" i="1"/>
  <c r="Y209" i="1"/>
  <c r="Y489" i="1"/>
  <c r="AE489" i="1"/>
  <c r="Y453" i="1"/>
  <c r="AE453" i="1"/>
  <c r="AE296" i="1"/>
  <c r="Y296" i="1"/>
  <c r="AE31" i="1"/>
  <c r="Y31" i="1"/>
  <c r="Y55" i="1"/>
  <c r="AE55" i="1"/>
  <c r="Y332" i="1"/>
  <c r="AE332" i="1"/>
  <c r="Y92" i="1"/>
  <c r="AE92" i="1"/>
  <c r="AE491" i="1"/>
  <c r="Y491" i="1"/>
  <c r="AE228" i="1"/>
  <c r="Y228" i="1"/>
  <c r="Y46" i="1"/>
  <c r="AE46" i="1"/>
  <c r="Y85" i="1"/>
  <c r="AE85" i="1"/>
  <c r="AE19" i="1"/>
  <c r="Y19" i="1"/>
  <c r="AE59" i="1"/>
  <c r="V509" i="1"/>
  <c r="Y414" i="1"/>
  <c r="AE414" i="1"/>
  <c r="Y346" i="1"/>
  <c r="AE346" i="1"/>
  <c r="Y517" i="1"/>
  <c r="AE517" i="1"/>
  <c r="AE401" i="1"/>
  <c r="Y401" i="1"/>
  <c r="Y273" i="1"/>
  <c r="AE273" i="1"/>
  <c r="Y226" i="1"/>
  <c r="AE226" i="1"/>
  <c r="V158" i="1"/>
  <c r="V131" i="1"/>
  <c r="V148" i="1"/>
  <c r="V292" i="1"/>
  <c r="V389" i="1"/>
  <c r="AE100" i="1"/>
  <c r="Y100" i="1"/>
  <c r="Y285" i="1"/>
  <c r="AE285" i="1"/>
  <c r="Y439" i="1"/>
  <c r="AE439" i="1"/>
  <c r="Y281" i="1"/>
  <c r="AE281" i="1"/>
  <c r="AE56" i="1"/>
  <c r="Y56" i="1"/>
  <c r="Y295" i="1"/>
  <c r="AE295" i="1"/>
  <c r="Y334" i="1"/>
  <c r="AE334" i="1"/>
  <c r="Y441" i="1"/>
  <c r="AE441" i="1"/>
  <c r="AE230" i="1"/>
  <c r="Y230" i="1"/>
  <c r="AE206" i="1"/>
  <c r="Y206" i="1"/>
  <c r="Y420" i="1"/>
  <c r="AE420" i="1"/>
  <c r="AE335" i="1"/>
  <c r="Y335" i="1"/>
  <c r="AE143" i="1"/>
  <c r="Y143" i="1"/>
  <c r="Y331" i="1"/>
  <c r="AE331" i="1"/>
  <c r="AE28" i="1"/>
  <c r="Y28" i="1"/>
  <c r="Y451" i="1"/>
  <c r="AE451" i="1"/>
  <c r="Y362" i="1"/>
  <c r="AE362" i="1"/>
  <c r="AE128" i="1"/>
  <c r="Y128" i="1"/>
  <c r="AE459" i="1"/>
  <c r="Y459" i="1"/>
  <c r="AE271" i="1"/>
  <c r="Y87" i="1"/>
  <c r="AE87" i="1"/>
  <c r="Y240" i="1"/>
  <c r="AE240" i="1"/>
  <c r="AE538" i="1"/>
  <c r="Y538" i="1"/>
  <c r="Y150" i="1"/>
  <c r="AE150" i="1"/>
  <c r="Y215" i="1"/>
  <c r="AE215" i="1"/>
  <c r="AE361" i="1"/>
  <c r="Y361" i="1"/>
  <c r="AE508" i="1"/>
  <c r="AE78" i="1"/>
  <c r="AE43" i="1"/>
  <c r="AE154" i="1"/>
  <c r="AE345" i="1"/>
  <c r="Y337" i="1"/>
  <c r="Y262" i="1"/>
  <c r="AE262" i="1"/>
  <c r="Y464" i="1"/>
  <c r="AE464" i="1"/>
  <c r="AE308" i="1"/>
  <c r="Y308" i="1"/>
  <c r="AE239" i="1"/>
  <c r="Y239" i="1"/>
  <c r="Y535" i="1"/>
  <c r="AE535" i="1"/>
  <c r="Y120" i="1"/>
  <c r="Y32" i="1"/>
  <c r="AE32" i="1"/>
  <c r="AE248" i="1"/>
  <c r="Y248" i="1"/>
  <c r="Y104" i="1"/>
  <c r="AE104" i="1"/>
  <c r="Y432" i="1"/>
  <c r="AE432" i="1"/>
  <c r="AE200" i="1"/>
  <c r="Y200" i="1"/>
  <c r="AE425" i="1"/>
  <c r="Y425" i="1"/>
  <c r="Y427" i="1"/>
  <c r="AE427" i="1"/>
  <c r="Y237" i="1"/>
  <c r="AE237" i="1"/>
  <c r="AE292" i="1"/>
  <c r="Y292" i="1"/>
  <c r="AE10" i="1"/>
  <c r="Y10" i="1"/>
  <c r="Y533" i="1"/>
  <c r="AE533" i="1"/>
  <c r="Y18" i="1"/>
  <c r="AE18" i="1"/>
  <c r="AE344" i="1"/>
  <c r="Y344" i="1"/>
  <c r="Y468" i="1"/>
  <c r="AE468" i="1"/>
  <c r="AE521" i="1"/>
  <c r="Y521" i="1"/>
  <c r="AE24" i="1"/>
  <c r="Y24" i="1"/>
  <c r="Y141" i="1"/>
  <c r="AE141" i="1"/>
  <c r="AE245" i="1"/>
  <c r="Y245" i="1"/>
  <c r="Y153" i="1"/>
  <c r="AE153" i="1"/>
  <c r="Y199" i="1"/>
  <c r="AE199" i="1"/>
  <c r="Y417" i="1"/>
  <c r="AE417" i="1"/>
  <c r="AE187" i="1"/>
  <c r="Y187" i="1"/>
  <c r="Y379" i="1"/>
  <c r="AE379" i="1"/>
  <c r="Y460" i="1"/>
  <c r="AE460" i="1"/>
  <c r="Y204" i="1"/>
  <c r="AE204" i="1"/>
  <c r="Y156" i="1"/>
  <c r="AE156" i="1"/>
  <c r="Y202" i="1"/>
  <c r="AE202" i="1"/>
  <c r="Y447" i="1"/>
  <c r="AE447" i="1"/>
  <c r="AE213" i="1"/>
  <c r="V32" i="1"/>
  <c r="V256" i="1"/>
  <c r="Y410" i="1"/>
  <c r="AE410" i="1"/>
  <c r="Y163" i="1"/>
  <c r="AE163" i="1"/>
  <c r="Y190" i="1"/>
  <c r="AE190" i="1"/>
  <c r="Y475" i="1"/>
  <c r="AE475" i="1"/>
  <c r="Y192" i="1"/>
  <c r="AE192" i="1"/>
  <c r="Y435" i="1"/>
  <c r="AE435" i="1"/>
  <c r="Y191" i="1"/>
  <c r="AE191" i="1"/>
  <c r="Y321" i="1"/>
  <c r="AE321" i="1"/>
  <c r="Y243" i="1"/>
  <c r="AE243" i="1"/>
  <c r="Y530" i="1"/>
  <c r="AE530" i="1"/>
  <c r="Y235" i="1"/>
  <c r="AE235" i="1"/>
  <c r="V156" i="1"/>
  <c r="Y496" i="1"/>
  <c r="AE496" i="1"/>
  <c r="Y444" i="1"/>
  <c r="AE444" i="1"/>
  <c r="Y520" i="1"/>
  <c r="AE520" i="1"/>
  <c r="Y97" i="1"/>
  <c r="AE97" i="1"/>
  <c r="Y515" i="1"/>
  <c r="AE515" i="1"/>
  <c r="AE167" i="1"/>
  <c r="Y167" i="1"/>
  <c r="AE218" i="1"/>
  <c r="Y218" i="1"/>
  <c r="AE428" i="1"/>
  <c r="Y428" i="1"/>
  <c r="Y259" i="1"/>
  <c r="AE259" i="1"/>
  <c r="AE138" i="1"/>
  <c r="Y138" i="1"/>
  <c r="Y193" i="1"/>
  <c r="AE193" i="1"/>
  <c r="V61" i="1"/>
  <c r="Y79" i="1"/>
  <c r="AE79" i="1"/>
  <c r="Y57" i="1"/>
  <c r="AE57" i="1"/>
  <c r="AE443" i="1"/>
  <c r="Y443" i="1"/>
  <c r="Y189" i="1"/>
  <c r="AE189" i="1"/>
  <c r="AE436" i="1"/>
  <c r="Y436" i="1"/>
  <c r="Y260" i="1"/>
  <c r="AE268" i="1"/>
  <c r="Y268" i="1"/>
  <c r="Y504" i="1"/>
  <c r="AE504" i="1"/>
  <c r="AE172" i="1"/>
  <c r="Y172" i="1"/>
  <c r="AE282" i="1"/>
  <c r="Y282" i="1"/>
  <c r="Y183" i="1"/>
  <c r="AE183" i="1"/>
  <c r="AE26" i="1"/>
  <c r="Y26" i="1"/>
  <c r="V377" i="1"/>
  <c r="AE212" i="1"/>
  <c r="Y212" i="1"/>
  <c r="Y537" i="1"/>
  <c r="AE537" i="1"/>
  <c r="AE208" i="1"/>
  <c r="Y208" i="1"/>
  <c r="AE416" i="1"/>
  <c r="Y416" i="1"/>
  <c r="AE488" i="1"/>
  <c r="Y488" i="1"/>
  <c r="AE84" i="1"/>
  <c r="Y84" i="1"/>
  <c r="AE429" i="1"/>
  <c r="Y117" i="1"/>
  <c r="Y256" i="1"/>
  <c r="AE256" i="1"/>
  <c r="Y495" i="1"/>
  <c r="Y185" i="1"/>
  <c r="AE247" i="1"/>
  <c r="V264" i="1"/>
  <c r="V515" i="1"/>
  <c r="Y381" i="1"/>
  <c r="AE381" i="1"/>
  <c r="Y294" i="1"/>
  <c r="AE294" i="1"/>
  <c r="AE449" i="1"/>
  <c r="Y449" i="1"/>
  <c r="AE146" i="1"/>
  <c r="Y146" i="1"/>
  <c r="AE12" i="1"/>
  <c r="Y12" i="1"/>
  <c r="Y393" i="1"/>
  <c r="AE393" i="1"/>
  <c r="Y137" i="1"/>
  <c r="AE137" i="1"/>
  <c r="Y352" i="1"/>
  <c r="AE352" i="1"/>
  <c r="AE170" i="1"/>
  <c r="Y170" i="1"/>
  <c r="V270" i="1"/>
  <c r="V350" i="1"/>
  <c r="V428" i="1"/>
  <c r="V441" i="1"/>
  <c r="AE350" i="1"/>
  <c r="Y350" i="1"/>
  <c r="AE33" i="1"/>
  <c r="Y33" i="1"/>
  <c r="Y354" i="1"/>
  <c r="AE354" i="1"/>
  <c r="AE102" i="1"/>
  <c r="Y102" i="1"/>
  <c r="Y477" i="1"/>
  <c r="AE477" i="1"/>
  <c r="AE229" i="1"/>
  <c r="Y229" i="1"/>
  <c r="AE373" i="1"/>
  <c r="Y373" i="1"/>
  <c r="Y51" i="1"/>
  <c r="Y74" i="1"/>
  <c r="AE74" i="1"/>
  <c r="Y422" i="1"/>
  <c r="AE422" i="1"/>
  <c r="V141" i="1"/>
  <c r="AE364" i="1"/>
  <c r="Y364" i="1"/>
  <c r="AE246" i="1"/>
  <c r="Y246" i="1"/>
  <c r="Y454" i="1"/>
  <c r="AE454" i="1"/>
  <c r="Y541" i="1"/>
  <c r="AE541" i="1"/>
  <c r="AE340" i="1"/>
  <c r="Y340" i="1"/>
  <c r="AE318" i="1"/>
  <c r="Y318" i="1"/>
  <c r="Y499" i="1"/>
  <c r="AE499" i="1"/>
  <c r="Y101" i="1"/>
  <c r="AE101" i="1"/>
  <c r="AE275" i="1"/>
  <c r="Y275" i="1"/>
  <c r="Y250" i="1"/>
  <c r="AE250" i="1"/>
  <c r="AE164" i="1"/>
  <c r="Y164" i="1"/>
  <c r="Y144" i="1"/>
  <c r="AE144" i="1"/>
  <c r="AE232" i="1"/>
  <c r="Y232" i="1"/>
  <c r="AE77" i="1"/>
  <c r="Y77" i="1"/>
  <c r="Y72" i="1"/>
  <c r="AE72" i="1"/>
  <c r="AE290" i="1"/>
  <c r="Y290" i="1"/>
  <c r="AE514" i="1"/>
  <c r="Y514" i="1"/>
  <c r="Y307" i="1"/>
  <c r="AE307" i="1"/>
  <c r="Y45" i="1"/>
  <c r="AE45" i="1"/>
  <c r="Y506" i="1"/>
  <c r="AE506" i="1"/>
  <c r="AE127" i="1"/>
  <c r="Y127" i="1"/>
  <c r="Y201" i="1"/>
  <c r="AE201" i="1"/>
  <c r="Y385" i="1"/>
  <c r="AE385" i="1"/>
  <c r="Y523" i="1"/>
  <c r="AE523" i="1"/>
  <c r="Y408" i="1"/>
  <c r="AE408" i="1"/>
  <c r="Y233" i="1"/>
  <c r="AE233" i="1"/>
  <c r="AE409" i="1"/>
  <c r="Y409" i="1"/>
  <c r="AE254" i="1"/>
  <c r="Y254" i="1"/>
  <c r="Y211" i="1"/>
  <c r="AE211" i="1"/>
  <c r="V397" i="1"/>
  <c r="V455" i="1"/>
  <c r="V484" i="1"/>
  <c r="V183" i="1"/>
  <c r="V478" i="1"/>
  <c r="V248" i="1"/>
  <c r="V542" i="1"/>
  <c r="V459" i="1"/>
  <c r="V494" i="1"/>
  <c r="V366" i="1"/>
  <c r="V338" i="1"/>
  <c r="V282" i="1"/>
  <c r="V502" i="1"/>
  <c r="V85" i="1"/>
  <c r="V465" i="1"/>
  <c r="V347" i="1"/>
  <c r="V272" i="1"/>
  <c r="V439" i="1"/>
  <c r="V466" i="1"/>
  <c r="V173" i="1"/>
  <c r="V311" i="1"/>
  <c r="V529" i="1"/>
  <c r="V95" i="1"/>
  <c r="V481" i="1"/>
  <c r="V181" i="1"/>
  <c r="V546" i="1"/>
  <c r="V547" i="1"/>
  <c r="V19" i="1"/>
  <c r="V64" i="1"/>
  <c r="V416" i="1"/>
  <c r="V387" i="1"/>
  <c r="V422" i="1"/>
  <c r="V232" i="1"/>
  <c r="V287" i="1"/>
  <c r="V435" i="1"/>
  <c r="V255" i="1"/>
  <c r="V35" i="1"/>
  <c r="V22" i="1"/>
  <c r="V123" i="1"/>
  <c r="V440" i="1"/>
  <c r="V448" i="1"/>
  <c r="V262" i="1"/>
  <c r="V480" i="1"/>
  <c r="V184" i="1"/>
  <c r="V76" i="1"/>
  <c r="V104" i="1"/>
  <c r="V395" i="1"/>
  <c r="V186" i="1"/>
  <c r="V495" i="1"/>
  <c r="V411" i="1"/>
  <c r="V526" i="1"/>
  <c r="V321" i="1"/>
  <c r="V172" i="1"/>
  <c r="V458" i="1"/>
  <c r="V275" i="1"/>
  <c r="V474" i="1"/>
  <c r="V260" i="1"/>
  <c r="V97" i="1"/>
  <c r="V150" i="1"/>
  <c r="V194" i="1"/>
  <c r="V427" i="1"/>
  <c r="V506" i="1"/>
  <c r="V444" i="1"/>
  <c r="V9" i="1"/>
  <c r="V447" i="1"/>
  <c r="V514" i="1"/>
  <c r="V365" i="1"/>
  <c r="V521" i="1"/>
  <c r="V443" i="1"/>
  <c r="V471" i="1"/>
  <c r="V161" i="1"/>
  <c r="V323" i="1"/>
  <c r="V223" i="1"/>
  <c r="V503" i="1"/>
  <c r="V510" i="1"/>
  <c r="V342" i="1"/>
  <c r="V522" i="1"/>
  <c r="V304" i="1"/>
  <c r="V375" i="1"/>
  <c r="V241" i="1"/>
  <c r="V394" i="1"/>
  <c r="V364" i="1"/>
  <c r="V489" i="1"/>
  <c r="V468" i="1"/>
  <c r="V286" i="1"/>
  <c r="V37" i="1"/>
  <c r="V496" i="1"/>
  <c r="V222" i="1"/>
  <c r="V77" i="1"/>
  <c r="V383" i="1"/>
  <c r="V472" i="1"/>
  <c r="V315" i="1"/>
  <c r="V429" i="1"/>
  <c r="V533" i="1"/>
  <c r="V360" i="1"/>
  <c r="V490" i="1"/>
  <c r="V143" i="1"/>
  <c r="V46" i="1"/>
  <c r="V60" i="1"/>
  <c r="V100" i="1"/>
  <c r="V266" i="1"/>
  <c r="V63" i="1"/>
  <c r="V457" i="1"/>
  <c r="V418" i="1"/>
  <c r="V289" i="1"/>
  <c r="V423" i="1"/>
  <c r="V452" i="1"/>
  <c r="V386" i="1"/>
  <c r="V378" i="1"/>
  <c r="V153" i="1"/>
  <c r="V10" i="1"/>
  <c r="V27" i="1"/>
  <c r="V330" i="1"/>
  <c r="V258" i="1"/>
  <c r="V544" i="1"/>
  <c r="V75" i="1"/>
  <c r="V20" i="1"/>
  <c r="V45" i="1"/>
  <c r="V299" i="1"/>
  <c r="V483" i="1"/>
  <c r="V224" i="1"/>
  <c r="V346" i="1"/>
  <c r="V442" i="1"/>
  <c r="V396" i="1"/>
  <c r="V426" i="1"/>
  <c r="V352" i="1"/>
  <c r="V415" i="1"/>
  <c r="V409" i="1"/>
  <c r="V469" i="1"/>
  <c r="V417" i="1"/>
  <c r="V204" i="1"/>
  <c r="V6" i="1"/>
  <c r="V393" i="1"/>
  <c r="V537" i="1"/>
  <c r="V179" i="1"/>
  <c r="V128" i="1"/>
  <c r="V545" i="1"/>
  <c r="V267" i="1"/>
  <c r="V361" i="1"/>
  <c r="V149" i="1"/>
  <c r="V295" i="1"/>
  <c r="V59" i="1"/>
  <c r="V335" i="1"/>
  <c r="V211" i="1"/>
  <c r="V235" i="1"/>
  <c r="V261" i="1"/>
  <c r="V25" i="1"/>
  <c r="V90" i="1"/>
  <c r="V519" i="1"/>
  <c r="V412" i="1"/>
  <c r="V538" i="1"/>
  <c r="V206" i="1"/>
  <c r="V445" i="1"/>
  <c r="V451" i="1"/>
  <c r="V98" i="1"/>
  <c r="V316" i="1"/>
  <c r="V493" i="1"/>
  <c r="V178" i="1"/>
  <c r="V225" i="1"/>
  <c r="V234" i="1"/>
  <c r="V47" i="1"/>
  <c r="V24" i="1"/>
  <c r="V368" i="1"/>
  <c r="V297" i="1"/>
  <c r="V290" i="1"/>
  <c r="V424" i="1"/>
  <c r="V249" i="1"/>
  <c r="V356" i="1"/>
  <c r="V319" i="1"/>
  <c r="V382" i="1"/>
  <c r="V12" i="1"/>
  <c r="V497" i="1"/>
  <c r="V198" i="1"/>
  <c r="V93" i="1"/>
  <c r="V134" i="1"/>
  <c r="V216" i="1"/>
  <c r="V374" i="1"/>
  <c r="V278" i="1"/>
  <c r="V133" i="1"/>
  <c r="V301" i="1"/>
  <c r="V38" i="1"/>
  <c r="V166" i="1"/>
  <c r="V209" i="1"/>
  <c r="V402" i="1"/>
  <c r="V44" i="1"/>
  <c r="V17" i="1"/>
  <c r="V91" i="1"/>
  <c r="V450" i="1"/>
  <c r="V320" i="1"/>
  <c r="V414" i="1"/>
  <c r="V531" i="1"/>
  <c r="V242" i="1"/>
  <c r="V362" i="1"/>
  <c r="V144" i="1"/>
  <c r="V254" i="1"/>
  <c r="V14" i="1"/>
  <c r="V65" i="1"/>
  <c r="V189" i="1"/>
  <c r="V126" i="1"/>
  <c r="V55" i="1"/>
  <c r="V293" i="1"/>
  <c r="V96" i="1"/>
  <c r="V238" i="1"/>
  <c r="V138" i="1"/>
  <c r="V239" i="1"/>
  <c r="V195" i="1"/>
  <c r="V508" i="1"/>
  <c r="V326" i="1"/>
  <c r="V219" i="1"/>
  <c r="V227" i="1"/>
  <c r="V40" i="1"/>
  <c r="V120" i="1"/>
  <c r="V307" i="1"/>
  <c r="V336" i="1"/>
  <c r="V119" i="1"/>
  <c r="V308" i="1"/>
  <c r="V470" i="1"/>
  <c r="V381" i="1"/>
  <c r="V348" i="1"/>
  <c r="V324" i="1"/>
  <c r="V528" i="1"/>
  <c r="V449" i="1"/>
  <c r="V312" i="1"/>
  <c r="V333" i="1"/>
  <c r="V200" i="1"/>
  <c r="V339" i="1"/>
  <c r="V329" i="1"/>
  <c r="V540" i="1"/>
  <c r="V407" i="1"/>
  <c r="V536" i="1"/>
  <c r="V539" i="1"/>
  <c r="V463" i="1"/>
  <c r="V72" i="1"/>
  <c r="V160" i="1"/>
  <c r="V259" i="1"/>
  <c r="V380" i="1"/>
  <c r="V220" i="1"/>
  <c r="V50" i="1"/>
  <c r="V4" i="1"/>
  <c r="V162" i="1"/>
  <c r="V263" i="1"/>
  <c r="V513" i="1"/>
  <c r="V203" i="1"/>
  <c r="V53" i="1"/>
  <c r="V265" i="1"/>
  <c r="V121" i="1"/>
  <c r="V159" i="1"/>
  <c r="V280" i="1"/>
  <c r="V351" i="1"/>
  <c r="V358" i="1"/>
  <c r="V140" i="1"/>
  <c r="V170" i="1"/>
  <c r="V404" i="1"/>
  <c r="V284" i="1"/>
  <c r="V314" i="1"/>
  <c r="V221" i="1"/>
  <c r="V419" i="1"/>
  <c r="V367" i="1"/>
  <c r="V192" i="1"/>
  <c r="V43" i="1"/>
  <c r="V252" i="1"/>
  <c r="V175" i="1"/>
  <c r="V485" i="1"/>
  <c r="V237" i="1"/>
  <c r="V473" i="1"/>
  <c r="V193" i="1"/>
  <c r="V205" i="1"/>
  <c r="V83" i="1"/>
  <c r="V191" i="1"/>
  <c r="V132" i="1"/>
  <c r="V405" i="1"/>
  <c r="V340" i="1"/>
  <c r="V431" i="1"/>
  <c r="V525" i="1"/>
  <c r="V399" i="1"/>
  <c r="V353" i="1"/>
  <c r="V486" i="1"/>
  <c r="V71" i="1"/>
  <c r="V384" i="1"/>
  <c r="V168" i="1"/>
  <c r="V332" i="1"/>
  <c r="V217" i="1"/>
  <c r="V56" i="1"/>
  <c r="V125" i="1"/>
  <c r="V163" i="1"/>
  <c r="V62" i="1"/>
  <c r="V433" i="1"/>
  <c r="V92" i="1"/>
  <c r="V487" i="1"/>
  <c r="V210" i="1"/>
  <c r="V524" i="1"/>
  <c r="V169" i="1"/>
  <c r="V246" i="1"/>
  <c r="V476" i="1"/>
  <c r="V328" i="1"/>
  <c r="V302" i="1"/>
  <c r="V147" i="1"/>
  <c r="V438" i="1"/>
  <c r="V268" i="1"/>
  <c r="V446" i="1"/>
  <c r="V430" i="1"/>
  <c r="V379" i="1"/>
  <c r="V164" i="1"/>
  <c r="V199" i="1"/>
  <c r="V41" i="1"/>
  <c r="V400" i="1"/>
  <c r="V94" i="1"/>
  <c r="V247" i="1"/>
  <c r="V344" i="1"/>
  <c r="V245" i="1"/>
  <c r="V230" i="1"/>
  <c r="V341" i="1"/>
  <c r="V530" i="1"/>
  <c r="V512" i="1"/>
  <c r="V233" i="1"/>
  <c r="V188" i="1"/>
  <c r="V86" i="1"/>
  <c r="V39" i="1"/>
  <c r="V288" i="1"/>
  <c r="V66" i="1"/>
  <c r="V52" i="1"/>
  <c r="V187" i="1"/>
  <c r="V488" i="1"/>
  <c r="V281" i="1"/>
  <c r="V543" i="1"/>
  <c r="V369" i="1"/>
  <c r="V79" i="1"/>
  <c r="V124" i="1"/>
  <c r="V477" i="1"/>
  <c r="V388" i="1"/>
  <c r="V3" i="1"/>
  <c r="V337" i="1"/>
  <c r="V370" i="1"/>
  <c r="V385" i="1"/>
  <c r="V534" i="1"/>
  <c r="V498" i="1"/>
  <c r="V425" i="1"/>
  <c r="V127" i="1"/>
  <c r="V54" i="1"/>
  <c r="V171" i="1"/>
  <c r="V152" i="1"/>
  <c r="V303" i="1"/>
  <c r="V99" i="1"/>
  <c r="V331" i="1"/>
  <c r="V21" i="1"/>
  <c r="V70" i="1"/>
  <c r="V182" i="1"/>
  <c r="V42" i="1"/>
  <c r="V453" i="1"/>
  <c r="V190" i="1"/>
  <c r="V197" i="1"/>
  <c r="V257" i="1"/>
  <c r="V226" i="1"/>
  <c r="V345" i="1"/>
  <c r="V67" i="1"/>
  <c r="V78" i="1"/>
  <c r="V504" i="1"/>
  <c r="V541" i="1"/>
  <c r="V454" i="1"/>
  <c r="V157" i="1"/>
  <c r="V136" i="1"/>
  <c r="V523" i="1"/>
  <c r="V322" i="1"/>
  <c r="V354" i="1"/>
  <c r="V460" i="1"/>
  <c r="V16" i="1"/>
  <c r="V516" i="1"/>
  <c r="V49" i="1"/>
  <c r="V103" i="1"/>
  <c r="V84" i="1"/>
  <c r="V279" i="1"/>
  <c r="V18" i="1"/>
  <c r="V13" i="1"/>
  <c r="V408" i="1"/>
  <c r="V139" i="1"/>
  <c r="V296" i="1"/>
  <c r="V492" i="1"/>
  <c r="V334" i="1"/>
  <c r="V500" i="1"/>
  <c r="V359" i="1"/>
  <c r="V461" i="1"/>
  <c r="V482" i="1"/>
  <c r="V392" i="1"/>
  <c r="V201" i="1"/>
  <c r="V406" i="1"/>
  <c r="V475" i="1"/>
  <c r="V137" i="1"/>
  <c r="V196" i="1"/>
  <c r="V511" i="1"/>
  <c r="V269" i="1"/>
  <c r="V372" i="1"/>
  <c r="V214" i="1"/>
  <c r="V273" i="1"/>
  <c r="V501" i="1"/>
  <c r="V420" i="1"/>
  <c r="V349" i="1"/>
  <c r="V202" i="1"/>
  <c r="V437" i="1"/>
  <c r="V145" i="1"/>
  <c r="V122" i="1"/>
  <c r="V318" i="1"/>
  <c r="V151" i="1"/>
  <c r="V343" i="1"/>
  <c r="V58" i="1"/>
  <c r="V363" i="1"/>
  <c r="V73" i="1"/>
  <c r="V357" i="1"/>
  <c r="V68" i="1"/>
  <c r="V28" i="1"/>
  <c r="V180" i="1"/>
  <c r="V251" i="1"/>
  <c r="V517" i="1"/>
  <c r="V313" i="1"/>
  <c r="V355" i="1"/>
  <c r="V462" i="1"/>
  <c r="V89" i="1"/>
  <c r="V467" i="1"/>
  <c r="V373" i="1"/>
  <c r="V479" i="1"/>
  <c r="V491" i="1"/>
  <c r="V310" i="1"/>
  <c r="V398" i="1"/>
  <c r="V505" i="1"/>
  <c r="V436" i="1"/>
  <c r="V30" i="1"/>
  <c r="V29" i="1"/>
  <c r="V434" i="1"/>
  <c r="V507" i="1"/>
  <c r="V456" i="1"/>
  <c r="V81" i="1"/>
  <c r="V185" i="1"/>
  <c r="V208" i="1"/>
  <c r="V8" i="1"/>
  <c r="V309" i="1"/>
  <c r="V215" i="1"/>
  <c r="V176" i="1"/>
  <c r="V15" i="1"/>
  <c r="V174" i="1"/>
  <c r="V212" i="1"/>
  <c r="V253" i="1"/>
  <c r="V499" i="1"/>
  <c r="V229" i="1"/>
  <c r="V410" i="1"/>
  <c r="V421" i="1"/>
  <c r="V325" i="1"/>
  <c r="AJ13" i="1" l="1"/>
  <c r="AJ16" i="1"/>
  <c r="AI16" i="1"/>
  <c r="AI13" i="1"/>
  <c r="AK16" i="1" l="1"/>
  <c r="AF219" i="1" s="1"/>
  <c r="AK13" i="1"/>
  <c r="W60" i="1" s="1"/>
  <c r="AJ10" i="1"/>
  <c r="AJ15" i="1"/>
  <c r="AI10" i="1"/>
  <c r="AI15" i="1"/>
  <c r="AJ14" i="1"/>
  <c r="AI14" i="1"/>
  <c r="W317" i="1" l="1"/>
  <c r="AF106" i="1"/>
  <c r="AF117" i="1"/>
  <c r="AF116" i="1"/>
  <c r="AF115" i="1"/>
  <c r="AF111" i="1"/>
  <c r="AF109" i="1"/>
  <c r="AF118" i="1"/>
  <c r="AF114" i="1"/>
  <c r="AF110" i="1"/>
  <c r="AF317" i="1"/>
  <c r="AG317" i="1" s="1"/>
  <c r="AF105" i="1"/>
  <c r="AF108" i="1"/>
  <c r="AF113" i="1"/>
  <c r="AF107" i="1"/>
  <c r="AF112" i="1"/>
  <c r="W107" i="1"/>
  <c r="W104" i="1"/>
  <c r="W109" i="1"/>
  <c r="W106" i="1"/>
  <c r="W114" i="1"/>
  <c r="W111" i="1"/>
  <c r="W110" i="1"/>
  <c r="W105" i="1"/>
  <c r="W113" i="1"/>
  <c r="W108" i="1"/>
  <c r="W112" i="1"/>
  <c r="W80" i="1"/>
  <c r="AF80" i="1"/>
  <c r="W36" i="1"/>
  <c r="X36" i="1" s="1"/>
  <c r="AF36" i="1"/>
  <c r="AG36" i="1" s="1"/>
  <c r="W7" i="1"/>
  <c r="X7" i="1" s="1"/>
  <c r="AF7" i="1"/>
  <c r="AG7" i="1" s="1"/>
  <c r="AF319" i="1"/>
  <c r="AF498" i="1"/>
  <c r="AF297" i="1"/>
  <c r="AF362" i="1"/>
  <c r="AF246" i="1"/>
  <c r="AF241" i="1"/>
  <c r="AF198" i="1"/>
  <c r="AF284" i="1"/>
  <c r="AF356" i="1"/>
  <c r="AF41" i="1"/>
  <c r="AF130" i="1"/>
  <c r="AF421" i="1"/>
  <c r="AF300" i="1"/>
  <c r="AF324" i="1"/>
  <c r="AF200" i="1"/>
  <c r="AF64" i="1"/>
  <c r="AF369" i="1"/>
  <c r="AF354" i="1"/>
  <c r="AF79" i="1"/>
  <c r="AF325" i="1"/>
  <c r="AF337" i="1"/>
  <c r="AF278" i="1"/>
  <c r="AF257" i="1"/>
  <c r="AF18" i="1"/>
  <c r="AG18" i="1" s="1"/>
  <c r="AF68" i="1"/>
  <c r="AF132" i="1"/>
  <c r="AF220" i="1"/>
  <c r="AF225" i="1"/>
  <c r="AF14" i="1"/>
  <c r="AG14" i="1" s="1"/>
  <c r="AF86" i="1"/>
  <c r="AF173" i="1"/>
  <c r="AF527" i="1"/>
  <c r="AF150" i="1"/>
  <c r="AF446" i="1"/>
  <c r="AF509" i="1"/>
  <c r="AF59" i="1"/>
  <c r="AF332" i="1"/>
  <c r="AF400" i="1"/>
  <c r="AF418" i="1"/>
  <c r="AF19" i="1"/>
  <c r="AF151" i="1"/>
  <c r="AF140" i="1"/>
  <c r="AF6" i="1"/>
  <c r="AG6" i="1" s="1"/>
  <c r="AF53" i="1"/>
  <c r="AF465" i="1"/>
  <c r="AF414" i="1"/>
  <c r="AF179" i="1"/>
  <c r="AF205" i="1"/>
  <c r="AF380" i="1"/>
  <c r="AF21" i="1"/>
  <c r="AF481" i="1"/>
  <c r="AF208" i="1"/>
  <c r="AF279" i="1"/>
  <c r="AF336" i="1"/>
  <c r="AF385" i="1"/>
  <c r="AF101" i="1"/>
  <c r="AF525" i="1"/>
  <c r="AF478" i="1"/>
  <c r="AF29" i="1"/>
  <c r="AG29" i="1" s="1"/>
  <c r="AF344" i="1"/>
  <c r="AG344" i="1" s="1"/>
  <c r="AF309" i="1"/>
  <c r="AF518" i="1"/>
  <c r="AF49" i="1"/>
  <c r="AF24" i="1"/>
  <c r="AF314" i="1"/>
  <c r="AF27" i="1"/>
  <c r="AF533" i="1"/>
  <c r="AF490" i="1"/>
  <c r="AF253" i="1"/>
  <c r="AF326" i="1"/>
  <c r="AF102" i="1"/>
  <c r="AF50" i="1"/>
  <c r="AF322" i="1"/>
  <c r="AF92" i="1"/>
  <c r="AF71" i="1"/>
  <c r="AF232" i="1"/>
  <c r="AF202" i="1"/>
  <c r="AF434" i="1"/>
  <c r="AF378" i="1"/>
  <c r="AF283" i="1"/>
  <c r="AF136" i="1"/>
  <c r="AF240" i="1"/>
  <c r="AF11" i="1"/>
  <c r="AF104" i="1"/>
  <c r="AF331" i="1"/>
  <c r="AF303" i="1"/>
  <c r="AF404" i="1"/>
  <c r="AF229" i="1"/>
  <c r="AF499" i="1"/>
  <c r="AF343" i="1"/>
  <c r="AF160" i="1"/>
  <c r="AF406" i="1"/>
  <c r="AF373" i="1"/>
  <c r="AF243" i="1"/>
  <c r="AF350" i="1"/>
  <c r="AF195" i="1"/>
  <c r="AF361" i="1"/>
  <c r="AF410" i="1"/>
  <c r="AF470" i="1"/>
  <c r="AF396" i="1"/>
  <c r="AF185" i="1"/>
  <c r="AF265" i="1"/>
  <c r="AF299" i="1"/>
  <c r="AF153" i="1"/>
  <c r="AF405" i="1"/>
  <c r="AF143" i="1"/>
  <c r="AF176" i="1"/>
  <c r="AF127" i="1"/>
  <c r="AF252" i="1"/>
  <c r="AF394" i="1"/>
  <c r="AF201" i="1"/>
  <c r="AF542" i="1"/>
  <c r="AF452" i="1"/>
  <c r="AF60" i="1"/>
  <c r="AF221" i="1"/>
  <c r="AF244" i="1"/>
  <c r="AF292" i="1"/>
  <c r="AG292" i="1" s="1"/>
  <c r="AF513" i="1"/>
  <c r="AF535" i="1"/>
  <c r="AF54" i="1"/>
  <c r="AF447" i="1"/>
  <c r="AF413" i="1"/>
  <c r="AF213" i="1"/>
  <c r="AF505" i="1"/>
  <c r="AF137" i="1"/>
  <c r="AF67" i="1"/>
  <c r="AF358" i="1"/>
  <c r="AF162" i="1"/>
  <c r="AF473" i="1"/>
  <c r="AF35" i="1"/>
  <c r="AG35" i="1" s="1"/>
  <c r="AF57" i="1"/>
  <c r="AF367" i="1"/>
  <c r="AF511" i="1"/>
  <c r="AF538" i="1"/>
  <c r="AF99" i="1"/>
  <c r="AF428" i="1"/>
  <c r="AF164" i="1"/>
  <c r="AF146" i="1"/>
  <c r="AF374" i="1"/>
  <c r="AF197" i="1"/>
  <c r="AF372" i="1"/>
  <c r="AF94" i="1"/>
  <c r="AF234" i="1"/>
  <c r="AF10" i="1"/>
  <c r="AF480" i="1"/>
  <c r="AF338" i="1"/>
  <c r="AF379" i="1"/>
  <c r="AF295" i="1"/>
  <c r="AG295" i="1" s="1"/>
  <c r="AF82" i="1"/>
  <c r="AF286" i="1"/>
  <c r="AF30" i="1"/>
  <c r="AF255" i="1"/>
  <c r="AF91" i="1"/>
  <c r="AF391" i="1"/>
  <c r="AF540" i="1"/>
  <c r="AF454" i="1"/>
  <c r="AF510" i="1"/>
  <c r="AF305" i="1"/>
  <c r="AG305" i="1" s="1"/>
  <c r="AF135" i="1"/>
  <c r="AF547" i="1"/>
  <c r="AF399" i="1"/>
  <c r="AF178" i="1"/>
  <c r="AF274" i="1"/>
  <c r="AF138" i="1"/>
  <c r="AF368" i="1"/>
  <c r="AF516" i="1"/>
  <c r="AF32" i="1"/>
  <c r="AG32" i="1" s="1"/>
  <c r="AF328" i="1"/>
  <c r="AF88" i="1"/>
  <c r="AF489" i="1"/>
  <c r="AF75" i="1"/>
  <c r="AF479" i="1"/>
  <c r="AF315" i="1"/>
  <c r="AF530" i="1"/>
  <c r="AF524" i="1"/>
  <c r="AF263" i="1"/>
  <c r="AF167" i="1"/>
  <c r="AF70" i="1"/>
  <c r="AF289" i="1"/>
  <c r="AF171" i="1"/>
  <c r="AF163" i="1"/>
  <c r="AF395" i="1"/>
  <c r="AF259" i="1"/>
  <c r="AF424" i="1"/>
  <c r="AF144" i="1"/>
  <c r="AF174" i="1"/>
  <c r="AF387" i="1"/>
  <c r="AF412" i="1"/>
  <c r="AF448" i="1"/>
  <c r="AF236" i="1"/>
  <c r="AF62" i="1"/>
  <c r="AF521" i="1"/>
  <c r="AF384" i="1"/>
  <c r="AF502" i="1"/>
  <c r="AF398" i="1"/>
  <c r="AF536" i="1"/>
  <c r="AF401" i="1"/>
  <c r="AF427" i="1"/>
  <c r="AF416" i="1"/>
  <c r="AF353" i="1"/>
  <c r="AF248" i="1"/>
  <c r="AF242" i="1"/>
  <c r="AF460" i="1"/>
  <c r="AF42" i="1"/>
  <c r="AF177" i="1"/>
  <c r="AF4" i="1"/>
  <c r="AG4" i="1" s="1"/>
  <c r="AF529" i="1"/>
  <c r="AF382" i="1"/>
  <c r="AF123" i="1"/>
  <c r="AF260" i="1"/>
  <c r="AF523" i="1"/>
  <c r="AF126" i="1"/>
  <c r="AF122" i="1"/>
  <c r="AF342" i="1"/>
  <c r="AF55" i="1"/>
  <c r="AF477" i="1"/>
  <c r="AF419" i="1"/>
  <c r="AF426" i="1"/>
  <c r="AF275" i="1"/>
  <c r="AF38" i="1"/>
  <c r="AF528" i="1"/>
  <c r="AF366" i="1"/>
  <c r="AF159" i="1"/>
  <c r="AF192" i="1"/>
  <c r="AF282" i="1"/>
  <c r="AF431" i="1"/>
  <c r="AF73" i="1"/>
  <c r="AF469" i="1"/>
  <c r="AF20" i="1"/>
  <c r="AF270" i="1"/>
  <c r="AF251" i="1"/>
  <c r="AF84" i="1"/>
  <c r="AF541" i="1"/>
  <c r="AF124" i="1"/>
  <c r="AF141" i="1"/>
  <c r="AF222" i="1"/>
  <c r="AF182" i="1"/>
  <c r="AF363" i="1"/>
  <c r="AF455" i="1"/>
  <c r="AF207" i="1"/>
  <c r="AF56" i="1"/>
  <c r="AF520" i="1"/>
  <c r="AF8" i="1"/>
  <c r="AF215" i="1"/>
  <c r="AF390" i="1"/>
  <c r="AF66" i="1"/>
  <c r="AF327" i="1"/>
  <c r="AF276" i="1"/>
  <c r="AF93" i="1"/>
  <c r="AF321" i="1"/>
  <c r="AG321" i="1" s="1"/>
  <c r="AF539" i="1"/>
  <c r="AF230" i="1"/>
  <c r="AF131" i="1"/>
  <c r="AF22" i="1"/>
  <c r="AF40" i="1"/>
  <c r="AF383" i="1"/>
  <c r="AF85" i="1"/>
  <c r="AF268" i="1"/>
  <c r="AF121" i="1"/>
  <c r="AF308" i="1"/>
  <c r="AF370" i="1"/>
  <c r="AF458" i="1"/>
  <c r="AF280" i="1"/>
  <c r="AF250" i="1"/>
  <c r="AF503" i="1"/>
  <c r="AF451" i="1"/>
  <c r="AF169" i="1"/>
  <c r="AF355" i="1"/>
  <c r="AF9" i="1"/>
  <c r="AF475" i="1"/>
  <c r="AF439" i="1"/>
  <c r="AF193" i="1"/>
  <c r="AF61" i="1"/>
  <c r="AF430" i="1"/>
  <c r="AF422" i="1"/>
  <c r="AF351" i="1"/>
  <c r="AF320" i="1"/>
  <c r="AG320" i="1" s="1"/>
  <c r="AF187" i="1"/>
  <c r="AF58" i="1"/>
  <c r="AF285" i="1"/>
  <c r="AF262" i="1"/>
  <c r="AF537" i="1"/>
  <c r="AF63" i="1"/>
  <c r="AF313" i="1"/>
  <c r="AF450" i="1"/>
  <c r="AF375" i="1"/>
  <c r="AF103" i="1"/>
  <c r="AF492" i="1"/>
  <c r="AF125" i="1"/>
  <c r="AF247" i="1"/>
  <c r="AF218" i="1"/>
  <c r="AF23" i="1"/>
  <c r="AF546" i="1"/>
  <c r="AF290" i="1"/>
  <c r="AF209" i="1"/>
  <c r="AF407" i="1"/>
  <c r="AF411" i="1"/>
  <c r="AF161" i="1"/>
  <c r="AF87" i="1"/>
  <c r="AF134" i="1"/>
  <c r="AF318" i="1"/>
  <c r="AF235" i="1"/>
  <c r="AF96" i="1"/>
  <c r="AF462" i="1"/>
  <c r="AF156" i="1"/>
  <c r="AF514" i="1"/>
  <c r="AF459" i="1"/>
  <c r="AF211" i="1"/>
  <c r="AF488" i="1"/>
  <c r="AF128" i="1"/>
  <c r="AF464" i="1"/>
  <c r="AF142" i="1"/>
  <c r="AG142" i="1" s="1"/>
  <c r="AF228" i="1"/>
  <c r="AF409" i="1"/>
  <c r="AF312" i="1"/>
  <c r="AF181" i="1"/>
  <c r="AF393" i="1"/>
  <c r="AF74" i="1"/>
  <c r="AF271" i="1"/>
  <c r="AF77" i="1"/>
  <c r="AF444" i="1"/>
  <c r="AF226" i="1"/>
  <c r="AF15" i="1"/>
  <c r="AF272" i="1"/>
  <c r="AF357" i="1"/>
  <c r="AF349" i="1"/>
  <c r="AF293" i="1"/>
  <c r="AG293" i="1" s="1"/>
  <c r="AF277" i="1"/>
  <c r="AF184" i="1"/>
  <c r="AF45" i="1"/>
  <c r="AF266" i="1"/>
  <c r="AF190" i="1"/>
  <c r="AF456" i="1"/>
  <c r="AF364" i="1"/>
  <c r="AF26" i="1"/>
  <c r="AF281" i="1"/>
  <c r="AF365" i="1"/>
  <c r="AF223" i="1"/>
  <c r="AF534" i="1"/>
  <c r="AF119" i="1"/>
  <c r="AG119" i="1" s="1"/>
  <c r="AF170" i="1"/>
  <c r="AF311" i="1"/>
  <c r="AF433" i="1"/>
  <c r="AF307" i="1"/>
  <c r="AF52" i="1"/>
  <c r="AF238" i="1"/>
  <c r="AF298" i="1"/>
  <c r="AF17" i="1"/>
  <c r="AF496" i="1"/>
  <c r="AF188" i="1"/>
  <c r="AF191" i="1"/>
  <c r="AF306" i="1"/>
  <c r="AF3" i="1"/>
  <c r="AF545" i="1"/>
  <c r="AF154" i="1"/>
  <c r="AF47" i="1"/>
  <c r="AF485" i="1"/>
  <c r="AF487" i="1"/>
  <c r="AF504" i="1"/>
  <c r="AF436" i="1"/>
  <c r="AF51" i="1"/>
  <c r="AF483" i="1"/>
  <c r="AF330" i="1"/>
  <c r="AF339" i="1"/>
  <c r="AF335" i="1"/>
  <c r="AF491" i="1"/>
  <c r="AF287" i="1"/>
  <c r="AF258" i="1"/>
  <c r="AF381" i="1"/>
  <c r="AF72" i="1"/>
  <c r="AF245" i="1"/>
  <c r="AF408" i="1"/>
  <c r="AF165" i="1"/>
  <c r="AF81" i="1"/>
  <c r="AF484" i="1"/>
  <c r="AF494" i="1"/>
  <c r="AF333" i="1"/>
  <c r="AF441" i="1"/>
  <c r="AF28" i="1"/>
  <c r="AF532" i="1"/>
  <c r="AF302" i="1"/>
  <c r="AF440" i="1"/>
  <c r="AF261" i="1"/>
  <c r="AF78" i="1"/>
  <c r="AF417" i="1"/>
  <c r="AF453" i="1"/>
  <c r="AF180" i="1"/>
  <c r="AF46" i="1"/>
  <c r="AF147" i="1"/>
  <c r="AF139" i="1"/>
  <c r="AF48" i="1"/>
  <c r="AF507" i="1"/>
  <c r="AF296" i="1"/>
  <c r="AF392" i="1"/>
  <c r="AF2" i="1"/>
  <c r="AG2" i="1" s="1"/>
  <c r="AF316" i="1"/>
  <c r="AG316" i="1" s="1"/>
  <c r="AF273" i="1"/>
  <c r="AF474" i="1"/>
  <c r="AF508" i="1"/>
  <c r="AF457" i="1"/>
  <c r="AF239" i="1"/>
  <c r="AF43" i="1"/>
  <c r="AF360" i="1"/>
  <c r="AF157" i="1"/>
  <c r="AF44" i="1"/>
  <c r="AF256" i="1"/>
  <c r="AF148" i="1"/>
  <c r="AF482" i="1"/>
  <c r="AF345" i="1"/>
  <c r="AF517" i="1"/>
  <c r="AF425" i="1"/>
  <c r="AF172" i="1"/>
  <c r="AF466" i="1"/>
  <c r="AF12" i="1"/>
  <c r="AF493" i="1"/>
  <c r="AF519" i="1"/>
  <c r="AF76" i="1"/>
  <c r="AF166" i="1"/>
  <c r="AF31" i="1"/>
  <c r="AF435" i="1"/>
  <c r="AF468" i="1"/>
  <c r="AF98" i="1"/>
  <c r="AF501" i="1"/>
  <c r="AF203" i="1"/>
  <c r="AF402" i="1"/>
  <c r="AF13" i="1"/>
  <c r="AF95" i="1"/>
  <c r="AF267" i="1"/>
  <c r="AF129" i="1"/>
  <c r="AF346" i="1"/>
  <c r="AG346" i="1" s="1"/>
  <c r="AF231" i="1"/>
  <c r="AF544" i="1"/>
  <c r="AF397" i="1"/>
  <c r="AF531" i="1"/>
  <c r="AF264" i="1"/>
  <c r="AF120" i="1"/>
  <c r="AF352" i="1"/>
  <c r="AF65" i="1"/>
  <c r="AF158" i="1"/>
  <c r="AF83" i="1"/>
  <c r="AF359" i="1"/>
  <c r="AF90" i="1"/>
  <c r="AF500" i="1"/>
  <c r="AF210" i="1"/>
  <c r="AF377" i="1"/>
  <c r="AF340" i="1"/>
  <c r="AF497" i="1"/>
  <c r="AF294" i="1"/>
  <c r="AF389" i="1"/>
  <c r="AF329" i="1"/>
  <c r="AF463" i="1"/>
  <c r="AF89" i="1"/>
  <c r="AF33" i="1"/>
  <c r="AG33" i="1" s="1"/>
  <c r="AF224" i="1"/>
  <c r="AF175" i="1"/>
  <c r="AF476" i="1"/>
  <c r="AF304" i="1"/>
  <c r="AF133" i="1"/>
  <c r="AF216" i="1"/>
  <c r="AF189" i="1"/>
  <c r="AF168" i="1"/>
  <c r="AF506" i="1"/>
  <c r="AF371" i="1"/>
  <c r="AF420" i="1"/>
  <c r="AF199" i="1"/>
  <c r="AF16" i="1"/>
  <c r="AF543" i="1"/>
  <c r="AF526" i="1"/>
  <c r="AF443" i="1"/>
  <c r="AF388" i="1"/>
  <c r="AF288" i="1"/>
  <c r="AF269" i="1"/>
  <c r="AF471" i="1"/>
  <c r="AF512" i="1"/>
  <c r="AF214" i="1"/>
  <c r="AF254" i="1"/>
  <c r="AF183" i="1"/>
  <c r="AF472" i="1"/>
  <c r="AF149" i="1"/>
  <c r="AF386" i="1"/>
  <c r="AF217" i="1"/>
  <c r="AF461" i="1"/>
  <c r="AF25" i="1"/>
  <c r="AF227" i="1"/>
  <c r="AF376" i="1"/>
  <c r="AF310" i="1"/>
  <c r="AF196" i="1"/>
  <c r="AF237" i="1"/>
  <c r="AF486" i="1"/>
  <c r="AF515" i="1"/>
  <c r="AF212" i="1"/>
  <c r="AF204" i="1"/>
  <c r="AF186" i="1"/>
  <c r="AF334" i="1"/>
  <c r="AF249" i="1"/>
  <c r="AF341" i="1"/>
  <c r="AG341" i="1" s="1"/>
  <c r="AF347" i="1"/>
  <c r="AF155" i="1"/>
  <c r="AF37" i="1"/>
  <c r="AG37" i="1" s="1"/>
  <c r="AF152" i="1"/>
  <c r="AF423" i="1"/>
  <c r="AF522" i="1"/>
  <c r="AF34" i="1"/>
  <c r="AF39" i="1"/>
  <c r="AG39" i="1" s="1"/>
  <c r="AF194" i="1"/>
  <c r="AF437" i="1"/>
  <c r="AF206" i="1"/>
  <c r="AF429" i="1"/>
  <c r="AF432" i="1"/>
  <c r="AF97" i="1"/>
  <c r="AF348" i="1"/>
  <c r="AF100" i="1"/>
  <c r="AF467" i="1"/>
  <c r="AF233" i="1"/>
  <c r="AF438" i="1"/>
  <c r="AF445" i="1"/>
  <c r="AF442" i="1"/>
  <c r="AF495" i="1"/>
  <c r="AF5" i="1"/>
  <c r="AF449" i="1"/>
  <c r="AF415" i="1"/>
  <c r="AF291" i="1"/>
  <c r="AF323" i="1"/>
  <c r="AF301" i="1"/>
  <c r="AF69" i="1"/>
  <c r="AF145" i="1"/>
  <c r="AF403" i="1"/>
  <c r="W294" i="1"/>
  <c r="X294" i="1" s="1"/>
  <c r="W68" i="1"/>
  <c r="W382" i="1"/>
  <c r="W164" i="1"/>
  <c r="W544" i="1"/>
  <c r="W275" i="1"/>
  <c r="W411" i="1"/>
  <c r="W432" i="1"/>
  <c r="W226" i="1"/>
  <c r="W172" i="1"/>
  <c r="W350" i="1"/>
  <c r="W195" i="1"/>
  <c r="W525" i="1"/>
  <c r="W309" i="1"/>
  <c r="W2" i="1"/>
  <c r="X2" i="1" s="1"/>
  <c r="W527" i="1"/>
  <c r="W473" i="1"/>
  <c r="W492" i="1"/>
  <c r="W354" i="1"/>
  <c r="W447" i="1"/>
  <c r="W39" i="1"/>
  <c r="X39" i="1" s="1"/>
  <c r="W203" i="1"/>
  <c r="W287" i="1"/>
  <c r="X287" i="1" s="1"/>
  <c r="W45" i="1"/>
  <c r="W89" i="1"/>
  <c r="W481" i="1"/>
  <c r="W380" i="1"/>
  <c r="W412" i="1"/>
  <c r="W37" i="1"/>
  <c r="X37" i="1" s="1"/>
  <c r="W161" i="1"/>
  <c r="W166" i="1"/>
  <c r="W397" i="1"/>
  <c r="W14" i="1"/>
  <c r="X14" i="1" s="1"/>
  <c r="W322" i="1"/>
  <c r="W6" i="1"/>
  <c r="X6" i="1" s="1"/>
  <c r="W279" i="1"/>
  <c r="W9" i="1"/>
  <c r="X9" i="1" s="1"/>
  <c r="W33" i="1"/>
  <c r="X33" i="1" s="1"/>
  <c r="W329" i="1"/>
  <c r="W251" i="1"/>
  <c r="W263" i="1"/>
  <c r="W396" i="1"/>
  <c r="W427" i="1"/>
  <c r="W204" i="1"/>
  <c r="W202" i="1"/>
  <c r="W83" i="1"/>
  <c r="W52" i="1"/>
  <c r="W265" i="1"/>
  <c r="W168" i="1"/>
  <c r="W424" i="1"/>
  <c r="W304" i="1"/>
  <c r="W531" i="1"/>
  <c r="W64" i="1"/>
  <c r="W26" i="1"/>
  <c r="X26" i="1" s="1"/>
  <c r="W522" i="1"/>
  <c r="W262" i="1"/>
  <c r="W417" i="1"/>
  <c r="W475" i="1"/>
  <c r="W285" i="1"/>
  <c r="W345" i="1"/>
  <c r="W232" i="1"/>
  <c r="W82" i="1"/>
  <c r="W449" i="1"/>
  <c r="W63" i="1"/>
  <c r="W349" i="1"/>
  <c r="W348" i="1"/>
  <c r="W145" i="1"/>
  <c r="W460" i="1"/>
  <c r="W452" i="1"/>
  <c r="W50" i="1"/>
  <c r="W8" i="1"/>
  <c r="W480" i="1"/>
  <c r="W238" i="1"/>
  <c r="W205" i="1"/>
  <c r="W524" i="1"/>
  <c r="W170" i="1"/>
  <c r="W383" i="1"/>
  <c r="W423" i="1"/>
  <c r="W215" i="1"/>
  <c r="W115" i="1"/>
  <c r="W413" i="1"/>
  <c r="W85" i="1"/>
  <c r="W483" i="1"/>
  <c r="W485" i="1"/>
  <c r="W352" i="1"/>
  <c r="W311" i="1"/>
  <c r="W128" i="1"/>
  <c r="W342" i="1"/>
  <c r="W364" i="1"/>
  <c r="W282" i="1"/>
  <c r="W419" i="1"/>
  <c r="W152" i="1"/>
  <c r="W53" i="1"/>
  <c r="W218" i="1"/>
  <c r="W124" i="1"/>
  <c r="W325" i="1"/>
  <c r="W295" i="1"/>
  <c r="X295" i="1" s="1"/>
  <c r="W120" i="1"/>
  <c r="W183" i="1"/>
  <c r="W372" i="1"/>
  <c r="W374" i="1"/>
  <c r="W259" i="1"/>
  <c r="W467" i="1"/>
  <c r="W512" i="1"/>
  <c r="W404" i="1"/>
  <c r="W428" i="1"/>
  <c r="W343" i="1"/>
  <c r="W454" i="1"/>
  <c r="W394" i="1"/>
  <c r="W436" i="1"/>
  <c r="W150" i="1"/>
  <c r="W293" i="1"/>
  <c r="X293" i="1" s="1"/>
  <c r="W11" i="1"/>
  <c r="X11" i="1" s="1"/>
  <c r="W468" i="1"/>
  <c r="W227" i="1"/>
  <c r="W469" i="1"/>
  <c r="W135" i="1"/>
  <c r="X135" i="1" s="1"/>
  <c r="W420" i="1"/>
  <c r="W308" i="1"/>
  <c r="W393" i="1"/>
  <c r="W245" i="1"/>
  <c r="W493" i="1"/>
  <c r="W96" i="1"/>
  <c r="W351" i="1"/>
  <c r="W191" i="1"/>
  <c r="W323" i="1"/>
  <c r="W375" i="1"/>
  <c r="W193" i="1"/>
  <c r="W213" i="1"/>
  <c r="W453" i="1"/>
  <c r="W422" i="1"/>
  <c r="W410" i="1"/>
  <c r="W341" i="1"/>
  <c r="W49" i="1"/>
  <c r="W283" i="1"/>
  <c r="W58" i="1"/>
  <c r="W133" i="1"/>
  <c r="W378" i="1"/>
  <c r="W187" i="1"/>
  <c r="W456" i="1"/>
  <c r="W86" i="1"/>
  <c r="W390" i="1"/>
  <c r="W400" i="1"/>
  <c r="W217" i="1"/>
  <c r="W445" i="1"/>
  <c r="W273" i="1"/>
  <c r="W408" i="1"/>
  <c r="W19" i="1"/>
  <c r="X19" i="1" s="1"/>
  <c r="W264" i="1"/>
  <c r="W513" i="1"/>
  <c r="W310" i="1"/>
  <c r="W314" i="1"/>
  <c r="X314" i="1" s="1"/>
  <c r="W331" i="1"/>
  <c r="W535" i="1"/>
  <c r="W461" i="1"/>
  <c r="W35" i="1"/>
  <c r="X35" i="1" s="1"/>
  <c r="W207" i="1"/>
  <c r="W198" i="1"/>
  <c r="W56" i="1"/>
  <c r="W167" i="1"/>
  <c r="W334" i="1"/>
  <c r="W529" i="1"/>
  <c r="W3" i="1"/>
  <c r="X3" i="1" s="1"/>
  <c r="W234" i="1"/>
  <c r="W15" i="1"/>
  <c r="W506" i="1"/>
  <c r="W253" i="1"/>
  <c r="W421" i="1"/>
  <c r="W157" i="1"/>
  <c r="W186" i="1"/>
  <c r="W42" i="1"/>
  <c r="X42" i="1" s="1"/>
  <c r="W67" i="1"/>
  <c r="W77" i="1"/>
  <c r="W392" i="1"/>
  <c r="W414" i="1"/>
  <c r="W28" i="1"/>
  <c r="X28" i="1" s="1"/>
  <c r="W163" i="1"/>
  <c r="W123" i="1"/>
  <c r="W147" i="1"/>
  <c r="W288" i="1"/>
  <c r="X288" i="1" s="1"/>
  <c r="W470" i="1"/>
  <c r="W38" i="1"/>
  <c r="X38" i="1" s="1"/>
  <c r="W490" i="1"/>
  <c r="W127" i="1"/>
  <c r="W497" i="1"/>
  <c r="W189" i="1"/>
  <c r="W55" i="1"/>
  <c r="W514" i="1"/>
  <c r="W472" i="1"/>
  <c r="W520" i="1"/>
  <c r="W369" i="1"/>
  <c r="W298" i="1"/>
  <c r="W458" i="1"/>
  <c r="W488" i="1"/>
  <c r="W223" i="1"/>
  <c r="W24" i="1"/>
  <c r="W260" i="1"/>
  <c r="W117" i="1"/>
  <c r="W182" i="1"/>
  <c r="W416" i="1"/>
  <c r="W296" i="1"/>
  <c r="W344" i="1"/>
  <c r="X344" i="1" s="1"/>
  <c r="W346" i="1"/>
  <c r="X346" i="1" s="1"/>
  <c r="W185" i="1"/>
  <c r="W312" i="1"/>
  <c r="W280" i="1"/>
  <c r="W179" i="1"/>
  <c r="W425" i="1"/>
  <c r="W542" i="1"/>
  <c r="W509" i="1"/>
  <c r="W407" i="1"/>
  <c r="W121" i="1"/>
  <c r="W43" i="1"/>
  <c r="X43" i="1" s="1"/>
  <c r="W48" i="1"/>
  <c r="W532" i="1"/>
  <c r="W160" i="1"/>
  <c r="W32" i="1"/>
  <c r="X32" i="1" s="1"/>
  <c r="W367" i="1"/>
  <c r="W131" i="1"/>
  <c r="W376" i="1"/>
  <c r="W546" i="1"/>
  <c r="W206" i="1"/>
  <c r="W450" i="1"/>
  <c r="W21" i="1"/>
  <c r="X21" i="1" s="1"/>
  <c r="W406" i="1"/>
  <c r="W57" i="1"/>
  <c r="W12" i="1"/>
  <c r="W386" i="1"/>
  <c r="W508" i="1"/>
  <c r="W194" i="1"/>
  <c r="W361" i="1"/>
  <c r="W530" i="1"/>
  <c r="W66" i="1"/>
  <c r="W84" i="1"/>
  <c r="W381" i="1"/>
  <c r="W231" i="1"/>
  <c r="W517" i="1"/>
  <c r="W34" i="1"/>
  <c r="X34" i="1" s="1"/>
  <c r="W347" i="1"/>
  <c r="W429" i="1"/>
  <c r="W276" i="1"/>
  <c r="W521" i="1"/>
  <c r="W171" i="1"/>
  <c r="W73" i="1"/>
  <c r="W27" i="1"/>
  <c r="W146" i="1"/>
  <c r="W241" i="1"/>
  <c r="W46" i="1"/>
  <c r="W484" i="1"/>
  <c r="W487" i="1"/>
  <c r="W129" i="1"/>
  <c r="W29" i="1"/>
  <c r="X29" i="1" s="1"/>
  <c r="W212" i="1"/>
  <c r="W539" i="1"/>
  <c r="W136" i="1"/>
  <c r="W444" i="1"/>
  <c r="W290" i="1"/>
  <c r="X290" i="1" s="1"/>
  <c r="W173" i="1"/>
  <c r="W318" i="1"/>
  <c r="W459" i="1"/>
  <c r="W219" i="1"/>
  <c r="W405" i="1"/>
  <c r="W339" i="1"/>
  <c r="W306" i="1"/>
  <c r="W478" i="1"/>
  <c r="W158" i="1"/>
  <c r="W476" i="1"/>
  <c r="W200" i="1"/>
  <c r="W315" i="1"/>
  <c r="X315" i="1" s="1"/>
  <c r="W319" i="1"/>
  <c r="W208" i="1"/>
  <c r="W71" i="1"/>
  <c r="W379" i="1"/>
  <c r="W118" i="1"/>
  <c r="X118" i="1" s="1"/>
  <c r="W249" i="1"/>
  <c r="W144" i="1"/>
  <c r="W271" i="1"/>
  <c r="W261" i="1"/>
  <c r="W122" i="1"/>
  <c r="W149" i="1"/>
  <c r="W274" i="1"/>
  <c r="W504" i="1"/>
  <c r="W486" i="1"/>
  <c r="W534" i="1"/>
  <c r="W526" i="1"/>
  <c r="W247" i="1"/>
  <c r="W399" i="1"/>
  <c r="W125" i="1"/>
  <c r="W156" i="1"/>
  <c r="W159" i="1"/>
  <c r="W59" i="1"/>
  <c r="W4" i="1"/>
  <c r="X4" i="1" s="1"/>
  <c r="W540" i="1"/>
  <c r="W148" i="1"/>
  <c r="W495" i="1"/>
  <c r="W103" i="1"/>
  <c r="W99" i="1"/>
  <c r="W297" i="1"/>
  <c r="W162" i="1"/>
  <c r="W270" i="1"/>
  <c r="W373" i="1"/>
  <c r="W388" i="1"/>
  <c r="W250" i="1"/>
  <c r="W222" i="1"/>
  <c r="W395" i="1"/>
  <c r="W69" i="1"/>
  <c r="W254" i="1"/>
  <c r="W278" i="1"/>
  <c r="W269" i="1"/>
  <c r="W385" i="1"/>
  <c r="W143" i="1"/>
  <c r="W225" i="1"/>
  <c r="W242" i="1"/>
  <c r="W61" i="1"/>
  <c r="W327" i="1"/>
  <c r="W384" i="1"/>
  <c r="W209" i="1"/>
  <c r="W451" i="1"/>
  <c r="W303" i="1"/>
  <c r="W464" i="1"/>
  <c r="W326" i="1"/>
  <c r="W305" i="1"/>
  <c r="W328" i="1"/>
  <c r="W505" i="1"/>
  <c r="W62" i="1"/>
  <c r="W211" i="1"/>
  <c r="W95" i="1"/>
  <c r="W507" i="1"/>
  <c r="W243" i="1"/>
  <c r="W244" i="1"/>
  <c r="W88" i="1"/>
  <c r="W98" i="1"/>
  <c r="W76" i="1"/>
  <c r="W358" i="1"/>
  <c r="W155" i="1"/>
  <c r="W430" i="1"/>
  <c r="W177" i="1"/>
  <c r="W140" i="1"/>
  <c r="W196" i="1"/>
  <c r="W10" i="1"/>
  <c r="X10" i="1" s="1"/>
  <c r="W537" i="1"/>
  <c r="W142" i="1"/>
  <c r="W438" i="1"/>
  <c r="W92" i="1"/>
  <c r="W100" i="1"/>
  <c r="W81" i="1"/>
  <c r="W201" i="1"/>
  <c r="W501" i="1"/>
  <c r="W359" i="1"/>
  <c r="W441" i="1"/>
  <c r="W439" i="1"/>
  <c r="W442" i="1"/>
  <c r="W74" i="1"/>
  <c r="W91" i="1"/>
  <c r="W324" i="1"/>
  <c r="W462" i="1"/>
  <c r="W284" i="1"/>
  <c r="W138" i="1"/>
  <c r="X138" i="1" s="1"/>
  <c r="W5" i="1"/>
  <c r="X5" i="1" s="1"/>
  <c r="W192" i="1"/>
  <c r="W176" i="1"/>
  <c r="W228" i="1"/>
  <c r="W370" i="1"/>
  <c r="W494" i="1"/>
  <c r="W246" i="1"/>
  <c r="W300" i="1"/>
  <c r="W377" i="1"/>
  <c r="W503" i="1"/>
  <c r="W102" i="1"/>
  <c r="W471" i="1"/>
  <c r="W256" i="1"/>
  <c r="W457" i="1"/>
  <c r="W474" i="1"/>
  <c r="W291" i="1"/>
  <c r="X291" i="1" s="1"/>
  <c r="W418" i="1"/>
  <c r="W496" i="1"/>
  <c r="W188" i="1"/>
  <c r="W338" i="1"/>
  <c r="W93" i="1"/>
  <c r="W165" i="1"/>
  <c r="W431" i="1"/>
  <c r="W498" i="1"/>
  <c r="W240" i="1"/>
  <c r="W190" i="1"/>
  <c r="W340" i="1"/>
  <c r="W465" i="1"/>
  <c r="W252" i="1"/>
  <c r="W499" i="1"/>
  <c r="W434" i="1"/>
  <c r="W500" i="1"/>
  <c r="W22" i="1"/>
  <c r="X22" i="1" s="1"/>
  <c r="W94" i="1"/>
  <c r="W353" i="1"/>
  <c r="W137" i="1"/>
  <c r="W518" i="1"/>
  <c r="W440" i="1"/>
  <c r="W547" i="1"/>
  <c r="W44" i="1"/>
  <c r="W482" i="1"/>
  <c r="W355" i="1"/>
  <c r="W154" i="1"/>
  <c r="W320" i="1"/>
  <c r="X320" i="1" s="1"/>
  <c r="W538" i="1"/>
  <c r="W292" i="1"/>
  <c r="X292" i="1" s="1"/>
  <c r="W391" i="1"/>
  <c r="W65" i="1"/>
  <c r="W536" i="1"/>
  <c r="W357" i="1"/>
  <c r="W41" i="1"/>
  <c r="X41" i="1" s="1"/>
  <c r="W75" i="1"/>
  <c r="W448" i="1"/>
  <c r="W371" i="1"/>
  <c r="W141" i="1"/>
  <c r="W409" i="1"/>
  <c r="W178" i="1"/>
  <c r="W230" i="1"/>
  <c r="W333" i="1"/>
  <c r="W101" i="1"/>
  <c r="W463" i="1"/>
  <c r="W180" i="1"/>
  <c r="W30" i="1"/>
  <c r="X30" i="1" s="1"/>
  <c r="W321" i="1"/>
  <c r="W236" i="1"/>
  <c r="W362" i="1"/>
  <c r="W257" i="1"/>
  <c r="W466" i="1"/>
  <c r="W299" i="1"/>
  <c r="W151" i="1"/>
  <c r="W337" i="1"/>
  <c r="W220" i="1"/>
  <c r="W197" i="1"/>
  <c r="W132" i="1"/>
  <c r="W139" i="1"/>
  <c r="W272" i="1"/>
  <c r="W335" i="1"/>
  <c r="W455" i="1"/>
  <c r="W97" i="1"/>
  <c r="W214" i="1"/>
  <c r="W510" i="1"/>
  <c r="W289" i="1"/>
  <c r="X289" i="1" s="1"/>
  <c r="W387" i="1"/>
  <c r="W153" i="1"/>
  <c r="W16" i="1"/>
  <c r="X16" i="1" s="1"/>
  <c r="W47" i="1"/>
  <c r="W330" i="1"/>
  <c r="W134" i="1"/>
  <c r="X134" i="1" s="1"/>
  <c r="W336" i="1"/>
  <c r="W175" i="1"/>
  <c r="W221" i="1"/>
  <c r="W307" i="1"/>
  <c r="W224" i="1"/>
  <c r="W18" i="1"/>
  <c r="X18" i="1" s="1"/>
  <c r="W216" i="1"/>
  <c r="W332" i="1"/>
  <c r="W130" i="1"/>
  <c r="W169" i="1"/>
  <c r="W237" i="1"/>
  <c r="W31" i="1"/>
  <c r="X31" i="1" s="1"/>
  <c r="W426" i="1"/>
  <c r="W258" i="1"/>
  <c r="W356" i="1"/>
  <c r="W17" i="1"/>
  <c r="X17" i="1" s="1"/>
  <c r="W174" i="1"/>
  <c r="W443" i="1"/>
  <c r="W119" i="1"/>
  <c r="X119" i="1" s="1"/>
  <c r="W511" i="1"/>
  <c r="W437" i="1"/>
  <c r="W268" i="1"/>
  <c r="W360" i="1"/>
  <c r="W403" i="1"/>
  <c r="W313" i="1"/>
  <c r="W477" i="1"/>
  <c r="W266" i="1"/>
  <c r="W502" i="1"/>
  <c r="W528" i="1"/>
  <c r="W277" i="1"/>
  <c r="W398" i="1"/>
  <c r="W301" i="1"/>
  <c r="W433" i="1"/>
  <c r="W515" i="1"/>
  <c r="W479" i="1"/>
  <c r="W286" i="1"/>
  <c r="W389" i="1"/>
  <c r="W543" i="1"/>
  <c r="W181" i="1"/>
  <c r="W72" i="1"/>
  <c r="W235" i="1"/>
  <c r="W316" i="1"/>
  <c r="W229" i="1"/>
  <c r="W519" i="1"/>
  <c r="W545" i="1"/>
  <c r="W516" i="1"/>
  <c r="W239" i="1"/>
  <c r="W70" i="1"/>
  <c r="W40" i="1"/>
  <c r="X40" i="1" s="1"/>
  <c r="W79" i="1"/>
  <c r="W20" i="1"/>
  <c r="X20" i="1" s="1"/>
  <c r="W248" i="1"/>
  <c r="W523" i="1"/>
  <c r="W401" i="1"/>
  <c r="W302" i="1"/>
  <c r="W54" i="1"/>
  <c r="W363" i="1"/>
  <c r="W435" i="1"/>
  <c r="W87" i="1"/>
  <c r="W78" i="1"/>
  <c r="W184" i="1"/>
  <c r="W199" i="1"/>
  <c r="W541" i="1"/>
  <c r="W366" i="1"/>
  <c r="W210" i="1"/>
  <c r="W365" i="1"/>
  <c r="W90" i="1"/>
  <c r="W489" i="1"/>
  <c r="W415" i="1"/>
  <c r="W281" i="1"/>
  <c r="W533" i="1"/>
  <c r="W25" i="1"/>
  <c r="X25" i="1" s="1"/>
  <c r="W126" i="1"/>
  <c r="W23" i="1"/>
  <c r="W51" i="1"/>
  <c r="W402" i="1"/>
  <c r="W116" i="1"/>
  <c r="W255" i="1"/>
  <c r="W267" i="1"/>
  <c r="W368" i="1"/>
  <c r="W491" i="1"/>
  <c r="W446" i="1"/>
  <c r="W13" i="1"/>
  <c r="W233" i="1"/>
  <c r="AK14" i="1"/>
  <c r="Z2" i="1" s="1"/>
  <c r="AA2" i="1" s="1"/>
  <c r="AK10" i="1"/>
  <c r="T7" i="1" s="1"/>
  <c r="U7" i="1" s="1"/>
  <c r="AK15" i="1"/>
  <c r="AC2" i="1" s="1"/>
  <c r="AD2" i="1" s="1"/>
  <c r="T317" i="1" l="1"/>
  <c r="U317" i="1" s="1"/>
  <c r="Z106" i="1"/>
  <c r="AA106" i="1" s="1"/>
  <c r="AC121" i="1"/>
  <c r="AC317" i="1"/>
  <c r="AD317" i="1" s="1"/>
  <c r="Z317" i="1"/>
  <c r="AA317" i="1" s="1"/>
  <c r="AC109" i="1"/>
  <c r="AD109" i="1" s="1"/>
  <c r="AC120" i="1"/>
  <c r="AD120" i="1" s="1"/>
  <c r="AC108" i="1"/>
  <c r="AD108" i="1" s="1"/>
  <c r="AC119" i="1"/>
  <c r="AD119" i="1" s="1"/>
  <c r="AC118" i="1"/>
  <c r="AD118" i="1" s="1"/>
  <c r="AC106" i="1"/>
  <c r="AD106" i="1" s="1"/>
  <c r="AC116" i="1"/>
  <c r="AD116" i="1" s="1"/>
  <c r="AC113" i="1"/>
  <c r="AD113" i="1" s="1"/>
  <c r="AC115" i="1"/>
  <c r="AD115" i="1" s="1"/>
  <c r="AC112" i="1"/>
  <c r="AD112" i="1" s="1"/>
  <c r="AC114" i="1"/>
  <c r="AD114" i="1" s="1"/>
  <c r="AC107" i="1"/>
  <c r="AD107" i="1" s="1"/>
  <c r="AC111" i="1"/>
  <c r="AD111" i="1" s="1"/>
  <c r="AC117" i="1"/>
  <c r="AD117" i="1" s="1"/>
  <c r="AC110" i="1"/>
  <c r="AD110" i="1" s="1"/>
  <c r="AC105" i="1"/>
  <c r="AD105" i="1" s="1"/>
  <c r="Z110" i="1"/>
  <c r="AA110" i="1" s="1"/>
  <c r="Z118" i="1"/>
  <c r="Z108" i="1"/>
  <c r="AA108" i="1" s="1"/>
  <c r="Z117" i="1"/>
  <c r="AA117" i="1" s="1"/>
  <c r="Z105" i="1"/>
  <c r="AA105" i="1" s="1"/>
  <c r="Z116" i="1"/>
  <c r="AA116" i="1" s="1"/>
  <c r="Z115" i="1"/>
  <c r="AA115" i="1" s="1"/>
  <c r="Z114" i="1"/>
  <c r="AA114" i="1" s="1"/>
  <c r="Z112" i="1"/>
  <c r="AA112" i="1" s="1"/>
  <c r="Z111" i="1"/>
  <c r="AA111" i="1" s="1"/>
  <c r="Z109" i="1"/>
  <c r="AA109" i="1" s="1"/>
  <c r="Z107" i="1"/>
  <c r="AA107" i="1" s="1"/>
  <c r="Z119" i="1"/>
  <c r="AA119" i="1" s="1"/>
  <c r="Z113" i="1"/>
  <c r="AA113" i="1" s="1"/>
  <c r="T105" i="1"/>
  <c r="U105" i="1" s="1"/>
  <c r="AC80" i="1"/>
  <c r="AD80" i="1" s="1"/>
  <c r="T80" i="1"/>
  <c r="U80" i="1" s="1"/>
  <c r="Z80" i="1"/>
  <c r="AA80" i="1" s="1"/>
  <c r="T36" i="1"/>
  <c r="U36" i="1" s="1"/>
  <c r="AC36" i="1"/>
  <c r="AD36" i="1" s="1"/>
  <c r="Z36" i="1"/>
  <c r="AA36" i="1" s="1"/>
  <c r="AC7" i="1"/>
  <c r="AD7" i="1" s="1"/>
  <c r="Z7" i="1"/>
  <c r="AA7" i="1" s="1"/>
  <c r="T2" i="1"/>
  <c r="U2" i="1" s="1"/>
  <c r="Z353" i="1"/>
  <c r="AA353" i="1" s="1"/>
  <c r="Z167" i="1"/>
  <c r="AA167" i="1" s="1"/>
  <c r="Z346" i="1"/>
  <c r="AA346" i="1" s="1"/>
  <c r="Z345" i="1"/>
  <c r="AA345" i="1" s="1"/>
  <c r="Z203" i="1"/>
  <c r="AA203" i="1" s="1"/>
  <c r="Z344" i="1"/>
  <c r="AA344" i="1" s="1"/>
  <c r="Z249" i="1"/>
  <c r="AA249" i="1" s="1"/>
  <c r="Z157" i="1"/>
  <c r="AA157" i="1" s="1"/>
  <c r="Z205" i="1"/>
  <c r="AA205" i="1" s="1"/>
  <c r="Z358" i="1"/>
  <c r="AA358" i="1" s="1"/>
  <c r="Z343" i="1"/>
  <c r="AA343" i="1" s="1"/>
  <c r="Z359" i="1"/>
  <c r="AA359" i="1" s="1"/>
  <c r="Z213" i="1"/>
  <c r="AA213" i="1" s="1"/>
  <c r="Z247" i="1"/>
  <c r="AA247" i="1" s="1"/>
  <c r="Z246" i="1"/>
  <c r="AA246" i="1" s="1"/>
  <c r="Z237" i="1"/>
  <c r="AA237" i="1" s="1"/>
  <c r="Z260" i="1"/>
  <c r="AA260" i="1" s="1"/>
  <c r="Z352" i="1"/>
  <c r="AA352" i="1" s="1"/>
  <c r="Z196" i="1"/>
  <c r="AA196" i="1" s="1"/>
  <c r="Z351" i="1"/>
  <c r="AA351" i="1" s="1"/>
  <c r="Z234" i="1"/>
  <c r="AA234" i="1" s="1"/>
  <c r="Z360" i="1"/>
  <c r="AA360" i="1" s="1"/>
  <c r="Z200" i="1"/>
  <c r="AA200" i="1" s="1"/>
  <c r="Z342" i="1"/>
  <c r="AA342" i="1" s="1"/>
  <c r="Z254" i="1"/>
  <c r="AA254" i="1" s="1"/>
  <c r="Z210" i="1"/>
  <c r="AA210" i="1" s="1"/>
  <c r="Z197" i="1"/>
  <c r="AA197" i="1" s="1"/>
  <c r="Z244" i="1"/>
  <c r="AA244" i="1" s="1"/>
  <c r="Z350" i="1"/>
  <c r="AA350" i="1" s="1"/>
  <c r="Z178" i="1"/>
  <c r="AA178" i="1" s="1"/>
  <c r="Z357" i="1"/>
  <c r="AA357" i="1" s="1"/>
  <c r="Z253" i="1"/>
  <c r="AA253" i="1" s="1"/>
  <c r="Z356" i="1"/>
  <c r="AA356" i="1" s="1"/>
  <c r="Z349" i="1"/>
  <c r="AA349" i="1" s="1"/>
  <c r="Z361" i="1"/>
  <c r="AA361" i="1" s="1"/>
  <c r="Z355" i="1"/>
  <c r="AA355" i="1" s="1"/>
  <c r="Z348" i="1"/>
  <c r="AA348" i="1" s="1"/>
  <c r="Z209" i="1"/>
  <c r="AA209" i="1" s="1"/>
  <c r="Z240" i="1"/>
  <c r="AA240" i="1" s="1"/>
  <c r="Z354" i="1"/>
  <c r="AA354" i="1" s="1"/>
  <c r="Z347" i="1"/>
  <c r="AA347" i="1" s="1"/>
  <c r="Z207" i="1"/>
  <c r="AA207" i="1" s="1"/>
  <c r="AC537" i="1"/>
  <c r="AD537" i="1" s="1"/>
  <c r="AC483" i="1"/>
  <c r="AD483" i="1" s="1"/>
  <c r="AC494" i="1"/>
  <c r="AD494" i="1" s="1"/>
  <c r="AC384" i="1"/>
  <c r="AD384" i="1" s="1"/>
  <c r="AC496" i="1"/>
  <c r="AD496" i="1" s="1"/>
  <c r="AC484" i="1"/>
  <c r="AD484" i="1" s="1"/>
  <c r="AC218" i="1"/>
  <c r="AD218" i="1" s="1"/>
  <c r="AC154" i="1"/>
  <c r="AD154" i="1" s="1"/>
  <c r="AC192" i="1"/>
  <c r="AD192" i="1" s="1"/>
  <c r="AC495" i="1"/>
  <c r="AD495" i="1" s="1"/>
  <c r="AC123" i="1"/>
  <c r="AD123" i="1" s="1"/>
  <c r="AC188" i="1"/>
  <c r="AD188" i="1" s="1"/>
  <c r="AC273" i="1"/>
  <c r="AD273" i="1" s="1"/>
  <c r="AC285" i="1"/>
  <c r="AD285" i="1" s="1"/>
  <c r="AC482" i="1"/>
  <c r="AD482" i="1" s="1"/>
  <c r="AC287" i="1"/>
  <c r="AD287" i="1" s="1"/>
  <c r="AC149" i="1"/>
  <c r="AD149" i="1" s="1"/>
  <c r="AC84" i="1"/>
  <c r="AD84" i="1" s="1"/>
  <c r="AC490" i="1"/>
  <c r="AD490" i="1" s="1"/>
  <c r="T252" i="1"/>
  <c r="U252" i="1" s="1"/>
  <c r="AC79" i="1"/>
  <c r="AD79" i="1" s="1"/>
  <c r="AC173" i="1"/>
  <c r="AD173" i="1" s="1"/>
  <c r="T408" i="1"/>
  <c r="U408" i="1" s="1"/>
  <c r="AC489" i="1"/>
  <c r="AD489" i="1" s="1"/>
  <c r="T360" i="1"/>
  <c r="U360" i="1" s="1"/>
  <c r="AC102" i="1"/>
  <c r="AD102" i="1" s="1"/>
  <c r="AC71" i="1"/>
  <c r="AD71" i="1" s="1"/>
  <c r="AC16" i="1"/>
  <c r="AD16" i="1" s="1"/>
  <c r="T247" i="1"/>
  <c r="U247" i="1" s="1"/>
  <c r="AC58" i="1"/>
  <c r="AD58" i="1" s="1"/>
  <c r="AC430" i="1"/>
  <c r="AD430" i="1" s="1"/>
  <c r="AC488" i="1"/>
  <c r="AD488" i="1" s="1"/>
  <c r="T398" i="1"/>
  <c r="U398" i="1" s="1"/>
  <c r="AC94" i="1"/>
  <c r="AD94" i="1" s="1"/>
  <c r="AC65" i="1"/>
  <c r="AD65" i="1" s="1"/>
  <c r="AC284" i="1"/>
  <c r="AD284" i="1" s="1"/>
  <c r="T359" i="1"/>
  <c r="U359" i="1" s="1"/>
  <c r="AC103" i="1"/>
  <c r="AD103" i="1" s="1"/>
  <c r="AC73" i="1"/>
  <c r="AD73" i="1" s="1"/>
  <c r="AC524" i="1"/>
  <c r="AD524" i="1" s="1"/>
  <c r="AC63" i="1"/>
  <c r="AD63" i="1" s="1"/>
  <c r="AC487" i="1"/>
  <c r="AD487" i="1" s="1"/>
  <c r="AC481" i="1"/>
  <c r="AD481" i="1" s="1"/>
  <c r="T245" i="1"/>
  <c r="U245" i="1" s="1"/>
  <c r="AC77" i="1"/>
  <c r="AD77" i="1" s="1"/>
  <c r="AC533" i="1"/>
  <c r="AD533" i="1" s="1"/>
  <c r="AC176" i="1"/>
  <c r="AD176" i="1" s="1"/>
  <c r="T242" i="1"/>
  <c r="U242" i="1" s="1"/>
  <c r="AC493" i="1"/>
  <c r="AD493" i="1" s="1"/>
  <c r="AC91" i="1"/>
  <c r="AD91" i="1" s="1"/>
  <c r="AC100" i="1"/>
  <c r="AD100" i="1" s="1"/>
  <c r="AC99" i="1"/>
  <c r="AD99" i="1" s="1"/>
  <c r="AC427" i="1"/>
  <c r="AD427" i="1" s="1"/>
  <c r="AC168" i="1"/>
  <c r="AD168" i="1" s="1"/>
  <c r="T243" i="1"/>
  <c r="U243" i="1" s="1"/>
  <c r="AC97" i="1"/>
  <c r="AD97" i="1" s="1"/>
  <c r="AC55" i="1"/>
  <c r="AD55" i="1" s="1"/>
  <c r="AC492" i="1"/>
  <c r="AD492" i="1" s="1"/>
  <c r="AC486" i="1"/>
  <c r="AD486" i="1" s="1"/>
  <c r="T362" i="1"/>
  <c r="U362" i="1" s="1"/>
  <c r="T358" i="1"/>
  <c r="U358" i="1" s="1"/>
  <c r="AC449" i="1"/>
  <c r="AD449" i="1" s="1"/>
  <c r="AC152" i="1"/>
  <c r="AD152" i="1" s="1"/>
  <c r="AC54" i="1"/>
  <c r="AD54" i="1" s="1"/>
  <c r="AC281" i="1"/>
  <c r="AD281" i="1" s="1"/>
  <c r="T263" i="1"/>
  <c r="U263" i="1" s="1"/>
  <c r="AC70" i="1"/>
  <c r="AD70" i="1" s="1"/>
  <c r="AC497" i="1"/>
  <c r="AD497" i="1" s="1"/>
  <c r="AC491" i="1"/>
  <c r="AD491" i="1" s="1"/>
  <c r="AC485" i="1"/>
  <c r="AD485" i="1" s="1"/>
  <c r="T260" i="1"/>
  <c r="U260" i="1" s="1"/>
  <c r="T233" i="1"/>
  <c r="U233" i="1" s="1"/>
  <c r="AC62" i="1"/>
  <c r="AD62" i="1" s="1"/>
  <c r="AC86" i="1"/>
  <c r="AD86" i="1" s="1"/>
  <c r="AC35" i="1"/>
  <c r="AD35" i="1" s="1"/>
  <c r="AC286" i="1"/>
  <c r="AD286" i="1" s="1"/>
  <c r="AC166" i="1"/>
  <c r="AD166" i="1" s="1"/>
  <c r="T361" i="1"/>
  <c r="U361" i="1" s="1"/>
  <c r="T357" i="1"/>
  <c r="U357" i="1" s="1"/>
  <c r="T3" i="1"/>
  <c r="U3" i="1" s="1"/>
  <c r="T126" i="1"/>
  <c r="U126" i="1" s="1"/>
  <c r="T13" i="1"/>
  <c r="U13" i="1" s="1"/>
  <c r="T61" i="1"/>
  <c r="U61" i="1" s="1"/>
  <c r="T66" i="1"/>
  <c r="U66" i="1" s="1"/>
  <c r="T68" i="1"/>
  <c r="U68" i="1" s="1"/>
  <c r="T158" i="1"/>
  <c r="U158" i="1" s="1"/>
  <c r="T134" i="1"/>
  <c r="U134" i="1" s="1"/>
  <c r="T74" i="1"/>
  <c r="U74" i="1" s="1"/>
  <c r="T159" i="1"/>
  <c r="U159" i="1" s="1"/>
  <c r="T136" i="1"/>
  <c r="U136" i="1" s="1"/>
  <c r="T75" i="1"/>
  <c r="U75" i="1" s="1"/>
  <c r="T160" i="1"/>
  <c r="U160" i="1" s="1"/>
  <c r="T144" i="1"/>
  <c r="U144" i="1" s="1"/>
  <c r="T77" i="1"/>
  <c r="U77" i="1" s="1"/>
  <c r="T161" i="1"/>
  <c r="U161" i="1" s="1"/>
  <c r="T149" i="1"/>
  <c r="U149" i="1" s="1"/>
  <c r="T94" i="1"/>
  <c r="U94" i="1" s="1"/>
  <c r="T162" i="1"/>
  <c r="U162" i="1" s="1"/>
  <c r="T97" i="1"/>
  <c r="U97" i="1" s="1"/>
  <c r="T109" i="1"/>
  <c r="U109" i="1" s="1"/>
  <c r="T163" i="1"/>
  <c r="U163" i="1" s="1"/>
  <c r="T111" i="1"/>
  <c r="U111" i="1" s="1"/>
  <c r="T115" i="1"/>
  <c r="U115" i="1" s="1"/>
  <c r="T164" i="1"/>
  <c r="U164" i="1" s="1"/>
  <c r="T118" i="1"/>
  <c r="U118" i="1" s="1"/>
  <c r="T121" i="1"/>
  <c r="U121" i="1" s="1"/>
  <c r="T165" i="1"/>
  <c r="U165" i="1" s="1"/>
  <c r="T172" i="1"/>
  <c r="U172" i="1" s="1"/>
  <c r="T125" i="1"/>
  <c r="U125" i="1" s="1"/>
  <c r="T166" i="1"/>
  <c r="U166" i="1" s="1"/>
  <c r="T138" i="1"/>
  <c r="U138" i="1" s="1"/>
  <c r="T308" i="1"/>
  <c r="U308" i="1" s="1"/>
  <c r="T176" i="1"/>
  <c r="U176" i="1" s="1"/>
  <c r="T142" i="1"/>
  <c r="U142" i="1" s="1"/>
  <c r="T309" i="1"/>
  <c r="U309" i="1" s="1"/>
  <c r="T147" i="1"/>
  <c r="U147" i="1" s="1"/>
  <c r="T148" i="1"/>
  <c r="U148" i="1" s="1"/>
  <c r="T310" i="1"/>
  <c r="U310" i="1" s="1"/>
  <c r="T170" i="1"/>
  <c r="U170" i="1" s="1"/>
  <c r="T183" i="1"/>
  <c r="U183" i="1" s="1"/>
  <c r="T311" i="1"/>
  <c r="U311" i="1" s="1"/>
  <c r="T190" i="1"/>
  <c r="U190" i="1" s="1"/>
  <c r="T192" i="1"/>
  <c r="U192" i="1" s="1"/>
  <c r="T312" i="1"/>
  <c r="U312" i="1" s="1"/>
  <c r="T24" i="1"/>
  <c r="U24" i="1" s="1"/>
  <c r="T27" i="1"/>
  <c r="U27" i="1" s="1"/>
  <c r="T313" i="1"/>
  <c r="U313" i="1" s="1"/>
  <c r="T59" i="1"/>
  <c r="U59" i="1" s="1"/>
  <c r="T69" i="1"/>
  <c r="U69" i="1" s="1"/>
  <c r="T314" i="1"/>
  <c r="U314" i="1" s="1"/>
  <c r="T203" i="1"/>
  <c r="U203" i="1" s="1"/>
  <c r="T73" i="1"/>
  <c r="U73" i="1" s="1"/>
  <c r="T315" i="1"/>
  <c r="U315" i="1" s="1"/>
  <c r="T81" i="1"/>
  <c r="U81" i="1" s="1"/>
  <c r="T110" i="1"/>
  <c r="U110" i="1" s="1"/>
  <c r="T209" i="1"/>
  <c r="U209" i="1" s="1"/>
  <c r="T127" i="1"/>
  <c r="U127" i="1" s="1"/>
  <c r="T316" i="1"/>
  <c r="U316" i="1" s="1"/>
  <c r="T133" i="1"/>
  <c r="U133" i="1" s="1"/>
  <c r="T139" i="1"/>
  <c r="U139" i="1" s="1"/>
  <c r="T318" i="1"/>
  <c r="U318" i="1" s="1"/>
  <c r="T187" i="1"/>
  <c r="U187" i="1" s="1"/>
  <c r="T220" i="1"/>
  <c r="U220" i="1" s="1"/>
  <c r="T221" i="1"/>
  <c r="U221" i="1" s="1"/>
  <c r="T226" i="1"/>
  <c r="U226" i="1" s="1"/>
  <c r="T319" i="1"/>
  <c r="U319" i="1" s="1"/>
  <c r="T204" i="1"/>
  <c r="U204" i="1" s="1"/>
  <c r="T205" i="1"/>
  <c r="U205" i="1" s="1"/>
  <c r="T210" i="1"/>
  <c r="U210" i="1" s="1"/>
  <c r="T213" i="1"/>
  <c r="U213" i="1" s="1"/>
  <c r="T320" i="1"/>
  <c r="U320" i="1" s="1"/>
  <c r="T214" i="1"/>
  <c r="U214" i="1" s="1"/>
  <c r="T224" i="1"/>
  <c r="U224" i="1" s="1"/>
  <c r="T321" i="1"/>
  <c r="U321" i="1" s="1"/>
  <c r="T223" i="1"/>
  <c r="U223" i="1" s="1"/>
  <c r="T225" i="1"/>
  <c r="U225" i="1" s="1"/>
  <c r="T322" i="1"/>
  <c r="U322" i="1" s="1"/>
  <c r="T227" i="1"/>
  <c r="U227" i="1" s="1"/>
  <c r="T231" i="1"/>
  <c r="U231" i="1" s="1"/>
  <c r="T323" i="1"/>
  <c r="U323" i="1" s="1"/>
  <c r="T229" i="1"/>
  <c r="U229" i="1" s="1"/>
  <c r="T234" i="1"/>
  <c r="U234" i="1" s="1"/>
  <c r="T235" i="1"/>
  <c r="U235" i="1" s="1"/>
  <c r="T230" i="1"/>
  <c r="U230" i="1" s="1"/>
  <c r="T324" i="1"/>
  <c r="U324" i="1" s="1"/>
  <c r="T236" i="1"/>
  <c r="U236" i="1" s="1"/>
  <c r="T237" i="1"/>
  <c r="U237" i="1" s="1"/>
  <c r="T325" i="1"/>
  <c r="U325" i="1" s="1"/>
  <c r="T249" i="1"/>
  <c r="U249" i="1" s="1"/>
  <c r="T238" i="1"/>
  <c r="U238" i="1" s="1"/>
  <c r="T326" i="1"/>
  <c r="U326" i="1" s="1"/>
  <c r="T240" i="1"/>
  <c r="U240" i="1" s="1"/>
  <c r="T250" i="1"/>
  <c r="U250" i="1" s="1"/>
  <c r="T327" i="1"/>
  <c r="U327" i="1" s="1"/>
  <c r="T253" i="1"/>
  <c r="U253" i="1" s="1"/>
  <c r="T248" i="1"/>
  <c r="U248" i="1" s="1"/>
  <c r="T328" i="1"/>
  <c r="U328" i="1" s="1"/>
  <c r="T262" i="1"/>
  <c r="U262" i="1" s="1"/>
  <c r="T251" i="1"/>
  <c r="U251" i="1" s="1"/>
  <c r="T329" i="1"/>
  <c r="U329" i="1" s="1"/>
  <c r="T265" i="1"/>
  <c r="U265" i="1" s="1"/>
  <c r="T266" i="1"/>
  <c r="U266" i="1" s="1"/>
  <c r="T330" i="1"/>
  <c r="U330" i="1" s="1"/>
  <c r="T270" i="1"/>
  <c r="U270" i="1" s="1"/>
  <c r="T273" i="1"/>
  <c r="U273" i="1" s="1"/>
  <c r="T331" i="1"/>
  <c r="U331" i="1" s="1"/>
  <c r="T256" i="1"/>
  <c r="U256" i="1" s="1"/>
  <c r="T274" i="1"/>
  <c r="U274" i="1" s="1"/>
  <c r="T332" i="1"/>
  <c r="U332" i="1" s="1"/>
  <c r="T280" i="1"/>
  <c r="U280" i="1" s="1"/>
  <c r="T257" i="1"/>
  <c r="U257" i="1" s="1"/>
  <c r="T333" i="1"/>
  <c r="U333" i="1" s="1"/>
  <c r="T282" i="1"/>
  <c r="U282" i="1" s="1"/>
  <c r="T285" i="1"/>
  <c r="U285" i="1" s="1"/>
  <c r="T334" i="1"/>
  <c r="U334" i="1" s="1"/>
  <c r="T286" i="1"/>
  <c r="U286" i="1" s="1"/>
  <c r="T298" i="1"/>
  <c r="U298" i="1" s="1"/>
  <c r="T335" i="1"/>
  <c r="U335" i="1" s="1"/>
  <c r="T424" i="1"/>
  <c r="U424" i="1" s="1"/>
  <c r="T299" i="1"/>
  <c r="U299" i="1" s="1"/>
  <c r="T336" i="1"/>
  <c r="U336" i="1" s="1"/>
  <c r="T301" i="1"/>
  <c r="U301" i="1" s="1"/>
  <c r="T171" i="1"/>
  <c r="U171" i="1" s="1"/>
  <c r="T337" i="1"/>
  <c r="U337" i="1" s="1"/>
  <c r="T175" i="1"/>
  <c r="U175" i="1" s="1"/>
  <c r="T304" i="1"/>
  <c r="U304" i="1" s="1"/>
  <c r="T338" i="1"/>
  <c r="U338" i="1" s="1"/>
  <c r="T305" i="1"/>
  <c r="U305" i="1" s="1"/>
  <c r="T58" i="1"/>
  <c r="U58" i="1" s="1"/>
  <c r="T339" i="1"/>
  <c r="U339" i="1" s="1"/>
  <c r="T391" i="1"/>
  <c r="U391" i="1" s="1"/>
  <c r="T393" i="1"/>
  <c r="U393" i="1" s="1"/>
  <c r="T340" i="1"/>
  <c r="U340" i="1" s="1"/>
  <c r="T399" i="1"/>
  <c r="U399" i="1" s="1"/>
  <c r="T400" i="1"/>
  <c r="U400" i="1" s="1"/>
  <c r="T341" i="1"/>
  <c r="U341" i="1" s="1"/>
  <c r="T401" i="1"/>
  <c r="U401" i="1" s="1"/>
  <c r="T411" i="1"/>
  <c r="U411" i="1" s="1"/>
  <c r="T342" i="1"/>
  <c r="U342" i="1" s="1"/>
  <c r="T417" i="1"/>
  <c r="U417" i="1" s="1"/>
  <c r="T420" i="1"/>
  <c r="U420" i="1" s="1"/>
  <c r="T343" i="1"/>
  <c r="U343" i="1" s="1"/>
  <c r="T426" i="1"/>
  <c r="U426" i="1" s="1"/>
  <c r="T430" i="1"/>
  <c r="U430" i="1" s="1"/>
  <c r="T344" i="1"/>
  <c r="U344" i="1" s="1"/>
  <c r="T129" i="1"/>
  <c r="U129" i="1" s="1"/>
  <c r="T167" i="1"/>
  <c r="U167" i="1" s="1"/>
  <c r="T345" i="1"/>
  <c r="U345" i="1" s="1"/>
  <c r="T436" i="1"/>
  <c r="U436" i="1" s="1"/>
  <c r="T181" i="1"/>
  <c r="U181" i="1" s="1"/>
  <c r="T346" i="1"/>
  <c r="U346" i="1" s="1"/>
  <c r="T441" i="1"/>
  <c r="U441" i="1" s="1"/>
  <c r="T448" i="1"/>
  <c r="U448" i="1" s="1"/>
  <c r="T347" i="1"/>
  <c r="U347" i="1" s="1"/>
  <c r="T523" i="1"/>
  <c r="U523" i="1" s="1"/>
  <c r="T528" i="1"/>
  <c r="U528" i="1" s="1"/>
  <c r="T348" i="1"/>
  <c r="U348" i="1" s="1"/>
  <c r="T269" i="1"/>
  <c r="U269" i="1" s="1"/>
  <c r="T540" i="1"/>
  <c r="U540" i="1" s="1"/>
  <c r="T349" i="1"/>
  <c r="U349" i="1" s="1"/>
  <c r="T541" i="1"/>
  <c r="U541" i="1" s="1"/>
  <c r="T543" i="1"/>
  <c r="U543" i="1" s="1"/>
  <c r="T350" i="1"/>
  <c r="U350" i="1" s="1"/>
  <c r="T547" i="1"/>
  <c r="U547" i="1" s="1"/>
  <c r="T31" i="1"/>
  <c r="U31" i="1" s="1"/>
  <c r="T351" i="1"/>
  <c r="U351" i="1" s="1"/>
  <c r="T279" i="1"/>
  <c r="U279" i="1" s="1"/>
  <c r="T35" i="1"/>
  <c r="U35" i="1" s="1"/>
  <c r="T352" i="1"/>
  <c r="U352" i="1" s="1"/>
  <c r="T46" i="1"/>
  <c r="U46" i="1" s="1"/>
  <c r="T63" i="1"/>
  <c r="U63" i="1" s="1"/>
  <c r="T353" i="1"/>
  <c r="U353" i="1" s="1"/>
  <c r="T78" i="1"/>
  <c r="U78" i="1" s="1"/>
  <c r="T88" i="1"/>
  <c r="U88" i="1" s="1"/>
  <c r="T354" i="1"/>
  <c r="U354" i="1" s="1"/>
  <c r="T154" i="1"/>
  <c r="U154" i="1" s="1"/>
  <c r="T291" i="1"/>
  <c r="U291" i="1" s="1"/>
  <c r="T355" i="1"/>
  <c r="U355" i="1" s="1"/>
  <c r="T295" i="1"/>
  <c r="U295" i="1" s="1"/>
  <c r="T169" i="1"/>
  <c r="U169" i="1" s="1"/>
  <c r="T356" i="1"/>
  <c r="U356" i="1" s="1"/>
  <c r="T206" i="1"/>
  <c r="U206" i="1" s="1"/>
  <c r="T232" i="1"/>
  <c r="U232" i="1" s="1"/>
  <c r="T427" i="1"/>
  <c r="U427" i="1" s="1"/>
  <c r="T433" i="1"/>
  <c r="U433" i="1" s="1"/>
  <c r="T363" i="1"/>
  <c r="U363" i="1" s="1"/>
  <c r="T264" i="1"/>
  <c r="U264" i="1" s="1"/>
  <c r="T267" i="1"/>
  <c r="U267" i="1" s="1"/>
  <c r="T364" i="1"/>
  <c r="U364" i="1" s="1"/>
  <c r="T271" i="1"/>
  <c r="U271" i="1" s="1"/>
  <c r="T275" i="1"/>
  <c r="U275" i="1" s="1"/>
  <c r="T365" i="1"/>
  <c r="U365" i="1" s="1"/>
  <c r="T283" i="1"/>
  <c r="U283" i="1" s="1"/>
  <c r="T284" i="1"/>
  <c r="U284" i="1" s="1"/>
  <c r="T366" i="1"/>
  <c r="U366" i="1" s="1"/>
  <c r="T287" i="1"/>
  <c r="U287" i="1" s="1"/>
  <c r="T526" i="1"/>
  <c r="U526" i="1" s="1"/>
  <c r="T367" i="1"/>
  <c r="U367" i="1" s="1"/>
  <c r="T288" i="1"/>
  <c r="U288" i="1" s="1"/>
  <c r="T289" i="1"/>
  <c r="U289" i="1" s="1"/>
  <c r="T368" i="1"/>
  <c r="U368" i="1" s="1"/>
  <c r="T290" i="1"/>
  <c r="U290" i="1" s="1"/>
  <c r="T293" i="1"/>
  <c r="U293" i="1" s="1"/>
  <c r="T369" i="1"/>
  <c r="U369" i="1" s="1"/>
  <c r="T379" i="1"/>
  <c r="U379" i="1" s="1"/>
  <c r="T300" i="1"/>
  <c r="U300" i="1" s="1"/>
  <c r="T370" i="1"/>
  <c r="U370" i="1" s="1"/>
  <c r="T383" i="1"/>
  <c r="U383" i="1" s="1"/>
  <c r="T385" i="1"/>
  <c r="U385" i="1" s="1"/>
  <c r="T371" i="1"/>
  <c r="U371" i="1" s="1"/>
  <c r="T388" i="1"/>
  <c r="U388" i="1" s="1"/>
  <c r="T389" i="1"/>
  <c r="U389" i="1" s="1"/>
  <c r="T372" i="1"/>
  <c r="U372" i="1" s="1"/>
  <c r="T380" i="1"/>
  <c r="U380" i="1" s="1"/>
  <c r="T384" i="1"/>
  <c r="U384" i="1" s="1"/>
  <c r="T373" i="1"/>
  <c r="U373" i="1" s="1"/>
  <c r="T386" i="1"/>
  <c r="U386" i="1" s="1"/>
  <c r="T392" i="1"/>
  <c r="U392" i="1" s="1"/>
  <c r="T374" i="1"/>
  <c r="U374" i="1" s="1"/>
  <c r="T387" i="1"/>
  <c r="U387" i="1" s="1"/>
  <c r="T403" i="1"/>
  <c r="U403" i="1" s="1"/>
  <c r="T375" i="1"/>
  <c r="U375" i="1" s="1"/>
  <c r="T394" i="1"/>
  <c r="U394" i="1" s="1"/>
  <c r="T395" i="1"/>
  <c r="U395" i="1" s="1"/>
  <c r="T376" i="1"/>
  <c r="U376" i="1" s="1"/>
  <c r="T404" i="1"/>
  <c r="U404" i="1" s="1"/>
  <c r="T405" i="1"/>
  <c r="U405" i="1" s="1"/>
  <c r="T377" i="1"/>
  <c r="U377" i="1" s="1"/>
  <c r="T406" i="1"/>
  <c r="U406" i="1" s="1"/>
  <c r="T228" i="1"/>
  <c r="U228" i="1" s="1"/>
  <c r="T378" i="1"/>
  <c r="U378" i="1" s="1"/>
  <c r="T407" i="1"/>
  <c r="U407" i="1" s="1"/>
  <c r="T418" i="1"/>
  <c r="U418" i="1" s="1"/>
  <c r="T455" i="1"/>
  <c r="U455" i="1" s="1"/>
  <c r="T409" i="1"/>
  <c r="U409" i="1" s="1"/>
  <c r="T421" i="1"/>
  <c r="U421" i="1" s="1"/>
  <c r="T456" i="1"/>
  <c r="U456" i="1" s="1"/>
  <c r="T425" i="1"/>
  <c r="U425" i="1" s="1"/>
  <c r="T410" i="1"/>
  <c r="U410" i="1" s="1"/>
  <c r="T457" i="1"/>
  <c r="U457" i="1" s="1"/>
  <c r="T413" i="1"/>
  <c r="U413" i="1" s="1"/>
  <c r="T414" i="1"/>
  <c r="U414" i="1" s="1"/>
  <c r="T458" i="1"/>
  <c r="U458" i="1" s="1"/>
  <c r="T415" i="1"/>
  <c r="U415" i="1" s="1"/>
  <c r="T428" i="1"/>
  <c r="U428" i="1" s="1"/>
  <c r="T459" i="1"/>
  <c r="U459" i="1" s="1"/>
  <c r="T429" i="1"/>
  <c r="U429" i="1" s="1"/>
  <c r="T422" i="1"/>
  <c r="U422" i="1" s="1"/>
  <c r="T460" i="1"/>
  <c r="U460" i="1" s="1"/>
  <c r="T423" i="1"/>
  <c r="U423" i="1" s="1"/>
  <c r="T435" i="1"/>
  <c r="U435" i="1" s="1"/>
  <c r="T461" i="1"/>
  <c r="U461" i="1" s="1"/>
  <c r="T442" i="1"/>
  <c r="U442" i="1" s="1"/>
  <c r="T444" i="1"/>
  <c r="U444" i="1" s="1"/>
  <c r="T462" i="1"/>
  <c r="U462" i="1" s="1"/>
  <c r="T530" i="1"/>
  <c r="U530" i="1" s="1"/>
  <c r="T535" i="1"/>
  <c r="U535" i="1" s="1"/>
  <c r="T463" i="1"/>
  <c r="U463" i="1" s="1"/>
  <c r="T431" i="1"/>
  <c r="U431" i="1" s="1"/>
  <c r="T432" i="1"/>
  <c r="U432" i="1" s="1"/>
  <c r="T464" i="1"/>
  <c r="U464" i="1" s="1"/>
  <c r="T537" i="1"/>
  <c r="U537" i="1" s="1"/>
  <c r="T434" i="1"/>
  <c r="U434" i="1" s="1"/>
  <c r="T465" i="1"/>
  <c r="U465" i="1" s="1"/>
  <c r="T545" i="1"/>
  <c r="U545" i="1" s="1"/>
  <c r="T438" i="1"/>
  <c r="U438" i="1" s="1"/>
  <c r="T466" i="1"/>
  <c r="U466" i="1" s="1"/>
  <c r="T439" i="1"/>
  <c r="U439" i="1" s="1"/>
  <c r="T440" i="1"/>
  <c r="U440" i="1" s="1"/>
  <c r="T467" i="1"/>
  <c r="U467" i="1" s="1"/>
  <c r="T443" i="1"/>
  <c r="U443" i="1" s="1"/>
  <c r="T48" i="1"/>
  <c r="U48" i="1" s="1"/>
  <c r="T468" i="1"/>
  <c r="U468" i="1" s="1"/>
  <c r="T50" i="1"/>
  <c r="U50" i="1" s="1"/>
  <c r="T54" i="1"/>
  <c r="U54" i="1" s="1"/>
  <c r="T469" i="1"/>
  <c r="U469" i="1" s="1"/>
  <c r="T56" i="1"/>
  <c r="U56" i="1" s="1"/>
  <c r="T57" i="1"/>
  <c r="U57" i="1" s="1"/>
  <c r="T470" i="1"/>
  <c r="U470" i="1" s="1"/>
  <c r="T449" i="1"/>
  <c r="U449" i="1" s="1"/>
  <c r="T451" i="1"/>
  <c r="U451" i="1" s="1"/>
  <c r="T471" i="1"/>
  <c r="U471" i="1" s="1"/>
  <c r="T140" i="1"/>
  <c r="U140" i="1" s="1"/>
  <c r="T452" i="1"/>
  <c r="U452" i="1" s="1"/>
  <c r="T472" i="1"/>
  <c r="U472" i="1" s="1"/>
  <c r="T453" i="1"/>
  <c r="U453" i="1" s="1"/>
  <c r="T157" i="1"/>
  <c r="U157" i="1" s="1"/>
  <c r="T473" i="1"/>
  <c r="U473" i="1" s="1"/>
  <c r="T178" i="1"/>
  <c r="U178" i="1" s="1"/>
  <c r="T454" i="1"/>
  <c r="U454" i="1" s="1"/>
  <c r="T474" i="1"/>
  <c r="U474" i="1" s="1"/>
  <c r="T222" i="1"/>
  <c r="U222" i="1" s="1"/>
  <c r="T72" i="1"/>
  <c r="U72" i="1" s="1"/>
  <c r="T475" i="1"/>
  <c r="U475" i="1" s="1"/>
  <c r="T84" i="1"/>
  <c r="U84" i="1" s="1"/>
  <c r="T527" i="1"/>
  <c r="U527" i="1" s="1"/>
  <c r="T476" i="1"/>
  <c r="U476" i="1" s="1"/>
  <c r="T90" i="1"/>
  <c r="U90" i="1" s="1"/>
  <c r="T102" i="1"/>
  <c r="U102" i="1" s="1"/>
  <c r="T477" i="1"/>
  <c r="U477" i="1" s="1"/>
  <c r="T103" i="1"/>
  <c r="U103" i="1" s="1"/>
  <c r="T106" i="1"/>
  <c r="U106" i="1" s="1"/>
  <c r="T478" i="1"/>
  <c r="U478" i="1" s="1"/>
  <c r="T533" i="1"/>
  <c r="U533" i="1" s="1"/>
  <c r="T114" i="1"/>
  <c r="U114" i="1" s="1"/>
  <c r="T479" i="1"/>
  <c r="U479" i="1" s="1"/>
  <c r="T117" i="1"/>
  <c r="U117" i="1" s="1"/>
  <c r="T120" i="1"/>
  <c r="U120" i="1" s="1"/>
  <c r="T480" i="1"/>
  <c r="U480" i="1" s="1"/>
  <c r="T132" i="1"/>
  <c r="U132" i="1" s="1"/>
  <c r="T538" i="1"/>
  <c r="U538" i="1" s="1"/>
  <c r="T481" i="1"/>
  <c r="U481" i="1" s="1"/>
  <c r="T143" i="1"/>
  <c r="U143" i="1" s="1"/>
  <c r="T151" i="1"/>
  <c r="U151" i="1" s="1"/>
  <c r="T482" i="1"/>
  <c r="U482" i="1" s="1"/>
  <c r="T177" i="1"/>
  <c r="U177" i="1" s="1"/>
  <c r="T542" i="1"/>
  <c r="U542" i="1" s="1"/>
  <c r="T483" i="1"/>
  <c r="U483" i="1" s="1"/>
  <c r="T182" i="1"/>
  <c r="U182" i="1" s="1"/>
  <c r="T544" i="1"/>
  <c r="U544" i="1" s="1"/>
  <c r="T484" i="1"/>
  <c r="U484" i="1" s="1"/>
  <c r="T546" i="1"/>
  <c r="U546" i="1" s="1"/>
  <c r="T185" i="1"/>
  <c r="U185" i="1" s="1"/>
  <c r="T485" i="1"/>
  <c r="U485" i="1" s="1"/>
  <c r="T534" i="1"/>
  <c r="U534" i="1" s="1"/>
  <c r="T186" i="1"/>
  <c r="U186" i="1" s="1"/>
  <c r="T486" i="1"/>
  <c r="U486" i="1" s="1"/>
  <c r="T189" i="1"/>
  <c r="U189" i="1" s="1"/>
  <c r="T207" i="1"/>
  <c r="U207" i="1" s="1"/>
  <c r="T487" i="1"/>
  <c r="U487" i="1" s="1"/>
  <c r="T539" i="1"/>
  <c r="U539" i="1" s="1"/>
  <c r="T211" i="1"/>
  <c r="U211" i="1" s="1"/>
  <c r="T488" i="1"/>
  <c r="U488" i="1" s="1"/>
  <c r="T212" i="1"/>
  <c r="U212" i="1" s="1"/>
  <c r="T10" i="1"/>
  <c r="U10" i="1" s="1"/>
  <c r="T489" i="1"/>
  <c r="U489" i="1" s="1"/>
  <c r="T215" i="1"/>
  <c r="U215" i="1" s="1"/>
  <c r="T11" i="1"/>
  <c r="U11" i="1" s="1"/>
  <c r="T490" i="1"/>
  <c r="U490" i="1" s="1"/>
  <c r="T12" i="1"/>
  <c r="U12" i="1" s="1"/>
  <c r="T217" i="1"/>
  <c r="U217" i="1" s="1"/>
  <c r="T491" i="1"/>
  <c r="U491" i="1" s="1"/>
  <c r="T258" i="1"/>
  <c r="U258" i="1" s="1"/>
  <c r="T15" i="1"/>
  <c r="U15" i="1" s="1"/>
  <c r="T492" i="1"/>
  <c r="U492" i="1" s="1"/>
  <c r="T259" i="1"/>
  <c r="U259" i="1" s="1"/>
  <c r="T17" i="1"/>
  <c r="U17" i="1" s="1"/>
  <c r="T493" i="1"/>
  <c r="U493" i="1" s="1"/>
  <c r="T277" i="1"/>
  <c r="U277" i="1" s="1"/>
  <c r="T292" i="1"/>
  <c r="U292" i="1" s="1"/>
  <c r="T494" i="1"/>
  <c r="U494" i="1" s="1"/>
  <c r="T302" i="1"/>
  <c r="U302" i="1" s="1"/>
  <c r="T303" i="1"/>
  <c r="U303" i="1" s="1"/>
  <c r="T495" i="1"/>
  <c r="U495" i="1" s="1"/>
  <c r="T306" i="1"/>
  <c r="U306" i="1" s="1"/>
  <c r="T390" i="1"/>
  <c r="U390" i="1" s="1"/>
  <c r="T496" i="1"/>
  <c r="U496" i="1" s="1"/>
  <c r="T396" i="1"/>
  <c r="U396" i="1" s="1"/>
  <c r="T33" i="1"/>
  <c r="U33" i="1" s="1"/>
  <c r="T497" i="1"/>
  <c r="U497" i="1" s="1"/>
  <c r="T34" i="1"/>
  <c r="U34" i="1" s="1"/>
  <c r="T402" i="1"/>
  <c r="U402" i="1" s="1"/>
  <c r="T498" i="1"/>
  <c r="U498" i="1" s="1"/>
  <c r="T416" i="1"/>
  <c r="U416" i="1" s="1"/>
  <c r="T419" i="1"/>
  <c r="U419" i="1" s="1"/>
  <c r="T499" i="1"/>
  <c r="U499" i="1" s="1"/>
  <c r="T38" i="1"/>
  <c r="U38" i="1" s="1"/>
  <c r="T437" i="1"/>
  <c r="U437" i="1" s="1"/>
  <c r="T500" i="1"/>
  <c r="U500" i="1" s="1"/>
  <c r="T40" i="1"/>
  <c r="U40" i="1" s="1"/>
  <c r="T445" i="1"/>
  <c r="U445" i="1" s="1"/>
  <c r="T501" i="1"/>
  <c r="U501" i="1" s="1"/>
  <c r="T450" i="1"/>
  <c r="U450" i="1" s="1"/>
  <c r="T531" i="1"/>
  <c r="U531" i="1" s="1"/>
  <c r="T502" i="1"/>
  <c r="U502" i="1" s="1"/>
  <c r="T45" i="1"/>
  <c r="U45" i="1" s="1"/>
  <c r="T536" i="1"/>
  <c r="U536" i="1" s="1"/>
  <c r="T503" i="1"/>
  <c r="U503" i="1" s="1"/>
  <c r="T51" i="1"/>
  <c r="U51" i="1" s="1"/>
  <c r="T116" i="1"/>
  <c r="U116" i="1" s="1"/>
  <c r="T504" i="1"/>
  <c r="U504" i="1" s="1"/>
  <c r="T239" i="1"/>
  <c r="U239" i="1" s="1"/>
  <c r="T168" i="1"/>
  <c r="U168" i="1" s="1"/>
  <c r="T505" i="1"/>
  <c r="U505" i="1" s="1"/>
  <c r="T208" i="1"/>
  <c r="U208" i="1" s="1"/>
  <c r="T246" i="1"/>
  <c r="U246" i="1" s="1"/>
  <c r="T506" i="1"/>
  <c r="U506" i="1" s="1"/>
  <c r="AC321" i="1"/>
  <c r="AD321" i="1" s="1"/>
  <c r="AC322" i="1"/>
  <c r="AD322" i="1" s="1"/>
  <c r="AC323" i="1"/>
  <c r="AD323" i="1" s="1"/>
  <c r="AC324" i="1"/>
  <c r="AD324" i="1" s="1"/>
  <c r="AC325" i="1"/>
  <c r="AD325" i="1" s="1"/>
  <c r="AC326" i="1"/>
  <c r="AD326" i="1" s="1"/>
  <c r="AC327" i="1"/>
  <c r="AD327" i="1" s="1"/>
  <c r="AC328" i="1"/>
  <c r="AD328" i="1" s="1"/>
  <c r="AC228" i="1"/>
  <c r="AD228" i="1" s="1"/>
  <c r="AC515" i="1"/>
  <c r="AD515" i="1" s="1"/>
  <c r="AC441" i="1"/>
  <c r="AD441" i="1" s="1"/>
  <c r="AC516" i="1"/>
  <c r="AD516" i="1" s="1"/>
  <c r="AC229" i="1"/>
  <c r="AD229" i="1" s="1"/>
  <c r="AC517" i="1"/>
  <c r="AD517" i="1" s="1"/>
  <c r="AC444" i="1"/>
  <c r="AD444" i="1" s="1"/>
  <c r="AC518" i="1"/>
  <c r="AD518" i="1" s="1"/>
  <c r="AC529" i="1"/>
  <c r="AD529" i="1" s="1"/>
  <c r="AC337" i="1"/>
  <c r="AD337" i="1" s="1"/>
  <c r="AC338" i="1"/>
  <c r="AD338" i="1" s="1"/>
  <c r="AC339" i="1"/>
  <c r="AD339" i="1" s="1"/>
  <c r="AC340" i="1"/>
  <c r="AD340" i="1" s="1"/>
  <c r="AC341" i="1"/>
  <c r="AD341" i="1" s="1"/>
  <c r="AC342" i="1"/>
  <c r="AD342" i="1" s="1"/>
  <c r="AC38" i="1"/>
  <c r="AD38" i="1" s="1"/>
  <c r="AC245" i="1"/>
  <c r="AD245" i="1" s="1"/>
  <c r="AC147" i="1"/>
  <c r="AD147" i="1" s="1"/>
  <c r="AC451" i="1"/>
  <c r="AD451" i="1" s="1"/>
  <c r="AC250" i="1"/>
  <c r="AD250" i="1" s="1"/>
  <c r="AC12" i="1"/>
  <c r="AD12" i="1" s="1"/>
  <c r="AC546" i="1"/>
  <c r="AD546" i="1" s="1"/>
  <c r="AC349" i="1"/>
  <c r="AD349" i="1" s="1"/>
  <c r="AC350" i="1"/>
  <c r="AD350" i="1" s="1"/>
  <c r="AC351" i="1"/>
  <c r="AD351" i="1" s="1"/>
  <c r="AC352" i="1"/>
  <c r="AD352" i="1" s="1"/>
  <c r="AC353" i="1"/>
  <c r="AD353" i="1" s="1"/>
  <c r="AC51" i="1"/>
  <c r="AD51" i="1" s="1"/>
  <c r="AC25" i="1"/>
  <c r="AD25" i="1" s="1"/>
  <c r="AC29" i="1"/>
  <c r="AD29" i="1" s="1"/>
  <c r="AC37" i="1"/>
  <c r="AD37" i="1" s="1"/>
  <c r="AC30" i="1"/>
  <c r="AD30" i="1" s="1"/>
  <c r="AC358" i="1"/>
  <c r="AD358" i="1" s="1"/>
  <c r="AC359" i="1"/>
  <c r="AD359" i="1" s="1"/>
  <c r="AC360" i="1"/>
  <c r="AD360" i="1" s="1"/>
  <c r="AC361" i="1"/>
  <c r="AD361" i="1" s="1"/>
  <c r="AC362" i="1"/>
  <c r="AD362" i="1" s="1"/>
  <c r="AC363" i="1"/>
  <c r="AD363" i="1" s="1"/>
  <c r="AC364" i="1"/>
  <c r="AD364" i="1" s="1"/>
  <c r="AC365" i="1"/>
  <c r="AD365" i="1" s="1"/>
  <c r="AC366" i="1"/>
  <c r="AD366" i="1" s="1"/>
  <c r="AC411" i="1"/>
  <c r="AD411" i="1" s="1"/>
  <c r="AC44" i="1"/>
  <c r="AD44" i="1" s="1"/>
  <c r="AC414" i="1"/>
  <c r="AD414" i="1" s="1"/>
  <c r="AC424" i="1"/>
  <c r="AD424" i="1" s="1"/>
  <c r="AC53" i="1"/>
  <c r="AD53" i="1" s="1"/>
  <c r="AC371" i="1"/>
  <c r="AD371" i="1" s="1"/>
  <c r="AC372" i="1"/>
  <c r="AD372" i="1" s="1"/>
  <c r="AC373" i="1"/>
  <c r="AD373" i="1" s="1"/>
  <c r="AC374" i="1"/>
  <c r="AD374" i="1" s="1"/>
  <c r="AC375" i="1"/>
  <c r="AD375" i="1" s="1"/>
  <c r="AC376" i="1"/>
  <c r="AD376" i="1" s="1"/>
  <c r="AC538" i="1"/>
  <c r="AD538" i="1" s="1"/>
  <c r="AC76" i="1"/>
  <c r="AD76" i="1" s="1"/>
  <c r="AC391" i="1"/>
  <c r="AD391" i="1" s="1"/>
  <c r="AC82" i="1"/>
  <c r="AD82" i="1" s="1"/>
  <c r="AC43" i="1"/>
  <c r="AD43" i="1" s="1"/>
  <c r="AC457" i="1"/>
  <c r="AD457" i="1" s="1"/>
  <c r="AC458" i="1"/>
  <c r="AD458" i="1" s="1"/>
  <c r="AC459" i="1"/>
  <c r="AD459" i="1" s="1"/>
  <c r="AC460" i="1"/>
  <c r="AD460" i="1" s="1"/>
  <c r="AC461" i="1"/>
  <c r="AD461" i="1" s="1"/>
  <c r="AC462" i="1"/>
  <c r="AD462" i="1" s="1"/>
  <c r="AC463" i="1"/>
  <c r="AD463" i="1" s="1"/>
  <c r="AC464" i="1"/>
  <c r="AD464" i="1" s="1"/>
  <c r="AC542" i="1"/>
  <c r="AD542" i="1" s="1"/>
  <c r="AC95" i="1"/>
  <c r="AD95" i="1" s="1"/>
  <c r="AC406" i="1"/>
  <c r="AD406" i="1" s="1"/>
  <c r="AC527" i="1"/>
  <c r="AD527" i="1" s="1"/>
  <c r="AC28" i="1"/>
  <c r="AD28" i="1" s="1"/>
  <c r="AC409" i="1"/>
  <c r="AD409" i="1" s="1"/>
  <c r="AD121" i="1"/>
  <c r="AC203" i="1"/>
  <c r="AD203" i="1" s="1"/>
  <c r="AC45" i="1"/>
  <c r="AD45" i="1" s="1"/>
  <c r="AC415" i="1"/>
  <c r="AD415" i="1" s="1"/>
  <c r="AC133" i="1"/>
  <c r="AD133" i="1" s="1"/>
  <c r="AC269" i="1"/>
  <c r="AD269" i="1" s="1"/>
  <c r="AC13" i="1"/>
  <c r="AD13" i="1" s="1"/>
  <c r="T47" i="1"/>
  <c r="U47" i="1" s="1"/>
  <c r="T255" i="1"/>
  <c r="U255" i="1" s="1"/>
  <c r="T507" i="1"/>
  <c r="U507" i="1" s="1"/>
  <c r="T261" i="1"/>
  <c r="U261" i="1" s="1"/>
  <c r="T268" i="1"/>
  <c r="U268" i="1" s="1"/>
  <c r="T508" i="1"/>
  <c r="U508" i="1" s="1"/>
  <c r="T272" i="1"/>
  <c r="U272" i="1" s="1"/>
  <c r="T276" i="1"/>
  <c r="U276" i="1" s="1"/>
  <c r="T509" i="1"/>
  <c r="U509" i="1" s="1"/>
  <c r="T294" i="1"/>
  <c r="U294" i="1" s="1"/>
  <c r="T296" i="1"/>
  <c r="U296" i="1" s="1"/>
  <c r="T510" i="1"/>
  <c r="U510" i="1" s="1"/>
  <c r="T381" i="1"/>
  <c r="U381" i="1" s="1"/>
  <c r="T382" i="1"/>
  <c r="U382" i="1" s="1"/>
  <c r="T511" i="1"/>
  <c r="U511" i="1" s="1"/>
  <c r="T397" i="1"/>
  <c r="U397" i="1" s="1"/>
  <c r="T412" i="1"/>
  <c r="U412" i="1" s="1"/>
  <c r="T512" i="1"/>
  <c r="U512" i="1" s="1"/>
  <c r="T155" i="1"/>
  <c r="U155" i="1" s="1"/>
  <c r="T199" i="1"/>
  <c r="U199" i="1" s="1"/>
  <c r="T513" i="1"/>
  <c r="U513" i="1" s="1"/>
  <c r="T201" i="1"/>
  <c r="U201" i="1" s="1"/>
  <c r="T5" i="1"/>
  <c r="U5" i="1" s="1"/>
  <c r="T514" i="1"/>
  <c r="U514" i="1" s="1"/>
  <c r="T86" i="1"/>
  <c r="U86" i="1" s="1"/>
  <c r="T101" i="1"/>
  <c r="U101" i="1" s="1"/>
  <c r="T515" i="1"/>
  <c r="U515" i="1" s="1"/>
  <c r="T104" i="1"/>
  <c r="U104" i="1" s="1"/>
  <c r="T141" i="1"/>
  <c r="U141" i="1" s="1"/>
  <c r="T516" i="1"/>
  <c r="U516" i="1" s="1"/>
  <c r="T156" i="1"/>
  <c r="U156" i="1" s="1"/>
  <c r="T184" i="1"/>
  <c r="U184" i="1" s="1"/>
  <c r="T517" i="1"/>
  <c r="U517" i="1" s="1"/>
  <c r="T191" i="1"/>
  <c r="U191" i="1" s="1"/>
  <c r="T216" i="1"/>
  <c r="U216" i="1" s="1"/>
  <c r="T518" i="1"/>
  <c r="U518" i="1" s="1"/>
  <c r="T55" i="1"/>
  <c r="U55" i="1" s="1"/>
  <c r="T62" i="1"/>
  <c r="U62" i="1" s="1"/>
  <c r="T519" i="1"/>
  <c r="U519" i="1" s="1"/>
  <c r="T76" i="1"/>
  <c r="U76" i="1" s="1"/>
  <c r="T85" i="1"/>
  <c r="U85" i="1" s="1"/>
  <c r="T520" i="1"/>
  <c r="U520" i="1" s="1"/>
  <c r="T93" i="1"/>
  <c r="U93" i="1" s="1"/>
  <c r="T99" i="1"/>
  <c r="U99" i="1" s="1"/>
  <c r="T521" i="1"/>
  <c r="U521" i="1" s="1"/>
  <c r="T100" i="1"/>
  <c r="U100" i="1" s="1"/>
  <c r="T107" i="1"/>
  <c r="U107" i="1" s="1"/>
  <c r="T522" i="1"/>
  <c r="U522" i="1" s="1"/>
  <c r="T32" i="1"/>
  <c r="U32" i="1" s="1"/>
  <c r="T112" i="1"/>
  <c r="U112" i="1" s="1"/>
  <c r="T39" i="1"/>
  <c r="U39" i="1" s="1"/>
  <c r="T119" i="1"/>
  <c r="U119" i="1" s="1"/>
  <c r="T37" i="1"/>
  <c r="U37" i="1" s="1"/>
  <c r="T70" i="1"/>
  <c r="U70" i="1" s="1"/>
  <c r="T124" i="1"/>
  <c r="U124" i="1" s="1"/>
  <c r="T95" i="1"/>
  <c r="U95" i="1" s="1"/>
  <c r="T4" i="1"/>
  <c r="U4" i="1" s="1"/>
  <c r="T128" i="1"/>
  <c r="U128" i="1" s="1"/>
  <c r="T130" i="1"/>
  <c r="U130" i="1" s="1"/>
  <c r="T9" i="1"/>
  <c r="U9" i="1" s="1"/>
  <c r="T131" i="1"/>
  <c r="U131" i="1" s="1"/>
  <c r="T14" i="1"/>
  <c r="U14" i="1" s="1"/>
  <c r="T135" i="1"/>
  <c r="U135" i="1" s="1"/>
  <c r="T137" i="1"/>
  <c r="U137" i="1" s="1"/>
  <c r="T145" i="1"/>
  <c r="U145" i="1" s="1"/>
  <c r="T16" i="1"/>
  <c r="U16" i="1" s="1"/>
  <c r="T146" i="1"/>
  <c r="U146" i="1" s="1"/>
  <c r="T152" i="1"/>
  <c r="U152" i="1" s="1"/>
  <c r="T18" i="1"/>
  <c r="U18" i="1" s="1"/>
  <c r="T21" i="1"/>
  <c r="U21" i="1" s="1"/>
  <c r="T22" i="1"/>
  <c r="U22" i="1" s="1"/>
  <c r="T153" i="1"/>
  <c r="U153" i="1" s="1"/>
  <c r="T173" i="1"/>
  <c r="U173" i="1" s="1"/>
  <c r="T26" i="1"/>
  <c r="U26" i="1" s="1"/>
  <c r="T28" i="1"/>
  <c r="U28" i="1" s="1"/>
  <c r="T179" i="1"/>
  <c r="U179" i="1" s="1"/>
  <c r="T194" i="1"/>
  <c r="U194" i="1" s="1"/>
  <c r="T195" i="1"/>
  <c r="U195" i="1" s="1"/>
  <c r="T200" i="1"/>
  <c r="U200" i="1" s="1"/>
  <c r="T202" i="1"/>
  <c r="U202" i="1" s="1"/>
  <c r="T219" i="1"/>
  <c r="U219" i="1" s="1"/>
  <c r="T241" i="1"/>
  <c r="U241" i="1" s="1"/>
  <c r="T244" i="1"/>
  <c r="U244" i="1" s="1"/>
  <c r="T254" i="1"/>
  <c r="U254" i="1" s="1"/>
  <c r="T278" i="1"/>
  <c r="U278" i="1" s="1"/>
  <c r="T42" i="1"/>
  <c r="U42" i="1" s="1"/>
  <c r="T43" i="1"/>
  <c r="U43" i="1" s="1"/>
  <c r="T281" i="1"/>
  <c r="U281" i="1" s="1"/>
  <c r="T297" i="1"/>
  <c r="U297" i="1" s="1"/>
  <c r="T307" i="1"/>
  <c r="U307" i="1" s="1"/>
  <c r="T49" i="1"/>
  <c r="U49" i="1" s="1"/>
  <c r="T150" i="1"/>
  <c r="U150" i="1" s="1"/>
  <c r="T174" i="1"/>
  <c r="U174" i="1" s="1"/>
  <c r="T64" i="1"/>
  <c r="U64" i="1" s="1"/>
  <c r="T180" i="1"/>
  <c r="U180" i="1" s="1"/>
  <c r="T188" i="1"/>
  <c r="U188" i="1" s="1"/>
  <c r="T65" i="1"/>
  <c r="U65" i="1" s="1"/>
  <c r="T67" i="1"/>
  <c r="U67" i="1" s="1"/>
  <c r="T193" i="1"/>
  <c r="U193" i="1" s="1"/>
  <c r="T71" i="1"/>
  <c r="U71" i="1" s="1"/>
  <c r="T196" i="1"/>
  <c r="U196" i="1" s="1"/>
  <c r="T198" i="1"/>
  <c r="U198" i="1" s="1"/>
  <c r="T6" i="1"/>
  <c r="U6" i="1" s="1"/>
  <c r="T53" i="1"/>
  <c r="U53" i="1" s="1"/>
  <c r="T79" i="1"/>
  <c r="U79" i="1" s="1"/>
  <c r="T92" i="1"/>
  <c r="U92" i="1" s="1"/>
  <c r="T82" i="1"/>
  <c r="U82" i="1" s="1"/>
  <c r="T108" i="1"/>
  <c r="U108" i="1" s="1"/>
  <c r="T83" i="1"/>
  <c r="U83" i="1" s="1"/>
  <c r="T197" i="1"/>
  <c r="U197" i="1" s="1"/>
  <c r="T218" i="1"/>
  <c r="U218" i="1" s="1"/>
  <c r="T87" i="1"/>
  <c r="U87" i="1" s="1"/>
  <c r="T446" i="1"/>
  <c r="U446" i="1" s="1"/>
  <c r="T447" i="1"/>
  <c r="U447" i="1" s="1"/>
  <c r="T89" i="1"/>
  <c r="U89" i="1" s="1"/>
  <c r="T524" i="1"/>
  <c r="U524" i="1" s="1"/>
  <c r="T525" i="1"/>
  <c r="U525" i="1" s="1"/>
  <c r="T91" i="1"/>
  <c r="U91" i="1" s="1"/>
  <c r="T529" i="1"/>
  <c r="U529" i="1" s="1"/>
  <c r="T532" i="1"/>
  <c r="U532" i="1" s="1"/>
  <c r="T8" i="1"/>
  <c r="U8" i="1" s="1"/>
  <c r="T19" i="1"/>
  <c r="U19" i="1" s="1"/>
  <c r="T96" i="1"/>
  <c r="U96" i="1" s="1"/>
  <c r="T98" i="1"/>
  <c r="U98" i="1" s="1"/>
  <c r="T20" i="1"/>
  <c r="U20" i="1" s="1"/>
  <c r="T23" i="1"/>
  <c r="U23" i="1" s="1"/>
  <c r="T25" i="1"/>
  <c r="U25" i="1" s="1"/>
  <c r="T29" i="1"/>
  <c r="U29" i="1" s="1"/>
  <c r="T30" i="1"/>
  <c r="U30" i="1" s="1"/>
  <c r="T41" i="1"/>
  <c r="U41" i="1" s="1"/>
  <c r="T44" i="1"/>
  <c r="U44" i="1" s="1"/>
  <c r="T52" i="1"/>
  <c r="U52" i="1" s="1"/>
  <c r="T122" i="1"/>
  <c r="U122" i="1" s="1"/>
  <c r="T60" i="1"/>
  <c r="U60" i="1" s="1"/>
  <c r="T123" i="1"/>
  <c r="U123" i="1" s="1"/>
  <c r="AC3" i="1"/>
  <c r="AD3" i="1" s="1"/>
  <c r="AC198" i="1"/>
  <c r="AD198" i="1" s="1"/>
  <c r="AC179" i="1"/>
  <c r="AD179" i="1" s="1"/>
  <c r="AC498" i="1"/>
  <c r="AD498" i="1" s="1"/>
  <c r="AC21" i="1"/>
  <c r="AD21" i="1" s="1"/>
  <c r="AC158" i="1"/>
  <c r="AD158" i="1" s="1"/>
  <c r="AC499" i="1"/>
  <c r="AD499" i="1" s="1"/>
  <c r="AC159" i="1"/>
  <c r="AD159" i="1" s="1"/>
  <c r="AC304" i="1"/>
  <c r="AD304" i="1" s="1"/>
  <c r="AC160" i="1"/>
  <c r="AD160" i="1" s="1"/>
  <c r="AC500" i="1"/>
  <c r="AD500" i="1" s="1"/>
  <c r="AC161" i="1"/>
  <c r="AD161" i="1" s="1"/>
  <c r="AC541" i="1"/>
  <c r="AD541" i="1" s="1"/>
  <c r="AC162" i="1"/>
  <c r="AD162" i="1" s="1"/>
  <c r="AC501" i="1"/>
  <c r="AD501" i="1" s="1"/>
  <c r="AC163" i="1"/>
  <c r="AD163" i="1" s="1"/>
  <c r="AC208" i="1"/>
  <c r="AD208" i="1" s="1"/>
  <c r="AC164" i="1"/>
  <c r="AD164" i="1" s="1"/>
  <c r="AC502" i="1"/>
  <c r="AD502" i="1" s="1"/>
  <c r="AC165" i="1"/>
  <c r="AD165" i="1" s="1"/>
  <c r="AC307" i="1"/>
  <c r="AD307" i="1" s="1"/>
  <c r="AC543" i="1"/>
  <c r="AD543" i="1" s="1"/>
  <c r="AC308" i="1"/>
  <c r="AD308" i="1" s="1"/>
  <c r="AC503" i="1"/>
  <c r="AD503" i="1" s="1"/>
  <c r="AC309" i="1"/>
  <c r="AD309" i="1" s="1"/>
  <c r="AC212" i="1"/>
  <c r="AD212" i="1" s="1"/>
  <c r="AC310" i="1"/>
  <c r="AD310" i="1" s="1"/>
  <c r="AC504" i="1"/>
  <c r="AD504" i="1" s="1"/>
  <c r="AC311" i="1"/>
  <c r="AD311" i="1" s="1"/>
  <c r="AC397" i="1"/>
  <c r="AD397" i="1" s="1"/>
  <c r="AC312" i="1"/>
  <c r="AD312" i="1" s="1"/>
  <c r="AC219" i="1"/>
  <c r="AD219" i="1" s="1"/>
  <c r="AC313" i="1"/>
  <c r="AD313" i="1" s="1"/>
  <c r="AC402" i="1"/>
  <c r="AD402" i="1" s="1"/>
  <c r="AC314" i="1"/>
  <c r="AD314" i="1" s="1"/>
  <c r="AC506" i="1"/>
  <c r="AD506" i="1" s="1"/>
  <c r="AC315" i="1"/>
  <c r="AD315" i="1" s="1"/>
  <c r="AC221" i="1"/>
  <c r="AD221" i="1" s="1"/>
  <c r="AC507" i="1"/>
  <c r="AD507" i="1" s="1"/>
  <c r="AC316" i="1"/>
  <c r="AD316" i="1" s="1"/>
  <c r="AC417" i="1"/>
  <c r="AD417" i="1" s="1"/>
  <c r="AC318" i="1"/>
  <c r="AD318" i="1" s="1"/>
  <c r="AC508" i="1"/>
  <c r="AD508" i="1" s="1"/>
  <c r="AC222" i="1"/>
  <c r="AD222" i="1" s="1"/>
  <c r="AC319" i="1"/>
  <c r="AD319" i="1" s="1"/>
  <c r="AC509" i="1"/>
  <c r="AD509" i="1" s="1"/>
  <c r="AC446" i="1"/>
  <c r="AD446" i="1" s="1"/>
  <c r="AC320" i="1"/>
  <c r="AD320" i="1" s="1"/>
  <c r="AC510" i="1"/>
  <c r="AD510" i="1" s="1"/>
  <c r="AC223" i="1"/>
  <c r="AD223" i="1" s="1"/>
  <c r="AC511" i="1"/>
  <c r="AD511" i="1" s="1"/>
  <c r="AC426" i="1"/>
  <c r="AD426" i="1" s="1"/>
  <c r="AC512" i="1"/>
  <c r="AD512" i="1" s="1"/>
  <c r="AC436" i="1"/>
  <c r="AD436" i="1" s="1"/>
  <c r="AC513" i="1"/>
  <c r="AD513" i="1" s="1"/>
  <c r="AC440" i="1"/>
  <c r="AD440" i="1" s="1"/>
  <c r="AC514" i="1"/>
  <c r="AD514" i="1" s="1"/>
  <c r="AC329" i="1"/>
  <c r="AD329" i="1" s="1"/>
  <c r="AC330" i="1"/>
  <c r="AD330" i="1" s="1"/>
  <c r="AC331" i="1"/>
  <c r="AD331" i="1" s="1"/>
  <c r="AC332" i="1"/>
  <c r="AD332" i="1" s="1"/>
  <c r="AC333" i="1"/>
  <c r="AD333" i="1" s="1"/>
  <c r="AC334" i="1"/>
  <c r="AD334" i="1" s="1"/>
  <c r="AC335" i="1"/>
  <c r="AD335" i="1" s="1"/>
  <c r="AC336" i="1"/>
  <c r="AD336" i="1" s="1"/>
  <c r="AC519" i="1"/>
  <c r="AD519" i="1" s="1"/>
  <c r="AC233" i="1"/>
  <c r="AD233" i="1" s="1"/>
  <c r="AC520" i="1"/>
  <c r="AD520" i="1" s="1"/>
  <c r="AC448" i="1"/>
  <c r="AD448" i="1" s="1"/>
  <c r="AC521" i="1"/>
  <c r="AD521" i="1" s="1"/>
  <c r="AC343" i="1"/>
  <c r="AD343" i="1" s="1"/>
  <c r="AC344" i="1"/>
  <c r="AD344" i="1" s="1"/>
  <c r="AC345" i="1"/>
  <c r="AD345" i="1" s="1"/>
  <c r="AC346" i="1"/>
  <c r="AD346" i="1" s="1"/>
  <c r="AC347" i="1"/>
  <c r="AD347" i="1" s="1"/>
  <c r="AC348" i="1"/>
  <c r="AD348" i="1" s="1"/>
  <c r="AC14" i="1"/>
  <c r="AD14" i="1" s="1"/>
  <c r="AC15" i="1"/>
  <c r="AD15" i="1" s="1"/>
  <c r="AC252" i="1"/>
  <c r="AD252" i="1" s="1"/>
  <c r="AC17" i="1"/>
  <c r="AD17" i="1" s="1"/>
  <c r="AC354" i="1"/>
  <c r="AD354" i="1" s="1"/>
  <c r="AC355" i="1"/>
  <c r="AD355" i="1" s="1"/>
  <c r="AC356" i="1"/>
  <c r="AD356" i="1" s="1"/>
  <c r="AC357" i="1"/>
  <c r="AD357" i="1" s="1"/>
  <c r="AC31" i="1"/>
  <c r="AD31" i="1" s="1"/>
  <c r="AC32" i="1"/>
  <c r="AD32" i="1" s="1"/>
  <c r="AC33" i="1"/>
  <c r="AD33" i="1" s="1"/>
  <c r="AC505" i="1"/>
  <c r="AD505" i="1" s="1"/>
  <c r="AC256" i="1"/>
  <c r="AD256" i="1" s="1"/>
  <c r="AC378" i="1"/>
  <c r="AD378" i="1" s="1"/>
  <c r="AC261" i="1"/>
  <c r="AD261" i="1" s="1"/>
  <c r="AC39" i="1"/>
  <c r="AD39" i="1" s="1"/>
  <c r="AC367" i="1"/>
  <c r="AD367" i="1" s="1"/>
  <c r="AC368" i="1"/>
  <c r="AD368" i="1" s="1"/>
  <c r="AC369" i="1"/>
  <c r="AD369" i="1" s="1"/>
  <c r="AC370" i="1"/>
  <c r="AD370" i="1" s="1"/>
  <c r="AC453" i="1"/>
  <c r="AD453" i="1" s="1"/>
  <c r="AC64" i="1"/>
  <c r="AD64" i="1" s="1"/>
  <c r="AC389" i="1"/>
  <c r="AD389" i="1" s="1"/>
  <c r="AC50" i="1"/>
  <c r="AD50" i="1" s="1"/>
  <c r="AC72" i="1"/>
  <c r="AD72" i="1" s="1"/>
  <c r="AC377" i="1"/>
  <c r="AD377" i="1" s="1"/>
  <c r="AC454" i="1"/>
  <c r="AD454" i="1" s="1"/>
  <c r="AC455" i="1"/>
  <c r="AD455" i="1" s="1"/>
  <c r="AC456" i="1"/>
  <c r="AD456" i="1" s="1"/>
  <c r="AC403" i="1"/>
  <c r="AD403" i="1" s="1"/>
  <c r="AC87" i="1"/>
  <c r="AD87" i="1" s="1"/>
  <c r="AC92" i="1"/>
  <c r="AD92" i="1" s="1"/>
  <c r="AC526" i="1"/>
  <c r="AD526" i="1" s="1"/>
  <c r="AC90" i="1"/>
  <c r="AD90" i="1" s="1"/>
  <c r="AC404" i="1"/>
  <c r="AD404" i="1" s="1"/>
  <c r="AC465" i="1"/>
  <c r="AD465" i="1" s="1"/>
  <c r="AC466" i="1"/>
  <c r="AD466" i="1" s="1"/>
  <c r="AC467" i="1"/>
  <c r="AD467" i="1" s="1"/>
  <c r="AC468" i="1"/>
  <c r="AD468" i="1" s="1"/>
  <c r="AC469" i="1"/>
  <c r="AD469" i="1" s="1"/>
  <c r="AC470" i="1"/>
  <c r="AD470" i="1" s="1"/>
  <c r="AC471" i="1"/>
  <c r="AD471" i="1" s="1"/>
  <c r="AC472" i="1"/>
  <c r="AD472" i="1" s="1"/>
  <c r="AC473" i="1"/>
  <c r="AD473" i="1" s="1"/>
  <c r="AC474" i="1"/>
  <c r="AD474" i="1" s="1"/>
  <c r="AC475" i="1"/>
  <c r="AD475" i="1" s="1"/>
  <c r="AC476" i="1"/>
  <c r="AD476" i="1" s="1"/>
  <c r="AC477" i="1"/>
  <c r="AD477" i="1" s="1"/>
  <c r="AC478" i="1"/>
  <c r="AD478" i="1" s="1"/>
  <c r="AC479" i="1"/>
  <c r="AD479" i="1" s="1"/>
  <c r="AC480" i="1"/>
  <c r="AD480" i="1" s="1"/>
  <c r="AC174" i="1"/>
  <c r="AD174" i="1" s="1"/>
  <c r="AC129" i="1"/>
  <c r="AD129" i="1" s="1"/>
  <c r="AC125" i="1"/>
  <c r="AD125" i="1" s="1"/>
  <c r="AC127" i="1"/>
  <c r="AD127" i="1" s="1"/>
  <c r="AC128" i="1"/>
  <c r="AD128" i="1" s="1"/>
  <c r="AC131" i="1"/>
  <c r="AD131" i="1" s="1"/>
  <c r="AC178" i="1"/>
  <c r="AD178" i="1" s="1"/>
  <c r="AC140" i="1"/>
  <c r="AD140" i="1" s="1"/>
  <c r="AC141" i="1"/>
  <c r="AD141" i="1" s="1"/>
  <c r="AC130" i="1"/>
  <c r="AD130" i="1" s="1"/>
  <c r="AC132" i="1"/>
  <c r="AD132" i="1" s="1"/>
  <c r="AC11" i="1"/>
  <c r="AD11" i="1" s="1"/>
  <c r="AC134" i="1"/>
  <c r="AD134" i="1" s="1"/>
  <c r="AC182" i="1"/>
  <c r="AD182" i="1" s="1"/>
  <c r="AC40" i="1"/>
  <c r="AD40" i="1" s="1"/>
  <c r="AC41" i="1"/>
  <c r="AD41" i="1" s="1"/>
  <c r="AC189" i="1"/>
  <c r="AD189" i="1" s="1"/>
  <c r="AC139" i="1"/>
  <c r="AD139" i="1" s="1"/>
  <c r="AC143" i="1"/>
  <c r="AD143" i="1" s="1"/>
  <c r="AC85" i="1"/>
  <c r="AD85" i="1" s="1"/>
  <c r="AC195" i="1"/>
  <c r="AD195" i="1" s="1"/>
  <c r="AC146" i="1"/>
  <c r="AD146" i="1" s="1"/>
  <c r="AC171" i="1"/>
  <c r="AD171" i="1" s="1"/>
  <c r="AC150" i="1"/>
  <c r="AD150" i="1" s="1"/>
  <c r="AC151" i="1"/>
  <c r="AD151" i="1" s="1"/>
  <c r="AC210" i="1"/>
  <c r="AD210" i="1" s="1"/>
  <c r="AC213" i="1"/>
  <c r="AD213" i="1" s="1"/>
  <c r="AC157" i="1"/>
  <c r="AD157" i="1" s="1"/>
  <c r="AC215" i="1"/>
  <c r="AD215" i="1" s="1"/>
  <c r="AC224" i="1"/>
  <c r="AD224" i="1" s="1"/>
  <c r="AC288" i="1"/>
  <c r="AD288" i="1" s="1"/>
  <c r="AC225" i="1"/>
  <c r="AD225" i="1" s="1"/>
  <c r="AC175" i="1"/>
  <c r="AD175" i="1" s="1"/>
  <c r="AC230" i="1"/>
  <c r="AD230" i="1" s="1"/>
  <c r="AC292" i="1"/>
  <c r="AD292" i="1" s="1"/>
  <c r="AC235" i="1"/>
  <c r="AD235" i="1" s="1"/>
  <c r="AC202" i="1"/>
  <c r="AD202" i="1" s="1"/>
  <c r="AC237" i="1"/>
  <c r="AD237" i="1" s="1"/>
  <c r="AC238" i="1"/>
  <c r="AD238" i="1" s="1"/>
  <c r="AC241" i="1"/>
  <c r="AD241" i="1" s="1"/>
  <c r="AC242" i="1"/>
  <c r="AD242" i="1" s="1"/>
  <c r="AC244" i="1"/>
  <c r="AD244" i="1" s="1"/>
  <c r="AC6" i="1"/>
  <c r="AD6" i="1" s="1"/>
  <c r="AC249" i="1"/>
  <c r="AD249" i="1" s="1"/>
  <c r="AC204" i="1"/>
  <c r="AD204" i="1" s="1"/>
  <c r="AC257" i="1"/>
  <c r="AD257" i="1" s="1"/>
  <c r="AC259" i="1"/>
  <c r="AD259" i="1" s="1"/>
  <c r="AC260" i="1"/>
  <c r="AD260" i="1" s="1"/>
  <c r="AC205" i="1"/>
  <c r="AD205" i="1" s="1"/>
  <c r="AC264" i="1"/>
  <c r="AD264" i="1" s="1"/>
  <c r="AC265" i="1"/>
  <c r="AD265" i="1" s="1"/>
  <c r="AC206" i="1"/>
  <c r="AD206" i="1" s="1"/>
  <c r="AC271" i="1"/>
  <c r="AD271" i="1" s="1"/>
  <c r="AC217" i="1"/>
  <c r="AD217" i="1" s="1"/>
  <c r="AC275" i="1"/>
  <c r="AD275" i="1" s="1"/>
  <c r="AC231" i="1"/>
  <c r="AD231" i="1" s="1"/>
  <c r="AC234" i="1"/>
  <c r="AD234" i="1" s="1"/>
  <c r="AC282" i="1"/>
  <c r="AD282" i="1" s="1"/>
  <c r="AC291" i="1"/>
  <c r="AD291" i="1" s="1"/>
  <c r="AC239" i="1"/>
  <c r="AD239" i="1" s="1"/>
  <c r="AC240" i="1"/>
  <c r="AD240" i="1" s="1"/>
  <c r="AC299" i="1"/>
  <c r="AD299" i="1" s="1"/>
  <c r="AC243" i="1"/>
  <c r="AD243" i="1" s="1"/>
  <c r="AC26" i="1"/>
  <c r="AD26" i="1" s="1"/>
  <c r="AC382" i="1"/>
  <c r="AD382" i="1" s="1"/>
  <c r="AC383" i="1"/>
  <c r="AD383" i="1" s="1"/>
  <c r="AC246" i="1"/>
  <c r="AD246" i="1" s="1"/>
  <c r="AC395" i="1"/>
  <c r="AD395" i="1" s="1"/>
  <c r="AC67" i="1"/>
  <c r="AD67" i="1" s="1"/>
  <c r="AC399" i="1"/>
  <c r="AD399" i="1" s="1"/>
  <c r="AC262" i="1"/>
  <c r="AD262" i="1" s="1"/>
  <c r="AC405" i="1"/>
  <c r="AD405" i="1" s="1"/>
  <c r="AC423" i="1"/>
  <c r="AD423" i="1" s="1"/>
  <c r="AC425" i="1"/>
  <c r="AD425" i="1" s="1"/>
  <c r="AC429" i="1"/>
  <c r="AD429" i="1" s="1"/>
  <c r="AC279" i="1"/>
  <c r="AD279" i="1" s="1"/>
  <c r="AC434" i="1"/>
  <c r="AD434" i="1" s="1"/>
  <c r="AC435" i="1"/>
  <c r="AD435" i="1" s="1"/>
  <c r="AC294" i="1"/>
  <c r="AD294" i="1" s="1"/>
  <c r="AC439" i="1"/>
  <c r="AD439" i="1" s="1"/>
  <c r="AC442" i="1"/>
  <c r="AD442" i="1" s="1"/>
  <c r="AC443" i="1"/>
  <c r="AD443" i="1" s="1"/>
  <c r="AC445" i="1"/>
  <c r="AD445" i="1" s="1"/>
  <c r="AC452" i="1"/>
  <c r="AD452" i="1" s="1"/>
  <c r="AC523" i="1"/>
  <c r="AD523" i="1" s="1"/>
  <c r="AC525" i="1"/>
  <c r="AD525" i="1" s="1"/>
  <c r="AC540" i="1"/>
  <c r="AD540" i="1" s="1"/>
  <c r="AC89" i="1"/>
  <c r="AD89" i="1" s="1"/>
  <c r="AC544" i="1"/>
  <c r="AD544" i="1" s="1"/>
  <c r="AC545" i="1"/>
  <c r="AD545" i="1" s="1"/>
  <c r="AC18" i="1"/>
  <c r="AD18" i="1" s="1"/>
  <c r="AC22" i="1"/>
  <c r="AD22" i="1" s="1"/>
  <c r="AC27" i="1"/>
  <c r="AD27" i="1" s="1"/>
  <c r="AC93" i="1"/>
  <c r="AD93" i="1" s="1"/>
  <c r="AC46" i="1"/>
  <c r="AD46" i="1" s="1"/>
  <c r="AC386" i="1"/>
  <c r="AD386" i="1" s="1"/>
  <c r="AC66" i="1"/>
  <c r="AD66" i="1" s="1"/>
  <c r="AC394" i="1"/>
  <c r="AD394" i="1" s="1"/>
  <c r="AC98" i="1"/>
  <c r="AD98" i="1" s="1"/>
  <c r="AC190" i="1"/>
  <c r="AD190" i="1" s="1"/>
  <c r="AC197" i="1"/>
  <c r="AD197" i="1" s="1"/>
  <c r="AC295" i="1"/>
  <c r="AD295" i="1" s="1"/>
  <c r="AC156" i="1"/>
  <c r="AD156" i="1" s="1"/>
  <c r="AC232" i="1"/>
  <c r="AD232" i="1" s="1"/>
  <c r="AC170" i="1"/>
  <c r="AD170" i="1" s="1"/>
  <c r="AC184" i="1"/>
  <c r="AD184" i="1" s="1"/>
  <c r="AC247" i="1"/>
  <c r="AD247" i="1" s="1"/>
  <c r="AC253" i="1"/>
  <c r="AD253" i="1" s="1"/>
  <c r="AC254" i="1"/>
  <c r="AD254" i="1" s="1"/>
  <c r="AC255" i="1"/>
  <c r="AD255" i="1" s="1"/>
  <c r="AC68" i="1"/>
  <c r="AD68" i="1" s="1"/>
  <c r="AC263" i="1"/>
  <c r="AD263" i="1" s="1"/>
  <c r="AC296" i="1"/>
  <c r="AD296" i="1" s="1"/>
  <c r="AC266" i="1"/>
  <c r="AD266" i="1" s="1"/>
  <c r="AC196" i="1"/>
  <c r="AD196" i="1" s="1"/>
  <c r="AC267" i="1"/>
  <c r="AD267" i="1" s="1"/>
  <c r="AC268" i="1"/>
  <c r="AD268" i="1" s="1"/>
  <c r="AC270" i="1"/>
  <c r="AD270" i="1" s="1"/>
  <c r="AC300" i="1"/>
  <c r="AD300" i="1" s="1"/>
  <c r="AC272" i="1"/>
  <c r="AD272" i="1" s="1"/>
  <c r="AC274" i="1"/>
  <c r="AD274" i="1" s="1"/>
  <c r="AC199" i="1"/>
  <c r="AD199" i="1" s="1"/>
  <c r="AC277" i="1"/>
  <c r="AD277" i="1" s="1"/>
  <c r="AC278" i="1"/>
  <c r="AD278" i="1" s="1"/>
  <c r="AC280" i="1"/>
  <c r="AD280" i="1" s="1"/>
  <c r="AC200" i="1"/>
  <c r="AD200" i="1" s="1"/>
  <c r="AC283" i="1"/>
  <c r="AD283" i="1" s="1"/>
  <c r="AC547" i="1"/>
  <c r="AD547" i="1" s="1"/>
  <c r="AC380" i="1"/>
  <c r="AD380" i="1" s="1"/>
  <c r="AC8" i="1"/>
  <c r="AD8" i="1" s="1"/>
  <c r="AC290" i="1"/>
  <c r="AD290" i="1" s="1"/>
  <c r="AC24" i="1"/>
  <c r="AD24" i="1" s="1"/>
  <c r="AC298" i="1"/>
  <c r="AD298" i="1" s="1"/>
  <c r="AC302" i="1"/>
  <c r="AD302" i="1" s="1"/>
  <c r="AC379" i="1"/>
  <c r="AD379" i="1" s="1"/>
  <c r="AC34" i="1"/>
  <c r="AD34" i="1" s="1"/>
  <c r="AC385" i="1"/>
  <c r="AD385" i="1" s="1"/>
  <c r="AC248" i="1"/>
  <c r="AD248" i="1" s="1"/>
  <c r="AC387" i="1"/>
  <c r="AD387" i="1" s="1"/>
  <c r="AC388" i="1"/>
  <c r="AD388" i="1" s="1"/>
  <c r="AC392" i="1"/>
  <c r="AD392" i="1" s="1"/>
  <c r="AC48" i="1"/>
  <c r="AD48" i="1" s="1"/>
  <c r="AC251" i="1"/>
  <c r="AD251" i="1" s="1"/>
  <c r="AC396" i="1"/>
  <c r="AD396" i="1" s="1"/>
  <c r="AC398" i="1"/>
  <c r="AD398" i="1" s="1"/>
  <c r="AC401" i="1"/>
  <c r="AD401" i="1" s="1"/>
  <c r="AC59" i="1"/>
  <c r="AD59" i="1" s="1"/>
  <c r="AC81" i="1"/>
  <c r="AD81" i="1" s="1"/>
  <c r="AC407" i="1"/>
  <c r="AD407" i="1" s="1"/>
  <c r="AC408" i="1"/>
  <c r="AD408" i="1" s="1"/>
  <c r="AC412" i="1"/>
  <c r="AD412" i="1" s="1"/>
  <c r="AC413" i="1"/>
  <c r="AD413" i="1" s="1"/>
  <c r="AC416" i="1"/>
  <c r="AD416" i="1" s="1"/>
  <c r="AC418" i="1"/>
  <c r="AD418" i="1" s="1"/>
  <c r="AC419" i="1"/>
  <c r="AD419" i="1" s="1"/>
  <c r="AC101" i="1"/>
  <c r="AD101" i="1" s="1"/>
  <c r="AC421" i="1"/>
  <c r="AD421" i="1" s="1"/>
  <c r="AC422" i="1"/>
  <c r="AD422" i="1" s="1"/>
  <c r="AC207" i="1"/>
  <c r="AD207" i="1" s="1"/>
  <c r="AC122" i="1"/>
  <c r="AD122" i="1" s="1"/>
  <c r="AC428" i="1"/>
  <c r="AD428" i="1" s="1"/>
  <c r="AC135" i="1"/>
  <c r="AD135" i="1" s="1"/>
  <c r="AC431" i="1"/>
  <c r="AD431" i="1" s="1"/>
  <c r="AC432" i="1"/>
  <c r="AD432" i="1" s="1"/>
  <c r="AC167" i="1"/>
  <c r="AD167" i="1" s="1"/>
  <c r="AC437" i="1"/>
  <c r="AD437" i="1" s="1"/>
  <c r="AC180" i="1"/>
  <c r="AD180" i="1" s="1"/>
  <c r="AC447" i="1"/>
  <c r="AD447" i="1" s="1"/>
  <c r="AC522" i="1"/>
  <c r="AD522" i="1" s="1"/>
  <c r="AC185" i="1"/>
  <c r="AD185" i="1" s="1"/>
  <c r="AC532" i="1"/>
  <c r="AD532" i="1" s="1"/>
  <c r="AC534" i="1"/>
  <c r="AD534" i="1" s="1"/>
  <c r="AC187" i="1"/>
  <c r="AD187" i="1" s="1"/>
  <c r="AC536" i="1"/>
  <c r="AD536" i="1" s="1"/>
  <c r="AC539" i="1"/>
  <c r="AD539" i="1" s="1"/>
  <c r="AC191" i="1"/>
  <c r="AD191" i="1" s="1"/>
  <c r="AC194" i="1"/>
  <c r="AD194" i="1" s="1"/>
  <c r="AC201" i="1"/>
  <c r="AD201" i="1" s="1"/>
  <c r="AC56" i="1"/>
  <c r="AD56" i="1" s="1"/>
  <c r="AC220" i="1"/>
  <c r="AD220" i="1" s="1"/>
  <c r="AC60" i="1"/>
  <c r="AD60" i="1" s="1"/>
  <c r="AC61" i="1"/>
  <c r="AD61" i="1" s="1"/>
  <c r="AC96" i="1"/>
  <c r="AD96" i="1" s="1"/>
  <c r="AC144" i="1"/>
  <c r="AD144" i="1" s="1"/>
  <c r="AC153" i="1"/>
  <c r="AD153" i="1" s="1"/>
  <c r="AC226" i="1"/>
  <c r="AD226" i="1" s="1"/>
  <c r="AC181" i="1"/>
  <c r="AD181" i="1" s="1"/>
  <c r="AC528" i="1"/>
  <c r="AD528" i="1" s="1"/>
  <c r="AC530" i="1"/>
  <c r="AD530" i="1" s="1"/>
  <c r="AC531" i="1"/>
  <c r="AD531" i="1" s="1"/>
  <c r="AC124" i="1"/>
  <c r="AD124" i="1" s="1"/>
  <c r="AC126" i="1"/>
  <c r="AD126" i="1" s="1"/>
  <c r="AC74" i="1"/>
  <c r="AD74" i="1" s="1"/>
  <c r="AC137" i="1"/>
  <c r="AD137" i="1" s="1"/>
  <c r="AC138" i="1"/>
  <c r="AD138" i="1" s="1"/>
  <c r="AC142" i="1"/>
  <c r="AD142" i="1" s="1"/>
  <c r="AC4" i="1"/>
  <c r="AD4" i="1" s="1"/>
  <c r="AC145" i="1"/>
  <c r="AD145" i="1" s="1"/>
  <c r="AC148" i="1"/>
  <c r="AD148" i="1" s="1"/>
  <c r="AC5" i="1"/>
  <c r="AD5" i="1" s="1"/>
  <c r="AC155" i="1"/>
  <c r="AD155" i="1" s="1"/>
  <c r="AC169" i="1"/>
  <c r="AD169" i="1" s="1"/>
  <c r="AC177" i="1"/>
  <c r="AD177" i="1" s="1"/>
  <c r="AC183" i="1"/>
  <c r="AD183" i="1" s="1"/>
  <c r="AC9" i="1"/>
  <c r="AD9" i="1" s="1"/>
  <c r="AC10" i="1"/>
  <c r="AD10" i="1" s="1"/>
  <c r="AC209" i="1"/>
  <c r="AD209" i="1" s="1"/>
  <c r="AC211" i="1"/>
  <c r="AD211" i="1" s="1"/>
  <c r="AC214" i="1"/>
  <c r="AD214" i="1" s="1"/>
  <c r="AC75" i="1"/>
  <c r="AD75" i="1" s="1"/>
  <c r="AC216" i="1"/>
  <c r="AD216" i="1" s="1"/>
  <c r="AC227" i="1"/>
  <c r="AD227" i="1" s="1"/>
  <c r="AC236" i="1"/>
  <c r="AD236" i="1" s="1"/>
  <c r="AC19" i="1"/>
  <c r="AD19" i="1" s="1"/>
  <c r="AC258" i="1"/>
  <c r="AD258" i="1" s="1"/>
  <c r="AC276" i="1"/>
  <c r="AD276" i="1" s="1"/>
  <c r="AC20" i="1"/>
  <c r="AD20" i="1" s="1"/>
  <c r="AC289" i="1"/>
  <c r="AD289" i="1" s="1"/>
  <c r="AC78" i="1"/>
  <c r="AD78" i="1" s="1"/>
  <c r="AC293" i="1"/>
  <c r="AD293" i="1" s="1"/>
  <c r="AC297" i="1"/>
  <c r="AD297" i="1" s="1"/>
  <c r="AC301" i="1"/>
  <c r="AD301" i="1" s="1"/>
  <c r="AC23" i="1"/>
  <c r="AD23" i="1" s="1"/>
  <c r="AC303" i="1"/>
  <c r="AD303" i="1" s="1"/>
  <c r="AC305" i="1"/>
  <c r="AD305" i="1" s="1"/>
  <c r="AC83" i="1"/>
  <c r="AD83" i="1" s="1"/>
  <c r="AC306" i="1"/>
  <c r="AD306" i="1" s="1"/>
  <c r="AC381" i="1"/>
  <c r="AD381" i="1" s="1"/>
  <c r="AC390" i="1"/>
  <c r="AD390" i="1" s="1"/>
  <c r="AC393" i="1"/>
  <c r="AD393" i="1" s="1"/>
  <c r="AC400" i="1"/>
  <c r="AD400" i="1" s="1"/>
  <c r="AC88" i="1"/>
  <c r="AD88" i="1" s="1"/>
  <c r="AC410" i="1"/>
  <c r="AD410" i="1" s="1"/>
  <c r="AC420" i="1"/>
  <c r="AD420" i="1" s="1"/>
  <c r="AC433" i="1"/>
  <c r="AD433" i="1" s="1"/>
  <c r="AC42" i="1"/>
  <c r="AD42" i="1" s="1"/>
  <c r="AC438" i="1"/>
  <c r="AD438" i="1" s="1"/>
  <c r="AC47" i="1"/>
  <c r="AD47" i="1" s="1"/>
  <c r="AC450" i="1"/>
  <c r="AD450" i="1" s="1"/>
  <c r="AC535" i="1"/>
  <c r="AD535" i="1" s="1"/>
  <c r="AC49" i="1"/>
  <c r="AD49" i="1" s="1"/>
  <c r="AC57" i="1"/>
  <c r="AD57" i="1" s="1"/>
  <c r="AC69" i="1"/>
  <c r="AD69" i="1" s="1"/>
  <c r="AC104" i="1"/>
  <c r="AD104" i="1" s="1"/>
  <c r="AC136" i="1"/>
  <c r="AD136" i="1" s="1"/>
  <c r="AC172" i="1"/>
  <c r="AD172" i="1" s="1"/>
  <c r="AC186" i="1"/>
  <c r="AD186" i="1" s="1"/>
  <c r="AC193" i="1"/>
  <c r="AD193" i="1" s="1"/>
  <c r="AC52" i="1"/>
  <c r="AD52" i="1" s="1"/>
  <c r="Z250" i="1"/>
  <c r="AA250" i="1" s="1"/>
  <c r="Z54" i="1"/>
  <c r="AA54" i="1" s="1"/>
  <c r="Z136" i="1"/>
  <c r="AA136" i="1" s="1"/>
  <c r="Z55" i="1"/>
  <c r="AA55" i="1" s="1"/>
  <c r="Z187" i="1"/>
  <c r="AA187" i="1" s="1"/>
  <c r="Z56" i="1"/>
  <c r="AA56" i="1" s="1"/>
  <c r="Z59" i="1"/>
  <c r="AA59" i="1" s="1"/>
  <c r="Z99" i="1"/>
  <c r="AA99" i="1" s="1"/>
  <c r="Z60" i="1"/>
  <c r="AA60" i="1" s="1"/>
  <c r="Z158" i="1"/>
  <c r="AA158" i="1" s="1"/>
  <c r="Z62" i="1"/>
  <c r="AA62" i="1" s="1"/>
  <c r="Z159" i="1"/>
  <c r="AA159" i="1" s="1"/>
  <c r="Z160" i="1"/>
  <c r="AA160" i="1" s="1"/>
  <c r="Z424" i="1"/>
  <c r="AA424" i="1" s="1"/>
  <c r="Z161" i="1"/>
  <c r="AA161" i="1" s="1"/>
  <c r="Z69" i="1"/>
  <c r="AA69" i="1" s="1"/>
  <c r="Z70" i="1"/>
  <c r="AA70" i="1" s="1"/>
  <c r="Z162" i="1"/>
  <c r="AA162" i="1" s="1"/>
  <c r="Z76" i="1"/>
  <c r="AA76" i="1" s="1"/>
  <c r="Z163" i="1"/>
  <c r="AA163" i="1" s="1"/>
  <c r="Z164" i="1"/>
  <c r="AA164" i="1" s="1"/>
  <c r="Z84" i="1"/>
  <c r="AA84" i="1" s="1"/>
  <c r="Z165" i="1"/>
  <c r="AA165" i="1" s="1"/>
  <c r="Z308" i="1"/>
  <c r="AA308" i="1" s="1"/>
  <c r="Z89" i="1"/>
  <c r="AA89" i="1" s="1"/>
  <c r="Z309" i="1"/>
  <c r="AA309" i="1" s="1"/>
  <c r="Z310" i="1"/>
  <c r="AA310" i="1" s="1"/>
  <c r="Z96" i="1"/>
  <c r="AA96" i="1" s="1"/>
  <c r="Z311" i="1"/>
  <c r="AA311" i="1" s="1"/>
  <c r="Z312" i="1"/>
  <c r="AA312" i="1" s="1"/>
  <c r="Z313" i="1"/>
  <c r="AA313" i="1" s="1"/>
  <c r="Z104" i="1"/>
  <c r="AA104" i="1" s="1"/>
  <c r="Z314" i="1"/>
  <c r="AA314" i="1" s="1"/>
  <c r="Z315" i="1"/>
  <c r="AA315" i="1" s="1"/>
  <c r="Z316" i="1"/>
  <c r="AA316" i="1" s="1"/>
  <c r="Z318" i="1"/>
  <c r="AA318" i="1" s="1"/>
  <c r="Z120" i="1"/>
  <c r="AA120" i="1" s="1"/>
  <c r="Z319" i="1"/>
  <c r="AA319" i="1" s="1"/>
  <c r="Z177" i="1"/>
  <c r="AA177" i="1" s="1"/>
  <c r="Z123" i="1"/>
  <c r="AA123" i="1" s="1"/>
  <c r="Z124" i="1"/>
  <c r="AA124" i="1" s="1"/>
  <c r="Z320" i="1"/>
  <c r="AA320" i="1" s="1"/>
  <c r="Z321" i="1"/>
  <c r="AA321" i="1" s="1"/>
  <c r="Z322" i="1"/>
  <c r="AA322" i="1" s="1"/>
  <c r="Z323" i="1"/>
  <c r="AA323" i="1" s="1"/>
  <c r="Z140" i="1"/>
  <c r="AA140" i="1" s="1"/>
  <c r="Z324" i="1"/>
  <c r="AA324" i="1" s="1"/>
  <c r="Z141" i="1"/>
  <c r="AA141" i="1" s="1"/>
  <c r="Z325" i="1"/>
  <c r="AA325" i="1" s="1"/>
  <c r="Z130" i="1"/>
  <c r="AA130" i="1" s="1"/>
  <c r="Z143" i="1"/>
  <c r="AA143" i="1" s="1"/>
  <c r="Z326" i="1"/>
  <c r="AA326" i="1" s="1"/>
  <c r="Z180" i="1"/>
  <c r="AA180" i="1" s="1"/>
  <c r="Z148" i="1"/>
  <c r="AA148" i="1" s="1"/>
  <c r="Z156" i="1"/>
  <c r="AA156" i="1" s="1"/>
  <c r="Z131" i="1"/>
  <c r="AA131" i="1" s="1"/>
  <c r="Z174" i="1"/>
  <c r="AA174" i="1" s="1"/>
  <c r="Z327" i="1"/>
  <c r="AA327" i="1" s="1"/>
  <c r="Z185" i="1"/>
  <c r="AA185" i="1" s="1"/>
  <c r="Z193" i="1"/>
  <c r="AA193" i="1" s="1"/>
  <c r="Z202" i="1"/>
  <c r="AA202" i="1" s="1"/>
  <c r="Z328" i="1"/>
  <c r="AA328" i="1" s="1"/>
  <c r="Z329" i="1"/>
  <c r="AA329" i="1" s="1"/>
  <c r="Z330" i="1"/>
  <c r="AA330" i="1" s="1"/>
  <c r="Z33" i="1"/>
  <c r="AA33" i="1" s="1"/>
  <c r="Z331" i="1"/>
  <c r="AA331" i="1" s="1"/>
  <c r="Z332" i="1"/>
  <c r="AA332" i="1" s="1"/>
  <c r="Z46" i="1"/>
  <c r="AA46" i="1" s="1"/>
  <c r="Z53" i="1"/>
  <c r="AA53" i="1" s="1"/>
  <c r="Z333" i="1"/>
  <c r="AA333" i="1" s="1"/>
  <c r="Z139" i="1"/>
  <c r="AA139" i="1" s="1"/>
  <c r="Z334" i="1"/>
  <c r="AA334" i="1" s="1"/>
  <c r="Z77" i="1"/>
  <c r="AA77" i="1" s="1"/>
  <c r="Z335" i="1"/>
  <c r="AA335" i="1" s="1"/>
  <c r="Z336" i="1"/>
  <c r="AA336" i="1" s="1"/>
  <c r="Z92" i="1"/>
  <c r="AA92" i="1" s="1"/>
  <c r="Z192" i="1"/>
  <c r="AA192" i="1" s="1"/>
  <c r="Z337" i="1"/>
  <c r="AA337" i="1" s="1"/>
  <c r="Z338" i="1"/>
  <c r="AA338" i="1" s="1"/>
  <c r="Z149" i="1"/>
  <c r="AA149" i="1" s="1"/>
  <c r="Z142" i="1"/>
  <c r="AA142" i="1" s="1"/>
  <c r="Z145" i="1"/>
  <c r="AA145" i="1" s="1"/>
  <c r="Z155" i="1"/>
  <c r="AA155" i="1" s="1"/>
  <c r="Z339" i="1"/>
  <c r="AA339" i="1" s="1"/>
  <c r="Z150" i="1"/>
  <c r="AA150" i="1" s="1"/>
  <c r="Z340" i="1"/>
  <c r="AA340" i="1" s="1"/>
  <c r="Z341" i="1"/>
  <c r="AA341" i="1" s="1"/>
  <c r="Z363" i="1"/>
  <c r="AA363" i="1" s="1"/>
  <c r="Z364" i="1"/>
  <c r="AA364" i="1" s="1"/>
  <c r="Z365" i="1"/>
  <c r="AA365" i="1" s="1"/>
  <c r="Z366" i="1"/>
  <c r="AA366" i="1" s="1"/>
  <c r="Z367" i="1"/>
  <c r="AA367" i="1" s="1"/>
  <c r="Z206" i="1"/>
  <c r="AA206" i="1" s="1"/>
  <c r="Z368" i="1"/>
  <c r="AA368" i="1" s="1"/>
  <c r="Z369" i="1"/>
  <c r="AA369" i="1" s="1"/>
  <c r="Z266" i="1"/>
  <c r="AA266" i="1" s="1"/>
  <c r="Z268" i="1"/>
  <c r="AA268" i="1" s="1"/>
  <c r="Z217" i="1"/>
  <c r="AA217" i="1" s="1"/>
  <c r="Z370" i="1"/>
  <c r="AA370" i="1" s="1"/>
  <c r="Z371" i="1"/>
  <c r="AA371" i="1" s="1"/>
  <c r="Z9" i="1"/>
  <c r="AA9" i="1" s="1"/>
  <c r="Z372" i="1"/>
  <c r="AA372" i="1" s="1"/>
  <c r="Z373" i="1"/>
  <c r="AA373" i="1" s="1"/>
  <c r="Z280" i="1"/>
  <c r="AA280" i="1" s="1"/>
  <c r="Z281" i="1"/>
  <c r="AA281" i="1" s="1"/>
  <c r="Z374" i="1"/>
  <c r="AA374" i="1" s="1"/>
  <c r="Z282" i="1"/>
  <c r="AA282" i="1" s="1"/>
  <c r="Z375" i="1"/>
  <c r="AA375" i="1" s="1"/>
  <c r="Z284" i="1"/>
  <c r="AA284" i="1" s="1"/>
  <c r="Z235" i="1"/>
  <c r="AA235" i="1" s="1"/>
  <c r="Z236" i="1"/>
  <c r="AA236" i="1" s="1"/>
  <c r="Z291" i="1"/>
  <c r="AA291" i="1" s="1"/>
  <c r="Z376" i="1"/>
  <c r="AA376" i="1" s="1"/>
  <c r="Z377" i="1"/>
  <c r="AA377" i="1" s="1"/>
  <c r="Z454" i="1"/>
  <c r="AA454" i="1" s="1"/>
  <c r="Z455" i="1"/>
  <c r="AA455" i="1" s="1"/>
  <c r="Z22" i="1"/>
  <c r="AA22" i="1" s="1"/>
  <c r="Z456" i="1"/>
  <c r="AA456" i="1" s="1"/>
  <c r="Z457" i="1"/>
  <c r="AA457" i="1" s="1"/>
  <c r="Z305" i="1"/>
  <c r="AA305" i="1" s="1"/>
  <c r="Z458" i="1"/>
  <c r="AA458" i="1" s="1"/>
  <c r="Z383" i="1"/>
  <c r="AA383" i="1" s="1"/>
  <c r="Z459" i="1"/>
  <c r="AA459" i="1" s="1"/>
  <c r="Z460" i="1"/>
  <c r="AA460" i="1" s="1"/>
  <c r="Z251" i="1"/>
  <c r="AA251" i="1" s="1"/>
  <c r="Z394" i="1"/>
  <c r="AA394" i="1" s="1"/>
  <c r="Z395" i="1"/>
  <c r="AA395" i="1" s="1"/>
  <c r="Z461" i="1"/>
  <c r="AA461" i="1" s="1"/>
  <c r="Z462" i="1"/>
  <c r="AA462" i="1" s="1"/>
  <c r="Z463" i="1"/>
  <c r="AA463" i="1" s="1"/>
  <c r="Z261" i="1"/>
  <c r="AA261" i="1" s="1"/>
  <c r="Z464" i="1"/>
  <c r="AA464" i="1" s="1"/>
  <c r="Z465" i="1"/>
  <c r="AA465" i="1" s="1"/>
  <c r="Z407" i="1"/>
  <c r="AA407" i="1" s="1"/>
  <c r="Z410" i="1"/>
  <c r="AA410" i="1" s="1"/>
  <c r="Z263" i="1"/>
  <c r="AA263" i="1" s="1"/>
  <c r="Z412" i="1"/>
  <c r="AA412" i="1" s="1"/>
  <c r="Z267" i="1"/>
  <c r="AA267" i="1" s="1"/>
  <c r="Z272" i="1"/>
  <c r="AA272" i="1" s="1"/>
  <c r="Z420" i="1"/>
  <c r="AA420" i="1" s="1"/>
  <c r="Z466" i="1"/>
  <c r="AA466" i="1" s="1"/>
  <c r="Z467" i="1"/>
  <c r="AA467" i="1" s="1"/>
  <c r="Z73" i="1"/>
  <c r="AA73" i="1" s="1"/>
  <c r="Z429" i="1"/>
  <c r="AA429" i="1" s="1"/>
  <c r="Z468" i="1"/>
  <c r="AA468" i="1" s="1"/>
  <c r="Z469" i="1"/>
  <c r="AA469" i="1" s="1"/>
  <c r="Z431" i="1"/>
  <c r="AA431" i="1" s="1"/>
  <c r="Z470" i="1"/>
  <c r="AA470" i="1" s="1"/>
  <c r="Z435" i="1"/>
  <c r="AA435" i="1" s="1"/>
  <c r="Z471" i="1"/>
  <c r="AA471" i="1" s="1"/>
  <c r="Z472" i="1"/>
  <c r="AA472" i="1" s="1"/>
  <c r="Z439" i="1"/>
  <c r="AA439" i="1" s="1"/>
  <c r="Z473" i="1"/>
  <c r="AA473" i="1" s="1"/>
  <c r="Z285" i="1"/>
  <c r="AA285" i="1" s="1"/>
  <c r="Z441" i="1"/>
  <c r="AA441" i="1" s="1"/>
  <c r="Z474" i="1"/>
  <c r="AA474" i="1" s="1"/>
  <c r="Z475" i="1"/>
  <c r="AA475" i="1" s="1"/>
  <c r="Z444" i="1"/>
  <c r="AA444" i="1" s="1"/>
  <c r="Z445" i="1"/>
  <c r="AA445" i="1" s="1"/>
  <c r="Z476" i="1"/>
  <c r="AA476" i="1" s="1"/>
  <c r="Z288" i="1"/>
  <c r="AA288" i="1" s="1"/>
  <c r="Z477" i="1"/>
  <c r="AA477" i="1" s="1"/>
  <c r="Z522" i="1"/>
  <c r="AA522" i="1" s="1"/>
  <c r="Z290" i="1"/>
  <c r="AA290" i="1" s="1"/>
  <c r="Z478" i="1"/>
  <c r="AA478" i="1" s="1"/>
  <c r="Z479" i="1"/>
  <c r="AA479" i="1" s="1"/>
  <c r="Z294" i="1"/>
  <c r="AA294" i="1" s="1"/>
  <c r="Z531" i="1"/>
  <c r="AA531" i="1" s="1"/>
  <c r="Z534" i="1"/>
  <c r="AA534" i="1" s="1"/>
  <c r="Z536" i="1"/>
  <c r="AA536" i="1" s="1"/>
  <c r="Z295" i="1"/>
  <c r="AA295" i="1" s="1"/>
  <c r="Z480" i="1"/>
  <c r="AA480" i="1" s="1"/>
  <c r="Z296" i="1"/>
  <c r="AA296" i="1" s="1"/>
  <c r="Z481" i="1"/>
  <c r="AA481" i="1" s="1"/>
  <c r="Z482" i="1"/>
  <c r="AA482" i="1" s="1"/>
  <c r="Z483" i="1"/>
  <c r="AA483" i="1" s="1"/>
  <c r="Z297" i="1"/>
  <c r="AA297" i="1" s="1"/>
  <c r="Z6" i="1"/>
  <c r="AA6" i="1" s="1"/>
  <c r="Z484" i="1"/>
  <c r="AA484" i="1" s="1"/>
  <c r="Z485" i="1"/>
  <c r="AA485" i="1" s="1"/>
  <c r="Z486" i="1"/>
  <c r="AA486" i="1" s="1"/>
  <c r="Z487" i="1"/>
  <c r="AA487" i="1" s="1"/>
  <c r="Z380" i="1"/>
  <c r="AA380" i="1" s="1"/>
  <c r="Z384" i="1"/>
  <c r="AA384" i="1" s="1"/>
  <c r="Z488" i="1"/>
  <c r="AA488" i="1" s="1"/>
  <c r="Z49" i="1"/>
  <c r="AA49" i="1" s="1"/>
  <c r="Z489" i="1"/>
  <c r="AA489" i="1" s="1"/>
  <c r="Z490" i="1"/>
  <c r="AA490" i="1" s="1"/>
  <c r="Z68" i="1"/>
  <c r="AA68" i="1" s="1"/>
  <c r="Z491" i="1"/>
  <c r="AA491" i="1" s="1"/>
  <c r="Z397" i="1"/>
  <c r="AA397" i="1" s="1"/>
  <c r="Z492" i="1"/>
  <c r="AA492" i="1" s="1"/>
  <c r="Z101" i="1"/>
  <c r="AA101" i="1" s="1"/>
  <c r="Z132" i="1"/>
  <c r="AA132" i="1" s="1"/>
  <c r="Z147" i="1"/>
  <c r="AA147" i="1" s="1"/>
  <c r="Z406" i="1"/>
  <c r="AA406" i="1" s="1"/>
  <c r="Z422" i="1"/>
  <c r="AA422" i="1" s="1"/>
  <c r="Z183" i="1"/>
  <c r="AA183" i="1" s="1"/>
  <c r="Z186" i="1"/>
  <c r="AA186" i="1" s="1"/>
  <c r="Z493" i="1"/>
  <c r="AA493" i="1" s="1"/>
  <c r="Z494" i="1"/>
  <c r="AA494" i="1" s="1"/>
  <c r="Z495" i="1"/>
  <c r="AA495" i="1" s="1"/>
  <c r="Z496" i="1"/>
  <c r="AA496" i="1" s="1"/>
  <c r="Z232" i="1"/>
  <c r="AA232" i="1" s="1"/>
  <c r="Z497" i="1"/>
  <c r="AA497" i="1" s="1"/>
  <c r="Z498" i="1"/>
  <c r="AA498" i="1" s="1"/>
  <c r="Z241" i="1"/>
  <c r="AA241" i="1" s="1"/>
  <c r="Z270" i="1"/>
  <c r="AA270" i="1" s="1"/>
  <c r="Z242" i="1"/>
  <c r="AA242" i="1" s="1"/>
  <c r="Z499" i="1"/>
  <c r="AA499" i="1" s="1"/>
  <c r="Z243" i="1"/>
  <c r="AA243" i="1" s="1"/>
  <c r="Z181" i="1"/>
  <c r="AA181" i="1" s="1"/>
  <c r="Z500" i="1"/>
  <c r="AA500" i="1" s="1"/>
  <c r="Z501" i="1"/>
  <c r="AA501" i="1" s="1"/>
  <c r="Z502" i="1"/>
  <c r="AA502" i="1" s="1"/>
  <c r="Z503" i="1"/>
  <c r="AA503" i="1" s="1"/>
  <c r="Z504" i="1"/>
  <c r="AA504" i="1" s="1"/>
  <c r="Z505" i="1"/>
  <c r="AA505" i="1" s="1"/>
  <c r="Z258" i="1"/>
  <c r="AA258" i="1" s="1"/>
  <c r="Z128" i="1"/>
  <c r="AA128" i="1" s="1"/>
  <c r="Z362" i="1"/>
  <c r="AA362" i="1" s="1"/>
  <c r="Z506" i="1"/>
  <c r="AA506" i="1" s="1"/>
  <c r="Z507" i="1"/>
  <c r="AA507" i="1" s="1"/>
  <c r="Z265" i="1"/>
  <c r="AA265" i="1" s="1"/>
  <c r="Z508" i="1"/>
  <c r="AA508" i="1" s="1"/>
  <c r="Z509" i="1"/>
  <c r="AA509" i="1" s="1"/>
  <c r="Z510" i="1"/>
  <c r="AA510" i="1" s="1"/>
  <c r="Z511" i="1"/>
  <c r="AA511" i="1" s="1"/>
  <c r="Z512" i="1"/>
  <c r="AA512" i="1" s="1"/>
  <c r="Z513" i="1"/>
  <c r="AA513" i="1" s="1"/>
  <c r="Z514" i="1"/>
  <c r="AA514" i="1" s="1"/>
  <c r="Z274" i="1"/>
  <c r="AA274" i="1" s="1"/>
  <c r="Z515" i="1"/>
  <c r="AA515" i="1" s="1"/>
  <c r="Z516" i="1"/>
  <c r="AA516" i="1" s="1"/>
  <c r="Z275" i="1"/>
  <c r="AA275" i="1" s="1"/>
  <c r="Z517" i="1"/>
  <c r="AA517" i="1" s="1"/>
  <c r="Z518" i="1"/>
  <c r="AA518" i="1" s="1"/>
  <c r="Z279" i="1"/>
  <c r="AA279" i="1" s="1"/>
  <c r="Z519" i="1"/>
  <c r="AA519" i="1" s="1"/>
  <c r="Z520" i="1"/>
  <c r="AA520" i="1" s="1"/>
  <c r="Z283" i="1"/>
  <c r="AA283" i="1" s="1"/>
  <c r="Z521" i="1"/>
  <c r="AA521" i="1" s="1"/>
  <c r="Z3" i="1"/>
  <c r="AA3" i="1" s="1"/>
  <c r="Z4" i="1"/>
  <c r="AA4" i="1" s="1"/>
  <c r="Z5" i="1"/>
  <c r="AA5" i="1" s="1"/>
  <c r="Z18" i="1"/>
  <c r="AA18" i="1" s="1"/>
  <c r="Z289" i="1"/>
  <c r="AA289" i="1" s="1"/>
  <c r="Z21" i="1"/>
  <c r="AA21" i="1" s="1"/>
  <c r="Z14" i="1"/>
  <c r="AA14" i="1" s="1"/>
  <c r="Z17" i="1"/>
  <c r="AA17" i="1" s="1"/>
  <c r="Z293" i="1"/>
  <c r="AA293" i="1" s="1"/>
  <c r="Z298" i="1"/>
  <c r="AA298" i="1" s="1"/>
  <c r="Z25" i="1"/>
  <c r="AA25" i="1" s="1"/>
  <c r="Z29" i="1"/>
  <c r="AA29" i="1" s="1"/>
  <c r="Z30" i="1"/>
  <c r="AA30" i="1" s="1"/>
  <c r="Z303" i="1"/>
  <c r="AA303" i="1" s="1"/>
  <c r="Z306" i="1"/>
  <c r="AA306" i="1" s="1"/>
  <c r="Z34" i="1"/>
  <c r="AA34" i="1" s="1"/>
  <c r="Z32" i="1"/>
  <c r="AA32" i="1" s="1"/>
  <c r="Z35" i="1"/>
  <c r="AA35" i="1" s="1"/>
  <c r="Z385" i="1"/>
  <c r="AA385" i="1" s="1"/>
  <c r="Z39" i="1"/>
  <c r="AA39" i="1" s="1"/>
  <c r="Z43" i="1"/>
  <c r="AA43" i="1" s="1"/>
  <c r="Z44" i="1"/>
  <c r="AA44" i="1" s="1"/>
  <c r="Z387" i="1"/>
  <c r="AA387" i="1" s="1"/>
  <c r="Z45" i="1"/>
  <c r="AA45" i="1" s="1"/>
  <c r="Z388" i="1"/>
  <c r="AA388" i="1" s="1"/>
  <c r="Z52" i="1"/>
  <c r="AA52" i="1" s="1"/>
  <c r="Z389" i="1"/>
  <c r="AA389" i="1" s="1"/>
  <c r="Z390" i="1"/>
  <c r="AA390" i="1" s="1"/>
  <c r="Z64" i="1"/>
  <c r="AA64" i="1" s="1"/>
  <c r="Z393" i="1"/>
  <c r="AA393" i="1" s="1"/>
  <c r="Z67" i="1"/>
  <c r="AA67" i="1" s="1"/>
  <c r="Z72" i="1"/>
  <c r="AA72" i="1" s="1"/>
  <c r="Z74" i="1"/>
  <c r="AA74" i="1" s="1"/>
  <c r="Z81" i="1"/>
  <c r="AA81" i="1" s="1"/>
  <c r="Z399" i="1"/>
  <c r="AA399" i="1" s="1"/>
  <c r="Z400" i="1"/>
  <c r="AA400" i="1" s="1"/>
  <c r="Z401" i="1"/>
  <c r="AA401" i="1" s="1"/>
  <c r="Z83" i="1"/>
  <c r="AA83" i="1" s="1"/>
  <c r="Z403" i="1"/>
  <c r="AA403" i="1" s="1"/>
  <c r="Z86" i="1"/>
  <c r="AA86" i="1" s="1"/>
  <c r="Z88" i="1"/>
  <c r="AA88" i="1" s="1"/>
  <c r="Z90" i="1"/>
  <c r="AA90" i="1" s="1"/>
  <c r="Z91" i="1"/>
  <c r="AA91" i="1" s="1"/>
  <c r="Z411" i="1"/>
  <c r="AA411" i="1" s="1"/>
  <c r="Z94" i="1"/>
  <c r="AA94" i="1" s="1"/>
  <c r="Z201" i="1"/>
  <c r="AA201" i="1" s="1"/>
  <c r="Z95" i="1"/>
  <c r="AA95" i="1" s="1"/>
  <c r="Z414" i="1"/>
  <c r="AA414" i="1" s="1"/>
  <c r="Z100" i="1"/>
  <c r="AA100" i="1" s="1"/>
  <c r="Z398" i="1"/>
  <c r="AA398" i="1" s="1"/>
  <c r="Z404" i="1"/>
  <c r="AA404" i="1" s="1"/>
  <c r="Z215" i="1"/>
  <c r="AA215" i="1" s="1"/>
  <c r="Z408" i="1"/>
  <c r="AA408" i="1" s="1"/>
  <c r="Z218" i="1"/>
  <c r="AA218" i="1" s="1"/>
  <c r="Z409" i="1"/>
  <c r="AA409" i="1" s="1"/>
  <c r="Z415" i="1"/>
  <c r="AA415" i="1" s="1"/>
  <c r="Z426" i="1"/>
  <c r="AA426" i="1" s="1"/>
  <c r="Z259" i="1"/>
  <c r="AA259" i="1" s="1"/>
  <c r="Z427" i="1"/>
  <c r="AA427" i="1" s="1"/>
  <c r="Z277" i="1"/>
  <c r="AA277" i="1" s="1"/>
  <c r="Z437" i="1"/>
  <c r="AA437" i="1" s="1"/>
  <c r="Z443" i="1"/>
  <c r="AA443" i="1" s="1"/>
  <c r="Z300" i="1"/>
  <c r="AA300" i="1" s="1"/>
  <c r="Z448" i="1"/>
  <c r="AA448" i="1" s="1"/>
  <c r="Z24" i="1"/>
  <c r="AA24" i="1" s="1"/>
  <c r="Z453" i="1"/>
  <c r="AA453" i="1" s="1"/>
  <c r="Z526" i="1"/>
  <c r="AA526" i="1" s="1"/>
  <c r="Z381" i="1"/>
  <c r="AA381" i="1" s="1"/>
  <c r="Z28" i="1"/>
  <c r="AA28" i="1" s="1"/>
  <c r="Z533" i="1"/>
  <c r="AA533" i="1" s="1"/>
  <c r="Z537" i="1"/>
  <c r="AA537" i="1" s="1"/>
  <c r="Z539" i="1"/>
  <c r="AA539" i="1" s="1"/>
  <c r="Z40" i="1"/>
  <c r="AA40" i="1" s="1"/>
  <c r="Z402" i="1"/>
  <c r="AA402" i="1" s="1"/>
  <c r="Z419" i="1"/>
  <c r="AA419" i="1" s="1"/>
  <c r="Z538" i="1"/>
  <c r="AA538" i="1" s="1"/>
  <c r="Z438" i="1"/>
  <c r="AA438" i="1" s="1"/>
  <c r="Z93" i="1"/>
  <c r="AA93" i="1" s="1"/>
  <c r="Z12" i="1"/>
  <c r="AA12" i="1" s="1"/>
  <c r="Z523" i="1"/>
  <c r="AA523" i="1" s="1"/>
  <c r="Z23" i="1"/>
  <c r="AA23" i="1" s="1"/>
  <c r="Z26" i="1"/>
  <c r="AA26" i="1" s="1"/>
  <c r="Z544" i="1"/>
  <c r="AA544" i="1" s="1"/>
  <c r="Z27" i="1"/>
  <c r="AA27" i="1" s="1"/>
  <c r="Z61" i="1"/>
  <c r="AA61" i="1" s="1"/>
  <c r="Z37" i="1"/>
  <c r="AA37" i="1" s="1"/>
  <c r="Z51" i="1"/>
  <c r="AA51" i="1" s="1"/>
  <c r="Z38" i="1"/>
  <c r="AA38" i="1" s="1"/>
  <c r="Z152" i="1"/>
  <c r="AA152" i="1" s="1"/>
  <c r="Z41" i="1"/>
  <c r="AA41" i="1" s="1"/>
  <c r="Z42" i="1"/>
  <c r="AA42" i="1" s="1"/>
  <c r="Z239" i="1"/>
  <c r="AA239" i="1" s="1"/>
  <c r="Z413" i="1"/>
  <c r="AA413" i="1" s="1"/>
  <c r="Z417" i="1"/>
  <c r="AA417" i="1" s="1"/>
  <c r="Z97" i="1"/>
  <c r="AA97" i="1" s="1"/>
  <c r="Z418" i="1"/>
  <c r="AA418" i="1" s="1"/>
  <c r="Z103" i="1"/>
  <c r="AA103" i="1" s="1"/>
  <c r="Z421" i="1"/>
  <c r="AA421" i="1" s="1"/>
  <c r="Z122" i="1"/>
  <c r="AA122" i="1" s="1"/>
  <c r="Z126" i="1"/>
  <c r="AA126" i="1" s="1"/>
  <c r="Z133" i="1"/>
  <c r="AA133" i="1" s="1"/>
  <c r="Z134" i="1"/>
  <c r="AA134" i="1" s="1"/>
  <c r="Z137" i="1"/>
  <c r="AA137" i="1" s="1"/>
  <c r="Z146" i="1"/>
  <c r="AA146" i="1" s="1"/>
  <c r="Z430" i="1"/>
  <c r="AA430" i="1" s="1"/>
  <c r="Z154" i="1"/>
  <c r="AA154" i="1" s="1"/>
  <c r="Z168" i="1"/>
  <c r="AA168" i="1" s="1"/>
  <c r="Z434" i="1"/>
  <c r="AA434" i="1" s="1"/>
  <c r="Z170" i="1"/>
  <c r="AA170" i="1" s="1"/>
  <c r="Z436" i="1"/>
  <c r="AA436" i="1" s="1"/>
  <c r="Z173" i="1"/>
  <c r="AA173" i="1" s="1"/>
  <c r="Z440" i="1"/>
  <c r="AA440" i="1" s="1"/>
  <c r="Z169" i="1"/>
  <c r="AA169" i="1" s="1"/>
  <c r="Z442" i="1"/>
  <c r="AA442" i="1" s="1"/>
  <c r="Z176" i="1"/>
  <c r="AA176" i="1" s="1"/>
  <c r="Z179" i="1"/>
  <c r="AA179" i="1" s="1"/>
  <c r="Z449" i="1"/>
  <c r="AA449" i="1" s="1"/>
  <c r="Z452" i="1"/>
  <c r="AA452" i="1" s="1"/>
  <c r="Z188" i="1"/>
  <c r="AA188" i="1" s="1"/>
  <c r="Z525" i="1"/>
  <c r="AA525" i="1" s="1"/>
  <c r="Z195" i="1"/>
  <c r="AA195" i="1" s="1"/>
  <c r="Z532" i="1"/>
  <c r="AA532" i="1" s="1"/>
  <c r="Z198" i="1"/>
  <c r="AA198" i="1" s="1"/>
  <c r="Z199" i="1"/>
  <c r="AA199" i="1" s="1"/>
  <c r="Z204" i="1"/>
  <c r="AA204" i="1" s="1"/>
  <c r="Z208" i="1"/>
  <c r="AA208" i="1" s="1"/>
  <c r="Z190" i="1"/>
  <c r="AA190" i="1" s="1"/>
  <c r="Z212" i="1"/>
  <c r="AA212" i="1" s="1"/>
  <c r="Z543" i="1"/>
  <c r="AA543" i="1" s="1"/>
  <c r="Z219" i="1"/>
  <c r="AA219" i="1" s="1"/>
  <c r="Z545" i="1"/>
  <c r="AA545" i="1" s="1"/>
  <c r="Z546" i="1"/>
  <c r="AA546" i="1" s="1"/>
  <c r="Z547" i="1"/>
  <c r="AA547" i="1" s="1"/>
  <c r="Z221" i="1"/>
  <c r="AA221" i="1" s="1"/>
  <c r="Z262" i="1"/>
  <c r="AA262" i="1" s="1"/>
  <c r="Z222" i="1"/>
  <c r="AA222" i="1" s="1"/>
  <c r="Z220" i="1"/>
  <c r="AA220" i="1" s="1"/>
  <c r="Z223" i="1"/>
  <c r="AA223" i="1" s="1"/>
  <c r="Z224" i="1"/>
  <c r="AA224" i="1" s="1"/>
  <c r="Z57" i="1"/>
  <c r="AA57" i="1" s="1"/>
  <c r="Z225" i="1"/>
  <c r="AA225" i="1" s="1"/>
  <c r="Z228" i="1"/>
  <c r="AA228" i="1" s="1"/>
  <c r="Z229" i="1"/>
  <c r="AA229" i="1" s="1"/>
  <c r="Z135" i="1"/>
  <c r="AA135" i="1" s="1"/>
  <c r="Z226" i="1"/>
  <c r="AA226" i="1" s="1"/>
  <c r="Z230" i="1"/>
  <c r="AA230" i="1" s="1"/>
  <c r="Z233" i="1"/>
  <c r="AA233" i="1" s="1"/>
  <c r="Z433" i="1"/>
  <c r="AA433" i="1" s="1"/>
  <c r="Z245" i="1"/>
  <c r="AA245" i="1" s="1"/>
  <c r="Z248" i="1"/>
  <c r="AA248" i="1" s="1"/>
  <c r="Z252" i="1"/>
  <c r="AA252" i="1" s="1"/>
  <c r="Z255" i="1"/>
  <c r="AA255" i="1" s="1"/>
  <c r="Z256" i="1"/>
  <c r="AA256" i="1" s="1"/>
  <c r="Z257" i="1"/>
  <c r="AA257" i="1" s="1"/>
  <c r="Z66" i="1"/>
  <c r="AA66" i="1" s="1"/>
  <c r="Z194" i="1"/>
  <c r="AA194" i="1" s="1"/>
  <c r="Z151" i="1"/>
  <c r="AA151" i="1" s="1"/>
  <c r="Z47" i="1"/>
  <c r="AA47" i="1" s="1"/>
  <c r="Z63" i="1"/>
  <c r="AA63" i="1" s="1"/>
  <c r="Z65" i="1"/>
  <c r="AA65" i="1" s="1"/>
  <c r="Z78" i="1"/>
  <c r="AA78" i="1" s="1"/>
  <c r="Z79" i="1"/>
  <c r="AA79" i="1" s="1"/>
  <c r="Z82" i="1"/>
  <c r="AA82" i="1" s="1"/>
  <c r="Z58" i="1"/>
  <c r="AA58" i="1" s="1"/>
  <c r="Z85" i="1"/>
  <c r="AA85" i="1" s="1"/>
  <c r="Z71" i="1"/>
  <c r="AA71" i="1" s="1"/>
  <c r="Z87" i="1"/>
  <c r="AA87" i="1" s="1"/>
  <c r="Z98" i="1"/>
  <c r="AA98" i="1" s="1"/>
  <c r="Z102" i="1"/>
  <c r="AA102" i="1" s="1"/>
  <c r="Z386" i="1"/>
  <c r="AA386" i="1" s="1"/>
  <c r="Z125" i="1"/>
  <c r="AA125" i="1" s="1"/>
  <c r="Z175" i="1"/>
  <c r="AA175" i="1" s="1"/>
  <c r="Z530" i="1"/>
  <c r="AA530" i="1" s="1"/>
  <c r="Z182" i="1"/>
  <c r="AA182" i="1" s="1"/>
  <c r="Z184" i="1"/>
  <c r="AA184" i="1" s="1"/>
  <c r="AA118" i="1"/>
  <c r="Z264" i="1"/>
  <c r="AA264" i="1" s="1"/>
  <c r="Z121" i="1"/>
  <c r="AA121" i="1" s="1"/>
  <c r="Z269" i="1"/>
  <c r="AA269" i="1" s="1"/>
  <c r="Z271" i="1"/>
  <c r="AA271" i="1" s="1"/>
  <c r="Z129" i="1"/>
  <c r="AA129" i="1" s="1"/>
  <c r="Z273" i="1"/>
  <c r="AA273" i="1" s="1"/>
  <c r="Z286" i="1"/>
  <c r="AA286" i="1" s="1"/>
  <c r="Z138" i="1"/>
  <c r="AA138" i="1" s="1"/>
  <c r="Z287" i="1"/>
  <c r="AA287" i="1" s="1"/>
  <c r="Z299" i="1"/>
  <c r="AA299" i="1" s="1"/>
  <c r="Z302" i="1"/>
  <c r="AA302" i="1" s="1"/>
  <c r="Z304" i="1"/>
  <c r="AA304" i="1" s="1"/>
  <c r="Z379" i="1"/>
  <c r="AA379" i="1" s="1"/>
  <c r="Z396" i="1"/>
  <c r="AA396" i="1" s="1"/>
  <c r="Z153" i="1"/>
  <c r="AA153" i="1" s="1"/>
  <c r="Z423" i="1"/>
  <c r="AA423" i="1" s="1"/>
  <c r="Z166" i="1"/>
  <c r="AA166" i="1" s="1"/>
  <c r="Z447" i="1"/>
  <c r="AA447" i="1" s="1"/>
  <c r="Z171" i="1"/>
  <c r="AA171" i="1" s="1"/>
  <c r="Z172" i="1"/>
  <c r="AA172" i="1" s="1"/>
  <c r="Z75" i="1"/>
  <c r="AA75" i="1" s="1"/>
  <c r="Z450" i="1"/>
  <c r="AA450" i="1" s="1"/>
  <c r="Z8" i="1"/>
  <c r="AA8" i="1" s="1"/>
  <c r="Z307" i="1"/>
  <c r="AA307" i="1" s="1"/>
  <c r="Z378" i="1"/>
  <c r="AA378" i="1" s="1"/>
  <c r="Z382" i="1"/>
  <c r="AA382" i="1" s="1"/>
  <c r="Z11" i="1"/>
  <c r="AA11" i="1" s="1"/>
  <c r="Z189" i="1"/>
  <c r="AA189" i="1" s="1"/>
  <c r="Z191" i="1"/>
  <c r="AA191" i="1" s="1"/>
  <c r="Z13" i="1"/>
  <c r="AA13" i="1" s="1"/>
  <c r="Z391" i="1"/>
  <c r="AA391" i="1" s="1"/>
  <c r="Z15" i="1"/>
  <c r="AA15" i="1" s="1"/>
  <c r="Z211" i="1"/>
  <c r="AA211" i="1" s="1"/>
  <c r="Z16" i="1"/>
  <c r="AA16" i="1" s="1"/>
  <c r="Z214" i="1"/>
  <c r="AA214" i="1" s="1"/>
  <c r="Z405" i="1"/>
  <c r="AA405" i="1" s="1"/>
  <c r="Z216" i="1"/>
  <c r="AA216" i="1" s="1"/>
  <c r="Z19" i="1"/>
  <c r="AA19" i="1" s="1"/>
  <c r="Z227" i="1"/>
  <c r="AA227" i="1" s="1"/>
  <c r="Z231" i="1"/>
  <c r="AA231" i="1" s="1"/>
  <c r="Z425" i="1"/>
  <c r="AA425" i="1" s="1"/>
  <c r="Z392" i="1"/>
  <c r="AA392" i="1" s="1"/>
  <c r="Z428" i="1"/>
  <c r="AA428" i="1" s="1"/>
  <c r="Z432" i="1"/>
  <c r="AA432" i="1" s="1"/>
  <c r="Z292" i="1"/>
  <c r="AA292" i="1" s="1"/>
  <c r="Z446" i="1"/>
  <c r="AA446" i="1" s="1"/>
  <c r="Z301" i="1"/>
  <c r="AA301" i="1" s="1"/>
  <c r="Z451" i="1"/>
  <c r="AA451" i="1" s="1"/>
  <c r="Z524" i="1"/>
  <c r="AA524" i="1" s="1"/>
  <c r="Z527" i="1"/>
  <c r="AA527" i="1" s="1"/>
  <c r="Z528" i="1"/>
  <c r="AA528" i="1" s="1"/>
  <c r="Z529" i="1"/>
  <c r="AA529" i="1" s="1"/>
  <c r="Z276" i="1"/>
  <c r="AA276" i="1" s="1"/>
  <c r="Z541" i="1"/>
  <c r="AA541" i="1" s="1"/>
  <c r="Z416" i="1"/>
  <c r="AA416" i="1" s="1"/>
  <c r="Z535" i="1"/>
  <c r="AA535" i="1" s="1"/>
  <c r="Z540" i="1"/>
  <c r="AA540" i="1" s="1"/>
  <c r="Z10" i="1"/>
  <c r="AA10" i="1" s="1"/>
  <c r="Z20" i="1"/>
  <c r="AA20" i="1" s="1"/>
  <c r="Z48" i="1"/>
  <c r="AA48" i="1" s="1"/>
  <c r="Z542" i="1"/>
  <c r="AA542" i="1" s="1"/>
  <c r="Z50" i="1"/>
  <c r="AA50" i="1" s="1"/>
  <c r="Z31" i="1"/>
  <c r="AA31" i="1" s="1"/>
  <c r="Z127" i="1"/>
  <c r="AA127" i="1" s="1"/>
  <c r="Z144" i="1"/>
  <c r="AA144" i="1" s="1"/>
  <c r="Z278" i="1"/>
  <c r="AA278" i="1" s="1"/>
  <c r="Z238" i="1"/>
  <c r="AA23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Raisa Ahmed</author>
  </authors>
  <commentList>
    <comment ref="F2" authorId="0" shapeId="0" xr:uid="{6EF27A87-581A-48CB-A600-D21E80F1188F}">
      <text>
        <r>
          <rPr>
            <b/>
            <sz val="9"/>
            <color indexed="81"/>
            <rFont val="Tahoma"/>
            <family val="2"/>
          </rPr>
          <t>Raisa Ahmed:</t>
        </r>
        <r>
          <rPr>
            <sz val="9"/>
            <color indexed="81"/>
            <rFont val="Tahoma"/>
            <family val="2"/>
          </rPr>
          <t xml:space="preserve">
blue is from field </t>
        </r>
      </text>
    </comment>
  </commentList>
</comments>
</file>

<file path=xl/sharedStrings.xml><?xml version="1.0" encoding="utf-8"?>
<sst xmlns="http://schemas.openxmlformats.org/spreadsheetml/2006/main" count="2698" uniqueCount="1177">
  <si>
    <t>P Code</t>
  </si>
  <si>
    <t>ADM3_PCODE</t>
  </si>
  <si>
    <t>District</t>
  </si>
  <si>
    <t>Vul_INFORM</t>
  </si>
  <si>
    <t>Norm_Vul</t>
  </si>
  <si>
    <t>Wind Gust</t>
  </si>
  <si>
    <t>Norm_Wind Gust</t>
  </si>
  <si>
    <t>Rainfall</t>
  </si>
  <si>
    <t>Norm_Rainfall</t>
  </si>
  <si>
    <t>Storm Surge</t>
  </si>
  <si>
    <t>Norm_Storm Surge</t>
  </si>
  <si>
    <t>Norm_VCI</t>
  </si>
  <si>
    <t>fAPAR</t>
  </si>
  <si>
    <t>Norm_fAPAR</t>
  </si>
  <si>
    <t>Impact(VCI+fAPAR)</t>
  </si>
  <si>
    <t>Norm_Impact_VCI+F</t>
  </si>
  <si>
    <t>Classification</t>
  </si>
  <si>
    <t>Impact_fAPAR</t>
  </si>
  <si>
    <t>Norm_Impact_fAPAR</t>
  </si>
  <si>
    <t>Impact(VCI)</t>
  </si>
  <si>
    <t>Norm_Impact_VCI</t>
  </si>
  <si>
    <t>Total Number of House</t>
  </si>
  <si>
    <t>Norm_House</t>
  </si>
  <si>
    <t>Impact_House</t>
  </si>
  <si>
    <t>Norm_Impact_House</t>
  </si>
  <si>
    <t>BD100409</t>
  </si>
  <si>
    <t>Barguna</t>
  </si>
  <si>
    <t>Amtali</t>
  </si>
  <si>
    <t>BD100419</t>
  </si>
  <si>
    <t>Bamna</t>
  </si>
  <si>
    <t>BD100428</t>
  </si>
  <si>
    <t>Barguna Sadar</t>
  </si>
  <si>
    <t>BD100447</t>
  </si>
  <si>
    <t>Betagi</t>
  </si>
  <si>
    <t>BD100485</t>
  </si>
  <si>
    <t>Patharghata</t>
  </si>
  <si>
    <t>BD100602</t>
  </si>
  <si>
    <t>Barisal</t>
  </si>
  <si>
    <t>Agailjhara</t>
  </si>
  <si>
    <t>BD100603</t>
  </si>
  <si>
    <t>Babuganj</t>
  </si>
  <si>
    <t>BD100607</t>
  </si>
  <si>
    <t>Bakerganj</t>
  </si>
  <si>
    <t>BD100610</t>
  </si>
  <si>
    <t>Banari Para</t>
  </si>
  <si>
    <t>BD100632</t>
  </si>
  <si>
    <t>Gaurnadi</t>
  </si>
  <si>
    <t>BD100636</t>
  </si>
  <si>
    <t>Hizla</t>
  </si>
  <si>
    <t>BD100651</t>
  </si>
  <si>
    <t>BD100662</t>
  </si>
  <si>
    <t>Mehendiganj</t>
  </si>
  <si>
    <t>BD100669</t>
  </si>
  <si>
    <t>Muladi</t>
  </si>
  <si>
    <t>BD100694</t>
  </si>
  <si>
    <t>Wazirpur</t>
  </si>
  <si>
    <t>BD100918</t>
  </si>
  <si>
    <t>Bhola</t>
  </si>
  <si>
    <t>Bhola Sadar</t>
  </si>
  <si>
    <t>BD100921</t>
  </si>
  <si>
    <t>Burhanuddin</t>
  </si>
  <si>
    <t>BD100925</t>
  </si>
  <si>
    <t>Char Fasson</t>
  </si>
  <si>
    <t>BD100929</t>
  </si>
  <si>
    <t>BD100954</t>
  </si>
  <si>
    <t>Lalmohan</t>
  </si>
  <si>
    <t>BD100965</t>
  </si>
  <si>
    <t>Manpura</t>
  </si>
  <si>
    <t>BD100991</t>
  </si>
  <si>
    <t>Tazumuddin</t>
  </si>
  <si>
    <t>BD104240</t>
  </si>
  <si>
    <t>Jhalokati</t>
  </si>
  <si>
    <t>Jhalokati Sadar</t>
  </si>
  <si>
    <t>BD104243</t>
  </si>
  <si>
    <t>Kanthalia</t>
  </si>
  <si>
    <t>BD104273</t>
  </si>
  <si>
    <t>Nalchity</t>
  </si>
  <si>
    <t>BD104284</t>
  </si>
  <si>
    <t>Rajapur</t>
  </si>
  <si>
    <t>BD107838</t>
  </si>
  <si>
    <t>Patuakhali</t>
  </si>
  <si>
    <t>Bauphal</t>
  </si>
  <si>
    <t>BD107852</t>
  </si>
  <si>
    <t>Dashmina</t>
  </si>
  <si>
    <t>BD107855</t>
  </si>
  <si>
    <t>Dumki</t>
  </si>
  <si>
    <t>BD107857</t>
  </si>
  <si>
    <t>Galachipa</t>
  </si>
  <si>
    <t>BD107866</t>
  </si>
  <si>
    <t>Kala Para</t>
  </si>
  <si>
    <t>BD107876</t>
  </si>
  <si>
    <t>Mirzaganj</t>
  </si>
  <si>
    <t>BD107895</t>
  </si>
  <si>
    <t>Patuakhali Sadar</t>
  </si>
  <si>
    <t>BD107914</t>
  </si>
  <si>
    <t>Pirojpur</t>
  </si>
  <si>
    <t>Bhandaria</t>
  </si>
  <si>
    <t>BD107947</t>
  </si>
  <si>
    <t>Kawkhali</t>
  </si>
  <si>
    <t>BD107958</t>
  </si>
  <si>
    <t>Mathbaria</t>
  </si>
  <si>
    <t>BD107976</t>
  </si>
  <si>
    <t>Nazirpur</t>
  </si>
  <si>
    <t>BD107980</t>
  </si>
  <si>
    <t>Pirojpur Sadar</t>
  </si>
  <si>
    <t>BD107987</t>
  </si>
  <si>
    <t>BD107990</t>
  </si>
  <si>
    <t>BD200304</t>
  </si>
  <si>
    <t>Bandarban</t>
  </si>
  <si>
    <t>Alikadam</t>
  </si>
  <si>
    <t>BD200314</t>
  </si>
  <si>
    <t>Bandarban Sadar</t>
  </si>
  <si>
    <t>BD200351</t>
  </si>
  <si>
    <t>Lama</t>
  </si>
  <si>
    <t>BD200373</t>
  </si>
  <si>
    <t>Naikhongchhari</t>
  </si>
  <si>
    <t>BD200389</t>
  </si>
  <si>
    <t>Rowangchhari</t>
  </si>
  <si>
    <t>BD200391</t>
  </si>
  <si>
    <t>Ruma</t>
  </si>
  <si>
    <t>BD200395</t>
  </si>
  <si>
    <t>Thanchi</t>
  </si>
  <si>
    <t>BD201202</t>
  </si>
  <si>
    <t>Akhaura</t>
  </si>
  <si>
    <t>BD201204</t>
  </si>
  <si>
    <t>Banchharampur</t>
  </si>
  <si>
    <t>BD201207</t>
  </si>
  <si>
    <t>BD201213</t>
  </si>
  <si>
    <t>Brahmanbaria Sadar</t>
  </si>
  <si>
    <t>BD201233</t>
  </si>
  <si>
    <t>Ashuganj</t>
  </si>
  <si>
    <t>BD201263</t>
  </si>
  <si>
    <t>Kasba</t>
  </si>
  <si>
    <t>BD201285</t>
  </si>
  <si>
    <t>Nabinagar</t>
  </si>
  <si>
    <t>BD201290</t>
  </si>
  <si>
    <t>Nasirnagar</t>
  </si>
  <si>
    <t>BD201294</t>
  </si>
  <si>
    <t>Sarail</t>
  </si>
  <si>
    <t>BD201322</t>
  </si>
  <si>
    <t>Chandpur</t>
  </si>
  <si>
    <t>Chandpur Sadar</t>
  </si>
  <si>
    <t>BD201345</t>
  </si>
  <si>
    <t>Faridganj</t>
  </si>
  <si>
    <t>BD201347</t>
  </si>
  <si>
    <t>Haim Char</t>
  </si>
  <si>
    <t>BD201349</t>
  </si>
  <si>
    <t>Hajiganj</t>
  </si>
  <si>
    <t>BD201358</t>
  </si>
  <si>
    <t>BD201376</t>
  </si>
  <si>
    <t>Matlab Dakshin</t>
  </si>
  <si>
    <t>BD201379</t>
  </si>
  <si>
    <t>BD201395</t>
  </si>
  <si>
    <t>Shahrasti</t>
  </si>
  <si>
    <t>BD201504</t>
  </si>
  <si>
    <t>Anowara</t>
  </si>
  <si>
    <t>BD201506</t>
  </si>
  <si>
    <t>Bayejid Bostami</t>
  </si>
  <si>
    <t>BD201508</t>
  </si>
  <si>
    <t>Banshkhali</t>
  </si>
  <si>
    <t>BD201510</t>
  </si>
  <si>
    <t>Bakalia</t>
  </si>
  <si>
    <t>BD201512</t>
  </si>
  <si>
    <t>Boalkhali</t>
  </si>
  <si>
    <t>BD201518</t>
  </si>
  <si>
    <t>Chandanaish</t>
  </si>
  <si>
    <t>BD201519</t>
  </si>
  <si>
    <t>Chandgaon</t>
  </si>
  <si>
    <t>BD201520</t>
  </si>
  <si>
    <t>Chittagong Port</t>
  </si>
  <si>
    <t>BD201528</t>
  </si>
  <si>
    <t>Double Mooring</t>
  </si>
  <si>
    <t>BD201533</t>
  </si>
  <si>
    <t>Fatikchhari</t>
  </si>
  <si>
    <t>BD201535</t>
  </si>
  <si>
    <t>Halishahar</t>
  </si>
  <si>
    <t>BD201537</t>
  </si>
  <si>
    <t>Hathazari</t>
  </si>
  <si>
    <t>BD201541</t>
  </si>
  <si>
    <t>BD201543</t>
  </si>
  <si>
    <t>Khulshi</t>
  </si>
  <si>
    <t>BD201547</t>
  </si>
  <si>
    <t>BD201553</t>
  </si>
  <si>
    <t>Mirsharai</t>
  </si>
  <si>
    <t>BD201555</t>
  </si>
  <si>
    <t>Pahartali</t>
  </si>
  <si>
    <t>BD201557</t>
  </si>
  <si>
    <t>Panchlaish</t>
  </si>
  <si>
    <t>BD201561</t>
  </si>
  <si>
    <t>Patiya</t>
  </si>
  <si>
    <t>BD201565</t>
  </si>
  <si>
    <t>Patenga</t>
  </si>
  <si>
    <t>BD201570</t>
  </si>
  <si>
    <t>Rangunia</t>
  </si>
  <si>
    <t>BD201574</t>
  </si>
  <si>
    <t>Raozan</t>
  </si>
  <si>
    <t>BD201578</t>
  </si>
  <si>
    <t>Sandwip</t>
  </si>
  <si>
    <t>BD201582</t>
  </si>
  <si>
    <t>Satkania</t>
  </si>
  <si>
    <t>BD201586</t>
  </si>
  <si>
    <t>Sitakunda</t>
  </si>
  <si>
    <t>BD201909</t>
  </si>
  <si>
    <t>Barura</t>
  </si>
  <si>
    <t>BD201915</t>
  </si>
  <si>
    <t>Brahman Para</t>
  </si>
  <si>
    <t>BD201918</t>
  </si>
  <si>
    <t>Burichang</t>
  </si>
  <si>
    <t>BD201927</t>
  </si>
  <si>
    <t>Chandina</t>
  </si>
  <si>
    <t>BD201931</t>
  </si>
  <si>
    <t>Chauddagram</t>
  </si>
  <si>
    <t>BD201933</t>
  </si>
  <si>
    <t>Comilla Sadar Dakshin</t>
  </si>
  <si>
    <t>BD201936</t>
  </si>
  <si>
    <t>Daudkandi</t>
  </si>
  <si>
    <t>BD201940</t>
  </si>
  <si>
    <t>Debidwar</t>
  </si>
  <si>
    <t>BD201954</t>
  </si>
  <si>
    <t>Homna</t>
  </si>
  <si>
    <t>BD201967</t>
  </si>
  <si>
    <t>Comilla Adarsha Sadar</t>
  </si>
  <si>
    <t>BD201972</t>
  </si>
  <si>
    <t>Laksam</t>
  </si>
  <si>
    <t>BD201974</t>
  </si>
  <si>
    <t>Manoharganj</t>
  </si>
  <si>
    <t>BD201975</t>
  </si>
  <si>
    <t>Meghna</t>
  </si>
  <si>
    <t>BD201981</t>
  </si>
  <si>
    <t>Muradnagar</t>
  </si>
  <si>
    <t>BD201987</t>
  </si>
  <si>
    <t>Nangalkot</t>
  </si>
  <si>
    <t>BD201994</t>
  </si>
  <si>
    <t>Titas</t>
  </si>
  <si>
    <t>BD202216</t>
  </si>
  <si>
    <t>Cox's Bazar</t>
  </si>
  <si>
    <t>Chakaria</t>
  </si>
  <si>
    <t>BD202224</t>
  </si>
  <si>
    <t>Cox's Bazar Sadar</t>
  </si>
  <si>
    <t>BD202245</t>
  </si>
  <si>
    <t>Kutubdia</t>
  </si>
  <si>
    <t>BD202249</t>
  </si>
  <si>
    <t>Maheshkhali</t>
  </si>
  <si>
    <t>BD202256</t>
  </si>
  <si>
    <t>Pekua</t>
  </si>
  <si>
    <t>BD202266</t>
  </si>
  <si>
    <t>Ramu</t>
  </si>
  <si>
    <t>BD202290</t>
  </si>
  <si>
    <t>Teknaf</t>
  </si>
  <si>
    <t>BD202294</t>
  </si>
  <si>
    <t>Ukhia</t>
  </si>
  <si>
    <t>BD203014</t>
  </si>
  <si>
    <t>Feni</t>
  </si>
  <si>
    <t>Chhagalnaiya</t>
  </si>
  <si>
    <t>BD203025</t>
  </si>
  <si>
    <t>Daganbhuiyan</t>
  </si>
  <si>
    <t>BD203029</t>
  </si>
  <si>
    <t>Feni Sadar</t>
  </si>
  <si>
    <t>BD203041</t>
  </si>
  <si>
    <t>Fulgazi</t>
  </si>
  <si>
    <t>BD203051</t>
  </si>
  <si>
    <t>Parshuram</t>
  </si>
  <si>
    <t>BD203094</t>
  </si>
  <si>
    <t>Sonagazi</t>
  </si>
  <si>
    <t>BD204643</t>
  </si>
  <si>
    <t>Khagrachhari</t>
  </si>
  <si>
    <t>Dighinala</t>
  </si>
  <si>
    <t>BD204649</t>
  </si>
  <si>
    <t>Khagrachhari Sadar</t>
  </si>
  <si>
    <t>BD204661</t>
  </si>
  <si>
    <t>Lakshmichhari</t>
  </si>
  <si>
    <t>BD204665</t>
  </si>
  <si>
    <t>Mahalchhari</t>
  </si>
  <si>
    <t>BD204667</t>
  </si>
  <si>
    <t>Manikchhari</t>
  </si>
  <si>
    <t>BD204670</t>
  </si>
  <si>
    <t>Matiranga</t>
  </si>
  <si>
    <t>BD204677</t>
  </si>
  <si>
    <t>Panchhari</t>
  </si>
  <si>
    <t>BD204680</t>
  </si>
  <si>
    <t>Ramgarh</t>
  </si>
  <si>
    <t>BD205133</t>
  </si>
  <si>
    <t>Lakshmipur</t>
  </si>
  <si>
    <t>Kamalnagar</t>
  </si>
  <si>
    <t>BD205143</t>
  </si>
  <si>
    <t>Lakshmipur Sadar</t>
  </si>
  <si>
    <t>BD205158</t>
  </si>
  <si>
    <t>Roypur</t>
  </si>
  <si>
    <t>BD205165</t>
  </si>
  <si>
    <t>Ramganj</t>
  </si>
  <si>
    <t>BD205173</t>
  </si>
  <si>
    <t>Ramgati</t>
  </si>
  <si>
    <t>BD207507</t>
  </si>
  <si>
    <t>Noakhali</t>
  </si>
  <si>
    <t>Begumganj</t>
  </si>
  <si>
    <t>BD207510</t>
  </si>
  <si>
    <t>Chatkhil</t>
  </si>
  <si>
    <t>BD207521</t>
  </si>
  <si>
    <t>BD207536</t>
  </si>
  <si>
    <t>Hatiya</t>
  </si>
  <si>
    <t>BD207547</t>
  </si>
  <si>
    <t>Kabirhat</t>
  </si>
  <si>
    <t>BD207580</t>
  </si>
  <si>
    <t>Senbagh</t>
  </si>
  <si>
    <t>BD207583</t>
  </si>
  <si>
    <t>Sonaimuri</t>
  </si>
  <si>
    <t>BD207585</t>
  </si>
  <si>
    <t>Subarnachar</t>
  </si>
  <si>
    <t>BD207587</t>
  </si>
  <si>
    <t>BD208407</t>
  </si>
  <si>
    <t>Rangamati</t>
  </si>
  <si>
    <t>Baghai Chhari</t>
  </si>
  <si>
    <t>BD208421</t>
  </si>
  <si>
    <t>Barkal</t>
  </si>
  <si>
    <t>BD208425</t>
  </si>
  <si>
    <t>BD208429</t>
  </si>
  <si>
    <t>Belai Chhari</t>
  </si>
  <si>
    <t>BD208436</t>
  </si>
  <si>
    <t>Kaptai</t>
  </si>
  <si>
    <t>BD208447</t>
  </si>
  <si>
    <t>Jurai Chhari</t>
  </si>
  <si>
    <t>BD208458</t>
  </si>
  <si>
    <t>Langadu</t>
  </si>
  <si>
    <t>BD208475</t>
  </si>
  <si>
    <t>Naniarchar</t>
  </si>
  <si>
    <t>BD208478</t>
  </si>
  <si>
    <t>Rajasthali</t>
  </si>
  <si>
    <t>BD208487</t>
  </si>
  <si>
    <t>Rangamati Sadar</t>
  </si>
  <si>
    <t>BD302602</t>
  </si>
  <si>
    <t>Dhaka</t>
  </si>
  <si>
    <t>Adabor</t>
  </si>
  <si>
    <t>BD302604</t>
  </si>
  <si>
    <t>Badda</t>
  </si>
  <si>
    <t>BD302605</t>
  </si>
  <si>
    <t>Bangshal</t>
  </si>
  <si>
    <t>BD302606</t>
  </si>
  <si>
    <t>BD302608</t>
  </si>
  <si>
    <t>Cantonment</t>
  </si>
  <si>
    <t>BD302609</t>
  </si>
  <si>
    <t>BD302610</t>
  </si>
  <si>
    <t>Dakshinkhan</t>
  </si>
  <si>
    <t>BD302611</t>
  </si>
  <si>
    <t>Darus Salam</t>
  </si>
  <si>
    <t>BD302612</t>
  </si>
  <si>
    <t>Demra</t>
  </si>
  <si>
    <t>BD302614</t>
  </si>
  <si>
    <t>Dhamrai</t>
  </si>
  <si>
    <t>BD302616</t>
  </si>
  <si>
    <t>Dhanmondi</t>
  </si>
  <si>
    <t>BD302618</t>
  </si>
  <si>
    <t>Dohar</t>
  </si>
  <si>
    <t>BD302624</t>
  </si>
  <si>
    <t>Gendaria</t>
  </si>
  <si>
    <t>BD302626</t>
  </si>
  <si>
    <t>Gulshan</t>
  </si>
  <si>
    <t>BD302628</t>
  </si>
  <si>
    <t>Hazaribagh</t>
  </si>
  <si>
    <t>BD302629</t>
  </si>
  <si>
    <t>Jatrabari</t>
  </si>
  <si>
    <t>BD302630</t>
  </si>
  <si>
    <t>Kafrul</t>
  </si>
  <si>
    <t>BD302632</t>
  </si>
  <si>
    <t>Kadamtali</t>
  </si>
  <si>
    <t>BD302633</t>
  </si>
  <si>
    <t>Kalabagan</t>
  </si>
  <si>
    <t>BD302634</t>
  </si>
  <si>
    <t>Kamrangir Char</t>
  </si>
  <si>
    <t>BD302636</t>
  </si>
  <si>
    <t>Khilgaon</t>
  </si>
  <si>
    <t>BD302637</t>
  </si>
  <si>
    <t>Khilkhet</t>
  </si>
  <si>
    <t>BD302638</t>
  </si>
  <si>
    <t>Keraniganj</t>
  </si>
  <si>
    <t>BD302640</t>
  </si>
  <si>
    <t>BD302642</t>
  </si>
  <si>
    <t>Lalbagh</t>
  </si>
  <si>
    <t>BD302648</t>
  </si>
  <si>
    <t>BD302650</t>
  </si>
  <si>
    <t>BD302654</t>
  </si>
  <si>
    <t>Motijheel</t>
  </si>
  <si>
    <t>BD302662</t>
  </si>
  <si>
    <t>Nawabganj</t>
  </si>
  <si>
    <t>BD302663</t>
  </si>
  <si>
    <t>New Market</t>
  </si>
  <si>
    <t>BD302664</t>
  </si>
  <si>
    <t>Pallabi</t>
  </si>
  <si>
    <t>BD302665</t>
  </si>
  <si>
    <t>Paltan</t>
  </si>
  <si>
    <t>BD302666</t>
  </si>
  <si>
    <t>Ramna</t>
  </si>
  <si>
    <t>BD302667</t>
  </si>
  <si>
    <t>Rampura</t>
  </si>
  <si>
    <t>BD302668</t>
  </si>
  <si>
    <t>Sabujbagh</t>
  </si>
  <si>
    <t>BD302672</t>
  </si>
  <si>
    <t>Savar</t>
  </si>
  <si>
    <t>BD302674</t>
  </si>
  <si>
    <t>Shah Ali</t>
  </si>
  <si>
    <t>BD302675</t>
  </si>
  <si>
    <t>Shahbagh</t>
  </si>
  <si>
    <t>BD302676</t>
  </si>
  <si>
    <t>Shyampur</t>
  </si>
  <si>
    <t>BD302680</t>
  </si>
  <si>
    <t>BD302688</t>
  </si>
  <si>
    <t>Sutrapur</t>
  </si>
  <si>
    <t>BD302690</t>
  </si>
  <si>
    <t>Tejgaon</t>
  </si>
  <si>
    <t>BD302692</t>
  </si>
  <si>
    <t>Tejgaon Ind. Area</t>
  </si>
  <si>
    <t>BD302693</t>
  </si>
  <si>
    <t>Turag</t>
  </si>
  <si>
    <t>BD302695</t>
  </si>
  <si>
    <t>Uttara</t>
  </si>
  <si>
    <t>BD302696</t>
  </si>
  <si>
    <t>Uttar Khan</t>
  </si>
  <si>
    <t>BD302903</t>
  </si>
  <si>
    <t>Faridpur</t>
  </si>
  <si>
    <t>Alfadanga</t>
  </si>
  <si>
    <t>BD302910</t>
  </si>
  <si>
    <t>Bhanga</t>
  </si>
  <si>
    <t>BD302918</t>
  </si>
  <si>
    <t>Boalmari</t>
  </si>
  <si>
    <t>BD302921</t>
  </si>
  <si>
    <t>Char Bhadrasan</t>
  </si>
  <si>
    <t>BD302947</t>
  </si>
  <si>
    <t>Faridpur Sadar</t>
  </si>
  <si>
    <t>BD302956</t>
  </si>
  <si>
    <t>Madhukhali</t>
  </si>
  <si>
    <t>BD302962</t>
  </si>
  <si>
    <t>Nagarkanda</t>
  </si>
  <si>
    <t>BD302984</t>
  </si>
  <si>
    <t>Sadarpur</t>
  </si>
  <si>
    <t>BD302990</t>
  </si>
  <si>
    <t>Saltha</t>
  </si>
  <si>
    <t>BD303330</t>
  </si>
  <si>
    <t>Gazipur</t>
  </si>
  <si>
    <t>Gazipur Sadar</t>
  </si>
  <si>
    <t>BD303332</t>
  </si>
  <si>
    <t>Kaliakair</t>
  </si>
  <si>
    <t>BD303334</t>
  </si>
  <si>
    <t>BD303336</t>
  </si>
  <si>
    <t>Kapasia</t>
  </si>
  <si>
    <t>BD303386</t>
  </si>
  <si>
    <t>BD303532</t>
  </si>
  <si>
    <t>Gopalganj</t>
  </si>
  <si>
    <t>Gopalganj Sadar</t>
  </si>
  <si>
    <t>BD303543</t>
  </si>
  <si>
    <t>Kashiani</t>
  </si>
  <si>
    <t>BD303551</t>
  </si>
  <si>
    <t>BD303558</t>
  </si>
  <si>
    <t>Muksudpur</t>
  </si>
  <si>
    <t>BD303591</t>
  </si>
  <si>
    <t>BD304802</t>
  </si>
  <si>
    <t>Kishoreganj</t>
  </si>
  <si>
    <t>Austagram</t>
  </si>
  <si>
    <t>BD304806</t>
  </si>
  <si>
    <t>Bajitpur</t>
  </si>
  <si>
    <t>BD304811</t>
  </si>
  <si>
    <t>Bhairab</t>
  </si>
  <si>
    <t>BD304827</t>
  </si>
  <si>
    <t>Hossainpur</t>
  </si>
  <si>
    <t>BD304833</t>
  </si>
  <si>
    <t>Itna</t>
  </si>
  <si>
    <t>BD304842</t>
  </si>
  <si>
    <t>Karimganj</t>
  </si>
  <si>
    <t>BD304845</t>
  </si>
  <si>
    <t>Katiadi</t>
  </si>
  <si>
    <t>BD304849</t>
  </si>
  <si>
    <t>Kishoreganj Sadar</t>
  </si>
  <si>
    <t>BD304854</t>
  </si>
  <si>
    <t>Kuliar Char</t>
  </si>
  <si>
    <t>BD304859</t>
  </si>
  <si>
    <t>Mithamain</t>
  </si>
  <si>
    <t>BD304876</t>
  </si>
  <si>
    <t>Nikli</t>
  </si>
  <si>
    <t>BD304879</t>
  </si>
  <si>
    <t>Pakundia</t>
  </si>
  <si>
    <t>BD304892</t>
  </si>
  <si>
    <t>Tarail</t>
  </si>
  <si>
    <t>BD305440</t>
  </si>
  <si>
    <t>Madaripur</t>
  </si>
  <si>
    <t>Kalkini</t>
  </si>
  <si>
    <t>BD305454</t>
  </si>
  <si>
    <t>Madaripur Sadar</t>
  </si>
  <si>
    <t>BD305480</t>
  </si>
  <si>
    <t>Rajoir</t>
  </si>
  <si>
    <t>BD305487</t>
  </si>
  <si>
    <t>Shib Char</t>
  </si>
  <si>
    <t>Manikganj</t>
  </si>
  <si>
    <t>Ghior</t>
  </si>
  <si>
    <t>BD305628</t>
  </si>
  <si>
    <t>Harirampur</t>
  </si>
  <si>
    <t>BD305646</t>
  </si>
  <si>
    <t>Manikganj Sadar</t>
  </si>
  <si>
    <t>BD305670</t>
  </si>
  <si>
    <t>Saturia</t>
  </si>
  <si>
    <t>BD305678</t>
  </si>
  <si>
    <t>Shibalaya</t>
  </si>
  <si>
    <t>BD305682</t>
  </si>
  <si>
    <t>Singair</t>
  </si>
  <si>
    <t>BD305924</t>
  </si>
  <si>
    <t>Munshiganj</t>
  </si>
  <si>
    <t>Gazaria</t>
  </si>
  <si>
    <t>BD305944</t>
  </si>
  <si>
    <t>Lohajang</t>
  </si>
  <si>
    <t>BD305956</t>
  </si>
  <si>
    <t>Munshiganj Sadar</t>
  </si>
  <si>
    <t>BD305974</t>
  </si>
  <si>
    <t>Serajdikhan</t>
  </si>
  <si>
    <t>BD305984</t>
  </si>
  <si>
    <t>Sreenagar</t>
  </si>
  <si>
    <t>BD305994</t>
  </si>
  <si>
    <t>Tongibari</t>
  </si>
  <si>
    <t>BD306702</t>
  </si>
  <si>
    <t>Narayanganj</t>
  </si>
  <si>
    <t>Araihazar</t>
  </si>
  <si>
    <t>BD306704</t>
  </si>
  <si>
    <t>Sonargaon</t>
  </si>
  <si>
    <t>BD306706</t>
  </si>
  <si>
    <t>Bandar</t>
  </si>
  <si>
    <t>BD306758</t>
  </si>
  <si>
    <t>Narayanganj Sadar</t>
  </si>
  <si>
    <t>BD306768</t>
  </si>
  <si>
    <t>Rupganj</t>
  </si>
  <si>
    <t>BD306807</t>
  </si>
  <si>
    <t>Narsingdi</t>
  </si>
  <si>
    <t>Belabo</t>
  </si>
  <si>
    <t>BD306852</t>
  </si>
  <si>
    <t>Manohardi</t>
  </si>
  <si>
    <t>BD306860</t>
  </si>
  <si>
    <t>Narsingdi Sadar</t>
  </si>
  <si>
    <t>BD306863</t>
  </si>
  <si>
    <t>Palash</t>
  </si>
  <si>
    <t>BD306864</t>
  </si>
  <si>
    <t>Roypura</t>
  </si>
  <si>
    <t>BD306876</t>
  </si>
  <si>
    <t>Shibpur</t>
  </si>
  <si>
    <t>BD308207</t>
  </si>
  <si>
    <t>Rajbari</t>
  </si>
  <si>
    <t>BD308229</t>
  </si>
  <si>
    <t>BD308247</t>
  </si>
  <si>
    <t>Kalukhali</t>
  </si>
  <si>
    <t>BD308273</t>
  </si>
  <si>
    <t>Pangsha</t>
  </si>
  <si>
    <t>BD308276</t>
  </si>
  <si>
    <t>Rajbari Sadar</t>
  </si>
  <si>
    <t>BD308614</t>
  </si>
  <si>
    <t>Shariatpur</t>
  </si>
  <si>
    <t>Bhedarganj</t>
  </si>
  <si>
    <t>BD308625</t>
  </si>
  <si>
    <t>Damudya</t>
  </si>
  <si>
    <t>BD308636</t>
  </si>
  <si>
    <t>Gosairhat</t>
  </si>
  <si>
    <t>BD308665</t>
  </si>
  <si>
    <t>Naria</t>
  </si>
  <si>
    <t>BD308669</t>
  </si>
  <si>
    <t>Shariatpur Sadar</t>
  </si>
  <si>
    <t>BD308694</t>
  </si>
  <si>
    <t>Zanjira</t>
  </si>
  <si>
    <t>BD309309</t>
  </si>
  <si>
    <t>Tangail</t>
  </si>
  <si>
    <t>Basail</t>
  </si>
  <si>
    <t>BD309319</t>
  </si>
  <si>
    <t>Bhuapur</t>
  </si>
  <si>
    <t>BD309323</t>
  </si>
  <si>
    <t>Delduar</t>
  </si>
  <si>
    <t>BD309325</t>
  </si>
  <si>
    <t>Dhanbari</t>
  </si>
  <si>
    <t>BD309328</t>
  </si>
  <si>
    <t>Ghatail</t>
  </si>
  <si>
    <t>BD309338</t>
  </si>
  <si>
    <t>Gopalpur</t>
  </si>
  <si>
    <t>BD309347</t>
  </si>
  <si>
    <t>Kalihati</t>
  </si>
  <si>
    <t>BD309357</t>
  </si>
  <si>
    <t>Madhupur</t>
  </si>
  <si>
    <t>BD309366</t>
  </si>
  <si>
    <t>Mirzapur</t>
  </si>
  <si>
    <t>BD309376</t>
  </si>
  <si>
    <t>Nagarpur</t>
  </si>
  <si>
    <t>BD309385</t>
  </si>
  <si>
    <t>BD309395</t>
  </si>
  <si>
    <t>Tangail Sadar</t>
  </si>
  <si>
    <t>BD400108</t>
  </si>
  <si>
    <t>Bagerhat</t>
  </si>
  <si>
    <t>Bagerhat Sadar</t>
  </si>
  <si>
    <t>BD400114</t>
  </si>
  <si>
    <t>Chitalmari</t>
  </si>
  <si>
    <t>BD400134</t>
  </si>
  <si>
    <t>Fakirhat</t>
  </si>
  <si>
    <t>BD400138</t>
  </si>
  <si>
    <t>BD400156</t>
  </si>
  <si>
    <t>Mollahat</t>
  </si>
  <si>
    <t>BD400158</t>
  </si>
  <si>
    <t>Mongla</t>
  </si>
  <si>
    <t>BD400160</t>
  </si>
  <si>
    <t>Morrelganj</t>
  </si>
  <si>
    <t>BD400173</t>
  </si>
  <si>
    <t>Rampal</t>
  </si>
  <si>
    <t>BD400177</t>
  </si>
  <si>
    <t>Sarankhola</t>
  </si>
  <si>
    <t>BD401807</t>
  </si>
  <si>
    <t>Chuadanga</t>
  </si>
  <si>
    <t>Alamdanga</t>
  </si>
  <si>
    <t>BD401823</t>
  </si>
  <si>
    <t>Chuadanga Sadar</t>
  </si>
  <si>
    <t>BD401831</t>
  </si>
  <si>
    <t>Damurhuda</t>
  </si>
  <si>
    <t>BD401855</t>
  </si>
  <si>
    <t>Jiban Nagar</t>
  </si>
  <si>
    <t>BD404104</t>
  </si>
  <si>
    <t>Abhaynagar</t>
  </si>
  <si>
    <t>BD404109</t>
  </si>
  <si>
    <t>Bagher Para</t>
  </si>
  <si>
    <t>BD404111</t>
  </si>
  <si>
    <t>Chaugachha</t>
  </si>
  <si>
    <t>BD404123</t>
  </si>
  <si>
    <t>Jhikargachha</t>
  </si>
  <si>
    <t>BD404138</t>
  </si>
  <si>
    <t>Keshabpur</t>
  </si>
  <si>
    <t>BD404147</t>
  </si>
  <si>
    <t>BD404161</t>
  </si>
  <si>
    <t>Manirampur</t>
  </si>
  <si>
    <t>BD404190</t>
  </si>
  <si>
    <t>Sharsha</t>
  </si>
  <si>
    <t>BD404414</t>
  </si>
  <si>
    <t>Jhenaidah</t>
  </si>
  <si>
    <t>Harinakunda</t>
  </si>
  <si>
    <t>BD404419</t>
  </si>
  <si>
    <t>BD404433</t>
  </si>
  <si>
    <t>BD404442</t>
  </si>
  <si>
    <t>Kotchandpur</t>
  </si>
  <si>
    <t>BD404471</t>
  </si>
  <si>
    <t>Maheshpur</t>
  </si>
  <si>
    <t>BD404480</t>
  </si>
  <si>
    <t>Shailkupa</t>
  </si>
  <si>
    <t>BD404712</t>
  </si>
  <si>
    <t>Khulna</t>
  </si>
  <si>
    <t>Batiaghata</t>
  </si>
  <si>
    <t>BD404717</t>
  </si>
  <si>
    <t>Dacope</t>
  </si>
  <si>
    <t>BD404730</t>
  </si>
  <si>
    <t>Dumuria</t>
  </si>
  <si>
    <t>BD404740</t>
  </si>
  <si>
    <t>Dighalia</t>
  </si>
  <si>
    <t>BD404748</t>
  </si>
  <si>
    <t>Khan Jahan Ali</t>
  </si>
  <si>
    <t>BD404753</t>
  </si>
  <si>
    <t>Koyra</t>
  </si>
  <si>
    <t>BD404764</t>
  </si>
  <si>
    <t>Paikgachha</t>
  </si>
  <si>
    <t>BD404769</t>
  </si>
  <si>
    <t>Phultala</t>
  </si>
  <si>
    <t>BD404775</t>
  </si>
  <si>
    <t>Rupsa</t>
  </si>
  <si>
    <t>BD404794</t>
  </si>
  <si>
    <t>Terokhada</t>
  </si>
  <si>
    <t>BD405015</t>
  </si>
  <si>
    <t>Kushtia</t>
  </si>
  <si>
    <t>Bheramara</t>
  </si>
  <si>
    <t>BD405039</t>
  </si>
  <si>
    <t>BD405063</t>
  </si>
  <si>
    <t>Khoksa</t>
  </si>
  <si>
    <t>BD405071</t>
  </si>
  <si>
    <t>Kumarkhali</t>
  </si>
  <si>
    <t>BD405079</t>
  </si>
  <si>
    <t>Kushtia Sadar</t>
  </si>
  <si>
    <t>BD405094</t>
  </si>
  <si>
    <t>BD405557</t>
  </si>
  <si>
    <t>Magura</t>
  </si>
  <si>
    <t>Magura Sadar</t>
  </si>
  <si>
    <t>BD405566</t>
  </si>
  <si>
    <t>BD405585</t>
  </si>
  <si>
    <t>Shalikha</t>
  </si>
  <si>
    <t>BD405595</t>
  </si>
  <si>
    <t>BD405747</t>
  </si>
  <si>
    <t>Meherpur</t>
  </si>
  <si>
    <t>Gangni</t>
  </si>
  <si>
    <t>BD405760</t>
  </si>
  <si>
    <t>Meherpur Sadar</t>
  </si>
  <si>
    <t>BD405787</t>
  </si>
  <si>
    <t>Mujib Nagar</t>
  </si>
  <si>
    <t>BD406528</t>
  </si>
  <si>
    <t>Narail</t>
  </si>
  <si>
    <t>Kalia</t>
  </si>
  <si>
    <t>BD406552</t>
  </si>
  <si>
    <t>BD406576</t>
  </si>
  <si>
    <t>Narail Sadar</t>
  </si>
  <si>
    <t>BD408704</t>
  </si>
  <si>
    <t>Satkhira</t>
  </si>
  <si>
    <t>Assasuni</t>
  </si>
  <si>
    <t>BD408725</t>
  </si>
  <si>
    <t>Debhata</t>
  </si>
  <si>
    <t>BD408743</t>
  </si>
  <si>
    <t>Kalaroa</t>
  </si>
  <si>
    <t>BD408747</t>
  </si>
  <si>
    <t>BD408782</t>
  </si>
  <si>
    <t>Satkhira Sadar</t>
  </si>
  <si>
    <t>BD408786</t>
  </si>
  <si>
    <t>Shyamnagar</t>
  </si>
  <si>
    <t>BD408790</t>
  </si>
  <si>
    <t>Tala</t>
  </si>
  <si>
    <t>BD453907</t>
  </si>
  <si>
    <t>Jamalpur</t>
  </si>
  <si>
    <t>Bakshiganj</t>
  </si>
  <si>
    <t>BD453915</t>
  </si>
  <si>
    <t>Dewanganj</t>
  </si>
  <si>
    <t>BD453929</t>
  </si>
  <si>
    <t>Islampur</t>
  </si>
  <si>
    <t>BD453936</t>
  </si>
  <si>
    <t>Jamalpur Sadar</t>
  </si>
  <si>
    <t>BD453958</t>
  </si>
  <si>
    <t>Madarganj</t>
  </si>
  <si>
    <t>BD453961</t>
  </si>
  <si>
    <t>Melandaha</t>
  </si>
  <si>
    <t>BD453985</t>
  </si>
  <si>
    <t>Sarishabari</t>
  </si>
  <si>
    <t>BD456113</t>
  </si>
  <si>
    <t>Mymensingh</t>
  </si>
  <si>
    <t>Bhaluka</t>
  </si>
  <si>
    <t>BD456116</t>
  </si>
  <si>
    <t>Dhobaura</t>
  </si>
  <si>
    <t>BD456120</t>
  </si>
  <si>
    <t>Fulbaria</t>
  </si>
  <si>
    <t>BD456122</t>
  </si>
  <si>
    <t>Gaffargaon</t>
  </si>
  <si>
    <t>BD456123</t>
  </si>
  <si>
    <t>Gauripur</t>
  </si>
  <si>
    <t>BD456124</t>
  </si>
  <si>
    <t>Haluaghat</t>
  </si>
  <si>
    <t>BD456131</t>
  </si>
  <si>
    <t>Ishwarganj</t>
  </si>
  <si>
    <t>BD456152</t>
  </si>
  <si>
    <t>Mymensingh Sadar</t>
  </si>
  <si>
    <t>BD456165</t>
  </si>
  <si>
    <t>Muktagachha</t>
  </si>
  <si>
    <t>BD456172</t>
  </si>
  <si>
    <t>Nandail</t>
  </si>
  <si>
    <t>BD456181</t>
  </si>
  <si>
    <t>Phulpur</t>
  </si>
  <si>
    <t>BD456194</t>
  </si>
  <si>
    <t>Trishal</t>
  </si>
  <si>
    <t>BD457204</t>
  </si>
  <si>
    <t>Netrakona</t>
  </si>
  <si>
    <t>Atpara</t>
  </si>
  <si>
    <t>BD457209</t>
  </si>
  <si>
    <t>Barhatta</t>
  </si>
  <si>
    <t>BD457218</t>
  </si>
  <si>
    <t>BD457238</t>
  </si>
  <si>
    <t>Khaliajuri</t>
  </si>
  <si>
    <t>BD457240</t>
  </si>
  <si>
    <t>Kalmakanda</t>
  </si>
  <si>
    <t>BD457247</t>
  </si>
  <si>
    <t>Kendua</t>
  </si>
  <si>
    <t>BD457256</t>
  </si>
  <si>
    <t>Madan</t>
  </si>
  <si>
    <t>BD457263</t>
  </si>
  <si>
    <t>BD457274</t>
  </si>
  <si>
    <t>Netrokona Sadar</t>
  </si>
  <si>
    <t>BD457283</t>
  </si>
  <si>
    <t>Purbadhala</t>
  </si>
  <si>
    <t>BD458937</t>
  </si>
  <si>
    <t>Sherpur</t>
  </si>
  <si>
    <t>Jhenaigati</t>
  </si>
  <si>
    <t>BD458967</t>
  </si>
  <si>
    <t>Nakla</t>
  </si>
  <si>
    <t>BD458970</t>
  </si>
  <si>
    <t>Nalitabari</t>
  </si>
  <si>
    <t>BD458988</t>
  </si>
  <si>
    <t>Sherpur Sadar</t>
  </si>
  <si>
    <t>BD458990</t>
  </si>
  <si>
    <t>Sreebardi</t>
  </si>
  <si>
    <t>BD501006</t>
  </si>
  <si>
    <t>Adamdighi</t>
  </si>
  <si>
    <t>BD501020</t>
  </si>
  <si>
    <t>Bogra Sadar</t>
  </si>
  <si>
    <t>BD501027</t>
  </si>
  <si>
    <t>Dhunat</t>
  </si>
  <si>
    <t>BD501033</t>
  </si>
  <si>
    <t>Dhupchanchia</t>
  </si>
  <si>
    <t>BD501040</t>
  </si>
  <si>
    <t>Gabtali</t>
  </si>
  <si>
    <t>BD501054</t>
  </si>
  <si>
    <t>Kahaloo</t>
  </si>
  <si>
    <t>BD501067</t>
  </si>
  <si>
    <t>Nandigram</t>
  </si>
  <si>
    <t>BD501081</t>
  </si>
  <si>
    <t>Sariakandi</t>
  </si>
  <si>
    <t>BD501085</t>
  </si>
  <si>
    <t>Shajahanpur</t>
  </si>
  <si>
    <t>BD501088</t>
  </si>
  <si>
    <t>BD501094</t>
  </si>
  <si>
    <t>BD501095</t>
  </si>
  <si>
    <t>Sonatola</t>
  </si>
  <si>
    <t>BD503813</t>
  </si>
  <si>
    <t>Joypurhat</t>
  </si>
  <si>
    <t>Akkelpur</t>
  </si>
  <si>
    <t>BD503847</t>
  </si>
  <si>
    <t>Joypurhat Sadar</t>
  </si>
  <si>
    <t>BD503858</t>
  </si>
  <si>
    <t>Kalai</t>
  </si>
  <si>
    <t>BD503861</t>
  </si>
  <si>
    <t>Khetlal</t>
  </si>
  <si>
    <t>BD503874</t>
  </si>
  <si>
    <t>Panchbibi</t>
  </si>
  <si>
    <t>BD506403</t>
  </si>
  <si>
    <t>Naogaon</t>
  </si>
  <si>
    <t>Atrai</t>
  </si>
  <si>
    <t>BD506406</t>
  </si>
  <si>
    <t>Badalgachhi</t>
  </si>
  <si>
    <t>BD506428</t>
  </si>
  <si>
    <t>Dhamoirhat</t>
  </si>
  <si>
    <t>BD506447</t>
  </si>
  <si>
    <t>Manda</t>
  </si>
  <si>
    <t>BD506450</t>
  </si>
  <si>
    <t>Mahadebpur</t>
  </si>
  <si>
    <t>BD506460</t>
  </si>
  <si>
    <t>Naogaon Sadar</t>
  </si>
  <si>
    <t>BD506469</t>
  </si>
  <si>
    <t>Niamatpur</t>
  </si>
  <si>
    <t>BD506475</t>
  </si>
  <si>
    <t>Patnitala</t>
  </si>
  <si>
    <t>BD506479</t>
  </si>
  <si>
    <t>Porsha</t>
  </si>
  <si>
    <t>BD506485</t>
  </si>
  <si>
    <t>Raninagar</t>
  </si>
  <si>
    <t>BD506486</t>
  </si>
  <si>
    <t>Sapahar</t>
  </si>
  <si>
    <t>BD506909</t>
  </si>
  <si>
    <t>Natore</t>
  </si>
  <si>
    <t>Bagati Para</t>
  </si>
  <si>
    <t>BD506915</t>
  </si>
  <si>
    <t>Baraigram</t>
  </si>
  <si>
    <t>BD506941</t>
  </si>
  <si>
    <t>Gurudaspur</t>
  </si>
  <si>
    <t>BD506944</t>
  </si>
  <si>
    <t>Lalpur</t>
  </si>
  <si>
    <t>BD506963</t>
  </si>
  <si>
    <t>Natore Sadar</t>
  </si>
  <si>
    <t>BD506991</t>
  </si>
  <si>
    <t>Singra</t>
  </si>
  <si>
    <t>BD507018</t>
  </si>
  <si>
    <t>Bholahat</t>
  </si>
  <si>
    <t>BD507037</t>
  </si>
  <si>
    <t>Gomastapur</t>
  </si>
  <si>
    <t>BD507056</t>
  </si>
  <si>
    <t>Nachole</t>
  </si>
  <si>
    <t>BD507066</t>
  </si>
  <si>
    <t>BD507088</t>
  </si>
  <si>
    <t>BD507605</t>
  </si>
  <si>
    <t>Pabna</t>
  </si>
  <si>
    <t>Atgharia</t>
  </si>
  <si>
    <t>BD507616</t>
  </si>
  <si>
    <t>Bera</t>
  </si>
  <si>
    <t>BD507619</t>
  </si>
  <si>
    <t>Bhangura</t>
  </si>
  <si>
    <t>BD507622</t>
  </si>
  <si>
    <t>Chatmohar</t>
  </si>
  <si>
    <t>BD507633</t>
  </si>
  <si>
    <t>BD507639</t>
  </si>
  <si>
    <t>Ishwardi</t>
  </si>
  <si>
    <t>BD507655</t>
  </si>
  <si>
    <t>Pabna Sadar</t>
  </si>
  <si>
    <t>BD507672</t>
  </si>
  <si>
    <t>Santhia</t>
  </si>
  <si>
    <t>BD507683</t>
  </si>
  <si>
    <t>Sujanagar</t>
  </si>
  <si>
    <t>BD508110</t>
  </si>
  <si>
    <t>Rajshahi</t>
  </si>
  <si>
    <t>Bagha</t>
  </si>
  <si>
    <t>BD508112</t>
  </si>
  <si>
    <t>Baghmara</t>
  </si>
  <si>
    <t>BD508122</t>
  </si>
  <si>
    <t>Boalia</t>
  </si>
  <si>
    <t>BD508125</t>
  </si>
  <si>
    <t>Charghat</t>
  </si>
  <si>
    <t>BD508131</t>
  </si>
  <si>
    <t>BD508134</t>
  </si>
  <si>
    <t>Godagari</t>
  </si>
  <si>
    <t>BD508140</t>
  </si>
  <si>
    <t>Matihar</t>
  </si>
  <si>
    <t>BD508153</t>
  </si>
  <si>
    <t>Mohanpur</t>
  </si>
  <si>
    <t>BD508172</t>
  </si>
  <si>
    <t>Paba</t>
  </si>
  <si>
    <t>BD508182</t>
  </si>
  <si>
    <t>Puthia</t>
  </si>
  <si>
    <t>BD508185</t>
  </si>
  <si>
    <t>Rajpara</t>
  </si>
  <si>
    <t>BD508190</t>
  </si>
  <si>
    <t>Shah Makhdum</t>
  </si>
  <si>
    <t>BD508194</t>
  </si>
  <si>
    <t>Tanore</t>
  </si>
  <si>
    <t>BD508811</t>
  </si>
  <si>
    <t>Sirajganj</t>
  </si>
  <si>
    <t>Belkuchi</t>
  </si>
  <si>
    <t>BD508827</t>
  </si>
  <si>
    <t>Chauhali</t>
  </si>
  <si>
    <t>BD508844</t>
  </si>
  <si>
    <t>Kamarkhanda</t>
  </si>
  <si>
    <t>BD508850</t>
  </si>
  <si>
    <t>Kazipur</t>
  </si>
  <si>
    <t>BD508861</t>
  </si>
  <si>
    <t>Royganj</t>
  </si>
  <si>
    <t>BD508867</t>
  </si>
  <si>
    <t>Shahjadpur</t>
  </si>
  <si>
    <t>BD508878</t>
  </si>
  <si>
    <t>Sirajganj Sadar</t>
  </si>
  <si>
    <t>BD508889</t>
  </si>
  <si>
    <t>Tarash</t>
  </si>
  <si>
    <t>BD508894</t>
  </si>
  <si>
    <t>Ullah Para</t>
  </si>
  <si>
    <t>BD552710</t>
  </si>
  <si>
    <t>Dinajpur</t>
  </si>
  <si>
    <t>Birampur</t>
  </si>
  <si>
    <t>BD552712</t>
  </si>
  <si>
    <t>Birganj</t>
  </si>
  <si>
    <t>BD552717</t>
  </si>
  <si>
    <t>Biral</t>
  </si>
  <si>
    <t>BD552721</t>
  </si>
  <si>
    <t>Bochaganj</t>
  </si>
  <si>
    <t>BD552730</t>
  </si>
  <si>
    <t>Chirirbandar</t>
  </si>
  <si>
    <t>BD552738</t>
  </si>
  <si>
    <t>Fulbari</t>
  </si>
  <si>
    <t>BD552743</t>
  </si>
  <si>
    <t>Ghoraghat</t>
  </si>
  <si>
    <t>BD552747</t>
  </si>
  <si>
    <t>Hakimpur</t>
  </si>
  <si>
    <t>BD552756</t>
  </si>
  <si>
    <t>Kaharole</t>
  </si>
  <si>
    <t>BD552760</t>
  </si>
  <si>
    <t>Khansama</t>
  </si>
  <si>
    <t>BD552764</t>
  </si>
  <si>
    <t>Dinajpur Sadar</t>
  </si>
  <si>
    <t>BD552769</t>
  </si>
  <si>
    <t>BD552777</t>
  </si>
  <si>
    <t>Parbatipur</t>
  </si>
  <si>
    <t>BD553221</t>
  </si>
  <si>
    <t>Gaibandha</t>
  </si>
  <si>
    <t>Fulchhari</t>
  </si>
  <si>
    <t>BD553224</t>
  </si>
  <si>
    <t>Gaibandha Sadar</t>
  </si>
  <si>
    <t>BD553230</t>
  </si>
  <si>
    <t>Gobindaganj</t>
  </si>
  <si>
    <t>BD553267</t>
  </si>
  <si>
    <t>Palashbari</t>
  </si>
  <si>
    <t>BD553282</t>
  </si>
  <si>
    <t>Sadullapur</t>
  </si>
  <si>
    <t>BD553288</t>
  </si>
  <si>
    <t>Saghatta</t>
  </si>
  <si>
    <t>BD553291</t>
  </si>
  <si>
    <t>Sundarganj</t>
  </si>
  <si>
    <t>BD554906</t>
  </si>
  <si>
    <t>Kurigram</t>
  </si>
  <si>
    <t>Bhurungamari</t>
  </si>
  <si>
    <t>BD554908</t>
  </si>
  <si>
    <t>Char Rajibpur</t>
  </si>
  <si>
    <t>BD554909</t>
  </si>
  <si>
    <t>Chilmari</t>
  </si>
  <si>
    <t>BD554918</t>
  </si>
  <si>
    <t>Phulbari</t>
  </si>
  <si>
    <t>BD554952</t>
  </si>
  <si>
    <t>Kurigram Sadar</t>
  </si>
  <si>
    <t>BD554961</t>
  </si>
  <si>
    <t>Nageshwari</t>
  </si>
  <si>
    <t>BD554977</t>
  </si>
  <si>
    <t>Rajarhat</t>
  </si>
  <si>
    <t>BD554979</t>
  </si>
  <si>
    <t>Raumari</t>
  </si>
  <si>
    <t>BD554994</t>
  </si>
  <si>
    <t>Ulipur</t>
  </si>
  <si>
    <t>BD555202</t>
  </si>
  <si>
    <t>Lalmonirhat</t>
  </si>
  <si>
    <t>Aditmari</t>
  </si>
  <si>
    <t>BD555233</t>
  </si>
  <si>
    <t>Hatibandha</t>
  </si>
  <si>
    <t>BD555239</t>
  </si>
  <si>
    <t>BD555255</t>
  </si>
  <si>
    <t>Lalmonirhat Sadar</t>
  </si>
  <si>
    <t>BD555270</t>
  </si>
  <si>
    <t>Patgram</t>
  </si>
  <si>
    <t>BD557312</t>
  </si>
  <si>
    <t>Nilphamari</t>
  </si>
  <si>
    <t>Dimla</t>
  </si>
  <si>
    <t>BD557315</t>
  </si>
  <si>
    <t>Domar</t>
  </si>
  <si>
    <t>BD557336</t>
  </si>
  <si>
    <t>Jaldhaka</t>
  </si>
  <si>
    <t>BD557345</t>
  </si>
  <si>
    <t>BD557364</t>
  </si>
  <si>
    <t>Nilphamari Sadar</t>
  </si>
  <si>
    <t>BD557385</t>
  </si>
  <si>
    <t>Saidpur</t>
  </si>
  <si>
    <t>BD557704</t>
  </si>
  <si>
    <t>Panchagarh</t>
  </si>
  <si>
    <t>Atwari</t>
  </si>
  <si>
    <t>BD557725</t>
  </si>
  <si>
    <t>Boda</t>
  </si>
  <si>
    <t>BD557734</t>
  </si>
  <si>
    <t>Debiganj</t>
  </si>
  <si>
    <t>BD557773</t>
  </si>
  <si>
    <t>Panchagarh Sadar</t>
  </si>
  <si>
    <t>BD557790</t>
  </si>
  <si>
    <t>Tentulia</t>
  </si>
  <si>
    <t>BD558503</t>
  </si>
  <si>
    <t>Rangpur</t>
  </si>
  <si>
    <t>Badarganj</t>
  </si>
  <si>
    <t>BD558527</t>
  </si>
  <si>
    <t>Gangachara</t>
  </si>
  <si>
    <t>BD558542</t>
  </si>
  <si>
    <t>Kaunia</t>
  </si>
  <si>
    <t>BD558549</t>
  </si>
  <si>
    <t>Rangpur Sadar</t>
  </si>
  <si>
    <t>BD558558</t>
  </si>
  <si>
    <t>Mitha Pukur</t>
  </si>
  <si>
    <t>BD558573</t>
  </si>
  <si>
    <t>Pirgachha</t>
  </si>
  <si>
    <t>BD558576</t>
  </si>
  <si>
    <t>BD558592</t>
  </si>
  <si>
    <t>Taraganj</t>
  </si>
  <si>
    <t>BD559408</t>
  </si>
  <si>
    <t>Thakurgaon</t>
  </si>
  <si>
    <t>Baliadangi</t>
  </si>
  <si>
    <t>BD559451</t>
  </si>
  <si>
    <t>Haripur</t>
  </si>
  <si>
    <t>BD559482</t>
  </si>
  <si>
    <t>BD559486</t>
  </si>
  <si>
    <t>Ranisankail</t>
  </si>
  <si>
    <t>BD559494</t>
  </si>
  <si>
    <t>Thakurgaon Sadar</t>
  </si>
  <si>
    <t>BD603602</t>
  </si>
  <si>
    <t>Habiganj</t>
  </si>
  <si>
    <t>Ajmiriganj</t>
  </si>
  <si>
    <t>BD603605</t>
  </si>
  <si>
    <t>Bahubal</t>
  </si>
  <si>
    <t>BD603611</t>
  </si>
  <si>
    <t>Baniachong</t>
  </si>
  <si>
    <t>BD603626</t>
  </si>
  <si>
    <t>Chunarughat</t>
  </si>
  <si>
    <t>BD603644</t>
  </si>
  <si>
    <t>Habiganj Sadar</t>
  </si>
  <si>
    <t>BD603668</t>
  </si>
  <si>
    <t>Lakhai</t>
  </si>
  <si>
    <t>BD603671</t>
  </si>
  <si>
    <t>Madhabpur</t>
  </si>
  <si>
    <t>BD603677</t>
  </si>
  <si>
    <t>Nabiganj</t>
  </si>
  <si>
    <t>BD605814</t>
  </si>
  <si>
    <t>Maulvibazar</t>
  </si>
  <si>
    <t>Barlekha</t>
  </si>
  <si>
    <t>BD605835</t>
  </si>
  <si>
    <t>Juri</t>
  </si>
  <si>
    <t>BD605856</t>
  </si>
  <si>
    <t>Kamalganj</t>
  </si>
  <si>
    <t>BD605865</t>
  </si>
  <si>
    <t>Kulaura</t>
  </si>
  <si>
    <t>BD605874</t>
  </si>
  <si>
    <t>Maulvi Bazar Sadar</t>
  </si>
  <si>
    <t>BD605880</t>
  </si>
  <si>
    <t>Rajnagar</t>
  </si>
  <si>
    <t>BD605883</t>
  </si>
  <si>
    <t>Sreemangal</t>
  </si>
  <si>
    <t>BD609018</t>
  </si>
  <si>
    <t>Sunamganj</t>
  </si>
  <si>
    <t>Bishwambarpur</t>
  </si>
  <si>
    <t>BD609023</t>
  </si>
  <si>
    <t>Chhatak</t>
  </si>
  <si>
    <t>BD609027</t>
  </si>
  <si>
    <t>Dakshin Sunamganj</t>
  </si>
  <si>
    <t>BD609029</t>
  </si>
  <si>
    <t>Derai</t>
  </si>
  <si>
    <t>BD609032</t>
  </si>
  <si>
    <t>Dharampasha</t>
  </si>
  <si>
    <t>BD609033</t>
  </si>
  <si>
    <t>Dowarabazar</t>
  </si>
  <si>
    <t>BD609047</t>
  </si>
  <si>
    <t>Jagannathpur</t>
  </si>
  <si>
    <t>BD609050</t>
  </si>
  <si>
    <t>Jamalganj</t>
  </si>
  <si>
    <t>BD609086</t>
  </si>
  <si>
    <t>Sulla</t>
  </si>
  <si>
    <t>BD609089</t>
  </si>
  <si>
    <t>Sunamganj Sadar</t>
  </si>
  <si>
    <t>BD609092</t>
  </si>
  <si>
    <t>Tahirpur</t>
  </si>
  <si>
    <t>BD609108</t>
  </si>
  <si>
    <t>Sylhet</t>
  </si>
  <si>
    <t>Balaganj</t>
  </si>
  <si>
    <t>BD609117</t>
  </si>
  <si>
    <t>Beani Bazar</t>
  </si>
  <si>
    <t>BD609120</t>
  </si>
  <si>
    <t>Bishwanath</t>
  </si>
  <si>
    <t>BD609127</t>
  </si>
  <si>
    <t>BD609131</t>
  </si>
  <si>
    <t>Dakshin Surma</t>
  </si>
  <si>
    <t>BD609135</t>
  </si>
  <si>
    <t>Fenchuganj</t>
  </si>
  <si>
    <t>BD609138</t>
  </si>
  <si>
    <t>Golabganj</t>
  </si>
  <si>
    <t>BD609141</t>
  </si>
  <si>
    <t>Gowainghat</t>
  </si>
  <si>
    <t>BD609153</t>
  </si>
  <si>
    <t>Jaintiapur</t>
  </si>
  <si>
    <t>BD609159</t>
  </si>
  <si>
    <t>Kanaighat</t>
  </si>
  <si>
    <t>BD609162</t>
  </si>
  <si>
    <t>Sylhet Sadar</t>
  </si>
  <si>
    <t>BD609194</t>
  </si>
  <si>
    <t>Zakiganj</t>
  </si>
  <si>
    <t>Upazila</t>
  </si>
  <si>
    <t>Max</t>
  </si>
  <si>
    <t>Min</t>
  </si>
  <si>
    <t>Change</t>
  </si>
  <si>
    <t>Impact_VCI+F</t>
  </si>
  <si>
    <t>VCI</t>
  </si>
  <si>
    <t>Impact_VCI</t>
  </si>
  <si>
    <t>Impact_house</t>
  </si>
  <si>
    <t>Impact_vci+fapar+house</t>
  </si>
  <si>
    <t>House</t>
  </si>
  <si>
    <t>Impact_VCI_fAPAR_house</t>
  </si>
  <si>
    <t>Norm_VCI_fAPAR_house</t>
  </si>
  <si>
    <t>Barisal Sadar (Kotwali)</t>
  </si>
  <si>
    <t>Daulatkhan</t>
  </si>
  <si>
    <t>Nesarabad (Swarupkati)</t>
  </si>
  <si>
    <t>Bijoynagar</t>
  </si>
  <si>
    <t>Kachua</t>
  </si>
  <si>
    <t>Matlab Uttar</t>
  </si>
  <si>
    <t>Kotwali</t>
  </si>
  <si>
    <t>Lohagara</t>
  </si>
  <si>
    <t>Companiganj</t>
  </si>
  <si>
    <t>Noakhali Sadar (Sudharam)</t>
  </si>
  <si>
    <t>Kawkhali (Betbunia)</t>
  </si>
  <si>
    <t>Biman Bandar</t>
  </si>
  <si>
    <t>Chak Bazar</t>
  </si>
  <si>
    <t>Mirpur</t>
  </si>
  <si>
    <t>Mohammadpur</t>
  </si>
  <si>
    <t>Sher-e-bangla Nagar</t>
  </si>
  <si>
    <t>Kaliganj</t>
  </si>
  <si>
    <t>Sreepur</t>
  </si>
  <si>
    <t>Kotali Para</t>
  </si>
  <si>
    <t>Tungi Para</t>
  </si>
  <si>
    <t>Daulatpur</t>
  </si>
  <si>
    <t>Goalandaghat</t>
  </si>
  <si>
    <t>Sakhipur</t>
  </si>
  <si>
    <t>Jhenaidah Sadar</t>
  </si>
  <si>
    <t>Durgapur</t>
  </si>
  <si>
    <t>Mohanganj</t>
  </si>
  <si>
    <t>Shibganj</t>
  </si>
  <si>
    <t>Nawabganj Sadar</t>
  </si>
  <si>
    <t>Pirganj</t>
  </si>
  <si>
    <t>Balia Kandi</t>
  </si>
  <si>
    <t>Brahamanbaria</t>
  </si>
  <si>
    <t>Chittagong</t>
  </si>
  <si>
    <t>Comilla</t>
  </si>
  <si>
    <t>Jessore</t>
  </si>
  <si>
    <t>Bogra</t>
  </si>
  <si>
    <t>Vulnerability</t>
  </si>
  <si>
    <t>Taltoli</t>
  </si>
  <si>
    <t>Rangabali</t>
  </si>
  <si>
    <t>Indurkani</t>
  </si>
  <si>
    <t>Karnaphuli</t>
  </si>
  <si>
    <t>Lalmai</t>
  </si>
  <si>
    <t>Eidgaon</t>
  </si>
  <si>
    <t>Sadar</t>
  </si>
  <si>
    <t>BD404733</t>
  </si>
  <si>
    <t>City Corporation</t>
  </si>
  <si>
    <t>BD100490</t>
  </si>
  <si>
    <t>BD107897</t>
  </si>
  <si>
    <t>BD201539</t>
  </si>
  <si>
    <t>BD201973</t>
  </si>
  <si>
    <t>BD202232</t>
  </si>
  <si>
    <t>BD305610</t>
  </si>
  <si>
    <t>BD305622</t>
  </si>
  <si>
    <t>Low</t>
  </si>
  <si>
    <t>No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</si>
</sst>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Fill="1"/>
    <xf numFmtId="0" fontId="0" fillId="0" borderId="0" xfId="0" applyFill="1"/>
    <xf numFmtId="164" fontId="0" fillId="0" borderId="0" xfId="0" applyNumberFormat="1" applyFill="1"/>
    <xf numFmtId="2" fontId="0" fillId="0" borderId="0" xfId="0" applyNumberFormat="1" applyFill="1"/>
    <xf numFmtId="166" fontId="2" fillId="0" borderId="0" xfId="0" applyNumberFormat="1" applyFont="1" applyFill="1" applyAlignment="1">
      <alignment horizontal="center"/>
    </xf>
    <xf numFmtId="166" fontId="1" fillId="0" borderId="0" xfId="0" applyNumberFormat="1" applyFont="1" applyFill="1"/>
    <xf numFmtId="1" fontId="0" fillId="0" borderId="0" xfId="0" applyNumberFormat="1" applyFill="1"/>
    <xf numFmtId="166" fontId="0" fillId="0" borderId="0" xfId="0" applyNumberFormat="1" applyFill="1"/>
    <xf numFmtId="0" fontId="0" fillId="2" borderId="0" xfId="0" applyFill="1"/>
    <xf numFmtId="164" fontId="0" fillId="3" borderId="0" xfId="0" applyNumberFormat="1" applyFill="1"/>
    <xf numFmtId="0" fontId="0" fillId="4" borderId="0" xfId="0" applyFill="1"/>
    <xf numFmtId="2" fontId="0" fillId="4" borderId="0" xfId="0" applyNumberFormat="1" applyFill="1"/>
    <xf numFmtId="166" fontId="2" fillId="4" borderId="0" xfId="0" applyNumberFormat="1" applyFont="1" applyFill="1" applyAlignment="1">
      <alignment horizontal="center"/>
    </xf>
    <xf numFmtId="0" fontId="1" fillId="0" borderId="0" xfId="0" applyFont="1"/>
    <xf numFmtId="0" fontId="0" fillId="3" borderId="0" xfId="0" applyFill="1"/>
    <xf numFmtId="164" fontId="1" fillId="0" borderId="0" xfId="0" applyNumberFormat="1" applyFont="1"/>
    <xf numFmtId="165" fontId="1" fillId="0" borderId="0" xfId="0" applyNumberFormat="1" applyFont="1" applyAlignment="1">
      <alignment wrapText="1"/>
    </xf>
    <xf numFmtId="164" fontId="0" fillId="0" borderId="0" xfId="0" applyNumberFormat="1"/>
    <xf numFmtId="2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47"/>
  <sheetViews>
    <sheetView tabSelected="1" zoomScale="77" workbookViewId="0">
      <selection activeCell="H17" sqref="H17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12.44140625" bestFit="1" customWidth="1"/>
    <col min="4" max="4" width="23.109375" customWidth="1"/>
    <col min="5" max="5" width="11.44140625" customWidth="1"/>
    <col min="6" max="6" width="12" customWidth="1"/>
    <col min="7" max="7" width="12" style="2" customWidth="1"/>
    <col min="8" max="8" width="15.109375" style="2" customWidth="1"/>
    <col min="9" max="9" width="7.109375" style="2" customWidth="1"/>
    <col min="10" max="10" width="12.77734375" style="8" customWidth="1"/>
    <col min="11" max="11" width="10.77734375" style="2" customWidth="1"/>
    <col min="12" max="12" width="16.5546875" style="2" customWidth="1"/>
    <col min="13" max="13" width="20.21875" style="2" customWidth="1"/>
    <col min="14" max="14" width="12" style="2" customWidth="1"/>
    <col min="15" max="15" width="13.88671875" style="2" customWidth="1"/>
    <col min="16" max="18" width="12" style="2" customWidth="1"/>
    <col min="19" max="19" width="16.6640625" style="2" customWidth="1"/>
    <col min="20" max="20" width="18.21875" style="8" customWidth="1"/>
    <col min="21" max="21" width="11.77734375" style="2" customWidth="1"/>
    <col min="22" max="22" width="12.6640625" style="2" bestFit="1" customWidth="1"/>
    <col min="23" max="23" width="18.5546875" style="2" bestFit="1" customWidth="1"/>
    <col min="24" max="24" width="11.77734375" style="2" bestFit="1" customWidth="1"/>
    <col min="25" max="25" width="12" style="2" bestFit="1" customWidth="1"/>
    <col min="26" max="26" width="19.44140625" style="2" bestFit="1" customWidth="1"/>
    <col min="27" max="27" width="11.77734375" style="2" bestFit="1" customWidth="1"/>
    <col min="28" max="28" width="26.33203125" style="2" bestFit="1" customWidth="1"/>
    <col min="29" max="29" width="20.44140625" style="2" bestFit="1" customWidth="1"/>
    <col min="30" max="30" width="11.77734375" style="2" bestFit="1" customWidth="1"/>
    <col min="31" max="31" width="12.77734375" style="2" bestFit="1" customWidth="1"/>
    <col min="32" max="32" width="18.6640625" style="2" bestFit="1" customWidth="1"/>
    <col min="33" max="33" width="11.77734375" style="2" bestFit="1" customWidth="1"/>
    <col min="34" max="34" width="22.109375" style="2" bestFit="1" customWidth="1"/>
    <col min="35" max="35" width="8.88671875" style="2"/>
    <col min="36" max="36" width="12.44140625" style="2" bestFit="1" customWidth="1"/>
    <col min="37" max="16384" width="8.88671875" style="2"/>
  </cols>
  <sheetData>
    <row r="1" spans="1:37" s="1" customFormat="1" x14ac:dyDescent="0.3">
      <c r="A1" s="14" t="s">
        <v>0</v>
      </c>
      <c r="B1" s="14" t="s">
        <v>1</v>
      </c>
      <c r="C1" s="14" t="s">
        <v>2</v>
      </c>
      <c r="D1" s="14" t="s">
        <v>1111</v>
      </c>
      <c r="E1" s="16" t="s">
        <v>3</v>
      </c>
      <c r="F1" s="17" t="s">
        <v>4</v>
      </c>
      <c r="G1" s="1" t="s">
        <v>5</v>
      </c>
      <c r="H1" s="1" t="s">
        <v>6</v>
      </c>
      <c r="I1" s="1" t="s">
        <v>7</v>
      </c>
      <c r="J1" s="6" t="s">
        <v>8</v>
      </c>
      <c r="K1" s="1" t="s">
        <v>9</v>
      </c>
      <c r="L1" s="1" t="s">
        <v>10</v>
      </c>
      <c r="M1" s="1" t="s">
        <v>21</v>
      </c>
      <c r="N1" s="1" t="s">
        <v>22</v>
      </c>
      <c r="O1" s="1" t="s">
        <v>1116</v>
      </c>
      <c r="P1" s="1" t="s">
        <v>11</v>
      </c>
      <c r="Q1" s="1" t="s">
        <v>12</v>
      </c>
      <c r="R1" s="1" t="s">
        <v>13</v>
      </c>
      <c r="S1" s="1" t="s">
        <v>14</v>
      </c>
      <c r="T1" s="6" t="s">
        <v>15</v>
      </c>
      <c r="U1" s="1" t="s">
        <v>16</v>
      </c>
      <c r="V1" s="1" t="s">
        <v>17</v>
      </c>
      <c r="W1" s="1" t="s">
        <v>18</v>
      </c>
      <c r="X1" s="1" t="s">
        <v>16</v>
      </c>
      <c r="Y1" s="1" t="s">
        <v>19</v>
      </c>
      <c r="Z1" s="1" t="s">
        <v>20</v>
      </c>
      <c r="AA1" s="1" t="s">
        <v>16</v>
      </c>
      <c r="AB1" s="1" t="s">
        <v>1121</v>
      </c>
      <c r="AC1" s="1" t="s">
        <v>1122</v>
      </c>
      <c r="AD1" s="1" t="s">
        <v>16</v>
      </c>
      <c r="AE1" s="1" t="s">
        <v>23</v>
      </c>
      <c r="AF1" s="1" t="s">
        <v>24</v>
      </c>
      <c r="AG1" s="1" t="s">
        <v>16</v>
      </c>
    </row>
    <row r="2" spans="1:37" x14ac:dyDescent="0.3">
      <c r="A2">
        <v>100409</v>
      </c>
      <c r="B2" t="s">
        <v>25</v>
      </c>
      <c r="C2" t="s">
        <v>26</v>
      </c>
      <c r="D2" t="s">
        <v>27</v>
      </c>
      <c r="E2" s="18">
        <v>7.5</v>
      </c>
      <c r="F2" s="19">
        <f t="shared" ref="F2:F65" si="0">(E2-$AJ$5)/$AK$5</f>
        <v>0.95555555555555549</v>
      </c>
      <c r="G2" s="2">
        <v>130.43311199999999</v>
      </c>
      <c r="H2" s="2">
        <f t="shared" ref="H2:H65" si="1">(G2-$AJ$6)/$AK$6</f>
        <v>0.95479262522518382</v>
      </c>
      <c r="I2" s="2">
        <v>206.1</v>
      </c>
      <c r="J2" s="4">
        <f t="shared" ref="J2:J65" si="2">(I2-$AJ$7)/$AK$7</f>
        <v>1</v>
      </c>
      <c r="K2" s="2">
        <v>2</v>
      </c>
      <c r="L2" s="4">
        <f t="shared" ref="L2:L65" si="3">(K2-$AJ$8)/$AK$8</f>
        <v>0.83333333333333337</v>
      </c>
      <c r="M2" s="2">
        <v>27600</v>
      </c>
      <c r="N2" s="2">
        <f t="shared" ref="N2:N65" si="4">(M2-$AJ$9)/$AK$9</f>
        <v>0.12945640705360226</v>
      </c>
      <c r="O2" s="2">
        <v>0.24034106899999999</v>
      </c>
      <c r="P2" s="2">
        <f t="shared" ref="P2:P65" si="5">(O2-$AJ$11)/$AK$11</f>
        <v>0.20018911687010307</v>
      </c>
      <c r="Q2" s="2">
        <v>0.24390000000000001</v>
      </c>
      <c r="R2" s="2">
        <f t="shared" ref="R2:R65" si="6">(Q2-$AJ$12)/$AK$12</f>
        <v>0.54690214244354374</v>
      </c>
      <c r="S2" s="2">
        <f t="shared" ref="S2:S65" si="7">F2*(R2*0.5+P2*0.5)*(H2*0.35+J2*0.35+L2*0.3)</f>
        <v>0.33344865247748012</v>
      </c>
      <c r="T2" s="5">
        <f t="shared" ref="T2:T33" si="8">(S2-$AJ$10)/$AK$10</f>
        <v>0.67278397825535385</v>
      </c>
      <c r="U2" s="2" t="str">
        <f t="shared" ref="U2:U65" si="9">IF(T2&gt;0.7,"High",IF(T2&gt;0.3,"Moderate",IF(T2&gt;0.15,"Low","No Impact")))</f>
        <v>Moderate</v>
      </c>
      <c r="V2" s="2">
        <f t="shared" ref="V2:V65" si="10">F2*(R2*1)*(H2*0.35+J2*0.35+L2*0.3)</f>
        <v>0.48819680370075347</v>
      </c>
      <c r="W2" s="2">
        <f t="shared" ref="W2:W65" si="11">(V2-$AJ$13)/$AK$13</f>
        <v>0.87942271880819389</v>
      </c>
      <c r="X2" s="2" t="str">
        <f t="shared" ref="X2:X43" si="12">IF(W2&gt;0.7,"High",IF(W2&gt;0.3,"Moderate",IF(W2&gt;0.15,"Low","No Impact")))</f>
        <v>High</v>
      </c>
      <c r="Y2" s="2">
        <f t="shared" ref="Y2:Y65" si="13">F2*(P2*1)*(H2*0.35+J2*0.35+L2*0.3)</f>
        <v>0.17870050125420683</v>
      </c>
      <c r="Z2" s="2">
        <f t="shared" ref="Z2:Z65" si="14">(Y2-$AJ$14)/$AK$14</f>
        <v>0.37916934718283551</v>
      </c>
      <c r="AA2" s="2" t="str">
        <f t="shared" ref="AA2:AA65" si="15">IF(Z2&gt;0.7,"High",IF(Z2&gt;0.3,"Moderate",IF(Z2&gt;0.15,"Low","No Impact")))</f>
        <v>Moderate</v>
      </c>
      <c r="AB2" s="2">
        <f t="shared" ref="AB2:AB65" si="16">F2*(R2*0.35+P2*0.3+N2*0.35)*(H2*0.35+J2*0.35+L2*0.3)</f>
        <v>0.26492515490469032</v>
      </c>
      <c r="AC2" s="2">
        <f t="shared" ref="AC2:AC65" si="17">(AB2-$AJ$15)/$AK$15</f>
        <v>0.7363865146699724</v>
      </c>
      <c r="AD2" s="2" t="str">
        <f t="shared" ref="AD2:AD65" si="18">IF(AC2&gt;0.7,"High",IF(AC2&gt;0.3,"Moderate",IF(AC2&gt;0.15,"Low","No Impact")))</f>
        <v>High</v>
      </c>
      <c r="AE2" s="2">
        <f t="shared" ref="AE2:AE65" si="19">F2*(N2*1)*(H2*0.35+J2*0.35+L2*0.3)</f>
        <v>0.11556035209475596</v>
      </c>
      <c r="AF2" s="2">
        <f t="shared" ref="AF2:AF65" si="20">(AE2-$AJ$16)/$AK$16</f>
        <v>0.59533659650281134</v>
      </c>
      <c r="AG2" s="2" t="str">
        <f t="shared" ref="AG2:AG39" si="21">IF(AF2&gt;0.7,"High",IF(AF2&gt;0.3,"Moderate",IF(AF2&gt;0.15,"Low","No Impact")))</f>
        <v>Moderate</v>
      </c>
    </row>
    <row r="3" spans="1:37" x14ac:dyDescent="0.3">
      <c r="A3">
        <v>100419</v>
      </c>
      <c r="B3" t="s">
        <v>28</v>
      </c>
      <c r="C3" t="s">
        <v>26</v>
      </c>
      <c r="D3" t="s">
        <v>29</v>
      </c>
      <c r="E3" s="18">
        <v>5.6</v>
      </c>
      <c r="F3" s="19">
        <f t="shared" si="0"/>
        <v>0.53333333333333321</v>
      </c>
      <c r="G3" s="2">
        <v>110.8967868</v>
      </c>
      <c r="H3" s="2">
        <f t="shared" si="1"/>
        <v>0.76590724055820558</v>
      </c>
      <c r="I3" s="2">
        <v>158.5</v>
      </c>
      <c r="J3" s="4">
        <f t="shared" si="2"/>
        <v>0.7690441533236293</v>
      </c>
      <c r="K3" s="2">
        <v>2</v>
      </c>
      <c r="L3" s="4">
        <f t="shared" si="3"/>
        <v>0.83333333333333337</v>
      </c>
      <c r="M3" s="2">
        <v>10180</v>
      </c>
      <c r="N3" s="2">
        <f t="shared" si="4"/>
        <v>4.7035055097396299E-2</v>
      </c>
      <c r="O3" s="2">
        <v>0.293002027</v>
      </c>
      <c r="P3" s="2">
        <f t="shared" si="5"/>
        <v>0.26102253604754067</v>
      </c>
      <c r="Q3" s="2">
        <v>0.2737</v>
      </c>
      <c r="R3" s="2">
        <f t="shared" si="6"/>
        <v>0.63317892298784018</v>
      </c>
      <c r="S3" s="2">
        <f t="shared" si="7"/>
        <v>0.18771863635839464</v>
      </c>
      <c r="T3" s="5">
        <f t="shared" si="8"/>
        <v>0.37875124107871538</v>
      </c>
      <c r="U3" s="2" t="str">
        <f t="shared" si="9"/>
        <v>Moderate</v>
      </c>
      <c r="V3" s="2">
        <f t="shared" si="10"/>
        <v>0.26584497887617831</v>
      </c>
      <c r="W3" s="2">
        <f t="shared" si="11"/>
        <v>0.47888497493748494</v>
      </c>
      <c r="X3" s="2" t="str">
        <f t="shared" si="12"/>
        <v>Moderate</v>
      </c>
      <c r="Y3" s="2">
        <f t="shared" si="13"/>
        <v>0.10959229384061094</v>
      </c>
      <c r="Z3" s="2">
        <f t="shared" si="14"/>
        <v>0.23253453806882202</v>
      </c>
      <c r="AA3" s="2" t="str">
        <f t="shared" si="15"/>
        <v>Low</v>
      </c>
      <c r="AB3" s="2">
        <f t="shared" si="16"/>
        <v>0.13283523952441728</v>
      </c>
      <c r="AC3" s="2">
        <f t="shared" si="17"/>
        <v>0.36922910960994898</v>
      </c>
      <c r="AD3" s="2" t="str">
        <f t="shared" si="18"/>
        <v>Moderate</v>
      </c>
      <c r="AE3" s="2">
        <f t="shared" si="19"/>
        <v>1.9748025044490206E-2</v>
      </c>
      <c r="AF3" s="2">
        <f t="shared" si="20"/>
        <v>0.10173664067758227</v>
      </c>
      <c r="AG3" s="2" t="s">
        <v>1175</v>
      </c>
    </row>
    <row r="4" spans="1:37" x14ac:dyDescent="0.3">
      <c r="A4">
        <v>100428</v>
      </c>
      <c r="B4" t="s">
        <v>30</v>
      </c>
      <c r="C4" t="s">
        <v>26</v>
      </c>
      <c r="D4" t="s">
        <v>31</v>
      </c>
      <c r="E4" s="18">
        <v>7.5</v>
      </c>
      <c r="F4" s="19">
        <f t="shared" si="0"/>
        <v>0.95555555555555549</v>
      </c>
      <c r="G4" s="2">
        <v>125.184276</v>
      </c>
      <c r="H4" s="2">
        <f t="shared" si="1"/>
        <v>0.90404467765754781</v>
      </c>
      <c r="I4" s="2">
        <v>177</v>
      </c>
      <c r="J4" s="4">
        <f t="shared" si="2"/>
        <v>0.85880640465793312</v>
      </c>
      <c r="K4" s="2">
        <v>2</v>
      </c>
      <c r="L4" s="4">
        <f t="shared" si="3"/>
        <v>0.83333333333333337</v>
      </c>
      <c r="M4" s="2">
        <v>41704</v>
      </c>
      <c r="N4" s="2">
        <f t="shared" si="4"/>
        <v>0.19618836732859246</v>
      </c>
      <c r="O4" s="2">
        <v>0.31587732099999999</v>
      </c>
      <c r="P4" s="2">
        <f t="shared" si="5"/>
        <v>0.28744785000990958</v>
      </c>
      <c r="Q4" s="2">
        <v>0.28070000000000001</v>
      </c>
      <c r="R4" s="2">
        <f t="shared" si="6"/>
        <v>0.65344528083381592</v>
      </c>
      <c r="S4" s="2">
        <f t="shared" si="7"/>
        <v>0.38974834434487265</v>
      </c>
      <c r="T4" s="5">
        <f t="shared" si="8"/>
        <v>0.78637727181845518</v>
      </c>
      <c r="U4" s="2" t="str">
        <f t="shared" si="9"/>
        <v>High</v>
      </c>
      <c r="V4" s="2">
        <f t="shared" si="10"/>
        <v>0.54135630918374766</v>
      </c>
      <c r="W4" s="2">
        <f t="shared" si="11"/>
        <v>0.97518261827490493</v>
      </c>
      <c r="X4" s="2" t="str">
        <f t="shared" si="12"/>
        <v>High</v>
      </c>
      <c r="Y4" s="2">
        <f t="shared" si="13"/>
        <v>0.23814037950599765</v>
      </c>
      <c r="Z4" s="2">
        <f t="shared" si="14"/>
        <v>0.50528975353411976</v>
      </c>
      <c r="AA4" s="2" t="str">
        <f t="shared" si="15"/>
        <v>Moderate</v>
      </c>
      <c r="AB4" s="2">
        <f t="shared" si="16"/>
        <v>0.31780411583796853</v>
      </c>
      <c r="AC4" s="2">
        <f t="shared" si="17"/>
        <v>0.88336898507764372</v>
      </c>
      <c r="AD4" s="2" t="str">
        <f t="shared" si="18"/>
        <v>High</v>
      </c>
      <c r="AE4" s="2">
        <f t="shared" si="19"/>
        <v>0.16253512506245019</v>
      </c>
      <c r="AF4" s="2">
        <f t="shared" si="20"/>
        <v>0.83733829477687205</v>
      </c>
      <c r="AG4" s="2" t="str">
        <f t="shared" si="21"/>
        <v>High</v>
      </c>
      <c r="AI4" s="1" t="s">
        <v>1112</v>
      </c>
      <c r="AJ4" s="1" t="s">
        <v>1113</v>
      </c>
      <c r="AK4" s="1" t="s">
        <v>1114</v>
      </c>
    </row>
    <row r="5" spans="1:37" x14ac:dyDescent="0.3">
      <c r="A5">
        <v>100447</v>
      </c>
      <c r="B5" t="s">
        <v>32</v>
      </c>
      <c r="C5" t="s">
        <v>26</v>
      </c>
      <c r="D5" t="s">
        <v>33</v>
      </c>
      <c r="E5" s="18">
        <v>5.6</v>
      </c>
      <c r="F5" s="19">
        <f t="shared" si="0"/>
        <v>0.53333333333333321</v>
      </c>
      <c r="G5" s="2">
        <v>110.8967868</v>
      </c>
      <c r="H5" s="2">
        <f t="shared" si="1"/>
        <v>0.76590724055820558</v>
      </c>
      <c r="I5" s="2">
        <v>148.19999999999999</v>
      </c>
      <c r="J5" s="4">
        <f t="shared" si="2"/>
        <v>0.71906841339155747</v>
      </c>
      <c r="K5" s="2">
        <v>2</v>
      </c>
      <c r="L5" s="4">
        <f t="shared" si="3"/>
        <v>0.83333333333333337</v>
      </c>
      <c r="M5" s="2">
        <v>7682</v>
      </c>
      <c r="N5" s="2">
        <f t="shared" si="4"/>
        <v>3.521596570666137E-2</v>
      </c>
      <c r="O5" s="2">
        <v>0.28942751700000002</v>
      </c>
      <c r="P5" s="2">
        <f t="shared" si="5"/>
        <v>0.25689329735834054</v>
      </c>
      <c r="Q5" s="2">
        <v>0.28239999999999998</v>
      </c>
      <c r="R5" s="2">
        <f t="shared" si="6"/>
        <v>0.65836711059640995</v>
      </c>
      <c r="S5" s="2">
        <f t="shared" si="7"/>
        <v>0.18787037332843035</v>
      </c>
      <c r="T5" s="5">
        <f t="shared" si="8"/>
        <v>0.3790573937699635</v>
      </c>
      <c r="U5" s="2" t="str">
        <f t="shared" si="9"/>
        <v>Moderate</v>
      </c>
      <c r="V5" s="2">
        <f t="shared" si="10"/>
        <v>0.27027865245761296</v>
      </c>
      <c r="W5" s="2">
        <f t="shared" si="11"/>
        <v>0.48687165827038797</v>
      </c>
      <c r="X5" s="2" t="str">
        <f t="shared" si="12"/>
        <v>Moderate</v>
      </c>
      <c r="Y5" s="2">
        <f t="shared" si="13"/>
        <v>0.10546209419924774</v>
      </c>
      <c r="Z5" s="2">
        <f t="shared" si="14"/>
        <v>0.2237710198315524</v>
      </c>
      <c r="AA5" s="2" t="str">
        <f t="shared" si="15"/>
        <v>Low</v>
      </c>
      <c r="AB5" s="2">
        <f t="shared" si="16"/>
        <v>0.1312961653309582</v>
      </c>
      <c r="AC5" s="2">
        <f t="shared" si="17"/>
        <v>0.36495109576280194</v>
      </c>
      <c r="AD5" s="2" t="str">
        <f t="shared" si="18"/>
        <v>Moderate</v>
      </c>
      <c r="AE5" s="2">
        <f t="shared" si="19"/>
        <v>1.4457167745769601E-2</v>
      </c>
      <c r="AF5" s="2">
        <f t="shared" si="20"/>
        <v>7.4479532857249481E-2</v>
      </c>
      <c r="AG5" s="2" t="s">
        <v>1175</v>
      </c>
      <c r="AH5" s="1" t="s">
        <v>1158</v>
      </c>
      <c r="AI5" s="3">
        <f>MAX(E2:E557)</f>
        <v>7.7</v>
      </c>
      <c r="AJ5" s="2">
        <f>MIN((E2:E557))</f>
        <v>3.2</v>
      </c>
      <c r="AK5" s="3">
        <f t="shared" ref="AK5:AK16" si="22">AI5-AJ5</f>
        <v>4.5</v>
      </c>
    </row>
    <row r="6" spans="1:37" x14ac:dyDescent="0.3">
      <c r="A6">
        <v>100485</v>
      </c>
      <c r="B6" t="s">
        <v>34</v>
      </c>
      <c r="C6" t="s">
        <v>26</v>
      </c>
      <c r="D6" t="s">
        <v>35</v>
      </c>
      <c r="E6" s="18">
        <v>7.5</v>
      </c>
      <c r="F6" s="19">
        <f t="shared" si="0"/>
        <v>0.95555555555555549</v>
      </c>
      <c r="G6" s="2">
        <v>125.184276</v>
      </c>
      <c r="H6" s="2">
        <f t="shared" si="1"/>
        <v>0.90404467765754781</v>
      </c>
      <c r="I6" s="2">
        <v>205.5</v>
      </c>
      <c r="J6" s="4">
        <f t="shared" si="2"/>
        <v>0.99708879184861721</v>
      </c>
      <c r="K6" s="2">
        <v>2</v>
      </c>
      <c r="L6" s="4">
        <f t="shared" si="3"/>
        <v>0.83333333333333337</v>
      </c>
      <c r="M6" s="2">
        <v>28660</v>
      </c>
      <c r="N6" s="2">
        <f t="shared" si="4"/>
        <v>0.13447171320019116</v>
      </c>
      <c r="O6" s="2">
        <v>0.48997155599999997</v>
      </c>
      <c r="P6" s="2">
        <f t="shared" si="5"/>
        <v>0.48855979282967982</v>
      </c>
      <c r="Q6" s="2">
        <v>0.26979999999999998</v>
      </c>
      <c r="R6" s="2">
        <f t="shared" si="6"/>
        <v>0.62188766647365379</v>
      </c>
      <c r="S6" s="2">
        <f t="shared" si="7"/>
        <v>0.48566108993562329</v>
      </c>
      <c r="T6" s="5">
        <f t="shared" si="8"/>
        <v>0.97989599820856066</v>
      </c>
      <c r="U6" s="2" t="str">
        <f t="shared" si="9"/>
        <v>High</v>
      </c>
      <c r="V6" s="2">
        <f t="shared" si="10"/>
        <v>0.54397286316742965</v>
      </c>
      <c r="W6" s="2">
        <f t="shared" si="11"/>
        <v>0.97989599820856077</v>
      </c>
      <c r="X6" s="2" t="str">
        <f t="shared" si="12"/>
        <v>High</v>
      </c>
      <c r="Y6" s="2">
        <f t="shared" si="13"/>
        <v>0.42734931670381704</v>
      </c>
      <c r="Z6" s="2">
        <f t="shared" si="14"/>
        <v>0.9067560543834936</v>
      </c>
      <c r="AA6" s="2" t="str">
        <f t="shared" si="15"/>
        <v>High</v>
      </c>
      <c r="AB6" s="2">
        <f t="shared" si="16"/>
        <v>0.35976372411358221</v>
      </c>
      <c r="AC6" s="2">
        <f t="shared" si="17"/>
        <v>1</v>
      </c>
      <c r="AD6" s="2" t="str">
        <f t="shared" si="18"/>
        <v>High</v>
      </c>
      <c r="AE6" s="2">
        <f t="shared" si="19"/>
        <v>0.11762407712524781</v>
      </c>
      <c r="AF6" s="2">
        <f t="shared" si="20"/>
        <v>0.60596836608034998</v>
      </c>
      <c r="AG6" s="2" t="str">
        <f t="shared" si="21"/>
        <v>Moderate</v>
      </c>
      <c r="AH6" s="1" t="s">
        <v>5</v>
      </c>
      <c r="AI6" s="2">
        <f>MAX(G1:G557)</f>
        <v>135.10888919999999</v>
      </c>
      <c r="AJ6" s="2">
        <f>MIN(G1:G557)</f>
        <v>31.679366399999999</v>
      </c>
      <c r="AK6" s="2">
        <f t="shared" si="22"/>
        <v>103.4295228</v>
      </c>
    </row>
    <row r="7" spans="1:37" x14ac:dyDescent="0.3">
      <c r="A7" s="9">
        <v>100490</v>
      </c>
      <c r="B7" s="9" t="s">
        <v>1168</v>
      </c>
      <c r="C7" s="9" t="s">
        <v>26</v>
      </c>
      <c r="D7" s="9" t="s">
        <v>1159</v>
      </c>
      <c r="E7" s="20">
        <v>7.5</v>
      </c>
      <c r="F7" s="19">
        <f t="shared" si="0"/>
        <v>0.95555555555555549</v>
      </c>
      <c r="G7" s="2">
        <v>130.43311199999999</v>
      </c>
      <c r="H7" s="2">
        <f t="shared" si="1"/>
        <v>0.95479262522518382</v>
      </c>
      <c r="I7" s="2">
        <v>206.1</v>
      </c>
      <c r="J7" s="4">
        <f t="shared" si="2"/>
        <v>1</v>
      </c>
      <c r="K7" s="2">
        <v>2</v>
      </c>
      <c r="L7" s="4">
        <f t="shared" si="3"/>
        <v>0.83333333333333337</v>
      </c>
      <c r="M7" s="2">
        <v>15422</v>
      </c>
      <c r="N7" s="2">
        <f t="shared" si="4"/>
        <v>7.1837163418546221E-2</v>
      </c>
      <c r="O7" s="2">
        <v>0.48997155599999997</v>
      </c>
      <c r="P7" s="2">
        <f t="shared" si="5"/>
        <v>0.48855979282967982</v>
      </c>
      <c r="Q7" s="2">
        <v>0.26979999999999998</v>
      </c>
      <c r="R7" s="2">
        <f t="shared" si="6"/>
        <v>0.62188766647365379</v>
      </c>
      <c r="S7" s="2">
        <f t="shared" si="7"/>
        <v>0.49562513861012358</v>
      </c>
      <c r="T7" s="5">
        <f t="shared" si="8"/>
        <v>1</v>
      </c>
      <c r="U7" s="2" t="str">
        <f t="shared" si="9"/>
        <v>High</v>
      </c>
      <c r="V7" s="2">
        <f t="shared" si="10"/>
        <v>0.55513326328703982</v>
      </c>
      <c r="W7" s="2">
        <f t="shared" si="11"/>
        <v>1</v>
      </c>
      <c r="X7" s="2" t="str">
        <f t="shared" si="12"/>
        <v>High</v>
      </c>
      <c r="Y7" s="2">
        <f t="shared" si="13"/>
        <v>0.4361170139332074</v>
      </c>
      <c r="Z7" s="2">
        <f t="shared" si="14"/>
        <v>0.92535948308924509</v>
      </c>
      <c r="AA7" s="2" t="str">
        <f t="shared" si="15"/>
        <v>High</v>
      </c>
      <c r="AB7" s="2">
        <f t="shared" si="16"/>
        <v>0.34757586346975355</v>
      </c>
      <c r="AC7" s="2">
        <f t="shared" si="17"/>
        <v>0.96612259706323034</v>
      </c>
      <c r="AD7" s="2" t="str">
        <f t="shared" si="18"/>
        <v>High</v>
      </c>
      <c r="AE7" s="2">
        <f t="shared" si="19"/>
        <v>6.4126048969506952E-2</v>
      </c>
      <c r="AF7" s="2">
        <f t="shared" si="20"/>
        <v>0.33036056959548937</v>
      </c>
      <c r="AG7" s="2" t="str">
        <f t="shared" si="21"/>
        <v>Moderate</v>
      </c>
      <c r="AH7" s="1" t="s">
        <v>7</v>
      </c>
      <c r="AI7" s="2">
        <f>MAX(I1:I557)</f>
        <v>206.1</v>
      </c>
      <c r="AJ7" s="2">
        <f>MIN(K1:K557)</f>
        <v>0</v>
      </c>
      <c r="AK7" s="2">
        <f t="shared" si="22"/>
        <v>206.1</v>
      </c>
    </row>
    <row r="8" spans="1:37" x14ac:dyDescent="0.3">
      <c r="A8">
        <v>100602</v>
      </c>
      <c r="B8" t="s">
        <v>36</v>
      </c>
      <c r="C8" t="s">
        <v>37</v>
      </c>
      <c r="D8" t="s">
        <v>38</v>
      </c>
      <c r="E8" s="18">
        <v>6.7</v>
      </c>
      <c r="F8" s="19">
        <f t="shared" si="0"/>
        <v>0.77777777777777779</v>
      </c>
      <c r="G8" s="2">
        <v>83.555769600000005</v>
      </c>
      <c r="H8" s="2">
        <f t="shared" si="1"/>
        <v>0.50156282070751279</v>
      </c>
      <c r="I8" s="2">
        <v>77.400000000000006</v>
      </c>
      <c r="J8" s="4">
        <f t="shared" si="2"/>
        <v>0.37554585152838432</v>
      </c>
      <c r="K8" s="2">
        <v>0</v>
      </c>
      <c r="L8" s="4">
        <f t="shared" si="3"/>
        <v>0</v>
      </c>
      <c r="M8" s="2">
        <v>14078</v>
      </c>
      <c r="N8" s="2">
        <f t="shared" si="4"/>
        <v>6.5478133738342964E-2</v>
      </c>
      <c r="O8" s="2">
        <v>0.32019587300000002</v>
      </c>
      <c r="P8" s="2">
        <f t="shared" si="5"/>
        <v>0.29243659867748151</v>
      </c>
      <c r="Q8" s="2">
        <v>0.28499999999999998</v>
      </c>
      <c r="R8" s="2">
        <f t="shared" si="6"/>
        <v>0.66589461493920088</v>
      </c>
      <c r="S8" s="2">
        <f t="shared" si="7"/>
        <v>0.11440963971816573</v>
      </c>
      <c r="T8" s="5">
        <f t="shared" si="8"/>
        <v>0.23083905719351422</v>
      </c>
      <c r="U8" s="2" t="str">
        <f t="shared" si="9"/>
        <v>Low</v>
      </c>
      <c r="V8" s="2">
        <f t="shared" si="10"/>
        <v>0.15899463964644148</v>
      </c>
      <c r="W8" s="2">
        <f t="shared" si="11"/>
        <v>0.28640805759865079</v>
      </c>
      <c r="X8" s="2" t="s">
        <v>1175</v>
      </c>
      <c r="Y8" s="2">
        <f t="shared" si="13"/>
        <v>6.9824639789889981E-2</v>
      </c>
      <c r="Z8" s="2">
        <f t="shared" si="14"/>
        <v>0.14815494584845751</v>
      </c>
      <c r="AA8" s="2" t="str">
        <f t="shared" si="15"/>
        <v>No Impact</v>
      </c>
      <c r="AB8" s="2">
        <f t="shared" si="16"/>
        <v>8.2067455690359517E-2</v>
      </c>
      <c r="AC8" s="2">
        <f t="shared" si="17"/>
        <v>0.22811487148284501</v>
      </c>
      <c r="AD8" s="2" t="str">
        <f t="shared" si="18"/>
        <v>Low</v>
      </c>
      <c r="AE8" s="2">
        <f t="shared" si="19"/>
        <v>1.5634113934680012E-2</v>
      </c>
      <c r="AF8" s="2">
        <f t="shared" si="20"/>
        <v>8.0542850644636829E-2</v>
      </c>
      <c r="AG8" s="2" t="s">
        <v>1175</v>
      </c>
      <c r="AH8" s="1" t="s">
        <v>9</v>
      </c>
      <c r="AI8" s="2">
        <f>MAX(K1:K547)</f>
        <v>2.4</v>
      </c>
      <c r="AJ8" s="2">
        <f>MIN(K1:K557)</f>
        <v>0</v>
      </c>
      <c r="AK8" s="2">
        <f t="shared" si="22"/>
        <v>2.4</v>
      </c>
    </row>
    <row r="9" spans="1:37" x14ac:dyDescent="0.3">
      <c r="A9">
        <v>100603</v>
      </c>
      <c r="B9" t="s">
        <v>39</v>
      </c>
      <c r="C9" t="s">
        <v>37</v>
      </c>
      <c r="D9" t="s">
        <v>40</v>
      </c>
      <c r="E9" s="18">
        <v>6.7</v>
      </c>
      <c r="F9" s="19">
        <f t="shared" si="0"/>
        <v>0.77777777777777779</v>
      </c>
      <c r="G9" s="2">
        <v>85.971006000000003</v>
      </c>
      <c r="H9" s="2">
        <f t="shared" si="1"/>
        <v>0.52491433906141938</v>
      </c>
      <c r="I9" s="2">
        <v>82.7</v>
      </c>
      <c r="J9" s="4">
        <f t="shared" si="2"/>
        <v>0.40126152353226591</v>
      </c>
      <c r="K9" s="2">
        <v>0</v>
      </c>
      <c r="L9" s="4">
        <f t="shared" si="3"/>
        <v>0</v>
      </c>
      <c r="M9" s="2">
        <v>12897</v>
      </c>
      <c r="N9" s="2">
        <f t="shared" si="4"/>
        <v>5.9890325663700068E-2</v>
      </c>
      <c r="O9" s="2">
        <v>0.81442365999999999</v>
      </c>
      <c r="P9" s="2">
        <f t="shared" si="5"/>
        <v>0.86336366262698905</v>
      </c>
      <c r="Q9" s="2">
        <v>0.30549999999999999</v>
      </c>
      <c r="R9" s="2">
        <f t="shared" si="6"/>
        <v>0.72524609148812968</v>
      </c>
      <c r="S9" s="2">
        <f t="shared" si="7"/>
        <v>0.20026463460492586</v>
      </c>
      <c r="T9" s="5">
        <f t="shared" si="8"/>
        <v>0.40406472352577977</v>
      </c>
      <c r="U9" s="2" t="str">
        <f t="shared" si="9"/>
        <v>Moderate</v>
      </c>
      <c r="V9" s="2">
        <f t="shared" si="10"/>
        <v>0.18285314330255084</v>
      </c>
      <c r="W9" s="2">
        <f t="shared" si="11"/>
        <v>0.32938603285965218</v>
      </c>
      <c r="X9" s="2" t="str">
        <f t="shared" si="12"/>
        <v>Moderate</v>
      </c>
      <c r="Y9" s="2">
        <f t="shared" si="13"/>
        <v>0.2176761259073009</v>
      </c>
      <c r="Z9" s="2">
        <f t="shared" si="14"/>
        <v>0.46186839979900163</v>
      </c>
      <c r="AA9" s="2" t="str">
        <f t="shared" si="15"/>
        <v>Moderate</v>
      </c>
      <c r="AB9" s="2">
        <f t="shared" si="16"/>
        <v>0.13458639850952187</v>
      </c>
      <c r="AC9" s="2">
        <f t="shared" si="17"/>
        <v>0.37409663478753391</v>
      </c>
      <c r="AD9" s="2" t="str">
        <f t="shared" si="18"/>
        <v>Moderate</v>
      </c>
      <c r="AE9" s="2">
        <f t="shared" si="19"/>
        <v>1.5099887375539514E-2</v>
      </c>
      <c r="AF9" s="2">
        <f t="shared" si="20"/>
        <v>7.7790655659809124E-2</v>
      </c>
      <c r="AG9" s="2" t="s">
        <v>1175</v>
      </c>
      <c r="AH9" s="1" t="s">
        <v>1120</v>
      </c>
      <c r="AI9" s="7">
        <f>MAX(M1:M557)</f>
        <v>211592</v>
      </c>
      <c r="AJ9" s="7">
        <f>MIN(M1:M557)</f>
        <v>239</v>
      </c>
      <c r="AK9" s="7">
        <f t="shared" si="22"/>
        <v>211353</v>
      </c>
    </row>
    <row r="10" spans="1:37" x14ac:dyDescent="0.3">
      <c r="A10">
        <v>100607</v>
      </c>
      <c r="B10" t="s">
        <v>41</v>
      </c>
      <c r="C10" t="s">
        <v>37</v>
      </c>
      <c r="D10" t="s">
        <v>42</v>
      </c>
      <c r="E10" s="18">
        <v>6.7</v>
      </c>
      <c r="F10" s="19">
        <f t="shared" si="0"/>
        <v>0.77777777777777779</v>
      </c>
      <c r="G10" s="2">
        <v>90.0526464</v>
      </c>
      <c r="H10" s="2">
        <f t="shared" si="1"/>
        <v>0.56437735010027523</v>
      </c>
      <c r="I10" s="2">
        <v>100</v>
      </c>
      <c r="J10" s="4">
        <f t="shared" si="2"/>
        <v>0.48520135856380397</v>
      </c>
      <c r="K10" s="2">
        <v>0</v>
      </c>
      <c r="L10" s="4">
        <f t="shared" si="3"/>
        <v>0</v>
      </c>
      <c r="M10" s="2">
        <v>24771</v>
      </c>
      <c r="N10" s="2">
        <f t="shared" si="4"/>
        <v>0.11607121734728157</v>
      </c>
      <c r="O10" s="2">
        <v>0.68285429799999997</v>
      </c>
      <c r="P10" s="2">
        <f t="shared" si="5"/>
        <v>0.71137603358586854</v>
      </c>
      <c r="Q10" s="2">
        <v>0.29620000000000002</v>
      </c>
      <c r="R10" s="2">
        <f t="shared" si="6"/>
        <v>0.69832078749276216</v>
      </c>
      <c r="S10" s="2">
        <f t="shared" si="7"/>
        <v>0.20138833523528546</v>
      </c>
      <c r="T10" s="5">
        <f t="shared" si="8"/>
        <v>0.40633196249899001</v>
      </c>
      <c r="U10" s="2" t="str">
        <f t="shared" si="9"/>
        <v>Moderate</v>
      </c>
      <c r="V10" s="2">
        <f t="shared" si="10"/>
        <v>0.19952327160070485</v>
      </c>
      <c r="W10" s="2">
        <f t="shared" si="11"/>
        <v>0.35941508966566538</v>
      </c>
      <c r="X10" s="2" t="str">
        <f t="shared" si="12"/>
        <v>Moderate</v>
      </c>
      <c r="Y10" s="2">
        <f t="shared" si="13"/>
        <v>0.20325339886986607</v>
      </c>
      <c r="Z10" s="2">
        <f t="shared" si="14"/>
        <v>0.43126604582126393</v>
      </c>
      <c r="AA10" s="2" t="str">
        <f t="shared" si="15"/>
        <v>Moderate</v>
      </c>
      <c r="AB10" s="2">
        <f t="shared" si="16"/>
        <v>0.14241646369254946</v>
      </c>
      <c r="AC10" s="2">
        <f t="shared" si="17"/>
        <v>0.39586110034703409</v>
      </c>
      <c r="AD10" s="2" t="str">
        <f t="shared" si="18"/>
        <v>Moderate</v>
      </c>
      <c r="AE10" s="2">
        <f t="shared" si="19"/>
        <v>3.3163711346694137E-2</v>
      </c>
      <c r="AF10" s="2">
        <f t="shared" si="20"/>
        <v>0.17085073455256894</v>
      </c>
      <c r="AG10" s="2" t="s">
        <v>1175</v>
      </c>
      <c r="AH10" s="1" t="s">
        <v>1115</v>
      </c>
      <c r="AI10" s="4">
        <f>MAX(S2:S547)</f>
        <v>0.49562513861012358</v>
      </c>
      <c r="AJ10" s="4">
        <f>MIN(S2:S547)</f>
        <v>0</v>
      </c>
      <c r="AK10" s="4">
        <f t="shared" si="22"/>
        <v>0.49562513861012358</v>
      </c>
    </row>
    <row r="11" spans="1:37" x14ac:dyDescent="0.3">
      <c r="A11">
        <v>100610</v>
      </c>
      <c r="B11" t="s">
        <v>43</v>
      </c>
      <c r="C11" t="s">
        <v>37</v>
      </c>
      <c r="D11" t="s">
        <v>44</v>
      </c>
      <c r="E11" s="18">
        <v>6.7</v>
      </c>
      <c r="F11" s="19">
        <f t="shared" si="0"/>
        <v>0.77777777777777779</v>
      </c>
      <c r="G11" s="2">
        <v>93.051471599999999</v>
      </c>
      <c r="H11" s="2">
        <f t="shared" si="1"/>
        <v>0.59337124970279764</v>
      </c>
      <c r="I11" s="2">
        <v>123.5</v>
      </c>
      <c r="J11" s="4">
        <f t="shared" si="2"/>
        <v>0.59922367782629793</v>
      </c>
      <c r="K11" s="2">
        <v>0</v>
      </c>
      <c r="L11" s="4">
        <f t="shared" si="3"/>
        <v>0</v>
      </c>
      <c r="M11" s="2">
        <v>9050</v>
      </c>
      <c r="N11" s="2">
        <f t="shared" si="4"/>
        <v>4.1688549488296832E-2</v>
      </c>
      <c r="O11" s="2">
        <v>0.40241617600000001</v>
      </c>
      <c r="P11" s="2">
        <f t="shared" si="5"/>
        <v>0.38741668159384107</v>
      </c>
      <c r="Q11" s="2">
        <v>0.308</v>
      </c>
      <c r="R11" s="2">
        <f t="shared" si="6"/>
        <v>0.73248407643312108</v>
      </c>
      <c r="S11" s="2">
        <f t="shared" si="7"/>
        <v>0.18178836167941184</v>
      </c>
      <c r="T11" s="5">
        <f t="shared" si="8"/>
        <v>0.36678599917106514</v>
      </c>
      <c r="U11" s="2" t="str">
        <f t="shared" si="9"/>
        <v>Moderate</v>
      </c>
      <c r="V11" s="2">
        <f t="shared" si="10"/>
        <v>0.23780157171360419</v>
      </c>
      <c r="W11" s="2">
        <f t="shared" si="11"/>
        <v>0.42836844311137123</v>
      </c>
      <c r="X11" s="2" t="str">
        <f t="shared" si="12"/>
        <v>Moderate</v>
      </c>
      <c r="Y11" s="2">
        <f t="shared" si="13"/>
        <v>0.12577515164521952</v>
      </c>
      <c r="Z11" s="2">
        <f t="shared" si="14"/>
        <v>0.26687156335000678</v>
      </c>
      <c r="AA11" s="2" t="str">
        <f t="shared" si="15"/>
        <v>Low</v>
      </c>
      <c r="AB11" s="2">
        <f t="shared" si="16"/>
        <v>0.12570007352692047</v>
      </c>
      <c r="AC11" s="2">
        <f t="shared" si="17"/>
        <v>0.34939618727994731</v>
      </c>
      <c r="AD11" s="2" t="str">
        <f t="shared" si="18"/>
        <v>Moderate</v>
      </c>
      <c r="AE11" s="2">
        <f t="shared" si="19"/>
        <v>1.3534222667409085E-2</v>
      </c>
      <c r="AF11" s="2">
        <f t="shared" si="20"/>
        <v>6.97247621097562E-2</v>
      </c>
      <c r="AG11" s="2" t="s">
        <v>1175</v>
      </c>
      <c r="AH11" s="1" t="s">
        <v>1116</v>
      </c>
      <c r="AI11" s="2">
        <f>MAX(O1:O557)</f>
        <v>0.93270404799999995</v>
      </c>
      <c r="AJ11" s="2">
        <f>MIN(O1:O557)</f>
        <v>6.7045685999999993E-2</v>
      </c>
      <c r="AK11" s="2">
        <f t="shared" si="22"/>
        <v>0.86565836200000001</v>
      </c>
    </row>
    <row r="12" spans="1:37" x14ac:dyDescent="0.3">
      <c r="A12">
        <v>100632</v>
      </c>
      <c r="B12" t="s">
        <v>45</v>
      </c>
      <c r="C12" t="s">
        <v>37</v>
      </c>
      <c r="D12" t="s">
        <v>46</v>
      </c>
      <c r="E12" s="18">
        <v>6.7</v>
      </c>
      <c r="F12" s="19">
        <f t="shared" si="0"/>
        <v>0.77777777777777779</v>
      </c>
      <c r="G12" s="2">
        <v>77.603817599999999</v>
      </c>
      <c r="H12" s="2">
        <f t="shared" si="1"/>
        <v>0.44401685279746839</v>
      </c>
      <c r="I12" s="2">
        <v>65.5</v>
      </c>
      <c r="J12" s="4">
        <f t="shared" si="2"/>
        <v>0.31780688985929162</v>
      </c>
      <c r="K12" s="2">
        <v>0</v>
      </c>
      <c r="L12" s="4">
        <f t="shared" si="3"/>
        <v>0</v>
      </c>
      <c r="M12" s="2">
        <v>26617</v>
      </c>
      <c r="N12" s="2">
        <f t="shared" si="4"/>
        <v>0.12480542031577503</v>
      </c>
      <c r="O12" s="2">
        <v>0.77571899499999997</v>
      </c>
      <c r="P12" s="2">
        <f t="shared" si="5"/>
        <v>0.8186524154433108</v>
      </c>
      <c r="Q12" s="2">
        <v>0.29970000000000002</v>
      </c>
      <c r="R12" s="2">
        <f t="shared" si="6"/>
        <v>0.70845396641574998</v>
      </c>
      <c r="S12" s="2">
        <f t="shared" si="7"/>
        <v>0.15834974739967153</v>
      </c>
      <c r="T12" s="5">
        <f t="shared" si="8"/>
        <v>0.31949498736833665</v>
      </c>
      <c r="U12" s="2" t="str">
        <f t="shared" si="9"/>
        <v>Moderate</v>
      </c>
      <c r="V12" s="2">
        <f t="shared" si="10"/>
        <v>0.14692297531971549</v>
      </c>
      <c r="W12" s="2">
        <f t="shared" si="11"/>
        <v>0.26466253246969784</v>
      </c>
      <c r="X12" s="2" t="s">
        <v>1175</v>
      </c>
      <c r="Y12" s="2">
        <f t="shared" si="13"/>
        <v>0.1697765194796276</v>
      </c>
      <c r="Z12" s="2">
        <f t="shared" si="14"/>
        <v>0.36023431163458425</v>
      </c>
      <c r="AA12" s="2" t="str">
        <f t="shared" si="15"/>
        <v>Moderate</v>
      </c>
      <c r="AB12" s="2">
        <f t="shared" si="16"/>
        <v>0.11141498282140622</v>
      </c>
      <c r="AC12" s="2">
        <f t="shared" si="17"/>
        <v>0.30968931927731275</v>
      </c>
      <c r="AD12" s="2" t="str">
        <f t="shared" si="18"/>
        <v>Moderate</v>
      </c>
      <c r="AE12" s="2">
        <f t="shared" si="19"/>
        <v>2.5882816044621525E-2</v>
      </c>
      <c r="AF12" s="2">
        <f t="shared" si="20"/>
        <v>0.13334147337383012</v>
      </c>
      <c r="AG12" s="2" t="s">
        <v>1175</v>
      </c>
      <c r="AH12" s="1" t="s">
        <v>12</v>
      </c>
      <c r="AI12" s="2">
        <f>MAX(Q1:Q557)</f>
        <v>0.40039999999999998</v>
      </c>
      <c r="AJ12" s="2">
        <f>MIN(Q1:Q547)</f>
        <v>5.5E-2</v>
      </c>
      <c r="AK12" s="2">
        <f t="shared" si="22"/>
        <v>0.34539999999999998</v>
      </c>
    </row>
    <row r="13" spans="1:37" x14ac:dyDescent="0.3">
      <c r="A13">
        <v>100636</v>
      </c>
      <c r="B13" t="s">
        <v>47</v>
      </c>
      <c r="C13" t="s">
        <v>37</v>
      </c>
      <c r="D13" t="s">
        <v>48</v>
      </c>
      <c r="E13" s="18">
        <v>6.7</v>
      </c>
      <c r="F13" s="19">
        <f t="shared" si="0"/>
        <v>0.77777777777777779</v>
      </c>
      <c r="G13" s="2">
        <v>77.579207999999994</v>
      </c>
      <c r="H13" s="2">
        <f t="shared" si="1"/>
        <v>0.44377891686453758</v>
      </c>
      <c r="I13" s="2">
        <v>57.5</v>
      </c>
      <c r="J13" s="4">
        <f t="shared" si="2"/>
        <v>0.2789907811741873</v>
      </c>
      <c r="K13" s="2">
        <v>0</v>
      </c>
      <c r="L13" s="4">
        <f t="shared" si="3"/>
        <v>0</v>
      </c>
      <c r="M13" s="2">
        <v>4786</v>
      </c>
      <c r="N13" s="2">
        <f t="shared" si="4"/>
        <v>2.1513770800509101E-2</v>
      </c>
      <c r="O13" s="2">
        <v>0.783073774</v>
      </c>
      <c r="P13" s="2">
        <f t="shared" si="5"/>
        <v>0.82714858358868371</v>
      </c>
      <c r="Q13" s="2">
        <v>0.27460000000000001</v>
      </c>
      <c r="R13" s="2">
        <f t="shared" si="6"/>
        <v>0.63578459756803718</v>
      </c>
      <c r="S13" s="2">
        <f t="shared" si="7"/>
        <v>0.14391895807271732</v>
      </c>
      <c r="T13" s="5">
        <f t="shared" si="8"/>
        <v>0.2903786488238021</v>
      </c>
      <c r="U13" s="2" t="str">
        <f t="shared" si="9"/>
        <v>Low</v>
      </c>
      <c r="V13" s="2">
        <f t="shared" si="10"/>
        <v>0.12509314576941222</v>
      </c>
      <c r="W13" s="2">
        <f t="shared" si="11"/>
        <v>0.22533894839720847</v>
      </c>
      <c r="X13" s="2" t="s">
        <v>1175</v>
      </c>
      <c r="Y13" s="2">
        <f t="shared" si="13"/>
        <v>0.16274477037602247</v>
      </c>
      <c r="Z13" s="2">
        <f t="shared" si="14"/>
        <v>0.3453142431487401</v>
      </c>
      <c r="AA13" s="2" t="str">
        <f t="shared" si="15"/>
        <v>Moderate</v>
      </c>
      <c r="AB13" s="2">
        <f t="shared" si="16"/>
        <v>9.4087554092498027E-2</v>
      </c>
      <c r="AC13" s="2">
        <f t="shared" si="17"/>
        <v>0.26152596214173424</v>
      </c>
      <c r="AD13" s="2" t="str">
        <f t="shared" si="18"/>
        <v>Low</v>
      </c>
      <c r="AE13" s="2">
        <f t="shared" si="19"/>
        <v>4.2329198868486483E-3</v>
      </c>
      <c r="AF13" s="2">
        <f t="shared" si="20"/>
        <v>2.1806892009460187E-2</v>
      </c>
      <c r="AG13" s="2" t="s">
        <v>1176</v>
      </c>
      <c r="AH13" s="1" t="s">
        <v>17</v>
      </c>
      <c r="AI13" s="2">
        <f>MAX(V1:V547)</f>
        <v>0.55513326328703982</v>
      </c>
      <c r="AJ13" s="2">
        <f>MIN(V1:V547)</f>
        <v>0</v>
      </c>
      <c r="AK13" s="2">
        <f t="shared" si="22"/>
        <v>0.55513326328703982</v>
      </c>
    </row>
    <row r="14" spans="1:37" x14ac:dyDescent="0.3">
      <c r="A14">
        <v>100651</v>
      </c>
      <c r="B14" t="s">
        <v>49</v>
      </c>
      <c r="C14" t="s">
        <v>37</v>
      </c>
      <c r="D14" t="s">
        <v>1123</v>
      </c>
      <c r="E14" s="18">
        <v>6.8</v>
      </c>
      <c r="F14" s="19">
        <f t="shared" si="0"/>
        <v>0.79999999999999993</v>
      </c>
      <c r="G14" s="2">
        <v>87.74991</v>
      </c>
      <c r="H14" s="2">
        <f t="shared" si="1"/>
        <v>0.54211352892367792</v>
      </c>
      <c r="I14" s="2">
        <v>92.2</v>
      </c>
      <c r="J14" s="4">
        <f t="shared" si="2"/>
        <v>0.44735565259582727</v>
      </c>
      <c r="K14" s="2">
        <v>0</v>
      </c>
      <c r="L14" s="4">
        <f t="shared" si="3"/>
        <v>0</v>
      </c>
      <c r="M14" s="2">
        <v>47691</v>
      </c>
      <c r="N14" s="2">
        <f t="shared" si="4"/>
        <v>0.22451538421503361</v>
      </c>
      <c r="O14" s="2">
        <v>0.71435787299999998</v>
      </c>
      <c r="P14" s="2">
        <f t="shared" si="5"/>
        <v>0.74776865264082093</v>
      </c>
      <c r="Q14" s="2">
        <v>0.29680000000000001</v>
      </c>
      <c r="R14" s="2">
        <f t="shared" si="6"/>
        <v>0.70005790387956002</v>
      </c>
      <c r="S14" s="2">
        <f t="shared" si="7"/>
        <v>0.20056116610073946</v>
      </c>
      <c r="T14" s="5">
        <f t="shared" si="8"/>
        <v>0.40466302145845762</v>
      </c>
      <c r="U14" s="2" t="str">
        <f t="shared" si="9"/>
        <v>Moderate</v>
      </c>
      <c r="V14" s="2">
        <f t="shared" si="10"/>
        <v>0.19395200192703121</v>
      </c>
      <c r="W14" s="2">
        <f t="shared" si="11"/>
        <v>0.34937917569307225</v>
      </c>
      <c r="X14" s="2" t="str">
        <f t="shared" si="12"/>
        <v>Moderate</v>
      </c>
      <c r="Y14" s="2">
        <f t="shared" si="13"/>
        <v>0.20717033027444773</v>
      </c>
      <c r="Z14" s="2">
        <f t="shared" si="14"/>
        <v>0.43957704838259676</v>
      </c>
      <c r="AA14" s="2" t="str">
        <f t="shared" si="15"/>
        <v>Moderate</v>
      </c>
      <c r="AB14" s="2">
        <f t="shared" si="16"/>
        <v>0.1518051029956583</v>
      </c>
      <c r="AC14" s="2">
        <f t="shared" si="17"/>
        <v>0.42195778179050486</v>
      </c>
      <c r="AD14" s="2" t="str">
        <f t="shared" si="18"/>
        <v>Moderate</v>
      </c>
      <c r="AE14" s="2">
        <f t="shared" si="19"/>
        <v>6.2202294968180222E-2</v>
      </c>
      <c r="AF14" s="2">
        <f t="shared" si="20"/>
        <v>0.3204498940143054</v>
      </c>
      <c r="AG14" s="2" t="str">
        <f t="shared" si="21"/>
        <v>Moderate</v>
      </c>
      <c r="AH14" s="1" t="s">
        <v>1117</v>
      </c>
      <c r="AI14" s="2">
        <f>MAX(Y1:Y547)</f>
        <v>0.47129469347119302</v>
      </c>
      <c r="AJ14" s="2">
        <f>MIN(Y1:Y557)</f>
        <v>0</v>
      </c>
      <c r="AK14" s="2">
        <f t="shared" si="22"/>
        <v>0.47129469347119302</v>
      </c>
    </row>
    <row r="15" spans="1:37" x14ac:dyDescent="0.3">
      <c r="A15">
        <v>100662</v>
      </c>
      <c r="B15" t="s">
        <v>50</v>
      </c>
      <c r="C15" t="s">
        <v>37</v>
      </c>
      <c r="D15" t="s">
        <v>51</v>
      </c>
      <c r="E15" s="18">
        <v>6.7</v>
      </c>
      <c r="F15" s="19">
        <f t="shared" si="0"/>
        <v>0.77777777777777779</v>
      </c>
      <c r="G15" s="2">
        <v>90.077256000000006</v>
      </c>
      <c r="H15" s="2">
        <f t="shared" si="1"/>
        <v>0.56461528603320599</v>
      </c>
      <c r="I15" s="2">
        <v>61.2</v>
      </c>
      <c r="J15" s="4">
        <f t="shared" si="2"/>
        <v>0.29694323144104806</v>
      </c>
      <c r="K15" s="2">
        <v>0</v>
      </c>
      <c r="L15" s="4">
        <f t="shared" si="3"/>
        <v>0</v>
      </c>
      <c r="M15" s="2">
        <v>15037</v>
      </c>
      <c r="N15" s="2">
        <f t="shared" si="4"/>
        <v>7.0015566374737992E-2</v>
      </c>
      <c r="O15" s="2">
        <v>0.30477910699999999</v>
      </c>
      <c r="P15" s="2">
        <f t="shared" si="5"/>
        <v>0.27462730268179397</v>
      </c>
      <c r="Q15" s="2">
        <v>0.29299999999999998</v>
      </c>
      <c r="R15" s="2">
        <f t="shared" si="6"/>
        <v>0.68905616676317316</v>
      </c>
      <c r="S15" s="2">
        <f t="shared" si="7"/>
        <v>0.11300893155895311</v>
      </c>
      <c r="T15" s="5">
        <f t="shared" si="8"/>
        <v>0.22801291289594972</v>
      </c>
      <c r="U15" s="2" t="str">
        <f t="shared" si="9"/>
        <v>Low</v>
      </c>
      <c r="V15" s="2">
        <f t="shared" si="10"/>
        <v>0.1616080459175312</v>
      </c>
      <c r="W15" s="2">
        <f t="shared" si="11"/>
        <v>0.29111576733957911</v>
      </c>
      <c r="X15" s="2" t="s">
        <v>1175</v>
      </c>
      <c r="Y15" s="2">
        <f t="shared" si="13"/>
        <v>6.4409817200375016E-2</v>
      </c>
      <c r="Z15" s="2">
        <f t="shared" si="14"/>
        <v>0.13666569577939019</v>
      </c>
      <c r="AA15" s="2" t="str">
        <f t="shared" si="15"/>
        <v>No Impact</v>
      </c>
      <c r="AB15" s="2">
        <f t="shared" si="16"/>
        <v>8.163315570211431E-2</v>
      </c>
      <c r="AC15" s="2">
        <f t="shared" si="17"/>
        <v>0.22690769032717048</v>
      </c>
      <c r="AD15" s="2" t="str">
        <f t="shared" si="18"/>
        <v>Low</v>
      </c>
      <c r="AE15" s="2">
        <f t="shared" si="19"/>
        <v>1.6421127059616861E-2</v>
      </c>
      <c r="AF15" s="2">
        <f t="shared" si="20"/>
        <v>8.4597335653636793E-2</v>
      </c>
      <c r="AG15" s="2" t="s">
        <v>1175</v>
      </c>
      <c r="AH15" s="1" t="s">
        <v>1119</v>
      </c>
      <c r="AI15" s="2">
        <f>MAX(AB1:AB547)</f>
        <v>0.35976372411358221</v>
      </c>
      <c r="AJ15" s="2">
        <f>MIN(AB1:AB557)</f>
        <v>0</v>
      </c>
      <c r="AK15" s="2">
        <f t="shared" si="22"/>
        <v>0.35976372411358221</v>
      </c>
    </row>
    <row r="16" spans="1:37" x14ac:dyDescent="0.3">
      <c r="A16">
        <v>100669</v>
      </c>
      <c r="B16" t="s">
        <v>52</v>
      </c>
      <c r="C16" t="s">
        <v>37</v>
      </c>
      <c r="D16" t="s">
        <v>53</v>
      </c>
      <c r="E16" s="18">
        <v>6.7</v>
      </c>
      <c r="F16" s="19">
        <f t="shared" si="0"/>
        <v>0.77777777777777779</v>
      </c>
      <c r="G16" s="2">
        <v>85.971006000000003</v>
      </c>
      <c r="H16" s="2">
        <f t="shared" si="1"/>
        <v>0.52491433906141938</v>
      </c>
      <c r="I16" s="2">
        <v>75.900000000000006</v>
      </c>
      <c r="J16" s="4">
        <f t="shared" si="2"/>
        <v>0.36826783114992728</v>
      </c>
      <c r="K16" s="2">
        <v>0</v>
      </c>
      <c r="L16" s="4">
        <f t="shared" si="3"/>
        <v>0</v>
      </c>
      <c r="M16" s="2">
        <v>4807</v>
      </c>
      <c r="N16" s="2">
        <f t="shared" si="4"/>
        <v>2.1613130639262276E-2</v>
      </c>
      <c r="O16" s="2">
        <v>0.39679721000000001</v>
      </c>
      <c r="P16" s="2">
        <f t="shared" si="5"/>
        <v>0.38092570750214738</v>
      </c>
      <c r="Q16" s="2">
        <v>0.29380000000000001</v>
      </c>
      <c r="R16" s="2">
        <f t="shared" si="6"/>
        <v>0.69137232194557041</v>
      </c>
      <c r="S16" s="2">
        <f t="shared" si="7"/>
        <v>0.13036143492143804</v>
      </c>
      <c r="T16" s="5">
        <f t="shared" si="8"/>
        <v>0.2630242591951838</v>
      </c>
      <c r="U16" s="2" t="str">
        <f t="shared" si="9"/>
        <v>Low</v>
      </c>
      <c r="V16" s="2">
        <f t="shared" si="10"/>
        <v>0.16810305620017066</v>
      </c>
      <c r="W16" s="2">
        <f t="shared" si="11"/>
        <v>0.3028156792565509</v>
      </c>
      <c r="X16" s="2" t="str">
        <f t="shared" si="12"/>
        <v>Moderate</v>
      </c>
      <c r="Y16" s="2">
        <f t="shared" si="13"/>
        <v>9.2619813642705398E-2</v>
      </c>
      <c r="Z16" s="2">
        <f t="shared" si="14"/>
        <v>0.19652208040056493</v>
      </c>
      <c r="AA16" s="2" t="str">
        <f t="shared" si="15"/>
        <v>Low</v>
      </c>
      <c r="AB16" s="2">
        <f t="shared" si="16"/>
        <v>8.8461300091981651E-2</v>
      </c>
      <c r="AC16" s="2">
        <f t="shared" si="17"/>
        <v>0.24588721475446268</v>
      </c>
      <c r="AD16" s="2" t="str">
        <f t="shared" si="18"/>
        <v>Low</v>
      </c>
      <c r="AE16" s="2">
        <f t="shared" si="19"/>
        <v>5.2551037974580212E-3</v>
      </c>
      <c r="AF16" s="2">
        <f t="shared" si="20"/>
        <v>2.7072915168018331E-2</v>
      </c>
      <c r="AG16" s="2" t="s">
        <v>1176</v>
      </c>
      <c r="AH16" s="1" t="s">
        <v>1118</v>
      </c>
      <c r="AI16" s="2">
        <f>MAX(AE1:AE547)</f>
        <v>0.19410926990477773</v>
      </c>
      <c r="AJ16" s="2">
        <f>MIN(AE1:AE557)</f>
        <v>0</v>
      </c>
      <c r="AK16" s="2">
        <f t="shared" si="22"/>
        <v>0.19410926990477773</v>
      </c>
    </row>
    <row r="17" spans="1:33" x14ac:dyDescent="0.3">
      <c r="A17">
        <v>100694</v>
      </c>
      <c r="B17" t="s">
        <v>54</v>
      </c>
      <c r="C17" t="s">
        <v>37</v>
      </c>
      <c r="D17" t="s">
        <v>55</v>
      </c>
      <c r="E17" s="18">
        <v>6.7</v>
      </c>
      <c r="F17" s="19">
        <f t="shared" si="0"/>
        <v>0.77777777777777779</v>
      </c>
      <c r="G17" s="2">
        <v>93.051471599999999</v>
      </c>
      <c r="H17" s="2">
        <f t="shared" si="1"/>
        <v>0.59337124970279764</v>
      </c>
      <c r="I17" s="2">
        <v>100.4</v>
      </c>
      <c r="J17" s="4">
        <f t="shared" si="2"/>
        <v>0.48714216399805926</v>
      </c>
      <c r="K17" s="2">
        <v>0</v>
      </c>
      <c r="L17" s="4">
        <f t="shared" si="3"/>
        <v>0</v>
      </c>
      <c r="M17" s="2">
        <v>26434</v>
      </c>
      <c r="N17" s="2">
        <f t="shared" si="4"/>
        <v>0.1239395702923545</v>
      </c>
      <c r="O17" s="2">
        <v>0.53448795299999996</v>
      </c>
      <c r="P17" s="2">
        <f t="shared" si="5"/>
        <v>0.53998469548660122</v>
      </c>
      <c r="Q17" s="2">
        <v>0.27650000000000002</v>
      </c>
      <c r="R17" s="2">
        <f t="shared" si="6"/>
        <v>0.64128546612623061</v>
      </c>
      <c r="S17" s="2">
        <f t="shared" si="7"/>
        <v>0.17372926246259707</v>
      </c>
      <c r="T17" s="5">
        <f t="shared" si="8"/>
        <v>0.35052552610584731</v>
      </c>
      <c r="U17" s="2" t="str">
        <f t="shared" si="9"/>
        <v>Moderate</v>
      </c>
      <c r="V17" s="2">
        <f t="shared" si="10"/>
        <v>0.1886275547771063</v>
      </c>
      <c r="W17" s="2">
        <f t="shared" si="11"/>
        <v>0.33978788022935252</v>
      </c>
      <c r="X17" s="2" t="str">
        <f t="shared" si="12"/>
        <v>Moderate</v>
      </c>
      <c r="Y17" s="2">
        <f t="shared" si="13"/>
        <v>0.15883097014808786</v>
      </c>
      <c r="Z17" s="2">
        <f t="shared" si="14"/>
        <v>0.33700988436398788</v>
      </c>
      <c r="AA17" s="2" t="str">
        <f t="shared" si="15"/>
        <v>Moderate</v>
      </c>
      <c r="AB17" s="2">
        <f t="shared" si="16"/>
        <v>0.12642837974110765</v>
      </c>
      <c r="AC17" s="2">
        <f t="shared" si="17"/>
        <v>0.35142058875617077</v>
      </c>
      <c r="AD17" s="2" t="str">
        <f t="shared" si="18"/>
        <v>Moderate</v>
      </c>
      <c r="AE17" s="2">
        <f t="shared" si="19"/>
        <v>3.6455555784840298E-2</v>
      </c>
      <c r="AF17" s="2">
        <f t="shared" si="20"/>
        <v>0.18780945290621071</v>
      </c>
      <c r="AG17" s="2" t="s">
        <v>1175</v>
      </c>
    </row>
    <row r="18" spans="1:33" x14ac:dyDescent="0.3">
      <c r="A18">
        <v>100918</v>
      </c>
      <c r="B18" t="s">
        <v>56</v>
      </c>
      <c r="C18" t="s">
        <v>57</v>
      </c>
      <c r="D18" t="s">
        <v>58</v>
      </c>
      <c r="E18" s="18">
        <v>7.2</v>
      </c>
      <c r="F18" s="19">
        <f t="shared" si="0"/>
        <v>0.88888888888888884</v>
      </c>
      <c r="G18" s="2">
        <v>90.077256000000006</v>
      </c>
      <c r="H18" s="2">
        <f t="shared" si="1"/>
        <v>0.56461528603320599</v>
      </c>
      <c r="I18" s="2">
        <v>82.8</v>
      </c>
      <c r="J18" s="4">
        <f t="shared" si="2"/>
        <v>0.40174672489082969</v>
      </c>
      <c r="K18" s="2">
        <v>1</v>
      </c>
      <c r="L18" s="4">
        <f t="shared" si="3"/>
        <v>0.41666666666666669</v>
      </c>
      <c r="M18" s="2">
        <v>36805</v>
      </c>
      <c r="N18" s="2">
        <f t="shared" si="4"/>
        <v>0.1730091363737444</v>
      </c>
      <c r="O18" s="2">
        <v>0.787296357</v>
      </c>
      <c r="P18" s="2">
        <f t="shared" si="5"/>
        <v>0.83202646981419681</v>
      </c>
      <c r="Q18" s="2">
        <v>0.30630000000000002</v>
      </c>
      <c r="R18" s="2">
        <f t="shared" si="6"/>
        <v>0.72756224667052705</v>
      </c>
      <c r="S18" s="2">
        <f t="shared" si="7"/>
        <v>0.32108584020329112</v>
      </c>
      <c r="T18" s="5">
        <f t="shared" si="8"/>
        <v>0.64784010170208228</v>
      </c>
      <c r="U18" s="2" t="str">
        <f t="shared" si="9"/>
        <v>Moderate</v>
      </c>
      <c r="V18" s="2">
        <f t="shared" si="10"/>
        <v>0.29957889897915091</v>
      </c>
      <c r="W18" s="2">
        <f t="shared" si="11"/>
        <v>0.53965222189225803</v>
      </c>
      <c r="X18" s="2" t="str">
        <f t="shared" si="12"/>
        <v>Moderate</v>
      </c>
      <c r="Y18" s="2">
        <f t="shared" si="13"/>
        <v>0.34259278142743144</v>
      </c>
      <c r="Z18" s="2">
        <f t="shared" si="14"/>
        <v>0.72691839346663845</v>
      </c>
      <c r="AA18" s="2" t="str">
        <f t="shared" si="15"/>
        <v>High</v>
      </c>
      <c r="AB18" s="2">
        <f t="shared" si="16"/>
        <v>0.23256365635165288</v>
      </c>
      <c r="AC18" s="2">
        <f t="shared" si="17"/>
        <v>0.64643442560715048</v>
      </c>
      <c r="AD18" s="2" t="str">
        <f t="shared" si="18"/>
        <v>Moderate</v>
      </c>
      <c r="AE18" s="2">
        <f t="shared" si="19"/>
        <v>7.1237735087773216E-2</v>
      </c>
      <c r="AF18" s="2">
        <f t="shared" si="20"/>
        <v>0.36699810948091049</v>
      </c>
      <c r="AG18" s="2" t="str">
        <f t="shared" si="21"/>
        <v>Moderate</v>
      </c>
    </row>
    <row r="19" spans="1:33" x14ac:dyDescent="0.3">
      <c r="A19">
        <v>100921</v>
      </c>
      <c r="B19" t="s">
        <v>59</v>
      </c>
      <c r="C19" t="s">
        <v>57</v>
      </c>
      <c r="D19" t="s">
        <v>60</v>
      </c>
      <c r="E19" s="18">
        <v>7.2</v>
      </c>
      <c r="F19" s="19">
        <f t="shared" si="0"/>
        <v>0.88888888888888884</v>
      </c>
      <c r="G19" s="2">
        <v>87.74991</v>
      </c>
      <c r="H19" s="2">
        <f t="shared" si="1"/>
        <v>0.54211352892367792</v>
      </c>
      <c r="I19" s="2">
        <v>89.3</v>
      </c>
      <c r="J19" s="4">
        <f t="shared" si="2"/>
        <v>0.43328481319747697</v>
      </c>
      <c r="K19" s="2">
        <v>1</v>
      </c>
      <c r="L19" s="4">
        <f t="shared" si="3"/>
        <v>0.41666666666666669</v>
      </c>
      <c r="M19" s="2">
        <v>23768</v>
      </c>
      <c r="N19" s="2">
        <f t="shared" si="4"/>
        <v>0.11132560219159415</v>
      </c>
      <c r="O19" s="2">
        <v>0.22824382400000001</v>
      </c>
      <c r="P19" s="2">
        <f t="shared" si="5"/>
        <v>0.18621449878630067</v>
      </c>
      <c r="Q19" s="2">
        <v>0.29470000000000002</v>
      </c>
      <c r="R19" s="2">
        <f t="shared" si="6"/>
        <v>0.6939779965257673</v>
      </c>
      <c r="S19" s="2">
        <f t="shared" si="7"/>
        <v>0.18244998540009519</v>
      </c>
      <c r="T19" s="5">
        <f t="shared" si="8"/>
        <v>0.36812092685963788</v>
      </c>
      <c r="U19" s="2" t="str">
        <f t="shared" si="9"/>
        <v>Moderate</v>
      </c>
      <c r="V19" s="2">
        <f t="shared" si="10"/>
        <v>0.28770132898991008</v>
      </c>
      <c r="W19" s="2">
        <f t="shared" si="11"/>
        <v>0.51825633233789825</v>
      </c>
      <c r="X19" s="2" t="str">
        <f t="shared" si="12"/>
        <v>Moderate</v>
      </c>
      <c r="Y19" s="2">
        <f t="shared" si="13"/>
        <v>7.7198641810280355E-2</v>
      </c>
      <c r="Z19" s="2">
        <f t="shared" si="14"/>
        <v>0.16380121159798072</v>
      </c>
      <c r="AA19" s="2" t="str">
        <f t="shared" si="15"/>
        <v>Low</v>
      </c>
      <c r="AB19" s="2">
        <f t="shared" si="16"/>
        <v>0.14000828351445391</v>
      </c>
      <c r="AC19" s="2">
        <f t="shared" si="17"/>
        <v>0.38916731768723695</v>
      </c>
      <c r="AD19" s="2" t="str">
        <f t="shared" si="18"/>
        <v>Moderate</v>
      </c>
      <c r="AE19" s="2">
        <f t="shared" si="19"/>
        <v>4.6152073785432284E-2</v>
      </c>
      <c r="AF19" s="2">
        <f t="shared" si="20"/>
        <v>0.23776336806620649</v>
      </c>
      <c r="AG19" s="2" t="s">
        <v>1175</v>
      </c>
    </row>
    <row r="20" spans="1:33" x14ac:dyDescent="0.3">
      <c r="A20">
        <v>100925</v>
      </c>
      <c r="B20" t="s">
        <v>61</v>
      </c>
      <c r="C20" t="s">
        <v>57</v>
      </c>
      <c r="D20" t="s">
        <v>62</v>
      </c>
      <c r="E20" s="18">
        <v>7.2</v>
      </c>
      <c r="F20" s="19">
        <f t="shared" si="0"/>
        <v>0.88888888888888884</v>
      </c>
      <c r="G20" s="2">
        <v>98.813739600000005</v>
      </c>
      <c r="H20" s="2">
        <f t="shared" si="1"/>
        <v>0.64908327315612446</v>
      </c>
      <c r="I20" s="2">
        <v>128.6</v>
      </c>
      <c r="J20" s="4">
        <f t="shared" si="2"/>
        <v>0.62396894711305195</v>
      </c>
      <c r="K20" s="2">
        <v>1</v>
      </c>
      <c r="L20" s="4">
        <f t="shared" si="3"/>
        <v>0.41666666666666669</v>
      </c>
      <c r="M20" s="2">
        <v>19441</v>
      </c>
      <c r="N20" s="2">
        <f t="shared" si="4"/>
        <v>9.0852743987546905E-2</v>
      </c>
      <c r="O20" s="2">
        <v>0.35357063300000002</v>
      </c>
      <c r="P20" s="2">
        <f t="shared" si="5"/>
        <v>0.33099079218505839</v>
      </c>
      <c r="Q20" s="2">
        <v>0.27100000000000002</v>
      </c>
      <c r="R20" s="2">
        <f t="shared" si="6"/>
        <v>0.62536189924724972</v>
      </c>
      <c r="S20" s="2">
        <f t="shared" si="7"/>
        <v>0.24251755886441972</v>
      </c>
      <c r="T20" s="5">
        <f t="shared" si="8"/>
        <v>0.48931650146824512</v>
      </c>
      <c r="U20" s="2" t="str">
        <f t="shared" si="9"/>
        <v>Moderate</v>
      </c>
      <c r="V20" s="2">
        <f t="shared" si="10"/>
        <v>0.31716592125677096</v>
      </c>
      <c r="W20" s="2">
        <f t="shared" si="11"/>
        <v>0.5713329433346811</v>
      </c>
      <c r="X20" s="2" t="str">
        <f t="shared" si="12"/>
        <v>Moderate</v>
      </c>
      <c r="Y20" s="2">
        <f t="shared" si="13"/>
        <v>0.16786919647206847</v>
      </c>
      <c r="Z20" s="2">
        <f t="shared" si="14"/>
        <v>0.35618732567445965</v>
      </c>
      <c r="AA20" s="2" t="str">
        <f t="shared" si="15"/>
        <v>Moderate</v>
      </c>
      <c r="AB20" s="2">
        <f t="shared" si="16"/>
        <v>0.17749611383677005</v>
      </c>
      <c r="AC20" s="2">
        <f t="shared" si="17"/>
        <v>0.49336856925778366</v>
      </c>
      <c r="AD20" s="2" t="str">
        <f t="shared" si="18"/>
        <v>Moderate</v>
      </c>
      <c r="AE20" s="2">
        <f t="shared" si="19"/>
        <v>4.6077949872227679E-2</v>
      </c>
      <c r="AF20" s="2">
        <f t="shared" si="20"/>
        <v>0.23738150112476178</v>
      </c>
      <c r="AG20" s="2" t="s">
        <v>1175</v>
      </c>
    </row>
    <row r="21" spans="1:33" x14ac:dyDescent="0.3">
      <c r="A21">
        <v>100929</v>
      </c>
      <c r="B21" t="s">
        <v>63</v>
      </c>
      <c r="C21" t="s">
        <v>57</v>
      </c>
      <c r="D21" t="s">
        <v>1124</v>
      </c>
      <c r="E21" s="18">
        <v>7.2</v>
      </c>
      <c r="F21" s="19">
        <f t="shared" si="0"/>
        <v>0.88888888888888884</v>
      </c>
      <c r="G21" s="2">
        <v>90.077256000000006</v>
      </c>
      <c r="H21" s="2">
        <f t="shared" si="1"/>
        <v>0.56461528603320599</v>
      </c>
      <c r="I21" s="2">
        <v>78.400000000000006</v>
      </c>
      <c r="J21" s="4">
        <f t="shared" si="2"/>
        <v>0.38039786511402235</v>
      </c>
      <c r="K21" s="2">
        <v>1</v>
      </c>
      <c r="L21" s="4">
        <f t="shared" si="3"/>
        <v>0.41666666666666669</v>
      </c>
      <c r="M21" s="2">
        <v>11391</v>
      </c>
      <c r="N21" s="2">
        <f t="shared" si="4"/>
        <v>5.2764805798829445E-2</v>
      </c>
      <c r="O21" s="2">
        <v>0.26631723800000001</v>
      </c>
      <c r="P21" s="2">
        <f t="shared" si="5"/>
        <v>0.23019653104211568</v>
      </c>
      <c r="Q21" s="2">
        <v>0.31780000000000003</v>
      </c>
      <c r="R21" s="2">
        <f t="shared" si="6"/>
        <v>0.76085697741748715</v>
      </c>
      <c r="S21" s="2">
        <f t="shared" si="7"/>
        <v>0.20074542142318855</v>
      </c>
      <c r="T21" s="5">
        <f t="shared" si="8"/>
        <v>0.40503478493067735</v>
      </c>
      <c r="U21" s="2" t="str">
        <f t="shared" si="9"/>
        <v>Moderate</v>
      </c>
      <c r="V21" s="2">
        <f t="shared" si="10"/>
        <v>0.3082347285402357</v>
      </c>
      <c r="W21" s="2">
        <f t="shared" si="11"/>
        <v>0.55524456725061777</v>
      </c>
      <c r="X21" s="2" t="str">
        <f t="shared" si="12"/>
        <v>Moderate</v>
      </c>
      <c r="Y21" s="2">
        <f t="shared" si="13"/>
        <v>9.3256114306141447E-2</v>
      </c>
      <c r="Z21" s="2">
        <f t="shared" si="14"/>
        <v>0.19787219249019944</v>
      </c>
      <c r="AA21" s="2" t="str">
        <f t="shared" si="15"/>
        <v>Low</v>
      </c>
      <c r="AB21" s="2">
        <f t="shared" si="16"/>
        <v>0.14334052802750946</v>
      </c>
      <c r="AC21" s="2">
        <f t="shared" si="17"/>
        <v>0.39842963150519017</v>
      </c>
      <c r="AD21" s="2" t="str">
        <f t="shared" si="18"/>
        <v>Moderate</v>
      </c>
      <c r="AE21" s="2">
        <f t="shared" si="19"/>
        <v>2.1375824990241647E-2</v>
      </c>
      <c r="AF21" s="2">
        <f t="shared" si="20"/>
        <v>0.11012263865980113</v>
      </c>
      <c r="AG21" s="2" t="s">
        <v>1175</v>
      </c>
    </row>
    <row r="22" spans="1:33" x14ac:dyDescent="0.3">
      <c r="A22">
        <v>100954</v>
      </c>
      <c r="B22" t="s">
        <v>64</v>
      </c>
      <c r="C22" t="s">
        <v>57</v>
      </c>
      <c r="D22" t="s">
        <v>65</v>
      </c>
      <c r="E22" s="18">
        <v>7.2</v>
      </c>
      <c r="F22" s="19">
        <f t="shared" si="0"/>
        <v>0.88888888888888884</v>
      </c>
      <c r="G22" s="2">
        <v>83.633111999999997</v>
      </c>
      <c r="H22" s="2">
        <f t="shared" si="1"/>
        <v>0.5023105994645467</v>
      </c>
      <c r="I22" s="2">
        <v>99.3</v>
      </c>
      <c r="J22" s="4">
        <f t="shared" si="2"/>
        <v>0.48180494905385735</v>
      </c>
      <c r="K22" s="2">
        <v>1</v>
      </c>
      <c r="L22" s="4">
        <f t="shared" si="3"/>
        <v>0.41666666666666669</v>
      </c>
      <c r="M22" s="2">
        <v>17773</v>
      </c>
      <c r="N22" s="2">
        <f t="shared" si="4"/>
        <v>8.2960733938008929E-2</v>
      </c>
      <c r="O22" s="2">
        <v>0.45777481399999997</v>
      </c>
      <c r="P22" s="2">
        <f t="shared" si="5"/>
        <v>0.45136643409447014</v>
      </c>
      <c r="Q22" s="2">
        <v>0.30109999999999998</v>
      </c>
      <c r="R22" s="2">
        <f t="shared" si="6"/>
        <v>0.71250723798494497</v>
      </c>
      <c r="S22" s="2">
        <f t="shared" si="7"/>
        <v>0.24283083156956617</v>
      </c>
      <c r="T22" s="5">
        <f t="shared" si="8"/>
        <v>0.48994857736743164</v>
      </c>
      <c r="U22" s="2" t="str">
        <f t="shared" si="9"/>
        <v>Moderate</v>
      </c>
      <c r="V22" s="2">
        <f t="shared" si="10"/>
        <v>0.29731530019078101</v>
      </c>
      <c r="W22" s="2">
        <f t="shared" si="11"/>
        <v>0.53557464460033577</v>
      </c>
      <c r="X22" s="2" t="str">
        <f t="shared" si="12"/>
        <v>Moderate</v>
      </c>
      <c r="Y22" s="2">
        <f t="shared" si="13"/>
        <v>0.18834636294835128</v>
      </c>
      <c r="Z22" s="2">
        <f t="shared" si="14"/>
        <v>0.39963607814282254</v>
      </c>
      <c r="AA22" s="2" t="str">
        <f t="shared" si="15"/>
        <v>Moderate</v>
      </c>
      <c r="AB22" s="2">
        <f t="shared" si="16"/>
        <v>0.17268052462900074</v>
      </c>
      <c r="AC22" s="2">
        <f t="shared" si="17"/>
        <v>0.47998314742395537</v>
      </c>
      <c r="AD22" s="2" t="str">
        <f t="shared" si="18"/>
        <v>Moderate</v>
      </c>
      <c r="AE22" s="2">
        <f t="shared" si="19"/>
        <v>3.461788765063438E-2</v>
      </c>
      <c r="AF22" s="2">
        <f t="shared" si="20"/>
        <v>0.17834226911273499</v>
      </c>
      <c r="AG22" s="2" t="s">
        <v>1175</v>
      </c>
    </row>
    <row r="23" spans="1:33" x14ac:dyDescent="0.3">
      <c r="A23">
        <v>100965</v>
      </c>
      <c r="B23" t="s">
        <v>66</v>
      </c>
      <c r="C23" t="s">
        <v>57</v>
      </c>
      <c r="D23" t="s">
        <v>67</v>
      </c>
      <c r="E23" s="18">
        <v>5.3</v>
      </c>
      <c r="F23" s="19">
        <f t="shared" si="0"/>
        <v>0.46666666666666656</v>
      </c>
      <c r="G23" s="2">
        <v>92.717647200000002</v>
      </c>
      <c r="H23" s="2">
        <f t="shared" si="1"/>
        <v>0.59014369541304701</v>
      </c>
      <c r="I23" s="2">
        <v>98</v>
      </c>
      <c r="J23" s="4">
        <f t="shared" si="2"/>
        <v>0.47549733139252792</v>
      </c>
      <c r="K23" s="2">
        <v>1</v>
      </c>
      <c r="L23" s="4">
        <f t="shared" si="3"/>
        <v>0.41666666666666669</v>
      </c>
      <c r="M23" s="2">
        <v>12816</v>
      </c>
      <c r="N23" s="2">
        <f t="shared" si="4"/>
        <v>5.9507080571366389E-2</v>
      </c>
      <c r="O23" s="2">
        <v>0.16869237100000001</v>
      </c>
      <c r="P23" s="2">
        <f t="shared" si="5"/>
        <v>0.11742124776009501</v>
      </c>
      <c r="Q23" s="2">
        <v>0.22570000000000001</v>
      </c>
      <c r="R23" s="2">
        <f t="shared" si="6"/>
        <v>0.49420961204400704</v>
      </c>
      <c r="S23" s="2">
        <f t="shared" si="7"/>
        <v>7.1067846637475257E-2</v>
      </c>
      <c r="T23" s="5">
        <f t="shared" si="8"/>
        <v>0.14339031881387226</v>
      </c>
      <c r="U23" s="2" t="str">
        <f t="shared" si="9"/>
        <v>No Impact</v>
      </c>
      <c r="V23" s="2">
        <f t="shared" si="10"/>
        <v>0.11484840031374127</v>
      </c>
      <c r="W23" s="2">
        <f t="shared" si="11"/>
        <v>0.20688437877727608</v>
      </c>
      <c r="X23" s="2" t="s">
        <v>1175</v>
      </c>
      <c r="Y23" s="2">
        <f t="shared" si="13"/>
        <v>2.7287292961209249E-2</v>
      </c>
      <c r="Z23" s="2">
        <f t="shared" si="14"/>
        <v>5.789857882810457E-2</v>
      </c>
      <c r="AA23" s="2" t="str">
        <f t="shared" si="15"/>
        <v>No Impact</v>
      </c>
      <c r="AB23" s="2">
        <f t="shared" si="16"/>
        <v>5.3223184718120882E-2</v>
      </c>
      <c r="AC23" s="2">
        <f t="shared" si="17"/>
        <v>0.14793927555997172</v>
      </c>
      <c r="AD23" s="2" t="str">
        <f t="shared" si="18"/>
        <v>No Impact</v>
      </c>
      <c r="AE23" s="2">
        <f t="shared" si="19"/>
        <v>1.3828733485567618E-2</v>
      </c>
      <c r="AF23" s="2">
        <f t="shared" si="20"/>
        <v>7.1242004528436195E-2</v>
      </c>
      <c r="AG23" s="2" t="s">
        <v>1175</v>
      </c>
    </row>
    <row r="24" spans="1:33" x14ac:dyDescent="0.3">
      <c r="A24">
        <v>100991</v>
      </c>
      <c r="B24" t="s">
        <v>68</v>
      </c>
      <c r="C24" t="s">
        <v>57</v>
      </c>
      <c r="D24" t="s">
        <v>69</v>
      </c>
      <c r="E24" s="18">
        <v>5.3</v>
      </c>
      <c r="F24" s="19">
        <f t="shared" si="0"/>
        <v>0.46666666666666656</v>
      </c>
      <c r="G24" s="2">
        <v>87.974909999999994</v>
      </c>
      <c r="H24" s="2">
        <f t="shared" si="1"/>
        <v>0.54428892327829625</v>
      </c>
      <c r="I24" s="2">
        <v>93.5</v>
      </c>
      <c r="J24" s="4">
        <f t="shared" si="2"/>
        <v>0.45366327025715675</v>
      </c>
      <c r="K24" s="2">
        <v>1</v>
      </c>
      <c r="L24" s="4">
        <f t="shared" si="3"/>
        <v>0.41666666666666669</v>
      </c>
      <c r="M24" s="2">
        <v>7108</v>
      </c>
      <c r="N24" s="2">
        <f t="shared" si="4"/>
        <v>3.2500130114074557E-2</v>
      </c>
      <c r="O24" s="2">
        <v>6.7045685999999993E-2</v>
      </c>
      <c r="P24" s="2">
        <f t="shared" si="5"/>
        <v>0</v>
      </c>
      <c r="Q24" s="2">
        <v>0.26540000000000002</v>
      </c>
      <c r="R24" s="2">
        <f t="shared" si="6"/>
        <v>0.60914881297046919</v>
      </c>
      <c r="S24" s="2">
        <f t="shared" si="7"/>
        <v>6.7412120895932764E-2</v>
      </c>
      <c r="T24" s="5">
        <f t="shared" si="8"/>
        <v>0.13601432946879141</v>
      </c>
      <c r="U24" s="2" t="str">
        <f t="shared" si="9"/>
        <v>No Impact</v>
      </c>
      <c r="V24" s="2">
        <f t="shared" si="10"/>
        <v>0.13482424179186553</v>
      </c>
      <c r="W24" s="2">
        <f t="shared" si="11"/>
        <v>0.24286824571373716</v>
      </c>
      <c r="X24" s="2" t="s">
        <v>1175</v>
      </c>
      <c r="Y24" s="2">
        <f t="shared" si="13"/>
        <v>0</v>
      </c>
      <c r="Z24" s="2">
        <f t="shared" si="14"/>
        <v>0</v>
      </c>
      <c r="AA24" s="2" t="str">
        <f t="shared" si="15"/>
        <v>No Impact</v>
      </c>
      <c r="AB24" s="2">
        <f t="shared" si="16"/>
        <v>4.9706148386177332E-2</v>
      </c>
      <c r="AC24" s="2">
        <f t="shared" si="17"/>
        <v>0.13816331401574117</v>
      </c>
      <c r="AD24" s="2" t="str">
        <f t="shared" si="18"/>
        <v>No Impact</v>
      </c>
      <c r="AE24" s="2">
        <f t="shared" si="19"/>
        <v>7.1933250257839752E-3</v>
      </c>
      <c r="AF24" s="2">
        <f t="shared" si="20"/>
        <v>3.7058122104692545E-2</v>
      </c>
      <c r="AG24" s="2" t="s">
        <v>1175</v>
      </c>
    </row>
    <row r="25" spans="1:33" x14ac:dyDescent="0.3">
      <c r="A25">
        <v>104240</v>
      </c>
      <c r="B25" t="s">
        <v>70</v>
      </c>
      <c r="C25" t="s">
        <v>71</v>
      </c>
      <c r="D25" t="s">
        <v>72</v>
      </c>
      <c r="E25" s="18">
        <v>5.9</v>
      </c>
      <c r="F25" s="19">
        <f t="shared" si="0"/>
        <v>0.60000000000000009</v>
      </c>
      <c r="G25" s="2">
        <v>100.9721772</v>
      </c>
      <c r="H25" s="2">
        <f t="shared" si="1"/>
        <v>0.66995195302206312</v>
      </c>
      <c r="I25" s="2">
        <v>132.80000000000001</v>
      </c>
      <c r="J25" s="4">
        <f t="shared" si="2"/>
        <v>0.64434740417273173</v>
      </c>
      <c r="K25" s="2">
        <v>0</v>
      </c>
      <c r="L25" s="4">
        <f t="shared" si="3"/>
        <v>0</v>
      </c>
      <c r="M25" s="2">
        <v>18852</v>
      </c>
      <c r="N25" s="2">
        <f t="shared" si="4"/>
        <v>8.806593708156496E-2</v>
      </c>
      <c r="O25" s="2">
        <v>0.22696981099999999</v>
      </c>
      <c r="P25" s="2">
        <f t="shared" si="5"/>
        <v>0.18474277153693111</v>
      </c>
      <c r="Q25" s="2">
        <v>0.31990000000000002</v>
      </c>
      <c r="R25" s="2">
        <f t="shared" si="6"/>
        <v>0.76693688477127975</v>
      </c>
      <c r="S25" s="2">
        <f t="shared" si="7"/>
        <v>0.13133315585683072</v>
      </c>
      <c r="T25" s="5">
        <f t="shared" si="8"/>
        <v>0.26498485574223885</v>
      </c>
      <c r="U25" s="2" t="str">
        <f t="shared" si="9"/>
        <v>Low</v>
      </c>
      <c r="V25" s="2">
        <f t="shared" si="10"/>
        <v>0.21167677747941302</v>
      </c>
      <c r="W25" s="2">
        <f t="shared" si="11"/>
        <v>0.38130804165118531</v>
      </c>
      <c r="X25" s="2" t="str">
        <f t="shared" si="12"/>
        <v>Moderate</v>
      </c>
      <c r="Y25" s="2">
        <f t="shared" si="13"/>
        <v>5.0989534234248415E-2</v>
      </c>
      <c r="Z25" s="2">
        <f t="shared" si="14"/>
        <v>0.10819034234970662</v>
      </c>
      <c r="AA25" s="2" t="str">
        <f t="shared" si="15"/>
        <v>No Impact</v>
      </c>
      <c r="AB25" s="2">
        <f t="shared" si="16"/>
        <v>9.7890990218602841E-2</v>
      </c>
      <c r="AC25" s="2">
        <f t="shared" si="17"/>
        <v>0.27209800115282706</v>
      </c>
      <c r="AD25" s="2" t="str">
        <f t="shared" si="18"/>
        <v>Low</v>
      </c>
      <c r="AE25" s="2">
        <f t="shared" si="19"/>
        <v>2.4306450944382198E-2</v>
      </c>
      <c r="AF25" s="2">
        <f t="shared" si="20"/>
        <v>0.12522045421275332</v>
      </c>
      <c r="AG25" s="2" t="s">
        <v>1175</v>
      </c>
    </row>
    <row r="26" spans="1:33" x14ac:dyDescent="0.3">
      <c r="A26">
        <v>104243</v>
      </c>
      <c r="B26" t="s">
        <v>73</v>
      </c>
      <c r="C26" t="s">
        <v>71</v>
      </c>
      <c r="D26" t="s">
        <v>74</v>
      </c>
      <c r="E26" s="18">
        <v>5.8</v>
      </c>
      <c r="F26" s="19">
        <f t="shared" si="0"/>
        <v>0.57777777777777772</v>
      </c>
      <c r="G26" s="2">
        <v>110.8967868</v>
      </c>
      <c r="H26" s="2">
        <f t="shared" si="1"/>
        <v>0.76590724055820558</v>
      </c>
      <c r="I26" s="2">
        <v>147.6</v>
      </c>
      <c r="J26" s="4">
        <f t="shared" si="2"/>
        <v>0.71615720524017468</v>
      </c>
      <c r="K26" s="2">
        <v>0</v>
      </c>
      <c r="L26" s="4">
        <f t="shared" si="3"/>
        <v>0</v>
      </c>
      <c r="M26" s="2">
        <v>10294</v>
      </c>
      <c r="N26" s="2">
        <f t="shared" si="4"/>
        <v>4.7574437079199255E-2</v>
      </c>
      <c r="O26" s="2">
        <v>0.77812197400000005</v>
      </c>
      <c r="P26" s="2">
        <f t="shared" si="5"/>
        <v>0.82142831307854924</v>
      </c>
      <c r="Q26" s="2">
        <v>0.29830000000000001</v>
      </c>
      <c r="R26" s="2">
        <f t="shared" si="6"/>
        <v>0.70440069484655476</v>
      </c>
      <c r="S26" s="2">
        <f t="shared" si="7"/>
        <v>0.2286503333269318</v>
      </c>
      <c r="T26" s="5">
        <f t="shared" si="8"/>
        <v>0.46133723960841361</v>
      </c>
      <c r="U26" s="2" t="str">
        <f t="shared" si="9"/>
        <v>Moderate</v>
      </c>
      <c r="V26" s="2">
        <f t="shared" si="10"/>
        <v>0.21111337225316784</v>
      </c>
      <c r="W26" s="2">
        <f t="shared" si="11"/>
        <v>0.38029314079132848</v>
      </c>
      <c r="X26" s="2" t="str">
        <f t="shared" si="12"/>
        <v>Moderate</v>
      </c>
      <c r="Y26" s="2">
        <f t="shared" si="13"/>
        <v>0.24618729440069578</v>
      </c>
      <c r="Z26" s="2">
        <f t="shared" si="14"/>
        <v>0.52236381569983348</v>
      </c>
      <c r="AA26" s="2" t="str">
        <f t="shared" si="15"/>
        <v>Moderate</v>
      </c>
      <c r="AB26" s="2">
        <f t="shared" si="16"/>
        <v>0.15273629518194617</v>
      </c>
      <c r="AC26" s="2">
        <f t="shared" si="17"/>
        <v>0.42454612553911991</v>
      </c>
      <c r="AD26" s="2" t="str">
        <f t="shared" si="18"/>
        <v>Moderate</v>
      </c>
      <c r="AE26" s="2">
        <f t="shared" si="19"/>
        <v>1.4258361637510566E-2</v>
      </c>
      <c r="AF26" s="2">
        <f t="shared" si="20"/>
        <v>7.3455335979086156E-2</v>
      </c>
      <c r="AG26" s="2" t="s">
        <v>1175</v>
      </c>
    </row>
    <row r="27" spans="1:33" x14ac:dyDescent="0.3">
      <c r="A27">
        <v>104273</v>
      </c>
      <c r="B27" t="s">
        <v>75</v>
      </c>
      <c r="C27" t="s">
        <v>71</v>
      </c>
      <c r="D27" t="s">
        <v>76</v>
      </c>
      <c r="E27" s="18">
        <v>5.9</v>
      </c>
      <c r="F27" s="19">
        <f t="shared" si="0"/>
        <v>0.60000000000000009</v>
      </c>
      <c r="G27" s="2">
        <v>90.0526464</v>
      </c>
      <c r="H27" s="2">
        <f t="shared" si="1"/>
        <v>0.56437735010027523</v>
      </c>
      <c r="I27" s="2">
        <v>106.5</v>
      </c>
      <c r="J27" s="4">
        <f t="shared" si="2"/>
        <v>0.51673944687045126</v>
      </c>
      <c r="K27" s="2">
        <v>0</v>
      </c>
      <c r="L27" s="4">
        <f t="shared" si="3"/>
        <v>0</v>
      </c>
      <c r="M27" s="2">
        <v>19028</v>
      </c>
      <c r="N27" s="2">
        <f t="shared" si="4"/>
        <v>8.8898667158734443E-2</v>
      </c>
      <c r="O27" s="2">
        <v>0.54884711100000005</v>
      </c>
      <c r="P27" s="2">
        <f t="shared" si="5"/>
        <v>0.55657225315406822</v>
      </c>
      <c r="Q27" s="2">
        <v>0.30059999999999998</v>
      </c>
      <c r="R27" s="2">
        <f t="shared" si="6"/>
        <v>0.71105964099594676</v>
      </c>
      <c r="S27" s="2">
        <f t="shared" si="7"/>
        <v>0.14389810397984695</v>
      </c>
      <c r="T27" s="5">
        <f t="shared" si="8"/>
        <v>0.29033657248173267</v>
      </c>
      <c r="U27" s="2" t="str">
        <f t="shared" si="9"/>
        <v>Low</v>
      </c>
      <c r="V27" s="2">
        <f t="shared" si="10"/>
        <v>0.16143508952102548</v>
      </c>
      <c r="W27" s="2">
        <f t="shared" si="11"/>
        <v>0.29080420900225012</v>
      </c>
      <c r="X27" s="2" t="s">
        <v>1175</v>
      </c>
      <c r="Y27" s="2">
        <f t="shared" si="13"/>
        <v>0.12636111843866837</v>
      </c>
      <c r="Z27" s="2">
        <f t="shared" si="14"/>
        <v>0.26811487629531722</v>
      </c>
      <c r="AA27" s="2" t="str">
        <f t="shared" si="15"/>
        <v>Low</v>
      </c>
      <c r="AB27" s="2">
        <f t="shared" si="16"/>
        <v>0.10147469027254033</v>
      </c>
      <c r="AC27" s="2">
        <f t="shared" si="17"/>
        <v>0.28205926131814063</v>
      </c>
      <c r="AD27" s="2" t="str">
        <f t="shared" si="18"/>
        <v>Low</v>
      </c>
      <c r="AE27" s="2">
        <f t="shared" si="19"/>
        <v>2.018306688165972E-2</v>
      </c>
      <c r="AF27" s="2">
        <f t="shared" si="20"/>
        <v>0.10397786201329143</v>
      </c>
      <c r="AG27" s="2" t="s">
        <v>1175</v>
      </c>
    </row>
    <row r="28" spans="1:33" x14ac:dyDescent="0.3">
      <c r="A28">
        <v>104284</v>
      </c>
      <c r="B28" t="s">
        <v>77</v>
      </c>
      <c r="C28" t="s">
        <v>71</v>
      </c>
      <c r="D28" t="s">
        <v>78</v>
      </c>
      <c r="E28" s="18">
        <v>5.8</v>
      </c>
      <c r="F28" s="19">
        <f t="shared" si="0"/>
        <v>0.57777777777777772</v>
      </c>
      <c r="G28" s="2">
        <v>100.9721772</v>
      </c>
      <c r="H28" s="2">
        <f t="shared" si="1"/>
        <v>0.66995195302206312</v>
      </c>
      <c r="I28" s="2">
        <v>128.9</v>
      </c>
      <c r="J28" s="4">
        <f t="shared" si="2"/>
        <v>0.62542455118874341</v>
      </c>
      <c r="K28" s="2">
        <v>0</v>
      </c>
      <c r="L28" s="4">
        <f t="shared" si="3"/>
        <v>0</v>
      </c>
      <c r="M28" s="2">
        <v>10861</v>
      </c>
      <c r="N28" s="2">
        <f t="shared" si="4"/>
        <v>5.0257152725535006E-2</v>
      </c>
      <c r="O28" s="2">
        <v>0.60058709200000004</v>
      </c>
      <c r="P28" s="2">
        <f t="shared" si="5"/>
        <v>0.61634176878661062</v>
      </c>
      <c r="Q28" s="2">
        <v>0.3014</v>
      </c>
      <c r="R28" s="2">
        <f t="shared" si="6"/>
        <v>0.71337579617834401</v>
      </c>
      <c r="S28" s="2">
        <f t="shared" si="7"/>
        <v>0.17416236119019199</v>
      </c>
      <c r="T28" s="5">
        <f t="shared" si="8"/>
        <v>0.35139936944803424</v>
      </c>
      <c r="U28" s="2" t="str">
        <f t="shared" si="9"/>
        <v>Moderate</v>
      </c>
      <c r="V28" s="2">
        <f t="shared" si="10"/>
        <v>0.18687158288629213</v>
      </c>
      <c r="W28" s="2">
        <f t="shared" si="11"/>
        <v>0.33662472643017866</v>
      </c>
      <c r="X28" s="2" t="str">
        <f t="shared" si="12"/>
        <v>Moderate</v>
      </c>
      <c r="Y28" s="2">
        <f t="shared" si="13"/>
        <v>0.16145313949409185</v>
      </c>
      <c r="Z28" s="2">
        <f t="shared" si="14"/>
        <v>0.34257364178016225</v>
      </c>
      <c r="AA28" s="2" t="str">
        <f t="shared" si="15"/>
        <v>Moderate</v>
      </c>
      <c r="AB28" s="2">
        <f t="shared" si="16"/>
        <v>0.11844876613325817</v>
      </c>
      <c r="AC28" s="2">
        <f t="shared" si="17"/>
        <v>0.32924043808225173</v>
      </c>
      <c r="AD28" s="2" t="str">
        <f t="shared" si="18"/>
        <v>Moderate</v>
      </c>
      <c r="AE28" s="2">
        <f t="shared" si="19"/>
        <v>1.3165057928081076E-2</v>
      </c>
      <c r="AF28" s="2">
        <f t="shared" si="20"/>
        <v>6.7822922287736842E-2</v>
      </c>
      <c r="AG28" s="2" t="s">
        <v>1175</v>
      </c>
    </row>
    <row r="29" spans="1:33" x14ac:dyDescent="0.3">
      <c r="A29">
        <v>107838</v>
      </c>
      <c r="B29" t="s">
        <v>79</v>
      </c>
      <c r="C29" t="s">
        <v>80</v>
      </c>
      <c r="D29" t="s">
        <v>81</v>
      </c>
      <c r="E29" s="18">
        <v>7.4</v>
      </c>
      <c r="F29" s="19">
        <f t="shared" si="0"/>
        <v>0.93333333333333335</v>
      </c>
      <c r="G29" s="2">
        <v>88.438971600000002</v>
      </c>
      <c r="H29" s="2">
        <f t="shared" si="1"/>
        <v>0.54877566543311951</v>
      </c>
      <c r="I29" s="2">
        <v>108.1</v>
      </c>
      <c r="J29" s="4">
        <f t="shared" si="2"/>
        <v>0.52450266860747208</v>
      </c>
      <c r="K29" s="2">
        <v>2</v>
      </c>
      <c r="L29" s="4">
        <f t="shared" si="3"/>
        <v>0.83333333333333337</v>
      </c>
      <c r="M29" s="2">
        <v>30925</v>
      </c>
      <c r="N29" s="2">
        <f t="shared" si="4"/>
        <v>0.14518838152285513</v>
      </c>
      <c r="O29" s="2">
        <v>0.71907382900000005</v>
      </c>
      <c r="P29" s="2">
        <f t="shared" si="5"/>
        <v>0.75321647848877371</v>
      </c>
      <c r="Q29" s="2">
        <v>0.28710000000000002</v>
      </c>
      <c r="R29" s="2">
        <f t="shared" si="6"/>
        <v>0.6719745222929937</v>
      </c>
      <c r="S29" s="2">
        <f t="shared" si="7"/>
        <v>0.41611129851596029</v>
      </c>
      <c r="T29" s="5">
        <f t="shared" si="8"/>
        <v>0.83956858944414503</v>
      </c>
      <c r="U29" s="2" t="str">
        <f t="shared" si="9"/>
        <v>High</v>
      </c>
      <c r="V29" s="2">
        <f t="shared" si="10"/>
        <v>0.3923911824977851</v>
      </c>
      <c r="W29" s="2">
        <f t="shared" si="11"/>
        <v>0.70684141709392301</v>
      </c>
      <c r="X29" s="2" t="str">
        <f t="shared" si="12"/>
        <v>High</v>
      </c>
      <c r="Y29" s="2">
        <f t="shared" si="13"/>
        <v>0.43983141453413555</v>
      </c>
      <c r="Z29" s="2">
        <f t="shared" si="14"/>
        <v>0.93324075281789565</v>
      </c>
      <c r="AA29" s="2" t="str">
        <f t="shared" si="15"/>
        <v>High</v>
      </c>
      <c r="AB29" s="2">
        <f t="shared" si="16"/>
        <v>0.29895967195060341</v>
      </c>
      <c r="AC29" s="2">
        <f t="shared" si="17"/>
        <v>0.83098892943474711</v>
      </c>
      <c r="AD29" s="2" t="str">
        <f t="shared" si="18"/>
        <v>High</v>
      </c>
      <c r="AE29" s="2">
        <f t="shared" si="19"/>
        <v>8.4780953474680121E-2</v>
      </c>
      <c r="AF29" s="2">
        <f t="shared" si="20"/>
        <v>0.43676921517591755</v>
      </c>
      <c r="AG29" s="2" t="str">
        <f t="shared" si="21"/>
        <v>Moderate</v>
      </c>
    </row>
    <row r="30" spans="1:33" x14ac:dyDescent="0.3">
      <c r="A30">
        <v>107852</v>
      </c>
      <c r="B30" t="s">
        <v>82</v>
      </c>
      <c r="C30" t="s">
        <v>80</v>
      </c>
      <c r="D30" t="s">
        <v>83</v>
      </c>
      <c r="E30" s="18">
        <v>6.4</v>
      </c>
      <c r="F30" s="19">
        <f t="shared" si="0"/>
        <v>0.71111111111111114</v>
      </c>
      <c r="G30" s="2">
        <v>93.403036799999995</v>
      </c>
      <c r="H30" s="2">
        <f t="shared" si="1"/>
        <v>0.59677032948662112</v>
      </c>
      <c r="I30" s="2">
        <v>125.3</v>
      </c>
      <c r="J30" s="4">
        <f t="shared" si="2"/>
        <v>0.60795730228044642</v>
      </c>
      <c r="K30" s="2">
        <v>2</v>
      </c>
      <c r="L30" s="4">
        <f t="shared" si="3"/>
        <v>0.83333333333333337</v>
      </c>
      <c r="M30" s="2">
        <v>16302</v>
      </c>
      <c r="N30" s="2">
        <f t="shared" si="4"/>
        <v>7.6000813804393594E-2</v>
      </c>
      <c r="O30" s="2">
        <v>0.354168918</v>
      </c>
      <c r="P30" s="2">
        <f t="shared" si="5"/>
        <v>0.3316819251149335</v>
      </c>
      <c r="Q30" s="2">
        <v>0.2838</v>
      </c>
      <c r="R30" s="2">
        <f t="shared" si="6"/>
        <v>0.66242038216560517</v>
      </c>
      <c r="S30" s="2">
        <f t="shared" si="7"/>
        <v>0.23740211849053369</v>
      </c>
      <c r="T30" s="5">
        <f t="shared" si="8"/>
        <v>0.47899531318423028</v>
      </c>
      <c r="U30" s="2" t="str">
        <f t="shared" si="9"/>
        <v>Moderate</v>
      </c>
      <c r="V30" s="2">
        <f t="shared" si="10"/>
        <v>0.31638595123599161</v>
      </c>
      <c r="W30" s="2">
        <f t="shared" si="11"/>
        <v>0.56992792930947034</v>
      </c>
      <c r="X30" s="2" t="str">
        <f t="shared" si="12"/>
        <v>Moderate</v>
      </c>
      <c r="Y30" s="2">
        <f t="shared" si="13"/>
        <v>0.1584182857450758</v>
      </c>
      <c r="Z30" s="2">
        <f t="shared" si="14"/>
        <v>0.33613424453878094</v>
      </c>
      <c r="AA30" s="2" t="str">
        <f t="shared" si="15"/>
        <v>Moderate</v>
      </c>
      <c r="AB30" s="2">
        <f t="shared" si="16"/>
        <v>0.17096542594336192</v>
      </c>
      <c r="AC30" s="2">
        <f t="shared" si="17"/>
        <v>0.47521585553018642</v>
      </c>
      <c r="AD30" s="2" t="str">
        <f t="shared" si="18"/>
        <v>Moderate</v>
      </c>
      <c r="AE30" s="2">
        <f t="shared" si="19"/>
        <v>3.6299592249263171E-2</v>
      </c>
      <c r="AF30" s="2">
        <f t="shared" si="20"/>
        <v>0.18700596971525527</v>
      </c>
      <c r="AG30" s="2" t="s">
        <v>1175</v>
      </c>
    </row>
    <row r="31" spans="1:33" x14ac:dyDescent="0.3">
      <c r="A31">
        <v>107855</v>
      </c>
      <c r="B31" t="s">
        <v>84</v>
      </c>
      <c r="C31" t="s">
        <v>80</v>
      </c>
      <c r="D31" t="s">
        <v>85</v>
      </c>
      <c r="E31" s="18">
        <v>7.4</v>
      </c>
      <c r="F31" s="19">
        <f t="shared" si="0"/>
        <v>0.93333333333333335</v>
      </c>
      <c r="G31" s="2">
        <v>90.0526464</v>
      </c>
      <c r="H31" s="2">
        <f t="shared" si="1"/>
        <v>0.56437735010027523</v>
      </c>
      <c r="I31" s="2">
        <v>108.6</v>
      </c>
      <c r="J31" s="4">
        <f t="shared" si="2"/>
        <v>0.52692867540029109</v>
      </c>
      <c r="K31" s="2">
        <v>2</v>
      </c>
      <c r="L31" s="4">
        <f t="shared" si="3"/>
        <v>0.83333333333333337</v>
      </c>
      <c r="M31" s="2">
        <v>9856</v>
      </c>
      <c r="N31" s="2">
        <f t="shared" si="4"/>
        <v>4.5502074728061587E-2</v>
      </c>
      <c r="O31" s="2">
        <v>0.32050952900000002</v>
      </c>
      <c r="P31" s="2">
        <f t="shared" si="5"/>
        <v>0.29279893099444237</v>
      </c>
      <c r="Q31" s="2">
        <v>0.28639999999999999</v>
      </c>
      <c r="R31" s="2">
        <f t="shared" si="6"/>
        <v>0.6699478865083961</v>
      </c>
      <c r="S31" s="2">
        <f t="shared" si="7"/>
        <v>0.28392685786081362</v>
      </c>
      <c r="T31" s="5">
        <f t="shared" si="8"/>
        <v>0.57286613559801824</v>
      </c>
      <c r="U31" s="2" t="str">
        <f t="shared" si="9"/>
        <v>Moderate</v>
      </c>
      <c r="V31" s="2">
        <f t="shared" si="10"/>
        <v>0.39515310752249994</v>
      </c>
      <c r="W31" s="2">
        <f t="shared" si="11"/>
        <v>0.71181666395331855</v>
      </c>
      <c r="X31" s="2" t="str">
        <f t="shared" si="12"/>
        <v>High</v>
      </c>
      <c r="Y31" s="2">
        <f t="shared" si="13"/>
        <v>0.1727006081991273</v>
      </c>
      <c r="Z31" s="2">
        <f t="shared" si="14"/>
        <v>0.36643868601012225</v>
      </c>
      <c r="AA31" s="2" t="str">
        <f t="shared" si="15"/>
        <v>Moderate</v>
      </c>
      <c r="AB31" s="2">
        <f t="shared" si="16"/>
        <v>0.19950718756039293</v>
      </c>
      <c r="AC31" s="2">
        <f t="shared" si="17"/>
        <v>0.55455059581661947</v>
      </c>
      <c r="AD31" s="2" t="str">
        <f t="shared" si="18"/>
        <v>Moderate</v>
      </c>
      <c r="AE31" s="2">
        <f t="shared" si="19"/>
        <v>2.6838335622227847E-2</v>
      </c>
      <c r="AF31" s="2">
        <f t="shared" si="20"/>
        <v>0.13826405938981515</v>
      </c>
      <c r="AG31" s="2" t="s">
        <v>1175</v>
      </c>
    </row>
    <row r="32" spans="1:33" s="11" customFormat="1" x14ac:dyDescent="0.3">
      <c r="A32" s="15">
        <v>107857</v>
      </c>
      <c r="B32" s="15" t="s">
        <v>86</v>
      </c>
      <c r="C32" s="15" t="s">
        <v>80</v>
      </c>
      <c r="D32" s="15" t="s">
        <v>87</v>
      </c>
      <c r="E32" s="10">
        <v>7.4</v>
      </c>
      <c r="F32" s="19">
        <f t="shared" si="0"/>
        <v>0.93333333333333335</v>
      </c>
      <c r="G32" s="11">
        <v>110.3518656</v>
      </c>
      <c r="H32" s="11">
        <f t="shared" si="1"/>
        <v>0.76063871388179705</v>
      </c>
      <c r="I32" s="11">
        <v>145.5</v>
      </c>
      <c r="J32" s="12">
        <f t="shared" si="2"/>
        <v>0.70596797671033484</v>
      </c>
      <c r="K32" s="11">
        <v>2</v>
      </c>
      <c r="L32" s="12">
        <f t="shared" si="3"/>
        <v>0.83333333333333337</v>
      </c>
      <c r="M32" s="11">
        <v>35512</v>
      </c>
      <c r="N32" s="11">
        <f t="shared" si="4"/>
        <v>0.16689140915908457</v>
      </c>
      <c r="O32" s="11">
        <v>0.42191277799999999</v>
      </c>
      <c r="P32" s="11">
        <f t="shared" si="5"/>
        <v>0.40993896388885109</v>
      </c>
      <c r="Q32" s="11">
        <v>0.25509999999999999</v>
      </c>
      <c r="R32" s="11">
        <f t="shared" si="6"/>
        <v>0.5793283149971048</v>
      </c>
      <c r="S32" s="11">
        <f t="shared" si="7"/>
        <v>0.35238929750303732</v>
      </c>
      <c r="T32" s="13">
        <f t="shared" si="8"/>
        <v>0.71099964479452948</v>
      </c>
      <c r="U32" s="11" t="str">
        <f t="shared" si="9"/>
        <v>High</v>
      </c>
      <c r="V32" s="11">
        <f t="shared" si="10"/>
        <v>0.41272788922190295</v>
      </c>
      <c r="W32" s="11">
        <f t="shared" si="11"/>
        <v>0.74347533559432188</v>
      </c>
      <c r="X32" s="11" t="str">
        <f t="shared" si="12"/>
        <v>High</v>
      </c>
      <c r="Y32" s="11">
        <f t="shared" si="13"/>
        <v>0.29205070578417175</v>
      </c>
      <c r="Z32" s="11">
        <f t="shared" si="14"/>
        <v>0.61967747532473072</v>
      </c>
      <c r="AA32" s="11" t="str">
        <f t="shared" si="15"/>
        <v>Moderate</v>
      </c>
      <c r="AB32" s="11">
        <f t="shared" si="16"/>
        <v>0.27368412859269159</v>
      </c>
      <c r="AC32" s="11">
        <f t="shared" si="17"/>
        <v>0.7607329762527304</v>
      </c>
      <c r="AD32" s="11" t="str">
        <f t="shared" si="18"/>
        <v>High</v>
      </c>
      <c r="AE32" s="11">
        <f t="shared" si="19"/>
        <v>0.11889758751364013</v>
      </c>
      <c r="AF32" s="11">
        <f t="shared" si="20"/>
        <v>0.61252915727294499</v>
      </c>
      <c r="AG32" s="11" t="str">
        <f t="shared" si="21"/>
        <v>Moderate</v>
      </c>
    </row>
    <row r="33" spans="1:33" x14ac:dyDescent="0.3">
      <c r="A33">
        <v>107866</v>
      </c>
      <c r="B33" t="s">
        <v>88</v>
      </c>
      <c r="C33" t="s">
        <v>80</v>
      </c>
      <c r="D33" t="s">
        <v>89</v>
      </c>
      <c r="E33" s="18">
        <v>7.4</v>
      </c>
      <c r="F33" s="19">
        <f t="shared" si="0"/>
        <v>0.93333333333333335</v>
      </c>
      <c r="G33" s="2">
        <v>130.43311199999999</v>
      </c>
      <c r="H33" s="2">
        <f t="shared" si="1"/>
        <v>0.95479262522518382</v>
      </c>
      <c r="I33" s="2">
        <v>198.9</v>
      </c>
      <c r="J33" s="4">
        <f t="shared" si="2"/>
        <v>0.96506550218340614</v>
      </c>
      <c r="K33" s="2">
        <v>2</v>
      </c>
      <c r="L33" s="4">
        <f t="shared" si="3"/>
        <v>0.83333333333333337</v>
      </c>
      <c r="M33" s="2">
        <v>36052</v>
      </c>
      <c r="N33" s="2">
        <f t="shared" si="4"/>
        <v>0.16944637644130908</v>
      </c>
      <c r="O33" s="2">
        <v>0.26684560499999999</v>
      </c>
      <c r="P33" s="2">
        <f t="shared" si="5"/>
        <v>0.23080689538813695</v>
      </c>
      <c r="Q33" s="2">
        <v>0.20119999999999999</v>
      </c>
      <c r="R33" s="2">
        <f t="shared" si="6"/>
        <v>0.42327735958309209</v>
      </c>
      <c r="S33" s="2">
        <f t="shared" si="7"/>
        <v>0.28141549532300608</v>
      </c>
      <c r="T33" s="5">
        <f t="shared" si="8"/>
        <v>0.56779907514815864</v>
      </c>
      <c r="U33" s="2" t="str">
        <f t="shared" si="9"/>
        <v>Moderate</v>
      </c>
      <c r="V33" s="2">
        <f t="shared" si="10"/>
        <v>0.36422466035764633</v>
      </c>
      <c r="W33" s="2">
        <f t="shared" si="11"/>
        <v>0.65610310973082264</v>
      </c>
      <c r="X33" s="2" t="str">
        <f t="shared" si="12"/>
        <v>Moderate</v>
      </c>
      <c r="Y33" s="2">
        <f t="shared" si="13"/>
        <v>0.19860633028836586</v>
      </c>
      <c r="Z33" s="2">
        <f t="shared" si="14"/>
        <v>0.42140582747831273</v>
      </c>
      <c r="AA33" s="2" t="str">
        <f t="shared" si="15"/>
        <v>Moderate</v>
      </c>
      <c r="AB33" s="2">
        <f t="shared" si="16"/>
        <v>0.23809277096071901</v>
      </c>
      <c r="AC33" s="2">
        <f t="shared" si="17"/>
        <v>0.66180316413877782</v>
      </c>
      <c r="AD33" s="2" t="str">
        <f t="shared" si="18"/>
        <v>Moderate</v>
      </c>
      <c r="AE33" s="2">
        <f t="shared" si="19"/>
        <v>0.14580640214009444</v>
      </c>
      <c r="AF33" s="2">
        <f t="shared" si="20"/>
        <v>0.75115630599002947</v>
      </c>
      <c r="AG33" s="2" t="str">
        <f t="shared" si="21"/>
        <v>High</v>
      </c>
    </row>
    <row r="34" spans="1:33" x14ac:dyDescent="0.3">
      <c r="A34">
        <v>107876</v>
      </c>
      <c r="B34" t="s">
        <v>90</v>
      </c>
      <c r="C34" t="s">
        <v>80</v>
      </c>
      <c r="D34" t="s">
        <v>91</v>
      </c>
      <c r="E34" s="18">
        <v>7.4</v>
      </c>
      <c r="F34" s="19">
        <f t="shared" si="0"/>
        <v>0.93333333333333335</v>
      </c>
      <c r="G34" s="2">
        <v>94.545612000000006</v>
      </c>
      <c r="H34" s="2">
        <f t="shared" si="1"/>
        <v>0.60781722566354146</v>
      </c>
      <c r="I34" s="2">
        <v>136.6</v>
      </c>
      <c r="J34" s="4">
        <f t="shared" si="2"/>
        <v>0.66278505579815628</v>
      </c>
      <c r="K34" s="2">
        <v>2</v>
      </c>
      <c r="L34" s="4">
        <f t="shared" si="3"/>
        <v>0.83333333333333337</v>
      </c>
      <c r="M34" s="2">
        <v>16333</v>
      </c>
      <c r="N34" s="2">
        <f t="shared" si="4"/>
        <v>7.6147487852076853E-2</v>
      </c>
      <c r="O34" s="2">
        <v>0.24920603099999999</v>
      </c>
      <c r="P34" s="2">
        <f t="shared" si="5"/>
        <v>0.21042983351901129</v>
      </c>
      <c r="Q34" s="2">
        <v>0.27389999999999998</v>
      </c>
      <c r="R34" s="2">
        <f t="shared" si="6"/>
        <v>0.63375796178343946</v>
      </c>
      <c r="S34" s="2">
        <f t="shared" si="7"/>
        <v>0.2736843094385436</v>
      </c>
      <c r="T34" s="5">
        <f t="shared" ref="T34:T65" si="23">(S34-$AJ$10)/$AK$10</f>
        <v>0.55220021770088912</v>
      </c>
      <c r="U34" s="2" t="str">
        <f t="shared" si="9"/>
        <v>Moderate</v>
      </c>
      <c r="V34" s="2">
        <f t="shared" si="10"/>
        <v>0.41092659971407669</v>
      </c>
      <c r="W34" s="2">
        <f t="shared" si="11"/>
        <v>0.74023054803257404</v>
      </c>
      <c r="X34" s="2" t="str">
        <f t="shared" si="12"/>
        <v>High</v>
      </c>
      <c r="Y34" s="2">
        <f t="shared" si="13"/>
        <v>0.13644201916301055</v>
      </c>
      <c r="Z34" s="2">
        <f t="shared" si="14"/>
        <v>0.28950467945667696</v>
      </c>
      <c r="AA34" s="2" t="str">
        <f t="shared" si="15"/>
        <v>Low</v>
      </c>
      <c r="AB34" s="2">
        <f t="shared" si="16"/>
        <v>0.2020377397983503</v>
      </c>
      <c r="AC34" s="2">
        <f t="shared" si="17"/>
        <v>0.56158452410995252</v>
      </c>
      <c r="AD34" s="2" t="str">
        <f t="shared" si="18"/>
        <v>Moderate</v>
      </c>
      <c r="AE34" s="2">
        <f t="shared" si="19"/>
        <v>4.9373783284343671E-2</v>
      </c>
      <c r="AF34" s="2">
        <f t="shared" si="20"/>
        <v>0.25436076962509047</v>
      </c>
      <c r="AG34" s="2" t="s">
        <v>1175</v>
      </c>
    </row>
    <row r="35" spans="1:33" x14ac:dyDescent="0.3">
      <c r="A35">
        <v>107895</v>
      </c>
      <c r="B35" t="s">
        <v>92</v>
      </c>
      <c r="C35" t="s">
        <v>80</v>
      </c>
      <c r="D35" t="s">
        <v>93</v>
      </c>
      <c r="E35" s="18">
        <v>7.4</v>
      </c>
      <c r="F35" s="19">
        <f t="shared" si="0"/>
        <v>0.93333333333333335</v>
      </c>
      <c r="G35" s="2">
        <v>94.545612000000006</v>
      </c>
      <c r="H35" s="2">
        <f t="shared" si="1"/>
        <v>0.60781722566354146</v>
      </c>
      <c r="I35" s="2">
        <v>123.7</v>
      </c>
      <c r="J35" s="4">
        <f t="shared" si="2"/>
        <v>0.6001940805434256</v>
      </c>
      <c r="K35" s="2">
        <v>2</v>
      </c>
      <c r="L35" s="4">
        <f t="shared" si="3"/>
        <v>0.83333333333333337</v>
      </c>
      <c r="M35" s="2">
        <v>53541</v>
      </c>
      <c r="N35" s="2">
        <f t="shared" si="4"/>
        <v>0.25219419643913266</v>
      </c>
      <c r="O35" s="2">
        <v>0.27040786700000002</v>
      </c>
      <c r="P35" s="2">
        <f t="shared" si="5"/>
        <v>0.23492198530856451</v>
      </c>
      <c r="Q35" s="2">
        <v>0.27210000000000001</v>
      </c>
      <c r="R35" s="2">
        <f t="shared" si="6"/>
        <v>0.62854661262304579</v>
      </c>
      <c r="S35" s="2">
        <f t="shared" si="7"/>
        <v>0.27110770847184484</v>
      </c>
      <c r="T35" s="5">
        <f t="shared" si="23"/>
        <v>0.54700152867973839</v>
      </c>
      <c r="U35" s="2" t="str">
        <f t="shared" si="9"/>
        <v>Moderate</v>
      </c>
      <c r="V35" s="2">
        <f t="shared" si="10"/>
        <v>0.39469607169077586</v>
      </c>
      <c r="W35" s="2">
        <f t="shared" si="11"/>
        <v>0.71099337365178283</v>
      </c>
      <c r="X35" s="2" t="str">
        <f t="shared" si="12"/>
        <v>High</v>
      </c>
      <c r="Y35" s="2">
        <f t="shared" si="13"/>
        <v>0.1475193452529138</v>
      </c>
      <c r="Z35" s="2">
        <f t="shared" si="14"/>
        <v>0.31300871258787183</v>
      </c>
      <c r="AA35" s="2" t="str">
        <f t="shared" si="15"/>
        <v>Moderate</v>
      </c>
      <c r="AB35" s="2">
        <f t="shared" si="16"/>
        <v>0.23782733142543511</v>
      </c>
      <c r="AC35" s="2">
        <f t="shared" si="17"/>
        <v>0.66106534785132987</v>
      </c>
      <c r="AD35" s="2" t="str">
        <f t="shared" si="18"/>
        <v>Moderate</v>
      </c>
      <c r="AE35" s="2">
        <f t="shared" si="19"/>
        <v>0.15836543645082696</v>
      </c>
      <c r="AF35" s="2">
        <f t="shared" si="20"/>
        <v>0.81585715369757839</v>
      </c>
      <c r="AG35" s="2" t="str">
        <f t="shared" si="21"/>
        <v>High</v>
      </c>
    </row>
    <row r="36" spans="1:33" x14ac:dyDescent="0.3">
      <c r="A36" s="9">
        <v>107897</v>
      </c>
      <c r="B36" s="9" t="s">
        <v>1169</v>
      </c>
      <c r="C36" s="9" t="s">
        <v>80</v>
      </c>
      <c r="D36" s="9" t="s">
        <v>1160</v>
      </c>
      <c r="E36" s="20">
        <v>7.4</v>
      </c>
      <c r="F36" s="19">
        <f t="shared" si="0"/>
        <v>0.93333333333333335</v>
      </c>
      <c r="G36" s="2">
        <v>110.3518656</v>
      </c>
      <c r="H36" s="2">
        <f t="shared" si="1"/>
        <v>0.76063871388179705</v>
      </c>
      <c r="I36" s="11">
        <v>145.5</v>
      </c>
      <c r="J36" s="4">
        <f t="shared" si="2"/>
        <v>0.70596797671033484</v>
      </c>
      <c r="K36" s="2">
        <v>2</v>
      </c>
      <c r="L36" s="4">
        <f t="shared" si="3"/>
        <v>0.83333333333333337</v>
      </c>
      <c r="M36" s="2">
        <v>35512</v>
      </c>
      <c r="N36" s="2">
        <f t="shared" si="4"/>
        <v>0.16689140915908457</v>
      </c>
      <c r="O36" s="2">
        <v>0.42191277799999999</v>
      </c>
      <c r="P36" s="2">
        <f t="shared" si="5"/>
        <v>0.40993896388885109</v>
      </c>
      <c r="Q36" s="2">
        <v>0.25509999999999999</v>
      </c>
      <c r="R36" s="2">
        <f t="shared" si="6"/>
        <v>0.5793283149971048</v>
      </c>
      <c r="S36" s="2">
        <f t="shared" si="7"/>
        <v>0.35238929750303732</v>
      </c>
      <c r="T36" s="5">
        <f t="shared" si="23"/>
        <v>0.71099964479452948</v>
      </c>
      <c r="U36" s="2" t="str">
        <f t="shared" si="9"/>
        <v>High</v>
      </c>
      <c r="V36" s="2">
        <f t="shared" si="10"/>
        <v>0.41272788922190295</v>
      </c>
      <c r="W36" s="2">
        <f t="shared" si="11"/>
        <v>0.74347533559432188</v>
      </c>
      <c r="X36" s="2" t="str">
        <f t="shared" si="12"/>
        <v>High</v>
      </c>
      <c r="Y36" s="2">
        <f t="shared" si="13"/>
        <v>0.29205070578417175</v>
      </c>
      <c r="Z36" s="2">
        <f t="shared" si="14"/>
        <v>0.61967747532473072</v>
      </c>
      <c r="AA36" s="2" t="str">
        <f t="shared" si="15"/>
        <v>Moderate</v>
      </c>
      <c r="AB36" s="2">
        <f t="shared" si="16"/>
        <v>0.27368412859269159</v>
      </c>
      <c r="AC36" s="2">
        <f t="shared" si="17"/>
        <v>0.7607329762527304</v>
      </c>
      <c r="AD36" s="2" t="str">
        <f t="shared" si="18"/>
        <v>High</v>
      </c>
      <c r="AE36" s="2">
        <f t="shared" si="19"/>
        <v>0.11889758751364013</v>
      </c>
      <c r="AF36" s="2">
        <f t="shared" si="20"/>
        <v>0.61252915727294499</v>
      </c>
      <c r="AG36" s="2" t="str">
        <f t="shared" si="21"/>
        <v>Moderate</v>
      </c>
    </row>
    <row r="37" spans="1:33" x14ac:dyDescent="0.3">
      <c r="A37">
        <v>107914</v>
      </c>
      <c r="B37" t="s">
        <v>94</v>
      </c>
      <c r="C37" t="s">
        <v>95</v>
      </c>
      <c r="D37" t="s">
        <v>96</v>
      </c>
      <c r="E37" s="18">
        <v>7.1</v>
      </c>
      <c r="F37" s="19">
        <f t="shared" si="0"/>
        <v>0.86666666666666659</v>
      </c>
      <c r="G37" s="2">
        <v>110.8967868</v>
      </c>
      <c r="H37" s="2">
        <f t="shared" si="1"/>
        <v>0.76590724055820558</v>
      </c>
      <c r="I37" s="2">
        <v>147.6</v>
      </c>
      <c r="J37" s="4">
        <f t="shared" si="2"/>
        <v>0.71615720524017468</v>
      </c>
      <c r="K37" s="2">
        <v>2</v>
      </c>
      <c r="L37" s="4">
        <f t="shared" si="3"/>
        <v>0.83333333333333337</v>
      </c>
      <c r="M37" s="2">
        <v>20310</v>
      </c>
      <c r="N37" s="2">
        <f t="shared" si="4"/>
        <v>9.4964348743571181E-2</v>
      </c>
      <c r="O37" s="2">
        <v>0.33011159299999998</v>
      </c>
      <c r="P37" s="2">
        <f t="shared" si="5"/>
        <v>0.30389114060218597</v>
      </c>
      <c r="Q37" s="2">
        <v>0.30020000000000002</v>
      </c>
      <c r="R37" s="2">
        <f t="shared" si="6"/>
        <v>0.70990156340474819</v>
      </c>
      <c r="S37" s="2">
        <f t="shared" si="7"/>
        <v>0.33770763810688703</v>
      </c>
      <c r="T37" s="5">
        <f t="shared" si="23"/>
        <v>0.68137713727337768</v>
      </c>
      <c r="U37" s="2" t="str">
        <f t="shared" si="9"/>
        <v>Moderate</v>
      </c>
      <c r="V37" s="2">
        <f t="shared" si="10"/>
        <v>0.47295503176981685</v>
      </c>
      <c r="W37" s="2">
        <f t="shared" si="11"/>
        <v>0.85196665926550408</v>
      </c>
      <c r="X37" s="2" t="str">
        <f t="shared" si="12"/>
        <v>High</v>
      </c>
      <c r="Y37" s="2">
        <f t="shared" si="13"/>
        <v>0.20246024444395724</v>
      </c>
      <c r="Z37" s="2">
        <f t="shared" si="14"/>
        <v>0.42958311911553965</v>
      </c>
      <c r="AA37" s="2" t="str">
        <f t="shared" si="15"/>
        <v>Moderate</v>
      </c>
      <c r="AB37" s="2">
        <f t="shared" si="16"/>
        <v>0.24841604297829772</v>
      </c>
      <c r="AC37" s="2">
        <f t="shared" si="17"/>
        <v>0.69049775263019419</v>
      </c>
      <c r="AD37" s="2" t="str">
        <f t="shared" si="18"/>
        <v>Moderate</v>
      </c>
      <c r="AE37" s="2">
        <f t="shared" si="19"/>
        <v>6.3267738644784702E-2</v>
      </c>
      <c r="AF37" s="2">
        <f t="shared" si="20"/>
        <v>0.32593878013049726</v>
      </c>
      <c r="AG37" s="2" t="str">
        <f t="shared" si="21"/>
        <v>Moderate</v>
      </c>
    </row>
    <row r="38" spans="1:33" x14ac:dyDescent="0.3">
      <c r="A38">
        <v>107947</v>
      </c>
      <c r="B38" t="s">
        <v>97</v>
      </c>
      <c r="C38" t="s">
        <v>95</v>
      </c>
      <c r="D38" t="s">
        <v>98</v>
      </c>
      <c r="E38" s="18">
        <v>7.2</v>
      </c>
      <c r="F38" s="19">
        <f t="shared" si="0"/>
        <v>0.88888888888888884</v>
      </c>
      <c r="G38" s="2">
        <v>100.9721772</v>
      </c>
      <c r="H38" s="2">
        <f t="shared" si="1"/>
        <v>0.66995195302206312</v>
      </c>
      <c r="I38" s="2">
        <v>152.80000000000001</v>
      </c>
      <c r="J38" s="4">
        <f t="shared" si="2"/>
        <v>0.74138767588549259</v>
      </c>
      <c r="K38" s="2">
        <v>2</v>
      </c>
      <c r="L38" s="4">
        <f t="shared" si="3"/>
        <v>0.83333333333333337</v>
      </c>
      <c r="M38" s="2">
        <v>9387</v>
      </c>
      <c r="N38" s="2">
        <f t="shared" si="4"/>
        <v>4.3283038329240651E-2</v>
      </c>
      <c r="O38" s="2">
        <v>0.32624590999999997</v>
      </c>
      <c r="P38" s="2">
        <f t="shared" si="5"/>
        <v>0.29942554173582853</v>
      </c>
      <c r="Q38" s="2">
        <v>0.29949999999999999</v>
      </c>
      <c r="R38" s="2">
        <f t="shared" si="6"/>
        <v>0.70787492762015058</v>
      </c>
      <c r="S38" s="2">
        <f t="shared" si="7"/>
        <v>0.33306675202477365</v>
      </c>
      <c r="T38" s="5">
        <f t="shared" si="23"/>
        <v>0.67201343531280366</v>
      </c>
      <c r="U38" s="2" t="str">
        <f t="shared" si="9"/>
        <v>Moderate</v>
      </c>
      <c r="V38" s="2">
        <f t="shared" si="10"/>
        <v>0.46812169785437574</v>
      </c>
      <c r="W38" s="2">
        <f t="shared" si="11"/>
        <v>0.84326004008937672</v>
      </c>
      <c r="X38" s="2" t="str">
        <f t="shared" si="12"/>
        <v>High</v>
      </c>
      <c r="Y38" s="2">
        <f t="shared" si="13"/>
        <v>0.19801180619517147</v>
      </c>
      <c r="Z38" s="2">
        <f t="shared" si="14"/>
        <v>0.42014435752876678</v>
      </c>
      <c r="AA38" s="2" t="str">
        <f t="shared" si="15"/>
        <v>Moderate</v>
      </c>
      <c r="AB38" s="2">
        <f t="shared" si="16"/>
        <v>0.23326429752302502</v>
      </c>
      <c r="AC38" s="2">
        <f t="shared" si="17"/>
        <v>0.64838192927250327</v>
      </c>
      <c r="AD38" s="2" t="str">
        <f t="shared" si="18"/>
        <v>Moderate</v>
      </c>
      <c r="AE38" s="2">
        <f t="shared" si="19"/>
        <v>2.8623318329834547E-2</v>
      </c>
      <c r="AF38" s="2">
        <f t="shared" si="20"/>
        <v>0.14745982169669694</v>
      </c>
      <c r="AG38" s="2" t="s">
        <v>1175</v>
      </c>
    </row>
    <row r="39" spans="1:33" x14ac:dyDescent="0.3">
      <c r="A39">
        <v>107958</v>
      </c>
      <c r="B39" t="s">
        <v>99</v>
      </c>
      <c r="C39" t="s">
        <v>95</v>
      </c>
      <c r="D39" t="s">
        <v>100</v>
      </c>
      <c r="E39" s="18">
        <v>7.1</v>
      </c>
      <c r="F39" s="19">
        <f t="shared" si="0"/>
        <v>0.86666666666666659</v>
      </c>
      <c r="G39" s="2">
        <v>110.8967868</v>
      </c>
      <c r="H39" s="2">
        <f t="shared" si="1"/>
        <v>0.76590724055820558</v>
      </c>
      <c r="I39" s="2">
        <v>147.1</v>
      </c>
      <c r="J39" s="4">
        <f t="shared" si="2"/>
        <v>0.71373119844735566</v>
      </c>
      <c r="K39" s="2">
        <v>2</v>
      </c>
      <c r="L39" s="4">
        <f t="shared" si="3"/>
        <v>0.83333333333333337</v>
      </c>
      <c r="M39" s="2">
        <v>34224</v>
      </c>
      <c r="N39" s="2">
        <f t="shared" si="4"/>
        <v>0.16079733904888976</v>
      </c>
      <c r="O39" s="2">
        <v>0.55139578199999995</v>
      </c>
      <c r="P39" s="2">
        <f t="shared" si="5"/>
        <v>0.55951645275044426</v>
      </c>
      <c r="Q39" s="2">
        <v>0.26869999999999999</v>
      </c>
      <c r="R39" s="2">
        <f t="shared" si="6"/>
        <v>0.61870295309785761</v>
      </c>
      <c r="S39" s="2">
        <f t="shared" si="7"/>
        <v>0.39204680854234125</v>
      </c>
      <c r="T39" s="5">
        <f t="shared" si="23"/>
        <v>0.7910147770989866</v>
      </c>
      <c r="U39" s="2" t="str">
        <f t="shared" si="9"/>
        <v>High</v>
      </c>
      <c r="V39" s="2">
        <f t="shared" si="10"/>
        <v>0.41174083026258873</v>
      </c>
      <c r="W39" s="2">
        <f t="shared" si="11"/>
        <v>0.74169727791953999</v>
      </c>
      <c r="X39" s="2" t="str">
        <f t="shared" si="12"/>
        <v>High</v>
      </c>
      <c r="Y39" s="2">
        <f t="shared" si="13"/>
        <v>0.37235278682209372</v>
      </c>
      <c r="Z39" s="2">
        <f t="shared" si="14"/>
        <v>0.79006360983958979</v>
      </c>
      <c r="AA39" s="2" t="str">
        <f t="shared" si="15"/>
        <v>High</v>
      </c>
      <c r="AB39" s="2">
        <f t="shared" si="16"/>
        <v>0.29326830242083335</v>
      </c>
      <c r="AC39" s="2">
        <f t="shared" si="17"/>
        <v>0.81516918678617145</v>
      </c>
      <c r="AD39" s="2" t="str">
        <f t="shared" si="18"/>
        <v>High</v>
      </c>
      <c r="AE39" s="2">
        <f t="shared" si="19"/>
        <v>0.1070090736637121</v>
      </c>
      <c r="AF39" s="2">
        <f t="shared" si="20"/>
        <v>0.55128265495103079</v>
      </c>
      <c r="AG39" s="2" t="str">
        <f t="shared" si="21"/>
        <v>Moderate</v>
      </c>
    </row>
    <row r="40" spans="1:33" x14ac:dyDescent="0.3">
      <c r="A40">
        <v>107976</v>
      </c>
      <c r="B40" t="s">
        <v>101</v>
      </c>
      <c r="C40" t="s">
        <v>95</v>
      </c>
      <c r="D40" t="s">
        <v>102</v>
      </c>
      <c r="E40" s="18">
        <v>7</v>
      </c>
      <c r="F40" s="19">
        <f t="shared" si="0"/>
        <v>0.84444444444444444</v>
      </c>
      <c r="G40" s="2">
        <v>93.526081199999993</v>
      </c>
      <c r="H40" s="2">
        <f t="shared" si="1"/>
        <v>0.59795997434496517</v>
      </c>
      <c r="I40" s="2">
        <v>137.4</v>
      </c>
      <c r="J40" s="4">
        <f t="shared" si="2"/>
        <v>0.66666666666666674</v>
      </c>
      <c r="K40" s="2">
        <v>0</v>
      </c>
      <c r="L40" s="4">
        <f t="shared" si="3"/>
        <v>0</v>
      </c>
      <c r="M40" s="2">
        <v>7339</v>
      </c>
      <c r="N40" s="2">
        <f t="shared" si="4"/>
        <v>3.3593088340359491E-2</v>
      </c>
      <c r="O40" s="2">
        <v>0.67154465100000005</v>
      </c>
      <c r="P40" s="2">
        <f t="shared" si="5"/>
        <v>0.69831124094195496</v>
      </c>
      <c r="Q40" s="2">
        <v>0.2717</v>
      </c>
      <c r="R40" s="2">
        <f t="shared" si="6"/>
        <v>0.62738853503184722</v>
      </c>
      <c r="S40" s="2">
        <f t="shared" si="7"/>
        <v>0.24775169874709974</v>
      </c>
      <c r="T40" s="5">
        <f t="shared" si="23"/>
        <v>0.49987718428057792</v>
      </c>
      <c r="U40" s="2" t="str">
        <f t="shared" si="9"/>
        <v>Moderate</v>
      </c>
      <c r="V40" s="2">
        <f t="shared" si="10"/>
        <v>0.23449740000810879</v>
      </c>
      <c r="W40" s="2">
        <f t="shared" si="11"/>
        <v>0.42241640974566941</v>
      </c>
      <c r="X40" s="2" t="str">
        <f t="shared" si="12"/>
        <v>Moderate</v>
      </c>
      <c r="Y40" s="2">
        <f t="shared" si="13"/>
        <v>0.26100599748609071</v>
      </c>
      <c r="Z40" s="2">
        <f t="shared" si="14"/>
        <v>0.55380635746972229</v>
      </c>
      <c r="AA40" s="2" t="str">
        <f t="shared" si="15"/>
        <v>Moderate</v>
      </c>
      <c r="AB40" s="2">
        <f t="shared" si="16"/>
        <v>0.16477049004541081</v>
      </c>
      <c r="AC40" s="2">
        <f t="shared" si="17"/>
        <v>0.45799639875139431</v>
      </c>
      <c r="AD40" s="2" t="str">
        <f t="shared" si="18"/>
        <v>Moderate</v>
      </c>
      <c r="AE40" s="2">
        <f t="shared" si="19"/>
        <v>1.2556002276415746E-2</v>
      </c>
      <c r="AF40" s="2">
        <f t="shared" si="20"/>
        <v>6.4685227462733849E-2</v>
      </c>
      <c r="AG40" s="2" t="s">
        <v>1175</v>
      </c>
    </row>
    <row r="41" spans="1:33" x14ac:dyDescent="0.3">
      <c r="A41">
        <v>107980</v>
      </c>
      <c r="B41" t="s">
        <v>103</v>
      </c>
      <c r="C41" t="s">
        <v>95</v>
      </c>
      <c r="D41" t="s">
        <v>104</v>
      </c>
      <c r="E41" s="18">
        <v>7.1</v>
      </c>
      <c r="F41" s="19">
        <f t="shared" si="0"/>
        <v>0.86666666666666659</v>
      </c>
      <c r="G41" s="2">
        <v>100.9721772</v>
      </c>
      <c r="H41" s="2">
        <f t="shared" si="1"/>
        <v>0.66995195302206312</v>
      </c>
      <c r="I41" s="2">
        <v>152.80000000000001</v>
      </c>
      <c r="J41" s="4">
        <f t="shared" si="2"/>
        <v>0.74138767588549259</v>
      </c>
      <c r="K41" s="2">
        <v>0</v>
      </c>
      <c r="L41" s="4">
        <f t="shared" si="3"/>
        <v>0</v>
      </c>
      <c r="M41" s="2">
        <v>16497</v>
      </c>
      <c r="N41" s="2">
        <f t="shared" si="4"/>
        <v>7.692344087853023E-2</v>
      </c>
      <c r="O41" s="2">
        <v>0.44007054699999998</v>
      </c>
      <c r="P41" s="2">
        <f t="shared" si="5"/>
        <v>0.43091463950994557</v>
      </c>
      <c r="Q41" s="2">
        <v>0.31269999999999998</v>
      </c>
      <c r="R41" s="2">
        <f t="shared" si="6"/>
        <v>0.74609148812970472</v>
      </c>
      <c r="S41" s="2">
        <f t="shared" si="7"/>
        <v>0.25194190102973757</v>
      </c>
      <c r="T41" s="5">
        <f t="shared" si="23"/>
        <v>0.5083315623098853</v>
      </c>
      <c r="U41" s="2" t="str">
        <f t="shared" si="9"/>
        <v>Moderate</v>
      </c>
      <c r="V41" s="2">
        <f t="shared" si="10"/>
        <v>0.31940650680971255</v>
      </c>
      <c r="W41" s="2">
        <f t="shared" si="11"/>
        <v>0.57536906529155096</v>
      </c>
      <c r="X41" s="2" t="str">
        <f t="shared" si="12"/>
        <v>Moderate</v>
      </c>
      <c r="Y41" s="2">
        <f t="shared" si="13"/>
        <v>0.18447729524976256</v>
      </c>
      <c r="Z41" s="2">
        <f t="shared" si="14"/>
        <v>0.3914266334955846</v>
      </c>
      <c r="AA41" s="2" t="str">
        <f t="shared" si="15"/>
        <v>Moderate</v>
      </c>
      <c r="AB41" s="2">
        <f t="shared" si="16"/>
        <v>0.17866146079514794</v>
      </c>
      <c r="AC41" s="2">
        <f t="shared" si="17"/>
        <v>0.49660777010064011</v>
      </c>
      <c r="AD41" s="2" t="str">
        <f t="shared" si="18"/>
        <v>Moderate</v>
      </c>
      <c r="AE41" s="2">
        <f t="shared" si="19"/>
        <v>3.2931413819485132E-2</v>
      </c>
      <c r="AF41" s="2">
        <f t="shared" si="20"/>
        <v>0.16965399867631242</v>
      </c>
      <c r="AG41" s="2" t="s">
        <v>1175</v>
      </c>
    </row>
    <row r="42" spans="1:33" x14ac:dyDescent="0.3">
      <c r="A42">
        <v>107987</v>
      </c>
      <c r="B42" t="s">
        <v>105</v>
      </c>
      <c r="C42" t="s">
        <v>95</v>
      </c>
      <c r="D42" t="s">
        <v>1125</v>
      </c>
      <c r="E42" s="18">
        <v>7.1</v>
      </c>
      <c r="F42" s="19">
        <f t="shared" si="0"/>
        <v>0.86666666666666659</v>
      </c>
      <c r="G42" s="2">
        <v>93.051471599999999</v>
      </c>
      <c r="H42" s="2">
        <f t="shared" si="1"/>
        <v>0.59337124970279764</v>
      </c>
      <c r="I42" s="2">
        <v>123.5</v>
      </c>
      <c r="J42" s="4">
        <f t="shared" si="2"/>
        <v>0.59922367782629793</v>
      </c>
      <c r="K42" s="2">
        <v>0</v>
      </c>
      <c r="L42" s="4">
        <f t="shared" si="3"/>
        <v>0</v>
      </c>
      <c r="M42" s="2">
        <v>14296</v>
      </c>
      <c r="N42" s="2">
        <f t="shared" si="4"/>
        <v>6.650958349301879E-2</v>
      </c>
      <c r="O42" s="2">
        <v>0.70676014099999995</v>
      </c>
      <c r="P42" s="2">
        <f t="shared" si="5"/>
        <v>0.73899182758659698</v>
      </c>
      <c r="Q42" s="2">
        <v>0.3246</v>
      </c>
      <c r="R42" s="2">
        <f t="shared" si="6"/>
        <v>0.78054429646786339</v>
      </c>
      <c r="S42" s="2">
        <f t="shared" si="7"/>
        <v>0.27484897951792675</v>
      </c>
      <c r="T42" s="5">
        <f t="shared" si="23"/>
        <v>0.55455011884321059</v>
      </c>
      <c r="U42" s="2" t="str">
        <f t="shared" si="9"/>
        <v>Moderate</v>
      </c>
      <c r="V42" s="2">
        <f t="shared" si="10"/>
        <v>0.28236486116606657</v>
      </c>
      <c r="W42" s="2">
        <f t="shared" si="11"/>
        <v>0.50864338320160374</v>
      </c>
      <c r="X42" s="2" t="str">
        <f t="shared" si="12"/>
        <v>Moderate</v>
      </c>
      <c r="Y42" s="2">
        <f t="shared" si="13"/>
        <v>0.26733309786978687</v>
      </c>
      <c r="Z42" s="2">
        <f t="shared" si="14"/>
        <v>0.56723129195624411</v>
      </c>
      <c r="AA42" s="2" t="str">
        <f t="shared" si="15"/>
        <v>Moderate</v>
      </c>
      <c r="AB42" s="2">
        <f t="shared" si="16"/>
        <v>0.18744866374306346</v>
      </c>
      <c r="AC42" s="2">
        <f t="shared" si="17"/>
        <v>0.52103269779329786</v>
      </c>
      <c r="AD42" s="2" t="str">
        <f t="shared" si="18"/>
        <v>Moderate</v>
      </c>
      <c r="AE42" s="2">
        <f t="shared" si="19"/>
        <v>2.4060094211440279E-2</v>
      </c>
      <c r="AF42" s="2">
        <f t="shared" si="20"/>
        <v>0.1239512889994548</v>
      </c>
      <c r="AG42" s="2" t="s">
        <v>1175</v>
      </c>
    </row>
    <row r="43" spans="1:33" x14ac:dyDescent="0.3">
      <c r="A43" s="9">
        <v>107990</v>
      </c>
      <c r="B43" s="9" t="s">
        <v>106</v>
      </c>
      <c r="C43" s="9" t="s">
        <v>95</v>
      </c>
      <c r="D43" s="9" t="s">
        <v>1161</v>
      </c>
      <c r="E43" s="20">
        <v>7.1</v>
      </c>
      <c r="F43" s="19">
        <f t="shared" si="0"/>
        <v>0.86666666666666659</v>
      </c>
      <c r="G43" s="2">
        <v>100.9721772</v>
      </c>
      <c r="H43" s="2">
        <f t="shared" si="1"/>
        <v>0.66995195302206312</v>
      </c>
      <c r="I43" s="2">
        <v>139.6</v>
      </c>
      <c r="J43" s="4">
        <f t="shared" si="2"/>
        <v>0.67734109655507035</v>
      </c>
      <c r="K43" s="2">
        <v>2</v>
      </c>
      <c r="L43" s="4">
        <f t="shared" si="3"/>
        <v>0.83333333333333337</v>
      </c>
      <c r="M43" s="2">
        <v>6600</v>
      </c>
      <c r="N43" s="2">
        <f t="shared" si="4"/>
        <v>3.0096568300426303E-2</v>
      </c>
      <c r="O43" s="2">
        <v>0.631419811</v>
      </c>
      <c r="P43" s="2">
        <f t="shared" si="5"/>
        <v>0.65195942160840592</v>
      </c>
      <c r="Q43" s="2">
        <v>0.28210000000000002</v>
      </c>
      <c r="R43" s="2">
        <f t="shared" si="6"/>
        <v>0.65749855240301114</v>
      </c>
      <c r="S43" s="2">
        <f t="shared" si="7"/>
        <v>0.40943186396124215</v>
      </c>
      <c r="T43" s="5">
        <f t="shared" si="23"/>
        <v>0.82609180218220502</v>
      </c>
      <c r="U43" s="2" t="str">
        <f t="shared" si="9"/>
        <v>High</v>
      </c>
      <c r="V43" s="2">
        <f t="shared" si="10"/>
        <v>0.4111637993810654</v>
      </c>
      <c r="W43" s="2">
        <f t="shared" si="11"/>
        <v>0.74065783222301185</v>
      </c>
      <c r="X43" s="2" t="str">
        <f t="shared" si="12"/>
        <v>High</v>
      </c>
      <c r="Y43" s="2">
        <f t="shared" si="13"/>
        <v>0.40769992854141901</v>
      </c>
      <c r="Z43" s="2">
        <f t="shared" si="14"/>
        <v>0.86506369409469897</v>
      </c>
      <c r="AA43" s="2" t="str">
        <f t="shared" si="15"/>
        <v>High</v>
      </c>
      <c r="AB43" s="2">
        <f t="shared" si="16"/>
        <v>0.27280457270391467</v>
      </c>
      <c r="AC43" s="2">
        <f t="shared" si="17"/>
        <v>0.75828816086467521</v>
      </c>
      <c r="AD43" s="2" t="str">
        <f t="shared" si="18"/>
        <v>High</v>
      </c>
      <c r="AE43" s="2">
        <f t="shared" si="19"/>
        <v>1.8820755308903005E-2</v>
      </c>
      <c r="AF43" s="2">
        <f t="shared" si="20"/>
        <v>9.6959590431388049E-2</v>
      </c>
      <c r="AG43" s="2" t="s">
        <v>1175</v>
      </c>
    </row>
    <row r="44" spans="1:33" x14ac:dyDescent="0.3">
      <c r="A44">
        <v>200304</v>
      </c>
      <c r="B44" t="s">
        <v>107</v>
      </c>
      <c r="C44" t="s">
        <v>108</v>
      </c>
      <c r="D44" t="s">
        <v>109</v>
      </c>
      <c r="E44" s="18">
        <v>6</v>
      </c>
      <c r="F44" s="19">
        <f t="shared" si="0"/>
        <v>0.62222222222222223</v>
      </c>
      <c r="G44" s="2">
        <v>71.745465600000003</v>
      </c>
      <c r="H44" s="2">
        <f t="shared" si="1"/>
        <v>0.38737584893894533</v>
      </c>
      <c r="I44" s="2">
        <v>13.9</v>
      </c>
      <c r="J44" s="4">
        <f t="shared" si="2"/>
        <v>6.7442988840368756E-2</v>
      </c>
      <c r="K44" s="2">
        <v>0</v>
      </c>
      <c r="L44" s="4">
        <f t="shared" si="3"/>
        <v>0</v>
      </c>
      <c r="M44" s="2">
        <v>7538</v>
      </c>
      <c r="N44" s="2">
        <f t="shared" si="4"/>
        <v>3.4534641098068163E-2</v>
      </c>
      <c r="O44" s="2">
        <v>0.83918279900000003</v>
      </c>
      <c r="P44" s="2">
        <f t="shared" si="5"/>
        <v>0.89196517574909084</v>
      </c>
      <c r="Q44" s="2">
        <v>0.35610000000000003</v>
      </c>
      <c r="R44" s="2">
        <f t="shared" si="6"/>
        <v>0.87174290677475408</v>
      </c>
      <c r="S44" s="2">
        <f t="shared" si="7"/>
        <v>8.7347145229996453E-2</v>
      </c>
      <c r="T44" s="5">
        <f t="shared" si="23"/>
        <v>0.17623630931018378</v>
      </c>
      <c r="U44" s="2" t="str">
        <f t="shared" si="9"/>
        <v>Low</v>
      </c>
      <c r="V44" s="2">
        <f t="shared" si="10"/>
        <v>8.6345643063915886E-2</v>
      </c>
      <c r="W44" s="2">
        <f t="shared" si="11"/>
        <v>0.15554038782084223</v>
      </c>
      <c r="X44" s="2" t="s">
        <v>1175</v>
      </c>
      <c r="Y44" s="2">
        <f t="shared" si="13"/>
        <v>8.8348647396077035E-2</v>
      </c>
      <c r="Z44" s="2">
        <f t="shared" si="14"/>
        <v>0.1874594571506186</v>
      </c>
      <c r="AA44" s="2" t="str">
        <f t="shared" si="15"/>
        <v>Low</v>
      </c>
      <c r="AB44" s="2">
        <f t="shared" si="16"/>
        <v>5.7922792141700499E-2</v>
      </c>
      <c r="AC44" s="2">
        <f t="shared" si="17"/>
        <v>0.16100231418388783</v>
      </c>
      <c r="AD44" s="2" t="str">
        <f t="shared" si="18"/>
        <v>Low</v>
      </c>
      <c r="AE44" s="2">
        <f t="shared" si="19"/>
        <v>3.4206367157338029E-3</v>
      </c>
      <c r="AF44" s="2">
        <f t="shared" si="20"/>
        <v>1.7622222356571796E-2</v>
      </c>
      <c r="AG44" s="2" t="s">
        <v>1176</v>
      </c>
    </row>
    <row r="45" spans="1:33" x14ac:dyDescent="0.3">
      <c r="A45">
        <v>200314</v>
      </c>
      <c r="B45" t="s">
        <v>110</v>
      </c>
      <c r="C45" t="s">
        <v>108</v>
      </c>
      <c r="D45" t="s">
        <v>111</v>
      </c>
      <c r="E45" s="18">
        <v>7.6</v>
      </c>
      <c r="F45" s="19">
        <f t="shared" si="0"/>
        <v>0.97777777777777763</v>
      </c>
      <c r="G45" s="2">
        <v>66.310308000000006</v>
      </c>
      <c r="H45" s="2">
        <f t="shared" si="1"/>
        <v>0.33482646600782739</v>
      </c>
      <c r="I45" s="2">
        <v>3.6</v>
      </c>
      <c r="J45" s="4">
        <f t="shared" si="2"/>
        <v>1.7467248908296946E-2</v>
      </c>
      <c r="K45" s="2">
        <v>0</v>
      </c>
      <c r="L45" s="4">
        <f t="shared" si="3"/>
        <v>0</v>
      </c>
      <c r="M45" s="2">
        <v>10534</v>
      </c>
      <c r="N45" s="2">
        <f t="shared" si="4"/>
        <v>4.8709978093521268E-2</v>
      </c>
      <c r="O45" s="2">
        <v>0.71629425099999999</v>
      </c>
      <c r="P45" s="2">
        <f t="shared" si="5"/>
        <v>0.75000553740391174</v>
      </c>
      <c r="Q45" s="2">
        <v>0.3357</v>
      </c>
      <c r="R45" s="2">
        <f t="shared" si="6"/>
        <v>0.8126809496236248</v>
      </c>
      <c r="S45" s="2">
        <f t="shared" si="7"/>
        <v>9.4200880750756041E-2</v>
      </c>
      <c r="T45" s="5">
        <f t="shared" si="23"/>
        <v>0.19006477559819218</v>
      </c>
      <c r="U45" s="2" t="str">
        <f t="shared" si="9"/>
        <v>Low</v>
      </c>
      <c r="V45" s="2">
        <f t="shared" si="10"/>
        <v>9.797904040179653E-2</v>
      </c>
      <c r="W45" s="2">
        <f t="shared" si="11"/>
        <v>0.17649643226501277</v>
      </c>
      <c r="X45" s="2" t="s">
        <v>1175</v>
      </c>
      <c r="Y45" s="2">
        <f t="shared" si="13"/>
        <v>9.0422721099715525E-2</v>
      </c>
      <c r="Z45" s="2">
        <f t="shared" si="14"/>
        <v>0.19186025718586291</v>
      </c>
      <c r="AA45" s="2" t="str">
        <f t="shared" si="15"/>
        <v>Low</v>
      </c>
      <c r="AB45" s="2">
        <f t="shared" si="16"/>
        <v>6.3474893384839165E-2</v>
      </c>
      <c r="AC45" s="2">
        <f t="shared" si="17"/>
        <v>0.17643494641166016</v>
      </c>
      <c r="AD45" s="2" t="str">
        <f t="shared" si="18"/>
        <v>Low</v>
      </c>
      <c r="AE45" s="2">
        <f t="shared" si="19"/>
        <v>5.8726083265592099E-3</v>
      </c>
      <c r="AF45" s="2">
        <f t="shared" si="20"/>
        <v>3.0254136391528737E-2</v>
      </c>
      <c r="AG45" s="2" t="s">
        <v>1176</v>
      </c>
    </row>
    <row r="46" spans="1:33" x14ac:dyDescent="0.3">
      <c r="A46">
        <v>200351</v>
      </c>
      <c r="B46" t="s">
        <v>112</v>
      </c>
      <c r="C46" t="s">
        <v>108</v>
      </c>
      <c r="D46" t="s">
        <v>113</v>
      </c>
      <c r="E46" s="18">
        <v>7.7</v>
      </c>
      <c r="F46" s="19">
        <f t="shared" si="0"/>
        <v>1</v>
      </c>
      <c r="G46" s="2">
        <v>68.697421199999994</v>
      </c>
      <c r="H46" s="2">
        <f t="shared" si="1"/>
        <v>0.35790607747056136</v>
      </c>
      <c r="I46" s="2">
        <v>10.4</v>
      </c>
      <c r="J46" s="4">
        <f t="shared" si="2"/>
        <v>5.0460941290635615E-2</v>
      </c>
      <c r="K46" s="2">
        <v>0</v>
      </c>
      <c r="L46" s="4">
        <f t="shared" si="3"/>
        <v>0</v>
      </c>
      <c r="M46" s="2">
        <v>14751</v>
      </c>
      <c r="N46" s="2">
        <f t="shared" si="4"/>
        <v>6.8662379999337594E-2</v>
      </c>
      <c r="O46" s="2">
        <v>0.12631827500000001</v>
      </c>
      <c r="P46" s="2">
        <f t="shared" si="5"/>
        <v>6.8471110084419209E-2</v>
      </c>
      <c r="Q46" s="2">
        <v>0.34039999999999998</v>
      </c>
      <c r="R46" s="2">
        <f t="shared" si="6"/>
        <v>0.82628836132020844</v>
      </c>
      <c r="S46" s="2">
        <f t="shared" si="7"/>
        <v>6.3943295123024144E-2</v>
      </c>
      <c r="T46" s="5">
        <f t="shared" si="23"/>
        <v>0.12901543957665193</v>
      </c>
      <c r="U46" s="2" t="str">
        <f t="shared" si="9"/>
        <v>No Impact</v>
      </c>
      <c r="V46" s="2">
        <f t="shared" si="10"/>
        <v>0.1181001201622929</v>
      </c>
      <c r="W46" s="2">
        <f t="shared" si="11"/>
        <v>0.21274192697984212</v>
      </c>
      <c r="X46" s="2" t="s">
        <v>1175</v>
      </c>
      <c r="Y46" s="2">
        <f t="shared" si="13"/>
        <v>9.7864700837554022E-3</v>
      </c>
      <c r="Z46" s="2">
        <f t="shared" si="14"/>
        <v>2.0765075905429396E-2</v>
      </c>
      <c r="AA46" s="2" t="str">
        <f t="shared" si="15"/>
        <v>No Impact</v>
      </c>
      <c r="AB46" s="2">
        <f t="shared" si="16"/>
        <v>4.7705815881047928E-2</v>
      </c>
      <c r="AC46" s="2">
        <f t="shared" si="17"/>
        <v>0.13260318560074325</v>
      </c>
      <c r="AD46" s="2" t="str">
        <f t="shared" si="18"/>
        <v>No Impact</v>
      </c>
      <c r="AE46" s="2">
        <f t="shared" si="19"/>
        <v>9.8138079974822764E-3</v>
      </c>
      <c r="AF46" s="2">
        <f t="shared" si="20"/>
        <v>5.0558162432410049E-2</v>
      </c>
      <c r="AG46" s="2" t="s">
        <v>1175</v>
      </c>
    </row>
    <row r="47" spans="1:33" x14ac:dyDescent="0.3">
      <c r="A47">
        <v>200373</v>
      </c>
      <c r="B47" t="s">
        <v>114</v>
      </c>
      <c r="C47" t="s">
        <v>108</v>
      </c>
      <c r="D47" t="s">
        <v>115</v>
      </c>
      <c r="E47" s="18">
        <v>7.7</v>
      </c>
      <c r="F47" s="19">
        <f t="shared" si="0"/>
        <v>1</v>
      </c>
      <c r="G47" s="2">
        <v>61.627499999999998</v>
      </c>
      <c r="H47" s="2">
        <f t="shared" si="1"/>
        <v>0.28955111451021792</v>
      </c>
      <c r="I47" s="2">
        <v>18.399999999999999</v>
      </c>
      <c r="J47" s="4">
        <f t="shared" si="2"/>
        <v>8.9277049975739931E-2</v>
      </c>
      <c r="K47" s="2">
        <v>0</v>
      </c>
      <c r="L47" s="4">
        <f t="shared" si="3"/>
        <v>0</v>
      </c>
      <c r="M47" s="2">
        <v>12144</v>
      </c>
      <c r="N47" s="2">
        <f t="shared" si="4"/>
        <v>5.6327565731264753E-2</v>
      </c>
      <c r="O47" s="2">
        <v>0.14690879000000001</v>
      </c>
      <c r="P47" s="2">
        <f t="shared" si="5"/>
        <v>9.2257069885498338E-2</v>
      </c>
      <c r="Q47" s="2">
        <v>0.37280000000000002</v>
      </c>
      <c r="R47" s="2">
        <f t="shared" si="6"/>
        <v>0.92009264620729603</v>
      </c>
      <c r="S47" s="2">
        <f t="shared" si="7"/>
        <v>6.7113652333929907E-2</v>
      </c>
      <c r="T47" s="5">
        <f t="shared" si="23"/>
        <v>0.13541212320693827</v>
      </c>
      <c r="U47" s="2" t="str">
        <f t="shared" si="9"/>
        <v>No Impact</v>
      </c>
      <c r="V47" s="2">
        <f t="shared" si="10"/>
        <v>0.12199495291190821</v>
      </c>
      <c r="W47" s="2">
        <f t="shared" si="11"/>
        <v>0.2197579589980882</v>
      </c>
      <c r="X47" s="2" t="s">
        <v>1175</v>
      </c>
      <c r="Y47" s="2">
        <f t="shared" si="13"/>
        <v>1.2232351755951625E-2</v>
      </c>
      <c r="Z47" s="2">
        <f t="shared" si="14"/>
        <v>2.5954783547121146E-2</v>
      </c>
      <c r="AA47" s="2" t="str">
        <f t="shared" si="15"/>
        <v>No Impact</v>
      </c>
      <c r="AB47" s="2">
        <f t="shared" si="16"/>
        <v>4.898190141710565E-2</v>
      </c>
      <c r="AC47" s="2">
        <f t="shared" si="17"/>
        <v>0.13615019562573077</v>
      </c>
      <c r="AD47" s="2" t="str">
        <f t="shared" si="18"/>
        <v>No Impact</v>
      </c>
      <c r="AE47" s="2">
        <f t="shared" si="19"/>
        <v>7.4684639175780073E-3</v>
      </c>
      <c r="AF47" s="2">
        <f t="shared" si="20"/>
        <v>3.8475565444358935E-2</v>
      </c>
      <c r="AG47" s="2" t="s">
        <v>1175</v>
      </c>
    </row>
    <row r="48" spans="1:33" x14ac:dyDescent="0.3">
      <c r="A48">
        <v>200389</v>
      </c>
      <c r="B48" t="s">
        <v>116</v>
      </c>
      <c r="C48" t="s">
        <v>108</v>
      </c>
      <c r="D48" t="s">
        <v>117</v>
      </c>
      <c r="E48" s="18">
        <v>5.9</v>
      </c>
      <c r="F48" s="19">
        <f t="shared" si="0"/>
        <v>0.60000000000000009</v>
      </c>
      <c r="G48" s="2">
        <v>66.310308000000006</v>
      </c>
      <c r="H48" s="2">
        <f t="shared" si="1"/>
        <v>0.33482646600782739</v>
      </c>
      <c r="I48" s="2">
        <v>5.9</v>
      </c>
      <c r="J48" s="4">
        <f t="shared" si="2"/>
        <v>2.8626880155264437E-2</v>
      </c>
      <c r="K48" s="2">
        <v>0</v>
      </c>
      <c r="L48" s="4">
        <f t="shared" si="3"/>
        <v>0</v>
      </c>
      <c r="M48" s="2">
        <v>5632</v>
      </c>
      <c r="N48" s="2">
        <f t="shared" si="4"/>
        <v>2.5516552875994188E-2</v>
      </c>
      <c r="O48" s="2">
        <v>0.20773150900000001</v>
      </c>
      <c r="P48" s="2">
        <f t="shared" si="5"/>
        <v>0.16251887485377287</v>
      </c>
      <c r="Q48" s="2">
        <v>0.33529999999999999</v>
      </c>
      <c r="R48" s="2">
        <f t="shared" si="6"/>
        <v>0.81152287203242623</v>
      </c>
      <c r="S48" s="2">
        <f t="shared" si="7"/>
        <v>3.7171966881874893E-2</v>
      </c>
      <c r="T48" s="5">
        <f t="shared" si="23"/>
        <v>7.5000164410780001E-2</v>
      </c>
      <c r="U48" s="2" t="str">
        <f t="shared" si="9"/>
        <v>No Impact</v>
      </c>
      <c r="V48" s="2">
        <f t="shared" si="10"/>
        <v>6.1939647698894255E-2</v>
      </c>
      <c r="W48" s="2">
        <f t="shared" si="11"/>
        <v>0.11157617782104952</v>
      </c>
      <c r="X48" s="2" t="s">
        <v>1176</v>
      </c>
      <c r="Y48" s="2">
        <f t="shared" si="13"/>
        <v>1.2404286064855547E-2</v>
      </c>
      <c r="Z48" s="2">
        <f t="shared" si="14"/>
        <v>2.6319596288036151E-2</v>
      </c>
      <c r="AA48" s="2" t="str">
        <f t="shared" si="15"/>
        <v>No Impact</v>
      </c>
      <c r="AB48" s="2">
        <f t="shared" si="16"/>
        <v>2.6081807138681228E-2</v>
      </c>
      <c r="AC48" s="2">
        <f t="shared" si="17"/>
        <v>7.2497045673362154E-2</v>
      </c>
      <c r="AD48" s="2" t="str">
        <f t="shared" si="18"/>
        <v>No Impact</v>
      </c>
      <c r="AE48" s="2">
        <f t="shared" si="19"/>
        <v>1.947556070318786E-3</v>
      </c>
      <c r="AF48" s="2">
        <f t="shared" si="20"/>
        <v>1.0033297591991249E-2</v>
      </c>
      <c r="AG48" s="2" t="s">
        <v>1176</v>
      </c>
    </row>
    <row r="49" spans="1:33" x14ac:dyDescent="0.3">
      <c r="A49">
        <v>200391</v>
      </c>
      <c r="B49" t="s">
        <v>118</v>
      </c>
      <c r="C49" t="s">
        <v>108</v>
      </c>
      <c r="D49" t="s">
        <v>119</v>
      </c>
      <c r="E49" s="18">
        <v>7.7</v>
      </c>
      <c r="F49" s="19">
        <f t="shared" si="0"/>
        <v>1</v>
      </c>
      <c r="G49" s="2">
        <v>71.745465600000003</v>
      </c>
      <c r="H49" s="2">
        <f t="shared" si="1"/>
        <v>0.38737584893894533</v>
      </c>
      <c r="I49" s="2">
        <v>6.5</v>
      </c>
      <c r="J49" s="4">
        <f t="shared" si="2"/>
        <v>3.1538088306647262E-2</v>
      </c>
      <c r="K49" s="2">
        <v>0</v>
      </c>
      <c r="L49" s="4">
        <f t="shared" si="3"/>
        <v>0</v>
      </c>
      <c r="M49" s="2">
        <v>2880</v>
      </c>
      <c r="N49" s="2">
        <f t="shared" si="4"/>
        <v>1.2495682578435131E-2</v>
      </c>
      <c r="O49" s="2">
        <v>0.26962101199999999</v>
      </c>
      <c r="P49" s="2">
        <f t="shared" si="5"/>
        <v>0.23401301817494602</v>
      </c>
      <c r="Q49" s="2">
        <v>0.34620000000000001</v>
      </c>
      <c r="R49" s="2">
        <f t="shared" si="6"/>
        <v>0.84308048639258837</v>
      </c>
      <c r="S49" s="2">
        <f t="shared" si="7"/>
        <v>7.8961659136506906E-2</v>
      </c>
      <c r="T49" s="5">
        <f t="shared" si="23"/>
        <v>0.15931730048628742</v>
      </c>
      <c r="U49" s="2" t="str">
        <f t="shared" si="9"/>
        <v>Low</v>
      </c>
      <c r="V49" s="2">
        <f t="shared" si="10"/>
        <v>0.12361235808937694</v>
      </c>
      <c r="W49" s="2">
        <f t="shared" si="11"/>
        <v>0.22267150297830623</v>
      </c>
      <c r="X49" s="2" t="s">
        <v>1175</v>
      </c>
      <c r="Y49" s="2">
        <f t="shared" si="13"/>
        <v>3.4310960183636864E-2</v>
      </c>
      <c r="Z49" s="2">
        <f t="shared" si="14"/>
        <v>7.2801499059810773E-2</v>
      </c>
      <c r="AA49" s="2" t="str">
        <f t="shared" si="15"/>
        <v>No Impact</v>
      </c>
      <c r="AB49" s="2">
        <f t="shared" si="16"/>
        <v>5.4198853795842154E-2</v>
      </c>
      <c r="AC49" s="2">
        <f t="shared" si="17"/>
        <v>0.15065124736903951</v>
      </c>
      <c r="AD49" s="2" t="str">
        <f t="shared" si="18"/>
        <v>Low</v>
      </c>
      <c r="AE49" s="2">
        <f t="shared" si="19"/>
        <v>1.8321154556261963E-3</v>
      </c>
      <c r="AF49" s="2">
        <f t="shared" si="20"/>
        <v>9.4385778511503291E-3</v>
      </c>
      <c r="AG49" s="2" t="s">
        <v>1176</v>
      </c>
    </row>
    <row r="50" spans="1:33" x14ac:dyDescent="0.3">
      <c r="A50">
        <v>200395</v>
      </c>
      <c r="B50" t="s">
        <v>120</v>
      </c>
      <c r="C50" t="s">
        <v>108</v>
      </c>
      <c r="D50" t="s">
        <v>121</v>
      </c>
      <c r="E50" s="18">
        <v>7.7</v>
      </c>
      <c r="F50" s="19">
        <f t="shared" si="0"/>
        <v>1</v>
      </c>
      <c r="G50" s="2">
        <v>71.745465600000003</v>
      </c>
      <c r="H50" s="2">
        <f t="shared" si="1"/>
        <v>0.38737584893894533</v>
      </c>
      <c r="I50" s="2">
        <v>17.600000000000001</v>
      </c>
      <c r="J50" s="4">
        <f t="shared" si="2"/>
        <v>8.5395439107229507E-2</v>
      </c>
      <c r="K50" s="2">
        <v>0</v>
      </c>
      <c r="L50" s="4">
        <f t="shared" si="3"/>
        <v>0</v>
      </c>
      <c r="M50" s="2">
        <v>2642</v>
      </c>
      <c r="N50" s="2">
        <f t="shared" si="4"/>
        <v>1.1369604405899136E-2</v>
      </c>
      <c r="O50" s="2">
        <v>0.126312644</v>
      </c>
      <c r="P50" s="2">
        <f t="shared" si="5"/>
        <v>6.846460520876943E-2</v>
      </c>
      <c r="Q50" s="2">
        <v>0.37540000000000001</v>
      </c>
      <c r="R50" s="2">
        <f t="shared" si="6"/>
        <v>0.92762015055008695</v>
      </c>
      <c r="S50" s="2">
        <f t="shared" si="7"/>
        <v>8.2411047772072935E-2</v>
      </c>
      <c r="T50" s="5">
        <f t="shared" si="23"/>
        <v>0.16627697296222177</v>
      </c>
      <c r="U50" s="2" t="str">
        <f t="shared" si="9"/>
        <v>Low</v>
      </c>
      <c r="V50" s="2">
        <f t="shared" si="10"/>
        <v>0.15349326068760291</v>
      </c>
      <c r="W50" s="2">
        <f t="shared" si="11"/>
        <v>0.27649804261186373</v>
      </c>
      <c r="X50" s="2" t="s">
        <v>1175</v>
      </c>
      <c r="Y50" s="2">
        <f t="shared" si="13"/>
        <v>1.132883485654297E-2</v>
      </c>
      <c r="Z50" s="2">
        <f t="shared" si="14"/>
        <v>2.4037688124819555E-2</v>
      </c>
      <c r="AA50" s="2" t="str">
        <f t="shared" si="15"/>
        <v>No Impact</v>
      </c>
      <c r="AB50" s="2">
        <f t="shared" si="16"/>
        <v>5.777975645626908E-2</v>
      </c>
      <c r="AC50" s="2">
        <f t="shared" si="17"/>
        <v>0.1606047318935003</v>
      </c>
      <c r="AD50" s="2" t="str">
        <f t="shared" si="18"/>
        <v>Low</v>
      </c>
      <c r="AE50" s="2">
        <f t="shared" si="19"/>
        <v>1.8813278818433394E-3</v>
      </c>
      <c r="AF50" s="2">
        <f t="shared" si="20"/>
        <v>9.6921073515254773E-3</v>
      </c>
      <c r="AG50" s="2" t="s">
        <v>1176</v>
      </c>
    </row>
    <row r="51" spans="1:33" x14ac:dyDescent="0.3">
      <c r="A51">
        <v>201202</v>
      </c>
      <c r="B51" t="s">
        <v>122</v>
      </c>
      <c r="C51" t="s">
        <v>1153</v>
      </c>
      <c r="D51" t="s">
        <v>123</v>
      </c>
      <c r="E51" s="18">
        <v>6</v>
      </c>
      <c r="F51" s="19">
        <f t="shared" si="0"/>
        <v>0.62222222222222223</v>
      </c>
      <c r="G51" s="2">
        <v>47.148116399999999</v>
      </c>
      <c r="H51" s="2">
        <f t="shared" si="1"/>
        <v>0.14955836188001825</v>
      </c>
      <c r="I51" s="2">
        <v>18.7</v>
      </c>
      <c r="J51" s="4">
        <f t="shared" si="2"/>
        <v>9.0732654051431341E-2</v>
      </c>
      <c r="K51" s="2">
        <v>0</v>
      </c>
      <c r="L51" s="4">
        <f t="shared" si="3"/>
        <v>0</v>
      </c>
      <c r="M51" s="2">
        <v>17023</v>
      </c>
      <c r="N51" s="2">
        <f t="shared" si="4"/>
        <v>7.9412168268252634E-2</v>
      </c>
      <c r="O51" s="2">
        <v>0.138239841</v>
      </c>
      <c r="P51" s="2">
        <f t="shared" si="5"/>
        <v>8.2242785520507691E-2</v>
      </c>
      <c r="Q51" s="2">
        <v>0.20799999999999999</v>
      </c>
      <c r="R51" s="2">
        <f t="shared" si="6"/>
        <v>0.44296467863346844</v>
      </c>
      <c r="S51" s="2">
        <f t="shared" si="7"/>
        <v>1.3742064714845837E-2</v>
      </c>
      <c r="T51" s="5">
        <f t="shared" si="23"/>
        <v>2.7726730636348604E-2</v>
      </c>
      <c r="U51" s="2" t="str">
        <f t="shared" si="9"/>
        <v>No Impact</v>
      </c>
      <c r="V51" s="2">
        <f t="shared" si="10"/>
        <v>2.318036088834945E-2</v>
      </c>
      <c r="W51" s="2">
        <f t="shared" si="11"/>
        <v>4.1756389720000807E-2</v>
      </c>
      <c r="X51" s="2" t="s">
        <v>1176</v>
      </c>
      <c r="Y51" s="2">
        <f t="shared" si="13"/>
        <v>4.3037685413422231E-3</v>
      </c>
      <c r="Z51" s="2">
        <f t="shared" si="14"/>
        <v>9.1317992775263087E-3</v>
      </c>
      <c r="AA51" s="2" t="str">
        <f t="shared" si="15"/>
        <v>No Impact</v>
      </c>
      <c r="AB51" s="2">
        <f t="shared" si="16"/>
        <v>1.0858731649445128E-2</v>
      </c>
      <c r="AC51" s="2">
        <f t="shared" si="17"/>
        <v>3.0182953204078135E-2</v>
      </c>
      <c r="AD51" s="2" t="str">
        <f t="shared" si="18"/>
        <v>No Impact</v>
      </c>
      <c r="AE51" s="2">
        <f t="shared" si="19"/>
        <v>4.1556422174861543E-3</v>
      </c>
      <c r="AF51" s="2">
        <f t="shared" si="20"/>
        <v>2.1408777744230077E-2</v>
      </c>
      <c r="AG51" s="2" t="s">
        <v>1176</v>
      </c>
    </row>
    <row r="52" spans="1:33" x14ac:dyDescent="0.3">
      <c r="A52">
        <v>201204</v>
      </c>
      <c r="B52" t="s">
        <v>124</v>
      </c>
      <c r="C52" t="s">
        <v>1153</v>
      </c>
      <c r="D52" t="s">
        <v>125</v>
      </c>
      <c r="E52" s="18">
        <v>6</v>
      </c>
      <c r="F52" s="19">
        <f t="shared" si="0"/>
        <v>0.62222222222222223</v>
      </c>
      <c r="G52" s="2">
        <v>51.307099200000003</v>
      </c>
      <c r="H52" s="2">
        <f t="shared" si="1"/>
        <v>0.18976915167590819</v>
      </c>
      <c r="I52" s="2">
        <v>18.5</v>
      </c>
      <c r="J52" s="4">
        <f t="shared" si="2"/>
        <v>8.9762251334303739E-2</v>
      </c>
      <c r="K52" s="2">
        <v>0</v>
      </c>
      <c r="L52" s="4">
        <f t="shared" si="3"/>
        <v>0</v>
      </c>
      <c r="M52" s="2">
        <v>40696</v>
      </c>
      <c r="N52" s="2">
        <f t="shared" si="4"/>
        <v>0.19141909506844001</v>
      </c>
      <c r="O52" s="2">
        <v>0.229054796</v>
      </c>
      <c r="P52" s="2">
        <f t="shared" si="5"/>
        <v>0.18715132564040318</v>
      </c>
      <c r="Q52" s="2">
        <v>0.26750000000000002</v>
      </c>
      <c r="R52" s="2">
        <f t="shared" si="6"/>
        <v>0.61522872032426179</v>
      </c>
      <c r="S52" s="2">
        <f t="shared" si="7"/>
        <v>2.44227346217759E-2</v>
      </c>
      <c r="T52" s="5">
        <f t="shared" si="23"/>
        <v>4.9276626061108039E-2</v>
      </c>
      <c r="U52" s="2" t="str">
        <f t="shared" si="9"/>
        <v>No Impact</v>
      </c>
      <c r="V52" s="2">
        <f t="shared" si="10"/>
        <v>3.7452496092695513E-2</v>
      </c>
      <c r="W52" s="2">
        <f t="shared" si="11"/>
        <v>6.746577546251295E-2</v>
      </c>
      <c r="X52" s="2" t="s">
        <v>1176</v>
      </c>
      <c r="Y52" s="2">
        <f t="shared" si="13"/>
        <v>1.1392973150856286E-2</v>
      </c>
      <c r="Z52" s="2">
        <f t="shared" si="14"/>
        <v>2.4173777699350779E-2</v>
      </c>
      <c r="AA52" s="2" t="str">
        <f t="shared" si="15"/>
        <v>No Impact</v>
      </c>
      <c r="AB52" s="2">
        <f t="shared" si="16"/>
        <v>2.0604737429955243E-2</v>
      </c>
      <c r="AC52" s="2">
        <f t="shared" si="17"/>
        <v>5.7272971255573429E-2</v>
      </c>
      <c r="AD52" s="2" t="str">
        <f t="shared" si="18"/>
        <v>No Impact</v>
      </c>
      <c r="AE52" s="2">
        <f t="shared" si="19"/>
        <v>1.1652776720728366E-2</v>
      </c>
      <c r="AF52" s="2">
        <f t="shared" si="20"/>
        <v>6.0032046519183521E-2</v>
      </c>
      <c r="AG52" s="2" t="s">
        <v>1175</v>
      </c>
    </row>
    <row r="53" spans="1:33" x14ac:dyDescent="0.3">
      <c r="A53">
        <v>201207</v>
      </c>
      <c r="B53" t="s">
        <v>126</v>
      </c>
      <c r="C53" t="s">
        <v>1153</v>
      </c>
      <c r="D53" t="s">
        <v>1126</v>
      </c>
      <c r="E53" s="18">
        <v>5.2</v>
      </c>
      <c r="F53" s="19">
        <f t="shared" si="0"/>
        <v>0.44444444444444442</v>
      </c>
      <c r="G53" s="2">
        <v>41.297954400000002</v>
      </c>
      <c r="H53" s="2">
        <f t="shared" si="1"/>
        <v>9.2996542376003327E-2</v>
      </c>
      <c r="I53" s="2">
        <v>26.4</v>
      </c>
      <c r="J53" s="4">
        <f t="shared" si="2"/>
        <v>0.12809315866084425</v>
      </c>
      <c r="K53" s="2">
        <v>0</v>
      </c>
      <c r="L53" s="4">
        <f t="shared" si="3"/>
        <v>0</v>
      </c>
      <c r="M53" s="2">
        <v>16310</v>
      </c>
      <c r="N53" s="2">
        <f t="shared" si="4"/>
        <v>7.6038665171537664E-2</v>
      </c>
      <c r="O53" s="2">
        <v>0.33674959300000001</v>
      </c>
      <c r="P53" s="2">
        <f t="shared" si="5"/>
        <v>0.3115592927178355</v>
      </c>
      <c r="Q53" s="2">
        <v>0.18459999999999999</v>
      </c>
      <c r="R53" s="2">
        <f t="shared" si="6"/>
        <v>0.37521713954834973</v>
      </c>
      <c r="S53" s="2">
        <f t="shared" si="7"/>
        <v>1.1809715251357619E-2</v>
      </c>
      <c r="T53" s="5">
        <f t="shared" si="23"/>
        <v>2.3827918181219539E-2</v>
      </c>
      <c r="U53" s="2" t="str">
        <f t="shared" si="9"/>
        <v>No Impact</v>
      </c>
      <c r="V53" s="2">
        <f t="shared" si="10"/>
        <v>1.2904367032144894E-2</v>
      </c>
      <c r="W53" s="2">
        <f t="shared" si="11"/>
        <v>2.32455301916803E-2</v>
      </c>
      <c r="X53" s="2" t="s">
        <v>1176</v>
      </c>
      <c r="Y53" s="2">
        <f t="shared" si="13"/>
        <v>1.0715063470570345E-2</v>
      </c>
      <c r="Z53" s="2">
        <f t="shared" si="14"/>
        <v>2.273537898687434E-2</v>
      </c>
      <c r="AA53" s="2" t="str">
        <f t="shared" si="15"/>
        <v>No Impact</v>
      </c>
      <c r="AB53" s="2">
        <f t="shared" si="16"/>
        <v>8.6463329710338085E-3</v>
      </c>
      <c r="AC53" s="2">
        <f t="shared" si="17"/>
        <v>2.4033365210284641E-2</v>
      </c>
      <c r="AD53" s="2" t="str">
        <f t="shared" si="18"/>
        <v>No Impact</v>
      </c>
      <c r="AE53" s="2">
        <f t="shared" si="19"/>
        <v>2.6151013388914113E-3</v>
      </c>
      <c r="AF53" s="2">
        <f t="shared" si="20"/>
        <v>1.3472315568309931E-2</v>
      </c>
      <c r="AG53" s="2" t="s">
        <v>1176</v>
      </c>
    </row>
    <row r="54" spans="1:33" x14ac:dyDescent="0.3">
      <c r="A54">
        <v>201213</v>
      </c>
      <c r="B54" t="s">
        <v>127</v>
      </c>
      <c r="C54" t="s">
        <v>1153</v>
      </c>
      <c r="D54" t="s">
        <v>128</v>
      </c>
      <c r="E54" s="18">
        <v>6</v>
      </c>
      <c r="F54" s="19">
        <f t="shared" si="0"/>
        <v>0.62222222222222223</v>
      </c>
      <c r="G54" s="2">
        <v>47.148116399999999</v>
      </c>
      <c r="H54" s="2">
        <f t="shared" si="1"/>
        <v>0.14955836188001825</v>
      </c>
      <c r="I54" s="2">
        <v>18.7</v>
      </c>
      <c r="J54" s="4">
        <f t="shared" si="2"/>
        <v>9.0732654051431341E-2</v>
      </c>
      <c r="K54" s="2">
        <v>0</v>
      </c>
      <c r="L54" s="4">
        <f t="shared" si="3"/>
        <v>0</v>
      </c>
      <c r="M54" s="2">
        <v>60378</v>
      </c>
      <c r="N54" s="2">
        <f t="shared" si="4"/>
        <v>0.28454292108463092</v>
      </c>
      <c r="O54" s="2">
        <v>0.61514928899999999</v>
      </c>
      <c r="P54" s="2">
        <f t="shared" si="5"/>
        <v>0.63316387510388294</v>
      </c>
      <c r="Q54" s="2">
        <v>0.189</v>
      </c>
      <c r="R54" s="2">
        <f t="shared" si="6"/>
        <v>0.3879559930515345</v>
      </c>
      <c r="S54" s="2">
        <f t="shared" si="7"/>
        <v>2.6717623544079562E-2</v>
      </c>
      <c r="T54" s="5">
        <f t="shared" si="23"/>
        <v>5.3906917673715089E-2</v>
      </c>
      <c r="U54" s="2" t="str">
        <f t="shared" si="9"/>
        <v>No Impact</v>
      </c>
      <c r="V54" s="2">
        <f t="shared" si="10"/>
        <v>2.0301753980645928E-2</v>
      </c>
      <c r="W54" s="2">
        <f t="shared" si="11"/>
        <v>3.6570955702484371E-2</v>
      </c>
      <c r="X54" s="2" t="s">
        <v>1176</v>
      </c>
      <c r="Y54" s="2">
        <f t="shared" si="13"/>
        <v>3.31334931075132E-2</v>
      </c>
      <c r="Z54" s="2">
        <f t="shared" si="14"/>
        <v>7.0303132130509385E-2</v>
      </c>
      <c r="AA54" s="2" t="str">
        <f t="shared" si="15"/>
        <v>No Impact</v>
      </c>
      <c r="AB54" s="2">
        <f t="shared" si="16"/>
        <v>2.2257212025735631E-2</v>
      </c>
      <c r="AC54" s="2">
        <f t="shared" si="17"/>
        <v>6.1866193098192225E-2</v>
      </c>
      <c r="AD54" s="2" t="str">
        <f t="shared" si="18"/>
        <v>No Impact</v>
      </c>
      <c r="AE54" s="2">
        <f t="shared" si="19"/>
        <v>1.4890143429301707E-2</v>
      </c>
      <c r="AF54" s="2">
        <f t="shared" si="20"/>
        <v>7.6710109911835828E-2</v>
      </c>
      <c r="AG54" s="2" t="s">
        <v>1175</v>
      </c>
    </row>
    <row r="55" spans="1:33" x14ac:dyDescent="0.3">
      <c r="A55">
        <v>201233</v>
      </c>
      <c r="B55" t="s">
        <v>129</v>
      </c>
      <c r="C55" t="s">
        <v>1153</v>
      </c>
      <c r="D55" t="s">
        <v>130</v>
      </c>
      <c r="E55" s="18">
        <v>6</v>
      </c>
      <c r="F55" s="19">
        <f t="shared" si="0"/>
        <v>0.62222222222222223</v>
      </c>
      <c r="G55" s="2">
        <v>41.297954400000002</v>
      </c>
      <c r="H55" s="2">
        <f t="shared" si="1"/>
        <v>9.2996542376003327E-2</v>
      </c>
      <c r="I55" s="2">
        <v>18.7</v>
      </c>
      <c r="J55" s="4">
        <f t="shared" si="2"/>
        <v>9.0732654051431341E-2</v>
      </c>
      <c r="K55" s="2">
        <v>0</v>
      </c>
      <c r="L55" s="4">
        <f t="shared" si="3"/>
        <v>0</v>
      </c>
      <c r="M55" s="2">
        <v>21752</v>
      </c>
      <c r="N55" s="2">
        <f t="shared" si="4"/>
        <v>0.10178705767128926</v>
      </c>
      <c r="O55" s="2">
        <v>0.26164830300000003</v>
      </c>
      <c r="P55" s="2">
        <f t="shared" si="5"/>
        <v>0.22480302338949743</v>
      </c>
      <c r="Q55" s="2">
        <v>0.20979999999999999</v>
      </c>
      <c r="R55" s="2">
        <f t="shared" si="6"/>
        <v>0.44817602779386218</v>
      </c>
      <c r="S55" s="2">
        <f t="shared" si="7"/>
        <v>1.3463664697854195E-2</v>
      </c>
      <c r="T55" s="5">
        <f t="shared" si="23"/>
        <v>2.7165015752853475E-2</v>
      </c>
      <c r="U55" s="2" t="str">
        <f t="shared" si="9"/>
        <v>No Impact</v>
      </c>
      <c r="V55" s="2">
        <f t="shared" si="10"/>
        <v>1.7932480225714177E-2</v>
      </c>
      <c r="W55" s="2">
        <f t="shared" si="11"/>
        <v>3.2303018773425445E-2</v>
      </c>
      <c r="X55" s="2" t="s">
        <v>1176</v>
      </c>
      <c r="Y55" s="2">
        <f t="shared" si="13"/>
        <v>8.9948491699942124E-3</v>
      </c>
      <c r="Z55" s="2">
        <f t="shared" si="14"/>
        <v>1.9085403028294451E-2</v>
      </c>
      <c r="AA55" s="2" t="str">
        <f t="shared" si="15"/>
        <v>No Impact</v>
      </c>
      <c r="AB55" s="2">
        <f t="shared" si="16"/>
        <v>1.0400273992052006E-2</v>
      </c>
      <c r="AC55" s="2">
        <f t="shared" si="17"/>
        <v>2.8908623340713754E-2</v>
      </c>
      <c r="AD55" s="2" t="str">
        <f t="shared" si="18"/>
        <v>No Impact</v>
      </c>
      <c r="AE55" s="2">
        <f t="shared" si="19"/>
        <v>4.0727176058679435E-3</v>
      </c>
      <c r="AF55" s="2">
        <f t="shared" si="20"/>
        <v>2.0981571914962416E-2</v>
      </c>
      <c r="AG55" s="2" t="s">
        <v>1176</v>
      </c>
    </row>
    <row r="56" spans="1:33" x14ac:dyDescent="0.3">
      <c r="A56">
        <v>201263</v>
      </c>
      <c r="B56" t="s">
        <v>131</v>
      </c>
      <c r="C56" t="s">
        <v>1153</v>
      </c>
      <c r="D56" t="s">
        <v>132</v>
      </c>
      <c r="E56" s="18">
        <v>5.9</v>
      </c>
      <c r="F56" s="19">
        <f t="shared" si="0"/>
        <v>0.60000000000000009</v>
      </c>
      <c r="G56" s="2">
        <v>47.148116399999999</v>
      </c>
      <c r="H56" s="2">
        <f t="shared" si="1"/>
        <v>0.14955836188001825</v>
      </c>
      <c r="I56" s="2">
        <v>11.1</v>
      </c>
      <c r="J56" s="4">
        <f t="shared" si="2"/>
        <v>5.3857350800582245E-2</v>
      </c>
      <c r="K56" s="2">
        <v>0</v>
      </c>
      <c r="L56" s="4">
        <f t="shared" si="3"/>
        <v>0</v>
      </c>
      <c r="M56" s="2">
        <v>28839</v>
      </c>
      <c r="N56" s="2">
        <f t="shared" si="4"/>
        <v>0.13531863754003964</v>
      </c>
      <c r="O56" s="2">
        <v>0.32801445499999998</v>
      </c>
      <c r="P56" s="2">
        <f t="shared" si="5"/>
        <v>0.30146854747300411</v>
      </c>
      <c r="Q56" s="2">
        <v>0.22539999999999999</v>
      </c>
      <c r="R56" s="2">
        <f t="shared" si="6"/>
        <v>0.493341053850608</v>
      </c>
      <c r="S56" s="2">
        <f t="shared" si="7"/>
        <v>1.6976059957355787E-2</v>
      </c>
      <c r="T56" s="5">
        <f t="shared" si="23"/>
        <v>3.4251813790078474E-2</v>
      </c>
      <c r="U56" s="2" t="str">
        <f t="shared" si="9"/>
        <v>No Impact</v>
      </c>
      <c r="V56" s="2">
        <f t="shared" si="10"/>
        <v>2.1074197633360187E-2</v>
      </c>
      <c r="W56" s="2">
        <f t="shared" si="11"/>
        <v>3.7962411959564853E-2</v>
      </c>
      <c r="X56" s="2" t="s">
        <v>1176</v>
      </c>
      <c r="Y56" s="2">
        <f t="shared" si="13"/>
        <v>1.2877922281351383E-2</v>
      </c>
      <c r="Z56" s="2">
        <f t="shared" si="14"/>
        <v>2.7324564565967303E-2</v>
      </c>
      <c r="AA56" s="2" t="str">
        <f t="shared" si="15"/>
        <v>No Impact</v>
      </c>
      <c r="AB56" s="2">
        <f t="shared" si="16"/>
        <v>1.3262502232503344E-2</v>
      </c>
      <c r="AC56" s="2">
        <f t="shared" si="17"/>
        <v>3.6864478944286766E-2</v>
      </c>
      <c r="AD56" s="2" t="str">
        <f t="shared" si="18"/>
        <v>No Impact</v>
      </c>
      <c r="AE56" s="2">
        <f t="shared" si="19"/>
        <v>5.780446789776756E-3</v>
      </c>
      <c r="AF56" s="2">
        <f t="shared" si="20"/>
        <v>2.9779344348739311E-2</v>
      </c>
      <c r="AG56" s="2" t="s">
        <v>1176</v>
      </c>
    </row>
    <row r="57" spans="1:33" x14ac:dyDescent="0.3">
      <c r="A57">
        <v>201285</v>
      </c>
      <c r="B57" t="s">
        <v>133</v>
      </c>
      <c r="C57" t="s">
        <v>1153</v>
      </c>
      <c r="D57" t="s">
        <v>134</v>
      </c>
      <c r="E57" s="18">
        <v>6</v>
      </c>
      <c r="F57" s="19">
        <f t="shared" si="0"/>
        <v>0.62222222222222223</v>
      </c>
      <c r="G57" s="2">
        <v>51.307099200000003</v>
      </c>
      <c r="H57" s="2">
        <f t="shared" si="1"/>
        <v>0.18976915167590819</v>
      </c>
      <c r="I57" s="2">
        <v>20.9</v>
      </c>
      <c r="J57" s="4">
        <f t="shared" si="2"/>
        <v>0.10140708393983502</v>
      </c>
      <c r="K57" s="2">
        <v>0</v>
      </c>
      <c r="L57" s="4">
        <f t="shared" si="3"/>
        <v>0</v>
      </c>
      <c r="M57" s="2">
        <v>31740</v>
      </c>
      <c r="N57" s="2">
        <f t="shared" si="4"/>
        <v>0.14904448955065697</v>
      </c>
      <c r="O57" s="2">
        <v>0.53308235000000004</v>
      </c>
      <c r="P57" s="2">
        <f t="shared" si="5"/>
        <v>0.53836095676737661</v>
      </c>
      <c r="Q57" s="2">
        <v>0.2248</v>
      </c>
      <c r="R57" s="2">
        <f t="shared" si="6"/>
        <v>0.49160393746381009</v>
      </c>
      <c r="S57" s="2">
        <f t="shared" si="7"/>
        <v>3.2655919411581323E-2</v>
      </c>
      <c r="T57" s="5">
        <f t="shared" si="23"/>
        <v>6.5888343563762677E-2</v>
      </c>
      <c r="U57" s="2" t="str">
        <f t="shared" si="9"/>
        <v>No Impact</v>
      </c>
      <c r="V57" s="2">
        <f t="shared" si="10"/>
        <v>3.1173448054688368E-2</v>
      </c>
      <c r="W57" s="2">
        <f t="shared" si="11"/>
        <v>5.6154891296019631E-2</v>
      </c>
      <c r="X57" s="2" t="s">
        <v>1176</v>
      </c>
      <c r="Y57" s="2">
        <f t="shared" si="13"/>
        <v>3.4138390768474282E-2</v>
      </c>
      <c r="Z57" s="2">
        <f t="shared" si="14"/>
        <v>7.2435338741111729E-2</v>
      </c>
      <c r="AA57" s="2" t="str">
        <f t="shared" si="15"/>
        <v>No Impact</v>
      </c>
      <c r="AB57" s="2">
        <f t="shared" si="16"/>
        <v>2.4460132316010807E-2</v>
      </c>
      <c r="AC57" s="2">
        <f t="shared" si="17"/>
        <v>6.7989434944498231E-2</v>
      </c>
      <c r="AD57" s="2" t="str">
        <f t="shared" si="18"/>
        <v>No Impact</v>
      </c>
      <c r="AE57" s="2">
        <f t="shared" si="19"/>
        <v>9.4511664752217027E-3</v>
      </c>
      <c r="AF57" s="2">
        <f t="shared" si="20"/>
        <v>4.8689928512214119E-2</v>
      </c>
      <c r="AG57" s="2" t="s">
        <v>1175</v>
      </c>
    </row>
    <row r="58" spans="1:33" x14ac:dyDescent="0.3">
      <c r="A58">
        <v>201290</v>
      </c>
      <c r="B58" t="s">
        <v>135</v>
      </c>
      <c r="C58" t="s">
        <v>1153</v>
      </c>
      <c r="D58" t="s">
        <v>136</v>
      </c>
      <c r="E58" s="18">
        <v>5.8</v>
      </c>
      <c r="F58" s="19">
        <f t="shared" si="0"/>
        <v>0.57777777777777772</v>
      </c>
      <c r="G58" s="2">
        <v>39.230766000000003</v>
      </c>
      <c r="H58" s="2">
        <f t="shared" si="1"/>
        <v>7.3010098041368932E-2</v>
      </c>
      <c r="I58" s="2">
        <v>32.5</v>
      </c>
      <c r="J58" s="4">
        <f t="shared" si="2"/>
        <v>0.1576904415332363</v>
      </c>
      <c r="K58" s="2">
        <v>0</v>
      </c>
      <c r="L58" s="4">
        <f t="shared" si="3"/>
        <v>0</v>
      </c>
      <c r="M58" s="2">
        <v>31073</v>
      </c>
      <c r="N58" s="2">
        <f t="shared" si="4"/>
        <v>0.14588863181502038</v>
      </c>
      <c r="O58" s="2">
        <v>0.271907805</v>
      </c>
      <c r="P58" s="2">
        <f t="shared" si="5"/>
        <v>0.23665469888916754</v>
      </c>
      <c r="Q58" s="2">
        <v>0.18099999999999999</v>
      </c>
      <c r="R58" s="2">
        <f t="shared" si="6"/>
        <v>0.36479444122756227</v>
      </c>
      <c r="S58" s="2">
        <f t="shared" si="7"/>
        <v>1.4029635938662981E-2</v>
      </c>
      <c r="T58" s="5">
        <f t="shared" si="23"/>
        <v>2.8306949841176626E-2</v>
      </c>
      <c r="U58" s="2" t="str">
        <f t="shared" si="9"/>
        <v>No Impact</v>
      </c>
      <c r="V58" s="2">
        <f t="shared" si="10"/>
        <v>1.701867327261419E-2</v>
      </c>
      <c r="W58" s="2">
        <f t="shared" si="11"/>
        <v>3.0656915011440116E-2</v>
      </c>
      <c r="X58" s="2" t="s">
        <v>1176</v>
      </c>
      <c r="Y58" s="2">
        <f t="shared" si="13"/>
        <v>1.1040598604711772E-2</v>
      </c>
      <c r="Z58" s="2">
        <f t="shared" si="14"/>
        <v>2.3426104213894801E-2</v>
      </c>
      <c r="AA58" s="2" t="str">
        <f t="shared" si="15"/>
        <v>No Impact</v>
      </c>
      <c r="AB58" s="2">
        <f t="shared" si="16"/>
        <v>1.1650853596982291E-2</v>
      </c>
      <c r="AC58" s="2">
        <f t="shared" si="17"/>
        <v>3.2384737026193225E-2</v>
      </c>
      <c r="AD58" s="2" t="str">
        <f t="shared" si="18"/>
        <v>No Impact</v>
      </c>
      <c r="AE58" s="2">
        <f t="shared" si="19"/>
        <v>6.8061096290108376E-3</v>
      </c>
      <c r="AF58" s="2">
        <f t="shared" si="20"/>
        <v>3.5063290034265976E-2</v>
      </c>
      <c r="AG58" s="2" t="s">
        <v>1175</v>
      </c>
    </row>
    <row r="59" spans="1:33" x14ac:dyDescent="0.3">
      <c r="A59">
        <v>201294</v>
      </c>
      <c r="B59" t="s">
        <v>137</v>
      </c>
      <c r="C59" t="s">
        <v>1153</v>
      </c>
      <c r="D59" t="s">
        <v>138</v>
      </c>
      <c r="E59" s="18">
        <v>5.5</v>
      </c>
      <c r="F59" s="19">
        <f t="shared" si="0"/>
        <v>0.51111111111111107</v>
      </c>
      <c r="G59" s="2">
        <v>41.297954400000002</v>
      </c>
      <c r="H59" s="2">
        <f t="shared" si="1"/>
        <v>9.2996542376003327E-2</v>
      </c>
      <c r="I59" s="2">
        <v>29.1</v>
      </c>
      <c r="J59" s="4">
        <f t="shared" si="2"/>
        <v>0.14119359534206696</v>
      </c>
      <c r="K59" s="2">
        <v>0</v>
      </c>
      <c r="L59" s="4">
        <f t="shared" si="3"/>
        <v>0</v>
      </c>
      <c r="M59" s="2">
        <v>26913</v>
      </c>
      <c r="N59" s="2">
        <f t="shared" si="4"/>
        <v>0.12620592090010552</v>
      </c>
      <c r="O59" s="2">
        <v>0.52946543499999998</v>
      </c>
      <c r="P59" s="2">
        <f t="shared" si="5"/>
        <v>0.53418273224050483</v>
      </c>
      <c r="Q59" s="2">
        <v>0.15870000000000001</v>
      </c>
      <c r="R59" s="2">
        <f t="shared" si="6"/>
        <v>0.30023161551823979</v>
      </c>
      <c r="S59" s="2">
        <f t="shared" si="7"/>
        <v>1.7478482985280125E-2</v>
      </c>
      <c r="T59" s="5">
        <f t="shared" si="23"/>
        <v>3.5265529578049355E-2</v>
      </c>
      <c r="U59" s="2" t="str">
        <f t="shared" si="9"/>
        <v>No Impact</v>
      </c>
      <c r="V59" s="2">
        <f t="shared" si="10"/>
        <v>1.2577907361190204E-2</v>
      </c>
      <c r="W59" s="2">
        <f t="shared" si="11"/>
        <v>2.2657455773257479E-2</v>
      </c>
      <c r="X59" s="2" t="s">
        <v>1176</v>
      </c>
      <c r="Y59" s="2">
        <f t="shared" si="13"/>
        <v>2.2379058609370044E-2</v>
      </c>
      <c r="Z59" s="2">
        <f t="shared" si="14"/>
        <v>4.7484215119298644E-2</v>
      </c>
      <c r="AA59" s="2" t="str">
        <f t="shared" si="15"/>
        <v>No Impact</v>
      </c>
      <c r="AB59" s="2">
        <f t="shared" si="16"/>
        <v>1.2966530554226382E-2</v>
      </c>
      <c r="AC59" s="2">
        <f t="shared" si="17"/>
        <v>3.6041795448316725E-2</v>
      </c>
      <c r="AD59" s="2" t="str">
        <f t="shared" si="18"/>
        <v>No Impact</v>
      </c>
      <c r="AE59" s="2">
        <f t="shared" si="19"/>
        <v>5.2872725571394292E-3</v>
      </c>
      <c r="AF59" s="2">
        <f t="shared" si="20"/>
        <v>2.7238640172791102E-2</v>
      </c>
      <c r="AG59" s="2" t="s">
        <v>1176</v>
      </c>
    </row>
    <row r="60" spans="1:33" x14ac:dyDescent="0.3">
      <c r="A60">
        <v>201322</v>
      </c>
      <c r="B60" t="s">
        <v>139</v>
      </c>
      <c r="C60" t="s">
        <v>140</v>
      </c>
      <c r="D60" t="s">
        <v>141</v>
      </c>
      <c r="E60" s="18">
        <v>6</v>
      </c>
      <c r="F60" s="19">
        <f t="shared" si="0"/>
        <v>0.62222222222222223</v>
      </c>
      <c r="G60" s="2">
        <v>67.197564</v>
      </c>
      <c r="H60" s="2">
        <f t="shared" si="1"/>
        <v>0.34340482909005554</v>
      </c>
      <c r="I60" s="2">
        <v>40.4</v>
      </c>
      <c r="J60" s="4">
        <f t="shared" si="2"/>
        <v>0.19602134885977682</v>
      </c>
      <c r="K60" s="2">
        <v>0</v>
      </c>
      <c r="L60" s="4">
        <f t="shared" si="3"/>
        <v>0</v>
      </c>
      <c r="M60" s="2">
        <v>31606</v>
      </c>
      <c r="N60" s="2">
        <f t="shared" si="4"/>
        <v>0.14841047915099384</v>
      </c>
      <c r="O60" s="2">
        <v>0.56187791600000003</v>
      </c>
      <c r="P60" s="2">
        <f t="shared" si="5"/>
        <v>0.57162531054023369</v>
      </c>
      <c r="Q60" s="2">
        <v>0.30790000000000001</v>
      </c>
      <c r="R60" s="2">
        <f t="shared" si="6"/>
        <v>0.73219455703532144</v>
      </c>
      <c r="S60" s="2">
        <f t="shared" si="7"/>
        <v>7.6583141838145727E-2</v>
      </c>
      <c r="T60" s="5">
        <f t="shared" si="23"/>
        <v>0.15451827575354032</v>
      </c>
      <c r="U60" s="2" t="str">
        <f t="shared" si="9"/>
        <v>Low</v>
      </c>
      <c r="V60" s="2">
        <f t="shared" si="10"/>
        <v>8.6014580708642069E-2</v>
      </c>
      <c r="W60" s="2">
        <f t="shared" si="11"/>
        <v>0.1549440222683377</v>
      </c>
      <c r="X60" s="2" t="s">
        <v>1175</v>
      </c>
      <c r="Y60" s="2">
        <f t="shared" si="13"/>
        <v>6.7151702967649371E-2</v>
      </c>
      <c r="Z60" s="2">
        <f t="shared" si="14"/>
        <v>0.14248346925585295</v>
      </c>
      <c r="AA60" s="2" t="str">
        <f t="shared" si="15"/>
        <v>No Impact</v>
      </c>
      <c r="AB60" s="2">
        <f t="shared" si="16"/>
        <v>5.6352698283850748E-2</v>
      </c>
      <c r="AC60" s="2">
        <f t="shared" si="17"/>
        <v>0.15663807801272217</v>
      </c>
      <c r="AD60" s="2" t="str">
        <f t="shared" si="18"/>
        <v>Low</v>
      </c>
      <c r="AE60" s="2">
        <f t="shared" si="19"/>
        <v>1.7434526130089202E-2</v>
      </c>
      <c r="AF60" s="2">
        <f t="shared" si="20"/>
        <v>8.9818101622049715E-2</v>
      </c>
      <c r="AG60" s="2" t="s">
        <v>1175</v>
      </c>
    </row>
    <row r="61" spans="1:33" x14ac:dyDescent="0.3">
      <c r="A61">
        <v>201345</v>
      </c>
      <c r="B61" t="s">
        <v>142</v>
      </c>
      <c r="C61" t="s">
        <v>140</v>
      </c>
      <c r="D61" t="s">
        <v>143</v>
      </c>
      <c r="E61" s="18">
        <v>6</v>
      </c>
      <c r="F61" s="19">
        <f t="shared" si="0"/>
        <v>0.62222222222222223</v>
      </c>
      <c r="G61" s="2">
        <v>63.708750000000002</v>
      </c>
      <c r="H61" s="2">
        <f t="shared" si="1"/>
        <v>0.30967351229043866</v>
      </c>
      <c r="I61" s="2">
        <v>38.5</v>
      </c>
      <c r="J61" s="4">
        <f t="shared" si="2"/>
        <v>0.18680252304706454</v>
      </c>
      <c r="K61" s="2">
        <v>0</v>
      </c>
      <c r="L61" s="4">
        <f t="shared" si="3"/>
        <v>0</v>
      </c>
      <c r="M61" s="2">
        <v>25019</v>
      </c>
      <c r="N61" s="2">
        <f t="shared" si="4"/>
        <v>0.11724460972874765</v>
      </c>
      <c r="O61" s="2">
        <v>0.51858346</v>
      </c>
      <c r="P61" s="2">
        <f t="shared" si="5"/>
        <v>0.5216119820719759</v>
      </c>
      <c r="Q61" s="2">
        <v>0.32340000000000002</v>
      </c>
      <c r="R61" s="2">
        <f t="shared" si="6"/>
        <v>0.77707006369426768</v>
      </c>
      <c r="S61" s="2">
        <f t="shared" si="7"/>
        <v>7.0207691442344677E-2</v>
      </c>
      <c r="T61" s="5">
        <f t="shared" si="23"/>
        <v>0.14165482331914675</v>
      </c>
      <c r="U61" s="2" t="str">
        <f t="shared" si="9"/>
        <v>No Impact</v>
      </c>
      <c r="V61" s="2">
        <f t="shared" si="10"/>
        <v>8.4017940247631845E-2</v>
      </c>
      <c r="W61" s="2">
        <f t="shared" si="11"/>
        <v>0.15134733550309545</v>
      </c>
      <c r="X61" s="2" t="s">
        <v>1175</v>
      </c>
      <c r="Y61" s="2">
        <f t="shared" si="13"/>
        <v>5.6397442637057503E-2</v>
      </c>
      <c r="Z61" s="2">
        <f t="shared" si="14"/>
        <v>0.11966492179590961</v>
      </c>
      <c r="AA61" s="2" t="str">
        <f t="shared" si="15"/>
        <v>No Impact</v>
      </c>
      <c r="AB61" s="2">
        <f t="shared" si="16"/>
        <v>5.0762341806225686E-2</v>
      </c>
      <c r="AC61" s="2">
        <f t="shared" si="17"/>
        <v>0.14109911145515977</v>
      </c>
      <c r="AD61" s="2" t="str">
        <f t="shared" si="18"/>
        <v>No Impact</v>
      </c>
      <c r="AE61" s="2">
        <f t="shared" si="19"/>
        <v>1.2676656938392237E-2</v>
      </c>
      <c r="AF61" s="2">
        <f t="shared" si="20"/>
        <v>6.5306808606363315E-2</v>
      </c>
      <c r="AG61" s="2" t="s">
        <v>1175</v>
      </c>
    </row>
    <row r="62" spans="1:33" x14ac:dyDescent="0.3">
      <c r="A62">
        <v>201347</v>
      </c>
      <c r="B62" t="s">
        <v>144</v>
      </c>
      <c r="C62" t="s">
        <v>140</v>
      </c>
      <c r="D62" t="s">
        <v>145</v>
      </c>
      <c r="E62" s="18">
        <v>6</v>
      </c>
      <c r="F62" s="19">
        <f t="shared" si="0"/>
        <v>0.62222222222222223</v>
      </c>
      <c r="G62" s="2">
        <v>76.130769599999994</v>
      </c>
      <c r="H62" s="2">
        <f t="shared" si="1"/>
        <v>0.4297748070051039</v>
      </c>
      <c r="I62" s="2">
        <v>44.2</v>
      </c>
      <c r="J62" s="4">
        <f t="shared" si="2"/>
        <v>0.21445900048520139</v>
      </c>
      <c r="K62" s="2">
        <v>0</v>
      </c>
      <c r="L62" s="4">
        <f t="shared" si="3"/>
        <v>0</v>
      </c>
      <c r="M62" s="2">
        <v>5413</v>
      </c>
      <c r="N62" s="2">
        <f t="shared" si="4"/>
        <v>2.4480371700425354E-2</v>
      </c>
      <c r="O62" s="2">
        <v>0.57652104299999996</v>
      </c>
      <c r="P62" s="2">
        <f t="shared" si="5"/>
        <v>0.5885409063951258</v>
      </c>
      <c r="Q62" s="2">
        <v>0.25659999999999999</v>
      </c>
      <c r="R62" s="2">
        <f t="shared" si="6"/>
        <v>0.58367110596409966</v>
      </c>
      <c r="S62" s="2">
        <f t="shared" si="7"/>
        <v>8.2230559527766159E-2</v>
      </c>
      <c r="T62" s="5">
        <f t="shared" si="23"/>
        <v>0.16591281014995418</v>
      </c>
      <c r="U62" s="2" t="str">
        <f t="shared" si="9"/>
        <v>Low</v>
      </c>
      <c r="V62" s="2">
        <f t="shared" si="10"/>
        <v>8.1888943497551714E-2</v>
      </c>
      <c r="W62" s="2">
        <f t="shared" si="11"/>
        <v>0.14751222618632714</v>
      </c>
      <c r="X62" s="2" t="s">
        <v>1176</v>
      </c>
      <c r="Y62" s="2">
        <f t="shared" si="13"/>
        <v>8.257217555798059E-2</v>
      </c>
      <c r="Z62" s="2">
        <f t="shared" si="14"/>
        <v>0.17520285439629643</v>
      </c>
      <c r="AA62" s="2" t="str">
        <f t="shared" si="15"/>
        <v>Low</v>
      </c>
      <c r="AB62" s="2">
        <f t="shared" si="16"/>
        <v>5.4634889889933862E-2</v>
      </c>
      <c r="AC62" s="2">
        <f t="shared" si="17"/>
        <v>0.15186325420815608</v>
      </c>
      <c r="AD62" s="2" t="str">
        <f t="shared" si="18"/>
        <v>Low</v>
      </c>
      <c r="AE62" s="2">
        <f t="shared" si="19"/>
        <v>3.4345914239902408E-3</v>
      </c>
      <c r="AF62" s="2">
        <f t="shared" si="20"/>
        <v>1.769411335004822E-2</v>
      </c>
      <c r="AG62" s="2" t="s">
        <v>1176</v>
      </c>
    </row>
    <row r="63" spans="1:33" x14ac:dyDescent="0.3">
      <c r="A63">
        <v>201349</v>
      </c>
      <c r="B63" t="s">
        <v>146</v>
      </c>
      <c r="C63" t="s">
        <v>140</v>
      </c>
      <c r="D63" t="s">
        <v>147</v>
      </c>
      <c r="E63" s="18">
        <v>4.5999999999999996</v>
      </c>
      <c r="F63" s="19">
        <f t="shared" si="0"/>
        <v>0.31111111111111101</v>
      </c>
      <c r="G63" s="2">
        <v>62.309530799999997</v>
      </c>
      <c r="H63" s="2">
        <f t="shared" si="1"/>
        <v>0.29614527429686638</v>
      </c>
      <c r="I63" s="2">
        <v>34</v>
      </c>
      <c r="J63" s="4">
        <f t="shared" si="2"/>
        <v>0.16496846191169337</v>
      </c>
      <c r="K63" s="2">
        <v>0</v>
      </c>
      <c r="L63" s="4">
        <f t="shared" si="3"/>
        <v>0</v>
      </c>
      <c r="M63" s="2">
        <v>29282</v>
      </c>
      <c r="N63" s="2">
        <f t="shared" si="4"/>
        <v>0.13741465699564237</v>
      </c>
      <c r="O63" s="2">
        <v>0.61689506999999999</v>
      </c>
      <c r="P63" s="2">
        <f t="shared" si="5"/>
        <v>0.63518058409282718</v>
      </c>
      <c r="Q63" s="2">
        <v>0.26519999999999999</v>
      </c>
      <c r="R63" s="2">
        <f t="shared" si="6"/>
        <v>0.60856977417486968</v>
      </c>
      <c r="S63" s="2">
        <f t="shared" si="7"/>
        <v>3.1224453728851173E-2</v>
      </c>
      <c r="T63" s="5">
        <f t="shared" si="23"/>
        <v>6.3000141228537324E-2</v>
      </c>
      <c r="U63" s="2" t="str">
        <f t="shared" si="9"/>
        <v>No Impact</v>
      </c>
      <c r="V63" s="2">
        <f t="shared" si="10"/>
        <v>3.055638718523401E-2</v>
      </c>
      <c r="W63" s="2">
        <f t="shared" si="11"/>
        <v>5.5043336809443504E-2</v>
      </c>
      <c r="X63" s="2" t="s">
        <v>1176</v>
      </c>
      <c r="Y63" s="2">
        <f t="shared" si="13"/>
        <v>3.1892520272468347E-2</v>
      </c>
      <c r="Z63" s="2">
        <f t="shared" si="14"/>
        <v>6.767001774955847E-2</v>
      </c>
      <c r="AA63" s="2" t="str">
        <f t="shared" si="15"/>
        <v>No Impact</v>
      </c>
      <c r="AB63" s="2">
        <f t="shared" si="16"/>
        <v>2.267735588131661E-2</v>
      </c>
      <c r="AC63" s="2">
        <f t="shared" si="17"/>
        <v>6.3034025837905391E-2</v>
      </c>
      <c r="AD63" s="2" t="str">
        <f t="shared" si="18"/>
        <v>No Impact</v>
      </c>
      <c r="AE63" s="2">
        <f t="shared" si="19"/>
        <v>6.8996122421263071E-3</v>
      </c>
      <c r="AF63" s="2">
        <f t="shared" si="20"/>
        <v>3.5544990950256948E-2</v>
      </c>
      <c r="AG63" s="2" t="s">
        <v>1175</v>
      </c>
    </row>
    <row r="64" spans="1:33" x14ac:dyDescent="0.3">
      <c r="A64">
        <v>201358</v>
      </c>
      <c r="B64" t="s">
        <v>148</v>
      </c>
      <c r="C64" t="s">
        <v>140</v>
      </c>
      <c r="D64" t="s">
        <v>1127</v>
      </c>
      <c r="E64" s="18">
        <v>5.6</v>
      </c>
      <c r="F64" s="19">
        <f t="shared" si="0"/>
        <v>0.53333333333333321</v>
      </c>
      <c r="G64" s="2">
        <v>62.309530799999997</v>
      </c>
      <c r="H64" s="2">
        <f t="shared" si="1"/>
        <v>0.29614527429686638</v>
      </c>
      <c r="I64" s="2">
        <v>30.1</v>
      </c>
      <c r="J64" s="4">
        <f t="shared" si="2"/>
        <v>0.14604560892770502</v>
      </c>
      <c r="K64" s="2">
        <v>0</v>
      </c>
      <c r="L64" s="4">
        <f t="shared" si="3"/>
        <v>0</v>
      </c>
      <c r="M64" s="2">
        <v>41920</v>
      </c>
      <c r="N64" s="2">
        <f t="shared" si="4"/>
        <v>0.19721035424148226</v>
      </c>
      <c r="O64" s="2">
        <v>0.69719438899999997</v>
      </c>
      <c r="P64" s="2">
        <f t="shared" si="5"/>
        <v>0.72794156524303277</v>
      </c>
      <c r="Q64" s="2">
        <v>0.254</v>
      </c>
      <c r="R64" s="2">
        <f t="shared" si="6"/>
        <v>0.57614360162130873</v>
      </c>
      <c r="S64" s="2">
        <f t="shared" si="7"/>
        <v>5.3821093362008521E-2</v>
      </c>
      <c r="T64" s="5">
        <f t="shared" si="23"/>
        <v>0.10859233959144698</v>
      </c>
      <c r="U64" s="2" t="str">
        <f t="shared" si="9"/>
        <v>No Impact</v>
      </c>
      <c r="V64" s="2">
        <f t="shared" si="10"/>
        <v>4.7556216972154244E-2</v>
      </c>
      <c r="W64" s="2">
        <f t="shared" si="11"/>
        <v>8.5666307744856937E-2</v>
      </c>
      <c r="X64" s="2" t="s">
        <v>1176</v>
      </c>
      <c r="Y64" s="2">
        <f t="shared" si="13"/>
        <v>6.008596975186279E-2</v>
      </c>
      <c r="Z64" s="2">
        <f t="shared" si="14"/>
        <v>0.12749129278183868</v>
      </c>
      <c r="AA64" s="2" t="str">
        <f t="shared" si="15"/>
        <v>No Impact</v>
      </c>
      <c r="AB64" s="2">
        <f t="shared" si="16"/>
        <v>4.0367835419720166E-2</v>
      </c>
      <c r="AC64" s="2">
        <f t="shared" si="17"/>
        <v>0.11220651976288611</v>
      </c>
      <c r="AD64" s="2" t="str">
        <f t="shared" si="18"/>
        <v>No Impact</v>
      </c>
      <c r="AE64" s="2">
        <f t="shared" si="19"/>
        <v>1.62781958683067E-2</v>
      </c>
      <c r="AF64" s="2">
        <f t="shared" si="20"/>
        <v>8.3860991679027663E-2</v>
      </c>
      <c r="AG64" s="2" t="s">
        <v>1175</v>
      </c>
    </row>
    <row r="65" spans="1:33" x14ac:dyDescent="0.3">
      <c r="A65">
        <v>201376</v>
      </c>
      <c r="B65" t="s">
        <v>149</v>
      </c>
      <c r="C65" t="s">
        <v>140</v>
      </c>
      <c r="D65" t="s">
        <v>150</v>
      </c>
      <c r="E65" s="18">
        <v>6</v>
      </c>
      <c r="F65" s="19">
        <f t="shared" si="0"/>
        <v>0.62222222222222223</v>
      </c>
      <c r="G65" s="2">
        <v>62.309530799999997</v>
      </c>
      <c r="H65" s="2">
        <f t="shared" si="1"/>
        <v>0.29614527429686638</v>
      </c>
      <c r="I65" s="2">
        <v>36</v>
      </c>
      <c r="J65" s="4">
        <f t="shared" si="2"/>
        <v>0.17467248908296945</v>
      </c>
      <c r="K65" s="2">
        <v>0</v>
      </c>
      <c r="L65" s="4">
        <f t="shared" si="3"/>
        <v>0</v>
      </c>
      <c r="M65" s="2">
        <v>14716</v>
      </c>
      <c r="N65" s="2">
        <f t="shared" si="4"/>
        <v>6.8496780268082313E-2</v>
      </c>
      <c r="O65" s="2">
        <v>0.67070708300000004</v>
      </c>
      <c r="P65" s="2">
        <f t="shared" si="5"/>
        <v>0.69734369065102375</v>
      </c>
      <c r="Q65" s="2">
        <v>0.2772</v>
      </c>
      <c r="R65" s="2">
        <f t="shared" si="6"/>
        <v>0.6433121019108281</v>
      </c>
      <c r="S65" s="2">
        <f t="shared" si="7"/>
        <v>6.8731163386874267E-2</v>
      </c>
      <c r="T65" s="5">
        <f t="shared" si="23"/>
        <v>0.13867570071126004</v>
      </c>
      <c r="U65" s="2" t="str">
        <f t="shared" si="9"/>
        <v>No Impact</v>
      </c>
      <c r="V65" s="2">
        <f t="shared" si="10"/>
        <v>6.5961135483844524E-2</v>
      </c>
      <c r="W65" s="2">
        <f t="shared" si="11"/>
        <v>0.11882036232755584</v>
      </c>
      <c r="X65" s="2" t="s">
        <v>1176</v>
      </c>
      <c r="Y65" s="2">
        <f t="shared" si="13"/>
        <v>7.1501191289904009E-2</v>
      </c>
      <c r="Z65" s="2">
        <f t="shared" si="14"/>
        <v>0.15171227743576193</v>
      </c>
      <c r="AA65" s="2" t="str">
        <f t="shared" si="15"/>
        <v>Low</v>
      </c>
      <c r="AB65" s="2">
        <f t="shared" si="16"/>
        <v>4.6994883429293831E-2</v>
      </c>
      <c r="AC65" s="2">
        <f t="shared" si="17"/>
        <v>0.13062707627091641</v>
      </c>
      <c r="AD65" s="2" t="str">
        <f t="shared" si="18"/>
        <v>No Impact</v>
      </c>
      <c r="AE65" s="2">
        <f t="shared" si="19"/>
        <v>7.0232246370772917E-3</v>
      </c>
      <c r="AF65" s="2">
        <f t="shared" si="20"/>
        <v>3.6181809557691944E-2</v>
      </c>
      <c r="AG65" s="2" t="s">
        <v>1175</v>
      </c>
    </row>
    <row r="66" spans="1:33" x14ac:dyDescent="0.3">
      <c r="A66">
        <v>201379</v>
      </c>
      <c r="B66" t="s">
        <v>151</v>
      </c>
      <c r="C66" t="s">
        <v>140</v>
      </c>
      <c r="D66" t="s">
        <v>1128</v>
      </c>
      <c r="E66" s="18">
        <v>5.3</v>
      </c>
      <c r="F66" s="19">
        <f t="shared" ref="F66:F129" si="24">(E66-$AJ$5)/$AK$5</f>
        <v>0.46666666666666656</v>
      </c>
      <c r="G66" s="2">
        <v>67.197564</v>
      </c>
      <c r="H66" s="2">
        <f t="shared" ref="H66:H129" si="25">(G66-$AJ$6)/$AK$6</f>
        <v>0.34340482909005554</v>
      </c>
      <c r="I66" s="2">
        <v>36.1</v>
      </c>
      <c r="J66" s="4">
        <f t="shared" ref="J66:J129" si="26">(I66-$AJ$7)/$AK$7</f>
        <v>0.17515769044153326</v>
      </c>
      <c r="K66" s="2">
        <v>0</v>
      </c>
      <c r="L66" s="4">
        <f t="shared" ref="L66:L129" si="27">(K66-$AJ$8)/$AK$8</f>
        <v>0</v>
      </c>
      <c r="M66" s="2">
        <v>26290</v>
      </c>
      <c r="N66" s="2">
        <f t="shared" ref="N66:N129" si="28">(M66-$AJ$9)/$AK$9</f>
        <v>0.12325824568376129</v>
      </c>
      <c r="O66" s="2">
        <v>0.61544966899999998</v>
      </c>
      <c r="P66" s="2">
        <f t="shared" ref="P66:P129" si="29">(O66-$AJ$11)/$AK$11</f>
        <v>0.63351087111661264</v>
      </c>
      <c r="Q66" s="2">
        <v>0.27010000000000001</v>
      </c>
      <c r="R66" s="2">
        <f t="shared" ref="R66:R129" si="30">(Q66-$AJ$12)/$AK$12</f>
        <v>0.62275622466705272</v>
      </c>
      <c r="S66" s="2">
        <f t="shared" ref="S66:S129" si="31">F66*(R66*0.5+P66*0.5)*(H66*0.35+J66*0.35+L66*0.3)</f>
        <v>5.3201997482193737E-2</v>
      </c>
      <c r="T66" s="5">
        <f t="shared" ref="T66:T97" si="32">(S66-$AJ$10)/$AK$10</f>
        <v>0.1073432183673886</v>
      </c>
      <c r="U66" s="2" t="str">
        <f t="shared" ref="U66:U129" si="33">IF(T66&gt;0.7,"High",IF(T66&gt;0.3,"Moderate",IF(T66&gt;0.15,"Low","No Impact")))</f>
        <v>No Impact</v>
      </c>
      <c r="V66" s="2">
        <f t="shared" ref="V66:V129" si="34">F66*(R66*1)*(H66*0.35+J66*0.35+L66*0.3)</f>
        <v>5.274654602983006E-2</v>
      </c>
      <c r="W66" s="2">
        <f t="shared" ref="W66:W129" si="35">(V66-$AJ$13)/$AK$13</f>
        <v>9.5016006998947716E-2</v>
      </c>
      <c r="X66" s="2" t="s">
        <v>1176</v>
      </c>
      <c r="Y66" s="2">
        <f t="shared" ref="Y66:Y129" si="36">F66*(P66*1)*(H66*0.35+J66*0.35+L66*0.3)</f>
        <v>5.3657448934557414E-2</v>
      </c>
      <c r="Z66" s="2">
        <f t="shared" ref="Z66:Z129" si="37">(Y66-$AJ$14)/$AK$14</f>
        <v>0.11385116293026355</v>
      </c>
      <c r="AA66" s="2" t="str">
        <f t="shared" ref="AA66:AA129" si="38">IF(Z66&gt;0.7,"High",IF(Z66&gt;0.3,"Moderate",IF(Z66&gt;0.15,"Low","No Impact")))</f>
        <v>No Impact</v>
      </c>
      <c r="AB66" s="2">
        <f t="shared" ref="AB66:AB129" si="39">F66*(R66*0.35+P66*0.3+N66*0.35)*(H66*0.35+J66*0.35+L66*0.3)</f>
        <v>3.8212453708664662E-2</v>
      </c>
      <c r="AC66" s="2">
        <f t="shared" ref="AC66:AC129" si="40">(AB66-$AJ$15)/$AK$15</f>
        <v>0.1062154162508071</v>
      </c>
      <c r="AD66" s="2" t="str">
        <f t="shared" ref="AD66:AD129" si="41">IF(AC66&gt;0.7,"High",IF(AC66&gt;0.3,"Moderate",IF(AC66&gt;0.15,"Low","No Impact")))</f>
        <v>No Impact</v>
      </c>
      <c r="AE66" s="2">
        <f t="shared" ref="AE66:AE129" si="42">F66*(N66*1)*(H66*0.35+J66*0.35+L66*0.3)</f>
        <v>1.0439794051019753E-2</v>
      </c>
      <c r="AF66" s="2">
        <f t="shared" ref="AF66:AF129" si="43">(AE66-$AJ$16)/$AK$16</f>
        <v>5.3783078243203428E-2</v>
      </c>
      <c r="AG66" s="2" t="s">
        <v>1175</v>
      </c>
    </row>
    <row r="67" spans="1:33" x14ac:dyDescent="0.3">
      <c r="A67">
        <v>201395</v>
      </c>
      <c r="B67" t="s">
        <v>152</v>
      </c>
      <c r="C67" t="s">
        <v>140</v>
      </c>
      <c r="D67" t="s">
        <v>153</v>
      </c>
      <c r="E67" s="18">
        <v>6</v>
      </c>
      <c r="F67" s="19">
        <f t="shared" si="24"/>
        <v>0.62222222222222223</v>
      </c>
      <c r="G67" s="2">
        <v>62.309530799999997</v>
      </c>
      <c r="H67" s="2">
        <f t="shared" si="25"/>
        <v>0.29614527429686638</v>
      </c>
      <c r="I67" s="2">
        <v>34</v>
      </c>
      <c r="J67" s="4">
        <f t="shared" si="26"/>
        <v>0.16496846191169337</v>
      </c>
      <c r="K67" s="2">
        <v>0</v>
      </c>
      <c r="L67" s="4">
        <f t="shared" si="27"/>
        <v>0</v>
      </c>
      <c r="M67" s="2">
        <v>14024</v>
      </c>
      <c r="N67" s="2">
        <f t="shared" si="28"/>
        <v>6.5222637010120516E-2</v>
      </c>
      <c r="O67" s="2">
        <v>0.64029064999999996</v>
      </c>
      <c r="P67" s="2">
        <f t="shared" si="29"/>
        <v>0.66220692730973685</v>
      </c>
      <c r="Q67" s="2">
        <v>0.2465</v>
      </c>
      <c r="R67" s="2">
        <f t="shared" si="30"/>
        <v>0.55442964678633477</v>
      </c>
      <c r="S67" s="2">
        <f t="shared" si="31"/>
        <v>6.1087519951514818E-2</v>
      </c>
      <c r="T67" s="5">
        <f t="shared" si="32"/>
        <v>0.1232534736289243</v>
      </c>
      <c r="U67" s="2" t="str">
        <f t="shared" si="33"/>
        <v>No Impact</v>
      </c>
      <c r="V67" s="2">
        <f t="shared" si="34"/>
        <v>5.5676005194788922E-2</v>
      </c>
      <c r="W67" s="2">
        <f t="shared" si="35"/>
        <v>0.10029304470988046</v>
      </c>
      <c r="X67" s="2" t="s">
        <v>1176</v>
      </c>
      <c r="Y67" s="2">
        <f t="shared" si="36"/>
        <v>6.6499034708240715E-2</v>
      </c>
      <c r="Z67" s="2">
        <f t="shared" si="37"/>
        <v>0.14109862816078014</v>
      </c>
      <c r="AA67" s="2" t="str">
        <f t="shared" si="38"/>
        <v>No Impact</v>
      </c>
      <c r="AB67" s="2">
        <f t="shared" si="39"/>
        <v>4.1728699667565934E-2</v>
      </c>
      <c r="AC67" s="2">
        <f t="shared" si="40"/>
        <v>0.11598918087247626</v>
      </c>
      <c r="AD67" s="2" t="str">
        <f t="shared" si="41"/>
        <v>No Impact</v>
      </c>
      <c r="AE67" s="2">
        <f t="shared" si="42"/>
        <v>6.5496783911931401E-3</v>
      </c>
      <c r="AF67" s="2">
        <f t="shared" si="43"/>
        <v>3.3742223616657518E-2</v>
      </c>
      <c r="AG67" s="2" t="s">
        <v>1175</v>
      </c>
    </row>
    <row r="68" spans="1:33" x14ac:dyDescent="0.3">
      <c r="A68">
        <v>201504</v>
      </c>
      <c r="B68" t="s">
        <v>154</v>
      </c>
      <c r="C68" t="s">
        <v>1154</v>
      </c>
      <c r="D68" t="s">
        <v>155</v>
      </c>
      <c r="E68" s="18">
        <v>5.2</v>
      </c>
      <c r="F68" s="19">
        <f t="shared" si="24"/>
        <v>0.44444444444444442</v>
      </c>
      <c r="G68" s="2">
        <v>72.562572000000003</v>
      </c>
      <c r="H68" s="2">
        <f t="shared" si="25"/>
        <v>0.39527597627086802</v>
      </c>
      <c r="I68" s="2">
        <v>9.4</v>
      </c>
      <c r="J68" s="4">
        <f t="shared" si="26"/>
        <v>4.5608927704997575E-2</v>
      </c>
      <c r="K68" s="2">
        <v>0</v>
      </c>
      <c r="L68" s="4">
        <f t="shared" si="27"/>
        <v>0</v>
      </c>
      <c r="M68" s="2">
        <v>33279</v>
      </c>
      <c r="N68" s="2">
        <f t="shared" si="28"/>
        <v>0.15632614630499686</v>
      </c>
      <c r="O68" s="2">
        <v>0.54515739299999999</v>
      </c>
      <c r="P68" s="2">
        <f t="shared" si="29"/>
        <v>0.55230992731980333</v>
      </c>
      <c r="Q68" s="2">
        <v>0.27939999999999998</v>
      </c>
      <c r="R68" s="2">
        <f t="shared" si="30"/>
        <v>0.64968152866242035</v>
      </c>
      <c r="S68" s="2">
        <f t="shared" si="31"/>
        <v>4.1217546817263716E-2</v>
      </c>
      <c r="T68" s="5">
        <f t="shared" si="32"/>
        <v>8.3162744595340052E-2</v>
      </c>
      <c r="U68" s="2" t="str">
        <f t="shared" si="33"/>
        <v>No Impact</v>
      </c>
      <c r="V68" s="2">
        <f t="shared" si="34"/>
        <v>4.455652108121274E-2</v>
      </c>
      <c r="W68" s="2">
        <f t="shared" si="35"/>
        <v>8.0262747754270558E-2</v>
      </c>
      <c r="X68" s="2" t="s">
        <v>1176</v>
      </c>
      <c r="Y68" s="2">
        <f t="shared" si="36"/>
        <v>3.7878572553314699E-2</v>
      </c>
      <c r="Z68" s="2">
        <f t="shared" si="37"/>
        <v>8.0371311364298134E-2</v>
      </c>
      <c r="AA68" s="2" t="str">
        <f t="shared" si="38"/>
        <v>No Impact</v>
      </c>
      <c r="AB68" s="2">
        <f t="shared" si="39"/>
        <v>3.0710765324560182E-2</v>
      </c>
      <c r="AC68" s="2">
        <f t="shared" si="40"/>
        <v>8.5363707528401014E-2</v>
      </c>
      <c r="AD68" s="2" t="str">
        <f t="shared" si="41"/>
        <v>No Impact</v>
      </c>
      <c r="AE68" s="2">
        <f t="shared" si="42"/>
        <v>1.0721174800403768E-2</v>
      </c>
      <c r="AF68" s="2">
        <f t="shared" si="43"/>
        <v>5.5232677994529314E-2</v>
      </c>
      <c r="AG68" s="2" t="s">
        <v>1175</v>
      </c>
    </row>
    <row r="69" spans="1:33" x14ac:dyDescent="0.3">
      <c r="A69">
        <v>201506</v>
      </c>
      <c r="B69" t="s">
        <v>156</v>
      </c>
      <c r="C69" t="s">
        <v>1154</v>
      </c>
      <c r="D69" t="s">
        <v>157</v>
      </c>
      <c r="E69" s="18">
        <v>5.3</v>
      </c>
      <c r="F69" s="19">
        <f t="shared" si="24"/>
        <v>0.46666666666666656</v>
      </c>
      <c r="G69" s="2">
        <v>70.001715599999997</v>
      </c>
      <c r="H69" s="2">
        <f t="shared" si="25"/>
        <v>0.37051654269065232</v>
      </c>
      <c r="I69" s="2">
        <v>9.5</v>
      </c>
      <c r="J69" s="4">
        <f t="shared" si="26"/>
        <v>4.6094129063561376E-2</v>
      </c>
      <c r="K69" s="2">
        <v>0</v>
      </c>
      <c r="L69" s="4">
        <f t="shared" si="27"/>
        <v>0</v>
      </c>
      <c r="M69" s="2">
        <v>20965</v>
      </c>
      <c r="N69" s="2">
        <f t="shared" si="28"/>
        <v>9.8063429428491666E-2</v>
      </c>
      <c r="O69" s="2">
        <v>0.36708175799999998</v>
      </c>
      <c r="P69" s="2">
        <f t="shared" si="29"/>
        <v>0.34659871049683222</v>
      </c>
      <c r="Q69" s="2">
        <v>0.31059999999999999</v>
      </c>
      <c r="R69" s="2">
        <f t="shared" si="30"/>
        <v>0.740011580775912</v>
      </c>
      <c r="S69" s="2">
        <f t="shared" si="31"/>
        <v>3.6969964542878E-2</v>
      </c>
      <c r="T69" s="5">
        <f t="shared" si="32"/>
        <v>7.4592593601189167E-2</v>
      </c>
      <c r="U69" s="2" t="str">
        <f t="shared" si="33"/>
        <v>No Impact</v>
      </c>
      <c r="V69" s="2">
        <f t="shared" si="34"/>
        <v>5.0355131222915191E-2</v>
      </c>
      <c r="W69" s="2">
        <f t="shared" si="35"/>
        <v>9.0708185859290386E-2</v>
      </c>
      <c r="X69" s="2" t="s">
        <v>1176</v>
      </c>
      <c r="Y69" s="2">
        <f t="shared" si="36"/>
        <v>2.358479786284081E-2</v>
      </c>
      <c r="Z69" s="2">
        <f t="shared" si="37"/>
        <v>5.0042570369577877E-2</v>
      </c>
      <c r="AA69" s="2" t="str">
        <f t="shared" si="38"/>
        <v>No Impact</v>
      </c>
      <c r="AB69" s="2">
        <f t="shared" si="39"/>
        <v>2.7035237790971382E-2</v>
      </c>
      <c r="AC69" s="2">
        <f t="shared" si="40"/>
        <v>7.514720350858943E-2</v>
      </c>
      <c r="AD69" s="2" t="str">
        <f t="shared" si="41"/>
        <v>No Impact</v>
      </c>
      <c r="AE69" s="2">
        <f t="shared" si="42"/>
        <v>6.6728642974252187E-3</v>
      </c>
      <c r="AF69" s="2">
        <f t="shared" si="43"/>
        <v>3.4376845066176692E-2</v>
      </c>
      <c r="AG69" s="2" t="s">
        <v>1175</v>
      </c>
    </row>
    <row r="70" spans="1:33" x14ac:dyDescent="0.3">
      <c r="A70">
        <v>201508</v>
      </c>
      <c r="B70" t="s">
        <v>158</v>
      </c>
      <c r="C70" t="s">
        <v>1154</v>
      </c>
      <c r="D70" t="s">
        <v>159</v>
      </c>
      <c r="E70" s="18">
        <v>5.7</v>
      </c>
      <c r="F70" s="19">
        <f t="shared" si="24"/>
        <v>0.55555555555555558</v>
      </c>
      <c r="G70" s="2">
        <v>72.562572000000003</v>
      </c>
      <c r="H70" s="2">
        <f t="shared" si="25"/>
        <v>0.39527597627086802</v>
      </c>
      <c r="I70" s="2">
        <v>11.8</v>
      </c>
      <c r="J70" s="4">
        <f t="shared" si="26"/>
        <v>5.7253760310528874E-2</v>
      </c>
      <c r="K70" s="2">
        <v>0</v>
      </c>
      <c r="L70" s="4">
        <f t="shared" si="27"/>
        <v>0</v>
      </c>
      <c r="M70" s="2">
        <v>56891</v>
      </c>
      <c r="N70" s="2">
        <f t="shared" si="28"/>
        <v>0.26804445643071073</v>
      </c>
      <c r="O70" s="2">
        <v>0.63871297199999999</v>
      </c>
      <c r="P70" s="2">
        <f t="shared" si="29"/>
        <v>0.66038440924804476</v>
      </c>
      <c r="Q70" s="2">
        <v>0.26250000000000001</v>
      </c>
      <c r="R70" s="2">
        <f t="shared" si="30"/>
        <v>0.60075275043427923</v>
      </c>
      <c r="S70" s="2">
        <f t="shared" si="31"/>
        <v>5.5484923147894057E-2</v>
      </c>
      <c r="T70" s="5">
        <f t="shared" si="32"/>
        <v>0.11194937226850488</v>
      </c>
      <c r="U70" s="2" t="str">
        <f t="shared" si="33"/>
        <v>No Impact</v>
      </c>
      <c r="V70" s="2">
        <f t="shared" si="34"/>
        <v>5.2861371870333837E-2</v>
      </c>
      <c r="W70" s="2">
        <f t="shared" si="35"/>
        <v>9.5222850739176634E-2</v>
      </c>
      <c r="X70" s="2" t="s">
        <v>1176</v>
      </c>
      <c r="Y70" s="2">
        <f t="shared" si="36"/>
        <v>5.8108474425454269E-2</v>
      </c>
      <c r="Z70" s="2">
        <f t="shared" si="37"/>
        <v>0.12329541416533271</v>
      </c>
      <c r="AA70" s="2" t="str">
        <f t="shared" si="38"/>
        <v>No Impact</v>
      </c>
      <c r="AB70" s="2">
        <f t="shared" si="39"/>
        <v>4.4189031198605851E-2</v>
      </c>
      <c r="AC70" s="2">
        <f t="shared" si="40"/>
        <v>0.12282792354199332</v>
      </c>
      <c r="AD70" s="2" t="str">
        <f t="shared" si="41"/>
        <v>No Impact</v>
      </c>
      <c r="AE70" s="2">
        <f t="shared" si="42"/>
        <v>2.3585739189579239E-2</v>
      </c>
      <c r="AF70" s="2">
        <f t="shared" si="43"/>
        <v>0.12150753645691142</v>
      </c>
      <c r="AG70" s="2" t="s">
        <v>1175</v>
      </c>
    </row>
    <row r="71" spans="1:33" x14ac:dyDescent="0.3">
      <c r="A71">
        <v>201510</v>
      </c>
      <c r="B71" t="s">
        <v>160</v>
      </c>
      <c r="C71" t="s">
        <v>1154</v>
      </c>
      <c r="D71" t="s">
        <v>161</v>
      </c>
      <c r="E71" s="18">
        <v>5.6</v>
      </c>
      <c r="F71" s="19">
        <f t="shared" si="24"/>
        <v>0.53333333333333321</v>
      </c>
      <c r="G71" s="2">
        <v>70.001715599999997</v>
      </c>
      <c r="H71" s="2">
        <f t="shared" si="25"/>
        <v>0.37051654269065232</v>
      </c>
      <c r="I71" s="2">
        <v>9.8000000000000007</v>
      </c>
      <c r="J71" s="4">
        <f t="shared" si="26"/>
        <v>4.7549733139252794E-2</v>
      </c>
      <c r="K71" s="2">
        <v>0</v>
      </c>
      <c r="L71" s="4">
        <f t="shared" si="27"/>
        <v>0</v>
      </c>
      <c r="M71" s="2">
        <v>9263</v>
      </c>
      <c r="N71" s="2">
        <f t="shared" si="28"/>
        <v>4.2696342138507613E-2</v>
      </c>
      <c r="O71" s="2">
        <v>0.79905724199999995</v>
      </c>
      <c r="P71" s="2">
        <f t="shared" si="29"/>
        <v>0.84561252814421495</v>
      </c>
      <c r="Q71" s="2">
        <v>0.1229</v>
      </c>
      <c r="R71" s="2">
        <f t="shared" si="30"/>
        <v>0.19658367110596409</v>
      </c>
      <c r="S71" s="2">
        <f t="shared" si="31"/>
        <v>4.0665994479096371E-2</v>
      </c>
      <c r="T71" s="5">
        <f t="shared" si="32"/>
        <v>8.2049902862343899E-2</v>
      </c>
      <c r="U71" s="2" t="str">
        <f t="shared" si="33"/>
        <v>No Impact</v>
      </c>
      <c r="V71" s="2">
        <f t="shared" si="34"/>
        <v>1.5341200610071709E-2</v>
      </c>
      <c r="W71" s="2">
        <f t="shared" si="35"/>
        <v>2.763516730961826E-2</v>
      </c>
      <c r="X71" s="2" t="s">
        <v>1176</v>
      </c>
      <c r="Y71" s="2">
        <f t="shared" si="36"/>
        <v>6.5990788348121027E-2</v>
      </c>
      <c r="Z71" s="2">
        <f t="shared" si="37"/>
        <v>0.14002022357197322</v>
      </c>
      <c r="AA71" s="2" t="str">
        <f t="shared" si="38"/>
        <v>No Impact</v>
      </c>
      <c r="AB71" s="2">
        <f t="shared" si="39"/>
        <v>2.6332850233589215E-2</v>
      </c>
      <c r="AC71" s="2">
        <f t="shared" si="40"/>
        <v>7.3194845585030643E-2</v>
      </c>
      <c r="AD71" s="2" t="str">
        <f t="shared" si="41"/>
        <v>No Impact</v>
      </c>
      <c r="AE71" s="2">
        <f t="shared" si="42"/>
        <v>3.3319814732223263E-3</v>
      </c>
      <c r="AF71" s="2">
        <f t="shared" si="43"/>
        <v>1.7165493821376297E-2</v>
      </c>
      <c r="AG71" s="2" t="s">
        <v>1176</v>
      </c>
    </row>
    <row r="72" spans="1:33" s="11" customFormat="1" x14ac:dyDescent="0.3">
      <c r="A72" s="15">
        <v>201512</v>
      </c>
      <c r="B72" s="15" t="s">
        <v>162</v>
      </c>
      <c r="C72" s="15" t="s">
        <v>1154</v>
      </c>
      <c r="D72" s="15" t="s">
        <v>163</v>
      </c>
      <c r="E72" s="10">
        <v>5.8</v>
      </c>
      <c r="F72" s="19">
        <f t="shared" si="24"/>
        <v>0.57777777777777772</v>
      </c>
      <c r="G72" s="11">
        <v>70.001715599999997</v>
      </c>
      <c r="H72" s="11">
        <f t="shared" si="25"/>
        <v>0.37051654269065232</v>
      </c>
      <c r="I72" s="11">
        <v>8.1</v>
      </c>
      <c r="J72" s="12">
        <f t="shared" si="26"/>
        <v>3.9301310043668124E-2</v>
      </c>
      <c r="K72" s="11">
        <v>0</v>
      </c>
      <c r="L72" s="12">
        <f t="shared" si="27"/>
        <v>0</v>
      </c>
      <c r="M72" s="11">
        <v>21163</v>
      </c>
      <c r="N72" s="11">
        <f t="shared" si="28"/>
        <v>9.9000250765307329E-2</v>
      </c>
      <c r="O72" s="11">
        <v>0.61542324299999995</v>
      </c>
      <c r="P72" s="11">
        <f t="shared" si="29"/>
        <v>0.63348034406210707</v>
      </c>
      <c r="Q72" s="11">
        <v>0.32169999999999999</v>
      </c>
      <c r="R72" s="11">
        <f t="shared" si="30"/>
        <v>0.77214823393167342</v>
      </c>
      <c r="S72" s="11">
        <f t="shared" si="31"/>
        <v>5.8245225985957848E-2</v>
      </c>
      <c r="T72" s="13">
        <f t="shared" si="32"/>
        <v>0.11751870808913029</v>
      </c>
      <c r="U72" s="11" t="str">
        <f t="shared" si="33"/>
        <v>No Impact</v>
      </c>
      <c r="V72" s="11">
        <f t="shared" si="34"/>
        <v>6.3991226536100718E-2</v>
      </c>
      <c r="W72" s="11">
        <f t="shared" si="35"/>
        <v>0.11527182888879262</v>
      </c>
      <c r="X72" s="2" t="s">
        <v>1176</v>
      </c>
      <c r="Y72" s="11">
        <f t="shared" si="36"/>
        <v>5.2499225435814978E-2</v>
      </c>
      <c r="Z72" s="11">
        <f t="shared" si="37"/>
        <v>0.11139362730597749</v>
      </c>
      <c r="AA72" s="11" t="str">
        <f t="shared" si="38"/>
        <v>No Impact</v>
      </c>
      <c r="AB72" s="11">
        <f t="shared" si="39"/>
        <v>4.1018297886186855E-2</v>
      </c>
      <c r="AC72" s="11">
        <f t="shared" si="40"/>
        <v>0.11401454659513373</v>
      </c>
      <c r="AD72" s="11" t="str">
        <f t="shared" si="41"/>
        <v>No Impact</v>
      </c>
      <c r="AE72" s="11">
        <f t="shared" si="42"/>
        <v>8.2045741937346057E-3</v>
      </c>
      <c r="AF72" s="11">
        <f t="shared" si="43"/>
        <v>4.2267812339716916E-2</v>
      </c>
      <c r="AG72" s="2" t="s">
        <v>1175</v>
      </c>
    </row>
    <row r="73" spans="1:33" x14ac:dyDescent="0.3">
      <c r="A73">
        <v>201518</v>
      </c>
      <c r="B73" t="s">
        <v>164</v>
      </c>
      <c r="C73" t="s">
        <v>1154</v>
      </c>
      <c r="D73" t="s">
        <v>165</v>
      </c>
      <c r="E73" s="18">
        <v>5.7</v>
      </c>
      <c r="F73" s="19">
        <f t="shared" si="24"/>
        <v>0.55555555555555558</v>
      </c>
      <c r="G73" s="2">
        <v>66.647807999999998</v>
      </c>
      <c r="H73" s="2">
        <f t="shared" si="25"/>
        <v>0.33808955753975495</v>
      </c>
      <c r="I73" s="2">
        <v>6.6</v>
      </c>
      <c r="J73" s="4">
        <f t="shared" si="26"/>
        <v>3.2023289665211063E-2</v>
      </c>
      <c r="K73" s="2">
        <v>0</v>
      </c>
      <c r="L73" s="4">
        <f t="shared" si="27"/>
        <v>0</v>
      </c>
      <c r="M73" s="2">
        <v>25017</v>
      </c>
      <c r="N73" s="2">
        <f t="shared" si="28"/>
        <v>0.11723514688696163</v>
      </c>
      <c r="O73" s="2">
        <v>0.765131703</v>
      </c>
      <c r="P73" s="2">
        <f t="shared" si="29"/>
        <v>0.80642208016931283</v>
      </c>
      <c r="Q73" s="2">
        <v>0.32919999999999999</v>
      </c>
      <c r="R73" s="2">
        <f t="shared" si="30"/>
        <v>0.79386218876664738</v>
      </c>
      <c r="S73" s="2">
        <f t="shared" si="31"/>
        <v>5.7583338469339454E-2</v>
      </c>
      <c r="T73" s="5">
        <f t="shared" si="32"/>
        <v>0.11618324815165713</v>
      </c>
      <c r="U73" s="2" t="str">
        <f t="shared" si="33"/>
        <v>No Impact</v>
      </c>
      <c r="V73" s="2">
        <f t="shared" si="34"/>
        <v>5.7131393466931399E-2</v>
      </c>
      <c r="W73" s="2">
        <f t="shared" si="35"/>
        <v>0.10291473641598517</v>
      </c>
      <c r="X73" s="2" t="s">
        <v>1176</v>
      </c>
      <c r="Y73" s="2">
        <f t="shared" si="36"/>
        <v>5.8035283471747502E-2</v>
      </c>
      <c r="Z73" s="2">
        <f t="shared" si="37"/>
        <v>0.12314011652519231</v>
      </c>
      <c r="AA73" s="2" t="str">
        <f t="shared" si="38"/>
        <v>No Impact</v>
      </c>
      <c r="AB73" s="2">
        <f t="shared" si="39"/>
        <v>4.035951923597033E-2</v>
      </c>
      <c r="AC73" s="2">
        <f t="shared" si="40"/>
        <v>0.11218340408114158</v>
      </c>
      <c r="AD73" s="2" t="str">
        <f t="shared" si="41"/>
        <v>No Impact</v>
      </c>
      <c r="AE73" s="2">
        <f t="shared" si="42"/>
        <v>8.4369899457716786E-3</v>
      </c>
      <c r="AF73" s="2">
        <f t="shared" si="43"/>
        <v>4.3465157279250648E-2</v>
      </c>
      <c r="AG73" s="2" t="s">
        <v>1175</v>
      </c>
    </row>
    <row r="74" spans="1:33" x14ac:dyDescent="0.3">
      <c r="A74">
        <v>201519</v>
      </c>
      <c r="B74" t="s">
        <v>166</v>
      </c>
      <c r="C74" t="s">
        <v>1154</v>
      </c>
      <c r="D74" t="s">
        <v>167</v>
      </c>
      <c r="E74" s="18">
        <v>5.7</v>
      </c>
      <c r="F74" s="19">
        <f t="shared" si="24"/>
        <v>0.55555555555555558</v>
      </c>
      <c r="G74" s="2">
        <v>70.001715599999997</v>
      </c>
      <c r="H74" s="2">
        <f t="shared" si="25"/>
        <v>0.37051654269065232</v>
      </c>
      <c r="I74" s="2">
        <v>8.3000000000000007</v>
      </c>
      <c r="J74" s="4">
        <f t="shared" si="26"/>
        <v>4.0271712760795733E-2</v>
      </c>
      <c r="K74" s="2">
        <v>0</v>
      </c>
      <c r="L74" s="4">
        <f t="shared" si="27"/>
        <v>0</v>
      </c>
      <c r="M74" s="2">
        <v>16713</v>
      </c>
      <c r="N74" s="2">
        <f t="shared" si="28"/>
        <v>7.7945427791420038E-2</v>
      </c>
      <c r="O74" s="2">
        <v>0.71712173099999998</v>
      </c>
      <c r="P74" s="2">
        <f t="shared" si="29"/>
        <v>0.75096143413676175</v>
      </c>
      <c r="Q74" s="2">
        <v>0.19270000000000001</v>
      </c>
      <c r="R74" s="2">
        <f t="shared" si="30"/>
        <v>0.39866821077012166</v>
      </c>
      <c r="S74" s="2">
        <f t="shared" si="31"/>
        <v>4.5913617968416177E-2</v>
      </c>
      <c r="T74" s="5">
        <f t="shared" si="32"/>
        <v>9.2637790926366773E-2</v>
      </c>
      <c r="U74" s="2" t="str">
        <f t="shared" si="33"/>
        <v>No Impact</v>
      </c>
      <c r="V74" s="2">
        <f t="shared" si="34"/>
        <v>3.1843820323429424E-2</v>
      </c>
      <c r="W74" s="2">
        <f t="shared" si="35"/>
        <v>5.7362479298892433E-2</v>
      </c>
      <c r="X74" s="2" t="s">
        <v>1176</v>
      </c>
      <c r="Y74" s="2">
        <f t="shared" si="36"/>
        <v>5.9983415613402917E-2</v>
      </c>
      <c r="Z74" s="2">
        <f t="shared" si="37"/>
        <v>0.12727369190518859</v>
      </c>
      <c r="AA74" s="2" t="str">
        <f t="shared" si="38"/>
        <v>No Impact</v>
      </c>
      <c r="AB74" s="2">
        <f t="shared" si="39"/>
        <v>3.1319437142832085E-2</v>
      </c>
      <c r="AC74" s="2">
        <f t="shared" si="40"/>
        <v>8.7055572987520341E-2</v>
      </c>
      <c r="AD74" s="2" t="str">
        <f t="shared" si="41"/>
        <v>No Impact</v>
      </c>
      <c r="AE74" s="2">
        <f t="shared" si="42"/>
        <v>6.2259295588883269E-3</v>
      </c>
      <c r="AF74" s="2">
        <f t="shared" si="43"/>
        <v>3.2074354624807566E-2</v>
      </c>
      <c r="AG74" s="2" t="s">
        <v>1176</v>
      </c>
    </row>
    <row r="75" spans="1:33" x14ac:dyDescent="0.3">
      <c r="A75">
        <v>201520</v>
      </c>
      <c r="B75" t="s">
        <v>168</v>
      </c>
      <c r="C75" t="s">
        <v>1154</v>
      </c>
      <c r="D75" t="s">
        <v>169</v>
      </c>
      <c r="E75" s="18">
        <v>5.5</v>
      </c>
      <c r="F75" s="19">
        <f t="shared" si="24"/>
        <v>0.51111111111111107</v>
      </c>
      <c r="G75" s="2">
        <v>70.001715599999997</v>
      </c>
      <c r="H75" s="2">
        <f t="shared" si="25"/>
        <v>0.37051654269065232</v>
      </c>
      <c r="I75" s="2">
        <v>9.8000000000000007</v>
      </c>
      <c r="J75" s="4">
        <f t="shared" si="26"/>
        <v>4.7549733139252794E-2</v>
      </c>
      <c r="K75" s="2">
        <v>0</v>
      </c>
      <c r="L75" s="4">
        <f t="shared" si="27"/>
        <v>0</v>
      </c>
      <c r="M75" s="2">
        <v>10040</v>
      </c>
      <c r="N75" s="2">
        <f t="shared" si="28"/>
        <v>4.6372656172375126E-2</v>
      </c>
      <c r="O75" s="2">
        <v>0.51985339200000003</v>
      </c>
      <c r="P75" s="2">
        <f t="shared" si="29"/>
        <v>0.52307899499040478</v>
      </c>
      <c r="Q75" s="2">
        <v>0.13569999999999999</v>
      </c>
      <c r="R75" s="2">
        <f t="shared" si="30"/>
        <v>0.23364215402431962</v>
      </c>
      <c r="S75" s="2">
        <f t="shared" si="31"/>
        <v>2.8296608005700167E-2</v>
      </c>
      <c r="T75" s="5">
        <f t="shared" si="32"/>
        <v>5.709276185032109E-2</v>
      </c>
      <c r="U75" s="2" t="str">
        <f t="shared" si="33"/>
        <v>No Impact</v>
      </c>
      <c r="V75" s="2">
        <f t="shared" si="34"/>
        <v>1.7473491931979692E-2</v>
      </c>
      <c r="W75" s="2">
        <f t="shared" si="35"/>
        <v>3.1476211366827725E-2</v>
      </c>
      <c r="X75" s="2" t="s">
        <v>1176</v>
      </c>
      <c r="Y75" s="2">
        <f t="shared" si="36"/>
        <v>3.9119724079420645E-2</v>
      </c>
      <c r="Z75" s="2">
        <f t="shared" si="37"/>
        <v>8.3004804894565964E-2</v>
      </c>
      <c r="AA75" s="2" t="str">
        <f t="shared" si="38"/>
        <v>No Impact</v>
      </c>
      <c r="AB75" s="2">
        <f t="shared" si="39"/>
        <v>1.9065471222905132E-2</v>
      </c>
      <c r="AC75" s="2">
        <f t="shared" si="40"/>
        <v>5.2994423687047196E-2</v>
      </c>
      <c r="AD75" s="2" t="str">
        <f t="shared" si="41"/>
        <v>No Impact</v>
      </c>
      <c r="AE75" s="2">
        <f t="shared" si="42"/>
        <v>3.4680909225315664E-3</v>
      </c>
      <c r="AF75" s="2">
        <f t="shared" si="43"/>
        <v>1.7866693972074976E-2</v>
      </c>
      <c r="AG75" s="2" t="s">
        <v>1176</v>
      </c>
    </row>
    <row r="76" spans="1:33" x14ac:dyDescent="0.3">
      <c r="A76">
        <v>201528</v>
      </c>
      <c r="B76" t="s">
        <v>170</v>
      </c>
      <c r="C76" t="s">
        <v>1154</v>
      </c>
      <c r="D76" t="s">
        <v>171</v>
      </c>
      <c r="E76" s="18">
        <v>5.7</v>
      </c>
      <c r="F76" s="19">
        <f t="shared" si="24"/>
        <v>0.55555555555555558</v>
      </c>
      <c r="G76" s="2">
        <v>70.001715599999997</v>
      </c>
      <c r="H76" s="2">
        <f t="shared" si="25"/>
        <v>0.37051654269065232</v>
      </c>
      <c r="I76" s="2">
        <v>9.8000000000000007</v>
      </c>
      <c r="J76" s="4">
        <f t="shared" si="26"/>
        <v>4.7549733139252794E-2</v>
      </c>
      <c r="K76" s="2">
        <v>0</v>
      </c>
      <c r="L76" s="4">
        <f t="shared" si="27"/>
        <v>0</v>
      </c>
      <c r="M76" s="2">
        <v>11215</v>
      </c>
      <c r="N76" s="2">
        <f t="shared" si="28"/>
        <v>5.1932075721659969E-2</v>
      </c>
      <c r="O76" s="2">
        <v>0.81998052099999996</v>
      </c>
      <c r="P76" s="2">
        <f t="shared" si="29"/>
        <v>0.8697828936353531</v>
      </c>
      <c r="Q76" s="2">
        <v>0.10929999999999999</v>
      </c>
      <c r="R76" s="2">
        <f t="shared" si="30"/>
        <v>0.15720903300521133</v>
      </c>
      <c r="S76" s="2">
        <f t="shared" si="31"/>
        <v>4.1742428202027761E-2</v>
      </c>
      <c r="T76" s="5">
        <f t="shared" si="32"/>
        <v>8.4221773574854608E-2</v>
      </c>
      <c r="U76" s="2" t="str">
        <f t="shared" si="33"/>
        <v>No Impact</v>
      </c>
      <c r="V76" s="2">
        <f t="shared" si="34"/>
        <v>1.2779626796865704E-2</v>
      </c>
      <c r="W76" s="2">
        <f t="shared" si="35"/>
        <v>2.3020826965394453E-2</v>
      </c>
      <c r="X76" s="2" t="s">
        <v>1176</v>
      </c>
      <c r="Y76" s="2">
        <f t="shared" si="36"/>
        <v>7.0705229607189821E-2</v>
      </c>
      <c r="Z76" s="2">
        <f t="shared" si="37"/>
        <v>0.15002339425133276</v>
      </c>
      <c r="AA76" s="2" t="str">
        <f t="shared" si="38"/>
        <v>Low</v>
      </c>
      <c r="AB76" s="2">
        <f t="shared" si="39"/>
        <v>2.7161995796005051E-2</v>
      </c>
      <c r="AC76" s="2">
        <f t="shared" si="40"/>
        <v>7.5499540324498224E-2</v>
      </c>
      <c r="AD76" s="2" t="str">
        <f t="shared" si="41"/>
        <v>No Impact</v>
      </c>
      <c r="AE76" s="2">
        <f t="shared" si="42"/>
        <v>4.2215929569860301E-3</v>
      </c>
      <c r="AF76" s="2">
        <f t="shared" si="43"/>
        <v>2.1748538640411017E-2</v>
      </c>
      <c r="AG76" s="2" t="s">
        <v>1176</v>
      </c>
    </row>
    <row r="77" spans="1:33" x14ac:dyDescent="0.3">
      <c r="A77">
        <v>201533</v>
      </c>
      <c r="B77" t="s">
        <v>172</v>
      </c>
      <c r="C77" t="s">
        <v>1154</v>
      </c>
      <c r="D77" t="s">
        <v>173</v>
      </c>
      <c r="E77" s="18">
        <v>5.6</v>
      </c>
      <c r="F77" s="19">
        <f t="shared" si="24"/>
        <v>0.53333333333333321</v>
      </c>
      <c r="G77" s="2">
        <v>67.623116400000001</v>
      </c>
      <c r="H77" s="2">
        <f t="shared" si="25"/>
        <v>0.347519248150297</v>
      </c>
      <c r="I77" s="2">
        <v>8.6999999999999993</v>
      </c>
      <c r="J77" s="4">
        <f t="shared" si="26"/>
        <v>4.2212518195050945E-2</v>
      </c>
      <c r="K77" s="2">
        <v>0</v>
      </c>
      <c r="L77" s="4">
        <f t="shared" si="27"/>
        <v>0</v>
      </c>
      <c r="M77" s="2">
        <v>78242</v>
      </c>
      <c r="N77" s="2">
        <f t="shared" si="28"/>
        <v>0.36906502391733259</v>
      </c>
      <c r="O77" s="2">
        <v>0.63255740699999996</v>
      </c>
      <c r="P77" s="2">
        <f t="shared" si="29"/>
        <v>0.65327356128513892</v>
      </c>
      <c r="Q77" s="2">
        <v>0.33129999999999998</v>
      </c>
      <c r="R77" s="2">
        <f t="shared" si="30"/>
        <v>0.79994209612044009</v>
      </c>
      <c r="S77" s="2">
        <f t="shared" si="31"/>
        <v>5.2860668470529927E-2</v>
      </c>
      <c r="T77" s="5">
        <f t="shared" si="32"/>
        <v>0.10665453455158984</v>
      </c>
      <c r="U77" s="2" t="str">
        <f t="shared" si="33"/>
        <v>No Impact</v>
      </c>
      <c r="V77" s="2">
        <f t="shared" si="34"/>
        <v>5.8195731271070236E-2</v>
      </c>
      <c r="W77" s="2">
        <f t="shared" si="35"/>
        <v>0.10483200182688256</v>
      </c>
      <c r="X77" s="2" t="s">
        <v>1176</v>
      </c>
      <c r="Y77" s="2">
        <f t="shared" si="36"/>
        <v>4.7525605669989625E-2</v>
      </c>
      <c r="Z77" s="2">
        <f t="shared" si="37"/>
        <v>0.10084052786580873</v>
      </c>
      <c r="AA77" s="2" t="str">
        <f t="shared" si="38"/>
        <v>No Impact</v>
      </c>
      <c r="AB77" s="2">
        <f t="shared" si="39"/>
        <v>4.4023496738820687E-2</v>
      </c>
      <c r="AC77" s="2">
        <f t="shared" si="40"/>
        <v>0.12236780361135544</v>
      </c>
      <c r="AD77" s="2" t="str">
        <f t="shared" si="41"/>
        <v>No Impact</v>
      </c>
      <c r="AE77" s="2">
        <f t="shared" si="42"/>
        <v>2.6849454551283479E-2</v>
      </c>
      <c r="AF77" s="2">
        <f t="shared" si="43"/>
        <v>0.13832134119331216</v>
      </c>
      <c r="AG77" s="2" t="s">
        <v>1175</v>
      </c>
    </row>
    <row r="78" spans="1:33" x14ac:dyDescent="0.3">
      <c r="A78">
        <v>201535</v>
      </c>
      <c r="B78" t="s">
        <v>174</v>
      </c>
      <c r="C78" t="s">
        <v>1154</v>
      </c>
      <c r="D78" t="s">
        <v>175</v>
      </c>
      <c r="E78" s="18">
        <v>5.7</v>
      </c>
      <c r="F78" s="19">
        <f t="shared" si="24"/>
        <v>0.55555555555555558</v>
      </c>
      <c r="G78" s="2">
        <v>70.001715599999997</v>
      </c>
      <c r="H78" s="2">
        <f t="shared" si="25"/>
        <v>0.37051654269065232</v>
      </c>
      <c r="I78" s="2">
        <v>9.8000000000000007</v>
      </c>
      <c r="J78" s="4">
        <f t="shared" si="26"/>
        <v>4.7549733139252794E-2</v>
      </c>
      <c r="K78" s="2">
        <v>0</v>
      </c>
      <c r="L78" s="4">
        <f t="shared" si="27"/>
        <v>0</v>
      </c>
      <c r="M78" s="2">
        <v>11544</v>
      </c>
      <c r="N78" s="2">
        <f t="shared" si="28"/>
        <v>5.3488713195459732E-2</v>
      </c>
      <c r="O78" s="2">
        <v>0.65034656700000004</v>
      </c>
      <c r="P78" s="2">
        <f t="shared" si="29"/>
        <v>0.67382342342578794</v>
      </c>
      <c r="Q78" s="2">
        <v>0.16689999999999999</v>
      </c>
      <c r="R78" s="2">
        <f t="shared" si="30"/>
        <v>0.32397220613781125</v>
      </c>
      <c r="S78" s="2">
        <f t="shared" si="31"/>
        <v>4.0555735003292584E-2</v>
      </c>
      <c r="T78" s="5">
        <f t="shared" si="32"/>
        <v>8.1827437399609335E-2</v>
      </c>
      <c r="U78" s="2" t="str">
        <f t="shared" si="33"/>
        <v>No Impact</v>
      </c>
      <c r="V78" s="2">
        <f t="shared" si="34"/>
        <v>2.6335915995750876E-2</v>
      </c>
      <c r="W78" s="2">
        <f t="shared" si="35"/>
        <v>4.7440709713216199E-2</v>
      </c>
      <c r="X78" s="2" t="s">
        <v>1176</v>
      </c>
      <c r="Y78" s="2">
        <f t="shared" si="36"/>
        <v>5.4775554010834303E-2</v>
      </c>
      <c r="Z78" s="2">
        <f t="shared" si="37"/>
        <v>0.1162235746967568</v>
      </c>
      <c r="AA78" s="2" t="str">
        <f t="shared" si="38"/>
        <v>No Impact</v>
      </c>
      <c r="AB78" s="2">
        <f t="shared" si="39"/>
        <v>2.71720833699623E-2</v>
      </c>
      <c r="AC78" s="2">
        <f t="shared" si="40"/>
        <v>7.5527579766168168E-2</v>
      </c>
      <c r="AD78" s="2" t="str">
        <f t="shared" si="41"/>
        <v>No Impact</v>
      </c>
      <c r="AE78" s="2">
        <f t="shared" si="42"/>
        <v>4.3481330519977296E-3</v>
      </c>
      <c r="AF78" s="2">
        <f t="shared" si="43"/>
        <v>2.240043998996416E-2</v>
      </c>
      <c r="AG78" s="2" t="s">
        <v>1176</v>
      </c>
    </row>
    <row r="79" spans="1:33" x14ac:dyDescent="0.3">
      <c r="A79">
        <v>201537</v>
      </c>
      <c r="B79" t="s">
        <v>176</v>
      </c>
      <c r="C79" t="s">
        <v>1154</v>
      </c>
      <c r="D79" t="s">
        <v>177</v>
      </c>
      <c r="E79" s="18">
        <v>5.8</v>
      </c>
      <c r="F79" s="19">
        <f t="shared" si="24"/>
        <v>0.57777777777777772</v>
      </c>
      <c r="G79" s="2">
        <v>65.956708800000001</v>
      </c>
      <c r="H79" s="2">
        <f t="shared" si="25"/>
        <v>0.33140772065903801</v>
      </c>
      <c r="I79" s="2">
        <v>6.7</v>
      </c>
      <c r="J79" s="4">
        <f t="shared" si="26"/>
        <v>3.2508491023774871E-2</v>
      </c>
      <c r="K79" s="2">
        <v>0</v>
      </c>
      <c r="L79" s="4">
        <f t="shared" si="27"/>
        <v>0</v>
      </c>
      <c r="M79" s="2">
        <v>46431</v>
      </c>
      <c r="N79" s="2">
        <f t="shared" si="28"/>
        <v>0.21855379388984306</v>
      </c>
      <c r="O79" s="2">
        <v>0.53333786000000005</v>
      </c>
      <c r="P79" s="2">
        <f t="shared" si="29"/>
        <v>0.53865611939875202</v>
      </c>
      <c r="Q79" s="2">
        <v>0.32429999999999998</v>
      </c>
      <c r="R79" s="2">
        <f t="shared" si="30"/>
        <v>0.77967573827446435</v>
      </c>
      <c r="S79" s="2">
        <f t="shared" si="31"/>
        <v>4.8509302800059322E-2</v>
      </c>
      <c r="T79" s="5">
        <f t="shared" si="32"/>
        <v>9.7874984582286231E-2</v>
      </c>
      <c r="U79" s="2" t="str">
        <f t="shared" si="33"/>
        <v>No Impact</v>
      </c>
      <c r="V79" s="2">
        <f t="shared" si="34"/>
        <v>5.7377854071688314E-2</v>
      </c>
      <c r="W79" s="2">
        <f t="shared" si="35"/>
        <v>0.10335870297510932</v>
      </c>
      <c r="X79" s="2" t="s">
        <v>1176</v>
      </c>
      <c r="Y79" s="2">
        <f t="shared" si="36"/>
        <v>3.9640751528430322E-2</v>
      </c>
      <c r="Z79" s="2">
        <f t="shared" si="37"/>
        <v>8.4110328585427385E-2</v>
      </c>
      <c r="AA79" s="2" t="str">
        <f t="shared" si="38"/>
        <v>No Impact</v>
      </c>
      <c r="AB79" s="2">
        <f t="shared" si="39"/>
        <v>3.7603803958671876E-2</v>
      </c>
      <c r="AC79" s="2">
        <f t="shared" si="40"/>
        <v>0.10452361213272257</v>
      </c>
      <c r="AD79" s="2" t="str">
        <f t="shared" si="41"/>
        <v>No Impact</v>
      </c>
      <c r="AE79" s="2">
        <f t="shared" si="42"/>
        <v>1.6083798785862479E-2</v>
      </c>
      <c r="AF79" s="2">
        <f t="shared" si="43"/>
        <v>8.285950894438246E-2</v>
      </c>
      <c r="AG79" s="2" t="s">
        <v>1175</v>
      </c>
    </row>
    <row r="80" spans="1:33" x14ac:dyDescent="0.3">
      <c r="A80">
        <v>201539</v>
      </c>
      <c r="B80" t="s">
        <v>1170</v>
      </c>
      <c r="C80" t="s">
        <v>1154</v>
      </c>
      <c r="D80" s="9" t="s">
        <v>1162</v>
      </c>
      <c r="E80" s="20">
        <v>5.6</v>
      </c>
      <c r="F80" s="19">
        <f t="shared" si="24"/>
        <v>0.53333333333333321</v>
      </c>
      <c r="G80" s="11">
        <v>70.001715599999997</v>
      </c>
      <c r="H80" s="2">
        <f t="shared" si="25"/>
        <v>0.37051654269065232</v>
      </c>
      <c r="I80" s="11">
        <v>8.1</v>
      </c>
      <c r="J80" s="4">
        <f t="shared" si="26"/>
        <v>3.9301310043668124E-2</v>
      </c>
      <c r="K80" s="2">
        <v>0</v>
      </c>
      <c r="L80" s="4">
        <f t="shared" si="27"/>
        <v>0</v>
      </c>
      <c r="M80" s="2">
        <v>12037</v>
      </c>
      <c r="N80" s="2">
        <f t="shared" si="28"/>
        <v>5.5821303695712858E-2</v>
      </c>
      <c r="O80" s="2">
        <v>0.61542324299999995</v>
      </c>
      <c r="P80" s="2">
        <f t="shared" si="29"/>
        <v>0.63348034406210707</v>
      </c>
      <c r="Q80" s="2">
        <v>0.32169999999999999</v>
      </c>
      <c r="R80" s="2">
        <f t="shared" si="30"/>
        <v>0.77214823393167342</v>
      </c>
      <c r="S80" s="2">
        <f t="shared" si="31"/>
        <v>5.376482398703801E-2</v>
      </c>
      <c r="T80" s="5">
        <f t="shared" si="32"/>
        <v>0.10847880746688948</v>
      </c>
      <c r="U80" s="2" t="str">
        <f t="shared" si="33"/>
        <v>No Impact</v>
      </c>
      <c r="V80" s="2">
        <f t="shared" si="34"/>
        <v>5.9068824494862199E-2</v>
      </c>
      <c r="W80" s="2">
        <f t="shared" si="35"/>
        <v>0.10640476512811627</v>
      </c>
      <c r="X80" s="2" t="s">
        <v>1176</v>
      </c>
      <c r="Y80" s="2">
        <f t="shared" si="36"/>
        <v>4.8460823479213815E-2</v>
      </c>
      <c r="Z80" s="2">
        <f t="shared" si="37"/>
        <v>0.1028248867439792</v>
      </c>
      <c r="AA80" s="2" t="str">
        <f t="shared" si="38"/>
        <v>No Impact</v>
      </c>
      <c r="AB80" s="2">
        <f t="shared" si="39"/>
        <v>3.6706937982369861E-2</v>
      </c>
      <c r="AC80" s="2">
        <f t="shared" si="40"/>
        <v>0.1020306815891782</v>
      </c>
      <c r="AD80" s="2" t="str">
        <f t="shared" si="41"/>
        <v>No Impact</v>
      </c>
      <c r="AE80" s="2">
        <f t="shared" si="42"/>
        <v>4.2702924725827188E-3</v>
      </c>
      <c r="AF80" s="2">
        <f t="shared" si="43"/>
        <v>2.1999425759921483E-2</v>
      </c>
      <c r="AG80" s="2" t="s">
        <v>1176</v>
      </c>
    </row>
    <row r="81" spans="1:33" x14ac:dyDescent="0.3">
      <c r="A81">
        <v>201541</v>
      </c>
      <c r="B81" t="s">
        <v>178</v>
      </c>
      <c r="C81" t="s">
        <v>1154</v>
      </c>
      <c r="D81" t="s">
        <v>1129</v>
      </c>
      <c r="E81" s="18">
        <v>5.7</v>
      </c>
      <c r="F81" s="19">
        <f t="shared" si="24"/>
        <v>0.55555555555555558</v>
      </c>
      <c r="G81" s="2">
        <v>70.001715599999997</v>
      </c>
      <c r="H81" s="2">
        <f t="shared" si="25"/>
        <v>0.37051654269065232</v>
      </c>
      <c r="I81" s="2">
        <v>9.8000000000000007</v>
      </c>
      <c r="J81" s="4">
        <f t="shared" si="26"/>
        <v>4.7549733139252794E-2</v>
      </c>
      <c r="K81" s="2">
        <v>0</v>
      </c>
      <c r="L81" s="4">
        <f t="shared" si="27"/>
        <v>0</v>
      </c>
      <c r="M81" s="2">
        <v>9508</v>
      </c>
      <c r="N81" s="2">
        <f t="shared" si="28"/>
        <v>4.385554025729467E-2</v>
      </c>
      <c r="O81" s="2">
        <v>0.65585028999999995</v>
      </c>
      <c r="P81" s="2">
        <f t="shared" si="29"/>
        <v>0.680181269940762</v>
      </c>
      <c r="Q81" s="2">
        <v>7.8E-2</v>
      </c>
      <c r="R81" s="2">
        <f t="shared" si="30"/>
        <v>6.6589461493920088E-2</v>
      </c>
      <c r="S81" s="2">
        <f t="shared" si="31"/>
        <v>3.0352744585106974E-2</v>
      </c>
      <c r="T81" s="5">
        <f t="shared" si="32"/>
        <v>6.1241333864187883E-2</v>
      </c>
      <c r="U81" s="2" t="str">
        <f t="shared" si="33"/>
        <v>No Impact</v>
      </c>
      <c r="V81" s="2">
        <f t="shared" si="34"/>
        <v>5.4131015898326185E-3</v>
      </c>
      <c r="W81" s="2">
        <f t="shared" si="35"/>
        <v>9.7509948472204854E-3</v>
      </c>
      <c r="X81" s="2" t="s">
        <v>1176</v>
      </c>
      <c r="Y81" s="2">
        <f t="shared" si="36"/>
        <v>5.5292387580381332E-2</v>
      </c>
      <c r="Z81" s="2">
        <f t="shared" si="37"/>
        <v>0.11732019975260123</v>
      </c>
      <c r="AA81" s="2" t="str">
        <f t="shared" si="38"/>
        <v>No Impact</v>
      </c>
      <c r="AB81" s="2">
        <f t="shared" si="39"/>
        <v>1.9730067937644574E-2</v>
      </c>
      <c r="AC81" s="2">
        <f t="shared" si="40"/>
        <v>5.4841738105355857E-2</v>
      </c>
      <c r="AD81" s="2" t="str">
        <f t="shared" si="41"/>
        <v>No Impact</v>
      </c>
      <c r="AE81" s="2">
        <f t="shared" si="42"/>
        <v>3.5650460202536005E-3</v>
      </c>
      <c r="AF81" s="2">
        <f t="shared" si="43"/>
        <v>1.8366181182395205E-2</v>
      </c>
      <c r="AG81" s="2" t="s">
        <v>1176</v>
      </c>
    </row>
    <row r="82" spans="1:33" x14ac:dyDescent="0.3">
      <c r="A82">
        <v>201543</v>
      </c>
      <c r="B82" t="s">
        <v>179</v>
      </c>
      <c r="C82" t="s">
        <v>1154</v>
      </c>
      <c r="D82" t="s">
        <v>180</v>
      </c>
      <c r="E82" s="18">
        <v>5.3</v>
      </c>
      <c r="F82" s="19">
        <f t="shared" si="24"/>
        <v>0.46666666666666656</v>
      </c>
      <c r="G82" s="2">
        <v>70.001715599999997</v>
      </c>
      <c r="H82" s="2">
        <f t="shared" si="25"/>
        <v>0.37051654269065232</v>
      </c>
      <c r="I82" s="2">
        <v>9.5</v>
      </c>
      <c r="J82" s="4">
        <f t="shared" si="26"/>
        <v>4.6094129063561376E-2</v>
      </c>
      <c r="K82" s="2">
        <v>0</v>
      </c>
      <c r="L82" s="4">
        <f t="shared" si="27"/>
        <v>0</v>
      </c>
      <c r="M82" s="2">
        <v>12037</v>
      </c>
      <c r="N82" s="2">
        <f t="shared" si="28"/>
        <v>5.5821303695712858E-2</v>
      </c>
      <c r="O82" s="2">
        <v>0.70920560399999999</v>
      </c>
      <c r="P82" s="2">
        <f t="shared" si="29"/>
        <v>0.7418168023195274</v>
      </c>
      <c r="Q82" s="2">
        <v>0.2762</v>
      </c>
      <c r="R82" s="2">
        <f t="shared" si="30"/>
        <v>0.64041690793283157</v>
      </c>
      <c r="S82" s="2">
        <f t="shared" si="31"/>
        <v>4.7028020688213601E-2</v>
      </c>
      <c r="T82" s="5">
        <f t="shared" si="32"/>
        <v>9.488626993395409E-2</v>
      </c>
      <c r="U82" s="2" t="str">
        <f t="shared" si="33"/>
        <v>No Impact</v>
      </c>
      <c r="V82" s="2">
        <f t="shared" si="34"/>
        <v>4.3578071308720032E-2</v>
      </c>
      <c r="W82" s="2">
        <f t="shared" si="35"/>
        <v>7.8500198404049426E-2</v>
      </c>
      <c r="X82" s="2" t="s">
        <v>1176</v>
      </c>
      <c r="Y82" s="2">
        <f t="shared" si="36"/>
        <v>5.0477970067707156E-2</v>
      </c>
      <c r="Z82" s="2">
        <f t="shared" si="37"/>
        <v>0.10710489799052347</v>
      </c>
      <c r="AA82" s="2" t="str">
        <f t="shared" si="38"/>
        <v>No Impact</v>
      </c>
      <c r="AB82" s="2">
        <f t="shared" si="39"/>
        <v>3.1725169734195383E-2</v>
      </c>
      <c r="AC82" s="2">
        <f t="shared" si="40"/>
        <v>8.8183348147072557E-2</v>
      </c>
      <c r="AD82" s="2" t="str">
        <f t="shared" si="41"/>
        <v>No Impact</v>
      </c>
      <c r="AE82" s="2">
        <f t="shared" si="42"/>
        <v>3.7984393023749266E-3</v>
      </c>
      <c r="AF82" s="2">
        <f t="shared" si="43"/>
        <v>1.9568562100296855E-2</v>
      </c>
      <c r="AG82" s="2" t="s">
        <v>1176</v>
      </c>
    </row>
    <row r="83" spans="1:33" x14ac:dyDescent="0.3">
      <c r="A83">
        <v>201547</v>
      </c>
      <c r="B83" t="s">
        <v>181</v>
      </c>
      <c r="C83" t="s">
        <v>1154</v>
      </c>
      <c r="D83" t="s">
        <v>1130</v>
      </c>
      <c r="E83" s="18">
        <v>5.7</v>
      </c>
      <c r="F83" s="19">
        <f t="shared" si="24"/>
        <v>0.55555555555555558</v>
      </c>
      <c r="G83" s="2">
        <v>68.697421199999994</v>
      </c>
      <c r="H83" s="2">
        <f t="shared" si="25"/>
        <v>0.35790607747056136</v>
      </c>
      <c r="I83" s="2">
        <v>9.3000000000000007</v>
      </c>
      <c r="J83" s="4">
        <f t="shared" si="26"/>
        <v>4.5123726346433773E-2</v>
      </c>
      <c r="K83" s="2">
        <v>0</v>
      </c>
      <c r="L83" s="4">
        <f t="shared" si="27"/>
        <v>0</v>
      </c>
      <c r="M83" s="2">
        <v>21502</v>
      </c>
      <c r="N83" s="2">
        <f t="shared" si="28"/>
        <v>0.10060420244803717</v>
      </c>
      <c r="O83" s="2">
        <v>0.74926095999999998</v>
      </c>
      <c r="P83" s="2">
        <f t="shared" si="29"/>
        <v>0.7880883544217413</v>
      </c>
      <c r="Q83" s="2">
        <v>0.2964</v>
      </c>
      <c r="R83" s="2">
        <f t="shared" si="30"/>
        <v>0.69889982628836134</v>
      </c>
      <c r="S83" s="2">
        <f t="shared" si="31"/>
        <v>5.8265331711784482E-2</v>
      </c>
      <c r="T83" s="5">
        <f t="shared" si="32"/>
        <v>0.11755927448550602</v>
      </c>
      <c r="U83" s="2" t="str">
        <f t="shared" si="33"/>
        <v>No Impact</v>
      </c>
      <c r="V83" s="2">
        <f t="shared" si="34"/>
        <v>5.4770617198253109E-2</v>
      </c>
      <c r="W83" s="2">
        <f t="shared" si="35"/>
        <v>9.8662106597516494E-2</v>
      </c>
      <c r="X83" s="2" t="s">
        <v>1176</v>
      </c>
      <c r="Y83" s="2">
        <f t="shared" si="36"/>
        <v>6.1760046225315855E-2</v>
      </c>
      <c r="Z83" s="2">
        <f t="shared" si="37"/>
        <v>0.13104337282144854</v>
      </c>
      <c r="AA83" s="2" t="str">
        <f t="shared" si="38"/>
        <v>No Impact</v>
      </c>
      <c r="AB83" s="2">
        <f t="shared" si="39"/>
        <v>4.0457143924225128E-2</v>
      </c>
      <c r="AC83" s="2">
        <f t="shared" si="40"/>
        <v>0.11245476186879884</v>
      </c>
      <c r="AD83" s="2" t="str">
        <f t="shared" si="41"/>
        <v>No Impact</v>
      </c>
      <c r="AE83" s="2">
        <f t="shared" si="42"/>
        <v>7.8840401064051054E-3</v>
      </c>
      <c r="AF83" s="2">
        <f t="shared" si="43"/>
        <v>4.0616504870028623E-2</v>
      </c>
      <c r="AG83" s="2" t="s">
        <v>1175</v>
      </c>
    </row>
    <row r="84" spans="1:33" x14ac:dyDescent="0.3">
      <c r="A84">
        <v>201553</v>
      </c>
      <c r="B84" t="s">
        <v>182</v>
      </c>
      <c r="C84" t="s">
        <v>1154</v>
      </c>
      <c r="D84" t="s">
        <v>183</v>
      </c>
      <c r="E84" s="18">
        <v>5.8</v>
      </c>
      <c r="F84" s="19">
        <f t="shared" si="24"/>
        <v>0.57777777777777772</v>
      </c>
      <c r="G84" s="2">
        <v>67.623116400000001</v>
      </c>
      <c r="H84" s="2">
        <f t="shared" si="25"/>
        <v>0.347519248150297</v>
      </c>
      <c r="I84" s="2">
        <v>9.3000000000000007</v>
      </c>
      <c r="J84" s="4">
        <f t="shared" si="26"/>
        <v>4.5123726346433773E-2</v>
      </c>
      <c r="K84" s="2">
        <v>0</v>
      </c>
      <c r="L84" s="4">
        <f t="shared" si="27"/>
        <v>0</v>
      </c>
      <c r="M84" s="2">
        <v>64375</v>
      </c>
      <c r="N84" s="2">
        <f t="shared" si="28"/>
        <v>0.30345441039398541</v>
      </c>
      <c r="O84" s="2">
        <v>0.72666092900000001</v>
      </c>
      <c r="P84" s="2">
        <f t="shared" si="29"/>
        <v>0.76198102156148284</v>
      </c>
      <c r="Q84" s="2">
        <v>0.30530000000000002</v>
      </c>
      <c r="R84" s="2">
        <f t="shared" si="30"/>
        <v>0.72466705269253051</v>
      </c>
      <c r="S84" s="2">
        <f t="shared" si="31"/>
        <v>5.9020772103720934E-2</v>
      </c>
      <c r="T84" s="5">
        <f t="shared" si="32"/>
        <v>0.11908349174788081</v>
      </c>
      <c r="U84" s="2" t="str">
        <f t="shared" si="33"/>
        <v>No Impact</v>
      </c>
      <c r="V84" s="2">
        <f t="shared" si="34"/>
        <v>5.7539386366881461E-2</v>
      </c>
      <c r="W84" s="2">
        <f t="shared" si="35"/>
        <v>0.103649682287422</v>
      </c>
      <c r="X84" s="2" t="s">
        <v>1176</v>
      </c>
      <c r="Y84" s="2">
        <f t="shared" si="36"/>
        <v>6.0502157840560421E-2</v>
      </c>
      <c r="Z84" s="2">
        <f t="shared" si="37"/>
        <v>0.1283743667787732</v>
      </c>
      <c r="AA84" s="2" t="str">
        <f t="shared" si="38"/>
        <v>No Impact</v>
      </c>
      <c r="AB84" s="2">
        <f t="shared" si="39"/>
        <v>4.6722551175980377E-2</v>
      </c>
      <c r="AC84" s="2">
        <f t="shared" si="40"/>
        <v>0.12987010097001733</v>
      </c>
      <c r="AD84" s="2" t="str">
        <f t="shared" si="41"/>
        <v>No Impact</v>
      </c>
      <c r="AE84" s="2">
        <f t="shared" si="42"/>
        <v>2.4094624558296425E-2</v>
      </c>
      <c r="AF84" s="2">
        <f t="shared" si="43"/>
        <v>0.12412918028137598</v>
      </c>
      <c r="AG84" s="2" t="s">
        <v>1175</v>
      </c>
    </row>
    <row r="85" spans="1:33" x14ac:dyDescent="0.3">
      <c r="A85">
        <v>201555</v>
      </c>
      <c r="B85" t="s">
        <v>184</v>
      </c>
      <c r="C85" t="s">
        <v>1154</v>
      </c>
      <c r="D85" t="s">
        <v>185</v>
      </c>
      <c r="E85" s="18">
        <v>5.8</v>
      </c>
      <c r="F85" s="19">
        <f t="shared" si="24"/>
        <v>0.57777777777777772</v>
      </c>
      <c r="G85" s="2">
        <v>70.001715599999997</v>
      </c>
      <c r="H85" s="2">
        <f t="shared" si="25"/>
        <v>0.37051654269065232</v>
      </c>
      <c r="I85" s="2">
        <v>9.5</v>
      </c>
      <c r="J85" s="4">
        <f t="shared" si="26"/>
        <v>4.6094129063561376E-2</v>
      </c>
      <c r="K85" s="2">
        <v>0</v>
      </c>
      <c r="L85" s="4">
        <f t="shared" si="27"/>
        <v>0</v>
      </c>
      <c r="M85" s="2">
        <v>9603</v>
      </c>
      <c r="N85" s="2">
        <f t="shared" si="28"/>
        <v>4.4305025242130466E-2</v>
      </c>
      <c r="O85" s="2">
        <v>0.46336362800000003</v>
      </c>
      <c r="P85" s="2">
        <f t="shared" si="29"/>
        <v>0.45782257689321554</v>
      </c>
      <c r="Q85" s="2">
        <v>0.23749999999999999</v>
      </c>
      <c r="R85" s="2">
        <f t="shared" si="30"/>
        <v>0.52837290098436596</v>
      </c>
      <c r="S85" s="2">
        <f t="shared" si="31"/>
        <v>4.154246667475419E-2</v>
      </c>
      <c r="T85" s="5">
        <f t="shared" si="32"/>
        <v>8.3818320417021822E-2</v>
      </c>
      <c r="U85" s="2" t="str">
        <f t="shared" si="33"/>
        <v>No Impact</v>
      </c>
      <c r="V85" s="2">
        <f t="shared" si="34"/>
        <v>4.4514326263643461E-2</v>
      </c>
      <c r="W85" s="2">
        <f t="shared" si="35"/>
        <v>8.018673930664226E-2</v>
      </c>
      <c r="X85" s="2" t="s">
        <v>1176</v>
      </c>
      <c r="Y85" s="2">
        <f t="shared" si="36"/>
        <v>3.8570607085864926E-2</v>
      </c>
      <c r="Z85" s="2">
        <f t="shared" si="37"/>
        <v>8.1839680395685344E-2</v>
      </c>
      <c r="AA85" s="2" t="str">
        <f t="shared" si="38"/>
        <v>No Impact</v>
      </c>
      <c r="AB85" s="2">
        <f t="shared" si="39"/>
        <v>2.8457608741486975E-2</v>
      </c>
      <c r="AC85" s="2">
        <f t="shared" si="40"/>
        <v>7.9100828777563262E-2</v>
      </c>
      <c r="AD85" s="2" t="str">
        <f t="shared" si="41"/>
        <v>No Impact</v>
      </c>
      <c r="AE85" s="2">
        <f t="shared" si="42"/>
        <v>3.7326069241494088E-3</v>
      </c>
      <c r="AF85" s="2">
        <f t="shared" si="43"/>
        <v>1.9229410970328605E-2</v>
      </c>
      <c r="AG85" s="2" t="s">
        <v>1176</v>
      </c>
    </row>
    <row r="86" spans="1:33" x14ac:dyDescent="0.3">
      <c r="A86">
        <v>201557</v>
      </c>
      <c r="B86" t="s">
        <v>186</v>
      </c>
      <c r="C86" t="s">
        <v>1154</v>
      </c>
      <c r="D86" t="s">
        <v>187</v>
      </c>
      <c r="E86" s="18">
        <v>5.7</v>
      </c>
      <c r="F86" s="19">
        <f t="shared" si="24"/>
        <v>0.55555555555555558</v>
      </c>
      <c r="G86" s="2">
        <v>70.001715599999997</v>
      </c>
      <c r="H86" s="2">
        <f t="shared" si="25"/>
        <v>0.37051654269065232</v>
      </c>
      <c r="I86" s="2">
        <v>9.5</v>
      </c>
      <c r="J86" s="4">
        <f t="shared" si="26"/>
        <v>4.6094129063561376E-2</v>
      </c>
      <c r="K86" s="2">
        <v>0</v>
      </c>
      <c r="L86" s="4">
        <f t="shared" si="27"/>
        <v>0</v>
      </c>
      <c r="M86" s="2">
        <v>8383</v>
      </c>
      <c r="N86" s="2">
        <f t="shared" si="28"/>
        <v>3.8532691752660241E-2</v>
      </c>
      <c r="O86" s="2">
        <v>0.55080065499999997</v>
      </c>
      <c r="P86" s="2">
        <f t="shared" si="29"/>
        <v>0.55882896791101522</v>
      </c>
      <c r="Q86" s="2">
        <v>0.23749999999999999</v>
      </c>
      <c r="R86" s="2">
        <f t="shared" si="30"/>
        <v>0.52837290098436596</v>
      </c>
      <c r="S86" s="2">
        <f t="shared" si="31"/>
        <v>4.4035823701813741E-2</v>
      </c>
      <c r="T86" s="5">
        <f t="shared" si="32"/>
        <v>8.8849051977675994E-2</v>
      </c>
      <c r="U86" s="2" t="str">
        <f t="shared" si="33"/>
        <v>No Impact</v>
      </c>
      <c r="V86" s="2">
        <f t="shared" si="34"/>
        <v>4.2802236791964869E-2</v>
      </c>
      <c r="W86" s="2">
        <f t="shared" si="35"/>
        <v>7.7102633948694488E-2</v>
      </c>
      <c r="X86" s="2" t="s">
        <v>1176</v>
      </c>
      <c r="Y86" s="2">
        <f t="shared" si="36"/>
        <v>4.5269410611662605E-2</v>
      </c>
      <c r="Z86" s="2">
        <f t="shared" si="37"/>
        <v>9.6053300066340788E-2</v>
      </c>
      <c r="AA86" s="2" t="str">
        <f t="shared" si="38"/>
        <v>No Impact</v>
      </c>
      <c r="AB86" s="2">
        <f t="shared" si="39"/>
        <v>2.9654110781774146E-2</v>
      </c>
      <c r="AC86" s="2">
        <f t="shared" si="40"/>
        <v>8.2426628351256304E-2</v>
      </c>
      <c r="AD86" s="2" t="str">
        <f t="shared" si="41"/>
        <v>No Impact</v>
      </c>
      <c r="AE86" s="2">
        <f t="shared" si="42"/>
        <v>3.1214420602504673E-3</v>
      </c>
      <c r="AF86" s="2">
        <f t="shared" si="43"/>
        <v>1.6080850037619134E-2</v>
      </c>
      <c r="AG86" s="2" t="s">
        <v>1176</v>
      </c>
    </row>
    <row r="87" spans="1:33" x14ac:dyDescent="0.3">
      <c r="A87">
        <v>201561</v>
      </c>
      <c r="B87" t="s">
        <v>188</v>
      </c>
      <c r="C87" t="s">
        <v>1154</v>
      </c>
      <c r="D87" t="s">
        <v>189</v>
      </c>
      <c r="E87" s="18">
        <v>5.0999999999999996</v>
      </c>
      <c r="F87" s="19">
        <f t="shared" si="24"/>
        <v>0.42222222222222211</v>
      </c>
      <c r="G87" s="2">
        <v>70.001715599999997</v>
      </c>
      <c r="H87" s="2">
        <f t="shared" si="25"/>
        <v>0.37051654269065232</v>
      </c>
      <c r="I87" s="2">
        <v>9.1999999999999993</v>
      </c>
      <c r="J87" s="4">
        <f t="shared" si="26"/>
        <v>4.4638524987869965E-2</v>
      </c>
      <c r="K87" s="2">
        <v>0</v>
      </c>
      <c r="L87" s="4">
        <f t="shared" si="27"/>
        <v>0</v>
      </c>
      <c r="M87" s="2">
        <v>61378</v>
      </c>
      <c r="N87" s="2">
        <f t="shared" si="28"/>
        <v>0.28927434197763929</v>
      </c>
      <c r="O87" s="2">
        <v>0.76839469100000002</v>
      </c>
      <c r="P87" s="2">
        <f t="shared" si="29"/>
        <v>0.81019145171729989</v>
      </c>
      <c r="Q87" s="2">
        <v>0.31609999999999999</v>
      </c>
      <c r="R87" s="2">
        <f t="shared" si="30"/>
        <v>0.75593514765489289</v>
      </c>
      <c r="S87" s="2">
        <f t="shared" si="31"/>
        <v>4.8041476360711675E-2</v>
      </c>
      <c r="T87" s="5">
        <f t="shared" si="32"/>
        <v>9.6931072736612764E-2</v>
      </c>
      <c r="U87" s="2" t="str">
        <f t="shared" si="33"/>
        <v>No Impact</v>
      </c>
      <c r="V87" s="2">
        <f t="shared" si="34"/>
        <v>4.6377145424707784E-2</v>
      </c>
      <c r="W87" s="2">
        <f t="shared" si="35"/>
        <v>8.3542364494789426E-2</v>
      </c>
      <c r="X87" s="2" t="s">
        <v>1176</v>
      </c>
      <c r="Y87" s="2">
        <f t="shared" si="36"/>
        <v>4.9705807296715566E-2</v>
      </c>
      <c r="Z87" s="2">
        <f t="shared" si="37"/>
        <v>0.10546651168639508</v>
      </c>
      <c r="AA87" s="2" t="str">
        <f t="shared" si="38"/>
        <v>No Impact</v>
      </c>
      <c r="AB87" s="2">
        <f t="shared" si="39"/>
        <v>3.735525659315745E-2</v>
      </c>
      <c r="AC87" s="2">
        <f t="shared" si="40"/>
        <v>0.10383274935569629</v>
      </c>
      <c r="AD87" s="2" t="str">
        <f t="shared" si="41"/>
        <v>No Impact</v>
      </c>
      <c r="AE87" s="2">
        <f t="shared" si="42"/>
        <v>1.7747181444271603E-2</v>
      </c>
      <c r="AF87" s="2">
        <f t="shared" si="43"/>
        <v>9.1428819720859617E-2</v>
      </c>
      <c r="AG87" s="2" t="s">
        <v>1175</v>
      </c>
    </row>
    <row r="88" spans="1:33" x14ac:dyDescent="0.3">
      <c r="A88">
        <v>201565</v>
      </c>
      <c r="B88" t="s">
        <v>190</v>
      </c>
      <c r="C88" t="s">
        <v>1154</v>
      </c>
      <c r="D88" t="s">
        <v>191</v>
      </c>
      <c r="E88" s="18">
        <v>4.0999999999999996</v>
      </c>
      <c r="F88" s="19">
        <f t="shared" si="24"/>
        <v>0.19999999999999987</v>
      </c>
      <c r="G88" s="2">
        <v>70.001715599999997</v>
      </c>
      <c r="H88" s="2">
        <f t="shared" si="25"/>
        <v>0.37051654269065232</v>
      </c>
      <c r="I88" s="2">
        <v>9.8000000000000007</v>
      </c>
      <c r="J88" s="4">
        <f t="shared" si="26"/>
        <v>4.7549733139252794E-2</v>
      </c>
      <c r="K88" s="2">
        <v>0</v>
      </c>
      <c r="L88" s="4">
        <f t="shared" si="27"/>
        <v>0</v>
      </c>
      <c r="M88" s="2">
        <v>13802</v>
      </c>
      <c r="N88" s="2">
        <f t="shared" si="28"/>
        <v>6.4172261571872655E-2</v>
      </c>
      <c r="O88" s="2">
        <v>0.77632389099999999</v>
      </c>
      <c r="P88" s="2">
        <f t="shared" si="29"/>
        <v>0.81935118533516793</v>
      </c>
      <c r="Q88" s="2">
        <v>0.1711</v>
      </c>
      <c r="R88" s="2">
        <f t="shared" si="30"/>
        <v>0.33613202084539667</v>
      </c>
      <c r="S88" s="2">
        <f t="shared" si="31"/>
        <v>1.6907399627716736E-2</v>
      </c>
      <c r="T88" s="5">
        <f t="shared" si="32"/>
        <v>3.4113281007355639E-2</v>
      </c>
      <c r="U88" s="2" t="str">
        <f t="shared" si="33"/>
        <v>No Impact</v>
      </c>
      <c r="V88" s="2">
        <f t="shared" si="34"/>
        <v>9.8367823499410437E-3</v>
      </c>
      <c r="W88" s="2">
        <f t="shared" si="35"/>
        <v>1.7719677418888139E-2</v>
      </c>
      <c r="X88" s="2" t="s">
        <v>1176</v>
      </c>
      <c r="Y88" s="2">
        <f t="shared" si="36"/>
        <v>2.3978016905492425E-2</v>
      </c>
      <c r="Z88" s="2">
        <f t="shared" si="37"/>
        <v>5.0876908307388009E-2</v>
      </c>
      <c r="AA88" s="2" t="str">
        <f t="shared" si="38"/>
        <v>No Impact</v>
      </c>
      <c r="AB88" s="2">
        <f t="shared" si="39"/>
        <v>1.1293571225097008E-2</v>
      </c>
      <c r="AC88" s="2">
        <f t="shared" si="40"/>
        <v>3.1391634198036811E-2</v>
      </c>
      <c r="AD88" s="2" t="str">
        <f t="shared" si="41"/>
        <v>No Impact</v>
      </c>
      <c r="AE88" s="2">
        <f t="shared" si="42"/>
        <v>1.877978088485472E-3</v>
      </c>
      <c r="AF88" s="2">
        <f t="shared" si="43"/>
        <v>9.674850095550476E-3</v>
      </c>
      <c r="AG88" s="2" t="s">
        <v>1176</v>
      </c>
    </row>
    <row r="89" spans="1:33" x14ac:dyDescent="0.3">
      <c r="A89">
        <v>201570</v>
      </c>
      <c r="B89" t="s">
        <v>192</v>
      </c>
      <c r="C89" t="s">
        <v>1154</v>
      </c>
      <c r="D89" t="s">
        <v>193</v>
      </c>
      <c r="E89" s="18">
        <v>5.7</v>
      </c>
      <c r="F89" s="19">
        <f t="shared" si="24"/>
        <v>0.55555555555555558</v>
      </c>
      <c r="G89" s="2">
        <v>66.647807999999998</v>
      </c>
      <c r="H89" s="2">
        <f t="shared" si="25"/>
        <v>0.33808955753975495</v>
      </c>
      <c r="I89" s="2">
        <v>8.9</v>
      </c>
      <c r="J89" s="4">
        <f t="shared" si="26"/>
        <v>4.3182920912178555E-2</v>
      </c>
      <c r="K89" s="2">
        <v>0</v>
      </c>
      <c r="L89" s="4">
        <f t="shared" si="27"/>
        <v>0</v>
      </c>
      <c r="M89" s="2">
        <v>39341</v>
      </c>
      <c r="N89" s="2">
        <f t="shared" si="28"/>
        <v>0.18500801975841366</v>
      </c>
      <c r="O89" s="2">
        <v>0.64260529099999997</v>
      </c>
      <c r="P89" s="2">
        <f t="shared" si="29"/>
        <v>0.66488077775883603</v>
      </c>
      <c r="Q89" s="2">
        <v>0.29980000000000001</v>
      </c>
      <c r="R89" s="2">
        <f t="shared" si="30"/>
        <v>0.70874348581354962</v>
      </c>
      <c r="S89" s="2">
        <f t="shared" si="31"/>
        <v>5.0917720722745662E-2</v>
      </c>
      <c r="T89" s="5">
        <f t="shared" si="32"/>
        <v>0.10273433842668614</v>
      </c>
      <c r="U89" s="2" t="str">
        <f t="shared" si="33"/>
        <v>No Impact</v>
      </c>
      <c r="V89" s="2">
        <f t="shared" si="34"/>
        <v>5.254363049887676E-2</v>
      </c>
      <c r="W89" s="2">
        <f t="shared" si="35"/>
        <v>9.4650481197535996E-2</v>
      </c>
      <c r="X89" s="2" t="s">
        <v>1176</v>
      </c>
      <c r="Y89" s="2">
        <f t="shared" si="36"/>
        <v>4.9291810946614556E-2</v>
      </c>
      <c r="Z89" s="2">
        <f t="shared" si="37"/>
        <v>0.10458808815259327</v>
      </c>
      <c r="AA89" s="2" t="str">
        <f t="shared" si="38"/>
        <v>No Impact</v>
      </c>
      <c r="AB89" s="2">
        <f t="shared" si="39"/>
        <v>3.7978348465691175E-2</v>
      </c>
      <c r="AC89" s="2">
        <f t="shared" si="40"/>
        <v>0.10556469682780163</v>
      </c>
      <c r="AD89" s="2" t="str">
        <f t="shared" si="41"/>
        <v>No Impact</v>
      </c>
      <c r="AE89" s="2">
        <f t="shared" si="42"/>
        <v>1.3715812877428405E-2</v>
      </c>
      <c r="AF89" s="2">
        <f t="shared" si="43"/>
        <v>7.0660267199793375E-2</v>
      </c>
      <c r="AG89" s="2" t="s">
        <v>1175</v>
      </c>
    </row>
    <row r="90" spans="1:33" x14ac:dyDescent="0.3">
      <c r="A90">
        <v>201574</v>
      </c>
      <c r="B90" t="s">
        <v>194</v>
      </c>
      <c r="C90" t="s">
        <v>1154</v>
      </c>
      <c r="D90" t="s">
        <v>195</v>
      </c>
      <c r="E90" s="18">
        <v>5.5</v>
      </c>
      <c r="F90" s="19">
        <f t="shared" si="24"/>
        <v>0.51111111111111107</v>
      </c>
      <c r="G90" s="2">
        <v>65.956708800000001</v>
      </c>
      <c r="H90" s="2">
        <f t="shared" si="25"/>
        <v>0.33140772065903801</v>
      </c>
      <c r="I90" s="2">
        <v>7.8</v>
      </c>
      <c r="J90" s="4">
        <f t="shared" si="26"/>
        <v>3.7845705967976713E-2</v>
      </c>
      <c r="K90" s="2">
        <v>0</v>
      </c>
      <c r="L90" s="4">
        <f t="shared" si="27"/>
        <v>0</v>
      </c>
      <c r="M90" s="2">
        <v>34140</v>
      </c>
      <c r="N90" s="2">
        <f t="shared" si="28"/>
        <v>0.16039989969387708</v>
      </c>
      <c r="O90" s="2">
        <v>0.54628781000000004</v>
      </c>
      <c r="P90" s="2">
        <f t="shared" si="29"/>
        <v>0.5536157738865578</v>
      </c>
      <c r="Q90" s="2">
        <v>0.3251</v>
      </c>
      <c r="R90" s="2">
        <f t="shared" si="30"/>
        <v>0.78199189345686171</v>
      </c>
      <c r="S90" s="2">
        <f t="shared" si="31"/>
        <v>4.4112006086186296E-2</v>
      </c>
      <c r="T90" s="5">
        <f t="shared" si="32"/>
        <v>8.9002761663561164E-2</v>
      </c>
      <c r="U90" s="2" t="str">
        <f t="shared" si="33"/>
        <v>No Impact</v>
      </c>
      <c r="V90" s="2">
        <f t="shared" si="34"/>
        <v>5.1654736652013845E-2</v>
      </c>
      <c r="W90" s="2">
        <f t="shared" si="35"/>
        <v>9.3049255139490722E-2</v>
      </c>
      <c r="X90" s="2" t="s">
        <v>1176</v>
      </c>
      <c r="Y90" s="2">
        <f t="shared" si="36"/>
        <v>3.6569275520358734E-2</v>
      </c>
      <c r="Z90" s="2">
        <f t="shared" si="37"/>
        <v>7.7593225697106138E-2</v>
      </c>
      <c r="AA90" s="2" t="str">
        <f t="shared" si="38"/>
        <v>No Impact</v>
      </c>
      <c r="AB90" s="2">
        <f t="shared" si="39"/>
        <v>3.2758284683859856E-2</v>
      </c>
      <c r="AC90" s="2">
        <f t="shared" si="40"/>
        <v>9.1054996621942982E-2</v>
      </c>
      <c r="AD90" s="2" t="str">
        <f t="shared" si="41"/>
        <v>No Impact</v>
      </c>
      <c r="AE90" s="2">
        <f t="shared" si="42"/>
        <v>1.0595269141563958E-2</v>
      </c>
      <c r="AF90" s="2">
        <f t="shared" si="43"/>
        <v>5.4584045093578344E-2</v>
      </c>
      <c r="AG90" s="2" t="s">
        <v>1175</v>
      </c>
    </row>
    <row r="91" spans="1:33" x14ac:dyDescent="0.3">
      <c r="A91">
        <v>201578</v>
      </c>
      <c r="B91" t="s">
        <v>196</v>
      </c>
      <c r="C91" t="s">
        <v>1154</v>
      </c>
      <c r="D91" t="s">
        <v>197</v>
      </c>
      <c r="E91" s="18">
        <v>5.8</v>
      </c>
      <c r="F91" s="19">
        <f t="shared" si="24"/>
        <v>0.57777777777777772</v>
      </c>
      <c r="G91" s="2">
        <v>95.853427199999999</v>
      </c>
      <c r="H91" s="2">
        <f t="shared" si="25"/>
        <v>0.62046173145449346</v>
      </c>
      <c r="I91" s="2">
        <v>25.6</v>
      </c>
      <c r="J91" s="4">
        <f t="shared" si="26"/>
        <v>0.12421154779233383</v>
      </c>
      <c r="K91" s="2">
        <v>0</v>
      </c>
      <c r="L91" s="4">
        <f t="shared" si="27"/>
        <v>0</v>
      </c>
      <c r="M91" s="2">
        <v>39476</v>
      </c>
      <c r="N91" s="2">
        <f t="shared" si="28"/>
        <v>0.18564676157896978</v>
      </c>
      <c r="O91" s="2">
        <v>0.48367260699999998</v>
      </c>
      <c r="P91" s="2">
        <f t="shared" si="29"/>
        <v>0.48128330908446765</v>
      </c>
      <c r="Q91" s="2">
        <v>0.25440000000000002</v>
      </c>
      <c r="R91" s="2">
        <f t="shared" si="30"/>
        <v>0.5773016792125073</v>
      </c>
      <c r="S91" s="2">
        <f t="shared" si="31"/>
        <v>7.9705884298097884E-2</v>
      </c>
      <c r="T91" s="5">
        <f t="shared" si="32"/>
        <v>0.16081888929527721</v>
      </c>
      <c r="U91" s="2" t="str">
        <f t="shared" si="33"/>
        <v>Low</v>
      </c>
      <c r="V91" s="2">
        <f t="shared" si="34"/>
        <v>8.6935562769384161E-2</v>
      </c>
      <c r="W91" s="2">
        <f t="shared" si="35"/>
        <v>0.15660305104872241</v>
      </c>
      <c r="X91" s="2" t="s">
        <v>1175</v>
      </c>
      <c r="Y91" s="2">
        <f t="shared" si="36"/>
        <v>7.2476205826811607E-2</v>
      </c>
      <c r="Z91" s="2">
        <f t="shared" si="37"/>
        <v>0.15378107759501344</v>
      </c>
      <c r="AA91" s="2" t="str">
        <f t="shared" si="38"/>
        <v>Low</v>
      </c>
      <c r="AB91" s="2">
        <f t="shared" si="39"/>
        <v>6.1955066316974831E-2</v>
      </c>
      <c r="AC91" s="2">
        <f t="shared" si="40"/>
        <v>0.1722104319150721</v>
      </c>
      <c r="AD91" s="2" t="str">
        <f t="shared" si="41"/>
        <v>Low</v>
      </c>
      <c r="AE91" s="2">
        <f t="shared" si="42"/>
        <v>2.7956450284705427E-2</v>
      </c>
      <c r="AF91" s="2">
        <f t="shared" si="43"/>
        <v>0.14402429259777108</v>
      </c>
      <c r="AG91" s="2" t="s">
        <v>1175</v>
      </c>
    </row>
    <row r="92" spans="1:33" x14ac:dyDescent="0.3">
      <c r="A92">
        <v>201582</v>
      </c>
      <c r="B92" t="s">
        <v>198</v>
      </c>
      <c r="C92" t="s">
        <v>1154</v>
      </c>
      <c r="D92" t="s">
        <v>199</v>
      </c>
      <c r="E92" s="18">
        <v>5.7</v>
      </c>
      <c r="F92" s="19">
        <f t="shared" si="24"/>
        <v>0.55555555555555558</v>
      </c>
      <c r="G92" s="2">
        <v>68.697421199999994</v>
      </c>
      <c r="H92" s="2">
        <f t="shared" si="25"/>
        <v>0.35790607747056136</v>
      </c>
      <c r="I92" s="2">
        <v>8</v>
      </c>
      <c r="J92" s="4">
        <f t="shared" si="26"/>
        <v>3.8816108685104322E-2</v>
      </c>
      <c r="K92" s="2">
        <v>0</v>
      </c>
      <c r="L92" s="4">
        <f t="shared" si="27"/>
        <v>0</v>
      </c>
      <c r="M92" s="2">
        <v>40219</v>
      </c>
      <c r="N92" s="2">
        <f t="shared" si="28"/>
        <v>0.18916220730247502</v>
      </c>
      <c r="O92" s="2">
        <v>0.70288504699999999</v>
      </c>
      <c r="P92" s="2">
        <f t="shared" si="29"/>
        <v>0.73451535722587979</v>
      </c>
      <c r="Q92" s="2">
        <v>0.30199999999999999</v>
      </c>
      <c r="R92" s="2">
        <f t="shared" si="30"/>
        <v>0.71511291256514187</v>
      </c>
      <c r="S92" s="2">
        <f t="shared" si="31"/>
        <v>5.5912470474053406E-2</v>
      </c>
      <c r="T92" s="5">
        <f t="shared" si="32"/>
        <v>0.11281201480386602</v>
      </c>
      <c r="U92" s="2" t="str">
        <f t="shared" si="33"/>
        <v>No Impact</v>
      </c>
      <c r="V92" s="2">
        <f t="shared" si="34"/>
        <v>5.5164114059636664E-2</v>
      </c>
      <c r="W92" s="2">
        <f t="shared" si="35"/>
        <v>9.937093975057526E-2</v>
      </c>
      <c r="X92" s="2" t="s">
        <v>1176</v>
      </c>
      <c r="Y92" s="2">
        <f t="shared" si="36"/>
        <v>5.6660826888470149E-2</v>
      </c>
      <c r="Z92" s="2">
        <f t="shared" si="37"/>
        <v>0.12022377436747743</v>
      </c>
      <c r="AA92" s="2" t="str">
        <f t="shared" si="38"/>
        <v>No Impact</v>
      </c>
      <c r="AB92" s="2">
        <f t="shared" si="39"/>
        <v>4.1412906565933855E-2</v>
      </c>
      <c r="AC92" s="2">
        <f t="shared" si="40"/>
        <v>0.11511140170669139</v>
      </c>
      <c r="AD92" s="2" t="str">
        <f t="shared" si="41"/>
        <v>No Impact</v>
      </c>
      <c r="AE92" s="2">
        <f t="shared" si="42"/>
        <v>1.4592053081485663E-2</v>
      </c>
      <c r="AF92" s="2">
        <f t="shared" si="43"/>
        <v>7.5174426696076616E-2</v>
      </c>
      <c r="AG92" s="2" t="s">
        <v>1175</v>
      </c>
    </row>
    <row r="93" spans="1:33" x14ac:dyDescent="0.3">
      <c r="A93">
        <v>201586</v>
      </c>
      <c r="B93" t="s">
        <v>200</v>
      </c>
      <c r="C93" t="s">
        <v>1154</v>
      </c>
      <c r="D93" t="s">
        <v>201</v>
      </c>
      <c r="E93" s="18">
        <v>5.8</v>
      </c>
      <c r="F93" s="19">
        <f t="shared" si="24"/>
        <v>0.57777777777777772</v>
      </c>
      <c r="G93" s="2">
        <v>85.113349200000002</v>
      </c>
      <c r="H93" s="2">
        <f t="shared" si="25"/>
        <v>0.51662215345732987</v>
      </c>
      <c r="I93" s="2">
        <v>10.9</v>
      </c>
      <c r="J93" s="4">
        <f t="shared" si="26"/>
        <v>5.2886948083454635E-2</v>
      </c>
      <c r="K93" s="2">
        <v>0</v>
      </c>
      <c r="L93" s="4">
        <f t="shared" si="27"/>
        <v>0</v>
      </c>
      <c r="M93" s="2">
        <v>54977</v>
      </c>
      <c r="N93" s="2">
        <f t="shared" si="28"/>
        <v>0.25898851684149266</v>
      </c>
      <c r="O93" s="2">
        <v>0.39355948000000002</v>
      </c>
      <c r="P93" s="2">
        <f t="shared" si="29"/>
        <v>0.37718551374658821</v>
      </c>
      <c r="Q93" s="2">
        <v>0.31819999999999998</v>
      </c>
      <c r="R93" s="2">
        <f t="shared" si="30"/>
        <v>0.7620150550086856</v>
      </c>
      <c r="S93" s="2">
        <f t="shared" si="31"/>
        <v>6.5599381563530623E-2</v>
      </c>
      <c r="T93" s="5">
        <f t="shared" si="32"/>
        <v>0.13235684886261073</v>
      </c>
      <c r="U93" s="2" t="str">
        <f t="shared" si="33"/>
        <v>No Impact</v>
      </c>
      <c r="V93" s="2">
        <f t="shared" si="34"/>
        <v>8.7759289666239693E-2</v>
      </c>
      <c r="W93" s="2">
        <f t="shared" si="35"/>
        <v>0.15808688736575033</v>
      </c>
      <c r="X93" s="2" t="s">
        <v>1175</v>
      </c>
      <c r="Y93" s="2">
        <f t="shared" si="36"/>
        <v>4.3439473460821547E-2</v>
      </c>
      <c r="Z93" s="2">
        <f t="shared" si="37"/>
        <v>9.2170512553154185E-2</v>
      </c>
      <c r="AA93" s="2" t="str">
        <f t="shared" si="38"/>
        <v>No Impact</v>
      </c>
      <c r="AB93" s="2">
        <f t="shared" si="39"/>
        <v>5.4187055007018245E-2</v>
      </c>
      <c r="AC93" s="2">
        <f t="shared" si="40"/>
        <v>0.15061845143094713</v>
      </c>
      <c r="AD93" s="2" t="str">
        <f t="shared" si="41"/>
        <v>Low</v>
      </c>
      <c r="AE93" s="2">
        <f t="shared" si="42"/>
        <v>2.9827033101679713E-2</v>
      </c>
      <c r="AF93" s="2">
        <f t="shared" si="43"/>
        <v>0.15366104419594009</v>
      </c>
      <c r="AG93" s="2" t="s">
        <v>1175</v>
      </c>
    </row>
    <row r="94" spans="1:33" x14ac:dyDescent="0.3">
      <c r="A94">
        <v>201909</v>
      </c>
      <c r="B94" t="s">
        <v>202</v>
      </c>
      <c r="C94" t="s">
        <v>1155</v>
      </c>
      <c r="D94" t="s">
        <v>203</v>
      </c>
      <c r="E94" s="18">
        <v>4.4000000000000004</v>
      </c>
      <c r="F94" s="19">
        <f t="shared" si="24"/>
        <v>0.26666666666666672</v>
      </c>
      <c r="G94" s="2">
        <v>59.732575199999999</v>
      </c>
      <c r="H94" s="2">
        <f t="shared" si="25"/>
        <v>0.27123018689978912</v>
      </c>
      <c r="I94" s="2">
        <v>21.8</v>
      </c>
      <c r="J94" s="4">
        <f t="shared" si="26"/>
        <v>0.10577389616690927</v>
      </c>
      <c r="K94" s="2">
        <v>0</v>
      </c>
      <c r="L94" s="4">
        <f t="shared" si="27"/>
        <v>0</v>
      </c>
      <c r="M94" s="2">
        <v>52813</v>
      </c>
      <c r="N94" s="2">
        <f t="shared" si="28"/>
        <v>0.24874972202902254</v>
      </c>
      <c r="O94" s="2">
        <v>0.53868295200000005</v>
      </c>
      <c r="P94" s="2">
        <f t="shared" si="29"/>
        <v>0.54483071694743246</v>
      </c>
      <c r="Q94" s="2">
        <v>0.24510000000000001</v>
      </c>
      <c r="R94" s="2">
        <f t="shared" si="30"/>
        <v>0.55037637521713967</v>
      </c>
      <c r="S94" s="2">
        <f t="shared" si="31"/>
        <v>1.9268552125650318E-2</v>
      </c>
      <c r="T94" s="5">
        <f t="shared" si="32"/>
        <v>3.8877269582581947E-2</v>
      </c>
      <c r="U94" s="2" t="str">
        <f t="shared" si="33"/>
        <v>No Impact</v>
      </c>
      <c r="V94" s="2">
        <f t="shared" si="34"/>
        <v>1.9366119796829021E-2</v>
      </c>
      <c r="W94" s="2">
        <f t="shared" si="35"/>
        <v>3.4885533037885143E-2</v>
      </c>
      <c r="X94" s="2" t="s">
        <v>1176</v>
      </c>
      <c r="Y94" s="2">
        <f t="shared" si="36"/>
        <v>1.9170984454471612E-2</v>
      </c>
      <c r="Z94" s="2">
        <f t="shared" si="37"/>
        <v>4.0677276277551383E-2</v>
      </c>
      <c r="AA94" s="2" t="str">
        <f t="shared" si="38"/>
        <v>No Impact</v>
      </c>
      <c r="AB94" s="2">
        <f t="shared" si="39"/>
        <v>1.5592906186875463E-2</v>
      </c>
      <c r="AC94" s="2">
        <f t="shared" si="40"/>
        <v>4.3342074649951573E-2</v>
      </c>
      <c r="AD94" s="2" t="str">
        <f t="shared" si="41"/>
        <v>No Impact</v>
      </c>
      <c r="AE94" s="2">
        <f t="shared" si="42"/>
        <v>8.7527683475537906E-3</v>
      </c>
      <c r="AF94" s="2">
        <f t="shared" si="43"/>
        <v>4.5091964705485474E-2</v>
      </c>
      <c r="AG94" s="2" t="s">
        <v>1175</v>
      </c>
    </row>
    <row r="95" spans="1:33" x14ac:dyDescent="0.3">
      <c r="A95">
        <v>201915</v>
      </c>
      <c r="B95" t="s">
        <v>204</v>
      </c>
      <c r="C95" t="s">
        <v>1155</v>
      </c>
      <c r="D95" t="s">
        <v>205</v>
      </c>
      <c r="E95" s="18">
        <v>4.4000000000000004</v>
      </c>
      <c r="F95" s="19">
        <f t="shared" si="24"/>
        <v>0.26666666666666672</v>
      </c>
      <c r="G95" s="2">
        <v>54.358660800000003</v>
      </c>
      <c r="H95" s="2">
        <f t="shared" si="25"/>
        <v>0.21927292890884345</v>
      </c>
      <c r="I95" s="2">
        <v>13</v>
      </c>
      <c r="J95" s="4">
        <f t="shared" si="26"/>
        <v>6.3076176613294524E-2</v>
      </c>
      <c r="K95" s="2">
        <v>0</v>
      </c>
      <c r="L95" s="4">
        <f t="shared" si="27"/>
        <v>0</v>
      </c>
      <c r="M95" s="2">
        <v>14956</v>
      </c>
      <c r="N95" s="2">
        <f t="shared" si="28"/>
        <v>6.9632321282404319E-2</v>
      </c>
      <c r="O95" s="2">
        <v>0.62444501900000005</v>
      </c>
      <c r="P95" s="2">
        <f t="shared" si="29"/>
        <v>0.64390221069683373</v>
      </c>
      <c r="Q95" s="2">
        <v>0.23230000000000001</v>
      </c>
      <c r="R95" s="2">
        <f t="shared" si="30"/>
        <v>0.51331789229878411</v>
      </c>
      <c r="S95" s="2">
        <f t="shared" si="31"/>
        <v>1.5247869512075627E-2</v>
      </c>
      <c r="T95" s="5">
        <f t="shared" si="32"/>
        <v>3.0764923576788436E-2</v>
      </c>
      <c r="U95" s="2" t="str">
        <f t="shared" si="33"/>
        <v>No Impact</v>
      </c>
      <c r="V95" s="2">
        <f t="shared" si="34"/>
        <v>1.3527252455646616E-2</v>
      </c>
      <c r="W95" s="2">
        <f t="shared" si="35"/>
        <v>2.4367576850915798E-2</v>
      </c>
      <c r="X95" s="2" t="s">
        <v>1176</v>
      </c>
      <c r="Y95" s="2">
        <f t="shared" si="36"/>
        <v>1.6968486568504637E-2</v>
      </c>
      <c r="Z95" s="2">
        <f t="shared" si="37"/>
        <v>3.6003983926761109E-2</v>
      </c>
      <c r="AA95" s="2" t="str">
        <f t="shared" si="38"/>
        <v>No Impact</v>
      </c>
      <c r="AB95" s="2">
        <f t="shared" si="39"/>
        <v>1.0467331368591928E-2</v>
      </c>
      <c r="AC95" s="2">
        <f t="shared" si="40"/>
        <v>2.9095016164796126E-2</v>
      </c>
      <c r="AD95" s="2" t="str">
        <f t="shared" si="41"/>
        <v>No Impact</v>
      </c>
      <c r="AE95" s="2">
        <f t="shared" si="42"/>
        <v>1.8349915387549194E-3</v>
      </c>
      <c r="AF95" s="2">
        <f t="shared" si="43"/>
        <v>9.4533946763855903E-3</v>
      </c>
      <c r="AG95" s="2" t="s">
        <v>1176</v>
      </c>
    </row>
    <row r="96" spans="1:33" x14ac:dyDescent="0.3">
      <c r="A96">
        <v>201918</v>
      </c>
      <c r="B96" t="s">
        <v>206</v>
      </c>
      <c r="C96" t="s">
        <v>1155</v>
      </c>
      <c r="D96" t="s">
        <v>207</v>
      </c>
      <c r="E96" s="18">
        <v>4.3</v>
      </c>
      <c r="F96" s="19">
        <f t="shared" si="24"/>
        <v>0.24444444444444435</v>
      </c>
      <c r="G96" s="2">
        <v>54.358660800000003</v>
      </c>
      <c r="H96" s="2">
        <f t="shared" si="25"/>
        <v>0.21927292890884345</v>
      </c>
      <c r="I96" s="2">
        <v>15</v>
      </c>
      <c r="J96" s="4">
        <f t="shared" si="26"/>
        <v>7.2780203784570605E-2</v>
      </c>
      <c r="K96" s="2">
        <v>0</v>
      </c>
      <c r="L96" s="4">
        <f t="shared" si="27"/>
        <v>0</v>
      </c>
      <c r="M96" s="2">
        <v>36049</v>
      </c>
      <c r="N96" s="2">
        <f t="shared" si="28"/>
        <v>0.16943218217863007</v>
      </c>
      <c r="O96" s="2">
        <v>0.50130479999999999</v>
      </c>
      <c r="P96" s="2">
        <f t="shared" si="29"/>
        <v>0.5016518444952075</v>
      </c>
      <c r="Q96" s="2">
        <v>0.23449999999999999</v>
      </c>
      <c r="R96" s="2">
        <f t="shared" si="30"/>
        <v>0.51968731905037635</v>
      </c>
      <c r="S96" s="2">
        <f t="shared" si="31"/>
        <v>1.2759982374282683E-2</v>
      </c>
      <c r="T96" s="5">
        <f t="shared" si="32"/>
        <v>2.5745228359613414E-2</v>
      </c>
      <c r="U96" s="2" t="str">
        <f t="shared" si="33"/>
        <v>No Impact</v>
      </c>
      <c r="V96" s="2">
        <f t="shared" si="34"/>
        <v>1.2985306483696906E-2</v>
      </c>
      <c r="W96" s="2">
        <f t="shared" si="35"/>
        <v>2.3391332032255942E-2</v>
      </c>
      <c r="X96" s="2" t="s">
        <v>1176</v>
      </c>
      <c r="Y96" s="2">
        <f t="shared" si="36"/>
        <v>1.2534658264868458E-2</v>
      </c>
      <c r="Z96" s="2">
        <f t="shared" si="37"/>
        <v>2.6596221936105068E-2</v>
      </c>
      <c r="AA96" s="2" t="str">
        <f t="shared" si="38"/>
        <v>No Impact</v>
      </c>
      <c r="AB96" s="2">
        <f t="shared" si="39"/>
        <v>9.787001669641384E-3</v>
      </c>
      <c r="AC96" s="2">
        <f t="shared" si="40"/>
        <v>2.7203970310668391E-2</v>
      </c>
      <c r="AD96" s="2" t="str">
        <f t="shared" si="41"/>
        <v>No Impact</v>
      </c>
      <c r="AE96" s="2">
        <f t="shared" si="42"/>
        <v>4.2335626311055113E-3</v>
      </c>
      <c r="AF96" s="2">
        <f t="shared" si="43"/>
        <v>2.1810203259135064E-2</v>
      </c>
      <c r="AG96" s="2" t="s">
        <v>1176</v>
      </c>
    </row>
    <row r="97" spans="1:33" x14ac:dyDescent="0.3">
      <c r="A97">
        <v>201927</v>
      </c>
      <c r="B97" t="s">
        <v>208</v>
      </c>
      <c r="C97" t="s">
        <v>1155</v>
      </c>
      <c r="D97" t="s">
        <v>209</v>
      </c>
      <c r="E97" s="18">
        <v>3.8</v>
      </c>
      <c r="F97" s="19">
        <f t="shared" si="24"/>
        <v>0.13333333333333325</v>
      </c>
      <c r="G97" s="2">
        <v>59.732575199999999</v>
      </c>
      <c r="H97" s="2">
        <f t="shared" si="25"/>
        <v>0.27123018689978912</v>
      </c>
      <c r="I97" s="2">
        <v>26.7</v>
      </c>
      <c r="J97" s="4">
        <f t="shared" si="26"/>
        <v>0.12954876273653565</v>
      </c>
      <c r="K97" s="2">
        <v>0</v>
      </c>
      <c r="L97" s="4">
        <f t="shared" si="27"/>
        <v>0</v>
      </c>
      <c r="M97" s="2">
        <v>52969</v>
      </c>
      <c r="N97" s="2">
        <f t="shared" si="28"/>
        <v>0.24948782368833183</v>
      </c>
      <c r="O97" s="2">
        <v>0.42705352699999999</v>
      </c>
      <c r="P97" s="2">
        <f t="shared" si="29"/>
        <v>0.4158775064197901</v>
      </c>
      <c r="Q97" s="2">
        <v>0.23180000000000001</v>
      </c>
      <c r="R97" s="2">
        <f t="shared" si="30"/>
        <v>0.51187029530978578</v>
      </c>
      <c r="S97" s="2">
        <f t="shared" si="31"/>
        <v>8.6758417551070638E-3</v>
      </c>
      <c r="T97" s="5">
        <f t="shared" si="32"/>
        <v>1.7504846060546156E-2</v>
      </c>
      <c r="U97" s="2" t="str">
        <f t="shared" si="33"/>
        <v>No Impact</v>
      </c>
      <c r="V97" s="2">
        <f t="shared" si="34"/>
        <v>9.5735191675335868E-3</v>
      </c>
      <c r="W97" s="2">
        <f t="shared" si="35"/>
        <v>1.7245443212765037E-2</v>
      </c>
      <c r="X97" s="2" t="s">
        <v>1176</v>
      </c>
      <c r="Y97" s="2">
        <f t="shared" si="36"/>
        <v>7.7781643426805382E-3</v>
      </c>
      <c r="Z97" s="2">
        <f t="shared" si="37"/>
        <v>1.6503823298736047E-2</v>
      </c>
      <c r="AA97" s="2" t="str">
        <f t="shared" si="38"/>
        <v>No Impact</v>
      </c>
      <c r="AB97" s="2">
        <f t="shared" si="39"/>
        <v>7.3173423208803311E-3</v>
      </c>
      <c r="AC97" s="2">
        <f t="shared" si="40"/>
        <v>2.0339300019504326E-2</v>
      </c>
      <c r="AD97" s="2" t="str">
        <f t="shared" si="41"/>
        <v>No Impact</v>
      </c>
      <c r="AE97" s="2">
        <f t="shared" si="42"/>
        <v>4.6661751698268998E-3</v>
      </c>
      <c r="AF97" s="2">
        <f t="shared" si="43"/>
        <v>2.4038909486991215E-2</v>
      </c>
      <c r="AG97" s="2" t="s">
        <v>1176</v>
      </c>
    </row>
    <row r="98" spans="1:33" x14ac:dyDescent="0.3">
      <c r="A98">
        <v>201931</v>
      </c>
      <c r="B98" t="s">
        <v>210</v>
      </c>
      <c r="C98" t="s">
        <v>1155</v>
      </c>
      <c r="D98" t="s">
        <v>211</v>
      </c>
      <c r="E98" s="18">
        <v>4.5</v>
      </c>
      <c r="F98" s="19">
        <f t="shared" si="24"/>
        <v>0.28888888888888886</v>
      </c>
      <c r="G98" s="2">
        <v>59.8781952</v>
      </c>
      <c r="H98" s="2">
        <f t="shared" si="25"/>
        <v>0.27263810212609818</v>
      </c>
      <c r="I98" s="2">
        <v>18.8</v>
      </c>
      <c r="J98" s="4">
        <f t="shared" si="26"/>
        <v>9.1217855409995149E-2</v>
      </c>
      <c r="K98" s="2">
        <v>0</v>
      </c>
      <c r="L98" s="4">
        <f t="shared" si="27"/>
        <v>0</v>
      </c>
      <c r="M98" s="2">
        <v>58877</v>
      </c>
      <c r="N98" s="2">
        <f t="shared" si="28"/>
        <v>0.27744105832422533</v>
      </c>
      <c r="O98" s="2">
        <v>0.53783734599999999</v>
      </c>
      <c r="P98" s="2">
        <f t="shared" si="29"/>
        <v>0.54385388123819678</v>
      </c>
      <c r="Q98" s="2">
        <v>0.2445</v>
      </c>
      <c r="R98" s="2">
        <f t="shared" si="30"/>
        <v>0.5486392588303417</v>
      </c>
      <c r="S98" s="2">
        <f t="shared" si="31"/>
        <v>2.0096345844385487E-2</v>
      </c>
      <c r="T98" s="5">
        <f t="shared" ref="T98:T112" si="44">(S98-$AJ$10)/$AK$10</f>
        <v>4.0547470817847257E-2</v>
      </c>
      <c r="U98" s="2" t="str">
        <f t="shared" si="33"/>
        <v>No Impact</v>
      </c>
      <c r="V98" s="2">
        <f t="shared" si="34"/>
        <v>2.0184372578431326E-2</v>
      </c>
      <c r="W98" s="2">
        <f t="shared" si="35"/>
        <v>3.6359508451927695E-2</v>
      </c>
      <c r="X98" s="2" t="s">
        <v>1176</v>
      </c>
      <c r="Y98" s="2">
        <f t="shared" si="36"/>
        <v>2.0008319110339647E-2</v>
      </c>
      <c r="Z98" s="2">
        <f t="shared" si="37"/>
        <v>4.2453945243842675E-2</v>
      </c>
      <c r="AA98" s="2" t="str">
        <f t="shared" si="38"/>
        <v>No Impact</v>
      </c>
      <c r="AB98" s="2">
        <f t="shared" si="39"/>
        <v>1.6639484285190593E-2</v>
      </c>
      <c r="AC98" s="2">
        <f t="shared" si="40"/>
        <v>4.6251145320969841E-2</v>
      </c>
      <c r="AD98" s="2" t="str">
        <f t="shared" si="41"/>
        <v>No Impact</v>
      </c>
      <c r="AE98" s="2">
        <f t="shared" si="42"/>
        <v>1.0207023284679243E-2</v>
      </c>
      <c r="AF98" s="2">
        <f t="shared" si="43"/>
        <v>5.2583904363178544E-2</v>
      </c>
      <c r="AG98" s="2" t="s">
        <v>1175</v>
      </c>
    </row>
    <row r="99" spans="1:33" x14ac:dyDescent="0.3">
      <c r="A99">
        <v>201933</v>
      </c>
      <c r="B99" t="s">
        <v>212</v>
      </c>
      <c r="C99" t="s">
        <v>1155</v>
      </c>
      <c r="D99" t="s">
        <v>213</v>
      </c>
      <c r="E99" s="18">
        <v>4.4000000000000004</v>
      </c>
      <c r="F99" s="19">
        <f t="shared" si="24"/>
        <v>0.26666666666666672</v>
      </c>
      <c r="G99" s="2">
        <v>59.732575199999999</v>
      </c>
      <c r="H99" s="2">
        <f t="shared" si="25"/>
        <v>0.27123018689978912</v>
      </c>
      <c r="I99" s="2">
        <v>18.600000000000001</v>
      </c>
      <c r="J99" s="4">
        <f t="shared" si="26"/>
        <v>9.0247452692867547E-2</v>
      </c>
      <c r="K99" s="2">
        <v>0</v>
      </c>
      <c r="L99" s="4">
        <f t="shared" si="27"/>
        <v>0</v>
      </c>
      <c r="M99" s="2">
        <v>63237</v>
      </c>
      <c r="N99" s="2">
        <f t="shared" si="28"/>
        <v>0.2980700534177419</v>
      </c>
      <c r="O99" s="2">
        <v>0.62370599000000004</v>
      </c>
      <c r="P99" s="2">
        <f t="shared" si="29"/>
        <v>0.64304849168660838</v>
      </c>
      <c r="Q99" s="2">
        <v>0.25219999999999998</v>
      </c>
      <c r="R99" s="2">
        <f t="shared" si="30"/>
        <v>0.57093225246091484</v>
      </c>
      <c r="S99" s="2">
        <f t="shared" si="31"/>
        <v>2.0478588382251237E-2</v>
      </c>
      <c r="T99" s="5">
        <f t="shared" si="44"/>
        <v>4.1318703969857401E-2</v>
      </c>
      <c r="U99" s="2" t="str">
        <f t="shared" si="33"/>
        <v>No Impact</v>
      </c>
      <c r="V99" s="2">
        <f t="shared" si="34"/>
        <v>1.9262062678776427E-2</v>
      </c>
      <c r="W99" s="2">
        <f t="shared" si="35"/>
        <v>3.4698087743332891E-2</v>
      </c>
      <c r="X99" s="2" t="s">
        <v>1176</v>
      </c>
      <c r="Y99" s="2">
        <f t="shared" si="36"/>
        <v>2.1695114085726046E-2</v>
      </c>
      <c r="Z99" s="2">
        <f t="shared" si="37"/>
        <v>4.6033011587583508E-2</v>
      </c>
      <c r="AA99" s="2" t="str">
        <f t="shared" si="38"/>
        <v>No Impact</v>
      </c>
      <c r="AB99" s="2">
        <f t="shared" si="39"/>
        <v>1.676994770181784E-2</v>
      </c>
      <c r="AC99" s="2">
        <f t="shared" si="40"/>
        <v>4.6613781706694099E-2</v>
      </c>
      <c r="AD99" s="2" t="str">
        <f t="shared" si="41"/>
        <v>No Impact</v>
      </c>
      <c r="AE99" s="2">
        <f t="shared" si="42"/>
        <v>1.0056261538652229E-2</v>
      </c>
      <c r="AF99" s="2">
        <f t="shared" si="43"/>
        <v>5.1807219426385102E-2</v>
      </c>
      <c r="AG99" s="2" t="s">
        <v>1175</v>
      </c>
    </row>
    <row r="100" spans="1:33" x14ac:dyDescent="0.3">
      <c r="A100">
        <v>201936</v>
      </c>
      <c r="B100" t="s">
        <v>214</v>
      </c>
      <c r="C100" t="s">
        <v>1155</v>
      </c>
      <c r="D100" t="s">
        <v>215</v>
      </c>
      <c r="E100" s="18">
        <v>4.3</v>
      </c>
      <c r="F100" s="19">
        <f t="shared" si="24"/>
        <v>0.24444444444444435</v>
      </c>
      <c r="G100" s="2">
        <v>54.358660800000003</v>
      </c>
      <c r="H100" s="2">
        <f t="shared" si="25"/>
        <v>0.21927292890884345</v>
      </c>
      <c r="I100" s="2">
        <v>26.2</v>
      </c>
      <c r="J100" s="4">
        <f t="shared" si="26"/>
        <v>0.12712275594371664</v>
      </c>
      <c r="K100" s="2">
        <v>0</v>
      </c>
      <c r="L100" s="4">
        <f t="shared" si="27"/>
        <v>0</v>
      </c>
      <c r="M100" s="2">
        <v>46512</v>
      </c>
      <c r="N100" s="2">
        <f t="shared" si="28"/>
        <v>0.21893703898217673</v>
      </c>
      <c r="O100" s="2">
        <v>0.33959003700000001</v>
      </c>
      <c r="P100" s="2">
        <f t="shared" si="29"/>
        <v>0.31484054560544983</v>
      </c>
      <c r="Q100" s="2">
        <v>0.24310000000000001</v>
      </c>
      <c r="R100" s="2">
        <f t="shared" si="30"/>
        <v>0.5445859872611466</v>
      </c>
      <c r="S100" s="2">
        <f t="shared" si="31"/>
        <v>1.273501470406917E-2</v>
      </c>
      <c r="T100" s="5">
        <f t="shared" si="44"/>
        <v>2.5694852242123634E-2</v>
      </c>
      <c r="U100" s="2" t="str">
        <f t="shared" si="33"/>
        <v>No Impact</v>
      </c>
      <c r="V100" s="2">
        <f t="shared" si="34"/>
        <v>1.6139391303799211E-2</v>
      </c>
      <c r="W100" s="2">
        <f t="shared" si="35"/>
        <v>2.9073003495115914E-2</v>
      </c>
      <c r="X100" s="2" t="s">
        <v>1176</v>
      </c>
      <c r="Y100" s="2">
        <f t="shared" si="36"/>
        <v>9.3306381043391264E-3</v>
      </c>
      <c r="Z100" s="2">
        <f t="shared" si="37"/>
        <v>1.9797884919129573E-2</v>
      </c>
      <c r="AA100" s="2" t="str">
        <f t="shared" si="38"/>
        <v>No Impact</v>
      </c>
      <c r="AB100" s="2">
        <f t="shared" si="39"/>
        <v>1.0718930485168487E-2</v>
      </c>
      <c r="AC100" s="2">
        <f t="shared" si="40"/>
        <v>2.9794361595457515E-2</v>
      </c>
      <c r="AD100" s="2" t="str">
        <f t="shared" si="41"/>
        <v>No Impact</v>
      </c>
      <c r="AE100" s="2">
        <f t="shared" si="42"/>
        <v>6.4884345643914992E-3</v>
      </c>
      <c r="AF100" s="2">
        <f t="shared" si="43"/>
        <v>3.3426711499015306E-2</v>
      </c>
      <c r="AG100" s="2" t="s">
        <v>1176</v>
      </c>
    </row>
    <row r="101" spans="1:33" x14ac:dyDescent="0.3">
      <c r="A101">
        <v>201940</v>
      </c>
      <c r="B101" t="s">
        <v>216</v>
      </c>
      <c r="C101" t="s">
        <v>1155</v>
      </c>
      <c r="D101" t="s">
        <v>217</v>
      </c>
      <c r="E101" s="18">
        <v>4.4000000000000004</v>
      </c>
      <c r="F101" s="19">
        <f t="shared" si="24"/>
        <v>0.26666666666666672</v>
      </c>
      <c r="G101" s="2">
        <v>54.358660800000003</v>
      </c>
      <c r="H101" s="2">
        <f t="shared" si="25"/>
        <v>0.21927292890884345</v>
      </c>
      <c r="I101" s="2">
        <v>17.5</v>
      </c>
      <c r="J101" s="4">
        <f t="shared" si="26"/>
        <v>8.4910237748665698E-2</v>
      </c>
      <c r="K101" s="2">
        <v>0</v>
      </c>
      <c r="L101" s="4">
        <f t="shared" si="27"/>
        <v>0</v>
      </c>
      <c r="M101" s="2">
        <v>53195</v>
      </c>
      <c r="N101" s="2">
        <f t="shared" si="28"/>
        <v>0.25055712481015174</v>
      </c>
      <c r="O101" s="2">
        <v>0.52645777199999999</v>
      </c>
      <c r="P101" s="2">
        <f t="shared" si="29"/>
        <v>0.53070830961371807</v>
      </c>
      <c r="Q101" s="2">
        <v>0.24390000000000001</v>
      </c>
      <c r="R101" s="2">
        <f t="shared" si="30"/>
        <v>0.54690214244354374</v>
      </c>
      <c r="S101" s="2">
        <f t="shared" si="31"/>
        <v>1.5296911454067036E-2</v>
      </c>
      <c r="T101" s="5">
        <f t="shared" si="44"/>
        <v>3.0863873242919043E-2</v>
      </c>
      <c r="U101" s="2" t="str">
        <f t="shared" si="33"/>
        <v>No Impact</v>
      </c>
      <c r="V101" s="2">
        <f t="shared" si="34"/>
        <v>1.5526786383756975E-2</v>
      </c>
      <c r="W101" s="2">
        <f t="shared" si="35"/>
        <v>2.7969475818869497E-2</v>
      </c>
      <c r="X101" s="2" t="s">
        <v>1176</v>
      </c>
      <c r="Y101" s="2">
        <f t="shared" si="36"/>
        <v>1.5067036524377096E-2</v>
      </c>
      <c r="Z101" s="2">
        <f t="shared" si="37"/>
        <v>3.196945930667059E-2</v>
      </c>
      <c r="AA101" s="2" t="str">
        <f t="shared" si="38"/>
        <v>No Impact</v>
      </c>
      <c r="AB101" s="2">
        <f t="shared" si="39"/>
        <v>1.2444184673637591E-2</v>
      </c>
      <c r="AC101" s="2">
        <f t="shared" si="40"/>
        <v>3.4589881746134012E-2</v>
      </c>
      <c r="AD101" s="2" t="str">
        <f t="shared" si="41"/>
        <v>No Impact</v>
      </c>
      <c r="AE101" s="2">
        <f t="shared" si="42"/>
        <v>7.1134242343129216E-3</v>
      </c>
      <c r="AF101" s="2">
        <f t="shared" si="43"/>
        <v>3.6646494202994449E-2</v>
      </c>
      <c r="AG101" s="2" t="s">
        <v>1175</v>
      </c>
    </row>
    <row r="102" spans="1:33" x14ac:dyDescent="0.3">
      <c r="A102">
        <v>201954</v>
      </c>
      <c r="B102" t="s">
        <v>218</v>
      </c>
      <c r="C102" t="s">
        <v>1155</v>
      </c>
      <c r="D102" t="s">
        <v>219</v>
      </c>
      <c r="E102" s="18">
        <v>4.4000000000000004</v>
      </c>
      <c r="F102" s="19">
        <f t="shared" si="24"/>
        <v>0.26666666666666672</v>
      </c>
      <c r="G102" s="2">
        <v>53.096392799999997</v>
      </c>
      <c r="H102" s="2">
        <f t="shared" si="25"/>
        <v>0.20706879254788554</v>
      </c>
      <c r="I102" s="2">
        <v>22.8</v>
      </c>
      <c r="J102" s="4">
        <f t="shared" si="26"/>
        <v>0.11062590975254731</v>
      </c>
      <c r="K102" s="2">
        <v>0</v>
      </c>
      <c r="L102" s="4">
        <f t="shared" si="27"/>
        <v>0</v>
      </c>
      <c r="M102" s="2">
        <v>23236</v>
      </c>
      <c r="N102" s="2">
        <f t="shared" si="28"/>
        <v>0.1088084862765137</v>
      </c>
      <c r="O102" s="2">
        <v>0.57651813500000004</v>
      </c>
      <c r="P102" s="2">
        <f t="shared" si="29"/>
        <v>0.58853754710221351</v>
      </c>
      <c r="Q102" s="2">
        <v>0.2515</v>
      </c>
      <c r="R102" s="2">
        <f t="shared" si="30"/>
        <v>0.56890561667631734</v>
      </c>
      <c r="S102" s="2">
        <f t="shared" si="31"/>
        <v>1.7159966196160274E-2</v>
      </c>
      <c r="T102" s="5">
        <f t="shared" si="44"/>
        <v>3.4622872932316931E-2</v>
      </c>
      <c r="U102" s="2" t="str">
        <f t="shared" si="33"/>
        <v>No Impact</v>
      </c>
      <c r="V102" s="2">
        <f t="shared" si="34"/>
        <v>1.6868908049189172E-2</v>
      </c>
      <c r="W102" s="2">
        <f t="shared" si="35"/>
        <v>3.038713254058216E-2</v>
      </c>
      <c r="X102" s="2" t="s">
        <v>1176</v>
      </c>
      <c r="Y102" s="2">
        <f t="shared" si="36"/>
        <v>1.7451024343131376E-2</v>
      </c>
      <c r="Z102" s="2">
        <f t="shared" si="37"/>
        <v>3.7027839661424145E-2</v>
      </c>
      <c r="AA102" s="2" t="str">
        <f t="shared" si="38"/>
        <v>No Impact</v>
      </c>
      <c r="AB102" s="2">
        <f t="shared" si="39"/>
        <v>1.2268642522231296E-2</v>
      </c>
      <c r="AC102" s="2">
        <f t="shared" si="40"/>
        <v>3.4101944414934734E-2</v>
      </c>
      <c r="AD102" s="2" t="str">
        <f t="shared" si="41"/>
        <v>No Impact</v>
      </c>
      <c r="AE102" s="2">
        <f t="shared" si="42"/>
        <v>3.2263354345019239E-3</v>
      </c>
      <c r="AF102" s="2">
        <f t="shared" si="43"/>
        <v>1.6621233164622357E-2</v>
      </c>
      <c r="AG102" s="2" t="s">
        <v>1176</v>
      </c>
    </row>
    <row r="103" spans="1:33" x14ac:dyDescent="0.3">
      <c r="A103">
        <v>201967</v>
      </c>
      <c r="B103" t="s">
        <v>220</v>
      </c>
      <c r="C103" t="s">
        <v>1155</v>
      </c>
      <c r="D103" t="s">
        <v>221</v>
      </c>
      <c r="E103" s="18">
        <v>4.4000000000000004</v>
      </c>
      <c r="F103" s="19">
        <f t="shared" si="24"/>
        <v>0.26666666666666672</v>
      </c>
      <c r="G103" s="2">
        <v>54.358660800000003</v>
      </c>
      <c r="H103" s="2">
        <f t="shared" si="25"/>
        <v>0.21927292890884345</v>
      </c>
      <c r="I103" s="2">
        <v>15</v>
      </c>
      <c r="J103" s="4">
        <f t="shared" si="26"/>
        <v>7.2780203784570605E-2</v>
      </c>
      <c r="K103" s="2">
        <v>0</v>
      </c>
      <c r="L103" s="4">
        <f t="shared" si="27"/>
        <v>0</v>
      </c>
      <c r="M103" s="2">
        <v>64652</v>
      </c>
      <c r="N103" s="2">
        <f t="shared" si="28"/>
        <v>0.30476501398134875</v>
      </c>
      <c r="O103" s="2">
        <v>0.467173277</v>
      </c>
      <c r="P103" s="2">
        <f t="shared" si="29"/>
        <v>0.46222344583555236</v>
      </c>
      <c r="Q103" s="2">
        <v>0.24790000000000001</v>
      </c>
      <c r="R103" s="2">
        <f t="shared" si="30"/>
        <v>0.55848291835552988</v>
      </c>
      <c r="S103" s="2">
        <f t="shared" si="31"/>
        <v>1.3911356257031821E-2</v>
      </c>
      <c r="T103" s="5">
        <f t="shared" si="44"/>
        <v>2.8068302378776212E-2</v>
      </c>
      <c r="U103" s="2" t="str">
        <f t="shared" si="33"/>
        <v>No Impact</v>
      </c>
      <c r="V103" s="2">
        <f t="shared" si="34"/>
        <v>1.5223290680405987E-2</v>
      </c>
      <c r="W103" s="2">
        <f t="shared" si="35"/>
        <v>2.7422767985953962E-2</v>
      </c>
      <c r="X103" s="2" t="s">
        <v>1176</v>
      </c>
      <c r="Y103" s="2">
        <f t="shared" si="36"/>
        <v>1.2599421833657649E-2</v>
      </c>
      <c r="Z103" s="2">
        <f t="shared" si="37"/>
        <v>2.6733638227199274E-2</v>
      </c>
      <c r="AA103" s="2" t="str">
        <f t="shared" si="38"/>
        <v>No Impact</v>
      </c>
      <c r="AB103" s="2">
        <f t="shared" si="39"/>
        <v>1.2015559139147156E-2</v>
      </c>
      <c r="AC103" s="2">
        <f t="shared" si="40"/>
        <v>3.3398473313984496E-2</v>
      </c>
      <c r="AD103" s="2" t="str">
        <f t="shared" si="41"/>
        <v>No Impact</v>
      </c>
      <c r="AE103" s="2">
        <f t="shared" si="42"/>
        <v>8.3073738597364711E-3</v>
      </c>
      <c r="AF103" s="2">
        <f t="shared" si="43"/>
        <v>4.2797409231469151E-2</v>
      </c>
      <c r="AG103" s="2" t="s">
        <v>1175</v>
      </c>
    </row>
    <row r="104" spans="1:33" x14ac:dyDescent="0.3">
      <c r="A104">
        <v>201972</v>
      </c>
      <c r="B104" t="s">
        <v>222</v>
      </c>
      <c r="C104" t="s">
        <v>1155</v>
      </c>
      <c r="D104" s="15" t="s">
        <v>223</v>
      </c>
      <c r="E104" s="18">
        <v>4.4000000000000004</v>
      </c>
      <c r="F104" s="19">
        <f t="shared" si="24"/>
        <v>0.26666666666666672</v>
      </c>
      <c r="G104" s="2">
        <v>59.732575199999999</v>
      </c>
      <c r="H104" s="2">
        <f t="shared" si="25"/>
        <v>0.27123018689978912</v>
      </c>
      <c r="I104" s="2">
        <v>22.2</v>
      </c>
      <c r="J104" s="4">
        <f t="shared" si="26"/>
        <v>0.10771470160116449</v>
      </c>
      <c r="K104" s="2">
        <v>0</v>
      </c>
      <c r="L104" s="4">
        <f t="shared" si="27"/>
        <v>0</v>
      </c>
      <c r="M104" s="2">
        <v>22886</v>
      </c>
      <c r="N104" s="2">
        <f t="shared" si="28"/>
        <v>0.10715248896396076</v>
      </c>
      <c r="O104" s="2">
        <v>0.53604333400000004</v>
      </c>
      <c r="P104" s="2">
        <f t="shared" si="29"/>
        <v>0.5417814562738551</v>
      </c>
      <c r="Q104" s="2">
        <v>0.21959999999999999</v>
      </c>
      <c r="R104" s="2">
        <f t="shared" si="30"/>
        <v>0.47654892877822813</v>
      </c>
      <c r="S104" s="2">
        <f t="shared" si="31"/>
        <v>1.8008251063632429E-2</v>
      </c>
      <c r="T104" s="5">
        <f t="shared" si="44"/>
        <v>3.633441821400097E-2</v>
      </c>
      <c r="U104" s="2" t="str">
        <f t="shared" si="33"/>
        <v>No Impact</v>
      </c>
      <c r="V104" s="2">
        <f t="shared" si="34"/>
        <v>1.6854672863570688E-2</v>
      </c>
      <c r="W104" s="2">
        <f t="shared" si="35"/>
        <v>3.0361489714688078E-2</v>
      </c>
      <c r="X104" s="2" t="s">
        <v>1176</v>
      </c>
      <c r="Y104" s="2">
        <f t="shared" si="36"/>
        <v>1.9161829263694159E-2</v>
      </c>
      <c r="Z104" s="2">
        <f t="shared" si="37"/>
        <v>4.0657850659346302E-2</v>
      </c>
      <c r="AA104" s="2" t="str">
        <f t="shared" si="38"/>
        <v>No Impact</v>
      </c>
      <c r="AB104" s="2">
        <f t="shared" si="39"/>
        <v>1.2974110622137552E-2</v>
      </c>
      <c r="AC104" s="2">
        <f t="shared" si="40"/>
        <v>3.6062865020936495E-2</v>
      </c>
      <c r="AD104" s="2" t="str">
        <f t="shared" si="41"/>
        <v>No Impact</v>
      </c>
      <c r="AE104" s="2">
        <f t="shared" si="42"/>
        <v>3.7897895450844589E-3</v>
      </c>
      <c r="AF104" s="2">
        <f t="shared" si="43"/>
        <v>1.9524000821514495E-2</v>
      </c>
      <c r="AG104" s="2" t="s">
        <v>1176</v>
      </c>
    </row>
    <row r="105" spans="1:33" x14ac:dyDescent="0.3">
      <c r="A105">
        <v>201973</v>
      </c>
      <c r="B105" t="s">
        <v>1171</v>
      </c>
      <c r="C105" t="s">
        <v>1155</v>
      </c>
      <c r="D105" s="9" t="s">
        <v>1163</v>
      </c>
      <c r="E105" s="20">
        <v>4.4000000000000004</v>
      </c>
      <c r="F105" s="19">
        <f t="shared" si="24"/>
        <v>0.26666666666666672</v>
      </c>
      <c r="G105" s="2">
        <v>59.732575199999999</v>
      </c>
      <c r="H105" s="2">
        <f t="shared" si="25"/>
        <v>0.27123018689978912</v>
      </c>
      <c r="I105" s="2">
        <v>22.2</v>
      </c>
      <c r="J105" s="4">
        <f t="shared" si="26"/>
        <v>0.10771470160116449</v>
      </c>
      <c r="K105" s="2">
        <v>0</v>
      </c>
      <c r="L105" s="4">
        <f t="shared" si="27"/>
        <v>0</v>
      </c>
      <c r="M105" s="2">
        <v>22886</v>
      </c>
      <c r="N105" s="2">
        <f t="shared" si="28"/>
        <v>0.10715248896396076</v>
      </c>
      <c r="O105" s="2">
        <v>0.53604333400000004</v>
      </c>
      <c r="P105" s="2">
        <f t="shared" si="29"/>
        <v>0.5417814562738551</v>
      </c>
      <c r="Q105" s="2">
        <v>0.21959999999999999</v>
      </c>
      <c r="R105" s="2">
        <f t="shared" si="30"/>
        <v>0.47654892877822813</v>
      </c>
      <c r="S105" s="2">
        <f t="shared" si="31"/>
        <v>1.8008251063632429E-2</v>
      </c>
      <c r="T105" s="5">
        <f t="shared" si="44"/>
        <v>3.633441821400097E-2</v>
      </c>
      <c r="U105" s="2" t="str">
        <f t="shared" si="33"/>
        <v>No Impact</v>
      </c>
      <c r="V105" s="2">
        <f t="shared" si="34"/>
        <v>1.6854672863570688E-2</v>
      </c>
      <c r="W105" s="2">
        <f t="shared" si="35"/>
        <v>3.0361489714688078E-2</v>
      </c>
      <c r="X105" s="2" t="s">
        <v>1176</v>
      </c>
      <c r="Y105" s="2">
        <f t="shared" si="36"/>
        <v>1.9161829263694159E-2</v>
      </c>
      <c r="Z105" s="2">
        <f t="shared" si="37"/>
        <v>4.0657850659346302E-2</v>
      </c>
      <c r="AA105" s="2" t="str">
        <f t="shared" si="38"/>
        <v>No Impact</v>
      </c>
      <c r="AB105" s="2">
        <f t="shared" si="39"/>
        <v>1.2974110622137552E-2</v>
      </c>
      <c r="AC105" s="2">
        <f t="shared" si="40"/>
        <v>3.6062865020936495E-2</v>
      </c>
      <c r="AD105" s="2" t="str">
        <f t="shared" si="41"/>
        <v>No Impact</v>
      </c>
      <c r="AE105" s="2">
        <f t="shared" si="42"/>
        <v>3.7897895450844589E-3</v>
      </c>
      <c r="AF105" s="2">
        <f t="shared" si="43"/>
        <v>1.9524000821514495E-2</v>
      </c>
      <c r="AG105" s="2" t="s">
        <v>1176</v>
      </c>
    </row>
    <row r="106" spans="1:33" x14ac:dyDescent="0.3">
      <c r="A106">
        <v>201974</v>
      </c>
      <c r="B106" t="s">
        <v>224</v>
      </c>
      <c r="C106" t="s">
        <v>1155</v>
      </c>
      <c r="D106" t="s">
        <v>225</v>
      </c>
      <c r="E106" s="18">
        <v>4.4000000000000004</v>
      </c>
      <c r="F106" s="19">
        <f t="shared" si="24"/>
        <v>0.26666666666666672</v>
      </c>
      <c r="G106" s="2">
        <v>64.700153999999998</v>
      </c>
      <c r="H106" s="2">
        <f t="shared" si="25"/>
        <v>0.3192588219115326</v>
      </c>
      <c r="I106" s="2">
        <v>25.1</v>
      </c>
      <c r="J106" s="4">
        <f t="shared" si="26"/>
        <v>0.12178554099951482</v>
      </c>
      <c r="K106" s="2">
        <v>0</v>
      </c>
      <c r="L106" s="4">
        <f t="shared" si="27"/>
        <v>0</v>
      </c>
      <c r="M106" s="2">
        <v>12259</v>
      </c>
      <c r="N106" s="2">
        <f t="shared" si="28"/>
        <v>5.6871679133960719E-2</v>
      </c>
      <c r="O106" s="2">
        <v>0.56567894399999996</v>
      </c>
      <c r="P106" s="2">
        <f t="shared" si="29"/>
        <v>0.57601622058841728</v>
      </c>
      <c r="Q106" s="2">
        <v>0.22919999999999999</v>
      </c>
      <c r="R106" s="2">
        <f t="shared" si="30"/>
        <v>0.50434279096699475</v>
      </c>
      <c r="S106" s="2">
        <f t="shared" si="31"/>
        <v>2.2236025091777731E-2</v>
      </c>
      <c r="T106" s="5">
        <f t="shared" si="44"/>
        <v>4.4864603022627111E-2</v>
      </c>
      <c r="U106" s="2" t="str">
        <f t="shared" si="33"/>
        <v>No Impact</v>
      </c>
      <c r="V106" s="2">
        <f t="shared" si="34"/>
        <v>2.0760837526876325E-2</v>
      </c>
      <c r="W106" s="2">
        <f t="shared" si="35"/>
        <v>3.7397934694000906E-2</v>
      </c>
      <c r="X106" s="2" t="s">
        <v>1176</v>
      </c>
      <c r="Y106" s="2">
        <f t="shared" si="36"/>
        <v>2.3711212656679134E-2</v>
      </c>
      <c r="Z106" s="2">
        <f t="shared" si="37"/>
        <v>5.0310799135124221E-2</v>
      </c>
      <c r="AA106" s="2" t="str">
        <f t="shared" si="38"/>
        <v>No Impact</v>
      </c>
      <c r="AB106" s="2">
        <f t="shared" si="39"/>
        <v>1.5199032758793548E-2</v>
      </c>
      <c r="AC106" s="2">
        <f t="shared" si="40"/>
        <v>4.2247263245459986E-2</v>
      </c>
      <c r="AD106" s="2" t="str">
        <f t="shared" si="41"/>
        <v>No Impact</v>
      </c>
      <c r="AE106" s="2">
        <f t="shared" si="42"/>
        <v>2.3410737925231265E-3</v>
      </c>
      <c r="AF106" s="2">
        <f t="shared" si="43"/>
        <v>1.206059758852096E-2</v>
      </c>
      <c r="AG106" s="2" t="s">
        <v>1176</v>
      </c>
    </row>
    <row r="107" spans="1:33" x14ac:dyDescent="0.3">
      <c r="A107">
        <v>201975</v>
      </c>
      <c r="B107" t="s">
        <v>226</v>
      </c>
      <c r="C107" t="s">
        <v>1155</v>
      </c>
      <c r="D107" t="s">
        <v>227</v>
      </c>
      <c r="E107" s="18">
        <v>3.2</v>
      </c>
      <c r="F107" s="19">
        <f t="shared" si="24"/>
        <v>0</v>
      </c>
      <c r="G107" s="2">
        <v>53.096392799999997</v>
      </c>
      <c r="H107" s="2">
        <f t="shared" si="25"/>
        <v>0.20706879254788554</v>
      </c>
      <c r="I107" s="2">
        <v>27.1</v>
      </c>
      <c r="J107" s="4">
        <f t="shared" si="26"/>
        <v>0.13148956817079088</v>
      </c>
      <c r="K107" s="2">
        <v>0</v>
      </c>
      <c r="L107" s="4">
        <f t="shared" si="27"/>
        <v>0</v>
      </c>
      <c r="M107" s="2">
        <v>18727</v>
      </c>
      <c r="N107" s="2">
        <f t="shared" si="28"/>
        <v>8.7474509469938913E-2</v>
      </c>
      <c r="O107" s="2">
        <v>0.40820194199999998</v>
      </c>
      <c r="P107" s="2">
        <f t="shared" si="29"/>
        <v>0.39410034140004069</v>
      </c>
      <c r="Q107" s="2">
        <v>0.21029999999999999</v>
      </c>
      <c r="R107" s="2">
        <f t="shared" si="30"/>
        <v>0.44962362478286044</v>
      </c>
      <c r="S107" s="2">
        <f t="shared" si="31"/>
        <v>0</v>
      </c>
      <c r="T107" s="5">
        <f t="shared" si="44"/>
        <v>0</v>
      </c>
      <c r="U107" s="2" t="str">
        <f t="shared" si="33"/>
        <v>No Impact</v>
      </c>
      <c r="V107" s="2">
        <f t="shared" si="34"/>
        <v>0</v>
      </c>
      <c r="W107" s="2">
        <f t="shared" si="35"/>
        <v>0</v>
      </c>
      <c r="X107" s="2" t="s">
        <v>1176</v>
      </c>
      <c r="Y107" s="2">
        <f t="shared" si="36"/>
        <v>0</v>
      </c>
      <c r="Z107" s="2">
        <f t="shared" si="37"/>
        <v>0</v>
      </c>
      <c r="AA107" s="2" t="str">
        <f t="shared" si="38"/>
        <v>No Impact</v>
      </c>
      <c r="AB107" s="2">
        <f t="shared" si="39"/>
        <v>0</v>
      </c>
      <c r="AC107" s="2">
        <f t="shared" si="40"/>
        <v>0</v>
      </c>
      <c r="AD107" s="2" t="str">
        <f t="shared" si="41"/>
        <v>No Impact</v>
      </c>
      <c r="AE107" s="2">
        <f t="shared" si="42"/>
        <v>0</v>
      </c>
      <c r="AF107" s="2">
        <f t="shared" si="43"/>
        <v>0</v>
      </c>
      <c r="AG107" s="2" t="s">
        <v>1176</v>
      </c>
    </row>
    <row r="108" spans="1:33" x14ac:dyDescent="0.3">
      <c r="A108">
        <v>201981</v>
      </c>
      <c r="B108" t="s">
        <v>228</v>
      </c>
      <c r="C108" t="s">
        <v>1155</v>
      </c>
      <c r="D108" t="s">
        <v>229</v>
      </c>
      <c r="E108" s="18">
        <v>4.4000000000000004</v>
      </c>
      <c r="F108" s="19">
        <f t="shared" si="24"/>
        <v>0.26666666666666672</v>
      </c>
      <c r="G108" s="2">
        <v>54.358660800000003</v>
      </c>
      <c r="H108" s="2">
        <f t="shared" si="25"/>
        <v>0.21927292890884345</v>
      </c>
      <c r="I108" s="2">
        <v>22.3</v>
      </c>
      <c r="J108" s="4">
        <f t="shared" si="26"/>
        <v>0.1081999029597283</v>
      </c>
      <c r="K108" s="2">
        <v>0</v>
      </c>
      <c r="L108" s="4">
        <f t="shared" si="27"/>
        <v>0</v>
      </c>
      <c r="M108" s="2">
        <v>60123</v>
      </c>
      <c r="N108" s="2">
        <f t="shared" si="28"/>
        <v>0.28333640875691379</v>
      </c>
      <c r="O108" s="2">
        <v>0.17864665699999999</v>
      </c>
      <c r="P108" s="2">
        <f t="shared" si="29"/>
        <v>0.12892034074754308</v>
      </c>
      <c r="Q108" s="2">
        <v>0.24490000000000001</v>
      </c>
      <c r="R108" s="2">
        <f t="shared" si="30"/>
        <v>0.54979733642154027</v>
      </c>
      <c r="S108" s="2">
        <f t="shared" si="31"/>
        <v>1.0372207989818211E-2</v>
      </c>
      <c r="T108" s="5">
        <f t="shared" si="44"/>
        <v>2.0927526030872619E-2</v>
      </c>
      <c r="U108" s="2" t="str">
        <f t="shared" si="33"/>
        <v>No Impact</v>
      </c>
      <c r="V108" s="2">
        <f t="shared" si="34"/>
        <v>1.6804077799764235E-2</v>
      </c>
      <c r="W108" s="2">
        <f t="shared" si="35"/>
        <v>3.0270349321646465E-2</v>
      </c>
      <c r="X108" s="2" t="s">
        <v>1176</v>
      </c>
      <c r="Y108" s="2">
        <f t="shared" si="36"/>
        <v>3.9403381798721882E-3</v>
      </c>
      <c r="Z108" s="2">
        <f t="shared" si="37"/>
        <v>8.3606674007948144E-3</v>
      </c>
      <c r="AA108" s="2" t="str">
        <f t="shared" si="38"/>
        <v>No Impact</v>
      </c>
      <c r="AB108" s="2">
        <f t="shared" si="39"/>
        <v>1.0094504571351E-2</v>
      </c>
      <c r="AC108" s="2">
        <f t="shared" si="40"/>
        <v>2.8058706019409647E-2</v>
      </c>
      <c r="AD108" s="2" t="str">
        <f t="shared" si="41"/>
        <v>No Impact</v>
      </c>
      <c r="AE108" s="2">
        <f t="shared" si="42"/>
        <v>8.659931107062457E-3</v>
      </c>
      <c r="AF108" s="2">
        <f t="shared" si="43"/>
        <v>4.461369161457706E-2</v>
      </c>
      <c r="AG108" s="2" t="s">
        <v>1175</v>
      </c>
    </row>
    <row r="109" spans="1:33" x14ac:dyDescent="0.3">
      <c r="A109">
        <v>201987</v>
      </c>
      <c r="B109" t="s">
        <v>230</v>
      </c>
      <c r="C109" t="s">
        <v>1155</v>
      </c>
      <c r="D109" t="s">
        <v>231</v>
      </c>
      <c r="E109" s="18">
        <v>4.4000000000000004</v>
      </c>
      <c r="F109" s="19">
        <f t="shared" si="24"/>
        <v>0.26666666666666672</v>
      </c>
      <c r="G109" s="2">
        <v>59.8781952</v>
      </c>
      <c r="H109" s="2">
        <f t="shared" si="25"/>
        <v>0.27263810212609818</v>
      </c>
      <c r="I109" s="2">
        <v>21.8</v>
      </c>
      <c r="J109" s="4">
        <f t="shared" si="26"/>
        <v>0.10577389616690927</v>
      </c>
      <c r="K109" s="2">
        <v>0</v>
      </c>
      <c r="L109" s="4">
        <f t="shared" si="27"/>
        <v>0</v>
      </c>
      <c r="M109" s="2">
        <v>33417</v>
      </c>
      <c r="N109" s="2">
        <f t="shared" si="28"/>
        <v>0.15697908238823202</v>
      </c>
      <c r="O109" s="2">
        <v>0.58042974300000005</v>
      </c>
      <c r="P109" s="2">
        <f t="shared" si="29"/>
        <v>0.59305619807551757</v>
      </c>
      <c r="Q109" s="2">
        <v>0.2266</v>
      </c>
      <c r="R109" s="2">
        <f t="shared" si="30"/>
        <v>0.49681528662420388</v>
      </c>
      <c r="S109" s="2">
        <f t="shared" si="31"/>
        <v>1.9246287499030134E-2</v>
      </c>
      <c r="T109" s="5">
        <f t="shared" si="44"/>
        <v>3.8832347271573628E-2</v>
      </c>
      <c r="U109" s="2" t="str">
        <f t="shared" si="33"/>
        <v>No Impact</v>
      </c>
      <c r="V109" s="2">
        <f t="shared" si="34"/>
        <v>1.7546747436771308E-2</v>
      </c>
      <c r="W109" s="2">
        <f t="shared" si="35"/>
        <v>3.1608171581854042E-2</v>
      </c>
      <c r="X109" s="2" t="s">
        <v>1176</v>
      </c>
      <c r="Y109" s="2">
        <f t="shared" si="36"/>
        <v>2.094582756128896E-2</v>
      </c>
      <c r="Z109" s="2">
        <f t="shared" si="37"/>
        <v>4.4443164439255951E-2</v>
      </c>
      <c r="AA109" s="2" t="str">
        <f t="shared" si="38"/>
        <v>No Impact</v>
      </c>
      <c r="AB109" s="2">
        <f t="shared" si="39"/>
        <v>1.4365600300976609E-2</v>
      </c>
      <c r="AC109" s="2">
        <f t="shared" si="40"/>
        <v>3.993065264256937E-2</v>
      </c>
      <c r="AD109" s="2" t="str">
        <f t="shared" si="41"/>
        <v>No Impact</v>
      </c>
      <c r="AE109" s="2">
        <f t="shared" si="42"/>
        <v>5.5442583706284644E-3</v>
      </c>
      <c r="AF109" s="2">
        <f t="shared" si="43"/>
        <v>2.8562563618668272E-2</v>
      </c>
      <c r="AG109" s="2" t="s">
        <v>1176</v>
      </c>
    </row>
    <row r="110" spans="1:33" x14ac:dyDescent="0.3">
      <c r="A110">
        <v>201994</v>
      </c>
      <c r="B110" t="s">
        <v>232</v>
      </c>
      <c r="C110" t="s">
        <v>1155</v>
      </c>
      <c r="D110" t="s">
        <v>233</v>
      </c>
      <c r="E110" s="18">
        <v>4.3</v>
      </c>
      <c r="F110" s="19">
        <f t="shared" si="24"/>
        <v>0.24444444444444435</v>
      </c>
      <c r="G110" s="2">
        <v>53.096392799999997</v>
      </c>
      <c r="H110" s="2">
        <f t="shared" si="25"/>
        <v>0.20706879254788554</v>
      </c>
      <c r="I110" s="2">
        <v>27.1</v>
      </c>
      <c r="J110" s="4">
        <f t="shared" si="26"/>
        <v>0.13148956817079088</v>
      </c>
      <c r="K110" s="2">
        <v>0</v>
      </c>
      <c r="L110" s="4">
        <f t="shared" si="27"/>
        <v>0</v>
      </c>
      <c r="M110" s="2">
        <v>27825</v>
      </c>
      <c r="N110" s="2">
        <f t="shared" si="28"/>
        <v>0.13052097675452914</v>
      </c>
      <c r="O110" s="2">
        <v>0.49506799099999999</v>
      </c>
      <c r="P110" s="2">
        <f t="shared" si="29"/>
        <v>0.49444714426497965</v>
      </c>
      <c r="Q110" s="2">
        <v>0.24149999999999999</v>
      </c>
      <c r="R110" s="2">
        <f t="shared" si="30"/>
        <v>0.5399536768963521</v>
      </c>
      <c r="S110" s="2">
        <f t="shared" si="31"/>
        <v>1.4980993648921862E-2</v>
      </c>
      <c r="T110" s="5">
        <f t="shared" si="44"/>
        <v>3.0226460447371387E-2</v>
      </c>
      <c r="U110" s="2" t="str">
        <f t="shared" si="33"/>
        <v>No Impact</v>
      </c>
      <c r="V110" s="2">
        <f t="shared" si="34"/>
        <v>1.5640054491091009E-2</v>
      </c>
      <c r="W110" s="2">
        <f t="shared" si="35"/>
        <v>2.8173513506439062E-2</v>
      </c>
      <c r="X110" s="2" t="s">
        <v>1176</v>
      </c>
      <c r="Y110" s="2">
        <f t="shared" si="36"/>
        <v>1.4321932806752712E-2</v>
      </c>
      <c r="Z110" s="2">
        <f t="shared" si="37"/>
        <v>3.0388487299248815E-2</v>
      </c>
      <c r="AA110" s="2" t="str">
        <f t="shared" si="38"/>
        <v>No Impact</v>
      </c>
      <c r="AB110" s="2">
        <f t="shared" si="39"/>
        <v>1.1093813009127337E-2</v>
      </c>
      <c r="AC110" s="2">
        <f t="shared" si="40"/>
        <v>3.0836385843128731E-2</v>
      </c>
      <c r="AD110" s="2" t="str">
        <f t="shared" si="41"/>
        <v>No Impact</v>
      </c>
      <c r="AE110" s="2">
        <f t="shared" si="42"/>
        <v>3.7806117006276285E-3</v>
      </c>
      <c r="AF110" s="2">
        <f t="shared" si="43"/>
        <v>1.9476718976287149E-2</v>
      </c>
      <c r="AG110" s="2" t="s">
        <v>1176</v>
      </c>
    </row>
    <row r="111" spans="1:33" x14ac:dyDescent="0.3">
      <c r="A111">
        <v>202216</v>
      </c>
      <c r="B111" t="s">
        <v>234</v>
      </c>
      <c r="C111" t="s">
        <v>235</v>
      </c>
      <c r="D111" t="s">
        <v>236</v>
      </c>
      <c r="E111" s="18">
        <v>7.1</v>
      </c>
      <c r="F111" s="19">
        <f t="shared" si="24"/>
        <v>0.86666666666666659</v>
      </c>
      <c r="G111" s="2">
        <v>68.697421199999994</v>
      </c>
      <c r="H111" s="2">
        <f t="shared" si="25"/>
        <v>0.35790607747056136</v>
      </c>
      <c r="I111" s="2">
        <v>13.8</v>
      </c>
      <c r="J111" s="4">
        <f t="shared" si="26"/>
        <v>6.6957787481804948E-2</v>
      </c>
      <c r="K111" s="2">
        <v>0</v>
      </c>
      <c r="L111" s="4">
        <f t="shared" si="27"/>
        <v>0</v>
      </c>
      <c r="M111" s="2">
        <v>58413</v>
      </c>
      <c r="N111" s="2">
        <f t="shared" si="28"/>
        <v>0.27524567902986946</v>
      </c>
      <c r="O111" s="2">
        <v>0.39757646800000002</v>
      </c>
      <c r="P111" s="2">
        <f t="shared" si="29"/>
        <v>0.38182589865631084</v>
      </c>
      <c r="Q111" s="2">
        <v>0.26290000000000002</v>
      </c>
      <c r="R111" s="2">
        <f t="shared" si="30"/>
        <v>0.6019108280254778</v>
      </c>
      <c r="S111" s="2">
        <f t="shared" si="31"/>
        <v>6.338971848203151E-2</v>
      </c>
      <c r="T111" s="5">
        <f t="shared" si="44"/>
        <v>0.12789851350114048</v>
      </c>
      <c r="U111" s="2" t="str">
        <f t="shared" si="33"/>
        <v>No Impact</v>
      </c>
      <c r="V111" s="2">
        <f t="shared" si="34"/>
        <v>7.757148209464701E-2</v>
      </c>
      <c r="W111" s="2">
        <f t="shared" si="35"/>
        <v>0.13973488390036815</v>
      </c>
      <c r="X111" s="2" t="s">
        <v>1176</v>
      </c>
      <c r="Y111" s="2">
        <f t="shared" si="36"/>
        <v>4.9207954869415989E-2</v>
      </c>
      <c r="Z111" s="2">
        <f t="shared" si="37"/>
        <v>0.10441016109684616</v>
      </c>
      <c r="AA111" s="2" t="str">
        <f t="shared" si="38"/>
        <v>No Impact</v>
      </c>
      <c r="AB111" s="2">
        <f t="shared" si="39"/>
        <v>5.4327741476216558E-2</v>
      </c>
      <c r="AC111" s="2">
        <f t="shared" si="40"/>
        <v>0.15100950383497966</v>
      </c>
      <c r="AD111" s="2" t="str">
        <f t="shared" si="41"/>
        <v>Low</v>
      </c>
      <c r="AE111" s="2">
        <f t="shared" si="42"/>
        <v>3.5472389377900877E-2</v>
      </c>
      <c r="AF111" s="2">
        <f t="shared" si="43"/>
        <v>0.18274443768348733</v>
      </c>
      <c r="AG111" s="2" t="s">
        <v>1175</v>
      </c>
    </row>
    <row r="112" spans="1:33" x14ac:dyDescent="0.3">
      <c r="A112">
        <v>202224</v>
      </c>
      <c r="B112" t="s">
        <v>237</v>
      </c>
      <c r="C112" t="s">
        <v>235</v>
      </c>
      <c r="D112" s="15" t="s">
        <v>238</v>
      </c>
      <c r="E112" s="18">
        <v>7.1</v>
      </c>
      <c r="F112" s="19">
        <f t="shared" si="24"/>
        <v>0.86666666666666659</v>
      </c>
      <c r="G112" s="2">
        <v>61.154366400000001</v>
      </c>
      <c r="H112" s="2">
        <f t="shared" si="25"/>
        <v>0.28497666045501663</v>
      </c>
      <c r="I112" s="2">
        <v>16.8</v>
      </c>
      <c r="J112" s="4">
        <f t="shared" si="26"/>
        <v>8.1513828238719069E-2</v>
      </c>
      <c r="K112" s="2">
        <v>0</v>
      </c>
      <c r="L112" s="4">
        <f t="shared" si="27"/>
        <v>0</v>
      </c>
      <c r="M112" s="2">
        <v>22156.5</v>
      </c>
      <c r="N112" s="2">
        <f t="shared" si="28"/>
        <v>0.10370091742251115</v>
      </c>
      <c r="O112" s="2">
        <v>0.47690485999999999</v>
      </c>
      <c r="P112" s="2">
        <f t="shared" si="29"/>
        <v>0.4734652745143817</v>
      </c>
      <c r="Q112" s="2">
        <v>0.2409</v>
      </c>
      <c r="R112" s="2">
        <f t="shared" si="30"/>
        <v>0.53821656050955424</v>
      </c>
      <c r="S112" s="2">
        <f t="shared" si="31"/>
        <v>5.6233718468275462E-2</v>
      </c>
      <c r="T112" s="5">
        <f t="shared" si="44"/>
        <v>0.11346018207625846</v>
      </c>
      <c r="U112" s="2" t="str">
        <f t="shared" si="33"/>
        <v>No Impact</v>
      </c>
      <c r="V112" s="2">
        <f t="shared" si="34"/>
        <v>5.9832879252876447E-2</v>
      </c>
      <c r="W112" s="2">
        <f t="shared" si="35"/>
        <v>0.10778110988809363</v>
      </c>
      <c r="X112" s="2" t="s">
        <v>1176</v>
      </c>
      <c r="Y112" s="2">
        <f t="shared" si="36"/>
        <v>5.2634557683674463E-2</v>
      </c>
      <c r="Z112" s="2">
        <f t="shared" si="37"/>
        <v>0.11168077725638906</v>
      </c>
      <c r="AA112" s="2" t="str">
        <f t="shared" si="38"/>
        <v>No Impact</v>
      </c>
      <c r="AB112" s="2">
        <f t="shared" si="39"/>
        <v>4.0766781666767928E-2</v>
      </c>
      <c r="AC112" s="2">
        <f t="shared" si="40"/>
        <v>0.11331543158558507</v>
      </c>
      <c r="AD112" s="2" t="str">
        <f t="shared" si="41"/>
        <v>No Impact</v>
      </c>
      <c r="AE112" s="2">
        <f t="shared" si="42"/>
        <v>1.1528304637596668E-2</v>
      </c>
      <c r="AF112" s="2">
        <f t="shared" si="43"/>
        <v>5.9390799023931184E-2</v>
      </c>
      <c r="AG112" s="2" t="s">
        <v>1175</v>
      </c>
    </row>
    <row r="113" spans="1:33" x14ac:dyDescent="0.3">
      <c r="A113">
        <v>202232</v>
      </c>
      <c r="B113" t="s">
        <v>1172</v>
      </c>
      <c r="C113" t="s">
        <v>235</v>
      </c>
      <c r="D113" s="9" t="s">
        <v>1164</v>
      </c>
      <c r="E113" s="18">
        <v>7.1</v>
      </c>
      <c r="F113" s="19">
        <f t="shared" si="24"/>
        <v>0.86666666666666659</v>
      </c>
      <c r="G113" s="2">
        <v>61.154366400000001</v>
      </c>
      <c r="H113" s="2">
        <f t="shared" si="25"/>
        <v>0.28497666045501663</v>
      </c>
      <c r="I113" s="2">
        <v>16.8</v>
      </c>
      <c r="J113" s="4">
        <f t="shared" si="26"/>
        <v>8.1513828238719069E-2</v>
      </c>
      <c r="K113" s="2">
        <v>0</v>
      </c>
      <c r="L113" s="4">
        <f t="shared" si="27"/>
        <v>0</v>
      </c>
      <c r="M113" s="2">
        <v>22156.5</v>
      </c>
      <c r="N113" s="2">
        <f t="shared" si="28"/>
        <v>0.10370091742251115</v>
      </c>
      <c r="O113" s="2">
        <v>0.47690485999999999</v>
      </c>
      <c r="P113" s="2">
        <f t="shared" si="29"/>
        <v>0.4734652745143817</v>
      </c>
      <c r="Q113" s="2">
        <v>0.2409</v>
      </c>
      <c r="R113" s="2">
        <f t="shared" si="30"/>
        <v>0.53821656050955424</v>
      </c>
      <c r="S113" s="2">
        <f t="shared" si="31"/>
        <v>5.6233718468275462E-2</v>
      </c>
      <c r="T113" s="5"/>
      <c r="U113" s="2" t="str">
        <f t="shared" si="33"/>
        <v>No Impact</v>
      </c>
      <c r="V113" s="2">
        <f t="shared" si="34"/>
        <v>5.9832879252876447E-2</v>
      </c>
      <c r="W113" s="2">
        <f t="shared" si="35"/>
        <v>0.10778110988809363</v>
      </c>
      <c r="X113" s="2" t="s">
        <v>1176</v>
      </c>
      <c r="Y113" s="2">
        <f t="shared" si="36"/>
        <v>5.2634557683674463E-2</v>
      </c>
      <c r="Z113" s="2">
        <f t="shared" si="37"/>
        <v>0.11168077725638906</v>
      </c>
      <c r="AA113" s="2" t="str">
        <f t="shared" si="38"/>
        <v>No Impact</v>
      </c>
      <c r="AB113" s="2">
        <f t="shared" si="39"/>
        <v>4.0766781666767928E-2</v>
      </c>
      <c r="AC113" s="2">
        <f t="shared" si="40"/>
        <v>0.11331543158558507</v>
      </c>
      <c r="AD113" s="2" t="str">
        <f t="shared" si="41"/>
        <v>No Impact</v>
      </c>
      <c r="AE113" s="2">
        <f t="shared" si="42"/>
        <v>1.1528304637596668E-2</v>
      </c>
      <c r="AF113" s="2">
        <f t="shared" si="43"/>
        <v>5.9390799023931184E-2</v>
      </c>
      <c r="AG113" s="2" t="s">
        <v>1175</v>
      </c>
    </row>
    <row r="114" spans="1:33" x14ac:dyDescent="0.3">
      <c r="A114">
        <v>202245</v>
      </c>
      <c r="B114" t="s">
        <v>239</v>
      </c>
      <c r="C114" t="s">
        <v>235</v>
      </c>
      <c r="D114" t="s">
        <v>240</v>
      </c>
      <c r="E114" s="18">
        <v>6.2</v>
      </c>
      <c r="F114" s="19">
        <f t="shared" si="24"/>
        <v>0.66666666666666663</v>
      </c>
      <c r="G114" s="2">
        <v>72.562572000000003</v>
      </c>
      <c r="H114" s="2">
        <f t="shared" si="25"/>
        <v>0.39527597627086802</v>
      </c>
      <c r="I114" s="2">
        <v>15.3</v>
      </c>
      <c r="J114" s="4">
        <f t="shared" si="26"/>
        <v>7.4235807860262015E-2</v>
      </c>
      <c r="K114" s="2">
        <v>0</v>
      </c>
      <c r="L114" s="4">
        <f t="shared" si="27"/>
        <v>0</v>
      </c>
      <c r="M114" s="2">
        <v>10526</v>
      </c>
      <c r="N114" s="2">
        <f t="shared" si="28"/>
        <v>4.8672126726377198E-2</v>
      </c>
      <c r="O114" s="2">
        <v>0.53253236999999998</v>
      </c>
      <c r="P114" s="2">
        <f t="shared" si="29"/>
        <v>0.53772562529696899</v>
      </c>
      <c r="Q114" s="2">
        <v>0.1188</v>
      </c>
      <c r="R114" s="2">
        <f t="shared" si="30"/>
        <v>0.18471337579617833</v>
      </c>
      <c r="S114" s="2">
        <f t="shared" si="31"/>
        <v>3.9572589505068069E-2</v>
      </c>
      <c r="T114" s="5">
        <f t="shared" ref="T114:T177" si="45">(S114-$AJ$10)/$AK$10</f>
        <v>7.9843790038659199E-2</v>
      </c>
      <c r="U114" s="2" t="str">
        <f t="shared" si="33"/>
        <v>No Impact</v>
      </c>
      <c r="V114" s="2">
        <f t="shared" si="34"/>
        <v>2.0235858212021098E-2</v>
      </c>
      <c r="W114" s="2">
        <f t="shared" si="35"/>
        <v>3.6452253090007776E-2</v>
      </c>
      <c r="X114" s="2" t="s">
        <v>1176</v>
      </c>
      <c r="Y114" s="2">
        <f t="shared" si="36"/>
        <v>5.8909320798115047E-2</v>
      </c>
      <c r="Z114" s="2">
        <f t="shared" si="37"/>
        <v>0.12499466175660594</v>
      </c>
      <c r="AA114" s="2" t="str">
        <f t="shared" si="38"/>
        <v>No Impact</v>
      </c>
      <c r="AB114" s="2">
        <f t="shared" si="39"/>
        <v>2.6621604473277116E-2</v>
      </c>
      <c r="AC114" s="2">
        <f t="shared" si="40"/>
        <v>7.3997467473603085E-2</v>
      </c>
      <c r="AD114" s="2" t="str">
        <f t="shared" si="41"/>
        <v>No Impact</v>
      </c>
      <c r="AE114" s="2">
        <f t="shared" si="42"/>
        <v>5.3321653132434883E-3</v>
      </c>
      <c r="AF114" s="2">
        <f t="shared" si="43"/>
        <v>2.7469915866765334E-2</v>
      </c>
      <c r="AG114" s="2" t="s">
        <v>1176</v>
      </c>
    </row>
    <row r="115" spans="1:33" x14ac:dyDescent="0.3">
      <c r="A115">
        <v>202249</v>
      </c>
      <c r="B115" t="s">
        <v>241</v>
      </c>
      <c r="C115" t="s">
        <v>235</v>
      </c>
      <c r="D115" t="s">
        <v>242</v>
      </c>
      <c r="E115" s="18">
        <v>6.2</v>
      </c>
      <c r="F115" s="19">
        <f t="shared" si="24"/>
        <v>0.66666666666666663</v>
      </c>
      <c r="G115" s="2">
        <v>82.114524000000003</v>
      </c>
      <c r="H115" s="2">
        <f t="shared" si="25"/>
        <v>0.48762825385480751</v>
      </c>
      <c r="I115" s="2">
        <v>24.3</v>
      </c>
      <c r="J115" s="4">
        <f t="shared" si="26"/>
        <v>0.11790393013100438</v>
      </c>
      <c r="K115" s="2">
        <v>0</v>
      </c>
      <c r="L115" s="4">
        <f t="shared" si="27"/>
        <v>0</v>
      </c>
      <c r="M115" s="2">
        <v>24265</v>
      </c>
      <c r="N115" s="2">
        <f t="shared" si="28"/>
        <v>0.11367711837541933</v>
      </c>
      <c r="O115" s="2">
        <v>0.40944507800000002</v>
      </c>
      <c r="P115" s="2">
        <f t="shared" si="29"/>
        <v>0.39553639984361405</v>
      </c>
      <c r="Q115" s="2">
        <v>0.25540000000000002</v>
      </c>
      <c r="R115" s="2">
        <f t="shared" si="30"/>
        <v>0.58019687319050384</v>
      </c>
      <c r="S115" s="2">
        <f t="shared" si="31"/>
        <v>6.8931088310930283E-2</v>
      </c>
      <c r="T115" s="5">
        <f t="shared" si="45"/>
        <v>0.13907908001646771</v>
      </c>
      <c r="U115" s="2" t="str">
        <f t="shared" si="33"/>
        <v>No Impact</v>
      </c>
      <c r="V115" s="2">
        <f t="shared" si="34"/>
        <v>8.197650527844981E-2</v>
      </c>
      <c r="W115" s="2">
        <f t="shared" si="35"/>
        <v>0.14766995728746785</v>
      </c>
      <c r="X115" s="2" t="s">
        <v>1176</v>
      </c>
      <c r="Y115" s="2">
        <f t="shared" si="36"/>
        <v>5.5885671343410749E-2</v>
      </c>
      <c r="Z115" s="2">
        <f t="shared" si="37"/>
        <v>0.11857903795139305</v>
      </c>
      <c r="AA115" s="2" t="str">
        <f t="shared" si="38"/>
        <v>No Impact</v>
      </c>
      <c r="AB115" s="2">
        <f t="shared" si="39"/>
        <v>5.1079015807472303E-2</v>
      </c>
      <c r="AC115" s="2">
        <f t="shared" si="40"/>
        <v>0.14197933917135563</v>
      </c>
      <c r="AD115" s="2" t="str">
        <f t="shared" si="41"/>
        <v>No Impact</v>
      </c>
      <c r="AE115" s="2">
        <f t="shared" si="42"/>
        <v>1.6061535877118976E-2</v>
      </c>
      <c r="AF115" s="2">
        <f t="shared" si="43"/>
        <v>8.2744816283107578E-2</v>
      </c>
      <c r="AG115" s="2" t="s">
        <v>1175</v>
      </c>
    </row>
    <row r="116" spans="1:33" x14ac:dyDescent="0.3">
      <c r="A116">
        <v>202256</v>
      </c>
      <c r="B116" t="s">
        <v>243</v>
      </c>
      <c r="C116" t="s">
        <v>235</v>
      </c>
      <c r="D116" t="s">
        <v>244</v>
      </c>
      <c r="E116" s="18">
        <v>7</v>
      </c>
      <c r="F116" s="19">
        <f t="shared" si="24"/>
        <v>0.84444444444444444</v>
      </c>
      <c r="G116" s="2">
        <v>68.697421199999994</v>
      </c>
      <c r="H116" s="2">
        <f t="shared" si="25"/>
        <v>0.35790607747056136</v>
      </c>
      <c r="I116" s="2">
        <v>15.3</v>
      </c>
      <c r="J116" s="4">
        <f t="shared" si="26"/>
        <v>7.4235807860262015E-2</v>
      </c>
      <c r="K116" s="2">
        <v>0</v>
      </c>
      <c r="L116" s="4">
        <f t="shared" si="27"/>
        <v>0</v>
      </c>
      <c r="M116" s="2">
        <v>24564</v>
      </c>
      <c r="N116" s="2">
        <f t="shared" si="28"/>
        <v>0.11509181322242883</v>
      </c>
      <c r="O116" s="2">
        <v>0.57244345200000002</v>
      </c>
      <c r="P116" s="2">
        <f t="shared" si="29"/>
        <v>0.58383051349765624</v>
      </c>
      <c r="Q116" s="2">
        <v>0.18129999999999999</v>
      </c>
      <c r="R116" s="2">
        <f t="shared" si="30"/>
        <v>0.3656629994209612</v>
      </c>
      <c r="S116" s="2">
        <f t="shared" si="31"/>
        <v>6.0635574368901157E-2</v>
      </c>
      <c r="T116" s="5">
        <f t="shared" si="45"/>
        <v>0.12234160385597241</v>
      </c>
      <c r="U116" s="2" t="str">
        <f t="shared" si="33"/>
        <v>No Impact</v>
      </c>
      <c r="V116" s="2">
        <f t="shared" si="34"/>
        <v>4.6703185843136062E-2</v>
      </c>
      <c r="W116" s="2">
        <f t="shared" si="35"/>
        <v>8.4129683684595738E-2</v>
      </c>
      <c r="X116" s="2" t="s">
        <v>1176</v>
      </c>
      <c r="Y116" s="2">
        <f t="shared" si="36"/>
        <v>7.4567962894666245E-2</v>
      </c>
      <c r="Z116" s="2">
        <f t="shared" si="37"/>
        <v>0.15821939845207289</v>
      </c>
      <c r="AA116" s="2" t="str">
        <f t="shared" si="38"/>
        <v>Low</v>
      </c>
      <c r="AB116" s="2">
        <f t="shared" si="39"/>
        <v>4.3861416094007455E-2</v>
      </c>
      <c r="AC116" s="2">
        <f t="shared" si="40"/>
        <v>0.12191728391203728</v>
      </c>
      <c r="AD116" s="2" t="str">
        <f t="shared" si="41"/>
        <v>No Impact</v>
      </c>
      <c r="AE116" s="2">
        <f t="shared" si="42"/>
        <v>1.4699749087171313E-2</v>
      </c>
      <c r="AF116" s="2">
        <f t="shared" si="43"/>
        <v>7.5729248244467792E-2</v>
      </c>
      <c r="AG116" s="2" t="s">
        <v>1175</v>
      </c>
    </row>
    <row r="117" spans="1:33" x14ac:dyDescent="0.3">
      <c r="A117">
        <v>202266</v>
      </c>
      <c r="B117" t="s">
        <v>245</v>
      </c>
      <c r="C117" t="s">
        <v>235</v>
      </c>
      <c r="D117" t="s">
        <v>246</v>
      </c>
      <c r="E117" s="18">
        <v>7</v>
      </c>
      <c r="F117" s="19">
        <f t="shared" si="24"/>
        <v>0.84444444444444444</v>
      </c>
      <c r="G117" s="2">
        <v>66.461482799999999</v>
      </c>
      <c r="H117" s="2">
        <f t="shared" si="25"/>
        <v>0.33628808736996318</v>
      </c>
      <c r="I117" s="2">
        <v>30.8</v>
      </c>
      <c r="J117" s="4">
        <f t="shared" si="26"/>
        <v>0.14944201843765162</v>
      </c>
      <c r="K117" s="2">
        <v>0</v>
      </c>
      <c r="L117" s="4">
        <f t="shared" si="27"/>
        <v>0</v>
      </c>
      <c r="M117" s="2">
        <v>42505</v>
      </c>
      <c r="N117" s="2">
        <f t="shared" si="28"/>
        <v>0.19997823546389215</v>
      </c>
      <c r="O117" s="2">
        <v>0.533609954</v>
      </c>
      <c r="P117" s="2">
        <f t="shared" si="29"/>
        <v>0.53897043970332492</v>
      </c>
      <c r="Q117" s="2">
        <v>0.31759999999999999</v>
      </c>
      <c r="R117" s="2">
        <f t="shared" si="30"/>
        <v>0.76027793862188775</v>
      </c>
      <c r="S117" s="2">
        <f t="shared" si="31"/>
        <v>9.326019883608766E-2</v>
      </c>
      <c r="T117" s="5">
        <f t="shared" si="45"/>
        <v>0.18816680505273858</v>
      </c>
      <c r="U117" s="2" t="str">
        <f t="shared" si="33"/>
        <v>Low</v>
      </c>
      <c r="V117" s="2">
        <f t="shared" si="34"/>
        <v>0.10914567669957918</v>
      </c>
      <c r="W117" s="2">
        <f t="shared" si="35"/>
        <v>0.19661166771616026</v>
      </c>
      <c r="X117" s="2" t="s">
        <v>1175</v>
      </c>
      <c r="Y117" s="2">
        <f t="shared" si="36"/>
        <v>7.7374720972596137E-2</v>
      </c>
      <c r="Z117" s="2">
        <f t="shared" si="37"/>
        <v>0.16417481894971839</v>
      </c>
      <c r="AA117" s="2" t="str">
        <f t="shared" si="38"/>
        <v>Low</v>
      </c>
      <c r="AB117" s="2">
        <f t="shared" si="39"/>
        <v>7.1461525743030524E-2</v>
      </c>
      <c r="AC117" s="2">
        <f t="shared" si="40"/>
        <v>0.19863460641870931</v>
      </c>
      <c r="AD117" s="2" t="str">
        <f t="shared" si="41"/>
        <v>Low</v>
      </c>
      <c r="AE117" s="2">
        <f t="shared" si="42"/>
        <v>2.8708921732568497E-2</v>
      </c>
      <c r="AF117" s="2">
        <f t="shared" si="43"/>
        <v>0.14790082795454307</v>
      </c>
      <c r="AG117" s="2" t="s">
        <v>1175</v>
      </c>
    </row>
    <row r="118" spans="1:33" x14ac:dyDescent="0.3">
      <c r="A118">
        <v>202290</v>
      </c>
      <c r="B118" t="s">
        <v>247</v>
      </c>
      <c r="C118" t="s">
        <v>235</v>
      </c>
      <c r="D118" t="s">
        <v>248</v>
      </c>
      <c r="E118" s="18">
        <v>7.2</v>
      </c>
      <c r="F118" s="19">
        <f t="shared" si="24"/>
        <v>0.88888888888888884</v>
      </c>
      <c r="G118" s="2">
        <v>89.471249999999998</v>
      </c>
      <c r="H118" s="2">
        <f t="shared" si="25"/>
        <v>0.55875616589425081</v>
      </c>
      <c r="I118" s="2">
        <v>68.599999999999994</v>
      </c>
      <c r="J118" s="4">
        <f t="shared" si="26"/>
        <v>0.33284813197476953</v>
      </c>
      <c r="K118" s="2">
        <v>0</v>
      </c>
      <c r="L118" s="4">
        <f t="shared" si="27"/>
        <v>0</v>
      </c>
      <c r="M118" s="2">
        <v>42859</v>
      </c>
      <c r="N118" s="2">
        <f t="shared" si="28"/>
        <v>0.20165315846001713</v>
      </c>
      <c r="O118" s="2">
        <v>0.64497165700000003</v>
      </c>
      <c r="P118" s="2">
        <f t="shared" si="29"/>
        <v>0.66761438041766408</v>
      </c>
      <c r="Q118" s="2">
        <v>0.31759999999999999</v>
      </c>
      <c r="R118" s="2">
        <f t="shared" si="30"/>
        <v>0.76027793862188775</v>
      </c>
      <c r="S118" s="2">
        <f t="shared" si="31"/>
        <v>0.19804009999663971</v>
      </c>
      <c r="T118" s="5">
        <f t="shared" si="45"/>
        <v>0.3995763825701043</v>
      </c>
      <c r="U118" s="2" t="str">
        <f t="shared" si="33"/>
        <v>Moderate</v>
      </c>
      <c r="V118" s="2">
        <f t="shared" si="34"/>
        <v>0.21089197971341866</v>
      </c>
      <c r="W118" s="2">
        <f t="shared" si="35"/>
        <v>0.37989433107411158</v>
      </c>
      <c r="X118" s="2" t="str">
        <f t="shared" ref="X118:X119" si="46">IF(W118&gt;0.7,"High",IF(W118&gt;0.3,"Moderate",IF(W118&gt;0.15,"Low","No Impact")))</f>
        <v>Moderate</v>
      </c>
      <c r="Y118" s="2">
        <f t="shared" si="36"/>
        <v>0.18518822027986073</v>
      </c>
      <c r="Z118" s="2">
        <f t="shared" si="37"/>
        <v>0.3929350846620131</v>
      </c>
      <c r="AA118" s="2" t="str">
        <f t="shared" si="38"/>
        <v>Moderate</v>
      </c>
      <c r="AB118" s="2">
        <f t="shared" si="39"/>
        <v>0.14894631746216336</v>
      </c>
      <c r="AC118" s="2">
        <f t="shared" si="40"/>
        <v>0.41401149554238831</v>
      </c>
      <c r="AD118" s="2" t="str">
        <f t="shared" si="41"/>
        <v>Moderate</v>
      </c>
      <c r="AE118" s="2">
        <f t="shared" si="42"/>
        <v>5.5936167081453207E-2</v>
      </c>
      <c r="AF118" s="2">
        <f t="shared" si="43"/>
        <v>0.28816844815754167</v>
      </c>
      <c r="AG118" s="2" t="s">
        <v>1175</v>
      </c>
    </row>
    <row r="119" spans="1:33" x14ac:dyDescent="0.3">
      <c r="A119">
        <v>202294</v>
      </c>
      <c r="B119" t="s">
        <v>249</v>
      </c>
      <c r="C119" t="s">
        <v>235</v>
      </c>
      <c r="D119" t="s">
        <v>250</v>
      </c>
      <c r="E119" s="18">
        <v>7</v>
      </c>
      <c r="F119" s="19">
        <f t="shared" si="24"/>
        <v>0.84444444444444444</v>
      </c>
      <c r="G119" s="2">
        <v>88.022807999999998</v>
      </c>
      <c r="H119" s="2">
        <f t="shared" si="25"/>
        <v>0.54475202122850752</v>
      </c>
      <c r="I119" s="2">
        <v>58.3</v>
      </c>
      <c r="J119" s="4">
        <f t="shared" si="26"/>
        <v>0.28287239204269771</v>
      </c>
      <c r="K119" s="2">
        <v>0</v>
      </c>
      <c r="L119" s="4">
        <f t="shared" si="27"/>
        <v>0</v>
      </c>
      <c r="M119" s="2">
        <v>79128</v>
      </c>
      <c r="N119" s="2">
        <f t="shared" si="28"/>
        <v>0.37325706282853804</v>
      </c>
      <c r="O119" s="2">
        <v>0.324338022</v>
      </c>
      <c r="P119" s="2">
        <f t="shared" si="29"/>
        <v>0.29722156833968177</v>
      </c>
      <c r="Q119" s="2">
        <v>0.31</v>
      </c>
      <c r="R119" s="2">
        <f t="shared" si="30"/>
        <v>0.73827446438911415</v>
      </c>
      <c r="S119" s="2">
        <f t="shared" si="31"/>
        <v>0.12664582104303715</v>
      </c>
      <c r="T119" s="5">
        <f t="shared" si="45"/>
        <v>0.2555274363164643</v>
      </c>
      <c r="U119" s="2" t="str">
        <f t="shared" si="33"/>
        <v>Low</v>
      </c>
      <c r="V119" s="2">
        <f t="shared" si="34"/>
        <v>0.18058857348062102</v>
      </c>
      <c r="W119" s="2">
        <f t="shared" si="35"/>
        <v>0.32530670637771714</v>
      </c>
      <c r="X119" s="2" t="str">
        <f t="shared" si="46"/>
        <v>Moderate</v>
      </c>
      <c r="Y119" s="2">
        <f t="shared" si="36"/>
        <v>7.2703068605453294E-2</v>
      </c>
      <c r="Z119" s="2">
        <f t="shared" si="37"/>
        <v>0.15426243836945966</v>
      </c>
      <c r="AA119" s="2" t="str">
        <f t="shared" si="38"/>
        <v>Low</v>
      </c>
      <c r="AB119" s="2">
        <f t="shared" si="39"/>
        <v>0.11697263332727878</v>
      </c>
      <c r="AC119" s="2">
        <f t="shared" si="40"/>
        <v>0.32513737624738664</v>
      </c>
      <c r="AD119" s="2" t="str">
        <f t="shared" si="41"/>
        <v>Moderate</v>
      </c>
      <c r="AE119" s="2">
        <f t="shared" si="42"/>
        <v>9.1302034364072637E-2</v>
      </c>
      <c r="AF119" s="2">
        <f t="shared" si="43"/>
        <v>0.47036411197085937</v>
      </c>
      <c r="AG119" s="2" t="str">
        <f t="shared" ref="AG119" si="47">IF(AF119&gt;0.7,"High",IF(AF119&gt;0.3,"Moderate",IF(AF119&gt;0.15,"Low","No Impact")))</f>
        <v>Moderate</v>
      </c>
    </row>
    <row r="120" spans="1:33" x14ac:dyDescent="0.3">
      <c r="A120">
        <v>203014</v>
      </c>
      <c r="B120" t="s">
        <v>251</v>
      </c>
      <c r="C120" t="s">
        <v>252</v>
      </c>
      <c r="D120" t="s">
        <v>253</v>
      </c>
      <c r="E120" s="18">
        <v>5.5</v>
      </c>
      <c r="F120" s="19">
        <f t="shared" si="24"/>
        <v>0.51111111111111107</v>
      </c>
      <c r="G120" s="2">
        <v>55.601719199999998</v>
      </c>
      <c r="H120" s="2">
        <f t="shared" si="25"/>
        <v>0.23129133880138136</v>
      </c>
      <c r="I120" s="2">
        <v>11.8</v>
      </c>
      <c r="J120" s="4">
        <f t="shared" si="26"/>
        <v>5.7253760310528874E-2</v>
      </c>
      <c r="K120" s="2">
        <v>0</v>
      </c>
      <c r="L120" s="4">
        <f t="shared" si="27"/>
        <v>0</v>
      </c>
      <c r="M120" s="2">
        <v>24400</v>
      </c>
      <c r="N120" s="2">
        <f t="shared" si="28"/>
        <v>0.11431586019597545</v>
      </c>
      <c r="O120" s="2">
        <v>0.38334942100000002</v>
      </c>
      <c r="P120" s="2">
        <f t="shared" si="29"/>
        <v>0.36539095431275925</v>
      </c>
      <c r="Q120" s="2">
        <v>0.28420000000000001</v>
      </c>
      <c r="R120" s="2">
        <f t="shared" si="30"/>
        <v>0.66357845975680374</v>
      </c>
      <c r="S120" s="2">
        <f t="shared" si="31"/>
        <v>2.6556420628943346E-2</v>
      </c>
      <c r="T120" s="5">
        <f t="shared" si="45"/>
        <v>5.3581665981300382E-2</v>
      </c>
      <c r="U120" s="2" t="str">
        <f t="shared" si="33"/>
        <v>No Impact</v>
      </c>
      <c r="V120" s="2">
        <f t="shared" si="34"/>
        <v>3.425226922520884E-2</v>
      </c>
      <c r="W120" s="2">
        <f t="shared" si="35"/>
        <v>6.1700985133542968E-2</v>
      </c>
      <c r="X120" s="2" t="s">
        <v>1176</v>
      </c>
      <c r="Y120" s="2">
        <f t="shared" si="36"/>
        <v>1.8860572032677846E-2</v>
      </c>
      <c r="Z120" s="2">
        <f t="shared" si="37"/>
        <v>4.0018638643616856E-2</v>
      </c>
      <c r="AA120" s="2" t="str">
        <f t="shared" si="38"/>
        <v>No Impact</v>
      </c>
      <c r="AB120" s="2">
        <f t="shared" si="39"/>
        <v>1.9711710945516474E-2</v>
      </c>
      <c r="AC120" s="2">
        <f t="shared" si="40"/>
        <v>5.4790712971642536E-2</v>
      </c>
      <c r="AD120" s="2" t="str">
        <f t="shared" si="41"/>
        <v>No Impact</v>
      </c>
      <c r="AE120" s="2">
        <f t="shared" si="42"/>
        <v>5.9007003054000803E-3</v>
      </c>
      <c r="AF120" s="2">
        <f t="shared" si="43"/>
        <v>3.0398858891668226E-2</v>
      </c>
      <c r="AG120" s="2" t="s">
        <v>1176</v>
      </c>
    </row>
    <row r="121" spans="1:33" x14ac:dyDescent="0.3">
      <c r="A121">
        <v>203025</v>
      </c>
      <c r="B121" t="s">
        <v>254</v>
      </c>
      <c r="C121" t="s">
        <v>252</v>
      </c>
      <c r="D121" t="s">
        <v>255</v>
      </c>
      <c r="E121" s="18">
        <v>5.6</v>
      </c>
      <c r="F121" s="19">
        <f t="shared" si="24"/>
        <v>0.53333333333333321</v>
      </c>
      <c r="G121" s="2">
        <v>59.8781952</v>
      </c>
      <c r="H121" s="2">
        <f t="shared" si="25"/>
        <v>0.27263810212609818</v>
      </c>
      <c r="I121" s="2">
        <v>20.9</v>
      </c>
      <c r="J121" s="4">
        <f t="shared" si="26"/>
        <v>0.10140708393983502</v>
      </c>
      <c r="K121" s="2">
        <v>0</v>
      </c>
      <c r="L121" s="4">
        <f t="shared" si="27"/>
        <v>0</v>
      </c>
      <c r="M121" s="2">
        <v>37243</v>
      </c>
      <c r="N121" s="2">
        <f t="shared" si="28"/>
        <v>0.17508149872488207</v>
      </c>
      <c r="O121" s="2">
        <v>0.41889696300000001</v>
      </c>
      <c r="P121" s="2">
        <f t="shared" si="29"/>
        <v>0.4064551241520844</v>
      </c>
      <c r="Q121" s="2">
        <v>0.2782</v>
      </c>
      <c r="R121" s="2">
        <f t="shared" si="30"/>
        <v>0.64620729588882464</v>
      </c>
      <c r="S121" s="2">
        <f t="shared" si="31"/>
        <v>3.6749375671756269E-2</v>
      </c>
      <c r="T121" s="5">
        <f t="shared" si="45"/>
        <v>7.4147521602338742E-2</v>
      </c>
      <c r="U121" s="2" t="str">
        <f t="shared" si="33"/>
        <v>No Impact</v>
      </c>
      <c r="V121" s="2">
        <f t="shared" si="34"/>
        <v>4.5119335935874458E-2</v>
      </c>
      <c r="W121" s="2">
        <f t="shared" si="35"/>
        <v>8.1276585136900434E-2</v>
      </c>
      <c r="X121" s="2" t="s">
        <v>1176</v>
      </c>
      <c r="Y121" s="2">
        <f t="shared" si="36"/>
        <v>2.8379415407638095E-2</v>
      </c>
      <c r="Z121" s="2">
        <f t="shared" si="37"/>
        <v>6.0215860269117863E-2</v>
      </c>
      <c r="AA121" s="2" t="str">
        <f t="shared" si="38"/>
        <v>No Impact</v>
      </c>
      <c r="AB121" s="2">
        <f t="shared" si="39"/>
        <v>2.858416712864122E-2</v>
      </c>
      <c r="AC121" s="2">
        <f t="shared" si="40"/>
        <v>7.945261073519691E-2</v>
      </c>
      <c r="AD121" s="2" t="str">
        <f t="shared" si="41"/>
        <v>No Impact</v>
      </c>
      <c r="AE121" s="2">
        <f t="shared" si="42"/>
        <v>1.222449979655351E-2</v>
      </c>
      <c r="AF121" s="2">
        <f t="shared" si="43"/>
        <v>6.2977413714194908E-2</v>
      </c>
      <c r="AG121" s="2" t="s">
        <v>1175</v>
      </c>
    </row>
    <row r="122" spans="1:33" x14ac:dyDescent="0.3">
      <c r="A122">
        <v>203029</v>
      </c>
      <c r="B122" t="s">
        <v>256</v>
      </c>
      <c r="C122" t="s">
        <v>252</v>
      </c>
      <c r="D122" t="s">
        <v>257</v>
      </c>
      <c r="E122" s="18">
        <v>5.6</v>
      </c>
      <c r="F122" s="19">
        <f t="shared" si="24"/>
        <v>0.53333333333333321</v>
      </c>
      <c r="G122" s="2">
        <v>59.8781952</v>
      </c>
      <c r="H122" s="2">
        <f t="shared" si="25"/>
        <v>0.27263810212609818</v>
      </c>
      <c r="I122" s="2">
        <v>16.399999999999999</v>
      </c>
      <c r="J122" s="4">
        <f t="shared" si="26"/>
        <v>7.957302280446385E-2</v>
      </c>
      <c r="K122" s="2">
        <v>0</v>
      </c>
      <c r="L122" s="4">
        <f t="shared" si="27"/>
        <v>0</v>
      </c>
      <c r="M122" s="2">
        <v>65689</v>
      </c>
      <c r="N122" s="2">
        <f t="shared" si="28"/>
        <v>0.30967149744739841</v>
      </c>
      <c r="O122" s="2">
        <v>0.37266564200000002</v>
      </c>
      <c r="P122" s="2">
        <f t="shared" si="29"/>
        <v>0.35304915820821242</v>
      </c>
      <c r="Q122" s="2">
        <v>0.28960000000000002</v>
      </c>
      <c r="R122" s="2">
        <f t="shared" si="30"/>
        <v>0.6792125072379851</v>
      </c>
      <c r="S122" s="2">
        <f t="shared" si="31"/>
        <v>3.3933577291553392E-2</v>
      </c>
      <c r="T122" s="5">
        <f t="shared" si="45"/>
        <v>6.8466214983995702E-2</v>
      </c>
      <c r="U122" s="2" t="str">
        <f t="shared" si="33"/>
        <v>No Impact</v>
      </c>
      <c r="V122" s="2">
        <f t="shared" si="34"/>
        <v>4.4655557565023665E-2</v>
      </c>
      <c r="W122" s="2">
        <f t="shared" si="35"/>
        <v>8.044114903259518E-2</v>
      </c>
      <c r="X122" s="2" t="s">
        <v>1176</v>
      </c>
      <c r="Y122" s="2">
        <f t="shared" si="36"/>
        <v>2.3211597018083119E-2</v>
      </c>
      <c r="Z122" s="2">
        <f t="shared" si="37"/>
        <v>4.9250707337959623E-2</v>
      </c>
      <c r="AA122" s="2" t="str">
        <f t="shared" si="38"/>
        <v>No Impact</v>
      </c>
      <c r="AB122" s="2">
        <f t="shared" si="39"/>
        <v>2.9718814356208698E-2</v>
      </c>
      <c r="AC122" s="2">
        <f t="shared" si="40"/>
        <v>8.2606478542083556E-2</v>
      </c>
      <c r="AD122" s="2" t="str">
        <f t="shared" si="41"/>
        <v>No Impact</v>
      </c>
      <c r="AE122" s="2">
        <f t="shared" si="42"/>
        <v>2.0359686008644236E-2</v>
      </c>
      <c r="AF122" s="2">
        <f t="shared" si="43"/>
        <v>0.1048877573885672</v>
      </c>
      <c r="AG122" s="2" t="s">
        <v>1175</v>
      </c>
    </row>
    <row r="123" spans="1:33" x14ac:dyDescent="0.3">
      <c r="A123">
        <v>203041</v>
      </c>
      <c r="B123" t="s">
        <v>258</v>
      </c>
      <c r="C123" t="s">
        <v>252</v>
      </c>
      <c r="D123" t="s">
        <v>259</v>
      </c>
      <c r="E123" s="18">
        <v>5.5</v>
      </c>
      <c r="F123" s="19">
        <f t="shared" si="24"/>
        <v>0.51111111111111107</v>
      </c>
      <c r="G123" s="2">
        <v>56.081318400000001</v>
      </c>
      <c r="H123" s="2">
        <f t="shared" si="25"/>
        <v>0.23592830498875705</v>
      </c>
      <c r="I123" s="2">
        <v>10.8</v>
      </c>
      <c r="J123" s="4">
        <f t="shared" si="26"/>
        <v>5.2401746724890834E-2</v>
      </c>
      <c r="K123" s="2">
        <v>0</v>
      </c>
      <c r="L123" s="4">
        <f t="shared" si="27"/>
        <v>0</v>
      </c>
      <c r="M123" s="2">
        <v>9161</v>
      </c>
      <c r="N123" s="2">
        <f t="shared" si="28"/>
        <v>4.2213737207420762E-2</v>
      </c>
      <c r="O123" s="2">
        <v>0.25673790699999999</v>
      </c>
      <c r="P123" s="2">
        <f t="shared" si="29"/>
        <v>0.21913058237170935</v>
      </c>
      <c r="Q123" s="2">
        <v>0.26240000000000002</v>
      </c>
      <c r="R123" s="2">
        <f t="shared" si="30"/>
        <v>0.60046323103647958</v>
      </c>
      <c r="S123" s="2">
        <f t="shared" si="31"/>
        <v>2.1136932101817333E-2</v>
      </c>
      <c r="T123" s="5">
        <f t="shared" si="45"/>
        <v>4.2647013751343228E-2</v>
      </c>
      <c r="U123" s="2" t="str">
        <f t="shared" si="33"/>
        <v>No Impact</v>
      </c>
      <c r="V123" s="2">
        <f t="shared" si="34"/>
        <v>3.0971318563955165E-2</v>
      </c>
      <c r="W123" s="2">
        <f t="shared" si="35"/>
        <v>5.5790781443303621E-2</v>
      </c>
      <c r="X123" s="2" t="s">
        <v>1176</v>
      </c>
      <c r="Y123" s="2">
        <f t="shared" si="36"/>
        <v>1.1302545639679503E-2</v>
      </c>
      <c r="Z123" s="2">
        <f t="shared" si="37"/>
        <v>2.3981907278509067E-2</v>
      </c>
      <c r="AA123" s="2" t="str">
        <f t="shared" si="38"/>
        <v>No Impact</v>
      </c>
      <c r="AB123" s="2">
        <f t="shared" si="39"/>
        <v>1.4992795641461009E-2</v>
      </c>
      <c r="AC123" s="2">
        <f t="shared" si="40"/>
        <v>4.1674006122772909E-2</v>
      </c>
      <c r="AD123" s="2" t="str">
        <f t="shared" si="41"/>
        <v>No Impact</v>
      </c>
      <c r="AE123" s="2">
        <f t="shared" si="42"/>
        <v>2.1773441490652852E-3</v>
      </c>
      <c r="AF123" s="2">
        <f t="shared" si="43"/>
        <v>1.1217105448562057E-2</v>
      </c>
      <c r="AG123" s="2" t="s">
        <v>1176</v>
      </c>
    </row>
    <row r="124" spans="1:33" x14ac:dyDescent="0.3">
      <c r="A124">
        <v>203051</v>
      </c>
      <c r="B124" t="s">
        <v>260</v>
      </c>
      <c r="C124" t="s">
        <v>252</v>
      </c>
      <c r="D124" t="s">
        <v>261</v>
      </c>
      <c r="E124" s="18">
        <v>5.7</v>
      </c>
      <c r="F124" s="19">
        <f t="shared" si="24"/>
        <v>0.55555555555555558</v>
      </c>
      <c r="G124" s="2">
        <v>56.081318400000001</v>
      </c>
      <c r="H124" s="2">
        <f t="shared" si="25"/>
        <v>0.23592830498875705</v>
      </c>
      <c r="I124" s="2">
        <v>9.9</v>
      </c>
      <c r="J124" s="4">
        <f t="shared" si="26"/>
        <v>4.8034934497816595E-2</v>
      </c>
      <c r="K124" s="2">
        <v>0</v>
      </c>
      <c r="L124" s="4">
        <f t="shared" si="27"/>
        <v>0</v>
      </c>
      <c r="M124" s="2">
        <v>14970</v>
      </c>
      <c r="N124" s="2">
        <f t="shared" si="28"/>
        <v>6.9698561174906443E-2</v>
      </c>
      <c r="O124" s="2">
        <v>0.30088562200000002</v>
      </c>
      <c r="P124" s="2">
        <f t="shared" si="29"/>
        <v>0.27012958721930536</v>
      </c>
      <c r="Q124" s="2">
        <v>0.2621</v>
      </c>
      <c r="R124" s="2">
        <f t="shared" si="30"/>
        <v>0.59959467284308055</v>
      </c>
      <c r="S124" s="2">
        <f t="shared" si="31"/>
        <v>2.401094483932845E-2</v>
      </c>
      <c r="T124" s="5">
        <f t="shared" si="45"/>
        <v>4.8445776795467022E-2</v>
      </c>
      <c r="U124" s="2" t="str">
        <f t="shared" si="33"/>
        <v>No Impact</v>
      </c>
      <c r="V124" s="2">
        <f t="shared" si="34"/>
        <v>3.3106664437663726E-2</v>
      </c>
      <c r="W124" s="2">
        <f t="shared" si="35"/>
        <v>5.9637327876253449E-2</v>
      </c>
      <c r="X124" s="2" t="s">
        <v>1176</v>
      </c>
      <c r="Y124" s="2">
        <f t="shared" si="36"/>
        <v>1.4915225240993174E-2</v>
      </c>
      <c r="Z124" s="2">
        <f t="shared" si="37"/>
        <v>3.1647343896743535E-2</v>
      </c>
      <c r="AA124" s="2" t="str">
        <f t="shared" si="38"/>
        <v>No Impact</v>
      </c>
      <c r="AB124" s="2">
        <f t="shared" si="39"/>
        <v>1.740884405842498E-2</v>
      </c>
      <c r="AC124" s="2">
        <f t="shared" si="40"/>
        <v>4.838965935578534E-2</v>
      </c>
      <c r="AD124" s="2" t="str">
        <f t="shared" si="41"/>
        <v>No Impact</v>
      </c>
      <c r="AE124" s="2">
        <f t="shared" si="42"/>
        <v>3.8484112369849147E-3</v>
      </c>
      <c r="AF124" s="2">
        <f t="shared" si="43"/>
        <v>1.9826004388521948E-2</v>
      </c>
      <c r="AG124" s="2" t="s">
        <v>1176</v>
      </c>
    </row>
    <row r="125" spans="1:33" x14ac:dyDescent="0.3">
      <c r="A125">
        <v>203094</v>
      </c>
      <c r="B125" t="s">
        <v>262</v>
      </c>
      <c r="C125" t="s">
        <v>252</v>
      </c>
      <c r="D125" t="s">
        <v>263</v>
      </c>
      <c r="E125" s="18">
        <v>5.4</v>
      </c>
      <c r="F125" s="19">
        <f t="shared" si="24"/>
        <v>0.48888888888888893</v>
      </c>
      <c r="G125" s="2">
        <v>75.730147200000005</v>
      </c>
      <c r="H125" s="2">
        <f t="shared" si="25"/>
        <v>0.42590142163935424</v>
      </c>
      <c r="I125" s="2">
        <v>19.100000000000001</v>
      </c>
      <c r="J125" s="4">
        <f t="shared" si="26"/>
        <v>9.2673459485686574E-2</v>
      </c>
      <c r="K125" s="2">
        <v>0</v>
      </c>
      <c r="L125" s="4">
        <f t="shared" si="27"/>
        <v>0</v>
      </c>
      <c r="M125" s="2">
        <v>40135</v>
      </c>
      <c r="N125" s="2">
        <f t="shared" si="28"/>
        <v>0.1887647679474623</v>
      </c>
      <c r="O125" s="2">
        <v>0.273289956</v>
      </c>
      <c r="P125" s="2">
        <f t="shared" si="29"/>
        <v>0.23825134608934789</v>
      </c>
      <c r="Q125" s="2">
        <v>0.27139999999999997</v>
      </c>
      <c r="R125" s="2">
        <f t="shared" si="30"/>
        <v>0.62651997683844818</v>
      </c>
      <c r="S125" s="2">
        <f t="shared" si="31"/>
        <v>3.8367276467830232E-2</v>
      </c>
      <c r="T125" s="5">
        <f t="shared" si="45"/>
        <v>7.7411885473410783E-2</v>
      </c>
      <c r="U125" s="2" t="str">
        <f t="shared" si="33"/>
        <v>No Impact</v>
      </c>
      <c r="V125" s="2">
        <f t="shared" si="34"/>
        <v>5.5593576074183429E-2</v>
      </c>
      <c r="W125" s="2">
        <f t="shared" si="35"/>
        <v>0.10014455942525273</v>
      </c>
      <c r="X125" s="2" t="s">
        <v>1176</v>
      </c>
      <c r="Y125" s="2">
        <f t="shared" si="36"/>
        <v>2.1140976861477045E-2</v>
      </c>
      <c r="Z125" s="2">
        <f t="shared" si="37"/>
        <v>4.4857235089512518E-2</v>
      </c>
      <c r="AA125" s="2" t="str">
        <f t="shared" si="38"/>
        <v>No Impact</v>
      </c>
      <c r="AB125" s="2">
        <f t="shared" si="39"/>
        <v>3.1662488191777832E-2</v>
      </c>
      <c r="AC125" s="2">
        <f t="shared" si="40"/>
        <v>8.8009118400668884E-2</v>
      </c>
      <c r="AD125" s="2" t="str">
        <f t="shared" si="41"/>
        <v>No Impact</v>
      </c>
      <c r="AE125" s="2">
        <f t="shared" si="42"/>
        <v>1.6749838592487201E-2</v>
      </c>
      <c r="AF125" s="2">
        <f t="shared" si="43"/>
        <v>8.6290771175967049E-2</v>
      </c>
      <c r="AG125" s="2" t="s">
        <v>1175</v>
      </c>
    </row>
    <row r="126" spans="1:33" x14ac:dyDescent="0.3">
      <c r="A126">
        <v>204643</v>
      </c>
      <c r="B126" t="s">
        <v>264</v>
      </c>
      <c r="C126" t="s">
        <v>265</v>
      </c>
      <c r="D126" t="s">
        <v>266</v>
      </c>
      <c r="E126" s="18">
        <v>6.2</v>
      </c>
      <c r="F126" s="19">
        <f t="shared" si="24"/>
        <v>0.66666666666666663</v>
      </c>
      <c r="G126" s="2">
        <v>57.181708800000003</v>
      </c>
      <c r="H126" s="2">
        <f t="shared" si="25"/>
        <v>0.24656734082891857</v>
      </c>
      <c r="I126" s="2">
        <v>10.3</v>
      </c>
      <c r="J126" s="4">
        <f t="shared" si="26"/>
        <v>4.9975739932071814E-2</v>
      </c>
      <c r="K126" s="2">
        <v>0</v>
      </c>
      <c r="L126" s="4">
        <f t="shared" si="27"/>
        <v>0</v>
      </c>
      <c r="M126" s="2">
        <v>15793</v>
      </c>
      <c r="N126" s="2">
        <f t="shared" si="28"/>
        <v>7.3592520569852327E-2</v>
      </c>
      <c r="O126" s="2">
        <v>0.26245808599999998</v>
      </c>
      <c r="P126" s="2">
        <f t="shared" si="29"/>
        <v>0.22573847672252947</v>
      </c>
      <c r="Q126" s="2">
        <v>0.39119999999999999</v>
      </c>
      <c r="R126" s="2">
        <f t="shared" si="30"/>
        <v>0.97336421540243201</v>
      </c>
      <c r="S126" s="2">
        <f t="shared" si="31"/>
        <v>4.1484987421678894E-2</v>
      </c>
      <c r="T126" s="5">
        <f t="shared" si="45"/>
        <v>8.3702347177172676E-2</v>
      </c>
      <c r="U126" s="2" t="str">
        <f t="shared" si="33"/>
        <v>No Impact</v>
      </c>
      <c r="V126" s="2">
        <f t="shared" si="34"/>
        <v>6.7350365398852988E-2</v>
      </c>
      <c r="W126" s="2">
        <f t="shared" si="35"/>
        <v>0.12132287840231344</v>
      </c>
      <c r="X126" s="2" t="s">
        <v>1176</v>
      </c>
      <c r="Y126" s="2">
        <f t="shared" si="36"/>
        <v>1.5619609444504799E-2</v>
      </c>
      <c r="Z126" s="2">
        <f t="shared" si="37"/>
        <v>3.3141916641290417E-2</v>
      </c>
      <c r="AA126" s="2" t="str">
        <f t="shared" si="38"/>
        <v>No Impact</v>
      </c>
      <c r="AB126" s="2">
        <f t="shared" si="39"/>
        <v>3.0040751199227948E-2</v>
      </c>
      <c r="AC126" s="2">
        <f t="shared" si="40"/>
        <v>8.3501334864277979E-2</v>
      </c>
      <c r="AD126" s="2" t="str">
        <f t="shared" si="41"/>
        <v>No Impact</v>
      </c>
      <c r="AE126" s="2">
        <f t="shared" si="42"/>
        <v>5.0921156465084643E-3</v>
      </c>
      <c r="AF126" s="2">
        <f t="shared" si="43"/>
        <v>2.6233243002801738E-2</v>
      </c>
      <c r="AG126" s="2" t="s">
        <v>1176</v>
      </c>
    </row>
    <row r="127" spans="1:33" x14ac:dyDescent="0.3">
      <c r="A127">
        <v>204649</v>
      </c>
      <c r="B127" t="s">
        <v>267</v>
      </c>
      <c r="C127" t="s">
        <v>265</v>
      </c>
      <c r="D127" t="s">
        <v>268</v>
      </c>
      <c r="E127" s="18">
        <v>6.2</v>
      </c>
      <c r="F127" s="19">
        <f t="shared" si="24"/>
        <v>0.66666666666666663</v>
      </c>
      <c r="G127" s="2">
        <v>57.181708800000003</v>
      </c>
      <c r="H127" s="2">
        <f t="shared" si="25"/>
        <v>0.24656734082891857</v>
      </c>
      <c r="I127" s="2">
        <v>8.9</v>
      </c>
      <c r="J127" s="4">
        <f t="shared" si="26"/>
        <v>4.3182920912178555E-2</v>
      </c>
      <c r="K127" s="2">
        <v>0</v>
      </c>
      <c r="L127" s="4">
        <f t="shared" si="27"/>
        <v>0</v>
      </c>
      <c r="M127" s="2">
        <v>15837</v>
      </c>
      <c r="N127" s="2">
        <f t="shared" si="28"/>
        <v>7.3800703089144701E-2</v>
      </c>
      <c r="O127" s="2">
        <v>0.48774538200000001</v>
      </c>
      <c r="P127" s="2">
        <f t="shared" si="29"/>
        <v>0.48598813858624751</v>
      </c>
      <c r="Q127" s="2">
        <v>0.3412</v>
      </c>
      <c r="R127" s="2">
        <f t="shared" si="30"/>
        <v>0.82860451650260569</v>
      </c>
      <c r="S127" s="2">
        <f t="shared" si="31"/>
        <v>4.4438749354407212E-2</v>
      </c>
      <c r="T127" s="5">
        <f t="shared" si="45"/>
        <v>8.9662016497037117E-2</v>
      </c>
      <c r="U127" s="2" t="str">
        <f t="shared" si="33"/>
        <v>No Impact</v>
      </c>
      <c r="V127" s="2">
        <f t="shared" si="34"/>
        <v>5.6020620958513206E-2</v>
      </c>
      <c r="W127" s="2">
        <f t="shared" si="35"/>
        <v>0.10091382495584113</v>
      </c>
      <c r="X127" s="2" t="s">
        <v>1176</v>
      </c>
      <c r="Y127" s="2">
        <f t="shared" si="36"/>
        <v>3.2856877750301217E-2</v>
      </c>
      <c r="Z127" s="2">
        <f t="shared" si="37"/>
        <v>6.971620560440181E-2</v>
      </c>
      <c r="AA127" s="2" t="str">
        <f t="shared" si="38"/>
        <v>No Impact</v>
      </c>
      <c r="AB127" s="2">
        <f t="shared" si="39"/>
        <v>3.1210622125238448E-2</v>
      </c>
      <c r="AC127" s="2">
        <f t="shared" si="40"/>
        <v>8.6753110537028014E-2</v>
      </c>
      <c r="AD127" s="2" t="str">
        <f t="shared" si="41"/>
        <v>No Impact</v>
      </c>
      <c r="AE127" s="2">
        <f t="shared" si="42"/>
        <v>4.9895470419098892E-3</v>
      </c>
      <c r="AF127" s="2">
        <f t="shared" si="43"/>
        <v>2.5704836478739848E-2</v>
      </c>
      <c r="AG127" s="2" t="s">
        <v>1176</v>
      </c>
    </row>
    <row r="128" spans="1:33" x14ac:dyDescent="0.3">
      <c r="A128">
        <v>204661</v>
      </c>
      <c r="B128" t="s">
        <v>269</v>
      </c>
      <c r="C128" t="s">
        <v>265</v>
      </c>
      <c r="D128" t="s">
        <v>270</v>
      </c>
      <c r="E128" s="18">
        <v>5</v>
      </c>
      <c r="F128" s="19">
        <f t="shared" si="24"/>
        <v>0.39999999999999997</v>
      </c>
      <c r="G128" s="2">
        <v>61.238739600000002</v>
      </c>
      <c r="H128" s="2">
        <f t="shared" si="25"/>
        <v>0.28579241593484372</v>
      </c>
      <c r="I128" s="2">
        <v>8.5</v>
      </c>
      <c r="J128" s="4">
        <f t="shared" si="26"/>
        <v>4.1242115477923343E-2</v>
      </c>
      <c r="K128" s="2">
        <v>0</v>
      </c>
      <c r="L128" s="4">
        <f t="shared" si="27"/>
        <v>0</v>
      </c>
      <c r="M128" s="2">
        <v>2349</v>
      </c>
      <c r="N128" s="2">
        <f t="shared" si="28"/>
        <v>9.9832980842476798E-3</v>
      </c>
      <c r="O128" s="2">
        <v>0.55264292699999995</v>
      </c>
      <c r="P128" s="2">
        <f t="shared" si="29"/>
        <v>0.56095714235126859</v>
      </c>
      <c r="Q128" s="2">
        <v>0.38400000000000001</v>
      </c>
      <c r="R128" s="2">
        <f t="shared" si="30"/>
        <v>0.95251881876085709</v>
      </c>
      <c r="S128" s="2">
        <f t="shared" si="31"/>
        <v>3.4647123122275386E-2</v>
      </c>
      <c r="T128" s="5">
        <f t="shared" si="45"/>
        <v>6.9905903521027921E-2</v>
      </c>
      <c r="U128" s="2" t="str">
        <f t="shared" si="33"/>
        <v>No Impact</v>
      </c>
      <c r="V128" s="2">
        <f t="shared" si="34"/>
        <v>4.36109163777419E-2</v>
      </c>
      <c r="W128" s="2">
        <f t="shared" si="35"/>
        <v>7.8559364501983073E-2</v>
      </c>
      <c r="X128" s="2" t="s">
        <v>1176</v>
      </c>
      <c r="Y128" s="2">
        <f t="shared" si="36"/>
        <v>2.5683329866808876E-2</v>
      </c>
      <c r="Z128" s="2">
        <f t="shared" si="37"/>
        <v>5.4495266385550169E-2</v>
      </c>
      <c r="AA128" s="2" t="str">
        <f t="shared" si="38"/>
        <v>No Impact</v>
      </c>
      <c r="AB128" s="2">
        <f t="shared" si="39"/>
        <v>2.3128798969588187E-2</v>
      </c>
      <c r="AC128" s="2">
        <f t="shared" si="40"/>
        <v>6.42888579902684E-2</v>
      </c>
      <c r="AD128" s="2" t="str">
        <f t="shared" si="41"/>
        <v>No Impact</v>
      </c>
      <c r="AE128" s="2">
        <f t="shared" si="42"/>
        <v>4.5708364953102809E-4</v>
      </c>
      <c r="AF128" s="2">
        <f t="shared" si="43"/>
        <v>2.3547749664673671E-3</v>
      </c>
      <c r="AG128" s="2" t="s">
        <v>1176</v>
      </c>
    </row>
    <row r="129" spans="1:33" x14ac:dyDescent="0.3">
      <c r="A129">
        <v>204665</v>
      </c>
      <c r="B129" t="s">
        <v>271</v>
      </c>
      <c r="C129" t="s">
        <v>265</v>
      </c>
      <c r="D129" t="s">
        <v>272</v>
      </c>
      <c r="E129" s="18">
        <v>6</v>
      </c>
      <c r="F129" s="19">
        <f t="shared" si="24"/>
        <v>0.62222222222222223</v>
      </c>
      <c r="G129" s="2">
        <v>58.883270400000001</v>
      </c>
      <c r="H129" s="2">
        <f t="shared" si="25"/>
        <v>0.26301875193414315</v>
      </c>
      <c r="I129" s="2">
        <v>10.1</v>
      </c>
      <c r="J129" s="4">
        <f t="shared" si="26"/>
        <v>4.9005337214944204E-2</v>
      </c>
      <c r="K129" s="2">
        <v>0</v>
      </c>
      <c r="L129" s="4">
        <f t="shared" si="27"/>
        <v>0</v>
      </c>
      <c r="M129" s="2">
        <v>8061</v>
      </c>
      <c r="N129" s="2">
        <f t="shared" si="28"/>
        <v>3.7009174225111546E-2</v>
      </c>
      <c r="O129" s="2">
        <v>0.18172930800000001</v>
      </c>
      <c r="P129" s="2">
        <f t="shared" si="29"/>
        <v>0.13248138877216784</v>
      </c>
      <c r="Q129" s="2">
        <v>0.34420000000000001</v>
      </c>
      <c r="R129" s="2">
        <f t="shared" si="30"/>
        <v>0.8372900984365953</v>
      </c>
      <c r="S129" s="2">
        <f t="shared" si="31"/>
        <v>3.2948913742165416E-2</v>
      </c>
      <c r="T129" s="5">
        <f t="shared" si="45"/>
        <v>6.6479504721176391E-2</v>
      </c>
      <c r="U129" s="2" t="str">
        <f t="shared" si="33"/>
        <v>No Impact</v>
      </c>
      <c r="V129" s="2">
        <f t="shared" si="34"/>
        <v>5.6895463713747506E-2</v>
      </c>
      <c r="W129" s="2">
        <f t="shared" si="35"/>
        <v>0.10248973980924805</v>
      </c>
      <c r="X129" s="2" t="s">
        <v>1176</v>
      </c>
      <c r="Y129" s="2">
        <f t="shared" si="36"/>
        <v>9.0023637705833239E-3</v>
      </c>
      <c r="Z129" s="2">
        <f t="shared" si="37"/>
        <v>1.9101347618151309E-2</v>
      </c>
      <c r="AA129" s="2" t="str">
        <f t="shared" si="38"/>
        <v>No Impact</v>
      </c>
      <c r="AB129" s="2">
        <f t="shared" si="39"/>
        <v>2.3494316893224038E-2</v>
      </c>
      <c r="AC129" s="2">
        <f t="shared" si="40"/>
        <v>6.5304852375295541E-2</v>
      </c>
      <c r="AD129" s="2" t="str">
        <f t="shared" si="41"/>
        <v>No Impact</v>
      </c>
      <c r="AE129" s="2">
        <f t="shared" si="42"/>
        <v>2.5148441778211788E-3</v>
      </c>
      <c r="AF129" s="2">
        <f t="shared" si="43"/>
        <v>1.295581699449419E-2</v>
      </c>
      <c r="AG129" s="2" t="s">
        <v>1176</v>
      </c>
    </row>
    <row r="130" spans="1:33" x14ac:dyDescent="0.3">
      <c r="A130">
        <v>204667</v>
      </c>
      <c r="B130" t="s">
        <v>273</v>
      </c>
      <c r="C130" t="s">
        <v>265</v>
      </c>
      <c r="D130" t="s">
        <v>274</v>
      </c>
      <c r="E130" s="18">
        <v>6.2</v>
      </c>
      <c r="F130" s="19">
        <f t="shared" ref="F130:F193" si="48">(E130-$AJ$5)/$AK$5</f>
        <v>0.66666666666666663</v>
      </c>
      <c r="G130" s="2">
        <v>61.238739600000002</v>
      </c>
      <c r="H130" s="2">
        <f t="shared" ref="H130:H193" si="49">(G130-$AJ$6)/$AK$6</f>
        <v>0.28579241593484372</v>
      </c>
      <c r="I130" s="2">
        <v>6.7</v>
      </c>
      <c r="J130" s="4">
        <f t="shared" ref="J130:J193" si="50">(I130-$AJ$7)/$AK$7</f>
        <v>3.2508491023774871E-2</v>
      </c>
      <c r="K130" s="2">
        <v>0</v>
      </c>
      <c r="L130" s="4">
        <f t="shared" ref="L130:L193" si="51">(K130-$AJ$8)/$AK$8</f>
        <v>0</v>
      </c>
      <c r="M130" s="2">
        <v>12067</v>
      </c>
      <c r="N130" s="2">
        <f t="shared" ref="N130:N193" si="52">(M130-$AJ$9)/$AK$9</f>
        <v>5.5963246322503109E-2</v>
      </c>
      <c r="O130" s="2">
        <v>0.24649091000000001</v>
      </c>
      <c r="P130" s="2">
        <f t="shared" ref="P130:P193" si="53">(O130-$AJ$11)/$AK$11</f>
        <v>0.20729335252467648</v>
      </c>
      <c r="Q130" s="2">
        <v>0.34470000000000001</v>
      </c>
      <c r="R130" s="2">
        <f t="shared" ref="R130:R193" si="54">(Q130-$AJ$12)/$AK$12</f>
        <v>0.83873769542559362</v>
      </c>
      <c r="S130" s="2">
        <f t="shared" ref="S130:S193" si="55">F130*(R130*0.5+P130*0.5)*(H130*0.35+J130*0.35+L130*0.3)</f>
        <v>3.8844473648101945E-2</v>
      </c>
      <c r="T130" s="5">
        <f t="shared" si="45"/>
        <v>7.8374704231171766E-2</v>
      </c>
      <c r="U130" s="2" t="str">
        <f t="shared" ref="U130:U193" si="56">IF(T130&gt;0.7,"High",IF(T130&gt;0.3,"Moderate",IF(T130&gt;0.15,"Low","No Impact")))</f>
        <v>No Impact</v>
      </c>
      <c r="V130" s="2">
        <f t="shared" ref="V130:V193" si="57">F130*(R130*1)*(H130*0.35+J130*0.35+L130*0.3)</f>
        <v>6.2293226136014533E-2</v>
      </c>
      <c r="W130" s="2">
        <f t="shared" ref="W130:W193" si="58">(V130-$AJ$13)/$AK$13</f>
        <v>0.11221310315142277</v>
      </c>
      <c r="X130" s="2" t="s">
        <v>1176</v>
      </c>
      <c r="Y130" s="2">
        <f t="shared" ref="Y130:Y193" si="59">F130*(P130*1)*(H130*0.35+J130*0.35+L130*0.3)</f>
        <v>1.5395721160189337E-2</v>
      </c>
      <c r="Z130" s="2">
        <f t="shared" ref="Z130:Z193" si="60">(Y130-$AJ$14)/$AK$14</f>
        <v>3.2666867192576124E-2</v>
      </c>
      <c r="AA130" s="2" t="str">
        <f t="shared" ref="AA130:AA193" si="61">IF(Z130&gt;0.7,"High",IF(Z130&gt;0.3,"Moderate",IF(Z130&gt;0.15,"Low","No Impact")))</f>
        <v>No Impact</v>
      </c>
      <c r="AB130" s="2">
        <f t="shared" ref="AB130:AB193" si="62">F130*(R130*0.35+P130*0.3+N130*0.35)*(H130*0.35+J130*0.35+L130*0.3)</f>
        <v>2.7876086247293999E-2</v>
      </c>
      <c r="AC130" s="2">
        <f t="shared" ref="AC130:AC193" si="63">(AB130-$AJ$15)/$AK$15</f>
        <v>7.7484427636437148E-2</v>
      </c>
      <c r="AD130" s="2" t="str">
        <f t="shared" ref="AD130:AD193" si="64">IF(AC130&gt;0.7,"High",IF(AC130&gt;0.3,"Moderate",IF(AC130&gt;0.15,"Low","No Impact")))</f>
        <v>No Impact</v>
      </c>
      <c r="AE130" s="2">
        <f t="shared" ref="AE130:AE193" si="65">F130*(N130*1)*(H130*0.35+J130*0.35+L130*0.3)</f>
        <v>4.1564021475203067E-3</v>
      </c>
      <c r="AF130" s="2">
        <f t="shared" ref="AF130:AF193" si="66">(AE130-$AJ$16)/$AK$16</f>
        <v>2.1412692704265344E-2</v>
      </c>
      <c r="AG130" s="2" t="s">
        <v>1176</v>
      </c>
    </row>
    <row r="131" spans="1:33" x14ac:dyDescent="0.3">
      <c r="A131">
        <v>204670</v>
      </c>
      <c r="B131" t="s">
        <v>275</v>
      </c>
      <c r="C131" t="s">
        <v>265</v>
      </c>
      <c r="D131" t="s">
        <v>276</v>
      </c>
      <c r="E131" s="18">
        <v>6.2</v>
      </c>
      <c r="F131" s="19">
        <f t="shared" si="48"/>
        <v>0.66666666666666663</v>
      </c>
      <c r="G131" s="2">
        <v>57.181708800000003</v>
      </c>
      <c r="H131" s="2">
        <f t="shared" si="49"/>
        <v>0.24656734082891857</v>
      </c>
      <c r="I131" s="2">
        <v>8.6</v>
      </c>
      <c r="J131" s="4">
        <f t="shared" si="50"/>
        <v>4.1727316836487144E-2</v>
      </c>
      <c r="K131" s="2">
        <v>0</v>
      </c>
      <c r="L131" s="4">
        <f t="shared" si="51"/>
        <v>0</v>
      </c>
      <c r="M131" s="2">
        <v>9838</v>
      </c>
      <c r="N131" s="2">
        <f t="shared" si="52"/>
        <v>4.5416909151987435E-2</v>
      </c>
      <c r="O131" s="2">
        <v>0.25113012099999998</v>
      </c>
      <c r="P131" s="2">
        <f t="shared" si="53"/>
        <v>0.21265252330572415</v>
      </c>
      <c r="Q131" s="2">
        <v>0.3448</v>
      </c>
      <c r="R131" s="2">
        <f t="shared" si="54"/>
        <v>0.83902721482339326</v>
      </c>
      <c r="S131" s="2">
        <f t="shared" si="55"/>
        <v>3.5372592509050692E-2</v>
      </c>
      <c r="T131" s="5">
        <f t="shared" si="45"/>
        <v>7.136964966758079E-2</v>
      </c>
      <c r="U131" s="2" t="str">
        <f t="shared" si="56"/>
        <v>No Impact</v>
      </c>
      <c r="V131" s="2">
        <f t="shared" si="57"/>
        <v>5.6440314856209414E-2</v>
      </c>
      <c r="W131" s="2">
        <f t="shared" si="58"/>
        <v>0.10166984864502007</v>
      </c>
      <c r="X131" s="2" t="s">
        <v>1176</v>
      </c>
      <c r="Y131" s="2">
        <f t="shared" si="59"/>
        <v>1.4304870161891969E-2</v>
      </c>
      <c r="Z131" s="2">
        <f t="shared" si="60"/>
        <v>3.035228352887518E-2</v>
      </c>
      <c r="AA131" s="2" t="str">
        <f t="shared" si="61"/>
        <v>No Impact</v>
      </c>
      <c r="AB131" s="2">
        <f t="shared" si="62"/>
        <v>2.511486985079665E-2</v>
      </c>
      <c r="AC131" s="2">
        <f t="shared" si="63"/>
        <v>6.9809344765587172E-2</v>
      </c>
      <c r="AD131" s="2" t="str">
        <f t="shared" si="64"/>
        <v>No Impact</v>
      </c>
      <c r="AE131" s="2">
        <f t="shared" si="65"/>
        <v>3.0551388644450444E-3</v>
      </c>
      <c r="AF131" s="2">
        <f t="shared" si="66"/>
        <v>1.5739273379080626E-2</v>
      </c>
      <c r="AG131" s="2" t="s">
        <v>1176</v>
      </c>
    </row>
    <row r="132" spans="1:33" x14ac:dyDescent="0.3">
      <c r="A132">
        <v>204677</v>
      </c>
      <c r="B132" t="s">
        <v>277</v>
      </c>
      <c r="C132" t="s">
        <v>265</v>
      </c>
      <c r="D132" t="s">
        <v>278</v>
      </c>
      <c r="E132" s="18">
        <v>6.2</v>
      </c>
      <c r="F132" s="19">
        <f t="shared" si="48"/>
        <v>0.66666666666666663</v>
      </c>
      <c r="G132" s="2">
        <v>51.243818400000002</v>
      </c>
      <c r="H132" s="2">
        <f t="shared" si="49"/>
        <v>0.18915732636446045</v>
      </c>
      <c r="I132" s="2">
        <v>7.9</v>
      </c>
      <c r="J132" s="4">
        <f t="shared" si="50"/>
        <v>3.8330907326540514E-2</v>
      </c>
      <c r="K132" s="2">
        <v>0</v>
      </c>
      <c r="L132" s="4">
        <f t="shared" si="51"/>
        <v>0</v>
      </c>
      <c r="M132" s="2">
        <v>7474</v>
      </c>
      <c r="N132" s="2">
        <f t="shared" si="52"/>
        <v>3.4231830160915626E-2</v>
      </c>
      <c r="O132" s="2">
        <v>0.40916495000000003</v>
      </c>
      <c r="P132" s="2">
        <f t="shared" si="53"/>
        <v>0.39521279874149706</v>
      </c>
      <c r="Q132" s="2">
        <v>0.3528</v>
      </c>
      <c r="R132" s="2">
        <f t="shared" si="54"/>
        <v>0.86218876664736543</v>
      </c>
      <c r="S132" s="2">
        <f t="shared" si="55"/>
        <v>3.3371807134238068E-2</v>
      </c>
      <c r="T132" s="5">
        <f t="shared" si="45"/>
        <v>6.733275722821945E-2</v>
      </c>
      <c r="U132" s="2" t="str">
        <f t="shared" si="56"/>
        <v>No Impact</v>
      </c>
      <c r="V132" s="2">
        <f t="shared" si="57"/>
        <v>4.576548658099408E-2</v>
      </c>
      <c r="W132" s="2">
        <f t="shared" si="58"/>
        <v>8.2440541051366181E-2</v>
      </c>
      <c r="X132" s="2" t="s">
        <v>1176</v>
      </c>
      <c r="Y132" s="2">
        <f t="shared" si="59"/>
        <v>2.097812768748205E-2</v>
      </c>
      <c r="Z132" s="2">
        <f t="shared" si="60"/>
        <v>4.4511699321232223E-2</v>
      </c>
      <c r="AA132" s="2" t="str">
        <f t="shared" si="61"/>
        <v>No Impact</v>
      </c>
      <c r="AB132" s="2">
        <f t="shared" si="62"/>
        <v>2.2947324593570097E-2</v>
      </c>
      <c r="AC132" s="2">
        <f t="shared" si="63"/>
        <v>6.3784431435130795E-2</v>
      </c>
      <c r="AD132" s="2" t="str">
        <f t="shared" si="64"/>
        <v>No Impact</v>
      </c>
      <c r="AE132" s="2">
        <f t="shared" si="65"/>
        <v>1.8170456685073068E-3</v>
      </c>
      <c r="AF132" s="2">
        <f t="shared" si="66"/>
        <v>9.3609422641107096E-3</v>
      </c>
      <c r="AG132" s="2" t="s">
        <v>1176</v>
      </c>
    </row>
    <row r="133" spans="1:33" x14ac:dyDescent="0.3">
      <c r="A133">
        <v>204680</v>
      </c>
      <c r="B133" t="s">
        <v>279</v>
      </c>
      <c r="C133" t="s">
        <v>265</v>
      </c>
      <c r="D133" t="s">
        <v>280</v>
      </c>
      <c r="E133" s="18">
        <v>6.2</v>
      </c>
      <c r="F133" s="19">
        <f t="shared" si="48"/>
        <v>0.66666666666666663</v>
      </c>
      <c r="G133" s="2">
        <v>61.238739600000002</v>
      </c>
      <c r="H133" s="2">
        <f t="shared" si="49"/>
        <v>0.28579241593484372</v>
      </c>
      <c r="I133" s="2">
        <v>8</v>
      </c>
      <c r="J133" s="4">
        <f t="shared" si="50"/>
        <v>3.8816108685104322E-2</v>
      </c>
      <c r="K133" s="2">
        <v>0</v>
      </c>
      <c r="L133" s="4">
        <f t="shared" si="51"/>
        <v>0</v>
      </c>
      <c r="M133" s="2">
        <v>11497</v>
      </c>
      <c r="N133" s="2">
        <f t="shared" si="52"/>
        <v>5.3266336413488331E-2</v>
      </c>
      <c r="O133" s="2">
        <v>0.38124245000000001</v>
      </c>
      <c r="P133" s="2">
        <f t="shared" si="53"/>
        <v>0.36295700219898069</v>
      </c>
      <c r="Q133" s="2">
        <v>0.35449999999999998</v>
      </c>
      <c r="R133" s="2">
        <f t="shared" si="54"/>
        <v>0.86711059640995947</v>
      </c>
      <c r="S133" s="2">
        <f t="shared" si="55"/>
        <v>4.6583883309512554E-2</v>
      </c>
      <c r="T133" s="5">
        <f t="shared" si="45"/>
        <v>9.3990154414175298E-2</v>
      </c>
      <c r="U133" s="2" t="str">
        <f t="shared" si="56"/>
        <v>No Impact</v>
      </c>
      <c r="V133" s="2">
        <f t="shared" si="57"/>
        <v>6.5676681322690694E-2</v>
      </c>
      <c r="W133" s="2">
        <f t="shared" si="58"/>
        <v>0.11830795534356514</v>
      </c>
      <c r="X133" s="2" t="s">
        <v>1176</v>
      </c>
      <c r="Y133" s="2">
        <f t="shared" si="59"/>
        <v>2.7491085296334414E-2</v>
      </c>
      <c r="Z133" s="2">
        <f t="shared" si="60"/>
        <v>5.8330988396784814E-2</v>
      </c>
      <c r="AA133" s="2" t="str">
        <f t="shared" si="61"/>
        <v>No Impact</v>
      </c>
      <c r="AB133" s="2">
        <f t="shared" si="62"/>
        <v>3.264623844664126E-2</v>
      </c>
      <c r="AC133" s="2">
        <f t="shared" si="63"/>
        <v>9.0743552666622956E-2</v>
      </c>
      <c r="AD133" s="2" t="str">
        <f t="shared" si="64"/>
        <v>No Impact</v>
      </c>
      <c r="AE133" s="2">
        <f t="shared" si="65"/>
        <v>4.0344982708548603E-3</v>
      </c>
      <c r="AF133" s="2">
        <f t="shared" si="66"/>
        <v>2.078467593450856E-2</v>
      </c>
      <c r="AG133" s="2" t="s">
        <v>1176</v>
      </c>
    </row>
    <row r="134" spans="1:33" x14ac:dyDescent="0.3">
      <c r="A134">
        <v>205133</v>
      </c>
      <c r="B134" t="s">
        <v>281</v>
      </c>
      <c r="C134" t="s">
        <v>282</v>
      </c>
      <c r="D134" t="s">
        <v>283</v>
      </c>
      <c r="E134" s="18">
        <v>6.5</v>
      </c>
      <c r="F134" s="19">
        <f t="shared" si="48"/>
        <v>0.73333333333333328</v>
      </c>
      <c r="G134" s="2">
        <v>90.077256000000006</v>
      </c>
      <c r="H134" s="2">
        <f t="shared" si="49"/>
        <v>0.56461528603320599</v>
      </c>
      <c r="I134" s="2">
        <v>59.8</v>
      </c>
      <c r="J134" s="4">
        <f t="shared" si="50"/>
        <v>0.29015041242115475</v>
      </c>
      <c r="K134" s="2">
        <v>0.9</v>
      </c>
      <c r="L134" s="4">
        <f t="shared" si="51"/>
        <v>0.375</v>
      </c>
      <c r="M134" s="2">
        <v>17191</v>
      </c>
      <c r="N134" s="2">
        <f t="shared" si="52"/>
        <v>8.0207046978278046E-2</v>
      </c>
      <c r="O134" s="2">
        <v>0.44828280199999998</v>
      </c>
      <c r="P134" s="2">
        <f t="shared" si="53"/>
        <v>0.44040135547145559</v>
      </c>
      <c r="Q134" s="2">
        <v>0.26750000000000002</v>
      </c>
      <c r="R134" s="2">
        <f t="shared" si="54"/>
        <v>0.61522872032426179</v>
      </c>
      <c r="S134" s="2">
        <f t="shared" si="55"/>
        <v>0.1593420092709327</v>
      </c>
      <c r="T134" s="5">
        <f t="shared" si="45"/>
        <v>0.32149702841501104</v>
      </c>
      <c r="U134" s="2" t="str">
        <f t="shared" si="56"/>
        <v>Moderate</v>
      </c>
      <c r="V134" s="2">
        <f t="shared" si="57"/>
        <v>0.18573131384828678</v>
      </c>
      <c r="W134" s="2">
        <f t="shared" si="58"/>
        <v>0.33457068082813057</v>
      </c>
      <c r="X134" s="2" t="str">
        <f t="shared" ref="X134:X138" si="67">IF(W134&gt;0.7,"High",IF(W134&gt;0.3,"Moderate",IF(W134&gt;0.15,"Low","No Impact")))</f>
        <v>Moderate</v>
      </c>
      <c r="Y134" s="2">
        <f t="shared" si="59"/>
        <v>0.13295270469357859</v>
      </c>
      <c r="Z134" s="2">
        <f t="shared" si="60"/>
        <v>0.28210100078647515</v>
      </c>
      <c r="AA134" s="2" t="str">
        <f t="shared" si="61"/>
        <v>Low</v>
      </c>
      <c r="AB134" s="2">
        <f t="shared" si="62"/>
        <v>0.11336656429220462</v>
      </c>
      <c r="AC134" s="2">
        <f t="shared" si="63"/>
        <v>0.31511393921532033</v>
      </c>
      <c r="AD134" s="2" t="str">
        <f t="shared" si="64"/>
        <v>Moderate</v>
      </c>
      <c r="AE134" s="2">
        <f t="shared" si="65"/>
        <v>2.4213694392087655E-2</v>
      </c>
      <c r="AF134" s="2">
        <f t="shared" si="66"/>
        <v>0.1247425968062521</v>
      </c>
      <c r="AG134" s="2" t="s">
        <v>1175</v>
      </c>
    </row>
    <row r="135" spans="1:33" x14ac:dyDescent="0.3">
      <c r="A135">
        <v>205143</v>
      </c>
      <c r="B135" t="s">
        <v>284</v>
      </c>
      <c r="C135" t="s">
        <v>282</v>
      </c>
      <c r="D135" t="s">
        <v>285</v>
      </c>
      <c r="E135" s="18">
        <v>6.5</v>
      </c>
      <c r="F135" s="19">
        <f t="shared" si="48"/>
        <v>0.73333333333333328</v>
      </c>
      <c r="G135" s="2">
        <v>90.077256000000006</v>
      </c>
      <c r="H135" s="2">
        <f t="shared" si="49"/>
        <v>0.56461528603320599</v>
      </c>
      <c r="I135" s="2">
        <v>47.9</v>
      </c>
      <c r="J135" s="4">
        <f t="shared" si="50"/>
        <v>0.2324114507520621</v>
      </c>
      <c r="K135" s="2">
        <v>0.9</v>
      </c>
      <c r="L135" s="4">
        <f t="shared" si="51"/>
        <v>0.375</v>
      </c>
      <c r="M135" s="2">
        <v>40462</v>
      </c>
      <c r="N135" s="2">
        <f t="shared" si="52"/>
        <v>0.19031194257947603</v>
      </c>
      <c r="O135" s="2">
        <v>0.376349343</v>
      </c>
      <c r="P135" s="2">
        <f t="shared" si="53"/>
        <v>0.35730453326343542</v>
      </c>
      <c r="Q135" s="2">
        <v>0.31269999999999998</v>
      </c>
      <c r="R135" s="2">
        <f t="shared" si="54"/>
        <v>0.74609148812970472</v>
      </c>
      <c r="S135" s="2">
        <f t="shared" si="55"/>
        <v>0.15837605593927923</v>
      </c>
      <c r="T135" s="5">
        <f t="shared" si="45"/>
        <v>0.31954806889620563</v>
      </c>
      <c r="U135" s="2" t="str">
        <f t="shared" si="56"/>
        <v>Moderate</v>
      </c>
      <c r="V135" s="2">
        <f t="shared" si="57"/>
        <v>0.21418062956336995</v>
      </c>
      <c r="W135" s="2">
        <f t="shared" si="58"/>
        <v>0.38581840384625754</v>
      </c>
      <c r="X135" s="2" t="str">
        <f t="shared" si="67"/>
        <v>Moderate</v>
      </c>
      <c r="Y135" s="2">
        <f t="shared" si="59"/>
        <v>0.10257148231518846</v>
      </c>
      <c r="Z135" s="2">
        <f t="shared" si="60"/>
        <v>0.21763767709694773</v>
      </c>
      <c r="AA135" s="2" t="str">
        <f t="shared" si="61"/>
        <v>Low</v>
      </c>
      <c r="AB135" s="2">
        <f t="shared" si="62"/>
        <v>0.12485617535684217</v>
      </c>
      <c r="AC135" s="2">
        <f t="shared" si="63"/>
        <v>0.34705048616136575</v>
      </c>
      <c r="AD135" s="2" t="str">
        <f t="shared" si="64"/>
        <v>Moderate</v>
      </c>
      <c r="AE135" s="2">
        <f t="shared" si="65"/>
        <v>5.4632886614588941E-2</v>
      </c>
      <c r="AF135" s="2">
        <f t="shared" si="66"/>
        <v>0.28145428933605104</v>
      </c>
      <c r="AG135" s="2" t="s">
        <v>1175</v>
      </c>
    </row>
    <row r="136" spans="1:33" x14ac:dyDescent="0.3">
      <c r="A136">
        <v>205158</v>
      </c>
      <c r="B136" t="s">
        <v>286</v>
      </c>
      <c r="C136" t="s">
        <v>282</v>
      </c>
      <c r="D136" t="s">
        <v>287</v>
      </c>
      <c r="E136" s="18">
        <v>5</v>
      </c>
      <c r="F136" s="19">
        <f t="shared" si="48"/>
        <v>0.39999999999999997</v>
      </c>
      <c r="G136" s="2">
        <v>63.708750000000002</v>
      </c>
      <c r="H136" s="2">
        <f t="shared" si="49"/>
        <v>0.30967351229043866</v>
      </c>
      <c r="I136" s="2">
        <v>36.700000000000003</v>
      </c>
      <c r="J136" s="4">
        <f t="shared" si="50"/>
        <v>0.17806889859291608</v>
      </c>
      <c r="K136" s="2">
        <v>0.9</v>
      </c>
      <c r="L136" s="4">
        <f t="shared" si="51"/>
        <v>0.375</v>
      </c>
      <c r="M136" s="2">
        <v>15111</v>
      </c>
      <c r="N136" s="2">
        <f t="shared" si="52"/>
        <v>7.0365691520820617E-2</v>
      </c>
      <c r="O136" s="2">
        <v>0.12437026599999999</v>
      </c>
      <c r="P136" s="2">
        <f t="shared" si="53"/>
        <v>6.6220789304868979E-2</v>
      </c>
      <c r="Q136" s="2">
        <v>0.34649999999999997</v>
      </c>
      <c r="R136" s="2">
        <f t="shared" si="54"/>
        <v>0.8439490445859873</v>
      </c>
      <c r="S136" s="2">
        <f t="shared" si="55"/>
        <v>5.1553811299210273E-2</v>
      </c>
      <c r="T136" s="5">
        <f t="shared" si="45"/>
        <v>0.10401774906693008</v>
      </c>
      <c r="U136" s="2" t="str">
        <f t="shared" si="56"/>
        <v>No Impact</v>
      </c>
      <c r="V136" s="2">
        <f t="shared" si="57"/>
        <v>9.5605870840039672E-2</v>
      </c>
      <c r="W136" s="2">
        <f t="shared" si="58"/>
        <v>0.17222147754926595</v>
      </c>
      <c r="X136" s="2" t="s">
        <v>1175</v>
      </c>
      <c r="Y136" s="2">
        <f t="shared" si="59"/>
        <v>7.5017517583808686E-3</v>
      </c>
      <c r="Z136" s="2">
        <f t="shared" si="60"/>
        <v>1.5917327019170858E-2</v>
      </c>
      <c r="AA136" s="2" t="str">
        <f t="shared" si="61"/>
        <v>No Impact</v>
      </c>
      <c r="AB136" s="2">
        <f t="shared" si="62"/>
        <v>3.8502536232247211E-2</v>
      </c>
      <c r="AC136" s="2">
        <f t="shared" si="63"/>
        <v>0.10702173024007125</v>
      </c>
      <c r="AD136" s="2" t="str">
        <f t="shared" si="64"/>
        <v>No Impact</v>
      </c>
      <c r="AE136" s="2">
        <f t="shared" si="65"/>
        <v>7.9713026020544527E-3</v>
      </c>
      <c r="AF136" s="2">
        <f t="shared" si="66"/>
        <v>4.1066058339021397E-2</v>
      </c>
      <c r="AG136" s="2" t="s">
        <v>1175</v>
      </c>
    </row>
    <row r="137" spans="1:33" x14ac:dyDescent="0.3">
      <c r="A137">
        <v>205165</v>
      </c>
      <c r="B137" t="s">
        <v>288</v>
      </c>
      <c r="C137" t="s">
        <v>282</v>
      </c>
      <c r="D137" t="s">
        <v>289</v>
      </c>
      <c r="E137" s="18">
        <v>6.5</v>
      </c>
      <c r="F137" s="19">
        <f t="shared" si="48"/>
        <v>0.73333333333333328</v>
      </c>
      <c r="G137" s="2">
        <v>64.700153999999998</v>
      </c>
      <c r="H137" s="2">
        <f t="shared" si="49"/>
        <v>0.3192588219115326</v>
      </c>
      <c r="I137" s="2">
        <v>35</v>
      </c>
      <c r="J137" s="4">
        <f t="shared" si="50"/>
        <v>0.1698204754973314</v>
      </c>
      <c r="K137" s="2">
        <v>0</v>
      </c>
      <c r="L137" s="4">
        <f t="shared" si="51"/>
        <v>0</v>
      </c>
      <c r="M137" s="2">
        <v>18858</v>
      </c>
      <c r="N137" s="2">
        <f t="shared" si="52"/>
        <v>8.8094325606923013E-2</v>
      </c>
      <c r="O137" s="2">
        <v>0.267525344</v>
      </c>
      <c r="P137" s="2">
        <f t="shared" si="53"/>
        <v>0.23159212317526254</v>
      </c>
      <c r="Q137" s="2">
        <v>0.31459999999999999</v>
      </c>
      <c r="R137" s="2">
        <f t="shared" si="54"/>
        <v>0.75159235668789814</v>
      </c>
      <c r="S137" s="2">
        <f t="shared" si="55"/>
        <v>6.1709747411462651E-2</v>
      </c>
      <c r="T137" s="5">
        <f t="shared" si="45"/>
        <v>0.12450891329789013</v>
      </c>
      <c r="U137" s="2" t="str">
        <f t="shared" si="56"/>
        <v>No Impact</v>
      </c>
      <c r="V137" s="2">
        <f t="shared" si="57"/>
        <v>9.4347653848342622E-2</v>
      </c>
      <c r="W137" s="2">
        <f t="shared" si="58"/>
        <v>0.16995496412824174</v>
      </c>
      <c r="X137" s="2" t="s">
        <v>1175</v>
      </c>
      <c r="Y137" s="2">
        <f t="shared" si="59"/>
        <v>2.907184097458268E-2</v>
      </c>
      <c r="Z137" s="2">
        <f t="shared" si="60"/>
        <v>6.1685059003024061E-2</v>
      </c>
      <c r="AA137" s="2" t="str">
        <f t="shared" si="61"/>
        <v>No Impact</v>
      </c>
      <c r="AB137" s="2">
        <f t="shared" si="62"/>
        <v>4.5613710266101205E-2</v>
      </c>
      <c r="AC137" s="2">
        <f t="shared" si="63"/>
        <v>0.12678796445775159</v>
      </c>
      <c r="AD137" s="2" t="str">
        <f t="shared" si="64"/>
        <v>No Impact</v>
      </c>
      <c r="AE137" s="2">
        <f t="shared" si="65"/>
        <v>1.1058511790875676E-2</v>
      </c>
      <c r="AF137" s="2">
        <f t="shared" si="66"/>
        <v>5.6970549610023985E-2</v>
      </c>
      <c r="AG137" s="2" t="s">
        <v>1175</v>
      </c>
    </row>
    <row r="138" spans="1:33" x14ac:dyDescent="0.3">
      <c r="A138">
        <v>205173</v>
      </c>
      <c r="B138" t="s">
        <v>290</v>
      </c>
      <c r="C138" t="s">
        <v>282</v>
      </c>
      <c r="D138" t="s">
        <v>291</v>
      </c>
      <c r="E138" s="18">
        <v>6.5</v>
      </c>
      <c r="F138" s="19">
        <f t="shared" si="48"/>
        <v>0.73333333333333328</v>
      </c>
      <c r="G138" s="2">
        <v>90.077256000000006</v>
      </c>
      <c r="H138" s="2">
        <f t="shared" si="49"/>
        <v>0.56461528603320599</v>
      </c>
      <c r="I138" s="2">
        <v>65.3</v>
      </c>
      <c r="J138" s="4">
        <f t="shared" si="50"/>
        <v>0.316836487142164</v>
      </c>
      <c r="K138" s="2">
        <v>0.9</v>
      </c>
      <c r="L138" s="4">
        <f t="shared" si="51"/>
        <v>0.375</v>
      </c>
      <c r="M138" s="2">
        <v>8289</v>
      </c>
      <c r="N138" s="2">
        <f t="shared" si="52"/>
        <v>3.8087938188717453E-2</v>
      </c>
      <c r="O138" s="2">
        <v>0.33163387999999999</v>
      </c>
      <c r="P138" s="2">
        <f t="shared" si="53"/>
        <v>0.30564967152711453</v>
      </c>
      <c r="Q138" s="2">
        <v>0.27060000000000001</v>
      </c>
      <c r="R138" s="2">
        <f t="shared" si="54"/>
        <v>0.62420382165605104</v>
      </c>
      <c r="S138" s="2">
        <f t="shared" si="55"/>
        <v>0.14354115292328923</v>
      </c>
      <c r="T138" s="5">
        <f t="shared" si="45"/>
        <v>0.28961636878593405</v>
      </c>
      <c r="U138" s="2" t="str">
        <f t="shared" si="56"/>
        <v>Low</v>
      </c>
      <c r="V138" s="2">
        <f t="shared" si="57"/>
        <v>0.19271624374482679</v>
      </c>
      <c r="W138" s="2">
        <f t="shared" si="58"/>
        <v>0.34715311888125866</v>
      </c>
      <c r="X138" s="2" t="str">
        <f t="shared" si="67"/>
        <v>Moderate</v>
      </c>
      <c r="Y138" s="2">
        <f t="shared" si="59"/>
        <v>9.4366062101751705E-2</v>
      </c>
      <c r="Z138" s="2">
        <f t="shared" si="60"/>
        <v>0.20022729601881173</v>
      </c>
      <c r="AA138" s="2" t="str">
        <f t="shared" si="61"/>
        <v>Low</v>
      </c>
      <c r="AB138" s="2">
        <f t="shared" si="62"/>
        <v>9.9876238968412093E-2</v>
      </c>
      <c r="AC138" s="2">
        <f t="shared" si="63"/>
        <v>0.27761620272998905</v>
      </c>
      <c r="AD138" s="2" t="str">
        <f t="shared" si="64"/>
        <v>Low</v>
      </c>
      <c r="AE138" s="2">
        <f t="shared" si="65"/>
        <v>1.175924293484917E-2</v>
      </c>
      <c r="AF138" s="2">
        <f t="shared" si="66"/>
        <v>6.0580532504283725E-2</v>
      </c>
      <c r="AG138" s="2" t="s">
        <v>1175</v>
      </c>
    </row>
    <row r="139" spans="1:33" x14ac:dyDescent="0.3">
      <c r="A139">
        <v>207507</v>
      </c>
      <c r="B139" t="s">
        <v>292</v>
      </c>
      <c r="C139" t="s">
        <v>293</v>
      </c>
      <c r="D139" t="s">
        <v>294</v>
      </c>
      <c r="E139" s="18">
        <v>6.6</v>
      </c>
      <c r="F139" s="19">
        <f t="shared" si="48"/>
        <v>0.75555555555555542</v>
      </c>
      <c r="G139" s="2">
        <v>70.287803999999994</v>
      </c>
      <c r="H139" s="2">
        <f t="shared" si="49"/>
        <v>0.37328256531412707</v>
      </c>
      <c r="I139" s="2">
        <v>34.5</v>
      </c>
      <c r="J139" s="4">
        <f t="shared" si="50"/>
        <v>0.16739446870451238</v>
      </c>
      <c r="K139" s="2">
        <v>0</v>
      </c>
      <c r="L139" s="4">
        <f t="shared" si="51"/>
        <v>0</v>
      </c>
      <c r="M139" s="2">
        <v>35521</v>
      </c>
      <c r="N139" s="2">
        <f t="shared" si="52"/>
        <v>0.16693399194712163</v>
      </c>
      <c r="O139" s="2">
        <v>0.28711009999999998</v>
      </c>
      <c r="P139" s="2">
        <f t="shared" si="53"/>
        <v>0.25421624010142696</v>
      </c>
      <c r="Q139" s="2">
        <v>0.2717</v>
      </c>
      <c r="R139" s="2">
        <f t="shared" si="54"/>
        <v>0.62738853503184722</v>
      </c>
      <c r="S139" s="2">
        <f t="shared" si="55"/>
        <v>6.3025501271657375E-2</v>
      </c>
      <c r="T139" s="5">
        <f t="shared" si="45"/>
        <v>0.12716364922166606</v>
      </c>
      <c r="U139" s="2" t="str">
        <f t="shared" si="56"/>
        <v>No Impact</v>
      </c>
      <c r="V139" s="2">
        <f t="shared" si="57"/>
        <v>8.9703409118888619E-2</v>
      </c>
      <c r="W139" s="2">
        <f t="shared" si="58"/>
        <v>0.16158896440061843</v>
      </c>
      <c r="X139" s="2" t="s">
        <v>1175</v>
      </c>
      <c r="Y139" s="2">
        <f t="shared" si="59"/>
        <v>3.6347593424426144E-2</v>
      </c>
      <c r="Z139" s="2">
        <f t="shared" si="60"/>
        <v>7.7122857371293152E-2</v>
      </c>
      <c r="AA139" s="2" t="str">
        <f t="shared" si="61"/>
        <v>No Impact</v>
      </c>
      <c r="AB139" s="2">
        <f t="shared" si="62"/>
        <v>5.0654292764550343E-2</v>
      </c>
      <c r="AC139" s="2">
        <f t="shared" si="63"/>
        <v>0.14079877811293198</v>
      </c>
      <c r="AD139" s="2" t="str">
        <f t="shared" si="64"/>
        <v>No Impact</v>
      </c>
      <c r="AE139" s="2">
        <f t="shared" si="65"/>
        <v>2.3868061558889948E-2</v>
      </c>
      <c r="AF139" s="2">
        <f t="shared" si="66"/>
        <v>0.1229619871869008</v>
      </c>
      <c r="AG139" s="2" t="s">
        <v>1175</v>
      </c>
    </row>
    <row r="140" spans="1:33" x14ac:dyDescent="0.3">
      <c r="A140">
        <v>207510</v>
      </c>
      <c r="B140" t="s">
        <v>295</v>
      </c>
      <c r="C140" t="s">
        <v>293</v>
      </c>
      <c r="D140" t="s">
        <v>296</v>
      </c>
      <c r="E140" s="18">
        <v>6.5</v>
      </c>
      <c r="F140" s="19">
        <f t="shared" si="48"/>
        <v>0.73333333333333328</v>
      </c>
      <c r="G140" s="2">
        <v>64.700153999999998</v>
      </c>
      <c r="H140" s="2">
        <f t="shared" si="49"/>
        <v>0.3192588219115326</v>
      </c>
      <c r="I140" s="2">
        <v>31.4</v>
      </c>
      <c r="J140" s="4">
        <f t="shared" si="50"/>
        <v>0.15235322658903444</v>
      </c>
      <c r="K140" s="2">
        <v>0</v>
      </c>
      <c r="L140" s="4">
        <f t="shared" si="51"/>
        <v>0</v>
      </c>
      <c r="M140" s="2">
        <v>14588</v>
      </c>
      <c r="N140" s="2">
        <f t="shared" si="52"/>
        <v>6.789115839377724E-2</v>
      </c>
      <c r="O140" s="2">
        <v>0.242151486</v>
      </c>
      <c r="P140" s="2">
        <f t="shared" si="53"/>
        <v>0.20228049272860835</v>
      </c>
      <c r="Q140" s="2">
        <v>0.32990000000000003</v>
      </c>
      <c r="R140" s="2">
        <f t="shared" si="54"/>
        <v>0.7958888245512451</v>
      </c>
      <c r="S140" s="2">
        <f t="shared" si="55"/>
        <v>6.0412746814004728E-2</v>
      </c>
      <c r="T140" s="5">
        <f t="shared" si="45"/>
        <v>0.12189201496804533</v>
      </c>
      <c r="U140" s="2" t="str">
        <f t="shared" si="56"/>
        <v>No Impact</v>
      </c>
      <c r="V140" s="2">
        <f t="shared" si="57"/>
        <v>9.6340028124165741E-2</v>
      </c>
      <c r="W140" s="2">
        <f t="shared" si="58"/>
        <v>0.1735439659185973</v>
      </c>
      <c r="X140" s="2" t="s">
        <v>1175</v>
      </c>
      <c r="Y140" s="2">
        <f t="shared" si="59"/>
        <v>2.4485465503843711E-2</v>
      </c>
      <c r="Z140" s="2">
        <f t="shared" si="60"/>
        <v>5.1953620193562262E-2</v>
      </c>
      <c r="AA140" s="2" t="str">
        <f t="shared" si="61"/>
        <v>No Impact</v>
      </c>
      <c r="AB140" s="2">
        <f t="shared" si="62"/>
        <v>4.3940959058895175E-2</v>
      </c>
      <c r="AC140" s="2">
        <f t="shared" si="63"/>
        <v>0.12213838170360508</v>
      </c>
      <c r="AD140" s="2" t="str">
        <f t="shared" si="64"/>
        <v>No Impact</v>
      </c>
      <c r="AE140" s="2">
        <f t="shared" si="65"/>
        <v>8.2180273265258751E-3</v>
      </c>
      <c r="AF140" s="2">
        <f t="shared" si="66"/>
        <v>4.2337119348072924E-2</v>
      </c>
      <c r="AG140" s="2" t="s">
        <v>1175</v>
      </c>
    </row>
    <row r="141" spans="1:33" x14ac:dyDescent="0.3">
      <c r="A141">
        <v>207521</v>
      </c>
      <c r="B141" t="s">
        <v>297</v>
      </c>
      <c r="C141" t="s">
        <v>293</v>
      </c>
      <c r="D141" t="s">
        <v>1131</v>
      </c>
      <c r="E141" s="18">
        <v>6.4</v>
      </c>
      <c r="F141" s="19">
        <f t="shared" si="48"/>
        <v>0.71111111111111114</v>
      </c>
      <c r="G141" s="2">
        <v>75.730147200000005</v>
      </c>
      <c r="H141" s="2">
        <f t="shared" si="49"/>
        <v>0.42590142163935424</v>
      </c>
      <c r="I141" s="2">
        <v>21.5</v>
      </c>
      <c r="J141" s="4">
        <f t="shared" si="50"/>
        <v>0.10431829209121786</v>
      </c>
      <c r="K141" s="2">
        <v>0.8</v>
      </c>
      <c r="L141" s="4">
        <f t="shared" si="51"/>
        <v>0.33333333333333337</v>
      </c>
      <c r="M141" s="2">
        <v>38608</v>
      </c>
      <c r="N141" s="2">
        <f t="shared" si="52"/>
        <v>0.18153988824383852</v>
      </c>
      <c r="O141" s="2">
        <v>0.14102393299999999</v>
      </c>
      <c r="P141" s="2">
        <f t="shared" si="53"/>
        <v>8.5458941133638583E-2</v>
      </c>
      <c r="Q141" s="2">
        <v>0.21809999999999999</v>
      </c>
      <c r="R141" s="2">
        <f t="shared" si="54"/>
        <v>0.47220613781123338</v>
      </c>
      <c r="S141" s="2">
        <f t="shared" si="55"/>
        <v>5.6624449555547594E-2</v>
      </c>
      <c r="T141" s="5">
        <f t="shared" si="45"/>
        <v>0.11424854218318899</v>
      </c>
      <c r="U141" s="2" t="str">
        <f t="shared" si="56"/>
        <v>No Impact</v>
      </c>
      <c r="V141" s="2">
        <f t="shared" si="57"/>
        <v>9.5894161710474865E-2</v>
      </c>
      <c r="W141" s="2">
        <f t="shared" si="58"/>
        <v>0.17274079586344546</v>
      </c>
      <c r="X141" s="2" t="s">
        <v>1175</v>
      </c>
      <c r="Y141" s="2">
        <f t="shared" si="59"/>
        <v>1.7354737400620331E-2</v>
      </c>
      <c r="Z141" s="2">
        <f t="shared" si="60"/>
        <v>3.6823536613151166E-2</v>
      </c>
      <c r="AA141" s="2" t="str">
        <f t="shared" si="61"/>
        <v>No Impact</v>
      </c>
      <c r="AB141" s="2">
        <f t="shared" si="62"/>
        <v>5.1672673439483084E-2</v>
      </c>
      <c r="AC141" s="2">
        <f t="shared" si="63"/>
        <v>0.14362947116694103</v>
      </c>
      <c r="AD141" s="2" t="str">
        <f t="shared" si="64"/>
        <v>No Impact</v>
      </c>
      <c r="AE141" s="2">
        <f t="shared" si="65"/>
        <v>3.6866558916087956E-2</v>
      </c>
      <c r="AF141" s="2">
        <f t="shared" si="66"/>
        <v>0.1899268331397734</v>
      </c>
      <c r="AG141" s="2" t="s">
        <v>1175</v>
      </c>
    </row>
    <row r="142" spans="1:33" x14ac:dyDescent="0.3">
      <c r="A142">
        <v>207536</v>
      </c>
      <c r="B142" t="s">
        <v>298</v>
      </c>
      <c r="C142" t="s">
        <v>293</v>
      </c>
      <c r="D142" t="s">
        <v>299</v>
      </c>
      <c r="E142" s="18">
        <v>6.5</v>
      </c>
      <c r="F142" s="19">
        <f t="shared" si="48"/>
        <v>0.73333333333333328</v>
      </c>
      <c r="G142" s="2">
        <v>95.853427199999999</v>
      </c>
      <c r="H142" s="2">
        <f t="shared" si="49"/>
        <v>0.62046173145449346</v>
      </c>
      <c r="I142" s="2">
        <v>66.900000000000006</v>
      </c>
      <c r="J142" s="4">
        <f t="shared" si="50"/>
        <v>0.32459970887918488</v>
      </c>
      <c r="K142" s="2">
        <v>0.8</v>
      </c>
      <c r="L142" s="4">
        <f t="shared" si="51"/>
        <v>0.33333333333333337</v>
      </c>
      <c r="M142" s="2">
        <v>64514</v>
      </c>
      <c r="N142" s="2">
        <f t="shared" si="52"/>
        <v>0.30411207789811356</v>
      </c>
      <c r="O142" s="2">
        <v>0.16654503000000001</v>
      </c>
      <c r="P142" s="2">
        <f t="shared" si="53"/>
        <v>0.1149406606205694</v>
      </c>
      <c r="Q142" s="2">
        <v>0.23</v>
      </c>
      <c r="R142" s="2">
        <f t="shared" si="54"/>
        <v>0.50665894614939211</v>
      </c>
      <c r="S142" s="2">
        <f t="shared" si="55"/>
        <v>9.8181379107789971E-2</v>
      </c>
      <c r="T142" s="5">
        <f t="shared" si="45"/>
        <v>0.19809604368155939</v>
      </c>
      <c r="U142" s="2" t="str">
        <f t="shared" si="56"/>
        <v>Low</v>
      </c>
      <c r="V142" s="2">
        <f t="shared" si="57"/>
        <v>0.16005310662513336</v>
      </c>
      <c r="W142" s="2">
        <f t="shared" si="58"/>
        <v>0.28831474748501162</v>
      </c>
      <c r="X142" s="2" t="s">
        <v>1175</v>
      </c>
      <c r="Y142" s="2">
        <f t="shared" si="59"/>
        <v>3.6309651590446579E-2</v>
      </c>
      <c r="Z142" s="2">
        <f t="shared" si="60"/>
        <v>7.7042351830905853E-2</v>
      </c>
      <c r="AA142" s="2" t="str">
        <f t="shared" si="61"/>
        <v>No Impact</v>
      </c>
      <c r="AB142" s="2">
        <f t="shared" si="62"/>
        <v>0.10053553921476865</v>
      </c>
      <c r="AC142" s="2">
        <f t="shared" si="63"/>
        <v>0.27944879507370302</v>
      </c>
      <c r="AD142" s="2" t="str">
        <f t="shared" si="64"/>
        <v>Low</v>
      </c>
      <c r="AE142" s="2">
        <f t="shared" si="65"/>
        <v>9.6068732625251466E-2</v>
      </c>
      <c r="AF142" s="2">
        <f t="shared" si="66"/>
        <v>0.49492089003466427</v>
      </c>
      <c r="AG142" s="2" t="str">
        <f t="shared" ref="AG142" si="68">IF(AF142&gt;0.7,"High",IF(AF142&gt;0.3,"Moderate",IF(AF142&gt;0.15,"Low","No Impact")))</f>
        <v>Moderate</v>
      </c>
    </row>
    <row r="143" spans="1:33" x14ac:dyDescent="0.3">
      <c r="A143">
        <v>207547</v>
      </c>
      <c r="B143" t="s">
        <v>300</v>
      </c>
      <c r="C143" t="s">
        <v>293</v>
      </c>
      <c r="D143" t="s">
        <v>301</v>
      </c>
      <c r="E143" s="18">
        <v>6.5</v>
      </c>
      <c r="F143" s="19">
        <f t="shared" si="48"/>
        <v>0.73333333333333328</v>
      </c>
      <c r="G143" s="2">
        <v>75.730147200000005</v>
      </c>
      <c r="H143" s="2">
        <f t="shared" si="49"/>
        <v>0.42590142163935424</v>
      </c>
      <c r="I143" s="2">
        <v>25.4</v>
      </c>
      <c r="J143" s="4">
        <f t="shared" si="50"/>
        <v>0.12324114507520621</v>
      </c>
      <c r="K143" s="2">
        <v>0.8</v>
      </c>
      <c r="L143" s="4">
        <f t="shared" si="51"/>
        <v>0.33333333333333337</v>
      </c>
      <c r="M143" s="2">
        <v>22882</v>
      </c>
      <c r="N143" s="2">
        <f t="shared" si="52"/>
        <v>0.10713356328038873</v>
      </c>
      <c r="O143" s="2">
        <v>0.36309759699999999</v>
      </c>
      <c r="P143" s="2">
        <f t="shared" si="53"/>
        <v>0.34199624701366887</v>
      </c>
      <c r="Q143" s="2">
        <v>0.27239999999999998</v>
      </c>
      <c r="R143" s="2">
        <f t="shared" si="54"/>
        <v>0.62941517081644471</v>
      </c>
      <c r="S143" s="2">
        <f t="shared" si="55"/>
        <v>0.10407698310023006</v>
      </c>
      <c r="T143" s="5">
        <f t="shared" si="45"/>
        <v>0.20999133214286114</v>
      </c>
      <c r="U143" s="2" t="str">
        <f t="shared" si="56"/>
        <v>Low</v>
      </c>
      <c r="V143" s="2">
        <f t="shared" si="57"/>
        <v>0.13487103588388724</v>
      </c>
      <c r="W143" s="2">
        <f t="shared" si="58"/>
        <v>0.24295253915301809</v>
      </c>
      <c r="X143" s="2" t="s">
        <v>1175</v>
      </c>
      <c r="Y143" s="2">
        <f t="shared" si="59"/>
        <v>7.3282930316572834E-2</v>
      </c>
      <c r="Z143" s="2">
        <f t="shared" si="60"/>
        <v>0.15549279746145098</v>
      </c>
      <c r="AA143" s="2" t="str">
        <f t="shared" si="61"/>
        <v>Low</v>
      </c>
      <c r="AB143" s="2">
        <f t="shared" si="62"/>
        <v>7.7224541838105107E-2</v>
      </c>
      <c r="AC143" s="2">
        <f t="shared" si="63"/>
        <v>0.21465349801005587</v>
      </c>
      <c r="AD143" s="2" t="str">
        <f t="shared" si="64"/>
        <v>Low</v>
      </c>
      <c r="AE143" s="2">
        <f t="shared" si="65"/>
        <v>2.2956571953636328E-2</v>
      </c>
      <c r="AF143" s="2">
        <f t="shared" si="66"/>
        <v>0.11826623202950538</v>
      </c>
      <c r="AG143" s="2" t="s">
        <v>1175</v>
      </c>
    </row>
    <row r="144" spans="1:33" x14ac:dyDescent="0.3">
      <c r="A144">
        <v>207580</v>
      </c>
      <c r="B144" t="s">
        <v>302</v>
      </c>
      <c r="C144" t="s">
        <v>293</v>
      </c>
      <c r="D144" t="s">
        <v>303</v>
      </c>
      <c r="E144" s="18">
        <v>6.6</v>
      </c>
      <c r="F144" s="19">
        <f t="shared" si="48"/>
        <v>0.75555555555555542</v>
      </c>
      <c r="G144" s="2">
        <v>75.730147200000005</v>
      </c>
      <c r="H144" s="2">
        <f t="shared" si="49"/>
        <v>0.42590142163935424</v>
      </c>
      <c r="I144" s="2">
        <v>28.6</v>
      </c>
      <c r="J144" s="4">
        <f t="shared" si="50"/>
        <v>0.13876758854924795</v>
      </c>
      <c r="K144" s="2">
        <v>0</v>
      </c>
      <c r="L144" s="4">
        <f t="shared" si="51"/>
        <v>0</v>
      </c>
      <c r="M144" s="2">
        <v>19359</v>
      </c>
      <c r="N144" s="2">
        <f t="shared" si="52"/>
        <v>9.046476747432021E-2</v>
      </c>
      <c r="O144" s="2">
        <v>0.14980753199999999</v>
      </c>
      <c r="P144" s="2">
        <f t="shared" si="53"/>
        <v>9.5605668047598666E-2</v>
      </c>
      <c r="Q144" s="2">
        <v>0.2445</v>
      </c>
      <c r="R144" s="2">
        <f t="shared" si="54"/>
        <v>0.5486392588303417</v>
      </c>
      <c r="S144" s="2">
        <f t="shared" si="55"/>
        <v>4.8100480307026877E-2</v>
      </c>
      <c r="T144" s="5">
        <f t="shared" si="45"/>
        <v>9.7050122279742621E-2</v>
      </c>
      <c r="U144" s="2" t="str">
        <f t="shared" si="56"/>
        <v>No Impact</v>
      </c>
      <c r="V144" s="2">
        <f t="shared" si="57"/>
        <v>8.192477973530253E-2</v>
      </c>
      <c r="W144" s="2">
        <f t="shared" si="58"/>
        <v>0.14757678048368383</v>
      </c>
      <c r="X144" s="2" t="s">
        <v>1176</v>
      </c>
      <c r="Y144" s="2">
        <f t="shared" si="59"/>
        <v>1.4276180878751231E-2</v>
      </c>
      <c r="Z144" s="2">
        <f t="shared" si="60"/>
        <v>3.0291410186700597E-2</v>
      </c>
      <c r="AA144" s="2" t="str">
        <f t="shared" si="61"/>
        <v>No Impact</v>
      </c>
      <c r="AB144" s="2">
        <f t="shared" si="62"/>
        <v>3.7684510286387148E-2</v>
      </c>
      <c r="AC144" s="2">
        <f t="shared" si="63"/>
        <v>0.10474794361003903</v>
      </c>
      <c r="AD144" s="2" t="str">
        <f t="shared" si="64"/>
        <v>No Impact</v>
      </c>
      <c r="AE144" s="2">
        <f t="shared" si="65"/>
        <v>1.3508523186874011E-2</v>
      </c>
      <c r="AF144" s="2">
        <f t="shared" si="66"/>
        <v>6.9592365132797387E-2</v>
      </c>
      <c r="AG144" s="2" t="s">
        <v>1175</v>
      </c>
    </row>
    <row r="145" spans="1:33" x14ac:dyDescent="0.3">
      <c r="A145">
        <v>207583</v>
      </c>
      <c r="B145" t="s">
        <v>304</v>
      </c>
      <c r="C145" t="s">
        <v>293</v>
      </c>
      <c r="D145" t="s">
        <v>305</v>
      </c>
      <c r="E145" s="18">
        <v>6.5</v>
      </c>
      <c r="F145" s="19">
        <f t="shared" si="48"/>
        <v>0.73333333333333328</v>
      </c>
      <c r="G145" s="2">
        <v>64.700153999999998</v>
      </c>
      <c r="H145" s="2">
        <f t="shared" si="49"/>
        <v>0.3192588219115326</v>
      </c>
      <c r="I145" s="2">
        <v>28</v>
      </c>
      <c r="J145" s="4">
        <f t="shared" si="50"/>
        <v>0.13585638039786513</v>
      </c>
      <c r="K145" s="2">
        <v>0</v>
      </c>
      <c r="L145" s="4">
        <f t="shared" si="51"/>
        <v>0</v>
      </c>
      <c r="M145" s="2">
        <v>20762</v>
      </c>
      <c r="N145" s="2">
        <f t="shared" si="52"/>
        <v>9.7102950987210973E-2</v>
      </c>
      <c r="O145" s="2">
        <v>0.32153397099999997</v>
      </c>
      <c r="P145" s="2">
        <f t="shared" si="53"/>
        <v>0.29398235628664787</v>
      </c>
      <c r="Q145" s="2">
        <v>0.26829999999999998</v>
      </c>
      <c r="R145" s="2">
        <f t="shared" si="54"/>
        <v>0.61754487550665893</v>
      </c>
      <c r="S145" s="2">
        <f t="shared" si="55"/>
        <v>5.3239070565210787E-2</v>
      </c>
      <c r="T145" s="5">
        <f t="shared" si="45"/>
        <v>0.10741801901838265</v>
      </c>
      <c r="U145" s="2" t="str">
        <f t="shared" si="56"/>
        <v>No Impact</v>
      </c>
      <c r="V145" s="2">
        <f t="shared" si="57"/>
        <v>7.2137208977511857E-2</v>
      </c>
      <c r="W145" s="2">
        <f t="shared" si="58"/>
        <v>0.12994575131451319</v>
      </c>
      <c r="X145" s="2" t="s">
        <v>1176</v>
      </c>
      <c r="Y145" s="2">
        <f t="shared" si="59"/>
        <v>3.4340932152909738E-2</v>
      </c>
      <c r="Z145" s="2">
        <f t="shared" si="60"/>
        <v>7.2865094024252494E-2</v>
      </c>
      <c r="AA145" s="2" t="str">
        <f t="shared" si="61"/>
        <v>No Impact</v>
      </c>
      <c r="AB145" s="2">
        <f t="shared" si="62"/>
        <v>3.9520309909642733E-2</v>
      </c>
      <c r="AC145" s="2">
        <f t="shared" si="63"/>
        <v>0.10985073608245628</v>
      </c>
      <c r="AD145" s="2" t="str">
        <f t="shared" si="64"/>
        <v>No Impact</v>
      </c>
      <c r="AE145" s="2">
        <f t="shared" si="65"/>
        <v>1.1342877490401904E-2</v>
      </c>
      <c r="AF145" s="2">
        <f t="shared" si="66"/>
        <v>5.8435527040858318E-2</v>
      </c>
      <c r="AG145" s="2" t="s">
        <v>1175</v>
      </c>
    </row>
    <row r="146" spans="1:33" x14ac:dyDescent="0.3">
      <c r="A146">
        <v>207585</v>
      </c>
      <c r="B146" t="s">
        <v>306</v>
      </c>
      <c r="C146" t="s">
        <v>293</v>
      </c>
      <c r="D146" t="s">
        <v>307</v>
      </c>
      <c r="E146" s="18">
        <v>6.5</v>
      </c>
      <c r="F146" s="19">
        <f t="shared" si="48"/>
        <v>0.73333333333333328</v>
      </c>
      <c r="G146" s="2">
        <v>90.298738799999995</v>
      </c>
      <c r="H146" s="2">
        <f t="shared" si="49"/>
        <v>0.56675667462327295</v>
      </c>
      <c r="I146" s="2">
        <v>46.7</v>
      </c>
      <c r="J146" s="4">
        <f t="shared" si="50"/>
        <v>0.22658903444929648</v>
      </c>
      <c r="K146" s="2">
        <v>0.8</v>
      </c>
      <c r="L146" s="4">
        <f t="shared" si="51"/>
        <v>0.33333333333333337</v>
      </c>
      <c r="M146" s="2">
        <v>36232</v>
      </c>
      <c r="N146" s="2">
        <f t="shared" si="52"/>
        <v>0.17029803220205059</v>
      </c>
      <c r="O146" s="2">
        <v>0.23003343400000001</v>
      </c>
      <c r="P146" s="2">
        <f t="shared" si="53"/>
        <v>0.18828183860366846</v>
      </c>
      <c r="Q146" s="2">
        <v>0.2452</v>
      </c>
      <c r="R146" s="2">
        <f t="shared" si="54"/>
        <v>0.5506658946149392</v>
      </c>
      <c r="S146" s="2">
        <f t="shared" si="55"/>
        <v>0.10232901360151074</v>
      </c>
      <c r="T146" s="5">
        <f t="shared" si="45"/>
        <v>0.20646453464501605</v>
      </c>
      <c r="U146" s="2" t="str">
        <f t="shared" si="56"/>
        <v>Low</v>
      </c>
      <c r="V146" s="2">
        <f t="shared" si="57"/>
        <v>0.15251172792560708</v>
      </c>
      <c r="W146" s="2">
        <f t="shared" si="58"/>
        <v>0.27472993965909881</v>
      </c>
      <c r="X146" s="2" t="s">
        <v>1175</v>
      </c>
      <c r="Y146" s="2">
        <f t="shared" si="59"/>
        <v>5.2146299277414383E-2</v>
      </c>
      <c r="Z146" s="2">
        <f t="shared" si="60"/>
        <v>0.11064478340153797</v>
      </c>
      <c r="AA146" s="2" t="str">
        <f t="shared" si="61"/>
        <v>No Impact</v>
      </c>
      <c r="AB146" s="2">
        <f t="shared" si="62"/>
        <v>8.5530929028177508E-2</v>
      </c>
      <c r="AC146" s="2">
        <f t="shared" si="63"/>
        <v>0.23774194921657596</v>
      </c>
      <c r="AD146" s="2" t="str">
        <f t="shared" si="64"/>
        <v>Low</v>
      </c>
      <c r="AE146" s="2">
        <f t="shared" si="65"/>
        <v>4.7165527059973469E-2</v>
      </c>
      <c r="AF146" s="2">
        <f t="shared" si="66"/>
        <v>0.24298441327975215</v>
      </c>
      <c r="AG146" s="2" t="s">
        <v>1175</v>
      </c>
    </row>
    <row r="147" spans="1:33" x14ac:dyDescent="0.3">
      <c r="A147">
        <v>207587</v>
      </c>
      <c r="B147" t="s">
        <v>308</v>
      </c>
      <c r="C147" t="s">
        <v>293</v>
      </c>
      <c r="D147" t="s">
        <v>1132</v>
      </c>
      <c r="E147" s="18">
        <v>6.6</v>
      </c>
      <c r="F147" s="19">
        <f t="shared" si="48"/>
        <v>0.75555555555555542</v>
      </c>
      <c r="G147" s="2">
        <v>75.730147200000005</v>
      </c>
      <c r="H147" s="2">
        <f t="shared" si="49"/>
        <v>0.42590142163935424</v>
      </c>
      <c r="I147" s="2">
        <v>33.4</v>
      </c>
      <c r="J147" s="4">
        <f t="shared" si="50"/>
        <v>0.16205725376031052</v>
      </c>
      <c r="K147" s="2">
        <v>0</v>
      </c>
      <c r="L147" s="4">
        <f t="shared" si="51"/>
        <v>0</v>
      </c>
      <c r="M147" s="2">
        <v>46149</v>
      </c>
      <c r="N147" s="2">
        <f t="shared" si="52"/>
        <v>0.21721953319801471</v>
      </c>
      <c r="O147" s="2">
        <v>0.23030001899999999</v>
      </c>
      <c r="P147" s="2">
        <f t="shared" si="53"/>
        <v>0.18858979496578812</v>
      </c>
      <c r="Q147" s="2">
        <v>0.29170000000000001</v>
      </c>
      <c r="R147" s="2">
        <f t="shared" si="54"/>
        <v>0.6852924145917777</v>
      </c>
      <c r="S147" s="2">
        <f t="shared" si="55"/>
        <v>6.7936653933365579E-2</v>
      </c>
      <c r="T147" s="5">
        <f t="shared" si="45"/>
        <v>0.13707265560395027</v>
      </c>
      <c r="U147" s="2" t="str">
        <f t="shared" si="56"/>
        <v>No Impact</v>
      </c>
      <c r="V147" s="2">
        <f t="shared" si="57"/>
        <v>0.10655091293563003</v>
      </c>
      <c r="W147" s="2">
        <f t="shared" si="58"/>
        <v>0.19193754001466909</v>
      </c>
      <c r="X147" s="2" t="s">
        <v>1175</v>
      </c>
      <c r="Y147" s="2">
        <f t="shared" si="59"/>
        <v>2.9322394931101146E-2</v>
      </c>
      <c r="Z147" s="2">
        <f t="shared" si="60"/>
        <v>6.2216688066515265E-2</v>
      </c>
      <c r="AA147" s="2" t="str">
        <f t="shared" si="61"/>
        <v>No Impact</v>
      </c>
      <c r="AB147" s="2">
        <f t="shared" si="62"/>
        <v>5.7910373429618828E-2</v>
      </c>
      <c r="AC147" s="2">
        <f t="shared" si="63"/>
        <v>0.16096779510581158</v>
      </c>
      <c r="AD147" s="2" t="str">
        <f t="shared" si="64"/>
        <v>Low</v>
      </c>
      <c r="AE147" s="2">
        <f t="shared" si="65"/>
        <v>3.3773815493765659E-2</v>
      </c>
      <c r="AF147" s="2">
        <f t="shared" si="66"/>
        <v>0.1739938309506483</v>
      </c>
      <c r="AG147" s="2" t="s">
        <v>1175</v>
      </c>
    </row>
    <row r="148" spans="1:33" x14ac:dyDescent="0.3">
      <c r="A148">
        <v>208407</v>
      </c>
      <c r="B148" t="s">
        <v>309</v>
      </c>
      <c r="C148" t="s">
        <v>310</v>
      </c>
      <c r="D148" t="s">
        <v>311</v>
      </c>
      <c r="E148" s="18">
        <v>6.2</v>
      </c>
      <c r="F148" s="19">
        <f t="shared" si="48"/>
        <v>0.66666666666666663</v>
      </c>
      <c r="G148" s="2">
        <v>49.623116400000001</v>
      </c>
      <c r="H148" s="2">
        <f t="shared" si="49"/>
        <v>0.17348769978082121</v>
      </c>
      <c r="I148" s="2">
        <v>12.2</v>
      </c>
      <c r="J148" s="4">
        <f t="shared" si="50"/>
        <v>5.9194565744784086E-2</v>
      </c>
      <c r="K148" s="2">
        <v>0</v>
      </c>
      <c r="L148" s="4">
        <f t="shared" si="51"/>
        <v>0</v>
      </c>
      <c r="M148" s="2">
        <v>3903</v>
      </c>
      <c r="N148" s="2">
        <f t="shared" si="52"/>
        <v>1.7335926151982702E-2</v>
      </c>
      <c r="O148" s="2">
        <v>0.326368137</v>
      </c>
      <c r="P148" s="2">
        <f t="shared" si="53"/>
        <v>0.2995667371604504</v>
      </c>
      <c r="Q148" s="2">
        <v>0.40039999999999998</v>
      </c>
      <c r="R148" s="2">
        <f t="shared" si="54"/>
        <v>1</v>
      </c>
      <c r="S148" s="2">
        <f t="shared" si="55"/>
        <v>3.5278382137158115E-2</v>
      </c>
      <c r="T148" s="5">
        <f t="shared" si="45"/>
        <v>7.117956574214318E-2</v>
      </c>
      <c r="U148" s="2" t="str">
        <f t="shared" si="56"/>
        <v>No Impact</v>
      </c>
      <c r="V148" s="2">
        <f t="shared" si="57"/>
        <v>5.429252862264123E-2</v>
      </c>
      <c r="W148" s="2">
        <f t="shared" si="58"/>
        <v>9.7800892530139155E-2</v>
      </c>
      <c r="X148" s="2" t="s">
        <v>1176</v>
      </c>
      <c r="Y148" s="2">
        <f t="shared" si="59"/>
        <v>1.6264235651674997E-2</v>
      </c>
      <c r="Z148" s="2">
        <f t="shared" si="60"/>
        <v>3.4509693991852927E-2</v>
      </c>
      <c r="AA148" s="2" t="str">
        <f t="shared" si="61"/>
        <v>No Impact</v>
      </c>
      <c r="AB148" s="2">
        <f t="shared" si="62"/>
        <v>2.4211079656809208E-2</v>
      </c>
      <c r="AC148" s="2">
        <f t="shared" si="63"/>
        <v>6.7297167652082254E-2</v>
      </c>
      <c r="AD148" s="2" t="str">
        <f t="shared" si="64"/>
        <v>No Impact</v>
      </c>
      <c r="AE148" s="2">
        <f t="shared" si="65"/>
        <v>9.4121126680651553E-4</v>
      </c>
      <c r="AF148" s="2">
        <f t="shared" si="66"/>
        <v>4.8488733550346988E-3</v>
      </c>
      <c r="AG148" s="2" t="s">
        <v>1176</v>
      </c>
    </row>
    <row r="149" spans="1:33" x14ac:dyDescent="0.3">
      <c r="A149">
        <v>208421</v>
      </c>
      <c r="B149" t="s">
        <v>312</v>
      </c>
      <c r="C149" t="s">
        <v>310</v>
      </c>
      <c r="D149" t="s">
        <v>313</v>
      </c>
      <c r="E149" s="18">
        <v>6.2</v>
      </c>
      <c r="F149" s="19">
        <f t="shared" si="48"/>
        <v>0.66666666666666663</v>
      </c>
      <c r="G149" s="2">
        <v>54.221553</v>
      </c>
      <c r="H149" s="2">
        <f t="shared" si="49"/>
        <v>0.21794731320175831</v>
      </c>
      <c r="I149" s="2">
        <v>16</v>
      </c>
      <c r="J149" s="4">
        <f t="shared" si="50"/>
        <v>7.7632217370208645E-2</v>
      </c>
      <c r="K149" s="2">
        <v>0</v>
      </c>
      <c r="L149" s="4">
        <f t="shared" si="51"/>
        <v>0</v>
      </c>
      <c r="M149" s="2">
        <v>239</v>
      </c>
      <c r="N149" s="2">
        <f t="shared" si="52"/>
        <v>0</v>
      </c>
      <c r="O149" s="2">
        <v>0.36749565499999998</v>
      </c>
      <c r="P149" s="2">
        <f t="shared" si="53"/>
        <v>0.34707684022810836</v>
      </c>
      <c r="Q149" s="2">
        <v>0.37980000000000003</v>
      </c>
      <c r="R149" s="2">
        <f t="shared" si="54"/>
        <v>0.94035900405327166</v>
      </c>
      <c r="S149" s="2">
        <f t="shared" si="55"/>
        <v>4.4396296290991656E-2</v>
      </c>
      <c r="T149" s="5">
        <f t="shared" si="45"/>
        <v>8.9576360907543409E-2</v>
      </c>
      <c r="U149" s="2" t="str">
        <f t="shared" si="56"/>
        <v>No Impact</v>
      </c>
      <c r="V149" s="2">
        <f t="shared" si="57"/>
        <v>6.485520369701063E-2</v>
      </c>
      <c r="W149" s="2">
        <f t="shared" si="58"/>
        <v>0.11682817079450758</v>
      </c>
      <c r="X149" s="2" t="s">
        <v>1176</v>
      </c>
      <c r="Y149" s="2">
        <f t="shared" si="59"/>
        <v>2.3937388884972696E-2</v>
      </c>
      <c r="Z149" s="2">
        <f t="shared" si="60"/>
        <v>5.079070317696209E-2</v>
      </c>
      <c r="AA149" s="2" t="str">
        <f t="shared" si="61"/>
        <v>No Impact</v>
      </c>
      <c r="AB149" s="2">
        <f t="shared" si="62"/>
        <v>2.9880537959445525E-2</v>
      </c>
      <c r="AC149" s="2">
        <f t="shared" si="63"/>
        <v>8.3056005807889188E-2</v>
      </c>
      <c r="AD149" s="2" t="str">
        <f t="shared" si="64"/>
        <v>No Impact</v>
      </c>
      <c r="AE149" s="2">
        <f t="shared" si="65"/>
        <v>0</v>
      </c>
      <c r="AF149" s="2">
        <f t="shared" si="66"/>
        <v>0</v>
      </c>
      <c r="AG149" s="2" t="s">
        <v>1176</v>
      </c>
    </row>
    <row r="150" spans="1:33" x14ac:dyDescent="0.3">
      <c r="A150">
        <v>208425</v>
      </c>
      <c r="B150" t="s">
        <v>314</v>
      </c>
      <c r="C150" t="s">
        <v>310</v>
      </c>
      <c r="D150" t="s">
        <v>1133</v>
      </c>
      <c r="E150" s="18">
        <v>6.3</v>
      </c>
      <c r="F150" s="19">
        <f t="shared" si="48"/>
        <v>0.68888888888888877</v>
      </c>
      <c r="G150" s="2">
        <v>61.507965599999999</v>
      </c>
      <c r="H150" s="2">
        <f t="shared" si="49"/>
        <v>0.28839540580380596</v>
      </c>
      <c r="I150" s="2">
        <v>7.1</v>
      </c>
      <c r="J150" s="4">
        <f t="shared" si="50"/>
        <v>3.4449296458030083E-2</v>
      </c>
      <c r="K150" s="2">
        <v>0</v>
      </c>
      <c r="L150" s="4">
        <f t="shared" si="51"/>
        <v>0</v>
      </c>
      <c r="M150" s="2">
        <v>5340</v>
      </c>
      <c r="N150" s="2">
        <f t="shared" si="52"/>
        <v>2.4134977975235745E-2</v>
      </c>
      <c r="O150" s="2">
        <v>0.65133871399999999</v>
      </c>
      <c r="P150" s="2">
        <f t="shared" si="53"/>
        <v>0.67496954185258595</v>
      </c>
      <c r="Q150" s="2">
        <v>0.35770000000000002</v>
      </c>
      <c r="R150" s="2">
        <f t="shared" si="54"/>
        <v>0.87637521713954847</v>
      </c>
      <c r="S150" s="2">
        <f t="shared" si="55"/>
        <v>6.0379458772463181E-2</v>
      </c>
      <c r="T150" s="5">
        <f t="shared" si="45"/>
        <v>0.12182485122079294</v>
      </c>
      <c r="U150" s="2" t="str">
        <f t="shared" si="56"/>
        <v>No Impact</v>
      </c>
      <c r="V150" s="2">
        <f t="shared" si="57"/>
        <v>6.8218313158015617E-2</v>
      </c>
      <c r="W150" s="2">
        <f t="shared" si="58"/>
        <v>0.12288637282169548</v>
      </c>
      <c r="X150" s="2" t="s">
        <v>1176</v>
      </c>
      <c r="Y150" s="2">
        <f t="shared" si="59"/>
        <v>5.2540604386910765E-2</v>
      </c>
      <c r="Z150" s="2">
        <f t="shared" si="60"/>
        <v>0.1114814257719246</v>
      </c>
      <c r="AA150" s="2" t="str">
        <f t="shared" si="61"/>
        <v>No Impact</v>
      </c>
      <c r="AB150" s="2">
        <f t="shared" si="62"/>
        <v>4.0296136466576371E-2</v>
      </c>
      <c r="AC150" s="2">
        <f t="shared" si="63"/>
        <v>0.11200722520276765</v>
      </c>
      <c r="AD150" s="2" t="str">
        <f t="shared" si="64"/>
        <v>No Impact</v>
      </c>
      <c r="AE150" s="2">
        <f t="shared" si="65"/>
        <v>1.8787015577076407E-3</v>
      </c>
      <c r="AF150" s="2">
        <f t="shared" si="66"/>
        <v>9.6785772190542824E-3</v>
      </c>
      <c r="AG150" s="2" t="s">
        <v>1176</v>
      </c>
    </row>
    <row r="151" spans="1:33" x14ac:dyDescent="0.3">
      <c r="A151">
        <v>208429</v>
      </c>
      <c r="B151" t="s">
        <v>315</v>
      </c>
      <c r="C151" t="s">
        <v>310</v>
      </c>
      <c r="D151" t="s">
        <v>316</v>
      </c>
      <c r="E151" s="18">
        <v>6.2</v>
      </c>
      <c r="F151" s="19">
        <f t="shared" si="48"/>
        <v>0.66666666666666663</v>
      </c>
      <c r="G151" s="2">
        <v>71.745465600000003</v>
      </c>
      <c r="H151" s="2">
        <f t="shared" si="49"/>
        <v>0.38737584893894533</v>
      </c>
      <c r="I151" s="2">
        <v>10.1</v>
      </c>
      <c r="J151" s="4">
        <f t="shared" si="50"/>
        <v>4.9005337214944204E-2</v>
      </c>
      <c r="K151" s="2">
        <v>0</v>
      </c>
      <c r="L151" s="4">
        <f t="shared" si="51"/>
        <v>0</v>
      </c>
      <c r="M151" s="2">
        <v>952</v>
      </c>
      <c r="N151" s="2">
        <f t="shared" si="52"/>
        <v>3.3735030967149745E-3</v>
      </c>
      <c r="O151" s="2">
        <v>0.37960215899999999</v>
      </c>
      <c r="P151" s="2">
        <f t="shared" si="53"/>
        <v>0.36106215421737009</v>
      </c>
      <c r="Q151" s="2">
        <v>0.3659</v>
      </c>
      <c r="R151" s="2">
        <f t="shared" si="54"/>
        <v>0.90011580775911992</v>
      </c>
      <c r="S151" s="2">
        <f t="shared" si="55"/>
        <v>6.420800574981865E-2</v>
      </c>
      <c r="T151" s="5">
        <f t="shared" si="45"/>
        <v>0.12954953400845748</v>
      </c>
      <c r="U151" s="2" t="str">
        <f t="shared" si="56"/>
        <v>No Impact</v>
      </c>
      <c r="V151" s="2">
        <f t="shared" si="57"/>
        <v>9.1651840902017917E-2</v>
      </c>
      <c r="W151" s="2">
        <f t="shared" si="58"/>
        <v>0.16509880953508632</v>
      </c>
      <c r="X151" s="2" t="s">
        <v>1175</v>
      </c>
      <c r="Y151" s="2">
        <f t="shared" si="59"/>
        <v>3.676417059761939E-2</v>
      </c>
      <c r="Z151" s="2">
        <f t="shared" si="60"/>
        <v>7.8006756933422863E-2</v>
      </c>
      <c r="AA151" s="2" t="str">
        <f t="shared" si="61"/>
        <v>No Impact</v>
      </c>
      <c r="AB151" s="2">
        <f t="shared" si="62"/>
        <v>4.3227619713090547E-2</v>
      </c>
      <c r="AC151" s="2">
        <f t="shared" si="63"/>
        <v>0.12015558216604132</v>
      </c>
      <c r="AD151" s="2" t="str">
        <f t="shared" si="64"/>
        <v>No Impact</v>
      </c>
      <c r="AE151" s="2">
        <f t="shared" si="65"/>
        <v>3.4349776599560333E-4</v>
      </c>
      <c r="AF151" s="2">
        <f t="shared" si="66"/>
        <v>1.769610313634736E-3</v>
      </c>
      <c r="AG151" s="2" t="s">
        <v>1176</v>
      </c>
    </row>
    <row r="152" spans="1:33" x14ac:dyDescent="0.3">
      <c r="A152">
        <v>208436</v>
      </c>
      <c r="B152" t="s">
        <v>317</v>
      </c>
      <c r="C152" t="s">
        <v>310</v>
      </c>
      <c r="D152" t="s">
        <v>318</v>
      </c>
      <c r="E152" s="18">
        <v>6.2</v>
      </c>
      <c r="F152" s="19">
        <f t="shared" si="48"/>
        <v>0.66666666666666663</v>
      </c>
      <c r="G152" s="2">
        <v>63.432489599999997</v>
      </c>
      <c r="H152" s="2">
        <f t="shared" si="49"/>
        <v>0.30700251089237351</v>
      </c>
      <c r="I152" s="2">
        <v>9</v>
      </c>
      <c r="J152" s="4">
        <f t="shared" si="50"/>
        <v>4.3668122270742363E-2</v>
      </c>
      <c r="K152" s="2">
        <v>0</v>
      </c>
      <c r="L152" s="4">
        <f t="shared" si="51"/>
        <v>0</v>
      </c>
      <c r="M152" s="2">
        <v>8318</v>
      </c>
      <c r="N152" s="2">
        <f t="shared" si="52"/>
        <v>3.8225149394614695E-2</v>
      </c>
      <c r="O152" s="2">
        <v>0.182054048</v>
      </c>
      <c r="P152" s="2">
        <f t="shared" si="53"/>
        <v>0.13285652521658423</v>
      </c>
      <c r="Q152" s="2">
        <v>0.35349999999999998</v>
      </c>
      <c r="R152" s="2">
        <f t="shared" si="54"/>
        <v>0.86421540243196293</v>
      </c>
      <c r="S152" s="2">
        <f t="shared" si="55"/>
        <v>4.0791781820729851E-2</v>
      </c>
      <c r="T152" s="5">
        <f t="shared" si="45"/>
        <v>8.2303698184320956E-2</v>
      </c>
      <c r="U152" s="2" t="str">
        <f t="shared" si="56"/>
        <v>No Impact</v>
      </c>
      <c r="V152" s="2">
        <f t="shared" si="57"/>
        <v>7.07128245506978E-2</v>
      </c>
      <c r="W152" s="2">
        <f t="shared" si="58"/>
        <v>0.12737990898256568</v>
      </c>
      <c r="X152" s="2" t="s">
        <v>1176</v>
      </c>
      <c r="Y152" s="2">
        <f t="shared" si="59"/>
        <v>1.0870739090761914E-2</v>
      </c>
      <c r="Z152" s="2">
        <f t="shared" si="60"/>
        <v>2.3065693803374782E-2</v>
      </c>
      <c r="AA152" s="2" t="str">
        <f t="shared" si="61"/>
        <v>No Impact</v>
      </c>
      <c r="AB152" s="2">
        <f t="shared" si="62"/>
        <v>2.9105406036151551E-2</v>
      </c>
      <c r="AC152" s="2">
        <f t="shared" si="63"/>
        <v>8.0901447492695469E-2</v>
      </c>
      <c r="AD152" s="2" t="str">
        <f t="shared" si="64"/>
        <v>No Impact</v>
      </c>
      <c r="AE152" s="2">
        <f t="shared" si="65"/>
        <v>3.1277020462249874E-3</v>
      </c>
      <c r="AF152" s="2">
        <f t="shared" si="66"/>
        <v>1.6113099841956611E-2</v>
      </c>
      <c r="AG152" s="2" t="s">
        <v>1176</v>
      </c>
    </row>
    <row r="153" spans="1:33" x14ac:dyDescent="0.3">
      <c r="A153">
        <v>208447</v>
      </c>
      <c r="B153" t="s">
        <v>319</v>
      </c>
      <c r="C153" t="s">
        <v>310</v>
      </c>
      <c r="D153" t="s">
        <v>320</v>
      </c>
      <c r="E153" s="18">
        <v>5</v>
      </c>
      <c r="F153" s="19">
        <f t="shared" si="48"/>
        <v>0.39999999999999997</v>
      </c>
      <c r="G153" s="2">
        <v>64.276239599999997</v>
      </c>
      <c r="H153" s="2">
        <f t="shared" si="49"/>
        <v>0.3151602397221927</v>
      </c>
      <c r="I153" s="2">
        <v>13.7</v>
      </c>
      <c r="J153" s="4">
        <f t="shared" si="50"/>
        <v>6.647258612324114E-2</v>
      </c>
      <c r="K153" s="2">
        <v>0</v>
      </c>
      <c r="L153" s="4">
        <f t="shared" si="51"/>
        <v>0</v>
      </c>
      <c r="M153" s="2">
        <v>1297</v>
      </c>
      <c r="N153" s="2">
        <f t="shared" si="52"/>
        <v>5.0058433048028655E-3</v>
      </c>
      <c r="O153" s="2">
        <v>0.17664280700000001</v>
      </c>
      <c r="P153" s="2">
        <f t="shared" si="53"/>
        <v>0.12660551299566838</v>
      </c>
      <c r="Q153" s="2">
        <v>0.36380000000000001</v>
      </c>
      <c r="R153" s="2">
        <f t="shared" si="54"/>
        <v>0.89403590040532721</v>
      </c>
      <c r="S153" s="2">
        <f t="shared" si="55"/>
        <v>2.7265718673976962E-2</v>
      </c>
      <c r="T153" s="5">
        <f t="shared" si="45"/>
        <v>5.50127839569194E-2</v>
      </c>
      <c r="U153" s="2" t="str">
        <f t="shared" si="56"/>
        <v>No Impact</v>
      </c>
      <c r="V153" s="2">
        <f t="shared" si="57"/>
        <v>4.776708259105325E-2</v>
      </c>
      <c r="W153" s="2">
        <f t="shared" si="58"/>
        <v>8.6046154590370086E-2</v>
      </c>
      <c r="X153" s="2" t="s">
        <v>1176</v>
      </c>
      <c r="Y153" s="2">
        <f t="shared" si="59"/>
        <v>6.7643547569006795E-3</v>
      </c>
      <c r="Z153" s="2">
        <f t="shared" si="60"/>
        <v>1.4352707235211291E-2</v>
      </c>
      <c r="AA153" s="2" t="str">
        <f t="shared" si="61"/>
        <v>No Impact</v>
      </c>
      <c r="AB153" s="2">
        <f t="shared" si="62"/>
        <v>1.8841394646120255E-2</v>
      </c>
      <c r="AC153" s="2">
        <f t="shared" si="63"/>
        <v>5.237157996555477E-2</v>
      </c>
      <c r="AD153" s="2" t="str">
        <f t="shared" si="64"/>
        <v>No Impact</v>
      </c>
      <c r="AE153" s="2">
        <f t="shared" si="65"/>
        <v>2.6745517766119071E-4</v>
      </c>
      <c r="AF153" s="2">
        <f t="shared" si="66"/>
        <v>1.377858861621568E-3</v>
      </c>
      <c r="AG153" s="2" t="s">
        <v>1176</v>
      </c>
    </row>
    <row r="154" spans="1:33" x14ac:dyDescent="0.3">
      <c r="A154">
        <v>208458</v>
      </c>
      <c r="B154" t="s">
        <v>321</v>
      </c>
      <c r="C154" t="s">
        <v>310</v>
      </c>
      <c r="D154" t="s">
        <v>322</v>
      </c>
      <c r="E154" s="18">
        <v>6.3</v>
      </c>
      <c r="F154" s="19">
        <f t="shared" si="48"/>
        <v>0.68888888888888877</v>
      </c>
      <c r="G154" s="2">
        <v>57.181708800000003</v>
      </c>
      <c r="H154" s="2">
        <f t="shared" si="49"/>
        <v>0.24656734082891857</v>
      </c>
      <c r="I154" s="2">
        <v>13.7</v>
      </c>
      <c r="J154" s="4">
        <f t="shared" si="50"/>
        <v>6.647258612324114E-2</v>
      </c>
      <c r="K154" s="2">
        <v>0</v>
      </c>
      <c r="L154" s="4">
        <f t="shared" si="51"/>
        <v>0</v>
      </c>
      <c r="M154" s="2">
        <v>5825</v>
      </c>
      <c r="N154" s="2">
        <f t="shared" si="52"/>
        <v>2.6429717108344807E-2</v>
      </c>
      <c r="O154" s="2">
        <v>0.142101802</v>
      </c>
      <c r="P154" s="2">
        <f t="shared" si="53"/>
        <v>8.6704084769182885E-2</v>
      </c>
      <c r="Q154" s="2">
        <v>0.35680000000000001</v>
      </c>
      <c r="R154" s="2">
        <f t="shared" si="54"/>
        <v>0.87376954255935158</v>
      </c>
      <c r="S154" s="2">
        <f t="shared" si="55"/>
        <v>3.624702829335158E-2</v>
      </c>
      <c r="T154" s="5">
        <f t="shared" si="45"/>
        <v>7.3133958448917152E-2</v>
      </c>
      <c r="U154" s="2" t="str">
        <f t="shared" si="56"/>
        <v>No Impact</v>
      </c>
      <c r="V154" s="2">
        <f t="shared" si="57"/>
        <v>6.5949857299276549E-2</v>
      </c>
      <c r="W154" s="2">
        <f t="shared" si="58"/>
        <v>0.1188000461524789</v>
      </c>
      <c r="X154" s="2" t="s">
        <v>1176</v>
      </c>
      <c r="Y154" s="2">
        <f t="shared" si="59"/>
        <v>6.5441992874266152E-3</v>
      </c>
      <c r="Z154" s="2">
        <f t="shared" si="60"/>
        <v>1.3885578127831429E-2</v>
      </c>
      <c r="AA154" s="2" t="str">
        <f t="shared" si="61"/>
        <v>No Impact</v>
      </c>
      <c r="AB154" s="2">
        <f t="shared" si="62"/>
        <v>2.5743906099140883E-2</v>
      </c>
      <c r="AC154" s="2">
        <f t="shared" si="63"/>
        <v>7.1557815237128217E-2</v>
      </c>
      <c r="AD154" s="2" t="str">
        <f t="shared" si="64"/>
        <v>No Impact</v>
      </c>
      <c r="AE154" s="2">
        <f t="shared" si="65"/>
        <v>1.9948464519031809E-3</v>
      </c>
      <c r="AF154" s="2">
        <f t="shared" si="66"/>
        <v>1.0276925223003379E-2</v>
      </c>
      <c r="AG154" s="2" t="s">
        <v>1176</v>
      </c>
    </row>
    <row r="155" spans="1:33" x14ac:dyDescent="0.3">
      <c r="A155">
        <v>208475</v>
      </c>
      <c r="B155" t="s">
        <v>323</v>
      </c>
      <c r="C155" t="s">
        <v>310</v>
      </c>
      <c r="D155" t="s">
        <v>324</v>
      </c>
      <c r="E155" s="18">
        <v>6.2</v>
      </c>
      <c r="F155" s="19">
        <f t="shared" si="48"/>
        <v>0.66666666666666663</v>
      </c>
      <c r="G155" s="2">
        <v>58.883270400000001</v>
      </c>
      <c r="H155" s="2">
        <f t="shared" si="49"/>
        <v>0.26301875193414315</v>
      </c>
      <c r="I155" s="2">
        <v>12.4</v>
      </c>
      <c r="J155" s="4">
        <f t="shared" si="50"/>
        <v>6.0164968461911696E-2</v>
      </c>
      <c r="K155" s="2">
        <v>0</v>
      </c>
      <c r="L155" s="4">
        <f t="shared" si="51"/>
        <v>0</v>
      </c>
      <c r="M155" s="2">
        <v>3524</v>
      </c>
      <c r="N155" s="2">
        <f t="shared" si="52"/>
        <v>1.5542717633532526E-2</v>
      </c>
      <c r="O155" s="2">
        <v>0.17569464900000001</v>
      </c>
      <c r="P155" s="2">
        <f t="shared" si="53"/>
        <v>0.12551021022771569</v>
      </c>
      <c r="Q155" s="2">
        <v>0.36859999999999998</v>
      </c>
      <c r="R155" s="2">
        <f t="shared" si="54"/>
        <v>0.90793283149971049</v>
      </c>
      <c r="S155" s="2">
        <f t="shared" si="55"/>
        <v>3.896572948833657E-2</v>
      </c>
      <c r="T155" s="5">
        <f t="shared" si="45"/>
        <v>7.8619356551622374E-2</v>
      </c>
      <c r="U155" s="2" t="str">
        <f t="shared" si="56"/>
        <v>No Impact</v>
      </c>
      <c r="V155" s="2">
        <f t="shared" si="57"/>
        <v>6.8466792415886865E-2</v>
      </c>
      <c r="W155" s="2">
        <f t="shared" si="58"/>
        <v>0.12333397572050209</v>
      </c>
      <c r="X155" s="2" t="s">
        <v>1176</v>
      </c>
      <c r="Y155" s="2">
        <f t="shared" si="59"/>
        <v>9.4646665607862959E-3</v>
      </c>
      <c r="Z155" s="2">
        <f t="shared" si="60"/>
        <v>2.0082268465780647E-2</v>
      </c>
      <c r="AA155" s="2" t="str">
        <f t="shared" si="61"/>
        <v>No Impact</v>
      </c>
      <c r="AB155" s="2">
        <f t="shared" si="62"/>
        <v>2.7213001500769041E-2</v>
      </c>
      <c r="AC155" s="2">
        <f t="shared" si="63"/>
        <v>7.5641315888139771E-2</v>
      </c>
      <c r="AD155" s="2" t="str">
        <f t="shared" si="64"/>
        <v>No Impact</v>
      </c>
      <c r="AE155" s="2">
        <f t="shared" si="65"/>
        <v>1.1720691056364284E-3</v>
      </c>
      <c r="AF155" s="2">
        <f t="shared" si="66"/>
        <v>6.0381923347164138E-3</v>
      </c>
      <c r="AG155" s="2" t="s">
        <v>1176</v>
      </c>
    </row>
    <row r="156" spans="1:33" x14ac:dyDescent="0.3">
      <c r="A156">
        <v>208478</v>
      </c>
      <c r="B156" t="s">
        <v>325</v>
      </c>
      <c r="C156" t="s">
        <v>310</v>
      </c>
      <c r="D156" t="s">
        <v>326</v>
      </c>
      <c r="E156" s="18">
        <v>6.3</v>
      </c>
      <c r="F156" s="19">
        <f t="shared" si="48"/>
        <v>0.68888888888888877</v>
      </c>
      <c r="G156" s="2">
        <v>66.647807999999998</v>
      </c>
      <c r="H156" s="2">
        <f t="shared" si="49"/>
        <v>0.33808955753975495</v>
      </c>
      <c r="I156" s="2">
        <v>8.9</v>
      </c>
      <c r="J156" s="4">
        <f t="shared" si="50"/>
        <v>4.3182920912178555E-2</v>
      </c>
      <c r="K156" s="2">
        <v>0</v>
      </c>
      <c r="L156" s="4">
        <f t="shared" si="51"/>
        <v>0</v>
      </c>
      <c r="M156" s="2">
        <v>5481</v>
      </c>
      <c r="N156" s="2">
        <f t="shared" si="52"/>
        <v>2.4802108321149926E-2</v>
      </c>
      <c r="O156" s="2">
        <v>0.56342436900000004</v>
      </c>
      <c r="P156" s="2">
        <f t="shared" si="53"/>
        <v>0.57341175778996289</v>
      </c>
      <c r="Q156" s="2">
        <v>0.3397</v>
      </c>
      <c r="R156" s="2">
        <f t="shared" si="54"/>
        <v>0.82426172553561095</v>
      </c>
      <c r="S156" s="2">
        <f t="shared" si="55"/>
        <v>6.4243384429298445E-2</v>
      </c>
      <c r="T156" s="5">
        <f t="shared" si="45"/>
        <v>0.12962091593952538</v>
      </c>
      <c r="U156" s="2" t="str">
        <f t="shared" si="56"/>
        <v>No Impact</v>
      </c>
      <c r="V156" s="2">
        <f t="shared" si="57"/>
        <v>7.5773581649336036E-2</v>
      </c>
      <c r="W156" s="2">
        <f t="shared" si="58"/>
        <v>0.13649620129168191</v>
      </c>
      <c r="X156" s="2" t="s">
        <v>1176</v>
      </c>
      <c r="Y156" s="2">
        <f t="shared" si="59"/>
        <v>5.271318720926086E-2</v>
      </c>
      <c r="Z156" s="2">
        <f t="shared" si="60"/>
        <v>0.11184761453819096</v>
      </c>
      <c r="AA156" s="2" t="str">
        <f t="shared" si="61"/>
        <v>No Impact</v>
      </c>
      <c r="AB156" s="2">
        <f t="shared" si="62"/>
        <v>4.3132721563965623E-2</v>
      </c>
      <c r="AC156" s="2">
        <f t="shared" si="63"/>
        <v>0.11989180307225207</v>
      </c>
      <c r="AD156" s="2" t="str">
        <f t="shared" si="64"/>
        <v>No Impact</v>
      </c>
      <c r="AE156" s="2">
        <f t="shared" si="65"/>
        <v>2.2800337826278656E-3</v>
      </c>
      <c r="AF156" s="2">
        <f t="shared" si="66"/>
        <v>1.1746135482073367E-2</v>
      </c>
      <c r="AG156" s="2" t="s">
        <v>1176</v>
      </c>
    </row>
    <row r="157" spans="1:33" x14ac:dyDescent="0.3">
      <c r="A157">
        <v>208487</v>
      </c>
      <c r="B157" t="s">
        <v>327</v>
      </c>
      <c r="C157" t="s">
        <v>310</v>
      </c>
      <c r="D157" t="s">
        <v>328</v>
      </c>
      <c r="E157" s="18">
        <v>6.2</v>
      </c>
      <c r="F157" s="19">
        <f t="shared" si="48"/>
        <v>0.66666666666666663</v>
      </c>
      <c r="G157" s="2">
        <v>64.276239599999997</v>
      </c>
      <c r="H157" s="2">
        <f t="shared" si="49"/>
        <v>0.3151602397221927</v>
      </c>
      <c r="I157" s="2">
        <v>11.1</v>
      </c>
      <c r="J157" s="4">
        <f t="shared" si="50"/>
        <v>5.3857350800582245E-2</v>
      </c>
      <c r="K157" s="2">
        <v>0</v>
      </c>
      <c r="L157" s="4">
        <f t="shared" si="51"/>
        <v>0</v>
      </c>
      <c r="M157" s="2">
        <v>13916</v>
      </c>
      <c r="N157" s="2">
        <f t="shared" si="52"/>
        <v>6.4711643553675605E-2</v>
      </c>
      <c r="O157" s="2">
        <v>0.38758617499999998</v>
      </c>
      <c r="P157" s="2">
        <f t="shared" si="53"/>
        <v>0.37028521073767434</v>
      </c>
      <c r="Q157" s="2">
        <v>0.36220000000000002</v>
      </c>
      <c r="R157" s="2">
        <f t="shared" si="54"/>
        <v>0.88940359004053282</v>
      </c>
      <c r="S157" s="2">
        <f t="shared" si="55"/>
        <v>5.423218804169809E-2</v>
      </c>
      <c r="T157" s="5">
        <f t="shared" si="45"/>
        <v>0.10942178638028904</v>
      </c>
      <c r="U157" s="2" t="str">
        <f t="shared" si="56"/>
        <v>No Impact</v>
      </c>
      <c r="V157" s="2">
        <f t="shared" si="57"/>
        <v>7.658129961978144E-2</v>
      </c>
      <c r="W157" s="2">
        <f t="shared" si="58"/>
        <v>0.13795119962066468</v>
      </c>
      <c r="X157" s="2" t="s">
        <v>1176</v>
      </c>
      <c r="Y157" s="2">
        <f t="shared" si="59"/>
        <v>3.1883076463614726E-2</v>
      </c>
      <c r="Z157" s="2">
        <f t="shared" si="60"/>
        <v>6.7649979737281971E-2</v>
      </c>
      <c r="AA157" s="2" t="str">
        <f t="shared" si="61"/>
        <v>No Impact</v>
      </c>
      <c r="AB157" s="2">
        <f t="shared" si="62"/>
        <v>3.8318556146615182E-2</v>
      </c>
      <c r="AC157" s="2">
        <f t="shared" si="63"/>
        <v>0.10651033880925</v>
      </c>
      <c r="AD157" s="2" t="str">
        <f t="shared" si="64"/>
        <v>No Impact</v>
      </c>
      <c r="AE157" s="2">
        <f t="shared" si="65"/>
        <v>5.571938116020741E-3</v>
      </c>
      <c r="AF157" s="2">
        <f t="shared" si="66"/>
        <v>2.8705162400302221E-2</v>
      </c>
      <c r="AG157" s="2" t="s">
        <v>1176</v>
      </c>
    </row>
    <row r="158" spans="1:33" x14ac:dyDescent="0.3">
      <c r="A158">
        <v>302602</v>
      </c>
      <c r="B158" t="s">
        <v>329</v>
      </c>
      <c r="C158" t="s">
        <v>330</v>
      </c>
      <c r="D158" t="s">
        <v>331</v>
      </c>
      <c r="E158" s="18">
        <v>5.8</v>
      </c>
      <c r="F158" s="19">
        <f t="shared" si="48"/>
        <v>0.57777777777777772</v>
      </c>
      <c r="G158" s="2">
        <v>59.553280800000003</v>
      </c>
      <c r="H158" s="2">
        <f t="shared" si="49"/>
        <v>0.26949669345279048</v>
      </c>
      <c r="I158" s="2">
        <v>32</v>
      </c>
      <c r="J158" s="4">
        <f t="shared" si="50"/>
        <v>0.15526443474041729</v>
      </c>
      <c r="K158" s="2">
        <v>0</v>
      </c>
      <c r="L158" s="4">
        <f t="shared" si="51"/>
        <v>0</v>
      </c>
      <c r="M158" s="2">
        <v>1837</v>
      </c>
      <c r="N158" s="2">
        <f t="shared" si="52"/>
        <v>7.5608105870273905E-3</v>
      </c>
      <c r="O158" s="2">
        <v>0.13183542000000001</v>
      </c>
      <c r="P158" s="2">
        <f t="shared" si="53"/>
        <v>7.484446156138444E-2</v>
      </c>
      <c r="Q158" s="2">
        <v>0.06</v>
      </c>
      <c r="R158" s="2">
        <f t="shared" si="54"/>
        <v>1.4475969889982622E-2</v>
      </c>
      <c r="S158" s="2">
        <f t="shared" si="55"/>
        <v>3.836140109214215E-3</v>
      </c>
      <c r="T158" s="5">
        <f t="shared" si="45"/>
        <v>7.7400030998666909E-3</v>
      </c>
      <c r="U158" s="2" t="str">
        <f t="shared" si="56"/>
        <v>No Impact</v>
      </c>
      <c r="V158" s="2">
        <f t="shared" si="57"/>
        <v>1.2434299255478956E-3</v>
      </c>
      <c r="W158" s="2">
        <f t="shared" si="58"/>
        <v>2.2398764545027124E-3</v>
      </c>
      <c r="X158" s="2" t="s">
        <v>1176</v>
      </c>
      <c r="Y158" s="2">
        <f t="shared" si="59"/>
        <v>6.4288502928805348E-3</v>
      </c>
      <c r="Z158" s="2">
        <f t="shared" si="60"/>
        <v>1.3640828937687765E-2</v>
      </c>
      <c r="AA158" s="2" t="str">
        <f t="shared" si="61"/>
        <v>No Impact</v>
      </c>
      <c r="AB158" s="2">
        <f t="shared" si="62"/>
        <v>2.5911611154832096E-3</v>
      </c>
      <c r="AC158" s="2">
        <f t="shared" si="63"/>
        <v>7.2023968560686385E-3</v>
      </c>
      <c r="AD158" s="2" t="str">
        <f t="shared" si="64"/>
        <v>No Impact</v>
      </c>
      <c r="AE158" s="2">
        <f t="shared" si="65"/>
        <v>6.494444390779604E-4</v>
      </c>
      <c r="AF158" s="2">
        <f t="shared" si="66"/>
        <v>3.3457672546836738E-3</v>
      </c>
      <c r="AG158" s="2" t="s">
        <v>1176</v>
      </c>
    </row>
    <row r="159" spans="1:33" x14ac:dyDescent="0.3">
      <c r="A159">
        <v>302604</v>
      </c>
      <c r="B159" t="s">
        <v>332</v>
      </c>
      <c r="C159" t="s">
        <v>330</v>
      </c>
      <c r="D159" t="s">
        <v>333</v>
      </c>
      <c r="E159" s="18">
        <v>5.8</v>
      </c>
      <c r="F159" s="19">
        <f t="shared" si="48"/>
        <v>0.57777777777777772</v>
      </c>
      <c r="G159" s="2">
        <v>58.959140400000003</v>
      </c>
      <c r="H159" s="2">
        <f t="shared" si="49"/>
        <v>0.26375229491052049</v>
      </c>
      <c r="I159" s="2">
        <v>27.3</v>
      </c>
      <c r="J159" s="4">
        <f t="shared" si="50"/>
        <v>0.1324599708879185</v>
      </c>
      <c r="K159" s="2">
        <v>0</v>
      </c>
      <c r="L159" s="4">
        <f t="shared" si="51"/>
        <v>0</v>
      </c>
      <c r="M159" s="2">
        <v>22100</v>
      </c>
      <c r="N159" s="2">
        <f t="shared" si="52"/>
        <v>0.10343359214205618</v>
      </c>
      <c r="O159" s="2">
        <v>0.42310773600000001</v>
      </c>
      <c r="P159" s="2">
        <f t="shared" si="53"/>
        <v>0.41131936758210397</v>
      </c>
      <c r="Q159" s="2">
        <v>0.15429999999999999</v>
      </c>
      <c r="R159" s="2">
        <f t="shared" si="54"/>
        <v>0.28749276201505503</v>
      </c>
      <c r="S159" s="2">
        <f t="shared" si="55"/>
        <v>2.799543587599574E-2</v>
      </c>
      <c r="T159" s="5">
        <f t="shared" si="45"/>
        <v>5.6485100724517422E-2</v>
      </c>
      <c r="U159" s="2" t="str">
        <f t="shared" si="56"/>
        <v>No Impact</v>
      </c>
      <c r="V159" s="2">
        <f t="shared" si="57"/>
        <v>2.3034760969146455E-2</v>
      </c>
      <c r="W159" s="2">
        <f t="shared" si="58"/>
        <v>4.1494110500159297E-2</v>
      </c>
      <c r="X159" s="2" t="s">
        <v>1176</v>
      </c>
      <c r="Y159" s="2">
        <f t="shared" si="59"/>
        <v>3.2956110782845022E-2</v>
      </c>
      <c r="Z159" s="2">
        <f t="shared" si="60"/>
        <v>6.9926759709759811E-2</v>
      </c>
      <c r="AA159" s="2" t="str">
        <f t="shared" si="61"/>
        <v>No Impact</v>
      </c>
      <c r="AB159" s="2">
        <f t="shared" si="62"/>
        <v>2.0849590250026948E-2</v>
      </c>
      <c r="AC159" s="2">
        <f t="shared" si="63"/>
        <v>5.7953564666359897E-2</v>
      </c>
      <c r="AD159" s="2" t="str">
        <f t="shared" si="64"/>
        <v>No Impact</v>
      </c>
      <c r="AE159" s="2">
        <f t="shared" si="65"/>
        <v>8.2874019313490827E-3</v>
      </c>
      <c r="AF159" s="2">
        <f t="shared" si="66"/>
        <v>4.2694519099549195E-2</v>
      </c>
      <c r="AG159" s="2" t="s">
        <v>1175</v>
      </c>
    </row>
    <row r="160" spans="1:33" x14ac:dyDescent="0.3">
      <c r="A160">
        <v>302605</v>
      </c>
      <c r="B160" t="s">
        <v>334</v>
      </c>
      <c r="C160" t="s">
        <v>330</v>
      </c>
      <c r="D160" t="s">
        <v>335</v>
      </c>
      <c r="E160" s="18">
        <v>5.8</v>
      </c>
      <c r="F160" s="19">
        <f t="shared" si="48"/>
        <v>0.57777777777777772</v>
      </c>
      <c r="G160" s="2">
        <v>58.959140400000003</v>
      </c>
      <c r="H160" s="2">
        <f t="shared" si="49"/>
        <v>0.26375229491052049</v>
      </c>
      <c r="I160" s="2">
        <v>27.3</v>
      </c>
      <c r="J160" s="4">
        <f t="shared" si="50"/>
        <v>0.1324599708879185</v>
      </c>
      <c r="K160" s="2">
        <v>0</v>
      </c>
      <c r="L160" s="4">
        <f t="shared" si="51"/>
        <v>0</v>
      </c>
      <c r="M160" s="2">
        <v>763</v>
      </c>
      <c r="N160" s="2">
        <f t="shared" si="52"/>
        <v>2.4792645479363908E-3</v>
      </c>
      <c r="O160" s="2">
        <v>0.70945563599999995</v>
      </c>
      <c r="P160" s="2">
        <f t="shared" si="53"/>
        <v>0.74210563681934372</v>
      </c>
      <c r="Q160" s="2">
        <v>0.06</v>
      </c>
      <c r="R160" s="2">
        <f t="shared" si="54"/>
        <v>1.4475969889982622E-2</v>
      </c>
      <c r="S160" s="2">
        <f t="shared" si="55"/>
        <v>3.0309765612967811E-2</v>
      </c>
      <c r="T160" s="5">
        <f t="shared" si="45"/>
        <v>6.1154617172900411E-2</v>
      </c>
      <c r="U160" s="2" t="str">
        <f t="shared" si="56"/>
        <v>No Impact</v>
      </c>
      <c r="V160" s="2">
        <f t="shared" si="57"/>
        <v>1.1598570477918653E-3</v>
      </c>
      <c r="W160" s="2">
        <f t="shared" si="58"/>
        <v>2.0893308408942235E-3</v>
      </c>
      <c r="X160" s="2" t="s">
        <v>1176</v>
      </c>
      <c r="Y160" s="2">
        <f t="shared" si="59"/>
        <v>5.9459674178143754E-2</v>
      </c>
      <c r="Z160" s="2">
        <f t="shared" si="60"/>
        <v>0.12616240963845715</v>
      </c>
      <c r="AA160" s="2" t="str">
        <f t="shared" si="61"/>
        <v>No Impact</v>
      </c>
      <c r="AB160" s="2">
        <f t="shared" si="62"/>
        <v>1.8313378294650375E-2</v>
      </c>
      <c r="AC160" s="2">
        <f t="shared" si="63"/>
        <v>5.0903904610651064E-2</v>
      </c>
      <c r="AD160" s="2" t="str">
        <f t="shared" si="64"/>
        <v>No Impact</v>
      </c>
      <c r="AE160" s="2">
        <f t="shared" si="65"/>
        <v>1.9864592708599424E-4</v>
      </c>
      <c r="AF160" s="2">
        <f t="shared" si="66"/>
        <v>1.0233716668113894E-3</v>
      </c>
      <c r="AG160" s="2" t="s">
        <v>1176</v>
      </c>
    </row>
    <row r="161" spans="1:33" x14ac:dyDescent="0.3">
      <c r="A161">
        <v>302606</v>
      </c>
      <c r="B161" t="s">
        <v>336</v>
      </c>
      <c r="C161" t="s">
        <v>330</v>
      </c>
      <c r="D161" t="s">
        <v>1134</v>
      </c>
      <c r="E161" s="18">
        <v>5.8</v>
      </c>
      <c r="F161" s="19">
        <f t="shared" si="48"/>
        <v>0.57777777777777772</v>
      </c>
      <c r="G161" s="2">
        <v>58.959140400000003</v>
      </c>
      <c r="H161" s="2">
        <f t="shared" si="49"/>
        <v>0.26375229491052049</v>
      </c>
      <c r="I161" s="2">
        <v>27.3</v>
      </c>
      <c r="J161" s="4">
        <f t="shared" si="50"/>
        <v>0.1324599708879185</v>
      </c>
      <c r="K161" s="2">
        <v>0</v>
      </c>
      <c r="L161" s="4">
        <f t="shared" si="51"/>
        <v>0</v>
      </c>
      <c r="M161" s="2">
        <v>2282</v>
      </c>
      <c r="N161" s="2">
        <f t="shared" si="52"/>
        <v>9.6662928844161184E-3</v>
      </c>
      <c r="O161" s="2">
        <v>0.54941506399999995</v>
      </c>
      <c r="P161" s="2">
        <f t="shared" si="53"/>
        <v>0.5572283468567707</v>
      </c>
      <c r="Q161" s="2">
        <v>0.1777</v>
      </c>
      <c r="R161" s="2">
        <f t="shared" si="54"/>
        <v>0.35524030110017374</v>
      </c>
      <c r="S161" s="2">
        <f t="shared" si="55"/>
        <v>3.6554828459347079E-2</v>
      </c>
      <c r="T161" s="5">
        <f t="shared" si="45"/>
        <v>7.3754992658075016E-2</v>
      </c>
      <c r="U161" s="2" t="str">
        <f t="shared" si="56"/>
        <v>No Impact</v>
      </c>
      <c r="V161" s="2">
        <f t="shared" si="57"/>
        <v>2.8462891952812389E-2</v>
      </c>
      <c r="W161" s="2">
        <f t="shared" si="58"/>
        <v>5.1272178835544267E-2</v>
      </c>
      <c r="X161" s="2" t="s">
        <v>1176</v>
      </c>
      <c r="Y161" s="2">
        <f t="shared" si="59"/>
        <v>4.4646764965881776E-2</v>
      </c>
      <c r="Z161" s="2">
        <f t="shared" si="60"/>
        <v>9.473216139364557E-2</v>
      </c>
      <c r="AA161" s="2" t="str">
        <f t="shared" si="61"/>
        <v>No Impact</v>
      </c>
      <c r="AB161" s="2">
        <f t="shared" si="62"/>
        <v>2.3627113753712303E-2</v>
      </c>
      <c r="AC161" s="2">
        <f t="shared" si="63"/>
        <v>6.5673974806456328E-2</v>
      </c>
      <c r="AD161" s="2" t="str">
        <f t="shared" si="64"/>
        <v>No Impact</v>
      </c>
      <c r="AE161" s="2">
        <f t="shared" si="65"/>
        <v>7.7449165846695835E-4</v>
      </c>
      <c r="AF161" s="2">
        <f t="shared" si="66"/>
        <v>3.989977700945932E-3</v>
      </c>
      <c r="AG161" s="2" t="s">
        <v>1176</v>
      </c>
    </row>
    <row r="162" spans="1:33" x14ac:dyDescent="0.3">
      <c r="A162">
        <v>302608</v>
      </c>
      <c r="B162" t="s">
        <v>337</v>
      </c>
      <c r="C162" t="s">
        <v>330</v>
      </c>
      <c r="D162" t="s">
        <v>338</v>
      </c>
      <c r="E162" s="18">
        <v>5.8</v>
      </c>
      <c r="F162" s="19">
        <f t="shared" si="48"/>
        <v>0.57777777777777772</v>
      </c>
      <c r="G162" s="2">
        <v>58.959140400000003</v>
      </c>
      <c r="H162" s="2">
        <f t="shared" si="49"/>
        <v>0.26375229491052049</v>
      </c>
      <c r="I162" s="2">
        <v>27.3</v>
      </c>
      <c r="J162" s="4">
        <f t="shared" si="50"/>
        <v>0.1324599708879185</v>
      </c>
      <c r="K162" s="2">
        <v>0</v>
      </c>
      <c r="L162" s="4">
        <f t="shared" si="51"/>
        <v>0</v>
      </c>
      <c r="M162" s="2">
        <v>5168</v>
      </c>
      <c r="N162" s="2">
        <f t="shared" si="52"/>
        <v>2.3321173581638301E-2</v>
      </c>
      <c r="O162" s="2">
        <v>0.55044098399999997</v>
      </c>
      <c r="P162" s="2">
        <f t="shared" si="53"/>
        <v>0.55841347951999565</v>
      </c>
      <c r="Q162" s="2">
        <v>0.18590000000000001</v>
      </c>
      <c r="R162" s="2">
        <f t="shared" si="54"/>
        <v>0.37898089171974531</v>
      </c>
      <c r="S162" s="2">
        <f t="shared" si="55"/>
        <v>3.7553389386199641E-2</v>
      </c>
      <c r="T162" s="5">
        <f t="shared" si="45"/>
        <v>7.5769743018907834E-2</v>
      </c>
      <c r="U162" s="2" t="str">
        <f t="shared" si="56"/>
        <v>No Impact</v>
      </c>
      <c r="V162" s="2">
        <f t="shared" si="57"/>
        <v>3.0365057511191056E-2</v>
      </c>
      <c r="W162" s="2">
        <f t="shared" si="58"/>
        <v>5.469868141461081E-2</v>
      </c>
      <c r="X162" s="2" t="s">
        <v>1176</v>
      </c>
      <c r="Y162" s="2">
        <f t="shared" si="59"/>
        <v>4.474172126120822E-2</v>
      </c>
      <c r="Z162" s="2">
        <f t="shared" si="60"/>
        <v>9.4933641055186146E-2</v>
      </c>
      <c r="AA162" s="2" t="str">
        <f t="shared" si="61"/>
        <v>No Impact</v>
      </c>
      <c r="AB162" s="2">
        <f t="shared" si="62"/>
        <v>2.4704282730776284E-2</v>
      </c>
      <c r="AC162" s="2">
        <f t="shared" si="63"/>
        <v>6.8668075948026416E-2</v>
      </c>
      <c r="AD162" s="2" t="str">
        <f t="shared" si="64"/>
        <v>No Impact</v>
      </c>
      <c r="AE162" s="2">
        <f t="shared" si="65"/>
        <v>1.8685606385627205E-3</v>
      </c>
      <c r="AF162" s="2">
        <f t="shared" si="66"/>
        <v>9.6263338658651477E-3</v>
      </c>
      <c r="AG162" s="2" t="s">
        <v>1176</v>
      </c>
    </row>
    <row r="163" spans="1:33" x14ac:dyDescent="0.3">
      <c r="A163">
        <v>302609</v>
      </c>
      <c r="B163" t="s">
        <v>339</v>
      </c>
      <c r="C163" t="s">
        <v>330</v>
      </c>
      <c r="D163" t="s">
        <v>1135</v>
      </c>
      <c r="E163" s="18">
        <v>5.8</v>
      </c>
      <c r="F163" s="19">
        <f t="shared" si="48"/>
        <v>0.57777777777777772</v>
      </c>
      <c r="G163" s="2">
        <v>58.959140400000003</v>
      </c>
      <c r="H163" s="2">
        <f t="shared" si="49"/>
        <v>0.26375229491052049</v>
      </c>
      <c r="I163" s="2">
        <v>27.3</v>
      </c>
      <c r="J163" s="4">
        <f t="shared" si="50"/>
        <v>0.1324599708879185</v>
      </c>
      <c r="K163" s="2">
        <v>0</v>
      </c>
      <c r="L163" s="4">
        <f t="shared" si="51"/>
        <v>0</v>
      </c>
      <c r="M163" s="2">
        <v>943</v>
      </c>
      <c r="N163" s="2">
        <f t="shared" si="52"/>
        <v>3.330920308677899E-3</v>
      </c>
      <c r="O163" s="2">
        <v>0.39968980999999998</v>
      </c>
      <c r="P163" s="2">
        <f t="shared" si="53"/>
        <v>0.38426721048643897</v>
      </c>
      <c r="Q163" s="2">
        <v>0.06</v>
      </c>
      <c r="R163" s="2">
        <f t="shared" si="54"/>
        <v>1.4475969889982622E-2</v>
      </c>
      <c r="S163" s="2">
        <f t="shared" si="55"/>
        <v>1.5974234940160228E-2</v>
      </c>
      <c r="T163" s="5">
        <f t="shared" si="45"/>
        <v>3.2230477624594689E-2</v>
      </c>
      <c r="U163" s="2" t="str">
        <f t="shared" si="56"/>
        <v>No Impact</v>
      </c>
      <c r="V163" s="2">
        <f t="shared" si="57"/>
        <v>1.1598570477918653E-3</v>
      </c>
      <c r="W163" s="2">
        <f t="shared" si="58"/>
        <v>2.0893308408942235E-3</v>
      </c>
      <c r="X163" s="2" t="s">
        <v>1176</v>
      </c>
      <c r="Y163" s="2">
        <f t="shared" si="59"/>
        <v>3.0788612832528591E-2</v>
      </c>
      <c r="Z163" s="2">
        <f t="shared" si="60"/>
        <v>6.5327730736290349E-2</v>
      </c>
      <c r="AA163" s="2" t="str">
        <f t="shared" si="61"/>
        <v>No Impact</v>
      </c>
      <c r="AB163" s="2">
        <f t="shared" si="62"/>
        <v>9.7359428936498304E-3</v>
      </c>
      <c r="AC163" s="2">
        <f t="shared" si="63"/>
        <v>2.7062047230131694E-2</v>
      </c>
      <c r="AD163" s="2" t="str">
        <f t="shared" si="64"/>
        <v>No Impact</v>
      </c>
      <c r="AE163" s="2">
        <f t="shared" si="65"/>
        <v>2.6688307761171744E-4</v>
      </c>
      <c r="AF163" s="2">
        <f t="shared" si="66"/>
        <v>1.3749115523572864E-3</v>
      </c>
      <c r="AG163" s="2" t="s">
        <v>1176</v>
      </c>
    </row>
    <row r="164" spans="1:33" x14ac:dyDescent="0.3">
      <c r="A164">
        <v>302610</v>
      </c>
      <c r="B164" t="s">
        <v>340</v>
      </c>
      <c r="C164" t="s">
        <v>330</v>
      </c>
      <c r="D164" t="s">
        <v>341</v>
      </c>
      <c r="E164" s="18">
        <v>5.8</v>
      </c>
      <c r="F164" s="19">
        <f t="shared" si="48"/>
        <v>0.57777777777777772</v>
      </c>
      <c r="G164" s="2">
        <v>58.959140400000003</v>
      </c>
      <c r="H164" s="2">
        <f t="shared" si="49"/>
        <v>0.26375229491052049</v>
      </c>
      <c r="I164" s="2">
        <v>26.9</v>
      </c>
      <c r="J164" s="4">
        <f t="shared" si="50"/>
        <v>0.13051916545366327</v>
      </c>
      <c r="K164" s="2">
        <v>0</v>
      </c>
      <c r="L164" s="4">
        <f t="shared" si="51"/>
        <v>0</v>
      </c>
      <c r="M164" s="2">
        <v>9039</v>
      </c>
      <c r="N164" s="2">
        <f t="shared" si="52"/>
        <v>4.1636503858473735E-2</v>
      </c>
      <c r="O164" s="2">
        <v>0.40422114799999997</v>
      </c>
      <c r="P164" s="2">
        <f t="shared" si="53"/>
        <v>0.38950176744206161</v>
      </c>
      <c r="Q164" s="2">
        <v>0.19500000000000001</v>
      </c>
      <c r="R164" s="2">
        <f t="shared" si="54"/>
        <v>0.40532715691951365</v>
      </c>
      <c r="S164" s="2">
        <f t="shared" si="55"/>
        <v>3.1686034253381755E-2</v>
      </c>
      <c r="T164" s="5">
        <f t="shared" si="45"/>
        <v>6.393145097974362E-2</v>
      </c>
      <c r="U164" s="2" t="str">
        <f t="shared" si="56"/>
        <v>No Impact</v>
      </c>
      <c r="V164" s="2">
        <f t="shared" si="57"/>
        <v>3.2316916972525901E-2</v>
      </c>
      <c r="W164" s="2">
        <f t="shared" si="58"/>
        <v>5.8214701063257962E-2</v>
      </c>
      <c r="X164" s="2" t="s">
        <v>1176</v>
      </c>
      <c r="Y164" s="2">
        <f t="shared" si="59"/>
        <v>3.1055151534237598E-2</v>
      </c>
      <c r="Z164" s="2">
        <f t="shared" si="60"/>
        <v>6.5893276466809578E-2</v>
      </c>
      <c r="AA164" s="2" t="str">
        <f t="shared" si="61"/>
        <v>No Impact</v>
      </c>
      <c r="AB164" s="2">
        <f t="shared" si="62"/>
        <v>2.1789360429558795E-2</v>
      </c>
      <c r="AC164" s="2">
        <f t="shared" si="63"/>
        <v>6.0565751822936997E-2</v>
      </c>
      <c r="AD164" s="2" t="str">
        <f t="shared" si="64"/>
        <v>No Impact</v>
      </c>
      <c r="AE164" s="2">
        <f t="shared" si="65"/>
        <v>3.3196972254384144E-3</v>
      </c>
      <c r="AF164" s="2">
        <f t="shared" si="66"/>
        <v>1.7102208601716577E-2</v>
      </c>
      <c r="AG164" s="2" t="s">
        <v>1176</v>
      </c>
    </row>
    <row r="165" spans="1:33" x14ac:dyDescent="0.3">
      <c r="A165">
        <v>302611</v>
      </c>
      <c r="B165" t="s">
        <v>342</v>
      </c>
      <c r="C165" t="s">
        <v>330</v>
      </c>
      <c r="D165" t="s">
        <v>343</v>
      </c>
      <c r="E165" s="18">
        <v>5.8</v>
      </c>
      <c r="F165" s="19">
        <f t="shared" si="48"/>
        <v>0.57777777777777772</v>
      </c>
      <c r="G165" s="2">
        <v>59.553280800000003</v>
      </c>
      <c r="H165" s="2">
        <f t="shared" si="49"/>
        <v>0.26949669345279048</v>
      </c>
      <c r="I165" s="2">
        <v>32</v>
      </c>
      <c r="J165" s="4">
        <f t="shared" si="50"/>
        <v>0.15526443474041729</v>
      </c>
      <c r="K165" s="2">
        <v>0</v>
      </c>
      <c r="L165" s="4">
        <f t="shared" si="51"/>
        <v>0</v>
      </c>
      <c r="M165" s="2">
        <v>3309</v>
      </c>
      <c r="N165" s="2">
        <f t="shared" si="52"/>
        <v>1.4525462141535725E-2</v>
      </c>
      <c r="O165" s="2">
        <v>0.60111583700000004</v>
      </c>
      <c r="P165" s="2">
        <f t="shared" si="53"/>
        <v>0.61695256979450297</v>
      </c>
      <c r="Q165" s="2">
        <v>7.6700000000000004E-2</v>
      </c>
      <c r="R165" s="2">
        <f t="shared" si="54"/>
        <v>6.2825709322524625E-2</v>
      </c>
      <c r="S165" s="2">
        <f t="shared" si="55"/>
        <v>2.9195164863408569E-2</v>
      </c>
      <c r="T165" s="5">
        <f t="shared" si="45"/>
        <v>5.8905738609789378E-2</v>
      </c>
      <c r="U165" s="2" t="str">
        <f t="shared" si="56"/>
        <v>No Impact</v>
      </c>
      <c r="V165" s="2">
        <f t="shared" si="57"/>
        <v>5.396485876877871E-3</v>
      </c>
      <c r="W165" s="2">
        <f t="shared" si="58"/>
        <v>9.7210638125417807E-3</v>
      </c>
      <c r="X165" s="2" t="s">
        <v>1176</v>
      </c>
      <c r="Y165" s="2">
        <f t="shared" si="59"/>
        <v>5.2993843849939271E-2</v>
      </c>
      <c r="Z165" s="2">
        <f t="shared" si="60"/>
        <v>0.11244311591889039</v>
      </c>
      <c r="AA165" s="2" t="str">
        <f t="shared" si="61"/>
        <v>No Impact</v>
      </c>
      <c r="AB165" s="2">
        <f t="shared" si="62"/>
        <v>1.8223611603496837E-2</v>
      </c>
      <c r="AC165" s="2">
        <f t="shared" si="63"/>
        <v>5.0654388928171645E-2</v>
      </c>
      <c r="AD165" s="2" t="str">
        <f t="shared" si="64"/>
        <v>No Impact</v>
      </c>
      <c r="AE165" s="2">
        <f t="shared" si="65"/>
        <v>1.2476811188794359E-3</v>
      </c>
      <c r="AF165" s="2">
        <f t="shared" si="66"/>
        <v>6.4277255768954182E-3</v>
      </c>
      <c r="AG165" s="2" t="s">
        <v>1176</v>
      </c>
    </row>
    <row r="166" spans="1:33" x14ac:dyDescent="0.3">
      <c r="A166">
        <v>302612</v>
      </c>
      <c r="B166" t="s">
        <v>344</v>
      </c>
      <c r="C166" t="s">
        <v>330</v>
      </c>
      <c r="D166" t="s">
        <v>345</v>
      </c>
      <c r="E166" s="18">
        <v>5.8</v>
      </c>
      <c r="F166" s="19">
        <f t="shared" si="48"/>
        <v>0.57777777777777772</v>
      </c>
      <c r="G166" s="2">
        <v>58.959140400000003</v>
      </c>
      <c r="H166" s="2">
        <f t="shared" si="49"/>
        <v>0.26375229491052049</v>
      </c>
      <c r="I166" s="2">
        <v>27.3</v>
      </c>
      <c r="J166" s="4">
        <f t="shared" si="50"/>
        <v>0.1324599708879185</v>
      </c>
      <c r="K166" s="2">
        <v>0</v>
      </c>
      <c r="L166" s="4">
        <f t="shared" si="51"/>
        <v>0</v>
      </c>
      <c r="M166" s="2">
        <v>15140</v>
      </c>
      <c r="N166" s="2">
        <f t="shared" si="52"/>
        <v>7.0502902726717859E-2</v>
      </c>
      <c r="O166" s="2">
        <v>0.50757058300000002</v>
      </c>
      <c r="P166" s="2">
        <f t="shared" si="53"/>
        <v>0.50889001520440469</v>
      </c>
      <c r="Q166" s="2">
        <v>0.16120000000000001</v>
      </c>
      <c r="R166" s="2">
        <f t="shared" si="54"/>
        <v>0.30746960046323107</v>
      </c>
      <c r="S166" s="2">
        <f t="shared" si="55"/>
        <v>3.270456007303503E-2</v>
      </c>
      <c r="T166" s="5">
        <f t="shared" si="45"/>
        <v>6.5986483584646427E-2</v>
      </c>
      <c r="U166" s="2" t="str">
        <f t="shared" si="56"/>
        <v>No Impact</v>
      </c>
      <c r="V166" s="2">
        <f t="shared" si="57"/>
        <v>2.4635363695099232E-2</v>
      </c>
      <c r="W166" s="2">
        <f t="shared" si="58"/>
        <v>4.4377387060593333E-2</v>
      </c>
      <c r="X166" s="2" t="s">
        <v>1176</v>
      </c>
      <c r="Y166" s="2">
        <f t="shared" si="59"/>
        <v>4.0773756450970818E-2</v>
      </c>
      <c r="Z166" s="2">
        <f t="shared" si="60"/>
        <v>8.6514355064477369E-2</v>
      </c>
      <c r="AA166" s="2" t="str">
        <f t="shared" si="61"/>
        <v>No Impact</v>
      </c>
      <c r="AB166" s="2">
        <f t="shared" si="62"/>
        <v>2.2831618800766701E-2</v>
      </c>
      <c r="AC166" s="2">
        <f t="shared" si="63"/>
        <v>6.3462815371453221E-2</v>
      </c>
      <c r="AD166" s="2" t="str">
        <f t="shared" si="64"/>
        <v>No Impact</v>
      </c>
      <c r="AE166" s="2">
        <f t="shared" si="65"/>
        <v>5.648898777687786E-3</v>
      </c>
      <c r="AF166" s="2">
        <f t="shared" si="66"/>
        <v>2.9101643525107846E-2</v>
      </c>
      <c r="AG166" s="2" t="s">
        <v>1176</v>
      </c>
    </row>
    <row r="167" spans="1:33" x14ac:dyDescent="0.3">
      <c r="A167">
        <v>302614</v>
      </c>
      <c r="B167" t="s">
        <v>346</v>
      </c>
      <c r="C167" t="s">
        <v>330</v>
      </c>
      <c r="D167" t="s">
        <v>347</v>
      </c>
      <c r="E167" s="18">
        <v>5.6</v>
      </c>
      <c r="F167" s="19">
        <f t="shared" si="48"/>
        <v>0.53333333333333321</v>
      </c>
      <c r="G167" s="2">
        <v>61.382721600000004</v>
      </c>
      <c r="H167" s="2">
        <f t="shared" si="49"/>
        <v>0.28718449429025117</v>
      </c>
      <c r="I167" s="2">
        <v>32</v>
      </c>
      <c r="J167" s="4">
        <f t="shared" si="50"/>
        <v>0.15526443474041729</v>
      </c>
      <c r="K167" s="2">
        <v>0</v>
      </c>
      <c r="L167" s="4">
        <f t="shared" si="51"/>
        <v>0</v>
      </c>
      <c r="M167" s="2">
        <v>70768</v>
      </c>
      <c r="N167" s="2">
        <f t="shared" si="52"/>
        <v>0.33370238416298798</v>
      </c>
      <c r="O167" s="2">
        <v>0.61146082999999996</v>
      </c>
      <c r="P167" s="2">
        <f t="shared" si="53"/>
        <v>0.62890300365399809</v>
      </c>
      <c r="Q167" s="2">
        <v>0.25030000000000002</v>
      </c>
      <c r="R167" s="2">
        <f t="shared" si="54"/>
        <v>0.56543138390272163</v>
      </c>
      <c r="S167" s="2">
        <f t="shared" si="55"/>
        <v>4.9320317263370515E-2</v>
      </c>
      <c r="T167" s="5">
        <f t="shared" si="45"/>
        <v>9.9511331087198215E-2</v>
      </c>
      <c r="U167" s="2" t="str">
        <f t="shared" si="56"/>
        <v>No Impact</v>
      </c>
      <c r="V167" s="2">
        <f t="shared" si="57"/>
        <v>4.6699241912976412E-2</v>
      </c>
      <c r="W167" s="2">
        <f t="shared" si="58"/>
        <v>8.4122579210011927E-2</v>
      </c>
      <c r="X167" s="2" t="s">
        <v>1176</v>
      </c>
      <c r="Y167" s="2">
        <f t="shared" si="59"/>
        <v>5.1941392613764632E-2</v>
      </c>
      <c r="Z167" s="2">
        <f t="shared" si="60"/>
        <v>0.11021000943423406</v>
      </c>
      <c r="AA167" s="2" t="str">
        <f t="shared" si="61"/>
        <v>No Impact</v>
      </c>
      <c r="AB167" s="2">
        <f t="shared" si="62"/>
        <v>4.1573374936213575E-2</v>
      </c>
      <c r="AC167" s="2">
        <f t="shared" si="63"/>
        <v>0.11555743992434409</v>
      </c>
      <c r="AD167" s="2" t="str">
        <f t="shared" si="64"/>
        <v>No Impact</v>
      </c>
      <c r="AE167" s="2">
        <f t="shared" si="65"/>
        <v>2.7560635664407009E-2</v>
      </c>
      <c r="AF167" s="2">
        <f t="shared" si="66"/>
        <v>0.14198515958525401</v>
      </c>
      <c r="AG167" s="2" t="s">
        <v>1175</v>
      </c>
    </row>
    <row r="168" spans="1:33" x14ac:dyDescent="0.3">
      <c r="A168">
        <v>302616</v>
      </c>
      <c r="B168" t="s">
        <v>348</v>
      </c>
      <c r="C168" t="s">
        <v>330</v>
      </c>
      <c r="D168" t="s">
        <v>349</v>
      </c>
      <c r="E168" s="18">
        <v>5.8</v>
      </c>
      <c r="F168" s="19">
        <f t="shared" si="48"/>
        <v>0.57777777777777772</v>
      </c>
      <c r="G168" s="2">
        <v>59.553280800000003</v>
      </c>
      <c r="H168" s="2">
        <f t="shared" si="49"/>
        <v>0.26949669345279048</v>
      </c>
      <c r="I168" s="2">
        <v>29.6</v>
      </c>
      <c r="J168" s="4">
        <f t="shared" si="50"/>
        <v>0.14361960213488598</v>
      </c>
      <c r="K168" s="2">
        <v>0</v>
      </c>
      <c r="L168" s="4">
        <f t="shared" si="51"/>
        <v>0</v>
      </c>
      <c r="M168" s="2">
        <v>1742</v>
      </c>
      <c r="N168" s="2">
        <f t="shared" si="52"/>
        <v>7.1113256021915943E-3</v>
      </c>
      <c r="O168" s="2">
        <v>0.631479664</v>
      </c>
      <c r="P168" s="2">
        <f t="shared" si="53"/>
        <v>0.65202856320355174</v>
      </c>
      <c r="Q168" s="2">
        <v>0.06</v>
      </c>
      <c r="R168" s="2">
        <f t="shared" si="54"/>
        <v>1.4475969889982622E-2</v>
      </c>
      <c r="S168" s="2">
        <f t="shared" si="55"/>
        <v>2.7840326018959475E-2</v>
      </c>
      <c r="T168" s="5">
        <f t="shared" si="45"/>
        <v>5.6172142714616555E-2</v>
      </c>
      <c r="U168" s="2" t="str">
        <f t="shared" si="56"/>
        <v>No Impact</v>
      </c>
      <c r="V168" s="2">
        <f t="shared" si="57"/>
        <v>1.209341275766536E-3</v>
      </c>
      <c r="W168" s="2">
        <f t="shared" si="58"/>
        <v>2.1784702084069285E-3</v>
      </c>
      <c r="X168" s="2" t="s">
        <v>1176</v>
      </c>
      <c r="Y168" s="2">
        <f t="shared" si="59"/>
        <v>5.4471310762152413E-2</v>
      </c>
      <c r="Z168" s="2">
        <f t="shared" si="60"/>
        <v>0.11557802690490482</v>
      </c>
      <c r="AA168" s="2" t="str">
        <f t="shared" si="61"/>
        <v>No Impact</v>
      </c>
      <c r="AB168" s="2">
        <f t="shared" si="62"/>
        <v>1.6972593948476059E-2</v>
      </c>
      <c r="AC168" s="2">
        <f t="shared" si="63"/>
        <v>4.7177057637744449E-2</v>
      </c>
      <c r="AD168" s="2" t="str">
        <f t="shared" si="64"/>
        <v>No Impact</v>
      </c>
      <c r="AE168" s="2">
        <f t="shared" si="65"/>
        <v>5.9408935232013911E-4</v>
      </c>
      <c r="AF168" s="2">
        <f t="shared" si="66"/>
        <v>3.0605923798053317E-3</v>
      </c>
      <c r="AG168" s="2" t="s">
        <v>1176</v>
      </c>
    </row>
    <row r="169" spans="1:33" x14ac:dyDescent="0.3">
      <c r="A169">
        <v>302618</v>
      </c>
      <c r="B169" t="s">
        <v>350</v>
      </c>
      <c r="C169" t="s">
        <v>330</v>
      </c>
      <c r="D169" t="s">
        <v>351</v>
      </c>
      <c r="E169" s="18">
        <v>5.8</v>
      </c>
      <c r="F169" s="19">
        <f t="shared" si="48"/>
        <v>0.57777777777777772</v>
      </c>
      <c r="G169" s="2">
        <v>74.344831200000002</v>
      </c>
      <c r="H169" s="2">
        <f t="shared" si="49"/>
        <v>0.41250760561374261</v>
      </c>
      <c r="I169" s="2">
        <v>42.6</v>
      </c>
      <c r="J169" s="4">
        <f t="shared" si="50"/>
        <v>0.20669577874818051</v>
      </c>
      <c r="K169" s="2">
        <v>0</v>
      </c>
      <c r="L169" s="4">
        <f t="shared" si="51"/>
        <v>0</v>
      </c>
      <c r="M169" s="2">
        <v>27219</v>
      </c>
      <c r="N169" s="2">
        <f t="shared" si="52"/>
        <v>0.12765373569336608</v>
      </c>
      <c r="O169" s="2">
        <v>0.63313887899999999</v>
      </c>
      <c r="P169" s="2">
        <f t="shared" si="53"/>
        <v>0.65394527200327546</v>
      </c>
      <c r="Q169" s="2">
        <v>0.26229999999999998</v>
      </c>
      <c r="R169" s="2">
        <f t="shared" si="54"/>
        <v>0.60017371163867972</v>
      </c>
      <c r="S169" s="2">
        <f t="shared" si="55"/>
        <v>7.8518310483100748E-2</v>
      </c>
      <c r="T169" s="5">
        <f t="shared" si="45"/>
        <v>0.15842277634118565</v>
      </c>
      <c r="U169" s="2" t="str">
        <f t="shared" si="56"/>
        <v>Low</v>
      </c>
      <c r="V169" s="2">
        <f t="shared" si="57"/>
        <v>7.5151762231349326E-2</v>
      </c>
      <c r="W169" s="2">
        <f t="shared" si="58"/>
        <v>0.13537607490202042</v>
      </c>
      <c r="X169" s="2" t="s">
        <v>1176</v>
      </c>
      <c r="Y169" s="2">
        <f t="shared" si="59"/>
        <v>8.1884858734852212E-2</v>
      </c>
      <c r="Z169" s="2">
        <f t="shared" si="60"/>
        <v>0.17374449547002435</v>
      </c>
      <c r="AA169" s="2" t="str">
        <f t="shared" si="61"/>
        <v>Low</v>
      </c>
      <c r="AB169" s="2">
        <f t="shared" si="62"/>
        <v>5.6463106538302631E-2</v>
      </c>
      <c r="AC169" s="2">
        <f t="shared" si="63"/>
        <v>0.15694496902771796</v>
      </c>
      <c r="AD169" s="2" t="str">
        <f t="shared" si="64"/>
        <v>Low</v>
      </c>
      <c r="AE169" s="2">
        <f t="shared" si="65"/>
        <v>1.5984377533927775E-2</v>
      </c>
      <c r="AF169" s="2">
        <f t="shared" si="66"/>
        <v>8.2347316754985855E-2</v>
      </c>
      <c r="AG169" s="2" t="s">
        <v>1175</v>
      </c>
    </row>
    <row r="170" spans="1:33" x14ac:dyDescent="0.3">
      <c r="A170">
        <v>302624</v>
      </c>
      <c r="B170" t="s">
        <v>352</v>
      </c>
      <c r="C170" t="s">
        <v>330</v>
      </c>
      <c r="D170" t="s">
        <v>353</v>
      </c>
      <c r="E170" s="18">
        <v>5.7</v>
      </c>
      <c r="F170" s="19">
        <f t="shared" si="48"/>
        <v>0.55555555555555558</v>
      </c>
      <c r="G170" s="2">
        <v>58.959140400000003</v>
      </c>
      <c r="H170" s="2">
        <f t="shared" si="49"/>
        <v>0.26375229491052049</v>
      </c>
      <c r="I170" s="2">
        <v>27.3</v>
      </c>
      <c r="J170" s="4">
        <f t="shared" si="50"/>
        <v>0.1324599708879185</v>
      </c>
      <c r="K170" s="2">
        <v>0</v>
      </c>
      <c r="L170" s="4">
        <f t="shared" si="51"/>
        <v>0</v>
      </c>
      <c r="M170" s="2">
        <v>1598</v>
      </c>
      <c r="N170" s="2">
        <f t="shared" si="52"/>
        <v>6.4300009935983875E-3</v>
      </c>
      <c r="O170" s="2">
        <v>0.73194421300000001</v>
      </c>
      <c r="P170" s="2">
        <f t="shared" si="53"/>
        <v>0.76808421911830393</v>
      </c>
      <c r="Q170" s="2">
        <v>0.06</v>
      </c>
      <c r="R170" s="2">
        <f t="shared" si="54"/>
        <v>1.4475969889982622E-2</v>
      </c>
      <c r="S170" s="2">
        <f t="shared" si="55"/>
        <v>3.01447169343666E-2</v>
      </c>
      <c r="T170" s="5">
        <f t="shared" si="45"/>
        <v>6.0821606060784399E-2</v>
      </c>
      <c r="U170" s="2" t="str">
        <f t="shared" si="56"/>
        <v>No Impact</v>
      </c>
      <c r="V170" s="2">
        <f t="shared" si="57"/>
        <v>1.1152471613383322E-3</v>
      </c>
      <c r="W170" s="2">
        <f t="shared" si="58"/>
        <v>2.0089719623982922E-3</v>
      </c>
      <c r="X170" s="2" t="s">
        <v>1176</v>
      </c>
      <c r="Y170" s="2">
        <f t="shared" si="59"/>
        <v>5.9174186707394869E-2</v>
      </c>
      <c r="Z170" s="2">
        <f t="shared" si="60"/>
        <v>0.12555665813158953</v>
      </c>
      <c r="AA170" s="2" t="str">
        <f t="shared" si="61"/>
        <v>No Impact</v>
      </c>
      <c r="AB170" s="2">
        <f t="shared" si="62"/>
        <v>1.8315973932402474E-2</v>
      </c>
      <c r="AC170" s="2">
        <f t="shared" si="63"/>
        <v>5.0911119450775637E-2</v>
      </c>
      <c r="AD170" s="2" t="str">
        <f t="shared" si="64"/>
        <v>No Impact</v>
      </c>
      <c r="AE170" s="2">
        <f t="shared" si="65"/>
        <v>4.9537546775885611E-4</v>
      </c>
      <c r="AF170" s="2">
        <f t="shared" si="66"/>
        <v>2.5520443614149265E-3</v>
      </c>
      <c r="AG170" s="2" t="s">
        <v>1176</v>
      </c>
    </row>
    <row r="171" spans="1:33" x14ac:dyDescent="0.3">
      <c r="A171">
        <v>302626</v>
      </c>
      <c r="B171" t="s">
        <v>354</v>
      </c>
      <c r="C171" t="s">
        <v>330</v>
      </c>
      <c r="D171" t="s">
        <v>355</v>
      </c>
      <c r="E171" s="18">
        <v>5.7</v>
      </c>
      <c r="F171" s="19">
        <f t="shared" si="48"/>
        <v>0.55555555555555558</v>
      </c>
      <c r="G171" s="2">
        <v>58.959140400000003</v>
      </c>
      <c r="H171" s="2">
        <f t="shared" si="49"/>
        <v>0.26375229491052049</v>
      </c>
      <c r="I171" s="2">
        <v>27.3</v>
      </c>
      <c r="J171" s="4">
        <f t="shared" si="50"/>
        <v>0.1324599708879185</v>
      </c>
      <c r="K171" s="2">
        <v>0</v>
      </c>
      <c r="L171" s="4">
        <f t="shared" si="51"/>
        <v>0</v>
      </c>
      <c r="M171" s="2">
        <v>6565</v>
      </c>
      <c r="N171" s="2">
        <f t="shared" si="52"/>
        <v>2.9930968569171008E-2</v>
      </c>
      <c r="O171" s="2">
        <v>0.50751764200000005</v>
      </c>
      <c r="P171" s="2">
        <f t="shared" si="53"/>
        <v>0.50882885828347146</v>
      </c>
      <c r="Q171" s="2">
        <v>0.06</v>
      </c>
      <c r="R171" s="2">
        <f t="shared" si="54"/>
        <v>1.4475969889982622E-2</v>
      </c>
      <c r="S171" s="2">
        <f t="shared" si="55"/>
        <v>2.0158035301625962E-2</v>
      </c>
      <c r="T171" s="5">
        <f t="shared" si="45"/>
        <v>4.0671938792602266E-2</v>
      </c>
      <c r="U171" s="2" t="str">
        <f t="shared" si="56"/>
        <v>No Impact</v>
      </c>
      <c r="V171" s="2">
        <f t="shared" si="57"/>
        <v>1.1152471613383322E-3</v>
      </c>
      <c r="W171" s="2">
        <f t="shared" si="58"/>
        <v>2.0089719623982922E-3</v>
      </c>
      <c r="X171" s="2" t="s">
        <v>1176</v>
      </c>
      <c r="Y171" s="2">
        <f t="shared" si="59"/>
        <v>3.9200823441913592E-2</v>
      </c>
      <c r="Z171" s="2">
        <f t="shared" si="60"/>
        <v>8.3176882712577518E-2</v>
      </c>
      <c r="AA171" s="2" t="str">
        <f t="shared" si="61"/>
        <v>No Impact</v>
      </c>
      <c r="AB171" s="2">
        <f t="shared" si="62"/>
        <v>1.2957655520767939E-2</v>
      </c>
      <c r="AC171" s="2">
        <f t="shared" si="63"/>
        <v>3.6017126386753306E-2</v>
      </c>
      <c r="AD171" s="2" t="str">
        <f t="shared" si="64"/>
        <v>No Impact</v>
      </c>
      <c r="AE171" s="2">
        <f t="shared" si="65"/>
        <v>2.3059199477869926E-3</v>
      </c>
      <c r="AF171" s="2">
        <f t="shared" si="66"/>
        <v>1.1879494209205902E-2</v>
      </c>
      <c r="AG171" s="2" t="s">
        <v>1176</v>
      </c>
    </row>
    <row r="172" spans="1:33" x14ac:dyDescent="0.3">
      <c r="A172">
        <v>302628</v>
      </c>
      <c r="B172" t="s">
        <v>356</v>
      </c>
      <c r="C172" t="s">
        <v>330</v>
      </c>
      <c r="D172" t="s">
        <v>357</v>
      </c>
      <c r="E172" s="18">
        <v>5.9</v>
      </c>
      <c r="F172" s="19">
        <f t="shared" si="48"/>
        <v>0.60000000000000009</v>
      </c>
      <c r="G172" s="2">
        <v>59.553280800000003</v>
      </c>
      <c r="H172" s="2">
        <f t="shared" si="49"/>
        <v>0.26949669345279048</v>
      </c>
      <c r="I172" s="2">
        <v>29.6</v>
      </c>
      <c r="J172" s="4">
        <f t="shared" si="50"/>
        <v>0.14361960213488598</v>
      </c>
      <c r="K172" s="2">
        <v>0</v>
      </c>
      <c r="L172" s="4">
        <f t="shared" si="51"/>
        <v>0</v>
      </c>
      <c r="M172" s="2">
        <v>4547</v>
      </c>
      <c r="N172" s="2">
        <f t="shared" si="52"/>
        <v>2.0382961207080098E-2</v>
      </c>
      <c r="O172" s="2">
        <v>0.59607095300000001</v>
      </c>
      <c r="P172" s="2">
        <f t="shared" si="53"/>
        <v>0.6111247695658486</v>
      </c>
      <c r="Q172" s="2">
        <v>8.6400000000000005E-2</v>
      </c>
      <c r="R172" s="2">
        <f t="shared" si="54"/>
        <v>9.0909090909090925E-2</v>
      </c>
      <c r="S172" s="2">
        <f t="shared" si="55"/>
        <v>3.0452270920734891E-2</v>
      </c>
      <c r="T172" s="5">
        <f t="shared" si="45"/>
        <v>6.1442143564654279E-2</v>
      </c>
      <c r="U172" s="2" t="str">
        <f t="shared" si="56"/>
        <v>No Impact</v>
      </c>
      <c r="V172" s="2">
        <f t="shared" si="57"/>
        <v>7.8867656430374623E-3</v>
      </c>
      <c r="W172" s="2">
        <f t="shared" si="58"/>
        <v>1.4206977251441506E-2</v>
      </c>
      <c r="X172" s="2" t="s">
        <v>1176</v>
      </c>
      <c r="Y172" s="2">
        <f t="shared" si="59"/>
        <v>5.3017776198432315E-2</v>
      </c>
      <c r="Z172" s="2">
        <f t="shared" si="60"/>
        <v>0.11249389592728976</v>
      </c>
      <c r="AA172" s="2" t="str">
        <f t="shared" si="61"/>
        <v>No Impact</v>
      </c>
      <c r="AB172" s="2">
        <f t="shared" si="62"/>
        <v>1.928461004147556E-2</v>
      </c>
      <c r="AC172" s="2">
        <f t="shared" si="63"/>
        <v>5.36035424054793E-2</v>
      </c>
      <c r="AD172" s="2" t="str">
        <f t="shared" si="64"/>
        <v>No Impact</v>
      </c>
      <c r="AE172" s="2">
        <f t="shared" si="65"/>
        <v>1.7683120196650113E-3</v>
      </c>
      <c r="AF172" s="2">
        <f t="shared" si="66"/>
        <v>9.1098792990797137E-3</v>
      </c>
      <c r="AG172" s="2" t="s">
        <v>1176</v>
      </c>
    </row>
    <row r="173" spans="1:33" x14ac:dyDescent="0.3">
      <c r="A173">
        <v>302629</v>
      </c>
      <c r="B173" t="s">
        <v>358</v>
      </c>
      <c r="C173" t="s">
        <v>330</v>
      </c>
      <c r="D173" t="s">
        <v>359</v>
      </c>
      <c r="E173" s="18">
        <v>5.8</v>
      </c>
      <c r="F173" s="19">
        <f t="shared" si="48"/>
        <v>0.57777777777777772</v>
      </c>
      <c r="G173" s="2">
        <v>58.959140400000003</v>
      </c>
      <c r="H173" s="2">
        <f t="shared" si="49"/>
        <v>0.26375229491052049</v>
      </c>
      <c r="I173" s="2">
        <v>27.3</v>
      </c>
      <c r="J173" s="4">
        <f t="shared" si="50"/>
        <v>0.1324599708879185</v>
      </c>
      <c r="K173" s="2">
        <v>0</v>
      </c>
      <c r="L173" s="4">
        <f t="shared" si="51"/>
        <v>0</v>
      </c>
      <c r="M173" s="2">
        <v>7826</v>
      </c>
      <c r="N173" s="2">
        <f t="shared" si="52"/>
        <v>3.5897290315254571E-2</v>
      </c>
      <c r="O173" s="2">
        <v>0.36270054299999999</v>
      </c>
      <c r="P173" s="2">
        <f t="shared" si="53"/>
        <v>0.34153757414983532</v>
      </c>
      <c r="Q173" s="2">
        <v>0.12959999999999999</v>
      </c>
      <c r="R173" s="2">
        <f t="shared" si="54"/>
        <v>0.21598147075854082</v>
      </c>
      <c r="S173" s="2">
        <f t="shared" si="55"/>
        <v>2.2335028272013963E-2</v>
      </c>
      <c r="T173" s="5">
        <f t="shared" si="45"/>
        <v>4.5064357176570688E-2</v>
      </c>
      <c r="U173" s="2" t="str">
        <f t="shared" si="56"/>
        <v>No Impact</v>
      </c>
      <c r="V173" s="2">
        <f t="shared" si="57"/>
        <v>1.7305067153054639E-2</v>
      </c>
      <c r="W173" s="2">
        <f t="shared" si="58"/>
        <v>3.117281614614183E-2</v>
      </c>
      <c r="X173" s="2" t="s">
        <v>1176</v>
      </c>
      <c r="Y173" s="2">
        <f t="shared" si="59"/>
        <v>2.7364989390973295E-2</v>
      </c>
      <c r="Z173" s="2">
        <f t="shared" si="60"/>
        <v>5.806343625349121E-2</v>
      </c>
      <c r="AA173" s="2" t="str">
        <f t="shared" si="61"/>
        <v>No Impact</v>
      </c>
      <c r="AB173" s="2">
        <f t="shared" si="62"/>
        <v>1.5272938883991843E-2</v>
      </c>
      <c r="AC173" s="2">
        <f t="shared" si="63"/>
        <v>4.2452692865637486E-2</v>
      </c>
      <c r="AD173" s="2" t="str">
        <f t="shared" si="64"/>
        <v>No Impact</v>
      </c>
      <c r="AE173" s="2">
        <f t="shared" si="65"/>
        <v>2.8761958946592328E-3</v>
      </c>
      <c r="AF173" s="2">
        <f t="shared" si="66"/>
        <v>1.481740617575956E-2</v>
      </c>
      <c r="AG173" s="2" t="s">
        <v>1176</v>
      </c>
    </row>
    <row r="174" spans="1:33" x14ac:dyDescent="0.3">
      <c r="A174">
        <v>302630</v>
      </c>
      <c r="B174" t="s">
        <v>360</v>
      </c>
      <c r="C174" t="s">
        <v>330</v>
      </c>
      <c r="D174" t="s">
        <v>361</v>
      </c>
      <c r="E174" s="18">
        <v>5.8</v>
      </c>
      <c r="F174" s="19">
        <f t="shared" si="48"/>
        <v>0.57777777777777772</v>
      </c>
      <c r="G174" s="2">
        <v>59.553280800000003</v>
      </c>
      <c r="H174" s="2">
        <f t="shared" si="49"/>
        <v>0.26949669345279048</v>
      </c>
      <c r="I174" s="2">
        <v>29.6</v>
      </c>
      <c r="J174" s="4">
        <f t="shared" si="50"/>
        <v>0.14361960213488598</v>
      </c>
      <c r="K174" s="2">
        <v>0</v>
      </c>
      <c r="L174" s="4">
        <f t="shared" si="51"/>
        <v>0</v>
      </c>
      <c r="M174" s="2">
        <v>6991</v>
      </c>
      <c r="N174" s="2">
        <f t="shared" si="52"/>
        <v>3.1946553869592574E-2</v>
      </c>
      <c r="O174" s="2">
        <v>0.66694276799999996</v>
      </c>
      <c r="P174" s="2">
        <f t="shared" si="53"/>
        <v>0.6929951910982638</v>
      </c>
      <c r="Q174" s="2">
        <v>0.105</v>
      </c>
      <c r="R174" s="2">
        <f t="shared" si="54"/>
        <v>0.14475969889982629</v>
      </c>
      <c r="S174" s="2">
        <f t="shared" si="55"/>
        <v>3.4993564339721089E-2</v>
      </c>
      <c r="T174" s="5">
        <f t="shared" si="45"/>
        <v>7.0604901998823508E-2</v>
      </c>
      <c r="U174" s="2" t="str">
        <f t="shared" si="56"/>
        <v>No Impact</v>
      </c>
      <c r="V174" s="2">
        <f t="shared" si="57"/>
        <v>1.2093412757665366E-2</v>
      </c>
      <c r="W174" s="2">
        <f t="shared" si="58"/>
        <v>2.1784702084069296E-2</v>
      </c>
      <c r="X174" s="2" t="s">
        <v>1176</v>
      </c>
      <c r="Y174" s="2">
        <f t="shared" si="59"/>
        <v>5.7893715921776813E-2</v>
      </c>
      <c r="Z174" s="2">
        <f t="shared" si="60"/>
        <v>0.12283973641921656</v>
      </c>
      <c r="AA174" s="2" t="str">
        <f t="shared" si="61"/>
        <v>No Impact</v>
      </c>
      <c r="AB174" s="2">
        <f t="shared" si="62"/>
        <v>2.2534909013773776E-2</v>
      </c>
      <c r="AC174" s="2">
        <f t="shared" si="63"/>
        <v>6.2638080226952525E-2</v>
      </c>
      <c r="AD174" s="2" t="str">
        <f t="shared" si="64"/>
        <v>No Impact</v>
      </c>
      <c r="AE174" s="2">
        <f t="shared" si="65"/>
        <v>2.6688564915938648E-3</v>
      </c>
      <c r="AF174" s="2">
        <f t="shared" si="66"/>
        <v>1.3749248002957817E-2</v>
      </c>
      <c r="AG174" s="2" t="s">
        <v>1176</v>
      </c>
    </row>
    <row r="175" spans="1:33" x14ac:dyDescent="0.3">
      <c r="A175">
        <v>302632</v>
      </c>
      <c r="B175" t="s">
        <v>362</v>
      </c>
      <c r="C175" t="s">
        <v>330</v>
      </c>
      <c r="D175" t="s">
        <v>363</v>
      </c>
      <c r="E175" s="18">
        <v>5.8</v>
      </c>
      <c r="F175" s="19">
        <f t="shared" si="48"/>
        <v>0.57777777777777772</v>
      </c>
      <c r="G175" s="2">
        <v>58.959140400000003</v>
      </c>
      <c r="H175" s="2">
        <f t="shared" si="49"/>
        <v>0.26375229491052049</v>
      </c>
      <c r="I175" s="2">
        <v>27.3</v>
      </c>
      <c r="J175" s="4">
        <f t="shared" si="50"/>
        <v>0.1324599708879185</v>
      </c>
      <c r="K175" s="2">
        <v>0</v>
      </c>
      <c r="L175" s="4">
        <f t="shared" si="51"/>
        <v>0</v>
      </c>
      <c r="M175" s="2">
        <v>4323</v>
      </c>
      <c r="N175" s="2">
        <f t="shared" si="52"/>
        <v>1.9323122927046223E-2</v>
      </c>
      <c r="O175" s="2">
        <v>0.71773662699999996</v>
      </c>
      <c r="P175" s="2">
        <f t="shared" si="53"/>
        <v>0.75167175592996804</v>
      </c>
      <c r="Q175" s="2">
        <v>7.7299999999999994E-2</v>
      </c>
      <c r="R175" s="2">
        <f t="shared" si="54"/>
        <v>6.4562825709322508E-2</v>
      </c>
      <c r="S175" s="2">
        <f t="shared" si="55"/>
        <v>3.2699551027005912E-2</v>
      </c>
      <c r="T175" s="5">
        <f t="shared" si="45"/>
        <v>6.5976377063328387E-2</v>
      </c>
      <c r="U175" s="2" t="str">
        <f t="shared" si="56"/>
        <v>No Impact</v>
      </c>
      <c r="V175" s="2">
        <f t="shared" si="57"/>
        <v>5.1729624331517208E-3</v>
      </c>
      <c r="W175" s="2">
        <f t="shared" si="58"/>
        <v>9.3184155503882402E-3</v>
      </c>
      <c r="X175" s="2" t="s">
        <v>1176</v>
      </c>
      <c r="Y175" s="2">
        <f t="shared" si="59"/>
        <v>6.0226139620860104E-2</v>
      </c>
      <c r="Z175" s="2">
        <f t="shared" si="60"/>
        <v>0.12778870726780486</v>
      </c>
      <c r="AA175" s="2" t="str">
        <f t="shared" si="61"/>
        <v>No Impact</v>
      </c>
      <c r="AB175" s="2">
        <f t="shared" si="62"/>
        <v>2.0420257532091517E-2</v>
      </c>
      <c r="AC175" s="2">
        <f t="shared" si="63"/>
        <v>5.676019054562758E-2</v>
      </c>
      <c r="AD175" s="2" t="str">
        <f t="shared" si="64"/>
        <v>No Impact</v>
      </c>
      <c r="AE175" s="2">
        <f t="shared" si="65"/>
        <v>1.5482251263725202E-3</v>
      </c>
      <c r="AF175" s="2">
        <f t="shared" si="66"/>
        <v>7.9760494031635779E-3</v>
      </c>
      <c r="AG175" s="2" t="s">
        <v>1176</v>
      </c>
    </row>
    <row r="176" spans="1:33" x14ac:dyDescent="0.3">
      <c r="A176">
        <v>302633</v>
      </c>
      <c r="B176" t="s">
        <v>364</v>
      </c>
      <c r="C176" t="s">
        <v>330</v>
      </c>
      <c r="D176" t="s">
        <v>365</v>
      </c>
      <c r="E176" s="18">
        <v>5.7</v>
      </c>
      <c r="F176" s="19">
        <f t="shared" si="48"/>
        <v>0.55555555555555558</v>
      </c>
      <c r="G176" s="2">
        <v>58.959140400000003</v>
      </c>
      <c r="H176" s="2">
        <f t="shared" si="49"/>
        <v>0.26375229491052049</v>
      </c>
      <c r="I176" s="2">
        <v>27.3</v>
      </c>
      <c r="J176" s="4">
        <f t="shared" si="50"/>
        <v>0.1324599708879185</v>
      </c>
      <c r="K176" s="2">
        <v>0</v>
      </c>
      <c r="L176" s="4">
        <f t="shared" si="51"/>
        <v>0</v>
      </c>
      <c r="M176" s="2">
        <v>731</v>
      </c>
      <c r="N176" s="2">
        <f t="shared" si="52"/>
        <v>2.3278590793601225E-3</v>
      </c>
      <c r="O176" s="2">
        <v>0.32664743000000002</v>
      </c>
      <c r="P176" s="2">
        <f t="shared" si="53"/>
        <v>0.29988937367880475</v>
      </c>
      <c r="Q176" s="2">
        <v>0.06</v>
      </c>
      <c r="R176" s="2">
        <f t="shared" si="54"/>
        <v>1.4475969889982622E-2</v>
      </c>
      <c r="S176" s="2">
        <f t="shared" si="55"/>
        <v>1.2109553270100803E-2</v>
      </c>
      <c r="T176" s="5">
        <f t="shared" si="45"/>
        <v>2.4432887532822686E-2</v>
      </c>
      <c r="U176" s="2" t="str">
        <f t="shared" si="56"/>
        <v>No Impact</v>
      </c>
      <c r="V176" s="2">
        <f t="shared" si="57"/>
        <v>1.1152471613383322E-3</v>
      </c>
      <c r="W176" s="2">
        <f t="shared" si="58"/>
        <v>2.0089719623982922E-3</v>
      </c>
      <c r="X176" s="2" t="s">
        <v>1176</v>
      </c>
      <c r="Y176" s="2">
        <f t="shared" si="59"/>
        <v>2.3103859378863272E-2</v>
      </c>
      <c r="Z176" s="2">
        <f t="shared" si="60"/>
        <v>4.9022108033294563E-2</v>
      </c>
      <c r="AA176" s="2" t="str">
        <f t="shared" si="61"/>
        <v>No Impact</v>
      </c>
      <c r="AB176" s="2">
        <f t="shared" si="62"/>
        <v>7.3842637502584329E-3</v>
      </c>
      <c r="AC176" s="2">
        <f t="shared" si="63"/>
        <v>2.0525314964571367E-2</v>
      </c>
      <c r="AD176" s="2" t="str">
        <f t="shared" si="64"/>
        <v>No Impact</v>
      </c>
      <c r="AE176" s="2">
        <f t="shared" si="65"/>
        <v>1.79341228945811E-4</v>
      </c>
      <c r="AF176" s="2">
        <f t="shared" si="66"/>
        <v>9.2391892996037056E-4</v>
      </c>
      <c r="AG176" s="2" t="s">
        <v>1176</v>
      </c>
    </row>
    <row r="177" spans="1:33" x14ac:dyDescent="0.3">
      <c r="A177">
        <v>302634</v>
      </c>
      <c r="B177" t="s">
        <v>366</v>
      </c>
      <c r="C177" t="s">
        <v>330</v>
      </c>
      <c r="D177" t="s">
        <v>367</v>
      </c>
      <c r="E177" s="18">
        <v>3.7</v>
      </c>
      <c r="F177" s="19">
        <f t="shared" si="48"/>
        <v>0.1111111111111111</v>
      </c>
      <c r="G177" s="2">
        <v>59.553280800000003</v>
      </c>
      <c r="H177" s="2">
        <f t="shared" si="49"/>
        <v>0.26949669345279048</v>
      </c>
      <c r="I177" s="2">
        <v>29.6</v>
      </c>
      <c r="J177" s="4">
        <f t="shared" si="50"/>
        <v>0.14361960213488598</v>
      </c>
      <c r="K177" s="2">
        <v>0</v>
      </c>
      <c r="L177" s="4">
        <f t="shared" si="51"/>
        <v>0</v>
      </c>
      <c r="M177" s="2">
        <v>2173</v>
      </c>
      <c r="N177" s="2">
        <f t="shared" si="52"/>
        <v>9.1505680070782056E-3</v>
      </c>
      <c r="O177" s="2">
        <v>0.59125960399999999</v>
      </c>
      <c r="P177" s="2">
        <f t="shared" si="53"/>
        <v>0.60556674666535482</v>
      </c>
      <c r="Q177" s="2">
        <v>6.3700000000000007E-2</v>
      </c>
      <c r="R177" s="2">
        <f t="shared" si="54"/>
        <v>2.5188187608569793E-2</v>
      </c>
      <c r="S177" s="2">
        <f t="shared" si="55"/>
        <v>5.0667388697117899E-3</v>
      </c>
      <c r="T177" s="5">
        <f t="shared" si="45"/>
        <v>1.0222925503577953E-2</v>
      </c>
      <c r="U177" s="2" t="str">
        <f t="shared" si="56"/>
        <v>No Impact</v>
      </c>
      <c r="V177" s="2">
        <f t="shared" si="57"/>
        <v>4.046641961218798E-4</v>
      </c>
      <c r="W177" s="2">
        <f t="shared" si="58"/>
        <v>7.2894964665924232E-4</v>
      </c>
      <c r="X177" s="2" t="s">
        <v>1176</v>
      </c>
      <c r="Y177" s="2">
        <f t="shared" si="59"/>
        <v>9.7288135433016999E-3</v>
      </c>
      <c r="Z177" s="2">
        <f t="shared" si="60"/>
        <v>2.0642739411400469E-2</v>
      </c>
      <c r="AA177" s="2" t="str">
        <f t="shared" si="61"/>
        <v>No Impact</v>
      </c>
      <c r="AB177" s="2">
        <f t="shared" si="62"/>
        <v>3.1117299175006004E-3</v>
      </c>
      <c r="AC177" s="2">
        <f t="shared" si="63"/>
        <v>8.6493709869374866E-3</v>
      </c>
      <c r="AD177" s="2" t="str">
        <f t="shared" si="64"/>
        <v>No Impact</v>
      </c>
      <c r="AE177" s="2">
        <f t="shared" si="65"/>
        <v>1.470096739069488E-4</v>
      </c>
      <c r="AF177" s="2">
        <f t="shared" si="66"/>
        <v>7.5735524624385997E-4</v>
      </c>
      <c r="AG177" s="2" t="s">
        <v>1176</v>
      </c>
    </row>
    <row r="178" spans="1:33" x14ac:dyDescent="0.3">
      <c r="A178">
        <v>302636</v>
      </c>
      <c r="B178" t="s">
        <v>368</v>
      </c>
      <c r="C178" t="s">
        <v>330</v>
      </c>
      <c r="D178" t="s">
        <v>369</v>
      </c>
      <c r="E178" s="18">
        <v>5.9</v>
      </c>
      <c r="F178" s="19">
        <f t="shared" si="48"/>
        <v>0.60000000000000009</v>
      </c>
      <c r="G178" s="2">
        <v>58.959140400000003</v>
      </c>
      <c r="H178" s="2">
        <f t="shared" si="49"/>
        <v>0.26375229491052049</v>
      </c>
      <c r="I178" s="2">
        <v>27.3</v>
      </c>
      <c r="J178" s="4">
        <f t="shared" si="50"/>
        <v>0.1324599708879185</v>
      </c>
      <c r="K178" s="2">
        <v>0</v>
      </c>
      <c r="L178" s="4">
        <f t="shared" si="51"/>
        <v>0</v>
      </c>
      <c r="M178" s="2">
        <v>13317</v>
      </c>
      <c r="N178" s="2">
        <f t="shared" si="52"/>
        <v>6.1877522438763585E-2</v>
      </c>
      <c r="O178" s="2">
        <v>0.64071530300000001</v>
      </c>
      <c r="P178" s="2">
        <f t="shared" si="53"/>
        <v>0.66269748226610437</v>
      </c>
      <c r="Q178" s="2">
        <v>0.1772</v>
      </c>
      <c r="R178" s="2">
        <f t="shared" si="54"/>
        <v>0.35379270411117547</v>
      </c>
      <c r="S178" s="2">
        <f t="shared" si="55"/>
        <v>4.2288317390174066E-2</v>
      </c>
      <c r="T178" s="5">
        <f t="shared" ref="T178:T241" si="69">(S178-$AJ$10)/$AK$10</f>
        <v>8.5323189031054306E-2</v>
      </c>
      <c r="U178" s="2" t="str">
        <f t="shared" si="56"/>
        <v>No Impact</v>
      </c>
      <c r="V178" s="2">
        <f t="shared" si="57"/>
        <v>2.9437171872957565E-2</v>
      </c>
      <c r="W178" s="2">
        <f t="shared" si="58"/>
        <v>5.3027216741895436E-2</v>
      </c>
      <c r="X178" s="2" t="s">
        <v>1176</v>
      </c>
      <c r="Y178" s="2">
        <f t="shared" si="59"/>
        <v>5.5139462907390552E-2</v>
      </c>
      <c r="Z178" s="2">
        <f t="shared" si="60"/>
        <v>0.11699572193625991</v>
      </c>
      <c r="AA178" s="2" t="str">
        <f t="shared" si="61"/>
        <v>No Impact</v>
      </c>
      <c r="AB178" s="2">
        <f t="shared" si="62"/>
        <v>2.864682158026035E-2</v>
      </c>
      <c r="AC178" s="2">
        <f t="shared" si="63"/>
        <v>7.9626765179960632E-2</v>
      </c>
      <c r="AD178" s="2" t="str">
        <f t="shared" si="64"/>
        <v>No Impact</v>
      </c>
      <c r="AE178" s="2">
        <f t="shared" si="65"/>
        <v>5.1484930071658171E-3</v>
      </c>
      <c r="AF178" s="2">
        <f t="shared" si="66"/>
        <v>2.652368436443794E-2</v>
      </c>
      <c r="AG178" s="2" t="s">
        <v>1176</v>
      </c>
    </row>
    <row r="179" spans="1:33" x14ac:dyDescent="0.3">
      <c r="A179">
        <v>302637</v>
      </c>
      <c r="B179" t="s">
        <v>370</v>
      </c>
      <c r="C179" t="s">
        <v>330</v>
      </c>
      <c r="D179" t="s">
        <v>371</v>
      </c>
      <c r="E179" s="18">
        <v>5.8</v>
      </c>
      <c r="F179" s="19">
        <f t="shared" si="48"/>
        <v>0.57777777777777772</v>
      </c>
      <c r="G179" s="2">
        <v>58.959140400000003</v>
      </c>
      <c r="H179" s="2">
        <f t="shared" si="49"/>
        <v>0.26375229491052049</v>
      </c>
      <c r="I179" s="2">
        <v>27.3</v>
      </c>
      <c r="J179" s="4">
        <f t="shared" si="50"/>
        <v>0.1324599708879185</v>
      </c>
      <c r="K179" s="2">
        <v>0</v>
      </c>
      <c r="L179" s="4">
        <f t="shared" si="51"/>
        <v>0</v>
      </c>
      <c r="M179" s="2">
        <v>9630</v>
      </c>
      <c r="N179" s="2">
        <f t="shared" si="52"/>
        <v>4.4432773606241691E-2</v>
      </c>
      <c r="O179" s="2">
        <v>0.38758400100000001</v>
      </c>
      <c r="P179" s="2">
        <f t="shared" si="53"/>
        <v>0.37028269935432107</v>
      </c>
      <c r="Q179" s="2">
        <v>0.1852</v>
      </c>
      <c r="R179" s="2">
        <f t="shared" si="54"/>
        <v>0.3769542559351477</v>
      </c>
      <c r="S179" s="2">
        <f t="shared" si="55"/>
        <v>2.993540521118291E-2</v>
      </c>
      <c r="T179" s="5">
        <f t="shared" si="69"/>
        <v>6.0399287443591854E-2</v>
      </c>
      <c r="U179" s="2" t="str">
        <f t="shared" si="56"/>
        <v>No Impact</v>
      </c>
      <c r="V179" s="2">
        <f t="shared" si="57"/>
        <v>3.020267752450019E-2</v>
      </c>
      <c r="W179" s="2">
        <f t="shared" si="58"/>
        <v>5.4406175096885612E-2</v>
      </c>
      <c r="X179" s="2" t="s">
        <v>1176</v>
      </c>
      <c r="Y179" s="2">
        <f t="shared" si="59"/>
        <v>2.9668132897865625E-2</v>
      </c>
      <c r="Z179" s="2">
        <f t="shared" si="60"/>
        <v>6.2950279960406627E-2</v>
      </c>
      <c r="AA179" s="2" t="str">
        <f t="shared" si="61"/>
        <v>No Impact</v>
      </c>
      <c r="AB179" s="2">
        <f t="shared" si="62"/>
        <v>2.0717406326298496E-2</v>
      </c>
      <c r="AC179" s="2">
        <f t="shared" si="63"/>
        <v>5.7586145955498658E-2</v>
      </c>
      <c r="AD179" s="2" t="str">
        <f t="shared" si="64"/>
        <v>No Impact</v>
      </c>
      <c r="AE179" s="2">
        <f t="shared" si="65"/>
        <v>3.5600837810392592E-3</v>
      </c>
      <c r="AF179" s="2">
        <f t="shared" si="66"/>
        <v>1.8340617028675107E-2</v>
      </c>
      <c r="AG179" s="2" t="s">
        <v>1176</v>
      </c>
    </row>
    <row r="180" spans="1:33" x14ac:dyDescent="0.3">
      <c r="A180">
        <v>302638</v>
      </c>
      <c r="B180" t="s">
        <v>372</v>
      </c>
      <c r="C180" t="s">
        <v>330</v>
      </c>
      <c r="D180" t="s">
        <v>373</v>
      </c>
      <c r="E180" s="18">
        <v>5.6</v>
      </c>
      <c r="F180" s="19">
        <f t="shared" si="48"/>
        <v>0.53333333333333321</v>
      </c>
      <c r="G180" s="2">
        <v>59.553280800000003</v>
      </c>
      <c r="H180" s="2">
        <f t="shared" si="49"/>
        <v>0.26949669345279048</v>
      </c>
      <c r="I180" s="2">
        <v>29.3</v>
      </c>
      <c r="J180" s="4">
        <f t="shared" si="50"/>
        <v>0.14216399805919458</v>
      </c>
      <c r="K180" s="2">
        <v>0</v>
      </c>
      <c r="L180" s="4">
        <f t="shared" si="51"/>
        <v>0</v>
      </c>
      <c r="M180" s="2">
        <v>88374</v>
      </c>
      <c r="N180" s="2">
        <f t="shared" si="52"/>
        <v>0.41700378040529351</v>
      </c>
      <c r="O180" s="2">
        <v>0.74142641899999995</v>
      </c>
      <c r="P180" s="2">
        <f t="shared" si="53"/>
        <v>0.77903796994685537</v>
      </c>
      <c r="Q180" s="2">
        <v>0.219</v>
      </c>
      <c r="R180" s="2">
        <f t="shared" si="54"/>
        <v>0.47481181239143028</v>
      </c>
      <c r="S180" s="2">
        <f t="shared" si="55"/>
        <v>4.8174995721956181E-2</v>
      </c>
      <c r="T180" s="5">
        <f t="shared" si="69"/>
        <v>9.7200468598208759E-2</v>
      </c>
      <c r="U180" s="2" t="str">
        <f t="shared" si="56"/>
        <v>No Impact</v>
      </c>
      <c r="V180" s="2">
        <f t="shared" si="57"/>
        <v>3.6486120351728143E-2</v>
      </c>
      <c r="W180" s="2">
        <f t="shared" si="58"/>
        <v>6.5724975901619603E-2</v>
      </c>
      <c r="X180" s="2" t="s">
        <v>1176</v>
      </c>
      <c r="Y180" s="2">
        <f t="shared" si="59"/>
        <v>5.9863871092184211E-2</v>
      </c>
      <c r="Z180" s="2">
        <f t="shared" si="60"/>
        <v>0.12702004058495361</v>
      </c>
      <c r="AA180" s="2" t="str">
        <f t="shared" si="61"/>
        <v>No Impact</v>
      </c>
      <c r="AB180" s="2">
        <f t="shared" si="62"/>
        <v>4.194468900493744E-2</v>
      </c>
      <c r="AC180" s="2">
        <f t="shared" si="63"/>
        <v>0.11658954528638063</v>
      </c>
      <c r="AD180" s="2" t="str">
        <f t="shared" si="64"/>
        <v>No Impact</v>
      </c>
      <c r="AE180" s="2">
        <f t="shared" si="65"/>
        <v>3.2043958726220942E-2</v>
      </c>
      <c r="AF180" s="2">
        <f t="shared" si="66"/>
        <v>0.16508206301502465</v>
      </c>
      <c r="AG180" s="2" t="s">
        <v>1175</v>
      </c>
    </row>
    <row r="181" spans="1:33" x14ac:dyDescent="0.3">
      <c r="A181">
        <v>302640</v>
      </c>
      <c r="B181" t="s">
        <v>374</v>
      </c>
      <c r="C181" t="s">
        <v>330</v>
      </c>
      <c r="D181" t="s">
        <v>1129</v>
      </c>
      <c r="E181" s="18">
        <v>5.7</v>
      </c>
      <c r="F181" s="19">
        <f t="shared" si="48"/>
        <v>0.55555555555555558</v>
      </c>
      <c r="G181" s="2">
        <v>58.959140400000003</v>
      </c>
      <c r="H181" s="2">
        <f t="shared" si="49"/>
        <v>0.26375229491052049</v>
      </c>
      <c r="I181" s="2">
        <v>27.3</v>
      </c>
      <c r="J181" s="4">
        <f t="shared" si="50"/>
        <v>0.1324599708879185</v>
      </c>
      <c r="K181" s="2">
        <v>0</v>
      </c>
      <c r="L181" s="4">
        <f t="shared" si="51"/>
        <v>0</v>
      </c>
      <c r="M181" s="2">
        <v>383</v>
      </c>
      <c r="N181" s="2">
        <f t="shared" si="52"/>
        <v>6.8132460859320662E-4</v>
      </c>
      <c r="O181" s="2">
        <v>0.43836721899999997</v>
      </c>
      <c r="P181" s="2">
        <f t="shared" si="53"/>
        <v>0.42894697180779962</v>
      </c>
      <c r="Q181" s="2">
        <v>0.2596</v>
      </c>
      <c r="R181" s="2">
        <f t="shared" si="54"/>
        <v>0.59235668789808926</v>
      </c>
      <c r="S181" s="2">
        <f t="shared" si="55"/>
        <v>3.9341267493918843E-2</v>
      </c>
      <c r="T181" s="5">
        <f t="shared" si="69"/>
        <v>7.9377062277839958E-2</v>
      </c>
      <c r="U181" s="2" t="str">
        <f t="shared" si="56"/>
        <v>No Impact</v>
      </c>
      <c r="V181" s="2">
        <f t="shared" si="57"/>
        <v>4.5635913841964582E-2</v>
      </c>
      <c r="W181" s="2">
        <f t="shared" si="58"/>
        <v>8.220713270133817E-2</v>
      </c>
      <c r="X181" s="2" t="s">
        <v>1176</v>
      </c>
      <c r="Y181" s="2">
        <f t="shared" si="59"/>
        <v>3.304662114587311E-2</v>
      </c>
      <c r="Z181" s="2">
        <f t="shared" si="60"/>
        <v>7.0118805926876027E-2</v>
      </c>
      <c r="AA181" s="2" t="str">
        <f t="shared" si="61"/>
        <v>No Impact</v>
      </c>
      <c r="AB181" s="2">
        <f t="shared" si="62"/>
        <v>2.5904927728975687E-2</v>
      </c>
      <c r="AC181" s="2">
        <f t="shared" si="63"/>
        <v>7.2005391296197374E-2</v>
      </c>
      <c r="AD181" s="2" t="str">
        <f t="shared" si="64"/>
        <v>No Impact</v>
      </c>
      <c r="AE181" s="2">
        <f t="shared" si="65"/>
        <v>5.2490115789017853E-5</v>
      </c>
      <c r="AF181" s="2">
        <f t="shared" si="66"/>
        <v>2.7041529657376699E-4</v>
      </c>
      <c r="AG181" s="2" t="s">
        <v>1176</v>
      </c>
    </row>
    <row r="182" spans="1:33" x14ac:dyDescent="0.3">
      <c r="A182">
        <v>302642</v>
      </c>
      <c r="B182" t="s">
        <v>375</v>
      </c>
      <c r="C182" t="s">
        <v>330</v>
      </c>
      <c r="D182" t="s">
        <v>376</v>
      </c>
      <c r="E182" s="18">
        <v>5.8</v>
      </c>
      <c r="F182" s="19">
        <f t="shared" si="48"/>
        <v>0.57777777777777772</v>
      </c>
      <c r="G182" s="2">
        <v>59.553280800000003</v>
      </c>
      <c r="H182" s="2">
        <f t="shared" si="49"/>
        <v>0.26949669345279048</v>
      </c>
      <c r="I182" s="2">
        <v>29.6</v>
      </c>
      <c r="J182" s="4">
        <f t="shared" si="50"/>
        <v>0.14361960213488598</v>
      </c>
      <c r="K182" s="2">
        <v>0</v>
      </c>
      <c r="L182" s="4">
        <f t="shared" si="51"/>
        <v>0</v>
      </c>
      <c r="M182" s="2">
        <v>3930</v>
      </c>
      <c r="N182" s="2">
        <f t="shared" si="52"/>
        <v>1.7463674516093926E-2</v>
      </c>
      <c r="O182" s="2">
        <v>0.39637735600000001</v>
      </c>
      <c r="P182" s="2">
        <f t="shared" si="53"/>
        <v>0.38044069630323746</v>
      </c>
      <c r="Q182" s="2">
        <v>5.7500000000000002E-2</v>
      </c>
      <c r="R182" s="2">
        <f t="shared" si="54"/>
        <v>7.2379849449913216E-3</v>
      </c>
      <c r="S182" s="2">
        <f t="shared" si="55"/>
        <v>1.6193589601642369E-2</v>
      </c>
      <c r="T182" s="5">
        <f t="shared" si="69"/>
        <v>3.2673059415537081E-2</v>
      </c>
      <c r="U182" s="2" t="str">
        <f t="shared" si="56"/>
        <v>No Impact</v>
      </c>
      <c r="V182" s="2">
        <f t="shared" si="57"/>
        <v>6.0467063788326885E-4</v>
      </c>
      <c r="W182" s="2">
        <f t="shared" si="58"/>
        <v>1.0892351042034658E-3</v>
      </c>
      <c r="X182" s="2" t="s">
        <v>1176</v>
      </c>
      <c r="Y182" s="2">
        <f t="shared" si="59"/>
        <v>3.178250856540147E-2</v>
      </c>
      <c r="Z182" s="2">
        <f t="shared" si="60"/>
        <v>6.7436593294348465E-2</v>
      </c>
      <c r="AA182" s="2" t="str">
        <f t="shared" si="61"/>
        <v>No Impact</v>
      </c>
      <c r="AB182" s="2">
        <f t="shared" si="62"/>
        <v>1.0257015589482893E-2</v>
      </c>
      <c r="AC182" s="2">
        <f t="shared" si="63"/>
        <v>2.8510421985304488E-2</v>
      </c>
      <c r="AD182" s="2" t="str">
        <f t="shared" si="64"/>
        <v>No Impact</v>
      </c>
      <c r="AE182" s="2">
        <f t="shared" si="65"/>
        <v>1.4589379902951653E-3</v>
      </c>
      <c r="AF182" s="2">
        <f t="shared" si="66"/>
        <v>7.5160655182045771E-3</v>
      </c>
      <c r="AG182" s="2" t="s">
        <v>1176</v>
      </c>
    </row>
    <row r="183" spans="1:33" x14ac:dyDescent="0.3">
      <c r="A183">
        <v>302648</v>
      </c>
      <c r="B183" t="s">
        <v>377</v>
      </c>
      <c r="C183" t="s">
        <v>330</v>
      </c>
      <c r="D183" t="s">
        <v>1136</v>
      </c>
      <c r="E183" s="18">
        <v>5.7</v>
      </c>
      <c r="F183" s="19">
        <f t="shared" si="48"/>
        <v>0.55555555555555558</v>
      </c>
      <c r="G183" s="2">
        <v>59.553280800000003</v>
      </c>
      <c r="H183" s="2">
        <f t="shared" si="49"/>
        <v>0.26949669345279048</v>
      </c>
      <c r="I183" s="2">
        <v>29.6</v>
      </c>
      <c r="J183" s="4">
        <f t="shared" si="50"/>
        <v>0.14361960213488598</v>
      </c>
      <c r="K183" s="2">
        <v>0</v>
      </c>
      <c r="L183" s="4">
        <f t="shared" si="51"/>
        <v>0</v>
      </c>
      <c r="M183" s="2">
        <v>5661</v>
      </c>
      <c r="N183" s="2">
        <f t="shared" si="52"/>
        <v>2.5653764081891434E-2</v>
      </c>
      <c r="O183" s="2">
        <v>0.93270404799999995</v>
      </c>
      <c r="P183" s="2">
        <f t="shared" si="53"/>
        <v>1</v>
      </c>
      <c r="Q183" s="2">
        <v>0.21249999999999999</v>
      </c>
      <c r="R183" s="2">
        <f t="shared" si="54"/>
        <v>0.45599305153445285</v>
      </c>
      <c r="S183" s="2">
        <f t="shared" si="55"/>
        <v>5.84786276522107E-2</v>
      </c>
      <c r="T183" s="5">
        <f t="shared" si="69"/>
        <v>0.11798963187420579</v>
      </c>
      <c r="U183" s="2" t="str">
        <f t="shared" si="56"/>
        <v>No Impact</v>
      </c>
      <c r="V183" s="2">
        <f t="shared" si="57"/>
        <v>3.6629086717928756E-2</v>
      </c>
      <c r="W183" s="2">
        <f t="shared" si="58"/>
        <v>6.5982511120017587E-2</v>
      </c>
      <c r="X183" s="2" t="s">
        <v>1176</v>
      </c>
      <c r="Y183" s="2">
        <f t="shared" si="59"/>
        <v>8.0328168586492638E-2</v>
      </c>
      <c r="Z183" s="2">
        <f t="shared" si="60"/>
        <v>0.17044148745842508</v>
      </c>
      <c r="AA183" s="2" t="str">
        <f t="shared" si="61"/>
        <v>Low</v>
      </c>
      <c r="AB183" s="2">
        <f t="shared" si="62"/>
        <v>3.7639882887339757E-2</v>
      </c>
      <c r="AC183" s="2">
        <f t="shared" si="63"/>
        <v>0.1046238971983077</v>
      </c>
      <c r="AD183" s="2" t="str">
        <f t="shared" si="64"/>
        <v>No Impact</v>
      </c>
      <c r="AE183" s="2">
        <f t="shared" si="65"/>
        <v>2.0607198860482846E-3</v>
      </c>
      <c r="AF183" s="2">
        <f t="shared" si="66"/>
        <v>1.0616287862291129E-2</v>
      </c>
      <c r="AG183" s="2" t="s">
        <v>1176</v>
      </c>
    </row>
    <row r="184" spans="1:33" x14ac:dyDescent="0.3">
      <c r="A184">
        <v>302650</v>
      </c>
      <c r="B184" t="s">
        <v>378</v>
      </c>
      <c r="C184" t="s">
        <v>330</v>
      </c>
      <c r="D184" t="s">
        <v>1137</v>
      </c>
      <c r="E184" s="18">
        <v>5.8</v>
      </c>
      <c r="F184" s="19">
        <f t="shared" si="48"/>
        <v>0.57777777777777772</v>
      </c>
      <c r="G184" s="2">
        <v>59.553280800000003</v>
      </c>
      <c r="H184" s="2">
        <f t="shared" si="49"/>
        <v>0.26949669345279048</v>
      </c>
      <c r="I184" s="2">
        <v>29.6</v>
      </c>
      <c r="J184" s="4">
        <f t="shared" si="50"/>
        <v>0.14361960213488598</v>
      </c>
      <c r="K184" s="2">
        <v>0</v>
      </c>
      <c r="L184" s="4">
        <f t="shared" si="51"/>
        <v>0</v>
      </c>
      <c r="M184" s="2">
        <v>4452</v>
      </c>
      <c r="N184" s="2">
        <f t="shared" si="52"/>
        <v>1.9933476222244301E-2</v>
      </c>
      <c r="O184" s="2">
        <v>0.64759064799999999</v>
      </c>
      <c r="P184" s="2">
        <f t="shared" si="53"/>
        <v>0.6706398129843284</v>
      </c>
      <c r="Q184" s="2">
        <v>9.2299999999999993E-2</v>
      </c>
      <c r="R184" s="2">
        <f t="shared" si="54"/>
        <v>0.1079907353792704</v>
      </c>
      <c r="S184" s="2">
        <f t="shared" si="55"/>
        <v>3.2523902296883074E-2</v>
      </c>
      <c r="T184" s="5">
        <f t="shared" si="69"/>
        <v>6.5621978715788135E-2</v>
      </c>
      <c r="U184" s="2" t="str">
        <f t="shared" si="56"/>
        <v>No Impact</v>
      </c>
      <c r="V184" s="2">
        <f t="shared" si="57"/>
        <v>9.0216859172183618E-3</v>
      </c>
      <c r="W184" s="2">
        <f t="shared" si="58"/>
        <v>1.6251387754715692E-2</v>
      </c>
      <c r="X184" s="2" t="s">
        <v>1176</v>
      </c>
      <c r="Y184" s="2">
        <f t="shared" si="59"/>
        <v>5.602611867654779E-2</v>
      </c>
      <c r="Z184" s="2">
        <f t="shared" si="60"/>
        <v>0.11887704116484452</v>
      </c>
      <c r="AA184" s="2" t="str">
        <f t="shared" si="61"/>
        <v>No Impact</v>
      </c>
      <c r="AB184" s="2">
        <f t="shared" si="62"/>
        <v>2.0548269622403043E-2</v>
      </c>
      <c r="AC184" s="2">
        <f t="shared" si="63"/>
        <v>5.7116013219597653E-2</v>
      </c>
      <c r="AD184" s="2" t="str">
        <f t="shared" si="64"/>
        <v>No Impact</v>
      </c>
      <c r="AE184" s="2">
        <f t="shared" si="65"/>
        <v>1.6652684240350938E-3</v>
      </c>
      <c r="AF184" s="2">
        <f t="shared" si="66"/>
        <v>8.5790257459213981E-3</v>
      </c>
      <c r="AG184" s="2" t="s">
        <v>1176</v>
      </c>
    </row>
    <row r="185" spans="1:33" x14ac:dyDescent="0.3">
      <c r="A185">
        <v>302654</v>
      </c>
      <c r="B185" t="s">
        <v>379</v>
      </c>
      <c r="C185" t="s">
        <v>330</v>
      </c>
      <c r="D185" t="s">
        <v>380</v>
      </c>
      <c r="E185" s="18">
        <v>5.8</v>
      </c>
      <c r="F185" s="19">
        <f t="shared" si="48"/>
        <v>0.57777777777777772</v>
      </c>
      <c r="G185" s="2">
        <v>58.959140400000003</v>
      </c>
      <c r="H185" s="2">
        <f t="shared" si="49"/>
        <v>0.26375229491052049</v>
      </c>
      <c r="I185" s="2">
        <v>27.3</v>
      </c>
      <c r="J185" s="4">
        <f t="shared" si="50"/>
        <v>0.1324599708879185</v>
      </c>
      <c r="K185" s="2">
        <v>0</v>
      </c>
      <c r="L185" s="4">
        <f t="shared" si="51"/>
        <v>0</v>
      </c>
      <c r="M185" s="2">
        <v>2689</v>
      </c>
      <c r="N185" s="2">
        <f t="shared" si="52"/>
        <v>1.1591981187870529E-2</v>
      </c>
      <c r="O185" s="2">
        <v>0.91085916499999997</v>
      </c>
      <c r="P185" s="2">
        <f t="shared" si="53"/>
        <v>0.97476500665975196</v>
      </c>
      <c r="Q185" s="2">
        <v>0.06</v>
      </c>
      <c r="R185" s="2">
        <f t="shared" si="54"/>
        <v>1.4475969889982622E-2</v>
      </c>
      <c r="S185" s="2">
        <f t="shared" si="55"/>
        <v>3.963044021698689E-2</v>
      </c>
      <c r="T185" s="5">
        <f t="shared" si="69"/>
        <v>7.9960512753897275E-2</v>
      </c>
      <c r="U185" s="2" t="str">
        <f t="shared" si="56"/>
        <v>No Impact</v>
      </c>
      <c r="V185" s="2">
        <f t="shared" si="57"/>
        <v>1.1598570477918653E-3</v>
      </c>
      <c r="W185" s="2">
        <f t="shared" si="58"/>
        <v>2.0893308408942235E-3</v>
      </c>
      <c r="X185" s="2" t="s">
        <v>1176</v>
      </c>
      <c r="Y185" s="2">
        <f t="shared" si="59"/>
        <v>7.8101023386181911E-2</v>
      </c>
      <c r="Z185" s="2">
        <f t="shared" si="60"/>
        <v>0.16571589807419651</v>
      </c>
      <c r="AA185" s="2" t="str">
        <f t="shared" si="61"/>
        <v>Low</v>
      </c>
      <c r="AB185" s="2">
        <f t="shared" si="62"/>
        <v>2.4161331185780652E-2</v>
      </c>
      <c r="AC185" s="2">
        <f t="shared" si="63"/>
        <v>6.7158886697961231E-2</v>
      </c>
      <c r="AD185" s="2" t="str">
        <f t="shared" si="64"/>
        <v>No Impact</v>
      </c>
      <c r="AE185" s="2">
        <f t="shared" si="65"/>
        <v>9.2878343771123258E-4</v>
      </c>
      <c r="AF185" s="2">
        <f t="shared" si="66"/>
        <v>4.7848484421524886E-3</v>
      </c>
      <c r="AG185" s="2" t="s">
        <v>1176</v>
      </c>
    </row>
    <row r="186" spans="1:33" x14ac:dyDescent="0.3">
      <c r="A186">
        <v>302662</v>
      </c>
      <c r="B186" t="s">
        <v>381</v>
      </c>
      <c r="C186" t="s">
        <v>330</v>
      </c>
      <c r="D186" t="s">
        <v>382</v>
      </c>
      <c r="E186" s="18">
        <v>5.6</v>
      </c>
      <c r="F186" s="19">
        <f t="shared" si="48"/>
        <v>0.53333333333333321</v>
      </c>
      <c r="G186" s="2">
        <v>68.705769599999996</v>
      </c>
      <c r="H186" s="2">
        <f t="shared" si="49"/>
        <v>0.35798679330269517</v>
      </c>
      <c r="I186" s="2">
        <v>40.9</v>
      </c>
      <c r="J186" s="4">
        <f t="shared" si="50"/>
        <v>0.19844735565259583</v>
      </c>
      <c r="K186" s="2">
        <v>0</v>
      </c>
      <c r="L186" s="4">
        <f t="shared" si="51"/>
        <v>0</v>
      </c>
      <c r="M186" s="2">
        <v>31650</v>
      </c>
      <c r="N186" s="2">
        <f t="shared" si="52"/>
        <v>0.1486186616702862</v>
      </c>
      <c r="O186" s="2">
        <v>0.73357502799999996</v>
      </c>
      <c r="P186" s="2">
        <f t="shared" si="53"/>
        <v>0.76996812051819585</v>
      </c>
      <c r="Q186" s="2">
        <v>0.248</v>
      </c>
      <c r="R186" s="2">
        <f t="shared" si="54"/>
        <v>0.55877243775332952</v>
      </c>
      <c r="S186" s="2">
        <f t="shared" si="55"/>
        <v>6.9006618027591463E-2</v>
      </c>
      <c r="T186" s="5">
        <f t="shared" si="69"/>
        <v>0.13923147284479154</v>
      </c>
      <c r="U186" s="2" t="str">
        <f t="shared" si="56"/>
        <v>No Impact</v>
      </c>
      <c r="V186" s="2">
        <f t="shared" si="57"/>
        <v>5.8038412294043475E-2</v>
      </c>
      <c r="W186" s="2">
        <f t="shared" si="58"/>
        <v>0.10454861225643014</v>
      </c>
      <c r="X186" s="2" t="s">
        <v>1176</v>
      </c>
      <c r="Y186" s="2">
        <f t="shared" si="59"/>
        <v>7.9974823761139471E-2</v>
      </c>
      <c r="Z186" s="2">
        <f t="shared" si="60"/>
        <v>0.16969175522029886</v>
      </c>
      <c r="AA186" s="2" t="str">
        <f t="shared" si="61"/>
        <v>Low</v>
      </c>
      <c r="AB186" s="2">
        <f t="shared" si="62"/>
        <v>4.9708729334915221E-2</v>
      </c>
      <c r="AC186" s="2">
        <f t="shared" si="63"/>
        <v>0.13817048802625112</v>
      </c>
      <c r="AD186" s="2" t="str">
        <f t="shared" si="64"/>
        <v>No Impact</v>
      </c>
      <c r="AE186" s="2">
        <f t="shared" si="65"/>
        <v>1.5436679724737605E-2</v>
      </c>
      <c r="AF186" s="2">
        <f t="shared" si="66"/>
        <v>7.9525721426443083E-2</v>
      </c>
      <c r="AG186" s="2" t="s">
        <v>1175</v>
      </c>
    </row>
    <row r="187" spans="1:33" x14ac:dyDescent="0.3">
      <c r="A187">
        <v>302663</v>
      </c>
      <c r="B187" t="s">
        <v>383</v>
      </c>
      <c r="C187" t="s">
        <v>330</v>
      </c>
      <c r="D187" t="s">
        <v>384</v>
      </c>
      <c r="E187" s="18">
        <v>5.8</v>
      </c>
      <c r="F187" s="19">
        <f t="shared" si="48"/>
        <v>0.57777777777777772</v>
      </c>
      <c r="G187" s="2">
        <v>59.553280800000003</v>
      </c>
      <c r="H187" s="2">
        <f t="shared" si="49"/>
        <v>0.26949669345279048</v>
      </c>
      <c r="I187" s="2">
        <v>29.6</v>
      </c>
      <c r="J187" s="4">
        <f t="shared" si="50"/>
        <v>0.14361960213488598</v>
      </c>
      <c r="K187" s="2">
        <v>0</v>
      </c>
      <c r="L187" s="4">
        <f t="shared" si="51"/>
        <v>0</v>
      </c>
      <c r="M187" s="2">
        <v>580</v>
      </c>
      <c r="N187" s="2">
        <f t="shared" si="52"/>
        <v>1.6134145245158573E-3</v>
      </c>
      <c r="O187" s="2">
        <v>0.67860092000000005</v>
      </c>
      <c r="P187" s="2">
        <f t="shared" si="53"/>
        <v>0.70646257328015061</v>
      </c>
      <c r="Q187" s="2">
        <v>0.06</v>
      </c>
      <c r="R187" s="2">
        <f t="shared" si="54"/>
        <v>1.4475969889982622E-2</v>
      </c>
      <c r="S187" s="2">
        <f t="shared" si="55"/>
        <v>3.0114069874860851E-2</v>
      </c>
      <c r="T187" s="5">
        <f t="shared" si="69"/>
        <v>6.0759770901269099E-2</v>
      </c>
      <c r="U187" s="2" t="str">
        <f t="shared" si="56"/>
        <v>No Impact</v>
      </c>
      <c r="V187" s="2">
        <f t="shared" si="57"/>
        <v>1.209341275766536E-3</v>
      </c>
      <c r="W187" s="2">
        <f t="shared" si="58"/>
        <v>2.1784702084069285E-3</v>
      </c>
      <c r="X187" s="2" t="s">
        <v>1176</v>
      </c>
      <c r="Y187" s="2">
        <f t="shared" si="59"/>
        <v>5.9018798473955157E-2</v>
      </c>
      <c r="Z187" s="2">
        <f t="shared" si="60"/>
        <v>0.12522695309651852</v>
      </c>
      <c r="AA187" s="2" t="str">
        <f t="shared" si="61"/>
        <v>No Impact</v>
      </c>
      <c r="AB187" s="2">
        <f t="shared" si="62"/>
        <v>1.817608434745361E-2</v>
      </c>
      <c r="AC187" s="2">
        <f t="shared" si="63"/>
        <v>5.0522282067869573E-2</v>
      </c>
      <c r="AD187" s="2" t="str">
        <f t="shared" si="64"/>
        <v>No Impact</v>
      </c>
      <c r="AE187" s="2">
        <f t="shared" si="65"/>
        <v>1.3478673928221386E-4</v>
      </c>
      <c r="AF187" s="2">
        <f t="shared" si="66"/>
        <v>6.9438589588397741E-4</v>
      </c>
      <c r="AG187" s="2" t="s">
        <v>1176</v>
      </c>
    </row>
    <row r="188" spans="1:33" x14ac:dyDescent="0.3">
      <c r="A188">
        <v>302664</v>
      </c>
      <c r="B188" t="s">
        <v>385</v>
      </c>
      <c r="C188" t="s">
        <v>330</v>
      </c>
      <c r="D188" t="s">
        <v>386</v>
      </c>
      <c r="E188" s="18">
        <v>5.4</v>
      </c>
      <c r="F188" s="19">
        <f t="shared" si="48"/>
        <v>0.48888888888888893</v>
      </c>
      <c r="G188" s="2">
        <v>59.553280800000003</v>
      </c>
      <c r="H188" s="2">
        <f t="shared" si="49"/>
        <v>0.26949669345279048</v>
      </c>
      <c r="I188" s="2">
        <v>29.6</v>
      </c>
      <c r="J188" s="4">
        <f t="shared" si="50"/>
        <v>0.14361960213488598</v>
      </c>
      <c r="K188" s="2">
        <v>0</v>
      </c>
      <c r="L188" s="4">
        <f t="shared" si="51"/>
        <v>0</v>
      </c>
      <c r="M188" s="2">
        <v>9521</v>
      </c>
      <c r="N188" s="2">
        <f t="shared" si="52"/>
        <v>4.3917048728903778E-2</v>
      </c>
      <c r="O188" s="2">
        <v>0.50863918500000005</v>
      </c>
      <c r="P188" s="2">
        <f t="shared" si="53"/>
        <v>0.51012445369296855</v>
      </c>
      <c r="Q188" s="2">
        <v>0.1464</v>
      </c>
      <c r="R188" s="2">
        <f t="shared" si="54"/>
        <v>0.2646207295888825</v>
      </c>
      <c r="S188" s="2">
        <f t="shared" si="55"/>
        <v>2.7382899145464577E-2</v>
      </c>
      <c r="T188" s="5">
        <f t="shared" si="69"/>
        <v>5.5249213593673144E-2</v>
      </c>
      <c r="U188" s="2" t="str">
        <f t="shared" si="56"/>
        <v>No Impact</v>
      </c>
      <c r="V188" s="2">
        <f t="shared" si="57"/>
        <v>1.8705718748548861E-2</v>
      </c>
      <c r="W188" s="2">
        <f t="shared" si="58"/>
        <v>3.3695906885112724E-2</v>
      </c>
      <c r="X188" s="2" t="s">
        <v>1176</v>
      </c>
      <c r="Y188" s="2">
        <f t="shared" si="59"/>
        <v>3.6060079542380288E-2</v>
      </c>
      <c r="Z188" s="2">
        <f t="shared" si="60"/>
        <v>7.6512806195184524E-2</v>
      </c>
      <c r="AA188" s="2" t="str">
        <f t="shared" si="61"/>
        <v>No Impact</v>
      </c>
      <c r="AB188" s="2">
        <f t="shared" si="62"/>
        <v>1.8451580461694098E-2</v>
      </c>
      <c r="AC188" s="2">
        <f t="shared" si="63"/>
        <v>5.1288051643218729E-2</v>
      </c>
      <c r="AD188" s="2" t="str">
        <f t="shared" si="64"/>
        <v>No Impact</v>
      </c>
      <c r="AE188" s="2">
        <f t="shared" si="65"/>
        <v>3.104442962822604E-3</v>
      </c>
      <c r="AF188" s="2">
        <f t="shared" si="66"/>
        <v>1.599327515036E-2</v>
      </c>
      <c r="AG188" s="2" t="s">
        <v>1176</v>
      </c>
    </row>
    <row r="189" spans="1:33" x14ac:dyDescent="0.3">
      <c r="A189">
        <v>302665</v>
      </c>
      <c r="B189" t="s">
        <v>387</v>
      </c>
      <c r="C189" t="s">
        <v>330</v>
      </c>
      <c r="D189" t="s">
        <v>388</v>
      </c>
      <c r="E189" s="18">
        <v>5.7</v>
      </c>
      <c r="F189" s="19">
        <f t="shared" si="48"/>
        <v>0.55555555555555558</v>
      </c>
      <c r="G189" s="2">
        <v>58.959140400000003</v>
      </c>
      <c r="H189" s="2">
        <f t="shared" si="49"/>
        <v>0.26375229491052049</v>
      </c>
      <c r="I189" s="2">
        <v>27.3</v>
      </c>
      <c r="J189" s="4">
        <f t="shared" si="50"/>
        <v>0.1324599708879185</v>
      </c>
      <c r="K189" s="2">
        <v>0</v>
      </c>
      <c r="L189" s="4">
        <f t="shared" si="51"/>
        <v>0</v>
      </c>
      <c r="M189" s="2">
        <v>723</v>
      </c>
      <c r="N189" s="2">
        <f t="shared" si="52"/>
        <v>2.2900077122160558E-3</v>
      </c>
      <c r="O189" s="2">
        <v>0.36898089000000001</v>
      </c>
      <c r="P189" s="2">
        <f t="shared" si="53"/>
        <v>0.34879256904815759</v>
      </c>
      <c r="Q189" s="2">
        <v>0.06</v>
      </c>
      <c r="R189" s="2">
        <f t="shared" si="54"/>
        <v>1.4475969889982622E-2</v>
      </c>
      <c r="S189" s="2">
        <f t="shared" si="55"/>
        <v>1.3993335504746985E-2</v>
      </c>
      <c r="T189" s="5">
        <f t="shared" si="69"/>
        <v>2.8233708128664235E-2</v>
      </c>
      <c r="U189" s="2" t="str">
        <f t="shared" si="56"/>
        <v>No Impact</v>
      </c>
      <c r="V189" s="2">
        <f t="shared" si="57"/>
        <v>1.1152471613383322E-3</v>
      </c>
      <c r="W189" s="2">
        <f t="shared" si="58"/>
        <v>2.0089719623982922E-3</v>
      </c>
      <c r="X189" s="2" t="s">
        <v>1176</v>
      </c>
      <c r="Y189" s="2">
        <f t="shared" si="59"/>
        <v>2.6871423848155638E-2</v>
      </c>
      <c r="Z189" s="2">
        <f t="shared" si="60"/>
        <v>5.7016181638374637E-2</v>
      </c>
      <c r="AA189" s="2" t="str">
        <f t="shared" si="61"/>
        <v>No Impact</v>
      </c>
      <c r="AB189" s="2">
        <f t="shared" si="62"/>
        <v>8.5135124499057992E-3</v>
      </c>
      <c r="AC189" s="2">
        <f t="shared" si="63"/>
        <v>2.3664177011960132E-2</v>
      </c>
      <c r="AD189" s="2" t="str">
        <f t="shared" si="64"/>
        <v>No Impact</v>
      </c>
      <c r="AE189" s="2">
        <f t="shared" si="65"/>
        <v>1.7642511140197669E-4</v>
      </c>
      <c r="AF189" s="2">
        <f t="shared" si="66"/>
        <v>9.0889585792849469E-4</v>
      </c>
      <c r="AG189" s="2" t="s">
        <v>1176</v>
      </c>
    </row>
    <row r="190" spans="1:33" x14ac:dyDescent="0.3">
      <c r="A190">
        <v>302666</v>
      </c>
      <c r="B190" t="s">
        <v>389</v>
      </c>
      <c r="C190" t="s">
        <v>330</v>
      </c>
      <c r="D190" t="s">
        <v>390</v>
      </c>
      <c r="E190" s="18">
        <v>5.7</v>
      </c>
      <c r="F190" s="19">
        <f t="shared" si="48"/>
        <v>0.55555555555555558</v>
      </c>
      <c r="G190" s="2">
        <v>58.959140400000003</v>
      </c>
      <c r="H190" s="2">
        <f t="shared" si="49"/>
        <v>0.26375229491052049</v>
      </c>
      <c r="I190" s="2">
        <v>27.3</v>
      </c>
      <c r="J190" s="4">
        <f t="shared" si="50"/>
        <v>0.1324599708879185</v>
      </c>
      <c r="K190" s="2">
        <v>0</v>
      </c>
      <c r="L190" s="4">
        <f t="shared" si="51"/>
        <v>0</v>
      </c>
      <c r="M190" s="2">
        <v>2576</v>
      </c>
      <c r="N190" s="2">
        <f t="shared" si="52"/>
        <v>1.1057330626960583E-2</v>
      </c>
      <c r="O190" s="2">
        <v>0.65787553700000001</v>
      </c>
      <c r="P190" s="2">
        <f t="shared" si="53"/>
        <v>0.68252081529595399</v>
      </c>
      <c r="Q190" s="2">
        <v>0.06</v>
      </c>
      <c r="R190" s="2">
        <f t="shared" si="54"/>
        <v>1.4475969889982622E-2</v>
      </c>
      <c r="S190" s="2">
        <f t="shared" si="55"/>
        <v>2.6848760119294927E-2</v>
      </c>
      <c r="T190" s="5">
        <f t="shared" si="69"/>
        <v>5.4171505897756975E-2</v>
      </c>
      <c r="U190" s="2" t="str">
        <f t="shared" si="56"/>
        <v>No Impact</v>
      </c>
      <c r="V190" s="2">
        <f t="shared" si="57"/>
        <v>1.1152471613383322E-3</v>
      </c>
      <c r="W190" s="2">
        <f t="shared" si="58"/>
        <v>2.0089719623982922E-3</v>
      </c>
      <c r="X190" s="2" t="s">
        <v>1176</v>
      </c>
      <c r="Y190" s="2">
        <f t="shared" si="59"/>
        <v>5.2582273077251517E-2</v>
      </c>
      <c r="Z190" s="2">
        <f t="shared" si="60"/>
        <v>0.11156983901085554</v>
      </c>
      <c r="AA190" s="2" t="str">
        <f t="shared" si="61"/>
        <v>No Impact</v>
      </c>
      <c r="AB190" s="2">
        <f t="shared" si="62"/>
        <v>1.6463173222766282E-2</v>
      </c>
      <c r="AC190" s="2">
        <f t="shared" si="63"/>
        <v>4.5761070723096695E-2</v>
      </c>
      <c r="AD190" s="2" t="str">
        <f t="shared" si="64"/>
        <v>No Impact</v>
      </c>
      <c r="AE190" s="2">
        <f t="shared" si="65"/>
        <v>8.5187083749260241E-4</v>
      </c>
      <c r="AF190" s="2">
        <f t="shared" si="66"/>
        <v>4.3886149173117612E-3</v>
      </c>
      <c r="AG190" s="2" t="s">
        <v>1176</v>
      </c>
    </row>
    <row r="191" spans="1:33" x14ac:dyDescent="0.3">
      <c r="A191">
        <v>302667</v>
      </c>
      <c r="B191" t="s">
        <v>391</v>
      </c>
      <c r="C191" t="s">
        <v>330</v>
      </c>
      <c r="D191" t="s">
        <v>392</v>
      </c>
      <c r="E191" s="18">
        <v>5.8</v>
      </c>
      <c r="F191" s="19">
        <f t="shared" si="48"/>
        <v>0.57777777777777772</v>
      </c>
      <c r="G191" s="2">
        <v>58.959140400000003</v>
      </c>
      <c r="H191" s="2">
        <f t="shared" si="49"/>
        <v>0.26375229491052049</v>
      </c>
      <c r="I191" s="2">
        <v>27.3</v>
      </c>
      <c r="J191" s="4">
        <f t="shared" si="50"/>
        <v>0.1324599708879185</v>
      </c>
      <c r="K191" s="2">
        <v>0</v>
      </c>
      <c r="L191" s="4">
        <f t="shared" si="51"/>
        <v>0</v>
      </c>
      <c r="M191" s="2">
        <v>3584</v>
      </c>
      <c r="N191" s="2">
        <f t="shared" si="52"/>
        <v>1.5826602887113028E-2</v>
      </c>
      <c r="O191" s="2">
        <v>0.569527652</v>
      </c>
      <c r="P191" s="2">
        <f t="shared" si="53"/>
        <v>0.5804622101022342</v>
      </c>
      <c r="Q191" s="2">
        <v>0.06</v>
      </c>
      <c r="R191" s="2">
        <f t="shared" si="54"/>
        <v>1.4475969889982622E-2</v>
      </c>
      <c r="S191" s="2">
        <f t="shared" si="55"/>
        <v>2.3834093546365703E-2</v>
      </c>
      <c r="T191" s="5">
        <f t="shared" si="69"/>
        <v>4.8088952092307916E-2</v>
      </c>
      <c r="U191" s="2" t="str">
        <f t="shared" si="56"/>
        <v>No Impact</v>
      </c>
      <c r="V191" s="2">
        <f t="shared" si="57"/>
        <v>1.1598570477918653E-3</v>
      </c>
      <c r="W191" s="2">
        <f t="shared" si="58"/>
        <v>2.0893308408942235E-3</v>
      </c>
      <c r="X191" s="2" t="s">
        <v>1176</v>
      </c>
      <c r="Y191" s="2">
        <f t="shared" si="59"/>
        <v>4.6508330044939532E-2</v>
      </c>
      <c r="Z191" s="2">
        <f t="shared" si="60"/>
        <v>9.8682057509273155E-2</v>
      </c>
      <c r="AA191" s="2" t="str">
        <f t="shared" si="61"/>
        <v>No Impact</v>
      </c>
      <c r="AB191" s="2">
        <f t="shared" si="62"/>
        <v>1.4802274780086737E-2</v>
      </c>
      <c r="AC191" s="2">
        <f t="shared" si="63"/>
        <v>4.1144433938018338E-2</v>
      </c>
      <c r="AD191" s="2" t="str">
        <f t="shared" si="64"/>
        <v>No Impact</v>
      </c>
      <c r="AE191" s="2">
        <f t="shared" si="65"/>
        <v>1.2680737139363562E-3</v>
      </c>
      <c r="AF191" s="2">
        <f t="shared" si="66"/>
        <v>6.5327828730612535E-3</v>
      </c>
      <c r="AG191" s="2" t="s">
        <v>1176</v>
      </c>
    </row>
    <row r="192" spans="1:33" x14ac:dyDescent="0.3">
      <c r="A192">
        <v>302668</v>
      </c>
      <c r="B192" t="s">
        <v>393</v>
      </c>
      <c r="C192" t="s">
        <v>330</v>
      </c>
      <c r="D192" t="s">
        <v>394</v>
      </c>
      <c r="E192" s="18">
        <v>5.8</v>
      </c>
      <c r="F192" s="19">
        <f t="shared" si="48"/>
        <v>0.57777777777777772</v>
      </c>
      <c r="G192" s="2">
        <v>58.959140400000003</v>
      </c>
      <c r="H192" s="2">
        <f t="shared" si="49"/>
        <v>0.26375229491052049</v>
      </c>
      <c r="I192" s="2">
        <v>27.3</v>
      </c>
      <c r="J192" s="4">
        <f t="shared" si="50"/>
        <v>0.1324599708879185</v>
      </c>
      <c r="K192" s="2">
        <v>0</v>
      </c>
      <c r="L192" s="4">
        <f t="shared" si="51"/>
        <v>0</v>
      </c>
      <c r="M192" s="2">
        <v>8555</v>
      </c>
      <c r="N192" s="2">
        <f t="shared" si="52"/>
        <v>3.9346496146257681E-2</v>
      </c>
      <c r="O192" s="2">
        <v>0.83119712899999998</v>
      </c>
      <c r="P192" s="2">
        <f t="shared" si="53"/>
        <v>0.88274020854430335</v>
      </c>
      <c r="Q192" s="2">
        <v>0.1615</v>
      </c>
      <c r="R192" s="2">
        <f t="shared" si="54"/>
        <v>0.30833815865663006</v>
      </c>
      <c r="S192" s="2">
        <f t="shared" si="55"/>
        <v>4.7716341259676671E-2</v>
      </c>
      <c r="T192" s="5">
        <f t="shared" si="69"/>
        <v>9.6275062627951255E-2</v>
      </c>
      <c r="U192" s="2" t="str">
        <f t="shared" si="56"/>
        <v>No Impact</v>
      </c>
      <c r="V192" s="2">
        <f t="shared" si="57"/>
        <v>2.4704955117966748E-2</v>
      </c>
      <c r="W192" s="2">
        <f t="shared" si="58"/>
        <v>4.4502746911046991E-2</v>
      </c>
      <c r="X192" s="2" t="s">
        <v>1176</v>
      </c>
      <c r="Y192" s="2">
        <f t="shared" si="59"/>
        <v>7.0727727401386595E-2</v>
      </c>
      <c r="Z192" s="2">
        <f t="shared" si="60"/>
        <v>0.15007113040136466</v>
      </c>
      <c r="AA192" s="2" t="str">
        <f t="shared" si="61"/>
        <v>Low</v>
      </c>
      <c r="AB192" s="2">
        <f t="shared" si="62"/>
        <v>3.0968447235705285E-2</v>
      </c>
      <c r="AC192" s="2">
        <f t="shared" si="63"/>
        <v>8.6079960707567432E-2</v>
      </c>
      <c r="AD192" s="2" t="str">
        <f t="shared" si="64"/>
        <v>No Impact</v>
      </c>
      <c r="AE192" s="2">
        <f t="shared" si="65"/>
        <v>3.1525563542884119E-3</v>
      </c>
      <c r="AF192" s="2">
        <f t="shared" si="66"/>
        <v>1.6241142712220442E-2</v>
      </c>
      <c r="AG192" s="2" t="s">
        <v>1176</v>
      </c>
    </row>
    <row r="193" spans="1:33" x14ac:dyDescent="0.3">
      <c r="A193">
        <v>302672</v>
      </c>
      <c r="B193" t="s">
        <v>395</v>
      </c>
      <c r="C193" t="s">
        <v>330</v>
      </c>
      <c r="D193" t="s">
        <v>396</v>
      </c>
      <c r="E193" s="18">
        <v>5.7</v>
      </c>
      <c r="F193" s="19">
        <f t="shared" si="48"/>
        <v>0.55555555555555558</v>
      </c>
      <c r="G193" s="2">
        <v>59.553280800000003</v>
      </c>
      <c r="H193" s="2">
        <f t="shared" si="49"/>
        <v>0.26949669345279048</v>
      </c>
      <c r="I193" s="2">
        <v>28.8</v>
      </c>
      <c r="J193" s="4">
        <f t="shared" si="50"/>
        <v>0.13973799126637557</v>
      </c>
      <c r="K193" s="2">
        <v>0</v>
      </c>
      <c r="L193" s="4">
        <f t="shared" si="51"/>
        <v>0</v>
      </c>
      <c r="M193" s="2">
        <v>146872</v>
      </c>
      <c r="N193" s="2">
        <f t="shared" si="52"/>
        <v>0.69378243980449772</v>
      </c>
      <c r="O193" s="2">
        <v>0.67893549499999994</v>
      </c>
      <c r="P193" s="2">
        <f t="shared" si="53"/>
        <v>0.70684907101954386</v>
      </c>
      <c r="Q193" s="2">
        <v>0.21249999999999999</v>
      </c>
      <c r="R193" s="2">
        <f t="shared" si="54"/>
        <v>0.45599305153445285</v>
      </c>
      <c r="S193" s="2">
        <f t="shared" si="55"/>
        <v>4.6265657025150758E-2</v>
      </c>
      <c r="T193" s="5">
        <f t="shared" si="69"/>
        <v>9.3348083906504536E-2</v>
      </c>
      <c r="U193" s="2" t="str">
        <f t="shared" si="56"/>
        <v>No Impact</v>
      </c>
      <c r="V193" s="2">
        <f t="shared" si="57"/>
        <v>3.6284922465328495E-2</v>
      </c>
      <c r="W193" s="2">
        <f t="shared" si="58"/>
        <v>6.5362544212319781E-2</v>
      </c>
      <c r="X193" s="2" t="s">
        <v>1176</v>
      </c>
      <c r="Y193" s="2">
        <f t="shared" si="59"/>
        <v>5.6246391584973028E-2</v>
      </c>
      <c r="Z193" s="2">
        <f t="shared" si="60"/>
        <v>0.11934441945591517</v>
      </c>
      <c r="AA193" s="2" t="str">
        <f t="shared" si="61"/>
        <v>No Impact</v>
      </c>
      <c r="AB193" s="2">
        <f t="shared" si="62"/>
        <v>4.8895962647853106E-2</v>
      </c>
      <c r="AC193" s="2">
        <f t="shared" si="63"/>
        <v>0.13591132004297354</v>
      </c>
      <c r="AD193" s="2" t="str">
        <f t="shared" si="64"/>
        <v>No Impact</v>
      </c>
      <c r="AE193" s="2">
        <f t="shared" si="65"/>
        <v>5.5206635169989221E-2</v>
      </c>
      <c r="AF193" s="2">
        <f t="shared" si="66"/>
        <v>0.28441009127009442</v>
      </c>
      <c r="AG193" s="2" t="s">
        <v>1175</v>
      </c>
    </row>
    <row r="194" spans="1:33" x14ac:dyDescent="0.3">
      <c r="A194">
        <v>302674</v>
      </c>
      <c r="B194" t="s">
        <v>397</v>
      </c>
      <c r="C194" t="s">
        <v>330</v>
      </c>
      <c r="D194" t="s">
        <v>398</v>
      </c>
      <c r="E194" s="18">
        <v>5.8</v>
      </c>
      <c r="F194" s="19">
        <f t="shared" ref="F194:F257" si="70">(E194-$AJ$5)/$AK$5</f>
        <v>0.57777777777777772</v>
      </c>
      <c r="G194" s="2">
        <v>59.553280800000003</v>
      </c>
      <c r="H194" s="2">
        <f t="shared" ref="H194:H257" si="71">(G194-$AJ$6)/$AK$6</f>
        <v>0.26949669345279048</v>
      </c>
      <c r="I194" s="2">
        <v>32</v>
      </c>
      <c r="J194" s="4">
        <f t="shared" ref="J194:J257" si="72">(I194-$AJ$7)/$AK$7</f>
        <v>0.15526443474041729</v>
      </c>
      <c r="K194" s="2">
        <v>0</v>
      </c>
      <c r="L194" s="4">
        <f t="shared" ref="L194:L257" si="73">(K194-$AJ$8)/$AK$8</f>
        <v>0</v>
      </c>
      <c r="M194" s="2">
        <v>2058</v>
      </c>
      <c r="N194" s="2">
        <f t="shared" ref="N194:N257" si="74">(M194-$AJ$9)/$AK$9</f>
        <v>8.6064546043822417E-3</v>
      </c>
      <c r="O194" s="2">
        <v>0.74024021100000004</v>
      </c>
      <c r="P194" s="2">
        <f t="shared" ref="P194:P257" si="75">(O194-$AJ$11)/$AK$11</f>
        <v>0.77766767416728311</v>
      </c>
      <c r="Q194" s="2">
        <v>0.23300000000000001</v>
      </c>
      <c r="R194" s="2">
        <f t="shared" ref="R194:R257" si="76">(Q194-$AJ$12)/$AK$12</f>
        <v>0.51534452808338171</v>
      </c>
      <c r="S194" s="2">
        <f t="shared" ref="S194:S257" si="77">F194*(R194*0.5+P194*0.5)*(H194*0.35+J194*0.35+L194*0.3)</f>
        <v>5.5532378092663835E-2</v>
      </c>
      <c r="T194" s="5">
        <f t="shared" si="69"/>
        <v>0.1120451199234823</v>
      </c>
      <c r="U194" s="2" t="str">
        <f t="shared" ref="U194:U257" si="78">IF(T194&gt;0.7,"High",IF(T194&gt;0.3,"Moderate",IF(T194&gt;0.15,"Low","No Impact")))</f>
        <v>No Impact</v>
      </c>
      <c r="V194" s="2">
        <f t="shared" ref="V194:V257" si="79">F194*(R194*1)*(H194*0.35+J194*0.35+L194*0.3)</f>
        <v>4.4266105349505112E-2</v>
      </c>
      <c r="W194" s="2">
        <f t="shared" ref="W194:W257" si="80">(V194-$AJ$13)/$AK$13</f>
        <v>7.9739601780296612E-2</v>
      </c>
      <c r="X194" s="2" t="s">
        <v>1176</v>
      </c>
      <c r="Y194" s="2">
        <f t="shared" ref="Y194:Y257" si="81">F194*(P194*1)*(H194*0.35+J194*0.35+L194*0.3)</f>
        <v>6.6798650835822565E-2</v>
      </c>
      <c r="Z194" s="2">
        <f t="shared" ref="Z194:Z257" si="82">(Y194-$AJ$14)/$AK$14</f>
        <v>0.14173435805914819</v>
      </c>
      <c r="AA194" s="2" t="str">
        <f t="shared" ref="AA194:AA257" si="83">IF(Z194&gt;0.7,"High",IF(Z194&gt;0.3,"Moderate",IF(Z194&gt;0.15,"Low","No Impact")))</f>
        <v>No Impact</v>
      </c>
      <c r="AB194" s="2">
        <f t="shared" ref="AB194:AB257" si="84">F194*(R194*0.35+P194*0.3+N194*0.35)*(H194*0.35+J194*0.35+L194*0.3)</f>
        <v>3.5791473551195573E-2</v>
      </c>
      <c r="AC194" s="2">
        <f t="shared" ref="AC194:AC257" si="85">(AB194-$AJ$15)/$AK$15</f>
        <v>9.9486054741571794E-2</v>
      </c>
      <c r="AD194" s="2" t="str">
        <f t="shared" ref="AD194:AD257" si="86">IF(AC194&gt;0.7,"High",IF(AC194&gt;0.3,"Moderate",IF(AC194&gt;0.15,"Low","No Impact")))</f>
        <v>No Impact</v>
      </c>
      <c r="AE194" s="2">
        <f t="shared" ref="AE194:AE257" si="87">F194*(N194*1)*(H194*0.35+J194*0.35+L194*0.3)</f>
        <v>7.3926122320576351E-4</v>
      </c>
      <c r="AF194" s="2">
        <f t="shared" ref="AF194:AF257" si="88">(AE194-$AJ$16)/$AK$16</f>
        <v>3.8084797473526928E-3</v>
      </c>
      <c r="AG194" s="2" t="s">
        <v>1176</v>
      </c>
    </row>
    <row r="195" spans="1:33" x14ac:dyDescent="0.3">
      <c r="A195">
        <v>302675</v>
      </c>
      <c r="B195" t="s">
        <v>399</v>
      </c>
      <c r="C195" t="s">
        <v>330</v>
      </c>
      <c r="D195" t="s">
        <v>400</v>
      </c>
      <c r="E195" s="18">
        <v>5.8</v>
      </c>
      <c r="F195" s="19">
        <f t="shared" si="70"/>
        <v>0.57777777777777772</v>
      </c>
      <c r="G195" s="2">
        <v>58.959140400000003</v>
      </c>
      <c r="H195" s="2">
        <f t="shared" si="71"/>
        <v>0.26375229491052049</v>
      </c>
      <c r="I195" s="2">
        <v>27.3</v>
      </c>
      <c r="J195" s="4">
        <f t="shared" si="72"/>
        <v>0.1324599708879185</v>
      </c>
      <c r="K195" s="2">
        <v>0</v>
      </c>
      <c r="L195" s="4">
        <f t="shared" si="73"/>
        <v>0</v>
      </c>
      <c r="M195" s="2">
        <v>1343</v>
      </c>
      <c r="N195" s="2">
        <f t="shared" si="74"/>
        <v>5.2234886658812504E-3</v>
      </c>
      <c r="O195" s="2">
        <v>0.49125635699999998</v>
      </c>
      <c r="P195" s="2">
        <f t="shared" si="75"/>
        <v>0.49004398227022494</v>
      </c>
      <c r="Q195" s="2">
        <v>0.06</v>
      </c>
      <c r="R195" s="2">
        <f t="shared" si="76"/>
        <v>1.4475969889982622E-2</v>
      </c>
      <c r="S195" s="2">
        <f t="shared" si="77"/>
        <v>2.0211807109020385E-2</v>
      </c>
      <c r="T195" s="5">
        <f t="shared" si="69"/>
        <v>4.0780431690168394E-2</v>
      </c>
      <c r="U195" s="2" t="str">
        <f t="shared" si="78"/>
        <v>No Impact</v>
      </c>
      <c r="V195" s="2">
        <f t="shared" si="79"/>
        <v>1.1598570477918653E-3</v>
      </c>
      <c r="W195" s="2">
        <f t="shared" si="80"/>
        <v>2.0893308408942235E-3</v>
      </c>
      <c r="X195" s="2" t="s">
        <v>1176</v>
      </c>
      <c r="Y195" s="2">
        <f t="shared" si="81"/>
        <v>3.9263757170248902E-2</v>
      </c>
      <c r="Z195" s="2">
        <f t="shared" si="82"/>
        <v>8.3310416421331551E-2</v>
      </c>
      <c r="AA195" s="2" t="str">
        <f t="shared" si="83"/>
        <v>No Impact</v>
      </c>
      <c r="AB195" s="2">
        <f t="shared" si="84"/>
        <v>1.2331559534263705E-2</v>
      </c>
      <c r="AC195" s="2">
        <f t="shared" si="85"/>
        <v>3.427682867317236E-2</v>
      </c>
      <c r="AD195" s="2" t="str">
        <f t="shared" si="86"/>
        <v>No Impact</v>
      </c>
      <c r="AE195" s="2">
        <f t="shared" si="87"/>
        <v>4.1852118989110234E-4</v>
      </c>
      <c r="AF195" s="2">
        <f t="shared" si="88"/>
        <v>2.1561112980148355E-3</v>
      </c>
      <c r="AG195" s="2" t="s">
        <v>1176</v>
      </c>
    </row>
    <row r="196" spans="1:33" x14ac:dyDescent="0.3">
      <c r="A196">
        <v>302676</v>
      </c>
      <c r="B196" t="s">
        <v>401</v>
      </c>
      <c r="C196" t="s">
        <v>330</v>
      </c>
      <c r="D196" t="s">
        <v>402</v>
      </c>
      <c r="E196" s="18">
        <v>5.8</v>
      </c>
      <c r="F196" s="19">
        <f t="shared" si="70"/>
        <v>0.57777777777777772</v>
      </c>
      <c r="G196" s="2">
        <v>58.959140400000003</v>
      </c>
      <c r="H196" s="2">
        <f t="shared" si="71"/>
        <v>0.26375229491052049</v>
      </c>
      <c r="I196" s="2">
        <v>27.3</v>
      </c>
      <c r="J196" s="4">
        <f t="shared" si="72"/>
        <v>0.1324599708879185</v>
      </c>
      <c r="K196" s="2">
        <v>0</v>
      </c>
      <c r="L196" s="4">
        <f t="shared" si="73"/>
        <v>0</v>
      </c>
      <c r="M196" s="2">
        <v>2470</v>
      </c>
      <c r="N196" s="2">
        <f t="shared" si="74"/>
        <v>1.0555800012301695E-2</v>
      </c>
      <c r="O196" s="2">
        <v>0.62011421899999997</v>
      </c>
      <c r="P196" s="2">
        <f t="shared" si="75"/>
        <v>0.63889931326048932</v>
      </c>
      <c r="Q196" s="2">
        <v>0.06</v>
      </c>
      <c r="R196" s="2">
        <f t="shared" si="76"/>
        <v>1.4475969889982622E-2</v>
      </c>
      <c r="S196" s="2">
        <f t="shared" si="77"/>
        <v>2.6175169359100896E-2</v>
      </c>
      <c r="T196" s="5">
        <f t="shared" si="69"/>
        <v>5.2812432865095689E-2</v>
      </c>
      <c r="U196" s="2" t="str">
        <f t="shared" si="78"/>
        <v>No Impact</v>
      </c>
      <c r="V196" s="2">
        <f t="shared" si="79"/>
        <v>1.1598570477918653E-3</v>
      </c>
      <c r="W196" s="2">
        <f t="shared" si="80"/>
        <v>2.0893308408942235E-3</v>
      </c>
      <c r="X196" s="2" t="s">
        <v>1176</v>
      </c>
      <c r="Y196" s="2">
        <f t="shared" si="81"/>
        <v>5.1190481670409918E-2</v>
      </c>
      <c r="Z196" s="2">
        <f t="shared" si="82"/>
        <v>0.1086167155699979</v>
      </c>
      <c r="AA196" s="2" t="str">
        <f t="shared" si="83"/>
        <v>No Impact</v>
      </c>
      <c r="AB196" s="2">
        <f t="shared" si="84"/>
        <v>1.6059111017783519E-2</v>
      </c>
      <c r="AC196" s="2">
        <f t="shared" si="85"/>
        <v>4.4637938573021452E-2</v>
      </c>
      <c r="AD196" s="2" t="str">
        <f t="shared" si="86"/>
        <v>No Impact</v>
      </c>
      <c r="AE196" s="2">
        <f t="shared" si="87"/>
        <v>8.4576157123826936E-4</v>
      </c>
      <c r="AF196" s="2">
        <f t="shared" si="88"/>
        <v>4.3571415814049799E-3</v>
      </c>
      <c r="AG196" s="2" t="s">
        <v>1176</v>
      </c>
    </row>
    <row r="197" spans="1:33" x14ac:dyDescent="0.3">
      <c r="A197">
        <v>302680</v>
      </c>
      <c r="B197" t="s">
        <v>403</v>
      </c>
      <c r="C197" t="s">
        <v>330</v>
      </c>
      <c r="D197" t="s">
        <v>1138</v>
      </c>
      <c r="E197" s="18">
        <v>5.8</v>
      </c>
      <c r="F197" s="19">
        <f t="shared" si="70"/>
        <v>0.57777777777777772</v>
      </c>
      <c r="G197" s="2">
        <v>59.553280800000003</v>
      </c>
      <c r="H197" s="2">
        <f t="shared" si="71"/>
        <v>0.26949669345279048</v>
      </c>
      <c r="I197" s="2">
        <v>29.6</v>
      </c>
      <c r="J197" s="4">
        <f t="shared" si="72"/>
        <v>0.14361960213488598</v>
      </c>
      <c r="K197" s="2">
        <v>0</v>
      </c>
      <c r="L197" s="4">
        <f t="shared" si="73"/>
        <v>0</v>
      </c>
      <c r="M197" s="2">
        <v>2247</v>
      </c>
      <c r="N197" s="2">
        <f t="shared" si="74"/>
        <v>9.5006931531608253E-3</v>
      </c>
      <c r="O197" s="2">
        <v>0.49188169700000001</v>
      </c>
      <c r="P197" s="2">
        <f t="shared" si="75"/>
        <v>0.49076636886920061</v>
      </c>
      <c r="Q197" s="2">
        <v>0.06</v>
      </c>
      <c r="R197" s="2">
        <f t="shared" si="76"/>
        <v>1.4475969889982622E-2</v>
      </c>
      <c r="S197" s="2">
        <f t="shared" si="77"/>
        <v>2.1104299717738376E-2</v>
      </c>
      <c r="T197" s="5">
        <f t="shared" si="69"/>
        <v>4.2581172893935412E-2</v>
      </c>
      <c r="U197" s="2" t="str">
        <f t="shared" si="78"/>
        <v>No Impact</v>
      </c>
      <c r="V197" s="2">
        <f t="shared" si="79"/>
        <v>1.209341275766536E-3</v>
      </c>
      <c r="W197" s="2">
        <f t="shared" si="80"/>
        <v>2.1784702084069285E-3</v>
      </c>
      <c r="X197" s="2" t="s">
        <v>1176</v>
      </c>
      <c r="Y197" s="2">
        <f t="shared" si="81"/>
        <v>4.0999258159710214E-2</v>
      </c>
      <c r="Z197" s="2">
        <f t="shared" si="82"/>
        <v>8.6992827900822134E-2</v>
      </c>
      <c r="AA197" s="2" t="str">
        <f t="shared" si="83"/>
        <v>No Impact</v>
      </c>
      <c r="AB197" s="2">
        <f t="shared" si="84"/>
        <v>1.3000841968822964E-2</v>
      </c>
      <c r="AC197" s="2">
        <f t="shared" si="85"/>
        <v>3.6137167528092477E-2</v>
      </c>
      <c r="AD197" s="2" t="str">
        <f t="shared" si="86"/>
        <v>No Impact</v>
      </c>
      <c r="AE197" s="2">
        <f t="shared" si="87"/>
        <v>7.9370021254746459E-4</v>
      </c>
      <c r="AF197" s="2">
        <f t="shared" si="88"/>
        <v>4.0889351288417204E-3</v>
      </c>
      <c r="AG197" s="2" t="s">
        <v>1176</v>
      </c>
    </row>
    <row r="198" spans="1:33" x14ac:dyDescent="0.3">
      <c r="A198">
        <v>302688</v>
      </c>
      <c r="B198" t="s">
        <v>404</v>
      </c>
      <c r="C198" t="s">
        <v>330</v>
      </c>
      <c r="D198" t="s">
        <v>405</v>
      </c>
      <c r="E198" s="18">
        <v>5.7</v>
      </c>
      <c r="F198" s="19">
        <f t="shared" si="70"/>
        <v>0.55555555555555558</v>
      </c>
      <c r="G198" s="2">
        <v>58.959140400000003</v>
      </c>
      <c r="H198" s="2">
        <f t="shared" si="71"/>
        <v>0.26375229491052049</v>
      </c>
      <c r="I198" s="2">
        <v>27.3</v>
      </c>
      <c r="J198" s="4">
        <f t="shared" si="72"/>
        <v>0.1324599708879185</v>
      </c>
      <c r="K198" s="2">
        <v>0</v>
      </c>
      <c r="L198" s="4">
        <f t="shared" si="73"/>
        <v>0</v>
      </c>
      <c r="M198" s="2">
        <v>1739</v>
      </c>
      <c r="N198" s="2">
        <f t="shared" si="74"/>
        <v>7.0971313395125687E-3</v>
      </c>
      <c r="O198" s="2">
        <v>0.80548892400000005</v>
      </c>
      <c r="P198" s="2">
        <f t="shared" si="75"/>
        <v>0.85304234374160659</v>
      </c>
      <c r="Q198" s="2">
        <v>5.5E-2</v>
      </c>
      <c r="R198" s="2">
        <f t="shared" si="76"/>
        <v>0</v>
      </c>
      <c r="S198" s="2">
        <f t="shared" si="77"/>
        <v>3.2859734428487629E-2</v>
      </c>
      <c r="T198" s="5">
        <f t="shared" si="69"/>
        <v>6.6299571730029358E-2</v>
      </c>
      <c r="U198" s="2" t="str">
        <f t="shared" si="78"/>
        <v>No Impact</v>
      </c>
      <c r="V198" s="2">
        <f t="shared" si="79"/>
        <v>0</v>
      </c>
      <c r="W198" s="2">
        <f t="shared" si="80"/>
        <v>0</v>
      </c>
      <c r="X198" s="2" t="s">
        <v>1176</v>
      </c>
      <c r="Y198" s="2">
        <f t="shared" si="81"/>
        <v>6.5719468856975258E-2</v>
      </c>
      <c r="Z198" s="2">
        <f t="shared" si="82"/>
        <v>0.13944453389223707</v>
      </c>
      <c r="AA198" s="2" t="str">
        <f t="shared" si="83"/>
        <v>No Impact</v>
      </c>
      <c r="AB198" s="2">
        <f t="shared" si="84"/>
        <v>1.9907210870906706E-2</v>
      </c>
      <c r="AC198" s="2">
        <f t="shared" si="85"/>
        <v>5.5334124973149691E-2</v>
      </c>
      <c r="AD198" s="2" t="str">
        <f t="shared" si="86"/>
        <v>No Impact</v>
      </c>
      <c r="AE198" s="2">
        <f t="shared" si="87"/>
        <v>5.4677203946893599E-4</v>
      </c>
      <c r="AF198" s="2">
        <f t="shared" si="88"/>
        <v>2.8168260059767396E-3</v>
      </c>
      <c r="AG198" s="2" t="s">
        <v>1176</v>
      </c>
    </row>
    <row r="199" spans="1:33" x14ac:dyDescent="0.3">
      <c r="A199">
        <v>302690</v>
      </c>
      <c r="B199" t="s">
        <v>406</v>
      </c>
      <c r="C199" t="s">
        <v>330</v>
      </c>
      <c r="D199" t="s">
        <v>407</v>
      </c>
      <c r="E199" s="18">
        <v>5.8</v>
      </c>
      <c r="F199" s="19">
        <f t="shared" si="70"/>
        <v>0.57777777777777772</v>
      </c>
      <c r="G199" s="2">
        <v>58.959140400000003</v>
      </c>
      <c r="H199" s="2">
        <f t="shared" si="71"/>
        <v>0.26375229491052049</v>
      </c>
      <c r="I199" s="2">
        <v>27.3</v>
      </c>
      <c r="J199" s="4">
        <f t="shared" si="72"/>
        <v>0.1324599708879185</v>
      </c>
      <c r="K199" s="2">
        <v>0</v>
      </c>
      <c r="L199" s="4">
        <f t="shared" si="73"/>
        <v>0</v>
      </c>
      <c r="M199" s="2">
        <v>1906</v>
      </c>
      <c r="N199" s="2">
        <f t="shared" si="74"/>
        <v>7.8872786286449687E-3</v>
      </c>
      <c r="O199" s="2">
        <v>0.65010484599999996</v>
      </c>
      <c r="P199" s="2">
        <f t="shared" si="75"/>
        <v>0.67354418971118302</v>
      </c>
      <c r="Q199" s="2">
        <v>0.06</v>
      </c>
      <c r="R199" s="2">
        <f t="shared" si="76"/>
        <v>1.4475969889982622E-2</v>
      </c>
      <c r="S199" s="2">
        <f t="shared" si="77"/>
        <v>2.7563093775447679E-2</v>
      </c>
      <c r="T199" s="5">
        <f t="shared" si="69"/>
        <v>5.5612783993851833E-2</v>
      </c>
      <c r="U199" s="2" t="str">
        <f t="shared" si="78"/>
        <v>No Impact</v>
      </c>
      <c r="V199" s="2">
        <f t="shared" si="79"/>
        <v>1.1598570477918653E-3</v>
      </c>
      <c r="W199" s="2">
        <f t="shared" si="80"/>
        <v>2.0893308408942235E-3</v>
      </c>
      <c r="X199" s="2" t="s">
        <v>1176</v>
      </c>
      <c r="Y199" s="2">
        <f t="shared" si="81"/>
        <v>5.3966330503103489E-2</v>
      </c>
      <c r="Z199" s="2">
        <f t="shared" si="82"/>
        <v>0.11450655237730165</v>
      </c>
      <c r="AA199" s="2" t="str">
        <f t="shared" si="83"/>
        <v>No Impact</v>
      </c>
      <c r="AB199" s="2">
        <f t="shared" si="84"/>
        <v>1.6817032259181713E-2</v>
      </c>
      <c r="AC199" s="2">
        <f t="shared" si="85"/>
        <v>4.6744658040821126E-2</v>
      </c>
      <c r="AD199" s="2" t="str">
        <f t="shared" si="86"/>
        <v>No Impact</v>
      </c>
      <c r="AE199" s="2">
        <f t="shared" si="87"/>
        <v>6.3195183292433666E-4</v>
      </c>
      <c r="AF199" s="2">
        <f t="shared" si="88"/>
        <v>3.2556499400278362E-3</v>
      </c>
      <c r="AG199" s="2" t="s">
        <v>1176</v>
      </c>
    </row>
    <row r="200" spans="1:33" x14ac:dyDescent="0.3">
      <c r="A200">
        <v>302692</v>
      </c>
      <c r="B200" t="s">
        <v>408</v>
      </c>
      <c r="C200" t="s">
        <v>330</v>
      </c>
      <c r="D200" t="s">
        <v>409</v>
      </c>
      <c r="E200" s="18">
        <v>5.7</v>
      </c>
      <c r="F200" s="19">
        <f t="shared" si="70"/>
        <v>0.55555555555555558</v>
      </c>
      <c r="G200" s="2">
        <v>58.959140400000003</v>
      </c>
      <c r="H200" s="2">
        <f t="shared" si="71"/>
        <v>0.26375229491052049</v>
      </c>
      <c r="I200" s="2">
        <v>27.3</v>
      </c>
      <c r="J200" s="4">
        <f t="shared" si="72"/>
        <v>0.1324599708879185</v>
      </c>
      <c r="K200" s="2">
        <v>0</v>
      </c>
      <c r="L200" s="4">
        <f t="shared" si="73"/>
        <v>0</v>
      </c>
      <c r="M200" s="2">
        <v>1942</v>
      </c>
      <c r="N200" s="2">
        <f t="shared" si="74"/>
        <v>8.0576097807932706E-3</v>
      </c>
      <c r="O200" s="2">
        <v>0.860462069</v>
      </c>
      <c r="P200" s="2">
        <f t="shared" si="75"/>
        <v>0.91654677853155198</v>
      </c>
      <c r="Q200" s="2">
        <v>0.06</v>
      </c>
      <c r="R200" s="2">
        <f t="shared" si="76"/>
        <v>1.4475969889982622E-2</v>
      </c>
      <c r="S200" s="2">
        <f t="shared" si="77"/>
        <v>3.5863589286582002E-2</v>
      </c>
      <c r="T200" s="5">
        <f t="shared" si="69"/>
        <v>7.2360311236742136E-2</v>
      </c>
      <c r="U200" s="2" t="str">
        <f t="shared" si="78"/>
        <v>No Impact</v>
      </c>
      <c r="V200" s="2">
        <f t="shared" si="79"/>
        <v>1.1152471613383322E-3</v>
      </c>
      <c r="W200" s="2">
        <f t="shared" si="80"/>
        <v>2.0089719623982922E-3</v>
      </c>
      <c r="X200" s="2" t="s">
        <v>1176</v>
      </c>
      <c r="Y200" s="2">
        <f t="shared" si="81"/>
        <v>7.0611931411825674E-2</v>
      </c>
      <c r="Z200" s="2">
        <f t="shared" si="82"/>
        <v>0.14982543277063587</v>
      </c>
      <c r="AA200" s="2" t="str">
        <f t="shared" si="83"/>
        <v>No Impact</v>
      </c>
      <c r="AB200" s="2">
        <f t="shared" si="84"/>
        <v>2.1791184912766416E-2</v>
      </c>
      <c r="AC200" s="2">
        <f t="shared" si="85"/>
        <v>6.057082316027685E-2</v>
      </c>
      <c r="AD200" s="2" t="str">
        <f t="shared" si="86"/>
        <v>No Impact</v>
      </c>
      <c r="AE200" s="2">
        <f t="shared" si="87"/>
        <v>6.2076852214373206E-4</v>
      </c>
      <c r="AF200" s="2">
        <f t="shared" si="88"/>
        <v>3.198036458785592E-3</v>
      </c>
      <c r="AG200" s="2" t="s">
        <v>1176</v>
      </c>
    </row>
    <row r="201" spans="1:33" x14ac:dyDescent="0.3">
      <c r="A201">
        <v>302693</v>
      </c>
      <c r="B201" t="s">
        <v>410</v>
      </c>
      <c r="C201" t="s">
        <v>330</v>
      </c>
      <c r="D201" t="s">
        <v>411</v>
      </c>
      <c r="E201" s="18">
        <v>5.8</v>
      </c>
      <c r="F201" s="19">
        <f t="shared" si="70"/>
        <v>0.57777777777777772</v>
      </c>
      <c r="G201" s="2">
        <v>59.553280800000003</v>
      </c>
      <c r="H201" s="2">
        <f t="shared" si="71"/>
        <v>0.26949669345279048</v>
      </c>
      <c r="I201" s="2">
        <v>27.8</v>
      </c>
      <c r="J201" s="4">
        <f t="shared" si="72"/>
        <v>0.13488597768073751</v>
      </c>
      <c r="K201" s="2">
        <v>0</v>
      </c>
      <c r="L201" s="4">
        <f t="shared" si="73"/>
        <v>0</v>
      </c>
      <c r="M201" s="2">
        <v>15432</v>
      </c>
      <c r="N201" s="2">
        <f t="shared" si="74"/>
        <v>7.1884477627476309E-2</v>
      </c>
      <c r="O201" s="2">
        <v>0.62564129800000001</v>
      </c>
      <c r="P201" s="2">
        <f t="shared" si="75"/>
        <v>0.64528414039625481</v>
      </c>
      <c r="Q201" s="2">
        <v>0.1734</v>
      </c>
      <c r="R201" s="2">
        <f t="shared" si="76"/>
        <v>0.34279096699478867</v>
      </c>
      <c r="S201" s="2">
        <f t="shared" si="77"/>
        <v>4.0400001177630797E-2</v>
      </c>
      <c r="T201" s="5">
        <f t="shared" si="69"/>
        <v>8.1513220436969958E-2</v>
      </c>
      <c r="U201" s="2" t="str">
        <f t="shared" si="78"/>
        <v>No Impact</v>
      </c>
      <c r="V201" s="2">
        <f t="shared" si="79"/>
        <v>2.8031786990034634E-2</v>
      </c>
      <c r="W201" s="2">
        <f t="shared" si="80"/>
        <v>5.0495599604414958E-2</v>
      </c>
      <c r="X201" s="2" t="s">
        <v>1176</v>
      </c>
      <c r="Y201" s="2">
        <f t="shared" si="81"/>
        <v>5.276821536522696E-2</v>
      </c>
      <c r="Z201" s="2">
        <f t="shared" si="82"/>
        <v>0.11196437408742502</v>
      </c>
      <c r="AA201" s="2" t="str">
        <f t="shared" si="83"/>
        <v>No Impact</v>
      </c>
      <c r="AB201" s="2">
        <f t="shared" si="84"/>
        <v>2.7699017746906397E-2</v>
      </c>
      <c r="AC201" s="2">
        <f t="shared" si="85"/>
        <v>7.6992247662417038E-2</v>
      </c>
      <c r="AD201" s="2" t="str">
        <f t="shared" si="86"/>
        <v>No Impact</v>
      </c>
      <c r="AE201" s="2">
        <f t="shared" si="87"/>
        <v>5.8783648309319652E-3</v>
      </c>
      <c r="AF201" s="2">
        <f t="shared" si="88"/>
        <v>3.0283792390830469E-2</v>
      </c>
      <c r="AG201" s="2" t="s">
        <v>1176</v>
      </c>
    </row>
    <row r="202" spans="1:33" x14ac:dyDescent="0.3">
      <c r="A202">
        <v>302695</v>
      </c>
      <c r="B202" t="s">
        <v>412</v>
      </c>
      <c r="C202" t="s">
        <v>330</v>
      </c>
      <c r="D202" t="s">
        <v>413</v>
      </c>
      <c r="E202" s="18">
        <v>5.7</v>
      </c>
      <c r="F202" s="19">
        <f t="shared" si="70"/>
        <v>0.55555555555555558</v>
      </c>
      <c r="G202" s="2">
        <v>58.959140400000003</v>
      </c>
      <c r="H202" s="2">
        <f t="shared" si="71"/>
        <v>0.26375229491052049</v>
      </c>
      <c r="I202" s="2">
        <v>26.9</v>
      </c>
      <c r="J202" s="4">
        <f t="shared" si="72"/>
        <v>0.13051916545366327</v>
      </c>
      <c r="K202" s="2">
        <v>0</v>
      </c>
      <c r="L202" s="4">
        <f t="shared" si="73"/>
        <v>0</v>
      </c>
      <c r="M202" s="2">
        <v>7916</v>
      </c>
      <c r="N202" s="2">
        <f t="shared" si="74"/>
        <v>3.632311819562533E-2</v>
      </c>
      <c r="O202" s="2">
        <v>0.68300635300000001</v>
      </c>
      <c r="P202" s="2">
        <f t="shared" si="75"/>
        <v>0.71155168602183494</v>
      </c>
      <c r="Q202" s="2">
        <v>0.1125</v>
      </c>
      <c r="R202" s="2">
        <f t="shared" si="76"/>
        <v>0.16647365373480025</v>
      </c>
      <c r="S202" s="2">
        <f t="shared" si="77"/>
        <v>3.3656421258309033E-2</v>
      </c>
      <c r="T202" s="5">
        <f t="shared" si="69"/>
        <v>6.7907010029175249E-2</v>
      </c>
      <c r="U202" s="2" t="str">
        <f t="shared" si="78"/>
        <v>No Impact</v>
      </c>
      <c r="V202" s="2">
        <f t="shared" si="79"/>
        <v>1.2762518721979669E-2</v>
      </c>
      <c r="W202" s="2">
        <f t="shared" si="80"/>
        <v>2.2990009005064108E-2</v>
      </c>
      <c r="X202" s="2" t="s">
        <v>1176</v>
      </c>
      <c r="Y202" s="2">
        <f t="shared" si="81"/>
        <v>5.4550323794638395E-2</v>
      </c>
      <c r="Z202" s="2">
        <f t="shared" si="82"/>
        <v>0.11574567791727677</v>
      </c>
      <c r="AA202" s="2" t="str">
        <f t="shared" si="83"/>
        <v>No Impact</v>
      </c>
      <c r="AB202" s="2">
        <f t="shared" si="84"/>
        <v>2.1806613793782362E-2</v>
      </c>
      <c r="AC202" s="2">
        <f t="shared" si="85"/>
        <v>6.0613709310218623E-2</v>
      </c>
      <c r="AD202" s="2" t="str">
        <f t="shared" si="86"/>
        <v>No Impact</v>
      </c>
      <c r="AE202" s="2">
        <f t="shared" si="87"/>
        <v>2.7846717219941774E-3</v>
      </c>
      <c r="AF202" s="2">
        <f t="shared" si="88"/>
        <v>1.434589766557891E-2</v>
      </c>
      <c r="AG202" s="2" t="s">
        <v>1176</v>
      </c>
    </row>
    <row r="203" spans="1:33" x14ac:dyDescent="0.3">
      <c r="A203">
        <v>302696</v>
      </c>
      <c r="B203" t="s">
        <v>414</v>
      </c>
      <c r="C203" t="s">
        <v>330</v>
      </c>
      <c r="D203" t="s">
        <v>415</v>
      </c>
      <c r="E203" s="18">
        <v>5.8</v>
      </c>
      <c r="F203" s="19">
        <f t="shared" si="70"/>
        <v>0.57777777777777772</v>
      </c>
      <c r="G203" s="2">
        <v>58.959140400000003</v>
      </c>
      <c r="H203" s="2">
        <f t="shared" si="71"/>
        <v>0.26375229491052049</v>
      </c>
      <c r="I203" s="2">
        <v>26.9</v>
      </c>
      <c r="J203" s="4">
        <f t="shared" si="72"/>
        <v>0.13051916545366327</v>
      </c>
      <c r="K203" s="2">
        <v>0</v>
      </c>
      <c r="L203" s="4">
        <f t="shared" si="73"/>
        <v>0</v>
      </c>
      <c r="M203" s="2">
        <v>14687</v>
      </c>
      <c r="N203" s="2">
        <f t="shared" si="74"/>
        <v>6.8359569062185072E-2</v>
      </c>
      <c r="O203" s="2">
        <v>0.37784135200000002</v>
      </c>
      <c r="P203" s="2">
        <f t="shared" si="75"/>
        <v>0.35902808734145863</v>
      </c>
      <c r="Q203" s="2">
        <v>0.246</v>
      </c>
      <c r="R203" s="2">
        <f t="shared" si="76"/>
        <v>0.55298204979733645</v>
      </c>
      <c r="S203" s="2">
        <f t="shared" si="77"/>
        <v>3.6357489717705943E-2</v>
      </c>
      <c r="T203" s="5">
        <f t="shared" si="69"/>
        <v>7.3356831373934894E-2</v>
      </c>
      <c r="U203" s="2" t="str">
        <f t="shared" si="78"/>
        <v>No Impact</v>
      </c>
      <c r="V203" s="2">
        <f t="shared" si="79"/>
        <v>4.4089508155374622E-2</v>
      </c>
      <c r="W203" s="2">
        <f t="shared" si="80"/>
        <v>7.9421485022016222E-2</v>
      </c>
      <c r="X203" s="2" t="s">
        <v>1176</v>
      </c>
      <c r="Y203" s="2">
        <f t="shared" si="81"/>
        <v>2.8625471280037271E-2</v>
      </c>
      <c r="Z203" s="2">
        <f t="shared" si="82"/>
        <v>6.0737945231685381E-2</v>
      </c>
      <c r="AA203" s="2" t="str">
        <f t="shared" si="83"/>
        <v>No Impact</v>
      </c>
      <c r="AB203" s="2">
        <f t="shared" si="84"/>
        <v>2.5926587980391949E-2</v>
      </c>
      <c r="AC203" s="2">
        <f t="shared" si="85"/>
        <v>7.2065598176336926E-2</v>
      </c>
      <c r="AD203" s="2" t="str">
        <f t="shared" si="86"/>
        <v>No Impact</v>
      </c>
      <c r="AE203" s="2">
        <f t="shared" si="87"/>
        <v>5.4503392628561607E-3</v>
      </c>
      <c r="AF203" s="2">
        <f t="shared" si="88"/>
        <v>2.8078717031545582E-2</v>
      </c>
      <c r="AG203" s="2" t="s">
        <v>1176</v>
      </c>
    </row>
    <row r="204" spans="1:33" x14ac:dyDescent="0.3">
      <c r="A204">
        <v>302903</v>
      </c>
      <c r="B204" t="s">
        <v>416</v>
      </c>
      <c r="C204" t="s">
        <v>417</v>
      </c>
      <c r="D204" t="s">
        <v>418</v>
      </c>
      <c r="E204" s="18">
        <v>5.4</v>
      </c>
      <c r="F204" s="19">
        <f t="shared" si="70"/>
        <v>0.48888888888888893</v>
      </c>
      <c r="G204" s="2">
        <v>86.631940799999995</v>
      </c>
      <c r="H204" s="2">
        <f t="shared" si="71"/>
        <v>0.53130453387337873</v>
      </c>
      <c r="I204" s="2">
        <v>70.7</v>
      </c>
      <c r="J204" s="4">
        <f t="shared" si="72"/>
        <v>0.34303736050460942</v>
      </c>
      <c r="K204" s="2">
        <v>0</v>
      </c>
      <c r="L204" s="4">
        <f t="shared" si="73"/>
        <v>0</v>
      </c>
      <c r="M204" s="2">
        <v>9951</v>
      </c>
      <c r="N204" s="2">
        <f t="shared" si="74"/>
        <v>4.5951559712897383E-2</v>
      </c>
      <c r="O204" s="2">
        <v>0.59138735200000003</v>
      </c>
      <c r="P204" s="2">
        <f t="shared" si="75"/>
        <v>0.60571431989471147</v>
      </c>
      <c r="Q204" s="2">
        <v>0.2928</v>
      </c>
      <c r="R204" s="2">
        <f t="shared" si="76"/>
        <v>0.68847712796757388</v>
      </c>
      <c r="S204" s="2">
        <f t="shared" si="77"/>
        <v>9.6811740855890061E-2</v>
      </c>
      <c r="T204" s="5">
        <f t="shared" si="69"/>
        <v>0.19533258770404224</v>
      </c>
      <c r="U204" s="2" t="str">
        <f t="shared" si="78"/>
        <v>Low</v>
      </c>
      <c r="V204" s="2">
        <f t="shared" si="79"/>
        <v>0.10300279670075012</v>
      </c>
      <c r="W204" s="2">
        <f t="shared" si="80"/>
        <v>0.18554607247069432</v>
      </c>
      <c r="X204" s="2" t="s">
        <v>1175</v>
      </c>
      <c r="Y204" s="2">
        <f t="shared" si="81"/>
        <v>9.0620685011029975E-2</v>
      </c>
      <c r="Z204" s="2">
        <f t="shared" si="82"/>
        <v>0.1922802999193306</v>
      </c>
      <c r="AA204" s="2" t="str">
        <f t="shared" si="83"/>
        <v>Low</v>
      </c>
      <c r="AB204" s="2">
        <f t="shared" si="84"/>
        <v>6.564336262207042E-2</v>
      </c>
      <c r="AC204" s="2">
        <f t="shared" si="85"/>
        <v>0.18246242803887014</v>
      </c>
      <c r="AD204" s="2" t="str">
        <f t="shared" si="86"/>
        <v>Low</v>
      </c>
      <c r="AE204" s="2">
        <f t="shared" si="87"/>
        <v>6.8747950671396475E-3</v>
      </c>
      <c r="AF204" s="2">
        <f t="shared" si="88"/>
        <v>3.5417139379856244E-2</v>
      </c>
      <c r="AG204" s="2" t="s">
        <v>1175</v>
      </c>
    </row>
    <row r="205" spans="1:33" x14ac:dyDescent="0.3">
      <c r="A205">
        <v>302910</v>
      </c>
      <c r="B205" t="s">
        <v>419</v>
      </c>
      <c r="C205" t="s">
        <v>417</v>
      </c>
      <c r="D205" t="s">
        <v>420</v>
      </c>
      <c r="E205" s="18">
        <v>5.4</v>
      </c>
      <c r="F205" s="19">
        <f t="shared" si="70"/>
        <v>0.48888888888888893</v>
      </c>
      <c r="G205" s="2">
        <v>76.886629200000002</v>
      </c>
      <c r="H205" s="2">
        <f t="shared" si="71"/>
        <v>0.43708277459054468</v>
      </c>
      <c r="I205" s="2">
        <v>54.8</v>
      </c>
      <c r="J205" s="4">
        <f t="shared" si="72"/>
        <v>0.26589034449296456</v>
      </c>
      <c r="K205" s="2">
        <v>0</v>
      </c>
      <c r="L205" s="4">
        <f t="shared" si="73"/>
        <v>0</v>
      </c>
      <c r="M205" s="2">
        <v>18588</v>
      </c>
      <c r="N205" s="2">
        <f t="shared" si="74"/>
        <v>8.6816841965810757E-2</v>
      </c>
      <c r="O205" s="2">
        <v>0.314918421</v>
      </c>
      <c r="P205" s="2">
        <f t="shared" si="75"/>
        <v>0.28634013818952747</v>
      </c>
      <c r="Q205" s="2">
        <v>0.32190000000000002</v>
      </c>
      <c r="R205" s="2">
        <f t="shared" si="76"/>
        <v>0.77272727272727282</v>
      </c>
      <c r="S205" s="2">
        <f t="shared" si="77"/>
        <v>6.3695762144705265E-2</v>
      </c>
      <c r="T205" s="5">
        <f t="shared" si="69"/>
        <v>0.12851600369449909</v>
      </c>
      <c r="U205" s="2" t="str">
        <f t="shared" si="78"/>
        <v>No Impact</v>
      </c>
      <c r="V205" s="2">
        <f t="shared" si="79"/>
        <v>9.2948667967708454E-2</v>
      </c>
      <c r="W205" s="2">
        <f t="shared" si="80"/>
        <v>0.1674348739568286</v>
      </c>
      <c r="X205" s="2" t="s">
        <v>1175</v>
      </c>
      <c r="Y205" s="2">
        <f t="shared" si="81"/>
        <v>3.4442856321702062E-2</v>
      </c>
      <c r="Z205" s="2">
        <f t="shared" si="82"/>
        <v>7.308135822201299E-2</v>
      </c>
      <c r="AA205" s="2" t="str">
        <f t="shared" si="83"/>
        <v>No Impact</v>
      </c>
      <c r="AB205" s="2">
        <f t="shared" si="84"/>
        <v>4.6519903955662439E-2</v>
      </c>
      <c r="AC205" s="2">
        <f t="shared" si="85"/>
        <v>0.1293068223325804</v>
      </c>
      <c r="AD205" s="2" t="str">
        <f t="shared" si="86"/>
        <v>No Impact</v>
      </c>
      <c r="AE205" s="2">
        <f t="shared" si="87"/>
        <v>1.0442895058439618E-2</v>
      </c>
      <c r="AF205" s="2">
        <f t="shared" si="88"/>
        <v>5.3799053819338388E-2</v>
      </c>
      <c r="AG205" s="2" t="s">
        <v>1175</v>
      </c>
    </row>
    <row r="206" spans="1:33" x14ac:dyDescent="0.3">
      <c r="A206">
        <v>302918</v>
      </c>
      <c r="B206" t="s">
        <v>421</v>
      </c>
      <c r="C206" t="s">
        <v>417</v>
      </c>
      <c r="D206" t="s">
        <v>422</v>
      </c>
      <c r="E206" s="18">
        <v>5.5</v>
      </c>
      <c r="F206" s="19">
        <f t="shared" si="70"/>
        <v>0.51111111111111107</v>
      </c>
      <c r="G206" s="2">
        <v>83.650690800000007</v>
      </c>
      <c r="H206" s="2">
        <f t="shared" si="71"/>
        <v>0.50248055867468444</v>
      </c>
      <c r="I206" s="2">
        <v>68.7</v>
      </c>
      <c r="J206" s="4">
        <f t="shared" si="72"/>
        <v>0.33333333333333337</v>
      </c>
      <c r="K206" s="2">
        <v>0</v>
      </c>
      <c r="L206" s="4">
        <f t="shared" si="73"/>
        <v>0</v>
      </c>
      <c r="M206" s="2">
        <v>27398</v>
      </c>
      <c r="N206" s="2">
        <f t="shared" si="74"/>
        <v>0.12850066003321459</v>
      </c>
      <c r="O206" s="2">
        <v>0.210512849</v>
      </c>
      <c r="P206" s="2">
        <f t="shared" si="75"/>
        <v>0.16573185138365243</v>
      </c>
      <c r="Q206" s="2">
        <v>0.32919999999999999</v>
      </c>
      <c r="R206" s="2">
        <f t="shared" si="76"/>
        <v>0.79386218876664738</v>
      </c>
      <c r="S206" s="2">
        <f t="shared" si="77"/>
        <v>7.1738203744867182E-2</v>
      </c>
      <c r="T206" s="5">
        <f t="shared" si="69"/>
        <v>0.14474286745430606</v>
      </c>
      <c r="U206" s="2" t="str">
        <f t="shared" si="78"/>
        <v>No Impact</v>
      </c>
      <c r="V206" s="2">
        <f t="shared" si="79"/>
        <v>0.11869654262164432</v>
      </c>
      <c r="W206" s="2">
        <f t="shared" si="80"/>
        <v>0.21381630406872326</v>
      </c>
      <c r="X206" s="2" t="s">
        <v>1175</v>
      </c>
      <c r="Y206" s="2">
        <f t="shared" si="81"/>
        <v>2.4779864868090057E-2</v>
      </c>
      <c r="Z206" s="2">
        <f t="shared" si="82"/>
        <v>5.257828108689426E-2</v>
      </c>
      <c r="AA206" s="2" t="str">
        <f t="shared" si="83"/>
        <v>No Impact</v>
      </c>
      <c r="AB206" s="2">
        <f t="shared" si="84"/>
        <v>5.5702347803559808E-2</v>
      </c>
      <c r="AC206" s="2">
        <f t="shared" si="85"/>
        <v>0.15483036245748288</v>
      </c>
      <c r="AD206" s="2" t="str">
        <f t="shared" si="86"/>
        <v>Low</v>
      </c>
      <c r="AE206" s="2">
        <f t="shared" si="87"/>
        <v>1.9213138358735105E-2</v>
      </c>
      <c r="AF206" s="2">
        <f t="shared" si="88"/>
        <v>9.8981044893735909E-2</v>
      </c>
      <c r="AG206" s="2" t="s">
        <v>1175</v>
      </c>
    </row>
    <row r="207" spans="1:33" x14ac:dyDescent="0.3">
      <c r="A207">
        <v>302921</v>
      </c>
      <c r="B207" t="s">
        <v>423</v>
      </c>
      <c r="C207" t="s">
        <v>417</v>
      </c>
      <c r="D207" t="s">
        <v>424</v>
      </c>
      <c r="E207" s="18">
        <v>5.4</v>
      </c>
      <c r="F207" s="19">
        <f t="shared" si="70"/>
        <v>0.48888888888888893</v>
      </c>
      <c r="G207" s="2">
        <v>74.344831200000002</v>
      </c>
      <c r="H207" s="2">
        <f t="shared" si="71"/>
        <v>0.41250760561374261</v>
      </c>
      <c r="I207" s="2">
        <v>48</v>
      </c>
      <c r="J207" s="4">
        <f t="shared" si="72"/>
        <v>0.23289665211062591</v>
      </c>
      <c r="K207" s="2">
        <v>0</v>
      </c>
      <c r="L207" s="4">
        <f t="shared" si="73"/>
        <v>0</v>
      </c>
      <c r="M207" s="2">
        <v>8877</v>
      </c>
      <c r="N207" s="2">
        <f t="shared" si="74"/>
        <v>4.0870013673806382E-2</v>
      </c>
      <c r="O207" s="2">
        <v>0.34518075599999998</v>
      </c>
      <c r="P207" s="2">
        <f t="shared" si="75"/>
        <v>0.32129888904140219</v>
      </c>
      <c r="Q207" s="2">
        <v>0.22620000000000001</v>
      </c>
      <c r="R207" s="2">
        <f t="shared" si="76"/>
        <v>0.49565720903300531</v>
      </c>
      <c r="S207" s="2">
        <f t="shared" si="77"/>
        <v>4.5110616326083805E-2</v>
      </c>
      <c r="T207" s="5">
        <f t="shared" si="69"/>
        <v>9.1017611521052047E-2</v>
      </c>
      <c r="U207" s="2" t="str">
        <f t="shared" si="78"/>
        <v>No Impact</v>
      </c>
      <c r="V207" s="2">
        <f t="shared" si="79"/>
        <v>5.4738320060642852E-2</v>
      </c>
      <c r="W207" s="2">
        <f t="shared" si="80"/>
        <v>9.8603927526388552E-2</v>
      </c>
      <c r="X207" s="2" t="s">
        <v>1176</v>
      </c>
      <c r="Y207" s="2">
        <f t="shared" si="81"/>
        <v>3.5482912591524765E-2</v>
      </c>
      <c r="Z207" s="2">
        <f t="shared" si="82"/>
        <v>7.5288164885084982E-2</v>
      </c>
      <c r="AA207" s="2" t="str">
        <f t="shared" si="83"/>
        <v>No Impact</v>
      </c>
      <c r="AB207" s="2">
        <f t="shared" si="84"/>
        <v>3.1383015795555608E-2</v>
      </c>
      <c r="AC207" s="2">
        <f t="shared" si="85"/>
        <v>8.7232296343606811E-2</v>
      </c>
      <c r="AD207" s="2" t="str">
        <f t="shared" si="86"/>
        <v>No Impact</v>
      </c>
      <c r="AE207" s="2">
        <f t="shared" si="87"/>
        <v>4.5135142767805348E-3</v>
      </c>
      <c r="AF207" s="2">
        <f t="shared" si="88"/>
        <v>2.3252440643327776E-2</v>
      </c>
      <c r="AG207" s="2" t="s">
        <v>1176</v>
      </c>
    </row>
    <row r="208" spans="1:33" x14ac:dyDescent="0.3">
      <c r="A208">
        <v>302947</v>
      </c>
      <c r="B208" t="s">
        <v>425</v>
      </c>
      <c r="C208" t="s">
        <v>417</v>
      </c>
      <c r="D208" t="s">
        <v>426</v>
      </c>
      <c r="E208" s="18">
        <v>5.5</v>
      </c>
      <c r="F208" s="19">
        <f t="shared" si="70"/>
        <v>0.51111111111111107</v>
      </c>
      <c r="G208" s="2">
        <v>74.344831200000002</v>
      </c>
      <c r="H208" s="2">
        <f t="shared" si="71"/>
        <v>0.41250760561374261</v>
      </c>
      <c r="I208" s="2">
        <v>46.1</v>
      </c>
      <c r="J208" s="4">
        <f t="shared" si="72"/>
        <v>0.22367782629791363</v>
      </c>
      <c r="K208" s="2">
        <v>0</v>
      </c>
      <c r="L208" s="4">
        <f t="shared" si="73"/>
        <v>0</v>
      </c>
      <c r="M208" s="2">
        <v>53061</v>
      </c>
      <c r="N208" s="2">
        <f t="shared" si="74"/>
        <v>0.24992311441048862</v>
      </c>
      <c r="O208" s="2">
        <v>0.17755600099999999</v>
      </c>
      <c r="P208" s="2">
        <f t="shared" si="75"/>
        <v>0.12766042569574346</v>
      </c>
      <c r="Q208" s="2">
        <v>0.28889999999999999</v>
      </c>
      <c r="R208" s="2">
        <f t="shared" si="76"/>
        <v>0.67718587145338738</v>
      </c>
      <c r="S208" s="2">
        <f t="shared" si="77"/>
        <v>4.5798372087258343E-2</v>
      </c>
      <c r="T208" s="5">
        <f t="shared" si="69"/>
        <v>9.2405264623360794E-2</v>
      </c>
      <c r="U208" s="2" t="str">
        <f t="shared" si="78"/>
        <v>No Impact</v>
      </c>
      <c r="V208" s="2">
        <f t="shared" si="79"/>
        <v>7.7068157293913517E-2</v>
      </c>
      <c r="W208" s="2">
        <f t="shared" si="80"/>
        <v>0.1388282100726223</v>
      </c>
      <c r="X208" s="2" t="s">
        <v>1176</v>
      </c>
      <c r="Y208" s="2">
        <f t="shared" si="81"/>
        <v>1.4528586880603179E-2</v>
      </c>
      <c r="Z208" s="2">
        <f t="shared" si="82"/>
        <v>3.0826968947171501E-2</v>
      </c>
      <c r="AA208" s="2" t="str">
        <f t="shared" si="83"/>
        <v>No Impact</v>
      </c>
      <c r="AB208" s="2">
        <f t="shared" si="84"/>
        <v>4.1287437780142773E-2</v>
      </c>
      <c r="AC208" s="2">
        <f t="shared" si="85"/>
        <v>0.11476264840728571</v>
      </c>
      <c r="AD208" s="2" t="str">
        <f t="shared" si="86"/>
        <v>No Impact</v>
      </c>
      <c r="AE208" s="2">
        <f t="shared" si="87"/>
        <v>2.844287618026313E-2</v>
      </c>
      <c r="AF208" s="2">
        <f t="shared" si="88"/>
        <v>0.14653023111269273</v>
      </c>
      <c r="AG208" s="2" t="s">
        <v>1175</v>
      </c>
    </row>
    <row r="209" spans="1:33" x14ac:dyDescent="0.3">
      <c r="A209">
        <v>302956</v>
      </c>
      <c r="B209" t="s">
        <v>427</v>
      </c>
      <c r="C209" t="s">
        <v>417</v>
      </c>
      <c r="D209" t="s">
        <v>428</v>
      </c>
      <c r="E209" s="18">
        <v>5.5</v>
      </c>
      <c r="F209" s="19">
        <f t="shared" si="70"/>
        <v>0.51111111111111107</v>
      </c>
      <c r="G209" s="2">
        <v>77.319050399999995</v>
      </c>
      <c r="H209" s="2">
        <f t="shared" si="71"/>
        <v>0.44126360408964388</v>
      </c>
      <c r="I209" s="2">
        <v>59.8</v>
      </c>
      <c r="J209" s="4">
        <f t="shared" si="72"/>
        <v>0.29015041242115475</v>
      </c>
      <c r="K209" s="2">
        <v>0</v>
      </c>
      <c r="L209" s="4">
        <f t="shared" si="73"/>
        <v>0</v>
      </c>
      <c r="M209" s="2">
        <v>19899</v>
      </c>
      <c r="N209" s="2">
        <f t="shared" si="74"/>
        <v>9.3019734756544736E-2</v>
      </c>
      <c r="O209" s="2">
        <v>0.41403199000000002</v>
      </c>
      <c r="P209" s="2">
        <f t="shared" si="75"/>
        <v>0.40083515533579517</v>
      </c>
      <c r="Q209" s="2">
        <v>0.29730000000000001</v>
      </c>
      <c r="R209" s="2">
        <f t="shared" si="76"/>
        <v>0.70150550086855823</v>
      </c>
      <c r="S209" s="2">
        <f t="shared" si="77"/>
        <v>7.2116140285405347E-2</v>
      </c>
      <c r="T209" s="5">
        <f t="shared" si="69"/>
        <v>0.14550541259396141</v>
      </c>
      <c r="U209" s="2" t="str">
        <f t="shared" si="78"/>
        <v>No Impact</v>
      </c>
      <c r="V209" s="2">
        <f t="shared" si="79"/>
        <v>9.1786271016828166E-2</v>
      </c>
      <c r="W209" s="2">
        <f t="shared" si="80"/>
        <v>0.16534096781256777</v>
      </c>
      <c r="X209" s="2" t="s">
        <v>1175</v>
      </c>
      <c r="Y209" s="2">
        <f t="shared" si="81"/>
        <v>5.2446009553982535E-2</v>
      </c>
      <c r="Z209" s="2">
        <f t="shared" si="82"/>
        <v>0.11128071306660743</v>
      </c>
      <c r="AA209" s="2" t="str">
        <f t="shared" si="83"/>
        <v>No Impact</v>
      </c>
      <c r="AB209" s="2">
        <f t="shared" si="84"/>
        <v>5.2118803384046355E-2</v>
      </c>
      <c r="AC209" s="2">
        <f t="shared" si="85"/>
        <v>0.14486953489393986</v>
      </c>
      <c r="AD209" s="2" t="str">
        <f t="shared" si="86"/>
        <v>No Impact</v>
      </c>
      <c r="AE209" s="2">
        <f t="shared" si="87"/>
        <v>1.2170873319890682E-2</v>
      </c>
      <c r="AF209" s="2">
        <f t="shared" si="88"/>
        <v>6.2701144184722488E-2</v>
      </c>
      <c r="AG209" s="2" t="s">
        <v>1175</v>
      </c>
    </row>
    <row r="210" spans="1:33" x14ac:dyDescent="0.3">
      <c r="A210">
        <v>302962</v>
      </c>
      <c r="B210" t="s">
        <v>429</v>
      </c>
      <c r="C210" t="s">
        <v>417</v>
      </c>
      <c r="D210" t="s">
        <v>430</v>
      </c>
      <c r="E210" s="18">
        <v>5.4</v>
      </c>
      <c r="F210" s="19">
        <f t="shared" si="70"/>
        <v>0.48888888888888893</v>
      </c>
      <c r="G210" s="2">
        <v>83.650690800000007</v>
      </c>
      <c r="H210" s="2">
        <f t="shared" si="71"/>
        <v>0.50248055867468444</v>
      </c>
      <c r="I210" s="2">
        <v>61.6</v>
      </c>
      <c r="J210" s="4">
        <f t="shared" si="72"/>
        <v>0.29888403687530324</v>
      </c>
      <c r="K210" s="2">
        <v>0</v>
      </c>
      <c r="L210" s="4">
        <f t="shared" si="73"/>
        <v>0</v>
      </c>
      <c r="M210" s="2">
        <v>16580</v>
      </c>
      <c r="N210" s="2">
        <f t="shared" si="74"/>
        <v>7.7316148812649921E-2</v>
      </c>
      <c r="O210" s="2">
        <v>0.29647875099999998</v>
      </c>
      <c r="P210" s="2">
        <f t="shared" si="75"/>
        <v>0.26503881331420676</v>
      </c>
      <c r="Q210" s="2">
        <v>0.33800000000000002</v>
      </c>
      <c r="R210" s="2">
        <f t="shared" si="76"/>
        <v>0.81933989577301691</v>
      </c>
      <c r="S210" s="2">
        <f t="shared" si="77"/>
        <v>7.4346298148404405E-2</v>
      </c>
      <c r="T210" s="5">
        <f t="shared" si="69"/>
        <v>0.1500050993315088</v>
      </c>
      <c r="U210" s="2" t="str">
        <f t="shared" si="78"/>
        <v>Low</v>
      </c>
      <c r="V210" s="2">
        <f t="shared" si="79"/>
        <v>0.11234984173988154</v>
      </c>
      <c r="W210" s="2">
        <f t="shared" si="80"/>
        <v>0.20238355214861156</v>
      </c>
      <c r="X210" s="2" t="s">
        <v>1175</v>
      </c>
      <c r="Y210" s="2">
        <f t="shared" si="81"/>
        <v>3.6342754556927287E-2</v>
      </c>
      <c r="Z210" s="2">
        <f t="shared" si="82"/>
        <v>7.7112590191191419E-2</v>
      </c>
      <c r="AA210" s="2" t="str">
        <f t="shared" si="83"/>
        <v>No Impact</v>
      </c>
      <c r="AB210" s="2">
        <f t="shared" si="84"/>
        <v>5.3935892166031445E-2</v>
      </c>
      <c r="AC210" s="2">
        <f t="shared" si="85"/>
        <v>0.14992031867282751</v>
      </c>
      <c r="AD210" s="2" t="str">
        <f t="shared" si="86"/>
        <v>No Impact</v>
      </c>
      <c r="AE210" s="2">
        <f t="shared" si="87"/>
        <v>1.0601774828556343E-2</v>
      </c>
      <c r="AF210" s="2">
        <f t="shared" si="88"/>
        <v>5.4617560685057194E-2</v>
      </c>
      <c r="AG210" s="2" t="s">
        <v>1175</v>
      </c>
    </row>
    <row r="211" spans="1:33" x14ac:dyDescent="0.3">
      <c r="A211">
        <v>302984</v>
      </c>
      <c r="B211" t="s">
        <v>431</v>
      </c>
      <c r="C211" t="s">
        <v>417</v>
      </c>
      <c r="D211" t="s">
        <v>432</v>
      </c>
      <c r="E211" s="18">
        <v>5.4</v>
      </c>
      <c r="F211" s="19">
        <f t="shared" si="70"/>
        <v>0.48888888888888893</v>
      </c>
      <c r="G211" s="2">
        <v>76.886629200000002</v>
      </c>
      <c r="H211" s="2">
        <f t="shared" si="71"/>
        <v>0.43708277459054468</v>
      </c>
      <c r="I211" s="2">
        <v>50.7</v>
      </c>
      <c r="J211" s="4">
        <f t="shared" si="72"/>
        <v>0.24599708879184864</v>
      </c>
      <c r="K211" s="2">
        <v>0</v>
      </c>
      <c r="L211" s="4">
        <f t="shared" si="73"/>
        <v>0</v>
      </c>
      <c r="M211" s="2">
        <v>32677</v>
      </c>
      <c r="N211" s="2">
        <f t="shared" si="74"/>
        <v>0.1534778309274058</v>
      </c>
      <c r="O211" s="2">
        <v>0.16589859400000001</v>
      </c>
      <c r="P211" s="2">
        <f t="shared" si="75"/>
        <v>0.11419390413050734</v>
      </c>
      <c r="Q211" s="2">
        <v>0.28960000000000002</v>
      </c>
      <c r="R211" s="2">
        <f t="shared" si="76"/>
        <v>0.6792125072379851</v>
      </c>
      <c r="S211" s="2">
        <f t="shared" si="77"/>
        <v>4.6367684019434967E-2</v>
      </c>
      <c r="T211" s="5">
        <f t="shared" si="69"/>
        <v>9.3553939070692385E-2</v>
      </c>
      <c r="U211" s="2" t="str">
        <f t="shared" si="78"/>
        <v>No Impact</v>
      </c>
      <c r="V211" s="2">
        <f t="shared" si="79"/>
        <v>7.9388092827074777E-2</v>
      </c>
      <c r="W211" s="2">
        <f t="shared" si="80"/>
        <v>0.14300727064525764</v>
      </c>
      <c r="X211" s="2" t="s">
        <v>1176</v>
      </c>
      <c r="Y211" s="2">
        <f t="shared" si="81"/>
        <v>1.3347275211795153E-2</v>
      </c>
      <c r="Z211" s="2">
        <f t="shared" si="82"/>
        <v>2.8320444504667395E-2</v>
      </c>
      <c r="AA211" s="2" t="str">
        <f t="shared" si="83"/>
        <v>No Impact</v>
      </c>
      <c r="AB211" s="2">
        <f t="shared" si="84"/>
        <v>3.8068623375966032E-2</v>
      </c>
      <c r="AC211" s="2">
        <f t="shared" si="85"/>
        <v>0.10581562515721363</v>
      </c>
      <c r="AD211" s="2" t="str">
        <f t="shared" si="86"/>
        <v>No Impact</v>
      </c>
      <c r="AE211" s="2">
        <f t="shared" si="87"/>
        <v>1.7938880922718042E-2</v>
      </c>
      <c r="AF211" s="2">
        <f t="shared" si="88"/>
        <v>9.2416405107896921E-2</v>
      </c>
      <c r="AG211" s="2" t="s">
        <v>1175</v>
      </c>
    </row>
    <row r="212" spans="1:33" x14ac:dyDescent="0.3">
      <c r="A212">
        <v>302990</v>
      </c>
      <c r="B212" t="s">
        <v>433</v>
      </c>
      <c r="C212" t="s">
        <v>417</v>
      </c>
      <c r="D212" t="s">
        <v>434</v>
      </c>
      <c r="E212" s="18">
        <v>5.4</v>
      </c>
      <c r="F212" s="19">
        <f t="shared" si="70"/>
        <v>0.48888888888888893</v>
      </c>
      <c r="G212" s="2">
        <v>83.650690800000007</v>
      </c>
      <c r="H212" s="2">
        <f t="shared" si="71"/>
        <v>0.50248055867468444</v>
      </c>
      <c r="I212" s="2">
        <v>66.2</v>
      </c>
      <c r="J212" s="4">
        <f t="shared" si="72"/>
        <v>0.32120329936923825</v>
      </c>
      <c r="K212" s="2">
        <v>0</v>
      </c>
      <c r="L212" s="4">
        <f t="shared" si="73"/>
        <v>0</v>
      </c>
      <c r="M212" s="2">
        <v>15640</v>
      </c>
      <c r="N212" s="2">
        <f t="shared" si="74"/>
        <v>7.2868613173222047E-2</v>
      </c>
      <c r="O212" s="2">
        <v>0.37743609299999997</v>
      </c>
      <c r="P212" s="2">
        <f t="shared" si="75"/>
        <v>0.35855993614256798</v>
      </c>
      <c r="Q212" s="2">
        <v>0.36020000000000002</v>
      </c>
      <c r="R212" s="2">
        <f t="shared" si="76"/>
        <v>0.88361320208453975</v>
      </c>
      <c r="S212" s="2">
        <f t="shared" si="77"/>
        <v>8.7536847933015777E-2</v>
      </c>
      <c r="T212" s="5">
        <f t="shared" si="69"/>
        <v>0.17661906371112338</v>
      </c>
      <c r="U212" s="2" t="str">
        <f t="shared" si="78"/>
        <v>Low</v>
      </c>
      <c r="V212" s="2">
        <f t="shared" si="79"/>
        <v>0.12453773491330762</v>
      </c>
      <c r="W212" s="2">
        <f t="shared" si="80"/>
        <v>0.22433844835003799</v>
      </c>
      <c r="X212" s="2" t="s">
        <v>1175</v>
      </c>
      <c r="Y212" s="2">
        <f t="shared" si="81"/>
        <v>5.0535960952723911E-2</v>
      </c>
      <c r="Z212" s="2">
        <f t="shared" si="82"/>
        <v>0.10722794390175502</v>
      </c>
      <c r="AA212" s="2" t="str">
        <f t="shared" si="83"/>
        <v>No Impact</v>
      </c>
      <c r="AB212" s="2">
        <f t="shared" si="84"/>
        <v>6.2343568564490304E-2</v>
      </c>
      <c r="AC212" s="2">
        <f t="shared" si="85"/>
        <v>0.17329031357482727</v>
      </c>
      <c r="AD212" s="2" t="str">
        <f t="shared" si="86"/>
        <v>Low</v>
      </c>
      <c r="AE212" s="2">
        <f t="shared" si="87"/>
        <v>1.0270208740044202E-2</v>
      </c>
      <c r="AF212" s="2">
        <f t="shared" si="88"/>
        <v>5.2909419241452801E-2</v>
      </c>
      <c r="AG212" s="2" t="s">
        <v>1175</v>
      </c>
    </row>
    <row r="213" spans="1:33" x14ac:dyDescent="0.3">
      <c r="A213">
        <v>303330</v>
      </c>
      <c r="B213" t="s">
        <v>435</v>
      </c>
      <c r="C213" t="s">
        <v>436</v>
      </c>
      <c r="D213" t="s">
        <v>437</v>
      </c>
      <c r="E213" s="18">
        <v>4.8</v>
      </c>
      <c r="F213" s="19">
        <f t="shared" si="70"/>
        <v>0.35555555555555546</v>
      </c>
      <c r="G213" s="2">
        <v>52.901719200000002</v>
      </c>
      <c r="H213" s="2">
        <f t="shared" si="71"/>
        <v>0.20518660654596005</v>
      </c>
      <c r="I213" s="2">
        <v>22.6</v>
      </c>
      <c r="J213" s="4">
        <f t="shared" si="72"/>
        <v>0.10965550703541971</v>
      </c>
      <c r="K213" s="2">
        <v>0</v>
      </c>
      <c r="L213" s="4">
        <f t="shared" si="73"/>
        <v>0</v>
      </c>
      <c r="M213" s="2">
        <v>211592</v>
      </c>
      <c r="N213" s="2">
        <f t="shared" si="74"/>
        <v>1</v>
      </c>
      <c r="O213" s="2">
        <v>0.42393068299999997</v>
      </c>
      <c r="P213" s="2">
        <f t="shared" si="75"/>
        <v>0.41227002783807221</v>
      </c>
      <c r="Q213" s="2">
        <v>0.24709999999999999</v>
      </c>
      <c r="R213" s="2">
        <f t="shared" si="76"/>
        <v>0.55616676317313263</v>
      </c>
      <c r="S213" s="2">
        <f t="shared" si="77"/>
        <v>1.8971847138342719E-2</v>
      </c>
      <c r="T213" s="5">
        <f t="shared" si="69"/>
        <v>3.8278621604112481E-2</v>
      </c>
      <c r="U213" s="2" t="str">
        <f t="shared" si="78"/>
        <v>No Impact</v>
      </c>
      <c r="V213" s="2">
        <f t="shared" si="79"/>
        <v>2.1790809503075659E-2</v>
      </c>
      <c r="W213" s="2">
        <f t="shared" si="80"/>
        <v>3.925329455858674E-2</v>
      </c>
      <c r="X213" s="2" t="s">
        <v>1176</v>
      </c>
      <c r="Y213" s="2">
        <f t="shared" si="81"/>
        <v>1.615288477360978E-2</v>
      </c>
      <c r="Z213" s="2">
        <f t="shared" si="82"/>
        <v>3.4273428063957383E-2</v>
      </c>
      <c r="AA213" s="2" t="str">
        <f t="shared" si="83"/>
        <v>No Impact</v>
      </c>
      <c r="AB213" s="2">
        <f t="shared" si="84"/>
        <v>2.6185771927481723E-2</v>
      </c>
      <c r="AC213" s="2">
        <f t="shared" si="85"/>
        <v>7.2786026417756694E-2</v>
      </c>
      <c r="AD213" s="2" t="str">
        <f t="shared" si="86"/>
        <v>No Impact</v>
      </c>
      <c r="AE213" s="2">
        <f t="shared" si="87"/>
        <v>3.9180351912349462E-2</v>
      </c>
      <c r="AF213" s="2">
        <f t="shared" si="88"/>
        <v>0.20184688722784738</v>
      </c>
      <c r="AG213" s="2" t="s">
        <v>1175</v>
      </c>
    </row>
    <row r="214" spans="1:33" x14ac:dyDescent="0.3">
      <c r="A214">
        <v>303332</v>
      </c>
      <c r="B214" t="s">
        <v>438</v>
      </c>
      <c r="C214" t="s">
        <v>436</v>
      </c>
      <c r="D214" t="s">
        <v>439</v>
      </c>
      <c r="E214" s="18">
        <v>4.8</v>
      </c>
      <c r="F214" s="19">
        <f t="shared" si="70"/>
        <v>0.35555555555555546</v>
      </c>
      <c r="G214" s="2">
        <v>52.901719200000002</v>
      </c>
      <c r="H214" s="2">
        <f t="shared" si="71"/>
        <v>0.20518660654596005</v>
      </c>
      <c r="I214" s="2">
        <v>21.9</v>
      </c>
      <c r="J214" s="4">
        <f t="shared" si="72"/>
        <v>0.10625909752547306</v>
      </c>
      <c r="K214" s="2">
        <v>0</v>
      </c>
      <c r="L214" s="4">
        <f t="shared" si="73"/>
        <v>0</v>
      </c>
      <c r="M214" s="2">
        <v>85598</v>
      </c>
      <c r="N214" s="2">
        <f t="shared" si="74"/>
        <v>0.40386935600630225</v>
      </c>
      <c r="O214" s="2">
        <v>0.22940716999999999</v>
      </c>
      <c r="P214" s="2">
        <f t="shared" si="75"/>
        <v>0.18755838460900814</v>
      </c>
      <c r="Q214" s="2">
        <v>0.23710000000000001</v>
      </c>
      <c r="R214" s="2">
        <f t="shared" si="76"/>
        <v>0.52721482339316739</v>
      </c>
      <c r="S214" s="2">
        <f t="shared" si="77"/>
        <v>1.3851478356652807E-2</v>
      </c>
      <c r="T214" s="5">
        <f t="shared" si="69"/>
        <v>2.7947489498810256E-2</v>
      </c>
      <c r="U214" s="2" t="str">
        <f t="shared" si="78"/>
        <v>No Impact</v>
      </c>
      <c r="V214" s="2">
        <f t="shared" si="79"/>
        <v>2.0433627432534553E-2</v>
      </c>
      <c r="W214" s="2">
        <f t="shared" si="80"/>
        <v>3.6808508485950776E-2</v>
      </c>
      <c r="X214" s="2" t="s">
        <v>1176</v>
      </c>
      <c r="Y214" s="2">
        <f t="shared" si="81"/>
        <v>7.2693292807710606E-3</v>
      </c>
      <c r="Z214" s="2">
        <f t="shared" si="82"/>
        <v>1.542416959382842E-2</v>
      </c>
      <c r="AA214" s="2" t="str">
        <f t="shared" si="83"/>
        <v>No Impact</v>
      </c>
      <c r="AB214" s="2">
        <f t="shared" si="84"/>
        <v>1.481113320408836E-2</v>
      </c>
      <c r="AC214" s="2">
        <f t="shared" si="85"/>
        <v>4.1169056831900835E-2</v>
      </c>
      <c r="AD214" s="2" t="str">
        <f t="shared" si="86"/>
        <v>No Impact</v>
      </c>
      <c r="AE214" s="2">
        <f t="shared" si="87"/>
        <v>1.5653042338485568E-2</v>
      </c>
      <c r="AF214" s="2">
        <f t="shared" si="88"/>
        <v>8.0640364811862555E-2</v>
      </c>
      <c r="AG214" s="2" t="s">
        <v>1175</v>
      </c>
    </row>
    <row r="215" spans="1:33" x14ac:dyDescent="0.3">
      <c r="A215">
        <v>303334</v>
      </c>
      <c r="B215" t="s">
        <v>440</v>
      </c>
      <c r="C215" t="s">
        <v>436</v>
      </c>
      <c r="D215" t="s">
        <v>1139</v>
      </c>
      <c r="E215" s="18">
        <v>4.8</v>
      </c>
      <c r="F215" s="19">
        <f t="shared" si="70"/>
        <v>0.35555555555555546</v>
      </c>
      <c r="G215" s="2">
        <v>58.959140400000003</v>
      </c>
      <c r="H215" s="2">
        <f t="shared" si="71"/>
        <v>0.26375229491052049</v>
      </c>
      <c r="I215" s="2">
        <v>27.3</v>
      </c>
      <c r="J215" s="4">
        <f t="shared" si="72"/>
        <v>0.1324599708879185</v>
      </c>
      <c r="K215" s="2">
        <v>0</v>
      </c>
      <c r="L215" s="4">
        <f t="shared" si="73"/>
        <v>0</v>
      </c>
      <c r="M215" s="2">
        <v>42892</v>
      </c>
      <c r="N215" s="2">
        <f t="shared" si="74"/>
        <v>0.20180929534948641</v>
      </c>
      <c r="O215" s="2">
        <v>0.28873875599999999</v>
      </c>
      <c r="P215" s="2">
        <f t="shared" si="75"/>
        <v>0.25609764744581764</v>
      </c>
      <c r="Q215" s="2">
        <v>0.2225</v>
      </c>
      <c r="R215" s="2">
        <f t="shared" si="76"/>
        <v>0.48494499131441809</v>
      </c>
      <c r="S215" s="2">
        <f t="shared" si="77"/>
        <v>1.8269078050623371E-2</v>
      </c>
      <c r="T215" s="5">
        <f t="shared" si="69"/>
        <v>3.6860676804762481E-2</v>
      </c>
      <c r="U215" s="2" t="str">
        <f t="shared" si="78"/>
        <v>No Impact</v>
      </c>
      <c r="V215" s="2">
        <f t="shared" si="79"/>
        <v>2.3910899139093847E-2</v>
      </c>
      <c r="W215" s="2">
        <f t="shared" si="80"/>
        <v>4.307235887381939E-2</v>
      </c>
      <c r="X215" s="2" t="s">
        <v>1176</v>
      </c>
      <c r="Y215" s="2">
        <f t="shared" si="81"/>
        <v>1.2627256962152894E-2</v>
      </c>
      <c r="Z215" s="2">
        <f t="shared" si="82"/>
        <v>2.6792699211506635E-2</v>
      </c>
      <c r="AA215" s="2" t="str">
        <f t="shared" si="83"/>
        <v>No Impact</v>
      </c>
      <c r="AB215" s="2">
        <f t="shared" si="84"/>
        <v>1.5639664312049349E-2</v>
      </c>
      <c r="AC215" s="2">
        <f t="shared" si="85"/>
        <v>4.3472043632480577E-2</v>
      </c>
      <c r="AD215" s="2" t="str">
        <f t="shared" si="86"/>
        <v>No Impact</v>
      </c>
      <c r="AE215" s="2">
        <f t="shared" si="87"/>
        <v>9.950492927773235E-3</v>
      </c>
      <c r="AF215" s="2">
        <f t="shared" si="88"/>
        <v>5.1262327310048358E-2</v>
      </c>
      <c r="AG215" s="2" t="s">
        <v>1175</v>
      </c>
    </row>
    <row r="216" spans="1:33" x14ac:dyDescent="0.3">
      <c r="A216">
        <v>303336</v>
      </c>
      <c r="B216" t="s">
        <v>441</v>
      </c>
      <c r="C216" t="s">
        <v>436</v>
      </c>
      <c r="D216" t="s">
        <v>442</v>
      </c>
      <c r="E216" s="18">
        <v>4.8</v>
      </c>
      <c r="F216" s="19">
        <f t="shared" si="70"/>
        <v>0.35555555555555546</v>
      </c>
      <c r="G216" s="2">
        <v>51.073596000000002</v>
      </c>
      <c r="H216" s="2">
        <f t="shared" si="71"/>
        <v>0.18751154481783999</v>
      </c>
      <c r="I216" s="2">
        <v>24.4</v>
      </c>
      <c r="J216" s="4">
        <f t="shared" si="72"/>
        <v>0.11838913148956817</v>
      </c>
      <c r="K216" s="2">
        <v>0</v>
      </c>
      <c r="L216" s="4">
        <f t="shared" si="73"/>
        <v>0</v>
      </c>
      <c r="M216" s="2">
        <v>53557</v>
      </c>
      <c r="N216" s="2">
        <f t="shared" si="74"/>
        <v>0.2522698991734208</v>
      </c>
      <c r="O216" s="2">
        <v>0.44531024299999999</v>
      </c>
      <c r="P216" s="2">
        <f t="shared" si="75"/>
        <v>0.43696748463916529</v>
      </c>
      <c r="Q216" s="2">
        <v>0.28610000000000002</v>
      </c>
      <c r="R216" s="2">
        <f t="shared" si="76"/>
        <v>0.66907932831499717</v>
      </c>
      <c r="S216" s="2">
        <f t="shared" si="77"/>
        <v>2.1052295793531742E-2</v>
      </c>
      <c r="T216" s="5">
        <f t="shared" si="69"/>
        <v>4.2476246972799801E-2</v>
      </c>
      <c r="U216" s="2" t="str">
        <f t="shared" si="78"/>
        <v>No Impact</v>
      </c>
      <c r="V216" s="2">
        <f t="shared" si="79"/>
        <v>2.5470270813227516E-2</v>
      </c>
      <c r="W216" s="2">
        <f t="shared" si="80"/>
        <v>4.5881363084628812E-2</v>
      </c>
      <c r="X216" s="2" t="s">
        <v>1176</v>
      </c>
      <c r="Y216" s="2">
        <f t="shared" si="81"/>
        <v>1.6634320773835969E-2</v>
      </c>
      <c r="Z216" s="2">
        <f t="shared" si="82"/>
        <v>3.5294946037521445E-2</v>
      </c>
      <c r="AA216" s="2" t="str">
        <f t="shared" si="83"/>
        <v>No Impact</v>
      </c>
      <c r="AB216" s="2">
        <f t="shared" si="84"/>
        <v>1.7266052888503445E-2</v>
      </c>
      <c r="AC216" s="2">
        <f t="shared" si="85"/>
        <v>4.7992756721220511E-2</v>
      </c>
      <c r="AD216" s="2" t="str">
        <f t="shared" si="86"/>
        <v>No Impact</v>
      </c>
      <c r="AE216" s="2">
        <f t="shared" si="87"/>
        <v>9.603319633494355E-3</v>
      </c>
      <c r="AF216" s="2">
        <f t="shared" si="88"/>
        <v>4.9473781639616493E-2</v>
      </c>
      <c r="AG216" s="2" t="s">
        <v>1175</v>
      </c>
    </row>
    <row r="217" spans="1:33" x14ac:dyDescent="0.3">
      <c r="A217">
        <v>303386</v>
      </c>
      <c r="B217" t="s">
        <v>443</v>
      </c>
      <c r="C217" t="s">
        <v>436</v>
      </c>
      <c r="D217" t="s">
        <v>1140</v>
      </c>
      <c r="E217" s="18">
        <v>4.7</v>
      </c>
      <c r="F217" s="19">
        <f t="shared" si="70"/>
        <v>0.33333333333333331</v>
      </c>
      <c r="G217" s="2">
        <v>51.073596000000002</v>
      </c>
      <c r="H217" s="2">
        <f t="shared" si="71"/>
        <v>0.18751154481783999</v>
      </c>
      <c r="I217" s="2">
        <v>21.6</v>
      </c>
      <c r="J217" s="4">
        <f t="shared" si="72"/>
        <v>0.10480349344978167</v>
      </c>
      <c r="K217" s="2">
        <v>0</v>
      </c>
      <c r="L217" s="4">
        <f t="shared" si="73"/>
        <v>0</v>
      </c>
      <c r="M217" s="2">
        <v>93377</v>
      </c>
      <c r="N217" s="2">
        <f t="shared" si="74"/>
        <v>0.44067507913301446</v>
      </c>
      <c r="O217" s="2">
        <v>0.27834631500000001</v>
      </c>
      <c r="P217" s="2">
        <f t="shared" si="75"/>
        <v>0.24409240212480038</v>
      </c>
      <c r="Q217" s="2">
        <v>0.28070000000000001</v>
      </c>
      <c r="R217" s="2">
        <f t="shared" si="76"/>
        <v>0.65344528083381592</v>
      </c>
      <c r="S217" s="2">
        <f t="shared" si="77"/>
        <v>1.5304552791539689E-2</v>
      </c>
      <c r="T217" s="5">
        <f t="shared" si="69"/>
        <v>3.0879290817366702E-2</v>
      </c>
      <c r="U217" s="2" t="str">
        <f t="shared" si="78"/>
        <v>No Impact</v>
      </c>
      <c r="V217" s="2">
        <f t="shared" si="79"/>
        <v>2.2284719598485596E-2</v>
      </c>
      <c r="W217" s="2">
        <f t="shared" si="80"/>
        <v>4.0143009025497639E-2</v>
      </c>
      <c r="X217" s="2" t="s">
        <v>1176</v>
      </c>
      <c r="Y217" s="2">
        <f t="shared" si="81"/>
        <v>8.3243859845937834E-3</v>
      </c>
      <c r="Z217" s="2">
        <f t="shared" si="82"/>
        <v>1.766280439799307E-2</v>
      </c>
      <c r="AA217" s="2" t="str">
        <f t="shared" si="83"/>
        <v>No Impact</v>
      </c>
      <c r="AB217" s="2">
        <f t="shared" si="84"/>
        <v>1.5556952386845893E-2</v>
      </c>
      <c r="AC217" s="2">
        <f t="shared" si="85"/>
        <v>4.3242137392191203E-2</v>
      </c>
      <c r="AD217" s="2" t="str">
        <f t="shared" si="86"/>
        <v>No Impact</v>
      </c>
      <c r="AE217" s="2">
        <f t="shared" si="87"/>
        <v>1.5028527805708004E-2</v>
      </c>
      <c r="AF217" s="2">
        <f t="shared" si="88"/>
        <v>7.7423029889713155E-2</v>
      </c>
      <c r="AG217" s="2" t="s">
        <v>1175</v>
      </c>
    </row>
    <row r="218" spans="1:33" x14ac:dyDescent="0.3">
      <c r="A218">
        <v>303532</v>
      </c>
      <c r="B218" t="s">
        <v>444</v>
      </c>
      <c r="C218" t="s">
        <v>445</v>
      </c>
      <c r="D218" t="s">
        <v>446</v>
      </c>
      <c r="E218" s="18">
        <v>6</v>
      </c>
      <c r="F218" s="19">
        <f t="shared" si="70"/>
        <v>0.62222222222222223</v>
      </c>
      <c r="G218" s="2">
        <v>91.937019599999999</v>
      </c>
      <c r="H218" s="2">
        <f t="shared" si="71"/>
        <v>0.58259626041704993</v>
      </c>
      <c r="I218" s="2">
        <v>83.8</v>
      </c>
      <c r="J218" s="4">
        <f t="shared" si="72"/>
        <v>0.40659873847646771</v>
      </c>
      <c r="K218" s="2">
        <v>0</v>
      </c>
      <c r="L218" s="4">
        <f t="shared" si="73"/>
        <v>0</v>
      </c>
      <c r="M218" s="2">
        <v>31655</v>
      </c>
      <c r="N218" s="2">
        <f t="shared" si="74"/>
        <v>0.14864231877475126</v>
      </c>
      <c r="O218" s="2">
        <v>0.27454942999999998</v>
      </c>
      <c r="P218" s="2">
        <f t="shared" si="75"/>
        <v>0.23970627802934569</v>
      </c>
      <c r="Q218" s="2">
        <v>0.246</v>
      </c>
      <c r="R218" s="2">
        <f t="shared" si="76"/>
        <v>0.55298204979733645</v>
      </c>
      <c r="S218" s="2">
        <f t="shared" si="77"/>
        <v>8.5382318108452301E-2</v>
      </c>
      <c r="T218" s="5">
        <f t="shared" si="69"/>
        <v>0.17227196818121263</v>
      </c>
      <c r="U218" s="2" t="str">
        <f t="shared" si="78"/>
        <v>Low</v>
      </c>
      <c r="V218" s="2">
        <f t="shared" si="79"/>
        <v>0.11912598590548069</v>
      </c>
      <c r="W218" s="2">
        <f t="shared" si="80"/>
        <v>0.21458989000247469</v>
      </c>
      <c r="X218" s="2" t="s">
        <v>1175</v>
      </c>
      <c r="Y218" s="2">
        <f t="shared" si="81"/>
        <v>5.163865031142393E-2</v>
      </c>
      <c r="Z218" s="2">
        <f t="shared" si="82"/>
        <v>0.1095676463723652</v>
      </c>
      <c r="AA218" s="2" t="str">
        <f t="shared" si="83"/>
        <v>No Impact</v>
      </c>
      <c r="AB218" s="2">
        <f t="shared" si="84"/>
        <v>6.8393118995029992E-2</v>
      </c>
      <c r="AC218" s="2">
        <f t="shared" si="85"/>
        <v>0.1901056566043256</v>
      </c>
      <c r="AD218" s="2" t="str">
        <f t="shared" si="86"/>
        <v>Low</v>
      </c>
      <c r="AE218" s="2">
        <f t="shared" si="87"/>
        <v>3.2021225241955907E-2</v>
      </c>
      <c r="AF218" s="2">
        <f t="shared" si="88"/>
        <v>0.16496494607220069</v>
      </c>
      <c r="AG218" s="2" t="s">
        <v>1175</v>
      </c>
    </row>
    <row r="219" spans="1:33" x14ac:dyDescent="0.3">
      <c r="A219">
        <v>303543</v>
      </c>
      <c r="B219" t="s">
        <v>447</v>
      </c>
      <c r="C219" t="s">
        <v>445</v>
      </c>
      <c r="D219" t="s">
        <v>448</v>
      </c>
      <c r="E219" s="18">
        <v>6</v>
      </c>
      <c r="F219" s="19">
        <f t="shared" si="70"/>
        <v>0.62222222222222223</v>
      </c>
      <c r="G219" s="2">
        <v>91.937019599999999</v>
      </c>
      <c r="H219" s="2">
        <f t="shared" si="71"/>
        <v>0.58259626041704993</v>
      </c>
      <c r="I219" s="2">
        <v>83.8</v>
      </c>
      <c r="J219" s="4">
        <f t="shared" si="72"/>
        <v>0.40659873847646771</v>
      </c>
      <c r="K219" s="2">
        <v>0</v>
      </c>
      <c r="L219" s="4">
        <f t="shared" si="73"/>
        <v>0</v>
      </c>
      <c r="M219" s="2">
        <v>27057</v>
      </c>
      <c r="N219" s="2">
        <f t="shared" si="74"/>
        <v>0.1268872455086987</v>
      </c>
      <c r="O219" s="2">
        <v>0.21422947000000001</v>
      </c>
      <c r="P219" s="2">
        <f t="shared" si="75"/>
        <v>0.17002525529811727</v>
      </c>
      <c r="Q219" s="2">
        <v>0.28170000000000001</v>
      </c>
      <c r="R219" s="2">
        <f t="shared" si="76"/>
        <v>0.65634047481181246</v>
      </c>
      <c r="S219" s="2">
        <f t="shared" si="77"/>
        <v>8.9009790059122032E-2</v>
      </c>
      <c r="T219" s="5">
        <f t="shared" si="69"/>
        <v>0.17959095115459894</v>
      </c>
      <c r="U219" s="2" t="str">
        <f t="shared" si="78"/>
        <v>Low</v>
      </c>
      <c r="V219" s="2">
        <f t="shared" si="79"/>
        <v>0.14139194243336373</v>
      </c>
      <c r="W219" s="2">
        <f t="shared" si="80"/>
        <v>0.25469909980921995</v>
      </c>
      <c r="X219" s="2" t="s">
        <v>1175</v>
      </c>
      <c r="Y219" s="2">
        <f t="shared" si="81"/>
        <v>3.6627637684880303E-2</v>
      </c>
      <c r="Z219" s="2">
        <f t="shared" si="82"/>
        <v>7.7717059394642005E-2</v>
      </c>
      <c r="AA219" s="2" t="str">
        <f t="shared" si="83"/>
        <v>No Impact</v>
      </c>
      <c r="AB219" s="2">
        <f t="shared" si="84"/>
        <v>7.0042597032127729E-2</v>
      </c>
      <c r="AC219" s="2">
        <f t="shared" si="85"/>
        <v>0.19469054920616272</v>
      </c>
      <c r="AD219" s="2" t="str">
        <f t="shared" si="86"/>
        <v>Low</v>
      </c>
      <c r="AE219" s="2">
        <f t="shared" si="87"/>
        <v>2.7334645357103809E-2</v>
      </c>
      <c r="AF219" s="2">
        <f t="shared" si="88"/>
        <v>0.14082091685014889</v>
      </c>
      <c r="AG219" s="2" t="s">
        <v>1175</v>
      </c>
    </row>
    <row r="220" spans="1:33" x14ac:dyDescent="0.3">
      <c r="A220">
        <v>303551</v>
      </c>
      <c r="B220" t="s">
        <v>449</v>
      </c>
      <c r="C220" t="s">
        <v>445</v>
      </c>
      <c r="D220" t="s">
        <v>1141</v>
      </c>
      <c r="E220" s="18">
        <v>5.9</v>
      </c>
      <c r="F220" s="19">
        <f t="shared" si="70"/>
        <v>0.60000000000000009</v>
      </c>
      <c r="G220" s="2">
        <v>93.051471599999999</v>
      </c>
      <c r="H220" s="2">
        <f t="shared" si="71"/>
        <v>0.59337124970279764</v>
      </c>
      <c r="I220" s="2">
        <v>90.3</v>
      </c>
      <c r="J220" s="4">
        <f t="shared" si="72"/>
        <v>0.438136826783115</v>
      </c>
      <c r="K220" s="2">
        <v>0</v>
      </c>
      <c r="L220" s="4">
        <f t="shared" si="73"/>
        <v>0</v>
      </c>
      <c r="M220" s="2">
        <v>16777</v>
      </c>
      <c r="N220" s="2">
        <f t="shared" si="74"/>
        <v>7.8248238728572575E-2</v>
      </c>
      <c r="O220" s="2">
        <v>0.44293940199999998</v>
      </c>
      <c r="P220" s="2">
        <f t="shared" si="75"/>
        <v>0.43422871250448336</v>
      </c>
      <c r="Q220" s="2">
        <v>0.24249999999999999</v>
      </c>
      <c r="R220" s="2">
        <f t="shared" si="76"/>
        <v>0.54284887087434863</v>
      </c>
      <c r="S220" s="2">
        <f t="shared" si="77"/>
        <v>0.10582565895390332</v>
      </c>
      <c r="T220" s="5">
        <f t="shared" si="69"/>
        <v>0.21351955482054263</v>
      </c>
      <c r="U220" s="2" t="str">
        <f t="shared" si="78"/>
        <v>Low</v>
      </c>
      <c r="V220" s="2">
        <f t="shared" si="79"/>
        <v>0.11759012886981128</v>
      </c>
      <c r="W220" s="2">
        <f t="shared" si="80"/>
        <v>0.21182324433873739</v>
      </c>
      <c r="X220" s="2" t="s">
        <v>1175</v>
      </c>
      <c r="Y220" s="2">
        <f t="shared" si="81"/>
        <v>9.4061189037995332E-2</v>
      </c>
      <c r="Z220" s="2">
        <f t="shared" si="82"/>
        <v>0.19958041187608797</v>
      </c>
      <c r="AA220" s="2" t="str">
        <f t="shared" si="83"/>
        <v>Low</v>
      </c>
      <c r="AB220" s="2">
        <f t="shared" si="84"/>
        <v>7.5307358046952586E-2</v>
      </c>
      <c r="AC220" s="2">
        <f t="shared" si="85"/>
        <v>0.20932448993433547</v>
      </c>
      <c r="AD220" s="2" t="str">
        <f t="shared" si="86"/>
        <v>Low</v>
      </c>
      <c r="AE220" s="2">
        <f t="shared" si="87"/>
        <v>1.6949874946057285E-2</v>
      </c>
      <c r="AF220" s="2">
        <f t="shared" si="88"/>
        <v>8.7321305955002648E-2</v>
      </c>
      <c r="AG220" s="2" t="s">
        <v>1175</v>
      </c>
    </row>
    <row r="221" spans="1:33" x14ac:dyDescent="0.3">
      <c r="A221">
        <v>303558</v>
      </c>
      <c r="B221" t="s">
        <v>450</v>
      </c>
      <c r="C221" t="s">
        <v>445</v>
      </c>
      <c r="D221" t="s">
        <v>451</v>
      </c>
      <c r="E221" s="18">
        <v>6</v>
      </c>
      <c r="F221" s="19">
        <f t="shared" si="70"/>
        <v>0.62222222222222223</v>
      </c>
      <c r="G221" s="2">
        <v>83.650690800000007</v>
      </c>
      <c r="H221" s="2">
        <f t="shared" si="71"/>
        <v>0.50248055867468444</v>
      </c>
      <c r="I221" s="2">
        <v>74.099999999999994</v>
      </c>
      <c r="J221" s="4">
        <f t="shared" si="72"/>
        <v>0.35953420669577874</v>
      </c>
      <c r="K221" s="2">
        <v>0</v>
      </c>
      <c r="L221" s="4">
        <f t="shared" si="73"/>
        <v>0</v>
      </c>
      <c r="M221" s="2">
        <v>27947</v>
      </c>
      <c r="N221" s="2">
        <f t="shared" si="74"/>
        <v>0.13109821010347616</v>
      </c>
      <c r="O221" s="2">
        <v>0.440725115</v>
      </c>
      <c r="P221" s="2">
        <f t="shared" si="75"/>
        <v>0.43167079000618491</v>
      </c>
      <c r="Q221" s="2">
        <v>0.30680000000000002</v>
      </c>
      <c r="R221" s="2">
        <f t="shared" si="76"/>
        <v>0.72900984365952526</v>
      </c>
      <c r="S221" s="2">
        <f t="shared" si="77"/>
        <v>0.10894592969082223</v>
      </c>
      <c r="T221" s="5">
        <f t="shared" si="69"/>
        <v>0.2198151812806311</v>
      </c>
      <c r="U221" s="2" t="str">
        <f t="shared" si="78"/>
        <v>Low</v>
      </c>
      <c r="V221" s="2">
        <f t="shared" si="79"/>
        <v>0.13685531207738338</v>
      </c>
      <c r="W221" s="2">
        <f t="shared" si="80"/>
        <v>0.24652695330674201</v>
      </c>
      <c r="X221" s="2" t="s">
        <v>1175</v>
      </c>
      <c r="Y221" s="2">
        <f t="shared" si="81"/>
        <v>8.1036547304261047E-2</v>
      </c>
      <c r="Z221" s="2">
        <f t="shared" si="82"/>
        <v>0.17194453582196814</v>
      </c>
      <c r="AA221" s="2" t="str">
        <f t="shared" si="83"/>
        <v>Low</v>
      </c>
      <c r="AB221" s="2">
        <f t="shared" si="84"/>
        <v>8.0824089493525306E-2</v>
      </c>
      <c r="AC221" s="2">
        <f t="shared" si="85"/>
        <v>0.22465880820159639</v>
      </c>
      <c r="AD221" s="2" t="str">
        <f t="shared" si="86"/>
        <v>Low</v>
      </c>
      <c r="AE221" s="2">
        <f t="shared" si="87"/>
        <v>2.4610760214750886E-2</v>
      </c>
      <c r="AF221" s="2">
        <f t="shared" si="88"/>
        <v>0.12678817568488071</v>
      </c>
      <c r="AG221" s="2" t="s">
        <v>1175</v>
      </c>
    </row>
    <row r="222" spans="1:33" x14ac:dyDescent="0.3">
      <c r="A222">
        <v>303591</v>
      </c>
      <c r="B222" t="s">
        <v>452</v>
      </c>
      <c r="C222" t="s">
        <v>445</v>
      </c>
      <c r="D222" t="s">
        <v>1142</v>
      </c>
      <c r="E222" s="18">
        <v>6</v>
      </c>
      <c r="F222" s="19">
        <f t="shared" si="70"/>
        <v>0.62222222222222223</v>
      </c>
      <c r="G222" s="2">
        <v>93.051471599999999</v>
      </c>
      <c r="H222" s="2">
        <f t="shared" si="71"/>
        <v>0.59337124970279764</v>
      </c>
      <c r="I222" s="2">
        <v>110.5</v>
      </c>
      <c r="J222" s="4">
        <f t="shared" si="72"/>
        <v>0.53614750121300336</v>
      </c>
      <c r="K222" s="2">
        <v>0</v>
      </c>
      <c r="L222" s="4">
        <f t="shared" si="73"/>
        <v>0</v>
      </c>
      <c r="M222" s="2">
        <v>5557</v>
      </c>
      <c r="N222" s="2">
        <f t="shared" si="74"/>
        <v>2.5161696309018561E-2</v>
      </c>
      <c r="O222" s="2">
        <v>0.73285283899999998</v>
      </c>
      <c r="P222" s="2">
        <f t="shared" si="75"/>
        <v>0.76913385490984265</v>
      </c>
      <c r="Q222" s="2">
        <v>0.25059999999999999</v>
      </c>
      <c r="R222" s="2">
        <f t="shared" si="76"/>
        <v>0.56629994209612045</v>
      </c>
      <c r="S222" s="2">
        <f t="shared" si="77"/>
        <v>0.16424772933760248</v>
      </c>
      <c r="T222" s="5">
        <f t="shared" si="69"/>
        <v>0.33139507370066151</v>
      </c>
      <c r="U222" s="2" t="str">
        <f t="shared" si="78"/>
        <v>Moderate</v>
      </c>
      <c r="V222" s="2">
        <f t="shared" si="79"/>
        <v>0.1393007722611774</v>
      </c>
      <c r="W222" s="2">
        <f t="shared" si="80"/>
        <v>0.25093213012737425</v>
      </c>
      <c r="X222" s="2" t="s">
        <v>1175</v>
      </c>
      <c r="Y222" s="2">
        <f t="shared" si="81"/>
        <v>0.18919468641402754</v>
      </c>
      <c r="Z222" s="2">
        <f t="shared" si="82"/>
        <v>0.40143606332709897</v>
      </c>
      <c r="AA222" s="2" t="str">
        <f t="shared" si="83"/>
        <v>Moderate</v>
      </c>
      <c r="AB222" s="2">
        <f t="shared" si="84"/>
        <v>0.10767995809796672</v>
      </c>
      <c r="AC222" s="2">
        <f t="shared" si="85"/>
        <v>0.29930743674415244</v>
      </c>
      <c r="AD222" s="2" t="str">
        <f t="shared" si="86"/>
        <v>Low</v>
      </c>
      <c r="AE222" s="2">
        <f t="shared" si="87"/>
        <v>6.1893768067039232E-3</v>
      </c>
      <c r="AF222" s="2">
        <f t="shared" si="88"/>
        <v>3.1886044441567292E-2</v>
      </c>
      <c r="AG222" s="2" t="s">
        <v>1176</v>
      </c>
    </row>
    <row r="223" spans="1:33" x14ac:dyDescent="0.3">
      <c r="A223">
        <v>304802</v>
      </c>
      <c r="B223" t="s">
        <v>453</v>
      </c>
      <c r="C223" t="s">
        <v>454</v>
      </c>
      <c r="D223" t="s">
        <v>455</v>
      </c>
      <c r="E223" s="18">
        <v>6.2</v>
      </c>
      <c r="F223" s="19">
        <f t="shared" si="70"/>
        <v>0.66666666666666663</v>
      </c>
      <c r="G223" s="2">
        <v>39.213349200000003</v>
      </c>
      <c r="H223" s="2">
        <f t="shared" si="71"/>
        <v>7.2841705115166633E-2</v>
      </c>
      <c r="I223" s="2">
        <v>36.1</v>
      </c>
      <c r="J223" s="4">
        <f t="shared" si="72"/>
        <v>0.17515769044153326</v>
      </c>
      <c r="K223" s="2">
        <v>0</v>
      </c>
      <c r="L223" s="4">
        <f t="shared" si="73"/>
        <v>0</v>
      </c>
      <c r="M223" s="2">
        <v>7200</v>
      </c>
      <c r="N223" s="2">
        <f t="shared" si="74"/>
        <v>3.2935420836231327E-2</v>
      </c>
      <c r="O223" s="2">
        <v>0.47760546500000001</v>
      </c>
      <c r="P223" s="2">
        <f t="shared" si="75"/>
        <v>0.47427460649886266</v>
      </c>
      <c r="Q223" s="2">
        <v>0.14580000000000001</v>
      </c>
      <c r="R223" s="2">
        <f t="shared" si="76"/>
        <v>0.26288361320208459</v>
      </c>
      <c r="S223" s="2">
        <f t="shared" si="77"/>
        <v>2.1328392506806917E-2</v>
      </c>
      <c r="T223" s="5">
        <f t="shared" si="69"/>
        <v>4.3033314586539952E-2</v>
      </c>
      <c r="U223" s="2" t="str">
        <f t="shared" si="78"/>
        <v>No Impact</v>
      </c>
      <c r="V223" s="2">
        <f t="shared" si="79"/>
        <v>1.5212161341038262E-2</v>
      </c>
      <c r="W223" s="2">
        <f t="shared" si="80"/>
        <v>2.7402719936046403E-2</v>
      </c>
      <c r="X223" s="2" t="s">
        <v>1176</v>
      </c>
      <c r="Y223" s="2">
        <f t="shared" si="81"/>
        <v>2.7444623672575576E-2</v>
      </c>
      <c r="Z223" s="2">
        <f t="shared" si="82"/>
        <v>5.8232405441359117E-2</v>
      </c>
      <c r="AA223" s="2" t="str">
        <f t="shared" si="83"/>
        <v>No Impact</v>
      </c>
      <c r="AB223" s="2">
        <f t="shared" si="84"/>
        <v>1.4224694002018987E-2</v>
      </c>
      <c r="AC223" s="2">
        <f t="shared" si="85"/>
        <v>3.9538989199278084E-2</v>
      </c>
      <c r="AD223" s="2" t="str">
        <f t="shared" si="86"/>
        <v>No Impact</v>
      </c>
      <c r="AE223" s="2">
        <f t="shared" si="87"/>
        <v>1.9058583739512117E-3</v>
      </c>
      <c r="AF223" s="2">
        <f t="shared" si="88"/>
        <v>9.8184820069961102E-3</v>
      </c>
      <c r="AG223" s="2" t="s">
        <v>1176</v>
      </c>
    </row>
    <row r="224" spans="1:33" x14ac:dyDescent="0.3">
      <c r="A224">
        <v>304806</v>
      </c>
      <c r="B224" t="s">
        <v>456</v>
      </c>
      <c r="C224" t="s">
        <v>454</v>
      </c>
      <c r="D224" t="s">
        <v>457</v>
      </c>
      <c r="E224" s="18">
        <v>6.3</v>
      </c>
      <c r="F224" s="19">
        <f t="shared" si="70"/>
        <v>0.68888888888888877</v>
      </c>
      <c r="G224" s="2">
        <v>41.702252399999999</v>
      </c>
      <c r="H224" s="2">
        <f t="shared" si="71"/>
        <v>9.6905464983930101E-2</v>
      </c>
      <c r="I224" s="2">
        <v>31.4</v>
      </c>
      <c r="J224" s="4">
        <f t="shared" si="72"/>
        <v>0.15235322658903444</v>
      </c>
      <c r="K224" s="2">
        <v>0</v>
      </c>
      <c r="L224" s="4">
        <f t="shared" si="73"/>
        <v>0</v>
      </c>
      <c r="M224" s="2">
        <v>27557</v>
      </c>
      <c r="N224" s="2">
        <f t="shared" si="74"/>
        <v>0.12925295595520292</v>
      </c>
      <c r="O224" s="2">
        <v>0.59530444000000005</v>
      </c>
      <c r="P224" s="2">
        <f t="shared" si="75"/>
        <v>0.61023930130995496</v>
      </c>
      <c r="Q224" s="2">
        <v>0.2384</v>
      </c>
      <c r="R224" s="2">
        <f t="shared" si="76"/>
        <v>0.53097857556456285</v>
      </c>
      <c r="S224" s="2">
        <f t="shared" si="77"/>
        <v>3.4293049460724374E-2</v>
      </c>
      <c r="T224" s="5">
        <f t="shared" si="69"/>
        <v>6.9191505412522086E-2</v>
      </c>
      <c r="U224" s="2" t="str">
        <f t="shared" si="78"/>
        <v>No Impact</v>
      </c>
      <c r="V224" s="2">
        <f t="shared" si="79"/>
        <v>3.1911302694082627E-2</v>
      </c>
      <c r="W224" s="2">
        <f t="shared" si="80"/>
        <v>5.7484039967503113E-2</v>
      </c>
      <c r="X224" s="2" t="s">
        <v>1176</v>
      </c>
      <c r="Y224" s="2">
        <f t="shared" si="81"/>
        <v>3.6674796227366122E-2</v>
      </c>
      <c r="Z224" s="2">
        <f t="shared" si="82"/>
        <v>7.7817121082454532E-2</v>
      </c>
      <c r="AA224" s="2" t="str">
        <f t="shared" si="83"/>
        <v>No Impact</v>
      </c>
      <c r="AB224" s="2">
        <f t="shared" si="84"/>
        <v>2.4890187314248816E-2</v>
      </c>
      <c r="AC224" s="2">
        <f t="shared" si="85"/>
        <v>6.918481671707026E-2</v>
      </c>
      <c r="AD224" s="2" t="str">
        <f t="shared" si="86"/>
        <v>No Impact</v>
      </c>
      <c r="AE224" s="2">
        <f t="shared" si="87"/>
        <v>7.7679785803144649E-3</v>
      </c>
      <c r="AF224" s="2">
        <f t="shared" si="88"/>
        <v>4.0018586356669758E-2</v>
      </c>
      <c r="AG224" s="2" t="s">
        <v>1175</v>
      </c>
    </row>
    <row r="225" spans="1:33" x14ac:dyDescent="0.3">
      <c r="A225">
        <v>304811</v>
      </c>
      <c r="B225" t="s">
        <v>458</v>
      </c>
      <c r="C225" t="s">
        <v>454</v>
      </c>
      <c r="D225" t="s">
        <v>459</v>
      </c>
      <c r="E225" s="18">
        <v>6.2</v>
      </c>
      <c r="F225" s="19">
        <f t="shared" si="70"/>
        <v>0.66666666666666663</v>
      </c>
      <c r="G225" s="2">
        <v>41.297954400000002</v>
      </c>
      <c r="H225" s="2">
        <f t="shared" si="71"/>
        <v>9.2996542376003327E-2</v>
      </c>
      <c r="I225" s="2">
        <v>29.4</v>
      </c>
      <c r="J225" s="4">
        <f t="shared" si="72"/>
        <v>0.14264919941775836</v>
      </c>
      <c r="K225" s="2">
        <v>0</v>
      </c>
      <c r="L225" s="4">
        <f t="shared" si="73"/>
        <v>0</v>
      </c>
      <c r="M225" s="2">
        <v>22574</v>
      </c>
      <c r="N225" s="2">
        <f t="shared" si="74"/>
        <v>0.10567628564534215</v>
      </c>
      <c r="O225" s="2">
        <v>0.378419901</v>
      </c>
      <c r="P225" s="2">
        <f t="shared" si="75"/>
        <v>0.35969642143883085</v>
      </c>
      <c r="Q225" s="2">
        <v>0.23219999999999999</v>
      </c>
      <c r="R225" s="2">
        <f t="shared" si="76"/>
        <v>0.51302837290098435</v>
      </c>
      <c r="S225" s="2">
        <f t="shared" si="77"/>
        <v>2.3992952846801616E-2</v>
      </c>
      <c r="T225" s="5">
        <f t="shared" si="69"/>
        <v>4.8409475181353398E-2</v>
      </c>
      <c r="U225" s="2" t="str">
        <f t="shared" si="78"/>
        <v>No Impact</v>
      </c>
      <c r="V225" s="2">
        <f t="shared" si="79"/>
        <v>2.8208355348483108E-2</v>
      </c>
      <c r="W225" s="2">
        <f t="shared" si="80"/>
        <v>5.0813664418983953E-2</v>
      </c>
      <c r="X225" s="2" t="s">
        <v>1176</v>
      </c>
      <c r="Y225" s="2">
        <f t="shared" si="81"/>
        <v>1.9777550345120125E-2</v>
      </c>
      <c r="Z225" s="2">
        <f t="shared" si="82"/>
        <v>4.1964296689729202E-2</v>
      </c>
      <c r="AA225" s="2" t="str">
        <f t="shared" si="83"/>
        <v>No Impact</v>
      </c>
      <c r="AB225" s="2">
        <f t="shared" si="84"/>
        <v>1.7839866424379121E-2</v>
      </c>
      <c r="AC225" s="2">
        <f t="shared" si="85"/>
        <v>4.9587730025684409E-2</v>
      </c>
      <c r="AD225" s="2" t="str">
        <f t="shared" si="86"/>
        <v>No Impact</v>
      </c>
      <c r="AE225" s="2">
        <f t="shared" si="87"/>
        <v>5.8105055682114238E-3</v>
      </c>
      <c r="AF225" s="2">
        <f t="shared" si="88"/>
        <v>2.9934199284051846E-2</v>
      </c>
      <c r="AG225" s="2" t="s">
        <v>1176</v>
      </c>
    </row>
    <row r="226" spans="1:33" x14ac:dyDescent="0.3">
      <c r="A226">
        <v>304827</v>
      </c>
      <c r="B226" t="s">
        <v>460</v>
      </c>
      <c r="C226" t="s">
        <v>454</v>
      </c>
      <c r="D226" t="s">
        <v>461</v>
      </c>
      <c r="E226" s="18">
        <v>6.3</v>
      </c>
      <c r="F226" s="19">
        <f t="shared" si="70"/>
        <v>0.68888888888888877</v>
      </c>
      <c r="G226" s="2">
        <v>43.702803000000003</v>
      </c>
      <c r="H226" s="2">
        <f t="shared" si="71"/>
        <v>0.11624762712334591</v>
      </c>
      <c r="I226" s="2">
        <v>21.1</v>
      </c>
      <c r="J226" s="4">
        <f t="shared" si="72"/>
        <v>0.10237748665696265</v>
      </c>
      <c r="K226" s="2">
        <v>0</v>
      </c>
      <c r="L226" s="4">
        <f t="shared" si="73"/>
        <v>0</v>
      </c>
      <c r="M226" s="2">
        <v>17728</v>
      </c>
      <c r="N226" s="2">
        <f t="shared" si="74"/>
        <v>8.2747819997823546E-2</v>
      </c>
      <c r="O226" s="2">
        <v>0.68966272200000001</v>
      </c>
      <c r="P226" s="2">
        <f t="shared" si="75"/>
        <v>0.71924105782507308</v>
      </c>
      <c r="Q226" s="2">
        <v>0.2442</v>
      </c>
      <c r="R226" s="2">
        <f t="shared" si="76"/>
        <v>0.54777070063694266</v>
      </c>
      <c r="S226" s="2">
        <f t="shared" si="77"/>
        <v>3.3393959999155613E-2</v>
      </c>
      <c r="T226" s="5">
        <f t="shared" si="69"/>
        <v>6.7377454042791191E-2</v>
      </c>
      <c r="U226" s="2" t="str">
        <f t="shared" si="78"/>
        <v>No Impact</v>
      </c>
      <c r="V226" s="2">
        <f t="shared" si="79"/>
        <v>2.8874606322491989E-2</v>
      </c>
      <c r="W226" s="2">
        <f t="shared" si="80"/>
        <v>5.2013828448182808E-2</v>
      </c>
      <c r="X226" s="2" t="s">
        <v>1176</v>
      </c>
      <c r="Y226" s="2">
        <f t="shared" si="81"/>
        <v>3.7913313675819231E-2</v>
      </c>
      <c r="Z226" s="2">
        <f t="shared" si="82"/>
        <v>8.0445025588085917E-2</v>
      </c>
      <c r="AA226" s="2" t="str">
        <f t="shared" si="83"/>
        <v>No Impact</v>
      </c>
      <c r="AB226" s="2">
        <f t="shared" si="84"/>
        <v>2.3006764739108235E-2</v>
      </c>
      <c r="AC226" s="2">
        <f t="shared" si="85"/>
        <v>6.3949651387988998E-2</v>
      </c>
      <c r="AD226" s="2" t="str">
        <f t="shared" si="86"/>
        <v>No Impact</v>
      </c>
      <c r="AE226" s="2">
        <f t="shared" si="87"/>
        <v>4.3618812099721956E-3</v>
      </c>
      <c r="AF226" s="2">
        <f t="shared" si="88"/>
        <v>2.2471266890612494E-2</v>
      </c>
      <c r="AG226" s="2" t="s">
        <v>1176</v>
      </c>
    </row>
    <row r="227" spans="1:33" x14ac:dyDescent="0.3">
      <c r="A227">
        <v>304833</v>
      </c>
      <c r="B227" t="s">
        <v>462</v>
      </c>
      <c r="C227" t="s">
        <v>454</v>
      </c>
      <c r="D227" t="s">
        <v>463</v>
      </c>
      <c r="E227" s="18">
        <v>5.8</v>
      </c>
      <c r="F227" s="19">
        <f t="shared" si="70"/>
        <v>0.57777777777777772</v>
      </c>
      <c r="G227" s="2">
        <v>48.350458799999998</v>
      </c>
      <c r="H227" s="2">
        <f t="shared" si="71"/>
        <v>0.16118311241014446</v>
      </c>
      <c r="I227" s="2">
        <v>33.1</v>
      </c>
      <c r="J227" s="4">
        <f t="shared" si="72"/>
        <v>0.16060164968461912</v>
      </c>
      <c r="K227" s="2">
        <v>0</v>
      </c>
      <c r="L227" s="4">
        <f t="shared" si="73"/>
        <v>0</v>
      </c>
      <c r="M227" s="2">
        <v>5943</v>
      </c>
      <c r="N227" s="2">
        <f t="shared" si="74"/>
        <v>2.6988024773719796E-2</v>
      </c>
      <c r="O227" s="2">
        <v>0.56994384200000003</v>
      </c>
      <c r="P227" s="2">
        <f t="shared" si="75"/>
        <v>0.5809429886844899</v>
      </c>
      <c r="Q227" s="2">
        <v>0.15090000000000001</v>
      </c>
      <c r="R227" s="2">
        <f t="shared" si="76"/>
        <v>0.27764910248986685</v>
      </c>
      <c r="S227" s="2">
        <f t="shared" si="77"/>
        <v>2.7935165014826353E-2</v>
      </c>
      <c r="T227" s="5">
        <f t="shared" si="69"/>
        <v>5.6363494985675354E-2</v>
      </c>
      <c r="U227" s="2" t="str">
        <f t="shared" si="78"/>
        <v>No Impact</v>
      </c>
      <c r="V227" s="2">
        <f t="shared" si="79"/>
        <v>1.8067190634528676E-2</v>
      </c>
      <c r="W227" s="2">
        <f t="shared" si="80"/>
        <v>3.2545681963912096E-2</v>
      </c>
      <c r="X227" s="2" t="s">
        <v>1176</v>
      </c>
      <c r="Y227" s="2">
        <f t="shared" si="81"/>
        <v>3.780313939512403E-2</v>
      </c>
      <c r="Z227" s="2">
        <f t="shared" si="82"/>
        <v>8.0211256181764487E-2</v>
      </c>
      <c r="AA227" s="2" t="str">
        <f t="shared" si="83"/>
        <v>No Impact</v>
      </c>
      <c r="AB227" s="2">
        <f t="shared" si="84"/>
        <v>1.8279116482687412E-2</v>
      </c>
      <c r="AC227" s="2">
        <f t="shared" si="85"/>
        <v>5.0808670406459464E-2</v>
      </c>
      <c r="AD227" s="2" t="str">
        <f t="shared" si="86"/>
        <v>No Impact</v>
      </c>
      <c r="AE227" s="2">
        <f t="shared" si="87"/>
        <v>1.7561655487576217E-3</v>
      </c>
      <c r="AF227" s="2">
        <f t="shared" si="88"/>
        <v>9.04730386971795E-3</v>
      </c>
      <c r="AG227" s="2" t="s">
        <v>1176</v>
      </c>
    </row>
    <row r="228" spans="1:33" x14ac:dyDescent="0.3">
      <c r="A228">
        <v>304842</v>
      </c>
      <c r="B228" t="s">
        <v>464</v>
      </c>
      <c r="C228" t="s">
        <v>454</v>
      </c>
      <c r="D228" t="s">
        <v>465</v>
      </c>
      <c r="E228" s="18">
        <v>5.7</v>
      </c>
      <c r="F228" s="19">
        <f t="shared" si="70"/>
        <v>0.55555555555555558</v>
      </c>
      <c r="G228" s="2">
        <v>43.702803000000003</v>
      </c>
      <c r="H228" s="2">
        <f t="shared" si="71"/>
        <v>0.11624762712334591</v>
      </c>
      <c r="I228" s="2">
        <v>29.7</v>
      </c>
      <c r="J228" s="4">
        <f t="shared" si="72"/>
        <v>0.14410480349344978</v>
      </c>
      <c r="K228" s="2">
        <v>0</v>
      </c>
      <c r="L228" s="4">
        <f t="shared" si="73"/>
        <v>0</v>
      </c>
      <c r="M228" s="2">
        <v>9163</v>
      </c>
      <c r="N228" s="2">
        <f t="shared" si="74"/>
        <v>4.222320004920678E-2</v>
      </c>
      <c r="O228" s="2">
        <v>0.22518833299999999</v>
      </c>
      <c r="P228" s="2">
        <f t="shared" si="75"/>
        <v>0.18268482572574052</v>
      </c>
      <c r="Q228" s="2">
        <v>0.24829999999999999</v>
      </c>
      <c r="R228" s="2">
        <f t="shared" si="76"/>
        <v>0.55964099594672845</v>
      </c>
      <c r="S228" s="2">
        <f t="shared" si="77"/>
        <v>1.8789782276031407E-2</v>
      </c>
      <c r="T228" s="5">
        <f t="shared" si="69"/>
        <v>3.7911277722359679E-2</v>
      </c>
      <c r="U228" s="2" t="str">
        <f t="shared" si="78"/>
        <v>No Impact</v>
      </c>
      <c r="V228" s="2">
        <f t="shared" si="79"/>
        <v>2.8331312638131816E-2</v>
      </c>
      <c r="W228" s="2">
        <f t="shared" si="80"/>
        <v>5.1035155901804956E-2</v>
      </c>
      <c r="X228" s="2" t="s">
        <v>1176</v>
      </c>
      <c r="Y228" s="2">
        <f t="shared" si="81"/>
        <v>9.2482519139309959E-3</v>
      </c>
      <c r="Z228" s="2">
        <f t="shared" si="82"/>
        <v>1.96230766907548E-2</v>
      </c>
      <c r="AA228" s="2" t="str">
        <f t="shared" si="83"/>
        <v>No Impact</v>
      </c>
      <c r="AB228" s="2">
        <f t="shared" si="84"/>
        <v>1.3438563782664711E-2</v>
      </c>
      <c r="AC228" s="2">
        <f t="shared" si="85"/>
        <v>3.7353859997351975E-2</v>
      </c>
      <c r="AD228" s="2" t="str">
        <f t="shared" si="86"/>
        <v>No Impact</v>
      </c>
      <c r="AE228" s="2">
        <f t="shared" si="87"/>
        <v>2.1375108146836487E-3</v>
      </c>
      <c r="AF228" s="2">
        <f t="shared" si="88"/>
        <v>1.101189456707671E-2</v>
      </c>
      <c r="AG228" s="2" t="s">
        <v>1176</v>
      </c>
    </row>
    <row r="229" spans="1:33" x14ac:dyDescent="0.3">
      <c r="A229">
        <v>304845</v>
      </c>
      <c r="B229" t="s">
        <v>466</v>
      </c>
      <c r="C229" t="s">
        <v>454</v>
      </c>
      <c r="D229" t="s">
        <v>467</v>
      </c>
      <c r="E229" s="18">
        <v>6.3</v>
      </c>
      <c r="F229" s="19">
        <f t="shared" si="70"/>
        <v>0.68888888888888877</v>
      </c>
      <c r="G229" s="2">
        <v>41.702252399999999</v>
      </c>
      <c r="H229" s="2">
        <f t="shared" si="71"/>
        <v>9.6905464983930101E-2</v>
      </c>
      <c r="I229" s="2">
        <v>33.200000000000003</v>
      </c>
      <c r="J229" s="4">
        <f t="shared" si="72"/>
        <v>0.16108685104318293</v>
      </c>
      <c r="K229" s="2">
        <v>0</v>
      </c>
      <c r="L229" s="4">
        <f t="shared" si="73"/>
        <v>0</v>
      </c>
      <c r="M229" s="2">
        <v>30895</v>
      </c>
      <c r="N229" s="2">
        <f t="shared" si="74"/>
        <v>0.14504643889606489</v>
      </c>
      <c r="O229" s="2">
        <v>0.16234143100000001</v>
      </c>
      <c r="P229" s="2">
        <f t="shared" si="75"/>
        <v>0.1100847045245778</v>
      </c>
      <c r="Q229" s="2">
        <v>0.23419999999999999</v>
      </c>
      <c r="R229" s="2">
        <f t="shared" si="76"/>
        <v>0.51881876085697742</v>
      </c>
      <c r="S229" s="2">
        <f t="shared" si="77"/>
        <v>1.9560411536280246E-2</v>
      </c>
      <c r="T229" s="5">
        <f t="shared" si="69"/>
        <v>3.9466140864309877E-2</v>
      </c>
      <c r="U229" s="2" t="str">
        <f t="shared" si="78"/>
        <v>No Impact</v>
      </c>
      <c r="V229" s="2">
        <f t="shared" si="79"/>
        <v>3.2273024506069378E-2</v>
      </c>
      <c r="W229" s="2">
        <f t="shared" si="80"/>
        <v>5.8135634523096731E-2</v>
      </c>
      <c r="X229" s="2" t="s">
        <v>1176</v>
      </c>
      <c r="Y229" s="2">
        <f t="shared" si="81"/>
        <v>6.847798566491114E-3</v>
      </c>
      <c r="Z229" s="2">
        <f t="shared" si="82"/>
        <v>1.452975953549469E-2</v>
      </c>
      <c r="AA229" s="2" t="str">
        <f t="shared" si="83"/>
        <v>No Impact</v>
      </c>
      <c r="AB229" s="2">
        <f t="shared" si="84"/>
        <v>1.6507803509336321E-2</v>
      </c>
      <c r="AC229" s="2">
        <f t="shared" si="85"/>
        <v>4.5885125160992017E-2</v>
      </c>
      <c r="AD229" s="2" t="str">
        <f t="shared" si="86"/>
        <v>No Impact</v>
      </c>
      <c r="AE229" s="2">
        <f t="shared" si="87"/>
        <v>9.0225867493277292E-3</v>
      </c>
      <c r="AF229" s="2">
        <f t="shared" si="88"/>
        <v>4.6481998277330343E-2</v>
      </c>
      <c r="AG229" s="2" t="s">
        <v>1175</v>
      </c>
    </row>
    <row r="230" spans="1:33" x14ac:dyDescent="0.3">
      <c r="A230">
        <v>304849</v>
      </c>
      <c r="B230" t="s">
        <v>468</v>
      </c>
      <c r="C230" t="s">
        <v>454</v>
      </c>
      <c r="D230" t="s">
        <v>469</v>
      </c>
      <c r="E230" s="18">
        <v>6.3</v>
      </c>
      <c r="F230" s="19">
        <f t="shared" si="70"/>
        <v>0.68888888888888877</v>
      </c>
      <c r="G230" s="2">
        <v>43.702803000000003</v>
      </c>
      <c r="H230" s="2">
        <f t="shared" si="71"/>
        <v>0.11624762712334591</v>
      </c>
      <c r="I230" s="2">
        <v>27.3</v>
      </c>
      <c r="J230" s="4">
        <f t="shared" si="72"/>
        <v>0.1324599708879185</v>
      </c>
      <c r="K230" s="2">
        <v>0</v>
      </c>
      <c r="L230" s="4">
        <f t="shared" si="73"/>
        <v>0</v>
      </c>
      <c r="M230" s="2">
        <v>49962</v>
      </c>
      <c r="N230" s="2">
        <f t="shared" si="74"/>
        <v>0.23526044106305566</v>
      </c>
      <c r="O230" s="2">
        <v>0.20890495000000001</v>
      </c>
      <c r="P230" s="2">
        <f t="shared" si="75"/>
        <v>0.16387442232089247</v>
      </c>
      <c r="Q230" s="2">
        <v>0.2334</v>
      </c>
      <c r="R230" s="2">
        <f t="shared" si="76"/>
        <v>0.51650260567458017</v>
      </c>
      <c r="S230" s="2">
        <f t="shared" si="77"/>
        <v>2.0399800662961608E-2</v>
      </c>
      <c r="T230" s="5">
        <f t="shared" si="69"/>
        <v>4.1159737619783685E-2</v>
      </c>
      <c r="U230" s="2" t="str">
        <f t="shared" si="78"/>
        <v>No Impact</v>
      </c>
      <c r="V230" s="2">
        <f t="shared" si="79"/>
        <v>3.0972680628869827E-2</v>
      </c>
      <c r="W230" s="2">
        <f t="shared" si="80"/>
        <v>5.5793235025181596E-2</v>
      </c>
      <c r="X230" s="2" t="s">
        <v>1176</v>
      </c>
      <c r="Y230" s="2">
        <f t="shared" si="81"/>
        <v>9.8269206970533936E-3</v>
      </c>
      <c r="Z230" s="2">
        <f t="shared" si="82"/>
        <v>2.0850904610607599E-2</v>
      </c>
      <c r="AA230" s="2" t="str">
        <f t="shared" si="83"/>
        <v>No Impact</v>
      </c>
      <c r="AB230" s="2">
        <f t="shared" si="84"/>
        <v>1.8726197703146465E-2</v>
      </c>
      <c r="AC230" s="2">
        <f t="shared" si="85"/>
        <v>5.2051378301927832E-2</v>
      </c>
      <c r="AD230" s="2" t="str">
        <f t="shared" si="86"/>
        <v>No Impact</v>
      </c>
      <c r="AE230" s="2">
        <f t="shared" si="87"/>
        <v>1.4107666496931459E-2</v>
      </c>
      <c r="AF230" s="2">
        <f t="shared" si="88"/>
        <v>7.2678994176074735E-2</v>
      </c>
      <c r="AG230" s="2" t="s">
        <v>1175</v>
      </c>
    </row>
    <row r="231" spans="1:33" x14ac:dyDescent="0.3">
      <c r="A231">
        <v>304854</v>
      </c>
      <c r="B231" t="s">
        <v>470</v>
      </c>
      <c r="C231" t="s">
        <v>454</v>
      </c>
      <c r="D231" t="s">
        <v>471</v>
      </c>
      <c r="E231" s="18">
        <v>6.3</v>
      </c>
      <c r="F231" s="19">
        <f t="shared" si="70"/>
        <v>0.68888888888888877</v>
      </c>
      <c r="G231" s="2">
        <v>45.428814000000003</v>
      </c>
      <c r="H231" s="2">
        <f t="shared" si="71"/>
        <v>0.13293542528072075</v>
      </c>
      <c r="I231" s="2">
        <v>27.4</v>
      </c>
      <c r="J231" s="4">
        <f t="shared" si="72"/>
        <v>0.13294517224648228</v>
      </c>
      <c r="K231" s="2">
        <v>0</v>
      </c>
      <c r="L231" s="4">
        <f t="shared" si="73"/>
        <v>0</v>
      </c>
      <c r="M231" s="2">
        <v>20678</v>
      </c>
      <c r="N231" s="2">
        <f t="shared" si="74"/>
        <v>9.670551163219826E-2</v>
      </c>
      <c r="O231" s="2">
        <v>0.395461795</v>
      </c>
      <c r="P231" s="2">
        <f t="shared" si="75"/>
        <v>0.379383049268113</v>
      </c>
      <c r="Q231" s="2">
        <v>0.26650000000000001</v>
      </c>
      <c r="R231" s="2">
        <f t="shared" si="76"/>
        <v>0.61233352634626526</v>
      </c>
      <c r="S231" s="2">
        <f t="shared" si="77"/>
        <v>3.1787871370738997E-2</v>
      </c>
      <c r="T231" s="5">
        <f t="shared" si="69"/>
        <v>6.4136923038006902E-2</v>
      </c>
      <c r="U231" s="2" t="str">
        <f t="shared" si="78"/>
        <v>No Impact</v>
      </c>
      <c r="V231" s="2">
        <f t="shared" si="79"/>
        <v>3.9254722266646544E-2</v>
      </c>
      <c r="W231" s="2">
        <f t="shared" si="80"/>
        <v>7.0712250305832086E-2</v>
      </c>
      <c r="X231" s="2" t="s">
        <v>1176</v>
      </c>
      <c r="Y231" s="2">
        <f t="shared" si="81"/>
        <v>2.4321020474831447E-2</v>
      </c>
      <c r="Z231" s="2">
        <f t="shared" si="82"/>
        <v>5.1604698316676516E-2</v>
      </c>
      <c r="AA231" s="2" t="str">
        <f t="shared" si="83"/>
        <v>No Impact</v>
      </c>
      <c r="AB231" s="2">
        <f t="shared" si="84"/>
        <v>2.320527610747217E-2</v>
      </c>
      <c r="AC231" s="2">
        <f t="shared" si="85"/>
        <v>6.4501434002684377E-2</v>
      </c>
      <c r="AD231" s="2" t="str">
        <f t="shared" si="86"/>
        <v>No Impact</v>
      </c>
      <c r="AE231" s="2">
        <f t="shared" si="87"/>
        <v>6.1994776334184177E-3</v>
      </c>
      <c r="AF231" s="2">
        <f t="shared" si="88"/>
        <v>3.1938081249080139E-2</v>
      </c>
      <c r="AG231" s="2" t="s">
        <v>1176</v>
      </c>
    </row>
    <row r="232" spans="1:33" x14ac:dyDescent="0.3">
      <c r="A232">
        <v>304859</v>
      </c>
      <c r="B232" t="s">
        <v>472</v>
      </c>
      <c r="C232" t="s">
        <v>454</v>
      </c>
      <c r="D232" t="s">
        <v>473</v>
      </c>
      <c r="E232" s="18">
        <v>5.9</v>
      </c>
      <c r="F232" s="19">
        <f t="shared" si="70"/>
        <v>0.60000000000000009</v>
      </c>
      <c r="G232" s="2">
        <v>39.213349200000003</v>
      </c>
      <c r="H232" s="2">
        <f t="shared" si="71"/>
        <v>7.2841705115166633E-2</v>
      </c>
      <c r="I232" s="2">
        <v>40.299999999999997</v>
      </c>
      <c r="J232" s="4">
        <f t="shared" si="72"/>
        <v>0.19553614750121298</v>
      </c>
      <c r="K232" s="2">
        <v>0</v>
      </c>
      <c r="L232" s="4">
        <f t="shared" si="73"/>
        <v>0</v>
      </c>
      <c r="M232" s="2">
        <v>2267</v>
      </c>
      <c r="N232" s="2">
        <f t="shared" si="74"/>
        <v>9.595321571020993E-3</v>
      </c>
      <c r="O232" s="2">
        <v>0.181822136</v>
      </c>
      <c r="P232" s="2">
        <f t="shared" si="75"/>
        <v>0.13258862276201289</v>
      </c>
      <c r="Q232" s="2">
        <v>0.1447</v>
      </c>
      <c r="R232" s="2">
        <f t="shared" si="76"/>
        <v>0.25969889982628835</v>
      </c>
      <c r="S232" s="2">
        <f t="shared" si="77"/>
        <v>1.105453470664702E-2</v>
      </c>
      <c r="T232" s="5">
        <f t="shared" si="69"/>
        <v>2.2304225200616611E-2</v>
      </c>
      <c r="U232" s="2" t="str">
        <f t="shared" si="78"/>
        <v>No Impact</v>
      </c>
      <c r="V232" s="2">
        <f t="shared" si="79"/>
        <v>1.4636460943065267E-2</v>
      </c>
      <c r="W232" s="2">
        <f t="shared" si="80"/>
        <v>2.6365670931697116E-2</v>
      </c>
      <c r="X232" s="2" t="s">
        <v>1176</v>
      </c>
      <c r="Y232" s="2">
        <f t="shared" si="81"/>
        <v>7.472608470228773E-3</v>
      </c>
      <c r="Z232" s="2">
        <f t="shared" si="82"/>
        <v>1.5855490362497626E-2</v>
      </c>
      <c r="AA232" s="2" t="str">
        <f t="shared" si="83"/>
        <v>No Impact</v>
      </c>
      <c r="AB232" s="2">
        <f t="shared" si="84"/>
        <v>7.553818998323452E-3</v>
      </c>
      <c r="AC232" s="2">
        <f t="shared" si="85"/>
        <v>2.0996611086721489E-2</v>
      </c>
      <c r="AD232" s="2" t="str">
        <f t="shared" si="86"/>
        <v>No Impact</v>
      </c>
      <c r="AE232" s="2">
        <f t="shared" si="87"/>
        <v>5.407860776627905E-4</v>
      </c>
      <c r="AF232" s="2">
        <f t="shared" si="88"/>
        <v>2.7859879022165122E-3</v>
      </c>
      <c r="AG232" s="2" t="s">
        <v>1176</v>
      </c>
    </row>
    <row r="233" spans="1:33" x14ac:dyDescent="0.3">
      <c r="A233">
        <v>304876</v>
      </c>
      <c r="B233" t="s">
        <v>474</v>
      </c>
      <c r="C233" t="s">
        <v>454</v>
      </c>
      <c r="D233" t="s">
        <v>475</v>
      </c>
      <c r="E233" s="18">
        <v>6.2</v>
      </c>
      <c r="F233" s="19">
        <f t="shared" si="70"/>
        <v>0.66666666666666663</v>
      </c>
      <c r="G233" s="2">
        <v>39.213349200000003</v>
      </c>
      <c r="H233" s="2">
        <f t="shared" si="71"/>
        <v>7.2841705115166633E-2</v>
      </c>
      <c r="I233" s="2">
        <v>38.4</v>
      </c>
      <c r="J233" s="4">
        <f t="shared" si="72"/>
        <v>0.18631732168850074</v>
      </c>
      <c r="K233" s="2">
        <v>0</v>
      </c>
      <c r="L233" s="4">
        <f t="shared" si="73"/>
        <v>0</v>
      </c>
      <c r="M233" s="2">
        <v>6692</v>
      </c>
      <c r="N233" s="2">
        <f t="shared" si="74"/>
        <v>3.0531859022583072E-2</v>
      </c>
      <c r="O233" s="2">
        <v>0.36259102199999999</v>
      </c>
      <c r="P233" s="2">
        <f t="shared" si="75"/>
        <v>0.34141105657106791</v>
      </c>
      <c r="Q233" s="2">
        <v>0.16830000000000001</v>
      </c>
      <c r="R233" s="2">
        <f t="shared" si="76"/>
        <v>0.32802547770700641</v>
      </c>
      <c r="S233" s="2">
        <f t="shared" si="77"/>
        <v>2.0240560751871327E-2</v>
      </c>
      <c r="T233" s="5">
        <f t="shared" si="69"/>
        <v>4.0838446590162315E-2</v>
      </c>
      <c r="U233" s="2" t="str">
        <f t="shared" si="78"/>
        <v>No Impact</v>
      </c>
      <c r="V233" s="2">
        <f t="shared" si="79"/>
        <v>1.9835844832849701E-2</v>
      </c>
      <c r="W233" s="2">
        <f t="shared" si="80"/>
        <v>3.5731681282073137E-2</v>
      </c>
      <c r="X233" s="2" t="s">
        <v>1176</v>
      </c>
      <c r="Y233" s="2">
        <f t="shared" si="81"/>
        <v>2.0645276670892949E-2</v>
      </c>
      <c r="Z233" s="2">
        <f t="shared" si="82"/>
        <v>4.3805451147424922E-2</v>
      </c>
      <c r="AA233" s="2" t="str">
        <f t="shared" si="83"/>
        <v>No Impact</v>
      </c>
      <c r="AB233" s="2">
        <f t="shared" si="84"/>
        <v>1.3782324920547231E-2</v>
      </c>
      <c r="AC233" s="2">
        <f t="shared" si="85"/>
        <v>3.830937917519435E-2</v>
      </c>
      <c r="AD233" s="2" t="str">
        <f t="shared" si="86"/>
        <v>No Impact</v>
      </c>
      <c r="AE233" s="2">
        <f t="shared" si="87"/>
        <v>1.8462749365198601E-3</v>
      </c>
      <c r="AF233" s="2">
        <f t="shared" si="88"/>
        <v>9.5115237794957917E-3</v>
      </c>
      <c r="AG233" s="2" t="s">
        <v>1176</v>
      </c>
    </row>
    <row r="234" spans="1:33" x14ac:dyDescent="0.3">
      <c r="A234">
        <v>304879</v>
      </c>
      <c r="B234" t="s">
        <v>476</v>
      </c>
      <c r="C234" t="s">
        <v>454</v>
      </c>
      <c r="D234" t="s">
        <v>477</v>
      </c>
      <c r="E234" s="18">
        <v>6.3</v>
      </c>
      <c r="F234" s="19">
        <f t="shared" si="70"/>
        <v>0.68888888888888877</v>
      </c>
      <c r="G234" s="2">
        <v>45.942256800000003</v>
      </c>
      <c r="H234" s="2">
        <f t="shared" si="71"/>
        <v>0.1378996055853407</v>
      </c>
      <c r="I234" s="2">
        <v>20.7</v>
      </c>
      <c r="J234" s="4">
        <f t="shared" si="72"/>
        <v>0.10043668122270742</v>
      </c>
      <c r="K234" s="2">
        <v>0</v>
      </c>
      <c r="L234" s="4">
        <f t="shared" si="73"/>
        <v>0</v>
      </c>
      <c r="M234" s="2">
        <v>22012</v>
      </c>
      <c r="N234" s="2">
        <f t="shared" si="74"/>
        <v>0.10301722710347144</v>
      </c>
      <c r="O234" s="2">
        <v>0.24983388400000001</v>
      </c>
      <c r="P234" s="2">
        <f t="shared" si="75"/>
        <v>0.21115512311079601</v>
      </c>
      <c r="Q234" s="2">
        <v>0.25629999999999997</v>
      </c>
      <c r="R234" s="2">
        <f t="shared" si="76"/>
        <v>0.58280254777070062</v>
      </c>
      <c r="S234" s="2">
        <f t="shared" si="77"/>
        <v>2.2812597958813168E-2</v>
      </c>
      <c r="T234" s="5">
        <f t="shared" si="69"/>
        <v>4.6027927523584256E-2</v>
      </c>
      <c r="U234" s="2" t="str">
        <f t="shared" si="78"/>
        <v>No Impact</v>
      </c>
      <c r="V234" s="2">
        <f t="shared" si="79"/>
        <v>3.3491055504014142E-2</v>
      </c>
      <c r="W234" s="2">
        <f t="shared" si="80"/>
        <v>6.032975812998094E-2</v>
      </c>
      <c r="X234" s="2" t="s">
        <v>1176</v>
      </c>
      <c r="Y234" s="2">
        <f t="shared" si="81"/>
        <v>1.2134140413612195E-2</v>
      </c>
      <c r="Z234" s="2">
        <f t="shared" si="82"/>
        <v>2.5746397279038897E-2</v>
      </c>
      <c r="AA234" s="2" t="str">
        <f t="shared" si="83"/>
        <v>No Impact</v>
      </c>
      <c r="AB234" s="2">
        <f t="shared" si="84"/>
        <v>1.7434090283931447E-2</v>
      </c>
      <c r="AC234" s="2">
        <f t="shared" si="85"/>
        <v>4.8459833817006165E-2</v>
      </c>
      <c r="AD234" s="2" t="str">
        <f t="shared" si="86"/>
        <v>No Impact</v>
      </c>
      <c r="AE234" s="2">
        <f t="shared" si="87"/>
        <v>5.9199392384081187E-3</v>
      </c>
      <c r="AF234" s="2">
        <f t="shared" si="88"/>
        <v>3.0497972823823431E-2</v>
      </c>
      <c r="AG234" s="2" t="s">
        <v>1176</v>
      </c>
    </row>
    <row r="235" spans="1:33" x14ac:dyDescent="0.3">
      <c r="A235">
        <v>304892</v>
      </c>
      <c r="B235" t="s">
        <v>478</v>
      </c>
      <c r="C235" t="s">
        <v>454</v>
      </c>
      <c r="D235" t="s">
        <v>479</v>
      </c>
      <c r="E235" s="18">
        <v>6.3</v>
      </c>
      <c r="F235" s="19">
        <f t="shared" si="70"/>
        <v>0.68888888888888877</v>
      </c>
      <c r="G235" s="2">
        <v>43.702803000000003</v>
      </c>
      <c r="H235" s="2">
        <f t="shared" si="71"/>
        <v>0.11624762712334591</v>
      </c>
      <c r="I235" s="2">
        <v>28</v>
      </c>
      <c r="J235" s="4">
        <f t="shared" si="72"/>
        <v>0.13585638039786513</v>
      </c>
      <c r="K235" s="2">
        <v>0</v>
      </c>
      <c r="L235" s="4">
        <f t="shared" si="73"/>
        <v>0</v>
      </c>
      <c r="M235" s="2">
        <v>17053</v>
      </c>
      <c r="N235" s="2">
        <f t="shared" si="74"/>
        <v>7.9554110895042884E-2</v>
      </c>
      <c r="O235" s="2">
        <v>0.33179571400000002</v>
      </c>
      <c r="P235" s="2">
        <f t="shared" si="75"/>
        <v>0.30583662056741046</v>
      </c>
      <c r="Q235" s="2">
        <v>0.2074</v>
      </c>
      <c r="R235" s="2">
        <f t="shared" si="76"/>
        <v>0.44122756224667059</v>
      </c>
      <c r="S235" s="2">
        <f t="shared" si="77"/>
        <v>2.2705177075982495E-2</v>
      </c>
      <c r="T235" s="5">
        <f t="shared" si="69"/>
        <v>4.581118935906759E-2</v>
      </c>
      <c r="U235" s="2" t="str">
        <f t="shared" si="78"/>
        <v>No Impact</v>
      </c>
      <c r="V235" s="2">
        <f t="shared" si="79"/>
        <v>2.68200515085005E-2</v>
      </c>
      <c r="W235" s="2">
        <f t="shared" si="80"/>
        <v>4.8312816547317575E-2</v>
      </c>
      <c r="X235" s="2" t="s">
        <v>1176</v>
      </c>
      <c r="Y235" s="2">
        <f t="shared" si="81"/>
        <v>1.8590302643464486E-2</v>
      </c>
      <c r="Z235" s="2">
        <f t="shared" si="82"/>
        <v>3.9445177085578161E-2</v>
      </c>
      <c r="AA235" s="2" t="str">
        <f t="shared" si="83"/>
        <v>No Impact</v>
      </c>
      <c r="AB235" s="2">
        <f t="shared" si="84"/>
        <v>1.6656604796036624E-2</v>
      </c>
      <c r="AC235" s="2">
        <f t="shared" si="85"/>
        <v>4.6298733528725405E-2</v>
      </c>
      <c r="AD235" s="2" t="str">
        <f t="shared" si="86"/>
        <v>No Impact</v>
      </c>
      <c r="AE235" s="2">
        <f t="shared" si="87"/>
        <v>4.8357027857774335E-3</v>
      </c>
      <c r="AF235" s="2">
        <f t="shared" si="88"/>
        <v>2.4912271259119344E-2</v>
      </c>
      <c r="AG235" s="2" t="s">
        <v>1176</v>
      </c>
    </row>
    <row r="236" spans="1:33" x14ac:dyDescent="0.3">
      <c r="A236">
        <v>305440</v>
      </c>
      <c r="B236" t="s">
        <v>480</v>
      </c>
      <c r="C236" t="s">
        <v>481</v>
      </c>
      <c r="D236" t="s">
        <v>482</v>
      </c>
      <c r="E236" s="18">
        <v>6.4</v>
      </c>
      <c r="F236" s="19">
        <f t="shared" si="70"/>
        <v>0.71111111111111114</v>
      </c>
      <c r="G236" s="2">
        <v>83.555769600000005</v>
      </c>
      <c r="H236" s="2">
        <f t="shared" si="71"/>
        <v>0.50156282070751279</v>
      </c>
      <c r="I236" s="2">
        <v>70.8</v>
      </c>
      <c r="J236" s="4">
        <f t="shared" si="72"/>
        <v>0.3435225618631732</v>
      </c>
      <c r="K236" s="2">
        <v>0</v>
      </c>
      <c r="L236" s="4">
        <f t="shared" si="73"/>
        <v>0</v>
      </c>
      <c r="M236" s="2">
        <v>17400</v>
      </c>
      <c r="N236" s="2">
        <f t="shared" si="74"/>
        <v>8.1195913944916792E-2</v>
      </c>
      <c r="O236" s="2">
        <v>0.31231489699999998</v>
      </c>
      <c r="P236" s="2">
        <f t="shared" si="75"/>
        <v>0.28333257294868014</v>
      </c>
      <c r="Q236" s="2">
        <v>0.2969</v>
      </c>
      <c r="R236" s="2">
        <f t="shared" si="76"/>
        <v>0.70034742327735966</v>
      </c>
      <c r="S236" s="2">
        <f t="shared" si="77"/>
        <v>0.10344986847226129</v>
      </c>
      <c r="T236" s="5">
        <f t="shared" si="69"/>
        <v>0.20872603186021732</v>
      </c>
      <c r="U236" s="2" t="str">
        <f t="shared" si="78"/>
        <v>Low</v>
      </c>
      <c r="V236" s="2">
        <f t="shared" si="79"/>
        <v>0.14730572767748237</v>
      </c>
      <c r="W236" s="2">
        <f t="shared" si="80"/>
        <v>0.26535201080414411</v>
      </c>
      <c r="X236" s="2" t="s">
        <v>1175</v>
      </c>
      <c r="Y236" s="2">
        <f t="shared" si="81"/>
        <v>5.9594009267040185E-2</v>
      </c>
      <c r="Z236" s="2">
        <f t="shared" si="82"/>
        <v>0.12644744380234096</v>
      </c>
      <c r="AA236" s="2" t="str">
        <f t="shared" si="83"/>
        <v>No Impact</v>
      </c>
      <c r="AB236" s="2">
        <f t="shared" si="84"/>
        <v>7.5412552391615789E-2</v>
      </c>
      <c r="AC236" s="2">
        <f t="shared" si="85"/>
        <v>0.20961688835477765</v>
      </c>
      <c r="AD236" s="2" t="str">
        <f t="shared" si="86"/>
        <v>Low</v>
      </c>
      <c r="AE236" s="2">
        <f t="shared" si="87"/>
        <v>1.7078128355385441E-2</v>
      </c>
      <c r="AF236" s="2">
        <f t="shared" si="88"/>
        <v>8.7982033850126221E-2</v>
      </c>
      <c r="AG236" s="2" t="s">
        <v>1175</v>
      </c>
    </row>
    <row r="237" spans="1:33" x14ac:dyDescent="0.3">
      <c r="A237">
        <v>305454</v>
      </c>
      <c r="B237" t="s">
        <v>483</v>
      </c>
      <c r="C237" t="s">
        <v>481</v>
      </c>
      <c r="D237" t="s">
        <v>484</v>
      </c>
      <c r="E237" s="18">
        <v>6.4</v>
      </c>
      <c r="F237" s="19">
        <f t="shared" si="70"/>
        <v>0.71111111111111114</v>
      </c>
      <c r="G237" s="2">
        <v>83.555769600000005</v>
      </c>
      <c r="H237" s="2">
        <f t="shared" si="71"/>
        <v>0.50156282070751279</v>
      </c>
      <c r="I237" s="2">
        <v>68.5</v>
      </c>
      <c r="J237" s="4">
        <f t="shared" si="72"/>
        <v>0.33236293061620575</v>
      </c>
      <c r="K237" s="2">
        <v>0</v>
      </c>
      <c r="L237" s="4">
        <f t="shared" si="73"/>
        <v>0</v>
      </c>
      <c r="M237" s="2">
        <v>27938</v>
      </c>
      <c r="N237" s="2">
        <f t="shared" si="74"/>
        <v>0.1310556273154391</v>
      </c>
      <c r="O237" s="2">
        <v>0.34327026199999999</v>
      </c>
      <c r="P237" s="2">
        <f t="shared" si="75"/>
        <v>0.31909190521976383</v>
      </c>
      <c r="Q237" s="2">
        <v>0.29870000000000002</v>
      </c>
      <c r="R237" s="2">
        <f t="shared" si="76"/>
        <v>0.70555877243775345</v>
      </c>
      <c r="S237" s="2">
        <f t="shared" si="77"/>
        <v>0.10633561072834341</v>
      </c>
      <c r="T237" s="5">
        <f t="shared" si="69"/>
        <v>0.21454846101337646</v>
      </c>
      <c r="U237" s="2" t="str">
        <f t="shared" si="78"/>
        <v>Low</v>
      </c>
      <c r="V237" s="2">
        <f t="shared" si="79"/>
        <v>0.1464421477638172</v>
      </c>
      <c r="W237" s="2">
        <f t="shared" si="80"/>
        <v>0.26379638448740755</v>
      </c>
      <c r="X237" s="2" t="s">
        <v>1175</v>
      </c>
      <c r="Y237" s="2">
        <f t="shared" si="81"/>
        <v>6.6229073692869622E-2</v>
      </c>
      <c r="Z237" s="2">
        <f t="shared" si="82"/>
        <v>0.14052582091488741</v>
      </c>
      <c r="AA237" s="2" t="str">
        <f t="shared" si="83"/>
        <v>No Impact</v>
      </c>
      <c r="AB237" s="2">
        <f t="shared" si="84"/>
        <v>8.0643904867396379E-2</v>
      </c>
      <c r="AC237" s="2">
        <f t="shared" si="85"/>
        <v>0.22415796663794826</v>
      </c>
      <c r="AD237" s="2" t="str">
        <f t="shared" si="86"/>
        <v>Low</v>
      </c>
      <c r="AE237" s="2">
        <f t="shared" si="87"/>
        <v>2.7201231549141388E-2</v>
      </c>
      <c r="AF237" s="2">
        <f t="shared" si="88"/>
        <v>0.14013360393599558</v>
      </c>
      <c r="AG237" s="2" t="s">
        <v>1175</v>
      </c>
    </row>
    <row r="238" spans="1:33" x14ac:dyDescent="0.3">
      <c r="A238">
        <v>305480</v>
      </c>
      <c r="B238" t="s">
        <v>485</v>
      </c>
      <c r="C238" t="s">
        <v>481</v>
      </c>
      <c r="D238" t="s">
        <v>486</v>
      </c>
      <c r="E238" s="18">
        <v>6.4</v>
      </c>
      <c r="F238" s="19">
        <f t="shared" si="70"/>
        <v>0.71111111111111114</v>
      </c>
      <c r="G238" s="2">
        <v>83.555769600000005</v>
      </c>
      <c r="H238" s="2">
        <f t="shared" si="71"/>
        <v>0.50156282070751279</v>
      </c>
      <c r="I238" s="2">
        <v>75.5</v>
      </c>
      <c r="J238" s="4">
        <f t="shared" si="72"/>
        <v>0.36632702571567199</v>
      </c>
      <c r="K238" s="2">
        <v>0</v>
      </c>
      <c r="L238" s="4">
        <f t="shared" si="73"/>
        <v>0</v>
      </c>
      <c r="M238" s="2">
        <v>12683</v>
      </c>
      <c r="N238" s="2">
        <f t="shared" si="74"/>
        <v>5.8877801592596271E-2</v>
      </c>
      <c r="O238" s="2">
        <v>0.55463829200000003</v>
      </c>
      <c r="P238" s="2">
        <f t="shared" si="75"/>
        <v>0.56326216831484843</v>
      </c>
      <c r="Q238" s="2">
        <v>0.29010000000000002</v>
      </c>
      <c r="R238" s="2">
        <f t="shared" si="76"/>
        <v>0.68066010422698331</v>
      </c>
      <c r="S238" s="2">
        <f t="shared" si="77"/>
        <v>0.13434866792090602</v>
      </c>
      <c r="T238" s="5">
        <f t="shared" si="69"/>
        <v>0.27106911545620666</v>
      </c>
      <c r="U238" s="2" t="str">
        <f t="shared" si="78"/>
        <v>Low</v>
      </c>
      <c r="V238" s="2">
        <f t="shared" si="79"/>
        <v>0.14702812278284863</v>
      </c>
      <c r="W238" s="2">
        <f t="shared" si="80"/>
        <v>0.26485194187836941</v>
      </c>
      <c r="X238" s="2" t="s">
        <v>1175</v>
      </c>
      <c r="Y238" s="2">
        <f t="shared" si="81"/>
        <v>0.12166921305896343</v>
      </c>
      <c r="Z238" s="2">
        <f t="shared" si="82"/>
        <v>0.25815952257565622</v>
      </c>
      <c r="AA238" s="2" t="str">
        <f t="shared" si="83"/>
        <v>Low</v>
      </c>
      <c r="AB238" s="2">
        <f t="shared" si="84"/>
        <v>9.241193642575668E-2</v>
      </c>
      <c r="AC238" s="2">
        <f t="shared" si="85"/>
        <v>0.2568684117706681</v>
      </c>
      <c r="AD238" s="2" t="str">
        <f t="shared" si="86"/>
        <v>Low</v>
      </c>
      <c r="AE238" s="2">
        <f t="shared" si="87"/>
        <v>1.271808438305891E-2</v>
      </c>
      <c r="AF238" s="2">
        <f t="shared" si="88"/>
        <v>6.5520231925543251E-2</v>
      </c>
      <c r="AG238" s="2" t="s">
        <v>1175</v>
      </c>
    </row>
    <row r="239" spans="1:33" x14ac:dyDescent="0.3">
      <c r="A239">
        <v>305487</v>
      </c>
      <c r="B239" t="s">
        <v>487</v>
      </c>
      <c r="C239" t="s">
        <v>481</v>
      </c>
      <c r="D239" t="s">
        <v>488</v>
      </c>
      <c r="E239" s="18">
        <v>6.4</v>
      </c>
      <c r="F239" s="19">
        <f t="shared" si="70"/>
        <v>0.71111111111111114</v>
      </c>
      <c r="G239" s="2">
        <v>76.886629200000002</v>
      </c>
      <c r="H239" s="2">
        <f t="shared" si="71"/>
        <v>0.43708277459054468</v>
      </c>
      <c r="I239" s="2">
        <v>52.5</v>
      </c>
      <c r="J239" s="4">
        <f t="shared" si="72"/>
        <v>0.25473071324599711</v>
      </c>
      <c r="K239" s="2">
        <v>0</v>
      </c>
      <c r="L239" s="4">
        <f t="shared" si="73"/>
        <v>0</v>
      </c>
      <c r="M239" s="2">
        <v>29231</v>
      </c>
      <c r="N239" s="2">
        <f t="shared" si="74"/>
        <v>0.13717335453009893</v>
      </c>
      <c r="O239" s="2">
        <v>0.50431269899999998</v>
      </c>
      <c r="P239" s="2">
        <f t="shared" si="75"/>
        <v>0.50512653974686605</v>
      </c>
      <c r="Q239" s="2">
        <v>0.31619999999999998</v>
      </c>
      <c r="R239" s="2">
        <f t="shared" si="76"/>
        <v>0.75622466705269253</v>
      </c>
      <c r="S239" s="2">
        <f t="shared" si="77"/>
        <v>0.10859268345493042</v>
      </c>
      <c r="T239" s="5">
        <f t="shared" si="69"/>
        <v>0.21910245263074377</v>
      </c>
      <c r="U239" s="2" t="str">
        <f t="shared" si="78"/>
        <v>Low</v>
      </c>
      <c r="V239" s="2">
        <f t="shared" si="79"/>
        <v>0.13021031009821352</v>
      </c>
      <c r="W239" s="2">
        <f t="shared" si="80"/>
        <v>0.23455685095722026</v>
      </c>
      <c r="X239" s="2" t="s">
        <v>1175</v>
      </c>
      <c r="Y239" s="2">
        <f t="shared" si="81"/>
        <v>8.69750568116473E-2</v>
      </c>
      <c r="Z239" s="2">
        <f t="shared" si="82"/>
        <v>0.18454495248197289</v>
      </c>
      <c r="AA239" s="2" t="str">
        <f t="shared" si="83"/>
        <v>Low</v>
      </c>
      <c r="AB239" s="2">
        <f t="shared" si="84"/>
        <v>7.9932828626668215E-2</v>
      </c>
      <c r="AC239" s="2">
        <f t="shared" si="85"/>
        <v>0.22218145763198835</v>
      </c>
      <c r="AD239" s="2" t="str">
        <f t="shared" si="86"/>
        <v>Low</v>
      </c>
      <c r="AE239" s="2">
        <f t="shared" si="87"/>
        <v>2.3619151567997997E-2</v>
      </c>
      <c r="AF239" s="2">
        <f t="shared" si="88"/>
        <v>0.12167966825893793</v>
      </c>
      <c r="AG239" s="2" t="s">
        <v>1175</v>
      </c>
    </row>
    <row r="240" spans="1:33" x14ac:dyDescent="0.3">
      <c r="A240">
        <v>305610</v>
      </c>
      <c r="B240" t="s">
        <v>1173</v>
      </c>
      <c r="C240" t="s">
        <v>489</v>
      </c>
      <c r="D240" t="s">
        <v>1143</v>
      </c>
      <c r="E240" s="18">
        <v>5.5</v>
      </c>
      <c r="F240" s="19">
        <f t="shared" si="70"/>
        <v>0.51111111111111107</v>
      </c>
      <c r="G240" s="2">
        <v>58.299678</v>
      </c>
      <c r="H240" s="2">
        <f t="shared" si="71"/>
        <v>0.25737633587921765</v>
      </c>
      <c r="I240" s="2">
        <v>27.5</v>
      </c>
      <c r="J240" s="4">
        <f t="shared" si="72"/>
        <v>0.13343037360504609</v>
      </c>
      <c r="K240" s="2">
        <v>0</v>
      </c>
      <c r="L240" s="4">
        <f t="shared" si="73"/>
        <v>0</v>
      </c>
      <c r="M240" s="2">
        <v>22617</v>
      </c>
      <c r="N240" s="2">
        <f t="shared" si="74"/>
        <v>0.10587973674374151</v>
      </c>
      <c r="O240" s="2">
        <v>0.43239641699999998</v>
      </c>
      <c r="P240" s="2">
        <f t="shared" si="75"/>
        <v>0.42204956023979351</v>
      </c>
      <c r="Q240" s="2">
        <v>0.2913</v>
      </c>
      <c r="R240" s="2">
        <f t="shared" si="76"/>
        <v>0.68413433700057913</v>
      </c>
      <c r="S240" s="2">
        <f t="shared" si="77"/>
        <v>3.8667199068535121E-2</v>
      </c>
      <c r="T240" s="5">
        <f t="shared" si="69"/>
        <v>7.8017025482139873E-2</v>
      </c>
      <c r="U240" s="2" t="str">
        <f t="shared" si="78"/>
        <v>No Impact</v>
      </c>
      <c r="V240" s="2">
        <f t="shared" si="79"/>
        <v>4.7828500603590611E-2</v>
      </c>
      <c r="W240" s="2">
        <f t="shared" si="80"/>
        <v>8.6156791110642172E-2</v>
      </c>
      <c r="X240" s="2" t="s">
        <v>1176</v>
      </c>
      <c r="Y240" s="2">
        <f t="shared" si="81"/>
        <v>2.9505897533479639E-2</v>
      </c>
      <c r="Z240" s="2">
        <f t="shared" si="82"/>
        <v>6.2606046582366473E-2</v>
      </c>
      <c r="AA240" s="2" t="str">
        <f t="shared" si="83"/>
        <v>No Impact</v>
      </c>
      <c r="AB240" s="2">
        <f t="shared" si="84"/>
        <v>2.8182499053559087E-2</v>
      </c>
      <c r="AC240" s="2">
        <f t="shared" si="85"/>
        <v>7.8336133313600842E-2</v>
      </c>
      <c r="AD240" s="2" t="str">
        <f t="shared" si="86"/>
        <v>No Impact</v>
      </c>
      <c r="AE240" s="2">
        <f t="shared" si="87"/>
        <v>7.4021559493099515E-3</v>
      </c>
      <c r="AF240" s="2">
        <f t="shared" si="88"/>
        <v>3.8133964199345831E-2</v>
      </c>
      <c r="AG240" s="2" t="s">
        <v>1175</v>
      </c>
    </row>
    <row r="241" spans="1:33" x14ac:dyDescent="0.3">
      <c r="A241">
        <v>305622</v>
      </c>
      <c r="B241" t="s">
        <v>1174</v>
      </c>
      <c r="C241" t="s">
        <v>489</v>
      </c>
      <c r="D241" t="s">
        <v>490</v>
      </c>
      <c r="E241" s="18">
        <v>5.9</v>
      </c>
      <c r="F241" s="19">
        <f t="shared" si="70"/>
        <v>0.60000000000000009</v>
      </c>
      <c r="G241" s="2">
        <v>67.116708000000003</v>
      </c>
      <c r="H241" s="2">
        <f t="shared" si="71"/>
        <v>0.34262307937477987</v>
      </c>
      <c r="I241" s="2">
        <v>35.299999999999997</v>
      </c>
      <c r="J241" s="4">
        <f t="shared" si="72"/>
        <v>0.17127607957302279</v>
      </c>
      <c r="K241" s="2">
        <v>0</v>
      </c>
      <c r="L241" s="4">
        <f t="shared" si="73"/>
        <v>0</v>
      </c>
      <c r="M241" s="2">
        <v>12495</v>
      </c>
      <c r="N241" s="2">
        <f t="shared" si="74"/>
        <v>5.7988294464710696E-2</v>
      </c>
      <c r="O241" s="2">
        <v>0.55128769600000005</v>
      </c>
      <c r="P241" s="2">
        <f t="shared" si="75"/>
        <v>0.55939159286952056</v>
      </c>
      <c r="Q241" s="2">
        <v>0.25540000000000002</v>
      </c>
      <c r="R241" s="2">
        <f t="shared" si="76"/>
        <v>0.58019687319050384</v>
      </c>
      <c r="S241" s="2">
        <f t="shared" si="77"/>
        <v>6.1491523196760621E-2</v>
      </c>
      <c r="T241" s="5">
        <f t="shared" si="69"/>
        <v>0.12406861235731638</v>
      </c>
      <c r="U241" s="2" t="str">
        <f t="shared" si="78"/>
        <v>No Impact</v>
      </c>
      <c r="V241" s="2">
        <f t="shared" si="79"/>
        <v>6.2614163882916421E-2</v>
      </c>
      <c r="W241" s="2">
        <f t="shared" si="80"/>
        <v>0.11279123054555794</v>
      </c>
      <c r="X241" s="2" t="s">
        <v>1176</v>
      </c>
      <c r="Y241" s="2">
        <f t="shared" si="81"/>
        <v>6.0368882510604828E-2</v>
      </c>
      <c r="Z241" s="2">
        <f t="shared" si="82"/>
        <v>0.12809158122696912</v>
      </c>
      <c r="AA241" s="2" t="str">
        <f t="shared" si="83"/>
        <v>No Impact</v>
      </c>
      <c r="AB241" s="2">
        <f t="shared" si="84"/>
        <v>4.221593209013827E-2</v>
      </c>
      <c r="AC241" s="2">
        <f t="shared" si="85"/>
        <v>0.11734349313331584</v>
      </c>
      <c r="AD241" s="2" t="str">
        <f t="shared" si="86"/>
        <v>No Impact</v>
      </c>
      <c r="AE241" s="2">
        <f t="shared" si="87"/>
        <v>6.2580285083887926E-3</v>
      </c>
      <c r="AF241" s="2">
        <f t="shared" si="88"/>
        <v>3.2239719985855037E-2</v>
      </c>
      <c r="AG241" s="2" t="s">
        <v>1176</v>
      </c>
    </row>
    <row r="242" spans="1:33" x14ac:dyDescent="0.3">
      <c r="A242">
        <v>305628</v>
      </c>
      <c r="B242" t="s">
        <v>491</v>
      </c>
      <c r="C242" t="s">
        <v>489</v>
      </c>
      <c r="D242" t="s">
        <v>492</v>
      </c>
      <c r="E242" s="18">
        <v>5.9</v>
      </c>
      <c r="F242" s="19">
        <f t="shared" si="70"/>
        <v>0.60000000000000009</v>
      </c>
      <c r="G242" s="2">
        <v>67.116708000000003</v>
      </c>
      <c r="H242" s="2">
        <f t="shared" si="71"/>
        <v>0.34262307937477987</v>
      </c>
      <c r="I242" s="2">
        <v>43.1</v>
      </c>
      <c r="J242" s="4">
        <f t="shared" si="72"/>
        <v>0.20912178554099953</v>
      </c>
      <c r="K242" s="2">
        <v>0</v>
      </c>
      <c r="L242" s="4">
        <f t="shared" si="73"/>
        <v>0</v>
      </c>
      <c r="M242" s="2">
        <v>45062</v>
      </c>
      <c r="N242" s="2">
        <f t="shared" si="74"/>
        <v>0.21207647868731458</v>
      </c>
      <c r="O242" s="2">
        <v>0.41765406700000002</v>
      </c>
      <c r="P242" s="2">
        <f t="shared" si="75"/>
        <v>0.40501934295414338</v>
      </c>
      <c r="Q242" s="2">
        <v>0.2591</v>
      </c>
      <c r="R242" s="2">
        <f t="shared" si="76"/>
        <v>0.59090909090909094</v>
      </c>
      <c r="S242" s="2">
        <f t="shared" si="77"/>
        <v>5.7697331916803679E-2</v>
      </c>
      <c r="T242" s="5">
        <f t="shared" ref="T242:T305" si="89">(S242-$AJ$10)/$AK$10</f>
        <v>0.11641324747692118</v>
      </c>
      <c r="U242" s="2" t="str">
        <f t="shared" si="78"/>
        <v>No Impact</v>
      </c>
      <c r="V242" s="2">
        <f t="shared" si="79"/>
        <v>6.8466521873639899E-2</v>
      </c>
      <c r="W242" s="2">
        <f t="shared" si="80"/>
        <v>0.12333348837401277</v>
      </c>
      <c r="X242" s="2" t="s">
        <v>1176</v>
      </c>
      <c r="Y242" s="2">
        <f t="shared" si="81"/>
        <v>4.6928141959967432E-2</v>
      </c>
      <c r="Z242" s="2">
        <f t="shared" si="82"/>
        <v>9.9572820594119052E-2</v>
      </c>
      <c r="AA242" s="2" t="str">
        <f t="shared" si="83"/>
        <v>No Impact</v>
      </c>
      <c r="AB242" s="2">
        <f t="shared" si="84"/>
        <v>4.664211518802247E-2</v>
      </c>
      <c r="AC242" s="2">
        <f t="shared" si="85"/>
        <v>0.12964652092965587</v>
      </c>
      <c r="AD242" s="2" t="str">
        <f t="shared" si="86"/>
        <v>No Impact</v>
      </c>
      <c r="AE242" s="2">
        <f t="shared" si="87"/>
        <v>2.457254269788078E-2</v>
      </c>
      <c r="AF242" s="2">
        <f t="shared" si="88"/>
        <v>0.12659128907102216</v>
      </c>
      <c r="AG242" s="2" t="s">
        <v>1175</v>
      </c>
    </row>
    <row r="243" spans="1:33" x14ac:dyDescent="0.3">
      <c r="A243">
        <v>305646</v>
      </c>
      <c r="B243" t="s">
        <v>493</v>
      </c>
      <c r="C243" t="s">
        <v>489</v>
      </c>
      <c r="D243" t="s">
        <v>494</v>
      </c>
      <c r="E243" s="18">
        <v>5.9</v>
      </c>
      <c r="F243" s="19">
        <f t="shared" si="70"/>
        <v>0.60000000000000009</v>
      </c>
      <c r="G243" s="2">
        <v>61.382721600000004</v>
      </c>
      <c r="H243" s="2">
        <f t="shared" si="71"/>
        <v>0.28718449429025117</v>
      </c>
      <c r="I243" s="2">
        <v>34.1</v>
      </c>
      <c r="J243" s="4">
        <f t="shared" si="72"/>
        <v>0.16545366327025718</v>
      </c>
      <c r="K243" s="2">
        <v>0</v>
      </c>
      <c r="L243" s="4">
        <f t="shared" si="73"/>
        <v>0</v>
      </c>
      <c r="M243" s="2">
        <v>15842</v>
      </c>
      <c r="N243" s="2">
        <f t="shared" si="74"/>
        <v>7.3824360193609745E-2</v>
      </c>
      <c r="O243" s="2">
        <v>0.54290676999999998</v>
      </c>
      <c r="P243" s="2">
        <f t="shared" si="75"/>
        <v>0.54971002983276207</v>
      </c>
      <c r="Q243" s="2">
        <v>0.26490000000000002</v>
      </c>
      <c r="R243" s="2">
        <f t="shared" si="76"/>
        <v>0.60770121598147087</v>
      </c>
      <c r="S243" s="2">
        <f t="shared" si="77"/>
        <v>5.5008291853742543E-2</v>
      </c>
      <c r="T243" s="5">
        <f t="shared" si="89"/>
        <v>0.11098769527308829</v>
      </c>
      <c r="U243" s="2" t="str">
        <f t="shared" si="78"/>
        <v>No Impact</v>
      </c>
      <c r="V243" s="2">
        <f t="shared" si="79"/>
        <v>5.7764439337318049E-2</v>
      </c>
      <c r="W243" s="2">
        <f t="shared" si="80"/>
        <v>0.10405508579198594</v>
      </c>
      <c r="X243" s="2" t="s">
        <v>1176</v>
      </c>
      <c r="Y243" s="2">
        <f t="shared" si="81"/>
        <v>5.2252144370167036E-2</v>
      </c>
      <c r="Z243" s="2">
        <f t="shared" si="82"/>
        <v>0.11086936707332319</v>
      </c>
      <c r="AA243" s="2" t="str">
        <f t="shared" si="83"/>
        <v>No Impact</v>
      </c>
      <c r="AB243" s="2">
        <f t="shared" si="84"/>
        <v>3.834925267412366E-2</v>
      </c>
      <c r="AC243" s="2">
        <f t="shared" si="85"/>
        <v>0.10659566294131503</v>
      </c>
      <c r="AD243" s="2" t="str">
        <f t="shared" si="86"/>
        <v>No Impact</v>
      </c>
      <c r="AE243" s="2">
        <f t="shared" si="87"/>
        <v>7.0173017000349598E-3</v>
      </c>
      <c r="AF243" s="2">
        <f t="shared" si="88"/>
        <v>3.6151296140969305E-2</v>
      </c>
      <c r="AG243" s="2" t="s">
        <v>1175</v>
      </c>
    </row>
    <row r="244" spans="1:33" x14ac:dyDescent="0.3">
      <c r="A244">
        <v>305670</v>
      </c>
      <c r="B244" t="s">
        <v>495</v>
      </c>
      <c r="C244" t="s">
        <v>489</v>
      </c>
      <c r="D244" t="s">
        <v>496</v>
      </c>
      <c r="E244" s="18">
        <v>5.9</v>
      </c>
      <c r="F244" s="19">
        <f t="shared" si="70"/>
        <v>0.60000000000000009</v>
      </c>
      <c r="G244" s="2">
        <v>58.299678</v>
      </c>
      <c r="H244" s="2">
        <f t="shared" si="71"/>
        <v>0.25737633587921765</v>
      </c>
      <c r="I244" s="2">
        <v>22.1</v>
      </c>
      <c r="J244" s="4">
        <f t="shared" si="72"/>
        <v>0.10722950024260069</v>
      </c>
      <c r="K244" s="2">
        <v>0</v>
      </c>
      <c r="L244" s="4">
        <f t="shared" si="73"/>
        <v>0</v>
      </c>
      <c r="M244" s="2">
        <v>16520</v>
      </c>
      <c r="N244" s="2">
        <f t="shared" si="74"/>
        <v>7.7032263559069419E-2</v>
      </c>
      <c r="O244" s="2">
        <v>0.50426728499999995</v>
      </c>
      <c r="P244" s="2">
        <f t="shared" si="75"/>
        <v>0.50507407794207848</v>
      </c>
      <c r="Q244" s="2">
        <v>0.24349999999999999</v>
      </c>
      <c r="R244" s="2">
        <f t="shared" si="76"/>
        <v>0.54574406485234517</v>
      </c>
      <c r="S244" s="2">
        <f t="shared" si="77"/>
        <v>4.0229114894381406E-2</v>
      </c>
      <c r="T244" s="5">
        <f t="shared" si="89"/>
        <v>8.1168431058996515E-2</v>
      </c>
      <c r="U244" s="2" t="str">
        <f t="shared" si="78"/>
        <v>No Impact</v>
      </c>
      <c r="V244" s="2">
        <f t="shared" si="79"/>
        <v>4.178610892554193E-2</v>
      </c>
      <c r="W244" s="2">
        <f t="shared" si="80"/>
        <v>7.5272212437999433E-2</v>
      </c>
      <c r="X244" s="2" t="s">
        <v>1176</v>
      </c>
      <c r="Y244" s="2">
        <f t="shared" si="81"/>
        <v>3.8672120863220881E-2</v>
      </c>
      <c r="Z244" s="2">
        <f t="shared" si="82"/>
        <v>8.2055073818870908E-2</v>
      </c>
      <c r="AA244" s="2" t="str">
        <f t="shared" si="83"/>
        <v>No Impact</v>
      </c>
      <c r="AB244" s="2">
        <f t="shared" si="84"/>
        <v>2.8291125728359283E-2</v>
      </c>
      <c r="AC244" s="2">
        <f t="shared" si="85"/>
        <v>7.8638072246070584E-2</v>
      </c>
      <c r="AD244" s="2" t="str">
        <f t="shared" si="86"/>
        <v>No Impact</v>
      </c>
      <c r="AE244" s="2">
        <f t="shared" si="87"/>
        <v>5.8981467012952657E-3</v>
      </c>
      <c r="AF244" s="2">
        <f t="shared" si="88"/>
        <v>3.0385703393705315E-2</v>
      </c>
      <c r="AG244" s="2" t="s">
        <v>1176</v>
      </c>
    </row>
    <row r="245" spans="1:33" x14ac:dyDescent="0.3">
      <c r="A245">
        <v>305678</v>
      </c>
      <c r="B245" t="s">
        <v>497</v>
      </c>
      <c r="C245" t="s">
        <v>489</v>
      </c>
      <c r="D245" t="s">
        <v>498</v>
      </c>
      <c r="E245" s="18">
        <v>5.9</v>
      </c>
      <c r="F245" s="19">
        <f t="shared" si="70"/>
        <v>0.60000000000000009</v>
      </c>
      <c r="G245" s="2">
        <v>67.116708000000003</v>
      </c>
      <c r="H245" s="2">
        <f t="shared" si="71"/>
        <v>0.34262307937477987</v>
      </c>
      <c r="I245" s="2">
        <v>39.700000000000003</v>
      </c>
      <c r="J245" s="4">
        <f t="shared" si="72"/>
        <v>0.19262493934983019</v>
      </c>
      <c r="K245" s="2">
        <v>0</v>
      </c>
      <c r="L245" s="4">
        <f t="shared" si="73"/>
        <v>0</v>
      </c>
      <c r="M245" s="2">
        <v>54363</v>
      </c>
      <c r="N245" s="2">
        <f t="shared" si="74"/>
        <v>0.25608342441318555</v>
      </c>
      <c r="O245" s="2">
        <v>0.50357364800000004</v>
      </c>
      <c r="P245" s="2">
        <f t="shared" si="75"/>
        <v>0.50427279532245772</v>
      </c>
      <c r="Q245" s="2">
        <v>0.27460000000000001</v>
      </c>
      <c r="R245" s="2">
        <f t="shared" si="76"/>
        <v>0.63578459756803718</v>
      </c>
      <c r="S245" s="2">
        <f t="shared" si="77"/>
        <v>6.4072413381583079E-2</v>
      </c>
      <c r="T245" s="5">
        <f t="shared" si="89"/>
        <v>0.12927595553619553</v>
      </c>
      <c r="U245" s="2" t="str">
        <f t="shared" si="78"/>
        <v>No Impact</v>
      </c>
      <c r="V245" s="2">
        <f t="shared" si="79"/>
        <v>7.146351369862225E-2</v>
      </c>
      <c r="W245" s="2">
        <f t="shared" si="80"/>
        <v>0.12873217734328232</v>
      </c>
      <c r="X245" s="2" t="s">
        <v>1176</v>
      </c>
      <c r="Y245" s="2">
        <f t="shared" si="81"/>
        <v>5.6681313064543923E-2</v>
      </c>
      <c r="Z245" s="2">
        <f t="shared" si="82"/>
        <v>0.12026724223664202</v>
      </c>
      <c r="AA245" s="2" t="str">
        <f t="shared" si="83"/>
        <v>No Impact</v>
      </c>
      <c r="AB245" s="2">
        <f t="shared" si="84"/>
        <v>5.2091132411465728E-2</v>
      </c>
      <c r="AC245" s="2">
        <f t="shared" si="85"/>
        <v>0.14479262060068029</v>
      </c>
      <c r="AD245" s="2" t="str">
        <f t="shared" si="86"/>
        <v>No Impact</v>
      </c>
      <c r="AE245" s="2">
        <f t="shared" si="87"/>
        <v>2.8784310564527911E-2</v>
      </c>
      <c r="AF245" s="2">
        <f t="shared" si="88"/>
        <v>0.14828921142533968</v>
      </c>
      <c r="AG245" s="2" t="s">
        <v>1175</v>
      </c>
    </row>
    <row r="246" spans="1:33" x14ac:dyDescent="0.3">
      <c r="A246">
        <v>305682</v>
      </c>
      <c r="B246" t="s">
        <v>499</v>
      </c>
      <c r="C246" t="s">
        <v>489</v>
      </c>
      <c r="D246" t="s">
        <v>500</v>
      </c>
      <c r="E246" s="18">
        <v>5.9</v>
      </c>
      <c r="F246" s="19">
        <f t="shared" si="70"/>
        <v>0.60000000000000009</v>
      </c>
      <c r="G246" s="2">
        <v>61.382721600000004</v>
      </c>
      <c r="H246" s="2">
        <f t="shared" si="71"/>
        <v>0.28718449429025117</v>
      </c>
      <c r="I246" s="2">
        <v>40.1</v>
      </c>
      <c r="J246" s="4">
        <f t="shared" si="72"/>
        <v>0.19456574478408542</v>
      </c>
      <c r="K246" s="2">
        <v>0</v>
      </c>
      <c r="L246" s="4">
        <f t="shared" si="73"/>
        <v>0</v>
      </c>
      <c r="M246" s="2">
        <v>21467</v>
      </c>
      <c r="N246" s="2">
        <f t="shared" si="74"/>
        <v>0.10043860271678187</v>
      </c>
      <c r="O246" s="2">
        <v>0.49729267300000002</v>
      </c>
      <c r="P246" s="2">
        <f t="shared" si="75"/>
        <v>0.49701707496473074</v>
      </c>
      <c r="Q246" s="2">
        <v>0.2291</v>
      </c>
      <c r="R246" s="2">
        <f t="shared" si="76"/>
        <v>0.50405327156919522</v>
      </c>
      <c r="S246" s="2">
        <f t="shared" si="77"/>
        <v>5.0637917271159516E-2</v>
      </c>
      <c r="T246" s="5">
        <f t="shared" si="89"/>
        <v>0.10216979189789062</v>
      </c>
      <c r="U246" s="2" t="str">
        <f t="shared" si="78"/>
        <v>No Impact</v>
      </c>
      <c r="V246" s="2">
        <f t="shared" si="79"/>
        <v>5.0993834657778875E-2</v>
      </c>
      <c r="W246" s="2">
        <f t="shared" si="80"/>
        <v>9.1858726598070498E-2</v>
      </c>
      <c r="X246" s="2" t="s">
        <v>1176</v>
      </c>
      <c r="Y246" s="2">
        <f t="shared" si="81"/>
        <v>5.0281999884540164E-2</v>
      </c>
      <c r="Z246" s="2">
        <f t="shared" si="82"/>
        <v>0.10668908557871033</v>
      </c>
      <c r="AA246" s="2" t="str">
        <f t="shared" si="83"/>
        <v>No Impact</v>
      </c>
      <c r="AB246" s="2">
        <f t="shared" si="84"/>
        <v>3.6488836679610649E-2</v>
      </c>
      <c r="AC246" s="2">
        <f t="shared" si="85"/>
        <v>0.10142444675186495</v>
      </c>
      <c r="AD246" s="2" t="str">
        <f t="shared" si="86"/>
        <v>No Impact</v>
      </c>
      <c r="AE246" s="2">
        <f t="shared" si="87"/>
        <v>1.0161127382931415E-2</v>
      </c>
      <c r="AF246" s="2">
        <f t="shared" si="88"/>
        <v>5.2347460726198489E-2</v>
      </c>
      <c r="AG246" s="2" t="s">
        <v>1175</v>
      </c>
    </row>
    <row r="247" spans="1:33" x14ac:dyDescent="0.3">
      <c r="A247">
        <v>305924</v>
      </c>
      <c r="B247" t="s">
        <v>501</v>
      </c>
      <c r="C247" t="s">
        <v>502</v>
      </c>
      <c r="D247" t="s">
        <v>503</v>
      </c>
      <c r="E247" s="18">
        <v>5.2</v>
      </c>
      <c r="F247" s="19">
        <f t="shared" si="70"/>
        <v>0.44444444444444442</v>
      </c>
      <c r="G247" s="2">
        <v>57.616171199999997</v>
      </c>
      <c r="H247" s="2">
        <f t="shared" si="71"/>
        <v>0.25076790550560285</v>
      </c>
      <c r="I247" s="2">
        <v>30.1</v>
      </c>
      <c r="J247" s="4">
        <f t="shared" si="72"/>
        <v>0.14604560892770502</v>
      </c>
      <c r="K247" s="2">
        <v>0</v>
      </c>
      <c r="L247" s="4">
        <f t="shared" si="73"/>
        <v>0</v>
      </c>
      <c r="M247" s="2">
        <v>27501</v>
      </c>
      <c r="N247" s="2">
        <f t="shared" si="74"/>
        <v>0.12898799638519443</v>
      </c>
      <c r="O247" s="2">
        <v>0.60663896699999997</v>
      </c>
      <c r="P247" s="2">
        <f t="shared" si="75"/>
        <v>0.6233328350844255</v>
      </c>
      <c r="Q247" s="2">
        <v>0.24410000000000001</v>
      </c>
      <c r="R247" s="2">
        <f t="shared" si="76"/>
        <v>0.54748118123914313</v>
      </c>
      <c r="S247" s="2">
        <f t="shared" si="77"/>
        <v>3.6135153021732452E-2</v>
      </c>
      <c r="T247" s="5">
        <f t="shared" si="89"/>
        <v>7.2908232869434111E-2</v>
      </c>
      <c r="U247" s="2" t="str">
        <f t="shared" si="78"/>
        <v>No Impact</v>
      </c>
      <c r="V247" s="2">
        <f t="shared" si="79"/>
        <v>3.3794122695449375E-2</v>
      </c>
      <c r="W247" s="2">
        <f t="shared" si="80"/>
        <v>6.0875694054700565E-2</v>
      </c>
      <c r="X247" s="2" t="s">
        <v>1176</v>
      </c>
      <c r="Y247" s="2">
        <f t="shared" si="81"/>
        <v>3.8476183348015523E-2</v>
      </c>
      <c r="Z247" s="2">
        <f t="shared" si="82"/>
        <v>8.1639330722418385E-2</v>
      </c>
      <c r="AA247" s="2" t="str">
        <f t="shared" si="83"/>
        <v>No Impact</v>
      </c>
      <c r="AB247" s="2">
        <f t="shared" si="84"/>
        <v>2.6157492201257126E-2</v>
      </c>
      <c r="AC247" s="2">
        <f t="shared" si="85"/>
        <v>7.2707420031595124E-2</v>
      </c>
      <c r="AD247" s="2" t="str">
        <f t="shared" si="86"/>
        <v>No Impact</v>
      </c>
      <c r="AE247" s="2">
        <f t="shared" si="87"/>
        <v>7.9619835812719687E-3</v>
      </c>
      <c r="AF247" s="2">
        <f t="shared" si="88"/>
        <v>4.1018049190426613E-2</v>
      </c>
      <c r="AG247" s="2" t="s">
        <v>1175</v>
      </c>
    </row>
    <row r="248" spans="1:33" x14ac:dyDescent="0.3">
      <c r="A248">
        <v>305944</v>
      </c>
      <c r="B248" t="s">
        <v>504</v>
      </c>
      <c r="C248" t="s">
        <v>502</v>
      </c>
      <c r="D248" t="s">
        <v>505</v>
      </c>
      <c r="E248" s="18">
        <v>5.2</v>
      </c>
      <c r="F248" s="19">
        <f t="shared" si="70"/>
        <v>0.44444444444444442</v>
      </c>
      <c r="G248" s="2">
        <v>68.705769599999996</v>
      </c>
      <c r="H248" s="2">
        <f t="shared" si="71"/>
        <v>0.35798679330269517</v>
      </c>
      <c r="I248" s="2">
        <v>35.700000000000003</v>
      </c>
      <c r="J248" s="4">
        <f t="shared" si="72"/>
        <v>0.17321688500727803</v>
      </c>
      <c r="K248" s="2">
        <v>0</v>
      </c>
      <c r="L248" s="4">
        <f t="shared" si="73"/>
        <v>0</v>
      </c>
      <c r="M248" s="2">
        <v>39821</v>
      </c>
      <c r="N248" s="2">
        <f t="shared" si="74"/>
        <v>0.18727910178705767</v>
      </c>
      <c r="O248" s="2">
        <v>0.60621122999999999</v>
      </c>
      <c r="P248" s="2">
        <f t="shared" si="75"/>
        <v>0.62283871752168207</v>
      </c>
      <c r="Q248" s="2">
        <v>0.24479999999999999</v>
      </c>
      <c r="R248" s="2">
        <f t="shared" si="76"/>
        <v>0.54950781702374063</v>
      </c>
      <c r="S248" s="2">
        <f t="shared" si="77"/>
        <v>4.8436483775903892E-2</v>
      </c>
      <c r="T248" s="5">
        <f t="shared" si="89"/>
        <v>9.7728060993301946E-2</v>
      </c>
      <c r="U248" s="2" t="str">
        <f t="shared" si="78"/>
        <v>No Impact</v>
      </c>
      <c r="V248" s="2">
        <f t="shared" si="79"/>
        <v>4.5406755903148063E-2</v>
      </c>
      <c r="W248" s="2">
        <f t="shared" si="80"/>
        <v>8.1794334632889459E-2</v>
      </c>
      <c r="X248" s="2" t="s">
        <v>1176</v>
      </c>
      <c r="Y248" s="2">
        <f t="shared" si="81"/>
        <v>5.1466211648659714E-2</v>
      </c>
      <c r="Z248" s="2">
        <f t="shared" si="82"/>
        <v>0.10920176348602467</v>
      </c>
      <c r="AA248" s="2" t="str">
        <f t="shared" si="83"/>
        <v>No Impact</v>
      </c>
      <c r="AB248" s="2">
        <f t="shared" si="84"/>
        <v>3.6748543659870597E-2</v>
      </c>
      <c r="AC248" s="2">
        <f t="shared" si="85"/>
        <v>0.10214632881737847</v>
      </c>
      <c r="AD248" s="2" t="str">
        <f t="shared" si="86"/>
        <v>No Impact</v>
      </c>
      <c r="AE248" s="2">
        <f t="shared" si="87"/>
        <v>1.5475187426202451E-2</v>
      </c>
      <c r="AF248" s="2">
        <f t="shared" si="88"/>
        <v>7.9724102995152993E-2</v>
      </c>
      <c r="AG248" s="2" t="s">
        <v>1175</v>
      </c>
    </row>
    <row r="249" spans="1:33" x14ac:dyDescent="0.3">
      <c r="A249">
        <v>305956</v>
      </c>
      <c r="B249" t="s">
        <v>506</v>
      </c>
      <c r="C249" t="s">
        <v>502</v>
      </c>
      <c r="D249" t="s">
        <v>507</v>
      </c>
      <c r="E249" s="18">
        <v>5.3</v>
      </c>
      <c r="F249" s="19">
        <f t="shared" si="70"/>
        <v>0.46666666666666656</v>
      </c>
      <c r="G249" s="2">
        <v>57.616171199999997</v>
      </c>
      <c r="H249" s="2">
        <f t="shared" si="71"/>
        <v>0.25076790550560285</v>
      </c>
      <c r="I249" s="2">
        <v>28.6</v>
      </c>
      <c r="J249" s="4">
        <f t="shared" si="72"/>
        <v>0.13876758854924795</v>
      </c>
      <c r="K249" s="2">
        <v>0</v>
      </c>
      <c r="L249" s="4">
        <f t="shared" si="73"/>
        <v>0</v>
      </c>
      <c r="M249" s="2">
        <v>40362</v>
      </c>
      <c r="N249" s="2">
        <f t="shared" si="74"/>
        <v>0.18983880049017521</v>
      </c>
      <c r="O249" s="2">
        <v>0.63376100300000004</v>
      </c>
      <c r="P249" s="2">
        <f t="shared" si="75"/>
        <v>0.65466394351077739</v>
      </c>
      <c r="Q249" s="2">
        <v>0.25390000000000001</v>
      </c>
      <c r="R249" s="2">
        <f t="shared" si="76"/>
        <v>0.57585408222350909</v>
      </c>
      <c r="S249" s="2">
        <f t="shared" si="77"/>
        <v>3.914531984632072E-2</v>
      </c>
      <c r="T249" s="5">
        <f t="shared" si="89"/>
        <v>7.8981707740038237E-2</v>
      </c>
      <c r="U249" s="2" t="str">
        <f t="shared" si="78"/>
        <v>No Impact</v>
      </c>
      <c r="V249" s="2">
        <f t="shared" si="79"/>
        <v>3.6638215388998072E-2</v>
      </c>
      <c r="W249" s="2">
        <f t="shared" si="80"/>
        <v>6.5998955227537404E-2</v>
      </c>
      <c r="X249" s="2" t="s">
        <v>1176</v>
      </c>
      <c r="Y249" s="2">
        <f t="shared" si="81"/>
        <v>4.1652424303643361E-2</v>
      </c>
      <c r="Z249" s="2">
        <f t="shared" si="82"/>
        <v>8.8378725414588799E-2</v>
      </c>
      <c r="AA249" s="2" t="str">
        <f t="shared" si="83"/>
        <v>No Impact</v>
      </c>
      <c r="AB249" s="2">
        <f t="shared" si="84"/>
        <v>2.9546517705963029E-2</v>
      </c>
      <c r="AC249" s="2">
        <f t="shared" si="85"/>
        <v>8.2127562412698391E-2</v>
      </c>
      <c r="AD249" s="2" t="str">
        <f t="shared" si="86"/>
        <v>No Impact</v>
      </c>
      <c r="AE249" s="2">
        <f t="shared" si="87"/>
        <v>1.2078328653487702E-2</v>
      </c>
      <c r="AF249" s="2">
        <f t="shared" si="88"/>
        <v>6.222437835870924E-2</v>
      </c>
      <c r="AG249" s="2" t="s">
        <v>1175</v>
      </c>
    </row>
    <row r="250" spans="1:33" x14ac:dyDescent="0.3">
      <c r="A250">
        <v>305974</v>
      </c>
      <c r="B250" t="s">
        <v>508</v>
      </c>
      <c r="C250" t="s">
        <v>502</v>
      </c>
      <c r="D250" t="s">
        <v>509</v>
      </c>
      <c r="E250" s="18">
        <v>5.2</v>
      </c>
      <c r="F250" s="19">
        <f t="shared" si="70"/>
        <v>0.44444444444444442</v>
      </c>
      <c r="G250" s="2">
        <v>68.705769599999996</v>
      </c>
      <c r="H250" s="2">
        <f t="shared" si="71"/>
        <v>0.35798679330269517</v>
      </c>
      <c r="I250" s="2">
        <v>32.700000000000003</v>
      </c>
      <c r="J250" s="4">
        <f t="shared" si="72"/>
        <v>0.15866084425036392</v>
      </c>
      <c r="K250" s="2">
        <v>0</v>
      </c>
      <c r="L250" s="4">
        <f t="shared" si="73"/>
        <v>0</v>
      </c>
      <c r="M250" s="2">
        <v>39492</v>
      </c>
      <c r="N250" s="2">
        <f t="shared" si="74"/>
        <v>0.18572246431325792</v>
      </c>
      <c r="O250" s="2">
        <v>0.41339350899999999</v>
      </c>
      <c r="P250" s="2">
        <f t="shared" si="75"/>
        <v>0.40009758838325643</v>
      </c>
      <c r="Q250" s="2">
        <v>0.254</v>
      </c>
      <c r="R250" s="2">
        <f t="shared" si="76"/>
        <v>0.57614360162130873</v>
      </c>
      <c r="S250" s="2">
        <f t="shared" si="77"/>
        <v>3.9228988127610213E-2</v>
      </c>
      <c r="T250" s="5">
        <f t="shared" si="89"/>
        <v>7.9150521375125682E-2</v>
      </c>
      <c r="U250" s="2" t="str">
        <f t="shared" si="78"/>
        <v>No Impact</v>
      </c>
      <c r="V250" s="2">
        <f t="shared" si="79"/>
        <v>4.6303169215171552E-2</v>
      </c>
      <c r="W250" s="2">
        <f t="shared" si="80"/>
        <v>8.3409106024385032E-2</v>
      </c>
      <c r="X250" s="2" t="s">
        <v>1176</v>
      </c>
      <c r="Y250" s="2">
        <f t="shared" si="81"/>
        <v>3.2154807040048881E-2</v>
      </c>
      <c r="Z250" s="2">
        <f t="shared" si="82"/>
        <v>6.8226541663818419E-2</v>
      </c>
      <c r="AA250" s="2" t="str">
        <f t="shared" si="83"/>
        <v>No Impact</v>
      </c>
      <c r="AB250" s="2">
        <f t="shared" si="84"/>
        <v>3.1076663058403457E-2</v>
      </c>
      <c r="AC250" s="2">
        <f t="shared" si="85"/>
        <v>8.6380757634675079E-2</v>
      </c>
      <c r="AD250" s="2" t="str">
        <f t="shared" si="86"/>
        <v>No Impact</v>
      </c>
      <c r="AE250" s="2">
        <f t="shared" si="87"/>
        <v>1.4926033488796425E-2</v>
      </c>
      <c r="AF250" s="2">
        <f t="shared" si="88"/>
        <v>7.6895006076312292E-2</v>
      </c>
      <c r="AG250" s="2" t="s">
        <v>1175</v>
      </c>
    </row>
    <row r="251" spans="1:33" x14ac:dyDescent="0.3">
      <c r="A251">
        <v>305984</v>
      </c>
      <c r="B251" t="s">
        <v>510</v>
      </c>
      <c r="C251" t="s">
        <v>502</v>
      </c>
      <c r="D251" t="s">
        <v>511</v>
      </c>
      <c r="E251" s="18">
        <v>5.2</v>
      </c>
      <c r="F251" s="19">
        <f t="shared" si="70"/>
        <v>0.44444444444444442</v>
      </c>
      <c r="G251" s="2">
        <v>68.705769599999996</v>
      </c>
      <c r="H251" s="2">
        <f t="shared" si="71"/>
        <v>0.35798679330269517</v>
      </c>
      <c r="I251" s="2">
        <v>37.299999999999997</v>
      </c>
      <c r="J251" s="4">
        <f t="shared" si="72"/>
        <v>0.18098010674429887</v>
      </c>
      <c r="K251" s="2">
        <v>0</v>
      </c>
      <c r="L251" s="4">
        <f t="shared" si="73"/>
        <v>0</v>
      </c>
      <c r="M251" s="2">
        <v>26166</v>
      </c>
      <c r="N251" s="2">
        <f t="shared" si="74"/>
        <v>0.12267154949302825</v>
      </c>
      <c r="O251" s="2">
        <v>0.50702342499999997</v>
      </c>
      <c r="P251" s="2">
        <f t="shared" si="75"/>
        <v>0.50825794368055788</v>
      </c>
      <c r="Q251" s="2">
        <v>0.25559999999999999</v>
      </c>
      <c r="R251" s="2">
        <f t="shared" si="76"/>
        <v>0.58077591198610312</v>
      </c>
      <c r="S251" s="2">
        <f t="shared" si="77"/>
        <v>4.5651915651602225E-2</v>
      </c>
      <c r="T251" s="5">
        <f t="shared" si="89"/>
        <v>9.2109766222963213E-2</v>
      </c>
      <c r="U251" s="2" t="str">
        <f t="shared" si="78"/>
        <v>No Impact</v>
      </c>
      <c r="V251" s="2">
        <f t="shared" si="79"/>
        <v>4.8691843340795793E-2</v>
      </c>
      <c r="W251" s="2">
        <f t="shared" si="80"/>
        <v>8.7711990184992678E-2</v>
      </c>
      <c r="X251" s="2" t="s">
        <v>1176</v>
      </c>
      <c r="Y251" s="2">
        <f t="shared" si="81"/>
        <v>4.2611987962408657E-2</v>
      </c>
      <c r="Z251" s="2">
        <f t="shared" si="82"/>
        <v>9.0414741673753282E-2</v>
      </c>
      <c r="AA251" s="2" t="str">
        <f t="shared" si="83"/>
        <v>No Impact</v>
      </c>
      <c r="AB251" s="2">
        <f t="shared" si="84"/>
        <v>3.3425385261286376E-2</v>
      </c>
      <c r="AC251" s="2">
        <f t="shared" si="85"/>
        <v>9.2909270782213546E-2</v>
      </c>
      <c r="AD251" s="2" t="str">
        <f t="shared" si="86"/>
        <v>No Impact</v>
      </c>
      <c r="AE251" s="2">
        <f t="shared" si="87"/>
        <v>1.0284696295100707E-2</v>
      </c>
      <c r="AF251" s="2">
        <f t="shared" si="88"/>
        <v>5.2984055321757532E-2</v>
      </c>
      <c r="AG251" s="2" t="s">
        <v>1175</v>
      </c>
    </row>
    <row r="252" spans="1:33" x14ac:dyDescent="0.3">
      <c r="A252">
        <v>305994</v>
      </c>
      <c r="B252" t="s">
        <v>512</v>
      </c>
      <c r="C252" t="s">
        <v>502</v>
      </c>
      <c r="D252" t="s">
        <v>513</v>
      </c>
      <c r="E252" s="18">
        <v>5.2</v>
      </c>
      <c r="F252" s="19">
        <f t="shared" si="70"/>
        <v>0.44444444444444442</v>
      </c>
      <c r="G252" s="2">
        <v>57.616171199999997</v>
      </c>
      <c r="H252" s="2">
        <f t="shared" si="71"/>
        <v>0.25076790550560285</v>
      </c>
      <c r="I252" s="2">
        <v>28.6</v>
      </c>
      <c r="J252" s="4">
        <f t="shared" si="72"/>
        <v>0.13876758854924795</v>
      </c>
      <c r="K252" s="2">
        <v>0</v>
      </c>
      <c r="L252" s="4">
        <f t="shared" si="73"/>
        <v>0</v>
      </c>
      <c r="M252" s="2">
        <v>60872</v>
      </c>
      <c r="N252" s="2">
        <f t="shared" si="74"/>
        <v>0.28688024300577708</v>
      </c>
      <c r="O252" s="2">
        <v>0.63608018799999999</v>
      </c>
      <c r="P252" s="2">
        <f t="shared" si="75"/>
        <v>0.65734304314384939</v>
      </c>
      <c r="Q252" s="2">
        <v>0.25140000000000001</v>
      </c>
      <c r="R252" s="2">
        <f t="shared" si="76"/>
        <v>0.5686160972785177</v>
      </c>
      <c r="S252" s="2">
        <f t="shared" si="77"/>
        <v>3.7143135513204535E-2</v>
      </c>
      <c r="T252" s="5">
        <f t="shared" si="89"/>
        <v>7.4941992686982428E-2</v>
      </c>
      <c r="U252" s="2" t="str">
        <f t="shared" si="78"/>
        <v>No Impact</v>
      </c>
      <c r="V252" s="2">
        <f t="shared" si="79"/>
        <v>3.4454957037033315E-2</v>
      </c>
      <c r="W252" s="2">
        <f t="shared" si="80"/>
        <v>6.2066100728714345E-2</v>
      </c>
      <c r="X252" s="2" t="s">
        <v>1176</v>
      </c>
      <c r="Y252" s="2">
        <f t="shared" si="81"/>
        <v>3.9831313989375755E-2</v>
      </c>
      <c r="Z252" s="2">
        <f t="shared" si="82"/>
        <v>8.4514666812836425E-2</v>
      </c>
      <c r="AA252" s="2" t="str">
        <f t="shared" si="83"/>
        <v>No Impact</v>
      </c>
      <c r="AB252" s="2">
        <f t="shared" si="84"/>
        <v>3.0092797851438518E-2</v>
      </c>
      <c r="AC252" s="2">
        <f t="shared" si="85"/>
        <v>8.3646003847619221E-2</v>
      </c>
      <c r="AD252" s="2" t="str">
        <f t="shared" si="86"/>
        <v>No Impact</v>
      </c>
      <c r="AE252" s="2">
        <f t="shared" si="87"/>
        <v>1.7383339119040376E-2</v>
      </c>
      <c r="AF252" s="2">
        <f t="shared" si="88"/>
        <v>8.9554399578999758E-2</v>
      </c>
      <c r="AG252" s="2" t="s">
        <v>1175</v>
      </c>
    </row>
    <row r="253" spans="1:33" x14ac:dyDescent="0.3">
      <c r="A253">
        <v>306702</v>
      </c>
      <c r="B253" t="s">
        <v>514</v>
      </c>
      <c r="C253" t="s">
        <v>515</v>
      </c>
      <c r="D253" t="s">
        <v>516</v>
      </c>
      <c r="E253" s="18">
        <v>4.4000000000000004</v>
      </c>
      <c r="F253" s="19">
        <f t="shared" si="70"/>
        <v>0.26666666666666672</v>
      </c>
      <c r="G253" s="2">
        <v>58.959140400000003</v>
      </c>
      <c r="H253" s="2">
        <f t="shared" si="71"/>
        <v>0.26375229491052049</v>
      </c>
      <c r="I253" s="2">
        <v>25</v>
      </c>
      <c r="J253" s="4">
        <f t="shared" si="72"/>
        <v>0.12130033964095099</v>
      </c>
      <c r="K253" s="2">
        <v>0</v>
      </c>
      <c r="L253" s="4">
        <f t="shared" si="73"/>
        <v>0</v>
      </c>
      <c r="M253" s="2">
        <v>54149</v>
      </c>
      <c r="N253" s="2">
        <f t="shared" si="74"/>
        <v>0.25507090034208174</v>
      </c>
      <c r="O253" s="2">
        <v>0.37712475600000001</v>
      </c>
      <c r="P253" s="2">
        <f t="shared" si="75"/>
        <v>0.35820028271153004</v>
      </c>
      <c r="Q253" s="2">
        <v>0.25040000000000001</v>
      </c>
      <c r="R253" s="2">
        <f t="shared" si="76"/>
        <v>0.56572090330052116</v>
      </c>
      <c r="S253" s="2">
        <f t="shared" si="77"/>
        <v>1.6602053383620155E-2</v>
      </c>
      <c r="T253" s="5">
        <f t="shared" si="89"/>
        <v>3.3497197963317842E-2</v>
      </c>
      <c r="U253" s="2" t="str">
        <f t="shared" si="78"/>
        <v>No Impact</v>
      </c>
      <c r="V253" s="2">
        <f t="shared" si="79"/>
        <v>2.0331016928759035E-2</v>
      </c>
      <c r="W253" s="2">
        <f t="shared" si="80"/>
        <v>3.6623669077899559E-2</v>
      </c>
      <c r="X253" s="2" t="s">
        <v>1176</v>
      </c>
      <c r="Y253" s="2">
        <f t="shared" si="81"/>
        <v>1.2873089838481278E-2</v>
      </c>
      <c r="Z253" s="2">
        <f t="shared" si="82"/>
        <v>2.7314311017737188E-2</v>
      </c>
      <c r="AA253" s="2" t="str">
        <f t="shared" si="83"/>
        <v>No Impact</v>
      </c>
      <c r="AB253" s="2">
        <f t="shared" si="84"/>
        <v>1.4186163134298437E-2</v>
      </c>
      <c r="AC253" s="2">
        <f t="shared" si="85"/>
        <v>3.9431888718773872E-2</v>
      </c>
      <c r="AD253" s="2" t="str">
        <f t="shared" si="86"/>
        <v>No Impact</v>
      </c>
      <c r="AE253" s="2">
        <f t="shared" si="87"/>
        <v>9.166800736252546E-3</v>
      </c>
      <c r="AF253" s="2">
        <f t="shared" si="88"/>
        <v>4.7224950878180176E-2</v>
      </c>
      <c r="AG253" s="2" t="s">
        <v>1175</v>
      </c>
    </row>
    <row r="254" spans="1:33" x14ac:dyDescent="0.3">
      <c r="A254">
        <v>306704</v>
      </c>
      <c r="B254" t="s">
        <v>517</v>
      </c>
      <c r="C254" t="s">
        <v>515</v>
      </c>
      <c r="D254" t="s">
        <v>518</v>
      </c>
      <c r="E254" s="18">
        <v>4.3</v>
      </c>
      <c r="F254" s="19">
        <f t="shared" si="70"/>
        <v>0.24444444444444435</v>
      </c>
      <c r="G254" s="2">
        <v>58.959140400000003</v>
      </c>
      <c r="H254" s="2">
        <f t="shared" si="71"/>
        <v>0.26375229491052049</v>
      </c>
      <c r="I254" s="2">
        <v>27.5</v>
      </c>
      <c r="J254" s="4">
        <f t="shared" si="72"/>
        <v>0.13343037360504609</v>
      </c>
      <c r="K254" s="2">
        <v>0</v>
      </c>
      <c r="L254" s="4">
        <f t="shared" si="73"/>
        <v>0</v>
      </c>
      <c r="M254" s="2">
        <v>35234</v>
      </c>
      <c r="N254" s="2">
        <f t="shared" si="74"/>
        <v>0.16557607415082823</v>
      </c>
      <c r="O254" s="2">
        <v>0.59599566900000001</v>
      </c>
      <c r="P254" s="2">
        <f t="shared" si="75"/>
        <v>0.61103780223173065</v>
      </c>
      <c r="Q254" s="2">
        <v>0.21640000000000001</v>
      </c>
      <c r="R254" s="2">
        <f t="shared" si="76"/>
        <v>0.46728430804863935</v>
      </c>
      <c r="S254" s="2">
        <f t="shared" si="77"/>
        <v>1.8321330945887813E-2</v>
      </c>
      <c r="T254" s="5">
        <f t="shared" si="89"/>
        <v>3.6966105063326954E-2</v>
      </c>
      <c r="U254" s="2" t="str">
        <f t="shared" si="78"/>
        <v>No Impact</v>
      </c>
      <c r="V254" s="2">
        <f t="shared" si="79"/>
        <v>1.587887398757562E-2</v>
      </c>
      <c r="W254" s="2">
        <f t="shared" si="80"/>
        <v>2.8603715607949824E-2</v>
      </c>
      <c r="X254" s="2" t="s">
        <v>1176</v>
      </c>
      <c r="Y254" s="2">
        <f t="shared" si="81"/>
        <v>2.0763787904200002E-2</v>
      </c>
      <c r="Z254" s="2">
        <f t="shared" si="82"/>
        <v>4.405691002219856E-2</v>
      </c>
      <c r="AA254" s="2" t="str">
        <f t="shared" si="83"/>
        <v>No Impact</v>
      </c>
      <c r="AB254" s="2">
        <f t="shared" si="84"/>
        <v>1.3756007123508543E-2</v>
      </c>
      <c r="AC254" s="2">
        <f t="shared" si="85"/>
        <v>3.8236226171501346E-2</v>
      </c>
      <c r="AD254" s="2" t="str">
        <f t="shared" si="86"/>
        <v>No Impact</v>
      </c>
      <c r="AE254" s="2">
        <f t="shared" si="87"/>
        <v>5.6264710188487872E-3</v>
      </c>
      <c r="AF254" s="2">
        <f t="shared" si="88"/>
        <v>2.8986101599418255E-2</v>
      </c>
      <c r="AG254" s="2" t="s">
        <v>1176</v>
      </c>
    </row>
    <row r="255" spans="1:33" x14ac:dyDescent="0.3">
      <c r="A255">
        <v>306706</v>
      </c>
      <c r="B255" t="s">
        <v>519</v>
      </c>
      <c r="C255" t="s">
        <v>515</v>
      </c>
      <c r="D255" t="s">
        <v>520</v>
      </c>
      <c r="E255" s="18">
        <v>4.4000000000000004</v>
      </c>
      <c r="F255" s="19">
        <f t="shared" si="70"/>
        <v>0.26666666666666672</v>
      </c>
      <c r="G255" s="2">
        <v>58.959140400000003</v>
      </c>
      <c r="H255" s="2">
        <f t="shared" si="71"/>
        <v>0.26375229491052049</v>
      </c>
      <c r="I255" s="2">
        <v>28</v>
      </c>
      <c r="J255" s="4">
        <f t="shared" si="72"/>
        <v>0.13585638039786513</v>
      </c>
      <c r="K255" s="2">
        <v>0</v>
      </c>
      <c r="L255" s="4">
        <f t="shared" si="73"/>
        <v>0</v>
      </c>
      <c r="M255" s="2">
        <v>84610</v>
      </c>
      <c r="N255" s="2">
        <f t="shared" si="74"/>
        <v>0.39919471216400998</v>
      </c>
      <c r="O255" s="2">
        <v>0.448007286</v>
      </c>
      <c r="P255" s="2">
        <f t="shared" si="75"/>
        <v>0.44008308210624092</v>
      </c>
      <c r="Q255" s="2">
        <v>0.1676</v>
      </c>
      <c r="R255" s="2">
        <f t="shared" si="76"/>
        <v>0.32599884192240886</v>
      </c>
      <c r="S255" s="2">
        <f t="shared" si="77"/>
        <v>1.4286205865810111E-2</v>
      </c>
      <c r="T255" s="5">
        <f t="shared" si="89"/>
        <v>2.8824619158488954E-2</v>
      </c>
      <c r="U255" s="2" t="str">
        <f t="shared" si="78"/>
        <v>No Impact</v>
      </c>
      <c r="V255" s="2">
        <f t="shared" si="79"/>
        <v>1.2158716768116952E-2</v>
      </c>
      <c r="W255" s="2">
        <f t="shared" si="80"/>
        <v>2.190233872155866E-2</v>
      </c>
      <c r="X255" s="2" t="s">
        <v>1176</v>
      </c>
      <c r="Y255" s="2">
        <f t="shared" si="81"/>
        <v>1.641369496350327E-2</v>
      </c>
      <c r="Z255" s="2">
        <f t="shared" si="82"/>
        <v>3.4826818954002345E-2</v>
      </c>
      <c r="AA255" s="2" t="str">
        <f t="shared" si="83"/>
        <v>No Impact</v>
      </c>
      <c r="AB255" s="2">
        <f t="shared" si="84"/>
        <v>1.4390700581745674E-2</v>
      </c>
      <c r="AC255" s="2">
        <f t="shared" si="85"/>
        <v>4.0000421435492858E-2</v>
      </c>
      <c r="AD255" s="2" t="str">
        <f t="shared" si="86"/>
        <v>No Impact</v>
      </c>
      <c r="AE255" s="2">
        <f t="shared" si="87"/>
        <v>1.4888689211010752E-2</v>
      </c>
      <c r="AF255" s="2">
        <f t="shared" si="88"/>
        <v>7.6702618160969599E-2</v>
      </c>
      <c r="AG255" s="2" t="s">
        <v>1175</v>
      </c>
    </row>
    <row r="256" spans="1:33" x14ac:dyDescent="0.3">
      <c r="A256">
        <v>306758</v>
      </c>
      <c r="B256" t="s">
        <v>521</v>
      </c>
      <c r="C256" t="s">
        <v>515</v>
      </c>
      <c r="D256" t="s">
        <v>522</v>
      </c>
      <c r="E256" s="18">
        <v>4.4000000000000004</v>
      </c>
      <c r="F256" s="19">
        <f t="shared" si="70"/>
        <v>0.26666666666666672</v>
      </c>
      <c r="G256" s="2">
        <v>58.959140400000003</v>
      </c>
      <c r="H256" s="2">
        <f t="shared" si="71"/>
        <v>0.26375229491052049</v>
      </c>
      <c r="I256" s="2">
        <v>28</v>
      </c>
      <c r="J256" s="4">
        <f t="shared" si="72"/>
        <v>0.13585638039786513</v>
      </c>
      <c r="K256" s="2">
        <v>0</v>
      </c>
      <c r="L256" s="4">
        <f t="shared" si="73"/>
        <v>0</v>
      </c>
      <c r="M256" s="2">
        <v>72027</v>
      </c>
      <c r="N256" s="2">
        <f t="shared" si="74"/>
        <v>0.33965924306728551</v>
      </c>
      <c r="O256" s="2">
        <v>0.36961733400000002</v>
      </c>
      <c r="P256" s="2">
        <f t="shared" si="75"/>
        <v>0.34952778287839148</v>
      </c>
      <c r="Q256" s="2">
        <v>0.2056</v>
      </c>
      <c r="R256" s="2">
        <f t="shared" si="76"/>
        <v>0.43601621308627686</v>
      </c>
      <c r="S256" s="2">
        <f t="shared" si="77"/>
        <v>1.4649142462448528E-2</v>
      </c>
      <c r="T256" s="5">
        <f t="shared" si="89"/>
        <v>2.9556899602649223E-2</v>
      </c>
      <c r="U256" s="2" t="str">
        <f t="shared" si="78"/>
        <v>No Impact</v>
      </c>
      <c r="V256" s="2">
        <f t="shared" si="79"/>
        <v>1.6262013723609352E-2</v>
      </c>
      <c r="W256" s="2">
        <f t="shared" si="80"/>
        <v>2.9293891753701017E-2</v>
      </c>
      <c r="X256" s="2" t="s">
        <v>1176</v>
      </c>
      <c r="Y256" s="2">
        <f t="shared" si="81"/>
        <v>1.30362712012877E-2</v>
      </c>
      <c r="Z256" s="2">
        <f t="shared" si="82"/>
        <v>2.7660551629114655E-2</v>
      </c>
      <c r="AA256" s="2" t="str">
        <f t="shared" si="83"/>
        <v>No Impact</v>
      </c>
      <c r="AB256" s="2">
        <f t="shared" si="84"/>
        <v>1.4036458316142902E-2</v>
      </c>
      <c r="AC256" s="2">
        <f t="shared" si="85"/>
        <v>3.9015768893117767E-2</v>
      </c>
      <c r="AD256" s="2" t="str">
        <f t="shared" si="86"/>
        <v>No Impact</v>
      </c>
      <c r="AE256" s="2">
        <f t="shared" si="87"/>
        <v>1.2668206149980914E-2</v>
      </c>
      <c r="AF256" s="2">
        <f t="shared" si="88"/>
        <v>6.5263272363011993E-2</v>
      </c>
      <c r="AG256" s="2" t="s">
        <v>1175</v>
      </c>
    </row>
    <row r="257" spans="1:33" x14ac:dyDescent="0.3">
      <c r="A257">
        <v>306768</v>
      </c>
      <c r="B257" t="s">
        <v>523</v>
      </c>
      <c r="C257" t="s">
        <v>515</v>
      </c>
      <c r="D257" t="s">
        <v>524</v>
      </c>
      <c r="E257" s="18">
        <v>4.4000000000000004</v>
      </c>
      <c r="F257" s="19">
        <f t="shared" si="70"/>
        <v>0.26666666666666672</v>
      </c>
      <c r="G257" s="2">
        <v>58.959140400000003</v>
      </c>
      <c r="H257" s="2">
        <f t="shared" si="71"/>
        <v>0.26375229491052049</v>
      </c>
      <c r="I257" s="2">
        <v>26.9</v>
      </c>
      <c r="J257" s="4">
        <f t="shared" si="72"/>
        <v>0.13051916545366327</v>
      </c>
      <c r="K257" s="2">
        <v>0</v>
      </c>
      <c r="L257" s="4">
        <f t="shared" si="73"/>
        <v>0</v>
      </c>
      <c r="M257" s="2">
        <v>27160</v>
      </c>
      <c r="N257" s="2">
        <f t="shared" si="74"/>
        <v>0.12737458186067857</v>
      </c>
      <c r="O257" s="2">
        <v>0.56178408499999999</v>
      </c>
      <c r="P257" s="2">
        <f t="shared" si="75"/>
        <v>0.57151691789468329</v>
      </c>
      <c r="Q257" s="2">
        <v>0.3105</v>
      </c>
      <c r="R257" s="2">
        <f t="shared" si="76"/>
        <v>0.73972206137811236</v>
      </c>
      <c r="S257" s="2">
        <f t="shared" si="77"/>
        <v>2.4125925004735257E-2</v>
      </c>
      <c r="T257" s="5">
        <f t="shared" si="89"/>
        <v>4.8677766976048344E-2</v>
      </c>
      <c r="U257" s="2" t="str">
        <f t="shared" si="78"/>
        <v>No Impact</v>
      </c>
      <c r="V257" s="2">
        <f t="shared" si="79"/>
        <v>2.7220787757627592E-2</v>
      </c>
      <c r="W257" s="2">
        <f t="shared" si="80"/>
        <v>4.903469051097499E-2</v>
      </c>
      <c r="X257" s="2" t="s">
        <v>1176</v>
      </c>
      <c r="Y257" s="2">
        <f t="shared" si="81"/>
        <v>2.1031062251842921E-2</v>
      </c>
      <c r="Z257" s="2">
        <f t="shared" si="82"/>
        <v>4.4624016657060887E-2</v>
      </c>
      <c r="AA257" s="2" t="str">
        <f t="shared" si="83"/>
        <v>No Impact</v>
      </c>
      <c r="AB257" s="2">
        <f t="shared" si="84"/>
        <v>1.7477119695903112E-2</v>
      </c>
      <c r="AC257" s="2">
        <f t="shared" si="85"/>
        <v>4.8579438460519583E-2</v>
      </c>
      <c r="AD257" s="2" t="str">
        <f t="shared" si="86"/>
        <v>No Impact</v>
      </c>
      <c r="AE257" s="2">
        <f t="shared" si="87"/>
        <v>4.6872151576587886E-3</v>
      </c>
      <c r="AF257" s="2">
        <f t="shared" si="88"/>
        <v>2.4147301980776855E-2</v>
      </c>
      <c r="AG257" s="2" t="s">
        <v>1176</v>
      </c>
    </row>
    <row r="258" spans="1:33" x14ac:dyDescent="0.3">
      <c r="A258">
        <v>306807</v>
      </c>
      <c r="B258" t="s">
        <v>525</v>
      </c>
      <c r="C258" t="s">
        <v>526</v>
      </c>
      <c r="D258" t="s">
        <v>527</v>
      </c>
      <c r="E258" s="18">
        <v>4.4000000000000004</v>
      </c>
      <c r="F258" s="19">
        <f t="shared" ref="F258:F321" si="90">(E258-$AJ$5)/$AK$5</f>
        <v>0.26666666666666672</v>
      </c>
      <c r="G258" s="2">
        <v>45.428814000000003</v>
      </c>
      <c r="H258" s="2">
        <f t="shared" ref="H258:H321" si="91">(G258-$AJ$6)/$AK$6</f>
        <v>0.13293542528072075</v>
      </c>
      <c r="I258" s="2">
        <v>23.2</v>
      </c>
      <c r="J258" s="4">
        <f t="shared" ref="J258:J321" si="92">(I258-$AJ$7)/$AK$7</f>
        <v>0.11256671518680253</v>
      </c>
      <c r="K258" s="2">
        <v>0</v>
      </c>
      <c r="L258" s="4">
        <f t="shared" ref="L258:L321" si="93">(K258-$AJ$8)/$AK$8</f>
        <v>0</v>
      </c>
      <c r="M258" s="2">
        <v>22807</v>
      </c>
      <c r="N258" s="2">
        <f t="shared" ref="N258:N321" si="94">(M258-$AJ$9)/$AK$9</f>
        <v>0.10677870671341311</v>
      </c>
      <c r="O258" s="2">
        <v>0.32644362900000001</v>
      </c>
      <c r="P258" s="2">
        <f t="shared" ref="P258:P321" si="95">(O258-$AJ$11)/$AK$11</f>
        <v>0.29965394477411633</v>
      </c>
      <c r="Q258" s="2">
        <v>0.27600000000000002</v>
      </c>
      <c r="R258" s="2">
        <f t="shared" ref="R258:R321" si="96">(Q258-$AJ$12)/$AK$12</f>
        <v>0.63983786913723228</v>
      </c>
      <c r="S258" s="2">
        <f t="shared" ref="S258:S321" si="97">F258*(R258*0.5+P258*0.5)*(H258*0.35+J258*0.35+L258*0.3)</f>
        <v>1.0763538392457767E-2</v>
      </c>
      <c r="T258" s="5">
        <f t="shared" si="89"/>
        <v>2.1717095348798985E-2</v>
      </c>
      <c r="U258" s="2" t="str">
        <f t="shared" ref="U258:U321" si="98">IF(T258&gt;0.7,"High",IF(T258&gt;0.3,"Moderate",IF(T258&gt;0.15,"Low","No Impact")))</f>
        <v>No Impact</v>
      </c>
      <c r="V258" s="2">
        <f t="shared" ref="V258:V321" si="99">F258*(R258*1)*(H258*0.35+J258*0.35+L258*0.3)</f>
        <v>1.4660946199701161E-2</v>
      </c>
      <c r="W258" s="2">
        <f t="shared" ref="W258:W321" si="100">(V258-$AJ$13)/$AK$13</f>
        <v>2.6409777920514382E-2</v>
      </c>
      <c r="X258" s="2" t="s">
        <v>1176</v>
      </c>
      <c r="Y258" s="2">
        <f t="shared" ref="Y258:Y321" si="101">F258*(P258*1)*(H258*0.35+J258*0.35+L258*0.3)</f>
        <v>6.8661305852143733E-3</v>
      </c>
      <c r="Z258" s="2">
        <f t="shared" ref="Z258:Z321" si="102">(Y258-$AJ$14)/$AK$14</f>
        <v>1.4568656681966339E-2</v>
      </c>
      <c r="AA258" s="2" t="str">
        <f t="shared" ref="AA258:AA321" si="103">IF(Z258&gt;0.7,"High",IF(Z258&gt;0.3,"Moderate",IF(Z258&gt;0.15,"Low","No Impact")))</f>
        <v>No Impact</v>
      </c>
      <c r="AB258" s="2">
        <f t="shared" ref="AB258:AB321" si="104">F258*(R258*0.35+P258*0.3+N258*0.35)*(H258*0.35+J258*0.35+L258*0.3)</f>
        <v>8.0475074465732807E-3</v>
      </c>
      <c r="AC258" s="2">
        <f t="shared" ref="AC258:AC321" si="105">(AB258-$AJ$15)/$AK$15</f>
        <v>2.2368868530037164E-2</v>
      </c>
      <c r="AD258" s="2" t="str">
        <f t="shared" ref="AD258:AD321" si="106">IF(AC258&gt;0.7,"High",IF(AC258&gt;0.3,"Moderate",IF(AC258&gt;0.15,"Low","No Impact")))</f>
        <v>No Impact</v>
      </c>
      <c r="AE258" s="2">
        <f t="shared" ref="AE258:AE321" si="107">F258*(N258*1)*(H258*0.35+J258*0.35+L258*0.3)</f>
        <v>2.4466774317530361E-3</v>
      </c>
      <c r="AF258" s="2">
        <f t="shared" ref="AF258:AF321" si="108">(AE258-$AJ$16)/$AK$16</f>
        <v>1.2604639814230812E-2</v>
      </c>
      <c r="AG258" s="2" t="s">
        <v>1176</v>
      </c>
    </row>
    <row r="259" spans="1:33" x14ac:dyDescent="0.3">
      <c r="A259">
        <v>306852</v>
      </c>
      <c r="B259" t="s">
        <v>528</v>
      </c>
      <c r="C259" t="s">
        <v>526</v>
      </c>
      <c r="D259" t="s">
        <v>529</v>
      </c>
      <c r="E259" s="18">
        <v>4.5</v>
      </c>
      <c r="F259" s="19">
        <f t="shared" si="90"/>
        <v>0.28888888888888886</v>
      </c>
      <c r="G259" s="2">
        <v>45.428814000000003</v>
      </c>
      <c r="H259" s="2">
        <f t="shared" si="91"/>
        <v>0.13293542528072075</v>
      </c>
      <c r="I259" s="2">
        <v>25.4</v>
      </c>
      <c r="J259" s="4">
        <f t="shared" si="92"/>
        <v>0.12324114507520621</v>
      </c>
      <c r="K259" s="2">
        <v>0</v>
      </c>
      <c r="L259" s="4">
        <f t="shared" si="93"/>
        <v>0</v>
      </c>
      <c r="M259" s="2">
        <v>70583</v>
      </c>
      <c r="N259" s="2">
        <f t="shared" si="94"/>
        <v>0.33282707129778144</v>
      </c>
      <c r="O259" s="2">
        <v>0.187955236</v>
      </c>
      <c r="P259" s="2">
        <f t="shared" si="95"/>
        <v>0.13967351937853748</v>
      </c>
      <c r="Q259" s="2">
        <v>0.23830000000000001</v>
      </c>
      <c r="R259" s="2">
        <f t="shared" si="96"/>
        <v>0.53068905616676321</v>
      </c>
      <c r="S259" s="2">
        <f t="shared" si="97"/>
        <v>8.6819654890736998E-3</v>
      </c>
      <c r="T259" s="5">
        <f t="shared" si="89"/>
        <v>1.751720163634243E-2</v>
      </c>
      <c r="U259" s="2" t="str">
        <f t="shared" si="98"/>
        <v>No Impact</v>
      </c>
      <c r="V259" s="2">
        <f t="shared" si="99"/>
        <v>1.3746065902682778E-2</v>
      </c>
      <c r="W259" s="2">
        <f t="shared" si="100"/>
        <v>2.4761740669780711E-2</v>
      </c>
      <c r="X259" s="2" t="s">
        <v>1176</v>
      </c>
      <c r="Y259" s="2">
        <f t="shared" si="101"/>
        <v>3.6178650754646225E-3</v>
      </c>
      <c r="Z259" s="2">
        <f t="shared" si="102"/>
        <v>7.6764392334193708E-3</v>
      </c>
      <c r="AA259" s="2" t="str">
        <f t="shared" si="103"/>
        <v>No Impact</v>
      </c>
      <c r="AB259" s="2">
        <f t="shared" si="104"/>
        <v>8.9138276441856276E-3</v>
      </c>
      <c r="AC259" s="2">
        <f t="shared" si="105"/>
        <v>2.4776893963248538E-2</v>
      </c>
      <c r="AD259" s="2" t="str">
        <f t="shared" si="106"/>
        <v>No Impact</v>
      </c>
      <c r="AE259" s="2">
        <f t="shared" si="107"/>
        <v>8.6209858731636241E-3</v>
      </c>
      <c r="AF259" s="2">
        <f t="shared" si="108"/>
        <v>4.4413055993630476E-2</v>
      </c>
      <c r="AG259" s="2" t="s">
        <v>1175</v>
      </c>
    </row>
    <row r="260" spans="1:33" x14ac:dyDescent="0.3">
      <c r="A260">
        <v>306860</v>
      </c>
      <c r="B260" t="s">
        <v>530</v>
      </c>
      <c r="C260" t="s">
        <v>526</v>
      </c>
      <c r="D260" t="s">
        <v>531</v>
      </c>
      <c r="E260" s="18">
        <v>4.4000000000000004</v>
      </c>
      <c r="F260" s="19">
        <f t="shared" si="90"/>
        <v>0.26666666666666672</v>
      </c>
      <c r="G260" s="2">
        <v>58.959140400000003</v>
      </c>
      <c r="H260" s="2">
        <f t="shared" si="91"/>
        <v>0.26375229491052049</v>
      </c>
      <c r="I260" s="2">
        <v>26.1</v>
      </c>
      <c r="J260" s="4">
        <f t="shared" si="92"/>
        <v>0.12663755458515286</v>
      </c>
      <c r="K260" s="2">
        <v>0</v>
      </c>
      <c r="L260" s="4">
        <f t="shared" si="93"/>
        <v>0</v>
      </c>
      <c r="M260" s="2">
        <v>31340</v>
      </c>
      <c r="N260" s="2">
        <f t="shared" si="94"/>
        <v>0.14715192119345361</v>
      </c>
      <c r="O260" s="2">
        <v>0.30908217599999999</v>
      </c>
      <c r="P260" s="2">
        <f t="shared" si="95"/>
        <v>0.27959816554050682</v>
      </c>
      <c r="Q260" s="2">
        <v>0.2591</v>
      </c>
      <c r="R260" s="2">
        <f t="shared" si="96"/>
        <v>0.59090909090909094</v>
      </c>
      <c r="S260" s="2">
        <f t="shared" si="97"/>
        <v>1.5859069185411669E-2</v>
      </c>
      <c r="T260" s="5">
        <f t="shared" si="89"/>
        <v>3.1998112988951874E-2</v>
      </c>
      <c r="U260" s="2" t="str">
        <f t="shared" si="98"/>
        <v>No Impact</v>
      </c>
      <c r="V260" s="2">
        <f t="shared" si="99"/>
        <v>2.1530591699458354E-2</v>
      </c>
      <c r="W260" s="2">
        <f t="shared" si="100"/>
        <v>3.8784546204224918E-2</v>
      </c>
      <c r="X260" s="2" t="s">
        <v>1176</v>
      </c>
      <c r="Y260" s="2">
        <f t="shared" si="101"/>
        <v>1.0187546671364987E-2</v>
      </c>
      <c r="Z260" s="2">
        <f t="shared" si="102"/>
        <v>2.1616086097493225E-2</v>
      </c>
      <c r="AA260" s="2" t="str">
        <f t="shared" si="103"/>
        <v>No Impact</v>
      </c>
      <c r="AB260" s="2">
        <f t="shared" si="104"/>
        <v>1.2468560564231828E-2</v>
      </c>
      <c r="AC260" s="2">
        <f t="shared" si="105"/>
        <v>3.4657637022612479E-2</v>
      </c>
      <c r="AD260" s="2" t="str">
        <f t="shared" si="106"/>
        <v>No Impact</v>
      </c>
      <c r="AE260" s="2">
        <f t="shared" si="107"/>
        <v>5.3616841943197446E-3</v>
      </c>
      <c r="AF260" s="2">
        <f t="shared" si="108"/>
        <v>2.7621989392623923E-2</v>
      </c>
      <c r="AG260" s="2" t="s">
        <v>1176</v>
      </c>
    </row>
    <row r="261" spans="1:33" x14ac:dyDescent="0.3">
      <c r="A261">
        <v>306863</v>
      </c>
      <c r="B261" t="s">
        <v>532</v>
      </c>
      <c r="C261" t="s">
        <v>526</v>
      </c>
      <c r="D261" t="s">
        <v>533</v>
      </c>
      <c r="E261" s="18">
        <v>4</v>
      </c>
      <c r="F261" s="19">
        <f t="shared" si="90"/>
        <v>0.17777777777777773</v>
      </c>
      <c r="G261" s="2">
        <v>51.073596000000002</v>
      </c>
      <c r="H261" s="2">
        <f t="shared" si="91"/>
        <v>0.18751154481783999</v>
      </c>
      <c r="I261" s="2">
        <v>27.3</v>
      </c>
      <c r="J261" s="4">
        <f t="shared" si="92"/>
        <v>0.1324599708879185</v>
      </c>
      <c r="K261" s="2">
        <v>0</v>
      </c>
      <c r="L261" s="4">
        <f t="shared" si="93"/>
        <v>0</v>
      </c>
      <c r="M261" s="2">
        <v>38383</v>
      </c>
      <c r="N261" s="2">
        <f t="shared" si="94"/>
        <v>0.18047531854291163</v>
      </c>
      <c r="O261" s="2">
        <v>0.55348882899999996</v>
      </c>
      <c r="P261" s="2">
        <f t="shared" si="95"/>
        <v>0.56193431999678412</v>
      </c>
      <c r="Q261" s="2">
        <v>0.2636</v>
      </c>
      <c r="R261" s="2">
        <f t="shared" si="96"/>
        <v>0.60393746381007529</v>
      </c>
      <c r="S261" s="2">
        <f t="shared" si="97"/>
        <v>1.1605868144367999E-2</v>
      </c>
      <c r="T261" s="5">
        <f t="shared" si="89"/>
        <v>2.3416625268270722E-2</v>
      </c>
      <c r="U261" s="2" t="str">
        <f t="shared" si="98"/>
        <v>No Impact</v>
      </c>
      <c r="V261" s="2">
        <f t="shared" si="99"/>
        <v>1.2023995553845418E-2</v>
      </c>
      <c r="W261" s="2">
        <f t="shared" si="100"/>
        <v>2.1659656066453786E-2</v>
      </c>
      <c r="X261" s="2" t="s">
        <v>1176</v>
      </c>
      <c r="Y261" s="2">
        <f t="shared" si="101"/>
        <v>1.1187740734890574E-2</v>
      </c>
      <c r="Z261" s="2">
        <f t="shared" si="102"/>
        <v>2.373831254600027E-2</v>
      </c>
      <c r="AA261" s="2" t="str">
        <f t="shared" si="103"/>
        <v>No Impact</v>
      </c>
      <c r="AB261" s="2">
        <f t="shared" si="104"/>
        <v>8.822321153140222E-3</v>
      </c>
      <c r="AC261" s="2">
        <f t="shared" si="105"/>
        <v>2.4522542329350853E-2</v>
      </c>
      <c r="AD261" s="2" t="str">
        <f t="shared" si="106"/>
        <v>No Impact</v>
      </c>
      <c r="AE261" s="2">
        <f t="shared" si="107"/>
        <v>3.5931442537918659E-3</v>
      </c>
      <c r="AF261" s="2">
        <f t="shared" si="108"/>
        <v>1.8510935905093659E-2</v>
      </c>
      <c r="AG261" s="2" t="s">
        <v>1176</v>
      </c>
    </row>
    <row r="262" spans="1:33" x14ac:dyDescent="0.3">
      <c r="A262">
        <v>306864</v>
      </c>
      <c r="B262" t="s">
        <v>534</v>
      </c>
      <c r="C262" t="s">
        <v>526</v>
      </c>
      <c r="D262" t="s">
        <v>535</v>
      </c>
      <c r="E262" s="18">
        <v>4.5</v>
      </c>
      <c r="F262" s="19">
        <f t="shared" si="90"/>
        <v>0.28888888888888886</v>
      </c>
      <c r="G262" s="2">
        <v>51.307099200000003</v>
      </c>
      <c r="H262" s="2">
        <f t="shared" si="91"/>
        <v>0.18976915167590819</v>
      </c>
      <c r="I262" s="2">
        <v>20.9</v>
      </c>
      <c r="J262" s="4">
        <f t="shared" si="92"/>
        <v>0.10140708393983502</v>
      </c>
      <c r="K262" s="2">
        <v>0</v>
      </c>
      <c r="L262" s="4">
        <f t="shared" si="93"/>
        <v>0</v>
      </c>
      <c r="M262" s="2">
        <v>46047</v>
      </c>
      <c r="N262" s="2">
        <f t="shared" si="94"/>
        <v>0.21673692826692784</v>
      </c>
      <c r="O262" s="2">
        <v>0.31808093599999998</v>
      </c>
      <c r="P262" s="2">
        <f t="shared" si="95"/>
        <v>0.28999344431908808</v>
      </c>
      <c r="Q262" s="2">
        <v>0.28699999999999998</v>
      </c>
      <c r="R262" s="2">
        <f t="shared" si="96"/>
        <v>0.67168500289519395</v>
      </c>
      <c r="S262" s="2">
        <f t="shared" si="97"/>
        <v>1.415646101226164E-2</v>
      </c>
      <c r="T262" s="5">
        <f t="shared" si="89"/>
        <v>2.8562838947113249E-2</v>
      </c>
      <c r="U262" s="2" t="str">
        <f t="shared" si="98"/>
        <v>No Impact</v>
      </c>
      <c r="V262" s="2">
        <f t="shared" si="99"/>
        <v>1.9775180744771182E-2</v>
      </c>
      <c r="W262" s="2">
        <f t="shared" si="100"/>
        <v>3.5622402858151436E-2</v>
      </c>
      <c r="X262" s="2" t="s">
        <v>1176</v>
      </c>
      <c r="Y262" s="2">
        <f t="shared" si="101"/>
        <v>8.5377412797520962E-3</v>
      </c>
      <c r="Z262" s="2">
        <f t="shared" si="102"/>
        <v>1.8115504795671859E-2</v>
      </c>
      <c r="AA262" s="2" t="str">
        <f t="shared" si="103"/>
        <v>No Impact</v>
      </c>
      <c r="AB262" s="2">
        <f t="shared" si="104"/>
        <v>1.1715980395817891E-2</v>
      </c>
      <c r="AC262" s="2">
        <f t="shared" si="105"/>
        <v>3.2565763612450824E-2</v>
      </c>
      <c r="AD262" s="2" t="str">
        <f t="shared" si="106"/>
        <v>No Impact</v>
      </c>
      <c r="AE262" s="2">
        <f t="shared" si="107"/>
        <v>6.3809850034924334E-3</v>
      </c>
      <c r="AF262" s="2">
        <f t="shared" si="108"/>
        <v>3.2873159569466674E-2</v>
      </c>
      <c r="AG262" s="2" t="s">
        <v>1176</v>
      </c>
    </row>
    <row r="263" spans="1:33" x14ac:dyDescent="0.3">
      <c r="A263">
        <v>306876</v>
      </c>
      <c r="B263" t="s">
        <v>536</v>
      </c>
      <c r="C263" t="s">
        <v>526</v>
      </c>
      <c r="D263" t="s">
        <v>537</v>
      </c>
      <c r="E263" s="18">
        <v>4.4000000000000004</v>
      </c>
      <c r="F263" s="19">
        <f t="shared" si="90"/>
        <v>0.26666666666666672</v>
      </c>
      <c r="G263" s="2">
        <v>45.428814000000003</v>
      </c>
      <c r="H263" s="2">
        <f t="shared" si="91"/>
        <v>0.13293542528072075</v>
      </c>
      <c r="I263" s="2">
        <v>28.1</v>
      </c>
      <c r="J263" s="4">
        <f t="shared" si="92"/>
        <v>0.13634158175642894</v>
      </c>
      <c r="K263" s="2">
        <v>0</v>
      </c>
      <c r="L263" s="4">
        <f t="shared" si="93"/>
        <v>0</v>
      </c>
      <c r="M263" s="2">
        <v>27077</v>
      </c>
      <c r="N263" s="2">
        <f t="shared" si="94"/>
        <v>0.12698187392655888</v>
      </c>
      <c r="O263" s="2">
        <v>0.50474936699999995</v>
      </c>
      <c r="P263" s="2">
        <f t="shared" si="95"/>
        <v>0.50563097431270465</v>
      </c>
      <c r="Q263" s="2">
        <v>0.26879999999999998</v>
      </c>
      <c r="R263" s="2">
        <f t="shared" si="96"/>
        <v>0.61899247249565725</v>
      </c>
      <c r="S263" s="2">
        <f t="shared" si="97"/>
        <v>1.4132311004016747E-2</v>
      </c>
      <c r="T263" s="5">
        <f t="shared" si="89"/>
        <v>2.851411258849347E-2</v>
      </c>
      <c r="U263" s="2" t="str">
        <f t="shared" si="98"/>
        <v>No Impact</v>
      </c>
      <c r="V263" s="2">
        <f t="shared" si="99"/>
        <v>1.5556841101401207E-2</v>
      </c>
      <c r="W263" s="2">
        <f t="shared" si="100"/>
        <v>2.8023615463585207E-2</v>
      </c>
      <c r="X263" s="2" t="s">
        <v>1176</v>
      </c>
      <c r="Y263" s="2">
        <f t="shared" si="101"/>
        <v>1.2707780906632283E-2</v>
      </c>
      <c r="Z263" s="2">
        <f t="shared" si="102"/>
        <v>2.6963556099128923E-2</v>
      </c>
      <c r="AA263" s="2" t="str">
        <f t="shared" si="103"/>
        <v>No Impact</v>
      </c>
      <c r="AB263" s="2">
        <f t="shared" si="104"/>
        <v>1.037420975680458E-2</v>
      </c>
      <c r="AC263" s="2">
        <f t="shared" si="105"/>
        <v>2.8836175137906074E-2</v>
      </c>
      <c r="AD263" s="2" t="str">
        <f t="shared" si="106"/>
        <v>No Impact</v>
      </c>
      <c r="AE263" s="2">
        <f t="shared" si="107"/>
        <v>3.1913745694984955E-3</v>
      </c>
      <c r="AF263" s="2">
        <f t="shared" si="108"/>
        <v>1.6441123966228179E-2</v>
      </c>
      <c r="AG263" s="2" t="s">
        <v>1176</v>
      </c>
    </row>
    <row r="264" spans="1:33" x14ac:dyDescent="0.3">
      <c r="A264">
        <v>308207</v>
      </c>
      <c r="B264" t="s">
        <v>538</v>
      </c>
      <c r="C264" t="s">
        <v>1023</v>
      </c>
      <c r="D264" t="s">
        <v>1024</v>
      </c>
      <c r="E264" s="18">
        <v>5.4</v>
      </c>
      <c r="F264" s="19">
        <f t="shared" si="90"/>
        <v>0.48888888888888893</v>
      </c>
      <c r="G264" s="2">
        <v>77.319050399999995</v>
      </c>
      <c r="H264" s="2">
        <f t="shared" si="91"/>
        <v>0.44126360408964388</v>
      </c>
      <c r="I264" s="2">
        <v>51.8</v>
      </c>
      <c r="J264" s="4">
        <f t="shared" si="92"/>
        <v>0.25133430373605048</v>
      </c>
      <c r="K264" s="2">
        <v>0</v>
      </c>
      <c r="L264" s="4">
        <f t="shared" si="93"/>
        <v>0</v>
      </c>
      <c r="M264" s="2">
        <v>14728</v>
      </c>
      <c r="N264" s="2">
        <f t="shared" si="94"/>
        <v>6.8553557318798405E-2</v>
      </c>
      <c r="O264" s="2">
        <v>0.32035223899999998</v>
      </c>
      <c r="P264" s="2">
        <f t="shared" si="95"/>
        <v>0.29261723113811955</v>
      </c>
      <c r="Q264" s="2">
        <v>0.25480000000000003</v>
      </c>
      <c r="R264" s="2">
        <f t="shared" si="96"/>
        <v>0.57845975680370598</v>
      </c>
      <c r="S264" s="2">
        <f t="shared" si="97"/>
        <v>5.161618850453159E-2</v>
      </c>
      <c r="T264" s="5">
        <f t="shared" si="89"/>
        <v>0.10414360467929115</v>
      </c>
      <c r="U264" s="2" t="str">
        <f t="shared" si="98"/>
        <v>No Impact</v>
      </c>
      <c r="V264" s="2">
        <f t="shared" si="99"/>
        <v>6.855395851981716E-2</v>
      </c>
      <c r="W264" s="2">
        <f t="shared" si="100"/>
        <v>0.12349099406131303</v>
      </c>
      <c r="X264" s="2" t="s">
        <v>1176</v>
      </c>
      <c r="Y264" s="2">
        <f t="shared" si="101"/>
        <v>3.4678418489246028E-2</v>
      </c>
      <c r="Z264" s="2">
        <f t="shared" si="102"/>
        <v>7.3581177487553606E-2</v>
      </c>
      <c r="AA264" s="2" t="str">
        <f t="shared" si="103"/>
        <v>No Impact</v>
      </c>
      <c r="AB264" s="2">
        <f t="shared" si="104"/>
        <v>3.7240938489937772E-2</v>
      </c>
      <c r="AC264" s="2">
        <f t="shared" si="105"/>
        <v>0.10351499051688799</v>
      </c>
      <c r="AD264" s="2" t="str">
        <f t="shared" si="106"/>
        <v>No Impact</v>
      </c>
      <c r="AE264" s="2">
        <f t="shared" si="107"/>
        <v>8.1243641749370252E-3</v>
      </c>
      <c r="AF264" s="2">
        <f t="shared" si="108"/>
        <v>4.1854591380012476E-2</v>
      </c>
      <c r="AG264" s="2" t="s">
        <v>1175</v>
      </c>
    </row>
    <row r="265" spans="1:33" x14ac:dyDescent="0.3">
      <c r="A265">
        <v>308229</v>
      </c>
      <c r="B265" t="s">
        <v>540</v>
      </c>
      <c r="C265" t="s">
        <v>539</v>
      </c>
      <c r="D265" t="s">
        <v>1144</v>
      </c>
      <c r="E265" s="18">
        <v>5.4</v>
      </c>
      <c r="F265" s="19">
        <f t="shared" si="90"/>
        <v>0.48888888888888893</v>
      </c>
      <c r="G265" s="2">
        <v>67.116708000000003</v>
      </c>
      <c r="H265" s="2">
        <f t="shared" si="91"/>
        <v>0.34262307937477987</v>
      </c>
      <c r="I265" s="2">
        <v>38.1</v>
      </c>
      <c r="J265" s="4">
        <f t="shared" si="92"/>
        <v>0.18486171761280934</v>
      </c>
      <c r="K265" s="2">
        <v>0</v>
      </c>
      <c r="L265" s="4">
        <f t="shared" si="93"/>
        <v>0</v>
      </c>
      <c r="M265" s="2">
        <v>15025</v>
      </c>
      <c r="N265" s="2">
        <f t="shared" si="94"/>
        <v>6.99587893240219E-2</v>
      </c>
      <c r="O265" s="2">
        <v>0.25794140999999998</v>
      </c>
      <c r="P265" s="2">
        <f t="shared" si="95"/>
        <v>0.22052085716466513</v>
      </c>
      <c r="Q265" s="2">
        <v>0.2944</v>
      </c>
      <c r="R265" s="2">
        <f t="shared" si="96"/>
        <v>0.69310943833236827</v>
      </c>
      <c r="S265" s="2">
        <f t="shared" si="97"/>
        <v>4.1231454447256906E-2</v>
      </c>
      <c r="T265" s="5">
        <f t="shared" si="89"/>
        <v>8.3190805379407998E-2</v>
      </c>
      <c r="U265" s="2" t="str">
        <f t="shared" si="98"/>
        <v>No Impact</v>
      </c>
      <c r="V265" s="2">
        <f t="shared" si="99"/>
        <v>6.2559024967572693E-2</v>
      </c>
      <c r="W265" s="2">
        <f t="shared" si="100"/>
        <v>0.11269190499799979</v>
      </c>
      <c r="X265" s="2" t="s">
        <v>1176</v>
      </c>
      <c r="Y265" s="2">
        <f t="shared" si="101"/>
        <v>1.9903883926941125E-2</v>
      </c>
      <c r="Z265" s="2">
        <f t="shared" si="102"/>
        <v>4.2232353138424869E-2</v>
      </c>
      <c r="AA265" s="2" t="str">
        <f t="shared" si="103"/>
        <v>No Impact</v>
      </c>
      <c r="AB265" s="2">
        <f t="shared" si="104"/>
        <v>3.0076855539579297E-2</v>
      </c>
      <c r="AC265" s="2">
        <f t="shared" si="105"/>
        <v>8.3601690564231626E-2</v>
      </c>
      <c r="AD265" s="2" t="str">
        <f t="shared" si="106"/>
        <v>No Impact</v>
      </c>
      <c r="AE265" s="2">
        <f t="shared" si="107"/>
        <v>6.3143760652757779E-3</v>
      </c>
      <c r="AF265" s="2">
        <f t="shared" si="108"/>
        <v>3.2530007806290548E-2</v>
      </c>
      <c r="AG265" s="2" t="s">
        <v>1176</v>
      </c>
    </row>
    <row r="266" spans="1:33" x14ac:dyDescent="0.3">
      <c r="A266">
        <v>308247</v>
      </c>
      <c r="B266" t="s">
        <v>541</v>
      </c>
      <c r="C266" t="s">
        <v>539</v>
      </c>
      <c r="D266" t="s">
        <v>542</v>
      </c>
      <c r="E266" s="18">
        <v>5.6</v>
      </c>
      <c r="F266" s="19">
        <f t="shared" si="90"/>
        <v>0.53333333333333321</v>
      </c>
      <c r="G266" s="2">
        <v>68.646006</v>
      </c>
      <c r="H266" s="2">
        <f t="shared" si="91"/>
        <v>0.35740897375579889</v>
      </c>
      <c r="I266" s="2">
        <v>50.8</v>
      </c>
      <c r="J266" s="4">
        <f t="shared" si="92"/>
        <v>0.24648229015041243</v>
      </c>
      <c r="K266" s="2">
        <v>0</v>
      </c>
      <c r="L266" s="4">
        <f t="shared" si="93"/>
        <v>0</v>
      </c>
      <c r="M266" s="2">
        <v>21428</v>
      </c>
      <c r="N266" s="2">
        <f t="shared" si="94"/>
        <v>0.10025407730195456</v>
      </c>
      <c r="O266" s="2">
        <v>0.43020465400000002</v>
      </c>
      <c r="P266" s="2">
        <f t="shared" si="95"/>
        <v>0.41951765724409418</v>
      </c>
      <c r="Q266" s="2">
        <v>0.29570000000000002</v>
      </c>
      <c r="R266" s="2">
        <f t="shared" si="96"/>
        <v>0.69687319050376384</v>
      </c>
      <c r="S266" s="2">
        <f t="shared" si="97"/>
        <v>6.2923343472246179E-2</v>
      </c>
      <c r="T266" s="5">
        <f t="shared" si="89"/>
        <v>0.12695753013800198</v>
      </c>
      <c r="U266" s="2" t="str">
        <f t="shared" si="98"/>
        <v>No Impact</v>
      </c>
      <c r="V266" s="2">
        <f t="shared" si="99"/>
        <v>7.8555984601858725E-2</v>
      </c>
      <c r="W266" s="2">
        <f t="shared" si="100"/>
        <v>0.14150833646089803</v>
      </c>
      <c r="X266" s="2" t="s">
        <v>1176</v>
      </c>
      <c r="Y266" s="2">
        <f t="shared" si="101"/>
        <v>4.729070234263362E-2</v>
      </c>
      <c r="Z266" s="2">
        <f t="shared" si="102"/>
        <v>0.10034210653705179</v>
      </c>
      <c r="AA266" s="2" t="str">
        <f t="shared" si="103"/>
        <v>No Impact</v>
      </c>
      <c r="AB266" s="2">
        <f t="shared" si="104"/>
        <v>4.5637252661744357E-2</v>
      </c>
      <c r="AC266" s="2">
        <f t="shared" si="105"/>
        <v>0.12685340294992073</v>
      </c>
      <c r="AD266" s="2" t="str">
        <f t="shared" si="106"/>
        <v>No Impact</v>
      </c>
      <c r="AE266" s="2">
        <f t="shared" si="107"/>
        <v>1.130127813801062E-2</v>
      </c>
      <c r="AF266" s="2">
        <f t="shared" si="108"/>
        <v>5.8221218098211264E-2</v>
      </c>
      <c r="AG266" s="2" t="s">
        <v>1175</v>
      </c>
    </row>
    <row r="267" spans="1:33" x14ac:dyDescent="0.3">
      <c r="A267">
        <v>308273</v>
      </c>
      <c r="B267" t="s">
        <v>543</v>
      </c>
      <c r="C267" t="s">
        <v>539</v>
      </c>
      <c r="D267" t="s">
        <v>544</v>
      </c>
      <c r="E267" s="18">
        <v>5.6</v>
      </c>
      <c r="F267" s="19">
        <f t="shared" si="90"/>
        <v>0.53333333333333321</v>
      </c>
      <c r="G267" s="2">
        <v>68.646006</v>
      </c>
      <c r="H267" s="2">
        <f t="shared" si="91"/>
        <v>0.35740897375579889</v>
      </c>
      <c r="I267" s="2">
        <v>41.6</v>
      </c>
      <c r="J267" s="4">
        <f t="shared" si="92"/>
        <v>0.20184376516254246</v>
      </c>
      <c r="K267" s="2">
        <v>0</v>
      </c>
      <c r="L267" s="4">
        <f t="shared" si="93"/>
        <v>0</v>
      </c>
      <c r="M267" s="2">
        <v>45411</v>
      </c>
      <c r="N267" s="2">
        <f t="shared" si="94"/>
        <v>0.2137277445789745</v>
      </c>
      <c r="O267" s="2">
        <v>0.371754786</v>
      </c>
      <c r="P267" s="2">
        <f t="shared" si="95"/>
        <v>0.35199694634267276</v>
      </c>
      <c r="Q267" s="2">
        <v>0.29480000000000001</v>
      </c>
      <c r="R267" s="2">
        <f t="shared" si="96"/>
        <v>0.69426751592356695</v>
      </c>
      <c r="S267" s="2">
        <f t="shared" si="97"/>
        <v>5.4611784841163212E-2</v>
      </c>
      <c r="T267" s="5">
        <f t="shared" si="89"/>
        <v>0.11018768134786397</v>
      </c>
      <c r="U267" s="2" t="str">
        <f t="shared" si="98"/>
        <v>No Impact</v>
      </c>
      <c r="V267" s="2">
        <f t="shared" si="99"/>
        <v>7.2477255166827084E-2</v>
      </c>
      <c r="W267" s="2">
        <f t="shared" si="100"/>
        <v>0.13055830006956665</v>
      </c>
      <c r="X267" s="2" t="s">
        <v>1176</v>
      </c>
      <c r="Y267" s="2">
        <f t="shared" si="101"/>
        <v>3.6746314515499333E-2</v>
      </c>
      <c r="Z267" s="2">
        <f t="shared" si="102"/>
        <v>7.7968869636223431E-2</v>
      </c>
      <c r="AA267" s="2" t="str">
        <f t="shared" si="103"/>
        <v>No Impact</v>
      </c>
      <c r="AB267" s="2">
        <f t="shared" si="104"/>
        <v>4.4200084996896503E-2</v>
      </c>
      <c r="AC267" s="2">
        <f t="shared" si="105"/>
        <v>0.12285864870284127</v>
      </c>
      <c r="AD267" s="2" t="str">
        <f t="shared" si="106"/>
        <v>No Impact</v>
      </c>
      <c r="AE267" s="2">
        <f t="shared" si="107"/>
        <v>2.2311860953877813E-2</v>
      </c>
      <c r="AF267" s="2">
        <f t="shared" si="108"/>
        <v>0.114944850211549</v>
      </c>
      <c r="AG267" s="2" t="s">
        <v>1175</v>
      </c>
    </row>
    <row r="268" spans="1:33" x14ac:dyDescent="0.3">
      <c r="A268">
        <v>308276</v>
      </c>
      <c r="B268" t="s">
        <v>545</v>
      </c>
      <c r="C268" t="s">
        <v>539</v>
      </c>
      <c r="D268" t="s">
        <v>546</v>
      </c>
      <c r="E268" s="18">
        <v>5.6</v>
      </c>
      <c r="F268" s="19">
        <f t="shared" si="90"/>
        <v>0.53333333333333321</v>
      </c>
      <c r="G268" s="2">
        <v>73.508111999999997</v>
      </c>
      <c r="H268" s="2">
        <f t="shared" si="91"/>
        <v>0.40441785350671655</v>
      </c>
      <c r="I268" s="2">
        <v>46</v>
      </c>
      <c r="J268" s="4">
        <f t="shared" si="92"/>
        <v>0.22319262493934983</v>
      </c>
      <c r="K268" s="2">
        <v>0</v>
      </c>
      <c r="L268" s="4">
        <f t="shared" si="93"/>
        <v>0</v>
      </c>
      <c r="M268" s="2">
        <v>19841</v>
      </c>
      <c r="N268" s="2">
        <f t="shared" si="94"/>
        <v>9.2745312344750253E-2</v>
      </c>
      <c r="O268" s="2">
        <v>0.28689072700000001</v>
      </c>
      <c r="P268" s="2">
        <f t="shared" si="95"/>
        <v>0.25396282257595754</v>
      </c>
      <c r="Q268" s="2">
        <v>0.2636</v>
      </c>
      <c r="R268" s="2">
        <f t="shared" si="96"/>
        <v>0.60393746381007529</v>
      </c>
      <c r="S268" s="2">
        <f t="shared" si="97"/>
        <v>5.0253206191790488E-2</v>
      </c>
      <c r="T268" s="5">
        <f t="shared" si="89"/>
        <v>0.10139357808345846</v>
      </c>
      <c r="U268" s="2" t="str">
        <f t="shared" si="98"/>
        <v>No Impact</v>
      </c>
      <c r="V268" s="2">
        <f t="shared" si="99"/>
        <v>7.0753663047824419E-2</v>
      </c>
      <c r="W268" s="2">
        <f t="shared" si="100"/>
        <v>0.12745347419623132</v>
      </c>
      <c r="X268" s="2" t="s">
        <v>1176</v>
      </c>
      <c r="Y268" s="2">
        <f t="shared" si="101"/>
        <v>2.9752749335756556E-2</v>
      </c>
      <c r="Z268" s="2">
        <f t="shared" si="102"/>
        <v>6.3129820360634165E-2</v>
      </c>
      <c r="AA268" s="2" t="str">
        <f t="shared" si="103"/>
        <v>No Impact</v>
      </c>
      <c r="AB268" s="2">
        <f t="shared" si="104"/>
        <v>3.7492524951280984E-2</v>
      </c>
      <c r="AC268" s="2">
        <f t="shared" si="105"/>
        <v>0.10421430077103631</v>
      </c>
      <c r="AD268" s="2" t="str">
        <f t="shared" si="106"/>
        <v>No Impact</v>
      </c>
      <c r="AE268" s="2">
        <f t="shared" si="107"/>
        <v>1.0865480239472796E-2</v>
      </c>
      <c r="AF268" s="2">
        <f t="shared" si="108"/>
        <v>5.597610173281764E-2</v>
      </c>
      <c r="AG268" s="2" t="s">
        <v>1175</v>
      </c>
    </row>
    <row r="269" spans="1:33" x14ac:dyDescent="0.3">
      <c r="A269">
        <v>308614</v>
      </c>
      <c r="B269" t="s">
        <v>547</v>
      </c>
      <c r="C269" t="s">
        <v>548</v>
      </c>
      <c r="D269" t="s">
        <v>549</v>
      </c>
      <c r="E269" s="18">
        <v>6.5</v>
      </c>
      <c r="F269" s="19">
        <f t="shared" si="90"/>
        <v>0.73333333333333328</v>
      </c>
      <c r="G269" s="2">
        <v>67.197564</v>
      </c>
      <c r="H269" s="2">
        <f t="shared" si="91"/>
        <v>0.34340482909005554</v>
      </c>
      <c r="I269" s="2">
        <v>36.299999999999997</v>
      </c>
      <c r="J269" s="4">
        <f t="shared" si="92"/>
        <v>0.17612809315866085</v>
      </c>
      <c r="K269" s="2">
        <v>0</v>
      </c>
      <c r="L269" s="4">
        <f t="shared" si="93"/>
        <v>0</v>
      </c>
      <c r="M269" s="2">
        <v>5388</v>
      </c>
      <c r="N269" s="2">
        <f t="shared" si="94"/>
        <v>2.4362086178100144E-2</v>
      </c>
      <c r="O269" s="2">
        <v>0.41456011700000001</v>
      </c>
      <c r="P269" s="2">
        <f t="shared" si="95"/>
        <v>0.40144524243618407</v>
      </c>
      <c r="Q269" s="2">
        <v>0.29039999999999999</v>
      </c>
      <c r="R269" s="2">
        <f t="shared" si="96"/>
        <v>0.68152866242038224</v>
      </c>
      <c r="S269" s="2">
        <f t="shared" si="97"/>
        <v>7.2205543347018508E-2</v>
      </c>
      <c r="T269" s="5">
        <f t="shared" si="89"/>
        <v>0.14568579703100565</v>
      </c>
      <c r="U269" s="2" t="str">
        <f t="shared" si="98"/>
        <v>No Impact</v>
      </c>
      <c r="V269" s="2">
        <f t="shared" si="99"/>
        <v>9.0879654913103486E-2</v>
      </c>
      <c r="W269" s="2">
        <f t="shared" si="100"/>
        <v>0.16370781742565627</v>
      </c>
      <c r="X269" s="2" t="s">
        <v>1175</v>
      </c>
      <c r="Y269" s="2">
        <f t="shared" si="101"/>
        <v>5.3531431780933537E-2</v>
      </c>
      <c r="Z269" s="2">
        <f t="shared" si="102"/>
        <v>0.11358377788356223</v>
      </c>
      <c r="AA269" s="2" t="str">
        <f t="shared" si="103"/>
        <v>No Impact</v>
      </c>
      <c r="AB269" s="2">
        <f t="shared" si="104"/>
        <v>4.9004320793738759E-2</v>
      </c>
      <c r="AC269" s="2">
        <f t="shared" si="105"/>
        <v>0.13621251257191078</v>
      </c>
      <c r="AD269" s="2" t="str">
        <f t="shared" si="106"/>
        <v>No Impact</v>
      </c>
      <c r="AE269" s="2">
        <f t="shared" si="107"/>
        <v>3.2486058282070801E-3</v>
      </c>
      <c r="AF269" s="2">
        <f t="shared" si="108"/>
        <v>1.6735964386454683E-2</v>
      </c>
      <c r="AG269" s="2" t="s">
        <v>1176</v>
      </c>
    </row>
    <row r="270" spans="1:33" x14ac:dyDescent="0.3">
      <c r="A270">
        <v>308625</v>
      </c>
      <c r="B270" t="s">
        <v>550</v>
      </c>
      <c r="C270" t="s">
        <v>548</v>
      </c>
      <c r="D270" t="s">
        <v>551</v>
      </c>
      <c r="E270" s="18">
        <v>6.5</v>
      </c>
      <c r="F270" s="19">
        <f t="shared" si="90"/>
        <v>0.73333333333333328</v>
      </c>
      <c r="G270" s="2">
        <v>77.603817599999999</v>
      </c>
      <c r="H270" s="2">
        <f t="shared" si="91"/>
        <v>0.44401685279746839</v>
      </c>
      <c r="I270" s="2">
        <v>55.7</v>
      </c>
      <c r="J270" s="4">
        <f t="shared" si="92"/>
        <v>0.27025715672003886</v>
      </c>
      <c r="K270" s="2">
        <v>0</v>
      </c>
      <c r="L270" s="4">
        <f t="shared" si="93"/>
        <v>0</v>
      </c>
      <c r="M270" s="2">
        <v>3568</v>
      </c>
      <c r="N270" s="2">
        <f t="shared" si="94"/>
        <v>1.5750900152824893E-2</v>
      </c>
      <c r="O270" s="2">
        <v>0.44414229500000002</v>
      </c>
      <c r="P270" s="2">
        <f t="shared" si="95"/>
        <v>0.43561828263145691</v>
      </c>
      <c r="Q270" s="2">
        <v>0.2777</v>
      </c>
      <c r="R270" s="2">
        <f t="shared" si="96"/>
        <v>0.64475969889982632</v>
      </c>
      <c r="S270" s="2">
        <f t="shared" si="97"/>
        <v>9.9033025458390225E-2</v>
      </c>
      <c r="T270" s="5">
        <f t="shared" si="89"/>
        <v>0.19981437127282831</v>
      </c>
      <c r="U270" s="2" t="str">
        <f t="shared" si="98"/>
        <v>Low</v>
      </c>
      <c r="V270" s="2">
        <f t="shared" si="99"/>
        <v>0.1182040077958431</v>
      </c>
      <c r="W270" s="2">
        <f t="shared" si="100"/>
        <v>0.2129290669702204</v>
      </c>
      <c r="X270" s="2" t="s">
        <v>1175</v>
      </c>
      <c r="Y270" s="2">
        <f t="shared" si="101"/>
        <v>7.9862043120937351E-2</v>
      </c>
      <c r="Z270" s="2">
        <f t="shared" si="102"/>
        <v>0.16945245560210995</v>
      </c>
      <c r="AA270" s="2" t="str">
        <f t="shared" si="103"/>
        <v>Low</v>
      </c>
      <c r="AB270" s="2">
        <f t="shared" si="104"/>
        <v>6.6340681862902137E-2</v>
      </c>
      <c r="AC270" s="2">
        <f t="shared" si="105"/>
        <v>0.18440069805914477</v>
      </c>
      <c r="AD270" s="2" t="str">
        <f t="shared" si="106"/>
        <v>Low</v>
      </c>
      <c r="AE270" s="2">
        <f t="shared" si="107"/>
        <v>2.8876177087881591E-3</v>
      </c>
      <c r="AF270" s="2">
        <f t="shared" si="108"/>
        <v>1.4876248363639251E-2</v>
      </c>
      <c r="AG270" s="2" t="s">
        <v>1176</v>
      </c>
    </row>
    <row r="271" spans="1:33" x14ac:dyDescent="0.3">
      <c r="A271">
        <v>308636</v>
      </c>
      <c r="B271" t="s">
        <v>552</v>
      </c>
      <c r="C271" t="s">
        <v>548</v>
      </c>
      <c r="D271" t="s">
        <v>553</v>
      </c>
      <c r="E271" s="18">
        <v>6.4</v>
      </c>
      <c r="F271" s="19">
        <f t="shared" si="90"/>
        <v>0.71111111111111114</v>
      </c>
      <c r="G271" s="2">
        <v>77.603817599999999</v>
      </c>
      <c r="H271" s="2">
        <f t="shared" si="91"/>
        <v>0.44401685279746839</v>
      </c>
      <c r="I271" s="2">
        <v>55</v>
      </c>
      <c r="J271" s="4">
        <f t="shared" si="92"/>
        <v>0.26686074721009218</v>
      </c>
      <c r="K271" s="2">
        <v>0</v>
      </c>
      <c r="L271" s="4">
        <f t="shared" si="93"/>
        <v>0</v>
      </c>
      <c r="M271" s="2">
        <v>22687</v>
      </c>
      <c r="N271" s="2">
        <f t="shared" si="94"/>
        <v>0.1062109362062521</v>
      </c>
      <c r="O271" s="2">
        <v>0.49966044599999998</v>
      </c>
      <c r="P271" s="2">
        <f t="shared" si="95"/>
        <v>0.49975230297607864</v>
      </c>
      <c r="Q271" s="2">
        <v>0.28089999999999998</v>
      </c>
      <c r="R271" s="2">
        <f t="shared" si="96"/>
        <v>0.65402431962941521</v>
      </c>
      <c r="S271" s="2">
        <f t="shared" si="97"/>
        <v>0.10206858124370413</v>
      </c>
      <c r="T271" s="5">
        <f t="shared" si="89"/>
        <v>0.20593907227937225</v>
      </c>
      <c r="U271" s="2" t="str">
        <f t="shared" si="98"/>
        <v>Low</v>
      </c>
      <c r="V271" s="2">
        <f t="shared" si="99"/>
        <v>0.11571621940597883</v>
      </c>
      <c r="W271" s="2">
        <f t="shared" si="100"/>
        <v>0.20844764142001351</v>
      </c>
      <c r="X271" s="2" t="s">
        <v>1175</v>
      </c>
      <c r="Y271" s="2">
        <f t="shared" si="101"/>
        <v>8.8420943081429421E-2</v>
      </c>
      <c r="Z271" s="2">
        <f t="shared" si="102"/>
        <v>0.18761285519722062</v>
      </c>
      <c r="AA271" s="2" t="str">
        <f t="shared" si="103"/>
        <v>Low</v>
      </c>
      <c r="AB271" s="2">
        <f t="shared" si="104"/>
        <v>7.360410779797559E-2</v>
      </c>
      <c r="AC271" s="2">
        <f t="shared" si="105"/>
        <v>0.20459013197989298</v>
      </c>
      <c r="AD271" s="2" t="str">
        <f t="shared" si="106"/>
        <v>Low</v>
      </c>
      <c r="AE271" s="2">
        <f t="shared" si="107"/>
        <v>1.8791851661297647E-2</v>
      </c>
      <c r="AF271" s="2">
        <f t="shared" si="108"/>
        <v>9.6810686426857306E-2</v>
      </c>
      <c r="AG271" s="2" t="s">
        <v>1175</v>
      </c>
    </row>
    <row r="272" spans="1:33" x14ac:dyDescent="0.3">
      <c r="A272">
        <v>308665</v>
      </c>
      <c r="B272" t="s">
        <v>554</v>
      </c>
      <c r="C272" t="s">
        <v>548</v>
      </c>
      <c r="D272" t="s">
        <v>555</v>
      </c>
      <c r="E272" s="18">
        <v>6.5</v>
      </c>
      <c r="F272" s="19">
        <f t="shared" si="90"/>
        <v>0.73333333333333328</v>
      </c>
      <c r="G272" s="2">
        <v>71.447958</v>
      </c>
      <c r="H272" s="2">
        <f t="shared" si="91"/>
        <v>0.38449942070118492</v>
      </c>
      <c r="I272" s="2">
        <v>43.4</v>
      </c>
      <c r="J272" s="4">
        <f t="shared" si="92"/>
        <v>0.21057738961669092</v>
      </c>
      <c r="K272" s="2">
        <v>0</v>
      </c>
      <c r="L272" s="4">
        <f t="shared" si="93"/>
        <v>0</v>
      </c>
      <c r="M272" s="2">
        <v>23823</v>
      </c>
      <c r="N272" s="2">
        <f t="shared" si="94"/>
        <v>0.11158583034070962</v>
      </c>
      <c r="O272" s="2">
        <v>0.53887619899999994</v>
      </c>
      <c r="P272" s="2">
        <f t="shared" si="95"/>
        <v>0.54505395397543677</v>
      </c>
      <c r="Q272" s="2">
        <v>0.32069999999999999</v>
      </c>
      <c r="R272" s="2">
        <f t="shared" si="96"/>
        <v>0.76925303995367689</v>
      </c>
      <c r="S272" s="2">
        <f t="shared" si="97"/>
        <v>0.10037124709481261</v>
      </c>
      <c r="T272" s="5">
        <f t="shared" si="89"/>
        <v>0.2025144393932129</v>
      </c>
      <c r="U272" s="2" t="str">
        <f t="shared" si="98"/>
        <v>Low</v>
      </c>
      <c r="V272" s="2">
        <f t="shared" si="99"/>
        <v>0.1174929256380273</v>
      </c>
      <c r="W272" s="2">
        <f t="shared" si="100"/>
        <v>0.21164814542427418</v>
      </c>
      <c r="X272" s="2" t="s">
        <v>1175</v>
      </c>
      <c r="Y272" s="2">
        <f t="shared" si="101"/>
        <v>8.3249568551597944E-2</v>
      </c>
      <c r="Z272" s="2">
        <f t="shared" si="102"/>
        <v>0.17664015679541364</v>
      </c>
      <c r="AA272" s="2" t="str">
        <f t="shared" si="103"/>
        <v>Low</v>
      </c>
      <c r="AB272" s="2">
        <f t="shared" si="104"/>
        <v>7.20625201150802E-2</v>
      </c>
      <c r="AC272" s="2">
        <f t="shared" si="105"/>
        <v>0.20030513163225178</v>
      </c>
      <c r="AD272" s="2" t="str">
        <f t="shared" si="106"/>
        <v>Low</v>
      </c>
      <c r="AE272" s="2">
        <f t="shared" si="107"/>
        <v>1.7043215932260755E-2</v>
      </c>
      <c r="AF272" s="2">
        <f t="shared" si="108"/>
        <v>8.7802174211574116E-2</v>
      </c>
      <c r="AG272" s="2" t="s">
        <v>1175</v>
      </c>
    </row>
    <row r="273" spans="1:33" x14ac:dyDescent="0.3">
      <c r="A273">
        <v>308669</v>
      </c>
      <c r="B273" t="s">
        <v>556</v>
      </c>
      <c r="C273" t="s">
        <v>548</v>
      </c>
      <c r="D273" t="s">
        <v>557</v>
      </c>
      <c r="E273" s="18">
        <v>6.4</v>
      </c>
      <c r="F273" s="19">
        <f t="shared" si="90"/>
        <v>0.71111111111111114</v>
      </c>
      <c r="G273" s="2">
        <v>71.447958</v>
      </c>
      <c r="H273" s="2">
        <f t="shared" si="91"/>
        <v>0.38449942070118492</v>
      </c>
      <c r="I273" s="2">
        <v>50.8</v>
      </c>
      <c r="J273" s="4">
        <f t="shared" si="92"/>
        <v>0.24648229015041243</v>
      </c>
      <c r="K273" s="2">
        <v>0</v>
      </c>
      <c r="L273" s="4">
        <f t="shared" si="93"/>
        <v>0</v>
      </c>
      <c r="M273" s="2">
        <v>35519</v>
      </c>
      <c r="N273" s="2">
        <f t="shared" si="94"/>
        <v>0.16692452910533562</v>
      </c>
      <c r="O273" s="2">
        <v>0.482092462</v>
      </c>
      <c r="P273" s="2">
        <f t="shared" si="95"/>
        <v>0.47945794116871249</v>
      </c>
      <c r="Q273" s="2">
        <v>0.26950000000000002</v>
      </c>
      <c r="R273" s="2">
        <f t="shared" si="96"/>
        <v>0.62101910828025486</v>
      </c>
      <c r="S273" s="2">
        <f t="shared" si="97"/>
        <v>8.6411844264881604E-2</v>
      </c>
      <c r="T273" s="5">
        <f t="shared" si="89"/>
        <v>0.17434919565864929</v>
      </c>
      <c r="U273" s="2" t="str">
        <f t="shared" si="98"/>
        <v>Low</v>
      </c>
      <c r="V273" s="2">
        <f t="shared" si="99"/>
        <v>9.752753407642524E-2</v>
      </c>
      <c r="W273" s="2">
        <f t="shared" si="100"/>
        <v>0.17568310264628692</v>
      </c>
      <c r="X273" s="2" t="s">
        <v>1175</v>
      </c>
      <c r="Y273" s="2">
        <f t="shared" si="101"/>
        <v>7.5296154453337982E-2</v>
      </c>
      <c r="Z273" s="2">
        <f t="shared" si="102"/>
        <v>0.15976448599233023</v>
      </c>
      <c r="AA273" s="2" t="str">
        <f t="shared" si="103"/>
        <v>Low</v>
      </c>
      <c r="AB273" s="2">
        <f t="shared" si="104"/>
        <v>6.5898576459089975E-2</v>
      </c>
      <c r="AC273" s="2">
        <f t="shared" si="105"/>
        <v>0.18317182095403514</v>
      </c>
      <c r="AD273" s="2" t="str">
        <f t="shared" si="106"/>
        <v>Low</v>
      </c>
      <c r="AE273" s="2">
        <f t="shared" si="107"/>
        <v>2.6214551989542166E-2</v>
      </c>
      <c r="AF273" s="2">
        <f t="shared" si="108"/>
        <v>0.13505048987305954</v>
      </c>
      <c r="AG273" s="2" t="s">
        <v>1175</v>
      </c>
    </row>
    <row r="274" spans="1:33" x14ac:dyDescent="0.3">
      <c r="A274">
        <v>308694</v>
      </c>
      <c r="B274" t="s">
        <v>558</v>
      </c>
      <c r="C274" t="s">
        <v>548</v>
      </c>
      <c r="D274" t="s">
        <v>559</v>
      </c>
      <c r="E274" s="18">
        <v>6.4</v>
      </c>
      <c r="F274" s="19">
        <f t="shared" si="90"/>
        <v>0.71111111111111114</v>
      </c>
      <c r="G274" s="2">
        <v>71.447958</v>
      </c>
      <c r="H274" s="2">
        <f t="shared" si="91"/>
        <v>0.38449942070118492</v>
      </c>
      <c r="I274" s="2">
        <v>43.2</v>
      </c>
      <c r="J274" s="4">
        <f t="shared" si="92"/>
        <v>0.20960698689956334</v>
      </c>
      <c r="K274" s="2">
        <v>0</v>
      </c>
      <c r="L274" s="4">
        <f t="shared" si="93"/>
        <v>0</v>
      </c>
      <c r="M274" s="2">
        <v>14864</v>
      </c>
      <c r="N274" s="2">
        <f t="shared" si="94"/>
        <v>6.9197030560247549E-2</v>
      </c>
      <c r="O274" s="2">
        <v>0.51767582099999998</v>
      </c>
      <c r="P274" s="2">
        <f t="shared" si="95"/>
        <v>0.52056348645310024</v>
      </c>
      <c r="Q274" s="2">
        <v>0.22739999999999999</v>
      </c>
      <c r="R274" s="2">
        <f t="shared" si="96"/>
        <v>0.49913144180660107</v>
      </c>
      <c r="S274" s="2">
        <f t="shared" si="97"/>
        <v>7.5389351728702522E-2</v>
      </c>
      <c r="T274" s="5">
        <f t="shared" si="89"/>
        <v>0.15210962046863905</v>
      </c>
      <c r="U274" s="2" t="str">
        <f t="shared" si="98"/>
        <v>Low</v>
      </c>
      <c r="V274" s="2">
        <f t="shared" si="99"/>
        <v>7.3804811188839525E-2</v>
      </c>
      <c r="W274" s="2">
        <f t="shared" si="100"/>
        <v>0.13294971868885772</v>
      </c>
      <c r="X274" s="2" t="s">
        <v>1176</v>
      </c>
      <c r="Y274" s="2">
        <f t="shared" si="101"/>
        <v>7.6973892268565519E-2</v>
      </c>
      <c r="Z274" s="2">
        <f t="shared" si="102"/>
        <v>0.16332433472067176</v>
      </c>
      <c r="AA274" s="2" t="str">
        <f t="shared" si="103"/>
        <v>Low</v>
      </c>
      <c r="AB274" s="2">
        <f t="shared" si="104"/>
        <v>5.2505024152924122E-2</v>
      </c>
      <c r="AC274" s="2">
        <f t="shared" si="105"/>
        <v>0.14594307495090189</v>
      </c>
      <c r="AD274" s="2" t="str">
        <f t="shared" si="106"/>
        <v>No Impact</v>
      </c>
      <c r="AE274" s="2">
        <f t="shared" si="107"/>
        <v>1.0231921589316089E-2</v>
      </c>
      <c r="AF274" s="2">
        <f t="shared" si="108"/>
        <v>5.2712173892238437E-2</v>
      </c>
      <c r="AG274" s="2" t="s">
        <v>1175</v>
      </c>
    </row>
    <row r="275" spans="1:33" x14ac:dyDescent="0.3">
      <c r="A275">
        <v>309309</v>
      </c>
      <c r="B275" t="s">
        <v>560</v>
      </c>
      <c r="C275" t="s">
        <v>561</v>
      </c>
      <c r="D275" t="s">
        <v>562</v>
      </c>
      <c r="E275" s="18">
        <v>5.9</v>
      </c>
      <c r="F275" s="19">
        <f t="shared" si="90"/>
        <v>0.60000000000000009</v>
      </c>
      <c r="G275" s="2">
        <v>50.275548000000001</v>
      </c>
      <c r="H275" s="2">
        <f t="shared" si="91"/>
        <v>0.17979568208933089</v>
      </c>
      <c r="I275" s="2">
        <v>32.9</v>
      </c>
      <c r="J275" s="4">
        <f t="shared" si="92"/>
        <v>0.15963124696749151</v>
      </c>
      <c r="K275" s="2">
        <v>0</v>
      </c>
      <c r="L275" s="4">
        <f t="shared" si="93"/>
        <v>0</v>
      </c>
      <c r="M275" s="2">
        <v>8293</v>
      </c>
      <c r="N275" s="2">
        <f t="shared" si="94"/>
        <v>3.8106863872289488E-2</v>
      </c>
      <c r="O275" s="2">
        <v>0.45000120500000002</v>
      </c>
      <c r="P275" s="2">
        <f t="shared" si="95"/>
        <v>0.44238643766488567</v>
      </c>
      <c r="Q275" s="2">
        <v>0.18279999999999999</v>
      </c>
      <c r="R275" s="2">
        <f t="shared" si="96"/>
        <v>0.370005790387956</v>
      </c>
      <c r="S275" s="2">
        <f t="shared" si="97"/>
        <v>2.8953518911548608E-2</v>
      </c>
      <c r="T275" s="5">
        <f t="shared" si="89"/>
        <v>5.8418180709603758E-2</v>
      </c>
      <c r="U275" s="2" t="str">
        <f t="shared" si="98"/>
        <v>No Impact</v>
      </c>
      <c r="V275" s="2">
        <f t="shared" si="99"/>
        <v>2.6373885124571513E-2</v>
      </c>
      <c r="W275" s="2">
        <f t="shared" si="100"/>
        <v>4.750910613499755E-2</v>
      </c>
      <c r="X275" s="2" t="s">
        <v>1176</v>
      </c>
      <c r="Y275" s="2">
        <f t="shared" si="101"/>
        <v>3.1533152698525697E-2</v>
      </c>
      <c r="Z275" s="2">
        <f t="shared" si="102"/>
        <v>6.6907506355051077E-2</v>
      </c>
      <c r="AA275" s="2" t="str">
        <f t="shared" si="103"/>
        <v>No Impact</v>
      </c>
      <c r="AB275" s="2">
        <f t="shared" si="104"/>
        <v>1.9641491042999323E-2</v>
      </c>
      <c r="AC275" s="2">
        <f t="shared" si="105"/>
        <v>5.4595529583739359E-2</v>
      </c>
      <c r="AD275" s="2" t="str">
        <f t="shared" si="106"/>
        <v>No Impact</v>
      </c>
      <c r="AE275" s="2">
        <f t="shared" si="107"/>
        <v>2.7162441138330945E-3</v>
      </c>
      <c r="AF275" s="2">
        <f t="shared" si="108"/>
        <v>1.3993376592295544E-2</v>
      </c>
      <c r="AG275" s="2" t="s">
        <v>1176</v>
      </c>
    </row>
    <row r="276" spans="1:33" x14ac:dyDescent="0.3">
      <c r="A276">
        <v>309319</v>
      </c>
      <c r="B276" t="s">
        <v>563</v>
      </c>
      <c r="C276" t="s">
        <v>561</v>
      </c>
      <c r="D276" t="s">
        <v>564</v>
      </c>
      <c r="E276" s="18">
        <v>5.9</v>
      </c>
      <c r="F276" s="19">
        <f t="shared" si="90"/>
        <v>0.60000000000000009</v>
      </c>
      <c r="G276" s="2">
        <v>45.024515999999998</v>
      </c>
      <c r="H276" s="2">
        <f t="shared" si="91"/>
        <v>0.12902650267279392</v>
      </c>
      <c r="I276" s="2">
        <v>33.6</v>
      </c>
      <c r="J276" s="4">
        <f t="shared" si="92"/>
        <v>0.16302765647743814</v>
      </c>
      <c r="K276" s="2">
        <v>0</v>
      </c>
      <c r="L276" s="4">
        <f t="shared" si="93"/>
        <v>0</v>
      </c>
      <c r="M276" s="2">
        <v>27551</v>
      </c>
      <c r="N276" s="2">
        <f t="shared" si="94"/>
        <v>0.12922456742984487</v>
      </c>
      <c r="O276" s="2">
        <v>0.80807754700000001</v>
      </c>
      <c r="P276" s="2">
        <f t="shared" si="95"/>
        <v>0.85603269549425309</v>
      </c>
      <c r="Q276" s="2">
        <v>0.25600000000000001</v>
      </c>
      <c r="R276" s="2">
        <f t="shared" si="96"/>
        <v>0.58193398957730169</v>
      </c>
      <c r="S276" s="2">
        <f t="shared" si="97"/>
        <v>4.4096235864935059E-2</v>
      </c>
      <c r="T276" s="5">
        <f t="shared" si="89"/>
        <v>8.8970942814954213E-2</v>
      </c>
      <c r="U276" s="2" t="str">
        <f t="shared" si="98"/>
        <v>No Impact</v>
      </c>
      <c r="V276" s="2">
        <f t="shared" si="99"/>
        <v>3.5690810821457142E-2</v>
      </c>
      <c r="W276" s="2">
        <f t="shared" si="100"/>
        <v>6.4292329755427896E-2</v>
      </c>
      <c r="X276" s="2" t="s">
        <v>1176</v>
      </c>
      <c r="Y276" s="2">
        <f t="shared" si="101"/>
        <v>5.2501660908412955E-2</v>
      </c>
      <c r="Z276" s="2">
        <f t="shared" si="102"/>
        <v>0.11139879492749268</v>
      </c>
      <c r="AA276" s="2" t="str">
        <f t="shared" si="103"/>
        <v>No Impact</v>
      </c>
      <c r="AB276" s="2">
        <f t="shared" si="104"/>
        <v>3.101621413013116E-2</v>
      </c>
      <c r="AC276" s="2">
        <f t="shared" si="105"/>
        <v>8.6212733667219113E-2</v>
      </c>
      <c r="AD276" s="2" t="str">
        <f t="shared" si="106"/>
        <v>No Impact</v>
      </c>
      <c r="AE276" s="2">
        <f t="shared" si="107"/>
        <v>7.9255202002779194E-3</v>
      </c>
      <c r="AF276" s="2">
        <f t="shared" si="108"/>
        <v>4.0830199424096873E-2</v>
      </c>
      <c r="AG276" s="2" t="s">
        <v>1175</v>
      </c>
    </row>
    <row r="277" spans="1:33" x14ac:dyDescent="0.3">
      <c r="A277">
        <v>309323</v>
      </c>
      <c r="B277" t="s">
        <v>565</v>
      </c>
      <c r="C277" t="s">
        <v>561</v>
      </c>
      <c r="D277" t="s">
        <v>566</v>
      </c>
      <c r="E277" s="18">
        <v>5.9</v>
      </c>
      <c r="F277" s="19">
        <f t="shared" si="90"/>
        <v>0.60000000000000009</v>
      </c>
      <c r="G277" s="2">
        <v>58.299678</v>
      </c>
      <c r="H277" s="2">
        <f t="shared" si="91"/>
        <v>0.25737633587921765</v>
      </c>
      <c r="I277" s="2">
        <v>28.6</v>
      </c>
      <c r="J277" s="4">
        <f t="shared" si="92"/>
        <v>0.13876758854924795</v>
      </c>
      <c r="K277" s="2">
        <v>0</v>
      </c>
      <c r="L277" s="4">
        <f t="shared" si="93"/>
        <v>0</v>
      </c>
      <c r="M277" s="2">
        <v>20219</v>
      </c>
      <c r="N277" s="2">
        <f t="shared" si="94"/>
        <v>9.453378944230742E-2</v>
      </c>
      <c r="O277" s="2">
        <v>0.47338655699999999</v>
      </c>
      <c r="P277" s="2">
        <f t="shared" si="95"/>
        <v>0.46940096559709543</v>
      </c>
      <c r="Q277" s="2">
        <v>0.2432</v>
      </c>
      <c r="R277" s="2">
        <f t="shared" si="96"/>
        <v>0.54487550665894624</v>
      </c>
      <c r="S277" s="2">
        <f t="shared" si="97"/>
        <v>4.2188943528371652E-2</v>
      </c>
      <c r="T277" s="5">
        <f t="shared" si="89"/>
        <v>8.5122686969998473E-2</v>
      </c>
      <c r="U277" s="2" t="str">
        <f t="shared" si="98"/>
        <v>No Impact</v>
      </c>
      <c r="V277" s="2">
        <f t="shared" si="99"/>
        <v>4.532831552189294E-2</v>
      </c>
      <c r="W277" s="2">
        <f t="shared" si="100"/>
        <v>8.1653034540744615E-2</v>
      </c>
      <c r="X277" s="2" t="s">
        <v>1176</v>
      </c>
      <c r="Y277" s="2">
        <f t="shared" si="101"/>
        <v>3.9049571534850364E-2</v>
      </c>
      <c r="Z277" s="2">
        <f t="shared" si="102"/>
        <v>8.2855954195540274E-2</v>
      </c>
      <c r="AA277" s="2" t="str">
        <f t="shared" si="103"/>
        <v>No Impact</v>
      </c>
      <c r="AB277" s="2">
        <f t="shared" si="104"/>
        <v>3.0332282389164224E-2</v>
      </c>
      <c r="AC277" s="2">
        <f t="shared" si="105"/>
        <v>8.4311675569568867E-2</v>
      </c>
      <c r="AD277" s="2" t="str">
        <f t="shared" si="106"/>
        <v>No Impact</v>
      </c>
      <c r="AE277" s="2">
        <f t="shared" si="107"/>
        <v>7.864287131561681E-3</v>
      </c>
      <c r="AF277" s="2">
        <f t="shared" si="108"/>
        <v>4.0514742729286381E-2</v>
      </c>
      <c r="AG277" s="2" t="s">
        <v>1175</v>
      </c>
    </row>
    <row r="278" spans="1:33" x14ac:dyDescent="0.3">
      <c r="A278">
        <v>309325</v>
      </c>
      <c r="B278" t="s">
        <v>567</v>
      </c>
      <c r="C278" t="s">
        <v>561</v>
      </c>
      <c r="D278" t="s">
        <v>568</v>
      </c>
      <c r="E278" s="18">
        <v>5</v>
      </c>
      <c r="F278" s="19">
        <f t="shared" si="90"/>
        <v>0.39999999999999997</v>
      </c>
      <c r="G278" s="2">
        <v>45.024515999999998</v>
      </c>
      <c r="H278" s="2">
        <f t="shared" si="91"/>
        <v>0.12902650267279392</v>
      </c>
      <c r="I278" s="2">
        <v>19.7</v>
      </c>
      <c r="J278" s="4">
        <f t="shared" si="92"/>
        <v>9.5584667637069382E-2</v>
      </c>
      <c r="K278" s="2">
        <v>0</v>
      </c>
      <c r="L278" s="4">
        <f t="shared" si="93"/>
        <v>0</v>
      </c>
      <c r="M278" s="2">
        <v>34950</v>
      </c>
      <c r="N278" s="2">
        <f t="shared" si="94"/>
        <v>0.16423235061721386</v>
      </c>
      <c r="O278" s="2">
        <v>0.64504028599999996</v>
      </c>
      <c r="P278" s="2">
        <f t="shared" si="95"/>
        <v>0.66769365996143404</v>
      </c>
      <c r="Q278" s="2">
        <v>0.25330000000000003</v>
      </c>
      <c r="R278" s="2">
        <f t="shared" si="96"/>
        <v>0.57411696583671112</v>
      </c>
      <c r="S278" s="2">
        <f t="shared" si="97"/>
        <v>1.9524717657462155E-2</v>
      </c>
      <c r="T278" s="5">
        <f t="shared" si="89"/>
        <v>3.9394122970063859E-2</v>
      </c>
      <c r="U278" s="2" t="str">
        <f t="shared" si="98"/>
        <v>No Impact</v>
      </c>
      <c r="V278" s="2">
        <f t="shared" si="99"/>
        <v>1.8053431702786407E-2</v>
      </c>
      <c r="W278" s="2">
        <f t="shared" si="100"/>
        <v>3.2520897047114278E-2</v>
      </c>
      <c r="X278" s="2" t="s">
        <v>1176</v>
      </c>
      <c r="Y278" s="2">
        <f t="shared" si="101"/>
        <v>2.0996003612137902E-2</v>
      </c>
      <c r="Z278" s="2">
        <f t="shared" si="102"/>
        <v>4.4549628720615422E-2</v>
      </c>
      <c r="AA278" s="2" t="str">
        <f t="shared" si="103"/>
        <v>No Impact</v>
      </c>
      <c r="AB278" s="2">
        <f t="shared" si="104"/>
        <v>1.442503478288535E-2</v>
      </c>
      <c r="AC278" s="2">
        <f t="shared" si="105"/>
        <v>4.0095856852791455E-2</v>
      </c>
      <c r="AD278" s="2" t="str">
        <f t="shared" si="106"/>
        <v>No Impact</v>
      </c>
      <c r="AE278" s="2">
        <f t="shared" si="107"/>
        <v>5.1643788664821081E-3</v>
      </c>
      <c r="AF278" s="2">
        <f t="shared" si="108"/>
        <v>2.6605524141199165E-2</v>
      </c>
      <c r="AG278" s="2" t="s">
        <v>1176</v>
      </c>
    </row>
    <row r="279" spans="1:33" x14ac:dyDescent="0.3">
      <c r="A279">
        <v>309328</v>
      </c>
      <c r="B279" t="s">
        <v>569</v>
      </c>
      <c r="C279" t="s">
        <v>561</v>
      </c>
      <c r="D279" t="s">
        <v>570</v>
      </c>
      <c r="E279" s="18">
        <v>5.9</v>
      </c>
      <c r="F279" s="19">
        <f t="shared" si="90"/>
        <v>0.60000000000000009</v>
      </c>
      <c r="G279" s="2">
        <v>45.024515999999998</v>
      </c>
      <c r="H279" s="2">
        <f t="shared" si="91"/>
        <v>0.12902650267279392</v>
      </c>
      <c r="I279" s="2">
        <v>28.6</v>
      </c>
      <c r="J279" s="4">
        <f t="shared" si="92"/>
        <v>0.13876758854924795</v>
      </c>
      <c r="K279" s="2">
        <v>0</v>
      </c>
      <c r="L279" s="4">
        <f t="shared" si="93"/>
        <v>0</v>
      </c>
      <c r="M279" s="2">
        <v>19705</v>
      </c>
      <c r="N279" s="2">
        <f t="shared" si="94"/>
        <v>9.2101839103301109E-2</v>
      </c>
      <c r="O279" s="2">
        <v>0.71237718800000005</v>
      </c>
      <c r="P279" s="2">
        <f t="shared" si="95"/>
        <v>0.74548058486842195</v>
      </c>
      <c r="Q279" s="2">
        <v>0.23230000000000001</v>
      </c>
      <c r="R279" s="2">
        <f t="shared" si="96"/>
        <v>0.51331789229878411</v>
      </c>
      <c r="S279" s="2">
        <f t="shared" si="97"/>
        <v>3.5395373393591625E-2</v>
      </c>
      <c r="T279" s="5">
        <f t="shared" si="89"/>
        <v>7.141561360840272E-2</v>
      </c>
      <c r="U279" s="2" t="str">
        <f t="shared" si="98"/>
        <v>No Impact</v>
      </c>
      <c r="V279" s="2">
        <f t="shared" si="99"/>
        <v>2.8867334679995041E-2</v>
      </c>
      <c r="W279" s="2">
        <f t="shared" si="100"/>
        <v>5.2000729534862622E-2</v>
      </c>
      <c r="X279" s="2" t="s">
        <v>1176</v>
      </c>
      <c r="Y279" s="2">
        <f t="shared" si="101"/>
        <v>4.1923412107188217E-2</v>
      </c>
      <c r="Z279" s="2">
        <f t="shared" si="102"/>
        <v>8.8953711314703574E-2</v>
      </c>
      <c r="AA279" s="2" t="str">
        <f t="shared" si="103"/>
        <v>No Impact</v>
      </c>
      <c r="AB279" s="2">
        <f t="shared" si="104"/>
        <v>2.4493418900391951E-2</v>
      </c>
      <c r="AC279" s="2">
        <f t="shared" si="105"/>
        <v>6.8081958404063697E-2</v>
      </c>
      <c r="AD279" s="2" t="str">
        <f t="shared" si="106"/>
        <v>No Impact</v>
      </c>
      <c r="AE279" s="2">
        <f t="shared" si="107"/>
        <v>5.1795089435349205E-3</v>
      </c>
      <c r="AF279" s="2">
        <f t="shared" si="108"/>
        <v>2.6683470326150736E-2</v>
      </c>
      <c r="AG279" s="2" t="s">
        <v>1176</v>
      </c>
    </row>
    <row r="280" spans="1:33" x14ac:dyDescent="0.3">
      <c r="A280">
        <v>309338</v>
      </c>
      <c r="B280" t="s">
        <v>571</v>
      </c>
      <c r="C280" t="s">
        <v>561</v>
      </c>
      <c r="D280" t="s">
        <v>572</v>
      </c>
      <c r="E280" s="18">
        <v>5.9</v>
      </c>
      <c r="F280" s="19">
        <f t="shared" si="90"/>
        <v>0.60000000000000009</v>
      </c>
      <c r="G280" s="2">
        <v>45.024515999999998</v>
      </c>
      <c r="H280" s="2">
        <f t="shared" si="91"/>
        <v>0.12902650267279392</v>
      </c>
      <c r="I280" s="2">
        <v>23.7</v>
      </c>
      <c r="J280" s="4">
        <f t="shared" si="92"/>
        <v>0.11499272197962154</v>
      </c>
      <c r="K280" s="2">
        <v>0</v>
      </c>
      <c r="L280" s="4">
        <f t="shared" si="93"/>
        <v>0</v>
      </c>
      <c r="M280" s="2">
        <v>36750</v>
      </c>
      <c r="N280" s="2">
        <f t="shared" si="94"/>
        <v>0.17274890822462893</v>
      </c>
      <c r="O280" s="2">
        <v>0.55803476600000002</v>
      </c>
      <c r="P280" s="2">
        <f t="shared" si="95"/>
        <v>0.56718574157318657</v>
      </c>
      <c r="Q280" s="2">
        <v>0.2198</v>
      </c>
      <c r="R280" s="2">
        <f t="shared" si="96"/>
        <v>0.47712796757382747</v>
      </c>
      <c r="S280" s="2">
        <f t="shared" si="97"/>
        <v>2.6757425267993962E-2</v>
      </c>
      <c r="T280" s="5">
        <f t="shared" si="89"/>
        <v>5.3987223777691204E-2</v>
      </c>
      <c r="U280" s="2" t="str">
        <f t="shared" si="98"/>
        <v>No Impact</v>
      </c>
      <c r="V280" s="2">
        <f t="shared" si="99"/>
        <v>2.4449963308543123E-2</v>
      </c>
      <c r="W280" s="2">
        <f t="shared" si="100"/>
        <v>4.4043412502019194E-2</v>
      </c>
      <c r="X280" s="2" t="s">
        <v>1176</v>
      </c>
      <c r="Y280" s="2">
        <f t="shared" si="101"/>
        <v>2.9064887227444804E-2</v>
      </c>
      <c r="Z280" s="2">
        <f t="shared" si="102"/>
        <v>6.16703044402543E-2</v>
      </c>
      <c r="AA280" s="2" t="str">
        <f t="shared" si="103"/>
        <v>No Impact</v>
      </c>
      <c r="AB280" s="2">
        <f t="shared" si="104"/>
        <v>2.0375276342596137E-2</v>
      </c>
      <c r="AC280" s="2">
        <f t="shared" si="105"/>
        <v>5.6635160737227054E-2</v>
      </c>
      <c r="AD280" s="2" t="str">
        <f t="shared" si="106"/>
        <v>No Impact</v>
      </c>
      <c r="AE280" s="2">
        <f t="shared" si="107"/>
        <v>8.8523514753502987E-3</v>
      </c>
      <c r="AF280" s="2">
        <f t="shared" si="108"/>
        <v>4.5604990836825614E-2</v>
      </c>
      <c r="AG280" s="2" t="s">
        <v>1175</v>
      </c>
    </row>
    <row r="281" spans="1:33" x14ac:dyDescent="0.3">
      <c r="A281">
        <v>309347</v>
      </c>
      <c r="B281" t="s">
        <v>573</v>
      </c>
      <c r="C281" t="s">
        <v>561</v>
      </c>
      <c r="D281" t="s">
        <v>574</v>
      </c>
      <c r="E281" s="18">
        <v>5.9</v>
      </c>
      <c r="F281" s="19">
        <f t="shared" si="90"/>
        <v>0.60000000000000009</v>
      </c>
      <c r="G281" s="2">
        <v>50.275548000000001</v>
      </c>
      <c r="H281" s="2">
        <f t="shared" si="91"/>
        <v>0.17979568208933089</v>
      </c>
      <c r="I281" s="2">
        <v>31.7</v>
      </c>
      <c r="J281" s="4">
        <f t="shared" si="92"/>
        <v>0.15380883066472587</v>
      </c>
      <c r="K281" s="2">
        <v>0</v>
      </c>
      <c r="L281" s="4">
        <f t="shared" si="93"/>
        <v>0</v>
      </c>
      <c r="M281" s="2">
        <v>40172</v>
      </c>
      <c r="N281" s="2">
        <f t="shared" si="94"/>
        <v>0.18893983052050362</v>
      </c>
      <c r="O281" s="2">
        <v>0.64604982</v>
      </c>
      <c r="P281" s="2">
        <f t="shared" si="95"/>
        <v>0.6688598636791081</v>
      </c>
      <c r="Q281" s="2">
        <v>0.26679999999999998</v>
      </c>
      <c r="R281" s="2">
        <f t="shared" si="96"/>
        <v>0.61320208453966418</v>
      </c>
      <c r="S281" s="2">
        <f t="shared" si="97"/>
        <v>4.4908673413384233E-2</v>
      </c>
      <c r="T281" s="5">
        <f t="shared" si="89"/>
        <v>9.0610160613162516E-2</v>
      </c>
      <c r="U281" s="2" t="str">
        <f t="shared" si="98"/>
        <v>No Impact</v>
      </c>
      <c r="V281" s="2">
        <f t="shared" si="99"/>
        <v>4.2959066352851585E-2</v>
      </c>
      <c r="W281" s="2">
        <f t="shared" si="100"/>
        <v>7.7385141899953075E-2</v>
      </c>
      <c r="X281" s="2" t="s">
        <v>1176</v>
      </c>
      <c r="Y281" s="2">
        <f t="shared" si="101"/>
        <v>4.6858280473916873E-2</v>
      </c>
      <c r="Z281" s="2">
        <f t="shared" si="102"/>
        <v>9.9424587467333736E-2</v>
      </c>
      <c r="AA281" s="2" t="str">
        <f t="shared" si="103"/>
        <v>No Impact</v>
      </c>
      <c r="AB281" s="2">
        <f t="shared" si="104"/>
        <v>3.3725949103069176E-2</v>
      </c>
      <c r="AC281" s="2">
        <f t="shared" si="105"/>
        <v>9.3744718665469018E-2</v>
      </c>
      <c r="AD281" s="2" t="str">
        <f t="shared" si="106"/>
        <v>No Impact</v>
      </c>
      <c r="AE281" s="2">
        <f t="shared" si="107"/>
        <v>1.3236547821131601E-2</v>
      </c>
      <c r="AF281" s="2">
        <f t="shared" si="108"/>
        <v>6.819121944884407E-2</v>
      </c>
      <c r="AG281" s="2" t="s">
        <v>1175</v>
      </c>
    </row>
    <row r="282" spans="1:33" x14ac:dyDescent="0.3">
      <c r="A282">
        <v>309357</v>
      </c>
      <c r="B282" t="s">
        <v>575</v>
      </c>
      <c r="C282" t="s">
        <v>561</v>
      </c>
      <c r="D282" t="s">
        <v>576</v>
      </c>
      <c r="E282" s="18">
        <v>5.3</v>
      </c>
      <c r="F282" s="19">
        <f t="shared" si="90"/>
        <v>0.46666666666666656</v>
      </c>
      <c r="G282" s="2">
        <v>45.024515999999998</v>
      </c>
      <c r="H282" s="2">
        <f t="shared" si="91"/>
        <v>0.12902650267279392</v>
      </c>
      <c r="I282" s="2">
        <v>20.9</v>
      </c>
      <c r="J282" s="4">
        <f t="shared" si="92"/>
        <v>0.10140708393983502</v>
      </c>
      <c r="K282" s="2">
        <v>0</v>
      </c>
      <c r="L282" s="4">
        <f t="shared" si="93"/>
        <v>0</v>
      </c>
      <c r="M282" s="2">
        <v>80305</v>
      </c>
      <c r="N282" s="2">
        <f t="shared" si="94"/>
        <v>0.37882594521960888</v>
      </c>
      <c r="O282" s="2">
        <v>0.62998493700000002</v>
      </c>
      <c r="P282" s="2">
        <f t="shared" si="95"/>
        <v>0.65030186931874168</v>
      </c>
      <c r="Q282" s="2">
        <v>0.24299999999999999</v>
      </c>
      <c r="R282" s="2">
        <f t="shared" si="96"/>
        <v>0.54429646786334684</v>
      </c>
      <c r="S282" s="2">
        <f t="shared" si="97"/>
        <v>2.2480838984198684E-2</v>
      </c>
      <c r="T282" s="5">
        <f t="shared" si="89"/>
        <v>4.5358552730479867E-2</v>
      </c>
      <c r="U282" s="2" t="str">
        <f t="shared" si="98"/>
        <v>No Impact</v>
      </c>
      <c r="V282" s="2">
        <f t="shared" si="99"/>
        <v>2.0485950587488293E-2</v>
      </c>
      <c r="W282" s="2">
        <f t="shared" si="100"/>
        <v>3.6902761809277013E-2</v>
      </c>
      <c r="X282" s="2" t="s">
        <v>1176</v>
      </c>
      <c r="Y282" s="2">
        <f t="shared" si="101"/>
        <v>2.4475727380909071E-2</v>
      </c>
      <c r="Z282" s="2">
        <f t="shared" si="102"/>
        <v>5.1932957701347641E-2</v>
      </c>
      <c r="AA282" s="2" t="str">
        <f t="shared" si="103"/>
        <v>No Impact</v>
      </c>
      <c r="AB282" s="2">
        <f t="shared" si="104"/>
        <v>1.9503120568525906E-2</v>
      </c>
      <c r="AC282" s="2">
        <f t="shared" si="105"/>
        <v>5.4210914723488102E-2</v>
      </c>
      <c r="AD282" s="2" t="str">
        <f t="shared" si="106"/>
        <v>No Impact</v>
      </c>
      <c r="AE282" s="2">
        <f t="shared" si="107"/>
        <v>1.425805613894938E-2</v>
      </c>
      <c r="AF282" s="2">
        <f t="shared" si="108"/>
        <v>7.3453762130699957E-2</v>
      </c>
      <c r="AG282" s="2" t="s">
        <v>1175</v>
      </c>
    </row>
    <row r="283" spans="1:33" x14ac:dyDescent="0.3">
      <c r="A283">
        <v>309366</v>
      </c>
      <c r="B283" t="s">
        <v>577</v>
      </c>
      <c r="C283" t="s">
        <v>561</v>
      </c>
      <c r="D283" t="s">
        <v>578</v>
      </c>
      <c r="E283" s="18">
        <v>5.9</v>
      </c>
      <c r="F283" s="19">
        <f t="shared" si="90"/>
        <v>0.60000000000000009</v>
      </c>
      <c r="G283" s="2">
        <v>58.299678</v>
      </c>
      <c r="H283" s="2">
        <f t="shared" si="91"/>
        <v>0.25737633587921765</v>
      </c>
      <c r="I283" s="2">
        <v>24.7</v>
      </c>
      <c r="J283" s="4">
        <f t="shared" si="92"/>
        <v>0.11984473556525958</v>
      </c>
      <c r="K283" s="2">
        <v>0</v>
      </c>
      <c r="L283" s="4">
        <f t="shared" si="93"/>
        <v>0</v>
      </c>
      <c r="M283" s="2">
        <v>29372</v>
      </c>
      <c r="N283" s="2">
        <f t="shared" si="94"/>
        <v>0.13784048487601311</v>
      </c>
      <c r="O283" s="2">
        <v>0.37781035000000002</v>
      </c>
      <c r="P283" s="2">
        <f t="shared" si="95"/>
        <v>0.35899227413689561</v>
      </c>
      <c r="Q283" s="2">
        <v>0.249</v>
      </c>
      <c r="R283" s="2">
        <f t="shared" si="96"/>
        <v>0.56166763173132606</v>
      </c>
      <c r="S283" s="2">
        <f t="shared" si="97"/>
        <v>3.6465693193396133E-2</v>
      </c>
      <c r="T283" s="5">
        <f t="shared" si="89"/>
        <v>7.3575148539996374E-2</v>
      </c>
      <c r="U283" s="2" t="str">
        <f t="shared" si="98"/>
        <v>No Impact</v>
      </c>
      <c r="V283" s="2">
        <f t="shared" si="99"/>
        <v>4.4493301825848305E-2</v>
      </c>
      <c r="W283" s="2">
        <f t="shared" si="100"/>
        <v>8.0148866530525997E-2</v>
      </c>
      <c r="X283" s="2" t="s">
        <v>1176</v>
      </c>
      <c r="Y283" s="2">
        <f t="shared" si="101"/>
        <v>2.8438084560943946E-2</v>
      </c>
      <c r="Z283" s="2">
        <f t="shared" si="102"/>
        <v>6.0340345339963325E-2</v>
      </c>
      <c r="AA283" s="2" t="str">
        <f t="shared" si="103"/>
        <v>No Impact</v>
      </c>
      <c r="AB283" s="2">
        <f t="shared" si="104"/>
        <v>2.7925811658741754E-2</v>
      </c>
      <c r="AC283" s="2">
        <f t="shared" si="105"/>
        <v>7.7622644494099141E-2</v>
      </c>
      <c r="AD283" s="2" t="str">
        <f t="shared" si="106"/>
        <v>No Impact</v>
      </c>
      <c r="AE283" s="2">
        <f t="shared" si="107"/>
        <v>1.0919230432604746E-2</v>
      </c>
      <c r="AF283" s="2">
        <f t="shared" si="108"/>
        <v>5.6253008617060306E-2</v>
      </c>
      <c r="AG283" s="2" t="s">
        <v>1175</v>
      </c>
    </row>
    <row r="284" spans="1:33" x14ac:dyDescent="0.3">
      <c r="A284">
        <v>309376</v>
      </c>
      <c r="B284" t="s">
        <v>579</v>
      </c>
      <c r="C284" t="s">
        <v>561</v>
      </c>
      <c r="D284" t="s">
        <v>580</v>
      </c>
      <c r="E284" s="18">
        <v>5.2</v>
      </c>
      <c r="F284" s="19">
        <f t="shared" si="90"/>
        <v>0.44444444444444442</v>
      </c>
      <c r="G284" s="2">
        <v>58.299678</v>
      </c>
      <c r="H284" s="2">
        <f t="shared" si="91"/>
        <v>0.25737633587921765</v>
      </c>
      <c r="I284" s="2">
        <v>28.6</v>
      </c>
      <c r="J284" s="4">
        <f t="shared" si="92"/>
        <v>0.13876758854924795</v>
      </c>
      <c r="K284" s="2">
        <v>0</v>
      </c>
      <c r="L284" s="4">
        <f t="shared" si="93"/>
        <v>0</v>
      </c>
      <c r="M284" s="2">
        <v>55940</v>
      </c>
      <c r="N284" s="2">
        <f t="shared" si="94"/>
        <v>0.26354487516145975</v>
      </c>
      <c r="O284" s="2">
        <v>0.80603027999999999</v>
      </c>
      <c r="P284" s="2">
        <f t="shared" si="95"/>
        <v>0.85366771285229026</v>
      </c>
      <c r="Q284" s="2">
        <v>0.28649999999999998</v>
      </c>
      <c r="R284" s="2">
        <f t="shared" si="96"/>
        <v>0.67023740590619574</v>
      </c>
      <c r="S284" s="2">
        <f t="shared" si="97"/>
        <v>4.6953336437903274E-2</v>
      </c>
      <c r="T284" s="5">
        <f t="shared" si="89"/>
        <v>9.4735582964120879E-2</v>
      </c>
      <c r="U284" s="2" t="str">
        <f t="shared" si="98"/>
        <v>No Impact</v>
      </c>
      <c r="V284" s="2">
        <f t="shared" si="99"/>
        <v>4.1301629642689859E-2</v>
      </c>
      <c r="W284" s="2">
        <f t="shared" si="100"/>
        <v>7.4399486347000332E-2</v>
      </c>
      <c r="X284" s="2" t="s">
        <v>1176</v>
      </c>
      <c r="Y284" s="2">
        <f t="shared" si="101"/>
        <v>5.260504323311669E-2</v>
      </c>
      <c r="Z284" s="2">
        <f t="shared" si="102"/>
        <v>0.11161815306187417</v>
      </c>
      <c r="AA284" s="2" t="str">
        <f t="shared" si="103"/>
        <v>No Impact</v>
      </c>
      <c r="AB284" s="2">
        <f t="shared" si="104"/>
        <v>3.5921175960836528E-2</v>
      </c>
      <c r="AC284" s="2">
        <f t="shared" si="105"/>
        <v>9.9846575830685291E-2</v>
      </c>
      <c r="AD284" s="2" t="str">
        <f t="shared" si="106"/>
        <v>No Impact</v>
      </c>
      <c r="AE284" s="2">
        <f t="shared" si="107"/>
        <v>1.6240264617028776E-2</v>
      </c>
      <c r="AF284" s="2">
        <f t="shared" si="108"/>
        <v>8.3665579830348141E-2</v>
      </c>
      <c r="AG284" s="2" t="s">
        <v>1175</v>
      </c>
    </row>
    <row r="285" spans="1:33" x14ac:dyDescent="0.3">
      <c r="A285">
        <v>309385</v>
      </c>
      <c r="B285" t="s">
        <v>581</v>
      </c>
      <c r="C285" t="s">
        <v>561</v>
      </c>
      <c r="D285" t="s">
        <v>1145</v>
      </c>
      <c r="E285" s="18">
        <v>5.9</v>
      </c>
      <c r="F285" s="19">
        <f t="shared" si="90"/>
        <v>0.60000000000000009</v>
      </c>
      <c r="G285" s="2">
        <v>50.275548000000001</v>
      </c>
      <c r="H285" s="2">
        <f t="shared" si="91"/>
        <v>0.17979568208933089</v>
      </c>
      <c r="I285" s="2">
        <v>25.3</v>
      </c>
      <c r="J285" s="4">
        <f t="shared" si="92"/>
        <v>0.12275594371664242</v>
      </c>
      <c r="K285" s="2">
        <v>0</v>
      </c>
      <c r="L285" s="4">
        <f t="shared" si="93"/>
        <v>0</v>
      </c>
      <c r="M285" s="2">
        <v>51021</v>
      </c>
      <c r="N285" s="2">
        <f t="shared" si="94"/>
        <v>0.24027101578875151</v>
      </c>
      <c r="O285" s="2">
        <v>0.68154551299999999</v>
      </c>
      <c r="P285" s="2">
        <f t="shared" si="95"/>
        <v>0.70986413806512727</v>
      </c>
      <c r="Q285" s="2">
        <v>0.23799999999999999</v>
      </c>
      <c r="R285" s="2">
        <f t="shared" si="96"/>
        <v>0.52982049797336428</v>
      </c>
      <c r="S285" s="2">
        <f t="shared" si="97"/>
        <v>3.9382203222613855E-2</v>
      </c>
      <c r="T285" s="5">
        <f t="shared" si="89"/>
        <v>7.945965641099835E-2</v>
      </c>
      <c r="U285" s="2" t="str">
        <f t="shared" si="98"/>
        <v>No Impact</v>
      </c>
      <c r="V285" s="2">
        <f t="shared" si="99"/>
        <v>3.3662591139906065E-2</v>
      </c>
      <c r="W285" s="2">
        <f t="shared" si="100"/>
        <v>6.0638757152803376E-2</v>
      </c>
      <c r="X285" s="2" t="s">
        <v>1176</v>
      </c>
      <c r="Y285" s="2">
        <f t="shared" si="101"/>
        <v>4.5101815305321633E-2</v>
      </c>
      <c r="Z285" s="2">
        <f t="shared" si="102"/>
        <v>9.5697693884767648E-2</v>
      </c>
      <c r="AA285" s="2" t="str">
        <f t="shared" si="103"/>
        <v>No Impact</v>
      </c>
      <c r="AB285" s="2">
        <f t="shared" si="104"/>
        <v>3.0655488895442659E-2</v>
      </c>
      <c r="AC285" s="2">
        <f t="shared" si="105"/>
        <v>8.5210061050414052E-2</v>
      </c>
      <c r="AD285" s="2" t="str">
        <f t="shared" si="106"/>
        <v>No Impact</v>
      </c>
      <c r="AE285" s="2">
        <f t="shared" si="107"/>
        <v>1.5265821156797286E-2</v>
      </c>
      <c r="AF285" s="2">
        <f t="shared" si="108"/>
        <v>7.864550293907184E-2</v>
      </c>
      <c r="AG285" s="2" t="s">
        <v>1175</v>
      </c>
    </row>
    <row r="286" spans="1:33" x14ac:dyDescent="0.3">
      <c r="A286">
        <v>309395</v>
      </c>
      <c r="B286" t="s">
        <v>582</v>
      </c>
      <c r="C286" t="s">
        <v>561</v>
      </c>
      <c r="D286" t="s">
        <v>583</v>
      </c>
      <c r="E286" s="18">
        <v>5.9</v>
      </c>
      <c r="F286" s="19">
        <f t="shared" si="90"/>
        <v>0.60000000000000009</v>
      </c>
      <c r="G286" s="2">
        <v>50.275548000000001</v>
      </c>
      <c r="H286" s="2">
        <f t="shared" si="91"/>
        <v>0.17979568208933089</v>
      </c>
      <c r="I286" s="2">
        <v>29.7</v>
      </c>
      <c r="J286" s="4">
        <f t="shared" si="92"/>
        <v>0.14410480349344978</v>
      </c>
      <c r="K286" s="2">
        <v>0</v>
      </c>
      <c r="L286" s="4">
        <f t="shared" si="93"/>
        <v>0</v>
      </c>
      <c r="M286" s="2">
        <v>24641</v>
      </c>
      <c r="N286" s="2">
        <f t="shared" si="94"/>
        <v>0.11545613263119048</v>
      </c>
      <c r="O286" s="2">
        <v>0.51801354700000002</v>
      </c>
      <c r="P286" s="2">
        <f t="shared" si="95"/>
        <v>0.52095362419660884</v>
      </c>
      <c r="Q286" s="2">
        <v>0.20669999999999999</v>
      </c>
      <c r="R286" s="2">
        <f t="shared" si="96"/>
        <v>0.43920092646207298</v>
      </c>
      <c r="S286" s="2">
        <f t="shared" si="97"/>
        <v>3.265442514525068E-2</v>
      </c>
      <c r="T286" s="5">
        <f t="shared" si="89"/>
        <v>6.5885328651454494E-2</v>
      </c>
      <c r="U286" s="2" t="str">
        <f t="shared" si="98"/>
        <v>No Impact</v>
      </c>
      <c r="V286" s="2">
        <f t="shared" si="99"/>
        <v>2.9874052603389243E-2</v>
      </c>
      <c r="W286" s="2">
        <f t="shared" si="100"/>
        <v>5.381420026337428E-2</v>
      </c>
      <c r="X286" s="2" t="s">
        <v>1176</v>
      </c>
      <c r="Y286" s="2">
        <f t="shared" si="101"/>
        <v>3.5434797687112121E-2</v>
      </c>
      <c r="Z286" s="2">
        <f t="shared" si="102"/>
        <v>7.5186073974495116E-2</v>
      </c>
      <c r="AA286" s="2" t="str">
        <f t="shared" si="103"/>
        <v>No Impact</v>
      </c>
      <c r="AB286" s="2">
        <f t="shared" si="104"/>
        <v>2.3834985577892182E-2</v>
      </c>
      <c r="AC286" s="2">
        <f t="shared" si="105"/>
        <v>6.6251775763715298E-2</v>
      </c>
      <c r="AD286" s="2" t="str">
        <f t="shared" si="106"/>
        <v>No Impact</v>
      </c>
      <c r="AE286" s="2">
        <f t="shared" si="107"/>
        <v>7.8532224587780312E-3</v>
      </c>
      <c r="AF286" s="2">
        <f t="shared" si="108"/>
        <v>4.0457740439859002E-2</v>
      </c>
      <c r="AG286" s="2" t="s">
        <v>1175</v>
      </c>
    </row>
    <row r="287" spans="1:33" x14ac:dyDescent="0.3">
      <c r="A287">
        <v>400108</v>
      </c>
      <c r="B287" t="s">
        <v>584</v>
      </c>
      <c r="C287" t="s">
        <v>585</v>
      </c>
      <c r="D287" t="s">
        <v>586</v>
      </c>
      <c r="E287" s="18">
        <v>6.9</v>
      </c>
      <c r="F287" s="19">
        <f t="shared" si="90"/>
        <v>0.8222222222222223</v>
      </c>
      <c r="G287" s="2">
        <v>94.194050399999995</v>
      </c>
      <c r="H287" s="2">
        <f t="shared" si="91"/>
        <v>0.60441818068602748</v>
      </c>
      <c r="I287" s="2">
        <v>124.1</v>
      </c>
      <c r="J287" s="4">
        <f t="shared" si="92"/>
        <v>0.60213488597768072</v>
      </c>
      <c r="K287" s="2">
        <v>1</v>
      </c>
      <c r="L287" s="4">
        <f t="shared" si="93"/>
        <v>0.41666666666666669</v>
      </c>
      <c r="M287" s="2">
        <v>9991</v>
      </c>
      <c r="N287" s="2">
        <f t="shared" si="94"/>
        <v>4.6140816548617715E-2</v>
      </c>
      <c r="O287" s="2">
        <v>0.60079026599999996</v>
      </c>
      <c r="P287" s="2">
        <f t="shared" si="95"/>
        <v>0.61657647338708432</v>
      </c>
      <c r="Q287" s="2">
        <v>0.21179999999999999</v>
      </c>
      <c r="R287" s="2">
        <f t="shared" si="96"/>
        <v>0.45396641574985525</v>
      </c>
      <c r="S287" s="2">
        <f t="shared" si="97"/>
        <v>0.24087051109384219</v>
      </c>
      <c r="T287" s="5">
        <f t="shared" si="89"/>
        <v>0.48599332909003135</v>
      </c>
      <c r="U287" s="2" t="str">
        <f t="shared" si="98"/>
        <v>Moderate</v>
      </c>
      <c r="V287" s="2">
        <f t="shared" si="99"/>
        <v>0.2042834970755105</v>
      </c>
      <c r="W287" s="2">
        <f t="shared" si="100"/>
        <v>0.36799001354361771</v>
      </c>
      <c r="X287" s="2" t="str">
        <f t="shared" ref="X287:X320" si="109">IF(W287&gt;0.7,"High",IF(W287&gt;0.3,"Moderate",IF(W287&gt;0.15,"Low","No Impact")))</f>
        <v>Moderate</v>
      </c>
      <c r="Y287" s="2">
        <f t="shared" si="101"/>
        <v>0.27745752511217386</v>
      </c>
      <c r="Z287" s="2">
        <f t="shared" si="102"/>
        <v>0.58871345032263322</v>
      </c>
      <c r="AA287" s="2" t="str">
        <f t="shared" si="103"/>
        <v>Moderate</v>
      </c>
      <c r="AB287" s="2">
        <f t="shared" si="104"/>
        <v>0.16200361066855751</v>
      </c>
      <c r="AC287" s="2">
        <f t="shared" si="105"/>
        <v>0.45030557504850266</v>
      </c>
      <c r="AD287" s="2" t="str">
        <f t="shared" si="106"/>
        <v>Moderate</v>
      </c>
      <c r="AE287" s="2">
        <f t="shared" si="107"/>
        <v>2.0763226167076258E-2</v>
      </c>
      <c r="AF287" s="2">
        <f t="shared" si="108"/>
        <v>0.10696669034540117</v>
      </c>
      <c r="AG287" s="2" t="s">
        <v>1175</v>
      </c>
    </row>
    <row r="288" spans="1:33" x14ac:dyDescent="0.3">
      <c r="A288">
        <v>400114</v>
      </c>
      <c r="B288" t="s">
        <v>587</v>
      </c>
      <c r="C288" t="s">
        <v>585</v>
      </c>
      <c r="D288" t="s">
        <v>588</v>
      </c>
      <c r="E288" s="18">
        <v>6.8</v>
      </c>
      <c r="F288" s="19">
        <f t="shared" si="90"/>
        <v>0.79999999999999993</v>
      </c>
      <c r="G288" s="2">
        <v>93.526081199999993</v>
      </c>
      <c r="H288" s="2">
        <f t="shared" si="91"/>
        <v>0.59795997434496517</v>
      </c>
      <c r="I288" s="2">
        <v>115.4</v>
      </c>
      <c r="J288" s="4">
        <f t="shared" si="92"/>
        <v>0.55992236778262983</v>
      </c>
      <c r="K288" s="2">
        <v>0</v>
      </c>
      <c r="L288" s="4">
        <f t="shared" si="93"/>
        <v>0</v>
      </c>
      <c r="M288" s="2">
        <v>15140</v>
      </c>
      <c r="N288" s="2">
        <f t="shared" si="94"/>
        <v>7.0502902726717859E-2</v>
      </c>
      <c r="O288" s="2">
        <v>0.790922071</v>
      </c>
      <c r="P288" s="2">
        <f t="shared" si="95"/>
        <v>0.83621485885906577</v>
      </c>
      <c r="Q288" s="2">
        <v>0.27800000000000002</v>
      </c>
      <c r="R288" s="2">
        <f t="shared" si="96"/>
        <v>0.64562825709322536</v>
      </c>
      <c r="S288" s="2">
        <f t="shared" si="97"/>
        <v>0.24021199688702891</v>
      </c>
      <c r="T288" s="5">
        <f t="shared" si="89"/>
        <v>0.4846646753242842</v>
      </c>
      <c r="U288" s="2" t="str">
        <f t="shared" si="98"/>
        <v>Moderate</v>
      </c>
      <c r="V288" s="2">
        <f t="shared" si="99"/>
        <v>0.20931723637072105</v>
      </c>
      <c r="W288" s="2">
        <f t="shared" si="100"/>
        <v>0.37705763681195681</v>
      </c>
      <c r="X288" s="2" t="str">
        <f t="shared" si="109"/>
        <v>Moderate</v>
      </c>
      <c r="Y288" s="2">
        <f t="shared" si="101"/>
        <v>0.27110675740333678</v>
      </c>
      <c r="Z288" s="2">
        <f t="shared" si="102"/>
        <v>0.57523829815815153</v>
      </c>
      <c r="AA288" s="2" t="str">
        <f t="shared" si="103"/>
        <v>Moderate</v>
      </c>
      <c r="AB288" s="2">
        <f t="shared" si="104"/>
        <v>0.16259319843208198</v>
      </c>
      <c r="AC288" s="2">
        <f t="shared" si="105"/>
        <v>0.45194439442913131</v>
      </c>
      <c r="AD288" s="2" t="str">
        <f t="shared" si="106"/>
        <v>Moderate</v>
      </c>
      <c r="AE288" s="2">
        <f t="shared" si="107"/>
        <v>2.2857538518081699E-2</v>
      </c>
      <c r="AF288" s="2">
        <f t="shared" si="108"/>
        <v>0.1177560377682874</v>
      </c>
      <c r="AG288" s="2" t="s">
        <v>1175</v>
      </c>
    </row>
    <row r="289" spans="1:33" x14ac:dyDescent="0.3">
      <c r="A289">
        <v>400134</v>
      </c>
      <c r="B289" t="s">
        <v>589</v>
      </c>
      <c r="C289" t="s">
        <v>585</v>
      </c>
      <c r="D289" t="s">
        <v>590</v>
      </c>
      <c r="E289" s="18">
        <v>6.9</v>
      </c>
      <c r="F289" s="19">
        <f t="shared" si="90"/>
        <v>0.8222222222222223</v>
      </c>
      <c r="G289" s="2">
        <v>93.526081199999993</v>
      </c>
      <c r="H289" s="2">
        <f t="shared" si="91"/>
        <v>0.59795997434496517</v>
      </c>
      <c r="I289" s="2">
        <v>106.6</v>
      </c>
      <c r="J289" s="4">
        <f t="shared" si="92"/>
        <v>0.51722464822901504</v>
      </c>
      <c r="K289" s="2">
        <v>1</v>
      </c>
      <c r="L289" s="4">
        <f t="shared" si="93"/>
        <v>0.41666666666666669</v>
      </c>
      <c r="M289" s="2">
        <v>6938</v>
      </c>
      <c r="N289" s="2">
        <f t="shared" si="94"/>
        <v>3.1695788562263134E-2</v>
      </c>
      <c r="O289" s="2">
        <v>0.72552366400000001</v>
      </c>
      <c r="P289" s="2">
        <f t="shared" si="95"/>
        <v>0.76066726425268461</v>
      </c>
      <c r="Q289" s="2">
        <v>0.24859999999999999</v>
      </c>
      <c r="R289" s="2">
        <f t="shared" si="96"/>
        <v>0.56050955414012738</v>
      </c>
      <c r="S289" s="2">
        <f t="shared" si="97"/>
        <v>0.27989337679928394</v>
      </c>
      <c r="T289" s="5">
        <f t="shared" si="89"/>
        <v>0.56472796675363568</v>
      </c>
      <c r="U289" s="2" t="str">
        <f t="shared" si="98"/>
        <v>Moderate</v>
      </c>
      <c r="V289" s="2">
        <f t="shared" si="99"/>
        <v>0.23748965263769398</v>
      </c>
      <c r="W289" s="2">
        <f t="shared" si="100"/>
        <v>0.42780656167399655</v>
      </c>
      <c r="X289" s="2" t="str">
        <f t="shared" si="109"/>
        <v>Moderate</v>
      </c>
      <c r="Y289" s="2">
        <f t="shared" si="101"/>
        <v>0.32229710096087388</v>
      </c>
      <c r="Z289" s="2">
        <f t="shared" si="102"/>
        <v>0.68385472067822817</v>
      </c>
      <c r="AA289" s="2" t="str">
        <f t="shared" si="103"/>
        <v>Moderate</v>
      </c>
      <c r="AB289" s="2">
        <f t="shared" si="104"/>
        <v>0.18451087040207259</v>
      </c>
      <c r="AC289" s="2">
        <f t="shared" si="105"/>
        <v>0.51286680127821904</v>
      </c>
      <c r="AD289" s="2" t="str">
        <f t="shared" si="106"/>
        <v>Moderate</v>
      </c>
      <c r="AE289" s="2">
        <f t="shared" si="107"/>
        <v>1.3429604830335881E-2</v>
      </c>
      <c r="AF289" s="2">
        <f t="shared" si="108"/>
        <v>6.9185798477959914E-2</v>
      </c>
      <c r="AG289" s="2" t="s">
        <v>1175</v>
      </c>
    </row>
    <row r="290" spans="1:33" x14ac:dyDescent="0.3">
      <c r="A290">
        <v>400138</v>
      </c>
      <c r="B290" t="s">
        <v>591</v>
      </c>
      <c r="C290" t="s">
        <v>585</v>
      </c>
      <c r="D290" t="s">
        <v>1127</v>
      </c>
      <c r="E290" s="18">
        <v>6.9</v>
      </c>
      <c r="F290" s="19">
        <f t="shared" si="90"/>
        <v>0.8222222222222223</v>
      </c>
      <c r="G290" s="2">
        <v>100.9721772</v>
      </c>
      <c r="H290" s="2">
        <f t="shared" si="91"/>
        <v>0.66995195302206312</v>
      </c>
      <c r="I290" s="2">
        <v>138.5</v>
      </c>
      <c r="J290" s="4">
        <f t="shared" si="92"/>
        <v>0.67200388161086855</v>
      </c>
      <c r="K290" s="2">
        <v>0</v>
      </c>
      <c r="L290" s="4">
        <f t="shared" si="93"/>
        <v>0</v>
      </c>
      <c r="M290" s="2">
        <v>11647</v>
      </c>
      <c r="N290" s="2">
        <f t="shared" si="94"/>
        <v>5.3976049547439592E-2</v>
      </c>
      <c r="O290" s="2">
        <v>0.760101841</v>
      </c>
      <c r="P290" s="2">
        <f t="shared" si="95"/>
        <v>0.80061163320686557</v>
      </c>
      <c r="Q290" s="2">
        <v>0.2364</v>
      </c>
      <c r="R290" s="2">
        <f t="shared" si="96"/>
        <v>0.52518818760856978</v>
      </c>
      <c r="S290" s="2">
        <f t="shared" si="97"/>
        <v>0.2560020469558496</v>
      </c>
      <c r="T290" s="5">
        <f t="shared" si="89"/>
        <v>0.51652353162261599</v>
      </c>
      <c r="U290" s="2" t="str">
        <f t="shared" si="98"/>
        <v>Moderate</v>
      </c>
      <c r="V290" s="2">
        <f t="shared" si="99"/>
        <v>0.20281983592686473</v>
      </c>
      <c r="W290" s="2">
        <f t="shared" si="100"/>
        <v>0.36535341933202398</v>
      </c>
      <c r="X290" s="2" t="str">
        <f t="shared" si="109"/>
        <v>Moderate</v>
      </c>
      <c r="Y290" s="2">
        <f t="shared" si="101"/>
        <v>0.30918425798483451</v>
      </c>
      <c r="Z290" s="2">
        <f t="shared" si="102"/>
        <v>0.65603169793324401</v>
      </c>
      <c r="AA290" s="2" t="str">
        <f t="shared" si="103"/>
        <v>Moderate</v>
      </c>
      <c r="AB290" s="2">
        <f t="shared" si="104"/>
        <v>0.17103788049691906</v>
      </c>
      <c r="AC290" s="2">
        <f t="shared" si="105"/>
        <v>0.47541725035879417</v>
      </c>
      <c r="AD290" s="2" t="str">
        <f t="shared" si="106"/>
        <v>Moderate</v>
      </c>
      <c r="AE290" s="2">
        <f t="shared" si="107"/>
        <v>2.0844744363045887E-2</v>
      </c>
      <c r="AF290" s="2">
        <f t="shared" si="108"/>
        <v>0.1073866506904667</v>
      </c>
      <c r="AG290" s="2" t="s">
        <v>1175</v>
      </c>
    </row>
    <row r="291" spans="1:33" x14ac:dyDescent="0.3">
      <c r="A291">
        <v>400156</v>
      </c>
      <c r="B291" t="s">
        <v>592</v>
      </c>
      <c r="C291" t="s">
        <v>585</v>
      </c>
      <c r="D291" t="s">
        <v>593</v>
      </c>
      <c r="E291" s="18">
        <v>6.9</v>
      </c>
      <c r="F291" s="19">
        <f t="shared" si="90"/>
        <v>0.8222222222222223</v>
      </c>
      <c r="G291" s="2">
        <v>93.526081199999993</v>
      </c>
      <c r="H291" s="2">
        <f t="shared" si="91"/>
        <v>0.59795997434496517</v>
      </c>
      <c r="I291" s="2">
        <v>113.9</v>
      </c>
      <c r="J291" s="4">
        <f t="shared" si="92"/>
        <v>0.55264434740417279</v>
      </c>
      <c r="K291" s="2">
        <v>0</v>
      </c>
      <c r="L291" s="4">
        <f t="shared" si="93"/>
        <v>0</v>
      </c>
      <c r="M291" s="2">
        <v>34915</v>
      </c>
      <c r="N291" s="2">
        <f t="shared" si="94"/>
        <v>0.16406675088595857</v>
      </c>
      <c r="O291" s="2">
        <v>0.72880974300000001</v>
      </c>
      <c r="P291" s="2">
        <f t="shared" si="95"/>
        <v>0.76446331029607739</v>
      </c>
      <c r="Q291" s="2">
        <v>0.35799999999999998</v>
      </c>
      <c r="R291" s="2">
        <f t="shared" si="96"/>
        <v>0.87724377533294728</v>
      </c>
      <c r="S291" s="2">
        <f t="shared" si="97"/>
        <v>0.27179967464037386</v>
      </c>
      <c r="T291" s="5">
        <f t="shared" si="89"/>
        <v>0.54839767692691865</v>
      </c>
      <c r="U291" s="2" t="str">
        <f t="shared" si="98"/>
        <v>Moderate</v>
      </c>
      <c r="V291" s="2">
        <f t="shared" si="99"/>
        <v>0.2904715156594837</v>
      </c>
      <c r="W291" s="2">
        <f t="shared" si="100"/>
        <v>0.52324646147044362</v>
      </c>
      <c r="X291" s="2" t="str">
        <f t="shared" si="109"/>
        <v>Moderate</v>
      </c>
      <c r="Y291" s="2">
        <f t="shared" si="101"/>
        <v>0.25312783362126406</v>
      </c>
      <c r="Z291" s="2">
        <f t="shared" si="102"/>
        <v>0.53709035371673675</v>
      </c>
      <c r="AA291" s="2" t="str">
        <f t="shared" si="103"/>
        <v>Moderate</v>
      </c>
      <c r="AB291" s="2">
        <f t="shared" si="104"/>
        <v>0.19661730998878868</v>
      </c>
      <c r="AC291" s="2">
        <f t="shared" si="105"/>
        <v>0.54651788607434471</v>
      </c>
      <c r="AD291" s="2" t="str">
        <f t="shared" si="106"/>
        <v>Moderate</v>
      </c>
      <c r="AE291" s="2">
        <f t="shared" si="107"/>
        <v>5.4325512633114782E-2</v>
      </c>
      <c r="AF291" s="2">
        <f t="shared" si="108"/>
        <v>0.27987077927687182</v>
      </c>
      <c r="AG291" s="2" t="s">
        <v>1175</v>
      </c>
    </row>
    <row r="292" spans="1:33" x14ac:dyDescent="0.3">
      <c r="A292">
        <v>400158</v>
      </c>
      <c r="B292" t="s">
        <v>594</v>
      </c>
      <c r="C292" t="s">
        <v>585</v>
      </c>
      <c r="D292" t="s">
        <v>595</v>
      </c>
      <c r="E292" s="18">
        <v>6.9</v>
      </c>
      <c r="F292" s="19">
        <f t="shared" si="90"/>
        <v>0.8222222222222223</v>
      </c>
      <c r="G292" s="2">
        <v>135.10888919999999</v>
      </c>
      <c r="H292" s="2">
        <f t="shared" si="91"/>
        <v>1</v>
      </c>
      <c r="I292" s="2">
        <v>167.9</v>
      </c>
      <c r="J292" s="4">
        <f t="shared" si="92"/>
        <v>0.81465308102862688</v>
      </c>
      <c r="K292" s="2">
        <v>2.4</v>
      </c>
      <c r="L292" s="4">
        <f t="shared" si="93"/>
        <v>1</v>
      </c>
      <c r="M292" s="2">
        <v>36030</v>
      </c>
      <c r="N292" s="2">
        <f t="shared" si="94"/>
        <v>0.16934228518166292</v>
      </c>
      <c r="O292" s="2">
        <v>0.57720619699999998</v>
      </c>
      <c r="P292" s="2">
        <f t="shared" si="95"/>
        <v>0.58933238953683209</v>
      </c>
      <c r="Q292" s="2">
        <v>0.2072</v>
      </c>
      <c r="R292" s="2">
        <f t="shared" si="96"/>
        <v>0.44064852345107125</v>
      </c>
      <c r="S292" s="2">
        <f t="shared" si="97"/>
        <v>0.39596766350347024</v>
      </c>
      <c r="T292" s="5">
        <f t="shared" si="89"/>
        <v>0.79892570545125741</v>
      </c>
      <c r="U292" s="2" t="str">
        <f t="shared" si="98"/>
        <v>High</v>
      </c>
      <c r="V292" s="2">
        <f t="shared" si="99"/>
        <v>0.3388073779950212</v>
      </c>
      <c r="W292" s="2">
        <f t="shared" si="100"/>
        <v>0.61031719841265553</v>
      </c>
      <c r="X292" s="2" t="str">
        <f t="shared" si="109"/>
        <v>Moderate</v>
      </c>
      <c r="Y292" s="2">
        <f t="shared" si="101"/>
        <v>0.45312794901191927</v>
      </c>
      <c r="Z292" s="2">
        <f t="shared" si="102"/>
        <v>0.96145353488817897</v>
      </c>
      <c r="AA292" s="2" t="str">
        <f t="shared" si="103"/>
        <v>High</v>
      </c>
      <c r="AB292" s="2">
        <f t="shared" si="104"/>
        <v>0.30009253799419416</v>
      </c>
      <c r="AC292" s="2">
        <f t="shared" si="105"/>
        <v>0.83413784625892673</v>
      </c>
      <c r="AD292" s="2" t="str">
        <f t="shared" si="106"/>
        <v>High</v>
      </c>
      <c r="AE292" s="2">
        <f t="shared" si="107"/>
        <v>0.13020448854960268</v>
      </c>
      <c r="AF292" s="2">
        <f t="shared" si="108"/>
        <v>0.67077934306525289</v>
      </c>
      <c r="AG292" s="2" t="str">
        <f t="shared" ref="AG292:AG321" si="110">IF(AF292&gt;0.7,"High",IF(AF292&gt;0.3,"Moderate",IF(AF292&gt;0.15,"Low","No Impact")))</f>
        <v>Moderate</v>
      </c>
    </row>
    <row r="293" spans="1:33" x14ac:dyDescent="0.3">
      <c r="A293">
        <v>400160</v>
      </c>
      <c r="B293" t="s">
        <v>596</v>
      </c>
      <c r="C293" t="s">
        <v>585</v>
      </c>
      <c r="D293" t="s">
        <v>597</v>
      </c>
      <c r="E293" s="18">
        <v>6.9</v>
      </c>
      <c r="F293" s="19">
        <f t="shared" si="90"/>
        <v>0.8222222222222223</v>
      </c>
      <c r="G293" s="2">
        <v>110.8967868</v>
      </c>
      <c r="H293" s="2">
        <f t="shared" si="91"/>
        <v>0.76590724055820558</v>
      </c>
      <c r="I293" s="2">
        <v>139.9</v>
      </c>
      <c r="J293" s="4">
        <f t="shared" si="92"/>
        <v>0.67879670063076181</v>
      </c>
      <c r="K293" s="2">
        <v>2.4</v>
      </c>
      <c r="L293" s="4">
        <f t="shared" si="93"/>
        <v>1</v>
      </c>
      <c r="M293" s="2">
        <v>24278</v>
      </c>
      <c r="N293" s="2">
        <f t="shared" si="94"/>
        <v>0.11373862684702843</v>
      </c>
      <c r="O293" s="2">
        <v>0.61359024600000001</v>
      </c>
      <c r="P293" s="2">
        <f t="shared" si="95"/>
        <v>0.63136288401035523</v>
      </c>
      <c r="Q293" s="2">
        <v>0.1694</v>
      </c>
      <c r="R293" s="2">
        <f t="shared" si="96"/>
        <v>0.33121019108280259</v>
      </c>
      <c r="S293" s="2">
        <f t="shared" si="97"/>
        <v>0.3188139997363742</v>
      </c>
      <c r="T293" s="5">
        <f t="shared" si="89"/>
        <v>0.64325631389566107</v>
      </c>
      <c r="U293" s="2" t="str">
        <f t="shared" si="98"/>
        <v>Moderate</v>
      </c>
      <c r="V293" s="2">
        <f t="shared" si="99"/>
        <v>0.21940037282330516</v>
      </c>
      <c r="W293" s="2">
        <f t="shared" si="100"/>
        <v>0.39522108894033425</v>
      </c>
      <c r="X293" s="2" t="str">
        <f t="shared" si="109"/>
        <v>Moderate</v>
      </c>
      <c r="Y293" s="2">
        <f t="shared" si="101"/>
        <v>0.41822762664944324</v>
      </c>
      <c r="Z293" s="2">
        <f t="shared" si="102"/>
        <v>0.88740151850448667</v>
      </c>
      <c r="AA293" s="2" t="str">
        <f t="shared" si="103"/>
        <v>High</v>
      </c>
      <c r="AB293" s="2">
        <f t="shared" si="104"/>
        <v>0.2286283920897004</v>
      </c>
      <c r="AC293" s="2">
        <f t="shared" si="105"/>
        <v>0.63549595683393401</v>
      </c>
      <c r="AD293" s="2" t="str">
        <f t="shared" si="106"/>
        <v>Moderate</v>
      </c>
      <c r="AE293" s="2">
        <f t="shared" si="107"/>
        <v>7.5342781733458944E-2</v>
      </c>
      <c r="AF293" s="2">
        <f t="shared" si="108"/>
        <v>0.38814623212183069</v>
      </c>
      <c r="AG293" s="2" t="str">
        <f t="shared" si="110"/>
        <v>Moderate</v>
      </c>
    </row>
    <row r="294" spans="1:33" x14ac:dyDescent="0.3">
      <c r="A294">
        <v>400173</v>
      </c>
      <c r="B294" t="s">
        <v>598</v>
      </c>
      <c r="C294" t="s">
        <v>585</v>
      </c>
      <c r="D294" t="s">
        <v>599</v>
      </c>
      <c r="E294" s="18">
        <v>6.8</v>
      </c>
      <c r="F294" s="19">
        <f t="shared" si="90"/>
        <v>0.79999999999999993</v>
      </c>
      <c r="G294" s="2">
        <v>94.194050399999995</v>
      </c>
      <c r="H294" s="2">
        <f t="shared" si="91"/>
        <v>0.60441818068602748</v>
      </c>
      <c r="I294" s="2">
        <v>101.7</v>
      </c>
      <c r="J294" s="4">
        <f t="shared" si="92"/>
        <v>0.49344978165938869</v>
      </c>
      <c r="K294" s="2">
        <v>2.4</v>
      </c>
      <c r="L294" s="4">
        <f t="shared" si="93"/>
        <v>1</v>
      </c>
      <c r="M294" s="2">
        <v>16547</v>
      </c>
      <c r="N294" s="2">
        <f t="shared" si="94"/>
        <v>7.7160011923180644E-2</v>
      </c>
      <c r="O294" s="2">
        <v>0.69603377499999997</v>
      </c>
      <c r="P294" s="2">
        <f t="shared" si="95"/>
        <v>0.72660083539977394</v>
      </c>
      <c r="Q294" s="2">
        <v>0.3664</v>
      </c>
      <c r="R294" s="2">
        <f t="shared" si="96"/>
        <v>0.90156340474811825</v>
      </c>
      <c r="S294" s="2">
        <f t="shared" si="97"/>
        <v>0.44563101875502448</v>
      </c>
      <c r="T294" s="5">
        <f t="shared" si="89"/>
        <v>0.89912916847741597</v>
      </c>
      <c r="U294" s="2" t="str">
        <f t="shared" si="98"/>
        <v>High</v>
      </c>
      <c r="V294" s="2">
        <f t="shared" si="99"/>
        <v>0.49351853900643167</v>
      </c>
      <c r="W294" s="2">
        <f t="shared" si="100"/>
        <v>0.88900912923902853</v>
      </c>
      <c r="X294" s="2" t="str">
        <f t="shared" si="109"/>
        <v>High</v>
      </c>
      <c r="Y294" s="2">
        <f t="shared" si="101"/>
        <v>0.39774349850361718</v>
      </c>
      <c r="Z294" s="2">
        <f t="shared" si="102"/>
        <v>0.84393799466347796</v>
      </c>
      <c r="AA294" s="2" t="str">
        <f t="shared" si="103"/>
        <v>High</v>
      </c>
      <c r="AB294" s="2">
        <f t="shared" si="104"/>
        <v>0.30683770670121918</v>
      </c>
      <c r="AC294" s="2">
        <f t="shared" si="105"/>
        <v>0.85288673130464487</v>
      </c>
      <c r="AD294" s="2" t="str">
        <f t="shared" si="106"/>
        <v>High</v>
      </c>
      <c r="AE294" s="2">
        <f t="shared" si="107"/>
        <v>4.2237624279665438E-2</v>
      </c>
      <c r="AF294" s="2">
        <f t="shared" si="108"/>
        <v>0.21759715185362108</v>
      </c>
      <c r="AG294" s="2" t="s">
        <v>1175</v>
      </c>
    </row>
    <row r="295" spans="1:33" x14ac:dyDescent="0.3">
      <c r="A295">
        <v>400177</v>
      </c>
      <c r="B295" t="s">
        <v>600</v>
      </c>
      <c r="C295" t="s">
        <v>585</v>
      </c>
      <c r="D295" t="s">
        <v>601</v>
      </c>
      <c r="E295" s="18">
        <v>6.9</v>
      </c>
      <c r="F295" s="19">
        <f t="shared" si="90"/>
        <v>0.8222222222222223</v>
      </c>
      <c r="G295" s="2">
        <v>135.10888919999999</v>
      </c>
      <c r="H295" s="2">
        <f t="shared" si="91"/>
        <v>1</v>
      </c>
      <c r="I295" s="2">
        <v>186.4</v>
      </c>
      <c r="J295" s="4">
        <f t="shared" si="92"/>
        <v>0.9044153323629307</v>
      </c>
      <c r="K295" s="2">
        <v>2.4</v>
      </c>
      <c r="L295" s="4">
        <f t="shared" si="93"/>
        <v>1</v>
      </c>
      <c r="M295" s="2">
        <v>51862</v>
      </c>
      <c r="N295" s="2">
        <f t="shared" si="94"/>
        <v>0.24425014075977156</v>
      </c>
      <c r="O295" s="2">
        <v>0.58041230399999999</v>
      </c>
      <c r="P295" s="2">
        <f t="shared" si="95"/>
        <v>0.59303605271475446</v>
      </c>
      <c r="Q295" s="2">
        <v>0.2145</v>
      </c>
      <c r="R295" s="2">
        <f t="shared" si="96"/>
        <v>0.46178343949044587</v>
      </c>
      <c r="S295" s="2">
        <f t="shared" si="97"/>
        <v>0.41914047802874915</v>
      </c>
      <c r="T295" s="5">
        <f t="shared" si="89"/>
        <v>0.84568042533948229</v>
      </c>
      <c r="U295" s="2" t="str">
        <f t="shared" si="98"/>
        <v>High</v>
      </c>
      <c r="V295" s="2">
        <f t="shared" si="99"/>
        <v>0.36698626258630529</v>
      </c>
      <c r="W295" s="2">
        <f t="shared" si="100"/>
        <v>0.66107777511532329</v>
      </c>
      <c r="X295" s="2" t="str">
        <f t="shared" si="109"/>
        <v>Moderate</v>
      </c>
      <c r="Y295" s="2">
        <f t="shared" si="101"/>
        <v>0.47129469347119302</v>
      </c>
      <c r="Z295" s="2">
        <f t="shared" si="102"/>
        <v>1</v>
      </c>
      <c r="AA295" s="2" t="str">
        <f t="shared" si="103"/>
        <v>High</v>
      </c>
      <c r="AB295" s="2">
        <f t="shared" si="104"/>
        <v>0.33777184441323693</v>
      </c>
      <c r="AC295" s="2">
        <f t="shared" si="105"/>
        <v>0.93887132518841132</v>
      </c>
      <c r="AD295" s="2" t="str">
        <f t="shared" si="106"/>
        <v>High</v>
      </c>
      <c r="AE295" s="2">
        <f t="shared" si="107"/>
        <v>0.19410926990477773</v>
      </c>
      <c r="AF295" s="2">
        <f t="shared" si="108"/>
        <v>1</v>
      </c>
      <c r="AG295" s="2" t="str">
        <f t="shared" si="110"/>
        <v>High</v>
      </c>
    </row>
    <row r="296" spans="1:33" x14ac:dyDescent="0.3">
      <c r="A296">
        <v>401807</v>
      </c>
      <c r="B296" t="s">
        <v>602</v>
      </c>
      <c r="C296" t="s">
        <v>603</v>
      </c>
      <c r="D296" t="s">
        <v>604</v>
      </c>
      <c r="E296" s="18">
        <v>6.3</v>
      </c>
      <c r="F296" s="19">
        <f t="shared" si="90"/>
        <v>0.68888888888888877</v>
      </c>
      <c r="G296" s="2">
        <v>73.001865600000002</v>
      </c>
      <c r="H296" s="2">
        <f t="shared" si="91"/>
        <v>0.39952325101513475</v>
      </c>
      <c r="I296" s="2">
        <v>63</v>
      </c>
      <c r="J296" s="4">
        <f t="shared" si="92"/>
        <v>0.3056768558951965</v>
      </c>
      <c r="K296" s="2">
        <v>0</v>
      </c>
      <c r="L296" s="4">
        <f t="shared" si="93"/>
        <v>0</v>
      </c>
      <c r="M296" s="2">
        <v>55839</v>
      </c>
      <c r="N296" s="2">
        <f t="shared" si="94"/>
        <v>0.2630670016512659</v>
      </c>
      <c r="O296" s="2">
        <v>0.56507036399999999</v>
      </c>
      <c r="P296" s="2">
        <f t="shared" si="95"/>
        <v>0.575313194976103</v>
      </c>
      <c r="Q296" s="2">
        <v>0.21540000000000001</v>
      </c>
      <c r="R296" s="2">
        <f t="shared" si="96"/>
        <v>0.46438911407064282</v>
      </c>
      <c r="S296" s="2">
        <f t="shared" si="97"/>
        <v>8.839111386130348E-2</v>
      </c>
      <c r="T296" s="5">
        <f t="shared" si="89"/>
        <v>0.17834267670356221</v>
      </c>
      <c r="U296" s="2" t="str">
        <f t="shared" si="98"/>
        <v>Low</v>
      </c>
      <c r="V296" s="2">
        <f t="shared" si="99"/>
        <v>7.8960815419180708E-2</v>
      </c>
      <c r="W296" s="2">
        <f t="shared" si="100"/>
        <v>0.14223758625386651</v>
      </c>
      <c r="X296" s="2" t="s">
        <v>1176</v>
      </c>
      <c r="Y296" s="2">
        <f t="shared" si="101"/>
        <v>9.7821412303426253E-2</v>
      </c>
      <c r="Z296" s="2">
        <f t="shared" si="102"/>
        <v>0.2075589088070337</v>
      </c>
      <c r="AA296" s="2" t="str">
        <f t="shared" si="103"/>
        <v>Low</v>
      </c>
      <c r="AB296" s="2">
        <f t="shared" si="104"/>
        <v>7.2638103488278427E-2</v>
      </c>
      <c r="AC296" s="2">
        <f t="shared" si="105"/>
        <v>0.20190502438023911</v>
      </c>
      <c r="AD296" s="2" t="str">
        <f t="shared" si="106"/>
        <v>Low</v>
      </c>
      <c r="AE296" s="2">
        <f t="shared" si="107"/>
        <v>4.4729698287249438E-2</v>
      </c>
      <c r="AF296" s="2">
        <f t="shared" si="108"/>
        <v>0.23043566290879383</v>
      </c>
      <c r="AG296" s="2" t="s">
        <v>1175</v>
      </c>
    </row>
    <row r="297" spans="1:33" x14ac:dyDescent="0.3">
      <c r="A297">
        <v>401823</v>
      </c>
      <c r="B297" t="s">
        <v>605</v>
      </c>
      <c r="C297" t="s">
        <v>603</v>
      </c>
      <c r="D297" t="s">
        <v>606</v>
      </c>
      <c r="E297" s="18">
        <v>6.3</v>
      </c>
      <c r="F297" s="19">
        <f t="shared" si="90"/>
        <v>0.68888888888888877</v>
      </c>
      <c r="G297" s="2">
        <v>73.001865600000002</v>
      </c>
      <c r="H297" s="2">
        <f t="shared" si="91"/>
        <v>0.39952325101513475</v>
      </c>
      <c r="I297" s="2">
        <v>62.6</v>
      </c>
      <c r="J297" s="4">
        <f t="shared" si="92"/>
        <v>0.30373605046094132</v>
      </c>
      <c r="K297" s="2">
        <v>0</v>
      </c>
      <c r="L297" s="4">
        <f t="shared" si="93"/>
        <v>0</v>
      </c>
      <c r="M297" s="2">
        <v>46381</v>
      </c>
      <c r="N297" s="2">
        <f t="shared" si="94"/>
        <v>0.21831722284519264</v>
      </c>
      <c r="O297" s="2">
        <v>0.42488198199999999</v>
      </c>
      <c r="P297" s="2">
        <f t="shared" si="95"/>
        <v>0.41336895905823873</v>
      </c>
      <c r="Q297" s="2">
        <v>0.22789999999999999</v>
      </c>
      <c r="R297" s="2">
        <f t="shared" si="96"/>
        <v>0.50057903879559928</v>
      </c>
      <c r="S297" s="2">
        <f t="shared" si="97"/>
        <v>7.7486170794824547E-2</v>
      </c>
      <c r="T297" s="5">
        <f t="shared" si="89"/>
        <v>0.15634027566099293</v>
      </c>
      <c r="U297" s="2" t="str">
        <f t="shared" si="98"/>
        <v>Low</v>
      </c>
      <c r="V297" s="2">
        <f t="shared" si="99"/>
        <v>8.4879999710066711E-2</v>
      </c>
      <c r="W297" s="2">
        <f t="shared" si="100"/>
        <v>0.15290022292571262</v>
      </c>
      <c r="X297" s="2" t="s">
        <v>1175</v>
      </c>
      <c r="Y297" s="2">
        <f t="shared" si="101"/>
        <v>7.0092341879582382E-2</v>
      </c>
      <c r="Z297" s="2">
        <f t="shared" si="102"/>
        <v>0.14872296007268038</v>
      </c>
      <c r="AA297" s="2" t="str">
        <f t="shared" si="103"/>
        <v>No Impact</v>
      </c>
      <c r="AB297" s="2">
        <f t="shared" si="104"/>
        <v>6.3692233861986289E-2</v>
      </c>
      <c r="AC297" s="2">
        <f t="shared" si="105"/>
        <v>0.17703906645651077</v>
      </c>
      <c r="AD297" s="2" t="str">
        <f t="shared" si="106"/>
        <v>Low</v>
      </c>
      <c r="AE297" s="2">
        <f t="shared" si="107"/>
        <v>3.7018661141680682E-2</v>
      </c>
      <c r="AF297" s="2">
        <f t="shared" si="108"/>
        <v>0.1907104238753799</v>
      </c>
      <c r="AG297" s="2" t="s">
        <v>1175</v>
      </c>
    </row>
    <row r="298" spans="1:33" x14ac:dyDescent="0.3">
      <c r="A298">
        <v>401831</v>
      </c>
      <c r="B298" t="s">
        <v>607</v>
      </c>
      <c r="C298" t="s">
        <v>603</v>
      </c>
      <c r="D298" t="s">
        <v>608</v>
      </c>
      <c r="E298" s="18">
        <v>5.7</v>
      </c>
      <c r="F298" s="19">
        <f t="shared" si="90"/>
        <v>0.55555555555555558</v>
      </c>
      <c r="G298" s="2">
        <v>70.344208800000004</v>
      </c>
      <c r="H298" s="2">
        <f t="shared" si="91"/>
        <v>0.37382791057409775</v>
      </c>
      <c r="I298" s="2">
        <v>61.4</v>
      </c>
      <c r="J298" s="4">
        <f t="shared" si="92"/>
        <v>0.29791363415817562</v>
      </c>
      <c r="K298" s="2">
        <v>0</v>
      </c>
      <c r="L298" s="4">
        <f t="shared" si="93"/>
        <v>0</v>
      </c>
      <c r="M298" s="2">
        <v>28593</v>
      </c>
      <c r="N298" s="2">
        <f t="shared" si="94"/>
        <v>0.13415470800035958</v>
      </c>
      <c r="O298" s="2">
        <v>0.42239408699999997</v>
      </c>
      <c r="P298" s="2">
        <f t="shared" si="95"/>
        <v>0.41049496729750296</v>
      </c>
      <c r="Q298" s="2">
        <v>0.2515</v>
      </c>
      <c r="R298" s="2">
        <f t="shared" si="96"/>
        <v>0.56890561667631734</v>
      </c>
      <c r="S298" s="2">
        <f t="shared" si="97"/>
        <v>6.3962894837942388E-2</v>
      </c>
      <c r="T298" s="5">
        <f t="shared" si="89"/>
        <v>0.12905498501813864</v>
      </c>
      <c r="U298" s="2" t="str">
        <f t="shared" si="98"/>
        <v>No Impact</v>
      </c>
      <c r="V298" s="2">
        <f t="shared" si="99"/>
        <v>7.4308410118642004E-2</v>
      </c>
      <c r="W298" s="2">
        <f t="shared" si="100"/>
        <v>0.1338568863242838</v>
      </c>
      <c r="X298" s="2" t="s">
        <v>1176</v>
      </c>
      <c r="Y298" s="2">
        <f t="shared" si="101"/>
        <v>5.36173795572428E-2</v>
      </c>
      <c r="Z298" s="2">
        <f t="shared" si="102"/>
        <v>0.11376614313719206</v>
      </c>
      <c r="AA298" s="2" t="str">
        <f t="shared" si="103"/>
        <v>No Impact</v>
      </c>
      <c r="AB298" s="2">
        <f t="shared" si="104"/>
        <v>4.8226139698250542E-2</v>
      </c>
      <c r="AC298" s="2">
        <f t="shared" si="105"/>
        <v>0.13404947877130854</v>
      </c>
      <c r="AD298" s="2" t="str">
        <f t="shared" si="106"/>
        <v>No Impact</v>
      </c>
      <c r="AE298" s="2">
        <f t="shared" si="107"/>
        <v>1.7522806541580008E-2</v>
      </c>
      <c r="AF298" s="2">
        <f t="shared" si="108"/>
        <v>9.0272899126229253E-2</v>
      </c>
      <c r="AG298" s="2" t="s">
        <v>1175</v>
      </c>
    </row>
    <row r="299" spans="1:33" x14ac:dyDescent="0.3">
      <c r="A299">
        <v>401855</v>
      </c>
      <c r="B299" t="s">
        <v>609</v>
      </c>
      <c r="C299" t="s">
        <v>603</v>
      </c>
      <c r="D299" t="s">
        <v>610</v>
      </c>
      <c r="E299" s="18">
        <v>6.3</v>
      </c>
      <c r="F299" s="19">
        <f t="shared" si="90"/>
        <v>0.68888888888888877</v>
      </c>
      <c r="G299" s="2">
        <v>73.001865600000002</v>
      </c>
      <c r="H299" s="2">
        <f t="shared" si="91"/>
        <v>0.39952325101513475</v>
      </c>
      <c r="I299" s="2">
        <v>60.3</v>
      </c>
      <c r="J299" s="4">
        <f t="shared" si="92"/>
        <v>0.29257641921397382</v>
      </c>
      <c r="K299" s="2">
        <v>0</v>
      </c>
      <c r="L299" s="4">
        <f t="shared" si="93"/>
        <v>0</v>
      </c>
      <c r="M299" s="2">
        <v>51104</v>
      </c>
      <c r="N299" s="2">
        <f t="shared" si="94"/>
        <v>0.2406637237228712</v>
      </c>
      <c r="O299" s="2">
        <v>0.40040139699999999</v>
      </c>
      <c r="P299" s="2">
        <f t="shared" si="95"/>
        <v>0.38508922876898172</v>
      </c>
      <c r="Q299" s="2">
        <v>0.2404</v>
      </c>
      <c r="R299" s="2">
        <f t="shared" si="96"/>
        <v>0.53676896352055592</v>
      </c>
      <c r="S299" s="2">
        <f t="shared" si="97"/>
        <v>7.6916584411836256E-2</v>
      </c>
      <c r="T299" s="5">
        <f t="shared" si="89"/>
        <v>0.15519104746690743</v>
      </c>
      <c r="U299" s="2" t="str">
        <f t="shared" si="98"/>
        <v>Low</v>
      </c>
      <c r="V299" s="2">
        <f t="shared" si="99"/>
        <v>8.9572204570299963E-2</v>
      </c>
      <c r="W299" s="2">
        <f t="shared" si="100"/>
        <v>0.16135261655899971</v>
      </c>
      <c r="X299" s="2" t="s">
        <v>1175</v>
      </c>
      <c r="Y299" s="2">
        <f t="shared" si="101"/>
        <v>6.4260964253372535E-2</v>
      </c>
      <c r="Z299" s="2">
        <f t="shared" si="102"/>
        <v>0.13634985741103059</v>
      </c>
      <c r="AA299" s="2" t="str">
        <f t="shared" si="103"/>
        <v>No Impact</v>
      </c>
      <c r="AB299" s="2">
        <f t="shared" si="104"/>
        <v>6.4684651327268528E-2</v>
      </c>
      <c r="AC299" s="2">
        <f t="shared" si="105"/>
        <v>0.17979759211867263</v>
      </c>
      <c r="AD299" s="2" t="str">
        <f t="shared" si="106"/>
        <v>Low</v>
      </c>
      <c r="AE299" s="2">
        <f t="shared" si="107"/>
        <v>4.016025843329081E-2</v>
      </c>
      <c r="AF299" s="2">
        <f t="shared" si="108"/>
        <v>0.2068951083737105</v>
      </c>
      <c r="AG299" s="2" t="s">
        <v>1175</v>
      </c>
    </row>
    <row r="300" spans="1:33" x14ac:dyDescent="0.3">
      <c r="A300">
        <v>404104</v>
      </c>
      <c r="B300" t="s">
        <v>611</v>
      </c>
      <c r="C300" t="s">
        <v>1156</v>
      </c>
      <c r="D300" t="s">
        <v>612</v>
      </c>
      <c r="E300" s="18">
        <v>5.8</v>
      </c>
      <c r="F300" s="19">
        <f t="shared" si="90"/>
        <v>0.57777777777777772</v>
      </c>
      <c r="G300" s="2">
        <v>86.649519600000005</v>
      </c>
      <c r="H300" s="2">
        <f t="shared" si="91"/>
        <v>0.53147449308351646</v>
      </c>
      <c r="I300" s="2">
        <v>71.400000000000006</v>
      </c>
      <c r="J300" s="4">
        <f t="shared" si="92"/>
        <v>0.34643377001455605</v>
      </c>
      <c r="K300" s="2">
        <v>0</v>
      </c>
      <c r="L300" s="4">
        <f t="shared" si="93"/>
        <v>0</v>
      </c>
      <c r="M300" s="2">
        <v>40351</v>
      </c>
      <c r="N300" s="2">
        <f t="shared" si="94"/>
        <v>0.18978675486035212</v>
      </c>
      <c r="O300" s="2">
        <v>0.25991775700000003</v>
      </c>
      <c r="P300" s="2">
        <f t="shared" si="95"/>
        <v>0.22280391372225897</v>
      </c>
      <c r="Q300" s="2">
        <v>0.27460000000000001</v>
      </c>
      <c r="R300" s="2">
        <f t="shared" si="96"/>
        <v>0.63578459756803718</v>
      </c>
      <c r="S300" s="2">
        <f t="shared" si="97"/>
        <v>7.6213708142574388E-2</v>
      </c>
      <c r="T300" s="5">
        <f t="shared" si="89"/>
        <v>0.1537728864122988</v>
      </c>
      <c r="U300" s="2" t="str">
        <f t="shared" si="98"/>
        <v>Low</v>
      </c>
      <c r="V300" s="2">
        <f t="shared" si="99"/>
        <v>0.1128724671327713</v>
      </c>
      <c r="W300" s="2">
        <f t="shared" si="100"/>
        <v>0.20332499346991739</v>
      </c>
      <c r="X300" s="2" t="s">
        <v>1175</v>
      </c>
      <c r="Y300" s="2">
        <f t="shared" si="101"/>
        <v>3.9554949152377471E-2</v>
      </c>
      <c r="Z300" s="2">
        <f t="shared" si="102"/>
        <v>8.3928271844196337E-2</v>
      </c>
      <c r="AA300" s="2" t="str">
        <f t="shared" si="103"/>
        <v>No Impact</v>
      </c>
      <c r="AB300" s="2">
        <f t="shared" si="104"/>
        <v>6.3164513189168325E-2</v>
      </c>
      <c r="AC300" s="2">
        <f t="shared" si="105"/>
        <v>0.17557221297060635</v>
      </c>
      <c r="AD300" s="2" t="str">
        <f t="shared" si="106"/>
        <v>Low</v>
      </c>
      <c r="AE300" s="2">
        <f t="shared" si="107"/>
        <v>3.3693328419957549E-2</v>
      </c>
      <c r="AF300" s="2">
        <f t="shared" si="108"/>
        <v>0.17357918267626349</v>
      </c>
      <c r="AG300" s="2" t="s">
        <v>1175</v>
      </c>
    </row>
    <row r="301" spans="1:33" x14ac:dyDescent="0.3">
      <c r="A301">
        <v>404109</v>
      </c>
      <c r="B301" t="s">
        <v>613</v>
      </c>
      <c r="C301" t="s">
        <v>1156</v>
      </c>
      <c r="D301" t="s">
        <v>614</v>
      </c>
      <c r="E301" s="18">
        <v>5.7</v>
      </c>
      <c r="F301" s="19">
        <f t="shared" si="90"/>
        <v>0.55555555555555558</v>
      </c>
      <c r="G301" s="2">
        <v>86.631940799999995</v>
      </c>
      <c r="H301" s="2">
        <f t="shared" si="91"/>
        <v>0.53130453387337873</v>
      </c>
      <c r="I301" s="2">
        <v>69.7</v>
      </c>
      <c r="J301" s="4">
        <f t="shared" si="92"/>
        <v>0.3381853469189714</v>
      </c>
      <c r="K301" s="2">
        <v>0</v>
      </c>
      <c r="L301" s="4">
        <f t="shared" si="93"/>
        <v>0</v>
      </c>
      <c r="M301" s="2">
        <v>18322</v>
      </c>
      <c r="N301" s="2">
        <f t="shared" si="94"/>
        <v>8.5558284008270521E-2</v>
      </c>
      <c r="O301" s="2">
        <v>0.45861526499999999</v>
      </c>
      <c r="P301" s="2">
        <f t="shared" si="95"/>
        <v>0.45233731479856021</v>
      </c>
      <c r="Q301" s="2">
        <v>0.25330000000000003</v>
      </c>
      <c r="R301" s="2">
        <f t="shared" si="96"/>
        <v>0.57411696583671112</v>
      </c>
      <c r="S301" s="2">
        <f t="shared" si="97"/>
        <v>8.6770017649423825E-2</v>
      </c>
      <c r="T301" s="5">
        <f t="shared" si="89"/>
        <v>0.17507186558928808</v>
      </c>
      <c r="U301" s="2" t="str">
        <f t="shared" si="98"/>
        <v>Low</v>
      </c>
      <c r="V301" s="2">
        <f t="shared" si="99"/>
        <v>9.7064506813988705E-2</v>
      </c>
      <c r="W301" s="2">
        <f t="shared" si="100"/>
        <v>0.17484901956559587</v>
      </c>
      <c r="X301" s="2" t="s">
        <v>1175</v>
      </c>
      <c r="Y301" s="2">
        <f t="shared" si="101"/>
        <v>7.6475528484858959E-2</v>
      </c>
      <c r="Z301" s="2">
        <f t="shared" si="102"/>
        <v>0.16226689912759093</v>
      </c>
      <c r="AA301" s="2" t="str">
        <f t="shared" si="103"/>
        <v>Low</v>
      </c>
      <c r="AB301" s="2">
        <f t="shared" si="104"/>
        <v>6.1978029049790273E-2</v>
      </c>
      <c r="AC301" s="2">
        <f t="shared" si="105"/>
        <v>0.17227425917523298</v>
      </c>
      <c r="AD301" s="2" t="str">
        <f t="shared" si="106"/>
        <v>Low</v>
      </c>
      <c r="AE301" s="2">
        <f t="shared" si="107"/>
        <v>1.4465123198390113E-2</v>
      </c>
      <c r="AF301" s="2">
        <f t="shared" si="108"/>
        <v>7.4520517260644611E-2</v>
      </c>
      <c r="AG301" s="2" t="s">
        <v>1175</v>
      </c>
    </row>
    <row r="302" spans="1:33" x14ac:dyDescent="0.3">
      <c r="A302">
        <v>404111</v>
      </c>
      <c r="B302" t="s">
        <v>615</v>
      </c>
      <c r="C302" t="s">
        <v>1156</v>
      </c>
      <c r="D302" t="s">
        <v>616</v>
      </c>
      <c r="E302" s="18">
        <v>5.8</v>
      </c>
      <c r="F302" s="19">
        <f t="shared" si="90"/>
        <v>0.57777777777777772</v>
      </c>
      <c r="G302" s="2">
        <v>81.217879199999999</v>
      </c>
      <c r="H302" s="2">
        <f t="shared" si="91"/>
        <v>0.47895911591694978</v>
      </c>
      <c r="I302" s="2">
        <v>60.6</v>
      </c>
      <c r="J302" s="4">
        <f t="shared" si="92"/>
        <v>0.29403202328966521</v>
      </c>
      <c r="K302" s="2">
        <v>0</v>
      </c>
      <c r="L302" s="4">
        <f t="shared" si="93"/>
        <v>0</v>
      </c>
      <c r="M302" s="2">
        <v>65394</v>
      </c>
      <c r="N302" s="2">
        <f t="shared" si="94"/>
        <v>0.30827572828396094</v>
      </c>
      <c r="O302" s="2">
        <v>0.27359148900000002</v>
      </c>
      <c r="P302" s="2">
        <f t="shared" si="95"/>
        <v>0.23859967403630306</v>
      </c>
      <c r="Q302" s="2">
        <v>0.26989999999999997</v>
      </c>
      <c r="R302" s="2">
        <f t="shared" si="96"/>
        <v>0.62217718587145332</v>
      </c>
      <c r="S302" s="2">
        <f t="shared" si="97"/>
        <v>6.7276591760437585E-2</v>
      </c>
      <c r="T302" s="5">
        <f t="shared" si="89"/>
        <v>0.13574087857831552</v>
      </c>
      <c r="U302" s="2" t="str">
        <f t="shared" si="98"/>
        <v>No Impact</v>
      </c>
      <c r="V302" s="2">
        <f t="shared" si="99"/>
        <v>9.7256240231683971E-2</v>
      </c>
      <c r="W302" s="2">
        <f t="shared" si="100"/>
        <v>0.17519440225183588</v>
      </c>
      <c r="X302" s="2" t="s">
        <v>1175</v>
      </c>
      <c r="Y302" s="2">
        <f t="shared" si="101"/>
        <v>3.7296943289191219E-2</v>
      </c>
      <c r="Z302" s="2">
        <f t="shared" si="102"/>
        <v>7.9137201852392425E-2</v>
      </c>
      <c r="AA302" s="2" t="str">
        <f t="shared" si="103"/>
        <v>No Impact</v>
      </c>
      <c r="AB302" s="2">
        <f t="shared" si="104"/>
        <v>6.2094715609428017E-2</v>
      </c>
      <c r="AC302" s="2">
        <f t="shared" si="105"/>
        <v>0.1725986013804546</v>
      </c>
      <c r="AD302" s="2" t="str">
        <f t="shared" si="106"/>
        <v>Low</v>
      </c>
      <c r="AE302" s="2">
        <f t="shared" si="107"/>
        <v>4.8188424404517941E-2</v>
      </c>
      <c r="AF302" s="2">
        <f t="shared" si="108"/>
        <v>0.24825411186264965</v>
      </c>
      <c r="AG302" s="2" t="s">
        <v>1175</v>
      </c>
    </row>
    <row r="303" spans="1:33" x14ac:dyDescent="0.3">
      <c r="A303">
        <v>404123</v>
      </c>
      <c r="B303" t="s">
        <v>617</v>
      </c>
      <c r="C303" t="s">
        <v>1156</v>
      </c>
      <c r="D303" t="s">
        <v>618</v>
      </c>
      <c r="E303" s="18">
        <v>5.8</v>
      </c>
      <c r="F303" s="19">
        <f t="shared" si="90"/>
        <v>0.57777777777777772</v>
      </c>
      <c r="G303" s="2">
        <v>81.217879199999999</v>
      </c>
      <c r="H303" s="2">
        <f t="shared" si="91"/>
        <v>0.47895911591694978</v>
      </c>
      <c r="I303" s="2">
        <v>58.4</v>
      </c>
      <c r="J303" s="4">
        <f t="shared" si="92"/>
        <v>0.28335759340126154</v>
      </c>
      <c r="K303" s="2">
        <v>0</v>
      </c>
      <c r="L303" s="4">
        <f t="shared" si="93"/>
        <v>0</v>
      </c>
      <c r="M303" s="2">
        <v>45853</v>
      </c>
      <c r="N303" s="2">
        <f t="shared" si="94"/>
        <v>0.21581903261368421</v>
      </c>
      <c r="O303" s="2">
        <v>0.36480931</v>
      </c>
      <c r="P303" s="2">
        <f t="shared" si="95"/>
        <v>0.34397360098509622</v>
      </c>
      <c r="Q303" s="2">
        <v>0.24229999999999999</v>
      </c>
      <c r="R303" s="2">
        <f t="shared" si="96"/>
        <v>0.54226983207874924</v>
      </c>
      <c r="S303" s="2">
        <f t="shared" si="97"/>
        <v>6.8310482396530633E-2</v>
      </c>
      <c r="T303" s="5">
        <f t="shared" si="89"/>
        <v>0.13782691206522132</v>
      </c>
      <c r="U303" s="2" t="str">
        <f t="shared" si="98"/>
        <v>No Impact</v>
      </c>
      <c r="V303" s="2">
        <f t="shared" si="99"/>
        <v>8.3594896021568471E-2</v>
      </c>
      <c r="W303" s="2">
        <f t="shared" si="100"/>
        <v>0.15058527663535901</v>
      </c>
      <c r="X303" s="2" t="s">
        <v>1175</v>
      </c>
      <c r="Y303" s="2">
        <f t="shared" si="101"/>
        <v>5.3026068771492782E-2</v>
      </c>
      <c r="Z303" s="2">
        <f t="shared" si="102"/>
        <v>0.11251149123055827</v>
      </c>
      <c r="AA303" s="2" t="str">
        <f t="shared" si="103"/>
        <v>No Impact</v>
      </c>
      <c r="AB303" s="2">
        <f t="shared" si="104"/>
        <v>5.6810567980768278E-2</v>
      </c>
      <c r="AC303" s="2">
        <f t="shared" si="105"/>
        <v>0.15791077357991887</v>
      </c>
      <c r="AD303" s="2" t="str">
        <f t="shared" si="106"/>
        <v>Low</v>
      </c>
      <c r="AE303" s="2">
        <f t="shared" si="107"/>
        <v>3.3270096405061365E-2</v>
      </c>
      <c r="AF303" s="2">
        <f t="shared" si="108"/>
        <v>0.17139880244453215</v>
      </c>
      <c r="AG303" s="2" t="s">
        <v>1175</v>
      </c>
    </row>
    <row r="304" spans="1:33" x14ac:dyDescent="0.3">
      <c r="A304">
        <v>404138</v>
      </c>
      <c r="B304" t="s">
        <v>619</v>
      </c>
      <c r="C304" t="s">
        <v>1156</v>
      </c>
      <c r="D304" t="s">
        <v>620</v>
      </c>
      <c r="E304" s="18">
        <v>5.8</v>
      </c>
      <c r="F304" s="19">
        <f t="shared" si="90"/>
        <v>0.57777777777777772</v>
      </c>
      <c r="G304" s="2">
        <v>81.256550399999995</v>
      </c>
      <c r="H304" s="2">
        <f t="shared" si="91"/>
        <v>0.47933300529546669</v>
      </c>
      <c r="I304" s="2">
        <v>56.5</v>
      </c>
      <c r="J304" s="4">
        <f t="shared" si="92"/>
        <v>0.27413876758854927</v>
      </c>
      <c r="K304" s="2">
        <v>0</v>
      </c>
      <c r="L304" s="4">
        <f t="shared" si="93"/>
        <v>0</v>
      </c>
      <c r="M304" s="2">
        <v>77221</v>
      </c>
      <c r="N304" s="2">
        <f t="shared" si="94"/>
        <v>0.36423424318557107</v>
      </c>
      <c r="O304" s="2">
        <v>0.29103323199999998</v>
      </c>
      <c r="P304" s="2">
        <f t="shared" si="95"/>
        <v>0.25874820348584582</v>
      </c>
      <c r="Q304" s="2">
        <v>0.24229999999999999</v>
      </c>
      <c r="R304" s="2">
        <f t="shared" si="96"/>
        <v>0.54226983207874924</v>
      </c>
      <c r="S304" s="2">
        <f t="shared" si="97"/>
        <v>6.1025052913969299E-2</v>
      </c>
      <c r="T304" s="5">
        <f t="shared" si="89"/>
        <v>0.1231274367662246</v>
      </c>
      <c r="U304" s="2" t="str">
        <f t="shared" si="98"/>
        <v>No Impact</v>
      </c>
      <c r="V304" s="2">
        <f t="shared" si="99"/>
        <v>8.2624969044373872E-2</v>
      </c>
      <c r="W304" s="2">
        <f t="shared" si="100"/>
        <v>0.14883807998666335</v>
      </c>
      <c r="X304" s="2" t="s">
        <v>1175</v>
      </c>
      <c r="Y304" s="2">
        <f t="shared" si="101"/>
        <v>3.942513678356472E-2</v>
      </c>
      <c r="Z304" s="2">
        <f t="shared" si="102"/>
        <v>8.3652834054187178E-2</v>
      </c>
      <c r="AA304" s="2" t="str">
        <f t="shared" si="103"/>
        <v>No Impact</v>
      </c>
      <c r="AB304" s="2">
        <f t="shared" si="104"/>
        <v>6.0170549172856913E-2</v>
      </c>
      <c r="AC304" s="2">
        <f t="shared" si="105"/>
        <v>0.16725018432892436</v>
      </c>
      <c r="AD304" s="2" t="str">
        <f t="shared" si="106"/>
        <v>Low</v>
      </c>
      <c r="AE304" s="2">
        <f t="shared" si="107"/>
        <v>5.5497911349304672E-2</v>
      </c>
      <c r="AF304" s="2">
        <f t="shared" si="108"/>
        <v>0.2859106696786286</v>
      </c>
      <c r="AG304" s="2" t="s">
        <v>1175</v>
      </c>
    </row>
    <row r="305" spans="1:33" x14ac:dyDescent="0.3">
      <c r="A305">
        <v>404147</v>
      </c>
      <c r="B305" s="9" t="s">
        <v>621</v>
      </c>
      <c r="C305" t="s">
        <v>1156</v>
      </c>
      <c r="D305" s="9" t="s">
        <v>1165</v>
      </c>
      <c r="E305" s="18">
        <v>5.8</v>
      </c>
      <c r="F305" s="19">
        <f t="shared" si="90"/>
        <v>0.57777777777777772</v>
      </c>
      <c r="G305" s="2">
        <v>86.649519600000005</v>
      </c>
      <c r="H305" s="2">
        <f t="shared" si="91"/>
        <v>0.53147449308351646</v>
      </c>
      <c r="I305" s="2">
        <v>68.2</v>
      </c>
      <c r="J305" s="4">
        <f t="shared" si="92"/>
        <v>0.33090732654051436</v>
      </c>
      <c r="K305" s="2">
        <v>0</v>
      </c>
      <c r="L305" s="4">
        <f t="shared" si="93"/>
        <v>0</v>
      </c>
      <c r="M305" s="2">
        <v>71555</v>
      </c>
      <c r="N305" s="2">
        <f t="shared" si="94"/>
        <v>0.33742601240578557</v>
      </c>
      <c r="O305" s="2">
        <v>0.36750103000000001</v>
      </c>
      <c r="P305" s="2">
        <f t="shared" si="95"/>
        <v>0.34708304937508361</v>
      </c>
      <c r="Q305" s="2">
        <v>0.25640000000000002</v>
      </c>
      <c r="R305" s="2">
        <f t="shared" si="96"/>
        <v>0.58309206716850037</v>
      </c>
      <c r="S305" s="2">
        <f t="shared" si="97"/>
        <v>8.1107906634689336E-2</v>
      </c>
      <c r="T305" s="5">
        <f t="shared" si="89"/>
        <v>0.16364768514797171</v>
      </c>
      <c r="U305" s="2" t="str">
        <f t="shared" si="98"/>
        <v>Low</v>
      </c>
      <c r="V305" s="2">
        <f t="shared" si="99"/>
        <v>0.10168703957393979</v>
      </c>
      <c r="W305" s="2">
        <f t="shared" si="100"/>
        <v>0.18317590801861391</v>
      </c>
      <c r="X305" s="2" t="s">
        <v>1175</v>
      </c>
      <c r="Y305" s="2">
        <f t="shared" si="101"/>
        <v>6.0528773695438916E-2</v>
      </c>
      <c r="Z305" s="2">
        <f t="shared" si="102"/>
        <v>0.12843084069041957</v>
      </c>
      <c r="AA305" s="2" t="str">
        <f t="shared" si="103"/>
        <v>No Impact</v>
      </c>
      <c r="AB305" s="2">
        <f t="shared" si="104"/>
        <v>7.434472566030699E-2</v>
      </c>
      <c r="AC305" s="2">
        <f t="shared" si="105"/>
        <v>0.20664875493904819</v>
      </c>
      <c r="AD305" s="2" t="str">
        <f t="shared" si="106"/>
        <v>Low</v>
      </c>
      <c r="AE305" s="2">
        <f t="shared" si="107"/>
        <v>5.8844656287989718E-2</v>
      </c>
      <c r="AF305" s="2">
        <f t="shared" si="108"/>
        <v>0.30315222099828909</v>
      </c>
      <c r="AG305" s="2" t="str">
        <f t="shared" si="110"/>
        <v>Moderate</v>
      </c>
    </row>
    <row r="306" spans="1:33" x14ac:dyDescent="0.3">
      <c r="A306">
        <v>404161</v>
      </c>
      <c r="B306" t="s">
        <v>622</v>
      </c>
      <c r="C306" t="s">
        <v>1156</v>
      </c>
      <c r="D306" t="s">
        <v>623</v>
      </c>
      <c r="E306" s="18">
        <v>5.8</v>
      </c>
      <c r="F306" s="19">
        <f t="shared" si="90"/>
        <v>0.57777777777777772</v>
      </c>
      <c r="G306" s="2">
        <v>79.765927199999993</v>
      </c>
      <c r="H306" s="2">
        <f t="shared" si="91"/>
        <v>0.46492103509927429</v>
      </c>
      <c r="I306" s="2">
        <v>56.2</v>
      </c>
      <c r="J306" s="4">
        <f t="shared" si="92"/>
        <v>0.27268316351285787</v>
      </c>
      <c r="K306" s="2">
        <v>0</v>
      </c>
      <c r="L306" s="4">
        <f t="shared" si="93"/>
        <v>0</v>
      </c>
      <c r="M306" s="2">
        <v>72161</v>
      </c>
      <c r="N306" s="2">
        <f t="shared" si="94"/>
        <v>0.34029325346694866</v>
      </c>
      <c r="O306" s="2">
        <v>0.36351896700000003</v>
      </c>
      <c r="P306" s="2">
        <f t="shared" si="95"/>
        <v>0.34248300948082339</v>
      </c>
      <c r="Q306" s="2">
        <v>0.26050000000000001</v>
      </c>
      <c r="R306" s="2">
        <f t="shared" si="96"/>
        <v>0.59496236247828616</v>
      </c>
      <c r="S306" s="2">
        <f t="shared" si="97"/>
        <v>6.9914657168573494E-2</v>
      </c>
      <c r="T306" s="5">
        <f t="shared" ref="T306:T369" si="111">(S306-$AJ$10)/$AK$10</f>
        <v>0.14106358157020532</v>
      </c>
      <c r="U306" s="2" t="str">
        <f t="shared" si="98"/>
        <v>No Impact</v>
      </c>
      <c r="V306" s="2">
        <f t="shared" si="99"/>
        <v>8.874456228621358E-2</v>
      </c>
      <c r="W306" s="2">
        <f t="shared" si="100"/>
        <v>0.15986172718374272</v>
      </c>
      <c r="X306" s="2" t="s">
        <v>1175</v>
      </c>
      <c r="Y306" s="2">
        <f t="shared" si="101"/>
        <v>5.10847520509334E-2</v>
      </c>
      <c r="Z306" s="2">
        <f t="shared" si="102"/>
        <v>0.10839237691110531</v>
      </c>
      <c r="AA306" s="2" t="str">
        <f t="shared" si="103"/>
        <v>No Impact</v>
      </c>
      <c r="AB306" s="2">
        <f t="shared" si="104"/>
        <v>6.4151367261352177E-2</v>
      </c>
      <c r="AC306" s="2">
        <f t="shared" si="105"/>
        <v>0.17831527461367599</v>
      </c>
      <c r="AD306" s="2" t="str">
        <f t="shared" si="106"/>
        <v>Low</v>
      </c>
      <c r="AE306" s="2">
        <f t="shared" si="107"/>
        <v>5.0758128131135435E-2</v>
      </c>
      <c r="AF306" s="2">
        <f t="shared" si="108"/>
        <v>0.26149255085053563</v>
      </c>
      <c r="AG306" s="2" t="s">
        <v>1175</v>
      </c>
    </row>
    <row r="307" spans="1:33" x14ac:dyDescent="0.3">
      <c r="A307">
        <v>404190</v>
      </c>
      <c r="B307" t="s">
        <v>624</v>
      </c>
      <c r="C307" t="s">
        <v>1156</v>
      </c>
      <c r="D307" t="s">
        <v>625</v>
      </c>
      <c r="E307" s="18">
        <v>5.8</v>
      </c>
      <c r="F307" s="19">
        <f t="shared" si="90"/>
        <v>0.57777777777777772</v>
      </c>
      <c r="G307" s="2">
        <v>77.596786800000004</v>
      </c>
      <c r="H307" s="2">
        <f t="shared" si="91"/>
        <v>0.44394887607467531</v>
      </c>
      <c r="I307" s="2">
        <v>51.3</v>
      </c>
      <c r="J307" s="4">
        <f t="shared" si="92"/>
        <v>0.24890829694323144</v>
      </c>
      <c r="K307" s="2">
        <v>0</v>
      </c>
      <c r="L307" s="4">
        <f t="shared" si="93"/>
        <v>0</v>
      </c>
      <c r="M307" s="2">
        <v>28168</v>
      </c>
      <c r="N307" s="2">
        <f t="shared" si="94"/>
        <v>0.13214385412083102</v>
      </c>
      <c r="O307" s="2">
        <v>0.30674729899999997</v>
      </c>
      <c r="P307" s="2">
        <f t="shared" si="95"/>
        <v>0.27690093866383741</v>
      </c>
      <c r="Q307" s="2">
        <v>0.251</v>
      </c>
      <c r="R307" s="2">
        <f t="shared" si="96"/>
        <v>0.56745801968731913</v>
      </c>
      <c r="S307" s="2">
        <f t="shared" si="97"/>
        <v>5.9152038490547704E-2</v>
      </c>
      <c r="T307" s="5">
        <f t="shared" si="111"/>
        <v>0.11934834188682832</v>
      </c>
      <c r="U307" s="2" t="str">
        <f t="shared" si="98"/>
        <v>No Impact</v>
      </c>
      <c r="V307" s="2">
        <f t="shared" si="99"/>
        <v>7.9507177108327776E-2</v>
      </c>
      <c r="W307" s="2">
        <f t="shared" si="100"/>
        <v>0.14322178540978081</v>
      </c>
      <c r="X307" s="2" t="s">
        <v>1176</v>
      </c>
      <c r="Y307" s="2">
        <f t="shared" si="101"/>
        <v>3.8796899872767632E-2</v>
      </c>
      <c r="Z307" s="2">
        <f t="shared" si="102"/>
        <v>8.2319831753291356E-2</v>
      </c>
      <c r="AA307" s="2" t="str">
        <f t="shared" si="103"/>
        <v>No Impact</v>
      </c>
      <c r="AB307" s="2">
        <f t="shared" si="104"/>
        <v>4.5946770011415027E-2</v>
      </c>
      <c r="AC307" s="2">
        <f t="shared" si="105"/>
        <v>0.1277137380224278</v>
      </c>
      <c r="AD307" s="2" t="str">
        <f t="shared" si="106"/>
        <v>No Impact</v>
      </c>
      <c r="AE307" s="2">
        <f t="shared" si="107"/>
        <v>1.8514823033342925E-2</v>
      </c>
      <c r="AF307" s="2">
        <f t="shared" si="108"/>
        <v>9.5383507662594166E-2</v>
      </c>
      <c r="AG307" s="2" t="s">
        <v>1175</v>
      </c>
    </row>
    <row r="308" spans="1:33" x14ac:dyDescent="0.3">
      <c r="A308">
        <v>404414</v>
      </c>
      <c r="B308" t="s">
        <v>626</v>
      </c>
      <c r="C308" t="s">
        <v>627</v>
      </c>
      <c r="D308" t="s">
        <v>628</v>
      </c>
      <c r="E308" s="18">
        <v>4.7</v>
      </c>
      <c r="F308" s="19">
        <f t="shared" si="90"/>
        <v>0.33333333333333331</v>
      </c>
      <c r="G308" s="2">
        <v>75.810848399999998</v>
      </c>
      <c r="H308" s="2">
        <f t="shared" si="91"/>
        <v>0.42668167468331392</v>
      </c>
      <c r="I308" s="2">
        <v>65.599999999999994</v>
      </c>
      <c r="J308" s="4">
        <f t="shared" si="92"/>
        <v>0.3182920912178554</v>
      </c>
      <c r="K308" s="2">
        <v>0</v>
      </c>
      <c r="L308" s="4">
        <f t="shared" si="93"/>
        <v>0</v>
      </c>
      <c r="M308" s="2">
        <v>45089</v>
      </c>
      <c r="N308" s="2">
        <f t="shared" si="94"/>
        <v>0.2122042270514258</v>
      </c>
      <c r="O308" s="2">
        <v>0.28617822300000001</v>
      </c>
      <c r="P308" s="2">
        <f t="shared" si="95"/>
        <v>0.25313974498406105</v>
      </c>
      <c r="Q308" s="2">
        <v>0.24909999999999999</v>
      </c>
      <c r="R308" s="2">
        <f t="shared" si="96"/>
        <v>0.5619571511291257</v>
      </c>
      <c r="S308" s="2">
        <f t="shared" si="97"/>
        <v>3.5421505249188037E-2</v>
      </c>
      <c r="T308" s="5">
        <f t="shared" si="111"/>
        <v>7.146833864908507E-2</v>
      </c>
      <c r="U308" s="2" t="str">
        <f t="shared" si="98"/>
        <v>No Impact</v>
      </c>
      <c r="V308" s="2">
        <f t="shared" si="99"/>
        <v>4.8841722434371689E-2</v>
      </c>
      <c r="W308" s="2">
        <f t="shared" si="100"/>
        <v>8.798197777804094E-2</v>
      </c>
      <c r="X308" s="2" t="s">
        <v>1176</v>
      </c>
      <c r="Y308" s="2">
        <f t="shared" si="101"/>
        <v>2.2001288064004386E-2</v>
      </c>
      <c r="Z308" s="2">
        <f t="shared" si="102"/>
        <v>4.6682656029839578E-2</v>
      </c>
      <c r="AA308" s="2" t="str">
        <f t="shared" si="103"/>
        <v>No Impact</v>
      </c>
      <c r="AB308" s="2">
        <f t="shared" si="104"/>
        <v>3.0150191376369515E-2</v>
      </c>
      <c r="AC308" s="2">
        <f t="shared" si="105"/>
        <v>8.3805535009557272E-2</v>
      </c>
      <c r="AD308" s="2" t="str">
        <f t="shared" si="106"/>
        <v>No Impact</v>
      </c>
      <c r="AE308" s="2">
        <f t="shared" si="107"/>
        <v>1.8443434586108871E-2</v>
      </c>
      <c r="AF308" s="2">
        <f t="shared" si="108"/>
        <v>9.5015733123701332E-2</v>
      </c>
      <c r="AG308" s="2" t="s">
        <v>1175</v>
      </c>
    </row>
    <row r="309" spans="1:33" x14ac:dyDescent="0.3">
      <c r="A309">
        <v>404419</v>
      </c>
      <c r="B309" t="s">
        <v>629</v>
      </c>
      <c r="C309" t="s">
        <v>627</v>
      </c>
      <c r="D309" t="s">
        <v>1146</v>
      </c>
      <c r="E309" s="18">
        <v>4.5999999999999996</v>
      </c>
      <c r="F309" s="19">
        <f t="shared" si="90"/>
        <v>0.31111111111111101</v>
      </c>
      <c r="G309" s="2">
        <v>75.810848399999998</v>
      </c>
      <c r="H309" s="2">
        <f t="shared" si="91"/>
        <v>0.42668167468331392</v>
      </c>
      <c r="I309" s="2">
        <v>76.5</v>
      </c>
      <c r="J309" s="4">
        <f t="shared" si="92"/>
        <v>0.37117903930131008</v>
      </c>
      <c r="K309" s="2">
        <v>0</v>
      </c>
      <c r="L309" s="4">
        <f t="shared" si="93"/>
        <v>0</v>
      </c>
      <c r="M309" s="2">
        <v>31560</v>
      </c>
      <c r="N309" s="2">
        <f t="shared" si="94"/>
        <v>0.14819283378991546</v>
      </c>
      <c r="O309" s="2">
        <v>0.31026662799999999</v>
      </c>
      <c r="P309" s="2">
        <f t="shared" si="95"/>
        <v>0.28096643280620209</v>
      </c>
      <c r="Q309" s="2">
        <v>0.2021</v>
      </c>
      <c r="R309" s="2">
        <f t="shared" si="96"/>
        <v>0.42588303416328899</v>
      </c>
      <c r="S309" s="2">
        <f t="shared" si="97"/>
        <v>3.0704892888222788E-2</v>
      </c>
      <c r="T309" s="5">
        <f t="shared" si="111"/>
        <v>6.1951847265714163E-2</v>
      </c>
      <c r="U309" s="2" t="str">
        <f t="shared" si="98"/>
        <v>No Impact</v>
      </c>
      <c r="V309" s="2">
        <f t="shared" si="99"/>
        <v>3.6999937208581156E-2</v>
      </c>
      <c r="W309" s="2">
        <f t="shared" si="100"/>
        <v>6.6650549796814812E-2</v>
      </c>
      <c r="X309" s="2" t="s">
        <v>1176</v>
      </c>
      <c r="Y309" s="2">
        <f t="shared" si="101"/>
        <v>2.4409848567864424E-2</v>
      </c>
      <c r="Z309" s="2">
        <f t="shared" si="102"/>
        <v>5.1793175068618566E-2</v>
      </c>
      <c r="AA309" s="2" t="str">
        <f t="shared" si="103"/>
        <v>No Impact</v>
      </c>
      <c r="AB309" s="2">
        <f t="shared" si="104"/>
        <v>2.4779085191144298E-2</v>
      </c>
      <c r="AC309" s="2">
        <f t="shared" si="105"/>
        <v>6.8875997023316357E-2</v>
      </c>
      <c r="AD309" s="2" t="str">
        <f t="shared" si="106"/>
        <v>No Impact</v>
      </c>
      <c r="AE309" s="2">
        <f t="shared" si="107"/>
        <v>1.2874721707947342E-2</v>
      </c>
      <c r="AF309" s="2">
        <f t="shared" si="108"/>
        <v>6.6327186302143973E-2</v>
      </c>
      <c r="AG309" s="2" t="s">
        <v>1175</v>
      </c>
    </row>
    <row r="310" spans="1:33" x14ac:dyDescent="0.3">
      <c r="A310">
        <v>404433</v>
      </c>
      <c r="B310" t="s">
        <v>630</v>
      </c>
      <c r="C310" t="s">
        <v>627</v>
      </c>
      <c r="D310" t="s">
        <v>1139</v>
      </c>
      <c r="E310" s="18">
        <v>4.5999999999999996</v>
      </c>
      <c r="F310" s="19">
        <f t="shared" si="90"/>
        <v>0.31111111111111101</v>
      </c>
      <c r="G310" s="2">
        <v>81.217879199999999</v>
      </c>
      <c r="H310" s="2">
        <f t="shared" si="91"/>
        <v>0.47895911591694978</v>
      </c>
      <c r="I310" s="2">
        <v>68.599999999999994</v>
      </c>
      <c r="J310" s="4">
        <f t="shared" si="92"/>
        <v>0.33284813197476953</v>
      </c>
      <c r="K310" s="2">
        <v>0</v>
      </c>
      <c r="L310" s="4">
        <f t="shared" si="93"/>
        <v>0</v>
      </c>
      <c r="M310" s="2">
        <v>23944</v>
      </c>
      <c r="N310" s="2">
        <f t="shared" si="94"/>
        <v>0.11215833226876364</v>
      </c>
      <c r="O310" s="2">
        <v>0.28074116799999999</v>
      </c>
      <c r="P310" s="2">
        <f t="shared" si="95"/>
        <v>0.24685891268500215</v>
      </c>
      <c r="Q310" s="2">
        <v>0.2442</v>
      </c>
      <c r="R310" s="2">
        <f t="shared" si="96"/>
        <v>0.54777070063694266</v>
      </c>
      <c r="S310" s="2">
        <f t="shared" si="97"/>
        <v>3.5121353216359216E-2</v>
      </c>
      <c r="T310" s="5">
        <f t="shared" si="111"/>
        <v>7.0862735725733483E-2</v>
      </c>
      <c r="U310" s="2" t="str">
        <f t="shared" si="98"/>
        <v>No Impact</v>
      </c>
      <c r="V310" s="2">
        <f t="shared" si="99"/>
        <v>4.8421171162288806E-2</v>
      </c>
      <c r="W310" s="2">
        <f t="shared" si="100"/>
        <v>8.7224409640990888E-2</v>
      </c>
      <c r="X310" s="2" t="s">
        <v>1176</v>
      </c>
      <c r="Y310" s="2">
        <f t="shared" si="101"/>
        <v>2.1821535270429633E-2</v>
      </c>
      <c r="Z310" s="2">
        <f t="shared" si="102"/>
        <v>4.6301253913361602E-2</v>
      </c>
      <c r="AA310" s="2" t="str">
        <f t="shared" si="103"/>
        <v>No Impact</v>
      </c>
      <c r="AB310" s="2">
        <f t="shared" si="104"/>
        <v>2.6963923247618843E-2</v>
      </c>
      <c r="AC310" s="2">
        <f t="shared" si="105"/>
        <v>7.4948977454730739E-2</v>
      </c>
      <c r="AD310" s="2" t="str">
        <f t="shared" si="106"/>
        <v>No Impact</v>
      </c>
      <c r="AE310" s="2">
        <f t="shared" si="107"/>
        <v>9.9144364562539309E-3</v>
      </c>
      <c r="AF310" s="2">
        <f t="shared" si="108"/>
        <v>5.1076573834508567E-2</v>
      </c>
      <c r="AG310" s="2" t="s">
        <v>1175</v>
      </c>
    </row>
    <row r="311" spans="1:33" x14ac:dyDescent="0.3">
      <c r="A311">
        <v>404442</v>
      </c>
      <c r="B311" t="s">
        <v>631</v>
      </c>
      <c r="C311" t="s">
        <v>627</v>
      </c>
      <c r="D311" t="s">
        <v>632</v>
      </c>
      <c r="E311" s="18">
        <v>4.5999999999999996</v>
      </c>
      <c r="F311" s="19">
        <f t="shared" si="90"/>
        <v>0.31111111111111101</v>
      </c>
      <c r="G311" s="2">
        <v>77.596786800000004</v>
      </c>
      <c r="H311" s="2">
        <f t="shared" si="91"/>
        <v>0.44394887607467531</v>
      </c>
      <c r="I311" s="2">
        <v>64.599999999999994</v>
      </c>
      <c r="J311" s="4">
        <f t="shared" si="92"/>
        <v>0.31344007763221737</v>
      </c>
      <c r="K311" s="2">
        <v>0</v>
      </c>
      <c r="L311" s="4">
        <f t="shared" si="93"/>
        <v>0</v>
      </c>
      <c r="M311" s="2">
        <v>47194</v>
      </c>
      <c r="N311" s="2">
        <f t="shared" si="94"/>
        <v>0.22216386803120844</v>
      </c>
      <c r="O311" s="2">
        <v>0.22264962799999999</v>
      </c>
      <c r="P311" s="2">
        <f t="shared" si="95"/>
        <v>0.17975213875424909</v>
      </c>
      <c r="Q311" s="2">
        <v>0.2407</v>
      </c>
      <c r="R311" s="2">
        <f t="shared" si="96"/>
        <v>0.53763752171395485</v>
      </c>
      <c r="S311" s="2">
        <f t="shared" si="97"/>
        <v>2.9582008014184036E-2</v>
      </c>
      <c r="T311" s="5">
        <f t="shared" si="111"/>
        <v>5.9686254206436244E-2</v>
      </c>
      <c r="U311" s="2" t="str">
        <f t="shared" si="98"/>
        <v>No Impact</v>
      </c>
      <c r="V311" s="2">
        <f t="shared" si="99"/>
        <v>4.4339633960400984E-2</v>
      </c>
      <c r="W311" s="2">
        <f t="shared" si="100"/>
        <v>7.9872053960265976E-2</v>
      </c>
      <c r="X311" s="2" t="s">
        <v>1176</v>
      </c>
      <c r="Y311" s="2">
        <f t="shared" si="101"/>
        <v>1.482438206796708E-2</v>
      </c>
      <c r="Z311" s="2">
        <f t="shared" si="102"/>
        <v>3.1454591518487347E-2</v>
      </c>
      <c r="AA311" s="2" t="str">
        <f t="shared" si="103"/>
        <v>No Impact</v>
      </c>
      <c r="AB311" s="2">
        <f t="shared" si="104"/>
        <v>2.6378932020858704E-2</v>
      </c>
      <c r="AC311" s="2">
        <f t="shared" si="105"/>
        <v>7.3322934617306004E-2</v>
      </c>
      <c r="AD311" s="2" t="str">
        <f t="shared" si="106"/>
        <v>No Impact</v>
      </c>
      <c r="AE311" s="2">
        <f t="shared" si="107"/>
        <v>1.8322130040937822E-2</v>
      </c>
      <c r="AF311" s="2">
        <f t="shared" si="108"/>
        <v>9.4390803952464145E-2</v>
      </c>
      <c r="AG311" s="2" t="s">
        <v>1175</v>
      </c>
    </row>
    <row r="312" spans="1:33" x14ac:dyDescent="0.3">
      <c r="A312">
        <v>404471</v>
      </c>
      <c r="B312" t="s">
        <v>633</v>
      </c>
      <c r="C312" t="s">
        <v>627</v>
      </c>
      <c r="D312" t="s">
        <v>634</v>
      </c>
      <c r="E312" s="18">
        <v>4.5999999999999996</v>
      </c>
      <c r="F312" s="19">
        <f t="shared" si="90"/>
        <v>0.31111111111111101</v>
      </c>
      <c r="G312" s="2">
        <v>77.596786800000004</v>
      </c>
      <c r="H312" s="2">
        <f t="shared" si="91"/>
        <v>0.44394887607467531</v>
      </c>
      <c r="I312" s="2">
        <v>59.9</v>
      </c>
      <c r="J312" s="4">
        <f t="shared" si="92"/>
        <v>0.29063561377971858</v>
      </c>
      <c r="K312" s="2">
        <v>0</v>
      </c>
      <c r="L312" s="4">
        <f t="shared" si="93"/>
        <v>0</v>
      </c>
      <c r="M312" s="2">
        <v>21848</v>
      </c>
      <c r="N312" s="2">
        <f t="shared" si="94"/>
        <v>0.10224127407701807</v>
      </c>
      <c r="O312" s="2">
        <v>0.24534339099999999</v>
      </c>
      <c r="P312" s="2">
        <f t="shared" si="95"/>
        <v>0.20596774989623445</v>
      </c>
      <c r="Q312" s="2">
        <v>0.27429999999999999</v>
      </c>
      <c r="R312" s="2">
        <f t="shared" si="96"/>
        <v>0.63491603937463814</v>
      </c>
      <c r="S312" s="2">
        <f t="shared" si="97"/>
        <v>3.3630343643389217E-2</v>
      </c>
      <c r="T312" s="5">
        <f t="shared" si="111"/>
        <v>6.7854394427406248E-2</v>
      </c>
      <c r="U312" s="2" t="str">
        <f t="shared" si="98"/>
        <v>No Impact</v>
      </c>
      <c r="V312" s="2">
        <f t="shared" si="99"/>
        <v>5.0785720598522544E-2</v>
      </c>
      <c r="W312" s="2">
        <f t="shared" si="100"/>
        <v>9.1483836327536081E-2</v>
      </c>
      <c r="X312" s="2" t="s">
        <v>1176</v>
      </c>
      <c r="Y312" s="2">
        <f t="shared" si="101"/>
        <v>1.6474966688255897E-2</v>
      </c>
      <c r="Z312" s="2">
        <f t="shared" si="102"/>
        <v>3.4956826199153669E-2</v>
      </c>
      <c r="AA312" s="2" t="str">
        <f t="shared" si="103"/>
        <v>No Impact</v>
      </c>
      <c r="AB312" s="2">
        <f t="shared" si="104"/>
        <v>2.5579821657832527E-2</v>
      </c>
      <c r="AC312" s="2">
        <f t="shared" si="105"/>
        <v>7.1101725780881225E-2</v>
      </c>
      <c r="AD312" s="2" t="str">
        <f t="shared" si="106"/>
        <v>No Impact</v>
      </c>
      <c r="AE312" s="2">
        <f t="shared" si="107"/>
        <v>8.1780841196367731E-3</v>
      </c>
      <c r="AF312" s="2">
        <f t="shared" si="108"/>
        <v>4.2131342432273407E-2</v>
      </c>
      <c r="AG312" s="2" t="s">
        <v>1175</v>
      </c>
    </row>
    <row r="313" spans="1:33" x14ac:dyDescent="0.3">
      <c r="A313">
        <v>404480</v>
      </c>
      <c r="B313" t="s">
        <v>635</v>
      </c>
      <c r="C313" t="s">
        <v>627</v>
      </c>
      <c r="D313" t="s">
        <v>636</v>
      </c>
      <c r="E313" s="18">
        <v>4.5999999999999996</v>
      </c>
      <c r="F313" s="19">
        <f t="shared" si="90"/>
        <v>0.31111111111111101</v>
      </c>
      <c r="G313" s="2">
        <v>75.810848399999998</v>
      </c>
      <c r="H313" s="2">
        <f t="shared" si="91"/>
        <v>0.42668167468331392</v>
      </c>
      <c r="I313" s="2">
        <v>60.4</v>
      </c>
      <c r="J313" s="4">
        <f t="shared" si="92"/>
        <v>0.2930616205725376</v>
      </c>
      <c r="K313" s="2">
        <v>0</v>
      </c>
      <c r="L313" s="4">
        <f t="shared" si="93"/>
        <v>0</v>
      </c>
      <c r="M313" s="2">
        <v>34844</v>
      </c>
      <c r="N313" s="2">
        <f t="shared" si="94"/>
        <v>0.16373082000255496</v>
      </c>
      <c r="O313" s="2">
        <v>0.25517379499999998</v>
      </c>
      <c r="P313" s="2">
        <f t="shared" si="95"/>
        <v>0.21732373561938745</v>
      </c>
      <c r="Q313" s="2">
        <v>0.22109999999999999</v>
      </c>
      <c r="R313" s="2">
        <f t="shared" si="96"/>
        <v>0.48089171974522293</v>
      </c>
      <c r="S313" s="2">
        <f t="shared" si="97"/>
        <v>2.7360287488324201E-2</v>
      </c>
      <c r="T313" s="5">
        <f t="shared" si="111"/>
        <v>5.5203591095178042E-2</v>
      </c>
      <c r="U313" s="2" t="str">
        <f t="shared" si="98"/>
        <v>No Impact</v>
      </c>
      <c r="V313" s="2">
        <f t="shared" si="99"/>
        <v>3.7688468801118494E-2</v>
      </c>
      <c r="W313" s="2">
        <f t="shared" si="100"/>
        <v>6.7890849447497653E-2</v>
      </c>
      <c r="X313" s="2" t="s">
        <v>1176</v>
      </c>
      <c r="Y313" s="2">
        <f t="shared" si="101"/>
        <v>1.7032106175529908E-2</v>
      </c>
      <c r="Z313" s="2">
        <f t="shared" si="102"/>
        <v>3.6138972942989359E-2</v>
      </c>
      <c r="AA313" s="2" t="str">
        <f t="shared" si="103"/>
        <v>No Impact</v>
      </c>
      <c r="AB313" s="2">
        <f t="shared" si="104"/>
        <v>2.279176780569361E-2</v>
      </c>
      <c r="AC313" s="2">
        <f t="shared" si="105"/>
        <v>6.3352045462198803E-2</v>
      </c>
      <c r="AD313" s="2" t="str">
        <f t="shared" si="106"/>
        <v>No Impact</v>
      </c>
      <c r="AE313" s="2">
        <f t="shared" si="107"/>
        <v>1.2831919636123325E-2</v>
      </c>
      <c r="AF313" s="2">
        <f t="shared" si="108"/>
        <v>6.6106681264723494E-2</v>
      </c>
      <c r="AG313" s="2" t="s">
        <v>1175</v>
      </c>
    </row>
    <row r="314" spans="1:33" x14ac:dyDescent="0.3">
      <c r="A314">
        <v>404712</v>
      </c>
      <c r="B314" t="s">
        <v>637</v>
      </c>
      <c r="C314" t="s">
        <v>638</v>
      </c>
      <c r="D314" t="s">
        <v>639</v>
      </c>
      <c r="E314" s="18">
        <v>6.9</v>
      </c>
      <c r="F314" s="19">
        <f t="shared" si="90"/>
        <v>0.8222222222222223</v>
      </c>
      <c r="G314" s="2">
        <v>78.911629199999993</v>
      </c>
      <c r="H314" s="2">
        <f t="shared" si="91"/>
        <v>0.45666132378211061</v>
      </c>
      <c r="I314" s="2">
        <v>79.3</v>
      </c>
      <c r="J314" s="4">
        <f t="shared" si="92"/>
        <v>0.38476467734109654</v>
      </c>
      <c r="K314" s="2">
        <v>1.2</v>
      </c>
      <c r="L314" s="4">
        <f t="shared" si="93"/>
        <v>0.5</v>
      </c>
      <c r="M314" s="2">
        <v>30636</v>
      </c>
      <c r="N314" s="2">
        <f t="shared" si="94"/>
        <v>0.1438210008847757</v>
      </c>
      <c r="O314" s="2">
        <v>0.250517557</v>
      </c>
      <c r="P314" s="2">
        <f t="shared" si="95"/>
        <v>0.21194489541591235</v>
      </c>
      <c r="Q314" s="2">
        <v>0.31530000000000002</v>
      </c>
      <c r="R314" s="2">
        <f t="shared" si="96"/>
        <v>0.75361899247249575</v>
      </c>
      <c r="S314" s="2">
        <f t="shared" si="97"/>
        <v>0.17644571492137642</v>
      </c>
      <c r="T314" s="5">
        <f t="shared" si="111"/>
        <v>0.35600638703714932</v>
      </c>
      <c r="U314" s="2" t="str">
        <f t="shared" si="98"/>
        <v>Moderate</v>
      </c>
      <c r="V314" s="2">
        <f t="shared" si="99"/>
        <v>0.27543043722551647</v>
      </c>
      <c r="W314" s="2">
        <f t="shared" si="100"/>
        <v>0.49615192502543504</v>
      </c>
      <c r="X314" s="2" t="str">
        <f t="shared" si="109"/>
        <v>Moderate</v>
      </c>
      <c r="Y314" s="2">
        <f t="shared" si="101"/>
        <v>7.7460992617236366E-2</v>
      </c>
      <c r="Z314" s="2">
        <f t="shared" si="102"/>
        <v>0.16435787139192778</v>
      </c>
      <c r="AA314" s="2" t="str">
        <f t="shared" si="103"/>
        <v>Low</v>
      </c>
      <c r="AB314" s="2">
        <f t="shared" si="104"/>
        <v>0.13803609651113347</v>
      </c>
      <c r="AC314" s="2">
        <f t="shared" si="105"/>
        <v>0.38368542256793414</v>
      </c>
      <c r="AD314" s="2" t="str">
        <f t="shared" si="106"/>
        <v>Moderate</v>
      </c>
      <c r="AE314" s="2">
        <f t="shared" si="107"/>
        <v>5.2563273420090824E-2</v>
      </c>
      <c r="AF314" s="2">
        <f t="shared" si="108"/>
        <v>0.27079218548334283</v>
      </c>
      <c r="AG314" s="2" t="s">
        <v>1175</v>
      </c>
    </row>
    <row r="315" spans="1:33" x14ac:dyDescent="0.3">
      <c r="A315">
        <v>404717</v>
      </c>
      <c r="B315" t="s">
        <v>640</v>
      </c>
      <c r="C315" t="s">
        <v>638</v>
      </c>
      <c r="D315" t="s">
        <v>641</v>
      </c>
      <c r="E315" s="18">
        <v>6.9</v>
      </c>
      <c r="F315" s="19">
        <f t="shared" si="90"/>
        <v>0.8222222222222223</v>
      </c>
      <c r="G315" s="2">
        <v>103.1799888</v>
      </c>
      <c r="H315" s="2">
        <f t="shared" si="91"/>
        <v>0.69129800142517916</v>
      </c>
      <c r="I315" s="2">
        <v>105</v>
      </c>
      <c r="J315" s="4">
        <f t="shared" si="92"/>
        <v>0.50946142649199422</v>
      </c>
      <c r="K315" s="2">
        <v>1.2</v>
      </c>
      <c r="L315" s="4">
        <f t="shared" si="93"/>
        <v>0.5</v>
      </c>
      <c r="M315" s="2">
        <v>15743</v>
      </c>
      <c r="N315" s="2">
        <f t="shared" si="94"/>
        <v>7.3355949525201913E-2</v>
      </c>
      <c r="O315" s="2">
        <v>0.66743674099999994</v>
      </c>
      <c r="P315" s="2">
        <f t="shared" si="95"/>
        <v>0.69356582383478438</v>
      </c>
      <c r="Q315" s="2">
        <v>0.23139999999999999</v>
      </c>
      <c r="R315" s="2">
        <f t="shared" si="96"/>
        <v>0.51071221771858721</v>
      </c>
      <c r="S315" s="2">
        <f t="shared" si="97"/>
        <v>0.28233408309982999</v>
      </c>
      <c r="T315" s="5">
        <f t="shared" si="111"/>
        <v>0.56965246736994923</v>
      </c>
      <c r="U315" s="2" t="str">
        <f t="shared" si="98"/>
        <v>Moderate</v>
      </c>
      <c r="V315" s="2">
        <f t="shared" si="99"/>
        <v>0.23946540706076261</v>
      </c>
      <c r="W315" s="2">
        <f t="shared" si="100"/>
        <v>0.43136562497236541</v>
      </c>
      <c r="X315" s="2" t="str">
        <f t="shared" si="109"/>
        <v>Moderate</v>
      </c>
      <c r="Y315" s="2">
        <f t="shared" si="101"/>
        <v>0.32520275913889735</v>
      </c>
      <c r="Z315" s="2">
        <f t="shared" si="102"/>
        <v>0.69001998886027083</v>
      </c>
      <c r="AA315" s="2" t="str">
        <f t="shared" si="103"/>
        <v>Moderate</v>
      </c>
      <c r="AB315" s="2">
        <f t="shared" si="104"/>
        <v>0.19341215222293984</v>
      </c>
      <c r="AC315" s="2">
        <f t="shared" si="105"/>
        <v>0.53760882284473199</v>
      </c>
      <c r="AD315" s="2" t="str">
        <f t="shared" si="106"/>
        <v>Moderate</v>
      </c>
      <c r="AE315" s="2">
        <f t="shared" si="107"/>
        <v>3.4395520028582066E-2</v>
      </c>
      <c r="AF315" s="2">
        <f t="shared" si="108"/>
        <v>0.17719668950099673</v>
      </c>
      <c r="AG315" s="2" t="s">
        <v>1175</v>
      </c>
    </row>
    <row r="316" spans="1:33" x14ac:dyDescent="0.3">
      <c r="A316">
        <v>404730</v>
      </c>
      <c r="B316" t="s">
        <v>642</v>
      </c>
      <c r="C316" t="s">
        <v>638</v>
      </c>
      <c r="D316" t="s">
        <v>643</v>
      </c>
      <c r="E316" s="18">
        <v>6.9</v>
      </c>
      <c r="F316" s="19">
        <f t="shared" si="90"/>
        <v>0.8222222222222223</v>
      </c>
      <c r="G316" s="2">
        <v>86.649519600000005</v>
      </c>
      <c r="H316" s="2">
        <f t="shared" si="91"/>
        <v>0.53147449308351646</v>
      </c>
      <c r="I316" s="2">
        <v>72.400000000000006</v>
      </c>
      <c r="J316" s="4">
        <f t="shared" si="92"/>
        <v>0.35128578360019413</v>
      </c>
      <c r="K316" s="2">
        <v>0</v>
      </c>
      <c r="L316" s="4">
        <f t="shared" si="93"/>
        <v>0</v>
      </c>
      <c r="M316" s="2">
        <v>69387</v>
      </c>
      <c r="N316" s="2">
        <f t="shared" si="94"/>
        <v>0.32716829190974339</v>
      </c>
      <c r="O316" s="2">
        <v>0.63466354700000005</v>
      </c>
      <c r="P316" s="2">
        <f t="shared" si="95"/>
        <v>0.65570655343591544</v>
      </c>
      <c r="Q316" s="2">
        <v>0.20180000000000001</v>
      </c>
      <c r="R316" s="2">
        <f t="shared" si="96"/>
        <v>0.42501447596989006</v>
      </c>
      <c r="S316" s="2">
        <f t="shared" si="97"/>
        <v>0.13727253171581608</v>
      </c>
      <c r="T316" s="5">
        <f t="shared" si="111"/>
        <v>0.27696846068132863</v>
      </c>
      <c r="U316" s="2" t="str">
        <f t="shared" si="98"/>
        <v>Low</v>
      </c>
      <c r="V316" s="2">
        <f t="shared" si="99"/>
        <v>0.10797016352006275</v>
      </c>
      <c r="W316" s="2">
        <f t="shared" si="100"/>
        <v>0.1944941344007253</v>
      </c>
      <c r="X316" s="2" t="s">
        <v>1175</v>
      </c>
      <c r="Y316" s="2">
        <f t="shared" si="101"/>
        <v>0.1665748999115694</v>
      </c>
      <c r="Z316" s="2">
        <f t="shared" si="102"/>
        <v>0.35344106822995869</v>
      </c>
      <c r="AA316" s="2" t="str">
        <f t="shared" si="103"/>
        <v>Moderate</v>
      </c>
      <c r="AB316" s="2">
        <f t="shared" si="104"/>
        <v>0.11685173024069483</v>
      </c>
      <c r="AC316" s="2">
        <f t="shared" si="105"/>
        <v>0.32480131377504634</v>
      </c>
      <c r="AD316" s="2" t="str">
        <f t="shared" si="106"/>
        <v>Moderate</v>
      </c>
      <c r="AE316" s="2">
        <f t="shared" si="107"/>
        <v>8.3113437243434396E-2</v>
      </c>
      <c r="AF316" s="2">
        <f t="shared" si="108"/>
        <v>0.42817860931735274</v>
      </c>
      <c r="AG316" s="2" t="str">
        <f t="shared" si="110"/>
        <v>Moderate</v>
      </c>
    </row>
    <row r="317" spans="1:33" x14ac:dyDescent="0.3">
      <c r="A317" s="9">
        <v>404733</v>
      </c>
      <c r="B317" s="9" t="s">
        <v>1166</v>
      </c>
      <c r="C317" s="9" t="s">
        <v>638</v>
      </c>
      <c r="D317" s="9" t="s">
        <v>1167</v>
      </c>
      <c r="E317" s="20">
        <v>6.9</v>
      </c>
      <c r="F317" s="19">
        <f t="shared" si="90"/>
        <v>0.8222222222222223</v>
      </c>
      <c r="G317" s="2">
        <v>86.649519600000005</v>
      </c>
      <c r="H317" s="2">
        <f t="shared" si="91"/>
        <v>0.53147449308351646</v>
      </c>
      <c r="I317" s="2">
        <v>80.900000000000006</v>
      </c>
      <c r="J317" s="4">
        <f t="shared" si="92"/>
        <v>0.39252789907811747</v>
      </c>
      <c r="K317" s="2">
        <v>0</v>
      </c>
      <c r="L317" s="4">
        <f t="shared" si="93"/>
        <v>0</v>
      </c>
      <c r="M317" s="2">
        <v>68200</v>
      </c>
      <c r="N317" s="2">
        <f t="shared" si="94"/>
        <v>0.32155209530974249</v>
      </c>
      <c r="O317" s="2">
        <v>0.63466354700000005</v>
      </c>
      <c r="P317" s="2">
        <f t="shared" si="95"/>
        <v>0.65570655343591544</v>
      </c>
      <c r="Q317" s="2">
        <v>0.20180000000000001</v>
      </c>
      <c r="R317" s="2">
        <f t="shared" si="96"/>
        <v>0.42501447596989006</v>
      </c>
      <c r="S317" s="2">
        <f t="shared" si="97"/>
        <v>0.14368583525303338</v>
      </c>
      <c r="T317" s="5">
        <f t="shared" si="111"/>
        <v>0.28990828765459731</v>
      </c>
      <c r="U317" s="2" t="str">
        <f t="shared" si="98"/>
        <v>Low</v>
      </c>
      <c r="V317" s="2">
        <f t="shared" si="99"/>
        <v>0.1130144751748566</v>
      </c>
      <c r="W317" s="2">
        <f t="shared" si="100"/>
        <v>0.20358080239270548</v>
      </c>
      <c r="X317" s="2" t="s">
        <v>1175</v>
      </c>
      <c r="Y317" s="2">
        <f t="shared" si="101"/>
        <v>0.17435719533121019</v>
      </c>
      <c r="Z317" s="2">
        <f t="shared" si="102"/>
        <v>0.36995365690844012</v>
      </c>
      <c r="AA317" s="2" t="str">
        <f t="shared" si="103"/>
        <v>Moderate</v>
      </c>
      <c r="AB317" s="2">
        <f t="shared" si="104"/>
        <v>0.12178829842478164</v>
      </c>
      <c r="AC317" s="2">
        <f t="shared" si="105"/>
        <v>0.33852300902447702</v>
      </c>
      <c r="AD317" s="2" t="str">
        <f t="shared" si="106"/>
        <v>Moderate</v>
      </c>
      <c r="AE317" s="2">
        <f t="shared" si="107"/>
        <v>8.5503067183482259E-2</v>
      </c>
      <c r="AF317" s="2">
        <f t="shared" si="108"/>
        <v>0.44048935543071516</v>
      </c>
      <c r="AG317" s="2" t="str">
        <f t="shared" si="110"/>
        <v>Moderate</v>
      </c>
    </row>
    <row r="318" spans="1:33" x14ac:dyDescent="0.3">
      <c r="A318">
        <v>404740</v>
      </c>
      <c r="B318" t="s">
        <v>644</v>
      </c>
      <c r="C318" t="s">
        <v>638</v>
      </c>
      <c r="D318" t="s">
        <v>645</v>
      </c>
      <c r="E318" s="18">
        <v>6.9</v>
      </c>
      <c r="F318" s="19">
        <f t="shared" si="90"/>
        <v>0.8222222222222223</v>
      </c>
      <c r="G318" s="2">
        <v>86.649519600000005</v>
      </c>
      <c r="H318" s="2">
        <f t="shared" si="91"/>
        <v>0.53147449308351646</v>
      </c>
      <c r="I318" s="2">
        <v>80.900000000000006</v>
      </c>
      <c r="J318" s="4">
        <f t="shared" si="92"/>
        <v>0.39252789907811747</v>
      </c>
      <c r="K318" s="2">
        <v>0</v>
      </c>
      <c r="L318" s="4">
        <f t="shared" si="93"/>
        <v>0</v>
      </c>
      <c r="M318" s="2">
        <v>17988</v>
      </c>
      <c r="N318" s="2">
        <f t="shared" si="94"/>
        <v>8.3977989430005728E-2</v>
      </c>
      <c r="O318" s="2">
        <v>0.725192638</v>
      </c>
      <c r="P318" s="2">
        <f t="shared" si="95"/>
        <v>0.76028486628308001</v>
      </c>
      <c r="Q318" s="2">
        <v>0.1832</v>
      </c>
      <c r="R318" s="2">
        <f t="shared" si="96"/>
        <v>0.37116386797915463</v>
      </c>
      <c r="S318" s="2">
        <f t="shared" si="97"/>
        <v>0.15043027016679913</v>
      </c>
      <c r="T318" s="5">
        <f t="shared" si="111"/>
        <v>0.30351622314527704</v>
      </c>
      <c r="U318" s="2" t="str">
        <f t="shared" si="98"/>
        <v>Moderate</v>
      </c>
      <c r="V318" s="2">
        <f t="shared" si="99"/>
        <v>9.8695202434718091E-2</v>
      </c>
      <c r="W318" s="2">
        <f t="shared" si="100"/>
        <v>0.1777865045418586</v>
      </c>
      <c r="X318" s="2" t="s">
        <v>1175</v>
      </c>
      <c r="Y318" s="2">
        <f t="shared" si="101"/>
        <v>0.20216533789888019</v>
      </c>
      <c r="Z318" s="2">
        <f t="shared" si="102"/>
        <v>0.42895738207847478</v>
      </c>
      <c r="AA318" s="2" t="str">
        <f t="shared" si="103"/>
        <v>Moderate</v>
      </c>
      <c r="AB318" s="2">
        <f t="shared" si="104"/>
        <v>0.10300854999073976</v>
      </c>
      <c r="AC318" s="2">
        <f t="shared" si="105"/>
        <v>0.2863227809989497</v>
      </c>
      <c r="AD318" s="2" t="str">
        <f t="shared" si="106"/>
        <v>Low</v>
      </c>
      <c r="AE318" s="2">
        <f t="shared" si="107"/>
        <v>2.2330365054069639E-2</v>
      </c>
      <c r="AF318" s="2">
        <f t="shared" si="108"/>
        <v>0.11504017847794712</v>
      </c>
      <c r="AG318" s="2" t="s">
        <v>1175</v>
      </c>
    </row>
    <row r="319" spans="1:33" x14ac:dyDescent="0.3">
      <c r="A319">
        <v>404748</v>
      </c>
      <c r="B319" t="s">
        <v>646</v>
      </c>
      <c r="C319" t="s">
        <v>638</v>
      </c>
      <c r="D319" t="s">
        <v>647</v>
      </c>
      <c r="E319" s="18">
        <v>6</v>
      </c>
      <c r="F319" s="19">
        <f t="shared" si="90"/>
        <v>0.62222222222222223</v>
      </c>
      <c r="G319" s="2">
        <v>86.649519600000005</v>
      </c>
      <c r="H319" s="2">
        <f t="shared" si="91"/>
        <v>0.53147449308351646</v>
      </c>
      <c r="I319" s="2">
        <v>78.7</v>
      </c>
      <c r="J319" s="4">
        <f t="shared" si="92"/>
        <v>0.38185346918971375</v>
      </c>
      <c r="K319" s="2">
        <v>0</v>
      </c>
      <c r="L319" s="4">
        <f t="shared" si="93"/>
        <v>0</v>
      </c>
      <c r="M319" s="2">
        <v>12622</v>
      </c>
      <c r="N319" s="2">
        <f t="shared" si="94"/>
        <v>5.8589184918122761E-2</v>
      </c>
      <c r="O319" s="2">
        <v>0.65296287099999994</v>
      </c>
      <c r="P319" s="2">
        <f t="shared" si="95"/>
        <v>0.67684575199655961</v>
      </c>
      <c r="Q319" s="2">
        <v>0.2263</v>
      </c>
      <c r="R319" s="2">
        <f t="shared" si="96"/>
        <v>0.4959467284308049</v>
      </c>
      <c r="S319" s="2">
        <f t="shared" si="97"/>
        <v>0.11663569811019223</v>
      </c>
      <c r="T319" s="5">
        <f t="shared" si="111"/>
        <v>0.23533047261741505</v>
      </c>
      <c r="U319" s="2" t="str">
        <f t="shared" si="98"/>
        <v>Low</v>
      </c>
      <c r="V319" s="2">
        <f t="shared" si="99"/>
        <v>9.8645061016956984E-2</v>
      </c>
      <c r="W319" s="2">
        <f t="shared" si="100"/>
        <v>0.17769618133286152</v>
      </c>
      <c r="X319" s="2" t="s">
        <v>1175</v>
      </c>
      <c r="Y319" s="2">
        <f t="shared" si="101"/>
        <v>0.13462633520342748</v>
      </c>
      <c r="Z319" s="2">
        <f t="shared" si="102"/>
        <v>0.28565213457396216</v>
      </c>
      <c r="AA319" s="2" t="str">
        <f t="shared" si="103"/>
        <v>Low</v>
      </c>
      <c r="AB319" s="2">
        <f t="shared" si="104"/>
        <v>7.8992409987912932E-2</v>
      </c>
      <c r="AC319" s="2">
        <f t="shared" si="105"/>
        <v>0.21956746801679752</v>
      </c>
      <c r="AD319" s="2" t="str">
        <f t="shared" si="106"/>
        <v>Low</v>
      </c>
      <c r="AE319" s="2">
        <f t="shared" si="107"/>
        <v>1.1653537345570703E-2</v>
      </c>
      <c r="AF319" s="2">
        <f t="shared" si="108"/>
        <v>6.0035965058688148E-2</v>
      </c>
      <c r="AG319" s="2" t="s">
        <v>1175</v>
      </c>
    </row>
    <row r="320" spans="1:33" x14ac:dyDescent="0.3">
      <c r="A320">
        <v>404753</v>
      </c>
      <c r="B320" t="s">
        <v>648</v>
      </c>
      <c r="C320" t="s">
        <v>638</v>
      </c>
      <c r="D320" t="s">
        <v>649</v>
      </c>
      <c r="E320" s="18">
        <v>6.9</v>
      </c>
      <c r="F320" s="19">
        <f t="shared" si="90"/>
        <v>0.8222222222222223</v>
      </c>
      <c r="G320" s="2">
        <v>124.93116000000001</v>
      </c>
      <c r="H320" s="2">
        <f t="shared" si="91"/>
        <v>0.90159744602437641</v>
      </c>
      <c r="I320" s="2">
        <v>134.6</v>
      </c>
      <c r="J320" s="4">
        <f t="shared" si="92"/>
        <v>0.65308102862688011</v>
      </c>
      <c r="K320" s="2">
        <v>1.2</v>
      </c>
      <c r="L320" s="4">
        <f t="shared" si="93"/>
        <v>0.5</v>
      </c>
      <c r="M320" s="2">
        <v>26404</v>
      </c>
      <c r="N320" s="2">
        <f t="shared" si="94"/>
        <v>0.12379762766556425</v>
      </c>
      <c r="O320" s="2">
        <v>0.61498952399999995</v>
      </c>
      <c r="P320" s="2">
        <f t="shared" si="95"/>
        <v>0.63297931615197622</v>
      </c>
      <c r="Q320" s="2">
        <v>0.26429999999999998</v>
      </c>
      <c r="R320" s="2">
        <f t="shared" si="96"/>
        <v>0.60596409959467279</v>
      </c>
      <c r="S320" s="2">
        <f t="shared" si="97"/>
        <v>0.3535543400160458</v>
      </c>
      <c r="T320" s="5">
        <f t="shared" si="111"/>
        <v>0.71335029737901223</v>
      </c>
      <c r="U320" s="2" t="str">
        <f t="shared" si="98"/>
        <v>High</v>
      </c>
      <c r="V320" s="2">
        <f t="shared" si="99"/>
        <v>0.34584507182920787</v>
      </c>
      <c r="W320" s="2">
        <f t="shared" si="100"/>
        <v>0.62299468380150658</v>
      </c>
      <c r="X320" s="2" t="str">
        <f t="shared" si="109"/>
        <v>Moderate</v>
      </c>
      <c r="Y320" s="2">
        <f t="shared" si="101"/>
        <v>0.36126360820288372</v>
      </c>
      <c r="Z320" s="2">
        <f t="shared" si="102"/>
        <v>0.76653442783769699</v>
      </c>
      <c r="AA320" s="2" t="str">
        <f t="shared" si="103"/>
        <v>High</v>
      </c>
      <c r="AB320" s="2">
        <f t="shared" si="104"/>
        <v>0.25415434208923238</v>
      </c>
      <c r="AC320" s="2">
        <f t="shared" si="105"/>
        <v>0.70644794084072926</v>
      </c>
      <c r="AD320" s="2" t="str">
        <f t="shared" si="106"/>
        <v>High</v>
      </c>
      <c r="AE320" s="2">
        <f t="shared" si="107"/>
        <v>7.0655669966127141E-2</v>
      </c>
      <c r="AF320" s="2">
        <f t="shared" si="108"/>
        <v>0.36399946278087592</v>
      </c>
      <c r="AG320" s="2" t="str">
        <f t="shared" si="110"/>
        <v>Moderate</v>
      </c>
    </row>
    <row r="321" spans="1:33" x14ac:dyDescent="0.3">
      <c r="A321">
        <v>404764</v>
      </c>
      <c r="B321" t="s">
        <v>650</v>
      </c>
      <c r="C321" t="s">
        <v>638</v>
      </c>
      <c r="D321" t="s">
        <v>651</v>
      </c>
      <c r="E321" s="18">
        <v>6.9</v>
      </c>
      <c r="F321" s="19">
        <f t="shared" si="90"/>
        <v>0.8222222222222223</v>
      </c>
      <c r="G321" s="2">
        <v>78.911629199999993</v>
      </c>
      <c r="H321" s="2">
        <f t="shared" si="91"/>
        <v>0.45666132378211061</v>
      </c>
      <c r="I321" s="2">
        <v>71.7</v>
      </c>
      <c r="J321" s="4">
        <f t="shared" si="92"/>
        <v>0.34788937409024745</v>
      </c>
      <c r="K321" s="2">
        <v>1.2</v>
      </c>
      <c r="L321" s="4">
        <f t="shared" si="93"/>
        <v>0.5</v>
      </c>
      <c r="M321" s="2">
        <v>42872</v>
      </c>
      <c r="N321" s="2">
        <f t="shared" si="94"/>
        <v>0.20171466693162624</v>
      </c>
      <c r="O321" s="2">
        <v>0.70813871699999997</v>
      </c>
      <c r="P321" s="2">
        <f t="shared" si="95"/>
        <v>0.74058434498204506</v>
      </c>
      <c r="Q321" s="2">
        <v>0.2094</v>
      </c>
      <c r="R321" s="2">
        <f t="shared" si="96"/>
        <v>0.44701795020266361</v>
      </c>
      <c r="S321" s="2">
        <f t="shared" si="97"/>
        <v>0.21071933050577316</v>
      </c>
      <c r="T321" s="5">
        <f t="shared" si="111"/>
        <v>0.42515868161306586</v>
      </c>
      <c r="U321" s="2" t="str">
        <f t="shared" si="98"/>
        <v>Moderate</v>
      </c>
      <c r="V321" s="2">
        <f t="shared" si="99"/>
        <v>0.15863108983991656</v>
      </c>
      <c r="W321" s="2">
        <f t="shared" si="100"/>
        <v>0.28575317014987445</v>
      </c>
      <c r="X321" s="2" t="s">
        <v>1175</v>
      </c>
      <c r="Y321" s="2">
        <f t="shared" si="101"/>
        <v>0.26280757117162973</v>
      </c>
      <c r="Z321" s="2">
        <f t="shared" si="102"/>
        <v>0.55762896296580799</v>
      </c>
      <c r="AA321" s="2" t="str">
        <f t="shared" si="103"/>
        <v>Moderate</v>
      </c>
      <c r="AB321" s="2">
        <f t="shared" si="104"/>
        <v>0.15941667940024914</v>
      </c>
      <c r="AC321" s="2">
        <f t="shared" si="105"/>
        <v>0.44311493548448805</v>
      </c>
      <c r="AD321" s="2" t="str">
        <f t="shared" si="106"/>
        <v>Moderate</v>
      </c>
      <c r="AE321" s="2">
        <f t="shared" si="107"/>
        <v>7.1581504585112699E-2</v>
      </c>
      <c r="AF321" s="2">
        <f t="shared" si="108"/>
        <v>0.36876911968309256</v>
      </c>
      <c r="AG321" s="2" t="str">
        <f t="shared" si="110"/>
        <v>Moderate</v>
      </c>
    </row>
    <row r="322" spans="1:33" x14ac:dyDescent="0.3">
      <c r="A322">
        <v>404769</v>
      </c>
      <c r="B322" t="s">
        <v>652</v>
      </c>
      <c r="C322" t="s">
        <v>638</v>
      </c>
      <c r="D322" t="s">
        <v>653</v>
      </c>
      <c r="E322" s="18">
        <v>6.9</v>
      </c>
      <c r="F322" s="19">
        <f t="shared" ref="F322:F385" si="112">(E322-$AJ$5)/$AK$5</f>
        <v>0.8222222222222223</v>
      </c>
      <c r="G322" s="2">
        <v>86.649519600000005</v>
      </c>
      <c r="H322" s="2">
        <f t="shared" ref="H322:H385" si="113">(G322-$AJ$6)/$AK$6</f>
        <v>0.53147449308351646</v>
      </c>
      <c r="I322" s="2">
        <v>78.7</v>
      </c>
      <c r="J322" s="4">
        <f t="shared" ref="J322:J385" si="114">(I322-$AJ$7)/$AK$7</f>
        <v>0.38185346918971375</v>
      </c>
      <c r="K322" s="2">
        <v>0</v>
      </c>
      <c r="L322" s="4">
        <f t="shared" ref="L322:L385" si="115">(K322-$AJ$8)/$AK$8</f>
        <v>0</v>
      </c>
      <c r="M322" s="2">
        <v>16829</v>
      </c>
      <c r="N322" s="2">
        <f t="shared" ref="N322:N385" si="116">(M322-$AJ$9)/$AK$9</f>
        <v>7.849427261500902E-2</v>
      </c>
      <c r="O322" s="2">
        <v>0.63000545600000002</v>
      </c>
      <c r="P322" s="2">
        <f t="shared" ref="P322:P385" si="117">(O322-$AJ$11)/$AK$11</f>
        <v>0.65032557266512026</v>
      </c>
      <c r="Q322" s="2">
        <v>0.25719999999999998</v>
      </c>
      <c r="R322" s="2">
        <f t="shared" ref="R322:R385" si="118">(Q322-$AJ$12)/$AK$12</f>
        <v>0.58540822235089751</v>
      </c>
      <c r="S322" s="2">
        <f t="shared" ref="S322:S385" si="119">F322*(R322*0.5+P322*0.5)*(H322*0.35+J322*0.35+L322*0.3)</f>
        <v>0.16239734960486862</v>
      </c>
      <c r="T322" s="5">
        <f t="shared" si="111"/>
        <v>0.32766164779348728</v>
      </c>
      <c r="U322" s="2" t="str">
        <f t="shared" ref="U322:U385" si="120">IF(T322&gt;0.7,"High",IF(T322&gt;0.3,"Moderate",IF(T322&gt;0.15,"Low","No Impact")))</f>
        <v>Moderate</v>
      </c>
      <c r="V322" s="2">
        <f t="shared" ref="V322:V385" si="121">F322*(R322*1)*(H322*0.35+J322*0.35+L322*0.3)</f>
        <v>0.15386605777088275</v>
      </c>
      <c r="W322" s="2">
        <f t="shared" ref="W322:W385" si="122">(V322-$AJ$13)/$AK$13</f>
        <v>0.27716958782079687</v>
      </c>
      <c r="X322" s="2" t="s">
        <v>1175</v>
      </c>
      <c r="Y322" s="2">
        <f t="shared" ref="Y322:Y385" si="123">F322*(P322*1)*(H322*0.35+J322*0.35+L322*0.3)</f>
        <v>0.17092864143885456</v>
      </c>
      <c r="Z322" s="2">
        <f t="shared" ref="Z322:Z385" si="124">(Y322-$AJ$14)/$AK$14</f>
        <v>0.36267890092274557</v>
      </c>
      <c r="AA322" s="2" t="str">
        <f t="shared" ref="AA322:AA385" si="125">IF(Z322&gt;0.7,"High",IF(Z322&gt;0.3,"Moderate",IF(Z322&gt;0.15,"Low","No Impact")))</f>
        <v>Moderate</v>
      </c>
      <c r="AB322" s="2">
        <f t="shared" ref="AB322:AB385" si="126">F322*(R322*0.35+P322*0.3+N322*0.35)*(H322*0.35+J322*0.35+L322*0.3)</f>
        <v>0.11235259090070993</v>
      </c>
      <c r="AC322" s="2">
        <f t="shared" ref="AC322:AC385" si="127">(AB322-$AJ$15)/$AK$15</f>
        <v>0.3122954966555736</v>
      </c>
      <c r="AD322" s="2" t="str">
        <f t="shared" ref="AD322:AD385" si="128">IF(AC322&gt;0.7,"High",IF(AC322&gt;0.3,"Moderate",IF(AC322&gt;0.15,"Low","No Impact")))</f>
        <v>Moderate</v>
      </c>
      <c r="AE322" s="2">
        <f t="shared" ref="AE322:AE385" si="129">F322*(N322*1)*(H322*0.35+J322*0.35+L322*0.3)</f>
        <v>2.0631080712127416E-2</v>
      </c>
      <c r="AF322" s="2">
        <f t="shared" ref="AF322:AF385" si="130">(AE322-$AJ$16)/$AK$16</f>
        <v>0.10628591165299937</v>
      </c>
      <c r="AG322" s="2" t="s">
        <v>1175</v>
      </c>
    </row>
    <row r="323" spans="1:33" x14ac:dyDescent="0.3">
      <c r="A323">
        <v>404775</v>
      </c>
      <c r="B323" t="s">
        <v>654</v>
      </c>
      <c r="C323" t="s">
        <v>638</v>
      </c>
      <c r="D323" t="s">
        <v>655</v>
      </c>
      <c r="E323" s="18">
        <v>6.4</v>
      </c>
      <c r="F323" s="19">
        <f t="shared" si="112"/>
        <v>0.71111111111111114</v>
      </c>
      <c r="G323" s="2">
        <v>93.526081199999993</v>
      </c>
      <c r="H323" s="2">
        <f t="shared" si="113"/>
        <v>0.59795997434496517</v>
      </c>
      <c r="I323" s="2">
        <v>103.6</v>
      </c>
      <c r="J323" s="4">
        <f t="shared" si="114"/>
        <v>0.50266860747210096</v>
      </c>
      <c r="K323" s="2">
        <v>0</v>
      </c>
      <c r="L323" s="4">
        <f t="shared" si="115"/>
        <v>0</v>
      </c>
      <c r="M323" s="2">
        <v>27731</v>
      </c>
      <c r="N323" s="2">
        <f t="shared" si="116"/>
        <v>0.13007622319058637</v>
      </c>
      <c r="O323" s="2">
        <v>0.56979338000000002</v>
      </c>
      <c r="P323" s="2">
        <f t="shared" si="117"/>
        <v>0.58076917646640835</v>
      </c>
      <c r="Q323" s="2">
        <v>0.22600000000000001</v>
      </c>
      <c r="R323" s="2">
        <f t="shared" si="118"/>
        <v>0.49507817023740597</v>
      </c>
      <c r="S323" s="2">
        <f t="shared" si="119"/>
        <v>0.14735570446542059</v>
      </c>
      <c r="T323" s="5">
        <f t="shared" si="111"/>
        <v>0.29731281362896295</v>
      </c>
      <c r="U323" s="2" t="str">
        <f t="shared" si="120"/>
        <v>Low</v>
      </c>
      <c r="V323" s="2">
        <f t="shared" si="121"/>
        <v>0.13561885478324939</v>
      </c>
      <c r="W323" s="2">
        <f t="shared" si="122"/>
        <v>0.24429963713618377</v>
      </c>
      <c r="X323" s="2" t="s">
        <v>1175</v>
      </c>
      <c r="Y323" s="2">
        <f t="shared" si="123"/>
        <v>0.1590925541475918</v>
      </c>
      <c r="Z323" s="2">
        <f t="shared" si="124"/>
        <v>0.33756491713462505</v>
      </c>
      <c r="AA323" s="2" t="str">
        <f t="shared" si="125"/>
        <v>Moderate</v>
      </c>
      <c r="AB323" s="2">
        <f t="shared" si="126"/>
        <v>0.10766568069638884</v>
      </c>
      <c r="AC323" s="2">
        <f t="shared" si="127"/>
        <v>0.29926775124886507</v>
      </c>
      <c r="AD323" s="2" t="str">
        <f t="shared" si="128"/>
        <v>Low</v>
      </c>
      <c r="AE323" s="2">
        <f t="shared" si="129"/>
        <v>3.5632329365640064E-2</v>
      </c>
      <c r="AF323" s="2">
        <f t="shared" si="130"/>
        <v>0.18356840651206335</v>
      </c>
      <c r="AG323" s="2" t="s">
        <v>1175</v>
      </c>
    </row>
    <row r="324" spans="1:33" x14ac:dyDescent="0.3">
      <c r="A324">
        <v>404794</v>
      </c>
      <c r="B324" t="s">
        <v>656</v>
      </c>
      <c r="C324" t="s">
        <v>638</v>
      </c>
      <c r="D324" t="s">
        <v>657</v>
      </c>
      <c r="E324" s="18">
        <v>6.9</v>
      </c>
      <c r="F324" s="19">
        <f t="shared" si="112"/>
        <v>0.8222222222222223</v>
      </c>
      <c r="G324" s="2">
        <v>93.526081199999993</v>
      </c>
      <c r="H324" s="2">
        <f t="shared" si="113"/>
        <v>0.59795997434496517</v>
      </c>
      <c r="I324" s="2">
        <v>97.4</v>
      </c>
      <c r="J324" s="4">
        <f t="shared" si="114"/>
        <v>0.47258612324114513</v>
      </c>
      <c r="K324" s="2">
        <v>0</v>
      </c>
      <c r="L324" s="4">
        <f t="shared" si="115"/>
        <v>0</v>
      </c>
      <c r="M324" s="2">
        <v>14270</v>
      </c>
      <c r="N324" s="2">
        <f t="shared" si="116"/>
        <v>6.6386566549800574E-2</v>
      </c>
      <c r="O324" s="2">
        <v>0.71954688300000003</v>
      </c>
      <c r="P324" s="2">
        <f t="shared" si="117"/>
        <v>0.75376294580286174</v>
      </c>
      <c r="Q324" s="2">
        <v>0.21460000000000001</v>
      </c>
      <c r="R324" s="2">
        <f t="shared" si="118"/>
        <v>0.46207295888824557</v>
      </c>
      <c r="S324" s="2">
        <f t="shared" si="119"/>
        <v>0.18728698400871391</v>
      </c>
      <c r="T324" s="5">
        <f t="shared" si="111"/>
        <v>0.37788031602658584</v>
      </c>
      <c r="U324" s="2" t="str">
        <f t="shared" si="120"/>
        <v>Moderate</v>
      </c>
      <c r="V324" s="2">
        <f t="shared" si="121"/>
        <v>0.14235514928990059</v>
      </c>
      <c r="W324" s="2">
        <f t="shared" si="122"/>
        <v>0.25643419103908704</v>
      </c>
      <c r="X324" s="2" t="s">
        <v>1175</v>
      </c>
      <c r="Y324" s="2">
        <f t="shared" si="123"/>
        <v>0.23221881872752717</v>
      </c>
      <c r="Z324" s="2">
        <f t="shared" si="124"/>
        <v>0.49272529893596417</v>
      </c>
      <c r="AA324" s="2" t="str">
        <f t="shared" si="125"/>
        <v>Moderate</v>
      </c>
      <c r="AB324" s="2">
        <f t="shared" si="126"/>
        <v>0.12664826409141389</v>
      </c>
      <c r="AC324" s="2">
        <f t="shared" si="127"/>
        <v>0.35203177975617506</v>
      </c>
      <c r="AD324" s="2" t="str">
        <f t="shared" si="128"/>
        <v>Moderate</v>
      </c>
      <c r="AE324" s="2">
        <f t="shared" si="129"/>
        <v>2.0452332061972965E-2</v>
      </c>
      <c r="AF324" s="2">
        <f t="shared" si="130"/>
        <v>0.10536504553340531</v>
      </c>
      <c r="AG324" s="2" t="s">
        <v>1175</v>
      </c>
    </row>
    <row r="325" spans="1:33" x14ac:dyDescent="0.3">
      <c r="A325">
        <v>405015</v>
      </c>
      <c r="B325" t="s">
        <v>658</v>
      </c>
      <c r="C325" t="s">
        <v>659</v>
      </c>
      <c r="D325" t="s">
        <v>660</v>
      </c>
      <c r="E325" s="18">
        <v>5.6</v>
      </c>
      <c r="F325" s="19">
        <f t="shared" si="112"/>
        <v>0.53333333333333321</v>
      </c>
      <c r="G325" s="2">
        <v>57.621006000000001</v>
      </c>
      <c r="H325" s="2">
        <f t="shared" si="113"/>
        <v>0.25081465037949496</v>
      </c>
      <c r="I325" s="2">
        <v>38</v>
      </c>
      <c r="J325" s="4">
        <f t="shared" si="114"/>
        <v>0.1843765162542455</v>
      </c>
      <c r="K325" s="2">
        <v>0</v>
      </c>
      <c r="L325" s="4">
        <f t="shared" si="115"/>
        <v>0</v>
      </c>
      <c r="M325" s="2">
        <v>38100</v>
      </c>
      <c r="N325" s="2">
        <f t="shared" si="116"/>
        <v>0.17913632643019026</v>
      </c>
      <c r="O325" s="2">
        <v>0.78116169000000002</v>
      </c>
      <c r="P325" s="2">
        <f t="shared" si="117"/>
        <v>0.82493976301473082</v>
      </c>
      <c r="Q325" s="2">
        <v>0.22189999999999999</v>
      </c>
      <c r="R325" s="2">
        <f t="shared" si="118"/>
        <v>0.48320787492762013</v>
      </c>
      <c r="S325" s="2">
        <f t="shared" si="119"/>
        <v>5.3134134357294999E-2</v>
      </c>
      <c r="T325" s="5">
        <f t="shared" si="111"/>
        <v>0.10720629406792903</v>
      </c>
      <c r="U325" s="2" t="str">
        <f t="shared" si="120"/>
        <v>No Impact</v>
      </c>
      <c r="V325" s="2">
        <f t="shared" si="121"/>
        <v>3.9253722445720819E-2</v>
      </c>
      <c r="W325" s="2">
        <f t="shared" si="122"/>
        <v>7.0710449259143215E-2</v>
      </c>
      <c r="X325" s="2" t="s">
        <v>1176</v>
      </c>
      <c r="Y325" s="2">
        <f t="shared" si="123"/>
        <v>6.7014546268869171E-2</v>
      </c>
      <c r="Z325" s="2">
        <f t="shared" si="124"/>
        <v>0.14219244815869184</v>
      </c>
      <c r="AA325" s="2" t="str">
        <f t="shared" si="125"/>
        <v>No Impact</v>
      </c>
      <c r="AB325" s="2">
        <f t="shared" si="126"/>
        <v>3.8936458466524659E-2</v>
      </c>
      <c r="AC325" s="2">
        <f t="shared" si="127"/>
        <v>0.10822786139002692</v>
      </c>
      <c r="AD325" s="2" t="str">
        <f t="shared" si="128"/>
        <v>No Impact</v>
      </c>
      <c r="AE325" s="2">
        <f t="shared" si="129"/>
        <v>1.4552262085318913E-2</v>
      </c>
      <c r="AF325" s="2">
        <f t="shared" si="130"/>
        <v>7.4969433929959514E-2</v>
      </c>
      <c r="AG325" s="2" t="s">
        <v>1175</v>
      </c>
    </row>
    <row r="326" spans="1:33" x14ac:dyDescent="0.3">
      <c r="A326">
        <v>405039</v>
      </c>
      <c r="B326" t="s">
        <v>661</v>
      </c>
      <c r="C326" t="s">
        <v>659</v>
      </c>
      <c r="D326" s="15" t="s">
        <v>1143</v>
      </c>
      <c r="E326" s="18">
        <v>5.0999999999999996</v>
      </c>
      <c r="F326" s="19">
        <f t="shared" si="112"/>
        <v>0.42222222222222211</v>
      </c>
      <c r="G326" s="2">
        <v>61.256160000000001</v>
      </c>
      <c r="H326" s="2">
        <f t="shared" si="113"/>
        <v>0.28596084366735569</v>
      </c>
      <c r="I326" s="2">
        <v>41</v>
      </c>
      <c r="J326" s="4">
        <f t="shared" si="114"/>
        <v>0.19893255701115964</v>
      </c>
      <c r="K326" s="2">
        <v>0</v>
      </c>
      <c r="L326" s="4">
        <f t="shared" si="115"/>
        <v>0</v>
      </c>
      <c r="M326" s="2">
        <v>80319</v>
      </c>
      <c r="N326" s="2">
        <f t="shared" si="116"/>
        <v>0.37889218511211104</v>
      </c>
      <c r="O326" s="2">
        <v>0.64021672100000004</v>
      </c>
      <c r="P326" s="2">
        <f t="shared" si="117"/>
        <v>0.66212152525825207</v>
      </c>
      <c r="Q326" s="2">
        <v>0.22500000000000001</v>
      </c>
      <c r="R326" s="2">
        <f t="shared" si="118"/>
        <v>0.49218297625940943</v>
      </c>
      <c r="S326" s="2">
        <f t="shared" si="119"/>
        <v>4.1356692486779159E-2</v>
      </c>
      <c r="T326" s="5">
        <f t="shared" si="111"/>
        <v>8.3443492399831259E-2</v>
      </c>
      <c r="U326" s="2" t="str">
        <f t="shared" si="120"/>
        <v>No Impact</v>
      </c>
      <c r="V326" s="2">
        <f t="shared" si="121"/>
        <v>3.5268094284698029E-2</v>
      </c>
      <c r="W326" s="2">
        <f t="shared" si="122"/>
        <v>6.3530861177133496E-2</v>
      </c>
      <c r="X326" s="2" t="s">
        <v>1176</v>
      </c>
      <c r="Y326" s="2">
        <f t="shared" si="123"/>
        <v>4.7445290688860289E-2</v>
      </c>
      <c r="Z326" s="2">
        <f t="shared" si="124"/>
        <v>0.10067011435969052</v>
      </c>
      <c r="AA326" s="2" t="str">
        <f t="shared" si="125"/>
        <v>No Impact</v>
      </c>
      <c r="AB326" s="2">
        <f t="shared" si="126"/>
        <v>3.6079946875223944E-2</v>
      </c>
      <c r="AC326" s="2">
        <f t="shared" si="127"/>
        <v>0.10028789579638947</v>
      </c>
      <c r="AD326" s="2" t="str">
        <f t="shared" si="128"/>
        <v>No Impact</v>
      </c>
      <c r="AE326" s="2">
        <f t="shared" si="129"/>
        <v>2.7150076196918695E-2</v>
      </c>
      <c r="AF326" s="2">
        <f t="shared" si="130"/>
        <v>0.13987006499090662</v>
      </c>
      <c r="AG326" s="2" t="s">
        <v>1175</v>
      </c>
    </row>
    <row r="327" spans="1:33" x14ac:dyDescent="0.3">
      <c r="A327">
        <v>405063</v>
      </c>
      <c r="B327" t="s">
        <v>662</v>
      </c>
      <c r="C327" t="s">
        <v>659</v>
      </c>
      <c r="D327" t="s">
        <v>663</v>
      </c>
      <c r="E327" s="18">
        <v>5.5</v>
      </c>
      <c r="F327" s="19">
        <f t="shared" si="112"/>
        <v>0.51111111111111107</v>
      </c>
      <c r="G327" s="2">
        <v>67.21866</v>
      </c>
      <c r="H327" s="2">
        <f t="shared" si="113"/>
        <v>0.34360879406474454</v>
      </c>
      <c r="I327" s="2">
        <v>42</v>
      </c>
      <c r="J327" s="4">
        <f t="shared" si="114"/>
        <v>0.20378457059679767</v>
      </c>
      <c r="K327" s="2">
        <v>0</v>
      </c>
      <c r="L327" s="4">
        <f t="shared" si="115"/>
        <v>0</v>
      </c>
      <c r="M327" s="2">
        <v>11398</v>
      </c>
      <c r="N327" s="2">
        <f t="shared" si="116"/>
        <v>5.2797925745080507E-2</v>
      </c>
      <c r="O327" s="2">
        <v>0.42017280800000001</v>
      </c>
      <c r="P327" s="2">
        <f t="shared" si="117"/>
        <v>0.4079289677097811</v>
      </c>
      <c r="Q327" s="2">
        <v>0.27650000000000002</v>
      </c>
      <c r="R327" s="2">
        <f t="shared" si="118"/>
        <v>0.64128546612623061</v>
      </c>
      <c r="S327" s="2">
        <f t="shared" si="119"/>
        <v>5.1370897827456033E-2</v>
      </c>
      <c r="T327" s="5">
        <f t="shared" si="111"/>
        <v>0.10364869298501465</v>
      </c>
      <c r="U327" s="2" t="str">
        <f t="shared" si="120"/>
        <v>No Impact</v>
      </c>
      <c r="V327" s="2">
        <f t="shared" si="121"/>
        <v>6.2796334278702931E-2</v>
      </c>
      <c r="W327" s="2">
        <f t="shared" si="122"/>
        <v>0.11311938669802454</v>
      </c>
      <c r="X327" s="2" t="s">
        <v>1176</v>
      </c>
      <c r="Y327" s="2">
        <f t="shared" si="123"/>
        <v>3.9945461376209149E-2</v>
      </c>
      <c r="Z327" s="2">
        <f t="shared" si="124"/>
        <v>8.4756866414093704E-2</v>
      </c>
      <c r="AA327" s="2" t="str">
        <f t="shared" si="125"/>
        <v>No Impact</v>
      </c>
      <c r="AB327" s="2">
        <f t="shared" si="126"/>
        <v>3.5771893797452388E-2</v>
      </c>
      <c r="AC327" s="2">
        <f t="shared" si="127"/>
        <v>9.9431630817115743E-2</v>
      </c>
      <c r="AD327" s="2" t="str">
        <f t="shared" si="128"/>
        <v>No Impact</v>
      </c>
      <c r="AE327" s="2">
        <f t="shared" si="129"/>
        <v>5.1701096772674782E-3</v>
      </c>
      <c r="AF327" s="2">
        <f t="shared" si="130"/>
        <v>2.6635047773883896E-2</v>
      </c>
      <c r="AG327" s="2" t="s">
        <v>1176</v>
      </c>
    </row>
    <row r="328" spans="1:33" x14ac:dyDescent="0.3">
      <c r="A328">
        <v>405071</v>
      </c>
      <c r="B328" t="s">
        <v>664</v>
      </c>
      <c r="C328" t="s">
        <v>659</v>
      </c>
      <c r="D328" t="s">
        <v>665</v>
      </c>
      <c r="E328" s="18">
        <v>5.5</v>
      </c>
      <c r="F328" s="19">
        <f t="shared" si="112"/>
        <v>0.51111111111111107</v>
      </c>
      <c r="G328" s="2">
        <v>67.21866</v>
      </c>
      <c r="H328" s="2">
        <f t="shared" si="113"/>
        <v>0.34360879406474454</v>
      </c>
      <c r="I328" s="2">
        <v>42</v>
      </c>
      <c r="J328" s="4">
        <f t="shared" si="114"/>
        <v>0.20378457059679767</v>
      </c>
      <c r="K328" s="2">
        <v>0</v>
      </c>
      <c r="L328" s="4">
        <f t="shared" si="115"/>
        <v>0</v>
      </c>
      <c r="M328" s="2">
        <v>32093</v>
      </c>
      <c r="N328" s="2">
        <f t="shared" si="116"/>
        <v>0.15071468112588893</v>
      </c>
      <c r="O328" s="2">
        <v>0.26753194899999999</v>
      </c>
      <c r="P328" s="2">
        <f t="shared" si="117"/>
        <v>0.23159975320610371</v>
      </c>
      <c r="Q328" s="2">
        <v>0.24629999999999999</v>
      </c>
      <c r="R328" s="2">
        <f t="shared" si="118"/>
        <v>0.55385060799073538</v>
      </c>
      <c r="S328" s="2">
        <f t="shared" si="119"/>
        <v>3.8456667152453321E-2</v>
      </c>
      <c r="T328" s="5">
        <f t="shared" si="111"/>
        <v>7.7592244937972579E-2</v>
      </c>
      <c r="U328" s="2" t="str">
        <f t="shared" si="120"/>
        <v>No Impact</v>
      </c>
      <c r="V328" s="2">
        <f t="shared" si="121"/>
        <v>5.4234486444766895E-2</v>
      </c>
      <c r="W328" s="2">
        <f t="shared" si="122"/>
        <v>9.7696337134682121E-2</v>
      </c>
      <c r="X328" s="2" t="s">
        <v>1176</v>
      </c>
      <c r="Y328" s="2">
        <f t="shared" si="123"/>
        <v>2.2678847860139753E-2</v>
      </c>
      <c r="Z328" s="2">
        <f t="shared" si="124"/>
        <v>4.8120312352988449E-2</v>
      </c>
      <c r="AA328" s="2" t="str">
        <f t="shared" si="125"/>
        <v>No Impact</v>
      </c>
      <c r="AB328" s="2">
        <f t="shared" si="126"/>
        <v>3.0951154829759027E-2</v>
      </c>
      <c r="AC328" s="2">
        <f t="shared" si="127"/>
        <v>8.603189469983176E-2</v>
      </c>
      <c r="AD328" s="2" t="str">
        <f t="shared" si="128"/>
        <v>No Impact</v>
      </c>
      <c r="AE328" s="2">
        <f t="shared" si="129"/>
        <v>1.4758372045853415E-2</v>
      </c>
      <c r="AF328" s="2">
        <f t="shared" si="130"/>
        <v>7.6031258337601729E-2</v>
      </c>
      <c r="AG328" s="2" t="s">
        <v>1175</v>
      </c>
    </row>
    <row r="329" spans="1:33" x14ac:dyDescent="0.3">
      <c r="A329">
        <v>405079</v>
      </c>
      <c r="B329" t="s">
        <v>666</v>
      </c>
      <c r="C329" t="s">
        <v>659</v>
      </c>
      <c r="D329" t="s">
        <v>667</v>
      </c>
      <c r="E329" s="18">
        <v>5.5</v>
      </c>
      <c r="F329" s="19">
        <f t="shared" si="112"/>
        <v>0.51111111111111107</v>
      </c>
      <c r="G329" s="2">
        <v>67.21866</v>
      </c>
      <c r="H329" s="2">
        <f t="shared" si="113"/>
        <v>0.34360879406474454</v>
      </c>
      <c r="I329" s="2">
        <v>45</v>
      </c>
      <c r="J329" s="4">
        <f t="shared" si="114"/>
        <v>0.2183406113537118</v>
      </c>
      <c r="K329" s="2">
        <v>0</v>
      </c>
      <c r="L329" s="4">
        <f t="shared" si="115"/>
        <v>0</v>
      </c>
      <c r="M329" s="2">
        <v>55212</v>
      </c>
      <c r="N329" s="2">
        <f t="shared" si="116"/>
        <v>0.26010040075134966</v>
      </c>
      <c r="O329" s="2">
        <v>0.372812751</v>
      </c>
      <c r="P329" s="2">
        <f t="shared" si="117"/>
        <v>0.35321909707377147</v>
      </c>
      <c r="Q329" s="2">
        <v>0.24060000000000001</v>
      </c>
      <c r="R329" s="2">
        <f t="shared" si="118"/>
        <v>0.5373480023161552</v>
      </c>
      <c r="S329" s="2">
        <f t="shared" si="119"/>
        <v>4.4762798872207091E-2</v>
      </c>
      <c r="T329" s="5">
        <f t="shared" si="111"/>
        <v>9.0315836274437053E-2</v>
      </c>
      <c r="U329" s="2" t="str">
        <f t="shared" si="120"/>
        <v>No Impact</v>
      </c>
      <c r="V329" s="2">
        <f t="shared" si="121"/>
        <v>5.4017716505668605E-2</v>
      </c>
      <c r="W329" s="2">
        <f t="shared" si="122"/>
        <v>9.7305854428214919E-2</v>
      </c>
      <c r="X329" s="2" t="s">
        <v>1176</v>
      </c>
      <c r="Y329" s="2">
        <f t="shared" si="123"/>
        <v>3.5507881238745584E-2</v>
      </c>
      <c r="Z329" s="2">
        <f t="shared" si="124"/>
        <v>7.5341143727339535E-2</v>
      </c>
      <c r="AA329" s="2" t="str">
        <f t="shared" si="125"/>
        <v>No Impact</v>
      </c>
      <c r="AB329" s="2">
        <f t="shared" si="126"/>
        <v>3.8710009608404421E-2</v>
      </c>
      <c r="AC329" s="2">
        <f t="shared" si="127"/>
        <v>0.10759842367037305</v>
      </c>
      <c r="AD329" s="2" t="str">
        <f t="shared" si="128"/>
        <v>No Impact</v>
      </c>
      <c r="AE329" s="2">
        <f t="shared" si="129"/>
        <v>2.6146984170847806E-2</v>
      </c>
      <c r="AF329" s="2">
        <f t="shared" si="130"/>
        <v>0.13470239820939245</v>
      </c>
      <c r="AG329" s="2" t="s">
        <v>1175</v>
      </c>
    </row>
    <row r="330" spans="1:33" x14ac:dyDescent="0.3">
      <c r="A330">
        <v>405094</v>
      </c>
      <c r="B330" t="s">
        <v>668</v>
      </c>
      <c r="C330" t="s">
        <v>659</v>
      </c>
      <c r="D330" t="s">
        <v>1136</v>
      </c>
      <c r="E330" s="18">
        <v>5.2</v>
      </c>
      <c r="F330" s="19">
        <f t="shared" si="112"/>
        <v>0.44444444444444442</v>
      </c>
      <c r="G330" s="2">
        <v>61.256160000000001</v>
      </c>
      <c r="H330" s="2">
        <f t="shared" si="113"/>
        <v>0.28596084366735569</v>
      </c>
      <c r="I330" s="2">
        <v>52.5</v>
      </c>
      <c r="J330" s="4">
        <f t="shared" si="114"/>
        <v>0.25473071324599711</v>
      </c>
      <c r="K330" s="2">
        <v>0</v>
      </c>
      <c r="L330" s="4">
        <f t="shared" si="115"/>
        <v>0</v>
      </c>
      <c r="M330" s="2">
        <v>51537</v>
      </c>
      <c r="N330" s="2">
        <f t="shared" si="116"/>
        <v>0.24271242896954384</v>
      </c>
      <c r="O330" s="2">
        <v>0.34081370100000002</v>
      </c>
      <c r="P330" s="2">
        <f t="shared" si="117"/>
        <v>0.31625411018671595</v>
      </c>
      <c r="Q330" s="2">
        <v>0.24060000000000001</v>
      </c>
      <c r="R330" s="2">
        <f t="shared" si="118"/>
        <v>0.5373480023161552</v>
      </c>
      <c r="S330" s="2">
        <f t="shared" si="119"/>
        <v>3.5897202070621449E-2</v>
      </c>
      <c r="T330" s="5">
        <f t="shared" si="111"/>
        <v>7.2428130201965937E-2</v>
      </c>
      <c r="U330" s="2" t="str">
        <f t="shared" si="120"/>
        <v>No Impact</v>
      </c>
      <c r="V330" s="2">
        <f t="shared" si="121"/>
        <v>4.5195037685249177E-2</v>
      </c>
      <c r="W330" s="2">
        <f t="shared" si="122"/>
        <v>8.1412951941740197E-2</v>
      </c>
      <c r="X330" s="2" t="s">
        <v>1176</v>
      </c>
      <c r="Y330" s="2">
        <f t="shared" si="123"/>
        <v>2.6599366455993718E-2</v>
      </c>
      <c r="Z330" s="2">
        <f t="shared" si="124"/>
        <v>5.643892626942882E-2</v>
      </c>
      <c r="AA330" s="2" t="str">
        <f t="shared" si="125"/>
        <v>No Impact</v>
      </c>
      <c r="AB330" s="2">
        <f t="shared" si="126"/>
        <v>3.0942957008842489E-2</v>
      </c>
      <c r="AC330" s="2">
        <f t="shared" si="127"/>
        <v>8.6009108019666228E-2</v>
      </c>
      <c r="AD330" s="2" t="str">
        <f t="shared" si="128"/>
        <v>No Impact</v>
      </c>
      <c r="AE330" s="2">
        <f t="shared" si="129"/>
        <v>2.0413953949163319E-2</v>
      </c>
      <c r="AF330" s="2">
        <f t="shared" si="130"/>
        <v>0.10516733157142671</v>
      </c>
      <c r="AG330" s="2" t="s">
        <v>1175</v>
      </c>
    </row>
    <row r="331" spans="1:33" x14ac:dyDescent="0.3">
      <c r="A331">
        <v>405557</v>
      </c>
      <c r="B331" t="s">
        <v>669</v>
      </c>
      <c r="C331" t="s">
        <v>670</v>
      </c>
      <c r="D331" t="s">
        <v>671</v>
      </c>
      <c r="E331" s="18">
        <v>4.9000000000000004</v>
      </c>
      <c r="F331" s="19">
        <f t="shared" si="112"/>
        <v>0.37777777777777782</v>
      </c>
      <c r="G331" s="2">
        <v>86.631940799999995</v>
      </c>
      <c r="H331" s="2">
        <f t="shared" si="113"/>
        <v>0.53130453387337873</v>
      </c>
      <c r="I331" s="2">
        <v>76.3</v>
      </c>
      <c r="J331" s="4">
        <f t="shared" si="114"/>
        <v>0.3702086365841824</v>
      </c>
      <c r="K331" s="2">
        <v>0</v>
      </c>
      <c r="L331" s="4">
        <f t="shared" si="115"/>
        <v>0</v>
      </c>
      <c r="M331" s="2">
        <v>51857</v>
      </c>
      <c r="N331" s="2">
        <f t="shared" si="116"/>
        <v>0.24422648365530653</v>
      </c>
      <c r="O331" s="2">
        <v>0.50164850000000005</v>
      </c>
      <c r="P331" s="2">
        <f t="shared" si="117"/>
        <v>0.50204888334458209</v>
      </c>
      <c r="Q331" s="2">
        <v>0.28420000000000001</v>
      </c>
      <c r="R331" s="2">
        <f t="shared" si="118"/>
        <v>0.66357845975680374</v>
      </c>
      <c r="S331" s="2">
        <f t="shared" si="119"/>
        <v>6.9471433220283943E-2</v>
      </c>
      <c r="T331" s="5">
        <f t="shared" si="111"/>
        <v>0.14016930903687</v>
      </c>
      <c r="U331" s="2" t="str">
        <f t="shared" si="120"/>
        <v>No Impact</v>
      </c>
      <c r="V331" s="2">
        <f t="shared" si="121"/>
        <v>7.909860201246828E-2</v>
      </c>
      <c r="W331" s="2">
        <f t="shared" si="122"/>
        <v>0.14248579078852491</v>
      </c>
      <c r="X331" s="2" t="s">
        <v>1176</v>
      </c>
      <c r="Y331" s="2">
        <f t="shared" si="123"/>
        <v>5.9844264428099606E-2</v>
      </c>
      <c r="Z331" s="2">
        <f t="shared" si="124"/>
        <v>0.12697843887724033</v>
      </c>
      <c r="AA331" s="2" t="str">
        <f t="shared" si="125"/>
        <v>No Impact</v>
      </c>
      <c r="AB331" s="2">
        <f t="shared" si="126"/>
        <v>5.5826925321366051E-2</v>
      </c>
      <c r="AC331" s="2">
        <f t="shared" si="127"/>
        <v>0.15517663838653378</v>
      </c>
      <c r="AD331" s="2" t="str">
        <f t="shared" si="128"/>
        <v>Low</v>
      </c>
      <c r="AE331" s="2">
        <f t="shared" si="129"/>
        <v>2.911181511020651E-2</v>
      </c>
      <c r="AF331" s="2">
        <f t="shared" si="130"/>
        <v>0.14997642886652249</v>
      </c>
      <c r="AG331" s="2" t="s">
        <v>1175</v>
      </c>
    </row>
    <row r="332" spans="1:33" x14ac:dyDescent="0.3">
      <c r="A332">
        <v>405566</v>
      </c>
      <c r="B332" t="s">
        <v>672</v>
      </c>
      <c r="C332" t="s">
        <v>670</v>
      </c>
      <c r="D332" t="s">
        <v>1137</v>
      </c>
      <c r="E332" s="18">
        <v>4.8</v>
      </c>
      <c r="F332" s="19">
        <f t="shared" si="112"/>
        <v>0.35555555555555546</v>
      </c>
      <c r="G332" s="2">
        <v>86.631940799999995</v>
      </c>
      <c r="H332" s="2">
        <f t="shared" si="113"/>
        <v>0.53130453387337873</v>
      </c>
      <c r="I332" s="2">
        <v>77.5</v>
      </c>
      <c r="J332" s="4">
        <f t="shared" si="114"/>
        <v>0.3760310528869481</v>
      </c>
      <c r="K332" s="2">
        <v>0</v>
      </c>
      <c r="L332" s="4">
        <f t="shared" si="115"/>
        <v>0</v>
      </c>
      <c r="M332" s="2">
        <v>16134</v>
      </c>
      <c r="N332" s="2">
        <f t="shared" si="116"/>
        <v>7.5205935094368195E-2</v>
      </c>
      <c r="O332" s="2">
        <v>0.59765024</v>
      </c>
      <c r="P332" s="2">
        <f t="shared" si="117"/>
        <v>0.61294914632846798</v>
      </c>
      <c r="Q332" s="2">
        <v>0.3145</v>
      </c>
      <c r="R332" s="2">
        <f t="shared" si="118"/>
        <v>0.7513028372900985</v>
      </c>
      <c r="S332" s="2">
        <f t="shared" si="119"/>
        <v>7.7020805496163899E-2</v>
      </c>
      <c r="T332" s="5">
        <f t="shared" si="111"/>
        <v>0.15540132954545555</v>
      </c>
      <c r="U332" s="2" t="str">
        <f t="shared" si="120"/>
        <v>Low</v>
      </c>
      <c r="V332" s="2">
        <f t="shared" si="121"/>
        <v>8.4831761865798522E-2</v>
      </c>
      <c r="W332" s="2">
        <f t="shared" si="122"/>
        <v>0.15281332875550463</v>
      </c>
      <c r="X332" s="2" t="s">
        <v>1175</v>
      </c>
      <c r="Y332" s="2">
        <f t="shared" si="123"/>
        <v>6.9209849126529277E-2</v>
      </c>
      <c r="Z332" s="2">
        <f t="shared" si="124"/>
        <v>0.14685047399278556</v>
      </c>
      <c r="AA332" s="2" t="str">
        <f t="shared" si="125"/>
        <v>No Impact</v>
      </c>
      <c r="AB332" s="2">
        <f t="shared" si="126"/>
        <v>5.3426172760844867E-2</v>
      </c>
      <c r="AC332" s="2">
        <f t="shared" si="127"/>
        <v>0.14850350154808134</v>
      </c>
      <c r="AD332" s="2" t="str">
        <f t="shared" si="128"/>
        <v>No Impact</v>
      </c>
      <c r="AE332" s="2">
        <f t="shared" si="129"/>
        <v>8.4917181995902789E-3</v>
      </c>
      <c r="AF332" s="2">
        <f t="shared" si="130"/>
        <v>4.3747102875385482E-2</v>
      </c>
      <c r="AG332" s="2" t="s">
        <v>1175</v>
      </c>
    </row>
    <row r="333" spans="1:33" x14ac:dyDescent="0.3">
      <c r="A333">
        <v>405585</v>
      </c>
      <c r="B333" t="s">
        <v>673</v>
      </c>
      <c r="C333" t="s">
        <v>670</v>
      </c>
      <c r="D333" t="s">
        <v>674</v>
      </c>
      <c r="E333" s="18">
        <v>4.9000000000000004</v>
      </c>
      <c r="F333" s="19">
        <f t="shared" si="112"/>
        <v>0.37777777777777782</v>
      </c>
      <c r="G333" s="2">
        <v>86.631940799999995</v>
      </c>
      <c r="H333" s="2">
        <f t="shared" si="113"/>
        <v>0.53130453387337873</v>
      </c>
      <c r="I333" s="2">
        <v>72.900000000000006</v>
      </c>
      <c r="J333" s="4">
        <f t="shared" si="114"/>
        <v>0.35371179039301315</v>
      </c>
      <c r="K333" s="2">
        <v>0</v>
      </c>
      <c r="L333" s="4">
        <f t="shared" si="115"/>
        <v>0</v>
      </c>
      <c r="M333" s="2">
        <v>23104</v>
      </c>
      <c r="N333" s="2">
        <f t="shared" si="116"/>
        <v>0.10818393871863659</v>
      </c>
      <c r="O333" s="2">
        <v>0.22540707800000001</v>
      </c>
      <c r="P333" s="2">
        <f t="shared" si="117"/>
        <v>0.18293751779180528</v>
      </c>
      <c r="Q333" s="2">
        <v>0.25919999999999999</v>
      </c>
      <c r="R333" s="2">
        <f t="shared" si="118"/>
        <v>0.59119861030689058</v>
      </c>
      <c r="S333" s="2">
        <f t="shared" si="119"/>
        <v>4.529425008779734E-2</v>
      </c>
      <c r="T333" s="5">
        <f t="shared" si="111"/>
        <v>9.1388120898821909E-2</v>
      </c>
      <c r="U333" s="2" t="str">
        <f t="shared" si="120"/>
        <v>No Impact</v>
      </c>
      <c r="V333" s="2">
        <f t="shared" si="121"/>
        <v>6.9181366777354661E-2</v>
      </c>
      <c r="W333" s="2">
        <f t="shared" si="122"/>
        <v>0.12462118801478379</v>
      </c>
      <c r="X333" s="2" t="s">
        <v>1176</v>
      </c>
      <c r="Y333" s="2">
        <f t="shared" si="123"/>
        <v>2.1407133398240023E-2</v>
      </c>
      <c r="Z333" s="2">
        <f t="shared" si="124"/>
        <v>4.5421969936838454E-2</v>
      </c>
      <c r="AA333" s="2" t="str">
        <f t="shared" si="125"/>
        <v>No Impact</v>
      </c>
      <c r="AB333" s="2">
        <f t="shared" si="126"/>
        <v>3.5066463482690241E-2</v>
      </c>
      <c r="AC333" s="2">
        <f t="shared" si="127"/>
        <v>9.7470815238779582E-2</v>
      </c>
      <c r="AD333" s="2" t="str">
        <f t="shared" si="128"/>
        <v>No Impact</v>
      </c>
      <c r="AE333" s="2">
        <f t="shared" si="129"/>
        <v>1.2659557403268858E-2</v>
      </c>
      <c r="AF333" s="2">
        <f t="shared" si="130"/>
        <v>6.5218716290464288E-2</v>
      </c>
      <c r="AG333" s="2" t="s">
        <v>1175</v>
      </c>
    </row>
    <row r="334" spans="1:33" x14ac:dyDescent="0.3">
      <c r="A334">
        <v>405595</v>
      </c>
      <c r="B334" t="s">
        <v>675</v>
      </c>
      <c r="C334" t="s">
        <v>670</v>
      </c>
      <c r="D334" t="s">
        <v>1140</v>
      </c>
      <c r="E334" s="18">
        <v>3.8</v>
      </c>
      <c r="F334" s="19">
        <f t="shared" si="112"/>
        <v>0.13333333333333325</v>
      </c>
      <c r="G334" s="2">
        <v>77.319050399999995</v>
      </c>
      <c r="H334" s="2">
        <f t="shared" si="113"/>
        <v>0.44126360408964388</v>
      </c>
      <c r="I334" s="2">
        <v>63.4</v>
      </c>
      <c r="J334" s="4">
        <f t="shared" si="114"/>
        <v>0.30761766132945173</v>
      </c>
      <c r="K334" s="2">
        <v>0</v>
      </c>
      <c r="L334" s="4">
        <f t="shared" si="115"/>
        <v>0</v>
      </c>
      <c r="M334" s="2">
        <v>24428</v>
      </c>
      <c r="N334" s="2">
        <f t="shared" si="116"/>
        <v>0.11444833998097968</v>
      </c>
      <c r="O334" s="2">
        <v>0.20688532600000001</v>
      </c>
      <c r="P334" s="2">
        <f t="shared" si="117"/>
        <v>0.16154137259982942</v>
      </c>
      <c r="Q334" s="2">
        <v>0.2908</v>
      </c>
      <c r="R334" s="2">
        <f t="shared" si="118"/>
        <v>0.68268674001158081</v>
      </c>
      <c r="S334" s="2">
        <f t="shared" si="119"/>
        <v>1.4751954403078834E-2</v>
      </c>
      <c r="T334" s="5">
        <f t="shared" si="111"/>
        <v>2.9764338516903292E-2</v>
      </c>
      <c r="U334" s="2" t="str">
        <f t="shared" si="120"/>
        <v>No Impact</v>
      </c>
      <c r="V334" s="2">
        <f t="shared" si="121"/>
        <v>2.3858394454753105E-2</v>
      </c>
      <c r="W334" s="2">
        <f t="shared" si="122"/>
        <v>4.2977778549034215E-2</v>
      </c>
      <c r="X334" s="2" t="s">
        <v>1176</v>
      </c>
      <c r="Y334" s="2">
        <f t="shared" si="123"/>
        <v>5.6455143514045642E-3</v>
      </c>
      <c r="Z334" s="2">
        <f t="shared" si="124"/>
        <v>1.1978735236384824E-2</v>
      </c>
      <c r="AA334" s="2" t="str">
        <f t="shared" si="125"/>
        <v>No Impact</v>
      </c>
      <c r="AB334" s="2">
        <f t="shared" si="126"/>
        <v>1.1443993253196115E-2</v>
      </c>
      <c r="AC334" s="2">
        <f t="shared" si="127"/>
        <v>3.1809747581952132E-2</v>
      </c>
      <c r="AD334" s="2" t="str">
        <f t="shared" si="128"/>
        <v>No Impact</v>
      </c>
      <c r="AE334" s="2">
        <f t="shared" si="129"/>
        <v>3.9997168246033079E-3</v>
      </c>
      <c r="AF334" s="2">
        <f t="shared" si="130"/>
        <v>2.060549105442213E-2</v>
      </c>
      <c r="AG334" s="2" t="s">
        <v>1176</v>
      </c>
    </row>
    <row r="335" spans="1:33" x14ac:dyDescent="0.3">
      <c r="A335">
        <v>405747</v>
      </c>
      <c r="B335" t="s">
        <v>676</v>
      </c>
      <c r="C335" t="s">
        <v>677</v>
      </c>
      <c r="D335" t="s">
        <v>678</v>
      </c>
      <c r="E335" s="18">
        <v>4.9000000000000004</v>
      </c>
      <c r="F335" s="19">
        <f t="shared" si="112"/>
        <v>0.37777777777777782</v>
      </c>
      <c r="G335" s="2">
        <v>61.256160000000001</v>
      </c>
      <c r="H335" s="2">
        <f t="shared" si="113"/>
        <v>0.28596084366735569</v>
      </c>
      <c r="I335" s="2">
        <v>48.4</v>
      </c>
      <c r="J335" s="4">
        <f t="shared" si="114"/>
        <v>0.23483745754488111</v>
      </c>
      <c r="K335" s="2">
        <v>0</v>
      </c>
      <c r="L335" s="4">
        <f t="shared" si="115"/>
        <v>0</v>
      </c>
      <c r="M335" s="2">
        <v>56017</v>
      </c>
      <c r="N335" s="2">
        <f t="shared" si="116"/>
        <v>0.26390919457022138</v>
      </c>
      <c r="O335" s="2">
        <v>0.212554406</v>
      </c>
      <c r="P335" s="2">
        <f t="shared" si="117"/>
        <v>0.16809023788994487</v>
      </c>
      <c r="Q335" s="2">
        <v>0.21740000000000001</v>
      </c>
      <c r="R335" s="2">
        <f t="shared" si="118"/>
        <v>0.47017950202663583</v>
      </c>
      <c r="S335" s="2">
        <f t="shared" si="119"/>
        <v>2.1975980975213361E-2</v>
      </c>
      <c r="T335" s="5">
        <f t="shared" si="111"/>
        <v>4.433992399344467E-2</v>
      </c>
      <c r="U335" s="2" t="str">
        <f t="shared" si="120"/>
        <v>No Impact</v>
      </c>
      <c r="V335" s="2">
        <f t="shared" si="121"/>
        <v>3.2377081805015778E-2</v>
      </c>
      <c r="W335" s="2">
        <f t="shared" si="122"/>
        <v>5.8323080143505526E-2</v>
      </c>
      <c r="X335" s="2" t="s">
        <v>1176</v>
      </c>
      <c r="Y335" s="2">
        <f t="shared" si="123"/>
        <v>1.1574880145410938E-2</v>
      </c>
      <c r="Z335" s="2">
        <f t="shared" si="124"/>
        <v>2.4559750631095171E-2</v>
      </c>
      <c r="AA335" s="2" t="str">
        <f t="shared" si="125"/>
        <v>No Impact</v>
      </c>
      <c r="AB335" s="2">
        <f t="shared" si="126"/>
        <v>2.1165020583822247E-2</v>
      </c>
      <c r="AC335" s="2">
        <f t="shared" si="127"/>
        <v>5.8830335481906922E-2</v>
      </c>
      <c r="AD335" s="2" t="str">
        <f t="shared" si="128"/>
        <v>No Impact</v>
      </c>
      <c r="AE335" s="2">
        <f t="shared" si="129"/>
        <v>1.8173079738409842E-2</v>
      </c>
      <c r="AF335" s="2">
        <f t="shared" si="130"/>
        <v>9.3622935923280901E-2</v>
      </c>
      <c r="AG335" s="2" t="s">
        <v>1175</v>
      </c>
    </row>
    <row r="336" spans="1:33" x14ac:dyDescent="0.3">
      <c r="A336">
        <v>405760</v>
      </c>
      <c r="B336" t="s">
        <v>679</v>
      </c>
      <c r="C336" t="s">
        <v>677</v>
      </c>
      <c r="D336" t="s">
        <v>680</v>
      </c>
      <c r="E336" s="18">
        <v>5.4</v>
      </c>
      <c r="F336" s="19">
        <f t="shared" si="112"/>
        <v>0.48888888888888893</v>
      </c>
      <c r="G336" s="2">
        <v>70.344208800000004</v>
      </c>
      <c r="H336" s="2">
        <f t="shared" si="113"/>
        <v>0.37382791057409775</v>
      </c>
      <c r="I336" s="2">
        <v>56.7</v>
      </c>
      <c r="J336" s="4">
        <f t="shared" si="114"/>
        <v>0.27510917030567689</v>
      </c>
      <c r="K336" s="2">
        <v>0</v>
      </c>
      <c r="L336" s="4">
        <f t="shared" si="115"/>
        <v>0</v>
      </c>
      <c r="M336" s="2">
        <v>60437</v>
      </c>
      <c r="N336" s="2">
        <f t="shared" si="116"/>
        <v>0.28482207491731842</v>
      </c>
      <c r="O336" s="2">
        <v>0.20150099499999999</v>
      </c>
      <c r="P336" s="2">
        <f t="shared" si="117"/>
        <v>0.15532144654544444</v>
      </c>
      <c r="Q336" s="2">
        <v>0.22459999999999999</v>
      </c>
      <c r="R336" s="2">
        <f t="shared" si="118"/>
        <v>0.49102489866821081</v>
      </c>
      <c r="S336" s="2">
        <f t="shared" si="119"/>
        <v>3.5885260565022288E-2</v>
      </c>
      <c r="T336" s="5">
        <f t="shared" si="111"/>
        <v>7.2404036376473857E-2</v>
      </c>
      <c r="U336" s="2" t="str">
        <f t="shared" si="120"/>
        <v>No Impact</v>
      </c>
      <c r="V336" s="2">
        <f t="shared" si="121"/>
        <v>5.452357412742169E-2</v>
      </c>
      <c r="W336" s="2">
        <f t="shared" si="122"/>
        <v>9.8217090801906201E-2</v>
      </c>
      <c r="X336" s="2" t="s">
        <v>1176</v>
      </c>
      <c r="Y336" s="2">
        <f t="shared" si="123"/>
        <v>1.7246947002622887E-2</v>
      </c>
      <c r="Z336" s="2">
        <f t="shared" si="124"/>
        <v>3.6594825364137211E-2</v>
      </c>
      <c r="AA336" s="2" t="str">
        <f t="shared" si="125"/>
        <v>No Impact</v>
      </c>
      <c r="AB336" s="2">
        <f t="shared" si="126"/>
        <v>3.5326694552306026E-2</v>
      </c>
      <c r="AC336" s="2">
        <f t="shared" si="127"/>
        <v>9.8194154064162723E-2</v>
      </c>
      <c r="AD336" s="2" t="str">
        <f t="shared" si="128"/>
        <v>No Impact</v>
      </c>
      <c r="AE336" s="2">
        <f t="shared" si="129"/>
        <v>3.1626741448347359E-2</v>
      </c>
      <c r="AF336" s="2">
        <f t="shared" si="130"/>
        <v>0.16293266912941448</v>
      </c>
      <c r="AG336" s="2" t="s">
        <v>1175</v>
      </c>
    </row>
    <row r="337" spans="1:33" x14ac:dyDescent="0.3">
      <c r="A337">
        <v>405787</v>
      </c>
      <c r="B337" t="s">
        <v>681</v>
      </c>
      <c r="C337" t="s">
        <v>677</v>
      </c>
      <c r="D337" t="s">
        <v>682</v>
      </c>
      <c r="E337" s="18">
        <v>5.4</v>
      </c>
      <c r="F337" s="19">
        <f t="shared" si="112"/>
        <v>0.48888888888888893</v>
      </c>
      <c r="G337" s="2">
        <v>61.256160000000001</v>
      </c>
      <c r="H337" s="2">
        <f t="shared" si="113"/>
        <v>0.28596084366735569</v>
      </c>
      <c r="I337" s="2">
        <v>49.6</v>
      </c>
      <c r="J337" s="4">
        <f t="shared" si="114"/>
        <v>0.24065987384764678</v>
      </c>
      <c r="K337" s="2">
        <v>0</v>
      </c>
      <c r="L337" s="4">
        <f t="shared" si="115"/>
        <v>0</v>
      </c>
      <c r="M337" s="2">
        <v>21638</v>
      </c>
      <c r="N337" s="2">
        <f t="shared" si="116"/>
        <v>0.10124767568948631</v>
      </c>
      <c r="O337" s="2">
        <v>0.35461685300000001</v>
      </c>
      <c r="P337" s="2">
        <f t="shared" si="117"/>
        <v>0.33219937520802234</v>
      </c>
      <c r="Q337" s="2">
        <v>0.25690000000000002</v>
      </c>
      <c r="R337" s="2">
        <f t="shared" si="118"/>
        <v>0.5845396641574987</v>
      </c>
      <c r="S337" s="2">
        <f t="shared" si="119"/>
        <v>4.1303978158578593E-2</v>
      </c>
      <c r="T337" s="5">
        <f t="shared" si="111"/>
        <v>8.33371331292979E-2</v>
      </c>
      <c r="U337" s="2" t="str">
        <f t="shared" si="120"/>
        <v>No Impact</v>
      </c>
      <c r="V337" s="2">
        <f t="shared" si="121"/>
        <v>5.2673252658453872E-2</v>
      </c>
      <c r="W337" s="2">
        <f t="shared" si="122"/>
        <v>9.4883978572219682E-2</v>
      </c>
      <c r="X337" s="2" t="s">
        <v>1176</v>
      </c>
      <c r="Y337" s="2">
        <f t="shared" si="123"/>
        <v>2.9934703658703304E-2</v>
      </c>
      <c r="Z337" s="2">
        <f t="shared" si="124"/>
        <v>6.3515893714455762E-2</v>
      </c>
      <c r="AA337" s="2" t="str">
        <f t="shared" si="125"/>
        <v>No Impact</v>
      </c>
      <c r="AB337" s="2">
        <f t="shared" si="126"/>
        <v>3.0609272598100555E-2</v>
      </c>
      <c r="AC337" s="2">
        <f t="shared" si="127"/>
        <v>8.5081598133659522E-2</v>
      </c>
      <c r="AD337" s="2" t="str">
        <f t="shared" si="128"/>
        <v>No Impact</v>
      </c>
      <c r="AE337" s="2">
        <f t="shared" si="129"/>
        <v>9.1234944858020299E-3</v>
      </c>
      <c r="AF337" s="2">
        <f t="shared" si="130"/>
        <v>4.7001848444835494E-2</v>
      </c>
      <c r="AG337" s="2" t="s">
        <v>1175</v>
      </c>
    </row>
    <row r="338" spans="1:33" x14ac:dyDescent="0.3">
      <c r="A338">
        <v>406528</v>
      </c>
      <c r="B338" t="s">
        <v>683</v>
      </c>
      <c r="C338" t="s">
        <v>684</v>
      </c>
      <c r="D338" t="s">
        <v>685</v>
      </c>
      <c r="E338" s="18">
        <v>5.5</v>
      </c>
      <c r="F338" s="19">
        <f t="shared" si="112"/>
        <v>0.51111111111111107</v>
      </c>
      <c r="G338" s="2">
        <v>91.937019599999999</v>
      </c>
      <c r="H338" s="2">
        <f t="shared" si="113"/>
        <v>0.58259626041704993</v>
      </c>
      <c r="I338" s="2">
        <v>88.2</v>
      </c>
      <c r="J338" s="4">
        <f t="shared" si="114"/>
        <v>0.42794759825327511</v>
      </c>
      <c r="K338" s="2">
        <v>0</v>
      </c>
      <c r="L338" s="4">
        <f t="shared" si="115"/>
        <v>0</v>
      </c>
      <c r="M338" s="2">
        <v>44158</v>
      </c>
      <c r="N338" s="2">
        <f t="shared" si="116"/>
        <v>0.20779927420003502</v>
      </c>
      <c r="O338" s="2">
        <v>0.37309673399999999</v>
      </c>
      <c r="P338" s="2">
        <f t="shared" si="117"/>
        <v>0.35354715143385862</v>
      </c>
      <c r="Q338" s="2">
        <v>0.2235</v>
      </c>
      <c r="R338" s="2">
        <f t="shared" si="118"/>
        <v>0.48784018529241463</v>
      </c>
      <c r="S338" s="2">
        <f t="shared" si="119"/>
        <v>7.6050926526981269E-2</v>
      </c>
      <c r="T338" s="5">
        <f t="shared" si="111"/>
        <v>0.15344444944873073</v>
      </c>
      <c r="U338" s="2" t="str">
        <f t="shared" si="120"/>
        <v>Low</v>
      </c>
      <c r="V338" s="2">
        <f t="shared" si="121"/>
        <v>8.8189342694260792E-2</v>
      </c>
      <c r="W338" s="2">
        <f t="shared" si="122"/>
        <v>0.1588615716739373</v>
      </c>
      <c r="X338" s="2" t="s">
        <v>1175</v>
      </c>
      <c r="Y338" s="2">
        <f t="shared" si="123"/>
        <v>6.391251035970176E-2</v>
      </c>
      <c r="Z338" s="2">
        <f t="shared" si="124"/>
        <v>0.13561050282355511</v>
      </c>
      <c r="AA338" s="2" t="str">
        <f t="shared" si="125"/>
        <v>No Impact</v>
      </c>
      <c r="AB338" s="2">
        <f t="shared" si="126"/>
        <v>6.3187747827964505E-2</v>
      </c>
      <c r="AC338" s="2">
        <f t="shared" si="127"/>
        <v>0.1756367960212</v>
      </c>
      <c r="AD338" s="2" t="str">
        <f t="shared" si="128"/>
        <v>Low</v>
      </c>
      <c r="AE338" s="2">
        <f t="shared" si="129"/>
        <v>3.7564927934464892E-2</v>
      </c>
      <c r="AF338" s="2">
        <f t="shared" si="130"/>
        <v>0.19352464698307684</v>
      </c>
      <c r="AG338" s="2" t="s">
        <v>1175</v>
      </c>
    </row>
    <row r="339" spans="1:33" x14ac:dyDescent="0.3">
      <c r="A339">
        <v>406552</v>
      </c>
      <c r="B339" t="s">
        <v>686</v>
      </c>
      <c r="C339" t="s">
        <v>684</v>
      </c>
      <c r="D339" t="s">
        <v>1130</v>
      </c>
      <c r="E339" s="18">
        <v>5.4</v>
      </c>
      <c r="F339" s="19">
        <f t="shared" si="112"/>
        <v>0.48888888888888893</v>
      </c>
      <c r="G339" s="2">
        <v>91.937019599999999</v>
      </c>
      <c r="H339" s="2">
        <f t="shared" si="113"/>
        <v>0.58259626041704993</v>
      </c>
      <c r="I339" s="2">
        <v>84.9</v>
      </c>
      <c r="J339" s="4">
        <f t="shared" si="114"/>
        <v>0.41193595342066963</v>
      </c>
      <c r="K339" s="2">
        <v>0</v>
      </c>
      <c r="L339" s="4">
        <f t="shared" si="115"/>
        <v>0</v>
      </c>
      <c r="M339" s="2">
        <v>38864</v>
      </c>
      <c r="N339" s="2">
        <f t="shared" si="116"/>
        <v>0.18275113199244866</v>
      </c>
      <c r="O339" s="2">
        <v>0.493462503</v>
      </c>
      <c r="P339" s="2">
        <f t="shared" si="117"/>
        <v>0.49259250036563501</v>
      </c>
      <c r="Q339" s="2">
        <v>0.27760000000000001</v>
      </c>
      <c r="R339" s="2">
        <f t="shared" si="118"/>
        <v>0.64447017950202667</v>
      </c>
      <c r="S339" s="2">
        <f t="shared" si="119"/>
        <v>9.6750111944044176E-2</v>
      </c>
      <c r="T339" s="5">
        <f t="shared" si="111"/>
        <v>0.19520824188893951</v>
      </c>
      <c r="U339" s="2" t="str">
        <f t="shared" si="120"/>
        <v>Low</v>
      </c>
      <c r="V339" s="2">
        <f t="shared" si="121"/>
        <v>0.10967304285930182</v>
      </c>
      <c r="W339" s="2">
        <f t="shared" si="122"/>
        <v>0.19756164890914446</v>
      </c>
      <c r="X339" s="2" t="s">
        <v>1175</v>
      </c>
      <c r="Y339" s="2">
        <f t="shared" si="123"/>
        <v>8.3827181028786515E-2</v>
      </c>
      <c r="Z339" s="2">
        <f t="shared" si="124"/>
        <v>0.17786574342982772</v>
      </c>
      <c r="AA339" s="2" t="str">
        <f t="shared" si="125"/>
        <v>Low</v>
      </c>
      <c r="AB339" s="2">
        <f t="shared" si="126"/>
        <v>7.4418637928090461E-2</v>
      </c>
      <c r="AC339" s="2">
        <f t="shared" si="127"/>
        <v>0.20685420163316828</v>
      </c>
      <c r="AD339" s="2" t="str">
        <f t="shared" si="128"/>
        <v>Low</v>
      </c>
      <c r="AE339" s="2">
        <f t="shared" si="129"/>
        <v>3.1099767481996762E-2</v>
      </c>
      <c r="AF339" s="2">
        <f t="shared" si="130"/>
        <v>0.16021783759865291</v>
      </c>
      <c r="AG339" s="2" t="s">
        <v>1175</v>
      </c>
    </row>
    <row r="340" spans="1:33" x14ac:dyDescent="0.3">
      <c r="A340">
        <v>406576</v>
      </c>
      <c r="B340" t="s">
        <v>687</v>
      </c>
      <c r="C340" t="s">
        <v>684</v>
      </c>
      <c r="D340" t="s">
        <v>688</v>
      </c>
      <c r="E340" s="18">
        <v>5.5</v>
      </c>
      <c r="F340" s="19">
        <f t="shared" si="112"/>
        <v>0.51111111111111107</v>
      </c>
      <c r="G340" s="2">
        <v>86.649519600000005</v>
      </c>
      <c r="H340" s="2">
        <f t="shared" si="113"/>
        <v>0.53147449308351646</v>
      </c>
      <c r="I340" s="2">
        <v>77.900000000000006</v>
      </c>
      <c r="J340" s="4">
        <f t="shared" si="114"/>
        <v>0.37797185832120334</v>
      </c>
      <c r="K340" s="2">
        <v>0</v>
      </c>
      <c r="L340" s="4">
        <f t="shared" si="115"/>
        <v>0</v>
      </c>
      <c r="M340" s="2">
        <v>41242</v>
      </c>
      <c r="N340" s="2">
        <f t="shared" si="116"/>
        <v>0.19400245087602258</v>
      </c>
      <c r="O340" s="2">
        <v>0.445470268</v>
      </c>
      <c r="P340" s="2">
        <f t="shared" si="117"/>
        <v>0.43715234394050712</v>
      </c>
      <c r="Q340" s="2">
        <v>0.25840000000000002</v>
      </c>
      <c r="R340" s="2">
        <f t="shared" si="118"/>
        <v>0.58888245512449344</v>
      </c>
      <c r="S340" s="2">
        <f t="shared" si="119"/>
        <v>8.3462722395696798E-2</v>
      </c>
      <c r="T340" s="5">
        <f t="shared" si="111"/>
        <v>0.16839888838114717</v>
      </c>
      <c r="U340" s="2" t="str">
        <f t="shared" si="120"/>
        <v>Low</v>
      </c>
      <c r="V340" s="2">
        <f t="shared" si="121"/>
        <v>9.580519670588343E-2</v>
      </c>
      <c r="W340" s="2">
        <f t="shared" si="122"/>
        <v>0.17258053703826778</v>
      </c>
      <c r="X340" s="2" t="s">
        <v>1175</v>
      </c>
      <c r="Y340" s="2">
        <f t="shared" si="123"/>
        <v>7.1120248085510179E-2</v>
      </c>
      <c r="Z340" s="2">
        <f t="shared" si="124"/>
        <v>0.15090398655179696</v>
      </c>
      <c r="AA340" s="2" t="str">
        <f t="shared" si="125"/>
        <v>Low</v>
      </c>
      <c r="AB340" s="2">
        <f t="shared" si="126"/>
        <v>6.5914673461273041E-2</v>
      </c>
      <c r="AC340" s="2">
        <f t="shared" si="127"/>
        <v>0.18321656421497043</v>
      </c>
      <c r="AD340" s="2" t="str">
        <f t="shared" si="128"/>
        <v>Low</v>
      </c>
      <c r="AE340" s="2">
        <f t="shared" si="129"/>
        <v>3.1562229110173673E-2</v>
      </c>
      <c r="AF340" s="2">
        <f t="shared" si="130"/>
        <v>0.16260031849924966</v>
      </c>
      <c r="AG340" s="2" t="s">
        <v>1175</v>
      </c>
    </row>
    <row r="341" spans="1:33" x14ac:dyDescent="0.3">
      <c r="A341">
        <v>408704</v>
      </c>
      <c r="B341" t="s">
        <v>689</v>
      </c>
      <c r="C341" t="s">
        <v>690</v>
      </c>
      <c r="D341" t="s">
        <v>691</v>
      </c>
      <c r="E341" s="18">
        <v>6.9</v>
      </c>
      <c r="F341" s="19">
        <f t="shared" si="112"/>
        <v>0.8222222222222223</v>
      </c>
      <c r="G341" s="2">
        <v>81.731160000000003</v>
      </c>
      <c r="H341" s="2">
        <f t="shared" si="113"/>
        <v>0.48392172993763444</v>
      </c>
      <c r="I341" s="2">
        <v>68.7</v>
      </c>
      <c r="J341" s="4">
        <f t="shared" si="114"/>
        <v>0.33333333333333337</v>
      </c>
      <c r="K341" s="2">
        <v>1</v>
      </c>
      <c r="L341" s="4">
        <f t="shared" si="115"/>
        <v>0.41666666666666669</v>
      </c>
      <c r="M341" s="2">
        <v>39423</v>
      </c>
      <c r="N341" s="2">
        <f t="shared" si="116"/>
        <v>0.18539599627164033</v>
      </c>
      <c r="O341" s="2">
        <v>0.28199001099999998</v>
      </c>
      <c r="P341" s="2">
        <f t="shared" si="117"/>
        <v>0.24830156379867557</v>
      </c>
      <c r="Q341" s="2">
        <v>0.1522</v>
      </c>
      <c r="R341" s="2">
        <f t="shared" si="118"/>
        <v>0.28141285466126237</v>
      </c>
      <c r="S341" s="2">
        <f t="shared" si="119"/>
        <v>8.9512631925675323E-2</v>
      </c>
      <c r="T341" s="5">
        <f t="shared" si="111"/>
        <v>0.18060551201396818</v>
      </c>
      <c r="U341" s="2" t="str">
        <f t="shared" si="120"/>
        <v>Low</v>
      </c>
      <c r="V341" s="2">
        <f t="shared" si="121"/>
        <v>9.510787096067029E-2</v>
      </c>
      <c r="W341" s="2">
        <f t="shared" si="122"/>
        <v>0.1713243958712187</v>
      </c>
      <c r="X341" s="2" t="s">
        <v>1175</v>
      </c>
      <c r="Y341" s="2">
        <f t="shared" si="123"/>
        <v>8.3917392890680342E-2</v>
      </c>
      <c r="Z341" s="2">
        <f t="shared" si="124"/>
        <v>0.17805715628285476</v>
      </c>
      <c r="AA341" s="2" t="str">
        <f t="shared" si="125"/>
        <v>Low</v>
      </c>
      <c r="AB341" s="2">
        <f t="shared" si="126"/>
        <v>8.0393088436561067E-2</v>
      </c>
      <c r="AC341" s="2">
        <f t="shared" si="127"/>
        <v>0.22346079676221023</v>
      </c>
      <c r="AD341" s="2" t="str">
        <f t="shared" si="128"/>
        <v>Low</v>
      </c>
      <c r="AE341" s="2">
        <f t="shared" si="129"/>
        <v>6.2657473523206761E-2</v>
      </c>
      <c r="AF341" s="2">
        <f t="shared" si="130"/>
        <v>0.32279485443402067</v>
      </c>
      <c r="AG341" s="2" t="str">
        <f t="shared" ref="AG341:AG346" si="131">IF(AF341&gt;0.7,"High",IF(AF341&gt;0.3,"Moderate",IF(AF341&gt;0.15,"Low","No Impact")))</f>
        <v>Moderate</v>
      </c>
    </row>
    <row r="342" spans="1:33" x14ac:dyDescent="0.3">
      <c r="A342">
        <v>408725</v>
      </c>
      <c r="B342" t="s">
        <v>692</v>
      </c>
      <c r="C342" t="s">
        <v>690</v>
      </c>
      <c r="D342" t="s">
        <v>693</v>
      </c>
      <c r="E342" s="18">
        <v>6.7</v>
      </c>
      <c r="F342" s="19">
        <f t="shared" si="112"/>
        <v>0.77777777777777779</v>
      </c>
      <c r="G342" s="2">
        <v>81.731160000000003</v>
      </c>
      <c r="H342" s="2">
        <f t="shared" si="113"/>
        <v>0.48392172993763444</v>
      </c>
      <c r="I342" s="2">
        <v>60.3</v>
      </c>
      <c r="J342" s="4">
        <f t="shared" si="114"/>
        <v>0.29257641921397382</v>
      </c>
      <c r="K342" s="2">
        <v>0</v>
      </c>
      <c r="L342" s="4">
        <f t="shared" si="115"/>
        <v>0</v>
      </c>
      <c r="M342" s="2">
        <v>18680</v>
      </c>
      <c r="N342" s="2">
        <f t="shared" si="116"/>
        <v>8.7252132687967526E-2</v>
      </c>
      <c r="O342" s="2">
        <v>0.294554975</v>
      </c>
      <c r="P342" s="2">
        <f t="shared" si="117"/>
        <v>0.26281648625719622</v>
      </c>
      <c r="Q342" s="2">
        <v>0.20319999999999999</v>
      </c>
      <c r="R342" s="2">
        <f t="shared" si="118"/>
        <v>0.42906774753908511</v>
      </c>
      <c r="S342" s="2">
        <f t="shared" si="119"/>
        <v>7.3125262559804352E-2</v>
      </c>
      <c r="T342" s="5">
        <f t="shared" si="111"/>
        <v>0.14754147209899152</v>
      </c>
      <c r="U342" s="2" t="str">
        <f t="shared" si="120"/>
        <v>No Impact</v>
      </c>
      <c r="V342" s="2">
        <f t="shared" si="121"/>
        <v>9.0696362663403918E-2</v>
      </c>
      <c r="W342" s="2">
        <f t="shared" si="122"/>
        <v>0.16337764040002775</v>
      </c>
      <c r="X342" s="2" t="s">
        <v>1175</v>
      </c>
      <c r="Y342" s="2">
        <f t="shared" si="123"/>
        <v>5.5554162456204759E-2</v>
      </c>
      <c r="Z342" s="2">
        <f t="shared" si="124"/>
        <v>0.11787563752741553</v>
      </c>
      <c r="AA342" s="2" t="str">
        <f t="shared" si="125"/>
        <v>No Impact</v>
      </c>
      <c r="AB342" s="2">
        <f t="shared" si="126"/>
        <v>5.4865151780946107E-2</v>
      </c>
      <c r="AC342" s="2">
        <f t="shared" si="127"/>
        <v>0.1525032906420116</v>
      </c>
      <c r="AD342" s="2" t="str">
        <f t="shared" si="128"/>
        <v>Low</v>
      </c>
      <c r="AE342" s="2">
        <f t="shared" si="129"/>
        <v>1.8443360319695162E-2</v>
      </c>
      <c r="AF342" s="2">
        <f t="shared" si="130"/>
        <v>9.5015350522634698E-2</v>
      </c>
      <c r="AG342" s="2" t="s">
        <v>1175</v>
      </c>
    </row>
    <row r="343" spans="1:33" x14ac:dyDescent="0.3">
      <c r="A343">
        <v>408743</v>
      </c>
      <c r="B343" t="s">
        <v>694</v>
      </c>
      <c r="C343" t="s">
        <v>690</v>
      </c>
      <c r="D343" t="s">
        <v>695</v>
      </c>
      <c r="E343" s="18">
        <v>6.5</v>
      </c>
      <c r="F343" s="19">
        <f t="shared" si="112"/>
        <v>0.73333333333333328</v>
      </c>
      <c r="G343" s="2">
        <v>81.256550399999995</v>
      </c>
      <c r="H343" s="2">
        <f t="shared" si="113"/>
        <v>0.47933300529546669</v>
      </c>
      <c r="I343" s="2">
        <v>56.5</v>
      </c>
      <c r="J343" s="4">
        <f t="shared" si="114"/>
        <v>0.27413876758854927</v>
      </c>
      <c r="K343" s="2">
        <v>0</v>
      </c>
      <c r="L343" s="4">
        <f t="shared" si="115"/>
        <v>0</v>
      </c>
      <c r="M343" s="2">
        <v>48599</v>
      </c>
      <c r="N343" s="2">
        <f t="shared" si="116"/>
        <v>0.22881151438588523</v>
      </c>
      <c r="O343" s="2">
        <v>0.52139542699999997</v>
      </c>
      <c r="P343" s="2">
        <f t="shared" si="117"/>
        <v>0.52486033861011783</v>
      </c>
      <c r="Q343" s="2">
        <v>0.2661</v>
      </c>
      <c r="R343" s="2">
        <f t="shared" si="118"/>
        <v>0.61117544875506669</v>
      </c>
      <c r="S343" s="2">
        <f t="shared" si="119"/>
        <v>0.10984959867493593</v>
      </c>
      <c r="T343" s="5">
        <f t="shared" si="111"/>
        <v>0.22163847254194172</v>
      </c>
      <c r="U343" s="2" t="str">
        <f t="shared" si="120"/>
        <v>Low</v>
      </c>
      <c r="V343" s="2">
        <f t="shared" si="121"/>
        <v>0.11819588522194378</v>
      </c>
      <c r="W343" s="2">
        <f t="shared" si="122"/>
        <v>0.21291443521522302</v>
      </c>
      <c r="X343" s="2" t="s">
        <v>1175</v>
      </c>
      <c r="Y343" s="2">
        <f t="shared" si="123"/>
        <v>0.10150331212792807</v>
      </c>
      <c r="Z343" s="2">
        <f t="shared" si="124"/>
        <v>0.2153712179110972</v>
      </c>
      <c r="AA343" s="2" t="str">
        <f t="shared" si="125"/>
        <v>Low</v>
      </c>
      <c r="AB343" s="2">
        <f t="shared" si="126"/>
        <v>8.7307091195880163E-2</v>
      </c>
      <c r="AC343" s="2">
        <f t="shared" si="127"/>
        <v>0.24267897329280522</v>
      </c>
      <c r="AD343" s="2" t="str">
        <f t="shared" si="128"/>
        <v>Low</v>
      </c>
      <c r="AE343" s="2">
        <f t="shared" si="129"/>
        <v>4.4250107799489763E-2</v>
      </c>
      <c r="AF343" s="2">
        <f t="shared" si="130"/>
        <v>0.22796493862038172</v>
      </c>
      <c r="AG343" s="2" t="s">
        <v>1175</v>
      </c>
    </row>
    <row r="344" spans="1:33" x14ac:dyDescent="0.3">
      <c r="A344">
        <v>408747</v>
      </c>
      <c r="B344" t="s">
        <v>696</v>
      </c>
      <c r="C344" t="s">
        <v>974</v>
      </c>
      <c r="D344" t="s">
        <v>1139</v>
      </c>
      <c r="E344" s="18">
        <v>6.9</v>
      </c>
      <c r="F344" s="19">
        <f t="shared" si="112"/>
        <v>0.8222222222222223</v>
      </c>
      <c r="G344" s="2">
        <v>81.731160000000003</v>
      </c>
      <c r="H344" s="2">
        <f t="shared" si="113"/>
        <v>0.48392172993763444</v>
      </c>
      <c r="I344" s="2">
        <v>70.599999999999994</v>
      </c>
      <c r="J344" s="4">
        <f t="shared" si="114"/>
        <v>0.34255215914604559</v>
      </c>
      <c r="K344" s="2">
        <v>1</v>
      </c>
      <c r="L344" s="4">
        <f t="shared" si="115"/>
        <v>0.41666666666666669</v>
      </c>
      <c r="M344" s="2">
        <v>39782</v>
      </c>
      <c r="N344" s="2">
        <f t="shared" si="116"/>
        <v>0.18709457637223034</v>
      </c>
      <c r="O344" s="2">
        <v>0.48282998199999999</v>
      </c>
      <c r="P344" s="2">
        <f t="shared" si="117"/>
        <v>0.4803099169970243</v>
      </c>
      <c r="Q344" s="2">
        <v>0.2636</v>
      </c>
      <c r="R344" s="2">
        <f t="shared" si="118"/>
        <v>0.60393746381007529</v>
      </c>
      <c r="S344" s="2">
        <f t="shared" si="119"/>
        <v>0.18465741080925888</v>
      </c>
      <c r="T344" s="5">
        <f t="shared" si="111"/>
        <v>0.37257474737276591</v>
      </c>
      <c r="U344" s="2" t="str">
        <f t="shared" si="120"/>
        <v>Moderate</v>
      </c>
      <c r="V344" s="2">
        <f t="shared" si="121"/>
        <v>0.20571233158038865</v>
      </c>
      <c r="W344" s="2">
        <f t="shared" si="122"/>
        <v>0.37056387210942909</v>
      </c>
      <c r="X344" s="2" t="str">
        <f t="shared" ref="X344:X346" si="132">IF(W344&gt;0.7,"High",IF(W344&gt;0.3,"Moderate",IF(W344&gt;0.15,"Low","No Impact")))</f>
        <v>Moderate</v>
      </c>
      <c r="Y344" s="2">
        <f t="shared" si="123"/>
        <v>0.16360249003812913</v>
      </c>
      <c r="Z344" s="2">
        <f t="shared" si="124"/>
        <v>0.34713416532055441</v>
      </c>
      <c r="AA344" s="2" t="str">
        <f t="shared" si="125"/>
        <v>Moderate</v>
      </c>
      <c r="AB344" s="2">
        <f t="shared" si="126"/>
        <v>0.14338482530116298</v>
      </c>
      <c r="AC344" s="2">
        <f t="shared" si="127"/>
        <v>0.39855276029968623</v>
      </c>
      <c r="AD344" s="2" t="str">
        <f t="shared" si="128"/>
        <v>Moderate</v>
      </c>
      <c r="AE344" s="2">
        <f t="shared" si="129"/>
        <v>6.3727892104537665E-2</v>
      </c>
      <c r="AF344" s="2">
        <f t="shared" si="130"/>
        <v>0.32830936995332594</v>
      </c>
      <c r="AG344" s="2" t="str">
        <f t="shared" si="131"/>
        <v>Moderate</v>
      </c>
    </row>
    <row r="345" spans="1:33" x14ac:dyDescent="0.3">
      <c r="A345">
        <v>408782</v>
      </c>
      <c r="B345" t="s">
        <v>697</v>
      </c>
      <c r="C345" t="s">
        <v>690</v>
      </c>
      <c r="D345" t="s">
        <v>698</v>
      </c>
      <c r="E345" s="18">
        <v>7</v>
      </c>
      <c r="F345" s="19">
        <f t="shared" si="112"/>
        <v>0.84444444444444444</v>
      </c>
      <c r="G345" s="2">
        <v>81.731160000000003</v>
      </c>
      <c r="H345" s="2">
        <f t="shared" si="113"/>
        <v>0.48392172993763444</v>
      </c>
      <c r="I345" s="2">
        <v>62.2</v>
      </c>
      <c r="J345" s="4">
        <f t="shared" si="114"/>
        <v>0.30179524502668609</v>
      </c>
      <c r="K345" s="2">
        <v>0</v>
      </c>
      <c r="L345" s="4">
        <f t="shared" si="115"/>
        <v>0</v>
      </c>
      <c r="M345" s="2">
        <v>45523</v>
      </c>
      <c r="N345" s="2">
        <f t="shared" si="116"/>
        <v>0.21425766371899144</v>
      </c>
      <c r="O345" s="2">
        <v>0.34313562800000003</v>
      </c>
      <c r="P345" s="2">
        <f t="shared" si="117"/>
        <v>0.318936377351138</v>
      </c>
      <c r="Q345" s="2">
        <v>0.21709999999999999</v>
      </c>
      <c r="R345" s="2">
        <f t="shared" si="118"/>
        <v>0.46931094383323685</v>
      </c>
      <c r="S345" s="2">
        <f t="shared" si="119"/>
        <v>9.1524585551541388E-2</v>
      </c>
      <c r="T345" s="5">
        <f t="shared" si="111"/>
        <v>0.18466493811876217</v>
      </c>
      <c r="U345" s="2" t="str">
        <f t="shared" si="120"/>
        <v>Low</v>
      </c>
      <c r="V345" s="2">
        <f t="shared" si="121"/>
        <v>0.10898480330919562</v>
      </c>
      <c r="W345" s="2">
        <f t="shared" si="122"/>
        <v>0.19632187533472198</v>
      </c>
      <c r="X345" s="2" t="s">
        <v>1175</v>
      </c>
      <c r="Y345" s="2">
        <f t="shared" si="123"/>
        <v>7.4064367793887156E-2</v>
      </c>
      <c r="Z345" s="2">
        <f t="shared" si="124"/>
        <v>0.1571508629736231</v>
      </c>
      <c r="AA345" s="2" t="str">
        <f t="shared" si="125"/>
        <v>Low</v>
      </c>
      <c r="AB345" s="2">
        <f t="shared" si="126"/>
        <v>7.7778437879228418E-2</v>
      </c>
      <c r="AC345" s="2">
        <f t="shared" si="127"/>
        <v>0.21619310860444821</v>
      </c>
      <c r="AD345" s="2" t="str">
        <f t="shared" si="128"/>
        <v>Low</v>
      </c>
      <c r="AE345" s="2">
        <f t="shared" si="129"/>
        <v>4.9755561093839426E-2</v>
      </c>
      <c r="AF345" s="2">
        <f t="shared" si="130"/>
        <v>0.25632758867336691</v>
      </c>
      <c r="AG345" s="2" t="s">
        <v>1175</v>
      </c>
    </row>
    <row r="346" spans="1:33" x14ac:dyDescent="0.3">
      <c r="A346">
        <v>408786</v>
      </c>
      <c r="B346" t="s">
        <v>699</v>
      </c>
      <c r="C346" t="s">
        <v>690</v>
      </c>
      <c r="D346" t="s">
        <v>700</v>
      </c>
      <c r="E346" s="18">
        <v>6.9</v>
      </c>
      <c r="F346" s="19">
        <f t="shared" si="112"/>
        <v>0.8222222222222223</v>
      </c>
      <c r="G346" s="2">
        <v>108.0702216</v>
      </c>
      <c r="H346" s="2">
        <f t="shared" si="113"/>
        <v>0.73857882287357901</v>
      </c>
      <c r="I346" s="2">
        <v>100.3</v>
      </c>
      <c r="J346" s="4">
        <f t="shared" si="114"/>
        <v>0.48665696263949537</v>
      </c>
      <c r="K346" s="2">
        <v>1</v>
      </c>
      <c r="L346" s="4">
        <f t="shared" si="115"/>
        <v>0.41666666666666669</v>
      </c>
      <c r="M346" s="2">
        <v>55956</v>
      </c>
      <c r="N346" s="2">
        <f t="shared" si="116"/>
        <v>0.26362057789574789</v>
      </c>
      <c r="O346" s="2">
        <v>0.40875665799999999</v>
      </c>
      <c r="P346" s="2">
        <f t="shared" si="117"/>
        <v>0.39474114385092718</v>
      </c>
      <c r="Q346" s="2">
        <v>0.2243</v>
      </c>
      <c r="R346" s="2">
        <f t="shared" si="118"/>
        <v>0.49015634047481182</v>
      </c>
      <c r="S346" s="2">
        <f t="shared" si="119"/>
        <v>0.2014793921974922</v>
      </c>
      <c r="T346" s="5">
        <f t="shared" si="111"/>
        <v>0.40651568393503762</v>
      </c>
      <c r="U346" s="2" t="str">
        <f t="shared" si="120"/>
        <v>Moderate</v>
      </c>
      <c r="V346" s="2">
        <f t="shared" si="121"/>
        <v>0.22320416389444492</v>
      </c>
      <c r="W346" s="2">
        <f t="shared" si="122"/>
        <v>0.40207312127688866</v>
      </c>
      <c r="X346" s="2" t="str">
        <f t="shared" si="132"/>
        <v>Moderate</v>
      </c>
      <c r="Y346" s="2">
        <f t="shared" si="123"/>
        <v>0.17975462050053947</v>
      </c>
      <c r="Z346" s="2">
        <f t="shared" si="124"/>
        <v>0.3814059928759343</v>
      </c>
      <c r="AA346" s="2" t="str">
        <f t="shared" si="125"/>
        <v>Moderate</v>
      </c>
      <c r="AB346" s="2">
        <f t="shared" si="126"/>
        <v>0.17406387398251041</v>
      </c>
      <c r="AC346" s="2">
        <f t="shared" si="127"/>
        <v>0.48382830818027706</v>
      </c>
      <c r="AD346" s="2" t="str">
        <f t="shared" si="128"/>
        <v>Moderate</v>
      </c>
      <c r="AE346" s="2">
        <f t="shared" si="129"/>
        <v>0.12004580134083676</v>
      </c>
      <c r="AF346" s="2">
        <f t="shared" si="130"/>
        <v>0.61844445347574817</v>
      </c>
      <c r="AG346" s="2" t="str">
        <f t="shared" si="131"/>
        <v>Moderate</v>
      </c>
    </row>
    <row r="347" spans="1:33" x14ac:dyDescent="0.3">
      <c r="A347">
        <v>408790</v>
      </c>
      <c r="B347" t="s">
        <v>701</v>
      </c>
      <c r="C347" t="s">
        <v>690</v>
      </c>
      <c r="D347" t="s">
        <v>702</v>
      </c>
      <c r="E347" s="18">
        <v>7</v>
      </c>
      <c r="F347" s="19">
        <f t="shared" si="112"/>
        <v>0.84444444444444444</v>
      </c>
      <c r="G347" s="2">
        <v>81.256550399999995</v>
      </c>
      <c r="H347" s="2">
        <f t="shared" si="113"/>
        <v>0.47933300529546669</v>
      </c>
      <c r="I347" s="2">
        <v>59.3</v>
      </c>
      <c r="J347" s="4">
        <f t="shared" si="114"/>
        <v>0.28772440562833573</v>
      </c>
      <c r="K347" s="2">
        <v>0</v>
      </c>
      <c r="L347" s="4">
        <f t="shared" si="115"/>
        <v>0</v>
      </c>
      <c r="M347" s="2">
        <v>36530</v>
      </c>
      <c r="N347" s="2">
        <f t="shared" si="116"/>
        <v>0.1717079956281671</v>
      </c>
      <c r="O347" s="2">
        <v>0.39832599400000002</v>
      </c>
      <c r="P347" s="2">
        <f t="shared" si="117"/>
        <v>0.38269174369738257</v>
      </c>
      <c r="Q347" s="2">
        <v>0.2296</v>
      </c>
      <c r="R347" s="2">
        <f t="shared" si="118"/>
        <v>0.50550086855819343</v>
      </c>
      <c r="S347" s="2">
        <f t="shared" si="119"/>
        <v>0.10068022055474293</v>
      </c>
      <c r="T347" s="5">
        <f t="shared" si="111"/>
        <v>0.20313784090346876</v>
      </c>
      <c r="U347" s="2" t="str">
        <f t="shared" si="120"/>
        <v>Low</v>
      </c>
      <c r="V347" s="2">
        <f t="shared" si="121"/>
        <v>0.11460113095921221</v>
      </c>
      <c r="W347" s="2">
        <f t="shared" si="122"/>
        <v>0.20643895536116705</v>
      </c>
      <c r="X347" s="2" t="s">
        <v>1175</v>
      </c>
      <c r="Y347" s="2">
        <f t="shared" si="123"/>
        <v>8.6759310150273647E-2</v>
      </c>
      <c r="Z347" s="2">
        <f t="shared" si="124"/>
        <v>0.18408717804834915</v>
      </c>
      <c r="AA347" s="2" t="str">
        <f t="shared" si="125"/>
        <v>Low</v>
      </c>
      <c r="AB347" s="2">
        <f t="shared" si="126"/>
        <v>7.9762845337774904E-2</v>
      </c>
      <c r="AC347" s="2">
        <f t="shared" si="127"/>
        <v>0.22170897172665666</v>
      </c>
      <c r="AD347" s="2" t="str">
        <f t="shared" si="128"/>
        <v>Low</v>
      </c>
      <c r="AE347" s="2">
        <f t="shared" si="129"/>
        <v>3.892758987705297E-2</v>
      </c>
      <c r="AF347" s="2">
        <f t="shared" si="130"/>
        <v>0.20054472357837055</v>
      </c>
      <c r="AG347" s="2" t="s">
        <v>1175</v>
      </c>
    </row>
    <row r="348" spans="1:33" x14ac:dyDescent="0.3">
      <c r="A348">
        <v>453907</v>
      </c>
      <c r="B348" t="s">
        <v>703</v>
      </c>
      <c r="C348" t="s">
        <v>704</v>
      </c>
      <c r="D348" t="s">
        <v>705</v>
      </c>
      <c r="E348" s="18">
        <v>6.7</v>
      </c>
      <c r="F348" s="19">
        <f t="shared" si="112"/>
        <v>0.77777777777777779</v>
      </c>
      <c r="G348" s="2">
        <v>40.468428000000003</v>
      </c>
      <c r="H348" s="2">
        <f t="shared" si="113"/>
        <v>8.4976333275705723E-2</v>
      </c>
      <c r="I348" s="2">
        <v>5.8</v>
      </c>
      <c r="J348" s="4">
        <f t="shared" si="114"/>
        <v>2.8141678796700632E-2</v>
      </c>
      <c r="K348" s="2">
        <v>0</v>
      </c>
      <c r="L348" s="4">
        <f t="shared" si="115"/>
        <v>0</v>
      </c>
      <c r="M348" s="2">
        <v>31094</v>
      </c>
      <c r="N348" s="2">
        <f t="shared" si="116"/>
        <v>0.14598799165377355</v>
      </c>
      <c r="O348" s="2">
        <v>0.44590688899999997</v>
      </c>
      <c r="P348" s="2">
        <f t="shared" si="117"/>
        <v>0.43765672421240931</v>
      </c>
      <c r="Q348" s="2">
        <v>0.25969999999999999</v>
      </c>
      <c r="R348" s="2">
        <f t="shared" si="118"/>
        <v>0.59264620729588879</v>
      </c>
      <c r="S348" s="2">
        <f t="shared" si="119"/>
        <v>1.5863180979958261E-2</v>
      </c>
      <c r="T348" s="5">
        <f t="shared" si="111"/>
        <v>3.2006409167305787E-2</v>
      </c>
      <c r="U348" s="2" t="str">
        <f t="shared" si="120"/>
        <v>No Impact</v>
      </c>
      <c r="V348" s="2">
        <f t="shared" si="121"/>
        <v>1.8249494893036372E-2</v>
      </c>
      <c r="W348" s="2">
        <f t="shared" si="122"/>
        <v>3.287407925257075E-2</v>
      </c>
      <c r="X348" s="2" t="s">
        <v>1176</v>
      </c>
      <c r="Y348" s="2">
        <f t="shared" si="123"/>
        <v>1.3476867066880151E-2</v>
      </c>
      <c r="Z348" s="2">
        <f t="shared" si="124"/>
        <v>2.8595414405411503E-2</v>
      </c>
      <c r="AA348" s="2" t="str">
        <f t="shared" si="125"/>
        <v>No Impact</v>
      </c>
      <c r="AB348" s="2">
        <f t="shared" si="126"/>
        <v>1.2003788302347621E-2</v>
      </c>
      <c r="AC348" s="2">
        <f t="shared" si="127"/>
        <v>3.3365755071397538E-2</v>
      </c>
      <c r="AD348" s="2" t="str">
        <f t="shared" si="128"/>
        <v>No Impact</v>
      </c>
      <c r="AE348" s="2">
        <f t="shared" si="129"/>
        <v>4.4954427706309875E-3</v>
      </c>
      <c r="AF348" s="2">
        <f t="shared" si="130"/>
        <v>2.3159340987868701E-2</v>
      </c>
      <c r="AG348" s="2" t="s">
        <v>1176</v>
      </c>
    </row>
    <row r="349" spans="1:33" x14ac:dyDescent="0.3">
      <c r="A349">
        <v>453915</v>
      </c>
      <c r="B349" t="s">
        <v>706</v>
      </c>
      <c r="C349" t="s">
        <v>704</v>
      </c>
      <c r="D349" t="s">
        <v>707</v>
      </c>
      <c r="E349" s="18">
        <v>6.7</v>
      </c>
      <c r="F349" s="19">
        <f t="shared" si="112"/>
        <v>0.77777777777777779</v>
      </c>
      <c r="G349" s="2">
        <v>39.9374064</v>
      </c>
      <c r="H349" s="2">
        <f t="shared" si="113"/>
        <v>7.9842193760948116E-2</v>
      </c>
      <c r="I349" s="2">
        <v>3.7</v>
      </c>
      <c r="J349" s="4">
        <f t="shared" si="114"/>
        <v>1.7952450266860747E-2</v>
      </c>
      <c r="K349" s="2">
        <v>0</v>
      </c>
      <c r="L349" s="4">
        <f t="shared" si="115"/>
        <v>0</v>
      </c>
      <c r="M349" s="2">
        <v>33936</v>
      </c>
      <c r="N349" s="2">
        <f t="shared" si="116"/>
        <v>0.15943468983170336</v>
      </c>
      <c r="O349" s="2">
        <v>0.58724859500000004</v>
      </c>
      <c r="P349" s="2">
        <f t="shared" si="117"/>
        <v>0.60093326863744889</v>
      </c>
      <c r="Q349" s="2">
        <v>0.23680000000000001</v>
      </c>
      <c r="R349" s="2">
        <f t="shared" si="118"/>
        <v>0.52634626519976846</v>
      </c>
      <c r="S349" s="2">
        <f t="shared" si="119"/>
        <v>1.5005147599557789E-2</v>
      </c>
      <c r="T349" s="5">
        <f t="shared" si="111"/>
        <v>3.0275194760371858E-2</v>
      </c>
      <c r="U349" s="2" t="str">
        <f t="shared" si="120"/>
        <v>No Impact</v>
      </c>
      <c r="V349" s="2">
        <f t="shared" si="121"/>
        <v>1.4012324646601798E-2</v>
      </c>
      <c r="W349" s="2">
        <f t="shared" si="122"/>
        <v>2.5241370988350449E-2</v>
      </c>
      <c r="X349" s="2" t="s">
        <v>1176</v>
      </c>
      <c r="Y349" s="2">
        <f t="shared" si="123"/>
        <v>1.5997970552513778E-2</v>
      </c>
      <c r="Z349" s="2">
        <f t="shared" si="124"/>
        <v>3.394472879523653E-2</v>
      </c>
      <c r="AA349" s="2" t="str">
        <f t="shared" si="125"/>
        <v>No Impact</v>
      </c>
      <c r="AB349" s="2">
        <f t="shared" si="126"/>
        <v>1.1189262444025044E-2</v>
      </c>
      <c r="AC349" s="2">
        <f t="shared" si="127"/>
        <v>3.1101697292005029E-2</v>
      </c>
      <c r="AD349" s="2" t="str">
        <f t="shared" si="128"/>
        <v>No Impact</v>
      </c>
      <c r="AE349" s="2">
        <f t="shared" si="129"/>
        <v>4.2444504341722323E-3</v>
      </c>
      <c r="AF349" s="2">
        <f t="shared" si="130"/>
        <v>2.1866294362213566E-2</v>
      </c>
      <c r="AG349" s="2" t="s">
        <v>1176</v>
      </c>
    </row>
    <row r="350" spans="1:33" x14ac:dyDescent="0.3">
      <c r="A350">
        <v>453929</v>
      </c>
      <c r="B350" t="s">
        <v>708</v>
      </c>
      <c r="C350" t="s">
        <v>704</v>
      </c>
      <c r="D350" t="s">
        <v>709</v>
      </c>
      <c r="E350" s="18">
        <v>6.7</v>
      </c>
      <c r="F350" s="19">
        <f t="shared" si="112"/>
        <v>0.77777777777777779</v>
      </c>
      <c r="G350" s="2">
        <v>40.468428000000003</v>
      </c>
      <c r="H350" s="2">
        <f t="shared" si="113"/>
        <v>8.4976333275705723E-2</v>
      </c>
      <c r="I350" s="2">
        <v>4.8</v>
      </c>
      <c r="J350" s="4">
        <f t="shared" si="114"/>
        <v>2.3289665211062592E-2</v>
      </c>
      <c r="K350" s="2">
        <v>0</v>
      </c>
      <c r="L350" s="4">
        <f t="shared" si="115"/>
        <v>0</v>
      </c>
      <c r="M350" s="2">
        <v>49714</v>
      </c>
      <c r="N350" s="2">
        <f t="shared" si="116"/>
        <v>0.23408704868158955</v>
      </c>
      <c r="O350" s="2">
        <v>0.44299260299999998</v>
      </c>
      <c r="P350" s="2">
        <f t="shared" si="117"/>
        <v>0.43429016977485163</v>
      </c>
      <c r="Q350" s="2">
        <v>0.219</v>
      </c>
      <c r="R350" s="2">
        <f t="shared" si="118"/>
        <v>0.47481181239143028</v>
      </c>
      <c r="S350" s="2">
        <f t="shared" si="119"/>
        <v>1.3396713492919736E-2</v>
      </c>
      <c r="T350" s="5">
        <f t="shared" si="111"/>
        <v>2.7029931392277638E-2</v>
      </c>
      <c r="U350" s="2" t="str">
        <f t="shared" si="120"/>
        <v>No Impact</v>
      </c>
      <c r="V350" s="2">
        <f t="shared" si="121"/>
        <v>1.3993848739620252E-2</v>
      </c>
      <c r="W350" s="2">
        <f t="shared" si="122"/>
        <v>2.5208089057319784E-2</v>
      </c>
      <c r="X350" s="2" t="s">
        <v>1176</v>
      </c>
      <c r="Y350" s="2">
        <f t="shared" si="123"/>
        <v>1.2799578246219221E-2</v>
      </c>
      <c r="Z350" s="2">
        <f t="shared" si="124"/>
        <v>2.7158333042002668E-2</v>
      </c>
      <c r="AA350" s="2" t="str">
        <f t="shared" si="125"/>
        <v>No Impact</v>
      </c>
      <c r="AB350" s="2">
        <f t="shared" si="126"/>
        <v>1.1152408906068473E-2</v>
      </c>
      <c r="AC350" s="2">
        <f t="shared" si="127"/>
        <v>3.0999259120820945E-2</v>
      </c>
      <c r="AD350" s="2" t="str">
        <f t="shared" si="128"/>
        <v>No Impact</v>
      </c>
      <c r="AE350" s="2">
        <f t="shared" si="129"/>
        <v>6.8991096381017707E-3</v>
      </c>
      <c r="AF350" s="2">
        <f t="shared" si="130"/>
        <v>3.5542401666268687E-2</v>
      </c>
      <c r="AG350" s="2" t="s">
        <v>1175</v>
      </c>
    </row>
    <row r="351" spans="1:33" x14ac:dyDescent="0.3">
      <c r="A351">
        <v>453936</v>
      </c>
      <c r="B351" t="s">
        <v>710</v>
      </c>
      <c r="C351" t="s">
        <v>704</v>
      </c>
      <c r="D351" t="s">
        <v>711</v>
      </c>
      <c r="E351" s="18">
        <v>6.7</v>
      </c>
      <c r="F351" s="19">
        <f t="shared" si="112"/>
        <v>0.77777777777777779</v>
      </c>
      <c r="G351" s="2">
        <v>44.026239599999997</v>
      </c>
      <c r="H351" s="2">
        <f t="shared" si="113"/>
        <v>0.11937474780653244</v>
      </c>
      <c r="I351" s="2">
        <v>11.7</v>
      </c>
      <c r="J351" s="4">
        <f t="shared" si="114"/>
        <v>5.6768558951965066E-2</v>
      </c>
      <c r="K351" s="2">
        <v>0</v>
      </c>
      <c r="L351" s="4">
        <f t="shared" si="115"/>
        <v>0</v>
      </c>
      <c r="M351" s="2">
        <v>72151</v>
      </c>
      <c r="N351" s="2">
        <f t="shared" si="116"/>
        <v>0.34024593925801855</v>
      </c>
      <c r="O351" s="2">
        <v>0.49431894599999998</v>
      </c>
      <c r="P351" s="2">
        <f t="shared" si="117"/>
        <v>0.49358185487036282</v>
      </c>
      <c r="Q351" s="2">
        <v>0.24079999999999999</v>
      </c>
      <c r="R351" s="2">
        <f t="shared" si="118"/>
        <v>0.53792704111175449</v>
      </c>
      <c r="S351" s="2">
        <f t="shared" si="119"/>
        <v>2.4730488907127115E-2</v>
      </c>
      <c r="T351" s="5">
        <f t="shared" si="111"/>
        <v>4.9897567699004469E-2</v>
      </c>
      <c r="U351" s="2" t="str">
        <f t="shared" si="120"/>
        <v>No Impact</v>
      </c>
      <c r="V351" s="2">
        <f t="shared" si="121"/>
        <v>2.5793667461087192E-2</v>
      </c>
      <c r="W351" s="2">
        <f t="shared" si="122"/>
        <v>4.6463919867381819E-2</v>
      </c>
      <c r="X351" s="2" t="s">
        <v>1176</v>
      </c>
      <c r="Y351" s="2">
        <f t="shared" si="123"/>
        <v>2.3667310353167041E-2</v>
      </c>
      <c r="Z351" s="2">
        <f t="shared" si="124"/>
        <v>5.0217646582973167E-2</v>
      </c>
      <c r="AA351" s="2" t="str">
        <f t="shared" si="125"/>
        <v>No Impact</v>
      </c>
      <c r="AB351" s="2">
        <f t="shared" si="126"/>
        <v>2.1838168768512845E-2</v>
      </c>
      <c r="AC351" s="2">
        <f t="shared" si="127"/>
        <v>6.0701419583977408E-2</v>
      </c>
      <c r="AD351" s="2" t="str">
        <f t="shared" si="128"/>
        <v>No Impact</v>
      </c>
      <c r="AE351" s="2">
        <f t="shared" si="129"/>
        <v>1.6314834431949199E-2</v>
      </c>
      <c r="AF351" s="2">
        <f t="shared" si="130"/>
        <v>8.4049743940372387E-2</v>
      </c>
      <c r="AG351" s="2" t="s">
        <v>1175</v>
      </c>
    </row>
    <row r="352" spans="1:33" x14ac:dyDescent="0.3">
      <c r="A352">
        <v>453958</v>
      </c>
      <c r="B352" t="s">
        <v>712</v>
      </c>
      <c r="C352" t="s">
        <v>704</v>
      </c>
      <c r="D352" t="s">
        <v>713</v>
      </c>
      <c r="E352" s="18">
        <v>5.7</v>
      </c>
      <c r="F352" s="19">
        <f t="shared" si="112"/>
        <v>0.55555555555555558</v>
      </c>
      <c r="G352" s="2">
        <v>39.4242876</v>
      </c>
      <c r="H352" s="2">
        <f t="shared" si="113"/>
        <v>7.4881146024198805E-2</v>
      </c>
      <c r="I352" s="2">
        <v>10.8</v>
      </c>
      <c r="J352" s="4">
        <f t="shared" si="114"/>
        <v>5.2401746724890834E-2</v>
      </c>
      <c r="K352" s="2">
        <v>0</v>
      </c>
      <c r="L352" s="4">
        <f t="shared" si="115"/>
        <v>0</v>
      </c>
      <c r="M352" s="2">
        <v>42481</v>
      </c>
      <c r="N352" s="2">
        <f t="shared" si="116"/>
        <v>0.19986468136245997</v>
      </c>
      <c r="O352" s="2">
        <v>0.70818958799999998</v>
      </c>
      <c r="P352" s="2">
        <f t="shared" si="117"/>
        <v>0.74064311065939892</v>
      </c>
      <c r="Q352" s="2">
        <v>0.24909999999999999</v>
      </c>
      <c r="R352" s="2">
        <f t="shared" si="118"/>
        <v>0.5619571511291257</v>
      </c>
      <c r="S352" s="2">
        <f t="shared" si="119"/>
        <v>1.6119320915460474E-2</v>
      </c>
      <c r="T352" s="5">
        <f t="shared" si="111"/>
        <v>3.2523210910293449E-2</v>
      </c>
      <c r="U352" s="2" t="str">
        <f t="shared" si="120"/>
        <v>No Impact</v>
      </c>
      <c r="V352" s="2">
        <f t="shared" si="121"/>
        <v>1.390813118270187E-2</v>
      </c>
      <c r="W352" s="2">
        <f t="shared" si="122"/>
        <v>2.5053680084579019E-2</v>
      </c>
      <c r="X352" s="2" t="s">
        <v>1176</v>
      </c>
      <c r="Y352" s="2">
        <f t="shared" si="123"/>
        <v>1.833051064821908E-2</v>
      </c>
      <c r="Z352" s="2">
        <f t="shared" si="124"/>
        <v>3.8893946615886306E-2</v>
      </c>
      <c r="AA352" s="2" t="str">
        <f t="shared" si="125"/>
        <v>No Impact</v>
      </c>
      <c r="AB352" s="2">
        <f t="shared" si="126"/>
        <v>1.2098288532449236E-2</v>
      </c>
      <c r="AC352" s="2">
        <f t="shared" si="127"/>
        <v>3.3628428108637337E-2</v>
      </c>
      <c r="AD352" s="2" t="str">
        <f t="shared" si="128"/>
        <v>No Impact</v>
      </c>
      <c r="AE352" s="2">
        <f t="shared" si="129"/>
        <v>4.9465412115367443E-3</v>
      </c>
      <c r="AF352" s="2">
        <f t="shared" si="130"/>
        <v>2.5483281730765975E-2</v>
      </c>
      <c r="AG352" s="2" t="s">
        <v>1176</v>
      </c>
    </row>
    <row r="353" spans="1:33" x14ac:dyDescent="0.3">
      <c r="A353">
        <v>453961</v>
      </c>
      <c r="B353" t="s">
        <v>714</v>
      </c>
      <c r="C353" t="s">
        <v>704</v>
      </c>
      <c r="D353" t="s">
        <v>715</v>
      </c>
      <c r="E353" s="18">
        <v>5.9</v>
      </c>
      <c r="F353" s="19">
        <f t="shared" si="112"/>
        <v>0.60000000000000009</v>
      </c>
      <c r="G353" s="2">
        <v>42.605927999999999</v>
      </c>
      <c r="H353" s="2">
        <f t="shared" si="113"/>
        <v>0.10564257964458093</v>
      </c>
      <c r="I353" s="2">
        <v>9.6999999999999993</v>
      </c>
      <c r="J353" s="4">
        <f t="shared" si="114"/>
        <v>4.7064531780688985E-2</v>
      </c>
      <c r="K353" s="2">
        <v>0</v>
      </c>
      <c r="L353" s="4">
        <f t="shared" si="115"/>
        <v>0</v>
      </c>
      <c r="M353" s="2">
        <v>49997</v>
      </c>
      <c r="N353" s="2">
        <f t="shared" si="116"/>
        <v>0.23542604079431093</v>
      </c>
      <c r="O353" s="2">
        <v>0.57369328600000002</v>
      </c>
      <c r="P353" s="2">
        <f t="shared" si="117"/>
        <v>0.58527430940475333</v>
      </c>
      <c r="Q353" s="2">
        <v>0.2329</v>
      </c>
      <c r="R353" s="2">
        <f t="shared" si="118"/>
        <v>0.51505500868558196</v>
      </c>
      <c r="S353" s="2">
        <f t="shared" si="119"/>
        <v>1.764295173712177E-2</v>
      </c>
      <c r="T353" s="5">
        <f t="shared" si="111"/>
        <v>3.5597370598670026E-2</v>
      </c>
      <c r="U353" s="2" t="str">
        <f t="shared" si="120"/>
        <v>No Impact</v>
      </c>
      <c r="V353" s="2">
        <f t="shared" si="121"/>
        <v>1.6517038146313435E-2</v>
      </c>
      <c r="W353" s="2">
        <f t="shared" si="122"/>
        <v>2.9753284911289955E-2</v>
      </c>
      <c r="X353" s="2" t="s">
        <v>1176</v>
      </c>
      <c r="Y353" s="2">
        <f t="shared" si="123"/>
        <v>1.8768865327930113E-2</v>
      </c>
      <c r="Z353" s="2">
        <f t="shared" si="124"/>
        <v>3.9824054011075603E-2</v>
      </c>
      <c r="AA353" s="2" t="str">
        <f t="shared" si="125"/>
        <v>No Impact</v>
      </c>
      <c r="AB353" s="2">
        <f t="shared" si="126"/>
        <v>1.4054038401921777E-2</v>
      </c>
      <c r="AC353" s="2">
        <f t="shared" si="127"/>
        <v>3.9064634536317866E-2</v>
      </c>
      <c r="AD353" s="2" t="str">
        <f t="shared" si="128"/>
        <v>No Impact</v>
      </c>
      <c r="AE353" s="2">
        <f t="shared" si="129"/>
        <v>7.5497584352372657E-3</v>
      </c>
      <c r="AF353" s="2">
        <f t="shared" si="130"/>
        <v>3.8894373457490597E-2</v>
      </c>
      <c r="AG353" s="2" t="s">
        <v>1175</v>
      </c>
    </row>
    <row r="354" spans="1:33" x14ac:dyDescent="0.3">
      <c r="A354">
        <v>453985</v>
      </c>
      <c r="B354" t="s">
        <v>716</v>
      </c>
      <c r="C354" t="s">
        <v>704</v>
      </c>
      <c r="D354" t="s">
        <v>717</v>
      </c>
      <c r="E354" s="18">
        <v>6.7</v>
      </c>
      <c r="F354" s="19">
        <f t="shared" si="112"/>
        <v>0.77777777777777779</v>
      </c>
      <c r="G354" s="2">
        <v>42.605927999999999</v>
      </c>
      <c r="H354" s="2">
        <f t="shared" si="113"/>
        <v>0.10564257964458093</v>
      </c>
      <c r="I354" s="2">
        <v>21</v>
      </c>
      <c r="J354" s="4">
        <f t="shared" si="114"/>
        <v>0.10189228529839883</v>
      </c>
      <c r="K354" s="2">
        <v>0</v>
      </c>
      <c r="L354" s="4">
        <f t="shared" si="115"/>
        <v>0</v>
      </c>
      <c r="M354" s="2">
        <v>35824</v>
      </c>
      <c r="N354" s="2">
        <f t="shared" si="116"/>
        <v>0.16836761247770318</v>
      </c>
      <c r="O354" s="2">
        <v>0.71828706899999994</v>
      </c>
      <c r="P354" s="2">
        <f t="shared" si="117"/>
        <v>0.7523076210982178</v>
      </c>
      <c r="Q354" s="2">
        <v>0.24229999999999999</v>
      </c>
      <c r="R354" s="2">
        <f t="shared" si="118"/>
        <v>0.54226983207874924</v>
      </c>
      <c r="S354" s="2">
        <f t="shared" si="119"/>
        <v>3.6568966356283664E-2</v>
      </c>
      <c r="T354" s="5">
        <f t="shared" si="111"/>
        <v>7.3783518041142207E-2</v>
      </c>
      <c r="U354" s="2" t="str">
        <f t="shared" si="120"/>
        <v>No Impact</v>
      </c>
      <c r="V354" s="2">
        <f t="shared" si="121"/>
        <v>3.0635860676625895E-2</v>
      </c>
      <c r="W354" s="2">
        <f t="shared" si="122"/>
        <v>5.5186497914438921E-2</v>
      </c>
      <c r="X354" s="2" t="s">
        <v>1176</v>
      </c>
      <c r="Y354" s="2">
        <f t="shared" si="123"/>
        <v>4.2502072035941432E-2</v>
      </c>
      <c r="Z354" s="2">
        <f t="shared" si="124"/>
        <v>9.0181520447225855E-2</v>
      </c>
      <c r="AA354" s="2" t="str">
        <f t="shared" si="125"/>
        <v>No Impact</v>
      </c>
      <c r="AB354" s="2">
        <f t="shared" si="126"/>
        <v>2.6802383223352023E-2</v>
      </c>
      <c r="AC354" s="2">
        <f t="shared" si="127"/>
        <v>7.4499960465414114E-2</v>
      </c>
      <c r="AD354" s="2" t="str">
        <f t="shared" si="128"/>
        <v>No Impact</v>
      </c>
      <c r="AE354" s="2">
        <f t="shared" si="129"/>
        <v>9.5120296450015122E-3</v>
      </c>
      <c r="AF354" s="2">
        <f t="shared" si="130"/>
        <v>4.9003479584811868E-2</v>
      </c>
      <c r="AG354" s="2" t="s">
        <v>1175</v>
      </c>
    </row>
    <row r="355" spans="1:33" x14ac:dyDescent="0.3">
      <c r="A355">
        <v>456113</v>
      </c>
      <c r="B355" t="s">
        <v>718</v>
      </c>
      <c r="C355" t="s">
        <v>719</v>
      </c>
      <c r="D355" t="s">
        <v>720</v>
      </c>
      <c r="E355" s="18">
        <v>4.4000000000000004</v>
      </c>
      <c r="F355" s="19">
        <f t="shared" si="112"/>
        <v>0.26666666666666672</v>
      </c>
      <c r="G355" s="2">
        <v>47.768907599999999</v>
      </c>
      <c r="H355" s="2">
        <f t="shared" si="113"/>
        <v>0.15556043153280408</v>
      </c>
      <c r="I355" s="2">
        <v>20</v>
      </c>
      <c r="J355" s="4">
        <f t="shared" si="114"/>
        <v>9.7040271712760792E-2</v>
      </c>
      <c r="K355" s="2">
        <v>0</v>
      </c>
      <c r="L355" s="4">
        <f t="shared" si="115"/>
        <v>0</v>
      </c>
      <c r="M355" s="2">
        <v>67704</v>
      </c>
      <c r="N355" s="2">
        <f t="shared" si="116"/>
        <v>0.31920531054681034</v>
      </c>
      <c r="O355" s="2">
        <v>0.60988778600000004</v>
      </c>
      <c r="P355" s="2">
        <f t="shared" si="117"/>
        <v>0.62708583874339108</v>
      </c>
      <c r="Q355" s="2">
        <v>0.25380000000000003</v>
      </c>
      <c r="R355" s="2">
        <f t="shared" si="118"/>
        <v>0.57556456282570945</v>
      </c>
      <c r="S355" s="2">
        <f t="shared" si="119"/>
        <v>1.4176882402429402E-2</v>
      </c>
      <c r="T355" s="5">
        <f t="shared" si="111"/>
        <v>2.8604042244881861E-2</v>
      </c>
      <c r="U355" s="2" t="str">
        <f t="shared" si="120"/>
        <v>No Impact</v>
      </c>
      <c r="V355" s="2">
        <f t="shared" si="121"/>
        <v>1.3569547911080029E-2</v>
      </c>
      <c r="W355" s="2">
        <f t="shared" si="122"/>
        <v>2.4443766584499718E-2</v>
      </c>
      <c r="X355" s="2" t="s">
        <v>1176</v>
      </c>
      <c r="Y355" s="2">
        <f t="shared" si="123"/>
        <v>1.4784216893778778E-2</v>
      </c>
      <c r="Z355" s="2">
        <f t="shared" si="124"/>
        <v>3.1369368462202799E-2</v>
      </c>
      <c r="AA355" s="2" t="str">
        <f t="shared" si="125"/>
        <v>No Impact</v>
      </c>
      <c r="AB355" s="2">
        <f t="shared" si="126"/>
        <v>1.1818568710523857E-2</v>
      </c>
      <c r="AC355" s="2">
        <f t="shared" si="127"/>
        <v>3.285091830657328E-2</v>
      </c>
      <c r="AD355" s="2" t="str">
        <f t="shared" si="128"/>
        <v>No Impact</v>
      </c>
      <c r="AE355" s="2">
        <f t="shared" si="129"/>
        <v>7.5256053528920336E-3</v>
      </c>
      <c r="AF355" s="2">
        <f t="shared" si="130"/>
        <v>3.8769943118037567E-2</v>
      </c>
      <c r="AG355" s="2" t="s">
        <v>1175</v>
      </c>
    </row>
    <row r="356" spans="1:33" x14ac:dyDescent="0.3">
      <c r="A356">
        <v>456116</v>
      </c>
      <c r="B356" t="s">
        <v>721</v>
      </c>
      <c r="C356" t="s">
        <v>719</v>
      </c>
      <c r="D356" t="s">
        <v>722</v>
      </c>
      <c r="E356" s="18">
        <v>5.3</v>
      </c>
      <c r="F356" s="19">
        <f t="shared" si="112"/>
        <v>0.46666666666666656</v>
      </c>
      <c r="G356" s="2">
        <v>37.307879999999997</v>
      </c>
      <c r="H356" s="2">
        <f t="shared" si="113"/>
        <v>5.4418829823702893E-2</v>
      </c>
      <c r="I356" s="2">
        <v>7.1</v>
      </c>
      <c r="J356" s="4">
        <f t="shared" si="114"/>
        <v>3.4449296458030083E-2</v>
      </c>
      <c r="K356" s="2">
        <v>0</v>
      </c>
      <c r="L356" s="4">
        <f t="shared" si="115"/>
        <v>0</v>
      </c>
      <c r="M356" s="2">
        <v>30622</v>
      </c>
      <c r="N356" s="2">
        <f t="shared" si="116"/>
        <v>0.14375476099227358</v>
      </c>
      <c r="O356" s="2">
        <v>0.345899717</v>
      </c>
      <c r="P356" s="2">
        <f t="shared" si="117"/>
        <v>0.32212942569599989</v>
      </c>
      <c r="Q356" s="2">
        <v>0.1865</v>
      </c>
      <c r="R356" s="2">
        <f t="shared" si="118"/>
        <v>0.38071800810654316</v>
      </c>
      <c r="S356" s="2">
        <f t="shared" si="119"/>
        <v>5.100959984489767E-3</v>
      </c>
      <c r="T356" s="5">
        <f t="shared" si="111"/>
        <v>1.0291971869696392E-2</v>
      </c>
      <c r="U356" s="2" t="str">
        <f t="shared" si="120"/>
        <v>No Impact</v>
      </c>
      <c r="V356" s="2">
        <f t="shared" si="121"/>
        <v>5.5261703502832108E-3</v>
      </c>
      <c r="W356" s="2">
        <f t="shared" si="122"/>
        <v>9.9546734374405931E-3</v>
      </c>
      <c r="X356" s="2" t="s">
        <v>1176</v>
      </c>
      <c r="Y356" s="2">
        <f t="shared" si="123"/>
        <v>4.6757496186963241E-3</v>
      </c>
      <c r="Z356" s="2">
        <f t="shared" si="124"/>
        <v>9.9210741887593955E-3</v>
      </c>
      <c r="AA356" s="2" t="str">
        <f t="shared" si="125"/>
        <v>No Impact</v>
      </c>
      <c r="AB356" s="2">
        <f t="shared" si="126"/>
        <v>4.0672010373642483E-3</v>
      </c>
      <c r="AC356" s="2">
        <f t="shared" si="127"/>
        <v>1.1305200510099731E-2</v>
      </c>
      <c r="AD356" s="2" t="str">
        <f t="shared" si="128"/>
        <v>No Impact</v>
      </c>
      <c r="AE356" s="2">
        <f t="shared" si="129"/>
        <v>2.0866186547320786E-3</v>
      </c>
      <c r="AF356" s="2">
        <f t="shared" si="130"/>
        <v>1.0749711519474009E-2</v>
      </c>
      <c r="AG356" s="2" t="s">
        <v>1176</v>
      </c>
    </row>
    <row r="357" spans="1:33" x14ac:dyDescent="0.3">
      <c r="A357">
        <v>456120</v>
      </c>
      <c r="B357" t="s">
        <v>723</v>
      </c>
      <c r="C357" t="s">
        <v>719</v>
      </c>
      <c r="D357" t="s">
        <v>724</v>
      </c>
      <c r="E357" s="18">
        <v>5.4</v>
      </c>
      <c r="F357" s="19">
        <f t="shared" si="112"/>
        <v>0.48888888888888893</v>
      </c>
      <c r="G357" s="2">
        <v>45.024515999999998</v>
      </c>
      <c r="H357" s="2">
        <f t="shared" si="113"/>
        <v>0.12902650267279392</v>
      </c>
      <c r="I357" s="2">
        <v>23.5</v>
      </c>
      <c r="J357" s="4">
        <f t="shared" si="114"/>
        <v>0.11402231926249394</v>
      </c>
      <c r="K357" s="2">
        <v>0</v>
      </c>
      <c r="L357" s="4">
        <f t="shared" si="115"/>
        <v>0</v>
      </c>
      <c r="M357" s="2">
        <v>47760</v>
      </c>
      <c r="N357" s="2">
        <f t="shared" si="116"/>
        <v>0.22484185225665118</v>
      </c>
      <c r="O357" s="2">
        <v>0.41156439900000003</v>
      </c>
      <c r="P357" s="2">
        <f t="shared" si="117"/>
        <v>0.397984618555559</v>
      </c>
      <c r="Q357" s="2">
        <v>0.24210000000000001</v>
      </c>
      <c r="R357" s="2">
        <f t="shared" si="118"/>
        <v>0.54169079328315006</v>
      </c>
      <c r="S357" s="2">
        <f t="shared" si="119"/>
        <v>1.9539776824855012E-2</v>
      </c>
      <c r="T357" s="5">
        <f t="shared" si="111"/>
        <v>3.9424507158071533E-2</v>
      </c>
      <c r="U357" s="2" t="str">
        <f t="shared" si="120"/>
        <v>No Impact</v>
      </c>
      <c r="V357" s="2">
        <f t="shared" si="121"/>
        <v>2.2528028456379801E-2</v>
      </c>
      <c r="W357" s="2">
        <f t="shared" si="122"/>
        <v>4.0581298124683536E-2</v>
      </c>
      <c r="X357" s="2" t="s">
        <v>1176</v>
      </c>
      <c r="Y357" s="2">
        <f t="shared" si="123"/>
        <v>1.6551525193330224E-2</v>
      </c>
      <c r="Z357" s="2">
        <f t="shared" si="124"/>
        <v>3.5119269159227029E-2</v>
      </c>
      <c r="AA357" s="2" t="str">
        <f t="shared" si="125"/>
        <v>No Impact</v>
      </c>
      <c r="AB357" s="2">
        <f t="shared" si="126"/>
        <v>1.612304840679421E-2</v>
      </c>
      <c r="AC357" s="2">
        <f t="shared" si="127"/>
        <v>4.4815659073242052E-2</v>
      </c>
      <c r="AD357" s="2" t="str">
        <f t="shared" si="128"/>
        <v>No Impact</v>
      </c>
      <c r="AE357" s="2">
        <f t="shared" si="129"/>
        <v>9.3508025401777498E-3</v>
      </c>
      <c r="AF357" s="2">
        <f t="shared" si="130"/>
        <v>4.8172879866916617E-2</v>
      </c>
      <c r="AG357" s="2" t="s">
        <v>1175</v>
      </c>
    </row>
    <row r="358" spans="1:33" x14ac:dyDescent="0.3">
      <c r="A358">
        <v>456122</v>
      </c>
      <c r="B358" t="s">
        <v>725</v>
      </c>
      <c r="C358" t="s">
        <v>719</v>
      </c>
      <c r="D358" t="s">
        <v>726</v>
      </c>
      <c r="E358" s="18">
        <v>5.3</v>
      </c>
      <c r="F358" s="19">
        <f t="shared" si="112"/>
        <v>0.46666666666666656</v>
      </c>
      <c r="G358" s="2">
        <v>45.942256800000003</v>
      </c>
      <c r="H358" s="2">
        <f t="shared" si="113"/>
        <v>0.1378996055853407</v>
      </c>
      <c r="I358" s="2">
        <v>21.3</v>
      </c>
      <c r="J358" s="4">
        <f t="shared" si="114"/>
        <v>0.10334788937409026</v>
      </c>
      <c r="K358" s="2">
        <v>0</v>
      </c>
      <c r="L358" s="4">
        <f t="shared" si="115"/>
        <v>0</v>
      </c>
      <c r="M358" s="2">
        <v>46008</v>
      </c>
      <c r="N358" s="2">
        <f t="shared" si="116"/>
        <v>0.21655240285210051</v>
      </c>
      <c r="O358" s="2">
        <v>0.36805424799999997</v>
      </c>
      <c r="P358" s="2">
        <f t="shared" si="117"/>
        <v>0.34772212135114794</v>
      </c>
      <c r="Q358" s="2">
        <v>0.2351</v>
      </c>
      <c r="R358" s="2">
        <f t="shared" si="118"/>
        <v>0.52142443543717432</v>
      </c>
      <c r="S358" s="2">
        <f t="shared" si="119"/>
        <v>1.7123820082186797E-2</v>
      </c>
      <c r="T358" s="5">
        <f t="shared" si="111"/>
        <v>3.4549942584040323E-2</v>
      </c>
      <c r="U358" s="2" t="str">
        <f t="shared" si="120"/>
        <v>No Impact</v>
      </c>
      <c r="V358" s="2">
        <f t="shared" si="121"/>
        <v>2.0546082013776126E-2</v>
      </c>
      <c r="W358" s="2">
        <f t="shared" si="122"/>
        <v>3.7011080712618862E-2</v>
      </c>
      <c r="X358" s="2" t="s">
        <v>1176</v>
      </c>
      <c r="Y358" s="2">
        <f t="shared" si="123"/>
        <v>1.3701558150597469E-2</v>
      </c>
      <c r="Z358" s="2">
        <f t="shared" si="124"/>
        <v>2.9072167245683088E-2</v>
      </c>
      <c r="AA358" s="2" t="str">
        <f t="shared" si="125"/>
        <v>No Impact</v>
      </c>
      <c r="AB358" s="2">
        <f t="shared" si="126"/>
        <v>1.4288138579571143E-2</v>
      </c>
      <c r="AC358" s="2">
        <f t="shared" si="127"/>
        <v>3.9715339879737813E-2</v>
      </c>
      <c r="AD358" s="2" t="str">
        <f t="shared" si="128"/>
        <v>No Impact</v>
      </c>
      <c r="AE358" s="2">
        <f t="shared" si="129"/>
        <v>8.5329783702007451E-3</v>
      </c>
      <c r="AF358" s="2">
        <f t="shared" si="130"/>
        <v>4.3959664442541485E-2</v>
      </c>
      <c r="AG358" s="2" t="s">
        <v>1175</v>
      </c>
    </row>
    <row r="359" spans="1:33" x14ac:dyDescent="0.3">
      <c r="A359">
        <v>456123</v>
      </c>
      <c r="B359" t="s">
        <v>727</v>
      </c>
      <c r="C359" t="s">
        <v>719</v>
      </c>
      <c r="D359" t="s">
        <v>728</v>
      </c>
      <c r="E359" s="18">
        <v>5.4</v>
      </c>
      <c r="F359" s="19">
        <f t="shared" si="112"/>
        <v>0.48888888888888893</v>
      </c>
      <c r="G359" s="2">
        <v>45.696160800000001</v>
      </c>
      <c r="H359" s="2">
        <f t="shared" si="113"/>
        <v>0.13552024625603321</v>
      </c>
      <c r="I359" s="2">
        <v>10.4</v>
      </c>
      <c r="J359" s="4">
        <f t="shared" si="114"/>
        <v>5.0460941290635615E-2</v>
      </c>
      <c r="K359" s="2">
        <v>0</v>
      </c>
      <c r="L359" s="4">
        <f t="shared" si="115"/>
        <v>0</v>
      </c>
      <c r="M359" s="2">
        <v>52514</v>
      </c>
      <c r="N359" s="2">
        <f t="shared" si="116"/>
        <v>0.24733502718201303</v>
      </c>
      <c r="O359" s="2">
        <v>0.35122262900000001</v>
      </c>
      <c r="P359" s="2">
        <f t="shared" si="117"/>
        <v>0.32827840112748774</v>
      </c>
      <c r="Q359" s="2">
        <v>0.2263</v>
      </c>
      <c r="R359" s="2">
        <f t="shared" si="118"/>
        <v>0.4959467284308049</v>
      </c>
      <c r="S359" s="2">
        <f t="shared" si="119"/>
        <v>1.3114842629868317E-2</v>
      </c>
      <c r="T359" s="5">
        <f t="shared" si="111"/>
        <v>2.6461213542650668E-2</v>
      </c>
      <c r="U359" s="2" t="str">
        <f t="shared" si="120"/>
        <v>No Impact</v>
      </c>
      <c r="V359" s="2">
        <f t="shared" si="121"/>
        <v>1.5782734747856377E-2</v>
      </c>
      <c r="W359" s="2">
        <f t="shared" si="122"/>
        <v>2.8430533336093178E-2</v>
      </c>
      <c r="X359" s="2" t="s">
        <v>1176</v>
      </c>
      <c r="Y359" s="2">
        <f t="shared" si="123"/>
        <v>1.0446950511880253E-2</v>
      </c>
      <c r="Z359" s="2">
        <f t="shared" si="124"/>
        <v>2.2166492974779916E-2</v>
      </c>
      <c r="AA359" s="2" t="str">
        <f t="shared" si="125"/>
        <v>No Impact</v>
      </c>
      <c r="AB359" s="2">
        <f t="shared" si="126"/>
        <v>1.1412910966381579E-2</v>
      </c>
      <c r="AC359" s="2">
        <f t="shared" si="127"/>
        <v>3.1723351192513148E-2</v>
      </c>
      <c r="AD359" s="2" t="str">
        <f t="shared" si="128"/>
        <v>No Impact</v>
      </c>
      <c r="AE359" s="2">
        <f t="shared" si="129"/>
        <v>7.8710532887650581E-3</v>
      </c>
      <c r="AF359" s="2">
        <f t="shared" si="130"/>
        <v>4.0549600194912293E-2</v>
      </c>
      <c r="AG359" s="2" t="s">
        <v>1175</v>
      </c>
    </row>
    <row r="360" spans="1:33" x14ac:dyDescent="0.3">
      <c r="A360">
        <v>456124</v>
      </c>
      <c r="B360" t="s">
        <v>729</v>
      </c>
      <c r="C360" t="s">
        <v>719</v>
      </c>
      <c r="D360" t="s">
        <v>730</v>
      </c>
      <c r="E360" s="18">
        <v>5.4</v>
      </c>
      <c r="F360" s="19">
        <f t="shared" si="112"/>
        <v>0.48888888888888893</v>
      </c>
      <c r="G360" s="2">
        <v>42.370379999999997</v>
      </c>
      <c r="H360" s="2">
        <f t="shared" si="113"/>
        <v>0.10336520280261796</v>
      </c>
      <c r="I360" s="2">
        <v>6.3</v>
      </c>
      <c r="J360" s="4">
        <f t="shared" si="114"/>
        <v>3.0567685589519649E-2</v>
      </c>
      <c r="K360" s="2">
        <v>0</v>
      </c>
      <c r="L360" s="4">
        <f t="shared" si="115"/>
        <v>0</v>
      </c>
      <c r="M360" s="2">
        <v>39702</v>
      </c>
      <c r="N360" s="2">
        <f t="shared" si="116"/>
        <v>0.18671606270078966</v>
      </c>
      <c r="O360" s="2">
        <v>0.36162643500000002</v>
      </c>
      <c r="P360" s="2">
        <f t="shared" si="117"/>
        <v>0.34029677518438856</v>
      </c>
      <c r="Q360" s="2">
        <v>0.19450000000000001</v>
      </c>
      <c r="R360" s="2">
        <f t="shared" si="118"/>
        <v>0.40387955993051539</v>
      </c>
      <c r="S360" s="2">
        <f t="shared" si="119"/>
        <v>8.527295360773457E-3</v>
      </c>
      <c r="T360" s="5">
        <f t="shared" si="111"/>
        <v>1.7205130846846193E-2</v>
      </c>
      <c r="U360" s="2" t="str">
        <f t="shared" si="120"/>
        <v>No Impact</v>
      </c>
      <c r="V360" s="2">
        <f t="shared" si="121"/>
        <v>9.2558715863356265E-3</v>
      </c>
      <c r="W360" s="2">
        <f t="shared" si="122"/>
        <v>1.6673242622014781E-2</v>
      </c>
      <c r="X360" s="2" t="s">
        <v>1176</v>
      </c>
      <c r="Y360" s="2">
        <f t="shared" si="123"/>
        <v>7.7987191352112883E-3</v>
      </c>
      <c r="Z360" s="2">
        <f t="shared" si="124"/>
        <v>1.6547436759306457E-2</v>
      </c>
      <c r="AA360" s="2" t="str">
        <f t="shared" si="125"/>
        <v>No Impact</v>
      </c>
      <c r="AB360" s="2">
        <f t="shared" si="126"/>
        <v>7.0768374885857846E-3</v>
      </c>
      <c r="AC360" s="2">
        <f t="shared" si="127"/>
        <v>1.9670792284637161E-2</v>
      </c>
      <c r="AD360" s="2" t="str">
        <f t="shared" si="128"/>
        <v>No Impact</v>
      </c>
      <c r="AE360" s="2">
        <f t="shared" si="129"/>
        <v>4.2790476937283693E-3</v>
      </c>
      <c r="AF360" s="2">
        <f t="shared" si="130"/>
        <v>2.2044530360798842E-2</v>
      </c>
      <c r="AG360" s="2" t="s">
        <v>1176</v>
      </c>
    </row>
    <row r="361" spans="1:33" x14ac:dyDescent="0.3">
      <c r="A361">
        <v>456131</v>
      </c>
      <c r="B361" t="s">
        <v>731</v>
      </c>
      <c r="C361" t="s">
        <v>719</v>
      </c>
      <c r="D361" t="s">
        <v>732</v>
      </c>
      <c r="E361" s="18">
        <v>5.4</v>
      </c>
      <c r="F361" s="19">
        <f t="shared" si="112"/>
        <v>0.48888888888888893</v>
      </c>
      <c r="G361" s="2">
        <v>45.696160800000001</v>
      </c>
      <c r="H361" s="2">
        <f t="shared" si="113"/>
        <v>0.13552024625603321</v>
      </c>
      <c r="I361" s="2">
        <v>17</v>
      </c>
      <c r="J361" s="4">
        <f t="shared" si="114"/>
        <v>8.2484230955846685E-2</v>
      </c>
      <c r="K361" s="2">
        <v>0</v>
      </c>
      <c r="L361" s="4">
        <f t="shared" si="115"/>
        <v>0</v>
      </c>
      <c r="M361" s="2">
        <v>55685</v>
      </c>
      <c r="N361" s="2">
        <f t="shared" si="116"/>
        <v>0.26233836283374262</v>
      </c>
      <c r="O361" s="2">
        <v>0.57984758999999997</v>
      </c>
      <c r="P361" s="2">
        <f t="shared" si="117"/>
        <v>0.59238370067289903</v>
      </c>
      <c r="Q361" s="2">
        <v>0.23080000000000001</v>
      </c>
      <c r="R361" s="2">
        <f t="shared" si="118"/>
        <v>0.50897510133178925</v>
      </c>
      <c r="S361" s="2">
        <f t="shared" si="119"/>
        <v>2.054198726526394E-2</v>
      </c>
      <c r="T361" s="5">
        <f t="shared" si="111"/>
        <v>4.1446620974209702E-2</v>
      </c>
      <c r="U361" s="2" t="str">
        <f t="shared" si="120"/>
        <v>No Impact</v>
      </c>
      <c r="V361" s="2">
        <f t="shared" si="121"/>
        <v>1.8986292261637609E-2</v>
      </c>
      <c r="W361" s="2">
        <f t="shared" si="122"/>
        <v>3.4201323388939976E-2</v>
      </c>
      <c r="X361" s="2" t="s">
        <v>1176</v>
      </c>
      <c r="Y361" s="2">
        <f t="shared" si="123"/>
        <v>2.2097682268890279E-2</v>
      </c>
      <c r="Z361" s="2">
        <f t="shared" si="124"/>
        <v>4.6887186668994302E-2</v>
      </c>
      <c r="AA361" s="2" t="str">
        <f t="shared" si="125"/>
        <v>No Impact</v>
      </c>
      <c r="AB361" s="2">
        <f t="shared" si="126"/>
        <v>1.6699608682144765E-2</v>
      </c>
      <c r="AC361" s="2">
        <f t="shared" si="127"/>
        <v>4.6418267220495184E-2</v>
      </c>
      <c r="AD361" s="2" t="str">
        <f t="shared" si="128"/>
        <v>No Impact</v>
      </c>
      <c r="AE361" s="2">
        <f t="shared" si="129"/>
        <v>9.7860048854414884E-3</v>
      </c>
      <c r="AF361" s="2">
        <f t="shared" si="130"/>
        <v>5.0414928098189808E-2</v>
      </c>
      <c r="AG361" s="2" t="s">
        <v>1175</v>
      </c>
    </row>
    <row r="362" spans="1:33" x14ac:dyDescent="0.3">
      <c r="A362">
        <v>456152</v>
      </c>
      <c r="B362" t="s">
        <v>733</v>
      </c>
      <c r="C362" t="s">
        <v>719</v>
      </c>
      <c r="D362" t="s">
        <v>734</v>
      </c>
      <c r="E362" s="18">
        <v>5.3</v>
      </c>
      <c r="F362" s="19">
        <f t="shared" si="112"/>
        <v>0.46666666666666656</v>
      </c>
      <c r="G362" s="2">
        <v>44.026239599999997</v>
      </c>
      <c r="H362" s="2">
        <f t="shared" si="113"/>
        <v>0.11937474780653244</v>
      </c>
      <c r="I362" s="2">
        <v>11.3</v>
      </c>
      <c r="J362" s="4">
        <f t="shared" si="114"/>
        <v>5.4827753517709854E-2</v>
      </c>
      <c r="K362" s="2">
        <v>0</v>
      </c>
      <c r="L362" s="4">
        <f t="shared" si="115"/>
        <v>0</v>
      </c>
      <c r="M362" s="2">
        <v>87952</v>
      </c>
      <c r="N362" s="2">
        <f t="shared" si="116"/>
        <v>0.41500712078844398</v>
      </c>
      <c r="O362" s="2">
        <v>0.25703116199999998</v>
      </c>
      <c r="P362" s="2">
        <f t="shared" si="117"/>
        <v>0.21946934765472753</v>
      </c>
      <c r="Q362" s="2">
        <v>0.2293</v>
      </c>
      <c r="R362" s="2">
        <f t="shared" si="118"/>
        <v>0.5046323103647945</v>
      </c>
      <c r="S362" s="2">
        <f t="shared" si="119"/>
        <v>1.0301459469935931E-2</v>
      </c>
      <c r="T362" s="5">
        <f t="shared" si="111"/>
        <v>2.07847800029357E-2</v>
      </c>
      <c r="U362" s="2" t="str">
        <f t="shared" si="120"/>
        <v>No Impact</v>
      </c>
      <c r="V362" s="2">
        <f t="shared" si="121"/>
        <v>1.4358341083381162E-2</v>
      </c>
      <c r="W362" s="2">
        <f t="shared" si="122"/>
        <v>2.5864674363706739E-2</v>
      </c>
      <c r="X362" s="2" t="s">
        <v>1176</v>
      </c>
      <c r="Y362" s="2">
        <f t="shared" si="123"/>
        <v>6.2445778564906981E-3</v>
      </c>
      <c r="Z362" s="2">
        <f t="shared" si="124"/>
        <v>1.3249836976728841E-2</v>
      </c>
      <c r="AA362" s="2" t="str">
        <f t="shared" si="125"/>
        <v>No Impact</v>
      </c>
      <c r="AB362" s="2">
        <f t="shared" si="126"/>
        <v>1.1031672824212376E-2</v>
      </c>
      <c r="AC362" s="2">
        <f t="shared" si="127"/>
        <v>3.0663660855171519E-2</v>
      </c>
      <c r="AD362" s="2" t="str">
        <f t="shared" si="128"/>
        <v>No Impact</v>
      </c>
      <c r="AE362" s="2">
        <f t="shared" si="129"/>
        <v>1.1808228823090749E-2</v>
      </c>
      <c r="AF362" s="2">
        <f t="shared" si="130"/>
        <v>6.0832894940480664E-2</v>
      </c>
      <c r="AG362" s="2" t="s">
        <v>1175</v>
      </c>
    </row>
    <row r="363" spans="1:33" x14ac:dyDescent="0.3">
      <c r="A363">
        <v>456165</v>
      </c>
      <c r="B363" t="s">
        <v>735</v>
      </c>
      <c r="C363" t="s">
        <v>719</v>
      </c>
      <c r="D363" t="s">
        <v>736</v>
      </c>
      <c r="E363" s="18">
        <v>5.3</v>
      </c>
      <c r="F363" s="19">
        <f t="shared" si="112"/>
        <v>0.46666666666666656</v>
      </c>
      <c r="G363" s="2">
        <v>44.026239599999997</v>
      </c>
      <c r="H363" s="2">
        <f t="shared" si="113"/>
        <v>0.11937474780653244</v>
      </c>
      <c r="I363" s="2">
        <v>17.3</v>
      </c>
      <c r="J363" s="4">
        <f t="shared" si="114"/>
        <v>8.3939835031538096E-2</v>
      </c>
      <c r="K363" s="2">
        <v>0</v>
      </c>
      <c r="L363" s="4">
        <f t="shared" si="115"/>
        <v>0</v>
      </c>
      <c r="M363" s="2">
        <v>36359</v>
      </c>
      <c r="N363" s="2">
        <f t="shared" si="116"/>
        <v>0.17089892265546267</v>
      </c>
      <c r="O363" s="2">
        <v>0.34999158899999999</v>
      </c>
      <c r="P363" s="2">
        <f t="shared" si="117"/>
        <v>0.32685631586378644</v>
      </c>
      <c r="Q363" s="2">
        <v>0.23230000000000001</v>
      </c>
      <c r="R363" s="2">
        <f t="shared" si="118"/>
        <v>0.51331789229878411</v>
      </c>
      <c r="S363" s="2">
        <f t="shared" si="119"/>
        <v>1.3950272939250137E-2</v>
      </c>
      <c r="T363" s="5">
        <f t="shared" si="111"/>
        <v>2.8146822774911585E-2</v>
      </c>
      <c r="U363" s="2" t="str">
        <f t="shared" si="120"/>
        <v>No Impact</v>
      </c>
      <c r="V363" s="2">
        <f t="shared" si="121"/>
        <v>1.7046285478887334E-2</v>
      </c>
      <c r="W363" s="2">
        <f t="shared" si="122"/>
        <v>3.0706654791235778E-2</v>
      </c>
      <c r="X363" s="2" t="s">
        <v>1176</v>
      </c>
      <c r="Y363" s="2">
        <f t="shared" si="123"/>
        <v>1.0854260399612943E-2</v>
      </c>
      <c r="Z363" s="2">
        <f t="shared" si="124"/>
        <v>2.3030729074560202E-2</v>
      </c>
      <c r="AA363" s="2" t="str">
        <f t="shared" si="125"/>
        <v>No Impact</v>
      </c>
      <c r="AB363" s="2">
        <f t="shared" si="126"/>
        <v>1.1208804938551061E-2</v>
      </c>
      <c r="AC363" s="2">
        <f t="shared" si="127"/>
        <v>3.1156017650663111E-2</v>
      </c>
      <c r="AD363" s="2" t="str">
        <f t="shared" si="128"/>
        <v>No Impact</v>
      </c>
      <c r="AE363" s="2">
        <f t="shared" si="129"/>
        <v>5.6752197173046076E-3</v>
      </c>
      <c r="AF363" s="2">
        <f t="shared" si="130"/>
        <v>2.923724209610723E-2</v>
      </c>
      <c r="AG363" s="2" t="s">
        <v>1176</v>
      </c>
    </row>
    <row r="364" spans="1:33" x14ac:dyDescent="0.3">
      <c r="A364">
        <v>456172</v>
      </c>
      <c r="B364" t="s">
        <v>737</v>
      </c>
      <c r="C364" t="s">
        <v>719</v>
      </c>
      <c r="D364" t="s">
        <v>738</v>
      </c>
      <c r="E364" s="18">
        <v>5.4</v>
      </c>
      <c r="F364" s="19">
        <f t="shared" si="112"/>
        <v>0.48888888888888893</v>
      </c>
      <c r="G364" s="2">
        <v>45.696160800000001</v>
      </c>
      <c r="H364" s="2">
        <f t="shared" si="113"/>
        <v>0.13552024625603321</v>
      </c>
      <c r="I364" s="2">
        <v>20.399999999999999</v>
      </c>
      <c r="J364" s="4">
        <f t="shared" si="114"/>
        <v>9.8981077147016011E-2</v>
      </c>
      <c r="K364" s="2">
        <v>0</v>
      </c>
      <c r="L364" s="4">
        <f t="shared" si="115"/>
        <v>0</v>
      </c>
      <c r="M364" s="2">
        <v>50033</v>
      </c>
      <c r="N364" s="2">
        <f t="shared" si="116"/>
        <v>0.23559637194645924</v>
      </c>
      <c r="O364" s="2">
        <v>0.43192635800000001</v>
      </c>
      <c r="P364" s="2">
        <f t="shared" si="117"/>
        <v>0.42150655272015963</v>
      </c>
      <c r="Q364" s="2">
        <v>0.23019999999999999</v>
      </c>
      <c r="R364" s="2">
        <f t="shared" si="118"/>
        <v>0.50723798494499128</v>
      </c>
      <c r="S364" s="2">
        <f t="shared" si="119"/>
        <v>1.8633300428121093E-2</v>
      </c>
      <c r="T364" s="5">
        <f t="shared" si="111"/>
        <v>3.7595551509704013E-2</v>
      </c>
      <c r="U364" s="2" t="str">
        <f t="shared" si="120"/>
        <v>No Impact</v>
      </c>
      <c r="V364" s="2">
        <f t="shared" si="121"/>
        <v>2.0353320808315607E-2</v>
      </c>
      <c r="W364" s="2">
        <f t="shared" si="122"/>
        <v>3.6663846601084724E-2</v>
      </c>
      <c r="X364" s="2" t="s">
        <v>1176</v>
      </c>
      <c r="Y364" s="2">
        <f t="shared" si="123"/>
        <v>1.6913280047926582E-2</v>
      </c>
      <c r="Z364" s="2">
        <f t="shared" si="124"/>
        <v>3.5886845920874717E-2</v>
      </c>
      <c r="AA364" s="2" t="str">
        <f t="shared" si="125"/>
        <v>No Impact</v>
      </c>
      <c r="AB364" s="2">
        <f t="shared" si="126"/>
        <v>1.5506367328911384E-2</v>
      </c>
      <c r="AC364" s="2">
        <f t="shared" si="127"/>
        <v>4.3101531059356664E-2</v>
      </c>
      <c r="AD364" s="2" t="str">
        <f t="shared" si="128"/>
        <v>No Impact</v>
      </c>
      <c r="AE364" s="2">
        <f t="shared" si="129"/>
        <v>9.4534886617798491E-3</v>
      </c>
      <c r="AF364" s="2">
        <f t="shared" si="130"/>
        <v>4.8701891807729505E-2</v>
      </c>
      <c r="AG364" s="2" t="s">
        <v>1175</v>
      </c>
    </row>
    <row r="365" spans="1:33" x14ac:dyDescent="0.3">
      <c r="A365">
        <v>456181</v>
      </c>
      <c r="B365" t="s">
        <v>739</v>
      </c>
      <c r="C365" t="s">
        <v>719</v>
      </c>
      <c r="D365" t="s">
        <v>740</v>
      </c>
      <c r="E365" s="18">
        <v>5.4</v>
      </c>
      <c r="F365" s="19">
        <f t="shared" si="112"/>
        <v>0.48888888888888893</v>
      </c>
      <c r="G365" s="2">
        <v>44.026239599999997</v>
      </c>
      <c r="H365" s="2">
        <f t="shared" si="113"/>
        <v>0.11937474780653244</v>
      </c>
      <c r="I365" s="2">
        <v>9.8000000000000007</v>
      </c>
      <c r="J365" s="4">
        <f t="shared" si="114"/>
        <v>4.7549733139252794E-2</v>
      </c>
      <c r="K365" s="2">
        <v>0</v>
      </c>
      <c r="L365" s="4">
        <f t="shared" si="115"/>
        <v>0</v>
      </c>
      <c r="M365" s="2">
        <v>71423</v>
      </c>
      <c r="N365" s="2">
        <f t="shared" si="116"/>
        <v>0.33680146484790846</v>
      </c>
      <c r="O365" s="2">
        <v>0.18965890399999999</v>
      </c>
      <c r="P365" s="2">
        <f t="shared" si="117"/>
        <v>0.14164157984532932</v>
      </c>
      <c r="Q365" s="2">
        <v>0.20830000000000001</v>
      </c>
      <c r="R365" s="2">
        <f t="shared" si="118"/>
        <v>0.44383323682686748</v>
      </c>
      <c r="S365" s="2">
        <f t="shared" si="119"/>
        <v>8.3613512786081239E-3</v>
      </c>
      <c r="T365" s="5">
        <f t="shared" si="111"/>
        <v>1.6870313120225851E-2</v>
      </c>
      <c r="U365" s="2" t="str">
        <f t="shared" si="120"/>
        <v>No Impact</v>
      </c>
      <c r="V365" s="2">
        <f t="shared" si="121"/>
        <v>1.2677046037007939E-2</v>
      </c>
      <c r="W365" s="2">
        <f t="shared" si="122"/>
        <v>2.2836041137122575E-2</v>
      </c>
      <c r="X365" s="2" t="s">
        <v>1176</v>
      </c>
      <c r="Y365" s="2">
        <f t="shared" si="123"/>
        <v>4.0456565202083104E-3</v>
      </c>
      <c r="Z365" s="2">
        <f t="shared" si="124"/>
        <v>8.5841334015690409E-3</v>
      </c>
      <c r="AA365" s="2" t="str">
        <f t="shared" si="125"/>
        <v>No Impact</v>
      </c>
      <c r="AB365" s="2">
        <f t="shared" si="126"/>
        <v>9.0176409389172499E-3</v>
      </c>
      <c r="AC365" s="2">
        <f t="shared" si="127"/>
        <v>2.5065453614412387E-2</v>
      </c>
      <c r="AD365" s="2" t="str">
        <f t="shared" si="128"/>
        <v>No Impact</v>
      </c>
      <c r="AE365" s="2">
        <f t="shared" si="129"/>
        <v>9.6199367711485087E-3</v>
      </c>
      <c r="AF365" s="2">
        <f t="shared" si="130"/>
        <v>4.9559388770395493E-2</v>
      </c>
      <c r="AG365" s="2" t="s">
        <v>1175</v>
      </c>
    </row>
    <row r="366" spans="1:33" x14ac:dyDescent="0.3">
      <c r="A366">
        <v>456194</v>
      </c>
      <c r="B366" t="s">
        <v>741</v>
      </c>
      <c r="C366" t="s">
        <v>719</v>
      </c>
      <c r="D366" t="s">
        <v>742</v>
      </c>
      <c r="E366" s="18">
        <v>5.3</v>
      </c>
      <c r="F366" s="19">
        <f t="shared" si="112"/>
        <v>0.46666666666666656</v>
      </c>
      <c r="G366" s="2">
        <v>44.026239599999997</v>
      </c>
      <c r="H366" s="2">
        <f t="shared" si="113"/>
        <v>0.11937474780653244</v>
      </c>
      <c r="I366" s="2">
        <v>17.2</v>
      </c>
      <c r="J366" s="4">
        <f t="shared" si="114"/>
        <v>8.3454633672974288E-2</v>
      </c>
      <c r="K366" s="2">
        <v>0</v>
      </c>
      <c r="L366" s="4">
        <f t="shared" si="115"/>
        <v>0</v>
      </c>
      <c r="M366" s="2">
        <v>46016</v>
      </c>
      <c r="N366" s="2">
        <f t="shared" si="116"/>
        <v>0.21659025421924458</v>
      </c>
      <c r="O366" s="2">
        <v>0.46018296400000003</v>
      </c>
      <c r="P366" s="2">
        <f t="shared" si="117"/>
        <v>0.45414830521789612</v>
      </c>
      <c r="Q366" s="2">
        <v>0.22040000000000001</v>
      </c>
      <c r="R366" s="2">
        <f t="shared" si="118"/>
        <v>0.47886508396062544</v>
      </c>
      <c r="S366" s="2">
        <f t="shared" si="119"/>
        <v>1.545480650553285E-2</v>
      </c>
      <c r="T366" s="5">
        <f t="shared" si="111"/>
        <v>3.1182450811257482E-2</v>
      </c>
      <c r="U366" s="2" t="str">
        <f t="shared" si="120"/>
        <v>No Impact</v>
      </c>
      <c r="V366" s="2">
        <f t="shared" si="121"/>
        <v>1.5864225102671395E-2</v>
      </c>
      <c r="W366" s="2">
        <f t="shared" si="122"/>
        <v>2.8577327556876309E-2</v>
      </c>
      <c r="X366" s="2" t="s">
        <v>1176</v>
      </c>
      <c r="Y366" s="2">
        <f t="shared" si="123"/>
        <v>1.5045387908394308E-2</v>
      </c>
      <c r="Z366" s="2">
        <f t="shared" si="124"/>
        <v>3.1923524955440492E-2</v>
      </c>
      <c r="AA366" s="2" t="str">
        <f t="shared" si="125"/>
        <v>No Impact</v>
      </c>
      <c r="AB366" s="2">
        <f t="shared" si="126"/>
        <v>1.2577476405642949E-2</v>
      </c>
      <c r="AC366" s="2">
        <f t="shared" si="127"/>
        <v>3.4960379723198751E-2</v>
      </c>
      <c r="AD366" s="2" t="str">
        <f t="shared" si="128"/>
        <v>No Impact</v>
      </c>
      <c r="AE366" s="2">
        <f t="shared" si="129"/>
        <v>7.1753749919704866E-3</v>
      </c>
      <c r="AF366" s="2">
        <f t="shared" si="130"/>
        <v>3.6965648242819317E-2</v>
      </c>
      <c r="AG366" s="2" t="s">
        <v>1175</v>
      </c>
    </row>
    <row r="367" spans="1:33" x14ac:dyDescent="0.3">
      <c r="A367">
        <v>457204</v>
      </c>
      <c r="B367" t="s">
        <v>743</v>
      </c>
      <c r="C367" t="s">
        <v>744</v>
      </c>
      <c r="D367" t="s">
        <v>745</v>
      </c>
      <c r="E367" s="18">
        <v>5.7</v>
      </c>
      <c r="F367" s="19">
        <f t="shared" si="112"/>
        <v>0.55555555555555558</v>
      </c>
      <c r="G367" s="2">
        <v>48.350458799999998</v>
      </c>
      <c r="H367" s="2">
        <f t="shared" si="113"/>
        <v>0.16118311241014446</v>
      </c>
      <c r="I367" s="2">
        <v>24.8</v>
      </c>
      <c r="J367" s="4">
        <f t="shared" si="114"/>
        <v>0.12032993692382339</v>
      </c>
      <c r="K367" s="2">
        <v>0</v>
      </c>
      <c r="L367" s="4">
        <f t="shared" si="115"/>
        <v>0</v>
      </c>
      <c r="M367" s="2">
        <v>26281</v>
      </c>
      <c r="N367" s="2">
        <f t="shared" si="116"/>
        <v>0.12321566289572422</v>
      </c>
      <c r="O367" s="2">
        <v>0.24351576999999999</v>
      </c>
      <c r="P367" s="2">
        <f t="shared" si="117"/>
        <v>0.20385650014664791</v>
      </c>
      <c r="Q367" s="2">
        <v>0.1845</v>
      </c>
      <c r="R367" s="2">
        <f t="shared" si="118"/>
        <v>0.37492762015055009</v>
      </c>
      <c r="S367" s="2">
        <f t="shared" si="119"/>
        <v>1.5840930253841611E-2</v>
      </c>
      <c r="T367" s="5">
        <f t="shared" si="111"/>
        <v>3.1961514902702812E-2</v>
      </c>
      <c r="U367" s="2" t="str">
        <f t="shared" si="120"/>
        <v>No Impact</v>
      </c>
      <c r="V367" s="2">
        <f t="shared" si="121"/>
        <v>2.0523031205465631E-2</v>
      </c>
      <c r="W367" s="2">
        <f t="shared" si="122"/>
        <v>3.6969557694931161E-2</v>
      </c>
      <c r="X367" s="2" t="s">
        <v>1176</v>
      </c>
      <c r="Y367" s="2">
        <f t="shared" si="123"/>
        <v>1.115882930221759E-2</v>
      </c>
      <c r="Z367" s="2">
        <f t="shared" si="124"/>
        <v>2.3676967843686642E-2</v>
      </c>
      <c r="AA367" s="2" t="str">
        <f t="shared" si="125"/>
        <v>No Impact</v>
      </c>
      <c r="AB367" s="2">
        <f t="shared" si="126"/>
        <v>1.2891340313115188E-2</v>
      </c>
      <c r="AC367" s="2">
        <f t="shared" si="127"/>
        <v>3.5832796496861975E-2</v>
      </c>
      <c r="AD367" s="2" t="str">
        <f t="shared" si="128"/>
        <v>No Impact</v>
      </c>
      <c r="AE367" s="2">
        <f t="shared" si="129"/>
        <v>6.7446588586769704E-3</v>
      </c>
      <c r="AF367" s="2">
        <f t="shared" si="130"/>
        <v>3.4746711797873593E-2</v>
      </c>
      <c r="AG367" s="2" t="s">
        <v>1175</v>
      </c>
    </row>
    <row r="368" spans="1:33" x14ac:dyDescent="0.3">
      <c r="A368">
        <v>457209</v>
      </c>
      <c r="B368" t="s">
        <v>746</v>
      </c>
      <c r="C368" t="s">
        <v>744</v>
      </c>
      <c r="D368" t="s">
        <v>747</v>
      </c>
      <c r="E368" s="18">
        <v>5.5</v>
      </c>
      <c r="F368" s="19">
        <f t="shared" si="112"/>
        <v>0.51111111111111107</v>
      </c>
      <c r="G368" s="2">
        <v>48.350458799999998</v>
      </c>
      <c r="H368" s="2">
        <f t="shared" si="113"/>
        <v>0.16118311241014446</v>
      </c>
      <c r="I368" s="2">
        <v>20.3</v>
      </c>
      <c r="J368" s="4">
        <f t="shared" si="114"/>
        <v>9.8495875788452217E-2</v>
      </c>
      <c r="K368" s="2">
        <v>0</v>
      </c>
      <c r="L368" s="4">
        <f t="shared" si="115"/>
        <v>0</v>
      </c>
      <c r="M368" s="2">
        <v>31977</v>
      </c>
      <c r="N368" s="2">
        <f t="shared" si="116"/>
        <v>0.15016583630229993</v>
      </c>
      <c r="O368" s="2">
        <v>0.39021097500000002</v>
      </c>
      <c r="P368" s="2">
        <f t="shared" si="117"/>
        <v>0.37331735380383241</v>
      </c>
      <c r="Q368" s="2">
        <v>0.18640000000000001</v>
      </c>
      <c r="R368" s="2">
        <f t="shared" si="118"/>
        <v>0.38042848870874357</v>
      </c>
      <c r="S368" s="2">
        <f t="shared" si="119"/>
        <v>1.7507136220307157E-2</v>
      </c>
      <c r="T368" s="5">
        <f t="shared" si="111"/>
        <v>3.5323341889804537E-2</v>
      </c>
      <c r="U368" s="2" t="str">
        <f t="shared" si="120"/>
        <v>No Impact</v>
      </c>
      <c r="V368" s="2">
        <f t="shared" si="121"/>
        <v>1.7672305433110057E-2</v>
      </c>
      <c r="W368" s="2">
        <f t="shared" si="122"/>
        <v>3.1834347897780953E-2</v>
      </c>
      <c r="X368" s="2" t="s">
        <v>1176</v>
      </c>
      <c r="Y368" s="2">
        <f t="shared" si="123"/>
        <v>1.7341967007504257E-2</v>
      </c>
      <c r="Z368" s="2">
        <f t="shared" si="124"/>
        <v>3.6796440205546788E-2</v>
      </c>
      <c r="AA368" s="2" t="str">
        <f t="shared" si="125"/>
        <v>No Impact</v>
      </c>
      <c r="AB368" s="2">
        <f t="shared" si="126"/>
        <v>1.3829411798948988E-2</v>
      </c>
      <c r="AC368" s="2">
        <f t="shared" si="127"/>
        <v>3.8440261960883133E-2</v>
      </c>
      <c r="AD368" s="2" t="str">
        <f t="shared" si="128"/>
        <v>No Impact</v>
      </c>
      <c r="AE368" s="2">
        <f t="shared" si="129"/>
        <v>6.9757565574548345E-3</v>
      </c>
      <c r="AF368" s="2">
        <f t="shared" si="130"/>
        <v>3.593726647303791E-2</v>
      </c>
      <c r="AG368" s="2" t="s">
        <v>1175</v>
      </c>
    </row>
    <row r="369" spans="1:33" x14ac:dyDescent="0.3">
      <c r="A369">
        <v>457218</v>
      </c>
      <c r="B369" t="s">
        <v>748</v>
      </c>
      <c r="C369" t="s">
        <v>744</v>
      </c>
      <c r="D369" t="s">
        <v>1147</v>
      </c>
      <c r="E369" s="18">
        <v>5.7</v>
      </c>
      <c r="F369" s="19">
        <f t="shared" si="112"/>
        <v>0.55555555555555558</v>
      </c>
      <c r="G369" s="2">
        <v>47.629756800000003</v>
      </c>
      <c r="H369" s="2">
        <f t="shared" si="113"/>
        <v>0.15421506324497905</v>
      </c>
      <c r="I369" s="2">
        <v>11.9</v>
      </c>
      <c r="J369" s="4">
        <f t="shared" si="114"/>
        <v>5.7738961669092675E-2</v>
      </c>
      <c r="K369" s="2">
        <v>0</v>
      </c>
      <c r="L369" s="4">
        <f t="shared" si="115"/>
        <v>0</v>
      </c>
      <c r="M369" s="2">
        <v>33559</v>
      </c>
      <c r="N369" s="2">
        <f t="shared" si="116"/>
        <v>0.15765094415503919</v>
      </c>
      <c r="O369" s="2">
        <v>0.67750976500000004</v>
      </c>
      <c r="P369" s="2">
        <f t="shared" si="117"/>
        <v>0.70520208178847343</v>
      </c>
      <c r="Q369" s="2">
        <v>0.20039999999999999</v>
      </c>
      <c r="R369" s="2">
        <f t="shared" si="118"/>
        <v>0.42096120440069484</v>
      </c>
      <c r="S369" s="2">
        <f t="shared" si="119"/>
        <v>2.3206442896218933E-2</v>
      </c>
      <c r="T369" s="5">
        <f t="shared" si="111"/>
        <v>4.6822570302419528E-2</v>
      </c>
      <c r="U369" s="2" t="str">
        <f t="shared" si="120"/>
        <v>No Impact</v>
      </c>
      <c r="V369" s="2">
        <f t="shared" si="121"/>
        <v>1.7349193089939378E-2</v>
      </c>
      <c r="W369" s="2">
        <f t="shared" si="122"/>
        <v>3.1252303252757387E-2</v>
      </c>
      <c r="X369" s="2" t="s">
        <v>1176</v>
      </c>
      <c r="Y369" s="2">
        <f t="shared" si="123"/>
        <v>2.9063692702498485E-2</v>
      </c>
      <c r="Z369" s="2">
        <f t="shared" si="124"/>
        <v>6.1667769879685579E-2</v>
      </c>
      <c r="AA369" s="2" t="str">
        <f t="shared" si="125"/>
        <v>No Impact</v>
      </c>
      <c r="AB369" s="2">
        <f t="shared" si="126"/>
        <v>1.706538491321866E-2</v>
      </c>
      <c r="AC369" s="2">
        <f t="shared" si="127"/>
        <v>4.7434979597417361E-2</v>
      </c>
      <c r="AD369" s="2" t="str">
        <f t="shared" si="128"/>
        <v>No Impact</v>
      </c>
      <c r="AE369" s="2">
        <f t="shared" si="129"/>
        <v>6.497312917115243E-3</v>
      </c>
      <c r="AF369" s="2">
        <f t="shared" si="130"/>
        <v>3.3472450441457878E-2</v>
      </c>
      <c r="AG369" s="2" t="s">
        <v>1176</v>
      </c>
    </row>
    <row r="370" spans="1:33" x14ac:dyDescent="0.3">
      <c r="A370">
        <v>457238</v>
      </c>
      <c r="B370" t="s">
        <v>749</v>
      </c>
      <c r="C370" t="s">
        <v>744</v>
      </c>
      <c r="D370" t="s">
        <v>750</v>
      </c>
      <c r="E370" s="18">
        <v>5.7</v>
      </c>
      <c r="F370" s="19">
        <f t="shared" si="112"/>
        <v>0.55555555555555558</v>
      </c>
      <c r="G370" s="2">
        <v>48.350458799999998</v>
      </c>
      <c r="H370" s="2">
        <f t="shared" si="113"/>
        <v>0.16118311241014446</v>
      </c>
      <c r="I370" s="2">
        <v>33.1</v>
      </c>
      <c r="J370" s="4">
        <f t="shared" si="114"/>
        <v>0.16060164968461912</v>
      </c>
      <c r="K370" s="2">
        <v>0</v>
      </c>
      <c r="L370" s="4">
        <f t="shared" si="115"/>
        <v>0</v>
      </c>
      <c r="M370" s="2">
        <v>1928</v>
      </c>
      <c r="N370" s="2">
        <f t="shared" si="116"/>
        <v>7.9913698882911523E-3</v>
      </c>
      <c r="O370" s="2">
        <v>0.46773857499999999</v>
      </c>
      <c r="P370" s="2">
        <f t="shared" si="117"/>
        <v>0.46287647250844671</v>
      </c>
      <c r="Q370" s="2">
        <v>0.15609999999999999</v>
      </c>
      <c r="R370" s="2">
        <f t="shared" si="118"/>
        <v>0.29270411117544876</v>
      </c>
      <c r="S370" s="2">
        <f t="shared" si="119"/>
        <v>2.3638058729847422E-2</v>
      </c>
      <c r="T370" s="5">
        <f t="shared" ref="T370:T433" si="133">(S370-$AJ$10)/$AK$10</f>
        <v>4.7693421677793391E-2</v>
      </c>
      <c r="U370" s="2" t="str">
        <f t="shared" si="120"/>
        <v>No Impact</v>
      </c>
      <c r="V370" s="2">
        <f t="shared" si="121"/>
        <v>1.8314279429201583E-2</v>
      </c>
      <c r="W370" s="2">
        <f t="shared" si="122"/>
        <v>3.2990780125045249E-2</v>
      </c>
      <c r="X370" s="2" t="s">
        <v>1176</v>
      </c>
      <c r="Y370" s="2">
        <f t="shared" si="123"/>
        <v>2.8961838030493254E-2</v>
      </c>
      <c r="Z370" s="2">
        <f t="shared" si="124"/>
        <v>6.1451653141228274E-2</v>
      </c>
      <c r="AA370" s="2" t="str">
        <f t="shared" si="125"/>
        <v>No Impact</v>
      </c>
      <c r="AB370" s="2">
        <f t="shared" si="126"/>
        <v>1.5273554142503858E-2</v>
      </c>
      <c r="AC370" s="2">
        <f t="shared" si="127"/>
        <v>4.2454403039484306E-2</v>
      </c>
      <c r="AD370" s="2" t="str">
        <f t="shared" si="128"/>
        <v>No Impact</v>
      </c>
      <c r="AE370" s="2">
        <f t="shared" si="129"/>
        <v>5.000140946723661E-4</v>
      </c>
      <c r="AF370" s="2">
        <f t="shared" si="130"/>
        <v>2.5759413495174809E-3</v>
      </c>
      <c r="AG370" s="2" t="s">
        <v>1176</v>
      </c>
    </row>
    <row r="371" spans="1:33" x14ac:dyDescent="0.3">
      <c r="A371">
        <v>457240</v>
      </c>
      <c r="B371" t="s">
        <v>751</v>
      </c>
      <c r="C371" t="s">
        <v>744</v>
      </c>
      <c r="D371" t="s">
        <v>752</v>
      </c>
      <c r="E371" s="18">
        <v>5.7</v>
      </c>
      <c r="F371" s="19">
        <f t="shared" si="112"/>
        <v>0.55555555555555558</v>
      </c>
      <c r="G371" s="2">
        <v>47.629756800000003</v>
      </c>
      <c r="H371" s="2">
        <f t="shared" si="113"/>
        <v>0.15421506324497905</v>
      </c>
      <c r="I371" s="2">
        <v>20.399999999999999</v>
      </c>
      <c r="J371" s="4">
        <f t="shared" si="114"/>
        <v>9.8981077147016011E-2</v>
      </c>
      <c r="K371" s="2">
        <v>0</v>
      </c>
      <c r="L371" s="4">
        <f t="shared" si="115"/>
        <v>0</v>
      </c>
      <c r="M371" s="2">
        <v>27627</v>
      </c>
      <c r="N371" s="2">
        <f t="shared" si="116"/>
        <v>0.12958415541771348</v>
      </c>
      <c r="O371" s="2">
        <v>0.36442624499999998</v>
      </c>
      <c r="P371" s="2">
        <f t="shared" si="117"/>
        <v>0.3435310880760602</v>
      </c>
      <c r="Q371" s="2">
        <v>0.19570000000000001</v>
      </c>
      <c r="R371" s="2">
        <f t="shared" si="118"/>
        <v>0.40735379270411126</v>
      </c>
      <c r="S371" s="2">
        <f t="shared" si="119"/>
        <v>1.8484001053412493E-2</v>
      </c>
      <c r="T371" s="5">
        <f t="shared" si="133"/>
        <v>3.729431704220449E-2</v>
      </c>
      <c r="U371" s="2" t="str">
        <f t="shared" si="120"/>
        <v>No Impact</v>
      </c>
      <c r="V371" s="2">
        <f t="shared" si="121"/>
        <v>2.005507935019591E-2</v>
      </c>
      <c r="W371" s="2">
        <f t="shared" si="122"/>
        <v>3.612660360405414E-2</v>
      </c>
      <c r="X371" s="2" t="s">
        <v>1176</v>
      </c>
      <c r="Y371" s="2">
        <f t="shared" si="123"/>
        <v>1.6912922756629079E-2</v>
      </c>
      <c r="Z371" s="2">
        <f t="shared" si="124"/>
        <v>3.5886087814954039E-2</v>
      </c>
      <c r="AA371" s="2" t="str">
        <f t="shared" si="125"/>
        <v>No Impact</v>
      </c>
      <c r="AB371" s="2">
        <f t="shared" si="126"/>
        <v>1.4326071533416116E-2</v>
      </c>
      <c r="AC371" s="2">
        <f t="shared" si="127"/>
        <v>3.9820778397582919E-2</v>
      </c>
      <c r="AD371" s="2" t="str">
        <f t="shared" si="128"/>
        <v>No Impact</v>
      </c>
      <c r="AE371" s="2">
        <f t="shared" si="129"/>
        <v>6.3797626681680675E-3</v>
      </c>
      <c r="AF371" s="2">
        <f t="shared" si="130"/>
        <v>3.2866862418769204E-2</v>
      </c>
      <c r="AG371" s="2" t="s">
        <v>1176</v>
      </c>
    </row>
    <row r="372" spans="1:33" x14ac:dyDescent="0.3">
      <c r="A372">
        <v>457247</v>
      </c>
      <c r="B372" t="s">
        <v>753</v>
      </c>
      <c r="C372" t="s">
        <v>744</v>
      </c>
      <c r="D372" t="s">
        <v>754</v>
      </c>
      <c r="E372" s="18">
        <v>5.7</v>
      </c>
      <c r="F372" s="19">
        <f t="shared" si="112"/>
        <v>0.55555555555555558</v>
      </c>
      <c r="G372" s="2">
        <v>48.350458799999998</v>
      </c>
      <c r="H372" s="2">
        <f t="shared" si="113"/>
        <v>0.16118311241014446</v>
      </c>
      <c r="I372" s="2">
        <v>26.4</v>
      </c>
      <c r="J372" s="4">
        <f t="shared" si="114"/>
        <v>0.12809315866084425</v>
      </c>
      <c r="K372" s="2">
        <v>0</v>
      </c>
      <c r="L372" s="4">
        <f t="shared" si="115"/>
        <v>0</v>
      </c>
      <c r="M372" s="2">
        <v>54514</v>
      </c>
      <c r="N372" s="2">
        <f t="shared" si="116"/>
        <v>0.25679786896802981</v>
      </c>
      <c r="O372" s="2">
        <v>0.42756501099999999</v>
      </c>
      <c r="P372" s="2">
        <f t="shared" si="117"/>
        <v>0.41646836769076345</v>
      </c>
      <c r="Q372" s="2">
        <v>0.21210000000000001</v>
      </c>
      <c r="R372" s="2">
        <f t="shared" si="118"/>
        <v>0.45483497394325428</v>
      </c>
      <c r="S372" s="2">
        <f t="shared" si="119"/>
        <v>2.4504606548292538E-2</v>
      </c>
      <c r="T372" s="5">
        <f t="shared" si="133"/>
        <v>4.9441815273959973E-2</v>
      </c>
      <c r="U372" s="2" t="str">
        <f t="shared" si="120"/>
        <v>No Impact</v>
      </c>
      <c r="V372" s="2">
        <f t="shared" si="121"/>
        <v>2.5583632125134013E-2</v>
      </c>
      <c r="W372" s="2">
        <f t="shared" si="122"/>
        <v>4.6085568668050823E-2</v>
      </c>
      <c r="X372" s="2" t="s">
        <v>1176</v>
      </c>
      <c r="Y372" s="2">
        <f t="shared" si="123"/>
        <v>2.3425580971451067E-2</v>
      </c>
      <c r="Z372" s="2">
        <f t="shared" si="124"/>
        <v>4.9704741631857376E-2</v>
      </c>
      <c r="AA372" s="2" t="str">
        <f t="shared" si="125"/>
        <v>No Impact</v>
      </c>
      <c r="AB372" s="2">
        <f t="shared" si="126"/>
        <v>2.1037488545993827E-2</v>
      </c>
      <c r="AC372" s="2">
        <f t="shared" si="127"/>
        <v>5.8475847162822926E-2</v>
      </c>
      <c r="AD372" s="2" t="str">
        <f t="shared" si="128"/>
        <v>No Impact</v>
      </c>
      <c r="AE372" s="2">
        <f t="shared" si="129"/>
        <v>1.4444408602176004E-2</v>
      </c>
      <c r="AF372" s="2">
        <f t="shared" si="130"/>
        <v>7.4413801099050325E-2</v>
      </c>
      <c r="AG372" s="2" t="s">
        <v>1175</v>
      </c>
    </row>
    <row r="373" spans="1:33" x14ac:dyDescent="0.3">
      <c r="A373">
        <v>457256</v>
      </c>
      <c r="B373" t="s">
        <v>755</v>
      </c>
      <c r="C373" t="s">
        <v>744</v>
      </c>
      <c r="D373" t="s">
        <v>756</v>
      </c>
      <c r="E373" s="18">
        <v>5.8</v>
      </c>
      <c r="F373" s="19">
        <f t="shared" si="112"/>
        <v>0.57777777777777772</v>
      </c>
      <c r="G373" s="2">
        <v>48.350458799999998</v>
      </c>
      <c r="H373" s="2">
        <f t="shared" si="113"/>
        <v>0.16118311241014446</v>
      </c>
      <c r="I373" s="2">
        <v>28.8</v>
      </c>
      <c r="J373" s="4">
        <f t="shared" si="114"/>
        <v>0.13973799126637557</v>
      </c>
      <c r="K373" s="2">
        <v>0</v>
      </c>
      <c r="L373" s="4">
        <f t="shared" si="115"/>
        <v>0</v>
      </c>
      <c r="M373" s="2">
        <v>20648</v>
      </c>
      <c r="N373" s="2">
        <f t="shared" si="116"/>
        <v>9.6563569005408009E-2</v>
      </c>
      <c r="O373" s="2">
        <v>0.25438529300000001</v>
      </c>
      <c r="P373" s="2">
        <f t="shared" si="117"/>
        <v>0.21641286588761677</v>
      </c>
      <c r="Q373" s="2">
        <v>0.1691</v>
      </c>
      <c r="R373" s="2">
        <f t="shared" si="118"/>
        <v>0.3303416328894036</v>
      </c>
      <c r="S373" s="2">
        <f t="shared" si="119"/>
        <v>1.6635807795888437E-2</v>
      </c>
      <c r="T373" s="5">
        <f t="shared" si="133"/>
        <v>3.3565302685291669E-2</v>
      </c>
      <c r="U373" s="2" t="str">
        <f t="shared" si="120"/>
        <v>No Impact</v>
      </c>
      <c r="V373" s="2">
        <f t="shared" si="121"/>
        <v>2.0102257682453033E-2</v>
      </c>
      <c r="W373" s="2">
        <f t="shared" si="122"/>
        <v>3.6211589201886586E-2</v>
      </c>
      <c r="X373" s="2" t="s">
        <v>1176</v>
      </c>
      <c r="Y373" s="2">
        <f t="shared" si="123"/>
        <v>1.3169357909323847E-2</v>
      </c>
      <c r="Z373" s="2">
        <f t="shared" si="124"/>
        <v>2.7942936960160786E-2</v>
      </c>
      <c r="AA373" s="2" t="str">
        <f t="shared" si="125"/>
        <v>No Impact</v>
      </c>
      <c r="AB373" s="2">
        <f t="shared" si="126"/>
        <v>1.3043259343783781E-2</v>
      </c>
      <c r="AC373" s="2">
        <f t="shared" si="127"/>
        <v>3.6255070952250452E-2</v>
      </c>
      <c r="AD373" s="2" t="str">
        <f t="shared" si="128"/>
        <v>No Impact</v>
      </c>
      <c r="AE373" s="2">
        <f t="shared" si="129"/>
        <v>5.8761765203659043E-3</v>
      </c>
      <c r="AF373" s="2">
        <f t="shared" si="130"/>
        <v>3.0272518789280504E-2</v>
      </c>
      <c r="AG373" s="2" t="s">
        <v>1176</v>
      </c>
    </row>
    <row r="374" spans="1:33" x14ac:dyDescent="0.3">
      <c r="A374">
        <v>457263</v>
      </c>
      <c r="B374" t="s">
        <v>757</v>
      </c>
      <c r="C374" t="s">
        <v>744</v>
      </c>
      <c r="D374" t="s">
        <v>1148</v>
      </c>
      <c r="E374" s="18">
        <v>5.8</v>
      </c>
      <c r="F374" s="19">
        <f t="shared" si="112"/>
        <v>0.57777777777777772</v>
      </c>
      <c r="G374" s="2">
        <v>48.350458799999998</v>
      </c>
      <c r="H374" s="2">
        <f t="shared" si="113"/>
        <v>0.16118311241014446</v>
      </c>
      <c r="I374" s="2">
        <v>24.7</v>
      </c>
      <c r="J374" s="4">
        <f t="shared" si="114"/>
        <v>0.11984473556525958</v>
      </c>
      <c r="K374" s="2">
        <v>0</v>
      </c>
      <c r="L374" s="4">
        <f t="shared" si="115"/>
        <v>0</v>
      </c>
      <c r="M374" s="2">
        <v>14378</v>
      </c>
      <c r="N374" s="2">
        <f t="shared" si="116"/>
        <v>6.6897560006245471E-2</v>
      </c>
      <c r="O374" s="2">
        <v>0.27473238</v>
      </c>
      <c r="P374" s="2">
        <f t="shared" si="117"/>
        <v>0.23991762006453071</v>
      </c>
      <c r="Q374" s="2">
        <v>0.17399999999999999</v>
      </c>
      <c r="R374" s="2">
        <f t="shared" si="118"/>
        <v>0.34452808338158658</v>
      </c>
      <c r="S374" s="2">
        <f t="shared" si="119"/>
        <v>1.6607046850124388E-2</v>
      </c>
      <c r="T374" s="5">
        <f t="shared" si="133"/>
        <v>3.3507273050546543E-2</v>
      </c>
      <c r="U374" s="2" t="str">
        <f t="shared" si="120"/>
        <v>No Impact</v>
      </c>
      <c r="V374" s="2">
        <f t="shared" si="121"/>
        <v>1.9579557136496496E-2</v>
      </c>
      <c r="W374" s="2">
        <f t="shared" si="122"/>
        <v>3.5270012502155897E-2</v>
      </c>
      <c r="X374" s="2" t="s">
        <v>1176</v>
      </c>
      <c r="Y374" s="2">
        <f t="shared" si="123"/>
        <v>1.3634536563752282E-2</v>
      </c>
      <c r="Z374" s="2">
        <f t="shared" si="124"/>
        <v>2.8929959858726199E-2</v>
      </c>
      <c r="AA374" s="2" t="str">
        <f t="shared" si="125"/>
        <v>No Impact</v>
      </c>
      <c r="AB374" s="2">
        <f t="shared" si="126"/>
        <v>1.2273833661897313E-2</v>
      </c>
      <c r="AC374" s="2">
        <f t="shared" si="127"/>
        <v>3.4116373717607784E-2</v>
      </c>
      <c r="AD374" s="2" t="str">
        <f t="shared" si="128"/>
        <v>No Impact</v>
      </c>
      <c r="AE374" s="2">
        <f t="shared" si="129"/>
        <v>3.8017934142795919E-3</v>
      </c>
      <c r="AF374" s="2">
        <f t="shared" si="130"/>
        <v>1.9585841604291235E-2</v>
      </c>
      <c r="AG374" s="2" t="s">
        <v>1176</v>
      </c>
    </row>
    <row r="375" spans="1:33" x14ac:dyDescent="0.3">
      <c r="A375">
        <v>457274</v>
      </c>
      <c r="B375" t="s">
        <v>758</v>
      </c>
      <c r="C375" t="s">
        <v>744</v>
      </c>
      <c r="D375" t="s">
        <v>759</v>
      </c>
      <c r="E375" s="18">
        <v>5.8</v>
      </c>
      <c r="F375" s="19">
        <f t="shared" si="112"/>
        <v>0.57777777777777772</v>
      </c>
      <c r="G375" s="2">
        <v>47.629756800000003</v>
      </c>
      <c r="H375" s="2">
        <f t="shared" si="113"/>
        <v>0.15421506324497905</v>
      </c>
      <c r="I375" s="2">
        <v>14</v>
      </c>
      <c r="J375" s="4">
        <f t="shared" si="114"/>
        <v>6.7928190198932564E-2</v>
      </c>
      <c r="K375" s="2">
        <v>0</v>
      </c>
      <c r="L375" s="4">
        <f t="shared" si="115"/>
        <v>0</v>
      </c>
      <c r="M375" s="2">
        <v>65362</v>
      </c>
      <c r="N375" s="2">
        <f t="shared" si="116"/>
        <v>0.30812432281538471</v>
      </c>
      <c r="O375" s="2">
        <v>0.54663404500000001</v>
      </c>
      <c r="P375" s="2">
        <f t="shared" si="117"/>
        <v>0.55401574114292451</v>
      </c>
      <c r="Q375" s="2">
        <v>0.19600000000000001</v>
      </c>
      <c r="R375" s="2">
        <f t="shared" si="118"/>
        <v>0.40822235089751019</v>
      </c>
      <c r="S375" s="2">
        <f t="shared" si="119"/>
        <v>2.1612975257967449E-2</v>
      </c>
      <c r="T375" s="5">
        <f t="shared" si="133"/>
        <v>4.3607504087820263E-2</v>
      </c>
      <c r="U375" s="2" t="str">
        <f t="shared" si="120"/>
        <v>No Impact</v>
      </c>
      <c r="V375" s="2">
        <f t="shared" si="121"/>
        <v>1.8338287878394324E-2</v>
      </c>
      <c r="W375" s="2">
        <f t="shared" si="122"/>
        <v>3.3034028207587773E-2</v>
      </c>
      <c r="X375" s="2" t="s">
        <v>1176</v>
      </c>
      <c r="Y375" s="2">
        <f t="shared" si="123"/>
        <v>2.4887662637540574E-2</v>
      </c>
      <c r="Z375" s="2">
        <f t="shared" si="124"/>
        <v>5.2807007976765567E-2</v>
      </c>
      <c r="AA375" s="2" t="str">
        <f t="shared" si="125"/>
        <v>No Impact</v>
      </c>
      <c r="AB375" s="2">
        <f t="shared" si="126"/>
        <v>1.8729278446928763E-2</v>
      </c>
      <c r="AC375" s="2">
        <f t="shared" si="127"/>
        <v>5.2059941543788554E-2</v>
      </c>
      <c r="AD375" s="2" t="str">
        <f t="shared" si="128"/>
        <v>No Impact</v>
      </c>
      <c r="AE375" s="2">
        <f t="shared" si="129"/>
        <v>1.3841653994938797E-2</v>
      </c>
      <c r="AF375" s="2">
        <f t="shared" si="130"/>
        <v>7.130856760075889E-2</v>
      </c>
      <c r="AG375" s="2" t="s">
        <v>1175</v>
      </c>
    </row>
    <row r="376" spans="1:33" x14ac:dyDescent="0.3">
      <c r="A376">
        <v>457283</v>
      </c>
      <c r="B376" t="s">
        <v>760</v>
      </c>
      <c r="C376" t="s">
        <v>744</v>
      </c>
      <c r="D376" t="s">
        <v>761</v>
      </c>
      <c r="E376" s="18">
        <v>5.3</v>
      </c>
      <c r="F376" s="19">
        <f t="shared" si="112"/>
        <v>0.46666666666666656</v>
      </c>
      <c r="G376" s="2">
        <v>47.629756800000003</v>
      </c>
      <c r="H376" s="2">
        <f t="shared" si="113"/>
        <v>0.15421506324497905</v>
      </c>
      <c r="I376" s="2">
        <v>10.1</v>
      </c>
      <c r="J376" s="4">
        <f t="shared" si="114"/>
        <v>4.9005337214944204E-2</v>
      </c>
      <c r="K376" s="2">
        <v>0</v>
      </c>
      <c r="L376" s="4">
        <f t="shared" si="115"/>
        <v>0</v>
      </c>
      <c r="M376" s="2">
        <v>51043</v>
      </c>
      <c r="N376" s="2">
        <f t="shared" si="116"/>
        <v>0.24037510704839771</v>
      </c>
      <c r="O376" s="2">
        <v>0.39175342299999999</v>
      </c>
      <c r="P376" s="2">
        <f t="shared" si="117"/>
        <v>0.3750991745170712</v>
      </c>
      <c r="Q376" s="2">
        <v>0.1948</v>
      </c>
      <c r="R376" s="2">
        <f t="shared" si="118"/>
        <v>0.40474811812391437</v>
      </c>
      <c r="S376" s="2">
        <f t="shared" si="119"/>
        <v>1.2942605127160521E-2</v>
      </c>
      <c r="T376" s="5">
        <f t="shared" si="133"/>
        <v>2.6113697871450455E-2</v>
      </c>
      <c r="U376" s="2" t="str">
        <f t="shared" si="120"/>
        <v>No Impact</v>
      </c>
      <c r="V376" s="2">
        <f t="shared" si="121"/>
        <v>1.3434668859588555E-2</v>
      </c>
      <c r="W376" s="2">
        <f t="shared" si="122"/>
        <v>2.4200799606277534E-2</v>
      </c>
      <c r="X376" s="2" t="s">
        <v>1176</v>
      </c>
      <c r="Y376" s="2">
        <f t="shared" si="123"/>
        <v>1.2450541394732484E-2</v>
      </c>
      <c r="Z376" s="2">
        <f t="shared" si="124"/>
        <v>2.6417741526074491E-2</v>
      </c>
      <c r="AA376" s="2" t="str">
        <f t="shared" si="125"/>
        <v>No Impact</v>
      </c>
      <c r="AB376" s="2">
        <f t="shared" si="126"/>
        <v>1.1229838194548323E-2</v>
      </c>
      <c r="AC376" s="2">
        <f t="shared" si="127"/>
        <v>3.1214481733024626E-2</v>
      </c>
      <c r="AD376" s="2" t="str">
        <f t="shared" si="128"/>
        <v>No Impact</v>
      </c>
      <c r="AE376" s="2">
        <f t="shared" si="129"/>
        <v>7.9786905007788057E-3</v>
      </c>
      <c r="AF376" s="2">
        <f t="shared" si="130"/>
        <v>4.1104118853740643E-2</v>
      </c>
      <c r="AG376" s="2" t="s">
        <v>1175</v>
      </c>
    </row>
    <row r="377" spans="1:33" x14ac:dyDescent="0.3">
      <c r="A377">
        <v>458937</v>
      </c>
      <c r="B377" t="s">
        <v>762</v>
      </c>
      <c r="C377" t="s">
        <v>763</v>
      </c>
      <c r="D377" t="s">
        <v>764</v>
      </c>
      <c r="E377" s="18">
        <v>4.7</v>
      </c>
      <c r="F377" s="19">
        <f t="shared" si="112"/>
        <v>0.33333333333333331</v>
      </c>
      <c r="G377" s="2">
        <v>40.468428000000003</v>
      </c>
      <c r="H377" s="2">
        <f t="shared" si="113"/>
        <v>8.4976333275705723E-2</v>
      </c>
      <c r="I377" s="2">
        <v>5.8</v>
      </c>
      <c r="J377" s="4">
        <f t="shared" si="114"/>
        <v>2.8141678796700632E-2</v>
      </c>
      <c r="K377" s="2">
        <v>0</v>
      </c>
      <c r="L377" s="4">
        <f t="shared" si="115"/>
        <v>0</v>
      </c>
      <c r="M377" s="2">
        <v>16994</v>
      </c>
      <c r="N377" s="2">
        <f t="shared" si="116"/>
        <v>7.9274957062355392E-2</v>
      </c>
      <c r="O377" s="2">
        <v>0.417449071</v>
      </c>
      <c r="P377" s="2">
        <f t="shared" si="117"/>
        <v>0.40478253359724375</v>
      </c>
      <c r="Q377" s="2">
        <v>0.2291</v>
      </c>
      <c r="R377" s="2">
        <f t="shared" si="118"/>
        <v>0.50405327156919522</v>
      </c>
      <c r="S377" s="2">
        <f t="shared" si="119"/>
        <v>5.9969991422047213E-3</v>
      </c>
      <c r="T377" s="5">
        <f t="shared" si="133"/>
        <v>1.2099868781922651E-2</v>
      </c>
      <c r="U377" s="2" t="str">
        <f t="shared" si="120"/>
        <v>No Impact</v>
      </c>
      <c r="V377" s="2">
        <f t="shared" si="121"/>
        <v>6.652042140158348E-3</v>
      </c>
      <c r="W377" s="2">
        <f t="shared" si="122"/>
        <v>1.1982784279166518E-2</v>
      </c>
      <c r="X377" s="2" t="s">
        <v>1176</v>
      </c>
      <c r="Y377" s="2">
        <f t="shared" si="123"/>
        <v>5.3419561442510947E-3</v>
      </c>
      <c r="Z377" s="2">
        <f t="shared" si="124"/>
        <v>1.1334640975705388E-2</v>
      </c>
      <c r="AA377" s="2" t="str">
        <f t="shared" si="125"/>
        <v>No Impact</v>
      </c>
      <c r="AB377" s="2">
        <f t="shared" si="126"/>
        <v>4.2969714689565265E-3</v>
      </c>
      <c r="AC377" s="2">
        <f t="shared" si="127"/>
        <v>1.1943870882323631E-2</v>
      </c>
      <c r="AD377" s="2" t="str">
        <f t="shared" si="128"/>
        <v>No Impact</v>
      </c>
      <c r="AE377" s="2">
        <f t="shared" si="129"/>
        <v>1.0461996475022179E-3</v>
      </c>
      <c r="AF377" s="2">
        <f t="shared" si="130"/>
        <v>5.3897459302971037E-3</v>
      </c>
      <c r="AG377" s="2" t="s">
        <v>1176</v>
      </c>
    </row>
    <row r="378" spans="1:33" x14ac:dyDescent="0.3">
      <c r="A378">
        <v>458967</v>
      </c>
      <c r="B378" t="s">
        <v>765</v>
      </c>
      <c r="C378" t="s">
        <v>763</v>
      </c>
      <c r="D378" t="s">
        <v>766</v>
      </c>
      <c r="E378" s="18">
        <v>5.8</v>
      </c>
      <c r="F378" s="19">
        <f t="shared" si="112"/>
        <v>0.57777777777777772</v>
      </c>
      <c r="G378" s="2">
        <v>42.370379999999997</v>
      </c>
      <c r="H378" s="2">
        <f t="shared" si="113"/>
        <v>0.10336520280261796</v>
      </c>
      <c r="I378" s="2">
        <v>5.4</v>
      </c>
      <c r="J378" s="4">
        <f t="shared" si="114"/>
        <v>2.6200873362445417E-2</v>
      </c>
      <c r="K378" s="2">
        <v>0</v>
      </c>
      <c r="L378" s="4">
        <f t="shared" si="115"/>
        <v>0</v>
      </c>
      <c r="M378" s="2">
        <v>17930</v>
      </c>
      <c r="N378" s="2">
        <f t="shared" si="116"/>
        <v>8.3703567018211245E-2</v>
      </c>
      <c r="O378" s="2">
        <v>0.85863824200000005</v>
      </c>
      <c r="P378" s="2">
        <f t="shared" si="117"/>
        <v>0.91443991157333737</v>
      </c>
      <c r="Q378" s="2">
        <v>0.21820000000000001</v>
      </c>
      <c r="R378" s="2">
        <f t="shared" si="118"/>
        <v>0.47249565720903308</v>
      </c>
      <c r="S378" s="2">
        <f t="shared" si="119"/>
        <v>1.8169646398023532E-2</v>
      </c>
      <c r="T378" s="5">
        <f t="shared" si="133"/>
        <v>3.6660058141878116E-2</v>
      </c>
      <c r="U378" s="2" t="str">
        <f t="shared" si="120"/>
        <v>No Impact</v>
      </c>
      <c r="V378" s="2">
        <f t="shared" si="121"/>
        <v>1.2379924791498353E-2</v>
      </c>
      <c r="W378" s="2">
        <f t="shared" si="122"/>
        <v>2.2300816056661212E-2</v>
      </c>
      <c r="X378" s="2" t="s">
        <v>1176</v>
      </c>
      <c r="Y378" s="2">
        <f t="shared" si="123"/>
        <v>2.395936800454871E-2</v>
      </c>
      <c r="Z378" s="2">
        <f t="shared" si="124"/>
        <v>5.0837338795568641E-2</v>
      </c>
      <c r="AA378" s="2" t="str">
        <f t="shared" si="125"/>
        <v>No Impact</v>
      </c>
      <c r="AB378" s="2">
        <f t="shared" si="126"/>
        <v>1.2288379181178533E-2</v>
      </c>
      <c r="AC378" s="2">
        <f t="shared" si="127"/>
        <v>3.4156804473424139E-2</v>
      </c>
      <c r="AD378" s="2" t="str">
        <f t="shared" si="128"/>
        <v>No Impact</v>
      </c>
      <c r="AE378" s="2">
        <f t="shared" si="129"/>
        <v>2.1931288651128511E-3</v>
      </c>
      <c r="AF378" s="2">
        <f t="shared" si="130"/>
        <v>1.1298424161755452E-2</v>
      </c>
      <c r="AG378" s="2" t="s">
        <v>1176</v>
      </c>
    </row>
    <row r="379" spans="1:33" x14ac:dyDescent="0.3">
      <c r="A379">
        <v>458970</v>
      </c>
      <c r="B379" t="s">
        <v>767</v>
      </c>
      <c r="C379" t="s">
        <v>763</v>
      </c>
      <c r="D379" t="s">
        <v>768</v>
      </c>
      <c r="E379" s="18">
        <v>5.8</v>
      </c>
      <c r="F379" s="19">
        <f t="shared" si="112"/>
        <v>0.57777777777777772</v>
      </c>
      <c r="G379" s="2">
        <v>42.370379999999997</v>
      </c>
      <c r="H379" s="2">
        <f t="shared" si="113"/>
        <v>0.10336520280261796</v>
      </c>
      <c r="I379" s="2">
        <v>6.1</v>
      </c>
      <c r="J379" s="4">
        <f t="shared" si="114"/>
        <v>2.9597282872392043E-2</v>
      </c>
      <c r="K379" s="2">
        <v>0</v>
      </c>
      <c r="L379" s="4">
        <f t="shared" si="115"/>
        <v>0</v>
      </c>
      <c r="M379" s="2">
        <v>28699</v>
      </c>
      <c r="N379" s="2">
        <f t="shared" si="116"/>
        <v>0.13465623861501846</v>
      </c>
      <c r="O379" s="2">
        <v>0.61534026100000005</v>
      </c>
      <c r="P379" s="2">
        <f t="shared" si="117"/>
        <v>0.63338448407433057</v>
      </c>
      <c r="Q379" s="2">
        <v>0.20699999999999999</v>
      </c>
      <c r="R379" s="2">
        <f t="shared" si="118"/>
        <v>0.44006948465547191</v>
      </c>
      <c r="S379" s="2">
        <f t="shared" si="119"/>
        <v>1.4431498691713028E-2</v>
      </c>
      <c r="T379" s="5">
        <f t="shared" si="133"/>
        <v>2.9117769797115476E-2</v>
      </c>
      <c r="U379" s="2" t="str">
        <f t="shared" si="120"/>
        <v>No Impact</v>
      </c>
      <c r="V379" s="2">
        <f t="shared" si="121"/>
        <v>1.1832574804456913E-2</v>
      </c>
      <c r="W379" s="2">
        <f t="shared" si="122"/>
        <v>2.1314836611292569E-2</v>
      </c>
      <c r="X379" s="2" t="s">
        <v>1176</v>
      </c>
      <c r="Y379" s="2">
        <f t="shared" si="123"/>
        <v>1.7030422578969147E-2</v>
      </c>
      <c r="Z379" s="2">
        <f t="shared" si="124"/>
        <v>3.6135400663088728E-2</v>
      </c>
      <c r="AA379" s="2" t="str">
        <f t="shared" si="125"/>
        <v>No Impact</v>
      </c>
      <c r="AB379" s="2">
        <f t="shared" si="126"/>
        <v>1.0517749439924262E-2</v>
      </c>
      <c r="AC379" s="2">
        <f t="shared" si="127"/>
        <v>2.9235158341322006E-2</v>
      </c>
      <c r="AD379" s="2" t="str">
        <f t="shared" si="128"/>
        <v>No Impact</v>
      </c>
      <c r="AE379" s="2">
        <f t="shared" si="129"/>
        <v>3.6206328133531348E-3</v>
      </c>
      <c r="AF379" s="2">
        <f t="shared" si="130"/>
        <v>1.865254974751733E-2</v>
      </c>
      <c r="AG379" s="2" t="s">
        <v>1176</v>
      </c>
    </row>
    <row r="380" spans="1:33" x14ac:dyDescent="0.3">
      <c r="A380">
        <v>458988</v>
      </c>
      <c r="B380" t="s">
        <v>769</v>
      </c>
      <c r="C380" t="s">
        <v>763</v>
      </c>
      <c r="D380" t="s">
        <v>770</v>
      </c>
      <c r="E380" s="18">
        <v>5.8</v>
      </c>
      <c r="F380" s="19">
        <f t="shared" si="112"/>
        <v>0.57777777777777772</v>
      </c>
      <c r="G380" s="2">
        <v>42.370379999999997</v>
      </c>
      <c r="H380" s="2">
        <f t="shared" si="113"/>
        <v>0.10336520280261796</v>
      </c>
      <c r="I380" s="2">
        <v>5.4</v>
      </c>
      <c r="J380" s="4">
        <f t="shared" si="114"/>
        <v>2.6200873362445417E-2</v>
      </c>
      <c r="K380" s="2">
        <v>0</v>
      </c>
      <c r="L380" s="4">
        <f t="shared" si="115"/>
        <v>0</v>
      </c>
      <c r="M380" s="2">
        <v>54612</v>
      </c>
      <c r="N380" s="2">
        <f t="shared" si="116"/>
        <v>0.25726154821554459</v>
      </c>
      <c r="O380" s="2">
        <v>0.69571266600000004</v>
      </c>
      <c r="P380" s="2">
        <f t="shared" si="117"/>
        <v>0.72622989345073752</v>
      </c>
      <c r="Q380" s="2">
        <v>0.22919999999999999</v>
      </c>
      <c r="R380" s="2">
        <f t="shared" si="118"/>
        <v>0.50434279096699475</v>
      </c>
      <c r="S380" s="2">
        <f t="shared" si="119"/>
        <v>1.6121203497986895E-2</v>
      </c>
      <c r="T380" s="5">
        <f t="shared" si="133"/>
        <v>3.2527009310293294E-2</v>
      </c>
      <c r="U380" s="2" t="str">
        <f t="shared" si="120"/>
        <v>No Impact</v>
      </c>
      <c r="V380" s="2">
        <f t="shared" si="121"/>
        <v>1.3214355996807675E-2</v>
      </c>
      <c r="W380" s="2">
        <f t="shared" si="122"/>
        <v>2.3803934785970478E-2</v>
      </c>
      <c r="X380" s="2" t="s">
        <v>1176</v>
      </c>
      <c r="Y380" s="2">
        <f t="shared" si="123"/>
        <v>1.9028050999166119E-2</v>
      </c>
      <c r="Z380" s="2">
        <f t="shared" si="124"/>
        <v>4.0373997973582473E-2</v>
      </c>
      <c r="AA380" s="2" t="str">
        <f t="shared" si="125"/>
        <v>No Impact</v>
      </c>
      <c r="AB380" s="2">
        <f t="shared" si="126"/>
        <v>1.2692630929324588E-2</v>
      </c>
      <c r="AC380" s="2">
        <f t="shared" si="127"/>
        <v>3.5280463478072496E-2</v>
      </c>
      <c r="AD380" s="2" t="str">
        <f t="shared" si="128"/>
        <v>No Impact</v>
      </c>
      <c r="AE380" s="2">
        <f t="shared" si="129"/>
        <v>6.7405458019773349E-3</v>
      </c>
      <c r="AF380" s="2">
        <f t="shared" si="130"/>
        <v>3.4725522409537565E-2</v>
      </c>
      <c r="AG380" s="2" t="s">
        <v>1175</v>
      </c>
    </row>
    <row r="381" spans="1:33" x14ac:dyDescent="0.3">
      <c r="A381">
        <v>458990</v>
      </c>
      <c r="B381" t="s">
        <v>771</v>
      </c>
      <c r="C381" t="s">
        <v>763</v>
      </c>
      <c r="D381" t="s">
        <v>772</v>
      </c>
      <c r="E381" s="18">
        <v>5.8</v>
      </c>
      <c r="F381" s="19">
        <f t="shared" si="112"/>
        <v>0.57777777777777772</v>
      </c>
      <c r="G381" s="2">
        <v>40.468428000000003</v>
      </c>
      <c r="H381" s="2">
        <f t="shared" si="113"/>
        <v>8.4976333275705723E-2</v>
      </c>
      <c r="I381" s="2">
        <v>6.6</v>
      </c>
      <c r="J381" s="4">
        <f t="shared" si="114"/>
        <v>3.2023289665211063E-2</v>
      </c>
      <c r="K381" s="2">
        <v>0</v>
      </c>
      <c r="L381" s="4">
        <f t="shared" si="115"/>
        <v>0</v>
      </c>
      <c r="M381" s="2">
        <v>22103</v>
      </c>
      <c r="N381" s="2">
        <f t="shared" si="116"/>
        <v>0.1034477864047352</v>
      </c>
      <c r="O381" s="2">
        <v>0.70139331699999996</v>
      </c>
      <c r="P381" s="2">
        <f t="shared" si="117"/>
        <v>0.73279212544590422</v>
      </c>
      <c r="Q381" s="2">
        <v>0.24909999999999999</v>
      </c>
      <c r="R381" s="2">
        <f t="shared" si="118"/>
        <v>0.5619571511291257</v>
      </c>
      <c r="S381" s="2">
        <f t="shared" si="119"/>
        <v>1.5316834579743996E-2</v>
      </c>
      <c r="T381" s="5">
        <f t="shared" si="133"/>
        <v>3.0904071215388379E-2</v>
      </c>
      <c r="U381" s="2" t="str">
        <f t="shared" si="120"/>
        <v>No Impact</v>
      </c>
      <c r="V381" s="2">
        <f t="shared" si="121"/>
        <v>1.3295863346636475E-2</v>
      </c>
      <c r="W381" s="2">
        <f t="shared" si="122"/>
        <v>2.3950759621049141E-2</v>
      </c>
      <c r="X381" s="2" t="s">
        <v>1176</v>
      </c>
      <c r="Y381" s="2">
        <f t="shared" si="123"/>
        <v>1.733780581285152E-2</v>
      </c>
      <c r="Z381" s="2">
        <f t="shared" si="124"/>
        <v>3.6787610921639326E-2</v>
      </c>
      <c r="AA381" s="2" t="str">
        <f t="shared" si="125"/>
        <v>No Impact</v>
      </c>
      <c r="AB381" s="2">
        <f t="shared" si="126"/>
        <v>1.0711542273642963E-2</v>
      </c>
      <c r="AC381" s="2">
        <f t="shared" si="127"/>
        <v>2.977382530724856E-2</v>
      </c>
      <c r="AD381" s="2" t="str">
        <f t="shared" si="128"/>
        <v>No Impact</v>
      </c>
      <c r="AE381" s="2">
        <f t="shared" si="129"/>
        <v>2.4475667384706952E-3</v>
      </c>
      <c r="AF381" s="2">
        <f t="shared" si="130"/>
        <v>1.2609221288974884E-2</v>
      </c>
      <c r="AG381" s="2" t="s">
        <v>1176</v>
      </c>
    </row>
    <row r="382" spans="1:33" x14ac:dyDescent="0.3">
      <c r="A382">
        <v>501006</v>
      </c>
      <c r="B382" t="s">
        <v>773</v>
      </c>
      <c r="C382" t="s">
        <v>1157</v>
      </c>
      <c r="D382" t="s">
        <v>774</v>
      </c>
      <c r="E382" s="18">
        <v>6.2</v>
      </c>
      <c r="F382" s="19">
        <f t="shared" si="112"/>
        <v>0.66666666666666663</v>
      </c>
      <c r="G382" s="2">
        <v>43.126239599999998</v>
      </c>
      <c r="H382" s="2">
        <f t="shared" si="113"/>
        <v>0.11067317038805867</v>
      </c>
      <c r="I382" s="2">
        <v>21.6</v>
      </c>
      <c r="J382" s="4">
        <f t="shared" si="114"/>
        <v>0.10480349344978167</v>
      </c>
      <c r="K382" s="2">
        <v>0</v>
      </c>
      <c r="L382" s="4">
        <f t="shared" si="115"/>
        <v>0</v>
      </c>
      <c r="M382" s="2">
        <v>21874</v>
      </c>
      <c r="N382" s="2">
        <f t="shared" si="116"/>
        <v>0.10236429102023628</v>
      </c>
      <c r="O382" s="2">
        <v>0.76440728400000002</v>
      </c>
      <c r="P382" s="2">
        <f t="shared" si="117"/>
        <v>0.80558523848695873</v>
      </c>
      <c r="Q382" s="2">
        <v>0.2336</v>
      </c>
      <c r="R382" s="2">
        <f t="shared" si="118"/>
        <v>0.51708164447017957</v>
      </c>
      <c r="S382" s="2">
        <f t="shared" si="119"/>
        <v>3.3250448852646594E-2</v>
      </c>
      <c r="T382" s="5">
        <f t="shared" si="133"/>
        <v>6.7087898216564398E-2</v>
      </c>
      <c r="U382" s="2" t="str">
        <f t="shared" si="120"/>
        <v>No Impact</v>
      </c>
      <c r="V382" s="2">
        <f t="shared" si="121"/>
        <v>2.5997773125850995E-2</v>
      </c>
      <c r="W382" s="2">
        <f t="shared" si="122"/>
        <v>4.6831589539264314E-2</v>
      </c>
      <c r="X382" s="2" t="s">
        <v>1176</v>
      </c>
      <c r="Y382" s="2">
        <f t="shared" si="123"/>
        <v>4.050312457944219E-2</v>
      </c>
      <c r="Z382" s="2">
        <f t="shared" si="124"/>
        <v>8.5940124386140293E-2</v>
      </c>
      <c r="AA382" s="2" t="str">
        <f t="shared" si="125"/>
        <v>No Impact</v>
      </c>
      <c r="AB382" s="2">
        <f t="shared" si="126"/>
        <v>2.3051489101769088E-2</v>
      </c>
      <c r="AC382" s="2">
        <f t="shared" si="127"/>
        <v>6.4073967319983119E-2</v>
      </c>
      <c r="AD382" s="2" t="str">
        <f t="shared" si="128"/>
        <v>No Impact</v>
      </c>
      <c r="AE382" s="2">
        <f t="shared" si="129"/>
        <v>5.1466603825388053E-3</v>
      </c>
      <c r="AF382" s="2">
        <f t="shared" si="130"/>
        <v>2.6514243163469481E-2</v>
      </c>
      <c r="AG382" s="2" t="s">
        <v>1176</v>
      </c>
    </row>
    <row r="383" spans="1:33" x14ac:dyDescent="0.3">
      <c r="A383">
        <v>501020</v>
      </c>
      <c r="B383" t="s">
        <v>775</v>
      </c>
      <c r="C383" t="s">
        <v>1157</v>
      </c>
      <c r="D383" t="s">
        <v>776</v>
      </c>
      <c r="E383" s="18">
        <v>6.1</v>
      </c>
      <c r="F383" s="19">
        <f t="shared" si="112"/>
        <v>0.64444444444444438</v>
      </c>
      <c r="G383" s="2">
        <v>44.040303000000002</v>
      </c>
      <c r="H383" s="2">
        <f t="shared" si="113"/>
        <v>0.11951071865527356</v>
      </c>
      <c r="I383" s="2">
        <v>16.600000000000001</v>
      </c>
      <c r="J383" s="4">
        <f t="shared" si="114"/>
        <v>8.0543425521591466E-2</v>
      </c>
      <c r="K383" s="2">
        <v>0</v>
      </c>
      <c r="L383" s="4">
        <f t="shared" si="115"/>
        <v>0</v>
      </c>
      <c r="M383" s="2">
        <v>69668</v>
      </c>
      <c r="N383" s="2">
        <f t="shared" si="116"/>
        <v>0.32849782118067877</v>
      </c>
      <c r="O383" s="2">
        <v>0.87982179100000002</v>
      </c>
      <c r="P383" s="2">
        <f t="shared" si="117"/>
        <v>0.93891093840089301</v>
      </c>
      <c r="Q383" s="2">
        <v>0.26250000000000001</v>
      </c>
      <c r="R383" s="2">
        <f t="shared" si="118"/>
        <v>0.60075275043427923</v>
      </c>
      <c r="S383" s="2">
        <f t="shared" si="119"/>
        <v>3.4737371457107459E-2</v>
      </c>
      <c r="T383" s="5">
        <f t="shared" si="133"/>
        <v>7.0087993426889345E-2</v>
      </c>
      <c r="U383" s="2" t="str">
        <f t="shared" si="120"/>
        <v>No Impact</v>
      </c>
      <c r="V383" s="2">
        <f t="shared" si="121"/>
        <v>2.7107960780061762E-2</v>
      </c>
      <c r="W383" s="2">
        <f t="shared" si="122"/>
        <v>4.8831447461012964E-2</v>
      </c>
      <c r="X383" s="2" t="s">
        <v>1176</v>
      </c>
      <c r="Y383" s="2">
        <f t="shared" si="123"/>
        <v>4.2366782134153159E-2</v>
      </c>
      <c r="Z383" s="2">
        <f t="shared" si="124"/>
        <v>8.9894460347329896E-2</v>
      </c>
      <c r="AA383" s="2" t="str">
        <f t="shared" si="125"/>
        <v>No Impact</v>
      </c>
      <c r="AB383" s="2">
        <f t="shared" si="126"/>
        <v>2.7385840637292966E-2</v>
      </c>
      <c r="AC383" s="2">
        <f t="shared" si="127"/>
        <v>7.6121739913518602E-2</v>
      </c>
      <c r="AD383" s="2" t="str">
        <f t="shared" si="128"/>
        <v>No Impact</v>
      </c>
      <c r="AE383" s="2">
        <f t="shared" si="129"/>
        <v>1.4822913497215448E-2</v>
      </c>
      <c r="AF383" s="2">
        <f t="shared" si="130"/>
        <v>7.6363758951269969E-2</v>
      </c>
      <c r="AG383" s="2" t="s">
        <v>1175</v>
      </c>
    </row>
    <row r="384" spans="1:33" x14ac:dyDescent="0.3">
      <c r="A384">
        <v>501027</v>
      </c>
      <c r="B384" t="s">
        <v>777</v>
      </c>
      <c r="C384" t="s">
        <v>1157</v>
      </c>
      <c r="D384" t="s">
        <v>778</v>
      </c>
      <c r="E384" s="18">
        <v>4.8</v>
      </c>
      <c r="F384" s="19">
        <f t="shared" si="112"/>
        <v>0.35555555555555546</v>
      </c>
      <c r="G384" s="2">
        <v>45.734835599999997</v>
      </c>
      <c r="H384" s="2">
        <f t="shared" si="113"/>
        <v>0.13589417044085983</v>
      </c>
      <c r="I384" s="2">
        <v>23.7</v>
      </c>
      <c r="J384" s="4">
        <f t="shared" si="114"/>
        <v>0.11499272197962154</v>
      </c>
      <c r="K384" s="2">
        <v>0</v>
      </c>
      <c r="L384" s="4">
        <f t="shared" si="115"/>
        <v>0</v>
      </c>
      <c r="M384" s="2">
        <v>18408</v>
      </c>
      <c r="N384" s="2">
        <f t="shared" si="116"/>
        <v>8.5965186205069238E-2</v>
      </c>
      <c r="O384" s="2">
        <v>0.847729446</v>
      </c>
      <c r="P384" s="2">
        <f t="shared" si="117"/>
        <v>0.9018381780501995</v>
      </c>
      <c r="Q384" s="2">
        <v>0.2495</v>
      </c>
      <c r="R384" s="2">
        <f t="shared" si="118"/>
        <v>0.56311522872032427</v>
      </c>
      <c r="S384" s="2">
        <f t="shared" si="119"/>
        <v>2.2869006705406023E-2</v>
      </c>
      <c r="T384" s="5">
        <f t="shared" si="133"/>
        <v>4.6141740851840848E-2</v>
      </c>
      <c r="U384" s="2" t="str">
        <f t="shared" si="120"/>
        <v>No Impact</v>
      </c>
      <c r="V384" s="2">
        <f t="shared" si="121"/>
        <v>1.7581290820587289E-2</v>
      </c>
      <c r="W384" s="2">
        <f t="shared" si="122"/>
        <v>3.1670396971864793E-2</v>
      </c>
      <c r="X384" s="2" t="s">
        <v>1176</v>
      </c>
      <c r="Y384" s="2">
        <f t="shared" si="123"/>
        <v>2.815672259022476E-2</v>
      </c>
      <c r="Z384" s="2">
        <f t="shared" si="124"/>
        <v>5.9743347379627956E-2</v>
      </c>
      <c r="AA384" s="2" t="str">
        <f t="shared" si="125"/>
        <v>No Impact</v>
      </c>
      <c r="AB384" s="2">
        <f t="shared" si="126"/>
        <v>1.5539854682267247E-2</v>
      </c>
      <c r="AC384" s="2">
        <f t="shared" si="127"/>
        <v>4.3194612576784162E-2</v>
      </c>
      <c r="AD384" s="2" t="str">
        <f t="shared" si="128"/>
        <v>No Impact</v>
      </c>
      <c r="AE384" s="2">
        <f t="shared" si="129"/>
        <v>2.6839603371264873E-3</v>
      </c>
      <c r="AF384" s="2">
        <f t="shared" si="130"/>
        <v>1.3827059050003801E-2</v>
      </c>
      <c r="AG384" s="2" t="s">
        <v>1176</v>
      </c>
    </row>
    <row r="385" spans="1:33" x14ac:dyDescent="0.3">
      <c r="A385">
        <v>501033</v>
      </c>
      <c r="B385" t="s">
        <v>779</v>
      </c>
      <c r="C385" t="s">
        <v>1157</v>
      </c>
      <c r="D385" t="s">
        <v>780</v>
      </c>
      <c r="E385" s="18">
        <v>6.1</v>
      </c>
      <c r="F385" s="19">
        <f t="shared" si="112"/>
        <v>0.64444444444444438</v>
      </c>
      <c r="G385" s="2">
        <v>45.172335599999997</v>
      </c>
      <c r="H385" s="2">
        <f t="shared" si="113"/>
        <v>0.13045568455431369</v>
      </c>
      <c r="I385" s="2">
        <v>12.4</v>
      </c>
      <c r="J385" s="4">
        <f t="shared" si="114"/>
        <v>6.0164968461911696E-2</v>
      </c>
      <c r="K385" s="2">
        <v>0</v>
      </c>
      <c r="L385" s="4">
        <f t="shared" si="115"/>
        <v>0</v>
      </c>
      <c r="M385" s="2">
        <v>19139</v>
      </c>
      <c r="N385" s="2">
        <f t="shared" si="116"/>
        <v>8.9423854877858366E-2</v>
      </c>
      <c r="O385" s="2">
        <v>0.66511355699999997</v>
      </c>
      <c r="P385" s="2">
        <f t="shared" si="117"/>
        <v>0.69088210459636268</v>
      </c>
      <c r="Q385" s="2">
        <v>0.25</v>
      </c>
      <c r="R385" s="2">
        <f t="shared" si="118"/>
        <v>0.56456282570932259</v>
      </c>
      <c r="S385" s="2">
        <f t="shared" si="119"/>
        <v>2.698927093637677E-2</v>
      </c>
      <c r="T385" s="5">
        <f t="shared" si="133"/>
        <v>5.4455008097576529E-2</v>
      </c>
      <c r="U385" s="2" t="str">
        <f t="shared" si="120"/>
        <v>No Impact</v>
      </c>
      <c r="V385" s="2">
        <f t="shared" si="121"/>
        <v>2.4273687671772765E-2</v>
      </c>
      <c r="W385" s="2">
        <f t="shared" si="122"/>
        <v>4.3725874987285168E-2</v>
      </c>
      <c r="X385" s="2" t="s">
        <v>1176</v>
      </c>
      <c r="Y385" s="2">
        <f t="shared" si="123"/>
        <v>2.970485420098078E-2</v>
      </c>
      <c r="Z385" s="2">
        <f t="shared" si="124"/>
        <v>6.3028195760486391E-2</v>
      </c>
      <c r="AA385" s="2" t="str">
        <f t="shared" si="125"/>
        <v>No Impact</v>
      </c>
      <c r="AB385" s="2">
        <f t="shared" si="126"/>
        <v>1.8752936598898963E-2</v>
      </c>
      <c r="AC385" s="2">
        <f t="shared" si="127"/>
        <v>5.2125701792486476E-2</v>
      </c>
      <c r="AD385" s="2" t="str">
        <f t="shared" si="128"/>
        <v>No Impact</v>
      </c>
      <c r="AE385" s="2">
        <f t="shared" si="129"/>
        <v>3.844827581383603E-3</v>
      </c>
      <c r="AF385" s="2">
        <f t="shared" si="130"/>
        <v>1.9807542335663425E-2</v>
      </c>
      <c r="AG385" s="2" t="s">
        <v>1176</v>
      </c>
    </row>
    <row r="386" spans="1:33" x14ac:dyDescent="0.3">
      <c r="A386">
        <v>501040</v>
      </c>
      <c r="B386" t="s">
        <v>781</v>
      </c>
      <c r="C386" t="s">
        <v>1157</v>
      </c>
      <c r="D386" t="s">
        <v>782</v>
      </c>
      <c r="E386" s="18">
        <v>6.1</v>
      </c>
      <c r="F386" s="19">
        <f t="shared" ref="F386:F449" si="134">(E386-$AJ$5)/$AK$5</f>
        <v>0.64444444444444438</v>
      </c>
      <c r="G386" s="2">
        <v>44.040303000000002</v>
      </c>
      <c r="H386" s="2">
        <f t="shared" ref="H386:H449" si="135">(G386-$AJ$6)/$AK$6</f>
        <v>0.11951071865527356</v>
      </c>
      <c r="I386" s="2">
        <v>14.5</v>
      </c>
      <c r="J386" s="4">
        <f t="shared" ref="J386:J449" si="136">(I386-$AJ$7)/$AK$7</f>
        <v>7.0354196991751577E-2</v>
      </c>
      <c r="K386" s="2">
        <v>0</v>
      </c>
      <c r="L386" s="4">
        <f t="shared" ref="L386:L449" si="137">(K386-$AJ$8)/$AK$8</f>
        <v>0</v>
      </c>
      <c r="M386" s="2">
        <v>26980</v>
      </c>
      <c r="N386" s="2">
        <f t="shared" ref="N386:N449" si="138">(M386-$AJ$9)/$AK$9</f>
        <v>0.12652292609993707</v>
      </c>
      <c r="O386" s="2">
        <v>0.87153118100000004</v>
      </c>
      <c r="P386" s="2">
        <f t="shared" ref="P386:P449" si="139">(O386-$AJ$11)/$AK$11</f>
        <v>0.9293337075163608</v>
      </c>
      <c r="Q386" s="2">
        <v>0.24379999999999999</v>
      </c>
      <c r="R386" s="2">
        <f t="shared" ref="R386:R449" si="140">(Q386-$AJ$12)/$AK$12</f>
        <v>0.54661262304574409</v>
      </c>
      <c r="S386" s="2">
        <f t="shared" ref="S386:S449" si="141">F386*(R386*0.5+P386*0.5)*(H386*0.35+J386*0.35+L386*0.3)</f>
        <v>3.1603764659442882E-2</v>
      </c>
      <c r="T386" s="5">
        <f t="shared" si="133"/>
        <v>6.3765459411661382E-2</v>
      </c>
      <c r="U386" s="2" t="str">
        <f t="shared" ref="U386:U449" si="142">IF(T386&gt;0.7,"High",IF(T386&gt;0.3,"Moderate",IF(T386&gt;0.15,"Low","No Impact")))</f>
        <v>No Impact</v>
      </c>
      <c r="V386" s="2">
        <f t="shared" ref="V386:V449" si="143">F386*(R386*1)*(H386*0.35+J386*0.35+L386*0.3)</f>
        <v>2.3408732879927119E-2</v>
      </c>
      <c r="W386" s="2">
        <f t="shared" ref="W386:W449" si="144">(V386-$AJ$13)/$AK$13</f>
        <v>4.2167772007247362E-2</v>
      </c>
      <c r="X386" s="2" t="s">
        <v>1176</v>
      </c>
      <c r="Y386" s="2">
        <f t="shared" ref="Y386:Y449" si="145">F386*(P386*1)*(H386*0.35+J386*0.35+L386*0.3)</f>
        <v>3.9798796438958645E-2</v>
      </c>
      <c r="Z386" s="2">
        <f t="shared" ref="Z386:Z449" si="146">(Y386-$AJ$14)/$AK$14</f>
        <v>8.444567059694949E-2</v>
      </c>
      <c r="AA386" s="2" t="str">
        <f t="shared" ref="AA386:AA449" si="147">IF(Z386&gt;0.7,"High",IF(Z386&gt;0.3,"Moderate",IF(Z386&gt;0.15,"Low","No Impact")))</f>
        <v>No Impact</v>
      </c>
      <c r="AB386" s="2">
        <f t="shared" ref="AB386:AB449" si="148">F386*(R386*0.35+P386*0.3+N386*0.35)*(H386*0.35+J386*0.35+L386*0.3)</f>
        <v>2.2029119780020423E-2</v>
      </c>
      <c r="AC386" s="2">
        <f t="shared" ref="AC386:AC449" si="149">(AB386-$AJ$15)/$AK$15</f>
        <v>6.1232187414942192E-2</v>
      </c>
      <c r="AD386" s="2" t="str">
        <f t="shared" ref="AD386:AD449" si="150">IF(AC386&gt;0.7,"High",IF(AC386&gt;0.3,"Moderate",IF(AC386&gt;0.15,"Low","No Impact")))</f>
        <v>No Impact</v>
      </c>
      <c r="AE386" s="2">
        <f t="shared" ref="AE386:AE449" si="151">F386*(N386*1)*(H386*0.35+J386*0.35+L386*0.3)</f>
        <v>5.4183552581666744E-3</v>
      </c>
      <c r="AF386" s="2">
        <f t="shared" ref="AF386:AF449" si="152">(AE386-$AJ$16)/$AK$16</f>
        <v>2.7913943835988376E-2</v>
      </c>
      <c r="AG386" s="2" t="s">
        <v>1176</v>
      </c>
    </row>
    <row r="387" spans="1:33" x14ac:dyDescent="0.3">
      <c r="A387">
        <v>501054</v>
      </c>
      <c r="B387" t="s">
        <v>783</v>
      </c>
      <c r="C387" t="s">
        <v>1157</v>
      </c>
      <c r="D387" t="s">
        <v>784</v>
      </c>
      <c r="E387" s="18">
        <v>5.9</v>
      </c>
      <c r="F387" s="19">
        <f t="shared" si="134"/>
        <v>0.60000000000000009</v>
      </c>
      <c r="G387" s="2">
        <v>42.873116400000001</v>
      </c>
      <c r="H387" s="2">
        <f t="shared" si="135"/>
        <v>0.10822586914226777</v>
      </c>
      <c r="I387" s="2">
        <v>13.6</v>
      </c>
      <c r="J387" s="4">
        <f t="shared" si="136"/>
        <v>6.5987384764677345E-2</v>
      </c>
      <c r="K387" s="2">
        <v>0</v>
      </c>
      <c r="L387" s="4">
        <f t="shared" si="137"/>
        <v>0</v>
      </c>
      <c r="M387" s="2">
        <v>34433</v>
      </c>
      <c r="N387" s="2">
        <f t="shared" si="138"/>
        <v>0.16178620601552851</v>
      </c>
      <c r="O387" s="2">
        <v>0.85363144800000001</v>
      </c>
      <c r="P387" s="2">
        <f t="shared" si="139"/>
        <v>0.90865611253692258</v>
      </c>
      <c r="Q387" s="2">
        <v>0.25059999999999999</v>
      </c>
      <c r="R387" s="2">
        <f t="shared" si="140"/>
        <v>0.56629994209612045</v>
      </c>
      <c r="S387" s="2">
        <f t="shared" si="141"/>
        <v>2.6980473832974101E-2</v>
      </c>
      <c r="T387" s="5">
        <f t="shared" si="133"/>
        <v>5.443725858747836E-2</v>
      </c>
      <c r="U387" s="2" t="str">
        <f t="shared" si="142"/>
        <v>No Impact</v>
      </c>
      <c r="V387" s="2">
        <f t="shared" si="143"/>
        <v>2.0717960675974752E-2</v>
      </c>
      <c r="W387" s="2">
        <f t="shared" si="144"/>
        <v>3.7320697652488223E-2</v>
      </c>
      <c r="X387" s="2" t="s">
        <v>1176</v>
      </c>
      <c r="Y387" s="2">
        <f t="shared" si="145"/>
        <v>3.3242986989973446E-2</v>
      </c>
      <c r="Z387" s="2">
        <f t="shared" si="146"/>
        <v>7.0535457857866496E-2</v>
      </c>
      <c r="AA387" s="2" t="str">
        <f t="shared" si="147"/>
        <v>No Impact</v>
      </c>
      <c r="AB387" s="2">
        <f t="shared" si="148"/>
        <v>1.9295801985544207E-2</v>
      </c>
      <c r="AC387" s="2">
        <f t="shared" si="149"/>
        <v>5.3634651556620713E-2</v>
      </c>
      <c r="AD387" s="2" t="str">
        <f t="shared" si="150"/>
        <v>No Impact</v>
      </c>
      <c r="AE387" s="2">
        <f t="shared" si="151"/>
        <v>5.918913291317167E-3</v>
      </c>
      <c r="AF387" s="2">
        <f t="shared" si="152"/>
        <v>3.0492687413747679E-2</v>
      </c>
      <c r="AG387" s="2" t="s">
        <v>1176</v>
      </c>
    </row>
    <row r="388" spans="1:33" x14ac:dyDescent="0.3">
      <c r="A388">
        <v>501067</v>
      </c>
      <c r="B388" t="s">
        <v>785</v>
      </c>
      <c r="C388" t="s">
        <v>1157</v>
      </c>
      <c r="D388" t="s">
        <v>786</v>
      </c>
      <c r="E388" s="18">
        <v>6.2</v>
      </c>
      <c r="F388" s="19">
        <f t="shared" si="134"/>
        <v>0.66666666666666663</v>
      </c>
      <c r="G388" s="2">
        <v>44.9508492</v>
      </c>
      <c r="H388" s="2">
        <f t="shared" si="135"/>
        <v>0.12831426115793701</v>
      </c>
      <c r="I388" s="2">
        <v>24.4</v>
      </c>
      <c r="J388" s="4">
        <f t="shared" si="136"/>
        <v>0.11838913148956817</v>
      </c>
      <c r="K388" s="2">
        <v>0</v>
      </c>
      <c r="L388" s="4">
        <f t="shared" si="137"/>
        <v>0</v>
      </c>
      <c r="M388" s="2">
        <v>24547</v>
      </c>
      <c r="N388" s="2">
        <f t="shared" si="138"/>
        <v>0.11501137906724769</v>
      </c>
      <c r="O388" s="2">
        <v>0.89411355100000001</v>
      </c>
      <c r="P388" s="2">
        <f t="shared" si="139"/>
        <v>0.95542063856364623</v>
      </c>
      <c r="Q388" s="2">
        <v>0.22209999999999999</v>
      </c>
      <c r="R388" s="2">
        <f t="shared" si="140"/>
        <v>0.48378691372321947</v>
      </c>
      <c r="S388" s="2">
        <f t="shared" si="141"/>
        <v>4.1423361685192832E-2</v>
      </c>
      <c r="T388" s="5">
        <f t="shared" si="133"/>
        <v>8.3578007768847107E-2</v>
      </c>
      <c r="U388" s="2" t="str">
        <f t="shared" si="142"/>
        <v>No Impact</v>
      </c>
      <c r="V388" s="2">
        <f t="shared" si="143"/>
        <v>2.7848770351262962E-2</v>
      </c>
      <c r="W388" s="2">
        <f t="shared" si="144"/>
        <v>5.0165919055841814E-2</v>
      </c>
      <c r="X388" s="2" t="s">
        <v>1176</v>
      </c>
      <c r="Y388" s="2">
        <f t="shared" si="145"/>
        <v>5.4997953019122706E-2</v>
      </c>
      <c r="Z388" s="2">
        <f t="shared" si="146"/>
        <v>0.11669546417773183</v>
      </c>
      <c r="AA388" s="2" t="str">
        <f t="shared" si="147"/>
        <v>No Impact</v>
      </c>
      <c r="AB388" s="2">
        <f t="shared" si="148"/>
        <v>2.8563640817077102E-2</v>
      </c>
      <c r="AC388" s="2">
        <f t="shared" si="149"/>
        <v>7.9395555756642047E-2</v>
      </c>
      <c r="AD388" s="2" t="str">
        <f t="shared" si="150"/>
        <v>No Impact</v>
      </c>
      <c r="AE388" s="2">
        <f t="shared" si="151"/>
        <v>6.620529395423594E-3</v>
      </c>
      <c r="AF388" s="2">
        <f t="shared" si="152"/>
        <v>3.4107229390288069E-2</v>
      </c>
      <c r="AG388" s="2" t="s">
        <v>1175</v>
      </c>
    </row>
    <row r="389" spans="1:33" x14ac:dyDescent="0.3">
      <c r="A389">
        <v>501081</v>
      </c>
      <c r="B389" t="s">
        <v>787</v>
      </c>
      <c r="C389" t="s">
        <v>1157</v>
      </c>
      <c r="D389" t="s">
        <v>788</v>
      </c>
      <c r="E389" s="18">
        <v>6.2</v>
      </c>
      <c r="F389" s="19">
        <f t="shared" si="134"/>
        <v>0.66666666666666663</v>
      </c>
      <c r="G389" s="2">
        <v>44.040303000000002</v>
      </c>
      <c r="H389" s="2">
        <f t="shared" si="135"/>
        <v>0.11951071865527356</v>
      </c>
      <c r="I389" s="2">
        <v>15.2</v>
      </c>
      <c r="J389" s="4">
        <f t="shared" si="136"/>
        <v>7.3750606501698207E-2</v>
      </c>
      <c r="K389" s="2">
        <v>0</v>
      </c>
      <c r="L389" s="4">
        <f t="shared" si="137"/>
        <v>0</v>
      </c>
      <c r="M389" s="2">
        <v>19425</v>
      </c>
      <c r="N389" s="2">
        <f t="shared" si="138"/>
        <v>9.0777041253258764E-2</v>
      </c>
      <c r="O389" s="2">
        <v>0.87325476099999999</v>
      </c>
      <c r="P389" s="2">
        <f t="shared" si="139"/>
        <v>0.93132477012911929</v>
      </c>
      <c r="Q389" s="2">
        <v>0.216</v>
      </c>
      <c r="R389" s="2">
        <f t="shared" si="140"/>
        <v>0.46612623045744067</v>
      </c>
      <c r="S389" s="2">
        <f t="shared" si="141"/>
        <v>3.1508543758451045E-2</v>
      </c>
      <c r="T389" s="5">
        <f t="shared" si="133"/>
        <v>6.3573336588233054E-2</v>
      </c>
      <c r="U389" s="2" t="str">
        <f t="shared" si="142"/>
        <v>No Impact</v>
      </c>
      <c r="V389" s="2">
        <f t="shared" si="143"/>
        <v>2.101964036401343E-2</v>
      </c>
      <c r="W389" s="2">
        <f t="shared" si="144"/>
        <v>3.7864134171230371E-2</v>
      </c>
      <c r="X389" s="2" t="s">
        <v>1176</v>
      </c>
      <c r="Y389" s="2">
        <f t="shared" si="145"/>
        <v>4.199744715288866E-2</v>
      </c>
      <c r="Z389" s="2">
        <f t="shared" si="146"/>
        <v>8.9110799961628837E-2</v>
      </c>
      <c r="AA389" s="2" t="str">
        <f t="shared" si="147"/>
        <v>No Impact</v>
      </c>
      <c r="AB389" s="2">
        <f t="shared" si="148"/>
        <v>2.1388843061663398E-2</v>
      </c>
      <c r="AC389" s="2">
        <f t="shared" si="149"/>
        <v>5.9452472909443908E-2</v>
      </c>
      <c r="AD389" s="2" t="str">
        <f t="shared" si="150"/>
        <v>No Impact</v>
      </c>
      <c r="AE389" s="2">
        <f t="shared" si="151"/>
        <v>4.0935279668345721E-3</v>
      </c>
      <c r="AF389" s="2">
        <f t="shared" si="152"/>
        <v>2.1088781431421042E-2</v>
      </c>
      <c r="AG389" s="2" t="s">
        <v>1176</v>
      </c>
    </row>
    <row r="390" spans="1:33" x14ac:dyDescent="0.3">
      <c r="A390">
        <v>501085</v>
      </c>
      <c r="B390" t="s">
        <v>789</v>
      </c>
      <c r="C390" t="s">
        <v>1157</v>
      </c>
      <c r="D390" t="s">
        <v>790</v>
      </c>
      <c r="E390" s="18">
        <v>6.1</v>
      </c>
      <c r="F390" s="19">
        <f t="shared" si="134"/>
        <v>0.64444444444444438</v>
      </c>
      <c r="G390" s="2">
        <v>44.040303000000002</v>
      </c>
      <c r="H390" s="2">
        <f t="shared" si="135"/>
        <v>0.11951071865527356</v>
      </c>
      <c r="I390" s="2">
        <v>24.9</v>
      </c>
      <c r="J390" s="4">
        <f t="shared" si="136"/>
        <v>0.12081513828238719</v>
      </c>
      <c r="K390" s="2">
        <v>0</v>
      </c>
      <c r="L390" s="4">
        <f t="shared" si="137"/>
        <v>0</v>
      </c>
      <c r="M390" s="2">
        <v>37871</v>
      </c>
      <c r="N390" s="2">
        <f t="shared" si="138"/>
        <v>0.17805283104569133</v>
      </c>
      <c r="O390" s="2">
        <v>0.49323930100000002</v>
      </c>
      <c r="P390" s="2">
        <f t="shared" si="139"/>
        <v>0.4923346596171389</v>
      </c>
      <c r="Q390" s="2">
        <v>0.25750000000000001</v>
      </c>
      <c r="R390" s="2">
        <f t="shared" si="140"/>
        <v>0.58627678054429655</v>
      </c>
      <c r="S390" s="2">
        <f t="shared" si="141"/>
        <v>2.9234054659939418E-2</v>
      </c>
      <c r="T390" s="5">
        <f t="shared" si="133"/>
        <v>5.8984204759912243E-2</v>
      </c>
      <c r="U390" s="2" t="str">
        <f t="shared" si="142"/>
        <v>No Impact</v>
      </c>
      <c r="V390" s="2">
        <f t="shared" si="143"/>
        <v>3.1780207051614516E-2</v>
      </c>
      <c r="W390" s="2">
        <f t="shared" si="144"/>
        <v>5.7247888306023002E-2</v>
      </c>
      <c r="X390" s="2" t="s">
        <v>1176</v>
      </c>
      <c r="Y390" s="2">
        <f t="shared" si="145"/>
        <v>2.668790226826431E-2</v>
      </c>
      <c r="Z390" s="2">
        <f t="shared" si="146"/>
        <v>5.6626782855758076E-2</v>
      </c>
      <c r="AA390" s="2" t="str">
        <f t="shared" si="147"/>
        <v>No Impact</v>
      </c>
      <c r="AB390" s="2">
        <f t="shared" si="148"/>
        <v>2.250753112437499E-2</v>
      </c>
      <c r="AC390" s="2">
        <f t="shared" si="149"/>
        <v>6.2561980588318189E-2</v>
      </c>
      <c r="AD390" s="2" t="str">
        <f t="shared" si="150"/>
        <v>No Impact</v>
      </c>
      <c r="AE390" s="2">
        <f t="shared" si="151"/>
        <v>9.6516799309446146E-3</v>
      </c>
      <c r="AF390" s="2">
        <f t="shared" si="152"/>
        <v>4.9722921196289821E-2</v>
      </c>
      <c r="AG390" s="2" t="s">
        <v>1175</v>
      </c>
    </row>
    <row r="391" spans="1:33" x14ac:dyDescent="0.3">
      <c r="A391">
        <v>501088</v>
      </c>
      <c r="B391" t="s">
        <v>791</v>
      </c>
      <c r="C391" t="s">
        <v>1157</v>
      </c>
      <c r="D391" t="s">
        <v>763</v>
      </c>
      <c r="E391" s="18">
        <v>6.2</v>
      </c>
      <c r="F391" s="19">
        <f t="shared" si="134"/>
        <v>0.66666666666666663</v>
      </c>
      <c r="G391" s="2">
        <v>45.734835599999997</v>
      </c>
      <c r="H391" s="2">
        <f t="shared" si="135"/>
        <v>0.13589417044085983</v>
      </c>
      <c r="I391" s="2">
        <v>26.4</v>
      </c>
      <c r="J391" s="4">
        <f t="shared" si="136"/>
        <v>0.12809315866084425</v>
      </c>
      <c r="K391" s="2">
        <v>0</v>
      </c>
      <c r="L391" s="4">
        <f t="shared" si="137"/>
        <v>0</v>
      </c>
      <c r="M391" s="2">
        <v>36509</v>
      </c>
      <c r="N391" s="2">
        <f t="shared" si="138"/>
        <v>0.17160863578941393</v>
      </c>
      <c r="O391" s="2">
        <v>0.84913773699999995</v>
      </c>
      <c r="P391" s="2">
        <f t="shared" si="139"/>
        <v>0.90346502192050682</v>
      </c>
      <c r="Q391" s="2">
        <v>0.23050000000000001</v>
      </c>
      <c r="R391" s="2">
        <f t="shared" si="140"/>
        <v>0.50810654313839032</v>
      </c>
      <c r="S391" s="2">
        <f t="shared" si="141"/>
        <v>4.3474317517844557E-2</v>
      </c>
      <c r="T391" s="5">
        <f t="shared" si="133"/>
        <v>8.7716126828754362E-2</v>
      </c>
      <c r="U391" s="2" t="str">
        <f t="shared" si="142"/>
        <v>No Impact</v>
      </c>
      <c r="V391" s="2">
        <f t="shared" si="143"/>
        <v>3.1297860818514128E-2</v>
      </c>
      <c r="W391" s="2">
        <f t="shared" si="144"/>
        <v>5.6379004625293203E-2</v>
      </c>
      <c r="X391" s="2" t="s">
        <v>1176</v>
      </c>
      <c r="Y391" s="2">
        <f t="shared" si="145"/>
        <v>5.5650774217174979E-2</v>
      </c>
      <c r="Z391" s="2">
        <f t="shared" si="146"/>
        <v>0.11808062978026407</v>
      </c>
      <c r="AA391" s="2" t="str">
        <f t="shared" si="147"/>
        <v>No Impact</v>
      </c>
      <c r="AB391" s="2">
        <f t="shared" si="148"/>
        <v>3.1349188160347263E-2</v>
      </c>
      <c r="AC391" s="2">
        <f t="shared" si="149"/>
        <v>8.7138268978030439E-2</v>
      </c>
      <c r="AD391" s="2" t="str">
        <f t="shared" si="150"/>
        <v>No Impact</v>
      </c>
      <c r="AE391" s="2">
        <f t="shared" si="151"/>
        <v>1.0570584596328045E-2</v>
      </c>
      <c r="AF391" s="2">
        <f t="shared" si="152"/>
        <v>5.4456876796834856E-2</v>
      </c>
      <c r="AG391" s="2" t="s">
        <v>1175</v>
      </c>
    </row>
    <row r="392" spans="1:33" x14ac:dyDescent="0.3">
      <c r="A392">
        <v>501094</v>
      </c>
      <c r="B392" t="s">
        <v>792</v>
      </c>
      <c r="C392" t="s">
        <v>1157</v>
      </c>
      <c r="D392" t="s">
        <v>1149</v>
      </c>
      <c r="E392" s="18">
        <v>6.1</v>
      </c>
      <c r="F392" s="19">
        <f t="shared" si="134"/>
        <v>0.64444444444444438</v>
      </c>
      <c r="G392" s="2">
        <v>42.25788</v>
      </c>
      <c r="H392" s="2">
        <f t="shared" si="135"/>
        <v>0.10227750562530877</v>
      </c>
      <c r="I392" s="2">
        <v>8.4</v>
      </c>
      <c r="J392" s="4">
        <f t="shared" si="136"/>
        <v>4.0756914119359534E-2</v>
      </c>
      <c r="K392" s="2">
        <v>0</v>
      </c>
      <c r="L392" s="4">
        <f t="shared" si="137"/>
        <v>0</v>
      </c>
      <c r="M392" s="2">
        <v>25068</v>
      </c>
      <c r="N392" s="2">
        <f t="shared" si="138"/>
        <v>0.11747644935250505</v>
      </c>
      <c r="O392" s="2">
        <v>0.82032770200000005</v>
      </c>
      <c r="P392" s="2">
        <f t="shared" si="139"/>
        <v>0.87018395370158741</v>
      </c>
      <c r="Q392" s="2">
        <v>0.27139999999999997</v>
      </c>
      <c r="R392" s="2">
        <f t="shared" si="140"/>
        <v>0.62651997683844818</v>
      </c>
      <c r="S392" s="2">
        <f t="shared" si="141"/>
        <v>2.4143486767541519E-2</v>
      </c>
      <c r="T392" s="5">
        <f t="shared" si="133"/>
        <v>4.8713200535483024E-2</v>
      </c>
      <c r="U392" s="2" t="str">
        <f t="shared" si="142"/>
        <v>No Impact</v>
      </c>
      <c r="V392" s="2">
        <f t="shared" si="143"/>
        <v>2.0212917814602979E-2</v>
      </c>
      <c r="W392" s="2">
        <f t="shared" si="144"/>
        <v>3.6410928963108435E-2</v>
      </c>
      <c r="X392" s="2" t="s">
        <v>1176</v>
      </c>
      <c r="Y392" s="2">
        <f t="shared" si="145"/>
        <v>2.8074055720480055E-2</v>
      </c>
      <c r="Z392" s="2">
        <f t="shared" si="146"/>
        <v>5.9567943601716002E-2</v>
      </c>
      <c r="AA392" s="2" t="str">
        <f t="shared" si="147"/>
        <v>No Impact</v>
      </c>
      <c r="AB392" s="2">
        <f t="shared" si="148"/>
        <v>1.6823255327067393E-2</v>
      </c>
      <c r="AC392" s="2">
        <f t="shared" si="149"/>
        <v>4.6761955693331844E-2</v>
      </c>
      <c r="AD392" s="2" t="str">
        <f t="shared" si="150"/>
        <v>No Impact</v>
      </c>
      <c r="AE392" s="2">
        <f t="shared" si="151"/>
        <v>3.790049645178103E-3</v>
      </c>
      <c r="AF392" s="2">
        <f t="shared" si="152"/>
        <v>1.9525340788914151E-2</v>
      </c>
      <c r="AG392" s="2" t="s">
        <v>1176</v>
      </c>
    </row>
    <row r="393" spans="1:33" x14ac:dyDescent="0.3">
      <c r="A393">
        <v>501095</v>
      </c>
      <c r="B393" t="s">
        <v>793</v>
      </c>
      <c r="C393" t="s">
        <v>1157</v>
      </c>
      <c r="D393" t="s">
        <v>794</v>
      </c>
      <c r="E393" s="18">
        <v>6.2</v>
      </c>
      <c r="F393" s="19">
        <f t="shared" si="134"/>
        <v>0.66666666666666663</v>
      </c>
      <c r="G393" s="2">
        <v>40.093999199999999</v>
      </c>
      <c r="H393" s="2">
        <f t="shared" si="135"/>
        <v>8.13561986191432E-2</v>
      </c>
      <c r="I393" s="2">
        <v>12.7</v>
      </c>
      <c r="J393" s="4">
        <f t="shared" si="136"/>
        <v>6.1620572537603106E-2</v>
      </c>
      <c r="K393" s="2">
        <v>0</v>
      </c>
      <c r="L393" s="4">
        <f t="shared" si="137"/>
        <v>0</v>
      </c>
      <c r="M393" s="2">
        <v>3652</v>
      </c>
      <c r="N393" s="2">
        <f t="shared" si="138"/>
        <v>1.6148339507837599E-2</v>
      </c>
      <c r="O393" s="2">
        <v>0.842282313</v>
      </c>
      <c r="P393" s="2">
        <f t="shared" si="139"/>
        <v>0.89554570374496067</v>
      </c>
      <c r="Q393" s="2">
        <v>0.2198</v>
      </c>
      <c r="R393" s="2">
        <f t="shared" si="140"/>
        <v>0.47712796757382747</v>
      </c>
      <c r="S393" s="2">
        <f t="shared" si="141"/>
        <v>2.2897052427321003E-2</v>
      </c>
      <c r="T393" s="5">
        <f t="shared" si="133"/>
        <v>4.6198327412388662E-2</v>
      </c>
      <c r="U393" s="2" t="str">
        <f t="shared" si="142"/>
        <v>No Impact</v>
      </c>
      <c r="V393" s="2">
        <f t="shared" si="143"/>
        <v>1.5917583787533537E-2</v>
      </c>
      <c r="W393" s="2">
        <f t="shared" si="144"/>
        <v>2.8673446251955392E-2</v>
      </c>
      <c r="X393" s="2" t="s">
        <v>1176</v>
      </c>
      <c r="Y393" s="2">
        <f t="shared" si="145"/>
        <v>2.9876521067108457E-2</v>
      </c>
      <c r="Z393" s="2">
        <f t="shared" si="146"/>
        <v>6.339244103739225E-2</v>
      </c>
      <c r="AA393" s="2" t="str">
        <f t="shared" si="147"/>
        <v>No Impact</v>
      </c>
      <c r="AB393" s="2">
        <f t="shared" si="148"/>
        <v>1.4722665703563115E-2</v>
      </c>
      <c r="AC393" s="2">
        <f t="shared" si="149"/>
        <v>4.0923152382409109E-2</v>
      </c>
      <c r="AD393" s="2" t="str">
        <f t="shared" si="150"/>
        <v>No Impact</v>
      </c>
      <c r="AE393" s="2">
        <f t="shared" si="151"/>
        <v>5.3872873655382632E-4</v>
      </c>
      <c r="AF393" s="2">
        <f t="shared" si="152"/>
        <v>2.7753890209267448E-3</v>
      </c>
      <c r="AG393" s="2" t="s">
        <v>1176</v>
      </c>
    </row>
    <row r="394" spans="1:33" x14ac:dyDescent="0.3">
      <c r="A394">
        <v>503813</v>
      </c>
      <c r="B394" t="s">
        <v>795</v>
      </c>
      <c r="C394" t="s">
        <v>796</v>
      </c>
      <c r="D394" t="s">
        <v>797</v>
      </c>
      <c r="E394" s="18">
        <v>4.9000000000000004</v>
      </c>
      <c r="F394" s="19">
        <f t="shared" si="134"/>
        <v>0.37777777777777782</v>
      </c>
      <c r="G394" s="2">
        <v>45.172335599999997</v>
      </c>
      <c r="H394" s="2">
        <f t="shared" si="135"/>
        <v>0.13045568455431369</v>
      </c>
      <c r="I394" s="2">
        <v>11.1</v>
      </c>
      <c r="J394" s="4">
        <f t="shared" si="136"/>
        <v>5.3857350800582245E-2</v>
      </c>
      <c r="K394" s="2">
        <v>0</v>
      </c>
      <c r="L394" s="4">
        <f t="shared" si="137"/>
        <v>0</v>
      </c>
      <c r="M394" s="2">
        <v>9388</v>
      </c>
      <c r="N394" s="2">
        <f t="shared" si="138"/>
        <v>4.328776975013366E-2</v>
      </c>
      <c r="O394" s="2">
        <v>0.78389416199999995</v>
      </c>
      <c r="P394" s="2">
        <f t="shared" si="139"/>
        <v>0.82809628771309673</v>
      </c>
      <c r="Q394" s="2">
        <v>0.24809999999999999</v>
      </c>
      <c r="R394" s="2">
        <f t="shared" si="140"/>
        <v>0.55906195715112916</v>
      </c>
      <c r="S394" s="2">
        <f t="shared" si="141"/>
        <v>1.6902716804883866E-2</v>
      </c>
      <c r="T394" s="5">
        <f t="shared" si="133"/>
        <v>3.4103832691545828E-2</v>
      </c>
      <c r="U394" s="2" t="str">
        <f t="shared" si="142"/>
        <v>No Impact</v>
      </c>
      <c r="V394" s="2">
        <f t="shared" si="143"/>
        <v>1.3624495940669815E-2</v>
      </c>
      <c r="W394" s="2">
        <f t="shared" si="144"/>
        <v>2.4542748276327065E-2</v>
      </c>
      <c r="X394" s="2" t="s">
        <v>1176</v>
      </c>
      <c r="Y394" s="2">
        <f t="shared" si="145"/>
        <v>2.0180937669097919E-2</v>
      </c>
      <c r="Z394" s="2">
        <f t="shared" si="146"/>
        <v>4.2820209836144568E-2</v>
      </c>
      <c r="AA394" s="2" t="str">
        <f t="shared" si="147"/>
        <v>No Impact</v>
      </c>
      <c r="AB394" s="2">
        <f t="shared" si="148"/>
        <v>1.119208214090346E-2</v>
      </c>
      <c r="AC394" s="2">
        <f t="shared" si="149"/>
        <v>3.1109534927345733E-2</v>
      </c>
      <c r="AD394" s="2" t="str">
        <f t="shared" si="150"/>
        <v>No Impact</v>
      </c>
      <c r="AE394" s="2">
        <f t="shared" si="151"/>
        <v>1.0549350312561406E-3</v>
      </c>
      <c r="AF394" s="2">
        <f t="shared" si="152"/>
        <v>5.4347483341400937E-3</v>
      </c>
      <c r="AG394" s="2" t="s">
        <v>1176</v>
      </c>
    </row>
    <row r="395" spans="1:33" x14ac:dyDescent="0.3">
      <c r="A395">
        <v>503847</v>
      </c>
      <c r="B395" t="s">
        <v>798</v>
      </c>
      <c r="C395" t="s">
        <v>796</v>
      </c>
      <c r="D395" t="s">
        <v>799</v>
      </c>
      <c r="E395" s="18">
        <v>4.9000000000000004</v>
      </c>
      <c r="F395" s="19">
        <f t="shared" si="134"/>
        <v>0.37777777777777782</v>
      </c>
      <c r="G395" s="2">
        <v>45.172335599999997</v>
      </c>
      <c r="H395" s="2">
        <f t="shared" si="135"/>
        <v>0.13045568455431369</v>
      </c>
      <c r="I395" s="2">
        <v>3.5</v>
      </c>
      <c r="J395" s="4">
        <f t="shared" si="136"/>
        <v>1.6982047549733141E-2</v>
      </c>
      <c r="K395" s="2">
        <v>0</v>
      </c>
      <c r="L395" s="4">
        <f t="shared" si="137"/>
        <v>0</v>
      </c>
      <c r="M395" s="2">
        <v>39555</v>
      </c>
      <c r="N395" s="2">
        <f t="shared" si="138"/>
        <v>0.18602054382951744</v>
      </c>
      <c r="O395" s="2">
        <v>0.88421506900000002</v>
      </c>
      <c r="P395" s="2">
        <f t="shared" si="139"/>
        <v>0.94398600980648761</v>
      </c>
      <c r="Q395" s="2">
        <v>0.26300000000000001</v>
      </c>
      <c r="R395" s="2">
        <f t="shared" si="140"/>
        <v>0.60220034742327744</v>
      </c>
      <c r="S395" s="2">
        <f t="shared" si="141"/>
        <v>1.5071099433611516E-2</v>
      </c>
      <c r="T395" s="5">
        <f t="shared" si="133"/>
        <v>3.0408262736380247E-2</v>
      </c>
      <c r="U395" s="2" t="str">
        <f t="shared" si="142"/>
        <v>No Impact</v>
      </c>
      <c r="V395" s="2">
        <f t="shared" si="143"/>
        <v>1.1739621517851663E-2</v>
      </c>
      <c r="W395" s="2">
        <f t="shared" si="144"/>
        <v>2.1147393417464012E-2</v>
      </c>
      <c r="X395" s="2" t="s">
        <v>1176</v>
      </c>
      <c r="Y395" s="2">
        <f t="shared" si="145"/>
        <v>1.8402577349371365E-2</v>
      </c>
      <c r="Z395" s="2">
        <f t="shared" si="146"/>
        <v>3.9046858800450696E-2</v>
      </c>
      <c r="AA395" s="2" t="str">
        <f t="shared" si="147"/>
        <v>No Impact</v>
      </c>
      <c r="AB395" s="2">
        <f t="shared" si="148"/>
        <v>1.0898875760510542E-2</v>
      </c>
      <c r="AC395" s="2">
        <f t="shared" si="149"/>
        <v>3.0294537859157866E-2</v>
      </c>
      <c r="AD395" s="2" t="str">
        <f t="shared" si="150"/>
        <v>No Impact</v>
      </c>
      <c r="AE395" s="2">
        <f t="shared" si="151"/>
        <v>3.62638578414586E-3</v>
      </c>
      <c r="AF395" s="2">
        <f t="shared" si="152"/>
        <v>1.8682187542742396E-2</v>
      </c>
      <c r="AG395" s="2" t="s">
        <v>1176</v>
      </c>
    </row>
    <row r="396" spans="1:33" x14ac:dyDescent="0.3">
      <c r="A396">
        <v>503858</v>
      </c>
      <c r="B396" t="s">
        <v>800</v>
      </c>
      <c r="C396" t="s">
        <v>796</v>
      </c>
      <c r="D396" t="s">
        <v>801</v>
      </c>
      <c r="E396" s="18">
        <v>4.8</v>
      </c>
      <c r="F396" s="19">
        <f t="shared" si="134"/>
        <v>0.35555555555555546</v>
      </c>
      <c r="G396" s="2">
        <v>42.25788</v>
      </c>
      <c r="H396" s="2">
        <f t="shared" si="135"/>
        <v>0.10227750562530877</v>
      </c>
      <c r="I396" s="2">
        <v>3.6</v>
      </c>
      <c r="J396" s="4">
        <f t="shared" si="136"/>
        <v>1.7467248908296946E-2</v>
      </c>
      <c r="K396" s="2">
        <v>0</v>
      </c>
      <c r="L396" s="4">
        <f t="shared" si="137"/>
        <v>0</v>
      </c>
      <c r="M396" s="2">
        <v>15941</v>
      </c>
      <c r="N396" s="2">
        <f t="shared" si="138"/>
        <v>7.4292770862017576E-2</v>
      </c>
      <c r="O396" s="2">
        <v>0.85942818399999998</v>
      </c>
      <c r="P396" s="2">
        <f t="shared" si="139"/>
        <v>0.91535244477890232</v>
      </c>
      <c r="Q396" s="2">
        <v>0.29299999999999998</v>
      </c>
      <c r="R396" s="2">
        <f t="shared" si="140"/>
        <v>0.68905616676317316</v>
      </c>
      <c r="S396" s="2">
        <f t="shared" si="141"/>
        <v>1.1954103177999668E-2</v>
      </c>
      <c r="T396" s="5">
        <f t="shared" si="133"/>
        <v>2.4119243046312046E-2</v>
      </c>
      <c r="U396" s="2" t="str">
        <f t="shared" si="142"/>
        <v>No Impact</v>
      </c>
      <c r="V396" s="2">
        <f t="shared" si="143"/>
        <v>1.026801832608825E-2</v>
      </c>
      <c r="W396" s="2">
        <f t="shared" si="144"/>
        <v>1.8496492653474847E-2</v>
      </c>
      <c r="X396" s="2" t="s">
        <v>1176</v>
      </c>
      <c r="Y396" s="2">
        <f t="shared" si="145"/>
        <v>1.3640188029911085E-2</v>
      </c>
      <c r="Z396" s="2">
        <f t="shared" si="146"/>
        <v>2.8941951222594905E-2</v>
      </c>
      <c r="AA396" s="2" t="str">
        <f t="shared" si="147"/>
        <v>No Impact</v>
      </c>
      <c r="AB396" s="2">
        <f t="shared" si="148"/>
        <v>8.0733404328057149E-3</v>
      </c>
      <c r="AC396" s="2">
        <f t="shared" si="149"/>
        <v>2.2440673952599105E-2</v>
      </c>
      <c r="AD396" s="2" t="str">
        <f t="shared" si="150"/>
        <v>No Impact</v>
      </c>
      <c r="AE396" s="2">
        <f t="shared" si="151"/>
        <v>1.1070788848614392E-3</v>
      </c>
      <c r="AF396" s="2">
        <f t="shared" si="152"/>
        <v>5.7033797788458426E-3</v>
      </c>
      <c r="AG396" s="2" t="s">
        <v>1176</v>
      </c>
    </row>
    <row r="397" spans="1:33" x14ac:dyDescent="0.3">
      <c r="A397">
        <v>503861</v>
      </c>
      <c r="B397" t="s">
        <v>802</v>
      </c>
      <c r="C397" t="s">
        <v>796</v>
      </c>
      <c r="D397" t="s">
        <v>803</v>
      </c>
      <c r="E397" s="18">
        <v>4.9000000000000004</v>
      </c>
      <c r="F397" s="19">
        <f t="shared" si="134"/>
        <v>0.37777777777777782</v>
      </c>
      <c r="G397" s="2">
        <v>45.172335599999997</v>
      </c>
      <c r="H397" s="2">
        <f t="shared" si="135"/>
        <v>0.13045568455431369</v>
      </c>
      <c r="I397" s="2">
        <v>3.2</v>
      </c>
      <c r="J397" s="4">
        <f t="shared" si="136"/>
        <v>1.5526443474041729E-2</v>
      </c>
      <c r="K397" s="2">
        <v>0</v>
      </c>
      <c r="L397" s="4">
        <f t="shared" si="137"/>
        <v>0</v>
      </c>
      <c r="M397" s="2">
        <v>16611</v>
      </c>
      <c r="N397" s="2">
        <f t="shared" si="138"/>
        <v>7.746282286033318E-2</v>
      </c>
      <c r="O397" s="2">
        <v>0.90196335400000005</v>
      </c>
      <c r="P397" s="2">
        <f t="shared" si="139"/>
        <v>0.9644886535503715</v>
      </c>
      <c r="Q397" s="2">
        <v>0.26229999999999998</v>
      </c>
      <c r="R397" s="2">
        <f t="shared" si="140"/>
        <v>0.60017371163867972</v>
      </c>
      <c r="S397" s="2">
        <f t="shared" si="141"/>
        <v>1.5100620146791735E-2</v>
      </c>
      <c r="T397" s="5">
        <f t="shared" si="133"/>
        <v>3.0467825318825126E-2</v>
      </c>
      <c r="U397" s="2" t="str">
        <f t="shared" si="142"/>
        <v>No Impact</v>
      </c>
      <c r="V397" s="2">
        <f t="shared" si="143"/>
        <v>1.1584601819768035E-2</v>
      </c>
      <c r="W397" s="2">
        <f t="shared" si="144"/>
        <v>2.0868145697437779E-2</v>
      </c>
      <c r="X397" s="2" t="s">
        <v>1176</v>
      </c>
      <c r="Y397" s="2">
        <f t="shared" si="145"/>
        <v>1.8616638473815436E-2</v>
      </c>
      <c r="Z397" s="2">
        <f t="shared" si="146"/>
        <v>3.950105683707076E-2</v>
      </c>
      <c r="AA397" s="2" t="str">
        <f t="shared" si="147"/>
        <v>No Impact</v>
      </c>
      <c r="AB397" s="2">
        <f t="shared" si="148"/>
        <v>1.0162919977634981E-2</v>
      </c>
      <c r="AC397" s="2">
        <f t="shared" si="149"/>
        <v>2.8248873625808954E-2</v>
      </c>
      <c r="AD397" s="2" t="str">
        <f t="shared" si="150"/>
        <v>No Impact</v>
      </c>
      <c r="AE397" s="2">
        <f t="shared" si="151"/>
        <v>1.4951937102044024E-3</v>
      </c>
      <c r="AF397" s="2">
        <f t="shared" si="152"/>
        <v>7.7028454691416065E-3</v>
      </c>
      <c r="AG397" s="2" t="s">
        <v>1176</v>
      </c>
    </row>
    <row r="398" spans="1:33" x14ac:dyDescent="0.3">
      <c r="A398">
        <v>503874</v>
      </c>
      <c r="B398" t="s">
        <v>804</v>
      </c>
      <c r="C398" t="s">
        <v>796</v>
      </c>
      <c r="D398" t="s">
        <v>805</v>
      </c>
      <c r="E398" s="18">
        <v>4.9000000000000004</v>
      </c>
      <c r="F398" s="19">
        <f t="shared" si="134"/>
        <v>0.37777777777777782</v>
      </c>
      <c r="G398" s="2">
        <v>42.242047200000002</v>
      </c>
      <c r="H398" s="2">
        <f t="shared" si="135"/>
        <v>0.10212442747536299</v>
      </c>
      <c r="I398" s="2">
        <v>3.9</v>
      </c>
      <c r="J398" s="4">
        <f t="shared" si="136"/>
        <v>1.8922852983988356E-2</v>
      </c>
      <c r="K398" s="2">
        <v>0</v>
      </c>
      <c r="L398" s="4">
        <f t="shared" si="137"/>
        <v>0</v>
      </c>
      <c r="M398" s="2">
        <v>30322</v>
      </c>
      <c r="N398" s="2">
        <f t="shared" si="138"/>
        <v>0.14233533472437107</v>
      </c>
      <c r="O398" s="2">
        <v>0.89419333700000003</v>
      </c>
      <c r="P398" s="2">
        <f t="shared" si="139"/>
        <v>0.95551280656375148</v>
      </c>
      <c r="Q398" s="2">
        <v>0.27539999999999998</v>
      </c>
      <c r="R398" s="2">
        <f t="shared" si="140"/>
        <v>0.63810075275043421</v>
      </c>
      <c r="S398" s="2">
        <f t="shared" si="141"/>
        <v>1.2753004393065219E-2</v>
      </c>
      <c r="T398" s="5">
        <f t="shared" si="133"/>
        <v>2.573114920850935E-2</v>
      </c>
      <c r="U398" s="2" t="str">
        <f t="shared" si="142"/>
        <v>No Impact</v>
      </c>
      <c r="V398" s="2">
        <f t="shared" si="143"/>
        <v>1.021289214751233E-2</v>
      </c>
      <c r="W398" s="2">
        <f t="shared" si="144"/>
        <v>1.8397190049538797E-2</v>
      </c>
      <c r="X398" s="2" t="s">
        <v>1176</v>
      </c>
      <c r="Y398" s="2">
        <f t="shared" si="145"/>
        <v>1.529311663861811E-2</v>
      </c>
      <c r="Z398" s="2">
        <f t="shared" si="146"/>
        <v>3.2449159412300643E-2</v>
      </c>
      <c r="AA398" s="2" t="str">
        <f t="shared" si="147"/>
        <v>No Impact</v>
      </c>
      <c r="AB398" s="2">
        <f t="shared" si="148"/>
        <v>8.9597811996769677E-3</v>
      </c>
      <c r="AC398" s="2">
        <f t="shared" si="149"/>
        <v>2.4904626562205157E-2</v>
      </c>
      <c r="AD398" s="2" t="str">
        <f t="shared" si="150"/>
        <v>No Impact</v>
      </c>
      <c r="AE398" s="2">
        <f t="shared" si="151"/>
        <v>2.2780970184634831E-3</v>
      </c>
      <c r="AF398" s="2">
        <f t="shared" si="152"/>
        <v>1.1736157781547614E-2</v>
      </c>
      <c r="AG398" s="2" t="s">
        <v>1176</v>
      </c>
    </row>
    <row r="399" spans="1:33" x14ac:dyDescent="0.3">
      <c r="A399">
        <v>506403</v>
      </c>
      <c r="B399" t="s">
        <v>806</v>
      </c>
      <c r="C399" t="s">
        <v>807</v>
      </c>
      <c r="D399" t="s">
        <v>808</v>
      </c>
      <c r="E399" s="18">
        <v>6.3</v>
      </c>
      <c r="F399" s="19">
        <f t="shared" si="134"/>
        <v>0.68888888888888877</v>
      </c>
      <c r="G399" s="2">
        <v>45.393818400000001</v>
      </c>
      <c r="H399" s="2">
        <f t="shared" si="135"/>
        <v>0.13259707314438079</v>
      </c>
      <c r="I399" s="2">
        <v>17.8</v>
      </c>
      <c r="J399" s="4">
        <f t="shared" si="136"/>
        <v>8.6365841824357109E-2</v>
      </c>
      <c r="K399" s="2">
        <v>0</v>
      </c>
      <c r="L399" s="4">
        <f t="shared" si="137"/>
        <v>0</v>
      </c>
      <c r="M399" s="2">
        <v>16370</v>
      </c>
      <c r="N399" s="2">
        <f t="shared" si="138"/>
        <v>7.6322550425118166E-2</v>
      </c>
      <c r="O399" s="2">
        <v>0.82563470800000005</v>
      </c>
      <c r="P399" s="2">
        <f t="shared" si="139"/>
        <v>0.87631455467878905</v>
      </c>
      <c r="Q399" s="2">
        <v>0.19339999999999999</v>
      </c>
      <c r="R399" s="2">
        <f t="shared" si="140"/>
        <v>0.40069484655471915</v>
      </c>
      <c r="S399" s="2">
        <f t="shared" si="141"/>
        <v>3.3709467279575564E-2</v>
      </c>
      <c r="T399" s="5">
        <f t="shared" si="133"/>
        <v>6.8014038541520855E-2</v>
      </c>
      <c r="U399" s="2" t="str">
        <f t="shared" si="142"/>
        <v>No Impact</v>
      </c>
      <c r="V399" s="2">
        <f t="shared" si="143"/>
        <v>2.1154440689291353E-2</v>
      </c>
      <c r="W399" s="2">
        <f t="shared" si="144"/>
        <v>3.8106959334470898E-2</v>
      </c>
      <c r="X399" s="2" t="s">
        <v>1176</v>
      </c>
      <c r="Y399" s="2">
        <f t="shared" si="145"/>
        <v>4.6264493869859771E-2</v>
      </c>
      <c r="Z399" s="2">
        <f t="shared" si="146"/>
        <v>9.8164682333066841E-2</v>
      </c>
      <c r="AA399" s="2" t="str">
        <f t="shared" si="147"/>
        <v>No Impact</v>
      </c>
      <c r="AB399" s="2">
        <f t="shared" si="148"/>
        <v>2.2693693320690919E-2</v>
      </c>
      <c r="AC399" s="2">
        <f t="shared" si="149"/>
        <v>6.3079437418560341E-2</v>
      </c>
      <c r="AD399" s="2" t="str">
        <f t="shared" si="150"/>
        <v>No Impact</v>
      </c>
      <c r="AE399" s="2">
        <f t="shared" si="151"/>
        <v>4.0294026242314682E-3</v>
      </c>
      <c r="AF399" s="2">
        <f t="shared" si="152"/>
        <v>2.0758424500839825E-2</v>
      </c>
      <c r="AG399" s="2" t="s">
        <v>1176</v>
      </c>
    </row>
    <row r="400" spans="1:33" x14ac:dyDescent="0.3">
      <c r="A400">
        <v>506406</v>
      </c>
      <c r="B400" t="s">
        <v>809</v>
      </c>
      <c r="C400" t="s">
        <v>807</v>
      </c>
      <c r="D400" t="s">
        <v>810</v>
      </c>
      <c r="E400" s="18">
        <v>6.3</v>
      </c>
      <c r="F400" s="19">
        <f t="shared" si="134"/>
        <v>0.68888888888888877</v>
      </c>
      <c r="G400" s="2">
        <v>45.172335599999997</v>
      </c>
      <c r="H400" s="2">
        <f t="shared" si="135"/>
        <v>0.13045568455431369</v>
      </c>
      <c r="I400" s="2">
        <v>2.7</v>
      </c>
      <c r="J400" s="4">
        <f t="shared" si="136"/>
        <v>1.3100436681222708E-2</v>
      </c>
      <c r="K400" s="2">
        <v>0</v>
      </c>
      <c r="L400" s="4">
        <f t="shared" si="137"/>
        <v>0</v>
      </c>
      <c r="M400" s="2">
        <v>16682</v>
      </c>
      <c r="N400" s="2">
        <f t="shared" si="138"/>
        <v>7.7798753743736779E-2</v>
      </c>
      <c r="O400" s="2">
        <v>0.753647548</v>
      </c>
      <c r="P400" s="2">
        <f t="shared" si="139"/>
        <v>0.79315569760533322</v>
      </c>
      <c r="Q400" s="2">
        <v>0.2442</v>
      </c>
      <c r="R400" s="2">
        <f t="shared" si="140"/>
        <v>0.54777070063694266</v>
      </c>
      <c r="S400" s="2">
        <f t="shared" si="141"/>
        <v>2.3206726551609911E-2</v>
      </c>
      <c r="T400" s="5">
        <f t="shared" si="133"/>
        <v>4.6823142620828907E-2</v>
      </c>
      <c r="U400" s="2" t="str">
        <f t="shared" si="142"/>
        <v>No Impact</v>
      </c>
      <c r="V400" s="2">
        <f t="shared" si="143"/>
        <v>1.8959974058723138E-2</v>
      </c>
      <c r="W400" s="2">
        <f t="shared" si="144"/>
        <v>3.4153914587027018E-2</v>
      </c>
      <c r="X400" s="2" t="s">
        <v>1176</v>
      </c>
      <c r="Y400" s="2">
        <f t="shared" si="145"/>
        <v>2.7453479044496687E-2</v>
      </c>
      <c r="Z400" s="2">
        <f t="shared" si="146"/>
        <v>5.825119489951297E-2</v>
      </c>
      <c r="AA400" s="2" t="str">
        <f t="shared" si="147"/>
        <v>No Impact</v>
      </c>
      <c r="AB400" s="2">
        <f t="shared" si="148"/>
        <v>1.5814530869778663E-2</v>
      </c>
      <c r="AC400" s="2">
        <f t="shared" si="149"/>
        <v>4.3958103082082298E-2</v>
      </c>
      <c r="AD400" s="2" t="str">
        <f t="shared" si="150"/>
        <v>No Impact</v>
      </c>
      <c r="AE400" s="2">
        <f t="shared" si="151"/>
        <v>2.6928463882187389E-3</v>
      </c>
      <c r="AF400" s="2">
        <f t="shared" si="152"/>
        <v>1.3872837652419907E-2</v>
      </c>
      <c r="AG400" s="2" t="s">
        <v>1176</v>
      </c>
    </row>
    <row r="401" spans="1:33" x14ac:dyDescent="0.3">
      <c r="A401">
        <v>506428</v>
      </c>
      <c r="B401" t="s">
        <v>811</v>
      </c>
      <c r="C401" t="s">
        <v>807</v>
      </c>
      <c r="D401" t="s">
        <v>812</v>
      </c>
      <c r="E401" s="18">
        <v>6.3</v>
      </c>
      <c r="F401" s="19">
        <f t="shared" si="134"/>
        <v>0.68888888888888877</v>
      </c>
      <c r="G401" s="2">
        <v>45.172335599999997</v>
      </c>
      <c r="H401" s="2">
        <f t="shared" si="135"/>
        <v>0.13045568455431369</v>
      </c>
      <c r="I401" s="2">
        <v>3</v>
      </c>
      <c r="J401" s="4">
        <f t="shared" si="136"/>
        <v>1.4556040756914119E-2</v>
      </c>
      <c r="K401" s="2">
        <v>0</v>
      </c>
      <c r="L401" s="4">
        <f t="shared" si="137"/>
        <v>0</v>
      </c>
      <c r="M401" s="2">
        <v>18479</v>
      </c>
      <c r="N401" s="2">
        <f t="shared" si="138"/>
        <v>8.6301117088472837E-2</v>
      </c>
      <c r="O401" s="2">
        <v>0.77411432899999999</v>
      </c>
      <c r="P401" s="2">
        <f t="shared" si="139"/>
        <v>0.81679872111025709</v>
      </c>
      <c r="Q401" s="2">
        <v>0.25869999999999999</v>
      </c>
      <c r="R401" s="2">
        <f t="shared" si="140"/>
        <v>0.58975101331789226</v>
      </c>
      <c r="S401" s="2">
        <f t="shared" si="141"/>
        <v>2.4589259004682288E-2</v>
      </c>
      <c r="T401" s="5">
        <f t="shared" si="133"/>
        <v>4.9612614633788937E-2</v>
      </c>
      <c r="U401" s="2" t="str">
        <f t="shared" si="142"/>
        <v>No Impact</v>
      </c>
      <c r="V401" s="2">
        <f t="shared" si="143"/>
        <v>2.0620017991249021E-2</v>
      </c>
      <c r="W401" s="2">
        <f t="shared" si="144"/>
        <v>3.714426671022078E-2</v>
      </c>
      <c r="X401" s="2" t="s">
        <v>1176</v>
      </c>
      <c r="Y401" s="2">
        <f t="shared" si="145"/>
        <v>2.8558500018115555E-2</v>
      </c>
      <c r="Z401" s="2">
        <f t="shared" si="146"/>
        <v>6.0595844624889962E-2</v>
      </c>
      <c r="AA401" s="2" t="str">
        <f t="shared" si="147"/>
        <v>No Impact</v>
      </c>
      <c r="AB401" s="2">
        <f t="shared" si="148"/>
        <v>1.6840655726357876E-2</v>
      </c>
      <c r="AC401" s="2">
        <f t="shared" si="149"/>
        <v>4.6810321879592998E-2</v>
      </c>
      <c r="AD401" s="2" t="str">
        <f t="shared" si="150"/>
        <v>No Impact</v>
      </c>
      <c r="AE401" s="2">
        <f t="shared" si="151"/>
        <v>3.0174269256744478E-3</v>
      </c>
      <c r="AF401" s="2">
        <f t="shared" si="152"/>
        <v>1.554499137086383E-2</v>
      </c>
      <c r="AG401" s="2" t="s">
        <v>1176</v>
      </c>
    </row>
    <row r="402" spans="1:33" x14ac:dyDescent="0.3">
      <c r="A402">
        <v>506447</v>
      </c>
      <c r="B402" t="s">
        <v>813</v>
      </c>
      <c r="C402" t="s">
        <v>807</v>
      </c>
      <c r="D402" t="s">
        <v>814</v>
      </c>
      <c r="E402" s="18">
        <v>6.3</v>
      </c>
      <c r="F402" s="19">
        <f t="shared" si="134"/>
        <v>0.68888888888888877</v>
      </c>
      <c r="G402" s="2">
        <v>52.562178000000003</v>
      </c>
      <c r="H402" s="2">
        <f t="shared" si="135"/>
        <v>0.20190377983644728</v>
      </c>
      <c r="I402" s="2">
        <v>11.4</v>
      </c>
      <c r="J402" s="4">
        <f t="shared" si="136"/>
        <v>5.5312954876273655E-2</v>
      </c>
      <c r="K402" s="2">
        <v>0</v>
      </c>
      <c r="L402" s="4">
        <f t="shared" si="137"/>
        <v>0</v>
      </c>
      <c r="M402" s="2">
        <v>23845</v>
      </c>
      <c r="N402" s="2">
        <f t="shared" si="138"/>
        <v>0.1116899216003558</v>
      </c>
      <c r="O402" s="2">
        <v>0.81261634500000002</v>
      </c>
      <c r="P402" s="2">
        <f t="shared" si="139"/>
        <v>0.86127587016828233</v>
      </c>
      <c r="Q402" s="2">
        <v>0.23480000000000001</v>
      </c>
      <c r="R402" s="2">
        <f t="shared" si="140"/>
        <v>0.52055587724377539</v>
      </c>
      <c r="S402" s="2">
        <f t="shared" si="141"/>
        <v>4.2849091248999722E-2</v>
      </c>
      <c r="T402" s="5">
        <f t="shared" si="133"/>
        <v>8.6454636601284968E-2</v>
      </c>
      <c r="U402" s="2" t="str">
        <f t="shared" si="142"/>
        <v>No Impact</v>
      </c>
      <c r="V402" s="2">
        <f t="shared" si="143"/>
        <v>3.2283736896327436E-2</v>
      </c>
      <c r="W402" s="2">
        <f t="shared" si="144"/>
        <v>5.8154931493691914E-2</v>
      </c>
      <c r="X402" s="2" t="s">
        <v>1176</v>
      </c>
      <c r="Y402" s="2">
        <f t="shared" si="145"/>
        <v>5.3414445601672016E-2</v>
      </c>
      <c r="Z402" s="2">
        <f t="shared" si="146"/>
        <v>0.11333555489085274</v>
      </c>
      <c r="AA402" s="2" t="str">
        <f t="shared" si="147"/>
        <v>No Impact</v>
      </c>
      <c r="AB402" s="2">
        <f t="shared" si="148"/>
        <v>2.9748009217732754E-2</v>
      </c>
      <c r="AC402" s="2">
        <f t="shared" si="149"/>
        <v>8.2687628640237529E-2</v>
      </c>
      <c r="AD402" s="2" t="str">
        <f t="shared" si="150"/>
        <v>No Impact</v>
      </c>
      <c r="AE402" s="2">
        <f t="shared" si="151"/>
        <v>6.9267646386187093E-3</v>
      </c>
      <c r="AF402" s="2">
        <f t="shared" si="152"/>
        <v>3.5684872968801046E-2</v>
      </c>
      <c r="AG402" s="2" t="s">
        <v>1175</v>
      </c>
    </row>
    <row r="403" spans="1:33" x14ac:dyDescent="0.3">
      <c r="A403">
        <v>506450</v>
      </c>
      <c r="B403" t="s">
        <v>815</v>
      </c>
      <c r="C403" t="s">
        <v>807</v>
      </c>
      <c r="D403" t="s">
        <v>816</v>
      </c>
      <c r="E403" s="18">
        <v>6.3</v>
      </c>
      <c r="F403" s="19">
        <f t="shared" si="134"/>
        <v>0.68888888888888877</v>
      </c>
      <c r="G403" s="2">
        <v>45.393818400000001</v>
      </c>
      <c r="H403" s="2">
        <f t="shared" si="135"/>
        <v>0.13259707314438079</v>
      </c>
      <c r="I403" s="2">
        <v>10.1</v>
      </c>
      <c r="J403" s="4">
        <f t="shared" si="136"/>
        <v>4.9005337214944204E-2</v>
      </c>
      <c r="K403" s="2">
        <v>0</v>
      </c>
      <c r="L403" s="4">
        <f t="shared" si="137"/>
        <v>0</v>
      </c>
      <c r="M403" s="2">
        <v>24941</v>
      </c>
      <c r="N403" s="2">
        <f t="shared" si="138"/>
        <v>0.11687555889909299</v>
      </c>
      <c r="O403" s="2">
        <v>0.84988257899999997</v>
      </c>
      <c r="P403" s="2">
        <f t="shared" si="139"/>
        <v>0.90432545605098658</v>
      </c>
      <c r="Q403" s="2">
        <v>0.2298</v>
      </c>
      <c r="R403" s="2">
        <f t="shared" si="140"/>
        <v>0.50607990735379271</v>
      </c>
      <c r="S403" s="2">
        <f t="shared" si="141"/>
        <v>3.0878257748017772E-2</v>
      </c>
      <c r="T403" s="5">
        <f t="shared" si="133"/>
        <v>6.230163755335201E-2</v>
      </c>
      <c r="U403" s="2" t="str">
        <f t="shared" si="142"/>
        <v>No Impact</v>
      </c>
      <c r="V403" s="2">
        <f t="shared" si="143"/>
        <v>2.2159396476824845E-2</v>
      </c>
      <c r="W403" s="2">
        <f t="shared" si="144"/>
        <v>3.9917255805597442E-2</v>
      </c>
      <c r="X403" s="2" t="s">
        <v>1176</v>
      </c>
      <c r="Y403" s="2">
        <f t="shared" si="145"/>
        <v>3.9597119019210696E-2</v>
      </c>
      <c r="Z403" s="2">
        <f t="shared" si="146"/>
        <v>8.4017748486767116E-2</v>
      </c>
      <c r="AA403" s="2" t="str">
        <f t="shared" si="147"/>
        <v>No Impact</v>
      </c>
      <c r="AB403" s="2">
        <f t="shared" si="148"/>
        <v>2.1426068783385682E-2</v>
      </c>
      <c r="AC403" s="2">
        <f t="shared" si="149"/>
        <v>5.9555945603401599E-2</v>
      </c>
      <c r="AD403" s="2" t="str">
        <f t="shared" si="150"/>
        <v>No Impact</v>
      </c>
      <c r="AE403" s="2">
        <f t="shared" si="151"/>
        <v>5.1175551735250817E-3</v>
      </c>
      <c r="AF403" s="2">
        <f t="shared" si="152"/>
        <v>2.6364300767477773E-2</v>
      </c>
      <c r="AG403" s="2" t="s">
        <v>1176</v>
      </c>
    </row>
    <row r="404" spans="1:33" x14ac:dyDescent="0.3">
      <c r="A404">
        <v>506460</v>
      </c>
      <c r="B404" t="s">
        <v>817</v>
      </c>
      <c r="C404" t="s">
        <v>807</v>
      </c>
      <c r="D404" t="s">
        <v>818</v>
      </c>
      <c r="E404" s="18">
        <v>6.3</v>
      </c>
      <c r="F404" s="19">
        <f t="shared" si="134"/>
        <v>0.68888888888888877</v>
      </c>
      <c r="G404" s="2">
        <v>45.393818400000001</v>
      </c>
      <c r="H404" s="2">
        <f t="shared" si="135"/>
        <v>0.13259707314438079</v>
      </c>
      <c r="I404" s="2">
        <v>10.1</v>
      </c>
      <c r="J404" s="4">
        <f t="shared" si="136"/>
        <v>4.9005337214944204E-2</v>
      </c>
      <c r="K404" s="2">
        <v>0</v>
      </c>
      <c r="L404" s="4">
        <f t="shared" si="137"/>
        <v>0</v>
      </c>
      <c r="M404" s="2">
        <v>27111</v>
      </c>
      <c r="N404" s="2">
        <f t="shared" si="138"/>
        <v>0.12714274223692118</v>
      </c>
      <c r="O404" s="2">
        <v>0.81779459700000001</v>
      </c>
      <c r="P404" s="2">
        <f t="shared" si="139"/>
        <v>0.86725773579485166</v>
      </c>
      <c r="Q404" s="2">
        <v>0.22020000000000001</v>
      </c>
      <c r="R404" s="2">
        <f t="shared" si="140"/>
        <v>0.4782860451650261</v>
      </c>
      <c r="S404" s="2">
        <f t="shared" si="141"/>
        <v>2.9458231482772226E-2</v>
      </c>
      <c r="T404" s="5">
        <f t="shared" si="133"/>
        <v>5.9436516003570035E-2</v>
      </c>
      <c r="U404" s="2" t="str">
        <f t="shared" si="142"/>
        <v>No Impact</v>
      </c>
      <c r="V404" s="2">
        <f t="shared" si="143"/>
        <v>2.0942404450637671E-2</v>
      </c>
      <c r="W404" s="2">
        <f t="shared" si="144"/>
        <v>3.7725003770507429E-2</v>
      </c>
      <c r="X404" s="2" t="s">
        <v>1176</v>
      </c>
      <c r="Y404" s="2">
        <f t="shared" si="145"/>
        <v>3.7974058514906789E-2</v>
      </c>
      <c r="Z404" s="2">
        <f t="shared" si="146"/>
        <v>8.0573914879497541E-2</v>
      </c>
      <c r="AA404" s="2" t="str">
        <f t="shared" si="147"/>
        <v>No Impact</v>
      </c>
      <c r="AB404" s="2">
        <f t="shared" si="148"/>
        <v>2.0670550324163404E-2</v>
      </c>
      <c r="AC404" s="2">
        <f t="shared" si="149"/>
        <v>5.7455904913963574E-2</v>
      </c>
      <c r="AD404" s="2" t="str">
        <f t="shared" si="150"/>
        <v>No Impact</v>
      </c>
      <c r="AE404" s="2">
        <f t="shared" si="151"/>
        <v>5.5671177484805275E-3</v>
      </c>
      <c r="AF404" s="2">
        <f t="shared" si="152"/>
        <v>2.8680329132202361E-2</v>
      </c>
      <c r="AG404" s="2" t="s">
        <v>1176</v>
      </c>
    </row>
    <row r="405" spans="1:33" x14ac:dyDescent="0.3">
      <c r="A405">
        <v>506469</v>
      </c>
      <c r="B405" t="s">
        <v>819</v>
      </c>
      <c r="C405" t="s">
        <v>807</v>
      </c>
      <c r="D405" t="s">
        <v>820</v>
      </c>
      <c r="E405" s="18">
        <v>6.3</v>
      </c>
      <c r="F405" s="19">
        <f t="shared" si="134"/>
        <v>0.68888888888888877</v>
      </c>
      <c r="G405" s="2">
        <v>52.562178000000003</v>
      </c>
      <c r="H405" s="2">
        <f t="shared" si="135"/>
        <v>0.20190377983644728</v>
      </c>
      <c r="I405" s="2">
        <v>7</v>
      </c>
      <c r="J405" s="4">
        <f t="shared" si="136"/>
        <v>3.3964095099466282E-2</v>
      </c>
      <c r="K405" s="2">
        <v>0</v>
      </c>
      <c r="L405" s="4">
        <f t="shared" si="137"/>
        <v>0</v>
      </c>
      <c r="M405" s="2">
        <v>14414</v>
      </c>
      <c r="N405" s="2">
        <f t="shared" si="138"/>
        <v>6.7067891158393775E-2</v>
      </c>
      <c r="O405" s="2">
        <v>0.820304547</v>
      </c>
      <c r="P405" s="2">
        <f t="shared" si="139"/>
        <v>0.87015720527401308</v>
      </c>
      <c r="Q405" s="2">
        <v>0.22009999999999999</v>
      </c>
      <c r="R405" s="2">
        <f t="shared" si="140"/>
        <v>0.4779965257672264</v>
      </c>
      <c r="S405" s="2">
        <f t="shared" si="141"/>
        <v>3.8334997650663109E-2</v>
      </c>
      <c r="T405" s="5">
        <f t="shared" si="133"/>
        <v>7.7346757991665932E-2</v>
      </c>
      <c r="U405" s="2" t="str">
        <f t="shared" si="142"/>
        <v>No Impact</v>
      </c>
      <c r="V405" s="2">
        <f t="shared" si="143"/>
        <v>2.7183837080893305E-2</v>
      </c>
      <c r="W405" s="2">
        <f t="shared" si="144"/>
        <v>4.8968128697482682E-2</v>
      </c>
      <c r="X405" s="2" t="s">
        <v>1176</v>
      </c>
      <c r="Y405" s="2">
        <f t="shared" si="145"/>
        <v>4.9486158220432917E-2</v>
      </c>
      <c r="Z405" s="2">
        <f t="shared" si="146"/>
        <v>0.10500045705152346</v>
      </c>
      <c r="AA405" s="2" t="str">
        <f t="shared" si="147"/>
        <v>No Impact</v>
      </c>
      <c r="AB405" s="2">
        <f t="shared" si="148"/>
        <v>2.5695151861345893E-2</v>
      </c>
      <c r="AC405" s="2">
        <f t="shared" si="149"/>
        <v>7.1422297855782677E-2</v>
      </c>
      <c r="AD405" s="2" t="str">
        <f t="shared" si="150"/>
        <v>No Impact</v>
      </c>
      <c r="AE405" s="2">
        <f t="shared" si="151"/>
        <v>3.8141754768667509E-3</v>
      </c>
      <c r="AF405" s="2">
        <f t="shared" si="152"/>
        <v>1.9649630740138445E-2</v>
      </c>
      <c r="AG405" s="2" t="s">
        <v>1176</v>
      </c>
    </row>
    <row r="406" spans="1:33" x14ac:dyDescent="0.3">
      <c r="A406">
        <v>506475</v>
      </c>
      <c r="B406" t="s">
        <v>821</v>
      </c>
      <c r="C406" t="s">
        <v>807</v>
      </c>
      <c r="D406" t="s">
        <v>822</v>
      </c>
      <c r="E406" s="18">
        <v>6.3</v>
      </c>
      <c r="F406" s="19">
        <f t="shared" si="134"/>
        <v>0.68888888888888877</v>
      </c>
      <c r="G406" s="2">
        <v>45.172335599999997</v>
      </c>
      <c r="H406" s="2">
        <f t="shared" si="135"/>
        <v>0.13045568455431369</v>
      </c>
      <c r="I406" s="2">
        <v>2.2999999999999998</v>
      </c>
      <c r="J406" s="4">
        <f t="shared" si="136"/>
        <v>1.1159631246967491E-2</v>
      </c>
      <c r="K406" s="2">
        <v>0</v>
      </c>
      <c r="L406" s="4">
        <f t="shared" si="137"/>
        <v>0</v>
      </c>
      <c r="M406" s="2">
        <v>24149</v>
      </c>
      <c r="N406" s="2">
        <f t="shared" si="138"/>
        <v>0.11312827355183035</v>
      </c>
      <c r="O406" s="2">
        <v>0.82400132800000003</v>
      </c>
      <c r="P406" s="2">
        <f t="shared" si="139"/>
        <v>0.87442769021620115</v>
      </c>
      <c r="Q406" s="2">
        <v>0.25509999999999999</v>
      </c>
      <c r="R406" s="2">
        <f t="shared" si="140"/>
        <v>0.5793283149971048</v>
      </c>
      <c r="S406" s="2">
        <f t="shared" si="141"/>
        <v>2.4819268401919559E-2</v>
      </c>
      <c r="T406" s="5">
        <f t="shared" si="133"/>
        <v>5.0076693994013245E-2</v>
      </c>
      <c r="U406" s="2" t="str">
        <f t="shared" si="142"/>
        <v>No Impact</v>
      </c>
      <c r="V406" s="2">
        <f t="shared" si="143"/>
        <v>1.9781180461070868E-2</v>
      </c>
      <c r="W406" s="2">
        <f t="shared" si="144"/>
        <v>3.563321056270901E-2</v>
      </c>
      <c r="X406" s="2" t="s">
        <v>1176</v>
      </c>
      <c r="Y406" s="2">
        <f t="shared" si="145"/>
        <v>2.9857356342768246E-2</v>
      </c>
      <c r="Z406" s="2">
        <f t="shared" si="146"/>
        <v>6.3351777043917049E-2</v>
      </c>
      <c r="AA406" s="2" t="str">
        <f t="shared" si="147"/>
        <v>No Impact</v>
      </c>
      <c r="AB406" s="2">
        <f t="shared" si="148"/>
        <v>1.7232588814492002E-2</v>
      </c>
      <c r="AC406" s="2">
        <f t="shared" si="149"/>
        <v>4.7899739911107443E-2</v>
      </c>
      <c r="AD406" s="2" t="str">
        <f t="shared" si="150"/>
        <v>No Impact</v>
      </c>
      <c r="AE406" s="2">
        <f t="shared" si="151"/>
        <v>3.8627678579620786E-3</v>
      </c>
      <c r="AF406" s="2">
        <f t="shared" si="152"/>
        <v>1.9899965930823389E-2</v>
      </c>
      <c r="AG406" s="2" t="s">
        <v>1176</v>
      </c>
    </row>
    <row r="407" spans="1:33" x14ac:dyDescent="0.3">
      <c r="A407">
        <v>506479</v>
      </c>
      <c r="B407" t="s">
        <v>823</v>
      </c>
      <c r="C407" t="s">
        <v>807</v>
      </c>
      <c r="D407" t="s">
        <v>824</v>
      </c>
      <c r="E407" s="18">
        <v>6.3</v>
      </c>
      <c r="F407" s="19">
        <f t="shared" si="134"/>
        <v>0.68888888888888877</v>
      </c>
      <c r="G407" s="2">
        <v>44.536006800000003</v>
      </c>
      <c r="H407" s="2">
        <f t="shared" si="135"/>
        <v>0.12430339086897541</v>
      </c>
      <c r="I407" s="2">
        <v>2.4</v>
      </c>
      <c r="J407" s="4">
        <f t="shared" si="136"/>
        <v>1.1644832605531296E-2</v>
      </c>
      <c r="K407" s="2">
        <v>0</v>
      </c>
      <c r="L407" s="4">
        <f t="shared" si="137"/>
        <v>0</v>
      </c>
      <c r="M407" s="2">
        <v>11888</v>
      </c>
      <c r="N407" s="2">
        <f t="shared" si="138"/>
        <v>5.5116321982654613E-2</v>
      </c>
      <c r="O407" s="2">
        <v>0.69620968100000002</v>
      </c>
      <c r="P407" s="2">
        <f t="shared" si="139"/>
        <v>0.72680404027564871</v>
      </c>
      <c r="Q407" s="2">
        <v>0.22070000000000001</v>
      </c>
      <c r="R407" s="2">
        <f t="shared" si="140"/>
        <v>0.47973364215402436</v>
      </c>
      <c r="S407" s="2">
        <f t="shared" si="141"/>
        <v>1.9774324456919821E-2</v>
      </c>
      <c r="T407" s="5">
        <f t="shared" si="133"/>
        <v>3.9897743105551005E-2</v>
      </c>
      <c r="U407" s="2" t="str">
        <f t="shared" si="142"/>
        <v>No Impact</v>
      </c>
      <c r="V407" s="2">
        <f t="shared" si="143"/>
        <v>1.5725010218910408E-2</v>
      </c>
      <c r="W407" s="2">
        <f t="shared" si="144"/>
        <v>2.8326550143653633E-2</v>
      </c>
      <c r="X407" s="2" t="s">
        <v>1176</v>
      </c>
      <c r="Y407" s="2">
        <f t="shared" si="145"/>
        <v>2.3823638694929233E-2</v>
      </c>
      <c r="Z407" s="2">
        <f t="shared" si="146"/>
        <v>5.0549346353685194E-2</v>
      </c>
      <c r="AA407" s="2" t="str">
        <f t="shared" si="147"/>
        <v>No Impact</v>
      </c>
      <c r="AB407" s="2">
        <f t="shared" si="148"/>
        <v>1.3283168265213415E-2</v>
      </c>
      <c r="AC407" s="2">
        <f t="shared" si="149"/>
        <v>3.6921922292031152E-2</v>
      </c>
      <c r="AD407" s="2" t="str">
        <f t="shared" si="150"/>
        <v>No Impact</v>
      </c>
      <c r="AE407" s="2">
        <f t="shared" si="151"/>
        <v>1.8066373717600026E-3</v>
      </c>
      <c r="AF407" s="2">
        <f t="shared" si="152"/>
        <v>9.3073214517074166E-3</v>
      </c>
      <c r="AG407" s="2" t="s">
        <v>1176</v>
      </c>
    </row>
    <row r="408" spans="1:33" x14ac:dyDescent="0.3">
      <c r="A408">
        <v>506485</v>
      </c>
      <c r="B408" t="s">
        <v>825</v>
      </c>
      <c r="C408" t="s">
        <v>807</v>
      </c>
      <c r="D408" t="s">
        <v>826</v>
      </c>
      <c r="E408" s="18">
        <v>6.3</v>
      </c>
      <c r="F408" s="19">
        <f t="shared" si="134"/>
        <v>0.68888888888888877</v>
      </c>
      <c r="G408" s="2">
        <v>45.393818400000001</v>
      </c>
      <c r="H408" s="2">
        <f t="shared" si="135"/>
        <v>0.13259707314438079</v>
      </c>
      <c r="I408" s="2">
        <v>19.399999999999999</v>
      </c>
      <c r="J408" s="4">
        <f t="shared" si="136"/>
        <v>9.4129063561377971E-2</v>
      </c>
      <c r="K408" s="2">
        <v>0</v>
      </c>
      <c r="L408" s="4">
        <f t="shared" si="137"/>
        <v>0</v>
      </c>
      <c r="M408" s="2">
        <v>16424</v>
      </c>
      <c r="N408" s="2">
        <f t="shared" si="138"/>
        <v>7.6578047153340614E-2</v>
      </c>
      <c r="O408" s="2">
        <v>0.54262870699999999</v>
      </c>
      <c r="P408" s="2">
        <f t="shared" si="139"/>
        <v>0.54938881419827379</v>
      </c>
      <c r="Q408" s="2">
        <v>0.1963</v>
      </c>
      <c r="R408" s="2">
        <f t="shared" si="140"/>
        <v>0.40909090909090912</v>
      </c>
      <c r="S408" s="2">
        <f t="shared" si="141"/>
        <v>2.6198217686421634E-2</v>
      </c>
      <c r="T408" s="5">
        <f t="shared" si="133"/>
        <v>5.2858936412888628E-2</v>
      </c>
      <c r="U408" s="2" t="str">
        <f t="shared" si="142"/>
        <v>No Impact</v>
      </c>
      <c r="V408" s="2">
        <f t="shared" si="143"/>
        <v>2.2363441665977108E-2</v>
      </c>
      <c r="W408" s="2">
        <f t="shared" si="144"/>
        <v>4.0284816538571862E-2</v>
      </c>
      <c r="X408" s="2" t="s">
        <v>1176</v>
      </c>
      <c r="Y408" s="2">
        <f t="shared" si="145"/>
        <v>3.0032993706866164E-2</v>
      </c>
      <c r="Z408" s="2">
        <f t="shared" si="146"/>
        <v>6.3724446981709704E-2</v>
      </c>
      <c r="AA408" s="2" t="str">
        <f t="shared" si="147"/>
        <v>No Impact</v>
      </c>
      <c r="AB408" s="2">
        <f t="shared" si="148"/>
        <v>1.8302283241389945E-2</v>
      </c>
      <c r="AC408" s="2">
        <f t="shared" si="149"/>
        <v>5.0873064777402825E-2</v>
      </c>
      <c r="AD408" s="2" t="str">
        <f t="shared" si="150"/>
        <v>No Impact</v>
      </c>
      <c r="AE408" s="2">
        <f t="shared" si="151"/>
        <v>4.1862301321088776E-3</v>
      </c>
      <c r="AF408" s="2">
        <f t="shared" si="152"/>
        <v>2.1566358650271959E-2</v>
      </c>
      <c r="AG408" s="2" t="s">
        <v>1176</v>
      </c>
    </row>
    <row r="409" spans="1:33" x14ac:dyDescent="0.3">
      <c r="A409">
        <v>506486</v>
      </c>
      <c r="B409" t="s">
        <v>827</v>
      </c>
      <c r="C409" t="s">
        <v>807</v>
      </c>
      <c r="D409" t="s">
        <v>828</v>
      </c>
      <c r="E409" s="18">
        <v>6.2</v>
      </c>
      <c r="F409" s="19">
        <f t="shared" si="134"/>
        <v>0.66666666666666663</v>
      </c>
      <c r="G409" s="2">
        <v>44.536006800000003</v>
      </c>
      <c r="H409" s="2">
        <f t="shared" si="135"/>
        <v>0.12430339086897541</v>
      </c>
      <c r="I409" s="2">
        <v>2.4</v>
      </c>
      <c r="J409" s="4">
        <f t="shared" si="136"/>
        <v>1.1644832605531296E-2</v>
      </c>
      <c r="K409" s="2">
        <v>0</v>
      </c>
      <c r="L409" s="4">
        <f t="shared" si="137"/>
        <v>0</v>
      </c>
      <c r="M409" s="2">
        <v>21186</v>
      </c>
      <c r="N409" s="2">
        <f t="shared" si="138"/>
        <v>9.9109073445846518E-2</v>
      </c>
      <c r="O409" s="2">
        <v>0.89698827599999997</v>
      </c>
      <c r="P409" s="2">
        <f t="shared" si="139"/>
        <v>0.95874149252427587</v>
      </c>
      <c r="Q409" s="2">
        <v>0.25</v>
      </c>
      <c r="R409" s="2">
        <f t="shared" si="140"/>
        <v>0.56456282570932259</v>
      </c>
      <c r="S409" s="2">
        <f t="shared" si="141"/>
        <v>2.4160560185405269E-2</v>
      </c>
      <c r="T409" s="5">
        <f t="shared" si="133"/>
        <v>4.8747648783833836E-2</v>
      </c>
      <c r="U409" s="2" t="str">
        <f t="shared" si="142"/>
        <v>No Impact</v>
      </c>
      <c r="V409" s="2">
        <f t="shared" si="143"/>
        <v>1.7908639745483658E-2</v>
      </c>
      <c r="W409" s="2">
        <f t="shared" si="144"/>
        <v>3.2260073265009404E-2</v>
      </c>
      <c r="X409" s="2" t="s">
        <v>1176</v>
      </c>
      <c r="Y409" s="2">
        <f t="shared" si="145"/>
        <v>3.0412480625326879E-2</v>
      </c>
      <c r="Z409" s="2">
        <f t="shared" si="146"/>
        <v>6.4529647896801073E-2</v>
      </c>
      <c r="AA409" s="2" t="str">
        <f t="shared" si="147"/>
        <v>No Impact</v>
      </c>
      <c r="AB409" s="2">
        <f t="shared" si="148"/>
        <v>1.6492120466505999E-2</v>
      </c>
      <c r="AC409" s="2">
        <f t="shared" si="149"/>
        <v>4.5841532542339421E-2</v>
      </c>
      <c r="AD409" s="2" t="str">
        <f t="shared" si="150"/>
        <v>No Impact</v>
      </c>
      <c r="AE409" s="2">
        <f t="shared" si="151"/>
        <v>3.1438639085390224E-3</v>
      </c>
      <c r="AF409" s="2">
        <f t="shared" si="152"/>
        <v>1.6196361513704505E-2</v>
      </c>
      <c r="AG409" s="2" t="s">
        <v>1176</v>
      </c>
    </row>
    <row r="410" spans="1:33" x14ac:dyDescent="0.3">
      <c r="A410">
        <v>506909</v>
      </c>
      <c r="B410" t="s">
        <v>829</v>
      </c>
      <c r="C410" t="s">
        <v>830</v>
      </c>
      <c r="D410" t="s">
        <v>831</v>
      </c>
      <c r="E410" s="18">
        <v>5.8</v>
      </c>
      <c r="F410" s="19">
        <f t="shared" si="134"/>
        <v>0.57777777777777772</v>
      </c>
      <c r="G410" s="2">
        <v>53.785454399999999</v>
      </c>
      <c r="H410" s="2">
        <f t="shared" si="135"/>
        <v>0.21373092905732713</v>
      </c>
      <c r="I410" s="2">
        <v>34.4</v>
      </c>
      <c r="J410" s="4">
        <f t="shared" si="136"/>
        <v>0.16690926734594858</v>
      </c>
      <c r="K410" s="2">
        <v>0</v>
      </c>
      <c r="L410" s="4">
        <f t="shared" si="137"/>
        <v>0</v>
      </c>
      <c r="M410" s="2">
        <v>16182</v>
      </c>
      <c r="N410" s="2">
        <f t="shared" si="138"/>
        <v>7.5433043297232591E-2</v>
      </c>
      <c r="O410" s="2">
        <v>0.417964479</v>
      </c>
      <c r="P410" s="2">
        <f t="shared" si="139"/>
        <v>0.40537792783430654</v>
      </c>
      <c r="Q410" s="2">
        <v>0.26450000000000001</v>
      </c>
      <c r="R410" s="2">
        <f t="shared" si="140"/>
        <v>0.60654313839027219</v>
      </c>
      <c r="S410" s="2">
        <f t="shared" si="141"/>
        <v>3.8945758709669508E-2</v>
      </c>
      <c r="T410" s="5">
        <f t="shared" si="133"/>
        <v>7.8579062431911123E-2</v>
      </c>
      <c r="U410" s="2" t="str">
        <f t="shared" si="142"/>
        <v>No Impact</v>
      </c>
      <c r="V410" s="2">
        <f t="shared" si="143"/>
        <v>4.6687994752173001E-2</v>
      </c>
      <c r="W410" s="2">
        <f t="shared" si="144"/>
        <v>8.410231892019103E-2</v>
      </c>
      <c r="X410" s="2" t="s">
        <v>1176</v>
      </c>
      <c r="Y410" s="2">
        <f t="shared" si="145"/>
        <v>3.1203522667166014E-2</v>
      </c>
      <c r="Z410" s="2">
        <f t="shared" si="146"/>
        <v>6.6208092514993003E-2</v>
      </c>
      <c r="AA410" s="2" t="str">
        <f t="shared" si="147"/>
        <v>No Impact</v>
      </c>
      <c r="AB410" s="2">
        <f t="shared" si="148"/>
        <v>2.7734086567961867E-2</v>
      </c>
      <c r="AC410" s="2">
        <f t="shared" si="149"/>
        <v>7.7089725030770037E-2</v>
      </c>
      <c r="AD410" s="2" t="str">
        <f t="shared" si="150"/>
        <v>No Impact</v>
      </c>
      <c r="AE410" s="2">
        <f t="shared" si="151"/>
        <v>5.8063760130043166E-3</v>
      </c>
      <c r="AF410" s="2">
        <f t="shared" si="152"/>
        <v>2.9912924899736595E-2</v>
      </c>
      <c r="AG410" s="2" t="s">
        <v>1176</v>
      </c>
    </row>
    <row r="411" spans="1:33" x14ac:dyDescent="0.3">
      <c r="A411">
        <v>506915</v>
      </c>
      <c r="B411" t="s">
        <v>832</v>
      </c>
      <c r="C411" t="s">
        <v>830</v>
      </c>
      <c r="D411" t="s">
        <v>833</v>
      </c>
      <c r="E411" s="18">
        <v>6.5</v>
      </c>
      <c r="F411" s="19">
        <f t="shared" si="134"/>
        <v>0.73333333333333328</v>
      </c>
      <c r="G411" s="2">
        <v>53.785454399999999</v>
      </c>
      <c r="H411" s="2">
        <f t="shared" si="135"/>
        <v>0.21373092905732713</v>
      </c>
      <c r="I411" s="2">
        <v>37.200000000000003</v>
      </c>
      <c r="J411" s="4">
        <f t="shared" si="136"/>
        <v>0.18049490538573509</v>
      </c>
      <c r="K411" s="2">
        <v>0</v>
      </c>
      <c r="L411" s="4">
        <f t="shared" si="137"/>
        <v>0</v>
      </c>
      <c r="M411" s="2">
        <v>28067</v>
      </c>
      <c r="N411" s="2">
        <f t="shared" si="138"/>
        <v>0.13166598061063717</v>
      </c>
      <c r="O411" s="2">
        <v>0.48119969899999998</v>
      </c>
      <c r="P411" s="2">
        <f t="shared" si="139"/>
        <v>0.47842663015828407</v>
      </c>
      <c r="Q411" s="2">
        <v>0.23880000000000001</v>
      </c>
      <c r="R411" s="2">
        <f t="shared" si="140"/>
        <v>0.53213665315576153</v>
      </c>
      <c r="S411" s="2">
        <f t="shared" si="141"/>
        <v>5.112673638149004E-2</v>
      </c>
      <c r="T411" s="5">
        <f t="shared" si="133"/>
        <v>0.10315605968830438</v>
      </c>
      <c r="U411" s="2" t="str">
        <f t="shared" si="142"/>
        <v>No Impact</v>
      </c>
      <c r="V411" s="2">
        <f t="shared" si="143"/>
        <v>5.3844050806204233E-2</v>
      </c>
      <c r="W411" s="2">
        <f t="shared" si="144"/>
        <v>9.6993018374334689E-2</v>
      </c>
      <c r="X411" s="2" t="s">
        <v>1176</v>
      </c>
      <c r="Y411" s="2">
        <f t="shared" si="145"/>
        <v>4.840942195677584E-2</v>
      </c>
      <c r="Z411" s="2">
        <f t="shared" si="146"/>
        <v>0.10271582223901016</v>
      </c>
      <c r="AA411" s="2" t="str">
        <f t="shared" si="147"/>
        <v>No Impact</v>
      </c>
      <c r="AB411" s="2">
        <f t="shared" si="148"/>
        <v>3.803114514401789E-2</v>
      </c>
      <c r="AC411" s="2">
        <f t="shared" si="149"/>
        <v>0.10571145058530401</v>
      </c>
      <c r="AD411" s="2" t="str">
        <f t="shared" si="150"/>
        <v>No Impact</v>
      </c>
      <c r="AE411" s="2">
        <f t="shared" si="151"/>
        <v>1.3322573642324738E-2</v>
      </c>
      <c r="AF411" s="2">
        <f t="shared" si="152"/>
        <v>6.8634401895696487E-2</v>
      </c>
      <c r="AG411" s="2" t="s">
        <v>1175</v>
      </c>
    </row>
    <row r="412" spans="1:33" x14ac:dyDescent="0.3">
      <c r="A412">
        <v>506941</v>
      </c>
      <c r="B412" t="s">
        <v>834</v>
      </c>
      <c r="C412" t="s">
        <v>830</v>
      </c>
      <c r="D412" t="s">
        <v>835</v>
      </c>
      <c r="E412" s="18">
        <v>6.5</v>
      </c>
      <c r="F412" s="19">
        <f t="shared" si="134"/>
        <v>0.73333333333333328</v>
      </c>
      <c r="G412" s="2">
        <v>53.785454399999999</v>
      </c>
      <c r="H412" s="2">
        <f t="shared" si="135"/>
        <v>0.21373092905732713</v>
      </c>
      <c r="I412" s="2">
        <v>29.5</v>
      </c>
      <c r="J412" s="4">
        <f t="shared" si="136"/>
        <v>0.14313440077632217</v>
      </c>
      <c r="K412" s="2">
        <v>0</v>
      </c>
      <c r="L412" s="4">
        <f t="shared" si="137"/>
        <v>0</v>
      </c>
      <c r="M412" s="2">
        <v>24217</v>
      </c>
      <c r="N412" s="2">
        <f t="shared" si="138"/>
        <v>0.11345001017255492</v>
      </c>
      <c r="O412" s="2">
        <v>0.45781498399999998</v>
      </c>
      <c r="P412" s="2">
        <f t="shared" si="139"/>
        <v>0.45141283808219018</v>
      </c>
      <c r="Q412" s="2">
        <v>0.23089999999999999</v>
      </c>
      <c r="R412" s="2">
        <f t="shared" si="140"/>
        <v>0.50926462072958889</v>
      </c>
      <c r="S412" s="2">
        <f t="shared" si="141"/>
        <v>4.3996834702669255E-2</v>
      </c>
      <c r="T412" s="5">
        <f t="shared" si="133"/>
        <v>8.8770385671011601E-2</v>
      </c>
      <c r="U412" s="2" t="str">
        <f t="shared" si="142"/>
        <v>No Impact</v>
      </c>
      <c r="V412" s="2">
        <f t="shared" si="143"/>
        <v>4.6646314291313412E-2</v>
      </c>
      <c r="W412" s="2">
        <f t="shared" si="144"/>
        <v>8.4027237018932249E-2</v>
      </c>
      <c r="X412" s="2" t="s">
        <v>1176</v>
      </c>
      <c r="Y412" s="2">
        <f t="shared" si="145"/>
        <v>4.134735511402509E-2</v>
      </c>
      <c r="Z412" s="2">
        <f t="shared" si="146"/>
        <v>8.773142512913179E-2</v>
      </c>
      <c r="AA412" s="2" t="str">
        <f t="shared" si="147"/>
        <v>No Impact</v>
      </c>
      <c r="AB412" s="2">
        <f t="shared" si="148"/>
        <v>3.236744258393795E-2</v>
      </c>
      <c r="AC412" s="2">
        <f t="shared" si="149"/>
        <v>8.9968611103545051E-2</v>
      </c>
      <c r="AD412" s="2" t="str">
        <f t="shared" si="150"/>
        <v>No Impact</v>
      </c>
      <c r="AE412" s="2">
        <f t="shared" si="151"/>
        <v>1.039150299363065E-2</v>
      </c>
      <c r="AF412" s="2">
        <f t="shared" si="152"/>
        <v>5.3534295393147933E-2</v>
      </c>
      <c r="AG412" s="2" t="s">
        <v>1175</v>
      </c>
    </row>
    <row r="413" spans="1:33" x14ac:dyDescent="0.3">
      <c r="A413">
        <v>506944</v>
      </c>
      <c r="B413" t="s">
        <v>836</v>
      </c>
      <c r="C413" t="s">
        <v>830</v>
      </c>
      <c r="D413" t="s">
        <v>837</v>
      </c>
      <c r="E413" s="18">
        <v>6.5</v>
      </c>
      <c r="F413" s="19">
        <f t="shared" si="134"/>
        <v>0.73333333333333328</v>
      </c>
      <c r="G413" s="2">
        <v>57.962019599999998</v>
      </c>
      <c r="H413" s="2">
        <f t="shared" si="135"/>
        <v>0.25411171286966433</v>
      </c>
      <c r="I413" s="2">
        <v>35.9</v>
      </c>
      <c r="J413" s="4">
        <f t="shared" si="136"/>
        <v>0.17418728772440562</v>
      </c>
      <c r="K413" s="2">
        <v>0</v>
      </c>
      <c r="L413" s="4">
        <f t="shared" si="137"/>
        <v>0</v>
      </c>
      <c r="M413" s="2">
        <v>32668</v>
      </c>
      <c r="N413" s="2">
        <f t="shared" si="138"/>
        <v>0.15343524813936874</v>
      </c>
      <c r="O413" s="2">
        <v>0.705817849</v>
      </c>
      <c r="P413" s="2">
        <f t="shared" si="139"/>
        <v>0.73790330116397584</v>
      </c>
      <c r="Q413" s="2">
        <v>0.23769999999999999</v>
      </c>
      <c r="R413" s="2">
        <f t="shared" si="140"/>
        <v>0.52895193977996524</v>
      </c>
      <c r="S413" s="2">
        <f t="shared" si="141"/>
        <v>6.9632746977851698E-2</v>
      </c>
      <c r="T413" s="5">
        <f t="shared" si="133"/>
        <v>0.14049478437095037</v>
      </c>
      <c r="U413" s="2" t="str">
        <f t="shared" si="142"/>
        <v>No Impact</v>
      </c>
      <c r="V413" s="2">
        <f t="shared" si="143"/>
        <v>5.8147727373647137E-2</v>
      </c>
      <c r="W413" s="2">
        <f t="shared" si="144"/>
        <v>0.1047455290813316</v>
      </c>
      <c r="X413" s="2" t="s">
        <v>1176</v>
      </c>
      <c r="Y413" s="2">
        <f t="shared" si="145"/>
        <v>8.1117766582056272E-2</v>
      </c>
      <c r="Z413" s="2">
        <f t="shared" si="146"/>
        <v>0.17211686807802865</v>
      </c>
      <c r="AA413" s="2" t="str">
        <f t="shared" si="147"/>
        <v>Low</v>
      </c>
      <c r="AB413" s="2">
        <f t="shared" si="148"/>
        <v>5.059053657054724E-2</v>
      </c>
      <c r="AC413" s="2">
        <f t="shared" si="149"/>
        <v>0.14062156126273345</v>
      </c>
      <c r="AD413" s="2" t="str">
        <f t="shared" si="150"/>
        <v>No Impact</v>
      </c>
      <c r="AE413" s="2">
        <f t="shared" si="151"/>
        <v>1.6867148614725321E-2</v>
      </c>
      <c r="AF413" s="2">
        <f t="shared" si="152"/>
        <v>8.6895121613716195E-2</v>
      </c>
      <c r="AG413" s="2" t="s">
        <v>1175</v>
      </c>
    </row>
    <row r="414" spans="1:33" x14ac:dyDescent="0.3">
      <c r="A414">
        <v>506963</v>
      </c>
      <c r="B414" t="s">
        <v>838</v>
      </c>
      <c r="C414" t="s">
        <v>830</v>
      </c>
      <c r="D414" t="s">
        <v>839</v>
      </c>
      <c r="E414" s="18">
        <v>6.5</v>
      </c>
      <c r="F414" s="19">
        <f t="shared" si="134"/>
        <v>0.73333333333333328</v>
      </c>
      <c r="G414" s="2">
        <v>53.785454399999999</v>
      </c>
      <c r="H414" s="2">
        <f t="shared" si="135"/>
        <v>0.21373092905732713</v>
      </c>
      <c r="I414" s="2">
        <v>29</v>
      </c>
      <c r="J414" s="4">
        <f t="shared" si="136"/>
        <v>0.14070839398350315</v>
      </c>
      <c r="K414" s="2">
        <v>0</v>
      </c>
      <c r="L414" s="4">
        <f t="shared" si="137"/>
        <v>0</v>
      </c>
      <c r="M414" s="2">
        <v>46818</v>
      </c>
      <c r="N414" s="2">
        <f t="shared" si="138"/>
        <v>0.22038485377543729</v>
      </c>
      <c r="O414" s="2">
        <v>0.33944766900000001</v>
      </c>
      <c r="P414" s="2">
        <f t="shared" si="139"/>
        <v>0.31467608349632048</v>
      </c>
      <c r="Q414" s="2">
        <v>0.24510000000000001</v>
      </c>
      <c r="R414" s="2">
        <f t="shared" si="140"/>
        <v>0.55037637521713967</v>
      </c>
      <c r="S414" s="2">
        <f t="shared" si="141"/>
        <v>3.9348104675521252E-2</v>
      </c>
      <c r="T414" s="5">
        <f t="shared" si="133"/>
        <v>7.9390857344049839E-2</v>
      </c>
      <c r="U414" s="2" t="str">
        <f t="shared" si="142"/>
        <v>No Impact</v>
      </c>
      <c r="V414" s="2">
        <f t="shared" si="143"/>
        <v>5.006925766140477E-2</v>
      </c>
      <c r="W414" s="2">
        <f t="shared" si="144"/>
        <v>9.0193222011118665E-2</v>
      </c>
      <c r="X414" s="2" t="s">
        <v>1176</v>
      </c>
      <c r="Y414" s="2">
        <f t="shared" si="145"/>
        <v>2.862695168963774E-2</v>
      </c>
      <c r="Z414" s="2">
        <f t="shared" si="146"/>
        <v>6.0741086386510539E-2</v>
      </c>
      <c r="AA414" s="2" t="str">
        <f t="shared" si="147"/>
        <v>No Impact</v>
      </c>
      <c r="AB414" s="2">
        <f t="shared" si="148"/>
        <v>3.3129482099575204E-2</v>
      </c>
      <c r="AC414" s="2">
        <f t="shared" si="149"/>
        <v>9.2086777735033071E-2</v>
      </c>
      <c r="AD414" s="2" t="str">
        <f t="shared" si="150"/>
        <v>No Impact</v>
      </c>
      <c r="AE414" s="2">
        <f t="shared" si="151"/>
        <v>2.0049018317692045E-2</v>
      </c>
      <c r="AF414" s="2">
        <f t="shared" si="152"/>
        <v>0.10328727900283842</v>
      </c>
      <c r="AG414" s="2" t="s">
        <v>1175</v>
      </c>
    </row>
    <row r="415" spans="1:33" x14ac:dyDescent="0.3">
      <c r="A415">
        <v>506991</v>
      </c>
      <c r="B415" t="s">
        <v>840</v>
      </c>
      <c r="C415" t="s">
        <v>830</v>
      </c>
      <c r="D415" t="s">
        <v>841</v>
      </c>
      <c r="E415" s="18">
        <v>6.5</v>
      </c>
      <c r="F415" s="19">
        <f t="shared" si="134"/>
        <v>0.73333333333333328</v>
      </c>
      <c r="G415" s="2">
        <v>44.9508492</v>
      </c>
      <c r="H415" s="2">
        <f t="shared" si="135"/>
        <v>0.12831426115793701</v>
      </c>
      <c r="I415" s="2">
        <v>21.7</v>
      </c>
      <c r="J415" s="4">
        <f t="shared" si="136"/>
        <v>0.10528869480834546</v>
      </c>
      <c r="K415" s="2">
        <v>0</v>
      </c>
      <c r="L415" s="4">
        <f t="shared" si="137"/>
        <v>0</v>
      </c>
      <c r="M415" s="2">
        <v>38033</v>
      </c>
      <c r="N415" s="2">
        <f t="shared" si="138"/>
        <v>0.17881932123035868</v>
      </c>
      <c r="O415" s="2">
        <v>0.69627307800000005</v>
      </c>
      <c r="P415" s="2">
        <f t="shared" si="139"/>
        <v>0.72687727586463258</v>
      </c>
      <c r="Q415" s="2">
        <v>0.18940000000000001</v>
      </c>
      <c r="R415" s="2">
        <f t="shared" si="140"/>
        <v>0.38911407064273312</v>
      </c>
      <c r="S415" s="2">
        <f t="shared" si="141"/>
        <v>3.3456355930037089E-2</v>
      </c>
      <c r="T415" s="5">
        <f t="shared" si="133"/>
        <v>6.7503347436851976E-2</v>
      </c>
      <c r="U415" s="2" t="str">
        <f t="shared" si="142"/>
        <v>No Impact</v>
      </c>
      <c r="V415" s="2">
        <f t="shared" si="143"/>
        <v>2.3330537258288597E-2</v>
      </c>
      <c r="W415" s="2">
        <f t="shared" si="144"/>
        <v>4.2026912817553864E-2</v>
      </c>
      <c r="X415" s="2" t="s">
        <v>1176</v>
      </c>
      <c r="Y415" s="2">
        <f t="shared" si="145"/>
        <v>4.3582174601785588E-2</v>
      </c>
      <c r="Z415" s="2">
        <f t="shared" si="146"/>
        <v>9.2473297929142634E-2</v>
      </c>
      <c r="AA415" s="2" t="str">
        <f t="shared" si="147"/>
        <v>No Impact</v>
      </c>
      <c r="AB415" s="2">
        <f t="shared" si="148"/>
        <v>2.4992923282696106E-2</v>
      </c>
      <c r="AC415" s="2">
        <f t="shared" si="149"/>
        <v>6.947038182984093E-2</v>
      </c>
      <c r="AD415" s="2" t="str">
        <f t="shared" si="150"/>
        <v>No Impact</v>
      </c>
      <c r="AE415" s="2">
        <f t="shared" si="151"/>
        <v>1.0721665319312637E-2</v>
      </c>
      <c r="AF415" s="2">
        <f t="shared" si="152"/>
        <v>5.5235205019174297E-2</v>
      </c>
      <c r="AG415" s="2" t="s">
        <v>1175</v>
      </c>
    </row>
    <row r="416" spans="1:33" x14ac:dyDescent="0.3">
      <c r="A416">
        <v>507018</v>
      </c>
      <c r="B416" t="s">
        <v>842</v>
      </c>
      <c r="C416" t="s">
        <v>382</v>
      </c>
      <c r="D416" t="s">
        <v>843</v>
      </c>
      <c r="E416" s="18">
        <v>5</v>
      </c>
      <c r="F416" s="19">
        <f t="shared" si="134"/>
        <v>0.39999999999999997</v>
      </c>
      <c r="G416" s="2">
        <v>44.599287599999997</v>
      </c>
      <c r="H416" s="2">
        <f t="shared" si="135"/>
        <v>0.12491521618042307</v>
      </c>
      <c r="I416" s="2">
        <v>4.3</v>
      </c>
      <c r="J416" s="4">
        <f t="shared" si="136"/>
        <v>2.0863658418243572E-2</v>
      </c>
      <c r="K416" s="2">
        <v>0</v>
      </c>
      <c r="L416" s="4">
        <f t="shared" si="137"/>
        <v>0</v>
      </c>
      <c r="M416" s="2">
        <v>11807</v>
      </c>
      <c r="N416" s="2">
        <f t="shared" si="138"/>
        <v>5.4733076890320934E-2</v>
      </c>
      <c r="O416" s="2">
        <v>0.81925989899999996</v>
      </c>
      <c r="P416" s="2">
        <f t="shared" si="139"/>
        <v>0.86895043820994133</v>
      </c>
      <c r="Q416" s="2">
        <v>0.2268</v>
      </c>
      <c r="R416" s="2">
        <f t="shared" si="140"/>
        <v>0.49739432541980316</v>
      </c>
      <c r="S416" s="2">
        <f t="shared" si="141"/>
        <v>1.3942894136900773E-2</v>
      </c>
      <c r="T416" s="5">
        <f t="shared" si="133"/>
        <v>2.8131934905482572E-2</v>
      </c>
      <c r="U416" s="2" t="str">
        <f t="shared" si="142"/>
        <v>No Impact</v>
      </c>
      <c r="V416" s="2">
        <f t="shared" si="143"/>
        <v>1.0151341898804662E-2</v>
      </c>
      <c r="W416" s="2">
        <f t="shared" si="144"/>
        <v>1.8286315323093442E-2</v>
      </c>
      <c r="X416" s="2" t="s">
        <v>1176</v>
      </c>
      <c r="Y416" s="2">
        <f t="shared" si="145"/>
        <v>1.7734446374996882E-2</v>
      </c>
      <c r="Z416" s="2">
        <f t="shared" si="146"/>
        <v>3.7629208689744911E-2</v>
      </c>
      <c r="AA416" s="2" t="str">
        <f t="shared" si="147"/>
        <v>No Impact</v>
      </c>
      <c r="AB416" s="2">
        <f t="shared" si="148"/>
        <v>9.2642709683479658E-3</v>
      </c>
      <c r="AC416" s="2">
        <f t="shared" si="149"/>
        <v>2.5750986960050234E-2</v>
      </c>
      <c r="AD416" s="2" t="str">
        <f t="shared" si="150"/>
        <v>No Impact</v>
      </c>
      <c r="AE416" s="2">
        <f t="shared" si="151"/>
        <v>1.1170496893350584E-3</v>
      </c>
      <c r="AF416" s="2">
        <f t="shared" si="152"/>
        <v>5.7547467459077998E-3</v>
      </c>
      <c r="AG416" s="2" t="s">
        <v>1176</v>
      </c>
    </row>
    <row r="417" spans="1:33" x14ac:dyDescent="0.3">
      <c r="A417">
        <v>507037</v>
      </c>
      <c r="B417" t="s">
        <v>844</v>
      </c>
      <c r="C417" t="s">
        <v>382</v>
      </c>
      <c r="D417" t="s">
        <v>845</v>
      </c>
      <c r="E417" s="18">
        <v>5.3</v>
      </c>
      <c r="F417" s="19">
        <f t="shared" si="134"/>
        <v>0.46666666666666656</v>
      </c>
      <c r="G417" s="2">
        <v>52.562178000000003</v>
      </c>
      <c r="H417" s="2">
        <f t="shared" si="135"/>
        <v>0.20190377983644728</v>
      </c>
      <c r="I417" s="2">
        <v>4.5999999999999996</v>
      </c>
      <c r="J417" s="4">
        <f t="shared" si="136"/>
        <v>2.2319262493934983E-2</v>
      </c>
      <c r="K417" s="2">
        <v>0</v>
      </c>
      <c r="L417" s="4">
        <f t="shared" si="137"/>
        <v>0</v>
      </c>
      <c r="M417" s="2">
        <v>29737</v>
      </c>
      <c r="N417" s="2">
        <f t="shared" si="138"/>
        <v>0.13956745350196118</v>
      </c>
      <c r="O417" s="2">
        <v>0.82508137100000001</v>
      </c>
      <c r="P417" s="2">
        <f t="shared" si="139"/>
        <v>0.87567534523509871</v>
      </c>
      <c r="Q417" s="2">
        <v>0.20530000000000001</v>
      </c>
      <c r="R417" s="2">
        <f t="shared" si="140"/>
        <v>0.43514765489287788</v>
      </c>
      <c r="S417" s="2">
        <f t="shared" si="141"/>
        <v>2.4003198885368934E-2</v>
      </c>
      <c r="T417" s="5">
        <f t="shared" si="133"/>
        <v>4.8430148141155337E-2</v>
      </c>
      <c r="U417" s="2" t="str">
        <f t="shared" si="142"/>
        <v>No Impact</v>
      </c>
      <c r="V417" s="2">
        <f t="shared" si="143"/>
        <v>1.5936454737025339E-2</v>
      </c>
      <c r="W417" s="2">
        <f t="shared" si="144"/>
        <v>2.8707439800423489E-2</v>
      </c>
      <c r="X417" s="2" t="s">
        <v>1176</v>
      </c>
      <c r="Y417" s="2">
        <f t="shared" si="145"/>
        <v>3.2069943033712522E-2</v>
      </c>
      <c r="Z417" s="2">
        <f t="shared" si="146"/>
        <v>6.8046475969228665E-2</v>
      </c>
      <c r="AA417" s="2" t="str">
        <f t="shared" si="147"/>
        <v>No Impact</v>
      </c>
      <c r="AB417" s="2">
        <f t="shared" si="148"/>
        <v>1.6987729399545671E-2</v>
      </c>
      <c r="AC417" s="2">
        <f t="shared" si="149"/>
        <v>4.7219128169193672E-2</v>
      </c>
      <c r="AD417" s="2" t="str">
        <f t="shared" si="150"/>
        <v>No Impact</v>
      </c>
      <c r="AE417" s="2">
        <f t="shared" si="151"/>
        <v>5.1113923756372689E-3</v>
      </c>
      <c r="AF417" s="2">
        <f t="shared" si="152"/>
        <v>2.6332551650648701E-2</v>
      </c>
      <c r="AG417" s="2" t="s">
        <v>1176</v>
      </c>
    </row>
    <row r="418" spans="1:33" x14ac:dyDescent="0.3">
      <c r="A418">
        <v>507056</v>
      </c>
      <c r="B418" t="s">
        <v>846</v>
      </c>
      <c r="C418" t="s">
        <v>382</v>
      </c>
      <c r="D418" t="s">
        <v>847</v>
      </c>
      <c r="E418" s="18">
        <v>5</v>
      </c>
      <c r="F418" s="19">
        <f t="shared" si="134"/>
        <v>0.39999999999999997</v>
      </c>
      <c r="G418" s="2">
        <v>52.562178000000003</v>
      </c>
      <c r="H418" s="2">
        <f t="shared" si="135"/>
        <v>0.20190377983644728</v>
      </c>
      <c r="I418" s="2">
        <v>7.9</v>
      </c>
      <c r="J418" s="4">
        <f t="shared" si="136"/>
        <v>3.8330907326540514E-2</v>
      </c>
      <c r="K418" s="2">
        <v>0</v>
      </c>
      <c r="L418" s="4">
        <f t="shared" si="137"/>
        <v>0</v>
      </c>
      <c r="M418" s="2">
        <v>14402</v>
      </c>
      <c r="N418" s="2">
        <f t="shared" si="138"/>
        <v>6.7011114107677683E-2</v>
      </c>
      <c r="O418" s="2">
        <v>0.69754317799999999</v>
      </c>
      <c r="P418" s="2">
        <f t="shared" si="139"/>
        <v>0.72834448285500408</v>
      </c>
      <c r="Q418" s="2">
        <v>0.2167</v>
      </c>
      <c r="R418" s="2">
        <f t="shared" si="140"/>
        <v>0.46815286624203828</v>
      </c>
      <c r="S418" s="2">
        <f t="shared" si="141"/>
        <v>2.012081164461705E-2</v>
      </c>
      <c r="T418" s="5">
        <f t="shared" si="133"/>
        <v>4.0596834335404439E-2</v>
      </c>
      <c r="U418" s="2" t="str">
        <f t="shared" si="142"/>
        <v>No Impact</v>
      </c>
      <c r="V418" s="2">
        <f t="shared" si="143"/>
        <v>1.5745318031255697E-2</v>
      </c>
      <c r="W418" s="2">
        <f t="shared" si="144"/>
        <v>2.8363132012707997E-2</v>
      </c>
      <c r="X418" s="2" t="s">
        <v>1176</v>
      </c>
      <c r="Y418" s="2">
        <f t="shared" si="145"/>
        <v>2.4496305257978399E-2</v>
      </c>
      <c r="Z418" s="2">
        <f t="shared" si="146"/>
        <v>5.1976620143030929E-2</v>
      </c>
      <c r="AA418" s="2" t="str">
        <f t="shared" si="147"/>
        <v>No Impact</v>
      </c>
      <c r="AB418" s="2">
        <f t="shared" si="148"/>
        <v>1.3648574196003975E-2</v>
      </c>
      <c r="AC418" s="2">
        <f t="shared" si="149"/>
        <v>3.793760538151128E-2</v>
      </c>
      <c r="AD418" s="2" t="str">
        <f t="shared" si="150"/>
        <v>No Impact</v>
      </c>
      <c r="AE418" s="2">
        <f t="shared" si="151"/>
        <v>2.2537751647741713E-3</v>
      </c>
      <c r="AF418" s="2">
        <f t="shared" si="152"/>
        <v>1.161085797643659E-2</v>
      </c>
      <c r="AG418" s="2" t="s">
        <v>1176</v>
      </c>
    </row>
    <row r="419" spans="1:33" x14ac:dyDescent="0.3">
      <c r="A419">
        <v>507066</v>
      </c>
      <c r="B419" t="s">
        <v>848</v>
      </c>
      <c r="C419" t="s">
        <v>382</v>
      </c>
      <c r="D419" t="s">
        <v>1150</v>
      </c>
      <c r="E419" s="18">
        <v>5</v>
      </c>
      <c r="F419" s="19">
        <f t="shared" si="134"/>
        <v>0.39999999999999997</v>
      </c>
      <c r="G419" s="2">
        <v>52.562178000000003</v>
      </c>
      <c r="H419" s="2">
        <f t="shared" si="135"/>
        <v>0.20190377983644728</v>
      </c>
      <c r="I419" s="2">
        <v>7.5</v>
      </c>
      <c r="J419" s="4">
        <f t="shared" si="136"/>
        <v>3.6390101892285302E-2</v>
      </c>
      <c r="K419" s="2">
        <v>0</v>
      </c>
      <c r="L419" s="4">
        <f t="shared" si="137"/>
        <v>0</v>
      </c>
      <c r="M419" s="2">
        <v>71171</v>
      </c>
      <c r="N419" s="2">
        <f t="shared" si="138"/>
        <v>0.33560914678287035</v>
      </c>
      <c r="O419" s="2">
        <v>0.53317454900000005</v>
      </c>
      <c r="P419" s="2">
        <f t="shared" si="139"/>
        <v>0.53846746414262681</v>
      </c>
      <c r="Q419" s="2">
        <v>0.20899999999999999</v>
      </c>
      <c r="R419" s="2">
        <f t="shared" si="140"/>
        <v>0.44585987261146498</v>
      </c>
      <c r="S419" s="2">
        <f t="shared" si="141"/>
        <v>1.6419142737678648E-2</v>
      </c>
      <c r="T419" s="5">
        <f t="shared" si="133"/>
        <v>3.312814758291454E-2</v>
      </c>
      <c r="U419" s="2" t="str">
        <f t="shared" si="142"/>
        <v>No Impact</v>
      </c>
      <c r="V419" s="2">
        <f t="shared" si="143"/>
        <v>1.4874395165232989E-2</v>
      </c>
      <c r="W419" s="2">
        <f t="shared" si="144"/>
        <v>2.6794278327259891E-2</v>
      </c>
      <c r="X419" s="2" t="s">
        <v>1176</v>
      </c>
      <c r="Y419" s="2">
        <f t="shared" si="145"/>
        <v>1.7963890310124311E-2</v>
      </c>
      <c r="Z419" s="2">
        <f t="shared" si="146"/>
        <v>3.811604619991827E-2</v>
      </c>
      <c r="AA419" s="2" t="str">
        <f t="shared" si="147"/>
        <v>No Impact</v>
      </c>
      <c r="AB419" s="2">
        <f t="shared" si="148"/>
        <v>1.4513912111066186E-2</v>
      </c>
      <c r="AC419" s="2">
        <f t="shared" si="149"/>
        <v>4.0342900460091834E-2</v>
      </c>
      <c r="AD419" s="2" t="str">
        <f t="shared" si="150"/>
        <v>No Impact</v>
      </c>
      <c r="AE419" s="2">
        <f t="shared" si="151"/>
        <v>1.1196304886278142E-2</v>
      </c>
      <c r="AF419" s="2">
        <f t="shared" si="152"/>
        <v>5.7680423463395657E-2</v>
      </c>
      <c r="AG419" s="2" t="s">
        <v>1175</v>
      </c>
    </row>
    <row r="420" spans="1:33" x14ac:dyDescent="0.3">
      <c r="A420">
        <v>507088</v>
      </c>
      <c r="B420" t="s">
        <v>849</v>
      </c>
      <c r="C420" t="s">
        <v>382</v>
      </c>
      <c r="D420" t="s">
        <v>1149</v>
      </c>
      <c r="E420" s="18">
        <v>5.2</v>
      </c>
      <c r="F420" s="19">
        <f t="shared" si="134"/>
        <v>0.44444444444444442</v>
      </c>
      <c r="G420" s="2">
        <v>47.977803000000002</v>
      </c>
      <c r="H420" s="2">
        <f t="shared" si="135"/>
        <v>0.15758011986109638</v>
      </c>
      <c r="I420" s="2">
        <v>7.5</v>
      </c>
      <c r="J420" s="4">
        <f t="shared" si="136"/>
        <v>3.6390101892285302E-2</v>
      </c>
      <c r="K420" s="2">
        <v>0</v>
      </c>
      <c r="L420" s="4">
        <f t="shared" si="137"/>
        <v>0</v>
      </c>
      <c r="M420" s="2">
        <v>62302</v>
      </c>
      <c r="N420" s="2">
        <f t="shared" si="138"/>
        <v>0.29364617488277905</v>
      </c>
      <c r="O420" s="2">
        <v>0.438278634</v>
      </c>
      <c r="P420" s="2">
        <f t="shared" si="139"/>
        <v>0.42884463928969707</v>
      </c>
      <c r="Q420" s="2">
        <v>0.25380000000000003</v>
      </c>
      <c r="R420" s="2">
        <f t="shared" si="140"/>
        <v>0.57556456282570945</v>
      </c>
      <c r="S420" s="2">
        <f t="shared" si="141"/>
        <v>1.5153092551758198E-2</v>
      </c>
      <c r="T420" s="5">
        <f t="shared" si="133"/>
        <v>3.0573696471998691E-2</v>
      </c>
      <c r="U420" s="2" t="str">
        <f t="shared" si="142"/>
        <v>No Impact</v>
      </c>
      <c r="V420" s="2">
        <f t="shared" si="143"/>
        <v>1.7366593359840827E-2</v>
      </c>
      <c r="W420" s="2">
        <f t="shared" si="144"/>
        <v>3.1283647564208691E-2</v>
      </c>
      <c r="X420" s="2" t="s">
        <v>1176</v>
      </c>
      <c r="Y420" s="2">
        <f t="shared" si="145"/>
        <v>1.2939591743675569E-2</v>
      </c>
      <c r="Z420" s="2">
        <f t="shared" si="146"/>
        <v>2.7455415736537415E-2</v>
      </c>
      <c r="AA420" s="2" t="str">
        <f t="shared" si="147"/>
        <v>No Impact</v>
      </c>
      <c r="AB420" s="2">
        <f t="shared" si="148"/>
        <v>1.3061265276039406E-2</v>
      </c>
      <c r="AC420" s="2">
        <f t="shared" si="149"/>
        <v>3.6305120279208E-2</v>
      </c>
      <c r="AD420" s="2" t="str">
        <f t="shared" si="150"/>
        <v>No Impact</v>
      </c>
      <c r="AE420" s="2">
        <f t="shared" si="151"/>
        <v>8.8602287914069898E-3</v>
      </c>
      <c r="AF420" s="2">
        <f t="shared" si="152"/>
        <v>4.5645572701156753E-2</v>
      </c>
      <c r="AG420" s="2" t="s">
        <v>1175</v>
      </c>
    </row>
    <row r="421" spans="1:33" x14ac:dyDescent="0.3">
      <c r="A421">
        <v>507605</v>
      </c>
      <c r="B421" t="s">
        <v>850</v>
      </c>
      <c r="C421" t="s">
        <v>851</v>
      </c>
      <c r="D421" t="s">
        <v>852</v>
      </c>
      <c r="E421" s="18">
        <v>5</v>
      </c>
      <c r="F421" s="19">
        <f t="shared" si="134"/>
        <v>0.39999999999999997</v>
      </c>
      <c r="G421" s="2">
        <v>60.335064000000003</v>
      </c>
      <c r="H421" s="2">
        <f t="shared" si="135"/>
        <v>0.27705530127419292</v>
      </c>
      <c r="I421" s="2">
        <v>33.9</v>
      </c>
      <c r="J421" s="4">
        <f t="shared" si="136"/>
        <v>0.16448326055312953</v>
      </c>
      <c r="K421" s="2">
        <v>0</v>
      </c>
      <c r="L421" s="4">
        <f t="shared" si="137"/>
        <v>0</v>
      </c>
      <c r="M421" s="2">
        <v>10847</v>
      </c>
      <c r="N421" s="2">
        <f t="shared" si="138"/>
        <v>5.019091283303289E-2</v>
      </c>
      <c r="O421" s="2">
        <v>0.485705946</v>
      </c>
      <c r="P421" s="2">
        <f t="shared" si="139"/>
        <v>0.48363220223823128</v>
      </c>
      <c r="Q421" s="2">
        <v>0.2616</v>
      </c>
      <c r="R421" s="2">
        <f t="shared" si="140"/>
        <v>0.59814707585408222</v>
      </c>
      <c r="S421" s="2">
        <f t="shared" si="141"/>
        <v>3.3435308666443536E-2</v>
      </c>
      <c r="T421" s="5">
        <f t="shared" si="133"/>
        <v>6.7460881343117146E-2</v>
      </c>
      <c r="U421" s="2" t="str">
        <f t="shared" si="142"/>
        <v>No Impact</v>
      </c>
      <c r="V421" s="2">
        <f t="shared" si="143"/>
        <v>3.6974699948736166E-2</v>
      </c>
      <c r="W421" s="2">
        <f t="shared" si="144"/>
        <v>6.6605088172527416E-2</v>
      </c>
      <c r="X421" s="2" t="s">
        <v>1176</v>
      </c>
      <c r="Y421" s="2">
        <f t="shared" si="145"/>
        <v>2.989591738415091E-2</v>
      </c>
      <c r="Z421" s="2">
        <f t="shared" si="146"/>
        <v>6.3433596427663233E-2</v>
      </c>
      <c r="AA421" s="2" t="str">
        <f t="shared" si="147"/>
        <v>No Impact</v>
      </c>
      <c r="AB421" s="2">
        <f t="shared" si="148"/>
        <v>2.299582014728873E-2</v>
      </c>
      <c r="AC421" s="2">
        <f t="shared" si="149"/>
        <v>6.3919229777676653E-2</v>
      </c>
      <c r="AD421" s="2" t="str">
        <f t="shared" si="150"/>
        <v>No Impact</v>
      </c>
      <c r="AE421" s="2">
        <f t="shared" si="151"/>
        <v>3.102571285673698E-3</v>
      </c>
      <c r="AF421" s="2">
        <f t="shared" si="152"/>
        <v>1.5983632761051008E-2</v>
      </c>
      <c r="AG421" s="2" t="s">
        <v>1176</v>
      </c>
    </row>
    <row r="422" spans="1:33" x14ac:dyDescent="0.3">
      <c r="A422">
        <v>507616</v>
      </c>
      <c r="B422" t="s">
        <v>853</v>
      </c>
      <c r="C422" t="s">
        <v>851</v>
      </c>
      <c r="D422" t="s">
        <v>854</v>
      </c>
      <c r="E422" s="18">
        <v>4.9000000000000004</v>
      </c>
      <c r="F422" s="19">
        <f t="shared" si="134"/>
        <v>0.37777777777777782</v>
      </c>
      <c r="G422" s="2">
        <v>68.646006</v>
      </c>
      <c r="H422" s="2">
        <f t="shared" si="135"/>
        <v>0.35740897375579889</v>
      </c>
      <c r="I422" s="2">
        <v>38.299999999999997</v>
      </c>
      <c r="J422" s="4">
        <f t="shared" si="136"/>
        <v>0.18583212032993693</v>
      </c>
      <c r="K422" s="2">
        <v>0</v>
      </c>
      <c r="L422" s="4">
        <f t="shared" si="137"/>
        <v>0</v>
      </c>
      <c r="M422" s="2">
        <v>28096</v>
      </c>
      <c r="N422" s="2">
        <f t="shared" si="138"/>
        <v>0.13180319181653441</v>
      </c>
      <c r="O422" s="2">
        <v>0.42041826599999998</v>
      </c>
      <c r="P422" s="2">
        <f t="shared" si="139"/>
        <v>0.40821251836992017</v>
      </c>
      <c r="Q422" s="2">
        <v>0.2482</v>
      </c>
      <c r="R422" s="2">
        <f t="shared" si="140"/>
        <v>0.55935147654892881</v>
      </c>
      <c r="S422" s="2">
        <f t="shared" si="141"/>
        <v>3.4749356811402232E-2</v>
      </c>
      <c r="T422" s="5">
        <f t="shared" si="133"/>
        <v>7.0112175723873682E-2</v>
      </c>
      <c r="U422" s="2" t="str">
        <f t="shared" si="142"/>
        <v>No Impact</v>
      </c>
      <c r="V422" s="2">
        <f t="shared" si="143"/>
        <v>4.0177402515300567E-2</v>
      </c>
      <c r="W422" s="2">
        <f t="shared" si="144"/>
        <v>7.2374338149732251E-2</v>
      </c>
      <c r="X422" s="2" t="s">
        <v>1176</v>
      </c>
      <c r="Y422" s="2">
        <f t="shared" si="145"/>
        <v>2.9321311107503897E-2</v>
      </c>
      <c r="Z422" s="2">
        <f t="shared" si="146"/>
        <v>6.2214388393694288E-2</v>
      </c>
      <c r="AA422" s="2" t="str">
        <f t="shared" si="147"/>
        <v>No Impact</v>
      </c>
      <c r="AB422" s="2">
        <f t="shared" si="148"/>
        <v>2.6172015220122833E-2</v>
      </c>
      <c r="AC422" s="2">
        <f t="shared" si="149"/>
        <v>7.2747788245209458E-2</v>
      </c>
      <c r="AD422" s="2" t="str">
        <f t="shared" si="150"/>
        <v>No Impact</v>
      </c>
      <c r="AE422" s="2">
        <f t="shared" si="151"/>
        <v>9.4672314500470495E-3</v>
      </c>
      <c r="AF422" s="2">
        <f t="shared" si="152"/>
        <v>4.8772691045055681E-2</v>
      </c>
      <c r="AG422" s="2" t="s">
        <v>1175</v>
      </c>
    </row>
    <row r="423" spans="1:33" x14ac:dyDescent="0.3">
      <c r="A423">
        <v>507619</v>
      </c>
      <c r="B423" t="s">
        <v>855</v>
      </c>
      <c r="C423" t="s">
        <v>851</v>
      </c>
      <c r="D423" t="s">
        <v>856</v>
      </c>
      <c r="E423" s="18">
        <v>5.0999999999999996</v>
      </c>
      <c r="F423" s="19">
        <f t="shared" si="134"/>
        <v>0.42222222222222211</v>
      </c>
      <c r="G423" s="2">
        <v>52.147173600000002</v>
      </c>
      <c r="H423" s="2">
        <f t="shared" si="135"/>
        <v>0.19789134326355032</v>
      </c>
      <c r="I423" s="2">
        <v>36.6</v>
      </c>
      <c r="J423" s="4">
        <f t="shared" si="136"/>
        <v>0.17758369723435227</v>
      </c>
      <c r="K423" s="2">
        <v>0</v>
      </c>
      <c r="L423" s="4">
        <f t="shared" si="137"/>
        <v>0</v>
      </c>
      <c r="M423" s="2">
        <v>13803</v>
      </c>
      <c r="N423" s="2">
        <f t="shared" si="138"/>
        <v>6.4176992992765663E-2</v>
      </c>
      <c r="O423" s="2">
        <v>0.43528149999999999</v>
      </c>
      <c r="P423" s="2">
        <f t="shared" si="139"/>
        <v>0.42538237965984088</v>
      </c>
      <c r="Q423" s="2">
        <v>0.26019999999999999</v>
      </c>
      <c r="R423" s="2">
        <f t="shared" si="140"/>
        <v>0.59409380428488712</v>
      </c>
      <c r="S423" s="2">
        <f t="shared" si="141"/>
        <v>2.8283769762937824E-2</v>
      </c>
      <c r="T423" s="5">
        <f t="shared" si="133"/>
        <v>5.7066858719583322E-2</v>
      </c>
      <c r="U423" s="2" t="str">
        <f t="shared" si="142"/>
        <v>No Impact</v>
      </c>
      <c r="V423" s="2">
        <f t="shared" si="143"/>
        <v>3.2964403960794433E-2</v>
      </c>
      <c r="W423" s="2">
        <f t="shared" si="144"/>
        <v>5.9381064225203353E-2</v>
      </c>
      <c r="X423" s="2" t="s">
        <v>1176</v>
      </c>
      <c r="Y423" s="2">
        <f t="shared" si="145"/>
        <v>2.3603135565081219E-2</v>
      </c>
      <c r="Z423" s="2">
        <f t="shared" si="146"/>
        <v>5.0081479575419655E-2</v>
      </c>
      <c r="AA423" s="2" t="str">
        <f t="shared" si="147"/>
        <v>No Impact</v>
      </c>
      <c r="AB423" s="2">
        <f t="shared" si="148"/>
        <v>1.9864825154081629E-2</v>
      </c>
      <c r="AC423" s="2">
        <f t="shared" si="149"/>
        <v>5.5216309546012032E-2</v>
      </c>
      <c r="AD423" s="2" t="str">
        <f t="shared" si="150"/>
        <v>No Impact</v>
      </c>
      <c r="AE423" s="2">
        <f t="shared" si="151"/>
        <v>3.5609802807977497E-3</v>
      </c>
      <c r="AF423" s="2">
        <f t="shared" si="152"/>
        <v>1.8345235560077191E-2</v>
      </c>
      <c r="AG423" s="2" t="s">
        <v>1176</v>
      </c>
    </row>
    <row r="424" spans="1:33" x14ac:dyDescent="0.3">
      <c r="A424">
        <v>507622</v>
      </c>
      <c r="B424" t="s">
        <v>857</v>
      </c>
      <c r="C424" t="s">
        <v>851</v>
      </c>
      <c r="D424" t="s">
        <v>858</v>
      </c>
      <c r="E424" s="18">
        <v>5</v>
      </c>
      <c r="F424" s="19">
        <f t="shared" si="134"/>
        <v>0.39999999999999997</v>
      </c>
      <c r="G424" s="2">
        <v>60.335064000000003</v>
      </c>
      <c r="H424" s="2">
        <f t="shared" si="135"/>
        <v>0.27705530127419292</v>
      </c>
      <c r="I424" s="2">
        <v>35</v>
      </c>
      <c r="J424" s="4">
        <f t="shared" si="136"/>
        <v>0.1698204754973314</v>
      </c>
      <c r="K424" s="2">
        <v>0</v>
      </c>
      <c r="L424" s="4">
        <f t="shared" si="137"/>
        <v>0</v>
      </c>
      <c r="M424" s="2">
        <v>30646</v>
      </c>
      <c r="N424" s="2">
        <f t="shared" si="138"/>
        <v>0.14386831509370579</v>
      </c>
      <c r="O424" s="2">
        <v>0.79541027200000003</v>
      </c>
      <c r="P424" s="2">
        <f t="shared" si="139"/>
        <v>0.84139958437783802</v>
      </c>
      <c r="Q424" s="2">
        <v>0.25369999999999998</v>
      </c>
      <c r="R424" s="2">
        <f t="shared" si="140"/>
        <v>0.57527504342790969</v>
      </c>
      <c r="S424" s="2">
        <f t="shared" si="141"/>
        <v>4.4315430231324247E-2</v>
      </c>
      <c r="T424" s="5">
        <f t="shared" si="133"/>
        <v>8.9413201185875174E-2</v>
      </c>
      <c r="U424" s="2" t="str">
        <f t="shared" si="142"/>
        <v>No Impact</v>
      </c>
      <c r="V424" s="2">
        <f t="shared" si="143"/>
        <v>3.5990707464476732E-2</v>
      </c>
      <c r="W424" s="2">
        <f t="shared" si="144"/>
        <v>6.4832554351669625E-2</v>
      </c>
      <c r="X424" s="2" t="s">
        <v>1176</v>
      </c>
      <c r="Y424" s="2">
        <f t="shared" si="145"/>
        <v>5.264015299817177E-2</v>
      </c>
      <c r="Z424" s="2">
        <f t="shared" si="146"/>
        <v>0.11169264947683799</v>
      </c>
      <c r="AA424" s="2" t="str">
        <f t="shared" si="147"/>
        <v>No Impact</v>
      </c>
      <c r="AB424" s="2">
        <f t="shared" si="148"/>
        <v>3.1539065499973581E-2</v>
      </c>
      <c r="AC424" s="2">
        <f t="shared" si="149"/>
        <v>8.7666052428388472E-2</v>
      </c>
      <c r="AD424" s="2" t="str">
        <f t="shared" si="150"/>
        <v>No Impact</v>
      </c>
      <c r="AE424" s="2">
        <f t="shared" si="151"/>
        <v>9.0007771084434259E-3</v>
      </c>
      <c r="AF424" s="2">
        <f t="shared" si="152"/>
        <v>4.6369640733071885E-2</v>
      </c>
      <c r="AG424" s="2" t="s">
        <v>1175</v>
      </c>
    </row>
    <row r="425" spans="1:33" x14ac:dyDescent="0.3">
      <c r="A425">
        <v>507633</v>
      </c>
      <c r="B425" t="s">
        <v>859</v>
      </c>
      <c r="C425" t="s">
        <v>851</v>
      </c>
      <c r="D425" t="s">
        <v>417</v>
      </c>
      <c r="E425" s="18">
        <v>5</v>
      </c>
      <c r="F425" s="19">
        <f t="shared" si="134"/>
        <v>0.39999999999999997</v>
      </c>
      <c r="G425" s="2">
        <v>60.335064000000003</v>
      </c>
      <c r="H425" s="2">
        <f t="shared" si="135"/>
        <v>0.27705530127419292</v>
      </c>
      <c r="I425" s="2">
        <v>34.5</v>
      </c>
      <c r="J425" s="4">
        <f t="shared" si="136"/>
        <v>0.16739446870451238</v>
      </c>
      <c r="K425" s="2">
        <v>0</v>
      </c>
      <c r="L425" s="4">
        <f t="shared" si="137"/>
        <v>0</v>
      </c>
      <c r="M425" s="2">
        <v>16518</v>
      </c>
      <c r="N425" s="2">
        <f t="shared" si="138"/>
        <v>7.7022800717283402E-2</v>
      </c>
      <c r="O425" s="2">
        <v>0.59002752400000003</v>
      </c>
      <c r="P425" s="2">
        <f t="shared" si="139"/>
        <v>0.60414346000391317</v>
      </c>
      <c r="Q425" s="2">
        <v>0.24990000000000001</v>
      </c>
      <c r="R425" s="2">
        <f t="shared" si="140"/>
        <v>0.56427330631152295</v>
      </c>
      <c r="S425" s="2">
        <f t="shared" si="141"/>
        <v>3.635117941197108E-2</v>
      </c>
      <c r="T425" s="5">
        <f t="shared" si="133"/>
        <v>7.3344099360880516E-2</v>
      </c>
      <c r="U425" s="2" t="str">
        <f t="shared" si="142"/>
        <v>No Impact</v>
      </c>
      <c r="V425" s="2">
        <f t="shared" si="143"/>
        <v>3.5110759767339184E-2</v>
      </c>
      <c r="W425" s="2">
        <f t="shared" si="144"/>
        <v>6.324744361280446E-2</v>
      </c>
      <c r="X425" s="2" t="s">
        <v>1176</v>
      </c>
      <c r="Y425" s="2">
        <f t="shared" si="145"/>
        <v>3.7591599056602969E-2</v>
      </c>
      <c r="Z425" s="2">
        <f t="shared" si="146"/>
        <v>7.9762406785725215E-2</v>
      </c>
      <c r="AA425" s="2" t="str">
        <f t="shared" si="147"/>
        <v>No Impact</v>
      </c>
      <c r="AB425" s="2">
        <f t="shared" si="148"/>
        <v>2.5243651172583308E-2</v>
      </c>
      <c r="AC425" s="2">
        <f t="shared" si="149"/>
        <v>7.0167305596974386E-2</v>
      </c>
      <c r="AD425" s="2" t="str">
        <f t="shared" si="150"/>
        <v>No Impact</v>
      </c>
      <c r="AE425" s="2">
        <f t="shared" si="151"/>
        <v>4.7925872486677167E-3</v>
      </c>
      <c r="AF425" s="2">
        <f t="shared" si="152"/>
        <v>2.4690151330839422E-2</v>
      </c>
      <c r="AG425" s="2" t="s">
        <v>1176</v>
      </c>
    </row>
    <row r="426" spans="1:33" x14ac:dyDescent="0.3">
      <c r="A426">
        <v>507639</v>
      </c>
      <c r="B426" t="s">
        <v>860</v>
      </c>
      <c r="C426" t="s">
        <v>851</v>
      </c>
      <c r="D426" t="s">
        <v>861</v>
      </c>
      <c r="E426" s="18">
        <v>5.0999999999999996</v>
      </c>
      <c r="F426" s="19">
        <f t="shared" si="134"/>
        <v>0.42222222222222211</v>
      </c>
      <c r="G426" s="2">
        <v>60.335064000000003</v>
      </c>
      <c r="H426" s="2">
        <f t="shared" si="135"/>
        <v>0.27705530127419292</v>
      </c>
      <c r="I426" s="2">
        <v>36.200000000000003</v>
      </c>
      <c r="J426" s="4">
        <f t="shared" si="136"/>
        <v>0.17564289180009707</v>
      </c>
      <c r="K426" s="2">
        <v>0</v>
      </c>
      <c r="L426" s="4">
        <f t="shared" si="137"/>
        <v>0</v>
      </c>
      <c r="M426" s="2">
        <v>58204</v>
      </c>
      <c r="N426" s="2">
        <f t="shared" si="138"/>
        <v>0.27425681206323071</v>
      </c>
      <c r="O426" s="2">
        <v>0.76685145899999996</v>
      </c>
      <c r="P426" s="2">
        <f t="shared" si="139"/>
        <v>0.80840872533499541</v>
      </c>
      <c r="Q426" s="2">
        <v>0.21820000000000001</v>
      </c>
      <c r="R426" s="2">
        <f t="shared" si="140"/>
        <v>0.47249565720903308</v>
      </c>
      <c r="S426" s="2">
        <f t="shared" si="141"/>
        <v>4.284544012814253E-2</v>
      </c>
      <c r="T426" s="5">
        <f t="shared" si="133"/>
        <v>8.6447269903002805E-2</v>
      </c>
      <c r="U426" s="2" t="str">
        <f t="shared" si="142"/>
        <v>No Impact</v>
      </c>
      <c r="V426" s="2">
        <f t="shared" si="143"/>
        <v>3.1609360804199023E-2</v>
      </c>
      <c r="W426" s="2">
        <f t="shared" si="144"/>
        <v>5.6940131126415564E-2</v>
      </c>
      <c r="X426" s="2" t="s">
        <v>1176</v>
      </c>
      <c r="Y426" s="2">
        <f t="shared" si="145"/>
        <v>5.408151945208603E-2</v>
      </c>
      <c r="Z426" s="2">
        <f t="shared" si="146"/>
        <v>0.11475096198041886</v>
      </c>
      <c r="AA426" s="2" t="str">
        <f t="shared" si="147"/>
        <v>No Impact</v>
      </c>
      <c r="AB426" s="2">
        <f t="shared" si="148"/>
        <v>3.3709333750120196E-2</v>
      </c>
      <c r="AC426" s="2">
        <f t="shared" si="149"/>
        <v>9.3698534595660646E-2</v>
      </c>
      <c r="AD426" s="2" t="str">
        <f t="shared" si="150"/>
        <v>No Impact</v>
      </c>
      <c r="AE426" s="2">
        <f t="shared" si="151"/>
        <v>1.8347433237213526E-2</v>
      </c>
      <c r="AF426" s="2">
        <f t="shared" si="152"/>
        <v>9.4521159376953226E-2</v>
      </c>
      <c r="AG426" s="2" t="s">
        <v>1175</v>
      </c>
    </row>
    <row r="427" spans="1:33" x14ac:dyDescent="0.3">
      <c r="A427">
        <v>507655</v>
      </c>
      <c r="B427" t="s">
        <v>862</v>
      </c>
      <c r="C427" t="s">
        <v>851</v>
      </c>
      <c r="D427" t="s">
        <v>863</v>
      </c>
      <c r="E427" s="18">
        <v>5.0999999999999996</v>
      </c>
      <c r="F427" s="19">
        <f t="shared" si="134"/>
        <v>0.42222222222222211</v>
      </c>
      <c r="G427" s="2">
        <v>67.21866</v>
      </c>
      <c r="H427" s="2">
        <f t="shared" si="135"/>
        <v>0.34360879406474454</v>
      </c>
      <c r="I427" s="2">
        <v>39</v>
      </c>
      <c r="J427" s="4">
        <f t="shared" si="136"/>
        <v>0.18922852983988356</v>
      </c>
      <c r="K427" s="2">
        <v>0</v>
      </c>
      <c r="L427" s="4">
        <f t="shared" si="137"/>
        <v>0</v>
      </c>
      <c r="M427" s="2">
        <v>95538</v>
      </c>
      <c r="N427" s="2">
        <f t="shared" si="138"/>
        <v>0.45089967968280553</v>
      </c>
      <c r="O427" s="2">
        <v>0.44126817699999998</v>
      </c>
      <c r="P427" s="2">
        <f t="shared" si="139"/>
        <v>0.43229812987123895</v>
      </c>
      <c r="Q427" s="2">
        <v>0.24340000000000001</v>
      </c>
      <c r="R427" s="2">
        <f t="shared" si="140"/>
        <v>0.54545454545454553</v>
      </c>
      <c r="S427" s="2">
        <f t="shared" si="141"/>
        <v>3.8494863789909524E-2</v>
      </c>
      <c r="T427" s="5">
        <f t="shared" si="133"/>
        <v>7.766931253297657E-2</v>
      </c>
      <c r="U427" s="2" t="str">
        <f t="shared" si="142"/>
        <v>No Impact</v>
      </c>
      <c r="V427" s="2">
        <f t="shared" si="143"/>
        <v>4.2949917623827584E-2</v>
      </c>
      <c r="W427" s="2">
        <f t="shared" si="144"/>
        <v>7.7368661660650109E-2</v>
      </c>
      <c r="X427" s="2" t="s">
        <v>1176</v>
      </c>
      <c r="Y427" s="2">
        <f t="shared" si="145"/>
        <v>3.403980995599145E-2</v>
      </c>
      <c r="Z427" s="2">
        <f t="shared" si="146"/>
        <v>7.222616852585477E-2</v>
      </c>
      <c r="AA427" s="2" t="str">
        <f t="shared" si="147"/>
        <v>No Impact</v>
      </c>
      <c r="AB427" s="2">
        <f t="shared" si="148"/>
        <v>3.7670997618653577E-2</v>
      </c>
      <c r="AC427" s="2">
        <f t="shared" si="149"/>
        <v>0.10471038377054476</v>
      </c>
      <c r="AD427" s="2" t="str">
        <f t="shared" si="150"/>
        <v>No Impact</v>
      </c>
      <c r="AE427" s="2">
        <f t="shared" si="151"/>
        <v>3.5504524181475691E-2</v>
      </c>
      <c r="AF427" s="2">
        <f t="shared" si="152"/>
        <v>0.18290998775531325</v>
      </c>
      <c r="AG427" s="2" t="s">
        <v>1175</v>
      </c>
    </row>
    <row r="428" spans="1:33" x14ac:dyDescent="0.3">
      <c r="A428">
        <v>507672</v>
      </c>
      <c r="B428" t="s">
        <v>864</v>
      </c>
      <c r="C428" t="s">
        <v>851</v>
      </c>
      <c r="D428" t="s">
        <v>865</v>
      </c>
      <c r="E428" s="18">
        <v>5</v>
      </c>
      <c r="F428" s="19">
        <f t="shared" si="134"/>
        <v>0.39999999999999997</v>
      </c>
      <c r="G428" s="2">
        <v>57.645612</v>
      </c>
      <c r="H428" s="2">
        <f t="shared" si="135"/>
        <v>0.251052551506116</v>
      </c>
      <c r="I428" s="2">
        <v>34</v>
      </c>
      <c r="J428" s="4">
        <f t="shared" si="136"/>
        <v>0.16496846191169337</v>
      </c>
      <c r="K428" s="2">
        <v>0</v>
      </c>
      <c r="L428" s="4">
        <f t="shared" si="137"/>
        <v>0</v>
      </c>
      <c r="M428" s="2">
        <v>62096</v>
      </c>
      <c r="N428" s="2">
        <f t="shared" si="138"/>
        <v>0.29267150217881932</v>
      </c>
      <c r="O428" s="2">
        <v>0.40221934999999998</v>
      </c>
      <c r="P428" s="2">
        <f t="shared" si="139"/>
        <v>0.38718931014034375</v>
      </c>
      <c r="Q428" s="2">
        <v>0.27260000000000001</v>
      </c>
      <c r="R428" s="2">
        <f t="shared" si="140"/>
        <v>0.62999420961204411</v>
      </c>
      <c r="S428" s="2">
        <f t="shared" si="141"/>
        <v>2.9621880310349787E-2</v>
      </c>
      <c r="T428" s="5">
        <f t="shared" si="133"/>
        <v>5.9766702700791402E-2</v>
      </c>
      <c r="U428" s="2" t="str">
        <f t="shared" si="142"/>
        <v>No Impact</v>
      </c>
      <c r="V428" s="2">
        <f t="shared" si="143"/>
        <v>3.6692716134221613E-2</v>
      </c>
      <c r="W428" s="2">
        <f t="shared" si="144"/>
        <v>6.6097131195053435E-2</v>
      </c>
      <c r="X428" s="2" t="s">
        <v>1176</v>
      </c>
      <c r="Y428" s="2">
        <f t="shared" si="145"/>
        <v>2.2551044486477954E-2</v>
      </c>
      <c r="Z428" s="2">
        <f t="shared" si="146"/>
        <v>4.7849137278385981E-2</v>
      </c>
      <c r="AA428" s="2" t="str">
        <f t="shared" si="147"/>
        <v>No Impact</v>
      </c>
      <c r="AB428" s="2">
        <f t="shared" si="148"/>
        <v>2.5573881244733254E-2</v>
      </c>
      <c r="AC428" s="2">
        <f t="shared" si="149"/>
        <v>7.108521379620597E-2</v>
      </c>
      <c r="AD428" s="2" t="str">
        <f t="shared" si="150"/>
        <v>No Impact</v>
      </c>
      <c r="AE428" s="2">
        <f t="shared" si="151"/>
        <v>1.70460492908923E-2</v>
      </c>
      <c r="AF428" s="2">
        <f t="shared" si="152"/>
        <v>8.7816770931416169E-2</v>
      </c>
      <c r="AG428" s="2" t="s">
        <v>1175</v>
      </c>
    </row>
    <row r="429" spans="1:33" x14ac:dyDescent="0.3">
      <c r="A429">
        <v>507683</v>
      </c>
      <c r="B429" t="s">
        <v>866</v>
      </c>
      <c r="C429" t="s">
        <v>851</v>
      </c>
      <c r="D429" t="s">
        <v>867</v>
      </c>
      <c r="E429" s="18">
        <v>5</v>
      </c>
      <c r="F429" s="19">
        <f t="shared" si="134"/>
        <v>0.39999999999999997</v>
      </c>
      <c r="G429" s="2">
        <v>68.646006</v>
      </c>
      <c r="H429" s="2">
        <f t="shared" si="135"/>
        <v>0.35740897375579889</v>
      </c>
      <c r="I429" s="2">
        <v>38.299999999999997</v>
      </c>
      <c r="J429" s="4">
        <f t="shared" si="136"/>
        <v>0.18583212032993693</v>
      </c>
      <c r="K429" s="2">
        <v>0</v>
      </c>
      <c r="L429" s="4">
        <f t="shared" si="137"/>
        <v>0</v>
      </c>
      <c r="M429" s="2">
        <v>30851</v>
      </c>
      <c r="N429" s="2">
        <f t="shared" si="138"/>
        <v>0.1448382563767725</v>
      </c>
      <c r="O429" s="2">
        <v>0.44990489500000003</v>
      </c>
      <c r="P429" s="2">
        <f t="shared" si="139"/>
        <v>0.44227518130299076</v>
      </c>
      <c r="Q429" s="2">
        <v>0.23960000000000001</v>
      </c>
      <c r="R429" s="2">
        <f t="shared" si="140"/>
        <v>0.53445280833815867</v>
      </c>
      <c r="S429" s="2">
        <f t="shared" si="141"/>
        <v>3.7141914720177339E-2</v>
      </c>
      <c r="T429" s="5">
        <f t="shared" si="133"/>
        <v>7.4939529549154879E-2</v>
      </c>
      <c r="U429" s="2" t="str">
        <f t="shared" si="142"/>
        <v>No Impact</v>
      </c>
      <c r="V429" s="2">
        <f t="shared" si="143"/>
        <v>4.0647141967434144E-2</v>
      </c>
      <c r="W429" s="2">
        <f t="shared" si="144"/>
        <v>7.3220512362662984E-2</v>
      </c>
      <c r="X429" s="2" t="s">
        <v>1176</v>
      </c>
      <c r="Y429" s="2">
        <f t="shared" si="145"/>
        <v>3.3636687472920535E-2</v>
      </c>
      <c r="Z429" s="2">
        <f t="shared" si="146"/>
        <v>7.1370817322763916E-2</v>
      </c>
      <c r="AA429" s="2" t="str">
        <f t="shared" si="147"/>
        <v>No Impact</v>
      </c>
      <c r="AB429" s="2">
        <f t="shared" si="148"/>
        <v>2.8172928480597929E-2</v>
      </c>
      <c r="AC429" s="2">
        <f t="shared" si="149"/>
        <v>7.8309530928980936E-2</v>
      </c>
      <c r="AD429" s="2" t="str">
        <f t="shared" si="150"/>
        <v>No Impact</v>
      </c>
      <c r="AE429" s="2">
        <f t="shared" si="151"/>
        <v>1.1015493000342344E-2</v>
      </c>
      <c r="AF429" s="2">
        <f t="shared" si="152"/>
        <v>5.6748928094707204E-2</v>
      </c>
      <c r="AG429" s="2" t="s">
        <v>1175</v>
      </c>
    </row>
    <row r="430" spans="1:33" x14ac:dyDescent="0.3">
      <c r="A430">
        <v>508110</v>
      </c>
      <c r="B430" t="s">
        <v>868</v>
      </c>
      <c r="C430" t="s">
        <v>869</v>
      </c>
      <c r="D430" t="s">
        <v>870</v>
      </c>
      <c r="E430" s="18">
        <v>4.3</v>
      </c>
      <c r="F430" s="19">
        <f t="shared" si="134"/>
        <v>0.24444444444444435</v>
      </c>
      <c r="G430" s="2">
        <v>57.962019599999998</v>
      </c>
      <c r="H430" s="2">
        <f t="shared" si="135"/>
        <v>0.25411171286966433</v>
      </c>
      <c r="I430" s="2">
        <v>35</v>
      </c>
      <c r="J430" s="4">
        <f t="shared" si="136"/>
        <v>0.1698204754973314</v>
      </c>
      <c r="K430" s="2">
        <v>0</v>
      </c>
      <c r="L430" s="4">
        <f t="shared" si="137"/>
        <v>0</v>
      </c>
      <c r="M430" s="2">
        <v>16015</v>
      </c>
      <c r="N430" s="2">
        <f t="shared" si="138"/>
        <v>7.4642896008100187E-2</v>
      </c>
      <c r="O430" s="2">
        <v>0.46798931599999999</v>
      </c>
      <c r="P430" s="2">
        <f t="shared" si="139"/>
        <v>0.46316612603806856</v>
      </c>
      <c r="Q430" s="2">
        <v>0.24279999999999999</v>
      </c>
      <c r="R430" s="2">
        <f t="shared" si="140"/>
        <v>0.54371742906774756</v>
      </c>
      <c r="S430" s="2">
        <f t="shared" si="141"/>
        <v>1.8259709371610928E-2</v>
      </c>
      <c r="T430" s="5">
        <f t="shared" si="133"/>
        <v>3.6841774052899012E-2</v>
      </c>
      <c r="U430" s="2" t="str">
        <f t="shared" si="142"/>
        <v>No Impact</v>
      </c>
      <c r="V430" s="2">
        <f t="shared" si="143"/>
        <v>1.9720497339959387E-2</v>
      </c>
      <c r="W430" s="2">
        <f t="shared" si="144"/>
        <v>3.5523897853266657E-2</v>
      </c>
      <c r="X430" s="2" t="s">
        <v>1176</v>
      </c>
      <c r="Y430" s="2">
        <f t="shared" si="145"/>
        <v>1.6798921403262466E-2</v>
      </c>
      <c r="Z430" s="2">
        <f t="shared" si="146"/>
        <v>3.5644198069650593E-2</v>
      </c>
      <c r="AA430" s="2" t="str">
        <f t="shared" si="147"/>
        <v>No Impact</v>
      </c>
      <c r="AB430" s="2">
        <f t="shared" si="148"/>
        <v>1.2889398303806848E-2</v>
      </c>
      <c r="AC430" s="2">
        <f t="shared" si="149"/>
        <v>3.5827398483726763E-2</v>
      </c>
      <c r="AD430" s="2" t="str">
        <f t="shared" si="150"/>
        <v>No Impact</v>
      </c>
      <c r="AE430" s="2">
        <f t="shared" si="151"/>
        <v>2.7072794681209187E-3</v>
      </c>
      <c r="AF430" s="2">
        <f t="shared" si="152"/>
        <v>1.3947193091030645E-2</v>
      </c>
      <c r="AG430" s="2" t="s">
        <v>1176</v>
      </c>
    </row>
    <row r="431" spans="1:33" x14ac:dyDescent="0.3">
      <c r="A431">
        <v>508112</v>
      </c>
      <c r="B431" t="s">
        <v>871</v>
      </c>
      <c r="C431" t="s">
        <v>869</v>
      </c>
      <c r="D431" t="s">
        <v>872</v>
      </c>
      <c r="E431" s="18">
        <v>4.5999999999999996</v>
      </c>
      <c r="F431" s="19">
        <f t="shared" si="134"/>
        <v>0.31111111111111101</v>
      </c>
      <c r="G431" s="2">
        <v>45.393818400000001</v>
      </c>
      <c r="H431" s="2">
        <f t="shared" si="135"/>
        <v>0.13259707314438079</v>
      </c>
      <c r="I431" s="2">
        <v>18.2</v>
      </c>
      <c r="J431" s="4">
        <f t="shared" si="136"/>
        <v>8.8306647258612328E-2</v>
      </c>
      <c r="K431" s="2">
        <v>0</v>
      </c>
      <c r="L431" s="4">
        <f t="shared" si="137"/>
        <v>0</v>
      </c>
      <c r="M431" s="2">
        <v>22499</v>
      </c>
      <c r="N431" s="2">
        <f t="shared" si="138"/>
        <v>0.10532142907836653</v>
      </c>
      <c r="O431" s="2">
        <v>0.53453666399999999</v>
      </c>
      <c r="P431" s="2">
        <f t="shared" si="139"/>
        <v>0.54004096595326367</v>
      </c>
      <c r="Q431" s="2">
        <v>0.24099999999999999</v>
      </c>
      <c r="R431" s="2">
        <f t="shared" si="140"/>
        <v>0.53850607990735377</v>
      </c>
      <c r="S431" s="2">
        <f t="shared" si="141"/>
        <v>1.2971664108836812E-2</v>
      </c>
      <c r="T431" s="5">
        <f t="shared" si="133"/>
        <v>2.6172328839519955E-2</v>
      </c>
      <c r="U431" s="2" t="str">
        <f t="shared" si="142"/>
        <v>No Impact</v>
      </c>
      <c r="V431" s="2">
        <f t="shared" si="143"/>
        <v>1.2953204064549176E-2</v>
      </c>
      <c r="W431" s="2">
        <f t="shared" si="144"/>
        <v>2.3333503720982272E-2</v>
      </c>
      <c r="X431" s="2" t="s">
        <v>1176</v>
      </c>
      <c r="Y431" s="2">
        <f t="shared" si="145"/>
        <v>1.2990124153124446E-2</v>
      </c>
      <c r="Z431" s="2">
        <f t="shared" si="146"/>
        <v>2.7562636144806162E-2</v>
      </c>
      <c r="AA431" s="2" t="str">
        <f t="shared" si="147"/>
        <v>No Impact</v>
      </c>
      <c r="AB431" s="2">
        <f t="shared" si="148"/>
        <v>9.3173477978516443E-3</v>
      </c>
      <c r="AC431" s="2">
        <f t="shared" si="149"/>
        <v>2.5898519426350037E-2</v>
      </c>
      <c r="AD431" s="2" t="str">
        <f t="shared" si="150"/>
        <v>No Impact</v>
      </c>
      <c r="AE431" s="2">
        <f t="shared" si="151"/>
        <v>2.533397512348858E-3</v>
      </c>
      <c r="AF431" s="2">
        <f t="shared" si="152"/>
        <v>1.3051398903265371E-2</v>
      </c>
      <c r="AG431" s="2" t="s">
        <v>1176</v>
      </c>
    </row>
    <row r="432" spans="1:33" x14ac:dyDescent="0.3">
      <c r="A432">
        <v>508122</v>
      </c>
      <c r="B432" t="s">
        <v>873</v>
      </c>
      <c r="C432" t="s">
        <v>869</v>
      </c>
      <c r="D432" t="s">
        <v>874</v>
      </c>
      <c r="E432" s="18">
        <v>4.5999999999999996</v>
      </c>
      <c r="F432" s="19">
        <f t="shared" si="134"/>
        <v>0.31111111111111101</v>
      </c>
      <c r="G432" s="2">
        <v>51.524906399999999</v>
      </c>
      <c r="H432" s="2">
        <f t="shared" si="135"/>
        <v>0.19187500302379815</v>
      </c>
      <c r="I432" s="2">
        <v>22.9</v>
      </c>
      <c r="J432" s="4">
        <f t="shared" si="136"/>
        <v>0.1111111111111111</v>
      </c>
      <c r="K432" s="2">
        <v>0</v>
      </c>
      <c r="L432" s="4">
        <f t="shared" si="137"/>
        <v>0</v>
      </c>
      <c r="M432" s="2">
        <v>27245</v>
      </c>
      <c r="N432" s="2">
        <f t="shared" si="138"/>
        <v>0.12777675263658431</v>
      </c>
      <c r="O432" s="2">
        <v>0.86567191799999998</v>
      </c>
      <c r="P432" s="2">
        <f t="shared" si="139"/>
        <v>0.9225651447008143</v>
      </c>
      <c r="Q432" s="2">
        <v>0.19739999999999999</v>
      </c>
      <c r="R432" s="2">
        <f t="shared" si="140"/>
        <v>0.41227562246670529</v>
      </c>
      <c r="S432" s="2">
        <f t="shared" si="141"/>
        <v>2.2019414038460486E-2</v>
      </c>
      <c r="T432" s="5">
        <f t="shared" si="133"/>
        <v>4.4427556883432709E-2</v>
      </c>
      <c r="U432" s="2" t="str">
        <f t="shared" si="142"/>
        <v>No Impact</v>
      </c>
      <c r="V432" s="2">
        <f t="shared" si="143"/>
        <v>1.3601723669740346E-2</v>
      </c>
      <c r="W432" s="2">
        <f t="shared" si="144"/>
        <v>2.4501727007317474E-2</v>
      </c>
      <c r="X432" s="2" t="s">
        <v>1176</v>
      </c>
      <c r="Y432" s="2">
        <f t="shared" si="145"/>
        <v>3.0437104407180633E-2</v>
      </c>
      <c r="Z432" s="2">
        <f t="shared" si="146"/>
        <v>6.4581894998656589E-2</v>
      </c>
      <c r="AA432" s="2" t="str">
        <f t="shared" si="147"/>
        <v>No Impact</v>
      </c>
      <c r="AB432" s="2">
        <f t="shared" si="148"/>
        <v>1.5367190333567831E-2</v>
      </c>
      <c r="AC432" s="2">
        <f t="shared" si="149"/>
        <v>4.2714674392007913E-2</v>
      </c>
      <c r="AD432" s="2" t="str">
        <f t="shared" si="150"/>
        <v>No Impact</v>
      </c>
      <c r="AE432" s="2">
        <f t="shared" si="151"/>
        <v>4.2155877914414955E-3</v>
      </c>
      <c r="AF432" s="2">
        <f t="shared" si="152"/>
        <v>2.1717601604032074E-2</v>
      </c>
      <c r="AG432" s="2" t="s">
        <v>1176</v>
      </c>
    </row>
    <row r="433" spans="1:33" x14ac:dyDescent="0.3">
      <c r="A433">
        <v>508125</v>
      </c>
      <c r="B433" t="s">
        <v>875</v>
      </c>
      <c r="C433" t="s">
        <v>869</v>
      </c>
      <c r="D433" t="s">
        <v>876</v>
      </c>
      <c r="E433" s="18">
        <v>4.5999999999999996</v>
      </c>
      <c r="F433" s="19">
        <f t="shared" si="134"/>
        <v>0.31111111111111101</v>
      </c>
      <c r="G433" s="2">
        <v>51.524906399999999</v>
      </c>
      <c r="H433" s="2">
        <f t="shared" si="135"/>
        <v>0.19187500302379815</v>
      </c>
      <c r="I433" s="2">
        <v>31.6</v>
      </c>
      <c r="J433" s="4">
        <f t="shared" si="136"/>
        <v>0.15332362930616206</v>
      </c>
      <c r="K433" s="2">
        <v>0</v>
      </c>
      <c r="L433" s="4">
        <f t="shared" si="137"/>
        <v>0</v>
      </c>
      <c r="M433" s="2">
        <v>29401</v>
      </c>
      <c r="N433" s="2">
        <f t="shared" si="138"/>
        <v>0.13797769608191035</v>
      </c>
      <c r="O433" s="2">
        <v>0.39844107499999998</v>
      </c>
      <c r="P433" s="2">
        <f t="shared" si="139"/>
        <v>0.38282468413330012</v>
      </c>
      <c r="Q433" s="2">
        <v>0.27479999999999999</v>
      </c>
      <c r="R433" s="2">
        <f t="shared" si="140"/>
        <v>0.63636363636363635</v>
      </c>
      <c r="S433" s="2">
        <f t="shared" si="141"/>
        <v>1.9154775890875959E-2</v>
      </c>
      <c r="T433" s="5">
        <f t="shared" si="133"/>
        <v>3.8647708517351435E-2</v>
      </c>
      <c r="U433" s="2" t="str">
        <f t="shared" si="142"/>
        <v>No Impact</v>
      </c>
      <c r="V433" s="2">
        <f t="shared" si="143"/>
        <v>2.391982442205582E-2</v>
      </c>
      <c r="W433" s="2">
        <f t="shared" si="144"/>
        <v>4.3088436604253211E-2</v>
      </c>
      <c r="X433" s="2" t="s">
        <v>1176</v>
      </c>
      <c r="Y433" s="2">
        <f t="shared" si="145"/>
        <v>1.4389727359696099E-2</v>
      </c>
      <c r="Z433" s="2">
        <f t="shared" si="146"/>
        <v>3.0532334777021299E-2</v>
      </c>
      <c r="AA433" s="2" t="str">
        <f t="shared" si="147"/>
        <v>No Impact</v>
      </c>
      <c r="AB433" s="2">
        <f t="shared" si="148"/>
        <v>1.4504078001069856E-2</v>
      </c>
      <c r="AC433" s="2">
        <f t="shared" si="149"/>
        <v>4.0315565547377773E-2</v>
      </c>
      <c r="AD433" s="2" t="str">
        <f t="shared" si="150"/>
        <v>No Impact</v>
      </c>
      <c r="AE433" s="2">
        <f t="shared" si="151"/>
        <v>5.1863464155471172E-3</v>
      </c>
      <c r="AF433" s="2">
        <f t="shared" si="152"/>
        <v>2.6718695186949762E-2</v>
      </c>
      <c r="AG433" s="2" t="s">
        <v>1176</v>
      </c>
    </row>
    <row r="434" spans="1:33" x14ac:dyDescent="0.3">
      <c r="A434">
        <v>508131</v>
      </c>
      <c r="B434" t="s">
        <v>877</v>
      </c>
      <c r="C434" t="s">
        <v>869</v>
      </c>
      <c r="D434" t="s">
        <v>1147</v>
      </c>
      <c r="E434" s="18">
        <v>4.5</v>
      </c>
      <c r="F434" s="19">
        <f t="shared" si="134"/>
        <v>0.28888888888888886</v>
      </c>
      <c r="G434" s="2">
        <v>43.386397199999998</v>
      </c>
      <c r="H434" s="2">
        <f t="shared" si="135"/>
        <v>0.11318848316295237</v>
      </c>
      <c r="I434" s="2">
        <v>19.5</v>
      </c>
      <c r="J434" s="4">
        <f t="shared" si="136"/>
        <v>9.4614264919941779E-2</v>
      </c>
      <c r="K434" s="2">
        <v>0</v>
      </c>
      <c r="L434" s="4">
        <f t="shared" si="137"/>
        <v>0</v>
      </c>
      <c r="M434" s="2">
        <v>23168</v>
      </c>
      <c r="N434" s="2">
        <f t="shared" si="138"/>
        <v>0.10848674965578912</v>
      </c>
      <c r="O434" s="2">
        <v>0.50848118200000003</v>
      </c>
      <c r="P434" s="2">
        <f t="shared" si="139"/>
        <v>0.50994193018607958</v>
      </c>
      <c r="Q434" s="2">
        <v>0.2331</v>
      </c>
      <c r="R434" s="2">
        <f t="shared" si="140"/>
        <v>0.51563404748118125</v>
      </c>
      <c r="S434" s="2">
        <f t="shared" si="141"/>
        <v>1.0774273941090137E-2</v>
      </c>
      <c r="T434" s="5">
        <f t="shared" ref="T434:T497" si="153">(S434-$AJ$10)/$AK$10</f>
        <v>2.1738755970498836E-2</v>
      </c>
      <c r="U434" s="2" t="str">
        <f t="shared" si="142"/>
        <v>No Impact</v>
      </c>
      <c r="V434" s="2">
        <f t="shared" si="143"/>
        <v>1.0834072953915825E-2</v>
      </c>
      <c r="W434" s="2">
        <f t="shared" si="144"/>
        <v>1.9516166063920239E-2</v>
      </c>
      <c r="X434" s="2" t="s">
        <v>1176</v>
      </c>
      <c r="Y434" s="2">
        <f t="shared" si="145"/>
        <v>1.071447492826445E-2</v>
      </c>
      <c r="Z434" s="2">
        <f t="shared" si="146"/>
        <v>2.2734130209168906E-2</v>
      </c>
      <c r="AA434" s="2" t="str">
        <f t="shared" si="147"/>
        <v>No Impact</v>
      </c>
      <c r="AB434" s="2">
        <f t="shared" si="148"/>
        <v>7.8040696278869484E-3</v>
      </c>
      <c r="AC434" s="2">
        <f t="shared" si="149"/>
        <v>2.1692208260060984E-2</v>
      </c>
      <c r="AD434" s="2" t="str">
        <f t="shared" si="150"/>
        <v>No Impact</v>
      </c>
      <c r="AE434" s="2">
        <f t="shared" si="151"/>
        <v>2.2794331872487881E-3</v>
      </c>
      <c r="AF434" s="2">
        <f t="shared" si="152"/>
        <v>1.1743041372351702E-2</v>
      </c>
      <c r="AG434" s="2" t="s">
        <v>1176</v>
      </c>
    </row>
    <row r="435" spans="1:33" x14ac:dyDescent="0.3">
      <c r="A435">
        <v>508134</v>
      </c>
      <c r="B435" t="s">
        <v>878</v>
      </c>
      <c r="C435" t="s">
        <v>869</v>
      </c>
      <c r="D435" t="s">
        <v>879</v>
      </c>
      <c r="E435" s="18">
        <v>4.7</v>
      </c>
      <c r="F435" s="19">
        <f t="shared" si="134"/>
        <v>0.33333333333333331</v>
      </c>
      <c r="G435" s="2">
        <v>48.969208799999997</v>
      </c>
      <c r="H435" s="2">
        <f t="shared" si="135"/>
        <v>0.16716544688534518</v>
      </c>
      <c r="I435" s="2">
        <v>19.600000000000001</v>
      </c>
      <c r="J435" s="4">
        <f t="shared" si="136"/>
        <v>9.5099466278505587E-2</v>
      </c>
      <c r="K435" s="2">
        <v>0</v>
      </c>
      <c r="L435" s="4">
        <f t="shared" si="137"/>
        <v>0</v>
      </c>
      <c r="M435" s="2">
        <v>52038</v>
      </c>
      <c r="N435" s="2">
        <f t="shared" si="138"/>
        <v>0.24508287083694105</v>
      </c>
      <c r="O435" s="2">
        <v>0.58318782499999999</v>
      </c>
      <c r="P435" s="2">
        <f t="shared" si="139"/>
        <v>0.5962423071932389</v>
      </c>
      <c r="Q435" s="2">
        <v>0.2021</v>
      </c>
      <c r="R435" s="2">
        <f t="shared" si="140"/>
        <v>0.42588303416328899</v>
      </c>
      <c r="S435" s="2">
        <f t="shared" si="141"/>
        <v>1.5637277477117396E-2</v>
      </c>
      <c r="T435" s="5">
        <f t="shared" si="153"/>
        <v>3.155061408097428E-2</v>
      </c>
      <c r="U435" s="2" t="str">
        <f t="shared" si="142"/>
        <v>No Impact</v>
      </c>
      <c r="V435" s="2">
        <f t="shared" si="143"/>
        <v>1.3030987313492431E-2</v>
      </c>
      <c r="W435" s="2">
        <f t="shared" si="144"/>
        <v>2.3473620075175654E-2</v>
      </c>
      <c r="X435" s="2" t="s">
        <v>1176</v>
      </c>
      <c r="Y435" s="2">
        <f t="shared" si="145"/>
        <v>1.8243567640742361E-2</v>
      </c>
      <c r="Z435" s="2">
        <f t="shared" si="146"/>
        <v>3.8709469666153719E-2</v>
      </c>
      <c r="AA435" s="2" t="str">
        <f t="shared" si="147"/>
        <v>No Impact</v>
      </c>
      <c r="AB435" s="2">
        <f t="shared" si="148"/>
        <v>1.265854523032996E-2</v>
      </c>
      <c r="AC435" s="2">
        <f t="shared" si="149"/>
        <v>3.5185718797856029E-2</v>
      </c>
      <c r="AD435" s="2" t="str">
        <f t="shared" si="150"/>
        <v>No Impact</v>
      </c>
      <c r="AE435" s="2">
        <f t="shared" si="151"/>
        <v>7.4989410810997184E-3</v>
      </c>
      <c r="AF435" s="2">
        <f t="shared" si="152"/>
        <v>3.8632575789803343E-2</v>
      </c>
      <c r="AG435" s="2" t="s">
        <v>1175</v>
      </c>
    </row>
    <row r="436" spans="1:33" x14ac:dyDescent="0.3">
      <c r="A436">
        <v>508140</v>
      </c>
      <c r="B436" t="s">
        <v>880</v>
      </c>
      <c r="C436" t="s">
        <v>869</v>
      </c>
      <c r="D436" t="s">
        <v>881</v>
      </c>
      <c r="E436" s="18">
        <v>3.6</v>
      </c>
      <c r="F436" s="19">
        <f t="shared" si="134"/>
        <v>8.8888888888888865E-2</v>
      </c>
      <c r="G436" s="2">
        <v>51.524906399999999</v>
      </c>
      <c r="H436" s="2">
        <f t="shared" si="135"/>
        <v>0.19187500302379815</v>
      </c>
      <c r="I436" s="2">
        <v>25.3</v>
      </c>
      <c r="J436" s="4">
        <f t="shared" si="136"/>
        <v>0.12275594371664242</v>
      </c>
      <c r="K436" s="2">
        <v>0</v>
      </c>
      <c r="L436" s="4">
        <f t="shared" si="137"/>
        <v>0</v>
      </c>
      <c r="M436" s="2">
        <v>7843</v>
      </c>
      <c r="N436" s="2">
        <f t="shared" si="138"/>
        <v>3.5977724470435714E-2</v>
      </c>
      <c r="O436" s="2">
        <v>0.481206209</v>
      </c>
      <c r="P436" s="2">
        <f t="shared" si="139"/>
        <v>0.47843415044606247</v>
      </c>
      <c r="Q436" s="2">
        <v>0.2225</v>
      </c>
      <c r="R436" s="2">
        <f t="shared" si="140"/>
        <v>0.48494499131441809</v>
      </c>
      <c r="S436" s="2">
        <f t="shared" si="141"/>
        <v>4.7150272002103354E-3</v>
      </c>
      <c r="T436" s="5">
        <f t="shared" si="153"/>
        <v>9.513293077571967E-3</v>
      </c>
      <c r="U436" s="2" t="str">
        <f t="shared" si="142"/>
        <v>No Impact</v>
      </c>
      <c r="V436" s="2">
        <f t="shared" si="143"/>
        <v>4.7468929428445784E-3</v>
      </c>
      <c r="W436" s="2">
        <f t="shared" si="144"/>
        <v>8.5509070646161717E-3</v>
      </c>
      <c r="X436" s="2" t="s">
        <v>1176</v>
      </c>
      <c r="Y436" s="2">
        <f t="shared" si="145"/>
        <v>4.6831614575760915E-3</v>
      </c>
      <c r="Z436" s="2">
        <f t="shared" si="146"/>
        <v>9.9368007373126527E-3</v>
      </c>
      <c r="AA436" s="2" t="str">
        <f t="shared" si="147"/>
        <v>No Impact</v>
      </c>
      <c r="AB436" s="2">
        <f t="shared" si="148"/>
        <v>3.189619982840273E-3</v>
      </c>
      <c r="AC436" s="2">
        <f t="shared" si="149"/>
        <v>8.8658743754644574E-3</v>
      </c>
      <c r="AD436" s="2" t="str">
        <f t="shared" si="150"/>
        <v>No Impact</v>
      </c>
      <c r="AE436" s="2">
        <f t="shared" si="151"/>
        <v>3.5216861591955243E-4</v>
      </c>
      <c r="AF436" s="2">
        <f t="shared" si="152"/>
        <v>1.8142802561274499E-3</v>
      </c>
      <c r="AG436" s="2" t="s">
        <v>1176</v>
      </c>
    </row>
    <row r="437" spans="1:33" x14ac:dyDescent="0.3">
      <c r="A437">
        <v>508153</v>
      </c>
      <c r="B437" t="s">
        <v>882</v>
      </c>
      <c r="C437" t="s">
        <v>869</v>
      </c>
      <c r="D437" t="s">
        <v>883</v>
      </c>
      <c r="E437" s="18">
        <v>3.5</v>
      </c>
      <c r="F437" s="19">
        <f t="shared" si="134"/>
        <v>6.6666666666666624E-2</v>
      </c>
      <c r="G437" s="2">
        <v>52.562178000000003</v>
      </c>
      <c r="H437" s="2">
        <f t="shared" si="135"/>
        <v>0.20190377983644728</v>
      </c>
      <c r="I437" s="2">
        <v>14.6</v>
      </c>
      <c r="J437" s="4">
        <f t="shared" si="136"/>
        <v>7.0839398350315386E-2</v>
      </c>
      <c r="K437" s="2">
        <v>0</v>
      </c>
      <c r="L437" s="4">
        <f t="shared" si="137"/>
        <v>0</v>
      </c>
      <c r="M437" s="2">
        <v>20804</v>
      </c>
      <c r="N437" s="2">
        <f t="shared" si="138"/>
        <v>9.7301670664717316E-2</v>
      </c>
      <c r="O437" s="2">
        <v>0.57937071699999998</v>
      </c>
      <c r="P437" s="2">
        <f t="shared" si="139"/>
        <v>0.5918328216876857</v>
      </c>
      <c r="Q437" s="2">
        <v>0.23549999999999999</v>
      </c>
      <c r="R437" s="2">
        <f t="shared" si="140"/>
        <v>0.52258251302837289</v>
      </c>
      <c r="S437" s="2">
        <f t="shared" si="141"/>
        <v>3.5460737691227627E-3</v>
      </c>
      <c r="T437" s="5">
        <f t="shared" si="153"/>
        <v>7.1547496139259207E-3</v>
      </c>
      <c r="U437" s="2" t="str">
        <f t="shared" si="142"/>
        <v>No Impact</v>
      </c>
      <c r="V437" s="2">
        <f t="shared" si="143"/>
        <v>3.3257190275909512E-3</v>
      </c>
      <c r="W437" s="2">
        <f t="shared" si="144"/>
        <v>5.9908480495274143E-3</v>
      </c>
      <c r="X437" s="2" t="s">
        <v>1176</v>
      </c>
      <c r="Y437" s="2">
        <f t="shared" si="145"/>
        <v>3.7664285106545738E-3</v>
      </c>
      <c r="Z437" s="2">
        <f t="shared" si="146"/>
        <v>7.9916633113646333E-3</v>
      </c>
      <c r="AA437" s="2" t="str">
        <f t="shared" si="147"/>
        <v>No Impact</v>
      </c>
      <c r="AB437" s="2">
        <f t="shared" si="148"/>
        <v>2.5106602092030148E-3</v>
      </c>
      <c r="AC437" s="2">
        <f t="shared" si="149"/>
        <v>6.978636368602761E-3</v>
      </c>
      <c r="AD437" s="2" t="str">
        <f t="shared" si="150"/>
        <v>No Impact</v>
      </c>
      <c r="AE437" s="2">
        <f t="shared" si="151"/>
        <v>6.1922856099945575E-4</v>
      </c>
      <c r="AF437" s="2">
        <f t="shared" si="152"/>
        <v>3.1901029832486858E-3</v>
      </c>
      <c r="AG437" s="2" t="s">
        <v>1176</v>
      </c>
    </row>
    <row r="438" spans="1:33" x14ac:dyDescent="0.3">
      <c r="A438">
        <v>508172</v>
      </c>
      <c r="B438" t="s">
        <v>884</v>
      </c>
      <c r="C438" t="s">
        <v>869</v>
      </c>
      <c r="D438" t="s">
        <v>885</v>
      </c>
      <c r="E438" s="18">
        <v>4.5</v>
      </c>
      <c r="F438" s="19">
        <f t="shared" si="134"/>
        <v>0.28888888888888886</v>
      </c>
      <c r="G438" s="2">
        <v>51.524906399999999</v>
      </c>
      <c r="H438" s="2">
        <f t="shared" si="135"/>
        <v>0.19187500302379815</v>
      </c>
      <c r="I438" s="2">
        <v>22.9</v>
      </c>
      <c r="J438" s="4">
        <f t="shared" si="136"/>
        <v>0.1111111111111111</v>
      </c>
      <c r="K438" s="2">
        <v>0</v>
      </c>
      <c r="L438" s="4">
        <f t="shared" si="137"/>
        <v>0</v>
      </c>
      <c r="M438" s="2">
        <v>62600</v>
      </c>
      <c r="N438" s="2">
        <f t="shared" si="138"/>
        <v>0.29505613830889554</v>
      </c>
      <c r="O438" s="2">
        <v>0.77853773400000004</v>
      </c>
      <c r="P438" s="2">
        <f t="shared" si="139"/>
        <v>0.82190859492904655</v>
      </c>
      <c r="Q438" s="2">
        <v>0.22059999999999999</v>
      </c>
      <c r="R438" s="2">
        <f t="shared" si="140"/>
        <v>0.47944412275622467</v>
      </c>
      <c r="S438" s="2">
        <f t="shared" si="141"/>
        <v>1.9933641154212842E-2</v>
      </c>
      <c r="T438" s="5">
        <f t="shared" si="153"/>
        <v>4.0219189063154755E-2</v>
      </c>
      <c r="U438" s="2" t="str">
        <f t="shared" si="142"/>
        <v>No Impact</v>
      </c>
      <c r="V438" s="2">
        <f t="shared" si="143"/>
        <v>1.4687896627315922E-2</v>
      </c>
      <c r="W438" s="2">
        <f t="shared" si="144"/>
        <v>2.6458325592572766E-2</v>
      </c>
      <c r="X438" s="2" t="s">
        <v>1176</v>
      </c>
      <c r="Y438" s="2">
        <f t="shared" si="145"/>
        <v>2.5179385681109757E-2</v>
      </c>
      <c r="Z438" s="2">
        <f t="shared" si="146"/>
        <v>5.3425990213591908E-2</v>
      </c>
      <c r="AA438" s="2" t="str">
        <f t="shared" si="147"/>
        <v>No Impact</v>
      </c>
      <c r="AB438" s="2">
        <f t="shared" si="148"/>
        <v>1.5858272326795705E-2</v>
      </c>
      <c r="AC438" s="2">
        <f t="shared" si="149"/>
        <v>4.4079686927493103E-2</v>
      </c>
      <c r="AD438" s="2" t="str">
        <f t="shared" si="150"/>
        <v>No Impact</v>
      </c>
      <c r="AE438" s="2">
        <f t="shared" si="151"/>
        <v>9.0391222940063073E-3</v>
      </c>
      <c r="AF438" s="2">
        <f t="shared" si="152"/>
        <v>4.6567185062519376E-2</v>
      </c>
      <c r="AG438" s="2" t="s">
        <v>1175</v>
      </c>
    </row>
    <row r="439" spans="1:33" x14ac:dyDescent="0.3">
      <c r="A439">
        <v>508182</v>
      </c>
      <c r="B439" t="s">
        <v>886</v>
      </c>
      <c r="C439" t="s">
        <v>869</v>
      </c>
      <c r="D439" t="s">
        <v>887</v>
      </c>
      <c r="E439" s="18">
        <v>4.5999999999999996</v>
      </c>
      <c r="F439" s="19">
        <f t="shared" si="134"/>
        <v>0.31111111111111101</v>
      </c>
      <c r="G439" s="2">
        <v>53.785454399999999</v>
      </c>
      <c r="H439" s="2">
        <f t="shared" si="135"/>
        <v>0.21373092905732713</v>
      </c>
      <c r="I439" s="2">
        <v>26.6</v>
      </c>
      <c r="J439" s="4">
        <f t="shared" si="136"/>
        <v>0.12906356137797187</v>
      </c>
      <c r="K439" s="2">
        <v>0</v>
      </c>
      <c r="L439" s="4">
        <f t="shared" si="137"/>
        <v>0</v>
      </c>
      <c r="M439" s="2">
        <v>25708</v>
      </c>
      <c r="N439" s="2">
        <f t="shared" si="138"/>
        <v>0.12050455872403042</v>
      </c>
      <c r="O439" s="2">
        <v>0.42773845199999999</v>
      </c>
      <c r="P439" s="2">
        <f t="shared" si="139"/>
        <v>0.41666872502295543</v>
      </c>
      <c r="Q439" s="2">
        <v>0.27629999999999999</v>
      </c>
      <c r="R439" s="2">
        <f t="shared" si="140"/>
        <v>0.64070642733063121</v>
      </c>
      <c r="S439" s="2">
        <f t="shared" si="141"/>
        <v>1.9734062723277466E-2</v>
      </c>
      <c r="T439" s="5">
        <f t="shared" si="153"/>
        <v>3.9816508861147543E-2</v>
      </c>
      <c r="U439" s="2" t="str">
        <f t="shared" si="142"/>
        <v>No Impact</v>
      </c>
      <c r="V439" s="2">
        <f t="shared" si="143"/>
        <v>2.391533562332401E-2</v>
      </c>
      <c r="W439" s="2">
        <f t="shared" si="144"/>
        <v>4.3080350620168538E-2</v>
      </c>
      <c r="X439" s="2" t="s">
        <v>1176</v>
      </c>
      <c r="Y439" s="2">
        <f t="shared" si="145"/>
        <v>1.555278982323092E-2</v>
      </c>
      <c r="Z439" s="2">
        <f t="shared" si="146"/>
        <v>3.3000137787847925E-2</v>
      </c>
      <c r="AA439" s="2" t="str">
        <f t="shared" si="147"/>
        <v>No Impact</v>
      </c>
      <c r="AB439" s="2">
        <f t="shared" si="148"/>
        <v>1.4610509580622294E-2</v>
      </c>
      <c r="AC439" s="2">
        <f t="shared" si="149"/>
        <v>4.0611402988505761E-2</v>
      </c>
      <c r="AD439" s="2" t="str">
        <f t="shared" si="150"/>
        <v>No Impact</v>
      </c>
      <c r="AE439" s="2">
        <f t="shared" si="151"/>
        <v>4.4980147585417631E-3</v>
      </c>
      <c r="AF439" s="2">
        <f t="shared" si="152"/>
        <v>2.3172591194373714E-2</v>
      </c>
      <c r="AG439" s="2" t="s">
        <v>1176</v>
      </c>
    </row>
    <row r="440" spans="1:33" x14ac:dyDescent="0.3">
      <c r="A440">
        <v>508185</v>
      </c>
      <c r="B440" t="s">
        <v>888</v>
      </c>
      <c r="C440" t="s">
        <v>869</v>
      </c>
      <c r="D440" t="s">
        <v>889</v>
      </c>
      <c r="E440" s="18">
        <v>4.5999999999999996</v>
      </c>
      <c r="F440" s="19">
        <f t="shared" si="134"/>
        <v>0.31111111111111101</v>
      </c>
      <c r="G440" s="2">
        <v>48.969208799999997</v>
      </c>
      <c r="H440" s="2">
        <f t="shared" si="135"/>
        <v>0.16716544688534518</v>
      </c>
      <c r="I440" s="2">
        <v>20.3</v>
      </c>
      <c r="J440" s="4">
        <f t="shared" si="136"/>
        <v>9.8495875788452217E-2</v>
      </c>
      <c r="K440" s="2">
        <v>0</v>
      </c>
      <c r="L440" s="4">
        <f t="shared" si="137"/>
        <v>0</v>
      </c>
      <c r="M440" s="2">
        <v>13822</v>
      </c>
      <c r="N440" s="2">
        <f t="shared" si="138"/>
        <v>6.4266889989732817E-2</v>
      </c>
      <c r="O440" s="2">
        <v>0.65374169699999995</v>
      </c>
      <c r="P440" s="2">
        <f t="shared" si="139"/>
        <v>0.67774544410858462</v>
      </c>
      <c r="Q440" s="2">
        <v>0.20930000000000001</v>
      </c>
      <c r="R440" s="2">
        <f t="shared" si="140"/>
        <v>0.44672843080486402</v>
      </c>
      <c r="S440" s="2">
        <f t="shared" si="141"/>
        <v>1.6264146254622452E-2</v>
      </c>
      <c r="T440" s="5">
        <f t="shared" si="153"/>
        <v>3.2815418322468121E-2</v>
      </c>
      <c r="U440" s="2" t="str">
        <f t="shared" si="142"/>
        <v>No Impact</v>
      </c>
      <c r="V440" s="2">
        <f t="shared" si="143"/>
        <v>1.29227662763931E-2</v>
      </c>
      <c r="W440" s="2">
        <f t="shared" si="144"/>
        <v>2.3278674024819142E-2</v>
      </c>
      <c r="X440" s="2" t="s">
        <v>1176</v>
      </c>
      <c r="Y440" s="2">
        <f t="shared" si="145"/>
        <v>1.9605526232851802E-2</v>
      </c>
      <c r="Z440" s="2">
        <f t="shared" si="146"/>
        <v>4.1599293402717154E-2</v>
      </c>
      <c r="AA440" s="2" t="str">
        <f t="shared" si="147"/>
        <v>No Impact</v>
      </c>
      <c r="AB440" s="2">
        <f t="shared" si="148"/>
        <v>1.105530571776976E-2</v>
      </c>
      <c r="AC440" s="2">
        <f t="shared" si="149"/>
        <v>3.0729350895532349E-2</v>
      </c>
      <c r="AD440" s="2" t="str">
        <f t="shared" si="150"/>
        <v>No Impact</v>
      </c>
      <c r="AE440" s="2">
        <f t="shared" si="151"/>
        <v>1.8590847176475297E-3</v>
      </c>
      <c r="AF440" s="2">
        <f t="shared" si="152"/>
        <v>9.5775164089768744E-3</v>
      </c>
      <c r="AG440" s="2" t="s">
        <v>1176</v>
      </c>
    </row>
    <row r="441" spans="1:33" x14ac:dyDescent="0.3">
      <c r="A441">
        <v>508190</v>
      </c>
      <c r="B441" t="s">
        <v>890</v>
      </c>
      <c r="C441" t="s">
        <v>869</v>
      </c>
      <c r="D441" t="s">
        <v>891</v>
      </c>
      <c r="E441" s="18">
        <v>3.6</v>
      </c>
      <c r="F441" s="19">
        <f t="shared" si="134"/>
        <v>8.8888888888888865E-2</v>
      </c>
      <c r="G441" s="2">
        <v>44.943818399999998</v>
      </c>
      <c r="H441" s="2">
        <f t="shared" si="135"/>
        <v>0.12824628443514388</v>
      </c>
      <c r="I441" s="2">
        <v>17.600000000000001</v>
      </c>
      <c r="J441" s="4">
        <f t="shared" si="136"/>
        <v>8.5395439107229507E-2</v>
      </c>
      <c r="K441" s="2">
        <v>0</v>
      </c>
      <c r="L441" s="4">
        <f t="shared" si="137"/>
        <v>0</v>
      </c>
      <c r="M441" s="2">
        <v>6230</v>
      </c>
      <c r="N441" s="2">
        <f t="shared" si="138"/>
        <v>2.8345942570013202E-2</v>
      </c>
      <c r="O441" s="2">
        <v>0.43769973899999998</v>
      </c>
      <c r="P441" s="2">
        <f t="shared" si="139"/>
        <v>0.42817590549653811</v>
      </c>
      <c r="Q441" s="2">
        <v>0.22120000000000001</v>
      </c>
      <c r="R441" s="2">
        <f t="shared" si="140"/>
        <v>0.48118123914302263</v>
      </c>
      <c r="S441" s="2">
        <f t="shared" si="141"/>
        <v>3.0220808752768201E-3</v>
      </c>
      <c r="T441" s="5">
        <f t="shared" si="153"/>
        <v>6.0975133015883937E-3</v>
      </c>
      <c r="U441" s="2" t="str">
        <f t="shared" si="142"/>
        <v>No Impact</v>
      </c>
      <c r="V441" s="2">
        <f t="shared" si="143"/>
        <v>3.1982343327439633E-3</v>
      </c>
      <c r="W441" s="2">
        <f t="shared" si="144"/>
        <v>5.7612010381195072E-3</v>
      </c>
      <c r="X441" s="2" t="s">
        <v>1176</v>
      </c>
      <c r="Y441" s="2">
        <f t="shared" si="145"/>
        <v>2.8459274178096769E-3</v>
      </c>
      <c r="Z441" s="2">
        <f t="shared" si="146"/>
        <v>6.0385305780737133E-3</v>
      </c>
      <c r="AA441" s="2" t="str">
        <f t="shared" si="147"/>
        <v>No Impact</v>
      </c>
      <c r="AB441" s="2">
        <f t="shared" si="148"/>
        <v>2.0391020029762782E-3</v>
      </c>
      <c r="AC441" s="2">
        <f t="shared" si="149"/>
        <v>5.6678921923003734E-3</v>
      </c>
      <c r="AD441" s="2" t="str">
        <f t="shared" si="150"/>
        <v>No Impact</v>
      </c>
      <c r="AE441" s="2">
        <f t="shared" si="151"/>
        <v>1.8840503192282338E-4</v>
      </c>
      <c r="AF441" s="2">
        <f t="shared" si="152"/>
        <v>9.7061326342243919E-4</v>
      </c>
      <c r="AG441" s="2" t="s">
        <v>1176</v>
      </c>
    </row>
    <row r="442" spans="1:33" x14ac:dyDescent="0.3">
      <c r="A442">
        <v>508194</v>
      </c>
      <c r="B442" t="s">
        <v>892</v>
      </c>
      <c r="C442" t="s">
        <v>869</v>
      </c>
      <c r="D442" t="s">
        <v>893</v>
      </c>
      <c r="E442" s="18">
        <v>4.7</v>
      </c>
      <c r="F442" s="19">
        <f t="shared" si="134"/>
        <v>0.33333333333333331</v>
      </c>
      <c r="G442" s="2">
        <v>52.562178000000003</v>
      </c>
      <c r="H442" s="2">
        <f t="shared" si="135"/>
        <v>0.20190377983644728</v>
      </c>
      <c r="I442" s="2">
        <v>14.6</v>
      </c>
      <c r="J442" s="4">
        <f t="shared" si="136"/>
        <v>7.0839398350315386E-2</v>
      </c>
      <c r="K442" s="2">
        <v>0</v>
      </c>
      <c r="L442" s="4">
        <f t="shared" si="137"/>
        <v>0</v>
      </c>
      <c r="M442" s="2">
        <v>17904</v>
      </c>
      <c r="N442" s="2">
        <f t="shared" si="138"/>
        <v>8.3580550074993015E-2</v>
      </c>
      <c r="O442" s="2">
        <v>0.30696793999999999</v>
      </c>
      <c r="P442" s="2">
        <f t="shared" si="139"/>
        <v>0.27715582097039804</v>
      </c>
      <c r="Q442" s="2">
        <v>0.2596</v>
      </c>
      <c r="R442" s="2">
        <f t="shared" si="140"/>
        <v>0.59235668789808926</v>
      </c>
      <c r="S442" s="2">
        <f t="shared" si="141"/>
        <v>1.3833960299946315E-2</v>
      </c>
      <c r="T442" s="5">
        <f t="shared" si="153"/>
        <v>2.7912144123158778E-2</v>
      </c>
      <c r="U442" s="2" t="str">
        <f t="shared" si="142"/>
        <v>No Impact</v>
      </c>
      <c r="V442" s="2">
        <f t="shared" si="143"/>
        <v>1.8848811995709393E-2</v>
      </c>
      <c r="W442" s="2">
        <f t="shared" si="144"/>
        <v>3.3953670662972571E-2</v>
      </c>
      <c r="X442" s="2" t="s">
        <v>1176</v>
      </c>
      <c r="Y442" s="2">
        <f t="shared" si="145"/>
        <v>8.819108604183239E-3</v>
      </c>
      <c r="Z442" s="2">
        <f t="shared" si="146"/>
        <v>1.8712514115591862E-2</v>
      </c>
      <c r="AA442" s="2" t="str">
        <f t="shared" si="147"/>
        <v>No Impact</v>
      </c>
      <c r="AB442" s="2">
        <f t="shared" si="148"/>
        <v>1.0173654461620361E-2</v>
      </c>
      <c r="AC442" s="2">
        <f t="shared" si="149"/>
        <v>2.8278711219946129E-2</v>
      </c>
      <c r="AD442" s="2" t="str">
        <f t="shared" si="150"/>
        <v>No Impact</v>
      </c>
      <c r="AE442" s="2">
        <f t="shared" si="151"/>
        <v>2.6595362339060036E-3</v>
      </c>
      <c r="AF442" s="2">
        <f t="shared" si="152"/>
        <v>1.3701232482151245E-2</v>
      </c>
      <c r="AG442" s="2" t="s">
        <v>1176</v>
      </c>
    </row>
    <row r="443" spans="1:33" x14ac:dyDescent="0.3">
      <c r="A443">
        <v>508811</v>
      </c>
      <c r="B443" t="s">
        <v>894</v>
      </c>
      <c r="C443" t="s">
        <v>895</v>
      </c>
      <c r="D443" t="s">
        <v>896</v>
      </c>
      <c r="E443" s="18">
        <v>7</v>
      </c>
      <c r="F443" s="19">
        <f t="shared" si="134"/>
        <v>0.84444444444444444</v>
      </c>
      <c r="G443" s="2">
        <v>51.078423600000001</v>
      </c>
      <c r="H443" s="2">
        <f t="shared" si="135"/>
        <v>0.18755822007911266</v>
      </c>
      <c r="I443" s="2">
        <v>32.700000000000003</v>
      </c>
      <c r="J443" s="4">
        <f t="shared" si="136"/>
        <v>0.15866084425036392</v>
      </c>
      <c r="K443" s="2">
        <v>0</v>
      </c>
      <c r="L443" s="4">
        <f t="shared" si="137"/>
        <v>0</v>
      </c>
      <c r="M443" s="2">
        <v>36657</v>
      </c>
      <c r="N443" s="2">
        <f t="shared" si="138"/>
        <v>0.17230888608157915</v>
      </c>
      <c r="O443" s="2">
        <v>0.74833581599999999</v>
      </c>
      <c r="P443" s="2">
        <f t="shared" si="139"/>
        <v>0.78701963719955381</v>
      </c>
      <c r="Q443" s="2">
        <v>0.23930000000000001</v>
      </c>
      <c r="R443" s="2">
        <f t="shared" si="140"/>
        <v>0.53358425014475974</v>
      </c>
      <c r="S443" s="2">
        <f t="shared" si="141"/>
        <v>6.7566695795652179E-2</v>
      </c>
      <c r="T443" s="5">
        <f t="shared" si="153"/>
        <v>0.13632620811996898</v>
      </c>
      <c r="U443" s="2" t="str">
        <f t="shared" si="142"/>
        <v>No Impact</v>
      </c>
      <c r="V443" s="2">
        <f t="shared" si="143"/>
        <v>5.4600058437481169E-2</v>
      </c>
      <c r="W443" s="2">
        <f t="shared" si="144"/>
        <v>9.8354867287513636E-2</v>
      </c>
      <c r="X443" s="2" t="s">
        <v>1176</v>
      </c>
      <c r="Y443" s="2">
        <f t="shared" si="145"/>
        <v>8.0533333153823189E-2</v>
      </c>
      <c r="Z443" s="2">
        <f t="shared" si="146"/>
        <v>0.17087680864954538</v>
      </c>
      <c r="AA443" s="2" t="str">
        <f t="shared" si="147"/>
        <v>Low</v>
      </c>
      <c r="AB443" s="2">
        <f t="shared" si="148"/>
        <v>4.9441166448609387E-2</v>
      </c>
      <c r="AC443" s="2">
        <f t="shared" si="149"/>
        <v>0.13742676966786166</v>
      </c>
      <c r="AD443" s="2" t="str">
        <f t="shared" si="150"/>
        <v>No Impact</v>
      </c>
      <c r="AE443" s="2">
        <f t="shared" si="151"/>
        <v>1.7631845855268641E-2</v>
      </c>
      <c r="AF443" s="2">
        <f t="shared" si="152"/>
        <v>9.0834641044799783E-2</v>
      </c>
      <c r="AG443" s="2" t="s">
        <v>1175</v>
      </c>
    </row>
    <row r="444" spans="1:33" x14ac:dyDescent="0.3">
      <c r="A444">
        <v>508827</v>
      </c>
      <c r="B444" t="s">
        <v>897</v>
      </c>
      <c r="C444" t="s">
        <v>895</v>
      </c>
      <c r="D444" t="s">
        <v>898</v>
      </c>
      <c r="E444" s="18">
        <v>5.4</v>
      </c>
      <c r="F444" s="19">
        <f t="shared" si="134"/>
        <v>0.48888888888888893</v>
      </c>
      <c r="G444" s="2">
        <v>55.1460024</v>
      </c>
      <c r="H444" s="2">
        <f t="shared" si="135"/>
        <v>0.22688527767238234</v>
      </c>
      <c r="I444" s="2">
        <v>29.8</v>
      </c>
      <c r="J444" s="4">
        <f t="shared" si="136"/>
        <v>0.14459000485201359</v>
      </c>
      <c r="K444" s="2">
        <v>0</v>
      </c>
      <c r="L444" s="4">
        <f t="shared" si="137"/>
        <v>0</v>
      </c>
      <c r="M444" s="2">
        <v>9272</v>
      </c>
      <c r="N444" s="2">
        <f t="shared" si="138"/>
        <v>4.2738924926544693E-2</v>
      </c>
      <c r="O444" s="2">
        <v>0.661952396</v>
      </c>
      <c r="P444" s="2">
        <f t="shared" si="139"/>
        <v>0.68723036259424486</v>
      </c>
      <c r="Q444" s="2">
        <v>0.14419999999999999</v>
      </c>
      <c r="R444" s="2">
        <f t="shared" si="140"/>
        <v>0.25825130283729009</v>
      </c>
      <c r="S444" s="2">
        <f t="shared" si="141"/>
        <v>3.0049084774068695E-2</v>
      </c>
      <c r="T444" s="5">
        <f t="shared" si="153"/>
        <v>6.0628653458408163E-2</v>
      </c>
      <c r="U444" s="2" t="str">
        <f t="shared" si="142"/>
        <v>No Impact</v>
      </c>
      <c r="V444" s="2">
        <f t="shared" si="143"/>
        <v>1.6415369172557173E-2</v>
      </c>
      <c r="W444" s="2">
        <f t="shared" si="144"/>
        <v>2.9570141546480102E-2</v>
      </c>
      <c r="X444" s="2" t="s">
        <v>1176</v>
      </c>
      <c r="Y444" s="2">
        <f t="shared" si="145"/>
        <v>4.3682800375580207E-2</v>
      </c>
      <c r="Z444" s="2">
        <f t="shared" si="146"/>
        <v>9.2686807173334398E-2</v>
      </c>
      <c r="AA444" s="2" t="str">
        <f t="shared" si="147"/>
        <v>No Impact</v>
      </c>
      <c r="AB444" s="2">
        <f t="shared" si="148"/>
        <v>1.9801042525313714E-2</v>
      </c>
      <c r="AC444" s="2">
        <f t="shared" si="149"/>
        <v>5.503901921768594E-2</v>
      </c>
      <c r="AD444" s="2" t="str">
        <f t="shared" si="150"/>
        <v>No Impact</v>
      </c>
      <c r="AE444" s="2">
        <f t="shared" si="151"/>
        <v>2.7166377206989771E-3</v>
      </c>
      <c r="AF444" s="2">
        <f t="shared" si="152"/>
        <v>1.3995404351536902E-2</v>
      </c>
      <c r="AG444" s="2" t="s">
        <v>1176</v>
      </c>
    </row>
    <row r="445" spans="1:33" x14ac:dyDescent="0.3">
      <c r="A445">
        <v>508844</v>
      </c>
      <c r="B445" t="s">
        <v>899</v>
      </c>
      <c r="C445" t="s">
        <v>895</v>
      </c>
      <c r="D445" t="s">
        <v>900</v>
      </c>
      <c r="E445" s="18">
        <v>6.9</v>
      </c>
      <c r="F445" s="19">
        <f t="shared" si="134"/>
        <v>0.8222222222222223</v>
      </c>
      <c r="G445" s="2">
        <v>51.078423600000001</v>
      </c>
      <c r="H445" s="2">
        <f t="shared" si="135"/>
        <v>0.18755822007911266</v>
      </c>
      <c r="I445" s="2">
        <v>32.1</v>
      </c>
      <c r="J445" s="4">
        <f t="shared" si="136"/>
        <v>0.1557496360989811</v>
      </c>
      <c r="K445" s="2">
        <v>0</v>
      </c>
      <c r="L445" s="4">
        <f t="shared" si="137"/>
        <v>0</v>
      </c>
      <c r="M445" s="2">
        <v>21302</v>
      </c>
      <c r="N445" s="2">
        <f t="shared" si="138"/>
        <v>9.96579182694355E-2</v>
      </c>
      <c r="O445" s="2">
        <v>0.43977144000000001</v>
      </c>
      <c r="P445" s="2">
        <f t="shared" si="139"/>
        <v>0.43056911405425785</v>
      </c>
      <c r="Q445" s="2">
        <v>0.24809999999999999</v>
      </c>
      <c r="R445" s="2">
        <f t="shared" si="140"/>
        <v>0.55906195715112916</v>
      </c>
      <c r="S445" s="2">
        <f t="shared" si="141"/>
        <v>4.8885979699362633E-2</v>
      </c>
      <c r="T445" s="5">
        <f t="shared" si="153"/>
        <v>9.863498820187587E-2</v>
      </c>
      <c r="U445" s="2" t="str">
        <f t="shared" si="142"/>
        <v>No Impact</v>
      </c>
      <c r="V445" s="2">
        <f t="shared" si="143"/>
        <v>5.5233293058770463E-2</v>
      </c>
      <c r="W445" s="2">
        <f t="shared" si="144"/>
        <v>9.9495556673589697E-2</v>
      </c>
      <c r="X445" s="2" t="s">
        <v>1176</v>
      </c>
      <c r="Y445" s="2">
        <f t="shared" si="145"/>
        <v>4.2538666339954796E-2</v>
      </c>
      <c r="Z445" s="2">
        <f t="shared" si="146"/>
        <v>9.0259166778746874E-2</v>
      </c>
      <c r="AA445" s="2" t="str">
        <f t="shared" si="147"/>
        <v>No Impact</v>
      </c>
      <c r="AB445" s="2">
        <f t="shared" si="148"/>
        <v>3.5539296738755666E-2</v>
      </c>
      <c r="AC445" s="2">
        <f t="shared" si="149"/>
        <v>9.8785103546280381E-2</v>
      </c>
      <c r="AD445" s="2" t="str">
        <f t="shared" si="150"/>
        <v>No Impact</v>
      </c>
      <c r="AE445" s="2">
        <f t="shared" si="151"/>
        <v>9.8458407605701796E-3</v>
      </c>
      <c r="AF445" s="2">
        <f t="shared" si="152"/>
        <v>5.0723186818435601E-2</v>
      </c>
      <c r="AG445" s="2" t="s">
        <v>1175</v>
      </c>
    </row>
    <row r="446" spans="1:33" x14ac:dyDescent="0.3">
      <c r="A446">
        <v>508850</v>
      </c>
      <c r="B446" t="s">
        <v>901</v>
      </c>
      <c r="C446" t="s">
        <v>895</v>
      </c>
      <c r="D446" t="s">
        <v>902</v>
      </c>
      <c r="E446" s="18">
        <v>6.9</v>
      </c>
      <c r="F446" s="19">
        <f t="shared" si="134"/>
        <v>0.8222222222222223</v>
      </c>
      <c r="G446" s="2">
        <v>45.734835599999997</v>
      </c>
      <c r="H446" s="2">
        <f t="shared" si="135"/>
        <v>0.13589417044085983</v>
      </c>
      <c r="I446" s="2">
        <v>26.7</v>
      </c>
      <c r="J446" s="4">
        <f t="shared" si="136"/>
        <v>0.12954876273653565</v>
      </c>
      <c r="K446" s="2">
        <v>0</v>
      </c>
      <c r="L446" s="4">
        <f t="shared" si="137"/>
        <v>0</v>
      </c>
      <c r="M446" s="2">
        <v>13658</v>
      </c>
      <c r="N446" s="2">
        <f t="shared" si="138"/>
        <v>6.349093696327944E-2</v>
      </c>
      <c r="O446" s="2">
        <v>0.73200539499999995</v>
      </c>
      <c r="P446" s="2">
        <f t="shared" si="139"/>
        <v>0.76815489596113884</v>
      </c>
      <c r="Q446" s="2">
        <v>0.22900000000000001</v>
      </c>
      <c r="R446" s="2">
        <f t="shared" si="140"/>
        <v>0.50376375217139557</v>
      </c>
      <c r="S446" s="2">
        <f t="shared" si="141"/>
        <v>4.8580028072967685E-2</v>
      </c>
      <c r="T446" s="5">
        <f t="shared" si="153"/>
        <v>9.8017683705875269E-2</v>
      </c>
      <c r="U446" s="2" t="str">
        <f t="shared" si="142"/>
        <v>No Impact</v>
      </c>
      <c r="V446" s="2">
        <f t="shared" si="143"/>
        <v>3.8481796392499858E-2</v>
      </c>
      <c r="W446" s="2">
        <f t="shared" si="144"/>
        <v>6.9319925389882964E-2</v>
      </c>
      <c r="X446" s="2" t="s">
        <v>1176</v>
      </c>
      <c r="Y446" s="2">
        <f t="shared" si="145"/>
        <v>5.8678259753435505E-2</v>
      </c>
      <c r="Z446" s="2">
        <f t="shared" si="146"/>
        <v>0.12450439303964304</v>
      </c>
      <c r="AA446" s="2" t="str">
        <f t="shared" si="147"/>
        <v>No Impact</v>
      </c>
      <c r="AB446" s="2">
        <f t="shared" si="148"/>
        <v>3.2769600487565345E-2</v>
      </c>
      <c r="AC446" s="2">
        <f t="shared" si="149"/>
        <v>9.1086450053590021E-2</v>
      </c>
      <c r="AD446" s="2" t="str">
        <f t="shared" si="150"/>
        <v>No Impact</v>
      </c>
      <c r="AE446" s="2">
        <f t="shared" si="151"/>
        <v>4.8499823547421437E-3</v>
      </c>
      <c r="AF446" s="2">
        <f t="shared" si="152"/>
        <v>2.4985835849680706E-2</v>
      </c>
      <c r="AG446" s="2" t="s">
        <v>1176</v>
      </c>
    </row>
    <row r="447" spans="1:33" x14ac:dyDescent="0.3">
      <c r="A447">
        <v>508861</v>
      </c>
      <c r="B447" t="s">
        <v>903</v>
      </c>
      <c r="C447" t="s">
        <v>895</v>
      </c>
      <c r="D447" t="s">
        <v>904</v>
      </c>
      <c r="E447" s="18">
        <v>6.8</v>
      </c>
      <c r="F447" s="19">
        <f t="shared" si="134"/>
        <v>0.79999999999999993</v>
      </c>
      <c r="G447" s="2">
        <v>45.734835599999997</v>
      </c>
      <c r="H447" s="2">
        <f t="shared" si="135"/>
        <v>0.13589417044085983</v>
      </c>
      <c r="I447" s="2">
        <v>30.2</v>
      </c>
      <c r="J447" s="4">
        <f t="shared" si="136"/>
        <v>0.1465308102862688</v>
      </c>
      <c r="K447" s="2">
        <v>0</v>
      </c>
      <c r="L447" s="4">
        <f t="shared" si="137"/>
        <v>0</v>
      </c>
      <c r="M447" s="2">
        <v>35856</v>
      </c>
      <c r="N447" s="2">
        <f t="shared" si="138"/>
        <v>0.16851901794627944</v>
      </c>
      <c r="O447" s="2">
        <v>0.42796689500000001</v>
      </c>
      <c r="P447" s="2">
        <f t="shared" si="139"/>
        <v>0.41693262012294868</v>
      </c>
      <c r="Q447" s="2">
        <v>0.2276</v>
      </c>
      <c r="R447" s="2">
        <f t="shared" si="140"/>
        <v>0.49971048060220036</v>
      </c>
      <c r="S447" s="2">
        <f t="shared" si="141"/>
        <v>3.6243607407833785E-2</v>
      </c>
      <c r="T447" s="5">
        <f t="shared" si="153"/>
        <v>7.3127056285868297E-2</v>
      </c>
      <c r="U447" s="2" t="str">
        <f t="shared" si="142"/>
        <v>No Impact</v>
      </c>
      <c r="V447" s="2">
        <f t="shared" si="143"/>
        <v>3.9516602398901771E-2</v>
      </c>
      <c r="W447" s="2">
        <f t="shared" si="144"/>
        <v>7.1183993127915179E-2</v>
      </c>
      <c r="X447" s="2" t="s">
        <v>1176</v>
      </c>
      <c r="Y447" s="2">
        <f t="shared" si="145"/>
        <v>3.2970612416765799E-2</v>
      </c>
      <c r="Z447" s="2">
        <f t="shared" si="146"/>
        <v>6.9957529489521109E-2</v>
      </c>
      <c r="AA447" s="2" t="str">
        <f t="shared" si="147"/>
        <v>No Impact</v>
      </c>
      <c r="AB447" s="2">
        <f t="shared" si="148"/>
        <v>2.8386204643417349E-2</v>
      </c>
      <c r="AC447" s="2">
        <f t="shared" si="149"/>
        <v>7.8902353797225669E-2</v>
      </c>
      <c r="AD447" s="2" t="str">
        <f t="shared" si="150"/>
        <v>No Impact</v>
      </c>
      <c r="AE447" s="2">
        <f t="shared" si="151"/>
        <v>1.3326314510777129E-2</v>
      </c>
      <c r="AF447" s="2">
        <f t="shared" si="152"/>
        <v>6.8653673867891465E-2</v>
      </c>
      <c r="AG447" s="2" t="s">
        <v>1175</v>
      </c>
    </row>
    <row r="448" spans="1:33" x14ac:dyDescent="0.3">
      <c r="A448">
        <v>508867</v>
      </c>
      <c r="B448" t="s">
        <v>905</v>
      </c>
      <c r="C448" t="s">
        <v>895</v>
      </c>
      <c r="D448" t="s">
        <v>906</v>
      </c>
      <c r="E448" s="18">
        <v>6.9</v>
      </c>
      <c r="F448" s="19">
        <f t="shared" si="134"/>
        <v>0.8222222222222223</v>
      </c>
      <c r="G448" s="2">
        <v>57.645612</v>
      </c>
      <c r="H448" s="2">
        <f t="shared" si="135"/>
        <v>0.251052551506116</v>
      </c>
      <c r="I448" s="2">
        <v>32.1</v>
      </c>
      <c r="J448" s="4">
        <f t="shared" si="136"/>
        <v>0.1557496360989811</v>
      </c>
      <c r="K448" s="2">
        <v>0</v>
      </c>
      <c r="L448" s="4">
        <f t="shared" si="137"/>
        <v>0</v>
      </c>
      <c r="M448" s="2">
        <v>61653</v>
      </c>
      <c r="N448" s="2">
        <f t="shared" si="138"/>
        <v>0.29057548272321659</v>
      </c>
      <c r="O448" s="2">
        <v>0.77601999499999996</v>
      </c>
      <c r="P448" s="2">
        <f t="shared" si="139"/>
        <v>0.81900012767392416</v>
      </c>
      <c r="Q448" s="2">
        <v>0.24729999999999999</v>
      </c>
      <c r="R448" s="2">
        <f t="shared" si="140"/>
        <v>0.55674580196873191</v>
      </c>
      <c r="S448" s="2">
        <f t="shared" si="141"/>
        <v>8.0528345292092823E-2</v>
      </c>
      <c r="T448" s="5">
        <f t="shared" si="153"/>
        <v>0.16247833093760664</v>
      </c>
      <c r="U448" s="2" t="str">
        <f t="shared" si="142"/>
        <v>Low</v>
      </c>
      <c r="V448" s="2">
        <f t="shared" si="143"/>
        <v>6.5177468040928985E-2</v>
      </c>
      <c r="W448" s="2">
        <f t="shared" si="144"/>
        <v>0.11740868787973892</v>
      </c>
      <c r="X448" s="2" t="s">
        <v>1176</v>
      </c>
      <c r="Y448" s="2">
        <f t="shared" si="145"/>
        <v>9.5879222543256676E-2</v>
      </c>
      <c r="Z448" s="2">
        <f t="shared" si="146"/>
        <v>0.20343794205931814</v>
      </c>
      <c r="AA448" s="2" t="str">
        <f t="shared" si="147"/>
        <v>Low</v>
      </c>
      <c r="AB448" s="2">
        <f t="shared" si="148"/>
        <v>6.3481926316838341E-2</v>
      </c>
      <c r="AC448" s="2">
        <f t="shared" si="149"/>
        <v>0.1764544951641546</v>
      </c>
      <c r="AD448" s="2" t="str">
        <f t="shared" si="150"/>
        <v>Low</v>
      </c>
      <c r="AE448" s="2">
        <f t="shared" si="151"/>
        <v>3.4017273541532007E-2</v>
      </c>
      <c r="AF448" s="2">
        <f t="shared" si="152"/>
        <v>0.17524806289889983</v>
      </c>
      <c r="AG448" s="2" t="s">
        <v>1175</v>
      </c>
    </row>
    <row r="449" spans="1:33" x14ac:dyDescent="0.3">
      <c r="A449">
        <v>508878</v>
      </c>
      <c r="B449" t="s">
        <v>907</v>
      </c>
      <c r="C449" t="s">
        <v>895</v>
      </c>
      <c r="D449" t="s">
        <v>908</v>
      </c>
      <c r="E449" s="18">
        <v>7</v>
      </c>
      <c r="F449" s="19">
        <f t="shared" si="134"/>
        <v>0.84444444444444444</v>
      </c>
      <c r="G449" s="2">
        <v>48.427642800000001</v>
      </c>
      <c r="H449" s="2">
        <f t="shared" si="135"/>
        <v>0.1619293596895528</v>
      </c>
      <c r="I449" s="2">
        <v>30.8</v>
      </c>
      <c r="J449" s="4">
        <f t="shared" si="136"/>
        <v>0.14944201843765162</v>
      </c>
      <c r="K449" s="2">
        <v>0</v>
      </c>
      <c r="L449" s="4">
        <f t="shared" si="137"/>
        <v>0</v>
      </c>
      <c r="M449" s="2">
        <v>46801</v>
      </c>
      <c r="N449" s="2">
        <f t="shared" si="138"/>
        <v>0.22030441962025615</v>
      </c>
      <c r="O449" s="2">
        <v>0.74951789000000002</v>
      </c>
      <c r="P449" s="2">
        <f t="shared" si="139"/>
        <v>0.78838515742310822</v>
      </c>
      <c r="Q449" s="2">
        <v>0.22120000000000001</v>
      </c>
      <c r="R449" s="2">
        <f t="shared" si="140"/>
        <v>0.48118123914302263</v>
      </c>
      <c r="S449" s="2">
        <f t="shared" si="141"/>
        <v>5.8417536581700451E-2</v>
      </c>
      <c r="T449" s="5">
        <f t="shared" si="153"/>
        <v>0.11786637123677815</v>
      </c>
      <c r="U449" s="2" t="str">
        <f t="shared" si="142"/>
        <v>No Impact</v>
      </c>
      <c r="V449" s="2">
        <f t="shared" si="143"/>
        <v>4.428192604356046E-2</v>
      </c>
      <c r="W449" s="2">
        <f t="shared" si="144"/>
        <v>7.9768100692362648E-2</v>
      </c>
      <c r="X449" s="2" t="s">
        <v>1176</v>
      </c>
      <c r="Y449" s="2">
        <f t="shared" si="145"/>
        <v>7.2553147119840455E-2</v>
      </c>
      <c r="Z449" s="2">
        <f t="shared" si="146"/>
        <v>0.15394433276018868</v>
      </c>
      <c r="AA449" s="2" t="str">
        <f t="shared" si="147"/>
        <v>Low</v>
      </c>
      <c r="AB449" s="2">
        <f t="shared" si="148"/>
        <v>4.4360544127119476E-2</v>
      </c>
      <c r="AC449" s="2">
        <f t="shared" si="149"/>
        <v>0.12330466123681291</v>
      </c>
      <c r="AD449" s="2" t="str">
        <f t="shared" si="150"/>
        <v>No Impact</v>
      </c>
      <c r="AE449" s="2">
        <f t="shared" si="151"/>
        <v>2.0274073931203378E-2</v>
      </c>
      <c r="AF449" s="2">
        <f t="shared" si="152"/>
        <v>0.10444670644090842</v>
      </c>
      <c r="AG449" s="2" t="s">
        <v>1175</v>
      </c>
    </row>
    <row r="450" spans="1:33" x14ac:dyDescent="0.3">
      <c r="A450">
        <v>508889</v>
      </c>
      <c r="B450" t="s">
        <v>909</v>
      </c>
      <c r="C450" t="s">
        <v>895</v>
      </c>
      <c r="D450" t="s">
        <v>910</v>
      </c>
      <c r="E450" s="18">
        <v>6.9</v>
      </c>
      <c r="F450" s="19">
        <f t="shared" ref="F450:F513" si="154">(E450-$AJ$5)/$AK$5</f>
        <v>0.8222222222222223</v>
      </c>
      <c r="G450" s="2">
        <v>52.147173600000002</v>
      </c>
      <c r="H450" s="2">
        <f t="shared" ref="H450:H513" si="155">(G450-$AJ$6)/$AK$6</f>
        <v>0.19789134326355032</v>
      </c>
      <c r="I450" s="2">
        <v>32.299999999999997</v>
      </c>
      <c r="J450" s="4">
        <f t="shared" ref="J450:J513" si="156">(I450-$AJ$7)/$AK$7</f>
        <v>0.15672003881610869</v>
      </c>
      <c r="K450" s="2">
        <v>0</v>
      </c>
      <c r="L450" s="4">
        <f t="shared" ref="L450:L513" si="157">(K450-$AJ$8)/$AK$8</f>
        <v>0</v>
      </c>
      <c r="M450" s="2">
        <v>22985</v>
      </c>
      <c r="N450" s="2">
        <f t="shared" ref="N450:N513" si="158">(M450-$AJ$9)/$AK$9</f>
        <v>0.10762089963236859</v>
      </c>
      <c r="O450" s="2">
        <v>0.615979622</v>
      </c>
      <c r="P450" s="2">
        <f t="shared" ref="P450:P513" si="159">(O450-$AJ$11)/$AK$11</f>
        <v>0.63412306759418802</v>
      </c>
      <c r="Q450" s="2">
        <v>0.2097</v>
      </c>
      <c r="R450" s="2">
        <f t="shared" ref="R450:R513" si="160">(Q450-$AJ$12)/$AK$12</f>
        <v>0.44788650839606259</v>
      </c>
      <c r="S450" s="2">
        <f t="shared" ref="S450:S513" si="161">F450*(R450*0.5+P450*0.5)*(H450*0.35+J450*0.35+L450*0.3)</f>
        <v>5.5209146662122288E-2</v>
      </c>
      <c r="T450" s="5">
        <f t="shared" si="153"/>
        <v>0.11139295076303983</v>
      </c>
      <c r="U450" s="2" t="str">
        <f t="shared" ref="U450:U513" si="162">IF(T450&gt;0.7,"High",IF(T450&gt;0.3,"Moderate",IF(T450&gt;0.15,"Low","No Impact")))</f>
        <v>No Impact</v>
      </c>
      <c r="V450" s="2">
        <f t="shared" ref="V450:V513" si="163">F450*(R450*1)*(H450*0.35+J450*0.35+L450*0.3)</f>
        <v>4.570649369233843E-2</v>
      </c>
      <c r="W450" s="2">
        <f t="shared" ref="W450:W513" si="164">(V450-$AJ$13)/$AK$13</f>
        <v>8.2334273074725156E-2</v>
      </c>
      <c r="X450" s="2" t="s">
        <v>1176</v>
      </c>
      <c r="Y450" s="2">
        <f t="shared" ref="Y450:Y513" si="165">F450*(P450*1)*(H450*0.35+J450*0.35+L450*0.3)</f>
        <v>6.4711799631906139E-2</v>
      </c>
      <c r="Z450" s="2">
        <f t="shared" ref="Z450:Z513" si="166">(Y450-$AJ$14)/$AK$14</f>
        <v>0.13730644653621912</v>
      </c>
      <c r="AA450" s="2" t="str">
        <f t="shared" ref="AA450:AA513" si="167">IF(Z450&gt;0.7,"High",IF(Z450&gt;0.3,"Moderate",IF(Z450&gt;0.15,"Low","No Impact")))</f>
        <v>No Impact</v>
      </c>
      <c r="AB450" s="2">
        <f t="shared" ref="AB450:AB513" si="168">F450*(R450*0.35+P450*0.3+N450*0.35)*(H450*0.35+J450*0.35+L450*0.3)</f>
        <v>3.9254734874901054E-2</v>
      </c>
      <c r="AC450" s="2">
        <f t="shared" ref="AC450:AC513" si="169">(AB450-$AJ$15)/$AK$15</f>
        <v>0.10911254316043217</v>
      </c>
      <c r="AD450" s="2" t="str">
        <f t="shared" ref="AD450:AD513" si="170">IF(AC450&gt;0.7,"High",IF(AC450&gt;0.3,"Moderate",IF(AC450&gt;0.15,"Low","No Impact")))</f>
        <v>No Impact</v>
      </c>
      <c r="AE450" s="2">
        <f t="shared" ref="AE450:AE513" si="171">F450*(N450*1)*(H450*0.35+J450*0.35+L450*0.3)</f>
        <v>1.0982634837173598E-2</v>
      </c>
      <c r="AF450" s="2">
        <f t="shared" ref="AF450:AF513" si="172">(AE450-$AJ$16)/$AK$16</f>
        <v>5.6579651464153363E-2</v>
      </c>
      <c r="AG450" s="2" t="s">
        <v>1175</v>
      </c>
    </row>
    <row r="451" spans="1:33" x14ac:dyDescent="0.3">
      <c r="A451">
        <v>508894</v>
      </c>
      <c r="B451" t="s">
        <v>911</v>
      </c>
      <c r="C451" t="s">
        <v>895</v>
      </c>
      <c r="D451" t="s">
        <v>912</v>
      </c>
      <c r="E451" s="18">
        <v>6.9</v>
      </c>
      <c r="F451" s="19">
        <f t="shared" si="154"/>
        <v>0.8222222222222223</v>
      </c>
      <c r="G451" s="2">
        <v>51.078423600000001</v>
      </c>
      <c r="H451" s="2">
        <f t="shared" si="155"/>
        <v>0.18755822007911266</v>
      </c>
      <c r="I451" s="2">
        <v>30.9</v>
      </c>
      <c r="J451" s="4">
        <f t="shared" si="156"/>
        <v>0.14992721979621543</v>
      </c>
      <c r="K451" s="2">
        <v>0</v>
      </c>
      <c r="L451" s="4">
        <f t="shared" si="157"/>
        <v>0</v>
      </c>
      <c r="M451" s="2">
        <v>56867</v>
      </c>
      <c r="N451" s="2">
        <f t="shared" si="158"/>
        <v>0.26793090232927852</v>
      </c>
      <c r="O451" s="2">
        <v>0.82256426500000002</v>
      </c>
      <c r="P451" s="2">
        <f t="shared" si="159"/>
        <v>0.87276760921533159</v>
      </c>
      <c r="Q451" s="2">
        <v>0.24010000000000001</v>
      </c>
      <c r="R451" s="2">
        <f t="shared" si="160"/>
        <v>0.53590040532715699</v>
      </c>
      <c r="S451" s="2">
        <f t="shared" si="161"/>
        <v>6.8405489240155437E-2</v>
      </c>
      <c r="T451" s="5">
        <f t="shared" si="153"/>
        <v>0.1380186029949656</v>
      </c>
      <c r="U451" s="2" t="str">
        <f t="shared" si="162"/>
        <v>No Impact</v>
      </c>
      <c r="V451" s="2">
        <f t="shared" si="163"/>
        <v>5.2047081401657078E-2</v>
      </c>
      <c r="W451" s="2">
        <f t="shared" si="164"/>
        <v>9.375601291386744E-2</v>
      </c>
      <c r="X451" s="2" t="s">
        <v>1176</v>
      </c>
      <c r="Y451" s="2">
        <f t="shared" si="165"/>
        <v>8.476389707865381E-2</v>
      </c>
      <c r="Z451" s="2">
        <f t="shared" si="166"/>
        <v>0.17985328129699138</v>
      </c>
      <c r="AA451" s="2" t="str">
        <f t="shared" si="167"/>
        <v>Low</v>
      </c>
      <c r="AB451" s="2">
        <f t="shared" si="168"/>
        <v>5.2753230797031488E-2</v>
      </c>
      <c r="AC451" s="2">
        <f t="shared" si="169"/>
        <v>0.14663299065799248</v>
      </c>
      <c r="AD451" s="2" t="str">
        <f t="shared" si="170"/>
        <v>No Impact</v>
      </c>
      <c r="AE451" s="2">
        <f t="shared" si="171"/>
        <v>2.6021666236729604E-2</v>
      </c>
      <c r="AF451" s="2">
        <f t="shared" si="172"/>
        <v>0.13405679311191473</v>
      </c>
      <c r="AG451" s="2" t="s">
        <v>1175</v>
      </c>
    </row>
    <row r="452" spans="1:33" x14ac:dyDescent="0.3">
      <c r="A452">
        <v>552710</v>
      </c>
      <c r="B452" t="s">
        <v>913</v>
      </c>
      <c r="C452" t="s">
        <v>914</v>
      </c>
      <c r="D452" t="s">
        <v>915</v>
      </c>
      <c r="E452" s="18">
        <v>6.4</v>
      </c>
      <c r="F452" s="19">
        <f t="shared" si="154"/>
        <v>0.71111111111111114</v>
      </c>
      <c r="G452" s="2">
        <v>36.448297199999999</v>
      </c>
      <c r="H452" s="2">
        <f t="shared" si="155"/>
        <v>4.6108022843937939E-2</v>
      </c>
      <c r="I452" s="2">
        <v>8.1</v>
      </c>
      <c r="J452" s="4">
        <f t="shared" si="156"/>
        <v>3.9301310043668124E-2</v>
      </c>
      <c r="K452" s="2">
        <v>0</v>
      </c>
      <c r="L452" s="4">
        <f t="shared" si="157"/>
        <v>0</v>
      </c>
      <c r="M452" s="2">
        <v>22770</v>
      </c>
      <c r="N452" s="2">
        <f t="shared" si="158"/>
        <v>0.10660364414037179</v>
      </c>
      <c r="O452" s="2">
        <v>0.869308521</v>
      </c>
      <c r="P452" s="2">
        <f t="shared" si="159"/>
        <v>0.92676611261106268</v>
      </c>
      <c r="Q452" s="2">
        <v>0.2455</v>
      </c>
      <c r="R452" s="2">
        <f t="shared" si="160"/>
        <v>0.55153445280833824</v>
      </c>
      <c r="S452" s="2">
        <f t="shared" si="161"/>
        <v>1.5712438323535877E-2</v>
      </c>
      <c r="T452" s="5">
        <f t="shared" si="153"/>
        <v>3.1702262656809747E-2</v>
      </c>
      <c r="U452" s="2" t="str">
        <f t="shared" si="162"/>
        <v>No Impact</v>
      </c>
      <c r="V452" s="2">
        <f t="shared" si="163"/>
        <v>1.172420720896843E-2</v>
      </c>
      <c r="W452" s="2">
        <f t="shared" si="164"/>
        <v>2.1119626555157901E-2</v>
      </c>
      <c r="X452" s="2" t="s">
        <v>1176</v>
      </c>
      <c r="Y452" s="2">
        <f t="shared" si="165"/>
        <v>1.9700669438103321E-2</v>
      </c>
      <c r="Z452" s="2">
        <f t="shared" si="166"/>
        <v>4.1801169652480902E-2</v>
      </c>
      <c r="AA452" s="2" t="str">
        <f t="shared" si="167"/>
        <v>No Impact</v>
      </c>
      <c r="AB452" s="2">
        <f t="shared" si="168"/>
        <v>1.0806815328510265E-2</v>
      </c>
      <c r="AC452" s="2">
        <f t="shared" si="169"/>
        <v>3.0038646489823441E-2</v>
      </c>
      <c r="AD452" s="2" t="str">
        <f t="shared" si="170"/>
        <v>No Impact</v>
      </c>
      <c r="AE452" s="2">
        <f t="shared" si="171"/>
        <v>2.2661199255437641E-3</v>
      </c>
      <c r="AF452" s="2">
        <f t="shared" si="172"/>
        <v>1.1674454943112363E-2</v>
      </c>
      <c r="AG452" s="2" t="s">
        <v>1176</v>
      </c>
    </row>
    <row r="453" spans="1:33" x14ac:dyDescent="0.3">
      <c r="A453">
        <v>552712</v>
      </c>
      <c r="B453" t="s">
        <v>916</v>
      </c>
      <c r="C453" t="s">
        <v>914</v>
      </c>
      <c r="D453" t="s">
        <v>917</v>
      </c>
      <c r="E453" s="18">
        <v>6</v>
      </c>
      <c r="F453" s="19">
        <f t="shared" si="154"/>
        <v>0.62222222222222223</v>
      </c>
      <c r="G453" s="2">
        <v>42.574125600000002</v>
      </c>
      <c r="H453" s="2">
        <f t="shared" si="155"/>
        <v>0.10533510070492177</v>
      </c>
      <c r="I453" s="2">
        <v>6</v>
      </c>
      <c r="J453" s="4">
        <f t="shared" si="156"/>
        <v>2.9112081513828238E-2</v>
      </c>
      <c r="K453" s="2">
        <v>0</v>
      </c>
      <c r="L453" s="4">
        <f t="shared" si="157"/>
        <v>0</v>
      </c>
      <c r="M453" s="2">
        <v>46581</v>
      </c>
      <c r="N453" s="2">
        <f t="shared" si="158"/>
        <v>0.21926350702379432</v>
      </c>
      <c r="O453" s="2">
        <v>0.80881435300000004</v>
      </c>
      <c r="P453" s="2">
        <f t="shared" si="159"/>
        <v>0.85688384651680882</v>
      </c>
      <c r="Q453" s="2">
        <v>0.26500000000000001</v>
      </c>
      <c r="R453" s="2">
        <f t="shared" si="160"/>
        <v>0.60799073537927051</v>
      </c>
      <c r="S453" s="2">
        <f t="shared" si="161"/>
        <v>2.1445477182555718E-2</v>
      </c>
      <c r="T453" s="5">
        <f t="shared" si="153"/>
        <v>4.3269550940646488E-2</v>
      </c>
      <c r="U453" s="2" t="str">
        <f t="shared" si="162"/>
        <v>No Impact</v>
      </c>
      <c r="V453" s="2">
        <f t="shared" si="163"/>
        <v>1.7801730747358142E-2</v>
      </c>
      <c r="W453" s="2">
        <f t="shared" si="164"/>
        <v>3.2067490681338427E-2</v>
      </c>
      <c r="X453" s="2" t="s">
        <v>1176</v>
      </c>
      <c r="Y453" s="2">
        <f t="shared" si="165"/>
        <v>2.5089223617753294E-2</v>
      </c>
      <c r="Z453" s="2">
        <f t="shared" si="166"/>
        <v>5.3234683023832573E-2</v>
      </c>
      <c r="AA453" s="2" t="str">
        <f t="shared" si="167"/>
        <v>No Impact</v>
      </c>
      <c r="AB453" s="2">
        <f t="shared" si="168"/>
        <v>1.6004355227830971E-2</v>
      </c>
      <c r="AC453" s="2">
        <f t="shared" si="169"/>
        <v>4.4485739264746388E-2</v>
      </c>
      <c r="AD453" s="2" t="str">
        <f t="shared" si="170"/>
        <v>No Impact</v>
      </c>
      <c r="AE453" s="2">
        <f t="shared" si="171"/>
        <v>6.4199496597989432E-3</v>
      </c>
      <c r="AF453" s="2">
        <f t="shared" si="172"/>
        <v>3.3073895249558741E-2</v>
      </c>
      <c r="AG453" s="2" t="s">
        <v>1176</v>
      </c>
    </row>
    <row r="454" spans="1:33" x14ac:dyDescent="0.3">
      <c r="A454">
        <v>552717</v>
      </c>
      <c r="B454" t="s">
        <v>918</v>
      </c>
      <c r="C454" t="s">
        <v>914</v>
      </c>
      <c r="D454" t="s">
        <v>919</v>
      </c>
      <c r="E454" s="18">
        <v>6.4</v>
      </c>
      <c r="F454" s="19">
        <f t="shared" si="154"/>
        <v>0.71111111111111114</v>
      </c>
      <c r="G454" s="2">
        <v>38.6717832</v>
      </c>
      <c r="H454" s="2">
        <f t="shared" si="155"/>
        <v>6.7605617919374181E-2</v>
      </c>
      <c r="I454" s="2">
        <v>4.9000000000000004</v>
      </c>
      <c r="J454" s="4">
        <f t="shared" si="156"/>
        <v>2.3774866569626397E-2</v>
      </c>
      <c r="K454" s="2">
        <v>0</v>
      </c>
      <c r="L454" s="4">
        <f t="shared" si="157"/>
        <v>0</v>
      </c>
      <c r="M454" s="2">
        <v>39215</v>
      </c>
      <c r="N454" s="2">
        <f t="shared" si="158"/>
        <v>0.18441186072589461</v>
      </c>
      <c r="O454" s="2">
        <v>0.72110038200000004</v>
      </c>
      <c r="P454" s="2">
        <f t="shared" si="159"/>
        <v>0.75555753252228153</v>
      </c>
      <c r="Q454" s="2">
        <v>0.26860000000000001</v>
      </c>
      <c r="R454" s="2">
        <f t="shared" si="160"/>
        <v>0.61841343370005797</v>
      </c>
      <c r="S454" s="2">
        <f t="shared" si="161"/>
        <v>1.5624514275031528E-2</v>
      </c>
      <c r="T454" s="5">
        <f t="shared" si="153"/>
        <v>3.1524862356350991E-2</v>
      </c>
      <c r="U454" s="2" t="str">
        <f t="shared" si="162"/>
        <v>No Impact</v>
      </c>
      <c r="V454" s="2">
        <f t="shared" si="163"/>
        <v>1.4064939886297749E-2</v>
      </c>
      <c r="W454" s="2">
        <f t="shared" si="164"/>
        <v>2.5336150464154883E-2</v>
      </c>
      <c r="X454" s="2" t="s">
        <v>1176</v>
      </c>
      <c r="Y454" s="2">
        <f t="shared" si="165"/>
        <v>1.7184088663765307E-2</v>
      </c>
      <c r="Z454" s="2">
        <f t="shared" si="166"/>
        <v>3.6461451617883854E-2</v>
      </c>
      <c r="AA454" s="2" t="str">
        <f t="shared" si="167"/>
        <v>No Impact</v>
      </c>
      <c r="AB454" s="2">
        <f t="shared" si="168"/>
        <v>1.1545921094896234E-2</v>
      </c>
      <c r="AC454" s="2">
        <f t="shared" si="169"/>
        <v>3.2093066423926148E-2</v>
      </c>
      <c r="AD454" s="2" t="str">
        <f t="shared" si="170"/>
        <v>No Impact</v>
      </c>
      <c r="AE454" s="2">
        <f t="shared" si="171"/>
        <v>4.1941872444640864E-3</v>
      </c>
      <c r="AF454" s="2">
        <f t="shared" si="172"/>
        <v>2.1607351604184526E-2</v>
      </c>
      <c r="AG454" s="2" t="s">
        <v>1176</v>
      </c>
    </row>
    <row r="455" spans="1:33" x14ac:dyDescent="0.3">
      <c r="A455">
        <v>552721</v>
      </c>
      <c r="B455" t="s">
        <v>920</v>
      </c>
      <c r="C455" t="s">
        <v>914</v>
      </c>
      <c r="D455" t="s">
        <v>921</v>
      </c>
      <c r="E455" s="18">
        <v>6.4</v>
      </c>
      <c r="F455" s="19">
        <f t="shared" si="154"/>
        <v>0.71111111111111114</v>
      </c>
      <c r="G455" s="2">
        <v>42.574125600000002</v>
      </c>
      <c r="H455" s="2">
        <f t="shared" si="155"/>
        <v>0.10533510070492177</v>
      </c>
      <c r="I455" s="2">
        <v>5.4</v>
      </c>
      <c r="J455" s="4">
        <f t="shared" si="156"/>
        <v>2.6200873362445417E-2</v>
      </c>
      <c r="K455" s="2">
        <v>0</v>
      </c>
      <c r="L455" s="4">
        <f t="shared" si="157"/>
        <v>0</v>
      </c>
      <c r="M455" s="2">
        <v>24638</v>
      </c>
      <c r="N455" s="2">
        <f t="shared" si="158"/>
        <v>0.11544193836851145</v>
      </c>
      <c r="O455" s="2">
        <v>0.855496017</v>
      </c>
      <c r="P455" s="2">
        <f t="shared" si="159"/>
        <v>0.91081004425161427</v>
      </c>
      <c r="Q455" s="2">
        <v>0.28470000000000001</v>
      </c>
      <c r="R455" s="2">
        <f t="shared" si="160"/>
        <v>0.66502605674580206</v>
      </c>
      <c r="S455" s="2">
        <f t="shared" si="161"/>
        <v>2.5794736988560364E-2</v>
      </c>
      <c r="T455" s="5">
        <f t="shared" si="153"/>
        <v>5.2044852004271364E-2</v>
      </c>
      <c r="U455" s="2" t="str">
        <f t="shared" si="162"/>
        <v>No Impact</v>
      </c>
      <c r="V455" s="2">
        <f t="shared" si="163"/>
        <v>2.1771518260610665E-2</v>
      </c>
      <c r="W455" s="2">
        <f t="shared" si="164"/>
        <v>3.9218543907273272E-2</v>
      </c>
      <c r="X455" s="2" t="s">
        <v>1176</v>
      </c>
      <c r="Y455" s="2">
        <f t="shared" si="165"/>
        <v>2.9817955716510053E-2</v>
      </c>
      <c r="Z455" s="2">
        <f t="shared" si="166"/>
        <v>6.3268176216655453E-2</v>
      </c>
      <c r="AA455" s="2" t="str">
        <f t="shared" si="167"/>
        <v>No Impact</v>
      </c>
      <c r="AB455" s="2">
        <f t="shared" si="168"/>
        <v>1.7888180102193112E-2</v>
      </c>
      <c r="AC455" s="2">
        <f t="shared" si="169"/>
        <v>4.9722022825585313E-2</v>
      </c>
      <c r="AD455" s="2" t="str">
        <f t="shared" si="170"/>
        <v>No Impact</v>
      </c>
      <c r="AE455" s="2">
        <f t="shared" si="171"/>
        <v>3.7793199886467506E-3</v>
      </c>
      <c r="AF455" s="2">
        <f t="shared" si="172"/>
        <v>1.9470064415268443E-2</v>
      </c>
      <c r="AG455" s="2" t="s">
        <v>1176</v>
      </c>
    </row>
    <row r="456" spans="1:33" x14ac:dyDescent="0.3">
      <c r="A456">
        <v>552730</v>
      </c>
      <c r="B456" t="s">
        <v>922</v>
      </c>
      <c r="C456" t="s">
        <v>914</v>
      </c>
      <c r="D456" t="s">
        <v>923</v>
      </c>
      <c r="E456" s="18">
        <v>6.4</v>
      </c>
      <c r="F456" s="19">
        <f t="shared" si="154"/>
        <v>0.71111111111111114</v>
      </c>
      <c r="G456" s="2">
        <v>38.6717832</v>
      </c>
      <c r="H456" s="2">
        <f t="shared" si="155"/>
        <v>6.7605617919374181E-2</v>
      </c>
      <c r="I456" s="2">
        <v>7.6</v>
      </c>
      <c r="J456" s="4">
        <f t="shared" si="156"/>
        <v>3.6875303250849104E-2</v>
      </c>
      <c r="K456" s="2">
        <v>0</v>
      </c>
      <c r="L456" s="4">
        <f t="shared" si="157"/>
        <v>0</v>
      </c>
      <c r="M456" s="2">
        <v>37811</v>
      </c>
      <c r="N456" s="2">
        <f t="shared" si="158"/>
        <v>0.17776894579211083</v>
      </c>
      <c r="O456" s="2">
        <v>0.80787603399999997</v>
      </c>
      <c r="P456" s="2">
        <f t="shared" si="159"/>
        <v>0.85579990966459352</v>
      </c>
      <c r="Q456" s="2">
        <v>0.2419</v>
      </c>
      <c r="R456" s="2">
        <f t="shared" si="160"/>
        <v>0.54111175448755067</v>
      </c>
      <c r="S456" s="2">
        <f t="shared" si="161"/>
        <v>1.8162743506636787E-2</v>
      </c>
      <c r="T456" s="5">
        <f t="shared" si="153"/>
        <v>3.6646130496064785E-2</v>
      </c>
      <c r="U456" s="2" t="str">
        <f t="shared" si="162"/>
        <v>No Impact</v>
      </c>
      <c r="V456" s="2">
        <f t="shared" si="163"/>
        <v>1.4071146025040534E-2</v>
      </c>
      <c r="W456" s="2">
        <f t="shared" si="164"/>
        <v>2.5347330011757627E-2</v>
      </c>
      <c r="X456" s="2" t="s">
        <v>1176</v>
      </c>
      <c r="Y456" s="2">
        <f t="shared" si="165"/>
        <v>2.2254340988233041E-2</v>
      </c>
      <c r="Z456" s="2">
        <f t="shared" si="166"/>
        <v>4.7219587439707285E-2</v>
      </c>
      <c r="AA456" s="2" t="str">
        <f t="shared" si="167"/>
        <v>No Impact</v>
      </c>
      <c r="AB456" s="2">
        <f t="shared" si="168"/>
        <v>1.3219158422797014E-2</v>
      </c>
      <c r="AC456" s="2">
        <f t="shared" si="169"/>
        <v>3.6744000400172505E-2</v>
      </c>
      <c r="AD456" s="2" t="str">
        <f t="shared" si="170"/>
        <v>No Impact</v>
      </c>
      <c r="AE456" s="2">
        <f t="shared" si="171"/>
        <v>4.6227286216083407E-3</v>
      </c>
      <c r="AF456" s="2">
        <f t="shared" si="172"/>
        <v>2.3815084276377255E-2</v>
      </c>
      <c r="AG456" s="2" t="s">
        <v>1176</v>
      </c>
    </row>
    <row r="457" spans="1:33" x14ac:dyDescent="0.3">
      <c r="A457">
        <v>552738</v>
      </c>
      <c r="B457" t="s">
        <v>924</v>
      </c>
      <c r="C457" t="s">
        <v>914</v>
      </c>
      <c r="D457" t="s">
        <v>925</v>
      </c>
      <c r="E457" s="18">
        <v>6.4</v>
      </c>
      <c r="F457" s="19">
        <f t="shared" si="154"/>
        <v>0.71111111111111114</v>
      </c>
      <c r="G457" s="2">
        <v>36.448297199999999</v>
      </c>
      <c r="H457" s="2">
        <f t="shared" si="155"/>
        <v>4.6108022843937939E-2</v>
      </c>
      <c r="I457" s="2">
        <v>12.9</v>
      </c>
      <c r="J457" s="4">
        <f t="shared" si="156"/>
        <v>6.2590975254730716E-2</v>
      </c>
      <c r="K457" s="2">
        <v>0</v>
      </c>
      <c r="L457" s="4">
        <f t="shared" si="157"/>
        <v>0</v>
      </c>
      <c r="M457" s="2">
        <v>22131</v>
      </c>
      <c r="N457" s="2">
        <f t="shared" si="158"/>
        <v>0.10358026618973944</v>
      </c>
      <c r="O457" s="2">
        <v>0.82222690200000004</v>
      </c>
      <c r="P457" s="2">
        <f t="shared" si="159"/>
        <v>0.87237789080584194</v>
      </c>
      <c r="Q457" s="2">
        <v>0.21740000000000001</v>
      </c>
      <c r="R457" s="2">
        <f t="shared" si="160"/>
        <v>0.47017950202663583</v>
      </c>
      <c r="S457" s="2">
        <f t="shared" si="161"/>
        <v>1.816075563441702E-2</v>
      </c>
      <c r="T457" s="5">
        <f t="shared" si="153"/>
        <v>3.6642119657903226E-2</v>
      </c>
      <c r="U457" s="2" t="str">
        <f t="shared" si="162"/>
        <v>No Impact</v>
      </c>
      <c r="V457" s="2">
        <f t="shared" si="163"/>
        <v>1.2720223487210093E-2</v>
      </c>
      <c r="W457" s="2">
        <f t="shared" si="164"/>
        <v>2.2913819668977237E-2</v>
      </c>
      <c r="X457" s="2" t="s">
        <v>1176</v>
      </c>
      <c r="Y457" s="2">
        <f t="shared" si="165"/>
        <v>2.3601287781623948E-2</v>
      </c>
      <c r="Z457" s="2">
        <f t="shared" si="166"/>
        <v>5.0077558921351469E-2</v>
      </c>
      <c r="AA457" s="2" t="str">
        <f t="shared" si="167"/>
        <v>No Impact</v>
      </c>
      <c r="AB457" s="2">
        <f t="shared" si="168"/>
        <v>1.2513254753629889E-2</v>
      </c>
      <c r="AC457" s="2">
        <f t="shared" si="169"/>
        <v>3.4781869084942227E-2</v>
      </c>
      <c r="AD457" s="2" t="str">
        <f t="shared" si="170"/>
        <v>No Impact</v>
      </c>
      <c r="AE457" s="2">
        <f t="shared" si="171"/>
        <v>2.8022577103404998E-3</v>
      </c>
      <c r="AF457" s="2">
        <f t="shared" si="172"/>
        <v>1.4436496060776365E-2</v>
      </c>
      <c r="AG457" s="2" t="s">
        <v>1176</v>
      </c>
    </row>
    <row r="458" spans="1:33" x14ac:dyDescent="0.3">
      <c r="A458">
        <v>552743</v>
      </c>
      <c r="B458" t="s">
        <v>926</v>
      </c>
      <c r="C458" t="s">
        <v>914</v>
      </c>
      <c r="D458" t="s">
        <v>927</v>
      </c>
      <c r="E458" s="18">
        <v>6.4</v>
      </c>
      <c r="F458" s="19">
        <f t="shared" si="154"/>
        <v>0.71111111111111114</v>
      </c>
      <c r="G458" s="2">
        <v>42.242047200000002</v>
      </c>
      <c r="H458" s="2">
        <f t="shared" si="155"/>
        <v>0.10212442747536299</v>
      </c>
      <c r="I458" s="2">
        <v>3.1</v>
      </c>
      <c r="J458" s="4">
        <f t="shared" si="156"/>
        <v>1.5041242115477924E-2</v>
      </c>
      <c r="K458" s="2">
        <v>0</v>
      </c>
      <c r="L458" s="4">
        <f t="shared" si="157"/>
        <v>0</v>
      </c>
      <c r="M458" s="2">
        <v>17312</v>
      </c>
      <c r="N458" s="2">
        <f t="shared" si="158"/>
        <v>8.0779548906332058E-2</v>
      </c>
      <c r="O458" s="2">
        <v>0.83397162599999997</v>
      </c>
      <c r="P458" s="2">
        <f t="shared" si="159"/>
        <v>0.88594528010808948</v>
      </c>
      <c r="Q458" s="2">
        <v>0.23449999999999999</v>
      </c>
      <c r="R458" s="2">
        <f t="shared" si="160"/>
        <v>0.51968731905037635</v>
      </c>
      <c r="S458" s="2">
        <f t="shared" si="161"/>
        <v>2.0494990093401069E-2</v>
      </c>
      <c r="T458" s="5">
        <f t="shared" si="153"/>
        <v>4.1351796946528893E-2</v>
      </c>
      <c r="U458" s="2" t="str">
        <f t="shared" si="162"/>
        <v>No Impact</v>
      </c>
      <c r="V458" s="2">
        <f t="shared" si="163"/>
        <v>1.5154723164474464E-2</v>
      </c>
      <c r="W458" s="2">
        <f t="shared" si="164"/>
        <v>2.7299252569987852E-2</v>
      </c>
      <c r="X458" s="2" t="s">
        <v>1176</v>
      </c>
      <c r="Y458" s="2">
        <f t="shared" si="165"/>
        <v>2.5835257022327678E-2</v>
      </c>
      <c r="Z458" s="2">
        <f t="shared" si="166"/>
        <v>5.4817627654674218E-2</v>
      </c>
      <c r="AA458" s="2" t="str">
        <f t="shared" si="167"/>
        <v>No Impact</v>
      </c>
      <c r="AB458" s="2">
        <f t="shared" si="168"/>
        <v>1.3879201159874973E-2</v>
      </c>
      <c r="AC458" s="2">
        <f t="shared" si="169"/>
        <v>3.8578656572648563E-2</v>
      </c>
      <c r="AD458" s="2" t="str">
        <f t="shared" si="170"/>
        <v>No Impact</v>
      </c>
      <c r="AE458" s="2">
        <f t="shared" si="171"/>
        <v>2.3556312731731676E-3</v>
      </c>
      <c r="AF458" s="2">
        <f t="shared" si="172"/>
        <v>1.2135593907126365E-2</v>
      </c>
      <c r="AG458" s="2" t="s">
        <v>1176</v>
      </c>
    </row>
    <row r="459" spans="1:33" x14ac:dyDescent="0.3">
      <c r="A459">
        <v>552747</v>
      </c>
      <c r="B459" t="s">
        <v>928</v>
      </c>
      <c r="C459" t="s">
        <v>914</v>
      </c>
      <c r="D459" t="s">
        <v>929</v>
      </c>
      <c r="E459" s="18">
        <v>6.4</v>
      </c>
      <c r="F459" s="19">
        <f t="shared" si="154"/>
        <v>0.71111111111111114</v>
      </c>
      <c r="G459" s="2">
        <v>42.242047200000002</v>
      </c>
      <c r="H459" s="2">
        <f t="shared" si="155"/>
        <v>0.10212442747536299</v>
      </c>
      <c r="I459" s="2">
        <v>3.9</v>
      </c>
      <c r="J459" s="4">
        <f t="shared" si="156"/>
        <v>1.8922852983988356E-2</v>
      </c>
      <c r="K459" s="2">
        <v>0</v>
      </c>
      <c r="L459" s="4">
        <f t="shared" si="157"/>
        <v>0</v>
      </c>
      <c r="M459" s="2">
        <v>12348</v>
      </c>
      <c r="N459" s="2">
        <f t="shared" si="158"/>
        <v>5.7292775593438462E-2</v>
      </c>
      <c r="O459" s="2">
        <v>0.832106974</v>
      </c>
      <c r="P459" s="2">
        <f t="shared" si="159"/>
        <v>0.88379125251261659</v>
      </c>
      <c r="Q459" s="2">
        <v>0.24299999999999999</v>
      </c>
      <c r="R459" s="2">
        <f t="shared" si="160"/>
        <v>0.54429646786334684</v>
      </c>
      <c r="S459" s="2">
        <f t="shared" si="161"/>
        <v>2.1512230109552617E-2</v>
      </c>
      <c r="T459" s="5">
        <f t="shared" si="153"/>
        <v>4.3404235244965866E-2</v>
      </c>
      <c r="U459" s="2" t="str">
        <f t="shared" si="162"/>
        <v>No Impact</v>
      </c>
      <c r="V459" s="2">
        <f t="shared" si="163"/>
        <v>1.6398195569401672E-2</v>
      </c>
      <c r="W459" s="2">
        <f t="shared" si="164"/>
        <v>2.9539205545538971E-2</v>
      </c>
      <c r="X459" s="2" t="s">
        <v>1176</v>
      </c>
      <c r="Y459" s="2">
        <f t="shared" si="165"/>
        <v>2.6626264649703562E-2</v>
      </c>
      <c r="Z459" s="2">
        <f t="shared" si="166"/>
        <v>5.6495999251752749E-2</v>
      </c>
      <c r="AA459" s="2" t="str">
        <f t="shared" si="167"/>
        <v>No Impact</v>
      </c>
      <c r="AB459" s="2">
        <f t="shared" si="168"/>
        <v>1.4331375131494326E-2</v>
      </c>
      <c r="AC459" s="2">
        <f t="shared" si="169"/>
        <v>3.9835520289893706E-2</v>
      </c>
      <c r="AD459" s="2" t="str">
        <f t="shared" si="170"/>
        <v>No Impact</v>
      </c>
      <c r="AE459" s="2">
        <f t="shared" si="171"/>
        <v>1.7260779636933468E-3</v>
      </c>
      <c r="AF459" s="2">
        <f t="shared" si="172"/>
        <v>8.8923005302121421E-3</v>
      </c>
      <c r="AG459" s="2" t="s">
        <v>1176</v>
      </c>
    </row>
    <row r="460" spans="1:33" x14ac:dyDescent="0.3">
      <c r="A460">
        <v>552756</v>
      </c>
      <c r="B460" t="s">
        <v>930</v>
      </c>
      <c r="C460" t="s">
        <v>914</v>
      </c>
      <c r="D460" t="s">
        <v>931</v>
      </c>
      <c r="E460" s="18">
        <v>5</v>
      </c>
      <c r="F460" s="19">
        <f t="shared" si="154"/>
        <v>0.39999999999999997</v>
      </c>
      <c r="G460" s="2">
        <v>42.574125600000002</v>
      </c>
      <c r="H460" s="2">
        <f t="shared" si="155"/>
        <v>0.10533510070492177</v>
      </c>
      <c r="I460" s="2">
        <v>4.8</v>
      </c>
      <c r="J460" s="4">
        <f t="shared" si="156"/>
        <v>2.3289665211062592E-2</v>
      </c>
      <c r="K460" s="2">
        <v>0</v>
      </c>
      <c r="L460" s="4">
        <f t="shared" si="157"/>
        <v>0</v>
      </c>
      <c r="M460" s="2">
        <v>26833</v>
      </c>
      <c r="N460" s="2">
        <f t="shared" si="158"/>
        <v>0.12582740722866484</v>
      </c>
      <c r="O460" s="2">
        <v>0.86891489</v>
      </c>
      <c r="P460" s="2">
        <f t="shared" si="159"/>
        <v>0.92631139396306084</v>
      </c>
      <c r="Q460" s="2">
        <v>0.2666</v>
      </c>
      <c r="R460" s="2">
        <f t="shared" si="160"/>
        <v>0.6126230457440649</v>
      </c>
      <c r="S460" s="2">
        <f t="shared" si="161"/>
        <v>1.3856155744716291E-2</v>
      </c>
      <c r="T460" s="5">
        <f t="shared" si="153"/>
        <v>2.7956926849136352E-2</v>
      </c>
      <c r="U460" s="2" t="str">
        <f t="shared" si="162"/>
        <v>No Impact</v>
      </c>
      <c r="V460" s="2">
        <f t="shared" si="163"/>
        <v>1.103178941949948E-2</v>
      </c>
      <c r="W460" s="2">
        <f t="shared" si="164"/>
        <v>1.9872326428753976E-2</v>
      </c>
      <c r="X460" s="2" t="s">
        <v>1176</v>
      </c>
      <c r="Y460" s="2">
        <f t="shared" si="165"/>
        <v>1.6680522069933101E-2</v>
      </c>
      <c r="Z460" s="2">
        <f t="shared" si="166"/>
        <v>3.539297662589249E-2</v>
      </c>
      <c r="AA460" s="2" t="str">
        <f t="shared" si="167"/>
        <v>No Impact</v>
      </c>
      <c r="AB460" s="2">
        <f t="shared" si="168"/>
        <v>9.6583244370342571E-3</v>
      </c>
      <c r="AC460" s="2">
        <f t="shared" si="169"/>
        <v>2.6846298805782307E-2</v>
      </c>
      <c r="AD460" s="2" t="str">
        <f t="shared" si="170"/>
        <v>No Impact</v>
      </c>
      <c r="AE460" s="2">
        <f t="shared" si="171"/>
        <v>2.2658329120843154E-3</v>
      </c>
      <c r="AF460" s="2">
        <f t="shared" si="172"/>
        <v>1.1672976325117511E-2</v>
      </c>
      <c r="AG460" s="2" t="s">
        <v>1176</v>
      </c>
    </row>
    <row r="461" spans="1:33" x14ac:dyDescent="0.3">
      <c r="A461">
        <v>552760</v>
      </c>
      <c r="B461" t="s">
        <v>932</v>
      </c>
      <c r="C461" t="s">
        <v>914</v>
      </c>
      <c r="D461" t="s">
        <v>933</v>
      </c>
      <c r="E461" s="18">
        <v>6.3</v>
      </c>
      <c r="F461" s="19">
        <f t="shared" si="154"/>
        <v>0.68888888888888877</v>
      </c>
      <c r="G461" s="2">
        <v>38.6717832</v>
      </c>
      <c r="H461" s="2">
        <f t="shared" si="155"/>
        <v>6.7605617919374181E-2</v>
      </c>
      <c r="I461" s="2">
        <v>6.6</v>
      </c>
      <c r="J461" s="4">
        <f t="shared" si="156"/>
        <v>3.2023289665211063E-2</v>
      </c>
      <c r="K461" s="2">
        <v>0</v>
      </c>
      <c r="L461" s="4">
        <f t="shared" si="157"/>
        <v>0</v>
      </c>
      <c r="M461" s="2">
        <v>15773</v>
      </c>
      <c r="N461" s="2">
        <f t="shared" si="158"/>
        <v>7.3497892151992164E-2</v>
      </c>
      <c r="O461" s="2">
        <v>0.79009336799999996</v>
      </c>
      <c r="P461" s="2">
        <f t="shared" si="159"/>
        <v>0.83525754932868079</v>
      </c>
      <c r="Q461" s="2">
        <v>0.24329999999999999</v>
      </c>
      <c r="R461" s="2">
        <f t="shared" si="160"/>
        <v>0.54516502605674577</v>
      </c>
      <c r="S461" s="2">
        <f t="shared" si="161"/>
        <v>1.6580004734662614E-2</v>
      </c>
      <c r="T461" s="5">
        <f t="shared" si="153"/>
        <v>3.3452711420485552E-2</v>
      </c>
      <c r="U461" s="2" t="str">
        <f t="shared" si="162"/>
        <v>No Impact</v>
      </c>
      <c r="V461" s="2">
        <f t="shared" si="163"/>
        <v>1.3095756146511275E-2</v>
      </c>
      <c r="W461" s="2">
        <f t="shared" si="164"/>
        <v>2.3590292660484877E-2</v>
      </c>
      <c r="X461" s="2" t="s">
        <v>1176</v>
      </c>
      <c r="Y461" s="2">
        <f t="shared" si="165"/>
        <v>2.0064253322813953E-2</v>
      </c>
      <c r="Z461" s="2">
        <f t="shared" si="166"/>
        <v>4.2572627277078272E-2</v>
      </c>
      <c r="AA461" s="2" t="str">
        <f t="shared" si="167"/>
        <v>No Impact</v>
      </c>
      <c r="AB461" s="2">
        <f t="shared" si="168"/>
        <v>1.1220729527939883E-2</v>
      </c>
      <c r="AC461" s="2">
        <f t="shared" si="169"/>
        <v>3.1189163264268828E-2</v>
      </c>
      <c r="AD461" s="2" t="str">
        <f t="shared" si="170"/>
        <v>No Impact</v>
      </c>
      <c r="AE461" s="2">
        <f t="shared" si="171"/>
        <v>1.7655396566192919E-3</v>
      </c>
      <c r="AF461" s="2">
        <f t="shared" si="172"/>
        <v>9.0955968124829655E-3</v>
      </c>
      <c r="AG461" s="2" t="s">
        <v>1176</v>
      </c>
    </row>
    <row r="462" spans="1:33" x14ac:dyDescent="0.3">
      <c r="A462">
        <v>552764</v>
      </c>
      <c r="B462" t="s">
        <v>934</v>
      </c>
      <c r="C462" t="s">
        <v>914</v>
      </c>
      <c r="D462" t="s">
        <v>935</v>
      </c>
      <c r="E462" s="18">
        <v>6.4</v>
      </c>
      <c r="F462" s="19">
        <f t="shared" si="154"/>
        <v>0.71111111111111114</v>
      </c>
      <c r="G462" s="2">
        <v>38.6717832</v>
      </c>
      <c r="H462" s="2">
        <f t="shared" si="155"/>
        <v>6.7605617919374181E-2</v>
      </c>
      <c r="I462" s="2">
        <v>4.9000000000000004</v>
      </c>
      <c r="J462" s="4">
        <f t="shared" si="156"/>
        <v>2.3774866569626397E-2</v>
      </c>
      <c r="K462" s="2">
        <v>0</v>
      </c>
      <c r="L462" s="4">
        <f t="shared" si="157"/>
        <v>0</v>
      </c>
      <c r="M462" s="2">
        <v>51759</v>
      </c>
      <c r="N462" s="2">
        <f t="shared" si="158"/>
        <v>0.24376280440779172</v>
      </c>
      <c r="O462" s="2">
        <v>0.52087077400000004</v>
      </c>
      <c r="P462" s="2">
        <f t="shared" si="159"/>
        <v>0.52425426464025771</v>
      </c>
      <c r="Q462" s="2">
        <v>0.25019999999999998</v>
      </c>
      <c r="R462" s="2">
        <f t="shared" si="160"/>
        <v>0.56514186450492176</v>
      </c>
      <c r="S462" s="2">
        <f t="shared" si="161"/>
        <v>1.2388387956837305E-2</v>
      </c>
      <c r="T462" s="5">
        <f t="shared" si="153"/>
        <v>2.4995479429429129E-2</v>
      </c>
      <c r="U462" s="2" t="str">
        <f t="shared" si="162"/>
        <v>No Impact</v>
      </c>
      <c r="V462" s="2">
        <f t="shared" si="163"/>
        <v>1.2853353304332021E-2</v>
      </c>
      <c r="W462" s="2">
        <f t="shared" si="164"/>
        <v>2.3153635630164007E-2</v>
      </c>
      <c r="X462" s="2" t="s">
        <v>1176</v>
      </c>
      <c r="Y462" s="2">
        <f t="shared" si="165"/>
        <v>1.192342260934259E-2</v>
      </c>
      <c r="Z462" s="2">
        <f t="shared" si="166"/>
        <v>2.5299293148250534E-2</v>
      </c>
      <c r="AA462" s="2" t="str">
        <f t="shared" si="167"/>
        <v>No Impact</v>
      </c>
      <c r="AB462" s="2">
        <f t="shared" si="168"/>
        <v>1.0016114652993461E-2</v>
      </c>
      <c r="AC462" s="2">
        <f t="shared" si="169"/>
        <v>2.7840813238388759E-2</v>
      </c>
      <c r="AD462" s="2" t="str">
        <f t="shared" si="170"/>
        <v>No Impact</v>
      </c>
      <c r="AE462" s="2">
        <f t="shared" si="171"/>
        <v>5.5440406104985051E-3</v>
      </c>
      <c r="AF462" s="2">
        <f t="shared" si="172"/>
        <v>2.8561441775646214E-2</v>
      </c>
      <c r="AG462" s="2" t="s">
        <v>1176</v>
      </c>
    </row>
    <row r="463" spans="1:33" x14ac:dyDescent="0.3">
      <c r="A463">
        <v>552769</v>
      </c>
      <c r="B463" t="s">
        <v>936</v>
      </c>
      <c r="C463" t="s">
        <v>914</v>
      </c>
      <c r="D463" t="s">
        <v>382</v>
      </c>
      <c r="E463" s="18">
        <v>6.3</v>
      </c>
      <c r="F463" s="19">
        <f t="shared" si="154"/>
        <v>0.68888888888888877</v>
      </c>
      <c r="G463" s="2">
        <v>42.242047200000002</v>
      </c>
      <c r="H463" s="2">
        <f t="shared" si="155"/>
        <v>0.10212442747536299</v>
      </c>
      <c r="I463" s="2">
        <v>6.8</v>
      </c>
      <c r="J463" s="4">
        <f t="shared" si="156"/>
        <v>3.2993692382338673E-2</v>
      </c>
      <c r="K463" s="2">
        <v>0</v>
      </c>
      <c r="L463" s="4">
        <f t="shared" si="157"/>
        <v>0</v>
      </c>
      <c r="M463" s="2">
        <v>37424</v>
      </c>
      <c r="N463" s="2">
        <f t="shared" si="158"/>
        <v>0.17593788590651657</v>
      </c>
      <c r="O463" s="2">
        <v>0.81448562099999999</v>
      </c>
      <c r="P463" s="2">
        <f t="shared" si="159"/>
        <v>0.86343523936293942</v>
      </c>
      <c r="Q463" s="2">
        <v>0.25969999999999999</v>
      </c>
      <c r="R463" s="2">
        <f t="shared" si="160"/>
        <v>0.59264620729588879</v>
      </c>
      <c r="S463" s="2">
        <f t="shared" si="161"/>
        <v>2.3718460151551345E-2</v>
      </c>
      <c r="T463" s="5">
        <f t="shared" si="153"/>
        <v>4.7855643920856748E-2</v>
      </c>
      <c r="U463" s="2" t="str">
        <f t="shared" si="162"/>
        <v>No Impact</v>
      </c>
      <c r="V463" s="2">
        <f t="shared" si="163"/>
        <v>1.9307512617471274E-2</v>
      </c>
      <c r="W463" s="2">
        <f t="shared" si="164"/>
        <v>3.477995986611964E-2</v>
      </c>
      <c r="X463" s="2" t="s">
        <v>1176</v>
      </c>
      <c r="Y463" s="2">
        <f t="shared" si="165"/>
        <v>2.8129407685631418E-2</v>
      </c>
      <c r="Z463" s="2">
        <f t="shared" si="166"/>
        <v>5.9685390214033407E-2</v>
      </c>
      <c r="AA463" s="2" t="str">
        <f t="shared" si="167"/>
        <v>No Impact</v>
      </c>
      <c r="AB463" s="2">
        <f t="shared" si="168"/>
        <v>1.7202577836465158E-2</v>
      </c>
      <c r="AC463" s="2">
        <f t="shared" si="169"/>
        <v>4.7816321333815394E-2</v>
      </c>
      <c r="AD463" s="2" t="str">
        <f t="shared" si="170"/>
        <v>No Impact</v>
      </c>
      <c r="AE463" s="2">
        <f t="shared" si="171"/>
        <v>5.7317888990308149E-3</v>
      </c>
      <c r="AF463" s="2">
        <f t="shared" si="172"/>
        <v>2.9528671669532332E-2</v>
      </c>
      <c r="AG463" s="2" t="s">
        <v>1176</v>
      </c>
    </row>
    <row r="464" spans="1:33" x14ac:dyDescent="0.3">
      <c r="A464">
        <v>552777</v>
      </c>
      <c r="B464" t="s">
        <v>937</v>
      </c>
      <c r="C464" t="s">
        <v>914</v>
      </c>
      <c r="D464" t="s">
        <v>938</v>
      </c>
      <c r="E464" s="18">
        <v>6.4</v>
      </c>
      <c r="F464" s="19">
        <f t="shared" si="154"/>
        <v>0.71111111111111114</v>
      </c>
      <c r="G464" s="2">
        <v>38.6717832</v>
      </c>
      <c r="H464" s="2">
        <f t="shared" si="155"/>
        <v>6.7605617919374181E-2</v>
      </c>
      <c r="I464" s="2">
        <v>9.4</v>
      </c>
      <c r="J464" s="4">
        <f t="shared" si="156"/>
        <v>4.5608927704997575E-2</v>
      </c>
      <c r="K464" s="2">
        <v>0</v>
      </c>
      <c r="L464" s="4">
        <f t="shared" si="157"/>
        <v>0</v>
      </c>
      <c r="M464" s="2">
        <v>48158</v>
      </c>
      <c r="N464" s="2">
        <f t="shared" si="158"/>
        <v>0.22672495777206852</v>
      </c>
      <c r="O464" s="2">
        <v>0.80802117699999998</v>
      </c>
      <c r="P464" s="2">
        <f t="shared" si="159"/>
        <v>0.85596757742634721</v>
      </c>
      <c r="Q464" s="2">
        <v>0.22570000000000001</v>
      </c>
      <c r="R464" s="2">
        <f t="shared" si="160"/>
        <v>0.49420961204400704</v>
      </c>
      <c r="S464" s="2">
        <f t="shared" si="161"/>
        <v>1.9022540073385635E-2</v>
      </c>
      <c r="T464" s="5">
        <f t="shared" si="153"/>
        <v>3.838090240283281E-2</v>
      </c>
      <c r="U464" s="2" t="str">
        <f t="shared" si="162"/>
        <v>No Impact</v>
      </c>
      <c r="V464" s="2">
        <f t="shared" si="163"/>
        <v>1.3925760593611202E-2</v>
      </c>
      <c r="W464" s="2">
        <f t="shared" si="164"/>
        <v>2.508543716359991E-2</v>
      </c>
      <c r="X464" s="2" t="s">
        <v>1176</v>
      </c>
      <c r="Y464" s="2">
        <f t="shared" si="165"/>
        <v>2.411931955316007E-2</v>
      </c>
      <c r="Z464" s="2">
        <f t="shared" si="166"/>
        <v>5.1176726339767963E-2</v>
      </c>
      <c r="AA464" s="2" t="str">
        <f t="shared" si="167"/>
        <v>No Impact</v>
      </c>
      <c r="AB464" s="2">
        <f t="shared" si="168"/>
        <v>1.4345829123876582E-2</v>
      </c>
      <c r="AC464" s="2">
        <f t="shared" si="169"/>
        <v>3.9875696637350272E-2</v>
      </c>
      <c r="AD464" s="2" t="str">
        <f t="shared" si="170"/>
        <v>No Impact</v>
      </c>
      <c r="AE464" s="2">
        <f t="shared" si="171"/>
        <v>6.3886201433275471E-3</v>
      </c>
      <c r="AF464" s="2">
        <f t="shared" si="172"/>
        <v>3.2912493805481571E-2</v>
      </c>
      <c r="AG464" s="2" t="s">
        <v>1176</v>
      </c>
    </row>
    <row r="465" spans="1:33" x14ac:dyDescent="0.3">
      <c r="A465">
        <v>553221</v>
      </c>
      <c r="B465" t="s">
        <v>939</v>
      </c>
      <c r="C465" t="s">
        <v>940</v>
      </c>
      <c r="D465" t="s">
        <v>941</v>
      </c>
      <c r="E465" s="18">
        <v>7</v>
      </c>
      <c r="F465" s="19">
        <f t="shared" si="154"/>
        <v>0.84444444444444444</v>
      </c>
      <c r="G465" s="2">
        <v>40.093999199999999</v>
      </c>
      <c r="H465" s="2">
        <f t="shared" si="155"/>
        <v>8.13561986191432E-2</v>
      </c>
      <c r="I465" s="2">
        <v>6.4</v>
      </c>
      <c r="J465" s="4">
        <f t="shared" si="156"/>
        <v>3.1052886948083457E-2</v>
      </c>
      <c r="K465" s="2">
        <v>0</v>
      </c>
      <c r="L465" s="4">
        <f t="shared" si="157"/>
        <v>0</v>
      </c>
      <c r="M465" s="2">
        <v>4647</v>
      </c>
      <c r="N465" s="2">
        <f t="shared" si="158"/>
        <v>2.0856103296380935E-2</v>
      </c>
      <c r="O465" s="2">
        <v>0.78593915299999995</v>
      </c>
      <c r="P465" s="2">
        <f t="shared" si="159"/>
        <v>0.83045864114231249</v>
      </c>
      <c r="Q465" s="2">
        <v>0.16830000000000001</v>
      </c>
      <c r="R465" s="2">
        <f t="shared" si="160"/>
        <v>0.32802547770700641</v>
      </c>
      <c r="S465" s="2">
        <f t="shared" si="161"/>
        <v>1.924423408783648E-2</v>
      </c>
      <c r="T465" s="5">
        <f t="shared" si="153"/>
        <v>3.8828204198444988E-2</v>
      </c>
      <c r="U465" s="2" t="str">
        <f t="shared" si="162"/>
        <v>No Impact</v>
      </c>
      <c r="V465" s="2">
        <f t="shared" si="163"/>
        <v>1.0898033002020087E-2</v>
      </c>
      <c r="W465" s="2">
        <f t="shared" si="164"/>
        <v>1.9631381728940099E-2</v>
      </c>
      <c r="X465" s="2" t="s">
        <v>1176</v>
      </c>
      <c r="Y465" s="2">
        <f t="shared" si="165"/>
        <v>2.759043517365288E-2</v>
      </c>
      <c r="Z465" s="2">
        <f t="shared" si="166"/>
        <v>5.8541790425101173E-2</v>
      </c>
      <c r="AA465" s="2" t="str">
        <f t="shared" si="167"/>
        <v>No Impact</v>
      </c>
      <c r="AB465" s="2">
        <f t="shared" si="168"/>
        <v>1.233395886175166E-2</v>
      </c>
      <c r="AC465" s="2">
        <f t="shared" si="169"/>
        <v>3.4283497848876125E-2</v>
      </c>
      <c r="AD465" s="2" t="str">
        <f t="shared" si="170"/>
        <v>No Impact</v>
      </c>
      <c r="AE465" s="2">
        <f t="shared" si="171"/>
        <v>6.9290502556791059E-4</v>
      </c>
      <c r="AF465" s="2">
        <f t="shared" si="172"/>
        <v>3.5696647867864435E-3</v>
      </c>
      <c r="AG465" s="2" t="s">
        <v>1176</v>
      </c>
    </row>
    <row r="466" spans="1:33" x14ac:dyDescent="0.3">
      <c r="A466">
        <v>553224</v>
      </c>
      <c r="B466" t="s">
        <v>942</v>
      </c>
      <c r="C466" t="s">
        <v>940</v>
      </c>
      <c r="D466" t="s">
        <v>943</v>
      </c>
      <c r="E466" s="18">
        <v>7.1</v>
      </c>
      <c r="F466" s="19">
        <f t="shared" si="154"/>
        <v>0.86666666666666659</v>
      </c>
      <c r="G466" s="2">
        <v>39.9374064</v>
      </c>
      <c r="H466" s="2">
        <f t="shared" si="155"/>
        <v>7.9842193760948116E-2</v>
      </c>
      <c r="I466" s="2">
        <v>3</v>
      </c>
      <c r="J466" s="4">
        <f t="shared" si="156"/>
        <v>1.4556040756914119E-2</v>
      </c>
      <c r="K466" s="2">
        <v>0</v>
      </c>
      <c r="L466" s="4">
        <f t="shared" si="157"/>
        <v>0</v>
      </c>
      <c r="M466" s="2">
        <v>17828</v>
      </c>
      <c r="N466" s="2">
        <f t="shared" si="158"/>
        <v>8.3220962087124387E-2</v>
      </c>
      <c r="O466" s="2">
        <v>0.51726448899999999</v>
      </c>
      <c r="P466" s="2">
        <f t="shared" si="159"/>
        <v>0.5200883197845203</v>
      </c>
      <c r="Q466" s="2">
        <v>0.2109</v>
      </c>
      <c r="R466" s="2">
        <f t="shared" si="160"/>
        <v>0.45136074116965841</v>
      </c>
      <c r="S466" s="2">
        <f t="shared" si="161"/>
        <v>1.3908299902179956E-2</v>
      </c>
      <c r="T466" s="5">
        <f t="shared" si="153"/>
        <v>2.8062135712451666E-2</v>
      </c>
      <c r="U466" s="2" t="str">
        <f t="shared" si="162"/>
        <v>No Impact</v>
      </c>
      <c r="V466" s="2">
        <f t="shared" si="163"/>
        <v>1.2924322652783822E-2</v>
      </c>
      <c r="W466" s="2">
        <f t="shared" si="164"/>
        <v>2.3281477633418465E-2</v>
      </c>
      <c r="X466" s="2" t="s">
        <v>1176</v>
      </c>
      <c r="Y466" s="2">
        <f t="shared" si="165"/>
        <v>1.4892277151576089E-2</v>
      </c>
      <c r="Z466" s="2">
        <f t="shared" si="166"/>
        <v>3.1598652303702103E-2</v>
      </c>
      <c r="AA466" s="2" t="str">
        <f t="shared" si="167"/>
        <v>No Impact</v>
      </c>
      <c r="AB466" s="2">
        <f t="shared" si="168"/>
        <v>9.8252320535621458E-3</v>
      </c>
      <c r="AC466" s="2">
        <f t="shared" si="169"/>
        <v>2.7310235565774246E-2</v>
      </c>
      <c r="AD466" s="2" t="str">
        <f t="shared" si="170"/>
        <v>No Impact</v>
      </c>
      <c r="AE466" s="2">
        <f t="shared" si="171"/>
        <v>2.3829599417570886E-3</v>
      </c>
      <c r="AF466" s="2">
        <f t="shared" si="172"/>
        <v>1.2276384033210129E-2</v>
      </c>
      <c r="AG466" s="2" t="s">
        <v>1176</v>
      </c>
    </row>
    <row r="467" spans="1:33" x14ac:dyDescent="0.3">
      <c r="A467">
        <v>553230</v>
      </c>
      <c r="B467" t="s">
        <v>944</v>
      </c>
      <c r="C467" t="s">
        <v>940</v>
      </c>
      <c r="D467" t="s">
        <v>945</v>
      </c>
      <c r="E467" s="18">
        <v>6.7</v>
      </c>
      <c r="F467" s="19">
        <f t="shared" si="154"/>
        <v>0.77777777777777779</v>
      </c>
      <c r="G467" s="2">
        <v>42.25788</v>
      </c>
      <c r="H467" s="2">
        <f t="shared" si="155"/>
        <v>0.10227750562530877</v>
      </c>
      <c r="I467" s="2">
        <v>7</v>
      </c>
      <c r="J467" s="4">
        <f t="shared" si="156"/>
        <v>3.3964095099466282E-2</v>
      </c>
      <c r="K467" s="2">
        <v>0</v>
      </c>
      <c r="L467" s="4">
        <f t="shared" si="157"/>
        <v>0</v>
      </c>
      <c r="M467" s="2">
        <v>31462</v>
      </c>
      <c r="N467" s="2">
        <f t="shared" si="158"/>
        <v>0.14772915454240063</v>
      </c>
      <c r="O467" s="2">
        <v>0.81807762799999995</v>
      </c>
      <c r="P467" s="2">
        <f t="shared" si="159"/>
        <v>0.86758469041393027</v>
      </c>
      <c r="Q467" s="2">
        <v>0.24529999999999999</v>
      </c>
      <c r="R467" s="2">
        <f t="shared" si="160"/>
        <v>0.55095541401273884</v>
      </c>
      <c r="S467" s="2">
        <f t="shared" si="161"/>
        <v>2.630540153180436E-2</v>
      </c>
      <c r="T467" s="5">
        <f t="shared" si="153"/>
        <v>5.3075196317871047E-2</v>
      </c>
      <c r="U467" s="2" t="str">
        <f t="shared" si="162"/>
        <v>No Impact</v>
      </c>
      <c r="V467" s="2">
        <f t="shared" si="163"/>
        <v>2.0433829606226434E-2</v>
      </c>
      <c r="W467" s="2">
        <f t="shared" si="164"/>
        <v>3.6808872675426083E-2</v>
      </c>
      <c r="X467" s="2" t="s">
        <v>1176</v>
      </c>
      <c r="Y467" s="2">
        <f t="shared" si="165"/>
        <v>3.2176973457382282E-2</v>
      </c>
      <c r="Z467" s="2">
        <f t="shared" si="166"/>
        <v>6.8273574693556438E-2</v>
      </c>
      <c r="AA467" s="2" t="str">
        <f t="shared" si="167"/>
        <v>No Impact</v>
      </c>
      <c r="AB467" s="2">
        <f t="shared" si="168"/>
        <v>1.8722574559277547E-2</v>
      </c>
      <c r="AC467" s="2">
        <f t="shared" si="169"/>
        <v>5.2041307403651905E-2</v>
      </c>
      <c r="AD467" s="2" t="str">
        <f t="shared" si="170"/>
        <v>No Impact</v>
      </c>
      <c r="AE467" s="2">
        <f t="shared" si="171"/>
        <v>5.4789775996674575E-3</v>
      </c>
      <c r="AF467" s="2">
        <f t="shared" si="172"/>
        <v>2.8226254224516044E-2</v>
      </c>
      <c r="AG467" s="2" t="s">
        <v>1176</v>
      </c>
    </row>
    <row r="468" spans="1:33" x14ac:dyDescent="0.3">
      <c r="A468">
        <v>553267</v>
      </c>
      <c r="B468" t="s">
        <v>946</v>
      </c>
      <c r="C468" t="s">
        <v>940</v>
      </c>
      <c r="D468" t="s">
        <v>947</v>
      </c>
      <c r="E468" s="18">
        <v>7</v>
      </c>
      <c r="F468" s="19">
        <f t="shared" si="154"/>
        <v>0.84444444444444444</v>
      </c>
      <c r="G468" s="2">
        <v>42.242047200000002</v>
      </c>
      <c r="H468" s="2">
        <f t="shared" si="155"/>
        <v>0.10212442747536299</v>
      </c>
      <c r="I468" s="2">
        <v>5.6</v>
      </c>
      <c r="J468" s="4">
        <f t="shared" si="156"/>
        <v>2.7171276079573023E-2</v>
      </c>
      <c r="K468" s="2">
        <v>0</v>
      </c>
      <c r="L468" s="4">
        <f t="shared" si="157"/>
        <v>0</v>
      </c>
      <c r="M468" s="2">
        <v>6784</v>
      </c>
      <c r="N468" s="2">
        <f t="shared" si="158"/>
        <v>3.0967149744739842E-2</v>
      </c>
      <c r="O468" s="2">
        <v>0.83888978599999997</v>
      </c>
      <c r="P468" s="2">
        <f t="shared" si="159"/>
        <v>0.89162669002208517</v>
      </c>
      <c r="Q468" s="2">
        <v>0.2389</v>
      </c>
      <c r="R468" s="2">
        <f t="shared" si="160"/>
        <v>0.53242617255356117</v>
      </c>
      <c r="S468" s="2">
        <f t="shared" si="161"/>
        <v>2.7209423255440509E-2</v>
      </c>
      <c r="T468" s="5">
        <f t="shared" si="153"/>
        <v>5.4899199285459194E-2</v>
      </c>
      <c r="U468" s="2" t="str">
        <f t="shared" si="162"/>
        <v>No Impact</v>
      </c>
      <c r="V468" s="2">
        <f t="shared" si="163"/>
        <v>2.0346167564428447E-2</v>
      </c>
      <c r="W468" s="2">
        <f t="shared" si="164"/>
        <v>3.665096096738156E-2</v>
      </c>
      <c r="X468" s="2" t="s">
        <v>1176</v>
      </c>
      <c r="Y468" s="2">
        <f t="shared" si="165"/>
        <v>3.4072678946452571E-2</v>
      </c>
      <c r="Z468" s="2">
        <f t="shared" si="166"/>
        <v>7.2295910432386826E-2</v>
      </c>
      <c r="AA468" s="2" t="str">
        <f t="shared" si="167"/>
        <v>No Impact</v>
      </c>
      <c r="AB468" s="2">
        <f t="shared" si="168"/>
        <v>1.7757145550798721E-2</v>
      </c>
      <c r="AC468" s="2">
        <f t="shared" si="169"/>
        <v>4.9357798912467762E-2</v>
      </c>
      <c r="AD468" s="2" t="str">
        <f t="shared" si="170"/>
        <v>No Impact</v>
      </c>
      <c r="AE468" s="2">
        <f t="shared" si="171"/>
        <v>1.1833806266085486E-3</v>
      </c>
      <c r="AF468" s="2">
        <f t="shared" si="172"/>
        <v>6.0964663212069578E-3</v>
      </c>
      <c r="AG468" s="2" t="s">
        <v>1176</v>
      </c>
    </row>
    <row r="469" spans="1:33" x14ac:dyDescent="0.3">
      <c r="A469">
        <v>553282</v>
      </c>
      <c r="B469" t="s">
        <v>948</v>
      </c>
      <c r="C469" t="s">
        <v>940</v>
      </c>
      <c r="D469" t="s">
        <v>949</v>
      </c>
      <c r="E469" s="18">
        <v>5.9</v>
      </c>
      <c r="F469" s="19">
        <f t="shared" si="154"/>
        <v>0.60000000000000009</v>
      </c>
      <c r="G469" s="2">
        <v>42.242047200000002</v>
      </c>
      <c r="H469" s="2">
        <f t="shared" si="155"/>
        <v>0.10212442747536299</v>
      </c>
      <c r="I469" s="2">
        <v>4</v>
      </c>
      <c r="J469" s="4">
        <f t="shared" si="156"/>
        <v>1.9408054342552161E-2</v>
      </c>
      <c r="K469" s="2">
        <v>0</v>
      </c>
      <c r="L469" s="4">
        <f t="shared" si="157"/>
        <v>0</v>
      </c>
      <c r="M469" s="2">
        <v>9977</v>
      </c>
      <c r="N469" s="2">
        <f t="shared" si="158"/>
        <v>4.6074576656115598E-2</v>
      </c>
      <c r="O469" s="2">
        <v>0.919713369</v>
      </c>
      <c r="P469" s="2">
        <f t="shared" si="159"/>
        <v>0.98499329577318862</v>
      </c>
      <c r="Q469" s="2">
        <v>0.24379999999999999</v>
      </c>
      <c r="R469" s="2">
        <f t="shared" si="160"/>
        <v>0.54661262304574409</v>
      </c>
      <c r="S469" s="2">
        <f t="shared" si="161"/>
        <v>1.9544686190512688E-2</v>
      </c>
      <c r="T469" s="5">
        <f t="shared" si="153"/>
        <v>3.9434412558898138E-2</v>
      </c>
      <c r="U469" s="2" t="str">
        <f t="shared" si="162"/>
        <v>No Impact</v>
      </c>
      <c r="V469" s="2">
        <f t="shared" si="163"/>
        <v>1.3950549621067461E-2</v>
      </c>
      <c r="W469" s="2">
        <f t="shared" si="164"/>
        <v>2.5130091355837426E-2</v>
      </c>
      <c r="X469" s="2" t="s">
        <v>1176</v>
      </c>
      <c r="Y469" s="2">
        <f t="shared" si="165"/>
        <v>2.5138822759957914E-2</v>
      </c>
      <c r="Z469" s="2">
        <f t="shared" si="166"/>
        <v>5.3339923211960537E-2</v>
      </c>
      <c r="AA469" s="2" t="str">
        <f t="shared" si="167"/>
        <v>No Impact</v>
      </c>
      <c r="AB469" s="2">
        <f t="shared" si="168"/>
        <v>1.2835906682615956E-2</v>
      </c>
      <c r="AC469" s="2">
        <f t="shared" si="169"/>
        <v>3.5678713061585633E-2</v>
      </c>
      <c r="AD469" s="2" t="str">
        <f t="shared" si="170"/>
        <v>No Impact</v>
      </c>
      <c r="AE469" s="2">
        <f t="shared" si="171"/>
        <v>1.1759071064427768E-3</v>
      </c>
      <c r="AF469" s="2">
        <f t="shared" si="172"/>
        <v>6.0579647072992954E-3</v>
      </c>
      <c r="AG469" s="2" t="s">
        <v>1176</v>
      </c>
    </row>
    <row r="470" spans="1:33" x14ac:dyDescent="0.3">
      <c r="A470">
        <v>553288</v>
      </c>
      <c r="B470" t="s">
        <v>950</v>
      </c>
      <c r="C470" t="s">
        <v>940</v>
      </c>
      <c r="D470" t="s">
        <v>951</v>
      </c>
      <c r="E470" s="18">
        <v>7</v>
      </c>
      <c r="F470" s="19">
        <f t="shared" si="154"/>
        <v>0.84444444444444444</v>
      </c>
      <c r="G470" s="2">
        <v>40.093999199999999</v>
      </c>
      <c r="H470" s="2">
        <f t="shared" si="155"/>
        <v>8.13561986191432E-2</v>
      </c>
      <c r="I470" s="2">
        <v>9.4</v>
      </c>
      <c r="J470" s="4">
        <f t="shared" si="156"/>
        <v>4.5608927704997575E-2</v>
      </c>
      <c r="K470" s="2">
        <v>0</v>
      </c>
      <c r="L470" s="4">
        <f t="shared" si="157"/>
        <v>0</v>
      </c>
      <c r="M470" s="2">
        <v>16704</v>
      </c>
      <c r="N470" s="2">
        <f t="shared" si="158"/>
        <v>7.7902845003382973E-2</v>
      </c>
      <c r="O470" s="2">
        <v>0.86517404200000003</v>
      </c>
      <c r="P470" s="2">
        <f t="shared" si="159"/>
        <v>0.92199000325719727</v>
      </c>
      <c r="Q470" s="2">
        <v>0.1938</v>
      </c>
      <c r="R470" s="2">
        <f t="shared" si="160"/>
        <v>0.40185292414591783</v>
      </c>
      <c r="S470" s="2">
        <f t="shared" si="161"/>
        <v>2.4838767377745062E-2</v>
      </c>
      <c r="T470" s="5">
        <f t="shared" si="153"/>
        <v>5.0116036178875348E-2</v>
      </c>
      <c r="U470" s="2" t="str">
        <f t="shared" si="162"/>
        <v>No Impact</v>
      </c>
      <c r="V470" s="2">
        <f t="shared" si="163"/>
        <v>1.5079630817693935E-2</v>
      </c>
      <c r="W470" s="2">
        <f t="shared" si="164"/>
        <v>2.716398352425297E-2</v>
      </c>
      <c r="X470" s="2" t="s">
        <v>1176</v>
      </c>
      <c r="Y470" s="2">
        <f t="shared" si="165"/>
        <v>3.4597903937796194E-2</v>
      </c>
      <c r="Z470" s="2">
        <f t="shared" si="166"/>
        <v>7.3410340530199333E-2</v>
      </c>
      <c r="AA470" s="2" t="str">
        <f t="shared" si="167"/>
        <v>No Impact</v>
      </c>
      <c r="AB470" s="2">
        <f t="shared" si="168"/>
        <v>1.668040523224738E-2</v>
      </c>
      <c r="AC470" s="2">
        <f t="shared" si="169"/>
        <v>4.6364889270995968E-2</v>
      </c>
      <c r="AD470" s="2" t="str">
        <f t="shared" si="170"/>
        <v>No Impact</v>
      </c>
      <c r="AE470" s="2">
        <f t="shared" si="171"/>
        <v>2.9233236134732785E-3</v>
      </c>
      <c r="AF470" s="2">
        <f t="shared" si="172"/>
        <v>1.5060195810881905E-2</v>
      </c>
      <c r="AG470" s="2" t="s">
        <v>1176</v>
      </c>
    </row>
    <row r="471" spans="1:33" x14ac:dyDescent="0.3">
      <c r="A471">
        <v>553291</v>
      </c>
      <c r="B471" t="s">
        <v>952</v>
      </c>
      <c r="C471" t="s">
        <v>940</v>
      </c>
      <c r="D471" t="s">
        <v>953</v>
      </c>
      <c r="E471" s="18">
        <v>7.1</v>
      </c>
      <c r="F471" s="19">
        <f t="shared" si="154"/>
        <v>0.86666666666666659</v>
      </c>
      <c r="G471" s="2">
        <v>39.9374064</v>
      </c>
      <c r="H471" s="2">
        <f t="shared" si="155"/>
        <v>7.9842193760948116E-2</v>
      </c>
      <c r="I471" s="2">
        <v>2.7</v>
      </c>
      <c r="J471" s="4">
        <f t="shared" si="156"/>
        <v>1.3100436681222708E-2</v>
      </c>
      <c r="K471" s="2">
        <v>0</v>
      </c>
      <c r="L471" s="4">
        <f t="shared" si="157"/>
        <v>0</v>
      </c>
      <c r="M471" s="2">
        <v>13827</v>
      </c>
      <c r="N471" s="2">
        <f t="shared" si="158"/>
        <v>6.4290547094197861E-2</v>
      </c>
      <c r="O471" s="2">
        <v>0.69581584500000004</v>
      </c>
      <c r="P471" s="2">
        <f t="shared" si="159"/>
        <v>0.72634908481366933</v>
      </c>
      <c r="Q471" s="2">
        <v>0.218</v>
      </c>
      <c r="R471" s="2">
        <f t="shared" si="160"/>
        <v>0.47191661841343374</v>
      </c>
      <c r="S471" s="2">
        <f t="shared" si="161"/>
        <v>1.6891111574695628E-2</v>
      </c>
      <c r="T471" s="5">
        <f t="shared" si="153"/>
        <v>3.4080417353452241E-2</v>
      </c>
      <c r="U471" s="2" t="str">
        <f t="shared" si="162"/>
        <v>No Impact</v>
      </c>
      <c r="V471" s="2">
        <f t="shared" si="163"/>
        <v>1.3304555465631343E-2</v>
      </c>
      <c r="W471" s="2">
        <f t="shared" si="164"/>
        <v>2.3966417337078265E-2</v>
      </c>
      <c r="X471" s="2" t="s">
        <v>1176</v>
      </c>
      <c r="Y471" s="2">
        <f t="shared" si="165"/>
        <v>2.0477667683759908E-2</v>
      </c>
      <c r="Z471" s="2">
        <f t="shared" si="166"/>
        <v>4.3449815937746321E-2</v>
      </c>
      <c r="AA471" s="2" t="str">
        <f t="shared" si="167"/>
        <v>No Impact</v>
      </c>
      <c r="AB471" s="2">
        <f t="shared" si="168"/>
        <v>1.1434275858165966E-2</v>
      </c>
      <c r="AC471" s="2">
        <f t="shared" si="169"/>
        <v>3.1782737090402177E-2</v>
      </c>
      <c r="AD471" s="2" t="str">
        <f t="shared" si="170"/>
        <v>No Impact</v>
      </c>
      <c r="AE471" s="2">
        <f t="shared" si="171"/>
        <v>1.8125175430486397E-3</v>
      </c>
      <c r="AF471" s="2">
        <f t="shared" si="172"/>
        <v>9.3376145504941045E-3</v>
      </c>
      <c r="AG471" s="2" t="s">
        <v>1176</v>
      </c>
    </row>
    <row r="472" spans="1:33" x14ac:dyDescent="0.3">
      <c r="A472">
        <v>554906</v>
      </c>
      <c r="B472" t="s">
        <v>954</v>
      </c>
      <c r="C472" t="s">
        <v>955</v>
      </c>
      <c r="D472" t="s">
        <v>956</v>
      </c>
      <c r="E472" s="18">
        <v>7.5</v>
      </c>
      <c r="F472" s="19">
        <f t="shared" si="154"/>
        <v>0.95555555555555549</v>
      </c>
      <c r="G472" s="2">
        <v>51.096002400000003</v>
      </c>
      <c r="H472" s="2">
        <f t="shared" si="155"/>
        <v>0.18772817928925031</v>
      </c>
      <c r="I472" s="2">
        <v>27.4</v>
      </c>
      <c r="J472" s="4">
        <f t="shared" si="156"/>
        <v>0.13294517224648228</v>
      </c>
      <c r="K472" s="2">
        <v>0</v>
      </c>
      <c r="L472" s="4">
        <f t="shared" si="157"/>
        <v>0</v>
      </c>
      <c r="M472" s="2">
        <v>22341</v>
      </c>
      <c r="N472" s="2">
        <f t="shared" si="158"/>
        <v>0.10457386457727121</v>
      </c>
      <c r="O472" s="2">
        <v>0.72534964700000004</v>
      </c>
      <c r="P472" s="2">
        <f t="shared" si="159"/>
        <v>0.76046624153097486</v>
      </c>
      <c r="Q472" s="2">
        <v>0.22309999999999999</v>
      </c>
      <c r="R472" s="2">
        <f t="shared" si="160"/>
        <v>0.486682107701216</v>
      </c>
      <c r="S472" s="2">
        <f t="shared" si="161"/>
        <v>6.6876721968985225E-2</v>
      </c>
      <c r="T472" s="5">
        <f t="shared" si="153"/>
        <v>0.13493407972914151</v>
      </c>
      <c r="U472" s="2" t="str">
        <f t="shared" si="162"/>
        <v>No Impact</v>
      </c>
      <c r="V472" s="2">
        <f t="shared" si="163"/>
        <v>5.2195400850351119E-2</v>
      </c>
      <c r="W472" s="2">
        <f t="shared" si="164"/>
        <v>9.4023191010556895E-2</v>
      </c>
      <c r="X472" s="2" t="s">
        <v>1176</v>
      </c>
      <c r="Y472" s="2">
        <f t="shared" si="165"/>
        <v>8.1558043087619325E-2</v>
      </c>
      <c r="Z472" s="2">
        <f t="shared" si="166"/>
        <v>0.17305105323152636</v>
      </c>
      <c r="AA472" s="2" t="str">
        <f t="shared" si="167"/>
        <v>Low</v>
      </c>
      <c r="AB472" s="2">
        <f t="shared" si="168"/>
        <v>4.6661150268310789E-2</v>
      </c>
      <c r="AC472" s="2">
        <f t="shared" si="169"/>
        <v>0.12969943087863756</v>
      </c>
      <c r="AD472" s="2" t="str">
        <f t="shared" si="170"/>
        <v>No Impact</v>
      </c>
      <c r="AE472" s="2">
        <f t="shared" si="171"/>
        <v>1.1215277269720278E-2</v>
      </c>
      <c r="AF472" s="2">
        <f t="shared" si="172"/>
        <v>5.7778164202163279E-2</v>
      </c>
      <c r="AG472" s="2" t="s">
        <v>1175</v>
      </c>
    </row>
    <row r="473" spans="1:33" x14ac:dyDescent="0.3">
      <c r="A473">
        <v>554908</v>
      </c>
      <c r="B473" t="s">
        <v>957</v>
      </c>
      <c r="C473" t="s">
        <v>955</v>
      </c>
      <c r="D473" t="s">
        <v>958</v>
      </c>
      <c r="E473" s="18">
        <v>7.4</v>
      </c>
      <c r="F473" s="19">
        <f t="shared" si="154"/>
        <v>0.93333333333333335</v>
      </c>
      <c r="G473" s="2">
        <v>39.9374064</v>
      </c>
      <c r="H473" s="2">
        <f t="shared" si="155"/>
        <v>7.9842193760948116E-2</v>
      </c>
      <c r="I473" s="2">
        <v>1.8</v>
      </c>
      <c r="J473" s="4">
        <f t="shared" si="156"/>
        <v>8.7336244541484729E-3</v>
      </c>
      <c r="K473" s="2">
        <v>0</v>
      </c>
      <c r="L473" s="4">
        <f t="shared" si="157"/>
        <v>0</v>
      </c>
      <c r="M473" s="2">
        <v>15830</v>
      </c>
      <c r="N473" s="2">
        <f t="shared" si="158"/>
        <v>7.3767583142893639E-2</v>
      </c>
      <c r="O473" s="2">
        <v>0.62281246999999995</v>
      </c>
      <c r="P473" s="2">
        <f t="shared" si="159"/>
        <v>0.64201630619724781</v>
      </c>
      <c r="Q473" s="2">
        <v>0.22070000000000001</v>
      </c>
      <c r="R473" s="2">
        <f t="shared" si="160"/>
        <v>0.47973364215402436</v>
      </c>
      <c r="S473" s="2">
        <f t="shared" si="161"/>
        <v>1.6228786852966186E-2</v>
      </c>
      <c r="T473" s="5">
        <f t="shared" si="153"/>
        <v>3.2744075287376266E-2</v>
      </c>
      <c r="U473" s="2" t="str">
        <f t="shared" si="162"/>
        <v>No Impact</v>
      </c>
      <c r="V473" s="2">
        <f t="shared" si="163"/>
        <v>1.3880981293839679E-2</v>
      </c>
      <c r="W473" s="2">
        <f t="shared" si="164"/>
        <v>2.5004773109159401E-2</v>
      </c>
      <c r="X473" s="2" t="s">
        <v>1176</v>
      </c>
      <c r="Y473" s="2">
        <f t="shared" si="165"/>
        <v>1.85765924120927E-2</v>
      </c>
      <c r="Z473" s="2">
        <f t="shared" si="166"/>
        <v>3.9416086515364421E-2</v>
      </c>
      <c r="AA473" s="2" t="str">
        <f t="shared" si="167"/>
        <v>No Impact</v>
      </c>
      <c r="AB473" s="2">
        <f t="shared" si="168"/>
        <v>1.1178377924431286E-2</v>
      </c>
      <c r="AC473" s="2">
        <f t="shared" si="169"/>
        <v>3.1071442658577003E-2</v>
      </c>
      <c r="AD473" s="2" t="str">
        <f t="shared" si="170"/>
        <v>No Impact</v>
      </c>
      <c r="AE473" s="2">
        <f t="shared" si="171"/>
        <v>2.1344478513131105E-3</v>
      </c>
      <c r="AF473" s="2">
        <f t="shared" si="172"/>
        <v>1.0996114983896367E-2</v>
      </c>
      <c r="AG473" s="2" t="s">
        <v>1176</v>
      </c>
    </row>
    <row r="474" spans="1:33" x14ac:dyDescent="0.3">
      <c r="A474">
        <v>554909</v>
      </c>
      <c r="B474" t="s">
        <v>959</v>
      </c>
      <c r="C474" t="s">
        <v>955</v>
      </c>
      <c r="D474" t="s">
        <v>960</v>
      </c>
      <c r="E474" s="18">
        <v>7.5</v>
      </c>
      <c r="F474" s="19">
        <f t="shared" si="154"/>
        <v>0.95555555555555549</v>
      </c>
      <c r="G474" s="2">
        <v>39.9374064</v>
      </c>
      <c r="H474" s="2">
        <f t="shared" si="155"/>
        <v>7.9842193760948116E-2</v>
      </c>
      <c r="I474" s="2">
        <v>2.5</v>
      </c>
      <c r="J474" s="4">
        <f t="shared" si="156"/>
        <v>1.2130033964095099E-2</v>
      </c>
      <c r="K474" s="2">
        <v>0</v>
      </c>
      <c r="L474" s="4">
        <f t="shared" si="157"/>
        <v>0</v>
      </c>
      <c r="M474" s="2">
        <v>8414</v>
      </c>
      <c r="N474" s="2">
        <f t="shared" si="158"/>
        <v>3.86793658003435E-2</v>
      </c>
      <c r="O474" s="2">
        <v>0.40579541200000002</v>
      </c>
      <c r="P474" s="2">
        <f t="shared" si="159"/>
        <v>0.39132034168463337</v>
      </c>
      <c r="Q474" s="2">
        <v>0.17799999999999999</v>
      </c>
      <c r="R474" s="2">
        <f t="shared" si="160"/>
        <v>0.35610885929357267</v>
      </c>
      <c r="S474" s="2">
        <f t="shared" si="161"/>
        <v>1.1495311851608393E-2</v>
      </c>
      <c r="T474" s="5">
        <f t="shared" si="153"/>
        <v>2.3193560931643976E-2</v>
      </c>
      <c r="U474" s="2" t="str">
        <f t="shared" si="162"/>
        <v>No Impact</v>
      </c>
      <c r="V474" s="2">
        <f t="shared" si="163"/>
        <v>1.0953766284064449E-2</v>
      </c>
      <c r="W474" s="2">
        <f t="shared" si="164"/>
        <v>1.9731777950406554E-2</v>
      </c>
      <c r="X474" s="2" t="s">
        <v>1176</v>
      </c>
      <c r="Y474" s="2">
        <f t="shared" si="165"/>
        <v>1.2036857419152341E-2</v>
      </c>
      <c r="Z474" s="2">
        <f t="shared" si="166"/>
        <v>2.5539980793117228E-2</v>
      </c>
      <c r="AA474" s="2" t="str">
        <f t="shared" si="167"/>
        <v>No Impact</v>
      </c>
      <c r="AB474" s="2">
        <f t="shared" si="168"/>
        <v>7.8612920704650025E-3</v>
      </c>
      <c r="AC474" s="2">
        <f t="shared" si="169"/>
        <v>2.1851263881132961E-2</v>
      </c>
      <c r="AD474" s="2" t="str">
        <f t="shared" si="170"/>
        <v>No Impact</v>
      </c>
      <c r="AE474" s="2">
        <f t="shared" si="171"/>
        <v>1.1897618437049795E-3</v>
      </c>
      <c r="AF474" s="2">
        <f t="shared" si="172"/>
        <v>6.1293406764583126E-3</v>
      </c>
      <c r="AG474" s="2" t="s">
        <v>1176</v>
      </c>
    </row>
    <row r="475" spans="1:33" x14ac:dyDescent="0.3">
      <c r="A475">
        <v>554918</v>
      </c>
      <c r="B475" t="s">
        <v>961</v>
      </c>
      <c r="C475" t="s">
        <v>955</v>
      </c>
      <c r="D475" t="s">
        <v>962</v>
      </c>
      <c r="E475" s="18">
        <v>6.6</v>
      </c>
      <c r="F475" s="19">
        <f t="shared" si="154"/>
        <v>0.75555555555555542</v>
      </c>
      <c r="G475" s="2">
        <v>51.096002400000003</v>
      </c>
      <c r="H475" s="2">
        <f t="shared" si="155"/>
        <v>0.18772817928925031</v>
      </c>
      <c r="I475" s="2">
        <v>16.3</v>
      </c>
      <c r="J475" s="4">
        <f t="shared" si="156"/>
        <v>7.9087821445900056E-2</v>
      </c>
      <c r="K475" s="2">
        <v>0</v>
      </c>
      <c r="L475" s="4">
        <f t="shared" si="157"/>
        <v>0</v>
      </c>
      <c r="M475" s="2">
        <v>21184</v>
      </c>
      <c r="N475" s="2">
        <f t="shared" si="158"/>
        <v>9.9099610604060501E-2</v>
      </c>
      <c r="O475" s="2">
        <v>0.38601844499999999</v>
      </c>
      <c r="P475" s="2">
        <f t="shared" si="159"/>
        <v>0.36847418450744429</v>
      </c>
      <c r="Q475" s="2">
        <v>0.2253</v>
      </c>
      <c r="R475" s="2">
        <f t="shared" si="160"/>
        <v>0.49305153445280836</v>
      </c>
      <c r="S475" s="2">
        <f t="shared" si="161"/>
        <v>3.0393769751945011E-2</v>
      </c>
      <c r="T475" s="5">
        <f t="shared" si="153"/>
        <v>6.1324108452565466E-2</v>
      </c>
      <c r="U475" s="2" t="str">
        <f t="shared" si="162"/>
        <v>No Impact</v>
      </c>
      <c r="V475" s="2">
        <f t="shared" si="163"/>
        <v>3.4788734646453941E-2</v>
      </c>
      <c r="W475" s="2">
        <f t="shared" si="164"/>
        <v>6.2667357456593104E-2</v>
      </c>
      <c r="X475" s="2" t="s">
        <v>1176</v>
      </c>
      <c r="Y475" s="2">
        <f t="shared" si="165"/>
        <v>2.5998804857436084E-2</v>
      </c>
      <c r="Z475" s="2">
        <f t="shared" si="166"/>
        <v>5.5164645852362457E-2</v>
      </c>
      <c r="AA475" s="2" t="str">
        <f t="shared" si="167"/>
        <v>No Impact</v>
      </c>
      <c r="AB475" s="2">
        <f t="shared" si="168"/>
        <v>2.2422993512293019E-2</v>
      </c>
      <c r="AC475" s="2">
        <f t="shared" si="169"/>
        <v>6.2326999664962836E-2</v>
      </c>
      <c r="AD475" s="2" t="str">
        <f t="shared" si="170"/>
        <v>No Impact</v>
      </c>
      <c r="AE475" s="2">
        <f t="shared" si="171"/>
        <v>6.9922712251523286E-3</v>
      </c>
      <c r="AF475" s="2">
        <f t="shared" si="172"/>
        <v>3.6022345705501127E-2</v>
      </c>
      <c r="AG475" s="2" t="s">
        <v>1175</v>
      </c>
    </row>
    <row r="476" spans="1:33" x14ac:dyDescent="0.3">
      <c r="A476">
        <v>554952</v>
      </c>
      <c r="B476" t="s">
        <v>963</v>
      </c>
      <c r="C476" t="s">
        <v>955</v>
      </c>
      <c r="D476" t="s">
        <v>964</v>
      </c>
      <c r="E476" s="18">
        <v>7.5</v>
      </c>
      <c r="F476" s="19">
        <f t="shared" si="154"/>
        <v>0.95555555555555549</v>
      </c>
      <c r="G476" s="2">
        <v>51.096002400000003</v>
      </c>
      <c r="H476" s="2">
        <f t="shared" si="155"/>
        <v>0.18772817928925031</v>
      </c>
      <c r="I476" s="2">
        <v>13.3</v>
      </c>
      <c r="J476" s="4">
        <f t="shared" si="156"/>
        <v>6.4531780688985935E-2</v>
      </c>
      <c r="K476" s="2">
        <v>0</v>
      </c>
      <c r="L476" s="4">
        <f t="shared" si="157"/>
        <v>0</v>
      </c>
      <c r="M476" s="2">
        <v>24931</v>
      </c>
      <c r="N476" s="2">
        <f t="shared" si="158"/>
        <v>0.1168282446901629</v>
      </c>
      <c r="O476" s="2">
        <v>0.74543969700000001</v>
      </c>
      <c r="P476" s="2">
        <f t="shared" si="159"/>
        <v>0.78367406910117732</v>
      </c>
      <c r="Q476" s="2">
        <v>0.218</v>
      </c>
      <c r="R476" s="2">
        <f t="shared" si="160"/>
        <v>0.47191661841343374</v>
      </c>
      <c r="S476" s="2">
        <f t="shared" si="161"/>
        <v>5.2965173461681128E-2</v>
      </c>
      <c r="T476" s="5">
        <f t="shared" si="153"/>
        <v>0.10686538945585128</v>
      </c>
      <c r="U476" s="2" t="str">
        <f t="shared" si="162"/>
        <v>No Impact</v>
      </c>
      <c r="V476" s="2">
        <f t="shared" si="163"/>
        <v>3.9814162054983608E-2</v>
      </c>
      <c r="W476" s="2">
        <f t="shared" si="164"/>
        <v>7.1720007947708067E-2</v>
      </c>
      <c r="X476" s="2" t="s">
        <v>1176</v>
      </c>
      <c r="Y476" s="2">
        <f t="shared" si="165"/>
        <v>6.6116184868378669E-2</v>
      </c>
      <c r="Z476" s="2">
        <f t="shared" si="166"/>
        <v>0.1402862917496861</v>
      </c>
      <c r="AA476" s="2" t="str">
        <f t="shared" si="167"/>
        <v>No Impact</v>
      </c>
      <c r="AB476" s="2">
        <f t="shared" si="168"/>
        <v>3.7219566797037418E-2</v>
      </c>
      <c r="AC476" s="2">
        <f t="shared" si="169"/>
        <v>0.1034555857146028</v>
      </c>
      <c r="AD476" s="2" t="str">
        <f t="shared" si="170"/>
        <v>No Impact</v>
      </c>
      <c r="AE476" s="2">
        <f t="shared" si="171"/>
        <v>9.8564417636558804E-3</v>
      </c>
      <c r="AF476" s="2">
        <f t="shared" si="172"/>
        <v>5.0777800403304069E-2</v>
      </c>
      <c r="AG476" s="2" t="s">
        <v>1175</v>
      </c>
    </row>
    <row r="477" spans="1:33" x14ac:dyDescent="0.3">
      <c r="A477">
        <v>554961</v>
      </c>
      <c r="B477" t="s">
        <v>965</v>
      </c>
      <c r="C477" t="s">
        <v>955</v>
      </c>
      <c r="D477" t="s">
        <v>966</v>
      </c>
      <c r="E477" s="18">
        <v>7.5</v>
      </c>
      <c r="F477" s="19">
        <f t="shared" si="154"/>
        <v>0.95555555555555549</v>
      </c>
      <c r="G477" s="2">
        <v>51.096002400000003</v>
      </c>
      <c r="H477" s="2">
        <f t="shared" si="155"/>
        <v>0.18772817928925031</v>
      </c>
      <c r="I477" s="2">
        <v>20.399999999999999</v>
      </c>
      <c r="J477" s="4">
        <f t="shared" si="156"/>
        <v>9.8981077147016011E-2</v>
      </c>
      <c r="K477" s="2">
        <v>0</v>
      </c>
      <c r="L477" s="4">
        <f t="shared" si="157"/>
        <v>0</v>
      </c>
      <c r="M477" s="2">
        <v>39159</v>
      </c>
      <c r="N477" s="2">
        <f t="shared" si="158"/>
        <v>0.18414690115588611</v>
      </c>
      <c r="O477" s="2">
        <v>0.67837783500000004</v>
      </c>
      <c r="P477" s="2">
        <f t="shared" si="159"/>
        <v>0.70620486768890023</v>
      </c>
      <c r="Q477" s="2">
        <v>0.2094</v>
      </c>
      <c r="R477" s="2">
        <f t="shared" si="160"/>
        <v>0.44701795020266361</v>
      </c>
      <c r="S477" s="2">
        <f t="shared" si="161"/>
        <v>5.5290298135294895E-2</v>
      </c>
      <c r="T477" s="5">
        <f t="shared" si="153"/>
        <v>0.11155668635038349</v>
      </c>
      <c r="U477" s="2" t="str">
        <f t="shared" si="162"/>
        <v>No Impact</v>
      </c>
      <c r="V477" s="2">
        <f t="shared" si="163"/>
        <v>4.2863799354441276E-2</v>
      </c>
      <c r="W477" s="2">
        <f t="shared" si="164"/>
        <v>7.721353085678441E-2</v>
      </c>
      <c r="X477" s="2" t="s">
        <v>1176</v>
      </c>
      <c r="Y477" s="2">
        <f t="shared" si="165"/>
        <v>6.7716796916148528E-2</v>
      </c>
      <c r="Z477" s="2">
        <f t="shared" si="166"/>
        <v>0.14368249389230092</v>
      </c>
      <c r="AA477" s="2" t="str">
        <f t="shared" si="167"/>
        <v>No Impact</v>
      </c>
      <c r="AB477" s="2">
        <f t="shared" si="168"/>
        <v>4.149750666385324E-2</v>
      </c>
      <c r="AC477" s="2">
        <f t="shared" si="169"/>
        <v>0.1153465563158111</v>
      </c>
      <c r="AD477" s="2" t="str">
        <f t="shared" si="170"/>
        <v>No Impact</v>
      </c>
      <c r="AE477" s="2">
        <f t="shared" si="171"/>
        <v>1.7657536614154961E-2</v>
      </c>
      <c r="AF477" s="2">
        <f t="shared" si="172"/>
        <v>9.0966993090113857E-2</v>
      </c>
      <c r="AG477" s="2" t="s">
        <v>1175</v>
      </c>
    </row>
    <row r="478" spans="1:33" x14ac:dyDescent="0.3">
      <c r="A478">
        <v>554977</v>
      </c>
      <c r="B478" t="s">
        <v>967</v>
      </c>
      <c r="C478" t="s">
        <v>955</v>
      </c>
      <c r="D478" t="s">
        <v>968</v>
      </c>
      <c r="E478" s="18">
        <v>7</v>
      </c>
      <c r="F478" s="19">
        <f t="shared" si="154"/>
        <v>0.84444444444444444</v>
      </c>
      <c r="G478" s="2">
        <v>51.096002400000003</v>
      </c>
      <c r="H478" s="2">
        <f t="shared" si="155"/>
        <v>0.18772817928925031</v>
      </c>
      <c r="I478" s="2">
        <v>8.3000000000000007</v>
      </c>
      <c r="J478" s="4">
        <f t="shared" si="156"/>
        <v>4.0271712760795733E-2</v>
      </c>
      <c r="K478" s="2">
        <v>0</v>
      </c>
      <c r="L478" s="4">
        <f t="shared" si="157"/>
        <v>0</v>
      </c>
      <c r="M478" s="2">
        <v>11356</v>
      </c>
      <c r="N478" s="2">
        <f t="shared" si="158"/>
        <v>5.259920606757415E-2</v>
      </c>
      <c r="O478" s="2">
        <v>0.701447602</v>
      </c>
      <c r="P478" s="2">
        <f t="shared" si="159"/>
        <v>0.73285483494237891</v>
      </c>
      <c r="Q478" s="2">
        <v>0.25159999999999999</v>
      </c>
      <c r="R478" s="2">
        <f t="shared" si="160"/>
        <v>0.56919513607411698</v>
      </c>
      <c r="S478" s="2">
        <f t="shared" si="161"/>
        <v>4.3870382919027825E-2</v>
      </c>
      <c r="T478" s="5">
        <f t="shared" si="153"/>
        <v>8.8515249735017648E-2</v>
      </c>
      <c r="U478" s="2" t="str">
        <f t="shared" si="162"/>
        <v>No Impact</v>
      </c>
      <c r="V478" s="2">
        <f t="shared" si="163"/>
        <v>3.8356144742624936E-2</v>
      </c>
      <c r="W478" s="2">
        <f t="shared" si="164"/>
        <v>6.9093580369354174E-2</v>
      </c>
      <c r="X478" s="2" t="s">
        <v>1176</v>
      </c>
      <c r="Y478" s="2">
        <f t="shared" si="165"/>
        <v>4.9384621095430702E-2</v>
      </c>
      <c r="Z478" s="2">
        <f t="shared" si="166"/>
        <v>0.10478501408895927</v>
      </c>
      <c r="AA478" s="2" t="str">
        <f t="shared" si="167"/>
        <v>No Impact</v>
      </c>
      <c r="AB478" s="2">
        <f t="shared" si="168"/>
        <v>2.9480606209354335E-2</v>
      </c>
      <c r="AC478" s="2">
        <f t="shared" si="169"/>
        <v>8.1944354678869499E-2</v>
      </c>
      <c r="AD478" s="2" t="str">
        <f t="shared" si="170"/>
        <v>No Impact</v>
      </c>
      <c r="AE478" s="2">
        <f t="shared" si="171"/>
        <v>3.5444834880182874E-3</v>
      </c>
      <c r="AF478" s="2">
        <f t="shared" si="172"/>
        <v>1.826024841449906E-2</v>
      </c>
      <c r="AG478" s="2" t="s">
        <v>1176</v>
      </c>
    </row>
    <row r="479" spans="1:33" x14ac:dyDescent="0.3">
      <c r="A479">
        <v>554979</v>
      </c>
      <c r="B479" t="s">
        <v>969</v>
      </c>
      <c r="C479" t="s">
        <v>955</v>
      </c>
      <c r="D479" t="s">
        <v>970</v>
      </c>
      <c r="E479" s="18">
        <v>7.4</v>
      </c>
      <c r="F479" s="19">
        <f t="shared" si="154"/>
        <v>0.93333333333333335</v>
      </c>
      <c r="G479" s="2">
        <v>43.403976</v>
      </c>
      <c r="H479" s="2">
        <f t="shared" si="155"/>
        <v>0.11335844237309002</v>
      </c>
      <c r="I479" s="2">
        <v>4.8</v>
      </c>
      <c r="J479" s="4">
        <f t="shared" si="156"/>
        <v>2.3289665211062592E-2</v>
      </c>
      <c r="K479" s="2">
        <v>0</v>
      </c>
      <c r="L479" s="4">
        <f t="shared" si="157"/>
        <v>0</v>
      </c>
      <c r="M479" s="2">
        <v>21408</v>
      </c>
      <c r="N479" s="2">
        <f t="shared" si="158"/>
        <v>0.10015944888409438</v>
      </c>
      <c r="O479" s="2">
        <v>0.78291707300000002</v>
      </c>
      <c r="P479" s="2">
        <f t="shared" si="159"/>
        <v>0.82696756413935035</v>
      </c>
      <c r="Q479" s="2">
        <v>0.23480000000000001</v>
      </c>
      <c r="R479" s="2">
        <f t="shared" si="160"/>
        <v>0.52055587724377539</v>
      </c>
      <c r="S479" s="2">
        <f t="shared" si="161"/>
        <v>3.0075632937747194E-2</v>
      </c>
      <c r="T479" s="5">
        <f t="shared" si="153"/>
        <v>6.0682218464721098E-2</v>
      </c>
      <c r="U479" s="2" t="str">
        <f t="shared" si="162"/>
        <v>No Impact</v>
      </c>
      <c r="V479" s="2">
        <f t="shared" si="163"/>
        <v>2.3236772002275651E-2</v>
      </c>
      <c r="W479" s="2">
        <f t="shared" si="164"/>
        <v>4.1858006966987917E-2</v>
      </c>
      <c r="X479" s="2" t="s">
        <v>1176</v>
      </c>
      <c r="Y479" s="2">
        <f t="shared" si="165"/>
        <v>3.6914493873218733E-2</v>
      </c>
      <c r="Z479" s="2">
        <f t="shared" si="166"/>
        <v>7.8325715066586171E-2</v>
      </c>
      <c r="AA479" s="2" t="str">
        <f t="shared" si="167"/>
        <v>No Impact</v>
      </c>
      <c r="AB479" s="2">
        <f t="shared" si="168"/>
        <v>2.077205286519954E-2</v>
      </c>
      <c r="AC479" s="2">
        <f t="shared" si="169"/>
        <v>5.7738041589322456E-2</v>
      </c>
      <c r="AD479" s="2" t="str">
        <f t="shared" si="170"/>
        <v>No Impact</v>
      </c>
      <c r="AE479" s="2">
        <f t="shared" si="171"/>
        <v>4.4709557212498337E-3</v>
      </c>
      <c r="AF479" s="2">
        <f t="shared" si="172"/>
        <v>2.3033190137921319E-2</v>
      </c>
      <c r="AG479" s="2" t="s">
        <v>1176</v>
      </c>
    </row>
    <row r="480" spans="1:33" x14ac:dyDescent="0.3">
      <c r="A480">
        <v>554994</v>
      </c>
      <c r="B480" t="s">
        <v>971</v>
      </c>
      <c r="C480" t="s">
        <v>955</v>
      </c>
      <c r="D480" t="s">
        <v>972</v>
      </c>
      <c r="E480" s="18">
        <v>6.7</v>
      </c>
      <c r="F480" s="19">
        <f t="shared" si="154"/>
        <v>0.77777777777777779</v>
      </c>
      <c r="G480" s="2">
        <v>39.9374064</v>
      </c>
      <c r="H480" s="2">
        <f t="shared" si="155"/>
        <v>7.9842193760948116E-2</v>
      </c>
      <c r="I480" s="2">
        <v>3.1</v>
      </c>
      <c r="J480" s="4">
        <f t="shared" si="156"/>
        <v>1.5041242115477924E-2</v>
      </c>
      <c r="K480" s="2">
        <v>0</v>
      </c>
      <c r="L480" s="4">
        <f t="shared" si="157"/>
        <v>0</v>
      </c>
      <c r="M480" s="2">
        <v>22322</v>
      </c>
      <c r="N480" s="2">
        <f t="shared" si="158"/>
        <v>0.10448396758030404</v>
      </c>
      <c r="O480" s="2">
        <v>0.50337483299999997</v>
      </c>
      <c r="P480" s="2">
        <f t="shared" si="159"/>
        <v>0.50404312619578207</v>
      </c>
      <c r="Q480" s="2">
        <v>0.2112</v>
      </c>
      <c r="R480" s="2">
        <f t="shared" si="160"/>
        <v>0.45222929936305734</v>
      </c>
      <c r="S480" s="2">
        <f t="shared" si="161"/>
        <v>1.2349961819928944E-2</v>
      </c>
      <c r="T480" s="5">
        <f t="shared" si="153"/>
        <v>2.4917948783957596E-2</v>
      </c>
      <c r="U480" s="2" t="str">
        <f t="shared" si="162"/>
        <v>No Impact</v>
      </c>
      <c r="V480" s="2">
        <f t="shared" si="163"/>
        <v>1.1680802314723503E-2</v>
      </c>
      <c r="W480" s="2">
        <f t="shared" si="164"/>
        <v>2.1041438312594453E-2</v>
      </c>
      <c r="X480" s="2" t="s">
        <v>1176</v>
      </c>
      <c r="Y480" s="2">
        <f t="shared" si="165"/>
        <v>1.3019121325134386E-2</v>
      </c>
      <c r="Z480" s="2">
        <f t="shared" si="166"/>
        <v>2.7624162770103745E-2</v>
      </c>
      <c r="AA480" s="2" t="str">
        <f t="shared" si="167"/>
        <v>No Impact</v>
      </c>
      <c r="AB480" s="2">
        <f t="shared" si="168"/>
        <v>8.9385818350382583E-3</v>
      </c>
      <c r="AC480" s="2">
        <f t="shared" si="169"/>
        <v>2.4845700763916456E-2</v>
      </c>
      <c r="AD480" s="2" t="str">
        <f t="shared" si="170"/>
        <v>No Impact</v>
      </c>
      <c r="AE480" s="2">
        <f t="shared" si="171"/>
        <v>2.6987560781277634E-3</v>
      </c>
      <c r="AF480" s="2">
        <f t="shared" si="172"/>
        <v>1.3903282823389453E-2</v>
      </c>
      <c r="AG480" s="2" t="s">
        <v>1176</v>
      </c>
    </row>
    <row r="481" spans="1:33" x14ac:dyDescent="0.3">
      <c r="A481">
        <v>555202</v>
      </c>
      <c r="B481" t="s">
        <v>973</v>
      </c>
      <c r="C481" t="s">
        <v>974</v>
      </c>
      <c r="D481" t="s">
        <v>975</v>
      </c>
      <c r="E481" s="18">
        <v>6.2</v>
      </c>
      <c r="F481" s="19">
        <f t="shared" si="154"/>
        <v>0.66666666666666663</v>
      </c>
      <c r="G481" s="2">
        <v>51.096002400000003</v>
      </c>
      <c r="H481" s="2">
        <f t="shared" si="155"/>
        <v>0.18772817928925031</v>
      </c>
      <c r="I481" s="2">
        <v>11.3</v>
      </c>
      <c r="J481" s="4">
        <f t="shared" si="156"/>
        <v>5.4827753517709854E-2</v>
      </c>
      <c r="K481" s="2">
        <v>0</v>
      </c>
      <c r="L481" s="4">
        <f t="shared" si="157"/>
        <v>0</v>
      </c>
      <c r="M481" s="2">
        <v>25242</v>
      </c>
      <c r="N481" s="2">
        <f t="shared" si="158"/>
        <v>0.11829971658788851</v>
      </c>
      <c r="O481" s="2">
        <v>0.617277564</v>
      </c>
      <c r="P481" s="2">
        <f t="shared" si="159"/>
        <v>0.63562243738829605</v>
      </c>
      <c r="Q481" s="2">
        <v>0.2505</v>
      </c>
      <c r="R481" s="2">
        <f t="shared" si="160"/>
        <v>0.5660104226983208</v>
      </c>
      <c r="S481" s="2">
        <f t="shared" si="161"/>
        <v>3.4004037581477221E-2</v>
      </c>
      <c r="T481" s="5">
        <f t="shared" si="153"/>
        <v>6.8608379463629285E-2</v>
      </c>
      <c r="U481" s="2" t="str">
        <f t="shared" si="162"/>
        <v>No Impact</v>
      </c>
      <c r="V481" s="2">
        <f t="shared" si="163"/>
        <v>3.203414341307903E-2</v>
      </c>
      <c r="W481" s="2">
        <f t="shared" si="164"/>
        <v>5.7705321463533535E-2</v>
      </c>
      <c r="X481" s="2" t="s">
        <v>1176</v>
      </c>
      <c r="Y481" s="2">
        <f t="shared" si="165"/>
        <v>3.5973931749875412E-2</v>
      </c>
      <c r="Z481" s="2">
        <f t="shared" si="166"/>
        <v>7.6330016544254281E-2</v>
      </c>
      <c r="AA481" s="2" t="str">
        <f t="shared" si="167"/>
        <v>No Impact</v>
      </c>
      <c r="AB481" s="2">
        <f t="shared" si="168"/>
        <v>2.4347497398341855E-2</v>
      </c>
      <c r="AC481" s="2">
        <f t="shared" si="169"/>
        <v>6.7676354691767165E-2</v>
      </c>
      <c r="AD481" s="2" t="str">
        <f t="shared" si="170"/>
        <v>No Impact</v>
      </c>
      <c r="AE481" s="2">
        <f t="shared" si="171"/>
        <v>6.6953362251473397E-3</v>
      </c>
      <c r="AF481" s="2">
        <f t="shared" si="172"/>
        <v>3.4492614538356697E-2</v>
      </c>
      <c r="AG481" s="2" t="s">
        <v>1175</v>
      </c>
    </row>
    <row r="482" spans="1:33" x14ac:dyDescent="0.3">
      <c r="A482">
        <v>555233</v>
      </c>
      <c r="B482" t="s">
        <v>976</v>
      </c>
      <c r="C482" t="s">
        <v>974</v>
      </c>
      <c r="D482" t="s">
        <v>977</v>
      </c>
      <c r="E482" s="18">
        <v>5.9</v>
      </c>
      <c r="F482" s="19">
        <f t="shared" si="154"/>
        <v>0.60000000000000009</v>
      </c>
      <c r="G482" s="2">
        <v>48.888187199999997</v>
      </c>
      <c r="H482" s="2">
        <f t="shared" si="155"/>
        <v>0.16638209607982449</v>
      </c>
      <c r="I482" s="2">
        <v>15.2</v>
      </c>
      <c r="J482" s="4">
        <f t="shared" si="156"/>
        <v>7.3750606501698207E-2</v>
      </c>
      <c r="K482" s="2">
        <v>0</v>
      </c>
      <c r="L482" s="4">
        <f t="shared" si="157"/>
        <v>0</v>
      </c>
      <c r="M482" s="2">
        <v>21858</v>
      </c>
      <c r="N482" s="2">
        <f t="shared" si="158"/>
        <v>0.10228858828594815</v>
      </c>
      <c r="O482" s="2">
        <v>0.66648638500000001</v>
      </c>
      <c r="P482" s="2">
        <f t="shared" si="159"/>
        <v>0.69246798195891524</v>
      </c>
      <c r="Q482" s="2">
        <v>0.1946</v>
      </c>
      <c r="R482" s="2">
        <f t="shared" si="160"/>
        <v>0.40416907932831503</v>
      </c>
      <c r="S482" s="2">
        <f t="shared" si="161"/>
        <v>2.7650534234185963E-2</v>
      </c>
      <c r="T482" s="5">
        <f t="shared" si="153"/>
        <v>5.5789208577527095E-2</v>
      </c>
      <c r="U482" s="2" t="str">
        <f t="shared" si="162"/>
        <v>No Impact</v>
      </c>
      <c r="V482" s="2">
        <f t="shared" si="163"/>
        <v>2.0381384796988769E-2</v>
      </c>
      <c r="W482" s="2">
        <f t="shared" si="164"/>
        <v>3.6714400207811498E-2</v>
      </c>
      <c r="X482" s="2" t="s">
        <v>1176</v>
      </c>
      <c r="Y482" s="2">
        <f t="shared" si="165"/>
        <v>3.4919683671383157E-2</v>
      </c>
      <c r="Z482" s="2">
        <f t="shared" si="166"/>
        <v>7.4093097493187793E-2</v>
      </c>
      <c r="AA482" s="2" t="str">
        <f t="shared" si="167"/>
        <v>No Impact</v>
      </c>
      <c r="AB482" s="2">
        <f t="shared" si="168"/>
        <v>1.9414758163764992E-2</v>
      </c>
      <c r="AC482" s="2">
        <f t="shared" si="169"/>
        <v>5.396530239840272E-2</v>
      </c>
      <c r="AD482" s="2" t="str">
        <f t="shared" si="170"/>
        <v>No Impact</v>
      </c>
      <c r="AE482" s="2">
        <f t="shared" si="171"/>
        <v>5.1581953811542175E-3</v>
      </c>
      <c r="AF482" s="2">
        <f t="shared" si="172"/>
        <v>2.6573668448109784E-2</v>
      </c>
      <c r="AG482" s="2" t="s">
        <v>1176</v>
      </c>
    </row>
    <row r="483" spans="1:33" x14ac:dyDescent="0.3">
      <c r="A483">
        <v>555239</v>
      </c>
      <c r="B483" t="s">
        <v>978</v>
      </c>
      <c r="C483" t="s">
        <v>690</v>
      </c>
      <c r="D483" t="s">
        <v>1139</v>
      </c>
      <c r="E483" s="18">
        <v>6.2</v>
      </c>
      <c r="F483" s="19">
        <f t="shared" si="154"/>
        <v>0.66666666666666663</v>
      </c>
      <c r="G483" s="2">
        <v>48.888187199999997</v>
      </c>
      <c r="H483" s="2">
        <f t="shared" si="155"/>
        <v>0.16638209607982449</v>
      </c>
      <c r="I483" s="2">
        <v>14.4</v>
      </c>
      <c r="J483" s="4">
        <f t="shared" si="156"/>
        <v>6.9868995633187783E-2</v>
      </c>
      <c r="K483" s="2">
        <v>0</v>
      </c>
      <c r="L483" s="4">
        <f t="shared" si="157"/>
        <v>0</v>
      </c>
      <c r="M483" s="2">
        <v>24184</v>
      </c>
      <c r="N483" s="2">
        <f t="shared" si="158"/>
        <v>0.11329387328308564</v>
      </c>
      <c r="O483" s="2">
        <v>0.70450839499999995</v>
      </c>
      <c r="P483" s="2">
        <f t="shared" si="159"/>
        <v>0.73639063282103434</v>
      </c>
      <c r="Q483" s="2">
        <v>0.25480000000000003</v>
      </c>
      <c r="R483" s="2">
        <f t="shared" si="160"/>
        <v>0.57845975680370598</v>
      </c>
      <c r="S483" s="2">
        <f t="shared" si="161"/>
        <v>3.6240731331947842E-2</v>
      </c>
      <c r="T483" s="5">
        <f t="shared" si="153"/>
        <v>7.3121253360104665E-2</v>
      </c>
      <c r="U483" s="2" t="str">
        <f t="shared" si="162"/>
        <v>No Impact</v>
      </c>
      <c r="V483" s="2">
        <f t="shared" si="163"/>
        <v>3.1887741446614458E-2</v>
      </c>
      <c r="W483" s="2">
        <f t="shared" si="164"/>
        <v>5.7441597460403726E-2</v>
      </c>
      <c r="X483" s="2" t="s">
        <v>1176</v>
      </c>
      <c r="Y483" s="2">
        <f t="shared" si="165"/>
        <v>4.0593721217281241E-2</v>
      </c>
      <c r="Z483" s="2">
        <f t="shared" si="166"/>
        <v>8.613235366241706E-2</v>
      </c>
      <c r="AA483" s="2" t="str">
        <f t="shared" si="167"/>
        <v>No Impact</v>
      </c>
      <c r="AB483" s="2">
        <f t="shared" si="168"/>
        <v>2.5524699640047277E-2</v>
      </c>
      <c r="AC483" s="2">
        <f t="shared" si="169"/>
        <v>7.0948508504956403E-2</v>
      </c>
      <c r="AD483" s="2" t="str">
        <f t="shared" si="170"/>
        <v>No Impact</v>
      </c>
      <c r="AE483" s="2">
        <f t="shared" si="171"/>
        <v>6.2453536244224186E-3</v>
      </c>
      <c r="AF483" s="2">
        <f t="shared" si="172"/>
        <v>3.2174422311135063E-2</v>
      </c>
      <c r="AG483" s="2" t="s">
        <v>1176</v>
      </c>
    </row>
    <row r="484" spans="1:33" x14ac:dyDescent="0.3">
      <c r="A484">
        <v>555255</v>
      </c>
      <c r="B484" t="s">
        <v>979</v>
      </c>
      <c r="C484" t="s">
        <v>974</v>
      </c>
      <c r="D484" t="s">
        <v>980</v>
      </c>
      <c r="E484" s="18">
        <v>6.2</v>
      </c>
      <c r="F484" s="19">
        <f t="shared" si="154"/>
        <v>0.66666666666666663</v>
      </c>
      <c r="G484" s="2">
        <v>51.096002400000003</v>
      </c>
      <c r="H484" s="2">
        <f t="shared" si="155"/>
        <v>0.18772817928925031</v>
      </c>
      <c r="I484" s="2">
        <v>11.3</v>
      </c>
      <c r="J484" s="4">
        <f t="shared" si="156"/>
        <v>5.4827753517709854E-2</v>
      </c>
      <c r="K484" s="2">
        <v>0</v>
      </c>
      <c r="L484" s="4">
        <f t="shared" si="157"/>
        <v>0</v>
      </c>
      <c r="M484" s="2">
        <v>29622</v>
      </c>
      <c r="N484" s="2">
        <f t="shared" si="158"/>
        <v>0.1390233400992652</v>
      </c>
      <c r="O484" s="2">
        <v>0.66461306899999995</v>
      </c>
      <c r="P484" s="2">
        <f t="shared" si="159"/>
        <v>0.69030394579611287</v>
      </c>
      <c r="Q484" s="2">
        <v>0.2482</v>
      </c>
      <c r="R484" s="2">
        <f t="shared" si="160"/>
        <v>0.55935147654892881</v>
      </c>
      <c r="S484" s="2">
        <f t="shared" si="161"/>
        <v>3.5362989276320686E-2</v>
      </c>
      <c r="T484" s="5">
        <f t="shared" si="153"/>
        <v>7.1350273667491415E-2</v>
      </c>
      <c r="U484" s="2" t="str">
        <f t="shared" si="162"/>
        <v>No Impact</v>
      </c>
      <c r="V484" s="2">
        <f t="shared" si="163"/>
        <v>3.1657271137631046E-2</v>
      </c>
      <c r="W484" s="2">
        <f t="shared" si="164"/>
        <v>5.702643532866844E-2</v>
      </c>
      <c r="X484" s="2" t="s">
        <v>1176</v>
      </c>
      <c r="Y484" s="2">
        <f t="shared" si="165"/>
        <v>3.9068707415010326E-2</v>
      </c>
      <c r="Z484" s="2">
        <f t="shared" si="166"/>
        <v>8.2896556987010345E-2</v>
      </c>
      <c r="AA484" s="2" t="str">
        <f t="shared" si="167"/>
        <v>No Impact</v>
      </c>
      <c r="AB484" s="2">
        <f t="shared" si="168"/>
        <v>2.5554533557750815E-2</v>
      </c>
      <c r="AC484" s="2">
        <f t="shared" si="169"/>
        <v>7.1031434925003467E-2</v>
      </c>
      <c r="AD484" s="2" t="str">
        <f t="shared" si="170"/>
        <v>No Impact</v>
      </c>
      <c r="AE484" s="2">
        <f t="shared" si="171"/>
        <v>7.8682183859338575E-3</v>
      </c>
      <c r="AF484" s="2">
        <f t="shared" si="172"/>
        <v>4.0534995519759011E-2</v>
      </c>
      <c r="AG484" s="2" t="s">
        <v>1175</v>
      </c>
    </row>
    <row r="485" spans="1:33" x14ac:dyDescent="0.3">
      <c r="A485">
        <v>555270</v>
      </c>
      <c r="B485" t="s">
        <v>981</v>
      </c>
      <c r="C485" t="s">
        <v>974</v>
      </c>
      <c r="D485" t="s">
        <v>982</v>
      </c>
      <c r="E485" s="18">
        <v>6.2</v>
      </c>
      <c r="F485" s="19">
        <f t="shared" si="154"/>
        <v>0.66666666666666663</v>
      </c>
      <c r="G485" s="2">
        <v>35.968266</v>
      </c>
      <c r="H485" s="2">
        <f t="shared" si="155"/>
        <v>4.146687989940142E-2</v>
      </c>
      <c r="I485" s="2">
        <v>18.399999999999999</v>
      </c>
      <c r="J485" s="4">
        <f t="shared" si="156"/>
        <v>8.9277049975739931E-2</v>
      </c>
      <c r="K485" s="2">
        <v>0</v>
      </c>
      <c r="L485" s="4">
        <f t="shared" si="157"/>
        <v>0</v>
      </c>
      <c r="M485" s="2">
        <v>23187</v>
      </c>
      <c r="N485" s="2">
        <f t="shared" si="158"/>
        <v>0.10857664665275629</v>
      </c>
      <c r="O485" s="2">
        <v>0.61013070800000002</v>
      </c>
      <c r="P485" s="2">
        <f t="shared" si="159"/>
        <v>0.62736645984134798</v>
      </c>
      <c r="Q485" s="2">
        <v>0.2324</v>
      </c>
      <c r="R485" s="2">
        <f t="shared" si="160"/>
        <v>0.51360741169658375</v>
      </c>
      <c r="S485" s="2">
        <f t="shared" si="161"/>
        <v>1.7403797582467784E-2</v>
      </c>
      <c r="T485" s="5">
        <f t="shared" si="153"/>
        <v>3.511484028286594E-2</v>
      </c>
      <c r="U485" s="2" t="str">
        <f t="shared" si="162"/>
        <v>No Impact</v>
      </c>
      <c r="V485" s="2">
        <f t="shared" si="163"/>
        <v>1.5668578664249231E-2</v>
      </c>
      <c r="W485" s="2">
        <f t="shared" si="164"/>
        <v>2.8224896075354725E-2</v>
      </c>
      <c r="X485" s="2" t="s">
        <v>1176</v>
      </c>
      <c r="Y485" s="2">
        <f t="shared" si="165"/>
        <v>1.9139016500686334E-2</v>
      </c>
      <c r="Z485" s="2">
        <f t="shared" si="166"/>
        <v>4.0609446203866861E-2</v>
      </c>
      <c r="AA485" s="2" t="str">
        <f t="shared" si="167"/>
        <v>No Impact</v>
      </c>
      <c r="AB485" s="2">
        <f t="shared" si="168"/>
        <v>1.2385026043236887E-2</v>
      </c>
      <c r="AC485" s="2">
        <f t="shared" si="169"/>
        <v>3.4425444293340615E-2</v>
      </c>
      <c r="AD485" s="2" t="str">
        <f t="shared" si="170"/>
        <v>No Impact</v>
      </c>
      <c r="AE485" s="2">
        <f t="shared" si="171"/>
        <v>3.3123387444107259E-3</v>
      </c>
      <c r="AF485" s="2">
        <f t="shared" si="172"/>
        <v>1.7064299639247663E-2</v>
      </c>
      <c r="AG485" s="2" t="s">
        <v>1176</v>
      </c>
    </row>
    <row r="486" spans="1:33" x14ac:dyDescent="0.3">
      <c r="A486">
        <v>557312</v>
      </c>
      <c r="B486" t="s">
        <v>983</v>
      </c>
      <c r="C486" t="s">
        <v>984</v>
      </c>
      <c r="D486" t="s">
        <v>985</v>
      </c>
      <c r="E486" s="18">
        <v>5.9</v>
      </c>
      <c r="F486" s="19">
        <f t="shared" si="154"/>
        <v>0.60000000000000009</v>
      </c>
      <c r="G486" s="2">
        <v>37.965142800000002</v>
      </c>
      <c r="H486" s="2">
        <f t="shared" si="155"/>
        <v>6.0773522199794996E-2</v>
      </c>
      <c r="I486" s="2">
        <v>14.6</v>
      </c>
      <c r="J486" s="4">
        <f t="shared" si="156"/>
        <v>7.0839398350315386E-2</v>
      </c>
      <c r="K486" s="2">
        <v>0</v>
      </c>
      <c r="L486" s="4">
        <f t="shared" si="157"/>
        <v>0</v>
      </c>
      <c r="M486" s="2">
        <v>27341</v>
      </c>
      <c r="N486" s="2">
        <f t="shared" si="158"/>
        <v>0.1282309690423131</v>
      </c>
      <c r="O486" s="2">
        <v>0.62528721200000004</v>
      </c>
      <c r="P486" s="2">
        <f t="shared" si="159"/>
        <v>0.64487510374213886</v>
      </c>
      <c r="Q486" s="2">
        <v>0.19589999999999999</v>
      </c>
      <c r="R486" s="2">
        <f t="shared" si="160"/>
        <v>0.40793283149971049</v>
      </c>
      <c r="S486" s="2">
        <f t="shared" si="161"/>
        <v>1.4549128349228687E-2</v>
      </c>
      <c r="T486" s="5">
        <f t="shared" si="153"/>
        <v>2.9355105735816098E-2</v>
      </c>
      <c r="U486" s="2" t="str">
        <f t="shared" si="162"/>
        <v>No Impact</v>
      </c>
      <c r="V486" s="2">
        <f t="shared" si="163"/>
        <v>1.1274738581810124E-2</v>
      </c>
      <c r="W486" s="2">
        <f t="shared" si="164"/>
        <v>2.0309967583369896E-2</v>
      </c>
      <c r="X486" s="2" t="s">
        <v>1176</v>
      </c>
      <c r="Y486" s="2">
        <f t="shared" si="165"/>
        <v>1.7823518116647251E-2</v>
      </c>
      <c r="Z486" s="2">
        <f t="shared" si="166"/>
        <v>3.7818202418900521E-2</v>
      </c>
      <c r="AA486" s="2" t="str">
        <f t="shared" si="167"/>
        <v>No Impact</v>
      </c>
      <c r="AB486" s="2">
        <f t="shared" si="168"/>
        <v>1.0533662585663994E-2</v>
      </c>
      <c r="AC486" s="2">
        <f t="shared" si="169"/>
        <v>2.9279390554502866E-2</v>
      </c>
      <c r="AD486" s="2" t="str">
        <f t="shared" si="170"/>
        <v>No Impact</v>
      </c>
      <c r="AE486" s="2">
        <f t="shared" si="171"/>
        <v>3.5441389915322201E-3</v>
      </c>
      <c r="AF486" s="2">
        <f t="shared" si="172"/>
        <v>1.8258473659041805E-2</v>
      </c>
      <c r="AG486" s="2" t="s">
        <v>1176</v>
      </c>
    </row>
    <row r="487" spans="1:33" x14ac:dyDescent="0.3">
      <c r="A487">
        <v>557315</v>
      </c>
      <c r="B487" t="s">
        <v>986</v>
      </c>
      <c r="C487" t="s">
        <v>984</v>
      </c>
      <c r="D487" t="s">
        <v>987</v>
      </c>
      <c r="E487" s="18">
        <v>5.9</v>
      </c>
      <c r="F487" s="19">
        <f t="shared" si="154"/>
        <v>0.60000000000000009</v>
      </c>
      <c r="G487" s="2">
        <v>37.965142800000002</v>
      </c>
      <c r="H487" s="2">
        <f t="shared" si="155"/>
        <v>6.0773522199794996E-2</v>
      </c>
      <c r="I487" s="2">
        <v>13.3</v>
      </c>
      <c r="J487" s="4">
        <f t="shared" si="156"/>
        <v>6.4531780688985935E-2</v>
      </c>
      <c r="K487" s="2">
        <v>0</v>
      </c>
      <c r="L487" s="4">
        <f t="shared" si="157"/>
        <v>0</v>
      </c>
      <c r="M487" s="2">
        <v>28057</v>
      </c>
      <c r="N487" s="2">
        <f t="shared" si="158"/>
        <v>0.13161866640170711</v>
      </c>
      <c r="O487" s="2">
        <v>0.75376172500000005</v>
      </c>
      <c r="P487" s="2">
        <f t="shared" si="159"/>
        <v>0.79328759374936875</v>
      </c>
      <c r="Q487" s="2">
        <v>0.25850000000000001</v>
      </c>
      <c r="R487" s="2">
        <f t="shared" si="160"/>
        <v>0.58917197452229308</v>
      </c>
      <c r="S487" s="2">
        <f t="shared" si="161"/>
        <v>1.8189099068046263E-2</v>
      </c>
      <c r="T487" s="5">
        <f t="shared" si="153"/>
        <v>3.6699306897656089E-2</v>
      </c>
      <c r="U487" s="2" t="str">
        <f t="shared" si="162"/>
        <v>No Impact</v>
      </c>
      <c r="V487" s="2">
        <f t="shared" si="163"/>
        <v>1.5503538271430382E-2</v>
      </c>
      <c r="W487" s="2">
        <f t="shared" si="164"/>
        <v>2.79275973837908E-2</v>
      </c>
      <c r="X487" s="2" t="s">
        <v>1176</v>
      </c>
      <c r="Y487" s="2">
        <f t="shared" si="165"/>
        <v>2.0874659864662141E-2</v>
      </c>
      <c r="Z487" s="2">
        <f t="shared" si="166"/>
        <v>4.4292159775692584E-2</v>
      </c>
      <c r="AA487" s="2" t="str">
        <f t="shared" si="167"/>
        <v>No Impact</v>
      </c>
      <c r="AB487" s="2">
        <f t="shared" si="168"/>
        <v>1.29008363435566E-2</v>
      </c>
      <c r="AC487" s="2">
        <f t="shared" si="169"/>
        <v>3.5859191682938087E-2</v>
      </c>
      <c r="AD487" s="2" t="str">
        <f t="shared" si="170"/>
        <v>No Impact</v>
      </c>
      <c r="AE487" s="2">
        <f t="shared" si="171"/>
        <v>3.4634285404494978E-3</v>
      </c>
      <c r="AF487" s="2">
        <f t="shared" si="172"/>
        <v>1.7842674603580334E-2</v>
      </c>
      <c r="AG487" s="2" t="s">
        <v>1176</v>
      </c>
    </row>
    <row r="488" spans="1:33" x14ac:dyDescent="0.3">
      <c r="A488">
        <v>557336</v>
      </c>
      <c r="B488" t="s">
        <v>988</v>
      </c>
      <c r="C488" t="s">
        <v>984</v>
      </c>
      <c r="D488" t="s">
        <v>989</v>
      </c>
      <c r="E488" s="18">
        <v>5.9</v>
      </c>
      <c r="F488" s="19">
        <f t="shared" si="154"/>
        <v>0.60000000000000009</v>
      </c>
      <c r="G488" s="2">
        <v>48.888187199999997</v>
      </c>
      <c r="H488" s="2">
        <f t="shared" si="155"/>
        <v>0.16638209607982449</v>
      </c>
      <c r="I488" s="2">
        <v>12.8</v>
      </c>
      <c r="J488" s="4">
        <f t="shared" si="156"/>
        <v>6.2105773896166915E-2</v>
      </c>
      <c r="K488" s="2">
        <v>0</v>
      </c>
      <c r="L488" s="4">
        <f t="shared" si="157"/>
        <v>0</v>
      </c>
      <c r="M488" s="2">
        <v>28976</v>
      </c>
      <c r="N488" s="2">
        <f t="shared" si="158"/>
        <v>0.13596684220238181</v>
      </c>
      <c r="O488" s="2">
        <v>0.753953023</v>
      </c>
      <c r="P488" s="2">
        <f t="shared" si="159"/>
        <v>0.79350857931180019</v>
      </c>
      <c r="Q488" s="2">
        <v>0.23319999999999999</v>
      </c>
      <c r="R488" s="2">
        <f t="shared" si="160"/>
        <v>0.51592356687898089</v>
      </c>
      <c r="S488" s="2">
        <f t="shared" si="161"/>
        <v>3.1414883005928367E-2</v>
      </c>
      <c r="T488" s="5">
        <f t="shared" si="153"/>
        <v>6.3384361604467435E-2</v>
      </c>
      <c r="U488" s="2" t="str">
        <f t="shared" si="162"/>
        <v>No Impact</v>
      </c>
      <c r="V488" s="2">
        <f t="shared" si="163"/>
        <v>2.4755278141984804E-2</v>
      </c>
      <c r="W488" s="2">
        <f t="shared" si="164"/>
        <v>4.4593397259974174E-2</v>
      </c>
      <c r="X488" s="2" t="s">
        <v>1176</v>
      </c>
      <c r="Y488" s="2">
        <f t="shared" si="165"/>
        <v>3.8074487869871942E-2</v>
      </c>
      <c r="Z488" s="2">
        <f t="shared" si="166"/>
        <v>8.0787007359333168E-2</v>
      </c>
      <c r="AA488" s="2" t="str">
        <f t="shared" si="167"/>
        <v>No Impact</v>
      </c>
      <c r="AB488" s="2">
        <f t="shared" si="168"/>
        <v>2.2370101611576786E-2</v>
      </c>
      <c r="AC488" s="2">
        <f t="shared" si="169"/>
        <v>6.2179981227107398E-2</v>
      </c>
      <c r="AD488" s="2" t="str">
        <f t="shared" si="170"/>
        <v>No Impact</v>
      </c>
      <c r="AE488" s="2">
        <f t="shared" si="171"/>
        <v>6.5240225740586313E-3</v>
      </c>
      <c r="AF488" s="2">
        <f t="shared" si="172"/>
        <v>3.3610051582075688E-2</v>
      </c>
      <c r="AG488" s="2" t="s">
        <v>1176</v>
      </c>
    </row>
    <row r="489" spans="1:33" x14ac:dyDescent="0.3">
      <c r="A489">
        <v>557345</v>
      </c>
      <c r="B489" t="s">
        <v>990</v>
      </c>
      <c r="C489" t="s">
        <v>984</v>
      </c>
      <c r="D489" t="s">
        <v>454</v>
      </c>
      <c r="E489" s="18">
        <v>5.9</v>
      </c>
      <c r="F489" s="19">
        <f t="shared" si="154"/>
        <v>0.60000000000000009</v>
      </c>
      <c r="G489" s="2">
        <v>38.2710024</v>
      </c>
      <c r="H489" s="2">
        <f t="shared" si="155"/>
        <v>6.3730701075998791E-2</v>
      </c>
      <c r="I489" s="2">
        <v>10.5</v>
      </c>
      <c r="J489" s="4">
        <f t="shared" si="156"/>
        <v>5.0946142649199416E-2</v>
      </c>
      <c r="K489" s="2">
        <v>0</v>
      </c>
      <c r="L489" s="4">
        <f t="shared" si="157"/>
        <v>0</v>
      </c>
      <c r="M489" s="2">
        <v>24819</v>
      </c>
      <c r="N489" s="2">
        <f t="shared" si="158"/>
        <v>0.11629832555014596</v>
      </c>
      <c r="O489" s="2">
        <v>0.73058227099999995</v>
      </c>
      <c r="P489" s="2">
        <f t="shared" si="159"/>
        <v>0.76651091715556019</v>
      </c>
      <c r="Q489" s="2">
        <v>0.2472</v>
      </c>
      <c r="R489" s="2">
        <f t="shared" si="160"/>
        <v>0.55645628257093227</v>
      </c>
      <c r="S489" s="2">
        <f t="shared" si="161"/>
        <v>1.5929938795742799E-2</v>
      </c>
      <c r="T489" s="5">
        <f t="shared" si="153"/>
        <v>3.2141103335506668E-2</v>
      </c>
      <c r="U489" s="2" t="str">
        <f t="shared" si="162"/>
        <v>No Impact</v>
      </c>
      <c r="V489" s="2">
        <f t="shared" si="163"/>
        <v>1.3400656532821225E-2</v>
      </c>
      <c r="W489" s="2">
        <f t="shared" si="164"/>
        <v>2.4139530846113644E-2</v>
      </c>
      <c r="X489" s="2" t="s">
        <v>1176</v>
      </c>
      <c r="Y489" s="2">
        <f t="shared" si="165"/>
        <v>1.845922105866437E-2</v>
      </c>
      <c r="Z489" s="2">
        <f t="shared" si="166"/>
        <v>3.9167046254452796E-2</v>
      </c>
      <c r="AA489" s="2" t="str">
        <f t="shared" si="167"/>
        <v>No Impact</v>
      </c>
      <c r="AB489" s="2">
        <f t="shared" si="168"/>
        <v>1.120824538457604E-2</v>
      </c>
      <c r="AC489" s="2">
        <f t="shared" si="169"/>
        <v>3.1154462313263822E-2</v>
      </c>
      <c r="AD489" s="2" t="str">
        <f t="shared" si="170"/>
        <v>No Impact</v>
      </c>
      <c r="AE489" s="2">
        <f t="shared" si="171"/>
        <v>2.8007122299694267E-3</v>
      </c>
      <c r="AF489" s="2">
        <f t="shared" si="172"/>
        <v>1.4428534151631936E-2</v>
      </c>
      <c r="AG489" s="2" t="s">
        <v>1176</v>
      </c>
    </row>
    <row r="490" spans="1:33" x14ac:dyDescent="0.3">
      <c r="A490">
        <v>557364</v>
      </c>
      <c r="B490" t="s">
        <v>991</v>
      </c>
      <c r="C490" t="s">
        <v>984</v>
      </c>
      <c r="D490" t="s">
        <v>992</v>
      </c>
      <c r="E490" s="18">
        <v>5.9</v>
      </c>
      <c r="F490" s="19">
        <f t="shared" si="154"/>
        <v>0.60000000000000009</v>
      </c>
      <c r="G490" s="2">
        <v>38.6717832</v>
      </c>
      <c r="H490" s="2">
        <f t="shared" si="155"/>
        <v>6.7605617919374181E-2</v>
      </c>
      <c r="I490" s="2">
        <v>8.5</v>
      </c>
      <c r="J490" s="4">
        <f t="shared" si="156"/>
        <v>4.1242115477923343E-2</v>
      </c>
      <c r="K490" s="2">
        <v>0</v>
      </c>
      <c r="L490" s="4">
        <f t="shared" si="157"/>
        <v>0</v>
      </c>
      <c r="M490" s="2">
        <v>45805</v>
      </c>
      <c r="N490" s="2">
        <f t="shared" si="158"/>
        <v>0.21559192441081981</v>
      </c>
      <c r="O490" s="2">
        <v>0.77131277499999995</v>
      </c>
      <c r="P490" s="2">
        <f t="shared" si="159"/>
        <v>0.81356239356699012</v>
      </c>
      <c r="Q490" s="2">
        <v>0.2535</v>
      </c>
      <c r="R490" s="2">
        <f t="shared" si="160"/>
        <v>0.57469600463231041</v>
      </c>
      <c r="S490" s="2">
        <f t="shared" si="161"/>
        <v>1.5866421901444463E-2</v>
      </c>
      <c r="T490" s="5">
        <f t="shared" si="153"/>
        <v>3.2012948225222201E-2</v>
      </c>
      <c r="U490" s="2" t="str">
        <f t="shared" si="162"/>
        <v>No Impact</v>
      </c>
      <c r="V490" s="2">
        <f t="shared" si="163"/>
        <v>1.3136415074309054E-2</v>
      </c>
      <c r="W490" s="2">
        <f t="shared" si="164"/>
        <v>2.3663534403480121E-2</v>
      </c>
      <c r="X490" s="2" t="s">
        <v>1176</v>
      </c>
      <c r="Y490" s="2">
        <f t="shared" si="165"/>
        <v>1.8596428728579868E-2</v>
      </c>
      <c r="Z490" s="2">
        <f t="shared" si="166"/>
        <v>3.9458175502917137E-2</v>
      </c>
      <c r="AA490" s="2" t="str">
        <f t="shared" si="167"/>
        <v>No Impact</v>
      </c>
      <c r="AB490" s="2">
        <f t="shared" si="168"/>
        <v>1.190147577943175E-2</v>
      </c>
      <c r="AC490" s="2">
        <f t="shared" si="169"/>
        <v>3.3081366968711653E-2</v>
      </c>
      <c r="AD490" s="2" t="str">
        <f t="shared" si="170"/>
        <v>No Impact</v>
      </c>
      <c r="AE490" s="2">
        <f t="shared" si="171"/>
        <v>4.9280053852846393E-3</v>
      </c>
      <c r="AF490" s="2">
        <f t="shared" si="172"/>
        <v>2.5387790020034193E-2</v>
      </c>
      <c r="AG490" s="2" t="s">
        <v>1176</v>
      </c>
    </row>
    <row r="491" spans="1:33" x14ac:dyDescent="0.3">
      <c r="A491">
        <v>557385</v>
      </c>
      <c r="B491" t="s">
        <v>993</v>
      </c>
      <c r="C491" t="s">
        <v>984</v>
      </c>
      <c r="D491" t="s">
        <v>994</v>
      </c>
      <c r="E491" s="18">
        <v>5.9</v>
      </c>
      <c r="F491" s="19">
        <f t="shared" si="154"/>
        <v>0.60000000000000009</v>
      </c>
      <c r="G491" s="2">
        <v>38.6717832</v>
      </c>
      <c r="H491" s="2">
        <f t="shared" si="155"/>
        <v>6.7605617919374181E-2</v>
      </c>
      <c r="I491" s="2">
        <v>6</v>
      </c>
      <c r="J491" s="4">
        <f t="shared" si="156"/>
        <v>2.9112081513828238E-2</v>
      </c>
      <c r="K491" s="2">
        <v>0</v>
      </c>
      <c r="L491" s="4">
        <f t="shared" si="157"/>
        <v>0</v>
      </c>
      <c r="M491" s="2">
        <v>25576</v>
      </c>
      <c r="N491" s="2">
        <f t="shared" si="158"/>
        <v>0.11988001116615331</v>
      </c>
      <c r="O491" s="2">
        <v>0.74570453400000003</v>
      </c>
      <c r="P491" s="2">
        <f t="shared" si="159"/>
        <v>0.7839800061909411</v>
      </c>
      <c r="Q491" s="2">
        <v>0.24990000000000001</v>
      </c>
      <c r="R491" s="2">
        <f t="shared" si="160"/>
        <v>0.56427330631152295</v>
      </c>
      <c r="S491" s="2">
        <f t="shared" si="161"/>
        <v>1.3691995657035452E-2</v>
      </c>
      <c r="T491" s="5">
        <f t="shared" si="153"/>
        <v>2.7625708605967352E-2</v>
      </c>
      <c r="U491" s="2" t="str">
        <f t="shared" si="162"/>
        <v>No Impact</v>
      </c>
      <c r="V491" s="2">
        <f t="shared" si="163"/>
        <v>1.1460795367983622E-2</v>
      </c>
      <c r="W491" s="2">
        <f t="shared" si="164"/>
        <v>2.064512456004217E-2</v>
      </c>
      <c r="X491" s="2" t="s">
        <v>1176</v>
      </c>
      <c r="Y491" s="2">
        <f t="shared" si="165"/>
        <v>1.5923195946087283E-2</v>
      </c>
      <c r="Z491" s="2">
        <f t="shared" si="166"/>
        <v>3.3786070937504749E-2</v>
      </c>
      <c r="AA491" s="2" t="str">
        <f t="shared" si="167"/>
        <v>No Impact</v>
      </c>
      <c r="AB491" s="2">
        <f t="shared" si="168"/>
        <v>9.6404343008897001E-3</v>
      </c>
      <c r="AC491" s="2">
        <f t="shared" si="169"/>
        <v>2.6796571345937274E-2</v>
      </c>
      <c r="AD491" s="2" t="str">
        <f t="shared" si="170"/>
        <v>No Impact</v>
      </c>
      <c r="AE491" s="2">
        <f t="shared" si="171"/>
        <v>2.4348489664835632E-3</v>
      </c>
      <c r="AF491" s="2">
        <f t="shared" si="172"/>
        <v>1.2543702666431145E-2</v>
      </c>
      <c r="AG491" s="2" t="s">
        <v>1176</v>
      </c>
    </row>
    <row r="492" spans="1:33" x14ac:dyDescent="0.3">
      <c r="A492">
        <v>557704</v>
      </c>
      <c r="B492" t="s">
        <v>995</v>
      </c>
      <c r="C492" t="s">
        <v>996</v>
      </c>
      <c r="D492" t="s">
        <v>997</v>
      </c>
      <c r="E492" s="18">
        <v>5.0999999999999996</v>
      </c>
      <c r="F492" s="19">
        <f t="shared" si="154"/>
        <v>0.42222222222222211</v>
      </c>
      <c r="G492" s="2">
        <v>34.892485200000003</v>
      </c>
      <c r="H492" s="2">
        <f t="shared" si="155"/>
        <v>3.1065779992170705E-2</v>
      </c>
      <c r="I492" s="2">
        <v>14.4</v>
      </c>
      <c r="J492" s="4">
        <f t="shared" si="156"/>
        <v>6.9868995633187783E-2</v>
      </c>
      <c r="K492" s="2">
        <v>0</v>
      </c>
      <c r="L492" s="4">
        <f t="shared" si="157"/>
        <v>0</v>
      </c>
      <c r="M492" s="2">
        <v>20430</v>
      </c>
      <c r="N492" s="2">
        <f t="shared" si="158"/>
        <v>9.5532119250732184E-2</v>
      </c>
      <c r="O492" s="2">
        <v>0.73481706899999999</v>
      </c>
      <c r="P492" s="2">
        <f t="shared" si="159"/>
        <v>0.77140291402857153</v>
      </c>
      <c r="Q492" s="2">
        <v>0.29720000000000002</v>
      </c>
      <c r="R492" s="2">
        <f t="shared" si="160"/>
        <v>0.7012159814707587</v>
      </c>
      <c r="S492" s="2">
        <f t="shared" si="161"/>
        <v>1.0982730492917843E-2</v>
      </c>
      <c r="T492" s="5">
        <f t="shared" si="153"/>
        <v>2.2159349147859206E-2</v>
      </c>
      <c r="U492" s="2" t="str">
        <f t="shared" si="162"/>
        <v>No Impact</v>
      </c>
      <c r="V492" s="2">
        <f t="shared" si="163"/>
        <v>1.0459279268189611E-2</v>
      </c>
      <c r="W492" s="2">
        <f t="shared" si="164"/>
        <v>1.8841024236700237E-2</v>
      </c>
      <c r="X492" s="2" t="s">
        <v>1176</v>
      </c>
      <c r="Y492" s="2">
        <f t="shared" si="165"/>
        <v>1.1506181717646074E-2</v>
      </c>
      <c r="Z492" s="2">
        <f t="shared" si="166"/>
        <v>2.4413985298456085E-2</v>
      </c>
      <c r="AA492" s="2" t="str">
        <f t="shared" si="167"/>
        <v>No Impact</v>
      </c>
      <c r="AB492" s="2">
        <f t="shared" si="168"/>
        <v>7.6113344604434125E-3</v>
      </c>
      <c r="AC492" s="2">
        <f t="shared" si="169"/>
        <v>2.115648118552501E-2</v>
      </c>
      <c r="AD492" s="2" t="str">
        <f t="shared" si="170"/>
        <v>No Impact</v>
      </c>
      <c r="AE492" s="2">
        <f t="shared" si="171"/>
        <v>1.4249491465235069E-3</v>
      </c>
      <c r="AF492" s="2">
        <f t="shared" si="172"/>
        <v>7.3409639180165385E-3</v>
      </c>
      <c r="AG492" s="2" t="s">
        <v>1176</v>
      </c>
    </row>
    <row r="493" spans="1:33" x14ac:dyDescent="0.3">
      <c r="A493">
        <v>557725</v>
      </c>
      <c r="B493" t="s">
        <v>998</v>
      </c>
      <c r="C493" t="s">
        <v>996</v>
      </c>
      <c r="D493" t="s">
        <v>999</v>
      </c>
      <c r="E493" s="18">
        <v>5.3</v>
      </c>
      <c r="F493" s="19">
        <f t="shared" si="154"/>
        <v>0.46666666666666656</v>
      </c>
      <c r="G493" s="2">
        <v>42.574125600000002</v>
      </c>
      <c r="H493" s="2">
        <f t="shared" si="155"/>
        <v>0.10533510070492177</v>
      </c>
      <c r="I493" s="2">
        <v>9.4</v>
      </c>
      <c r="J493" s="4">
        <f t="shared" si="156"/>
        <v>4.5608927704997575E-2</v>
      </c>
      <c r="K493" s="2">
        <v>0</v>
      </c>
      <c r="L493" s="4">
        <f t="shared" si="157"/>
        <v>0</v>
      </c>
      <c r="M493" s="2">
        <v>33064</v>
      </c>
      <c r="N493" s="2">
        <f t="shared" si="158"/>
        <v>0.15530889081300006</v>
      </c>
      <c r="O493" s="2">
        <v>0.42470186700000001</v>
      </c>
      <c r="P493" s="2">
        <f t="shared" si="159"/>
        <v>0.41316089198708628</v>
      </c>
      <c r="Q493" s="2">
        <v>0.30969999999999998</v>
      </c>
      <c r="R493" s="2">
        <f t="shared" si="160"/>
        <v>0.73740590619571511</v>
      </c>
      <c r="S493" s="2">
        <f t="shared" si="161"/>
        <v>1.4183146976913865E-2</v>
      </c>
      <c r="T493" s="5">
        <f t="shared" si="153"/>
        <v>2.8616681988099951E-2</v>
      </c>
      <c r="U493" s="2" t="str">
        <f t="shared" si="162"/>
        <v>No Impact</v>
      </c>
      <c r="V493" s="2">
        <f t="shared" si="163"/>
        <v>1.8180146282226559E-2</v>
      </c>
      <c r="W493" s="2">
        <f t="shared" si="164"/>
        <v>3.2749156796295677E-2</v>
      </c>
      <c r="X493" s="2" t="s">
        <v>1176</v>
      </c>
      <c r="Y493" s="2">
        <f t="shared" si="165"/>
        <v>1.018614767160117E-2</v>
      </c>
      <c r="Z493" s="2">
        <f t="shared" si="166"/>
        <v>2.1613117679254709E-2</v>
      </c>
      <c r="AA493" s="2" t="str">
        <f t="shared" si="167"/>
        <v>No Impact</v>
      </c>
      <c r="AB493" s="2">
        <f t="shared" si="168"/>
        <v>1.0759050787280705E-2</v>
      </c>
      <c r="AC493" s="2">
        <f t="shared" si="169"/>
        <v>2.990588007112115E-2</v>
      </c>
      <c r="AD493" s="2" t="str">
        <f t="shared" si="170"/>
        <v>No Impact</v>
      </c>
      <c r="AE493" s="2">
        <f t="shared" si="171"/>
        <v>3.8290151057744541E-3</v>
      </c>
      <c r="AF493" s="2">
        <f t="shared" si="172"/>
        <v>1.9726080612496335E-2</v>
      </c>
      <c r="AG493" s="2" t="s">
        <v>1176</v>
      </c>
    </row>
    <row r="494" spans="1:33" x14ac:dyDescent="0.3">
      <c r="A494">
        <v>557734</v>
      </c>
      <c r="B494" t="s">
        <v>1000</v>
      </c>
      <c r="C494" t="s">
        <v>996</v>
      </c>
      <c r="D494" t="s">
        <v>1001</v>
      </c>
      <c r="E494" s="18">
        <v>5.3</v>
      </c>
      <c r="F494" s="19">
        <f t="shared" si="154"/>
        <v>0.46666666666666656</v>
      </c>
      <c r="G494" s="2">
        <v>37.965142800000002</v>
      </c>
      <c r="H494" s="2">
        <f t="shared" si="155"/>
        <v>6.0773522199794996E-2</v>
      </c>
      <c r="I494" s="2">
        <v>10</v>
      </c>
      <c r="J494" s="4">
        <f t="shared" si="156"/>
        <v>4.8520135856380396E-2</v>
      </c>
      <c r="K494" s="2">
        <v>0</v>
      </c>
      <c r="L494" s="4">
        <f t="shared" si="157"/>
        <v>0</v>
      </c>
      <c r="M494" s="2">
        <v>34418</v>
      </c>
      <c r="N494" s="2">
        <f t="shared" si="158"/>
        <v>0.16171523470213339</v>
      </c>
      <c r="O494" s="2">
        <v>0.478422764</v>
      </c>
      <c r="P494" s="2">
        <f t="shared" si="159"/>
        <v>0.47521874224094884</v>
      </c>
      <c r="Q494" s="2">
        <v>0.27</v>
      </c>
      <c r="R494" s="2">
        <f t="shared" si="160"/>
        <v>0.62246670526925318</v>
      </c>
      <c r="S494" s="2">
        <f t="shared" si="161"/>
        <v>9.7975547328626213E-3</v>
      </c>
      <c r="T494" s="5">
        <f t="shared" si="153"/>
        <v>1.9768074638703361E-2</v>
      </c>
      <c r="U494" s="2" t="str">
        <f t="shared" si="162"/>
        <v>No Impact</v>
      </c>
      <c r="V494" s="2">
        <f t="shared" si="163"/>
        <v>1.1111838328718466E-2</v>
      </c>
      <c r="W494" s="2">
        <f t="shared" si="164"/>
        <v>2.0016524073739259E-2</v>
      </c>
      <c r="X494" s="2" t="s">
        <v>1176</v>
      </c>
      <c r="Y494" s="2">
        <f t="shared" si="165"/>
        <v>8.4832711370067728E-3</v>
      </c>
      <c r="Z494" s="2">
        <f t="shared" si="166"/>
        <v>1.799992924708221E-2</v>
      </c>
      <c r="AA494" s="2" t="str">
        <f t="shared" si="167"/>
        <v>No Impact</v>
      </c>
      <c r="AB494" s="2">
        <f t="shared" si="168"/>
        <v>7.4445141228960156E-3</v>
      </c>
      <c r="AC494" s="2">
        <f t="shared" si="169"/>
        <v>2.0692787026369792E-2</v>
      </c>
      <c r="AD494" s="2" t="str">
        <f t="shared" si="170"/>
        <v>No Impact</v>
      </c>
      <c r="AE494" s="2">
        <f t="shared" si="171"/>
        <v>2.8868267621214878E-3</v>
      </c>
      <c r="AF494" s="2">
        <f t="shared" si="172"/>
        <v>1.4872173614055887E-2</v>
      </c>
      <c r="AG494" s="2" t="s">
        <v>1176</v>
      </c>
    </row>
    <row r="495" spans="1:33" x14ac:dyDescent="0.3">
      <c r="A495">
        <v>557773</v>
      </c>
      <c r="B495" t="s">
        <v>1002</v>
      </c>
      <c r="C495" t="s">
        <v>996</v>
      </c>
      <c r="D495" t="s">
        <v>1003</v>
      </c>
      <c r="E495" s="18">
        <v>5.5</v>
      </c>
      <c r="F495" s="19">
        <f t="shared" si="154"/>
        <v>0.51111111111111107</v>
      </c>
      <c r="G495" s="2">
        <v>37.965142800000002</v>
      </c>
      <c r="H495" s="2">
        <f t="shared" si="155"/>
        <v>6.0773522199794996E-2</v>
      </c>
      <c r="I495" s="2">
        <v>16.7</v>
      </c>
      <c r="J495" s="4">
        <f t="shared" si="156"/>
        <v>8.1028626880155261E-2</v>
      </c>
      <c r="K495" s="2">
        <v>0</v>
      </c>
      <c r="L495" s="4">
        <f t="shared" si="157"/>
        <v>0</v>
      </c>
      <c r="M495" s="2">
        <v>44101</v>
      </c>
      <c r="N495" s="2">
        <f t="shared" si="158"/>
        <v>0.20752958320913353</v>
      </c>
      <c r="O495" s="2">
        <v>0.61299686499999995</v>
      </c>
      <c r="P495" s="2">
        <f t="shared" si="159"/>
        <v>0.63067741613290162</v>
      </c>
      <c r="Q495" s="2">
        <v>0.30170000000000002</v>
      </c>
      <c r="R495" s="2">
        <f t="shared" si="160"/>
        <v>0.71424435437174305</v>
      </c>
      <c r="S495" s="2">
        <f t="shared" si="161"/>
        <v>1.7058200212065118E-2</v>
      </c>
      <c r="T495" s="5">
        <f t="shared" si="153"/>
        <v>3.4417544396358205E-2</v>
      </c>
      <c r="U495" s="2" t="str">
        <f t="shared" si="162"/>
        <v>No Impact</v>
      </c>
      <c r="V495" s="2">
        <f t="shared" si="163"/>
        <v>1.8118114323688542E-2</v>
      </c>
      <c r="W495" s="2">
        <f t="shared" si="164"/>
        <v>3.263741433256595E-2</v>
      </c>
      <c r="X495" s="2" t="s">
        <v>1176</v>
      </c>
      <c r="Y495" s="2">
        <f t="shared" si="165"/>
        <v>1.599828610044169E-2</v>
      </c>
      <c r="Z495" s="2">
        <f t="shared" si="166"/>
        <v>3.3945398329462743E-2</v>
      </c>
      <c r="AA495" s="2" t="str">
        <f t="shared" si="167"/>
        <v>No Impact</v>
      </c>
      <c r="AB495" s="2">
        <f t="shared" si="168"/>
        <v>1.298335444290156E-2</v>
      </c>
      <c r="AC495" s="2">
        <f t="shared" si="169"/>
        <v>3.6088559164465794E-2</v>
      </c>
      <c r="AD495" s="2" t="str">
        <f t="shared" si="170"/>
        <v>No Impact</v>
      </c>
      <c r="AE495" s="2">
        <f t="shared" si="171"/>
        <v>5.2643674270801775E-3</v>
      </c>
      <c r="AF495" s="2">
        <f t="shared" si="172"/>
        <v>2.7120638955896677E-2</v>
      </c>
      <c r="AG495" s="2" t="s">
        <v>1176</v>
      </c>
    </row>
    <row r="496" spans="1:33" x14ac:dyDescent="0.3">
      <c r="A496">
        <v>557790</v>
      </c>
      <c r="B496" t="s">
        <v>1004</v>
      </c>
      <c r="C496" t="s">
        <v>996</v>
      </c>
      <c r="D496" t="s">
        <v>1005</v>
      </c>
      <c r="E496" s="18">
        <v>5.4</v>
      </c>
      <c r="F496" s="19">
        <f t="shared" si="154"/>
        <v>0.48888888888888893</v>
      </c>
      <c r="G496" s="2">
        <v>36.741866399999999</v>
      </c>
      <c r="H496" s="2">
        <f t="shared" si="155"/>
        <v>4.8946372978915069E-2</v>
      </c>
      <c r="I496" s="2">
        <v>24.8</v>
      </c>
      <c r="J496" s="4">
        <f t="shared" si="156"/>
        <v>0.12032993692382339</v>
      </c>
      <c r="K496" s="2">
        <v>0</v>
      </c>
      <c r="L496" s="4">
        <f t="shared" si="157"/>
        <v>0</v>
      </c>
      <c r="M496" s="2">
        <v>24227</v>
      </c>
      <c r="N496" s="2">
        <f t="shared" si="158"/>
        <v>0.11349732438148501</v>
      </c>
      <c r="O496" s="2">
        <v>0.30467203999999998</v>
      </c>
      <c r="P496" s="2">
        <f t="shared" si="159"/>
        <v>0.27450361993961769</v>
      </c>
      <c r="Q496" s="2">
        <v>0.28910000000000002</v>
      </c>
      <c r="R496" s="2">
        <f t="shared" si="160"/>
        <v>0.67776491024898677</v>
      </c>
      <c r="S496" s="2">
        <f t="shared" si="161"/>
        <v>1.3791256352962246E-2</v>
      </c>
      <c r="T496" s="5">
        <f t="shared" si="153"/>
        <v>2.7825982337451493E-2</v>
      </c>
      <c r="U496" s="2" t="str">
        <f t="shared" si="162"/>
        <v>No Impact</v>
      </c>
      <c r="V496" s="2">
        <f t="shared" si="163"/>
        <v>1.9631499578033798E-2</v>
      </c>
      <c r="W496" s="2">
        <f t="shared" si="164"/>
        <v>3.5363580020033931E-2</v>
      </c>
      <c r="X496" s="2" t="s">
        <v>1176</v>
      </c>
      <c r="Y496" s="2">
        <f t="shared" si="165"/>
        <v>7.9510131278906979E-3</v>
      </c>
      <c r="Z496" s="2">
        <f t="shared" si="166"/>
        <v>1.6870576388903661E-2</v>
      </c>
      <c r="AA496" s="2" t="str">
        <f t="shared" si="167"/>
        <v>No Impact</v>
      </c>
      <c r="AB496" s="2">
        <f t="shared" si="168"/>
        <v>1.0406938573958604E-2</v>
      </c>
      <c r="AC496" s="2">
        <f t="shared" si="169"/>
        <v>2.8927148226520455E-2</v>
      </c>
      <c r="AD496" s="2" t="str">
        <f t="shared" si="170"/>
        <v>No Impact</v>
      </c>
      <c r="AE496" s="2">
        <f t="shared" si="171"/>
        <v>3.287456523655901E-3</v>
      </c>
      <c r="AF496" s="2">
        <f t="shared" si="172"/>
        <v>1.6936112970125518E-2</v>
      </c>
      <c r="AG496" s="2" t="s">
        <v>1176</v>
      </c>
    </row>
    <row r="497" spans="1:33" x14ac:dyDescent="0.3">
      <c r="A497">
        <v>558503</v>
      </c>
      <c r="B497" t="s">
        <v>1006</v>
      </c>
      <c r="C497" t="s">
        <v>1007</v>
      </c>
      <c r="D497" t="s">
        <v>1008</v>
      </c>
      <c r="E497" s="18">
        <v>6.3</v>
      </c>
      <c r="F497" s="19">
        <f t="shared" si="154"/>
        <v>0.68888888888888877</v>
      </c>
      <c r="G497" s="2">
        <v>38.2710024</v>
      </c>
      <c r="H497" s="2">
        <f t="shared" si="155"/>
        <v>6.3730701075998791E-2</v>
      </c>
      <c r="I497" s="2">
        <v>9</v>
      </c>
      <c r="J497" s="4">
        <f t="shared" si="156"/>
        <v>4.3668122270742363E-2</v>
      </c>
      <c r="K497" s="2">
        <v>0</v>
      </c>
      <c r="L497" s="4">
        <f t="shared" si="157"/>
        <v>0</v>
      </c>
      <c r="M497" s="2">
        <v>34851</v>
      </c>
      <c r="N497" s="2">
        <f t="shared" si="158"/>
        <v>0.16376393994880603</v>
      </c>
      <c r="O497" s="2">
        <v>0.14470218800000001</v>
      </c>
      <c r="P497" s="2">
        <f t="shared" si="159"/>
        <v>8.9708025023386789E-2</v>
      </c>
      <c r="Q497" s="2">
        <v>0.2417</v>
      </c>
      <c r="R497" s="2">
        <f t="shared" si="160"/>
        <v>0.54053271569195138</v>
      </c>
      <c r="S497" s="2">
        <f t="shared" si="161"/>
        <v>8.1600576295707116E-3</v>
      </c>
      <c r="T497" s="5">
        <f t="shared" si="153"/>
        <v>1.6464172201704451E-2</v>
      </c>
      <c r="U497" s="2" t="str">
        <f t="shared" si="162"/>
        <v>No Impact</v>
      </c>
      <c r="V497" s="2">
        <f t="shared" si="163"/>
        <v>1.3997121499027008E-2</v>
      </c>
      <c r="W497" s="2">
        <f t="shared" si="164"/>
        <v>2.521398450553591E-2</v>
      </c>
      <c r="X497" s="2" t="s">
        <v>1176</v>
      </c>
      <c r="Y497" s="2">
        <f t="shared" si="165"/>
        <v>2.3229937601144113E-3</v>
      </c>
      <c r="Z497" s="2">
        <f t="shared" si="166"/>
        <v>4.9289622656368817E-3</v>
      </c>
      <c r="AA497" s="2" t="str">
        <f t="shared" si="167"/>
        <v>No Impact</v>
      </c>
      <c r="AB497" s="2">
        <f t="shared" si="168"/>
        <v>7.0801270260480893E-3</v>
      </c>
      <c r="AC497" s="2">
        <f t="shared" si="169"/>
        <v>1.9679935889847525E-2</v>
      </c>
      <c r="AD497" s="2" t="str">
        <f t="shared" si="170"/>
        <v>No Impact</v>
      </c>
      <c r="AE497" s="2">
        <f t="shared" si="171"/>
        <v>4.240675352440897E-3</v>
      </c>
      <c r="AF497" s="2">
        <f t="shared" si="172"/>
        <v>2.1846846132187316E-2</v>
      </c>
      <c r="AG497" s="2" t="s">
        <v>1176</v>
      </c>
    </row>
    <row r="498" spans="1:33" x14ac:dyDescent="0.3">
      <c r="A498">
        <v>558527</v>
      </c>
      <c r="B498" t="s">
        <v>1009</v>
      </c>
      <c r="C498" t="s">
        <v>1007</v>
      </c>
      <c r="D498" t="s">
        <v>1010</v>
      </c>
      <c r="E498" s="18">
        <v>6.3</v>
      </c>
      <c r="F498" s="19">
        <f t="shared" si="154"/>
        <v>0.68888888888888877</v>
      </c>
      <c r="G498" s="2">
        <v>48.888187199999997</v>
      </c>
      <c r="H498" s="2">
        <f t="shared" si="155"/>
        <v>0.16638209607982449</v>
      </c>
      <c r="I498" s="2">
        <v>11.4</v>
      </c>
      <c r="J498" s="4">
        <f t="shared" si="156"/>
        <v>5.5312954876273655E-2</v>
      </c>
      <c r="K498" s="2">
        <v>0</v>
      </c>
      <c r="L498" s="4">
        <f t="shared" si="157"/>
        <v>0</v>
      </c>
      <c r="M498" s="2">
        <v>23068</v>
      </c>
      <c r="N498" s="2">
        <f t="shared" si="158"/>
        <v>0.1080136075664883</v>
      </c>
      <c r="O498" s="2">
        <v>0.758806651</v>
      </c>
      <c r="P498" s="2">
        <f t="shared" si="159"/>
        <v>0.79911544249600863</v>
      </c>
      <c r="Q498" s="2">
        <v>0.22950000000000001</v>
      </c>
      <c r="R498" s="2">
        <f t="shared" si="160"/>
        <v>0.50521134916039379</v>
      </c>
      <c r="S498" s="2">
        <f t="shared" si="161"/>
        <v>3.4860181341726887E-2</v>
      </c>
      <c r="T498" s="5">
        <f t="shared" ref="T498:T547" si="173">(S498-$AJ$10)/$AK$10</f>
        <v>7.0335781271072997E-2</v>
      </c>
      <c r="U498" s="2" t="str">
        <f t="shared" si="162"/>
        <v>No Impact</v>
      </c>
      <c r="V498" s="2">
        <f t="shared" si="163"/>
        <v>2.7005133008521805E-2</v>
      </c>
      <c r="W498" s="2">
        <f t="shared" si="164"/>
        <v>4.8646216673488007E-2</v>
      </c>
      <c r="X498" s="2" t="s">
        <v>1176</v>
      </c>
      <c r="Y498" s="2">
        <f t="shared" si="165"/>
        <v>4.2715229674931972E-2</v>
      </c>
      <c r="Z498" s="2">
        <f t="shared" si="166"/>
        <v>9.0633801455145935E-2</v>
      </c>
      <c r="AA498" s="2" t="str">
        <f t="shared" si="167"/>
        <v>No Impact</v>
      </c>
      <c r="AB498" s="2">
        <f t="shared" si="168"/>
        <v>2.4287148728381197E-2</v>
      </c>
      <c r="AC498" s="2">
        <f t="shared" si="169"/>
        <v>6.7508609402523914E-2</v>
      </c>
      <c r="AD498" s="2" t="str">
        <f t="shared" si="170"/>
        <v>No Impact</v>
      </c>
      <c r="AE498" s="2">
        <f t="shared" si="171"/>
        <v>5.7736664940542214E-3</v>
      </c>
      <c r="AF498" s="2">
        <f t="shared" si="172"/>
        <v>2.9744414045174413E-2</v>
      </c>
      <c r="AG498" s="2" t="s">
        <v>1176</v>
      </c>
    </row>
    <row r="499" spans="1:33" x14ac:dyDescent="0.3">
      <c r="A499">
        <v>558542</v>
      </c>
      <c r="B499" t="s">
        <v>1011</v>
      </c>
      <c r="C499" t="s">
        <v>1007</v>
      </c>
      <c r="D499" t="s">
        <v>1012</v>
      </c>
      <c r="E499" s="18">
        <v>6.4</v>
      </c>
      <c r="F499" s="19">
        <f t="shared" si="154"/>
        <v>0.71111111111111114</v>
      </c>
      <c r="G499" s="2">
        <v>31.747906799999999</v>
      </c>
      <c r="H499" s="2">
        <f t="shared" si="155"/>
        <v>6.6267732988128838E-4</v>
      </c>
      <c r="I499" s="2">
        <v>7.6</v>
      </c>
      <c r="J499" s="4">
        <f t="shared" si="156"/>
        <v>3.6875303250849104E-2</v>
      </c>
      <c r="K499" s="2">
        <v>0</v>
      </c>
      <c r="L499" s="4">
        <f t="shared" si="157"/>
        <v>0</v>
      </c>
      <c r="M499" s="2">
        <v>14370</v>
      </c>
      <c r="N499" s="2">
        <f t="shared" si="158"/>
        <v>6.6859708639101414E-2</v>
      </c>
      <c r="O499" s="2">
        <v>0.69438634099999996</v>
      </c>
      <c r="P499" s="2">
        <f t="shared" si="159"/>
        <v>0.72469773589502973</v>
      </c>
      <c r="Q499" s="2">
        <v>0.27250000000000002</v>
      </c>
      <c r="R499" s="2">
        <f t="shared" si="160"/>
        <v>0.62970469021424447</v>
      </c>
      <c r="S499" s="2">
        <f t="shared" si="161"/>
        <v>6.3269462006842392E-3</v>
      </c>
      <c r="T499" s="5">
        <f t="shared" si="173"/>
        <v>1.2765587755348385E-2</v>
      </c>
      <c r="U499" s="2" t="str">
        <f t="shared" si="162"/>
        <v>No Impact</v>
      </c>
      <c r="V499" s="2">
        <f t="shared" si="163"/>
        <v>5.8831963388444476E-3</v>
      </c>
      <c r="W499" s="2">
        <f t="shared" si="164"/>
        <v>1.059780908102863E-2</v>
      </c>
      <c r="X499" s="2" t="s">
        <v>1176</v>
      </c>
      <c r="Y499" s="2">
        <f t="shared" si="165"/>
        <v>6.7706960625240316E-3</v>
      </c>
      <c r="Z499" s="2">
        <f t="shared" si="166"/>
        <v>1.4366162310583871E-2</v>
      </c>
      <c r="AA499" s="2" t="str">
        <f t="shared" si="167"/>
        <v>No Impact</v>
      </c>
      <c r="AB499" s="2">
        <f t="shared" si="168"/>
        <v>4.3089571262983056E-3</v>
      </c>
      <c r="AC499" s="2">
        <f t="shared" si="169"/>
        <v>1.197718624053911E-2</v>
      </c>
      <c r="AD499" s="2" t="str">
        <f t="shared" si="170"/>
        <v>No Impact</v>
      </c>
      <c r="AE499" s="2">
        <f t="shared" si="171"/>
        <v>6.2465596841582811E-4</v>
      </c>
      <c r="AF499" s="2">
        <f t="shared" si="172"/>
        <v>3.2180635614273314E-3</v>
      </c>
      <c r="AG499" s="2" t="s">
        <v>1176</v>
      </c>
    </row>
    <row r="500" spans="1:33" x14ac:dyDescent="0.3">
      <c r="A500">
        <v>558549</v>
      </c>
      <c r="B500" t="s">
        <v>1013</v>
      </c>
      <c r="C500" t="s">
        <v>1007</v>
      </c>
      <c r="D500" t="s">
        <v>1014</v>
      </c>
      <c r="E500" s="18">
        <v>6.3</v>
      </c>
      <c r="F500" s="19">
        <f t="shared" si="154"/>
        <v>0.68888888888888877</v>
      </c>
      <c r="G500" s="2">
        <v>38.2710024</v>
      </c>
      <c r="H500" s="2">
        <f t="shared" si="155"/>
        <v>6.3730701075998791E-2</v>
      </c>
      <c r="I500" s="2">
        <v>8.3000000000000007</v>
      </c>
      <c r="J500" s="4">
        <f t="shared" si="156"/>
        <v>4.0271712760795733E-2</v>
      </c>
      <c r="K500" s="2">
        <v>0</v>
      </c>
      <c r="L500" s="4">
        <f t="shared" si="157"/>
        <v>0</v>
      </c>
      <c r="M500" s="2">
        <v>70957</v>
      </c>
      <c r="N500" s="2">
        <f t="shared" si="158"/>
        <v>0.33459662271176654</v>
      </c>
      <c r="O500" s="2">
        <v>0.71655502900000001</v>
      </c>
      <c r="P500" s="2">
        <f t="shared" si="159"/>
        <v>0.75030678557691799</v>
      </c>
      <c r="Q500" s="2">
        <v>0.2737</v>
      </c>
      <c r="R500" s="2">
        <f t="shared" si="160"/>
        <v>0.63317892298784018</v>
      </c>
      <c r="S500" s="2">
        <f t="shared" si="161"/>
        <v>1.7346238969043946E-2</v>
      </c>
      <c r="T500" s="5">
        <f t="shared" si="173"/>
        <v>3.4998706921299076E-2</v>
      </c>
      <c r="U500" s="2" t="str">
        <f t="shared" si="162"/>
        <v>No Impact</v>
      </c>
      <c r="V500" s="2">
        <f t="shared" si="163"/>
        <v>1.5877681771939812E-2</v>
      </c>
      <c r="W500" s="2">
        <f t="shared" si="164"/>
        <v>2.8601567987342928E-2</v>
      </c>
      <c r="X500" s="2" t="s">
        <v>1176</v>
      </c>
      <c r="Y500" s="2">
        <f t="shared" si="165"/>
        <v>1.8814796166148076E-2</v>
      </c>
      <c r="Z500" s="2">
        <f t="shared" si="166"/>
        <v>3.9921510737947856E-2</v>
      </c>
      <c r="AA500" s="2" t="str">
        <f t="shared" si="167"/>
        <v>No Impact</v>
      </c>
      <c r="AB500" s="2">
        <f t="shared" si="168"/>
        <v>1.4138264298220248E-2</v>
      </c>
      <c r="AC500" s="2">
        <f t="shared" si="169"/>
        <v>3.9298749013829445E-2</v>
      </c>
      <c r="AD500" s="2" t="str">
        <f t="shared" si="170"/>
        <v>No Impact</v>
      </c>
      <c r="AE500" s="2">
        <f t="shared" si="171"/>
        <v>8.390390937705397E-3</v>
      </c>
      <c r="AF500" s="2">
        <f t="shared" si="172"/>
        <v>4.3225091423100957E-2</v>
      </c>
      <c r="AG500" s="2" t="s">
        <v>1175</v>
      </c>
    </row>
    <row r="501" spans="1:33" x14ac:dyDescent="0.3">
      <c r="A501">
        <v>558558</v>
      </c>
      <c r="B501" t="s">
        <v>1015</v>
      </c>
      <c r="C501" t="s">
        <v>1007</v>
      </c>
      <c r="D501" t="s">
        <v>1016</v>
      </c>
      <c r="E501" s="18">
        <v>6.3</v>
      </c>
      <c r="F501" s="19">
        <f t="shared" si="154"/>
        <v>0.68888888888888877</v>
      </c>
      <c r="G501" s="2">
        <v>37.285016400000004</v>
      </c>
      <c r="H501" s="2">
        <f t="shared" si="155"/>
        <v>5.4197774950964041E-2</v>
      </c>
      <c r="I501" s="2">
        <v>7</v>
      </c>
      <c r="J501" s="4">
        <f t="shared" si="156"/>
        <v>3.3964095099466282E-2</v>
      </c>
      <c r="K501" s="2">
        <v>0</v>
      </c>
      <c r="L501" s="4">
        <f t="shared" si="157"/>
        <v>0</v>
      </c>
      <c r="M501" s="2">
        <v>23688</v>
      </c>
      <c r="N501" s="2">
        <f t="shared" si="158"/>
        <v>0.11094708852015349</v>
      </c>
      <c r="O501" s="2">
        <v>0.65789067400000001</v>
      </c>
      <c r="P501" s="2">
        <f t="shared" si="159"/>
        <v>0.68253830140902627</v>
      </c>
      <c r="Q501" s="2">
        <v>0.26529999999999998</v>
      </c>
      <c r="R501" s="2">
        <f t="shared" si="160"/>
        <v>0.60885929357266932</v>
      </c>
      <c r="S501" s="2">
        <f t="shared" si="161"/>
        <v>1.3725494360350301E-2</v>
      </c>
      <c r="T501" s="5">
        <f t="shared" si="173"/>
        <v>2.7693297395770849E-2</v>
      </c>
      <c r="U501" s="2" t="str">
        <f t="shared" si="162"/>
        <v>No Impact</v>
      </c>
      <c r="V501" s="2">
        <f t="shared" si="163"/>
        <v>1.2942404156013613E-2</v>
      </c>
      <c r="W501" s="2">
        <f t="shared" si="164"/>
        <v>2.3314049097651626E-2</v>
      </c>
      <c r="X501" s="2" t="s">
        <v>1176</v>
      </c>
      <c r="Y501" s="2">
        <f t="shared" si="165"/>
        <v>1.450858456468699E-2</v>
      </c>
      <c r="Z501" s="2">
        <f t="shared" si="166"/>
        <v>3.0784527739593146E-2</v>
      </c>
      <c r="AA501" s="2" t="str">
        <f t="shared" si="167"/>
        <v>No Impact</v>
      </c>
      <c r="AB501" s="2">
        <f t="shared" si="168"/>
        <v>9.707850099238205E-3</v>
      </c>
      <c r="AC501" s="2">
        <f t="shared" si="169"/>
        <v>2.6983960440028432E-2</v>
      </c>
      <c r="AD501" s="2" t="str">
        <f t="shared" si="170"/>
        <v>No Impact</v>
      </c>
      <c r="AE501" s="2">
        <f t="shared" si="171"/>
        <v>2.3583807863638414E-3</v>
      </c>
      <c r="AF501" s="2">
        <f t="shared" si="172"/>
        <v>1.2149758677268576E-2</v>
      </c>
      <c r="AG501" s="2" t="s">
        <v>1176</v>
      </c>
    </row>
    <row r="502" spans="1:33" x14ac:dyDescent="0.3">
      <c r="A502">
        <v>558573</v>
      </c>
      <c r="B502" t="s">
        <v>1017</v>
      </c>
      <c r="C502" t="s">
        <v>1007</v>
      </c>
      <c r="D502" t="s">
        <v>1018</v>
      </c>
      <c r="E502" s="18">
        <v>6.3</v>
      </c>
      <c r="F502" s="19">
        <f t="shared" si="154"/>
        <v>0.68888888888888877</v>
      </c>
      <c r="G502" s="2">
        <v>37.102204800000003</v>
      </c>
      <c r="H502" s="2">
        <f t="shared" si="155"/>
        <v>5.2430275739413966E-2</v>
      </c>
      <c r="I502" s="2">
        <v>5.2</v>
      </c>
      <c r="J502" s="4">
        <f t="shared" si="156"/>
        <v>2.5230470645317808E-2</v>
      </c>
      <c r="K502" s="2">
        <v>0</v>
      </c>
      <c r="L502" s="4">
        <f t="shared" si="157"/>
        <v>0</v>
      </c>
      <c r="M502" s="2">
        <v>13223</v>
      </c>
      <c r="N502" s="2">
        <f t="shared" si="158"/>
        <v>6.1432768874820798E-2</v>
      </c>
      <c r="O502" s="2">
        <v>0.75639385299999995</v>
      </c>
      <c r="P502" s="2">
        <f t="shared" si="159"/>
        <v>0.79632820204883537</v>
      </c>
      <c r="Q502" s="2">
        <v>0.27339999999999998</v>
      </c>
      <c r="R502" s="2">
        <f t="shared" si="160"/>
        <v>0.63231036479444125</v>
      </c>
      <c r="S502" s="2">
        <f t="shared" si="161"/>
        <v>1.3375534899482516E-2</v>
      </c>
      <c r="T502" s="5">
        <f t="shared" si="173"/>
        <v>2.6987200320369924E-2</v>
      </c>
      <c r="U502" s="2" t="str">
        <f t="shared" si="162"/>
        <v>No Impact</v>
      </c>
      <c r="V502" s="2">
        <f t="shared" si="163"/>
        <v>1.1839928653613574E-2</v>
      </c>
      <c r="W502" s="2">
        <f t="shared" si="164"/>
        <v>2.1328083609163166E-2</v>
      </c>
      <c r="X502" s="2" t="s">
        <v>1176</v>
      </c>
      <c r="Y502" s="2">
        <f t="shared" si="165"/>
        <v>1.4911141145351461E-2</v>
      </c>
      <c r="Z502" s="2">
        <f t="shared" si="166"/>
        <v>3.1638678202649602E-2</v>
      </c>
      <c r="AA502" s="2" t="str">
        <f t="shared" si="167"/>
        <v>No Impact</v>
      </c>
      <c r="AB502" s="2">
        <f t="shared" si="168"/>
        <v>9.0199295614775011E-3</v>
      </c>
      <c r="AC502" s="2">
        <f t="shared" si="169"/>
        <v>2.5071815074467565E-2</v>
      </c>
      <c r="AD502" s="2" t="str">
        <f t="shared" si="170"/>
        <v>No Impact</v>
      </c>
      <c r="AE502" s="2">
        <f t="shared" si="171"/>
        <v>1.1503205403066092E-3</v>
      </c>
      <c r="AF502" s="2">
        <f t="shared" si="172"/>
        <v>5.9261494356807921E-3</v>
      </c>
      <c r="AG502" s="2" t="s">
        <v>1176</v>
      </c>
    </row>
    <row r="503" spans="1:33" x14ac:dyDescent="0.3">
      <c r="A503">
        <v>558576</v>
      </c>
      <c r="B503" t="s">
        <v>1019</v>
      </c>
      <c r="C503" t="s">
        <v>1007</v>
      </c>
      <c r="D503" t="s">
        <v>1151</v>
      </c>
      <c r="E503" s="18">
        <v>6.3</v>
      </c>
      <c r="F503" s="19">
        <f t="shared" si="154"/>
        <v>0.68888888888888877</v>
      </c>
      <c r="G503" s="2">
        <v>42.242047200000002</v>
      </c>
      <c r="H503" s="2">
        <f t="shared" si="155"/>
        <v>0.10212442747536299</v>
      </c>
      <c r="I503" s="2">
        <v>2.6</v>
      </c>
      <c r="J503" s="4">
        <f t="shared" si="156"/>
        <v>1.2615235322658904E-2</v>
      </c>
      <c r="K503" s="2">
        <v>0</v>
      </c>
      <c r="L503" s="4">
        <f t="shared" si="157"/>
        <v>0</v>
      </c>
      <c r="M503" s="2">
        <v>36763</v>
      </c>
      <c r="N503" s="2">
        <f t="shared" si="158"/>
        <v>0.17281041669623803</v>
      </c>
      <c r="O503" s="2">
        <v>0.77634236400000001</v>
      </c>
      <c r="P503" s="2">
        <f t="shared" si="159"/>
        <v>0.81937252516253067</v>
      </c>
      <c r="Q503" s="2">
        <v>0.2681</v>
      </c>
      <c r="R503" s="2">
        <f t="shared" si="160"/>
        <v>0.61696583671105976</v>
      </c>
      <c r="S503" s="2">
        <f t="shared" si="161"/>
        <v>1.9868155838464907E-2</v>
      </c>
      <c r="T503" s="5">
        <f t="shared" si="173"/>
        <v>4.0087062359631255E-2</v>
      </c>
      <c r="U503" s="2" t="str">
        <f t="shared" si="162"/>
        <v>No Impact</v>
      </c>
      <c r="V503" s="2">
        <f t="shared" si="163"/>
        <v>1.7068364552757148E-2</v>
      </c>
      <c r="W503" s="2">
        <f t="shared" si="164"/>
        <v>3.07464273563656E-2</v>
      </c>
      <c r="X503" s="2" t="s">
        <v>1176</v>
      </c>
      <c r="Y503" s="2">
        <f t="shared" si="165"/>
        <v>2.2667947124172669E-2</v>
      </c>
      <c r="Z503" s="2">
        <f t="shared" si="166"/>
        <v>4.8097183011372488E-2</v>
      </c>
      <c r="AA503" s="2" t="str">
        <f t="shared" si="167"/>
        <v>No Impact</v>
      </c>
      <c r="AB503" s="2">
        <f t="shared" si="168"/>
        <v>1.4447592251795831E-2</v>
      </c>
      <c r="AC503" s="2">
        <f t="shared" si="169"/>
        <v>4.0158557640554482E-2</v>
      </c>
      <c r="AD503" s="2" t="str">
        <f t="shared" si="170"/>
        <v>No Impact</v>
      </c>
      <c r="AE503" s="2">
        <f t="shared" si="171"/>
        <v>4.780801488797227E-3</v>
      </c>
      <c r="AF503" s="2">
        <f t="shared" si="172"/>
        <v>2.462943419004408E-2</v>
      </c>
      <c r="AG503" s="2" t="s">
        <v>1176</v>
      </c>
    </row>
    <row r="504" spans="1:33" x14ac:dyDescent="0.3">
      <c r="A504">
        <v>558592</v>
      </c>
      <c r="B504" t="s">
        <v>1020</v>
      </c>
      <c r="C504" t="s">
        <v>1007</v>
      </c>
      <c r="D504" t="s">
        <v>1021</v>
      </c>
      <c r="E504" s="18">
        <v>6</v>
      </c>
      <c r="F504" s="19">
        <f t="shared" si="154"/>
        <v>0.62222222222222223</v>
      </c>
      <c r="G504" s="2">
        <v>38.2710024</v>
      </c>
      <c r="H504" s="2">
        <f t="shared" si="155"/>
        <v>6.3730701075998791E-2</v>
      </c>
      <c r="I504" s="2">
        <v>8.3000000000000007</v>
      </c>
      <c r="J504" s="4">
        <f t="shared" si="156"/>
        <v>4.0271712760795733E-2</v>
      </c>
      <c r="K504" s="2">
        <v>0</v>
      </c>
      <c r="L504" s="4">
        <f t="shared" si="157"/>
        <v>0</v>
      </c>
      <c r="M504" s="2">
        <v>16160</v>
      </c>
      <c r="N504" s="2">
        <f t="shared" si="158"/>
        <v>7.5328952037586411E-2</v>
      </c>
      <c r="O504" s="2">
        <v>0.79946117699999997</v>
      </c>
      <c r="P504" s="2">
        <f t="shared" si="159"/>
        <v>0.8460791498713669</v>
      </c>
      <c r="Q504" s="2">
        <v>0.2752</v>
      </c>
      <c r="R504" s="2">
        <f t="shared" si="160"/>
        <v>0.63752171395483503</v>
      </c>
      <c r="S504" s="2">
        <f t="shared" si="161"/>
        <v>1.6801345509790323E-2</v>
      </c>
      <c r="T504" s="5">
        <f t="shared" si="173"/>
        <v>3.3899300501395391E-2</v>
      </c>
      <c r="U504" s="2" t="str">
        <f t="shared" si="162"/>
        <v>No Impact</v>
      </c>
      <c r="V504" s="2">
        <f t="shared" si="163"/>
        <v>1.4439493596039963E-2</v>
      </c>
      <c r="W504" s="2">
        <f t="shared" si="164"/>
        <v>2.6010860006012305E-2</v>
      </c>
      <c r="X504" s="2" t="s">
        <v>1176</v>
      </c>
      <c r="Y504" s="2">
        <f t="shared" si="165"/>
        <v>1.9163197423540685E-2</v>
      </c>
      <c r="Z504" s="2">
        <f t="shared" si="166"/>
        <v>4.0660753640995535E-2</v>
      </c>
      <c r="AA504" s="2" t="str">
        <f t="shared" si="167"/>
        <v>No Impact</v>
      </c>
      <c r="AB504" s="2">
        <f t="shared" si="168"/>
        <v>1.1399936817985271E-2</v>
      </c>
      <c r="AC504" s="2">
        <f t="shared" si="169"/>
        <v>3.1687288222495044E-2</v>
      </c>
      <c r="AD504" s="2" t="str">
        <f t="shared" si="170"/>
        <v>No Impact</v>
      </c>
      <c r="AE504" s="2">
        <f t="shared" si="171"/>
        <v>1.7061566637402233E-3</v>
      </c>
      <c r="AF504" s="2">
        <f t="shared" si="172"/>
        <v>8.789671222694289E-3</v>
      </c>
      <c r="AG504" s="2" t="s">
        <v>1176</v>
      </c>
    </row>
    <row r="505" spans="1:33" x14ac:dyDescent="0.3">
      <c r="A505">
        <v>559408</v>
      </c>
      <c r="B505" t="s">
        <v>1022</v>
      </c>
      <c r="C505" t="s">
        <v>539</v>
      </c>
      <c r="D505" t="s">
        <v>1152</v>
      </c>
      <c r="E505" s="18">
        <v>5.5</v>
      </c>
      <c r="F505" s="19">
        <f t="shared" si="154"/>
        <v>0.51111111111111107</v>
      </c>
      <c r="G505" s="2">
        <v>35.377642799999997</v>
      </c>
      <c r="H505" s="2">
        <f t="shared" si="155"/>
        <v>3.5756487121682799E-2</v>
      </c>
      <c r="I505" s="2">
        <v>16</v>
      </c>
      <c r="J505" s="4">
        <f t="shared" si="156"/>
        <v>7.7632217370208645E-2</v>
      </c>
      <c r="K505" s="2">
        <v>0</v>
      </c>
      <c r="L505" s="4">
        <f t="shared" si="157"/>
        <v>0</v>
      </c>
      <c r="M505" s="2">
        <v>24763</v>
      </c>
      <c r="N505" s="2">
        <f t="shared" si="158"/>
        <v>0.1160333659801375</v>
      </c>
      <c r="O505" s="2">
        <v>0.71686328200000005</v>
      </c>
      <c r="P505" s="2">
        <f t="shared" si="159"/>
        <v>0.75066287640157991</v>
      </c>
      <c r="Q505" s="2">
        <v>0.29780000000000001</v>
      </c>
      <c r="R505" s="2">
        <f t="shared" si="160"/>
        <v>0.70295309785755655</v>
      </c>
      <c r="S505" s="2">
        <f t="shared" si="161"/>
        <v>1.4742558208968831E-2</v>
      </c>
      <c r="T505" s="5">
        <f t="shared" si="173"/>
        <v>2.9745380249095583E-2</v>
      </c>
      <c r="U505" s="2" t="str">
        <f t="shared" si="162"/>
        <v>No Impact</v>
      </c>
      <c r="V505" s="2">
        <f t="shared" si="163"/>
        <v>1.4258686127361609E-2</v>
      </c>
      <c r="W505" s="2">
        <f t="shared" si="164"/>
        <v>2.5685158988552528E-2</v>
      </c>
      <c r="X505" s="2" t="s">
        <v>1176</v>
      </c>
      <c r="Y505" s="2">
        <f t="shared" si="165"/>
        <v>1.522643029057605E-2</v>
      </c>
      <c r="Z505" s="2">
        <f t="shared" si="166"/>
        <v>3.2307663339958097E-2</v>
      </c>
      <c r="AA505" s="2" t="str">
        <f t="shared" si="167"/>
        <v>No Impact</v>
      </c>
      <c r="AB505" s="2">
        <f t="shared" si="168"/>
        <v>1.0382235671927382E-2</v>
      </c>
      <c r="AC505" s="2">
        <f t="shared" si="169"/>
        <v>2.8858483988367798E-2</v>
      </c>
      <c r="AD505" s="2" t="str">
        <f t="shared" si="170"/>
        <v>No Impact</v>
      </c>
      <c r="AE505" s="2">
        <f t="shared" si="171"/>
        <v>2.3536184005085877E-3</v>
      </c>
      <c r="AF505" s="2">
        <f t="shared" si="172"/>
        <v>1.2125224115587984E-2</v>
      </c>
      <c r="AG505" s="2" t="s">
        <v>1176</v>
      </c>
    </row>
    <row r="506" spans="1:33" x14ac:dyDescent="0.3">
      <c r="A506">
        <v>559451</v>
      </c>
      <c r="B506" t="s">
        <v>1025</v>
      </c>
      <c r="C506" t="s">
        <v>1023</v>
      </c>
      <c r="D506" t="s">
        <v>1026</v>
      </c>
      <c r="E506" s="18">
        <v>5.6</v>
      </c>
      <c r="F506" s="19">
        <f t="shared" si="154"/>
        <v>0.53333333333333321</v>
      </c>
      <c r="G506" s="2">
        <v>35.820611999999997</v>
      </c>
      <c r="H506" s="2">
        <f t="shared" si="155"/>
        <v>4.0039299108126578E-2</v>
      </c>
      <c r="I506" s="2">
        <v>12</v>
      </c>
      <c r="J506" s="4">
        <f t="shared" si="156"/>
        <v>5.8224163027656477E-2</v>
      </c>
      <c r="K506" s="2">
        <v>0</v>
      </c>
      <c r="L506" s="4">
        <f t="shared" si="157"/>
        <v>0</v>
      </c>
      <c r="M506" s="2">
        <v>7570</v>
      </c>
      <c r="N506" s="2">
        <f t="shared" si="158"/>
        <v>3.4686046566644431E-2</v>
      </c>
      <c r="O506" s="2">
        <v>0.45161105200000001</v>
      </c>
      <c r="P506" s="2">
        <f t="shared" si="159"/>
        <v>0.44424611703802847</v>
      </c>
      <c r="Q506" s="2">
        <v>0.24149999999999999</v>
      </c>
      <c r="R506" s="2">
        <f t="shared" si="160"/>
        <v>0.5399536768963521</v>
      </c>
      <c r="S506" s="2">
        <f t="shared" si="161"/>
        <v>9.0263487239628706E-3</v>
      </c>
      <c r="T506" s="5">
        <f t="shared" si="173"/>
        <v>1.8212047817581178E-2</v>
      </c>
      <c r="U506" s="2" t="str">
        <f t="shared" si="162"/>
        <v>No Impact</v>
      </c>
      <c r="V506" s="2">
        <f t="shared" si="163"/>
        <v>9.9041073011592179E-3</v>
      </c>
      <c r="W506" s="2">
        <f t="shared" si="164"/>
        <v>1.7840954516966413E-2</v>
      </c>
      <c r="X506" s="2" t="s">
        <v>1176</v>
      </c>
      <c r="Y506" s="2">
        <f t="shared" si="165"/>
        <v>8.1485901467665232E-3</v>
      </c>
      <c r="Z506" s="2">
        <f t="shared" si="166"/>
        <v>1.7289798208314836E-2</v>
      </c>
      <c r="AA506" s="2" t="str">
        <f t="shared" si="167"/>
        <v>No Impact</v>
      </c>
      <c r="AB506" s="2">
        <f t="shared" si="168"/>
        <v>6.1336948396338593E-3</v>
      </c>
      <c r="AC506" s="2">
        <f t="shared" si="169"/>
        <v>1.7049231005006413E-2</v>
      </c>
      <c r="AD506" s="2" t="str">
        <f t="shared" si="170"/>
        <v>No Impact</v>
      </c>
      <c r="AE506" s="2">
        <f t="shared" si="171"/>
        <v>6.3622925770907477E-4</v>
      </c>
      <c r="AF506" s="2">
        <f t="shared" si="172"/>
        <v>3.2776861095875714E-3</v>
      </c>
      <c r="AG506" s="2" t="s">
        <v>1176</v>
      </c>
    </row>
    <row r="507" spans="1:33" x14ac:dyDescent="0.3">
      <c r="A507">
        <v>559482</v>
      </c>
      <c r="B507" t="s">
        <v>1027</v>
      </c>
      <c r="C507" t="s">
        <v>1023</v>
      </c>
      <c r="D507" t="s">
        <v>1151</v>
      </c>
      <c r="E507" s="18">
        <v>5.6</v>
      </c>
      <c r="F507" s="19">
        <f t="shared" si="154"/>
        <v>0.53333333333333321</v>
      </c>
      <c r="G507" s="2">
        <v>42.574125600000002</v>
      </c>
      <c r="H507" s="2">
        <f t="shared" si="155"/>
        <v>0.10533510070492177</v>
      </c>
      <c r="I507" s="2">
        <v>9.4</v>
      </c>
      <c r="J507" s="4">
        <f t="shared" si="156"/>
        <v>4.5608927704997575E-2</v>
      </c>
      <c r="K507" s="2">
        <v>0</v>
      </c>
      <c r="L507" s="4">
        <f t="shared" si="157"/>
        <v>0</v>
      </c>
      <c r="M507" s="2">
        <v>41019</v>
      </c>
      <c r="N507" s="2">
        <f t="shared" si="158"/>
        <v>0.19294734401688171</v>
      </c>
      <c r="O507" s="2">
        <v>0.58979496399999998</v>
      </c>
      <c r="P507" s="2">
        <f t="shared" si="159"/>
        <v>0.60387480898613444</v>
      </c>
      <c r="Q507" s="2">
        <v>0.2402</v>
      </c>
      <c r="R507" s="2">
        <f t="shared" si="160"/>
        <v>0.53618992472495663</v>
      </c>
      <c r="S507" s="2">
        <f t="shared" si="161"/>
        <v>1.6061356598413842E-2</v>
      </c>
      <c r="T507" s="5">
        <f t="shared" si="173"/>
        <v>3.2406258979224778E-2</v>
      </c>
      <c r="U507" s="2" t="str">
        <f t="shared" si="162"/>
        <v>No Impact</v>
      </c>
      <c r="V507" s="2">
        <f t="shared" si="163"/>
        <v>1.5107804549748652E-2</v>
      </c>
      <c r="W507" s="2">
        <f t="shared" si="164"/>
        <v>2.7214734819334611E-2</v>
      </c>
      <c r="X507" s="2" t="s">
        <v>1176</v>
      </c>
      <c r="Y507" s="2">
        <f t="shared" si="165"/>
        <v>1.7014908647079031E-2</v>
      </c>
      <c r="Z507" s="2">
        <f t="shared" si="166"/>
        <v>3.6102482974633865E-2</v>
      </c>
      <c r="AA507" s="2" t="str">
        <f t="shared" si="167"/>
        <v>No Impact</v>
      </c>
      <c r="AB507" s="2">
        <f t="shared" si="168"/>
        <v>1.2294988479160046E-2</v>
      </c>
      <c r="AC507" s="2">
        <f t="shared" si="169"/>
        <v>3.4175175691917047E-2</v>
      </c>
      <c r="AD507" s="2" t="str">
        <f t="shared" si="170"/>
        <v>No Impact</v>
      </c>
      <c r="AE507" s="2">
        <f t="shared" si="171"/>
        <v>5.4365265503551648E-3</v>
      </c>
      <c r="AF507" s="2">
        <f t="shared" si="172"/>
        <v>2.8007557562923748E-2</v>
      </c>
      <c r="AG507" s="2" t="s">
        <v>1176</v>
      </c>
    </row>
    <row r="508" spans="1:33" x14ac:dyDescent="0.3">
      <c r="A508">
        <v>559486</v>
      </c>
      <c r="B508" t="s">
        <v>1028</v>
      </c>
      <c r="C508" t="s">
        <v>1023</v>
      </c>
      <c r="D508" t="s">
        <v>1029</v>
      </c>
      <c r="E508" s="18">
        <v>5.7</v>
      </c>
      <c r="F508" s="19">
        <f t="shared" si="154"/>
        <v>0.55555555555555558</v>
      </c>
      <c r="G508" s="2">
        <v>35.377642799999997</v>
      </c>
      <c r="H508" s="2">
        <f t="shared" si="155"/>
        <v>3.5756487121682799E-2</v>
      </c>
      <c r="I508" s="2">
        <v>13.3</v>
      </c>
      <c r="J508" s="4">
        <f t="shared" si="156"/>
        <v>6.4531780688985935E-2</v>
      </c>
      <c r="K508" s="2">
        <v>0</v>
      </c>
      <c r="L508" s="4">
        <f t="shared" si="157"/>
        <v>0</v>
      </c>
      <c r="M508" s="2">
        <v>19234</v>
      </c>
      <c r="N508" s="2">
        <f t="shared" si="158"/>
        <v>8.9873339862694163E-2</v>
      </c>
      <c r="O508" s="2">
        <v>0.69294752999999998</v>
      </c>
      <c r="P508" s="2">
        <f t="shared" si="159"/>
        <v>0.72303563562180428</v>
      </c>
      <c r="Q508" s="2">
        <v>0.2641</v>
      </c>
      <c r="R508" s="2">
        <f t="shared" si="160"/>
        <v>0.60538506079907362</v>
      </c>
      <c r="S508" s="2">
        <f t="shared" si="161"/>
        <v>1.2952431582989506E-2</v>
      </c>
      <c r="T508" s="5">
        <f t="shared" si="173"/>
        <v>2.6133524258498821E-2</v>
      </c>
      <c r="U508" s="2" t="str">
        <f t="shared" si="162"/>
        <v>No Impact</v>
      </c>
      <c r="V508" s="2">
        <f t="shared" si="163"/>
        <v>1.180530927061023E-2</v>
      </c>
      <c r="W508" s="2">
        <f t="shared" si="164"/>
        <v>2.1265721316551918E-2</v>
      </c>
      <c r="X508" s="2" t="s">
        <v>1176</v>
      </c>
      <c r="Y508" s="2">
        <f t="shared" si="165"/>
        <v>1.4099553895368783E-2</v>
      </c>
      <c r="Z508" s="2">
        <f t="shared" si="166"/>
        <v>2.9916640460180763E-2</v>
      </c>
      <c r="AA508" s="2" t="str">
        <f t="shared" si="167"/>
        <v>No Impact</v>
      </c>
      <c r="AB508" s="2">
        <f t="shared" si="168"/>
        <v>8.9751255762162523E-3</v>
      </c>
      <c r="AC508" s="2">
        <f t="shared" si="169"/>
        <v>2.4947277823326862E-2</v>
      </c>
      <c r="AD508" s="2" t="str">
        <f t="shared" si="170"/>
        <v>No Impact</v>
      </c>
      <c r="AE508" s="2">
        <f t="shared" si="171"/>
        <v>1.7525747511201071E-3</v>
      </c>
      <c r="AF508" s="2">
        <f t="shared" si="172"/>
        <v>9.0288050229638712E-3</v>
      </c>
      <c r="AG508" s="2" t="s">
        <v>1176</v>
      </c>
    </row>
    <row r="509" spans="1:33" x14ac:dyDescent="0.3">
      <c r="A509">
        <v>559494</v>
      </c>
      <c r="B509" t="s">
        <v>1030</v>
      </c>
      <c r="C509" t="s">
        <v>1023</v>
      </c>
      <c r="D509" t="s">
        <v>1031</v>
      </c>
      <c r="E509" s="18">
        <v>5.7</v>
      </c>
      <c r="F509" s="19">
        <f t="shared" si="154"/>
        <v>0.55555555555555558</v>
      </c>
      <c r="G509" s="2">
        <v>42.574125600000002</v>
      </c>
      <c r="H509" s="2">
        <f t="shared" si="155"/>
        <v>0.10533510070492177</v>
      </c>
      <c r="I509" s="2">
        <v>11.8</v>
      </c>
      <c r="J509" s="4">
        <f t="shared" si="156"/>
        <v>5.7253760310528874E-2</v>
      </c>
      <c r="K509" s="2">
        <v>0</v>
      </c>
      <c r="L509" s="4">
        <f t="shared" si="157"/>
        <v>0</v>
      </c>
      <c r="M509" s="2">
        <v>95551</v>
      </c>
      <c r="N509" s="2">
        <f t="shared" si="158"/>
        <v>0.45096118815441466</v>
      </c>
      <c r="O509" s="2">
        <v>0.57879135599999998</v>
      </c>
      <c r="P509" s="2">
        <f t="shared" si="159"/>
        <v>0.59116354957592387</v>
      </c>
      <c r="Q509" s="2">
        <v>0.28339999999999999</v>
      </c>
      <c r="R509" s="2">
        <f t="shared" si="160"/>
        <v>0.66126230457440649</v>
      </c>
      <c r="S509" s="2">
        <f t="shared" si="161"/>
        <v>1.9797409054558835E-2</v>
      </c>
      <c r="T509" s="5">
        <f t="shared" si="173"/>
        <v>3.9944319834293522E-2</v>
      </c>
      <c r="U509" s="2" t="str">
        <f t="shared" si="162"/>
        <v>No Impact</v>
      </c>
      <c r="V509" s="2">
        <f t="shared" si="163"/>
        <v>2.0905477625900927E-2</v>
      </c>
      <c r="W509" s="2">
        <f t="shared" si="164"/>
        <v>3.7658484923270473E-2</v>
      </c>
      <c r="X509" s="2" t="s">
        <v>1176</v>
      </c>
      <c r="Y509" s="2">
        <f t="shared" si="165"/>
        <v>1.8689340483216736E-2</v>
      </c>
      <c r="Z509" s="2">
        <f t="shared" si="166"/>
        <v>3.9655317028005295E-2</v>
      </c>
      <c r="AA509" s="2" t="str">
        <f t="shared" si="167"/>
        <v>No Impact</v>
      </c>
      <c r="AB509" s="2">
        <f t="shared" si="168"/>
        <v>1.7913638801899556E-2</v>
      </c>
      <c r="AC509" s="2">
        <f t="shared" si="169"/>
        <v>4.9792787880536787E-2</v>
      </c>
      <c r="AD509" s="2" t="str">
        <f t="shared" si="170"/>
        <v>No Impact</v>
      </c>
      <c r="AE509" s="2">
        <f t="shared" si="171"/>
        <v>1.4256912822483451E-2</v>
      </c>
      <c r="AF509" s="2">
        <f t="shared" si="172"/>
        <v>7.3447872064416733E-2</v>
      </c>
      <c r="AG509" s="2" t="s">
        <v>1175</v>
      </c>
    </row>
    <row r="510" spans="1:33" x14ac:dyDescent="0.3">
      <c r="A510">
        <v>603602</v>
      </c>
      <c r="B510" t="s">
        <v>1032</v>
      </c>
      <c r="C510" t="s">
        <v>1033</v>
      </c>
      <c r="D510" t="s">
        <v>1034</v>
      </c>
      <c r="E510" s="18">
        <v>5.7</v>
      </c>
      <c r="F510" s="19">
        <f t="shared" si="154"/>
        <v>0.55555555555555558</v>
      </c>
      <c r="G510" s="2">
        <v>41.073116400000004</v>
      </c>
      <c r="H510" s="2">
        <f t="shared" si="155"/>
        <v>9.0822714305320226E-2</v>
      </c>
      <c r="I510" s="2">
        <v>31.9</v>
      </c>
      <c r="J510" s="4">
        <f t="shared" si="156"/>
        <v>0.15477923338185345</v>
      </c>
      <c r="K510" s="2">
        <v>0</v>
      </c>
      <c r="L510" s="4">
        <f t="shared" si="157"/>
        <v>0</v>
      </c>
      <c r="M510" s="2">
        <v>7462</v>
      </c>
      <c r="N510" s="2">
        <f t="shared" si="158"/>
        <v>3.4175053110199527E-2</v>
      </c>
      <c r="O510" s="2">
        <v>0.62655862399999995</v>
      </c>
      <c r="P510" s="2">
        <f t="shared" si="159"/>
        <v>0.6463438263419673</v>
      </c>
      <c r="Q510" s="2">
        <v>0.16619999999999999</v>
      </c>
      <c r="R510" s="2">
        <f t="shared" si="160"/>
        <v>0.32194557035321364</v>
      </c>
      <c r="S510" s="2">
        <f t="shared" si="161"/>
        <v>2.3120782392669768E-2</v>
      </c>
      <c r="T510" s="5">
        <f t="shared" si="173"/>
        <v>4.6649737052295484E-2</v>
      </c>
      <c r="U510" s="2" t="str">
        <f t="shared" si="162"/>
        <v>No Impact</v>
      </c>
      <c r="V510" s="2">
        <f t="shared" si="163"/>
        <v>1.5374811497112525E-2</v>
      </c>
      <c r="W510" s="2">
        <f t="shared" si="164"/>
        <v>2.7695712928595944E-2</v>
      </c>
      <c r="X510" s="2" t="s">
        <v>1176</v>
      </c>
      <c r="Y510" s="2">
        <f t="shared" si="165"/>
        <v>3.0866753288227019E-2</v>
      </c>
      <c r="Z510" s="2">
        <f t="shared" si="166"/>
        <v>6.5493530302423594E-2</v>
      </c>
      <c r="AA510" s="2" t="str">
        <f t="shared" si="167"/>
        <v>No Impact</v>
      </c>
      <c r="AB510" s="2">
        <f t="shared" si="168"/>
        <v>1.521243156698902E-2</v>
      </c>
      <c r="AC510" s="2">
        <f t="shared" si="169"/>
        <v>4.228450660074403E-2</v>
      </c>
      <c r="AD510" s="2" t="str">
        <f t="shared" si="170"/>
        <v>No Impact</v>
      </c>
      <c r="AE510" s="2">
        <f t="shared" si="171"/>
        <v>1.6320615900900903E-3</v>
      </c>
      <c r="AF510" s="2">
        <f t="shared" si="172"/>
        <v>8.4079528550631034E-3</v>
      </c>
      <c r="AG510" s="2" t="s">
        <v>1176</v>
      </c>
    </row>
    <row r="511" spans="1:33" x14ac:dyDescent="0.3">
      <c r="A511">
        <v>603605</v>
      </c>
      <c r="B511" t="s">
        <v>1035</v>
      </c>
      <c r="C511" t="s">
        <v>1033</v>
      </c>
      <c r="D511" t="s">
        <v>1036</v>
      </c>
      <c r="E511" s="18">
        <v>5.6</v>
      </c>
      <c r="F511" s="19">
        <f t="shared" si="154"/>
        <v>0.53333333333333321</v>
      </c>
      <c r="G511" s="2">
        <v>38.787958799999998</v>
      </c>
      <c r="H511" s="2">
        <f t="shared" si="155"/>
        <v>6.8728852338860433E-2</v>
      </c>
      <c r="I511" s="2">
        <v>23.1</v>
      </c>
      <c r="J511" s="4">
        <f t="shared" si="156"/>
        <v>0.11208151382823874</v>
      </c>
      <c r="K511" s="2">
        <v>0</v>
      </c>
      <c r="L511" s="4">
        <f t="shared" si="157"/>
        <v>0</v>
      </c>
      <c r="M511" s="2">
        <v>12557</v>
      </c>
      <c r="N511" s="2">
        <f t="shared" si="158"/>
        <v>5.8281642560077215E-2</v>
      </c>
      <c r="O511" s="2">
        <v>0.14019719999999999</v>
      </c>
      <c r="P511" s="2">
        <f t="shared" si="159"/>
        <v>8.4503907327819469E-2</v>
      </c>
      <c r="Q511" s="2">
        <v>0.25169999999999998</v>
      </c>
      <c r="R511" s="2">
        <f t="shared" si="160"/>
        <v>0.56948465547191662</v>
      </c>
      <c r="S511" s="2">
        <f t="shared" si="161"/>
        <v>1.1036471740832084E-2</v>
      </c>
      <c r="T511" s="5">
        <f t="shared" si="173"/>
        <v>2.2267780386970578E-2</v>
      </c>
      <c r="U511" s="2" t="str">
        <f t="shared" si="162"/>
        <v>No Impact</v>
      </c>
      <c r="V511" s="2">
        <f t="shared" si="163"/>
        <v>1.9220829428718684E-2</v>
      </c>
      <c r="W511" s="2">
        <f t="shared" si="164"/>
        <v>3.4623811433868758E-2</v>
      </c>
      <c r="X511" s="2" t="s">
        <v>1176</v>
      </c>
      <c r="Y511" s="2">
        <f t="shared" si="165"/>
        <v>2.8521140529454807E-3</v>
      </c>
      <c r="Z511" s="2">
        <f t="shared" si="166"/>
        <v>6.051657471334993E-3</v>
      </c>
      <c r="AA511" s="2" t="str">
        <f t="shared" si="167"/>
        <v>No Impact</v>
      </c>
      <c r="AB511" s="2">
        <f t="shared" si="168"/>
        <v>8.271402291232877E-3</v>
      </c>
      <c r="AC511" s="2">
        <f t="shared" si="169"/>
        <v>2.299120710853406E-2</v>
      </c>
      <c r="AD511" s="2" t="str">
        <f t="shared" si="170"/>
        <v>No Impact</v>
      </c>
      <c r="AE511" s="2">
        <f t="shared" si="171"/>
        <v>1.9670793579934093E-3</v>
      </c>
      <c r="AF511" s="2">
        <f t="shared" si="172"/>
        <v>1.0133876444738472E-2</v>
      </c>
      <c r="AG511" s="2" t="s">
        <v>1176</v>
      </c>
    </row>
    <row r="512" spans="1:33" x14ac:dyDescent="0.3">
      <c r="A512">
        <v>603611</v>
      </c>
      <c r="B512" t="s">
        <v>1037</v>
      </c>
      <c r="C512" t="s">
        <v>1033</v>
      </c>
      <c r="D512" t="s">
        <v>1038</v>
      </c>
      <c r="E512" s="18">
        <v>5.7</v>
      </c>
      <c r="F512" s="19">
        <f t="shared" si="154"/>
        <v>0.55555555555555558</v>
      </c>
      <c r="G512" s="2">
        <v>42.437178000000003</v>
      </c>
      <c r="H512" s="2">
        <f t="shared" si="155"/>
        <v>0.10401103387861714</v>
      </c>
      <c r="I512" s="2">
        <v>27.9</v>
      </c>
      <c r="J512" s="4">
        <f t="shared" si="156"/>
        <v>0.13537117903930132</v>
      </c>
      <c r="K512" s="2">
        <v>0</v>
      </c>
      <c r="L512" s="4">
        <f t="shared" si="157"/>
        <v>0</v>
      </c>
      <c r="M512" s="2">
        <v>22652</v>
      </c>
      <c r="N512" s="2">
        <f t="shared" si="158"/>
        <v>0.10604533647499681</v>
      </c>
      <c r="O512" s="2">
        <v>0.23161327400000001</v>
      </c>
      <c r="P512" s="2">
        <f t="shared" si="159"/>
        <v>0.1901068541864325</v>
      </c>
      <c r="Q512" s="2">
        <v>0.16589999999999999</v>
      </c>
      <c r="R512" s="2">
        <f t="shared" si="160"/>
        <v>0.32107701215981471</v>
      </c>
      <c r="S512" s="2">
        <f t="shared" si="161"/>
        <v>1.1896920499129373E-2</v>
      </c>
      <c r="T512" s="5">
        <f t="shared" si="173"/>
        <v>2.4003868190567944E-2</v>
      </c>
      <c r="U512" s="2" t="str">
        <f t="shared" si="162"/>
        <v>No Impact</v>
      </c>
      <c r="V512" s="2">
        <f t="shared" si="163"/>
        <v>1.4945024439311916E-2</v>
      </c>
      <c r="W512" s="2">
        <f t="shared" si="164"/>
        <v>2.69215077309903E-2</v>
      </c>
      <c r="X512" s="2" t="s">
        <v>1176</v>
      </c>
      <c r="Y512" s="2">
        <f t="shared" si="165"/>
        <v>8.848816558946827E-3</v>
      </c>
      <c r="Z512" s="2">
        <f t="shared" si="166"/>
        <v>1.877554889017161E-2</v>
      </c>
      <c r="AA512" s="2" t="str">
        <f t="shared" si="167"/>
        <v>No Impact</v>
      </c>
      <c r="AB512" s="2">
        <f t="shared" si="168"/>
        <v>9.6130187970480639E-3</v>
      </c>
      <c r="AC512" s="2">
        <f t="shared" si="169"/>
        <v>2.6720367154118924E-2</v>
      </c>
      <c r="AD512" s="2" t="str">
        <f t="shared" si="170"/>
        <v>No Impact</v>
      </c>
      <c r="AE512" s="2">
        <f t="shared" si="171"/>
        <v>4.936043644585276E-3</v>
      </c>
      <c r="AF512" s="2">
        <f t="shared" si="172"/>
        <v>2.5429201021706496E-2</v>
      </c>
      <c r="AG512" s="2" t="s">
        <v>1176</v>
      </c>
    </row>
    <row r="513" spans="1:33" x14ac:dyDescent="0.3">
      <c r="A513">
        <v>603626</v>
      </c>
      <c r="B513" t="s">
        <v>1039</v>
      </c>
      <c r="C513" t="s">
        <v>1033</v>
      </c>
      <c r="D513" t="s">
        <v>1040</v>
      </c>
      <c r="E513" s="18">
        <v>5.2</v>
      </c>
      <c r="F513" s="19">
        <f t="shared" si="154"/>
        <v>0.44444444444444442</v>
      </c>
      <c r="G513" s="2">
        <v>40.714520399999998</v>
      </c>
      <c r="H513" s="2">
        <f t="shared" si="155"/>
        <v>8.7355657798703468E-2</v>
      </c>
      <c r="I513" s="2">
        <v>17.5</v>
      </c>
      <c r="J513" s="4">
        <f t="shared" si="156"/>
        <v>8.4910237748665698E-2</v>
      </c>
      <c r="K513" s="2">
        <v>0</v>
      </c>
      <c r="L513" s="4">
        <f t="shared" si="157"/>
        <v>0</v>
      </c>
      <c r="M513" s="2">
        <v>8086</v>
      </c>
      <c r="N513" s="2">
        <f t="shared" si="158"/>
        <v>3.7127459747436753E-2</v>
      </c>
      <c r="O513" s="2">
        <v>0.23125285600000001</v>
      </c>
      <c r="P513" s="2">
        <f t="shared" si="159"/>
        <v>0.18969050286838218</v>
      </c>
      <c r="Q513" s="2">
        <v>0.3009</v>
      </c>
      <c r="R513" s="2">
        <f t="shared" si="160"/>
        <v>0.71192819918934569</v>
      </c>
      <c r="S513" s="2">
        <f t="shared" si="161"/>
        <v>1.2080300800729084E-2</v>
      </c>
      <c r="T513" s="5">
        <f t="shared" si="173"/>
        <v>2.4373866173547504E-2</v>
      </c>
      <c r="U513" s="2" t="str">
        <f t="shared" si="162"/>
        <v>No Impact</v>
      </c>
      <c r="V513" s="2">
        <f t="shared" si="163"/>
        <v>1.9077480924254424E-2</v>
      </c>
      <c r="W513" s="2">
        <f t="shared" si="164"/>
        <v>3.4365587843346604E-2</v>
      </c>
      <c r="X513" s="2" t="s">
        <v>1176</v>
      </c>
      <c r="Y513" s="2">
        <f t="shared" si="165"/>
        <v>5.0831206772037453E-3</v>
      </c>
      <c r="Z513" s="2">
        <f t="shared" si="166"/>
        <v>1.0785440081587596E-2</v>
      </c>
      <c r="AA513" s="2" t="str">
        <f t="shared" si="167"/>
        <v>No Impact</v>
      </c>
      <c r="AB513" s="2">
        <f t="shared" si="168"/>
        <v>8.5502700378021299E-3</v>
      </c>
      <c r="AC513" s="2">
        <f t="shared" si="169"/>
        <v>2.3766348480156092E-2</v>
      </c>
      <c r="AD513" s="2" t="str">
        <f t="shared" si="170"/>
        <v>No Impact</v>
      </c>
      <c r="AE513" s="2">
        <f t="shared" si="171"/>
        <v>9.9490146043416982E-4</v>
      </c>
      <c r="AF513" s="2">
        <f t="shared" si="172"/>
        <v>5.1254711375826037E-3</v>
      </c>
      <c r="AG513" s="2" t="s">
        <v>1176</v>
      </c>
    </row>
    <row r="514" spans="1:33" x14ac:dyDescent="0.3">
      <c r="A514">
        <v>603644</v>
      </c>
      <c r="B514" t="s">
        <v>1041</v>
      </c>
      <c r="C514" t="s">
        <v>1033</v>
      </c>
      <c r="D514" t="s">
        <v>1042</v>
      </c>
      <c r="E514" s="18">
        <v>5.7</v>
      </c>
      <c r="F514" s="19">
        <f t="shared" ref="F514:F547" si="174">(E514-$AJ$5)/$AK$5</f>
        <v>0.55555555555555558</v>
      </c>
      <c r="G514" s="2">
        <v>38.787958799999998</v>
      </c>
      <c r="H514" s="2">
        <f t="shared" ref="H514:H547" si="175">(G514-$AJ$6)/$AK$6</f>
        <v>6.8728852338860433E-2</v>
      </c>
      <c r="I514" s="2">
        <v>31.2</v>
      </c>
      <c r="J514" s="4">
        <f t="shared" ref="J514:J547" si="176">(I514-$AJ$7)/$AK$7</f>
        <v>0.15138282387190685</v>
      </c>
      <c r="K514" s="2">
        <v>0</v>
      </c>
      <c r="L514" s="4">
        <f t="shared" ref="L514:L547" si="177">(K514-$AJ$8)/$AK$8</f>
        <v>0</v>
      </c>
      <c r="M514" s="2">
        <v>33136</v>
      </c>
      <c r="N514" s="2">
        <f t="shared" ref="N514:N547" si="178">(M514-$AJ$9)/$AK$9</f>
        <v>0.15564955311729667</v>
      </c>
      <c r="O514" s="2">
        <v>0.37104742400000001</v>
      </c>
      <c r="P514" s="2">
        <f t="shared" ref="P514:P547" si="179">(O514-$AJ$11)/$AK$11</f>
        <v>0.35117980873845012</v>
      </c>
      <c r="Q514" s="2">
        <v>0.2009</v>
      </c>
      <c r="R514" s="2">
        <f t="shared" ref="R514:R547" si="180">(Q514-$AJ$12)/$AK$12</f>
        <v>0.42240880138969311</v>
      </c>
      <c r="S514" s="2">
        <f t="shared" ref="S514:S547" si="181">F514*(R514*0.5+P514*0.5)*(H514*0.35+J514*0.35+L514*0.3)</f>
        <v>1.6554599995972828E-2</v>
      </c>
      <c r="T514" s="5">
        <f t="shared" si="173"/>
        <v>3.3401453450074628E-2</v>
      </c>
      <c r="U514" s="2" t="str">
        <f t="shared" ref="U514:U547" si="182">IF(T514&gt;0.7,"High",IF(T514&gt;0.3,"Moderate",IF(T514&gt;0.15,"Low","No Impact")))</f>
        <v>No Impact</v>
      </c>
      <c r="V514" s="2">
        <f t="shared" ref="V514:V547" si="183">F514*(R514*1)*(H514*0.35+J514*0.35+L514*0.3)</f>
        <v>1.8078882367790698E-2</v>
      </c>
      <c r="W514" s="2">
        <f t="shared" ref="W514:W547" si="184">(V514-$AJ$13)/$AK$13</f>
        <v>3.256674309289722E-2</v>
      </c>
      <c r="X514" s="2" t="s">
        <v>1176</v>
      </c>
      <c r="Y514" s="2">
        <f t="shared" ref="Y514:Y547" si="185">F514*(P514*1)*(H514*0.35+J514*0.35+L514*0.3)</f>
        <v>1.5030317624154957E-2</v>
      </c>
      <c r="Z514" s="2">
        <f t="shared" ref="Z514:Z547" si="186">(Y514-$AJ$14)/$AK$14</f>
        <v>3.1891548605084509E-2</v>
      </c>
      <c r="AA514" s="2" t="str">
        <f t="shared" ref="AA514:AA547" si="187">IF(Z514&gt;0.7,"High",IF(Z514&gt;0.3,"Moderate",IF(Z514&gt;0.15,"Low","No Impact")))</f>
        <v>No Impact</v>
      </c>
      <c r="AB514" s="2">
        <f t="shared" ref="AB514:AB547" si="188">F514*(R514*0.35+P514*0.3+N514*0.35)*(H514*0.35+J514*0.35+L514*0.3)</f>
        <v>1.3168306779677601E-2</v>
      </c>
      <c r="AC514" s="2">
        <f t="shared" ref="AC514:AC547" si="189">(AB514-$AJ$15)/$AK$15</f>
        <v>3.6602653066600432E-2</v>
      </c>
      <c r="AD514" s="2" t="str">
        <f t="shared" ref="AD514:AD547" si="190">IF(AC514&gt;0.7,"High",IF(AC514&gt;0.3,"Moderate",IF(AC514&gt;0.15,"Low","No Impact")))</f>
        <v>No Impact</v>
      </c>
      <c r="AE514" s="2">
        <f t="shared" ref="AE514:AE547" si="191">F514*(N514*1)*(H514*0.35+J514*0.35+L514*0.3)</f>
        <v>6.6617218962981995E-3</v>
      </c>
      <c r="AF514" s="2">
        <f t="shared" ref="AF514:AF547" si="192">(AE514-$AJ$16)/$AK$16</f>
        <v>3.4319442340729915E-2</v>
      </c>
      <c r="AG514" s="2" t="s">
        <v>1175</v>
      </c>
    </row>
    <row r="515" spans="1:33" x14ac:dyDescent="0.3">
      <c r="A515">
        <v>603668</v>
      </c>
      <c r="B515" t="s">
        <v>1043</v>
      </c>
      <c r="C515" t="s">
        <v>1033</v>
      </c>
      <c r="D515" t="s">
        <v>1044</v>
      </c>
      <c r="E515" s="18">
        <v>5.6</v>
      </c>
      <c r="F515" s="19">
        <f t="shared" si="174"/>
        <v>0.53333333333333321</v>
      </c>
      <c r="G515" s="2">
        <v>36.35163</v>
      </c>
      <c r="H515" s="2">
        <f t="shared" si="175"/>
        <v>4.5173403816574517E-2</v>
      </c>
      <c r="I515" s="2">
        <v>33.799999999999997</v>
      </c>
      <c r="J515" s="4">
        <f t="shared" si="176"/>
        <v>0.16399805919456573</v>
      </c>
      <c r="K515" s="2">
        <v>0</v>
      </c>
      <c r="L515" s="4">
        <f t="shared" si="177"/>
        <v>0</v>
      </c>
      <c r="M515" s="2">
        <v>9664</v>
      </c>
      <c r="N515" s="2">
        <f t="shared" si="178"/>
        <v>4.4593641916603977E-2</v>
      </c>
      <c r="O515" s="2">
        <v>0.42105625299999999</v>
      </c>
      <c r="P515" s="2">
        <f t="shared" si="179"/>
        <v>0.40894951465853224</v>
      </c>
      <c r="Q515" s="2">
        <v>0.152</v>
      </c>
      <c r="R515" s="2">
        <f t="shared" si="180"/>
        <v>0.28083381586566303</v>
      </c>
      <c r="S515" s="2">
        <f t="shared" si="181"/>
        <v>1.3466412251267995E-2</v>
      </c>
      <c r="T515" s="5">
        <f t="shared" si="173"/>
        <v>2.7170559364748353E-2</v>
      </c>
      <c r="U515" s="2" t="str">
        <f t="shared" si="182"/>
        <v>No Impact</v>
      </c>
      <c r="V515" s="2">
        <f t="shared" si="183"/>
        <v>1.0965251757156087E-2</v>
      </c>
      <c r="W515" s="2">
        <f t="shared" si="184"/>
        <v>1.9752467528659584E-2</v>
      </c>
      <c r="X515" s="2" t="s">
        <v>1176</v>
      </c>
      <c r="Y515" s="2">
        <f t="shared" si="185"/>
        <v>1.5967572745379903E-2</v>
      </c>
      <c r="Z515" s="2">
        <f t="shared" si="186"/>
        <v>3.388023028176932E-2</v>
      </c>
      <c r="AA515" s="2" t="str">
        <f t="shared" si="187"/>
        <v>No Impact</v>
      </c>
      <c r="AB515" s="2">
        <f t="shared" si="188"/>
        <v>9.2375208035704107E-3</v>
      </c>
      <c r="AC515" s="2">
        <f t="shared" si="189"/>
        <v>2.5676632146085974E-2</v>
      </c>
      <c r="AD515" s="2" t="str">
        <f t="shared" si="190"/>
        <v>No Impact</v>
      </c>
      <c r="AE515" s="2">
        <f t="shared" si="191"/>
        <v>1.7411738998623124E-3</v>
      </c>
      <c r="AF515" s="2">
        <f t="shared" si="192"/>
        <v>8.9700708302929734E-3</v>
      </c>
      <c r="AG515" s="2" t="s">
        <v>1176</v>
      </c>
    </row>
    <row r="516" spans="1:33" x14ac:dyDescent="0.3">
      <c r="A516">
        <v>603671</v>
      </c>
      <c r="B516" t="s">
        <v>1045</v>
      </c>
      <c r="C516" t="s">
        <v>1033</v>
      </c>
      <c r="D516" t="s">
        <v>1046</v>
      </c>
      <c r="E516" s="18">
        <v>5.5</v>
      </c>
      <c r="F516" s="19">
        <f t="shared" si="174"/>
        <v>0.51111111111111107</v>
      </c>
      <c r="G516" s="2">
        <v>40.714520399999998</v>
      </c>
      <c r="H516" s="2">
        <f t="shared" si="175"/>
        <v>8.7355657798703468E-2</v>
      </c>
      <c r="I516" s="2">
        <v>24.2</v>
      </c>
      <c r="J516" s="4">
        <f t="shared" si="176"/>
        <v>0.11741872877244056</v>
      </c>
      <c r="K516" s="2">
        <v>0</v>
      </c>
      <c r="L516" s="4">
        <f t="shared" si="177"/>
        <v>0</v>
      </c>
      <c r="M516" s="2">
        <v>31830</v>
      </c>
      <c r="N516" s="2">
        <f t="shared" si="178"/>
        <v>0.1494703174310277</v>
      </c>
      <c r="O516" s="2">
        <v>0.46997111000000003</v>
      </c>
      <c r="P516" s="2">
        <f t="shared" si="179"/>
        <v>0.46545547491632733</v>
      </c>
      <c r="Q516" s="2">
        <v>0.23139999999999999</v>
      </c>
      <c r="R516" s="2">
        <f t="shared" si="180"/>
        <v>0.51071221771858721</v>
      </c>
      <c r="S516" s="2">
        <f t="shared" si="181"/>
        <v>1.7879420340239593E-2</v>
      </c>
      <c r="T516" s="5">
        <f t="shared" si="173"/>
        <v>3.6074482400910227E-2</v>
      </c>
      <c r="U516" s="2" t="str">
        <f t="shared" si="182"/>
        <v>No Impact</v>
      </c>
      <c r="V516" s="2">
        <f t="shared" si="183"/>
        <v>1.8708339729701855E-2</v>
      </c>
      <c r="W516" s="2">
        <f t="shared" si="184"/>
        <v>3.3700628240013124E-2</v>
      </c>
      <c r="X516" s="2" t="s">
        <v>1176</v>
      </c>
      <c r="Y516" s="2">
        <f t="shared" si="185"/>
        <v>1.7050500950777332E-2</v>
      </c>
      <c r="Z516" s="2">
        <f t="shared" si="186"/>
        <v>3.617800324717535E-2</v>
      </c>
      <c r="AA516" s="2" t="str">
        <f t="shared" si="187"/>
        <v>No Impact</v>
      </c>
      <c r="AB516" s="2">
        <f t="shared" si="188"/>
        <v>1.3579450830516324E-2</v>
      </c>
      <c r="AC516" s="2">
        <f t="shared" si="189"/>
        <v>3.7745469930228738E-2</v>
      </c>
      <c r="AD516" s="2" t="str">
        <f t="shared" si="190"/>
        <v>No Impact</v>
      </c>
      <c r="AE516" s="2">
        <f t="shared" si="191"/>
        <v>5.4753761139642136E-3</v>
      </c>
      <c r="AF516" s="2">
        <f t="shared" si="192"/>
        <v>2.8207700315653214E-2</v>
      </c>
      <c r="AG516" s="2" t="s">
        <v>1176</v>
      </c>
    </row>
    <row r="517" spans="1:33" x14ac:dyDescent="0.3">
      <c r="A517">
        <v>603677</v>
      </c>
      <c r="B517" t="s">
        <v>1047</v>
      </c>
      <c r="C517" t="s">
        <v>1033</v>
      </c>
      <c r="D517" t="s">
        <v>1048</v>
      </c>
      <c r="E517" s="18">
        <v>5.8</v>
      </c>
      <c r="F517" s="19">
        <f t="shared" si="174"/>
        <v>0.57777777777777772</v>
      </c>
      <c r="G517" s="2">
        <v>42.437178000000003</v>
      </c>
      <c r="H517" s="2">
        <f t="shared" si="175"/>
        <v>0.10401103387861714</v>
      </c>
      <c r="I517" s="2">
        <v>24.7</v>
      </c>
      <c r="J517" s="4">
        <f t="shared" si="176"/>
        <v>0.11984473556525958</v>
      </c>
      <c r="K517" s="2">
        <v>0</v>
      </c>
      <c r="L517" s="4">
        <f t="shared" si="177"/>
        <v>0</v>
      </c>
      <c r="M517" s="2">
        <v>22206</v>
      </c>
      <c r="N517" s="2">
        <f t="shared" si="178"/>
        <v>0.10393512275671507</v>
      </c>
      <c r="O517" s="2">
        <v>0.41293518299999998</v>
      </c>
      <c r="P517" s="2">
        <f t="shared" si="179"/>
        <v>0.39956813470947561</v>
      </c>
      <c r="Q517" s="2">
        <v>0.19520000000000001</v>
      </c>
      <c r="R517" s="2">
        <f t="shared" si="180"/>
        <v>0.40590619571511299</v>
      </c>
      <c r="S517" s="2">
        <f t="shared" si="181"/>
        <v>1.8231352129342644E-2</v>
      </c>
      <c r="T517" s="5">
        <f t="shared" si="173"/>
        <v>3.678455895209156E-2</v>
      </c>
      <c r="U517" s="2" t="str">
        <f t="shared" si="182"/>
        <v>No Impact</v>
      </c>
      <c r="V517" s="2">
        <f t="shared" si="183"/>
        <v>1.837480973891056E-2</v>
      </c>
      <c r="W517" s="2">
        <f t="shared" si="184"/>
        <v>3.3099817564723362E-2</v>
      </c>
      <c r="X517" s="2" t="s">
        <v>1176</v>
      </c>
      <c r="Y517" s="2">
        <f t="shared" si="185"/>
        <v>1.8087894519774727E-2</v>
      </c>
      <c r="Z517" s="2">
        <f t="shared" si="186"/>
        <v>3.8379160152543314E-2</v>
      </c>
      <c r="AA517" s="2" t="str">
        <f t="shared" si="187"/>
        <v>No Impact</v>
      </c>
      <c r="AB517" s="2">
        <f t="shared" si="188"/>
        <v>1.3504301294619561E-2</v>
      </c>
      <c r="AC517" s="2">
        <f t="shared" si="189"/>
        <v>3.7536584123073154E-2</v>
      </c>
      <c r="AD517" s="2" t="str">
        <f t="shared" si="190"/>
        <v>No Impact</v>
      </c>
      <c r="AE517" s="2">
        <f t="shared" si="191"/>
        <v>4.7049986573384208E-3</v>
      </c>
      <c r="AF517" s="2">
        <f t="shared" si="192"/>
        <v>2.4238917902511845E-2</v>
      </c>
      <c r="AG517" s="2" t="s">
        <v>1176</v>
      </c>
    </row>
    <row r="518" spans="1:33" x14ac:dyDescent="0.3">
      <c r="A518">
        <v>605814</v>
      </c>
      <c r="B518" t="s">
        <v>1049</v>
      </c>
      <c r="C518" t="s">
        <v>1050</v>
      </c>
      <c r="D518" t="s">
        <v>1051</v>
      </c>
      <c r="E518" s="18">
        <v>5.4</v>
      </c>
      <c r="F518" s="19">
        <f t="shared" si="174"/>
        <v>0.48888888888888893</v>
      </c>
      <c r="G518" s="2">
        <v>44.328585599999997</v>
      </c>
      <c r="H518" s="2">
        <f t="shared" si="175"/>
        <v>0.12229795572449453</v>
      </c>
      <c r="I518" s="2">
        <v>19.2</v>
      </c>
      <c r="J518" s="4">
        <f t="shared" si="176"/>
        <v>9.3158660844250368E-2</v>
      </c>
      <c r="K518" s="2">
        <v>0</v>
      </c>
      <c r="L518" s="4">
        <f t="shared" si="177"/>
        <v>0</v>
      </c>
      <c r="M518" s="2">
        <v>18472</v>
      </c>
      <c r="N518" s="2">
        <f t="shared" si="178"/>
        <v>8.6267997142221775E-2</v>
      </c>
      <c r="O518" s="2">
        <v>9.4888317E-2</v>
      </c>
      <c r="P518" s="2">
        <f t="shared" si="179"/>
        <v>3.2163532661629864E-2</v>
      </c>
      <c r="Q518" s="2">
        <v>0.29049999999999998</v>
      </c>
      <c r="R518" s="2">
        <f t="shared" si="180"/>
        <v>0.68181818181818177</v>
      </c>
      <c r="S518" s="2">
        <f t="shared" si="181"/>
        <v>1.3161189451133816E-2</v>
      </c>
      <c r="T518" s="5">
        <f t="shared" si="173"/>
        <v>2.6554725387904259E-2</v>
      </c>
      <c r="U518" s="2" t="str">
        <f t="shared" si="182"/>
        <v>No Impact</v>
      </c>
      <c r="V518" s="2">
        <f t="shared" si="183"/>
        <v>2.5136605266353571E-2</v>
      </c>
      <c r="W518" s="2">
        <f t="shared" si="184"/>
        <v>4.5280308222777704E-2</v>
      </c>
      <c r="X518" s="2" t="s">
        <v>1176</v>
      </c>
      <c r="Y518" s="2">
        <f t="shared" si="185"/>
        <v>1.1857736359140619E-3</v>
      </c>
      <c r="Z518" s="2">
        <f t="shared" si="186"/>
        <v>2.5159919098188192E-3</v>
      </c>
      <c r="AA518" s="2" t="str">
        <f t="shared" si="187"/>
        <v>No Impact</v>
      </c>
      <c r="AB518" s="2">
        <f t="shared" si="188"/>
        <v>1.0266699357523213E-2</v>
      </c>
      <c r="AC518" s="2">
        <f t="shared" si="189"/>
        <v>2.8537339007203181E-2</v>
      </c>
      <c r="AD518" s="2" t="str">
        <f t="shared" si="190"/>
        <v>No Impact</v>
      </c>
      <c r="AE518" s="2">
        <f t="shared" si="191"/>
        <v>3.1804440672149889E-3</v>
      </c>
      <c r="AF518" s="2">
        <f t="shared" si="192"/>
        <v>1.6384812887994416E-2</v>
      </c>
      <c r="AG518" s="2" t="s">
        <v>1176</v>
      </c>
    </row>
    <row r="519" spans="1:33" x14ac:dyDescent="0.3">
      <c r="A519">
        <v>605835</v>
      </c>
      <c r="B519" t="s">
        <v>1052</v>
      </c>
      <c r="C519" t="s">
        <v>1050</v>
      </c>
      <c r="D519" t="s">
        <v>1053</v>
      </c>
      <c r="E519" s="18">
        <v>5.4</v>
      </c>
      <c r="F519" s="19">
        <f t="shared" si="174"/>
        <v>0.48888888888888893</v>
      </c>
      <c r="G519" s="2">
        <v>44.328585599999997</v>
      </c>
      <c r="H519" s="2">
        <f t="shared" si="175"/>
        <v>0.12229795572449453</v>
      </c>
      <c r="I519" s="2">
        <v>19.2</v>
      </c>
      <c r="J519" s="4">
        <f t="shared" si="176"/>
        <v>9.3158660844250368E-2</v>
      </c>
      <c r="K519" s="2">
        <v>0</v>
      </c>
      <c r="L519" s="4">
        <f t="shared" si="177"/>
        <v>0</v>
      </c>
      <c r="M519" s="2">
        <v>9958</v>
      </c>
      <c r="N519" s="2">
        <f t="shared" si="178"/>
        <v>4.5984679659148438E-2</v>
      </c>
      <c r="O519" s="2">
        <v>0.56265147900000001</v>
      </c>
      <c r="P519" s="2">
        <f t="shared" si="179"/>
        <v>0.57251892288657869</v>
      </c>
      <c r="Q519" s="2">
        <v>0.31280000000000002</v>
      </c>
      <c r="R519" s="2">
        <f t="shared" si="180"/>
        <v>0.74638100752750447</v>
      </c>
      <c r="S519" s="2">
        <f t="shared" si="181"/>
        <v>2.4311955753536001E-2</v>
      </c>
      <c r="T519" s="5">
        <f t="shared" si="173"/>
        <v>4.9053112644192674E-2</v>
      </c>
      <c r="U519" s="2" t="str">
        <f t="shared" si="182"/>
        <v>No Impact</v>
      </c>
      <c r="V519" s="2">
        <f t="shared" si="183"/>
        <v>2.751684432129916E-2</v>
      </c>
      <c r="W519" s="2">
        <f t="shared" si="184"/>
        <v>4.9567997706293401E-2</v>
      </c>
      <c r="X519" s="2" t="s">
        <v>1176</v>
      </c>
      <c r="Y519" s="2">
        <f t="shared" si="185"/>
        <v>2.1107067185772845E-2</v>
      </c>
      <c r="Z519" s="2">
        <f t="shared" si="186"/>
        <v>4.47852850417527E-2</v>
      </c>
      <c r="AA519" s="2" t="str">
        <f t="shared" si="187"/>
        <v>No Impact</v>
      </c>
      <c r="AB519" s="2">
        <f t="shared" si="188"/>
        <v>1.6556377021844315E-2</v>
      </c>
      <c r="AC519" s="2">
        <f t="shared" si="189"/>
        <v>4.6020140197951823E-2</v>
      </c>
      <c r="AD519" s="2" t="str">
        <f t="shared" si="190"/>
        <v>No Impact</v>
      </c>
      <c r="AE519" s="2">
        <f t="shared" si="191"/>
        <v>1.6953181533078746E-3</v>
      </c>
      <c r="AF519" s="2">
        <f t="shared" si="192"/>
        <v>8.7338340623275227E-3</v>
      </c>
      <c r="AG519" s="2" t="s">
        <v>1176</v>
      </c>
    </row>
    <row r="520" spans="1:33" x14ac:dyDescent="0.3">
      <c r="A520">
        <v>605856</v>
      </c>
      <c r="B520" t="s">
        <v>1054</v>
      </c>
      <c r="C520" t="s">
        <v>1050</v>
      </c>
      <c r="D520" t="s">
        <v>1055</v>
      </c>
      <c r="E520" s="18">
        <v>5.4</v>
      </c>
      <c r="F520" s="19">
        <f t="shared" si="174"/>
        <v>0.48888888888888893</v>
      </c>
      <c r="G520" s="2">
        <v>39.702020400000002</v>
      </c>
      <c r="H520" s="2">
        <f t="shared" si="175"/>
        <v>7.7566383202920502E-2</v>
      </c>
      <c r="I520" s="2">
        <v>16.600000000000001</v>
      </c>
      <c r="J520" s="4">
        <f t="shared" si="176"/>
        <v>8.0543425521591466E-2</v>
      </c>
      <c r="K520" s="2">
        <v>0</v>
      </c>
      <c r="L520" s="4">
        <f t="shared" si="177"/>
        <v>0</v>
      </c>
      <c r="M520" s="2">
        <v>24711</v>
      </c>
      <c r="N520" s="2">
        <f t="shared" si="178"/>
        <v>0.11578733209370105</v>
      </c>
      <c r="O520" s="2">
        <v>0.87064115099999995</v>
      </c>
      <c r="P520" s="2">
        <f t="shared" si="179"/>
        <v>0.9283055536405711</v>
      </c>
      <c r="Q520" s="2">
        <v>0.31790000000000002</v>
      </c>
      <c r="R520" s="2">
        <f t="shared" si="180"/>
        <v>0.76114649681528668</v>
      </c>
      <c r="S520" s="2">
        <f t="shared" si="181"/>
        <v>2.2853509357893768E-2</v>
      </c>
      <c r="T520" s="5">
        <f t="shared" si="173"/>
        <v>4.6110472568000944E-2</v>
      </c>
      <c r="U520" s="2" t="str">
        <f t="shared" si="182"/>
        <v>No Impact</v>
      </c>
      <c r="V520" s="2">
        <f t="shared" si="183"/>
        <v>2.0592319957234213E-2</v>
      </c>
      <c r="W520" s="2">
        <f t="shared" si="184"/>
        <v>3.7094372322968965E-2</v>
      </c>
      <c r="X520" s="2" t="s">
        <v>1176</v>
      </c>
      <c r="Y520" s="2">
        <f t="shared" si="185"/>
        <v>2.5114698758553315E-2</v>
      </c>
      <c r="Z520" s="2">
        <f t="shared" si="186"/>
        <v>5.3288736551599651E-2</v>
      </c>
      <c r="AA520" s="2" t="str">
        <f t="shared" si="187"/>
        <v>No Impact</v>
      </c>
      <c r="AB520" s="2">
        <f t="shared" si="188"/>
        <v>1.5838114264742468E-2</v>
      </c>
      <c r="AC520" s="2">
        <f t="shared" si="189"/>
        <v>4.4023655536048888E-2</v>
      </c>
      <c r="AD520" s="2" t="str">
        <f t="shared" si="190"/>
        <v>No Impact</v>
      </c>
      <c r="AE520" s="2">
        <f t="shared" si="191"/>
        <v>3.1325504346985771E-3</v>
      </c>
      <c r="AF520" s="2">
        <f t="shared" si="192"/>
        <v>1.6138077466549029E-2</v>
      </c>
      <c r="AG520" s="2" t="s">
        <v>1176</v>
      </c>
    </row>
    <row r="521" spans="1:33" x14ac:dyDescent="0.3">
      <c r="A521">
        <v>605865</v>
      </c>
      <c r="B521" t="s">
        <v>1056</v>
      </c>
      <c r="C521" t="s">
        <v>1050</v>
      </c>
      <c r="D521" t="s">
        <v>1057</v>
      </c>
      <c r="E521" s="18">
        <v>5.3</v>
      </c>
      <c r="F521" s="19">
        <f t="shared" si="174"/>
        <v>0.46666666666666656</v>
      </c>
      <c r="G521" s="2">
        <v>40.514130000000002</v>
      </c>
      <c r="H521" s="2">
        <f t="shared" si="175"/>
        <v>8.5418199377015808E-2</v>
      </c>
      <c r="I521" s="2">
        <v>16.3</v>
      </c>
      <c r="J521" s="4">
        <f t="shared" si="176"/>
        <v>7.9087821445900056E-2</v>
      </c>
      <c r="K521" s="2">
        <v>0</v>
      </c>
      <c r="L521" s="4">
        <f t="shared" si="177"/>
        <v>0</v>
      </c>
      <c r="M521" s="2">
        <v>33224</v>
      </c>
      <c r="N521" s="2">
        <f t="shared" si="178"/>
        <v>0.15606591815588139</v>
      </c>
      <c r="O521" s="2">
        <v>0.244596706</v>
      </c>
      <c r="P521" s="2">
        <f t="shared" si="179"/>
        <v>0.20510518675033604</v>
      </c>
      <c r="Q521" s="2">
        <v>0.29349999999999998</v>
      </c>
      <c r="R521" s="2">
        <f t="shared" si="180"/>
        <v>0.69050376375217137</v>
      </c>
      <c r="S521" s="2">
        <f t="shared" si="181"/>
        <v>1.2032200280612014E-2</v>
      </c>
      <c r="T521" s="5">
        <f t="shared" si="173"/>
        <v>2.4276815970944873E-2</v>
      </c>
      <c r="U521" s="2" t="str">
        <f t="shared" si="182"/>
        <v>No Impact</v>
      </c>
      <c r="V521" s="2">
        <f t="shared" si="183"/>
        <v>1.8553364334559019E-2</v>
      </c>
      <c r="W521" s="2">
        <f t="shared" si="184"/>
        <v>3.3421460325942905E-2</v>
      </c>
      <c r="X521" s="2" t="s">
        <v>1176</v>
      </c>
      <c r="Y521" s="2">
        <f t="shared" si="185"/>
        <v>5.5110362266650066E-3</v>
      </c>
      <c r="Z521" s="2">
        <f t="shared" si="186"/>
        <v>1.1693397576949078E-2</v>
      </c>
      <c r="AA521" s="2" t="str">
        <f t="shared" si="187"/>
        <v>No Impact</v>
      </c>
      <c r="AB521" s="2">
        <f t="shared" si="188"/>
        <v>9.6146729903270455E-3</v>
      </c>
      <c r="AC521" s="2">
        <f t="shared" si="189"/>
        <v>2.6724965153216963E-2</v>
      </c>
      <c r="AD521" s="2" t="str">
        <f t="shared" si="190"/>
        <v>No Impact</v>
      </c>
      <c r="AE521" s="2">
        <f t="shared" si="191"/>
        <v>4.19338458637682E-3</v>
      </c>
      <c r="AF521" s="2">
        <f t="shared" si="192"/>
        <v>2.1603216520436799E-2</v>
      </c>
      <c r="AG521" s="2" t="s">
        <v>1176</v>
      </c>
    </row>
    <row r="522" spans="1:33" x14ac:dyDescent="0.3">
      <c r="A522">
        <v>605874</v>
      </c>
      <c r="B522" t="s">
        <v>1058</v>
      </c>
      <c r="C522" t="s">
        <v>1050</v>
      </c>
      <c r="D522" t="s">
        <v>1059</v>
      </c>
      <c r="E522" s="18">
        <v>5.3</v>
      </c>
      <c r="F522" s="19">
        <f t="shared" si="174"/>
        <v>0.46666666666666656</v>
      </c>
      <c r="G522" s="2">
        <v>38.787958799999998</v>
      </c>
      <c r="H522" s="2">
        <f t="shared" si="175"/>
        <v>6.8728852338860433E-2</v>
      </c>
      <c r="I522" s="2">
        <v>26.1</v>
      </c>
      <c r="J522" s="4">
        <f t="shared" si="176"/>
        <v>0.12663755458515286</v>
      </c>
      <c r="K522" s="2">
        <v>0</v>
      </c>
      <c r="L522" s="4">
        <f t="shared" si="177"/>
        <v>0</v>
      </c>
      <c r="M522" s="2">
        <v>39868</v>
      </c>
      <c r="N522" s="2">
        <f t="shared" si="178"/>
        <v>0.18750147856902907</v>
      </c>
      <c r="O522" s="2">
        <v>0.48573176099999998</v>
      </c>
      <c r="P522" s="2">
        <f t="shared" si="179"/>
        <v>0.4836620234715644</v>
      </c>
      <c r="Q522" s="2">
        <v>0.2225</v>
      </c>
      <c r="R522" s="2">
        <f t="shared" si="180"/>
        <v>0.48494499131441809</v>
      </c>
      <c r="S522" s="2">
        <f t="shared" si="181"/>
        <v>1.5454050563010776E-2</v>
      </c>
      <c r="T522" s="5">
        <f t="shared" si="173"/>
        <v>3.118092558087027E-2</v>
      </c>
      <c r="U522" s="2" t="str">
        <f t="shared" si="182"/>
        <v>No Impact</v>
      </c>
      <c r="V522" s="2">
        <f t="shared" si="183"/>
        <v>1.5474520216452795E-2</v>
      </c>
      <c r="W522" s="2">
        <f t="shared" si="184"/>
        <v>2.7875325151343826E-2</v>
      </c>
      <c r="X522" s="2" t="s">
        <v>1176</v>
      </c>
      <c r="Y522" s="2">
        <f t="shared" si="185"/>
        <v>1.5433580909568758E-2</v>
      </c>
      <c r="Z522" s="2">
        <f t="shared" si="186"/>
        <v>3.2747198564653704E-2</v>
      </c>
      <c r="AA522" s="2" t="str">
        <f t="shared" si="187"/>
        <v>No Impact</v>
      </c>
      <c r="AB522" s="2">
        <f t="shared" si="188"/>
        <v>1.214025653616462E-2</v>
      </c>
      <c r="AC522" s="2">
        <f t="shared" si="189"/>
        <v>3.3745082459541637E-2</v>
      </c>
      <c r="AD522" s="2" t="str">
        <f t="shared" si="190"/>
        <v>No Impact</v>
      </c>
      <c r="AE522" s="2">
        <f t="shared" si="191"/>
        <v>5.9831433929586108E-3</v>
      </c>
      <c r="AF522" s="2">
        <f t="shared" si="192"/>
        <v>3.0823584035392551E-2</v>
      </c>
      <c r="AG522" s="2" t="s">
        <v>1176</v>
      </c>
    </row>
    <row r="523" spans="1:33" x14ac:dyDescent="0.3">
      <c r="A523">
        <v>605880</v>
      </c>
      <c r="B523" t="s">
        <v>1060</v>
      </c>
      <c r="C523" t="s">
        <v>1050</v>
      </c>
      <c r="D523" t="s">
        <v>1061</v>
      </c>
      <c r="E523" s="18">
        <v>5.2</v>
      </c>
      <c r="F523" s="19">
        <f t="shared" si="174"/>
        <v>0.44444444444444442</v>
      </c>
      <c r="G523" s="2">
        <v>40.475458799999998</v>
      </c>
      <c r="H523" s="2">
        <f t="shared" si="175"/>
        <v>8.5044309998498796E-2</v>
      </c>
      <c r="I523" s="2">
        <v>21.4</v>
      </c>
      <c r="J523" s="4">
        <f t="shared" si="176"/>
        <v>0.10383309073265405</v>
      </c>
      <c r="K523" s="2">
        <v>0</v>
      </c>
      <c r="L523" s="4">
        <f t="shared" si="177"/>
        <v>0</v>
      </c>
      <c r="M523" s="2">
        <v>16043</v>
      </c>
      <c r="N523" s="2">
        <f t="shared" si="178"/>
        <v>7.4775375793104421E-2</v>
      </c>
      <c r="O523" s="2">
        <v>0.23939532899999999</v>
      </c>
      <c r="P523" s="2">
        <f t="shared" si="179"/>
        <v>0.19909660735189663</v>
      </c>
      <c r="Q523" s="2">
        <v>0.25800000000000001</v>
      </c>
      <c r="R523" s="2">
        <f t="shared" si="180"/>
        <v>0.58772437753329476</v>
      </c>
      <c r="S523" s="2">
        <f t="shared" si="181"/>
        <v>1.155876574734316E-2</v>
      </c>
      <c r="T523" s="5">
        <f t="shared" si="173"/>
        <v>2.3321588932630186E-2</v>
      </c>
      <c r="U523" s="2" t="str">
        <f t="shared" si="182"/>
        <v>No Impact</v>
      </c>
      <c r="V523" s="2">
        <f t="shared" si="183"/>
        <v>1.7267888209416986E-2</v>
      </c>
      <c r="W523" s="2">
        <f t="shared" si="184"/>
        <v>3.1105843139664954E-2</v>
      </c>
      <c r="X523" s="2" t="s">
        <v>1176</v>
      </c>
      <c r="Y523" s="2">
        <f t="shared" si="185"/>
        <v>5.8496432852693384E-3</v>
      </c>
      <c r="Z523" s="2">
        <f t="shared" si="186"/>
        <v>1.2411859005212598E-2</v>
      </c>
      <c r="AA523" s="2" t="str">
        <f t="shared" si="187"/>
        <v>No Impact</v>
      </c>
      <c r="AB523" s="2">
        <f t="shared" si="188"/>
        <v>8.5675933614393456E-3</v>
      </c>
      <c r="AC523" s="2">
        <f t="shared" si="189"/>
        <v>2.3814500426770215E-2</v>
      </c>
      <c r="AD523" s="2" t="str">
        <f t="shared" si="190"/>
        <v>No Impact</v>
      </c>
      <c r="AE523" s="2">
        <f t="shared" si="191"/>
        <v>2.1969700073217139E-3</v>
      </c>
      <c r="AF523" s="2">
        <f t="shared" si="192"/>
        <v>1.1318212718019392E-2</v>
      </c>
      <c r="AG523" s="2" t="s">
        <v>1176</v>
      </c>
    </row>
    <row r="524" spans="1:33" x14ac:dyDescent="0.3">
      <c r="A524">
        <v>605883</v>
      </c>
      <c r="B524" t="s">
        <v>1062</v>
      </c>
      <c r="C524" t="s">
        <v>1050</v>
      </c>
      <c r="D524" t="s">
        <v>1063</v>
      </c>
      <c r="E524" s="18">
        <v>5.4</v>
      </c>
      <c r="F524" s="19">
        <f t="shared" si="174"/>
        <v>0.48888888888888893</v>
      </c>
      <c r="G524" s="2">
        <v>38.787958799999998</v>
      </c>
      <c r="H524" s="2">
        <f t="shared" si="175"/>
        <v>6.8728852338860433E-2</v>
      </c>
      <c r="I524" s="2">
        <v>23.2</v>
      </c>
      <c r="J524" s="4">
        <f t="shared" si="176"/>
        <v>0.11256671518680253</v>
      </c>
      <c r="K524" s="2">
        <v>0</v>
      </c>
      <c r="L524" s="4">
        <f t="shared" si="177"/>
        <v>0</v>
      </c>
      <c r="M524" s="2">
        <v>37332</v>
      </c>
      <c r="N524" s="2">
        <f t="shared" si="178"/>
        <v>0.17550259518435982</v>
      </c>
      <c r="O524" s="2">
        <v>0.23516765100000001</v>
      </c>
      <c r="P524" s="2">
        <f t="shared" si="179"/>
        <v>0.19421283543264614</v>
      </c>
      <c r="Q524" s="2">
        <v>0.29859999999999998</v>
      </c>
      <c r="R524" s="2">
        <f t="shared" si="180"/>
        <v>0.70526925303995369</v>
      </c>
      <c r="S524" s="2">
        <f t="shared" si="181"/>
        <v>1.3951725455086954E-2</v>
      </c>
      <c r="T524" s="5">
        <f t="shared" si="173"/>
        <v>2.814975344917256E-2</v>
      </c>
      <c r="U524" s="2" t="str">
        <f t="shared" si="182"/>
        <v>No Impact</v>
      </c>
      <c r="V524" s="2">
        <f t="shared" si="183"/>
        <v>2.1878641312438815E-2</v>
      </c>
      <c r="W524" s="2">
        <f t="shared" si="184"/>
        <v>3.941151208070582E-2</v>
      </c>
      <c r="X524" s="2" t="s">
        <v>1176</v>
      </c>
      <c r="Y524" s="2">
        <f t="shared" si="185"/>
        <v>6.024809597735094E-3</v>
      </c>
      <c r="Z524" s="2">
        <f t="shared" si="186"/>
        <v>1.2783529458736308E-2</v>
      </c>
      <c r="AA524" s="2" t="str">
        <f t="shared" si="187"/>
        <v>No Impact</v>
      </c>
      <c r="AB524" s="2">
        <f t="shared" si="188"/>
        <v>1.1370502578600606E-2</v>
      </c>
      <c r="AC524" s="2">
        <f t="shared" si="189"/>
        <v>3.1605472749139059E-2</v>
      </c>
      <c r="AD524" s="2" t="str">
        <f t="shared" si="190"/>
        <v>No Impact</v>
      </c>
      <c r="AE524" s="2">
        <f t="shared" si="191"/>
        <v>5.4443863997899779E-3</v>
      </c>
      <c r="AF524" s="2">
        <f t="shared" si="192"/>
        <v>2.8048049443804395E-2</v>
      </c>
      <c r="AG524" s="2" t="s">
        <v>1176</v>
      </c>
    </row>
    <row r="525" spans="1:33" x14ac:dyDescent="0.3">
      <c r="A525">
        <v>609018</v>
      </c>
      <c r="B525" t="s">
        <v>1064</v>
      </c>
      <c r="C525" t="s">
        <v>1065</v>
      </c>
      <c r="D525" t="s">
        <v>1066</v>
      </c>
      <c r="E525" s="18">
        <v>6.2</v>
      </c>
      <c r="F525" s="19">
        <f t="shared" si="174"/>
        <v>0.66666666666666663</v>
      </c>
      <c r="G525" s="2">
        <v>32.670770400000002</v>
      </c>
      <c r="H525" s="2">
        <f t="shared" si="175"/>
        <v>9.585309621094015E-3</v>
      </c>
      <c r="I525" s="2">
        <v>43.3</v>
      </c>
      <c r="J525" s="4">
        <f t="shared" si="176"/>
        <v>0.21009218825812712</v>
      </c>
      <c r="K525" s="2">
        <v>0</v>
      </c>
      <c r="L525" s="4">
        <f t="shared" si="177"/>
        <v>0</v>
      </c>
      <c r="M525" s="2">
        <v>14050</v>
      </c>
      <c r="N525" s="2">
        <f t="shared" si="178"/>
        <v>6.5345653953338731E-2</v>
      </c>
      <c r="O525" s="2">
        <v>0.23123280099999999</v>
      </c>
      <c r="P525" s="2">
        <f t="shared" si="179"/>
        <v>0.18966733553022616</v>
      </c>
      <c r="Q525" s="2">
        <v>0.23330000000000001</v>
      </c>
      <c r="R525" s="2">
        <f t="shared" si="180"/>
        <v>0.51621308627678064</v>
      </c>
      <c r="S525" s="2">
        <f t="shared" si="181"/>
        <v>1.8091038567524118E-2</v>
      </c>
      <c r="T525" s="5">
        <f t="shared" si="173"/>
        <v>3.6501454745125783E-2</v>
      </c>
      <c r="U525" s="2" t="str">
        <f t="shared" si="182"/>
        <v>No Impact</v>
      </c>
      <c r="V525" s="2">
        <f t="shared" si="183"/>
        <v>2.6460093138685192E-2</v>
      </c>
      <c r="W525" s="2">
        <f t="shared" si="184"/>
        <v>4.7664398602257081E-2</v>
      </c>
      <c r="X525" s="2" t="s">
        <v>1176</v>
      </c>
      <c r="Y525" s="2">
        <f t="shared" si="185"/>
        <v>9.7219839963630494E-3</v>
      </c>
      <c r="Z525" s="2">
        <f t="shared" si="186"/>
        <v>2.0628248378436891E-2</v>
      </c>
      <c r="AA525" s="2" t="str">
        <f t="shared" si="187"/>
        <v>No Impact</v>
      </c>
      <c r="AB525" s="2">
        <f t="shared" si="188"/>
        <v>1.3349950327665051E-2</v>
      </c>
      <c r="AC525" s="2">
        <f t="shared" si="189"/>
        <v>3.7107549852497895E-2</v>
      </c>
      <c r="AD525" s="2" t="str">
        <f t="shared" si="190"/>
        <v>No Impact</v>
      </c>
      <c r="AE525" s="2">
        <f t="shared" si="191"/>
        <v>3.3494929434752067E-3</v>
      </c>
      <c r="AF525" s="2">
        <f t="shared" si="192"/>
        <v>1.7255708318919209E-2</v>
      </c>
      <c r="AG525" s="2" t="s">
        <v>1176</v>
      </c>
    </row>
    <row r="526" spans="1:33" x14ac:dyDescent="0.3">
      <c r="A526">
        <v>609023</v>
      </c>
      <c r="B526" t="s">
        <v>1067</v>
      </c>
      <c r="C526" t="s">
        <v>1065</v>
      </c>
      <c r="D526" t="s">
        <v>1068</v>
      </c>
      <c r="E526" s="18">
        <v>6.5</v>
      </c>
      <c r="F526" s="19">
        <f t="shared" si="174"/>
        <v>0.73333333333333328</v>
      </c>
      <c r="G526" s="2">
        <v>42.437178000000003</v>
      </c>
      <c r="H526" s="2">
        <f t="shared" si="175"/>
        <v>0.10401103387861714</v>
      </c>
      <c r="I526" s="2">
        <v>42.9</v>
      </c>
      <c r="J526" s="4">
        <f t="shared" si="176"/>
        <v>0.20815138282387191</v>
      </c>
      <c r="K526" s="2">
        <v>0</v>
      </c>
      <c r="L526" s="4">
        <f t="shared" si="177"/>
        <v>0</v>
      </c>
      <c r="M526" s="2">
        <v>23393</v>
      </c>
      <c r="N526" s="2">
        <f t="shared" si="178"/>
        <v>0.10955131935671601</v>
      </c>
      <c r="O526" s="2">
        <v>0.50806203900000002</v>
      </c>
      <c r="P526" s="2">
        <f t="shared" si="179"/>
        <v>0.50945774032735558</v>
      </c>
      <c r="Q526" s="2">
        <v>0.214</v>
      </c>
      <c r="R526" s="2">
        <f t="shared" si="180"/>
        <v>0.4603358425014476</v>
      </c>
      <c r="S526" s="2">
        <f t="shared" si="181"/>
        <v>3.8850748926528594E-2</v>
      </c>
      <c r="T526" s="5">
        <f t="shared" si="173"/>
        <v>7.838736557124068E-2</v>
      </c>
      <c r="U526" s="2" t="str">
        <f t="shared" si="182"/>
        <v>No Impact</v>
      </c>
      <c r="V526" s="2">
        <f t="shared" si="183"/>
        <v>3.6882884266440583E-2</v>
      </c>
      <c r="W526" s="2">
        <f t="shared" si="184"/>
        <v>6.6439694224141171E-2</v>
      </c>
      <c r="X526" s="2" t="s">
        <v>1176</v>
      </c>
      <c r="Y526" s="2">
        <f t="shared" si="185"/>
        <v>4.0818613586616613E-2</v>
      </c>
      <c r="Z526" s="2">
        <f t="shared" si="186"/>
        <v>8.6609533593468249E-2</v>
      </c>
      <c r="AA526" s="2" t="str">
        <f t="shared" si="187"/>
        <v>No Impact</v>
      </c>
      <c r="AB526" s="2">
        <f t="shared" si="188"/>
        <v>2.8226696349439105E-2</v>
      </c>
      <c r="AC526" s="2">
        <f t="shared" si="189"/>
        <v>7.845898420966857E-2</v>
      </c>
      <c r="AD526" s="2" t="str">
        <f t="shared" si="190"/>
        <v>No Impact</v>
      </c>
      <c r="AE526" s="2">
        <f t="shared" si="191"/>
        <v>8.7774365148569154E-3</v>
      </c>
      <c r="AF526" s="2">
        <f t="shared" si="192"/>
        <v>4.5219048627418858E-2</v>
      </c>
      <c r="AG526" s="2" t="s">
        <v>1175</v>
      </c>
    </row>
    <row r="527" spans="1:33" x14ac:dyDescent="0.3">
      <c r="A527">
        <v>609027</v>
      </c>
      <c r="B527" t="s">
        <v>1069</v>
      </c>
      <c r="C527" t="s">
        <v>1065</v>
      </c>
      <c r="D527" t="s">
        <v>1070</v>
      </c>
      <c r="E527" s="18">
        <v>6.3</v>
      </c>
      <c r="F527" s="19">
        <f t="shared" si="174"/>
        <v>0.68888888888888877</v>
      </c>
      <c r="G527" s="2">
        <v>42.437178000000003</v>
      </c>
      <c r="H527" s="2">
        <f t="shared" si="175"/>
        <v>0.10401103387861714</v>
      </c>
      <c r="I527" s="2">
        <v>34.1</v>
      </c>
      <c r="J527" s="4">
        <f t="shared" si="176"/>
        <v>0.16545366327025718</v>
      </c>
      <c r="K527" s="2">
        <v>0</v>
      </c>
      <c r="L527" s="4">
        <f t="shared" si="177"/>
        <v>0</v>
      </c>
      <c r="M527" s="2">
        <v>9097</v>
      </c>
      <c r="N527" s="2">
        <f t="shared" si="178"/>
        <v>4.1910926270268226E-2</v>
      </c>
      <c r="O527" s="2">
        <v>0.21953971899999999</v>
      </c>
      <c r="P527" s="2">
        <f t="shared" si="179"/>
        <v>0.1761596025569265</v>
      </c>
      <c r="Q527" s="2">
        <v>0.16289999999999999</v>
      </c>
      <c r="R527" s="2">
        <f t="shared" si="180"/>
        <v>0.31239143022582511</v>
      </c>
      <c r="S527" s="2">
        <f t="shared" si="181"/>
        <v>1.587080809536363E-2</v>
      </c>
      <c r="T527" s="5">
        <f t="shared" si="173"/>
        <v>3.2021798046543752E-2</v>
      </c>
      <c r="U527" s="2" t="str">
        <f t="shared" si="182"/>
        <v>No Impact</v>
      </c>
      <c r="V527" s="2">
        <f t="shared" si="183"/>
        <v>2.0296362537646807E-2</v>
      </c>
      <c r="W527" s="2">
        <f t="shared" si="184"/>
        <v>3.6561243722756848E-2</v>
      </c>
      <c r="X527" s="2" t="s">
        <v>1176</v>
      </c>
      <c r="Y527" s="2">
        <f t="shared" si="185"/>
        <v>1.1445253653080457E-2</v>
      </c>
      <c r="Z527" s="2">
        <f t="shared" si="186"/>
        <v>2.4284707236535065E-2</v>
      </c>
      <c r="AA527" s="2" t="str">
        <f t="shared" si="187"/>
        <v>No Impact</v>
      </c>
      <c r="AB527" s="2">
        <f t="shared" si="188"/>
        <v>1.1490350171212086E-2</v>
      </c>
      <c r="AC527" s="2">
        <f t="shared" si="189"/>
        <v>3.1938601368225857E-2</v>
      </c>
      <c r="AD527" s="2" t="str">
        <f t="shared" si="190"/>
        <v>No Impact</v>
      </c>
      <c r="AE527" s="2">
        <f t="shared" si="191"/>
        <v>2.7229919631759085E-3</v>
      </c>
      <c r="AF527" s="2">
        <f t="shared" si="192"/>
        <v>1.402813974063011E-2</v>
      </c>
      <c r="AG527" s="2" t="s">
        <v>1176</v>
      </c>
    </row>
    <row r="528" spans="1:33" x14ac:dyDescent="0.3">
      <c r="A528">
        <v>609029</v>
      </c>
      <c r="B528" t="s">
        <v>1071</v>
      </c>
      <c r="C528" t="s">
        <v>1065</v>
      </c>
      <c r="D528" t="s">
        <v>1072</v>
      </c>
      <c r="E528" s="18">
        <v>6.5</v>
      </c>
      <c r="F528" s="19">
        <f t="shared" si="174"/>
        <v>0.73333333333333328</v>
      </c>
      <c r="G528" s="2">
        <v>42.437178000000003</v>
      </c>
      <c r="H528" s="2">
        <f t="shared" si="175"/>
        <v>0.10401103387861714</v>
      </c>
      <c r="I528" s="2">
        <v>27.5</v>
      </c>
      <c r="J528" s="4">
        <f t="shared" si="176"/>
        <v>0.13343037360504609</v>
      </c>
      <c r="K528" s="2">
        <v>0</v>
      </c>
      <c r="L528" s="4">
        <f t="shared" si="177"/>
        <v>0</v>
      </c>
      <c r="M528" s="2">
        <v>10856</v>
      </c>
      <c r="N528" s="2">
        <f t="shared" si="178"/>
        <v>5.0233495621069962E-2</v>
      </c>
      <c r="O528" s="2">
        <v>0.55183957800000005</v>
      </c>
      <c r="P528" s="2">
        <f t="shared" si="179"/>
        <v>0.5600291215115647</v>
      </c>
      <c r="Q528" s="2">
        <v>0.16769999999999999</v>
      </c>
      <c r="R528" s="2">
        <f t="shared" si="180"/>
        <v>0.32628836132020844</v>
      </c>
      <c r="S528" s="2">
        <f t="shared" si="181"/>
        <v>2.7007553727122394E-2</v>
      </c>
      <c r="T528" s="5">
        <f t="shared" si="173"/>
        <v>5.449189644185401E-2</v>
      </c>
      <c r="U528" s="2" t="str">
        <f t="shared" si="182"/>
        <v>No Impact</v>
      </c>
      <c r="V528" s="2">
        <f t="shared" si="183"/>
        <v>1.9885087724401476E-2</v>
      </c>
      <c r="W528" s="2">
        <f t="shared" si="184"/>
        <v>3.5820385913570445E-2</v>
      </c>
      <c r="X528" s="2" t="s">
        <v>1176</v>
      </c>
      <c r="Y528" s="2">
        <f t="shared" si="185"/>
        <v>3.4130019729843308E-2</v>
      </c>
      <c r="Z528" s="2">
        <f t="shared" si="186"/>
        <v>7.241757694844371E-2</v>
      </c>
      <c r="AA528" s="2" t="str">
        <f t="shared" si="187"/>
        <v>No Impact</v>
      </c>
      <c r="AB528" s="2">
        <f t="shared" si="188"/>
        <v>1.8270274775121206E-2</v>
      </c>
      <c r="AC528" s="2">
        <f t="shared" si="189"/>
        <v>5.078409397761581E-2</v>
      </c>
      <c r="AD528" s="2" t="str">
        <f t="shared" si="190"/>
        <v>No Impact</v>
      </c>
      <c r="AE528" s="2">
        <f t="shared" si="191"/>
        <v>3.0613947217934295E-3</v>
      </c>
      <c r="AF528" s="2">
        <f t="shared" si="192"/>
        <v>1.5771501913820127E-2</v>
      </c>
      <c r="AG528" s="2" t="s">
        <v>1176</v>
      </c>
    </row>
    <row r="529" spans="1:33" x14ac:dyDescent="0.3">
      <c r="A529">
        <v>609032</v>
      </c>
      <c r="B529" t="s">
        <v>1073</v>
      </c>
      <c r="C529" t="s">
        <v>1065</v>
      </c>
      <c r="D529" t="s">
        <v>1074</v>
      </c>
      <c r="E529" s="18">
        <v>6.4</v>
      </c>
      <c r="F529" s="19">
        <f t="shared" si="174"/>
        <v>0.71111111111111114</v>
      </c>
      <c r="G529" s="2">
        <v>48.350458799999998</v>
      </c>
      <c r="H529" s="2">
        <f t="shared" si="175"/>
        <v>0.16118311241014446</v>
      </c>
      <c r="I529" s="2">
        <v>28.2</v>
      </c>
      <c r="J529" s="4">
        <f t="shared" si="176"/>
        <v>0.13682678311499272</v>
      </c>
      <c r="K529" s="2">
        <v>0</v>
      </c>
      <c r="L529" s="4">
        <f t="shared" si="177"/>
        <v>0</v>
      </c>
      <c r="M529" s="2">
        <v>11765</v>
      </c>
      <c r="N529" s="2">
        <f t="shared" si="178"/>
        <v>5.4534357212814577E-2</v>
      </c>
      <c r="O529" s="2">
        <v>0.37322738300000002</v>
      </c>
      <c r="P529" s="2">
        <f t="shared" si="179"/>
        <v>0.35369807586979679</v>
      </c>
      <c r="Q529" s="2">
        <v>0.16550000000000001</v>
      </c>
      <c r="R529" s="2">
        <f t="shared" si="180"/>
        <v>0.31991893456861614</v>
      </c>
      <c r="S529" s="2">
        <f t="shared" si="181"/>
        <v>2.4981542121474607E-2</v>
      </c>
      <c r="T529" s="5">
        <f t="shared" si="173"/>
        <v>5.0404106199153025E-2</v>
      </c>
      <c r="U529" s="2" t="str">
        <f t="shared" si="182"/>
        <v>No Impact</v>
      </c>
      <c r="V529" s="2">
        <f t="shared" si="183"/>
        <v>2.3728819835418507E-2</v>
      </c>
      <c r="W529" s="2">
        <f t="shared" si="184"/>
        <v>4.274436681188238E-2</v>
      </c>
      <c r="X529" s="2" t="s">
        <v>1176</v>
      </c>
      <c r="Y529" s="2">
        <f t="shared" si="185"/>
        <v>2.6234264407530714E-2</v>
      </c>
      <c r="Z529" s="2">
        <f t="shared" si="186"/>
        <v>5.5664247382692489E-2</v>
      </c>
      <c r="AA529" s="2" t="str">
        <f t="shared" si="187"/>
        <v>No Impact</v>
      </c>
      <c r="AB529" s="2">
        <f t="shared" si="188"/>
        <v>1.7591076712087778E-2</v>
      </c>
      <c r="AC529" s="2">
        <f t="shared" si="189"/>
        <v>4.8896193621050132E-2</v>
      </c>
      <c r="AD529" s="2" t="str">
        <f t="shared" si="190"/>
        <v>No Impact</v>
      </c>
      <c r="AE529" s="2">
        <f t="shared" si="191"/>
        <v>4.0448869926630994E-3</v>
      </c>
      <c r="AF529" s="2">
        <f t="shared" si="192"/>
        <v>2.0838195901964701E-2</v>
      </c>
      <c r="AG529" s="2" t="s">
        <v>1176</v>
      </c>
    </row>
    <row r="530" spans="1:33" x14ac:dyDescent="0.3">
      <c r="A530">
        <v>609033</v>
      </c>
      <c r="B530" t="s">
        <v>1075</v>
      </c>
      <c r="C530" t="s">
        <v>1065</v>
      </c>
      <c r="D530" t="s">
        <v>1076</v>
      </c>
      <c r="E530" s="18">
        <v>5.9</v>
      </c>
      <c r="F530" s="19">
        <f t="shared" si="174"/>
        <v>0.60000000000000009</v>
      </c>
      <c r="G530" s="2">
        <v>40.085225999999999</v>
      </c>
      <c r="H530" s="2">
        <f t="shared" si="175"/>
        <v>8.1271375642467905E-2</v>
      </c>
      <c r="I530" s="2">
        <v>54.4</v>
      </c>
      <c r="J530" s="4">
        <f t="shared" si="176"/>
        <v>0.26394953905870938</v>
      </c>
      <c r="K530" s="2">
        <v>0</v>
      </c>
      <c r="L530" s="4">
        <f t="shared" si="177"/>
        <v>0</v>
      </c>
      <c r="M530" s="2">
        <v>20104</v>
      </c>
      <c r="N530" s="2">
        <f t="shared" si="178"/>
        <v>9.3989676039611461E-2</v>
      </c>
      <c r="O530" s="2">
        <v>0.393606291</v>
      </c>
      <c r="P530" s="2">
        <f t="shared" si="179"/>
        <v>0.37723958935199425</v>
      </c>
      <c r="Q530" s="2">
        <v>0.22020000000000001</v>
      </c>
      <c r="R530" s="2">
        <f t="shared" si="180"/>
        <v>0.4782860451650261</v>
      </c>
      <c r="S530" s="2">
        <f t="shared" si="181"/>
        <v>3.1011260920318445E-2</v>
      </c>
      <c r="T530" s="5">
        <f t="shared" si="173"/>
        <v>6.2569991924305943E-2</v>
      </c>
      <c r="U530" s="2" t="str">
        <f t="shared" si="182"/>
        <v>No Impact</v>
      </c>
      <c r="V530" s="2">
        <f t="shared" si="183"/>
        <v>3.467401266014257E-2</v>
      </c>
      <c r="W530" s="2">
        <f t="shared" si="184"/>
        <v>6.2460700796114717E-2</v>
      </c>
      <c r="X530" s="2" t="s">
        <v>1176</v>
      </c>
      <c r="Y530" s="2">
        <f t="shared" si="185"/>
        <v>2.7348509180494314E-2</v>
      </c>
      <c r="Z530" s="2">
        <f t="shared" si="186"/>
        <v>5.8028468300939905E-2</v>
      </c>
      <c r="AA530" s="2" t="str">
        <f t="shared" si="187"/>
        <v>No Impact</v>
      </c>
      <c r="AB530" s="2">
        <f t="shared" si="188"/>
        <v>2.272532652741055E-2</v>
      </c>
      <c r="AC530" s="2">
        <f t="shared" si="189"/>
        <v>6.31673651461198E-2</v>
      </c>
      <c r="AD530" s="2" t="str">
        <f t="shared" si="190"/>
        <v>No Impact</v>
      </c>
      <c r="AE530" s="2">
        <f t="shared" si="191"/>
        <v>6.8139124063210195E-3</v>
      </c>
      <c r="AF530" s="2">
        <f t="shared" si="192"/>
        <v>3.5103487894543386E-2</v>
      </c>
      <c r="AG530" s="2" t="s">
        <v>1175</v>
      </c>
    </row>
    <row r="531" spans="1:33" x14ac:dyDescent="0.3">
      <c r="A531">
        <v>609047</v>
      </c>
      <c r="B531" t="s">
        <v>1077</v>
      </c>
      <c r="C531" t="s">
        <v>1065</v>
      </c>
      <c r="D531" t="s">
        <v>1078</v>
      </c>
      <c r="E531" s="18">
        <v>6.5</v>
      </c>
      <c r="F531" s="19">
        <f t="shared" si="174"/>
        <v>0.73333333333333328</v>
      </c>
      <c r="G531" s="2">
        <v>42.437178000000003</v>
      </c>
      <c r="H531" s="2">
        <f t="shared" si="175"/>
        <v>0.10401103387861714</v>
      </c>
      <c r="I531" s="2">
        <v>22.2</v>
      </c>
      <c r="J531" s="4">
        <f t="shared" si="176"/>
        <v>0.10771470160116449</v>
      </c>
      <c r="K531" s="2">
        <v>0</v>
      </c>
      <c r="L531" s="4">
        <f t="shared" si="177"/>
        <v>0</v>
      </c>
      <c r="M531" s="2">
        <v>19694</v>
      </c>
      <c r="N531" s="2">
        <f t="shared" si="178"/>
        <v>9.2049793473478025E-2</v>
      </c>
      <c r="O531" s="2">
        <v>0.36827500400000002</v>
      </c>
      <c r="P531" s="2">
        <f t="shared" si="179"/>
        <v>0.34797713650457412</v>
      </c>
      <c r="Q531" s="2">
        <v>0.2094</v>
      </c>
      <c r="R531" s="2">
        <f t="shared" si="180"/>
        <v>0.44701795020266361</v>
      </c>
      <c r="S531" s="2">
        <f t="shared" si="181"/>
        <v>2.1601184660940839E-2</v>
      </c>
      <c r="T531" s="5">
        <f t="shared" si="173"/>
        <v>4.3583714743600004E-2</v>
      </c>
      <c r="U531" s="2" t="str">
        <f t="shared" si="182"/>
        <v>No Impact</v>
      </c>
      <c r="V531" s="2">
        <f t="shared" si="183"/>
        <v>2.4292269098359659E-2</v>
      </c>
      <c r="W531" s="2">
        <f t="shared" si="184"/>
        <v>4.3759346998090046E-2</v>
      </c>
      <c r="X531" s="2" t="s">
        <v>1176</v>
      </c>
      <c r="Y531" s="2">
        <f t="shared" si="185"/>
        <v>1.8910100223522026E-2</v>
      </c>
      <c r="Z531" s="2">
        <f t="shared" si="186"/>
        <v>4.0123728286106559E-2</v>
      </c>
      <c r="AA531" s="2" t="str">
        <f t="shared" si="187"/>
        <v>No Impact</v>
      </c>
      <c r="AB531" s="2">
        <f t="shared" si="188"/>
        <v>1.5926113953265902E-2</v>
      </c>
      <c r="AC531" s="2">
        <f t="shared" si="189"/>
        <v>4.4268259654321948E-2</v>
      </c>
      <c r="AD531" s="2" t="str">
        <f t="shared" si="190"/>
        <v>No Impact</v>
      </c>
      <c r="AE531" s="2">
        <f t="shared" si="191"/>
        <v>5.0022562908097618E-3</v>
      </c>
      <c r="AF531" s="2">
        <f t="shared" si="192"/>
        <v>2.577031119257555E-2</v>
      </c>
      <c r="AG531" s="2" t="s">
        <v>1176</v>
      </c>
    </row>
    <row r="532" spans="1:33" x14ac:dyDescent="0.3">
      <c r="A532">
        <v>609050</v>
      </c>
      <c r="B532" t="s">
        <v>1079</v>
      </c>
      <c r="C532" t="s">
        <v>1065</v>
      </c>
      <c r="D532" t="s">
        <v>1080</v>
      </c>
      <c r="E532" s="18">
        <v>6.4</v>
      </c>
      <c r="F532" s="19">
        <f t="shared" si="174"/>
        <v>0.71111111111111114</v>
      </c>
      <c r="G532" s="2">
        <v>48.350458799999998</v>
      </c>
      <c r="H532" s="2">
        <f t="shared" si="175"/>
        <v>0.16118311241014446</v>
      </c>
      <c r="I532" s="2">
        <v>28.8</v>
      </c>
      <c r="J532" s="4">
        <f t="shared" si="176"/>
        <v>0.13973799126637557</v>
      </c>
      <c r="K532" s="2">
        <v>0</v>
      </c>
      <c r="L532" s="4">
        <f t="shared" si="177"/>
        <v>0</v>
      </c>
      <c r="M532" s="2">
        <v>10210</v>
      </c>
      <c r="N532" s="2">
        <f t="shared" si="178"/>
        <v>4.7176997724186549E-2</v>
      </c>
      <c r="O532" s="2">
        <v>0.21808956400000001</v>
      </c>
      <c r="P532" s="2">
        <f t="shared" si="179"/>
        <v>0.17448439780681055</v>
      </c>
      <c r="Q532" s="2">
        <v>0.17</v>
      </c>
      <c r="R532" s="2">
        <f t="shared" si="180"/>
        <v>0.33294730746960055</v>
      </c>
      <c r="S532" s="2">
        <f t="shared" si="181"/>
        <v>1.9002281983033848E-2</v>
      </c>
      <c r="T532" s="5">
        <f t="shared" si="173"/>
        <v>3.8340028587576791E-2</v>
      </c>
      <c r="U532" s="2" t="str">
        <f t="shared" si="182"/>
        <v>No Impact</v>
      </c>
      <c r="V532" s="2">
        <f t="shared" si="183"/>
        <v>2.4936394617214044E-2</v>
      </c>
      <c r="W532" s="2">
        <f t="shared" si="184"/>
        <v>4.4919654912338257E-2</v>
      </c>
      <c r="X532" s="2" t="s">
        <v>1176</v>
      </c>
      <c r="Y532" s="2">
        <f t="shared" si="185"/>
        <v>1.3068169348853647E-2</v>
      </c>
      <c r="Z532" s="2">
        <f t="shared" si="186"/>
        <v>2.7728233586938135E-2</v>
      </c>
      <c r="AA532" s="2" t="str">
        <f t="shared" si="187"/>
        <v>No Impact</v>
      </c>
      <c r="AB532" s="2">
        <f t="shared" si="188"/>
        <v>1.388486653302241E-2</v>
      </c>
      <c r="AC532" s="2">
        <f t="shared" si="189"/>
        <v>3.8594404055698438E-2</v>
      </c>
      <c r="AD532" s="2" t="str">
        <f t="shared" si="190"/>
        <v>No Impact</v>
      </c>
      <c r="AE532" s="2">
        <f t="shared" si="191"/>
        <v>3.5333646066897147E-3</v>
      </c>
      <c r="AF532" s="2">
        <f t="shared" si="192"/>
        <v>1.8202966856879336E-2</v>
      </c>
      <c r="AG532" s="2" t="s">
        <v>1176</v>
      </c>
    </row>
    <row r="533" spans="1:33" x14ac:dyDescent="0.3">
      <c r="A533">
        <v>609086</v>
      </c>
      <c r="B533" t="s">
        <v>1081</v>
      </c>
      <c r="C533" t="s">
        <v>1065</v>
      </c>
      <c r="D533" t="s">
        <v>1082</v>
      </c>
      <c r="E533" s="18">
        <v>6.5</v>
      </c>
      <c r="F533" s="19">
        <f t="shared" si="174"/>
        <v>0.73333333333333328</v>
      </c>
      <c r="G533" s="2">
        <v>42.437178000000003</v>
      </c>
      <c r="H533" s="2">
        <f t="shared" si="175"/>
        <v>0.10401103387861714</v>
      </c>
      <c r="I533" s="2">
        <v>28.5</v>
      </c>
      <c r="J533" s="4">
        <f t="shared" si="176"/>
        <v>0.13828238719068414</v>
      </c>
      <c r="K533" s="2">
        <v>0</v>
      </c>
      <c r="L533" s="4">
        <f t="shared" si="177"/>
        <v>0</v>
      </c>
      <c r="M533" s="2">
        <v>7371</v>
      </c>
      <c r="N533" s="2">
        <f t="shared" si="178"/>
        <v>3.3744493808935759E-2</v>
      </c>
      <c r="O533" s="2">
        <v>0.54880257700000001</v>
      </c>
      <c r="P533" s="2">
        <f t="shared" si="179"/>
        <v>0.5565208079165993</v>
      </c>
      <c r="Q533" s="2">
        <v>0.15190000000000001</v>
      </c>
      <c r="R533" s="2">
        <f t="shared" si="180"/>
        <v>0.28054429646786339</v>
      </c>
      <c r="S533" s="2">
        <f t="shared" si="181"/>
        <v>2.6027972200877214E-2</v>
      </c>
      <c r="T533" s="5">
        <f t="shared" si="173"/>
        <v>5.2515439942911663E-2</v>
      </c>
      <c r="U533" s="2" t="str">
        <f t="shared" si="182"/>
        <v>No Impact</v>
      </c>
      <c r="V533" s="2">
        <f t="shared" si="183"/>
        <v>1.7446669587187585E-2</v>
      </c>
      <c r="W533" s="2">
        <f t="shared" si="184"/>
        <v>3.1427894419229795E-2</v>
      </c>
      <c r="X533" s="2" t="s">
        <v>1176</v>
      </c>
      <c r="Y533" s="2">
        <f t="shared" si="185"/>
        <v>3.460927481456684E-2</v>
      </c>
      <c r="Z533" s="2">
        <f t="shared" si="186"/>
        <v>7.3434467423474745E-2</v>
      </c>
      <c r="AA533" s="2" t="str">
        <f t="shared" si="187"/>
        <v>No Impact</v>
      </c>
      <c r="AB533" s="2">
        <f t="shared" si="188"/>
        <v>1.7223600317994203E-2</v>
      </c>
      <c r="AC533" s="2">
        <f t="shared" si="189"/>
        <v>4.787475546744252E-2</v>
      </c>
      <c r="AD533" s="2" t="str">
        <f t="shared" si="190"/>
        <v>No Impact</v>
      </c>
      <c r="AE533" s="2">
        <f t="shared" si="191"/>
        <v>2.0985243374528513E-3</v>
      </c>
      <c r="AF533" s="2">
        <f t="shared" si="192"/>
        <v>1.0811046471311255E-2</v>
      </c>
      <c r="AG533" s="2" t="s">
        <v>1176</v>
      </c>
    </row>
    <row r="534" spans="1:33" x14ac:dyDescent="0.3">
      <c r="A534">
        <v>609089</v>
      </c>
      <c r="B534" t="s">
        <v>1083</v>
      </c>
      <c r="C534" t="s">
        <v>1065</v>
      </c>
      <c r="D534" t="s">
        <v>1084</v>
      </c>
      <c r="E534" s="18">
        <v>6.5</v>
      </c>
      <c r="F534" s="19">
        <f t="shared" si="174"/>
        <v>0.73333333333333328</v>
      </c>
      <c r="G534" s="2">
        <v>31.679366399999999</v>
      </c>
      <c r="H534" s="2">
        <f t="shared" si="175"/>
        <v>0</v>
      </c>
      <c r="I534" s="2">
        <v>47.5</v>
      </c>
      <c r="J534" s="4">
        <f t="shared" si="176"/>
        <v>0.23047064531780689</v>
      </c>
      <c r="K534" s="2">
        <v>0</v>
      </c>
      <c r="L534" s="4">
        <f t="shared" si="177"/>
        <v>0</v>
      </c>
      <c r="M534" s="2">
        <v>23247</v>
      </c>
      <c r="N534" s="2">
        <f t="shared" si="178"/>
        <v>0.10886053190633679</v>
      </c>
      <c r="O534" s="2">
        <v>0.205712969</v>
      </c>
      <c r="P534" s="2">
        <f t="shared" si="179"/>
        <v>0.16018707735881607</v>
      </c>
      <c r="Q534" s="2">
        <v>0.184</v>
      </c>
      <c r="R534" s="2">
        <f t="shared" si="180"/>
        <v>0.37348002316155188</v>
      </c>
      <c r="S534" s="2">
        <f t="shared" si="181"/>
        <v>1.5784307133699219E-2</v>
      </c>
      <c r="T534" s="5">
        <f t="shared" si="173"/>
        <v>3.1847269042815277E-2</v>
      </c>
      <c r="U534" s="2" t="str">
        <f t="shared" si="182"/>
        <v>No Impact</v>
      </c>
      <c r="V534" s="2">
        <f t="shared" si="183"/>
        <v>2.2092886700847095E-2</v>
      </c>
      <c r="W534" s="2">
        <f t="shared" si="184"/>
        <v>3.9797447139145112E-2</v>
      </c>
      <c r="X534" s="2" t="s">
        <v>1176</v>
      </c>
      <c r="Y534" s="2">
        <f t="shared" si="185"/>
        <v>9.4757275665513455E-3</v>
      </c>
      <c r="Z534" s="2">
        <f t="shared" si="186"/>
        <v>2.0105737870206957E-2</v>
      </c>
      <c r="AA534" s="2" t="str">
        <f t="shared" si="187"/>
        <v>No Impact</v>
      </c>
      <c r="AB534" s="2">
        <f t="shared" si="188"/>
        <v>1.2829071222517256E-2</v>
      </c>
      <c r="AC534" s="2">
        <f t="shared" si="189"/>
        <v>3.5659713202398767E-2</v>
      </c>
      <c r="AD534" s="2" t="str">
        <f t="shared" si="190"/>
        <v>No Impact</v>
      </c>
      <c r="AE534" s="2">
        <f t="shared" si="191"/>
        <v>6.4395503064439081E-3</v>
      </c>
      <c r="AF534" s="2">
        <f t="shared" si="192"/>
        <v>3.3174872635412495E-2</v>
      </c>
      <c r="AG534" s="2" t="s">
        <v>1176</v>
      </c>
    </row>
    <row r="535" spans="1:33" x14ac:dyDescent="0.3">
      <c r="A535">
        <v>609092</v>
      </c>
      <c r="B535" t="s">
        <v>1085</v>
      </c>
      <c r="C535" t="s">
        <v>1065</v>
      </c>
      <c r="D535" t="s">
        <v>1086</v>
      </c>
      <c r="E535" s="18">
        <v>6.4</v>
      </c>
      <c r="F535" s="19">
        <f t="shared" si="174"/>
        <v>0.71111111111111114</v>
      </c>
      <c r="G535" s="2">
        <v>42.644599200000002</v>
      </c>
      <c r="H535" s="2">
        <f t="shared" si="175"/>
        <v>0.10601646902309794</v>
      </c>
      <c r="I535" s="2">
        <v>30.1</v>
      </c>
      <c r="J535" s="4">
        <f t="shared" si="176"/>
        <v>0.14604560892770502</v>
      </c>
      <c r="K535" s="2">
        <v>0</v>
      </c>
      <c r="L535" s="4">
        <f t="shared" si="177"/>
        <v>0</v>
      </c>
      <c r="M535" s="2">
        <v>18280</v>
      </c>
      <c r="N535" s="2">
        <f t="shared" si="178"/>
        <v>8.5359564330764165E-2</v>
      </c>
      <c r="O535" s="2">
        <v>0.38569935500000002</v>
      </c>
      <c r="P535" s="2">
        <f t="shared" si="179"/>
        <v>0.36810557488729029</v>
      </c>
      <c r="Q535" s="2">
        <v>0.21279999999999999</v>
      </c>
      <c r="R535" s="2">
        <f t="shared" si="180"/>
        <v>0.45686160972785178</v>
      </c>
      <c r="S535" s="2">
        <f t="shared" si="181"/>
        <v>2.5877343992306037E-2</v>
      </c>
      <c r="T535" s="5">
        <f t="shared" si="173"/>
        <v>5.2211524348570376E-2</v>
      </c>
      <c r="U535" s="2" t="str">
        <f t="shared" si="182"/>
        <v>No Impact</v>
      </c>
      <c r="V535" s="2">
        <f t="shared" si="183"/>
        <v>2.8661418908005602E-2</v>
      </c>
      <c r="W535" s="2">
        <f t="shared" si="184"/>
        <v>5.1629799191452511E-2</v>
      </c>
      <c r="X535" s="2" t="s">
        <v>1176</v>
      </c>
      <c r="Y535" s="2">
        <f t="shared" si="185"/>
        <v>2.3093269076606471E-2</v>
      </c>
      <c r="Z535" s="2">
        <f t="shared" si="186"/>
        <v>4.899963737448277E-2</v>
      </c>
      <c r="AA535" s="2" t="str">
        <f t="shared" si="187"/>
        <v>No Impact</v>
      </c>
      <c r="AB535" s="2">
        <f t="shared" si="188"/>
        <v>1.883375209411936E-2</v>
      </c>
      <c r="AC535" s="2">
        <f t="shared" si="189"/>
        <v>5.2350336712028517E-2</v>
      </c>
      <c r="AD535" s="2" t="str">
        <f t="shared" si="190"/>
        <v>No Impact</v>
      </c>
      <c r="AE535" s="2">
        <f t="shared" si="191"/>
        <v>5.3550707238155942E-3</v>
      </c>
      <c r="AF535" s="2">
        <f t="shared" si="192"/>
        <v>2.7587918528788339E-2</v>
      </c>
      <c r="AG535" s="2" t="s">
        <v>1176</v>
      </c>
    </row>
    <row r="536" spans="1:33" x14ac:dyDescent="0.3">
      <c r="A536">
        <v>609108</v>
      </c>
      <c r="B536" t="s">
        <v>1087</v>
      </c>
      <c r="C536" t="s">
        <v>1088</v>
      </c>
      <c r="D536" t="s">
        <v>1089</v>
      </c>
      <c r="E536" s="18">
        <v>7</v>
      </c>
      <c r="F536" s="19">
        <f t="shared" si="174"/>
        <v>0.84444444444444444</v>
      </c>
      <c r="G536" s="2">
        <v>40.475458799999998</v>
      </c>
      <c r="H536" s="2">
        <f t="shared" si="175"/>
        <v>8.5044309998498796E-2</v>
      </c>
      <c r="I536" s="2">
        <v>21.4</v>
      </c>
      <c r="J536" s="4">
        <f t="shared" si="176"/>
        <v>0.10383309073265405</v>
      </c>
      <c r="K536" s="2">
        <v>0</v>
      </c>
      <c r="L536" s="4">
        <f t="shared" si="177"/>
        <v>0</v>
      </c>
      <c r="M536" s="2">
        <v>33148</v>
      </c>
      <c r="N536" s="2">
        <f t="shared" si="178"/>
        <v>0.15570633016801275</v>
      </c>
      <c r="O536" s="2">
        <v>0.42358372100000002</v>
      </c>
      <c r="P536" s="2">
        <f t="shared" si="179"/>
        <v>0.41186922075847748</v>
      </c>
      <c r="Q536" s="2">
        <v>0.2142</v>
      </c>
      <c r="R536" s="2">
        <f t="shared" si="180"/>
        <v>0.46091488129704694</v>
      </c>
      <c r="S536" s="2">
        <f t="shared" si="181"/>
        <v>2.4361047350256505E-2</v>
      </c>
      <c r="T536" s="5">
        <f t="shared" si="173"/>
        <v>4.9152162496381713E-2</v>
      </c>
      <c r="U536" s="2" t="str">
        <f t="shared" si="182"/>
        <v>No Impact</v>
      </c>
      <c r="V536" s="2">
        <f t="shared" si="183"/>
        <v>2.5730004066918475E-2</v>
      </c>
      <c r="W536" s="2">
        <f t="shared" si="184"/>
        <v>4.634923858564461E-2</v>
      </c>
      <c r="X536" s="2" t="s">
        <v>1176</v>
      </c>
      <c r="Y536" s="2">
        <f t="shared" si="185"/>
        <v>2.2992090633594531E-2</v>
      </c>
      <c r="Z536" s="2">
        <f t="shared" si="186"/>
        <v>4.8784955468631597E-2</v>
      </c>
      <c r="AA536" s="2" t="str">
        <f t="shared" si="187"/>
        <v>No Impact</v>
      </c>
      <c r="AB536" s="2">
        <f t="shared" si="188"/>
        <v>1.8945368373730266E-2</v>
      </c>
      <c r="AC536" s="2">
        <f t="shared" si="189"/>
        <v>5.2660585556282939E-2</v>
      </c>
      <c r="AD536" s="2" t="str">
        <f t="shared" si="190"/>
        <v>No Impact</v>
      </c>
      <c r="AE536" s="2">
        <f t="shared" si="191"/>
        <v>8.6921136006584115E-3</v>
      </c>
      <c r="AF536" s="2">
        <f t="shared" si="192"/>
        <v>4.4779487372872073E-2</v>
      </c>
      <c r="AG536" s="2" t="s">
        <v>1175</v>
      </c>
    </row>
    <row r="537" spans="1:33" x14ac:dyDescent="0.3">
      <c r="A537">
        <v>609117</v>
      </c>
      <c r="B537" t="s">
        <v>1090</v>
      </c>
      <c r="C537" t="s">
        <v>1088</v>
      </c>
      <c r="D537" t="s">
        <v>1091</v>
      </c>
      <c r="E537" s="18">
        <v>6.1</v>
      </c>
      <c r="F537" s="19">
        <f t="shared" si="174"/>
        <v>0.64444444444444438</v>
      </c>
      <c r="G537" s="2">
        <v>44.328585599999997</v>
      </c>
      <c r="H537" s="2">
        <f t="shared" si="175"/>
        <v>0.12229795572449453</v>
      </c>
      <c r="I537" s="2">
        <v>24.3</v>
      </c>
      <c r="J537" s="4">
        <f t="shared" si="176"/>
        <v>0.11790393013100438</v>
      </c>
      <c r="K537" s="2">
        <v>0</v>
      </c>
      <c r="L537" s="4">
        <f t="shared" si="177"/>
        <v>0</v>
      </c>
      <c r="M537" s="2">
        <v>29012</v>
      </c>
      <c r="N537" s="2">
        <f t="shared" si="178"/>
        <v>0.1361371733545301</v>
      </c>
      <c r="O537" s="2">
        <v>0.16897221900000001</v>
      </c>
      <c r="P537" s="2">
        <f t="shared" si="179"/>
        <v>0.11774452540897423</v>
      </c>
      <c r="Q537" s="2">
        <v>0.24479999999999999</v>
      </c>
      <c r="R537" s="2">
        <f t="shared" si="180"/>
        <v>0.54950781702374063</v>
      </c>
      <c r="S537" s="2">
        <f t="shared" si="181"/>
        <v>1.8075488895416086E-2</v>
      </c>
      <c r="T537" s="5">
        <f t="shared" si="173"/>
        <v>3.6470080888360484E-2</v>
      </c>
      <c r="U537" s="2" t="str">
        <f t="shared" si="182"/>
        <v>No Impact</v>
      </c>
      <c r="V537" s="2">
        <f t="shared" si="183"/>
        <v>2.9771712477902786E-2</v>
      </c>
      <c r="W537" s="2">
        <f t="shared" si="184"/>
        <v>5.3629847906463649E-2</v>
      </c>
      <c r="X537" s="2" t="s">
        <v>1176</v>
      </c>
      <c r="Y537" s="2">
        <f t="shared" si="185"/>
        <v>6.3792653129293919E-3</v>
      </c>
      <c r="Z537" s="2">
        <f t="shared" si="186"/>
        <v>1.3535618799237153E-2</v>
      </c>
      <c r="AA537" s="2" t="str">
        <f t="shared" si="187"/>
        <v>No Impact</v>
      </c>
      <c r="AB537" s="2">
        <f t="shared" si="188"/>
        <v>1.4915394328143896E-2</v>
      </c>
      <c r="AC537" s="2">
        <f t="shared" si="189"/>
        <v>4.1458861270390085E-2</v>
      </c>
      <c r="AD537" s="2" t="str">
        <f t="shared" si="190"/>
        <v>No Impact</v>
      </c>
      <c r="AE537" s="2">
        <f t="shared" si="191"/>
        <v>7.3757581914260075E-3</v>
      </c>
      <c r="AF537" s="2">
        <f t="shared" si="192"/>
        <v>3.7997969880800959E-2</v>
      </c>
      <c r="AG537" s="2" t="s">
        <v>1175</v>
      </c>
    </row>
    <row r="538" spans="1:33" x14ac:dyDescent="0.3">
      <c r="A538">
        <v>609120</v>
      </c>
      <c r="B538" t="s">
        <v>1092</v>
      </c>
      <c r="C538" t="s">
        <v>1088</v>
      </c>
      <c r="D538" t="s">
        <v>1093</v>
      </c>
      <c r="E538" s="18">
        <v>7</v>
      </c>
      <c r="F538" s="19">
        <f t="shared" si="174"/>
        <v>0.84444444444444444</v>
      </c>
      <c r="G538" s="2">
        <v>40.085225999999999</v>
      </c>
      <c r="H538" s="2">
        <f t="shared" si="175"/>
        <v>8.1271375642467905E-2</v>
      </c>
      <c r="I538" s="2">
        <v>50.6</v>
      </c>
      <c r="J538" s="4">
        <f t="shared" si="176"/>
        <v>0.24551188743328484</v>
      </c>
      <c r="K538" s="2">
        <v>0</v>
      </c>
      <c r="L538" s="4">
        <f t="shared" si="177"/>
        <v>0</v>
      </c>
      <c r="M538" s="2">
        <v>16977</v>
      </c>
      <c r="N538" s="2">
        <f t="shared" si="178"/>
        <v>7.9194522907174256E-2</v>
      </c>
      <c r="O538" s="2">
        <v>0.44502898200000002</v>
      </c>
      <c r="P538" s="2">
        <f t="shared" si="179"/>
        <v>0.43664257470662543</v>
      </c>
      <c r="Q538" s="2">
        <v>0.23630000000000001</v>
      </c>
      <c r="R538" s="2">
        <f t="shared" si="180"/>
        <v>0.52489866821077025</v>
      </c>
      <c r="S538" s="2">
        <f t="shared" si="181"/>
        <v>4.6434080885941545E-2</v>
      </c>
      <c r="T538" s="5">
        <f t="shared" si="173"/>
        <v>9.3687904968170407E-2</v>
      </c>
      <c r="U538" s="2" t="str">
        <f t="shared" si="182"/>
        <v>No Impact</v>
      </c>
      <c r="V538" s="2">
        <f t="shared" si="183"/>
        <v>5.069608276535624E-2</v>
      </c>
      <c r="W538" s="2">
        <f t="shared" si="184"/>
        <v>9.132236548964115E-2</v>
      </c>
      <c r="X538" s="2" t="s">
        <v>1176</v>
      </c>
      <c r="Y538" s="2">
        <f t="shared" si="185"/>
        <v>4.217207900652685E-2</v>
      </c>
      <c r="Z538" s="2">
        <f t="shared" si="186"/>
        <v>8.9481336392565461E-2</v>
      </c>
      <c r="AA538" s="2" t="str">
        <f t="shared" si="187"/>
        <v>No Impact</v>
      </c>
      <c r="AB538" s="2">
        <f t="shared" si="188"/>
        <v>3.3072337440389822E-2</v>
      </c>
      <c r="AC538" s="2">
        <f t="shared" si="189"/>
        <v>9.1927938320842048E-2</v>
      </c>
      <c r="AD538" s="2" t="str">
        <f t="shared" si="190"/>
        <v>No Impact</v>
      </c>
      <c r="AE538" s="2">
        <f t="shared" si="191"/>
        <v>7.6488136301631161E-3</v>
      </c>
      <c r="AF538" s="2">
        <f t="shared" si="192"/>
        <v>3.940467981727673E-2</v>
      </c>
      <c r="AG538" s="2" t="s">
        <v>1175</v>
      </c>
    </row>
    <row r="539" spans="1:33" x14ac:dyDescent="0.3">
      <c r="A539">
        <v>609127</v>
      </c>
      <c r="B539" t="s">
        <v>1094</v>
      </c>
      <c r="C539" t="s">
        <v>1088</v>
      </c>
      <c r="D539" t="s">
        <v>1131</v>
      </c>
      <c r="E539" s="18">
        <v>6.9</v>
      </c>
      <c r="F539" s="19">
        <f t="shared" si="174"/>
        <v>0.8222222222222223</v>
      </c>
      <c r="G539" s="2">
        <v>40.085225999999999</v>
      </c>
      <c r="H539" s="2">
        <f t="shared" si="175"/>
        <v>8.1271375642467905E-2</v>
      </c>
      <c r="I539" s="2">
        <v>58.1</v>
      </c>
      <c r="J539" s="4">
        <f t="shared" si="176"/>
        <v>0.28190198932557015</v>
      </c>
      <c r="K539" s="2">
        <v>0</v>
      </c>
      <c r="L539" s="4">
        <f t="shared" si="177"/>
        <v>0</v>
      </c>
      <c r="M539" s="2">
        <v>8775</v>
      </c>
      <c r="N539" s="2">
        <f t="shared" si="178"/>
        <v>4.0387408742719524E-2</v>
      </c>
      <c r="O539" s="2">
        <v>0.250346597</v>
      </c>
      <c r="P539" s="2">
        <f t="shared" si="179"/>
        <v>0.21174740411044515</v>
      </c>
      <c r="Q539" s="2">
        <v>0.2392</v>
      </c>
      <c r="R539" s="2">
        <f t="shared" si="180"/>
        <v>0.5332947307469601</v>
      </c>
      <c r="S539" s="2">
        <f t="shared" si="181"/>
        <v>3.8933377734564366E-2</v>
      </c>
      <c r="T539" s="5">
        <f t="shared" si="173"/>
        <v>7.855408190905093E-2</v>
      </c>
      <c r="U539" s="2" t="str">
        <f t="shared" si="182"/>
        <v>No Impact</v>
      </c>
      <c r="V539" s="2">
        <f t="shared" si="183"/>
        <v>5.5736351609155778E-2</v>
      </c>
      <c r="W539" s="2">
        <f t="shared" si="184"/>
        <v>0.10040175088614078</v>
      </c>
      <c r="X539" s="2" t="s">
        <v>1176</v>
      </c>
      <c r="Y539" s="2">
        <f t="shared" si="185"/>
        <v>2.2130403859972968E-2</v>
      </c>
      <c r="Z539" s="2">
        <f t="shared" si="186"/>
        <v>4.6956615821361132E-2</v>
      </c>
      <c r="AA539" s="2" t="str">
        <f t="shared" si="187"/>
        <v>No Impact</v>
      </c>
      <c r="AB539" s="2">
        <f t="shared" si="188"/>
        <v>2.7624200623893078E-2</v>
      </c>
      <c r="AC539" s="2">
        <f t="shared" si="189"/>
        <v>7.6784285830807528E-2</v>
      </c>
      <c r="AD539" s="2" t="str">
        <f t="shared" si="190"/>
        <v>No Impact</v>
      </c>
      <c r="AE539" s="2">
        <f t="shared" si="191"/>
        <v>4.2210182934190538E-3</v>
      </c>
      <c r="AF539" s="2">
        <f t="shared" si="192"/>
        <v>2.1745578124577551E-2</v>
      </c>
      <c r="AG539" s="2" t="s">
        <v>1176</v>
      </c>
    </row>
    <row r="540" spans="1:33" x14ac:dyDescent="0.3">
      <c r="A540">
        <v>609131</v>
      </c>
      <c r="B540" t="s">
        <v>1095</v>
      </c>
      <c r="C540" t="s">
        <v>1088</v>
      </c>
      <c r="D540" t="s">
        <v>1096</v>
      </c>
      <c r="E540" s="18">
        <v>7</v>
      </c>
      <c r="F540" s="19">
        <f t="shared" si="174"/>
        <v>0.84444444444444444</v>
      </c>
      <c r="G540" s="2">
        <v>40.475458799999998</v>
      </c>
      <c r="H540" s="2">
        <f t="shared" si="175"/>
        <v>8.5044309998498796E-2</v>
      </c>
      <c r="I540" s="2">
        <v>39.299999999999997</v>
      </c>
      <c r="J540" s="4">
        <f t="shared" si="176"/>
        <v>0.19068413391557495</v>
      </c>
      <c r="K540" s="2">
        <v>0</v>
      </c>
      <c r="L540" s="4">
        <f t="shared" si="177"/>
        <v>0</v>
      </c>
      <c r="M540" s="2">
        <v>13160</v>
      </c>
      <c r="N540" s="2">
        <f t="shared" si="178"/>
        <v>6.113468935856127E-2</v>
      </c>
      <c r="O540" s="2">
        <v>0.20688483899999999</v>
      </c>
      <c r="P540" s="2">
        <f t="shared" si="179"/>
        <v>0.16154081002223369</v>
      </c>
      <c r="Q540" s="2">
        <v>0.2535</v>
      </c>
      <c r="R540" s="2">
        <f t="shared" si="180"/>
        <v>0.57469600463231041</v>
      </c>
      <c r="S540" s="2">
        <f t="shared" si="181"/>
        <v>2.9999100396860656E-2</v>
      </c>
      <c r="T540" s="5">
        <f t="shared" si="173"/>
        <v>6.0527802284175536E-2</v>
      </c>
      <c r="U540" s="2" t="str">
        <f t="shared" si="182"/>
        <v>No Impact</v>
      </c>
      <c r="V540" s="2">
        <f t="shared" si="183"/>
        <v>4.6833743701688892E-2</v>
      </c>
      <c r="W540" s="2">
        <f t="shared" si="184"/>
        <v>8.4364866598658161E-2</v>
      </c>
      <c r="X540" s="2" t="s">
        <v>1176</v>
      </c>
      <c r="Y540" s="2">
        <f t="shared" si="185"/>
        <v>1.316445709203241E-2</v>
      </c>
      <c r="Z540" s="2">
        <f t="shared" si="186"/>
        <v>2.7932538334079635E-2</v>
      </c>
      <c r="AA540" s="2" t="str">
        <f t="shared" si="187"/>
        <v>No Impact</v>
      </c>
      <c r="AB540" s="2">
        <f t="shared" si="188"/>
        <v>2.2084866228217714E-2</v>
      </c>
      <c r="AC540" s="2">
        <f t="shared" si="189"/>
        <v>6.1387140358946324E-2</v>
      </c>
      <c r="AD540" s="2" t="str">
        <f t="shared" si="190"/>
        <v>No Impact</v>
      </c>
      <c r="AE540" s="2">
        <f t="shared" si="191"/>
        <v>4.9820537286196648E-3</v>
      </c>
      <c r="AF540" s="2">
        <f t="shared" si="192"/>
        <v>2.5666232895851196E-2</v>
      </c>
      <c r="AG540" s="2" t="s">
        <v>1176</v>
      </c>
    </row>
    <row r="541" spans="1:33" x14ac:dyDescent="0.3">
      <c r="A541">
        <v>609135</v>
      </c>
      <c r="B541" t="s">
        <v>1097</v>
      </c>
      <c r="C541" t="s">
        <v>1088</v>
      </c>
      <c r="D541" t="s">
        <v>1098</v>
      </c>
      <c r="E541" s="18">
        <v>7</v>
      </c>
      <c r="F541" s="19">
        <f t="shared" si="174"/>
        <v>0.84444444444444444</v>
      </c>
      <c r="G541" s="2">
        <v>40.475458799999998</v>
      </c>
      <c r="H541" s="2">
        <f t="shared" si="175"/>
        <v>8.5044309998498796E-2</v>
      </c>
      <c r="I541" s="2">
        <v>16.5</v>
      </c>
      <c r="J541" s="4">
        <f t="shared" si="176"/>
        <v>8.0058224163027658E-2</v>
      </c>
      <c r="K541" s="2">
        <v>0</v>
      </c>
      <c r="L541" s="4">
        <f t="shared" si="177"/>
        <v>0</v>
      </c>
      <c r="M541" s="2">
        <v>11651</v>
      </c>
      <c r="N541" s="2">
        <f t="shared" si="178"/>
        <v>5.3994975231011627E-2</v>
      </c>
      <c r="O541" s="2">
        <v>0.16908443100000001</v>
      </c>
      <c r="P541" s="2">
        <f t="shared" si="179"/>
        <v>0.11787415160439473</v>
      </c>
      <c r="Q541" s="2">
        <v>0.23710000000000001</v>
      </c>
      <c r="R541" s="2">
        <f t="shared" si="180"/>
        <v>0.52721482339316739</v>
      </c>
      <c r="S541" s="2">
        <f t="shared" si="181"/>
        <v>1.5739194069693284E-2</v>
      </c>
      <c r="T541" s="5">
        <f t="shared" si="173"/>
        <v>3.1756246492723399E-2</v>
      </c>
      <c r="U541" s="2" t="str">
        <f t="shared" si="182"/>
        <v>No Impact</v>
      </c>
      <c r="V541" s="2">
        <f t="shared" si="183"/>
        <v>2.5726486557410135E-2</v>
      </c>
      <c r="W541" s="2">
        <f t="shared" si="184"/>
        <v>4.6342902252117214E-2</v>
      </c>
      <c r="X541" s="2" t="s">
        <v>1176</v>
      </c>
      <c r="Y541" s="2">
        <f t="shared" si="185"/>
        <v>5.7519015819764334E-3</v>
      </c>
      <c r="Z541" s="2">
        <f t="shared" si="186"/>
        <v>1.220446922415435E-2</v>
      </c>
      <c r="AA541" s="2" t="str">
        <f t="shared" si="187"/>
        <v>No Impact</v>
      </c>
      <c r="AB541" s="2">
        <f t="shared" si="188"/>
        <v>1.1652017707785086E-2</v>
      </c>
      <c r="AC541" s="2">
        <f t="shared" si="189"/>
        <v>3.2387972791015442E-2</v>
      </c>
      <c r="AD541" s="2" t="str">
        <f t="shared" si="190"/>
        <v>No Impact</v>
      </c>
      <c r="AE541" s="2">
        <f t="shared" si="191"/>
        <v>2.6347912517103106E-3</v>
      </c>
      <c r="AF541" s="2">
        <f t="shared" si="192"/>
        <v>1.3573752830057184E-2</v>
      </c>
      <c r="AG541" s="2" t="s">
        <v>1176</v>
      </c>
    </row>
    <row r="542" spans="1:33" x14ac:dyDescent="0.3">
      <c r="A542">
        <v>609138</v>
      </c>
      <c r="B542" t="s">
        <v>1099</v>
      </c>
      <c r="C542" t="s">
        <v>1088</v>
      </c>
      <c r="D542" t="s">
        <v>1100</v>
      </c>
      <c r="E542" s="18">
        <v>6.5</v>
      </c>
      <c r="F542" s="19">
        <f t="shared" si="174"/>
        <v>0.73333333333333328</v>
      </c>
      <c r="G542" s="2">
        <v>43.966476</v>
      </c>
      <c r="H542" s="2">
        <f t="shared" si="175"/>
        <v>0.11879692825963614</v>
      </c>
      <c r="I542" s="2">
        <v>33.299999999999997</v>
      </c>
      <c r="J542" s="4">
        <f t="shared" si="176"/>
        <v>0.16157205240174671</v>
      </c>
      <c r="K542" s="2">
        <v>0</v>
      </c>
      <c r="L542" s="4">
        <f t="shared" si="177"/>
        <v>0</v>
      </c>
      <c r="M542" s="2">
        <v>29178</v>
      </c>
      <c r="N542" s="2">
        <f t="shared" si="178"/>
        <v>0.13692258922276948</v>
      </c>
      <c r="O542" s="2">
        <v>0.24309862900000001</v>
      </c>
      <c r="P542" s="2">
        <f t="shared" si="179"/>
        <v>0.20337462297857409</v>
      </c>
      <c r="Q542" s="2">
        <v>0.25309999999999999</v>
      </c>
      <c r="R542" s="2">
        <f t="shared" si="180"/>
        <v>0.57353792704111173</v>
      </c>
      <c r="S542" s="2">
        <f t="shared" si="181"/>
        <v>2.7953846396380384E-2</v>
      </c>
      <c r="T542" s="5">
        <f t="shared" si="173"/>
        <v>5.6401187548256862E-2</v>
      </c>
      <c r="U542" s="2" t="str">
        <f t="shared" si="182"/>
        <v>No Impact</v>
      </c>
      <c r="V542" s="2">
        <f t="shared" si="183"/>
        <v>4.1272575953624158E-2</v>
      </c>
      <c r="W542" s="2">
        <f t="shared" si="184"/>
        <v>7.4347149924402139E-2</v>
      </c>
      <c r="X542" s="2" t="s">
        <v>1176</v>
      </c>
      <c r="Y542" s="2">
        <f t="shared" si="185"/>
        <v>1.4635116839136606E-2</v>
      </c>
      <c r="Z542" s="2">
        <f t="shared" si="186"/>
        <v>3.1053005777225348E-2</v>
      </c>
      <c r="AA542" s="2" t="str">
        <f t="shared" si="187"/>
        <v>No Impact</v>
      </c>
      <c r="AB542" s="2">
        <f t="shared" si="188"/>
        <v>2.2284534703672577E-2</v>
      </c>
      <c r="AC542" s="2">
        <f t="shared" si="189"/>
        <v>6.1942139270931749E-2</v>
      </c>
      <c r="AD542" s="2" t="str">
        <f t="shared" si="190"/>
        <v>No Impact</v>
      </c>
      <c r="AE542" s="2">
        <f t="shared" si="191"/>
        <v>9.8531373376089804E-3</v>
      </c>
      <c r="AF542" s="2">
        <f t="shared" si="192"/>
        <v>5.0760776867805113E-2</v>
      </c>
      <c r="AG542" s="2" t="s">
        <v>1175</v>
      </c>
    </row>
    <row r="543" spans="1:33" x14ac:dyDescent="0.3">
      <c r="A543">
        <v>609141</v>
      </c>
      <c r="B543" t="s">
        <v>1101</v>
      </c>
      <c r="C543" t="s">
        <v>1088</v>
      </c>
      <c r="D543" t="s">
        <v>1102</v>
      </c>
      <c r="E543" s="18">
        <v>6.9</v>
      </c>
      <c r="F543" s="19">
        <f t="shared" si="174"/>
        <v>0.8222222222222223</v>
      </c>
      <c r="G543" s="2">
        <v>43.966476</v>
      </c>
      <c r="H543" s="2">
        <f t="shared" si="175"/>
        <v>0.11879692825963614</v>
      </c>
      <c r="I543" s="2">
        <v>50.2</v>
      </c>
      <c r="J543" s="4">
        <f t="shared" si="176"/>
        <v>0.24357108199902963</v>
      </c>
      <c r="K543" s="2">
        <v>0</v>
      </c>
      <c r="L543" s="4">
        <f t="shared" si="177"/>
        <v>0</v>
      </c>
      <c r="M543" s="2">
        <v>28466</v>
      </c>
      <c r="N543" s="2">
        <f t="shared" si="178"/>
        <v>0.13355381754694753</v>
      </c>
      <c r="O543" s="2">
        <v>0.18108813900000001</v>
      </c>
      <c r="P543" s="2">
        <f t="shared" si="179"/>
        <v>0.13174071666854645</v>
      </c>
      <c r="Q543" s="2">
        <v>0.20530000000000001</v>
      </c>
      <c r="R543" s="2">
        <f t="shared" si="180"/>
        <v>0.43514765489287788</v>
      </c>
      <c r="S543" s="2">
        <f t="shared" si="181"/>
        <v>2.9557973728636413E-2</v>
      </c>
      <c r="T543" s="5">
        <f t="shared" si="173"/>
        <v>5.9637761336169368E-2</v>
      </c>
      <c r="U543" s="2" t="str">
        <f t="shared" si="182"/>
        <v>No Impact</v>
      </c>
      <c r="V543" s="2">
        <f t="shared" si="183"/>
        <v>4.5377833085460555E-2</v>
      </c>
      <c r="W543" s="2">
        <f t="shared" si="184"/>
        <v>8.1742233957969979E-2</v>
      </c>
      <c r="X543" s="2" t="s">
        <v>1176</v>
      </c>
      <c r="Y543" s="2">
        <f t="shared" si="185"/>
        <v>1.3738114371812269E-2</v>
      </c>
      <c r="Z543" s="2">
        <f t="shared" si="186"/>
        <v>2.9149732772563001E-2</v>
      </c>
      <c r="AA543" s="2" t="str">
        <f t="shared" si="187"/>
        <v>No Impact</v>
      </c>
      <c r="AB543" s="2">
        <f t="shared" si="188"/>
        <v>2.4878191404406846E-2</v>
      </c>
      <c r="AC543" s="2">
        <f t="shared" si="189"/>
        <v>6.9151472860983804E-2</v>
      </c>
      <c r="AD543" s="2" t="str">
        <f t="shared" si="190"/>
        <v>No Impact</v>
      </c>
      <c r="AE543" s="2">
        <f t="shared" si="191"/>
        <v>1.3927187179862771E-2</v>
      </c>
      <c r="AF543" s="2">
        <f t="shared" si="192"/>
        <v>7.1749212114881958E-2</v>
      </c>
      <c r="AG543" s="2" t="s">
        <v>1175</v>
      </c>
    </row>
    <row r="544" spans="1:33" x14ac:dyDescent="0.3">
      <c r="A544">
        <v>609153</v>
      </c>
      <c r="B544" t="s">
        <v>1103</v>
      </c>
      <c r="C544" t="s">
        <v>1088</v>
      </c>
      <c r="D544" t="s">
        <v>1104</v>
      </c>
      <c r="E544" s="18">
        <v>7</v>
      </c>
      <c r="F544" s="19">
        <f t="shared" si="174"/>
        <v>0.84444444444444444</v>
      </c>
      <c r="G544" s="2">
        <v>43.966476</v>
      </c>
      <c r="H544" s="2">
        <f t="shared" si="175"/>
        <v>0.11879692825963614</v>
      </c>
      <c r="I544" s="2">
        <v>28.7</v>
      </c>
      <c r="J544" s="4">
        <f t="shared" si="176"/>
        <v>0.13925278990781173</v>
      </c>
      <c r="K544" s="2">
        <v>0</v>
      </c>
      <c r="L544" s="4">
        <f t="shared" si="177"/>
        <v>0</v>
      </c>
      <c r="M544" s="2">
        <v>17294</v>
      </c>
      <c r="N544" s="2">
        <f t="shared" si="178"/>
        <v>8.0694383330257913E-2</v>
      </c>
      <c r="O544" s="2">
        <v>0.38552161600000001</v>
      </c>
      <c r="P544" s="2">
        <f t="shared" si="179"/>
        <v>0.36790025254789838</v>
      </c>
      <c r="Q544" s="2">
        <v>0.2225</v>
      </c>
      <c r="R544" s="2">
        <f t="shared" si="180"/>
        <v>0.48494499131441809</v>
      </c>
      <c r="S544" s="2">
        <f t="shared" si="181"/>
        <v>3.2522412389936486E-2</v>
      </c>
      <c r="T544" s="5">
        <f t="shared" si="173"/>
        <v>6.5618972599208236E-2</v>
      </c>
      <c r="U544" s="2" t="str">
        <f t="shared" si="182"/>
        <v>No Impact</v>
      </c>
      <c r="V544" s="2">
        <f t="shared" si="183"/>
        <v>3.6985798085796301E-2</v>
      </c>
      <c r="W544" s="2">
        <f t="shared" si="184"/>
        <v>6.6625080015557003E-2</v>
      </c>
      <c r="X544" s="2" t="s">
        <v>1176</v>
      </c>
      <c r="Y544" s="2">
        <f t="shared" si="185"/>
        <v>2.8059026694076672E-2</v>
      </c>
      <c r="Z544" s="2">
        <f t="shared" si="186"/>
        <v>5.9536054792842102E-2</v>
      </c>
      <c r="AA544" s="2" t="str">
        <f t="shared" si="187"/>
        <v>No Impact</v>
      </c>
      <c r="AB544" s="2">
        <f t="shared" si="188"/>
        <v>2.3516777853542854E-2</v>
      </c>
      <c r="AC544" s="2">
        <f t="shared" si="189"/>
        <v>6.5367284907575318E-2</v>
      </c>
      <c r="AD544" s="2" t="str">
        <f t="shared" si="190"/>
        <v>No Impact</v>
      </c>
      <c r="AE544" s="2">
        <f t="shared" si="191"/>
        <v>6.1544014722604099E-3</v>
      </c>
      <c r="AF544" s="2">
        <f t="shared" si="192"/>
        <v>3.1705860700416387E-2</v>
      </c>
      <c r="AG544" s="2" t="s">
        <v>1176</v>
      </c>
    </row>
    <row r="545" spans="1:33" x14ac:dyDescent="0.3">
      <c r="A545">
        <v>609159</v>
      </c>
      <c r="B545" t="s">
        <v>1105</v>
      </c>
      <c r="C545" t="s">
        <v>1088</v>
      </c>
      <c r="D545" t="s">
        <v>1106</v>
      </c>
      <c r="E545" s="18">
        <v>7</v>
      </c>
      <c r="F545" s="19">
        <f t="shared" si="174"/>
        <v>0.84444444444444444</v>
      </c>
      <c r="G545" s="2">
        <v>43.966476</v>
      </c>
      <c r="H545" s="2">
        <f t="shared" si="175"/>
        <v>0.11879692825963614</v>
      </c>
      <c r="I545" s="2">
        <v>22</v>
      </c>
      <c r="J545" s="4">
        <f t="shared" si="176"/>
        <v>0.10674429888403687</v>
      </c>
      <c r="K545" s="2">
        <v>0</v>
      </c>
      <c r="L545" s="4">
        <f t="shared" si="177"/>
        <v>0</v>
      </c>
      <c r="M545" s="2">
        <v>16637</v>
      </c>
      <c r="N545" s="2">
        <f t="shared" si="178"/>
        <v>7.758583980355141E-2</v>
      </c>
      <c r="O545" s="2">
        <v>0.40573087299999999</v>
      </c>
      <c r="P545" s="2">
        <f t="shared" si="179"/>
        <v>0.39124578686851524</v>
      </c>
      <c r="Q545" s="2">
        <v>0.1827</v>
      </c>
      <c r="R545" s="2">
        <f t="shared" si="180"/>
        <v>0.36971627099015636</v>
      </c>
      <c r="S545" s="2">
        <f t="shared" si="181"/>
        <v>2.5362851192351325E-2</v>
      </c>
      <c r="T545" s="5">
        <f t="shared" si="173"/>
        <v>5.1173455937840652E-2</v>
      </c>
      <c r="U545" s="2" t="str">
        <f t="shared" si="182"/>
        <v>No Impact</v>
      </c>
      <c r="V545" s="2">
        <f t="shared" si="183"/>
        <v>2.4645272829768108E-2</v>
      </c>
      <c r="W545" s="2">
        <f t="shared" si="184"/>
        <v>4.4395237071255998E-2</v>
      </c>
      <c r="X545" s="2" t="s">
        <v>1176</v>
      </c>
      <c r="Y545" s="2">
        <f t="shared" si="185"/>
        <v>2.6080429554934545E-2</v>
      </c>
      <c r="Z545" s="2">
        <f t="shared" si="186"/>
        <v>5.5337838333901504E-2</v>
      </c>
      <c r="AA545" s="2" t="str">
        <f t="shared" si="187"/>
        <v>No Impact</v>
      </c>
      <c r="AB545" s="2">
        <f t="shared" si="188"/>
        <v>1.8260128572177545E-2</v>
      </c>
      <c r="AC545" s="2">
        <f t="shared" si="189"/>
        <v>5.0755891570692602E-2</v>
      </c>
      <c r="AD545" s="2" t="str">
        <f t="shared" si="190"/>
        <v>No Impact</v>
      </c>
      <c r="AE545" s="2">
        <f t="shared" si="191"/>
        <v>5.171869186509556E-3</v>
      </c>
      <c r="AF545" s="2">
        <f t="shared" si="192"/>
        <v>2.6644112303583795E-2</v>
      </c>
      <c r="AG545" s="2" t="s">
        <v>1176</v>
      </c>
    </row>
    <row r="546" spans="1:33" x14ac:dyDescent="0.3">
      <c r="A546">
        <v>609162</v>
      </c>
      <c r="B546" t="s">
        <v>1107</v>
      </c>
      <c r="C546" t="s">
        <v>1088</v>
      </c>
      <c r="D546" t="s">
        <v>1108</v>
      </c>
      <c r="E546" s="18">
        <v>7</v>
      </c>
      <c r="F546" s="19">
        <f t="shared" si="174"/>
        <v>0.84444444444444444</v>
      </c>
      <c r="G546" s="2">
        <v>43.966476</v>
      </c>
      <c r="H546" s="2">
        <f t="shared" si="175"/>
        <v>0.11879692825963614</v>
      </c>
      <c r="I546" s="2">
        <v>42</v>
      </c>
      <c r="J546" s="4">
        <f t="shared" si="176"/>
        <v>0.20378457059679767</v>
      </c>
      <c r="K546" s="2">
        <v>0</v>
      </c>
      <c r="L546" s="4">
        <f t="shared" si="177"/>
        <v>0</v>
      </c>
      <c r="M546" s="2">
        <v>11227</v>
      </c>
      <c r="N546" s="2">
        <f t="shared" si="178"/>
        <v>5.1988852772376075E-2</v>
      </c>
      <c r="O546" s="2">
        <v>0.52805083100000005</v>
      </c>
      <c r="P546" s="2">
        <f t="shared" si="179"/>
        <v>0.53254859565487578</v>
      </c>
      <c r="Q546" s="2">
        <v>0.23880000000000001</v>
      </c>
      <c r="R546" s="2">
        <f t="shared" si="180"/>
        <v>0.53213665315576153</v>
      </c>
      <c r="S546" s="2">
        <f t="shared" si="181"/>
        <v>5.075394725381354E-2</v>
      </c>
      <c r="T546" s="5">
        <f t="shared" si="173"/>
        <v>0.10240390024634809</v>
      </c>
      <c r="U546" s="2" t="str">
        <f t="shared" si="182"/>
        <v>No Impact</v>
      </c>
      <c r="V546" s="2">
        <f t="shared" si="183"/>
        <v>5.073430979955651E-2</v>
      </c>
      <c r="W546" s="2">
        <f t="shared" si="184"/>
        <v>9.1391226494247357E-2</v>
      </c>
      <c r="X546" s="2" t="s">
        <v>1176</v>
      </c>
      <c r="Y546" s="2">
        <f t="shared" si="185"/>
        <v>5.0773584708070564E-2</v>
      </c>
      <c r="Z546" s="2">
        <f t="shared" si="186"/>
        <v>0.10773213747456294</v>
      </c>
      <c r="AA546" s="2" t="str">
        <f t="shared" si="187"/>
        <v>No Impact</v>
      </c>
      <c r="AB546" s="2">
        <f t="shared" si="188"/>
        <v>3.472391359222271E-2</v>
      </c>
      <c r="AC546" s="2">
        <f t="shared" si="189"/>
        <v>9.6518662846785258E-2</v>
      </c>
      <c r="AD546" s="2" t="str">
        <f t="shared" si="190"/>
        <v>No Impact</v>
      </c>
      <c r="AE546" s="2">
        <f t="shared" si="191"/>
        <v>4.9566564284479076E-3</v>
      </c>
      <c r="AF546" s="2">
        <f t="shared" si="192"/>
        <v>2.5535392672794276E-2</v>
      </c>
      <c r="AG546" s="2" t="s">
        <v>1176</v>
      </c>
    </row>
    <row r="547" spans="1:33" x14ac:dyDescent="0.3">
      <c r="A547">
        <v>609194</v>
      </c>
      <c r="B547" t="s">
        <v>1109</v>
      </c>
      <c r="C547" t="s">
        <v>1088</v>
      </c>
      <c r="D547" t="s">
        <v>1110</v>
      </c>
      <c r="E547" s="18">
        <v>7</v>
      </c>
      <c r="F547" s="19">
        <f t="shared" si="174"/>
        <v>0.84444444444444444</v>
      </c>
      <c r="G547" s="2">
        <v>49.457880000000003</v>
      </c>
      <c r="H547" s="2">
        <f t="shared" si="175"/>
        <v>0.17189012497309911</v>
      </c>
      <c r="I547" s="2">
        <v>12</v>
      </c>
      <c r="J547" s="4">
        <f t="shared" si="176"/>
        <v>5.8224163027656477E-2</v>
      </c>
      <c r="K547" s="2">
        <v>0</v>
      </c>
      <c r="L547" s="4">
        <f t="shared" si="177"/>
        <v>0</v>
      </c>
      <c r="M547" s="2">
        <v>13447</v>
      </c>
      <c r="N547" s="2">
        <f t="shared" si="178"/>
        <v>6.2492607154854676E-2</v>
      </c>
      <c r="O547" s="2">
        <v>0.22514314299999999</v>
      </c>
      <c r="P547" s="2">
        <f t="shared" si="179"/>
        <v>0.18263262268354313</v>
      </c>
      <c r="Q547" s="2">
        <v>0.182</v>
      </c>
      <c r="R547" s="2">
        <f t="shared" si="180"/>
        <v>0.36768963520555881</v>
      </c>
      <c r="S547" s="2">
        <f t="shared" si="181"/>
        <v>1.8714136593889791E-2</v>
      </c>
      <c r="T547" s="5">
        <f t="shared" si="173"/>
        <v>3.7758650915830562E-2</v>
      </c>
      <c r="U547" s="2" t="str">
        <f t="shared" si="182"/>
        <v>No Impact</v>
      </c>
      <c r="V547" s="2">
        <f t="shared" si="183"/>
        <v>2.5007144300461706E-2</v>
      </c>
      <c r="W547" s="2">
        <f t="shared" si="184"/>
        <v>4.5047101217444784E-2</v>
      </c>
      <c r="X547" s="2" t="s">
        <v>1176</v>
      </c>
      <c r="Y547" s="2">
        <f t="shared" si="185"/>
        <v>1.2421128887317877E-2</v>
      </c>
      <c r="Z547" s="2">
        <f t="shared" si="186"/>
        <v>2.6355333636017473E-2</v>
      </c>
      <c r="AA547" s="2" t="str">
        <f t="shared" si="187"/>
        <v>No Impact</v>
      </c>
      <c r="AB547" s="2">
        <f t="shared" si="188"/>
        <v>1.3966415984301241E-2</v>
      </c>
      <c r="AC547" s="2">
        <f t="shared" si="189"/>
        <v>3.8821079081035575E-2</v>
      </c>
      <c r="AD547" s="2" t="str">
        <f t="shared" si="190"/>
        <v>No Impact</v>
      </c>
      <c r="AE547" s="2">
        <f t="shared" si="191"/>
        <v>4.2502194655550914E-3</v>
      </c>
      <c r="AF547" s="2">
        <f t="shared" si="192"/>
        <v>2.1896014897382694E-2</v>
      </c>
      <c r="AG547" s="2" t="s">
        <v>1176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Ibrahim Abdullah</cp:lastModifiedBy>
  <dcterms:created xsi:type="dcterms:W3CDTF">2015-06-05T18:17:20Z</dcterms:created>
  <dcterms:modified xsi:type="dcterms:W3CDTF">2026-09-01T08:47:15Z</dcterms:modified>
</cp:coreProperties>
</file>