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\IBF-Analysis\data\sample\midhili\"/>
    </mc:Choice>
  </mc:AlternateContent>
  <xr:revisionPtr revIDLastSave="0" documentId="13_ncr:1_{FC98079B-BF70-4CD5-A492-B78384A5E324}" xr6:coauthVersionLast="47" xr6:coauthVersionMax="47" xr10:uidLastSave="{00000000-0000-0000-0000-000000000000}"/>
  <bookViews>
    <workbookView xWindow="-108" yWindow="-108" windowWidth="23256" windowHeight="12456" xr2:uid="{F777613E-AB6C-4744-9284-054562D026F2}"/>
  </bookViews>
  <sheets>
    <sheet name="Midhili" sheetId="3" r:id="rId1"/>
  </sheets>
  <definedNames>
    <definedName name="_xlnm._FilterDatabase" localSheetId="0" hidden="1">Midhili!$A$1:$AK$545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8" i="3" l="1"/>
  <c r="AJ12" i="3"/>
  <c r="AJ11" i="3"/>
  <c r="AJ9" i="3"/>
  <c r="AJ8" i="3"/>
  <c r="AJ7" i="3"/>
  <c r="AJ6" i="3"/>
  <c r="AJ5" i="3"/>
  <c r="AI12" i="3"/>
  <c r="AI11" i="3"/>
  <c r="AI9" i="3"/>
  <c r="AI7" i="3"/>
  <c r="AI6" i="3"/>
  <c r="AI5" i="3"/>
  <c r="AK5" i="3" l="1"/>
  <c r="F5" i="3" s="1"/>
  <c r="AK9" i="3"/>
  <c r="N421" i="3" s="1"/>
  <c r="AK7" i="3"/>
  <c r="AK6" i="3"/>
  <c r="H7" i="3" s="1"/>
  <c r="AK12" i="3"/>
  <c r="R367" i="3" s="1"/>
  <c r="AK11" i="3"/>
  <c r="AK8" i="3"/>
  <c r="L25" i="3" s="1"/>
  <c r="F75" i="3" l="1"/>
  <c r="F376" i="3"/>
  <c r="F389" i="3"/>
  <c r="F152" i="3"/>
  <c r="F246" i="3"/>
  <c r="F57" i="3"/>
  <c r="F315" i="3"/>
  <c r="F407" i="3"/>
  <c r="F65" i="3"/>
  <c r="F298" i="3"/>
  <c r="F77" i="3"/>
  <c r="F175" i="3"/>
  <c r="F378" i="3"/>
  <c r="F339" i="3"/>
  <c r="F249" i="3"/>
  <c r="F325" i="3"/>
  <c r="F143" i="3"/>
  <c r="F32" i="3"/>
  <c r="F45" i="3"/>
  <c r="F55" i="3"/>
  <c r="F59" i="3"/>
  <c r="F106" i="3"/>
  <c r="F117" i="3"/>
  <c r="F288" i="3"/>
  <c r="F95" i="3"/>
  <c r="F76" i="3"/>
  <c r="F271" i="3"/>
  <c r="F74" i="3"/>
  <c r="F88" i="3"/>
  <c r="F359" i="3"/>
  <c r="F370" i="3"/>
  <c r="F209" i="3"/>
  <c r="F189" i="3"/>
  <c r="F155" i="3"/>
  <c r="F221" i="3"/>
  <c r="F145" i="3"/>
  <c r="F134" i="3"/>
  <c r="F233" i="3"/>
  <c r="F19" i="3"/>
  <c r="F132" i="3"/>
  <c r="F232" i="3"/>
  <c r="F245" i="3"/>
  <c r="F222" i="3"/>
  <c r="F340" i="3"/>
  <c r="F353" i="3"/>
  <c r="F212" i="3"/>
  <c r="F318" i="3"/>
  <c r="F203" i="3"/>
  <c r="F217" i="3"/>
  <c r="F188" i="3"/>
  <c r="F279" i="3"/>
  <c r="F394" i="3"/>
  <c r="F52" i="3"/>
  <c r="F307" i="3"/>
  <c r="F216" i="3"/>
  <c r="F64" i="3"/>
  <c r="F398" i="3"/>
  <c r="F33" i="3"/>
  <c r="F199" i="3"/>
  <c r="F89" i="3"/>
  <c r="F12" i="3"/>
  <c r="F387" i="3"/>
  <c r="F101" i="3"/>
  <c r="F228" i="3"/>
  <c r="F56" i="3"/>
  <c r="F196" i="3"/>
  <c r="F63" i="3"/>
  <c r="F70" i="3"/>
  <c r="F208" i="3"/>
  <c r="F104" i="3"/>
  <c r="F275" i="3"/>
  <c r="F220" i="3"/>
  <c r="F24" i="3"/>
  <c r="F80" i="3"/>
  <c r="F258" i="3"/>
  <c r="F127" i="3"/>
  <c r="F403" i="3"/>
  <c r="F236" i="3"/>
  <c r="F352" i="3"/>
  <c r="F365" i="3"/>
  <c r="F190" i="3"/>
  <c r="F299" i="3"/>
  <c r="F163" i="3"/>
  <c r="F31" i="3"/>
  <c r="F168" i="3"/>
  <c r="F265" i="3"/>
  <c r="F192" i="3"/>
  <c r="F364" i="3"/>
  <c r="F377" i="3"/>
  <c r="F170" i="3"/>
  <c r="F277" i="3"/>
  <c r="F334" i="3"/>
  <c r="F10" i="3"/>
  <c r="F14" i="3"/>
  <c r="F126" i="3"/>
  <c r="F177" i="3"/>
  <c r="F348" i="3"/>
  <c r="F110" i="3"/>
  <c r="F82" i="3"/>
  <c r="F144" i="3"/>
  <c r="F300" i="3"/>
  <c r="F154" i="3"/>
  <c r="F311" i="3"/>
  <c r="F37" i="3"/>
  <c r="F99" i="3"/>
  <c r="F237" i="3"/>
  <c r="F156" i="3"/>
  <c r="F92" i="3"/>
  <c r="F61" i="3"/>
  <c r="F123" i="3"/>
  <c r="F13" i="3"/>
  <c r="F130" i="3"/>
  <c r="F297" i="3"/>
  <c r="F396" i="3"/>
  <c r="F84" i="3"/>
  <c r="F193" i="3"/>
  <c r="F331" i="3"/>
  <c r="F100" i="3"/>
  <c r="F244" i="3"/>
  <c r="F388" i="3"/>
  <c r="F113" i="3"/>
  <c r="F257" i="3"/>
  <c r="F401" i="3"/>
  <c r="F230" i="3"/>
  <c r="F384" i="3"/>
  <c r="F128" i="3"/>
  <c r="F320" i="3"/>
  <c r="F38" i="3"/>
  <c r="F241" i="3"/>
  <c r="F345" i="3"/>
  <c r="F379" i="3"/>
  <c r="F121" i="3"/>
  <c r="F259" i="3"/>
  <c r="F11" i="3"/>
  <c r="F200" i="3"/>
  <c r="F371" i="3"/>
  <c r="F135" i="3"/>
  <c r="F312" i="3"/>
  <c r="F71" i="3"/>
  <c r="F43" i="3"/>
  <c r="F105" i="3"/>
  <c r="F405" i="3"/>
  <c r="F109" i="3"/>
  <c r="F283" i="3"/>
  <c r="F382" i="3"/>
  <c r="F69" i="3"/>
  <c r="F179" i="3"/>
  <c r="F390" i="3"/>
  <c r="F112" i="3"/>
  <c r="F256" i="3"/>
  <c r="F400" i="3"/>
  <c r="F125" i="3"/>
  <c r="F269" i="3"/>
  <c r="F413" i="3"/>
  <c r="F213" i="3"/>
  <c r="F362" i="3"/>
  <c r="F107" i="3"/>
  <c r="F301" i="3"/>
  <c r="F375" i="3"/>
  <c r="F219" i="3"/>
  <c r="F402" i="3"/>
  <c r="F416" i="3"/>
  <c r="F97" i="3"/>
  <c r="F240" i="3"/>
  <c r="F408" i="3"/>
  <c r="F178" i="3"/>
  <c r="F349" i="3"/>
  <c r="F111" i="3"/>
  <c r="F290" i="3"/>
  <c r="F47" i="3"/>
  <c r="F360" i="3"/>
  <c r="F81" i="3"/>
  <c r="F386" i="3"/>
  <c r="F91" i="3"/>
  <c r="F267" i="3"/>
  <c r="F354" i="3"/>
  <c r="F51" i="3"/>
  <c r="F164" i="3"/>
  <c r="F142" i="3"/>
  <c r="F268" i="3"/>
  <c r="F3" i="3"/>
  <c r="F86" i="3"/>
  <c r="F284" i="3"/>
  <c r="F79" i="3"/>
  <c r="F202" i="3"/>
  <c r="F380" i="3"/>
  <c r="F358" i="3"/>
  <c r="F58" i="3"/>
  <c r="F218" i="3"/>
  <c r="F391" i="3"/>
  <c r="F157" i="3"/>
  <c r="F332" i="3"/>
  <c r="F93" i="3"/>
  <c r="F273" i="3"/>
  <c r="F26" i="3"/>
  <c r="F321" i="3"/>
  <c r="F60" i="3"/>
  <c r="F366" i="3"/>
  <c r="F67" i="3"/>
  <c r="F211" i="3"/>
  <c r="F310" i="3"/>
  <c r="F36" i="3"/>
  <c r="F98" i="3"/>
  <c r="F276" i="3"/>
  <c r="F412" i="3"/>
  <c r="F149" i="3"/>
  <c r="F404" i="3"/>
  <c r="F171" i="3"/>
  <c r="F306" i="3"/>
  <c r="F62" i="3"/>
  <c r="F262" i="3"/>
  <c r="F415" i="3"/>
  <c r="F183" i="3"/>
  <c r="F344" i="3"/>
  <c r="F336" i="3"/>
  <c r="F34" i="3"/>
  <c r="F201" i="3"/>
  <c r="F372" i="3"/>
  <c r="F139" i="3"/>
  <c r="F313" i="3"/>
  <c r="F72" i="3"/>
  <c r="F254" i="3"/>
  <c r="F8" i="3"/>
  <c r="F302" i="3"/>
  <c r="F39" i="3"/>
  <c r="F347" i="3"/>
  <c r="F46" i="3"/>
  <c r="F195" i="3"/>
  <c r="F296" i="3"/>
  <c r="F21" i="3"/>
  <c r="F83" i="3"/>
  <c r="F260" i="3"/>
  <c r="F137" i="3"/>
  <c r="F148" i="3"/>
  <c r="F292" i="3"/>
  <c r="F17" i="3"/>
  <c r="F161" i="3"/>
  <c r="F305" i="3"/>
  <c r="F385" i="3"/>
  <c r="F153" i="3"/>
  <c r="F287" i="3"/>
  <c r="F44" i="3"/>
  <c r="F243" i="3"/>
  <c r="F393" i="3"/>
  <c r="F159" i="3"/>
  <c r="F322" i="3"/>
  <c r="F319" i="3"/>
  <c r="F414" i="3"/>
  <c r="F182" i="3"/>
  <c r="F350" i="3"/>
  <c r="F115" i="3"/>
  <c r="F291" i="3"/>
  <c r="F48" i="3"/>
  <c r="F234" i="3"/>
  <c r="F361" i="3"/>
  <c r="F285" i="3"/>
  <c r="F15" i="3"/>
  <c r="F330" i="3"/>
  <c r="F25" i="3"/>
  <c r="F181" i="3"/>
  <c r="F282" i="3"/>
  <c r="F409" i="3"/>
  <c r="F50" i="3"/>
  <c r="F281" i="3"/>
  <c r="F280" i="3"/>
  <c r="F16" i="3"/>
  <c r="F160" i="3"/>
  <c r="F304" i="3"/>
  <c r="F29" i="3"/>
  <c r="F173" i="3"/>
  <c r="F317" i="3"/>
  <c r="F363" i="3"/>
  <c r="F129" i="3"/>
  <c r="F270" i="3"/>
  <c r="F23" i="3"/>
  <c r="F204" i="3"/>
  <c r="F374" i="3"/>
  <c r="F141" i="3"/>
  <c r="F303" i="3"/>
  <c r="F278" i="3"/>
  <c r="F392" i="3"/>
  <c r="F158" i="3"/>
  <c r="F333" i="3"/>
  <c r="F94" i="3"/>
  <c r="F274" i="3"/>
  <c r="F27" i="3"/>
  <c r="F215" i="3"/>
  <c r="F264" i="3"/>
  <c r="F263" i="3"/>
  <c r="F342" i="3"/>
  <c r="F308" i="3"/>
  <c r="F383" i="3"/>
  <c r="F166" i="3"/>
  <c r="F266" i="3"/>
  <c r="F323" i="3"/>
  <c r="F417" i="3"/>
  <c r="F124" i="3"/>
  <c r="F191" i="3"/>
  <c r="F293" i="3"/>
  <c r="F28" i="3"/>
  <c r="F172" i="3"/>
  <c r="F316" i="3"/>
  <c r="F41" i="3"/>
  <c r="F185" i="3"/>
  <c r="F329" i="3"/>
  <c r="F346" i="3"/>
  <c r="F108" i="3"/>
  <c r="F248" i="3"/>
  <c r="F399" i="3"/>
  <c r="F187" i="3"/>
  <c r="F357" i="3"/>
  <c r="F120" i="3"/>
  <c r="F286" i="3"/>
  <c r="F261" i="3"/>
  <c r="F373" i="3"/>
  <c r="F140" i="3"/>
  <c r="F314" i="3"/>
  <c r="F73" i="3"/>
  <c r="F255" i="3"/>
  <c r="F9" i="3"/>
  <c r="F198" i="3"/>
  <c r="F206" i="3"/>
  <c r="F227" i="3"/>
  <c r="F226" i="3"/>
  <c r="F289" i="3"/>
  <c r="F369" i="3"/>
  <c r="F151" i="3"/>
  <c r="F252" i="3"/>
  <c r="F309" i="3"/>
  <c r="F174" i="3"/>
  <c r="F326" i="3"/>
  <c r="F136" i="3"/>
  <c r="F4" i="3"/>
  <c r="F40" i="3"/>
  <c r="F184" i="3"/>
  <c r="F328" i="3"/>
  <c r="F53" i="3"/>
  <c r="F197" i="3"/>
  <c r="F341" i="3"/>
  <c r="F327" i="3"/>
  <c r="F87" i="3"/>
  <c r="F229" i="3"/>
  <c r="F343" i="3"/>
  <c r="F167" i="3"/>
  <c r="F335" i="3"/>
  <c r="F96" i="3"/>
  <c r="F247" i="3"/>
  <c r="F242" i="3"/>
  <c r="F356" i="3"/>
  <c r="F119" i="3"/>
  <c r="F294" i="3"/>
  <c r="F49" i="3"/>
  <c r="F235" i="3"/>
  <c r="F406" i="3"/>
  <c r="F176" i="3"/>
  <c r="F169" i="3"/>
  <c r="F205" i="3"/>
  <c r="F122" i="3"/>
  <c r="F272" i="3"/>
  <c r="F355" i="3"/>
  <c r="F118" i="3"/>
  <c r="F238" i="3"/>
  <c r="F295" i="3"/>
  <c r="F162" i="3"/>
  <c r="F150" i="3"/>
  <c r="F138" i="3"/>
  <c r="L97" i="3"/>
  <c r="F250" i="3"/>
  <c r="F7" i="3"/>
  <c r="F253" i="3"/>
  <c r="F22" i="3"/>
  <c r="F224" i="3"/>
  <c r="F367" i="3"/>
  <c r="F146" i="3"/>
  <c r="F114" i="3"/>
  <c r="F231" i="3"/>
  <c r="F411" i="3"/>
  <c r="F239" i="3"/>
  <c r="F6" i="3"/>
  <c r="F210" i="3"/>
  <c r="F351" i="3"/>
  <c r="F131" i="3"/>
  <c r="F102" i="3"/>
  <c r="F186" i="3"/>
  <c r="F214" i="3"/>
  <c r="F397" i="3"/>
  <c r="F225" i="3"/>
  <c r="F410" i="3"/>
  <c r="F180" i="3"/>
  <c r="F337" i="3"/>
  <c r="F116" i="3"/>
  <c r="F78" i="3"/>
  <c r="F42" i="3"/>
  <c r="F133" i="3"/>
  <c r="F368" i="3"/>
  <c r="F194" i="3"/>
  <c r="F2" i="3"/>
  <c r="F251" i="3"/>
  <c r="F68" i="3"/>
  <c r="F90" i="3"/>
  <c r="F103" i="3"/>
  <c r="F338" i="3"/>
  <c r="F165" i="3"/>
  <c r="F395" i="3"/>
  <c r="F223" i="3"/>
  <c r="F35" i="3"/>
  <c r="F66" i="3"/>
  <c r="F85" i="3"/>
  <c r="F324" i="3"/>
  <c r="F147" i="3"/>
  <c r="F381" i="3"/>
  <c r="F207" i="3"/>
  <c r="F20" i="3"/>
  <c r="F54" i="3"/>
  <c r="F18" i="3"/>
  <c r="N7" i="3"/>
  <c r="H408" i="3"/>
  <c r="H334" i="3"/>
  <c r="H308" i="3"/>
  <c r="H88" i="3"/>
  <c r="H50" i="3"/>
  <c r="H412" i="3"/>
  <c r="H314" i="3"/>
  <c r="H68" i="3"/>
  <c r="H410" i="3"/>
  <c r="H310" i="3"/>
  <c r="H66" i="3"/>
  <c r="H390" i="3"/>
  <c r="H292" i="3"/>
  <c r="H45" i="3"/>
  <c r="H388" i="3"/>
  <c r="H289" i="3"/>
  <c r="H43" i="3"/>
  <c r="H384" i="3"/>
  <c r="H285" i="3"/>
  <c r="H287" i="3"/>
  <c r="H365" i="3"/>
  <c r="H264" i="3"/>
  <c r="N6" i="3"/>
  <c r="F30" i="3"/>
  <c r="H386" i="3"/>
  <c r="H363" i="3"/>
  <c r="H221" i="3"/>
  <c r="N3" i="3"/>
  <c r="H361" i="3"/>
  <c r="H203" i="3"/>
  <c r="R343" i="3"/>
  <c r="H359" i="3"/>
  <c r="H90" i="3"/>
  <c r="L205" i="3"/>
  <c r="L250" i="3"/>
  <c r="L108" i="3"/>
  <c r="N23" i="3"/>
  <c r="N8" i="3"/>
  <c r="L241" i="3"/>
  <c r="L107" i="3"/>
  <c r="N16" i="3"/>
  <c r="H331" i="3"/>
  <c r="H117" i="3"/>
  <c r="H26" i="3"/>
  <c r="L312" i="3"/>
  <c r="L179" i="3"/>
  <c r="L13" i="3"/>
  <c r="L180" i="3"/>
  <c r="H115" i="3"/>
  <c r="H24" i="3"/>
  <c r="L277" i="3"/>
  <c r="L178" i="3"/>
  <c r="L12" i="3"/>
  <c r="L48" i="3"/>
  <c r="L23" i="3"/>
  <c r="H312" i="3"/>
  <c r="H112" i="3"/>
  <c r="H22" i="3"/>
  <c r="L262" i="3"/>
  <c r="L169" i="3"/>
  <c r="L11" i="3"/>
  <c r="L96" i="3"/>
  <c r="L181" i="3"/>
  <c r="H93" i="3"/>
  <c r="H20" i="3"/>
  <c r="L253" i="3"/>
  <c r="L133" i="3"/>
  <c r="N477" i="3"/>
  <c r="H92" i="3"/>
  <c r="H6" i="3"/>
  <c r="L252" i="3"/>
  <c r="L118" i="3"/>
  <c r="N378" i="3"/>
  <c r="L190" i="3"/>
  <c r="L313" i="3"/>
  <c r="L251" i="3"/>
  <c r="L109" i="3"/>
  <c r="N330" i="3"/>
  <c r="N323" i="3"/>
  <c r="N203" i="3"/>
  <c r="N171" i="3"/>
  <c r="N319" i="3"/>
  <c r="N507" i="3"/>
  <c r="N166" i="3"/>
  <c r="N326" i="3"/>
  <c r="N483" i="3"/>
  <c r="N161" i="3"/>
  <c r="N482" i="3"/>
  <c r="N158" i="3"/>
  <c r="N28" i="3"/>
  <c r="N480" i="3"/>
  <c r="N72" i="3"/>
  <c r="H413" i="3"/>
  <c r="H346" i="3"/>
  <c r="H268" i="3"/>
  <c r="H71" i="3"/>
  <c r="H5" i="3"/>
  <c r="H345" i="3"/>
  <c r="H266" i="3"/>
  <c r="H69" i="3"/>
  <c r="H4" i="3"/>
  <c r="H48" i="3"/>
  <c r="H406" i="3"/>
  <c r="H382" i="3"/>
  <c r="H329" i="3"/>
  <c r="H220" i="3"/>
  <c r="H85" i="3"/>
  <c r="H64" i="3"/>
  <c r="H18" i="3"/>
  <c r="H404" i="3"/>
  <c r="H355" i="3"/>
  <c r="H304" i="3"/>
  <c r="H108" i="3"/>
  <c r="H39" i="3"/>
  <c r="N545" i="3"/>
  <c r="N273" i="3"/>
  <c r="H378" i="3"/>
  <c r="H325" i="3"/>
  <c r="H279" i="3"/>
  <c r="H106" i="3"/>
  <c r="H60" i="3"/>
  <c r="H14" i="3"/>
  <c r="N543" i="3"/>
  <c r="N269" i="3"/>
  <c r="H376" i="3"/>
  <c r="H352" i="3"/>
  <c r="H302" i="3"/>
  <c r="H277" i="3"/>
  <c r="H104" i="3"/>
  <c r="H58" i="3"/>
  <c r="H12" i="3"/>
  <c r="L298" i="3"/>
  <c r="L154" i="3"/>
  <c r="N540" i="3"/>
  <c r="N127" i="3"/>
  <c r="H398" i="3"/>
  <c r="H350" i="3"/>
  <c r="H300" i="3"/>
  <c r="H211" i="3"/>
  <c r="H56" i="3"/>
  <c r="L289" i="3"/>
  <c r="N538" i="3"/>
  <c r="N261" i="3"/>
  <c r="H372" i="3"/>
  <c r="H320" i="3"/>
  <c r="H274" i="3"/>
  <c r="H100" i="3"/>
  <c r="H55" i="3"/>
  <c r="H9" i="3"/>
  <c r="L288" i="3"/>
  <c r="L144" i="3"/>
  <c r="N513" i="3"/>
  <c r="N220" i="3"/>
  <c r="H2" i="3"/>
  <c r="H394" i="3"/>
  <c r="H370" i="3"/>
  <c r="H348" i="3"/>
  <c r="H318" i="3"/>
  <c r="H295" i="3"/>
  <c r="H272" i="3"/>
  <c r="H207" i="3"/>
  <c r="H98" i="3"/>
  <c r="H74" i="3"/>
  <c r="H54" i="3"/>
  <c r="H30" i="3"/>
  <c r="H8" i="3"/>
  <c r="N33" i="3"/>
  <c r="L287" i="3"/>
  <c r="L215" i="3"/>
  <c r="L143" i="3"/>
  <c r="L59" i="3"/>
  <c r="N511" i="3"/>
  <c r="N390" i="3"/>
  <c r="N211" i="3"/>
  <c r="N83" i="3"/>
  <c r="H357" i="3"/>
  <c r="H306" i="3"/>
  <c r="H283" i="3"/>
  <c r="H110" i="3"/>
  <c r="H41" i="3"/>
  <c r="H380" i="3"/>
  <c r="H327" i="3"/>
  <c r="H281" i="3"/>
  <c r="H217" i="3"/>
  <c r="H83" i="3"/>
  <c r="H62" i="3"/>
  <c r="H16" i="3"/>
  <c r="N66" i="3"/>
  <c r="N449" i="3"/>
  <c r="N132" i="3"/>
  <c r="H402" i="3"/>
  <c r="H353" i="3"/>
  <c r="H303" i="3"/>
  <c r="H215" i="3"/>
  <c r="H81" i="3"/>
  <c r="H37" i="3"/>
  <c r="N64" i="3"/>
  <c r="N446" i="3"/>
  <c r="N130" i="3"/>
  <c r="H400" i="3"/>
  <c r="H324" i="3"/>
  <c r="H213" i="3"/>
  <c r="H80" i="3"/>
  <c r="H35" i="3"/>
  <c r="N60" i="3"/>
  <c r="L226" i="3"/>
  <c r="L71" i="3"/>
  <c r="N442" i="3"/>
  <c r="N264" i="3"/>
  <c r="H374" i="3"/>
  <c r="H322" i="3"/>
  <c r="H275" i="3"/>
  <c r="H102" i="3"/>
  <c r="H78" i="3"/>
  <c r="H33" i="3"/>
  <c r="H10" i="3"/>
  <c r="N58" i="3"/>
  <c r="L217" i="3"/>
  <c r="L145" i="3"/>
  <c r="L61" i="3"/>
  <c r="N435" i="3"/>
  <c r="N124" i="3"/>
  <c r="H396" i="3"/>
  <c r="H349" i="3"/>
  <c r="H298" i="3"/>
  <c r="H209" i="3"/>
  <c r="H76" i="3"/>
  <c r="H31" i="3"/>
  <c r="N36" i="3"/>
  <c r="L216" i="3"/>
  <c r="L60" i="3"/>
  <c r="N393" i="3"/>
  <c r="N88" i="3"/>
  <c r="H415" i="3"/>
  <c r="H392" i="3"/>
  <c r="H367" i="3"/>
  <c r="H347" i="3"/>
  <c r="H316" i="3"/>
  <c r="H294" i="3"/>
  <c r="H270" i="3"/>
  <c r="H205" i="3"/>
  <c r="H95" i="3"/>
  <c r="H72" i="3"/>
  <c r="H52" i="3"/>
  <c r="H28" i="3"/>
  <c r="N31" i="3"/>
  <c r="L286" i="3"/>
  <c r="L214" i="3"/>
  <c r="L142" i="3"/>
  <c r="L49" i="3"/>
  <c r="N510" i="3"/>
  <c r="N386" i="3"/>
  <c r="N207" i="3"/>
  <c r="N77" i="3"/>
  <c r="R262" i="3"/>
  <c r="L240" i="3"/>
  <c r="L47" i="3"/>
  <c r="L311" i="3"/>
  <c r="L203" i="3"/>
  <c r="L37" i="3"/>
  <c r="L310" i="3"/>
  <c r="L238" i="3"/>
  <c r="L202" i="3"/>
  <c r="L166" i="3"/>
  <c r="L130" i="3"/>
  <c r="L84" i="3"/>
  <c r="L36" i="3"/>
  <c r="R264" i="3"/>
  <c r="R260" i="3"/>
  <c r="L276" i="3"/>
  <c r="L204" i="3"/>
  <c r="L168" i="3"/>
  <c r="L95" i="3"/>
  <c r="L275" i="3"/>
  <c r="L167" i="3"/>
  <c r="L85" i="3"/>
  <c r="L274" i="3"/>
  <c r="L301" i="3"/>
  <c r="L265" i="3"/>
  <c r="L229" i="3"/>
  <c r="L193" i="3"/>
  <c r="L157" i="3"/>
  <c r="L121" i="3"/>
  <c r="L83" i="3"/>
  <c r="L35" i="3"/>
  <c r="R242" i="3"/>
  <c r="R266" i="3"/>
  <c r="R369" i="3"/>
  <c r="R283" i="3"/>
  <c r="R371" i="3"/>
  <c r="R339" i="3"/>
  <c r="R395" i="3"/>
  <c r="R287" i="3"/>
  <c r="R373" i="3"/>
  <c r="R230" i="3"/>
  <c r="R289" i="3"/>
  <c r="R375" i="3"/>
  <c r="R232" i="3"/>
  <c r="R291" i="3"/>
  <c r="R391" i="3"/>
  <c r="R235" i="3"/>
  <c r="R294" i="3"/>
  <c r="R393" i="3"/>
  <c r="R237" i="3"/>
  <c r="R240" i="3"/>
  <c r="R341" i="3"/>
  <c r="R397" i="3"/>
  <c r="R258" i="3"/>
  <c r="L132" i="3"/>
  <c r="L239" i="3"/>
  <c r="L131" i="3"/>
  <c r="R399" i="3"/>
  <c r="R348" i="3"/>
  <c r="L300" i="3"/>
  <c r="L264" i="3"/>
  <c r="L228" i="3"/>
  <c r="L192" i="3"/>
  <c r="L156" i="3"/>
  <c r="L120" i="3"/>
  <c r="L73" i="3"/>
  <c r="L417" i="3"/>
  <c r="L14" i="3"/>
  <c r="L26" i="3"/>
  <c r="L38" i="3"/>
  <c r="L50" i="3"/>
  <c r="L62" i="3"/>
  <c r="L74" i="3"/>
  <c r="L86" i="3"/>
  <c r="L98" i="3"/>
  <c r="L110" i="3"/>
  <c r="L122" i="3"/>
  <c r="L134" i="3"/>
  <c r="L146" i="3"/>
  <c r="L158" i="3"/>
  <c r="L170" i="3"/>
  <c r="L182" i="3"/>
  <c r="L194" i="3"/>
  <c r="L206" i="3"/>
  <c r="L218" i="3"/>
  <c r="L230" i="3"/>
  <c r="L242" i="3"/>
  <c r="L254" i="3"/>
  <c r="L266" i="3"/>
  <c r="L278" i="3"/>
  <c r="L290" i="3"/>
  <c r="L302" i="3"/>
  <c r="L314" i="3"/>
  <c r="L3" i="3"/>
  <c r="L15" i="3"/>
  <c r="L27" i="3"/>
  <c r="L39" i="3"/>
  <c r="L51" i="3"/>
  <c r="L63" i="3"/>
  <c r="L75" i="3"/>
  <c r="L87" i="3"/>
  <c r="L99" i="3"/>
  <c r="L111" i="3"/>
  <c r="L123" i="3"/>
  <c r="L135" i="3"/>
  <c r="L147" i="3"/>
  <c r="L159" i="3"/>
  <c r="L171" i="3"/>
  <c r="L183" i="3"/>
  <c r="L195" i="3"/>
  <c r="L207" i="3"/>
  <c r="L219" i="3"/>
  <c r="L231" i="3"/>
  <c r="L243" i="3"/>
  <c r="L255" i="3"/>
  <c r="L267" i="3"/>
  <c r="L279" i="3"/>
  <c r="L291" i="3"/>
  <c r="L303" i="3"/>
  <c r="L315" i="3"/>
  <c r="L20" i="3"/>
  <c r="L44" i="3"/>
  <c r="L68" i="3"/>
  <c r="L92" i="3"/>
  <c r="L116" i="3"/>
  <c r="L140" i="3"/>
  <c r="L164" i="3"/>
  <c r="L188" i="3"/>
  <c r="L212" i="3"/>
  <c r="L236" i="3"/>
  <c r="L260" i="3"/>
  <c r="L284" i="3"/>
  <c r="L296" i="3"/>
  <c r="L308" i="3"/>
  <c r="L309" i="3"/>
  <c r="L4" i="3"/>
  <c r="L16" i="3"/>
  <c r="L28" i="3"/>
  <c r="L40" i="3"/>
  <c r="L52" i="3"/>
  <c r="L64" i="3"/>
  <c r="L76" i="3"/>
  <c r="L88" i="3"/>
  <c r="L100" i="3"/>
  <c r="L112" i="3"/>
  <c r="L124" i="3"/>
  <c r="L136" i="3"/>
  <c r="L148" i="3"/>
  <c r="L160" i="3"/>
  <c r="L172" i="3"/>
  <c r="L184" i="3"/>
  <c r="L196" i="3"/>
  <c r="L208" i="3"/>
  <c r="L220" i="3"/>
  <c r="L232" i="3"/>
  <c r="L244" i="3"/>
  <c r="L256" i="3"/>
  <c r="L268" i="3"/>
  <c r="L280" i="3"/>
  <c r="L292" i="3"/>
  <c r="L304" i="3"/>
  <c r="L316" i="3"/>
  <c r="L5" i="3"/>
  <c r="L17" i="3"/>
  <c r="L29" i="3"/>
  <c r="L41" i="3"/>
  <c r="L53" i="3"/>
  <c r="L65" i="3"/>
  <c r="L77" i="3"/>
  <c r="L89" i="3"/>
  <c r="L101" i="3"/>
  <c r="L113" i="3"/>
  <c r="L125" i="3"/>
  <c r="L137" i="3"/>
  <c r="L149" i="3"/>
  <c r="L161" i="3"/>
  <c r="L173" i="3"/>
  <c r="L185" i="3"/>
  <c r="L209" i="3"/>
  <c r="L221" i="3"/>
  <c r="L233" i="3"/>
  <c r="L245" i="3"/>
  <c r="L257" i="3"/>
  <c r="L269" i="3"/>
  <c r="L281" i="3"/>
  <c r="L293" i="3"/>
  <c r="L305" i="3"/>
  <c r="L22" i="3"/>
  <c r="L58" i="3"/>
  <c r="L94" i="3"/>
  <c r="L197" i="3"/>
  <c r="L6" i="3"/>
  <c r="L18" i="3"/>
  <c r="L30" i="3"/>
  <c r="L42" i="3"/>
  <c r="L54" i="3"/>
  <c r="L66" i="3"/>
  <c r="L78" i="3"/>
  <c r="L90" i="3"/>
  <c r="L102" i="3"/>
  <c r="L114" i="3"/>
  <c r="L126" i="3"/>
  <c r="L138" i="3"/>
  <c r="L150" i="3"/>
  <c r="L162" i="3"/>
  <c r="L174" i="3"/>
  <c r="L186" i="3"/>
  <c r="L198" i="3"/>
  <c r="L210" i="3"/>
  <c r="L222" i="3"/>
  <c r="L234" i="3"/>
  <c r="L246" i="3"/>
  <c r="L258" i="3"/>
  <c r="L270" i="3"/>
  <c r="L282" i="3"/>
  <c r="L294" i="3"/>
  <c r="L306" i="3"/>
  <c r="L7" i="3"/>
  <c r="L19" i="3"/>
  <c r="L31" i="3"/>
  <c r="L43" i="3"/>
  <c r="L55" i="3"/>
  <c r="L67" i="3"/>
  <c r="L79" i="3"/>
  <c r="L91" i="3"/>
  <c r="L103" i="3"/>
  <c r="L115" i="3"/>
  <c r="L127" i="3"/>
  <c r="L139" i="3"/>
  <c r="L151" i="3"/>
  <c r="L163" i="3"/>
  <c r="L175" i="3"/>
  <c r="L187" i="3"/>
  <c r="L199" i="3"/>
  <c r="L211" i="3"/>
  <c r="L223" i="3"/>
  <c r="L235" i="3"/>
  <c r="L247" i="3"/>
  <c r="L259" i="3"/>
  <c r="L271" i="3"/>
  <c r="L283" i="3"/>
  <c r="L295" i="3"/>
  <c r="L307" i="3"/>
  <c r="L8" i="3"/>
  <c r="L32" i="3"/>
  <c r="L56" i="3"/>
  <c r="L80" i="3"/>
  <c r="L104" i="3"/>
  <c r="L128" i="3"/>
  <c r="L152" i="3"/>
  <c r="L176" i="3"/>
  <c r="L200" i="3"/>
  <c r="L224" i="3"/>
  <c r="L248" i="3"/>
  <c r="L272" i="3"/>
  <c r="L9" i="3"/>
  <c r="L21" i="3"/>
  <c r="L33" i="3"/>
  <c r="L45" i="3"/>
  <c r="L57" i="3"/>
  <c r="L69" i="3"/>
  <c r="L81" i="3"/>
  <c r="L93" i="3"/>
  <c r="L105" i="3"/>
  <c r="L117" i="3"/>
  <c r="L129" i="3"/>
  <c r="L141" i="3"/>
  <c r="L153" i="3"/>
  <c r="L165" i="3"/>
  <c r="L177" i="3"/>
  <c r="L189" i="3"/>
  <c r="L201" i="3"/>
  <c r="L213" i="3"/>
  <c r="L225" i="3"/>
  <c r="L237" i="3"/>
  <c r="L249" i="3"/>
  <c r="L261" i="3"/>
  <c r="L273" i="3"/>
  <c r="L285" i="3"/>
  <c r="L297" i="3"/>
  <c r="L10" i="3"/>
  <c r="L34" i="3"/>
  <c r="L46" i="3"/>
  <c r="L70" i="3"/>
  <c r="L82" i="3"/>
  <c r="L106" i="3"/>
  <c r="R346" i="3"/>
  <c r="L299" i="3"/>
  <c r="L263" i="3"/>
  <c r="L227" i="3"/>
  <c r="L191" i="3"/>
  <c r="L155" i="3"/>
  <c r="L119" i="3"/>
  <c r="L72" i="3"/>
  <c r="L24" i="3"/>
  <c r="N55" i="3"/>
  <c r="N26" i="3"/>
  <c r="N534" i="3"/>
  <c r="N505" i="3"/>
  <c r="N474" i="3"/>
  <c r="N430" i="3"/>
  <c r="N372" i="3"/>
  <c r="N311" i="3"/>
  <c r="N255" i="3"/>
  <c r="N201" i="3"/>
  <c r="N154" i="3"/>
  <c r="N122" i="3"/>
  <c r="N67" i="3"/>
  <c r="N24" i="3"/>
  <c r="N502" i="3"/>
  <c r="N427" i="3"/>
  <c r="N307" i="3"/>
  <c r="N195" i="3"/>
  <c r="N119" i="3"/>
  <c r="N50" i="3"/>
  <c r="N21" i="3"/>
  <c r="N529" i="3"/>
  <c r="N501" i="3"/>
  <c r="N468" i="3"/>
  <c r="N422" i="3"/>
  <c r="N359" i="3"/>
  <c r="N300" i="3"/>
  <c r="N248" i="3"/>
  <c r="N190" i="3"/>
  <c r="N149" i="3"/>
  <c r="N117" i="3"/>
  <c r="N57" i="3"/>
  <c r="N48" i="3"/>
  <c r="N19" i="3"/>
  <c r="N526" i="3"/>
  <c r="N499" i="3"/>
  <c r="N464" i="3"/>
  <c r="N417" i="3"/>
  <c r="N355" i="3"/>
  <c r="N295" i="3"/>
  <c r="N245" i="3"/>
  <c r="N187" i="3"/>
  <c r="N146" i="3"/>
  <c r="N114" i="3"/>
  <c r="N52" i="3"/>
  <c r="N291" i="3"/>
  <c r="N46" i="3"/>
  <c r="N17" i="3"/>
  <c r="N523" i="3"/>
  <c r="N497" i="3"/>
  <c r="N462" i="3"/>
  <c r="N413" i="3"/>
  <c r="N349" i="3"/>
  <c r="N240" i="3"/>
  <c r="N184" i="3"/>
  <c r="N143" i="3"/>
  <c r="N108" i="3"/>
  <c r="N47" i="3"/>
  <c r="N44" i="3"/>
  <c r="N14" i="3"/>
  <c r="N519" i="3"/>
  <c r="N494" i="3"/>
  <c r="N459" i="3"/>
  <c r="N409" i="3"/>
  <c r="N344" i="3"/>
  <c r="N286" i="3"/>
  <c r="N234" i="3"/>
  <c r="N182" i="3"/>
  <c r="N141" i="3"/>
  <c r="N104" i="3"/>
  <c r="N42" i="3"/>
  <c r="N53" i="3"/>
  <c r="N531" i="3"/>
  <c r="N471" i="3"/>
  <c r="N366" i="3"/>
  <c r="N252" i="3"/>
  <c r="N152" i="3"/>
  <c r="N62" i="3"/>
  <c r="N40" i="3"/>
  <c r="N12" i="3"/>
  <c r="N517" i="3"/>
  <c r="N491" i="3"/>
  <c r="N455" i="3"/>
  <c r="N404" i="3"/>
  <c r="N340" i="3"/>
  <c r="N281" i="3"/>
  <c r="N229" i="3"/>
  <c r="N177" i="3"/>
  <c r="N138" i="3"/>
  <c r="N99" i="3"/>
  <c r="N35" i="3"/>
  <c r="N68" i="3"/>
  <c r="N38" i="3"/>
  <c r="N10" i="3"/>
  <c r="N515" i="3"/>
  <c r="N486" i="3"/>
  <c r="N452" i="3"/>
  <c r="N399" i="3"/>
  <c r="N333" i="3"/>
  <c r="N277" i="3"/>
  <c r="N224" i="3"/>
  <c r="N174" i="3"/>
  <c r="N135" i="3"/>
  <c r="N93" i="3"/>
  <c r="N30" i="3"/>
  <c r="R365" i="3"/>
  <c r="R281" i="3"/>
  <c r="R256" i="3"/>
  <c r="R411" i="3"/>
  <c r="R387" i="3"/>
  <c r="R363" i="3"/>
  <c r="R307" i="3"/>
  <c r="R279" i="3"/>
  <c r="R254" i="3"/>
  <c r="R361" i="3"/>
  <c r="R413" i="3"/>
  <c r="R389" i="3"/>
  <c r="R310" i="3"/>
  <c r="R409" i="3"/>
  <c r="R385" i="3"/>
  <c r="R305" i="3"/>
  <c r="R276" i="3"/>
  <c r="R252" i="3"/>
  <c r="R407" i="3"/>
  <c r="R383" i="3"/>
  <c r="R359" i="3"/>
  <c r="R302" i="3"/>
  <c r="R274" i="3"/>
  <c r="R248" i="3"/>
  <c r="R405" i="3"/>
  <c r="R355" i="3"/>
  <c r="R300" i="3"/>
  <c r="R272" i="3"/>
  <c r="R246" i="3"/>
  <c r="R403" i="3"/>
  <c r="R379" i="3"/>
  <c r="R353" i="3"/>
  <c r="R298" i="3"/>
  <c r="R270" i="3"/>
  <c r="R244" i="3"/>
  <c r="R381" i="3"/>
  <c r="R401" i="3"/>
  <c r="R377" i="3"/>
  <c r="R350" i="3"/>
  <c r="R296" i="3"/>
  <c r="R268" i="3"/>
  <c r="N156" i="3"/>
  <c r="N163" i="3"/>
  <c r="N168" i="3"/>
  <c r="N172" i="3"/>
  <c r="N175" i="3"/>
  <c r="N179" i="3"/>
  <c r="N183" i="3"/>
  <c r="N186" i="3"/>
  <c r="N191" i="3"/>
  <c r="N197" i="3"/>
  <c r="N200" i="3"/>
  <c r="N202" i="3"/>
  <c r="N205" i="3"/>
  <c r="N209" i="3"/>
  <c r="N213" i="3"/>
  <c r="N218" i="3"/>
  <c r="N225" i="3"/>
  <c r="N231" i="3"/>
  <c r="N238" i="3"/>
  <c r="N243" i="3"/>
  <c r="N247" i="3"/>
  <c r="N251" i="3"/>
  <c r="N258" i="3"/>
  <c r="N262" i="3"/>
  <c r="N266" i="3"/>
  <c r="N270" i="3"/>
  <c r="N274" i="3"/>
  <c r="N279" i="3"/>
  <c r="N284" i="3"/>
  <c r="N288" i="3"/>
  <c r="N292" i="3"/>
  <c r="N296" i="3"/>
  <c r="L414" i="3"/>
  <c r="L416" i="3"/>
  <c r="R415" i="3"/>
  <c r="R417" i="3"/>
  <c r="R419" i="3"/>
  <c r="R421" i="3"/>
  <c r="R423" i="3"/>
  <c r="R425" i="3"/>
  <c r="R427" i="3"/>
  <c r="R429" i="3"/>
  <c r="R431" i="3"/>
  <c r="R433" i="3"/>
  <c r="R435" i="3"/>
  <c r="R437" i="3"/>
  <c r="R439" i="3"/>
  <c r="R441" i="3"/>
  <c r="R443" i="3"/>
  <c r="R445" i="3"/>
  <c r="R447" i="3"/>
  <c r="R449" i="3"/>
  <c r="R451" i="3"/>
  <c r="R454" i="3"/>
  <c r="R456" i="3"/>
  <c r="R458" i="3"/>
  <c r="R460" i="3"/>
  <c r="R462" i="3"/>
  <c r="R464" i="3"/>
  <c r="R466" i="3"/>
  <c r="R468" i="3"/>
  <c r="R470" i="3"/>
  <c r="R472" i="3"/>
  <c r="R474" i="3"/>
  <c r="R476" i="3"/>
  <c r="R478" i="3"/>
  <c r="R480" i="3"/>
  <c r="R482" i="3"/>
  <c r="R484" i="3"/>
  <c r="R486" i="3"/>
  <c r="R488" i="3"/>
  <c r="R490" i="3"/>
  <c r="R492" i="3"/>
  <c r="R494" i="3"/>
  <c r="R496" i="3"/>
  <c r="R498" i="3"/>
  <c r="R500" i="3"/>
  <c r="R502" i="3"/>
  <c r="R504" i="3"/>
  <c r="R506" i="3"/>
  <c r="R508" i="3"/>
  <c r="R510" i="3"/>
  <c r="R512" i="3"/>
  <c r="R514" i="3"/>
  <c r="R516" i="3"/>
  <c r="R518" i="3"/>
  <c r="R520" i="3"/>
  <c r="R522" i="3"/>
  <c r="R524" i="3"/>
  <c r="R526" i="3"/>
  <c r="R528" i="3"/>
  <c r="R530" i="3"/>
  <c r="R532" i="3"/>
  <c r="R534" i="3"/>
  <c r="R536" i="3"/>
  <c r="R538" i="3"/>
  <c r="R540" i="3"/>
  <c r="R542" i="3"/>
  <c r="R544" i="3"/>
  <c r="R3" i="3"/>
  <c r="R5" i="3"/>
  <c r="R7" i="3"/>
  <c r="R9" i="3"/>
  <c r="R11" i="3"/>
  <c r="R13" i="3"/>
  <c r="R15" i="3"/>
  <c r="R17" i="3"/>
  <c r="R19" i="3"/>
  <c r="R21" i="3"/>
  <c r="R23" i="3"/>
  <c r="R25" i="3"/>
  <c r="R28" i="3"/>
  <c r="R30" i="3"/>
  <c r="R32" i="3"/>
  <c r="R34" i="3"/>
  <c r="R36" i="3"/>
  <c r="R38" i="3"/>
  <c r="R40" i="3"/>
  <c r="R42" i="3"/>
  <c r="R44" i="3"/>
  <c r="R46" i="3"/>
  <c r="R48" i="3"/>
  <c r="R50" i="3"/>
  <c r="R52" i="3"/>
  <c r="R54" i="3"/>
  <c r="R56" i="3"/>
  <c r="R58" i="3"/>
  <c r="R60" i="3"/>
  <c r="R62" i="3"/>
  <c r="R64" i="3"/>
  <c r="R66" i="3"/>
  <c r="R68" i="3"/>
  <c r="R70" i="3"/>
  <c r="R72" i="3"/>
  <c r="R74" i="3"/>
  <c r="R76" i="3"/>
  <c r="R78" i="3"/>
  <c r="R80" i="3"/>
  <c r="R81" i="3"/>
  <c r="R83" i="3"/>
  <c r="R85" i="3"/>
  <c r="R87" i="3"/>
  <c r="R89" i="3"/>
  <c r="R91" i="3"/>
  <c r="R93" i="3"/>
  <c r="R95" i="3"/>
  <c r="R97" i="3"/>
  <c r="R99" i="3"/>
  <c r="R101" i="3"/>
  <c r="R103" i="3"/>
  <c r="R105" i="3"/>
  <c r="R107" i="3"/>
  <c r="R109" i="3"/>
  <c r="R111" i="3"/>
  <c r="R113" i="3"/>
  <c r="R115" i="3"/>
  <c r="R117" i="3"/>
  <c r="R119" i="3"/>
  <c r="R121" i="3"/>
  <c r="R123" i="3"/>
  <c r="R125" i="3"/>
  <c r="R127" i="3"/>
  <c r="R129" i="3"/>
  <c r="R151" i="3"/>
  <c r="R153" i="3"/>
  <c r="R155" i="3"/>
  <c r="R157" i="3"/>
  <c r="R159" i="3"/>
  <c r="R161" i="3"/>
  <c r="R163" i="3"/>
  <c r="R165" i="3"/>
  <c r="R167" i="3"/>
  <c r="R169" i="3"/>
  <c r="R172" i="3"/>
  <c r="R174" i="3"/>
  <c r="R176" i="3"/>
  <c r="R178" i="3"/>
  <c r="R180" i="3"/>
  <c r="R182" i="3"/>
  <c r="R184" i="3"/>
  <c r="R186" i="3"/>
  <c r="R188" i="3"/>
  <c r="R190" i="3"/>
  <c r="R193" i="3"/>
  <c r="R195" i="3"/>
  <c r="R199" i="3"/>
  <c r="R201" i="3"/>
  <c r="R203" i="3"/>
  <c r="R205" i="3"/>
  <c r="R209" i="3"/>
  <c r="R211" i="3"/>
  <c r="R213" i="3"/>
  <c r="R216" i="3"/>
  <c r="R218" i="3"/>
  <c r="R221" i="3"/>
  <c r="R223" i="3"/>
  <c r="R225" i="3"/>
  <c r="R227" i="3"/>
  <c r="R229" i="3"/>
  <c r="R231" i="3"/>
  <c r="R234" i="3"/>
  <c r="R236" i="3"/>
  <c r="R239" i="3"/>
  <c r="R241" i="3"/>
  <c r="R245" i="3"/>
  <c r="R247" i="3"/>
  <c r="R249" i="3"/>
  <c r="R251" i="3"/>
  <c r="R253" i="3"/>
  <c r="R257" i="3"/>
  <c r="R259" i="3"/>
  <c r="R263" i="3"/>
  <c r="R267" i="3"/>
  <c r="R269" i="3"/>
  <c r="R271" i="3"/>
  <c r="R275" i="3"/>
  <c r="N188" i="3"/>
  <c r="N212" i="3"/>
  <c r="N232" i="3"/>
  <c r="N242" i="3"/>
  <c r="N260" i="3"/>
  <c r="N268" i="3"/>
  <c r="N282" i="3"/>
  <c r="N302" i="3"/>
  <c r="N309" i="3"/>
  <c r="N320" i="3"/>
  <c r="N328" i="3"/>
  <c r="N338" i="3"/>
  <c r="N347" i="3"/>
  <c r="N364" i="3"/>
  <c r="N375" i="3"/>
  <c r="N396" i="3"/>
  <c r="N481" i="3"/>
  <c r="N500" i="3"/>
  <c r="N506" i="3"/>
  <c r="N514" i="3"/>
  <c r="N527" i="3"/>
  <c r="N536" i="3"/>
  <c r="R171" i="3"/>
  <c r="R197" i="3"/>
  <c r="R207" i="3"/>
  <c r="R233" i="3"/>
  <c r="R243" i="3"/>
  <c r="R255" i="3"/>
  <c r="R273" i="3"/>
  <c r="R292" i="3"/>
  <c r="R309" i="3"/>
  <c r="R317" i="3"/>
  <c r="R324" i="3"/>
  <c r="R331" i="3"/>
  <c r="R344" i="3"/>
  <c r="R357" i="3"/>
  <c r="R277" i="3"/>
  <c r="R280" i="3"/>
  <c r="R282" i="3"/>
  <c r="R284" i="3"/>
  <c r="R286" i="3"/>
  <c r="R288" i="3"/>
  <c r="R290" i="3"/>
  <c r="R293" i="3"/>
  <c r="R295" i="3"/>
  <c r="R299" i="3"/>
  <c r="R301" i="3"/>
  <c r="R303" i="3"/>
  <c r="R306" i="3"/>
  <c r="R308" i="3"/>
  <c r="R311" i="3"/>
  <c r="R312" i="3"/>
  <c r="R314" i="3"/>
  <c r="R315" i="3"/>
  <c r="R316" i="3"/>
  <c r="R318" i="3"/>
  <c r="R319" i="3"/>
  <c r="R321" i="3"/>
  <c r="R323" i="3"/>
  <c r="R325" i="3"/>
  <c r="R326" i="3"/>
  <c r="R327" i="3"/>
  <c r="R329" i="3"/>
  <c r="R330" i="3"/>
  <c r="R332" i="3"/>
  <c r="R333" i="3"/>
  <c r="R335" i="3"/>
  <c r="R336" i="3"/>
  <c r="R338" i="3"/>
  <c r="R340" i="3"/>
  <c r="R342" i="3"/>
  <c r="R345" i="3"/>
  <c r="R347" i="3"/>
  <c r="R349" i="3"/>
  <c r="R351" i="3"/>
  <c r="R354" i="3"/>
  <c r="R356" i="3"/>
  <c r="R358" i="3"/>
  <c r="R360" i="3"/>
  <c r="R362" i="3"/>
  <c r="R364" i="3"/>
  <c r="R366" i="3"/>
  <c r="R368" i="3"/>
  <c r="R370" i="3"/>
  <c r="R372" i="3"/>
  <c r="R374" i="3"/>
  <c r="R376" i="3"/>
  <c r="R378" i="3"/>
  <c r="R380" i="3"/>
  <c r="R382" i="3"/>
  <c r="R384" i="3"/>
  <c r="R386" i="3"/>
  <c r="R388" i="3"/>
  <c r="R390" i="3"/>
  <c r="R392" i="3"/>
  <c r="R394" i="3"/>
  <c r="R396" i="3"/>
  <c r="R398" i="3"/>
  <c r="R400" i="3"/>
  <c r="R402" i="3"/>
  <c r="R404" i="3"/>
  <c r="R406" i="3"/>
  <c r="R408" i="3"/>
  <c r="R410" i="3"/>
  <c r="R412" i="3"/>
  <c r="R414" i="3"/>
  <c r="N4" i="3"/>
  <c r="N5" i="3"/>
  <c r="N9" i="3"/>
  <c r="N11" i="3"/>
  <c r="N13" i="3"/>
  <c r="N15" i="3"/>
  <c r="N18" i="3"/>
  <c r="N20" i="3"/>
  <c r="N22" i="3"/>
  <c r="N25" i="3"/>
  <c r="N27" i="3"/>
  <c r="N29" i="3"/>
  <c r="N32" i="3"/>
  <c r="N34" i="3"/>
  <c r="N37" i="3"/>
  <c r="N39" i="3"/>
  <c r="N41" i="3"/>
  <c r="N43" i="3"/>
  <c r="N45" i="3"/>
  <c r="N49" i="3"/>
  <c r="N51" i="3"/>
  <c r="N54" i="3"/>
  <c r="N56" i="3"/>
  <c r="N59" i="3"/>
  <c r="N61" i="3"/>
  <c r="N63" i="3"/>
  <c r="N65" i="3"/>
  <c r="N69" i="3"/>
  <c r="N71" i="3"/>
  <c r="N73" i="3"/>
  <c r="N75" i="3"/>
  <c r="N79" i="3"/>
  <c r="N81" i="3"/>
  <c r="N85" i="3"/>
  <c r="N87" i="3"/>
  <c r="N89" i="3"/>
  <c r="N91" i="3"/>
  <c r="N94" i="3"/>
  <c r="N96" i="3"/>
  <c r="N98" i="3"/>
  <c r="N101" i="3"/>
  <c r="N103" i="3"/>
  <c r="N105" i="3"/>
  <c r="N107" i="3"/>
  <c r="N109" i="3"/>
  <c r="N111" i="3"/>
  <c r="N113" i="3"/>
  <c r="N115" i="3"/>
  <c r="N116" i="3"/>
  <c r="N118" i="3"/>
  <c r="N120" i="3"/>
  <c r="N121" i="3"/>
  <c r="N123" i="3"/>
  <c r="N125" i="3"/>
  <c r="N126" i="3"/>
  <c r="N128" i="3"/>
  <c r="N129" i="3"/>
  <c r="N131" i="3"/>
  <c r="N133" i="3"/>
  <c r="N134" i="3"/>
  <c r="N136" i="3"/>
  <c r="N137" i="3"/>
  <c r="N139" i="3"/>
  <c r="N140" i="3"/>
  <c r="N142" i="3"/>
  <c r="N144" i="3"/>
  <c r="N145" i="3"/>
  <c r="N147" i="3"/>
  <c r="N148" i="3"/>
  <c r="N150" i="3"/>
  <c r="N151" i="3"/>
  <c r="N153" i="3"/>
  <c r="N155" i="3"/>
  <c r="N157" i="3"/>
  <c r="N159" i="3"/>
  <c r="N160" i="3"/>
  <c r="N164" i="3"/>
  <c r="N165" i="3"/>
  <c r="N167" i="3"/>
  <c r="N169" i="3"/>
  <c r="N170" i="3"/>
  <c r="N173" i="3"/>
  <c r="N176" i="3"/>
  <c r="N178" i="3"/>
  <c r="N180" i="3"/>
  <c r="N185" i="3"/>
  <c r="N189" i="3"/>
  <c r="N192" i="3"/>
  <c r="N194" i="3"/>
  <c r="N196" i="3"/>
  <c r="N199" i="3"/>
  <c r="N204" i="3"/>
  <c r="N206" i="3"/>
  <c r="N208" i="3"/>
  <c r="N210" i="3"/>
  <c r="N214" i="3"/>
  <c r="N215" i="3"/>
  <c r="N217" i="3"/>
  <c r="N219" i="3"/>
  <c r="N221" i="3"/>
  <c r="N223" i="3"/>
  <c r="N226" i="3"/>
  <c r="N346" i="3"/>
  <c r="N350" i="3"/>
  <c r="N357" i="3"/>
  <c r="N361" i="3"/>
  <c r="N369" i="3"/>
  <c r="N371" i="3"/>
  <c r="N376" i="3"/>
  <c r="N380" i="3"/>
  <c r="N384" i="3"/>
  <c r="N391" i="3"/>
  <c r="N394" i="3"/>
  <c r="N400" i="3"/>
  <c r="N402" i="3"/>
  <c r="N406" i="3"/>
  <c r="N411" i="3"/>
  <c r="N414" i="3"/>
  <c r="N416" i="3"/>
  <c r="N162" i="3"/>
  <c r="N193" i="3"/>
  <c r="N198" i="3"/>
  <c r="N216" i="3"/>
  <c r="N227" i="3"/>
  <c r="N236" i="3"/>
  <c r="N256" i="3"/>
  <c r="N272" i="3"/>
  <c r="N289" i="3"/>
  <c r="N298" i="3"/>
  <c r="N305" i="3"/>
  <c r="N316" i="3"/>
  <c r="N324" i="3"/>
  <c r="N335" i="3"/>
  <c r="N342" i="3"/>
  <c r="N360" i="3"/>
  <c r="N367" i="3"/>
  <c r="N389" i="3"/>
  <c r="N466" i="3"/>
  <c r="N498" i="3"/>
  <c r="N503" i="3"/>
  <c r="N512" i="3"/>
  <c r="N516" i="3"/>
  <c r="N518" i="3"/>
  <c r="N521" i="3"/>
  <c r="N533" i="3"/>
  <c r="N539" i="3"/>
  <c r="R191" i="3"/>
  <c r="R202" i="3"/>
  <c r="R214" i="3"/>
  <c r="R228" i="3"/>
  <c r="R238" i="3"/>
  <c r="R250" i="3"/>
  <c r="R261" i="3"/>
  <c r="R278" i="3"/>
  <c r="R285" i="3"/>
  <c r="R304" i="3"/>
  <c r="R313" i="3"/>
  <c r="R322" i="3"/>
  <c r="R328" i="3"/>
  <c r="R337" i="3"/>
  <c r="R352" i="3"/>
  <c r="N228" i="3"/>
  <c r="N230" i="3"/>
  <c r="N233" i="3"/>
  <c r="N235" i="3"/>
  <c r="N237" i="3"/>
  <c r="N239" i="3"/>
  <c r="N241" i="3"/>
  <c r="N244" i="3"/>
  <c r="N246" i="3"/>
  <c r="N249" i="3"/>
  <c r="N253" i="3"/>
  <c r="N254" i="3"/>
  <c r="N257" i="3"/>
  <c r="N259" i="3"/>
  <c r="N263" i="3"/>
  <c r="N265" i="3"/>
  <c r="N267" i="3"/>
  <c r="N271" i="3"/>
  <c r="N275" i="3"/>
  <c r="N278" i="3"/>
  <c r="N280" i="3"/>
  <c r="N283" i="3"/>
  <c r="N285" i="3"/>
  <c r="N287" i="3"/>
  <c r="N290" i="3"/>
  <c r="N293" i="3"/>
  <c r="N294" i="3"/>
  <c r="N297" i="3"/>
  <c r="N299" i="3"/>
  <c r="N301" i="3"/>
  <c r="N303" i="3"/>
  <c r="N304" i="3"/>
  <c r="N306" i="3"/>
  <c r="N308" i="3"/>
  <c r="N310" i="3"/>
  <c r="N312" i="3"/>
  <c r="N314" i="3"/>
  <c r="N315" i="3"/>
  <c r="N317" i="3"/>
  <c r="N318" i="3"/>
  <c r="N321" i="3"/>
  <c r="N322" i="3"/>
  <c r="N325" i="3"/>
  <c r="N327" i="3"/>
  <c r="N329" i="3"/>
  <c r="N332" i="3"/>
  <c r="N334" i="3"/>
  <c r="N336" i="3"/>
  <c r="N337" i="3"/>
  <c r="N339" i="3"/>
  <c r="N341" i="3"/>
  <c r="N343" i="3"/>
  <c r="N353" i="3"/>
  <c r="N363" i="3"/>
  <c r="N373" i="3"/>
  <c r="N382" i="3"/>
  <c r="N388" i="3"/>
  <c r="N397" i="3"/>
  <c r="N408" i="3"/>
  <c r="N419" i="3"/>
  <c r="N181" i="3"/>
  <c r="N222" i="3"/>
  <c r="N250" i="3"/>
  <c r="N276" i="3"/>
  <c r="N313" i="3"/>
  <c r="N331" i="3"/>
  <c r="N351" i="3"/>
  <c r="N381" i="3"/>
  <c r="N488" i="3"/>
  <c r="N509" i="3"/>
  <c r="N524" i="3"/>
  <c r="N541" i="3"/>
  <c r="R219" i="3"/>
  <c r="R265" i="3"/>
  <c r="R297" i="3"/>
  <c r="R320" i="3"/>
  <c r="R334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5" i="3"/>
  <c r="H417" i="3"/>
  <c r="R416" i="3"/>
  <c r="R418" i="3"/>
  <c r="R420" i="3"/>
  <c r="R422" i="3"/>
  <c r="R424" i="3"/>
  <c r="R426" i="3"/>
  <c r="R428" i="3"/>
  <c r="R430" i="3"/>
  <c r="R432" i="3"/>
  <c r="R434" i="3"/>
  <c r="R436" i="3"/>
  <c r="R438" i="3"/>
  <c r="R440" i="3"/>
  <c r="R442" i="3"/>
  <c r="R444" i="3"/>
  <c r="R446" i="3"/>
  <c r="R448" i="3"/>
  <c r="R450" i="3"/>
  <c r="R452" i="3"/>
  <c r="R453" i="3"/>
  <c r="R455" i="3"/>
  <c r="R457" i="3"/>
  <c r="R459" i="3"/>
  <c r="R461" i="3"/>
  <c r="R463" i="3"/>
  <c r="R465" i="3"/>
  <c r="R467" i="3"/>
  <c r="R469" i="3"/>
  <c r="R471" i="3"/>
  <c r="R473" i="3"/>
  <c r="R475" i="3"/>
  <c r="R477" i="3"/>
  <c r="R479" i="3"/>
  <c r="R481" i="3"/>
  <c r="R483" i="3"/>
  <c r="R485" i="3"/>
  <c r="R487" i="3"/>
  <c r="R489" i="3"/>
  <c r="R491" i="3"/>
  <c r="R493" i="3"/>
  <c r="R495" i="3"/>
  <c r="R497" i="3"/>
  <c r="R499" i="3"/>
  <c r="R501" i="3"/>
  <c r="R503" i="3"/>
  <c r="R505" i="3"/>
  <c r="R507" i="3"/>
  <c r="R509" i="3"/>
  <c r="R511" i="3"/>
  <c r="R513" i="3"/>
  <c r="R515" i="3"/>
  <c r="R517" i="3"/>
  <c r="R519" i="3"/>
  <c r="R521" i="3"/>
  <c r="R523" i="3"/>
  <c r="R525" i="3"/>
  <c r="R527" i="3"/>
  <c r="R529" i="3"/>
  <c r="R531" i="3"/>
  <c r="R533" i="3"/>
  <c r="R535" i="3"/>
  <c r="R537" i="3"/>
  <c r="R539" i="3"/>
  <c r="R541" i="3"/>
  <c r="R543" i="3"/>
  <c r="R545" i="3"/>
  <c r="R4" i="3"/>
  <c r="R6" i="3"/>
  <c r="R8" i="3"/>
  <c r="R10" i="3"/>
  <c r="R12" i="3"/>
  <c r="R14" i="3"/>
  <c r="R16" i="3"/>
  <c r="R18" i="3"/>
  <c r="R20" i="3"/>
  <c r="R22" i="3"/>
  <c r="R24" i="3"/>
  <c r="R26" i="3"/>
  <c r="R27" i="3"/>
  <c r="R29" i="3"/>
  <c r="R31" i="3"/>
  <c r="R33" i="3"/>
  <c r="R35" i="3"/>
  <c r="R37" i="3"/>
  <c r="R39" i="3"/>
  <c r="R41" i="3"/>
  <c r="R43" i="3"/>
  <c r="R45" i="3"/>
  <c r="R47" i="3"/>
  <c r="R49" i="3"/>
  <c r="R51" i="3"/>
  <c r="R53" i="3"/>
  <c r="R55" i="3"/>
  <c r="R57" i="3"/>
  <c r="R59" i="3"/>
  <c r="R61" i="3"/>
  <c r="R63" i="3"/>
  <c r="R65" i="3"/>
  <c r="R67" i="3"/>
  <c r="R69" i="3"/>
  <c r="R71" i="3"/>
  <c r="R73" i="3"/>
  <c r="R75" i="3"/>
  <c r="R77" i="3"/>
  <c r="R79" i="3"/>
  <c r="R82" i="3"/>
  <c r="R84" i="3"/>
  <c r="R86" i="3"/>
  <c r="R88" i="3"/>
  <c r="R90" i="3"/>
  <c r="R92" i="3"/>
  <c r="R94" i="3"/>
  <c r="R96" i="3"/>
  <c r="R98" i="3"/>
  <c r="R100" i="3"/>
  <c r="R102" i="3"/>
  <c r="R104" i="3"/>
  <c r="R106" i="3"/>
  <c r="R108" i="3"/>
  <c r="R110" i="3"/>
  <c r="R112" i="3"/>
  <c r="R114" i="3"/>
  <c r="R116" i="3"/>
  <c r="R118" i="3"/>
  <c r="R120" i="3"/>
  <c r="R122" i="3"/>
  <c r="R124" i="3"/>
  <c r="R126" i="3"/>
  <c r="R128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2" i="3"/>
  <c r="R154" i="3"/>
  <c r="R156" i="3"/>
  <c r="R158" i="3"/>
  <c r="R160" i="3"/>
  <c r="R162" i="3"/>
  <c r="R164" i="3"/>
  <c r="R166" i="3"/>
  <c r="R168" i="3"/>
  <c r="R170" i="3"/>
  <c r="R173" i="3"/>
  <c r="R175" i="3"/>
  <c r="R177" i="3"/>
  <c r="R179" i="3"/>
  <c r="R181" i="3"/>
  <c r="R183" i="3"/>
  <c r="R185" i="3"/>
  <c r="R187" i="3"/>
  <c r="R189" i="3"/>
  <c r="R192" i="3"/>
  <c r="R194" i="3"/>
  <c r="R196" i="3"/>
  <c r="R198" i="3"/>
  <c r="R200" i="3"/>
  <c r="R204" i="3"/>
  <c r="R206" i="3"/>
  <c r="R208" i="3"/>
  <c r="R210" i="3"/>
  <c r="R212" i="3"/>
  <c r="R215" i="3"/>
  <c r="R217" i="3"/>
  <c r="R220" i="3"/>
  <c r="R222" i="3"/>
  <c r="R224" i="3"/>
  <c r="R226" i="3"/>
  <c r="N70" i="3"/>
  <c r="N74" i="3"/>
  <c r="N76" i="3"/>
  <c r="N78" i="3"/>
  <c r="N80" i="3"/>
  <c r="N82" i="3"/>
  <c r="N84" i="3"/>
  <c r="N86" i="3"/>
  <c r="N90" i="3"/>
  <c r="N92" i="3"/>
  <c r="N95" i="3"/>
  <c r="N97" i="3"/>
  <c r="N100" i="3"/>
  <c r="N102" i="3"/>
  <c r="N106" i="3"/>
  <c r="N110" i="3"/>
  <c r="N112" i="3"/>
  <c r="N345" i="3"/>
  <c r="N348" i="3"/>
  <c r="N352" i="3"/>
  <c r="N354" i="3"/>
  <c r="N356" i="3"/>
  <c r="N358" i="3"/>
  <c r="N362" i="3"/>
  <c r="N365" i="3"/>
  <c r="N368" i="3"/>
  <c r="N370" i="3"/>
  <c r="N374" i="3"/>
  <c r="N377" i="3"/>
  <c r="N379" i="3"/>
  <c r="N383" i="3"/>
  <c r="N385" i="3"/>
  <c r="N387" i="3"/>
  <c r="N392" i="3"/>
  <c r="N395" i="3"/>
  <c r="N398" i="3"/>
  <c r="N401" i="3"/>
  <c r="N403" i="3"/>
  <c r="N405" i="3"/>
  <c r="N407" i="3"/>
  <c r="N410" i="3"/>
  <c r="N412" i="3"/>
  <c r="N415" i="3"/>
  <c r="N418" i="3"/>
  <c r="N420" i="3"/>
  <c r="N423" i="3"/>
  <c r="N424" i="3"/>
  <c r="N425" i="3"/>
  <c r="N426" i="3"/>
  <c r="N428" i="3"/>
  <c r="N429" i="3"/>
  <c r="N431" i="3"/>
  <c r="N432" i="3"/>
  <c r="N433" i="3"/>
  <c r="N434" i="3"/>
  <c r="N436" i="3"/>
  <c r="N437" i="3"/>
  <c r="N438" i="3"/>
  <c r="N439" i="3"/>
  <c r="N440" i="3"/>
  <c r="N441" i="3"/>
  <c r="N443" i="3"/>
  <c r="N444" i="3"/>
  <c r="N445" i="3"/>
  <c r="N447" i="3"/>
  <c r="N448" i="3"/>
  <c r="N450" i="3"/>
  <c r="N451" i="3"/>
  <c r="N453" i="3"/>
  <c r="N454" i="3"/>
  <c r="N456" i="3"/>
  <c r="N457" i="3"/>
  <c r="N458" i="3"/>
  <c r="N460" i="3"/>
  <c r="N461" i="3"/>
  <c r="N463" i="3"/>
  <c r="N465" i="3"/>
  <c r="N467" i="3"/>
  <c r="N469" i="3"/>
  <c r="N470" i="3"/>
  <c r="N472" i="3"/>
  <c r="N473" i="3"/>
  <c r="N475" i="3"/>
  <c r="N476" i="3"/>
  <c r="N478" i="3"/>
  <c r="N479" i="3"/>
  <c r="N484" i="3"/>
  <c r="N485" i="3"/>
  <c r="N487" i="3"/>
  <c r="N489" i="3"/>
  <c r="N490" i="3"/>
  <c r="N492" i="3"/>
  <c r="N493" i="3"/>
  <c r="N495" i="3"/>
  <c r="N496" i="3"/>
  <c r="N504" i="3"/>
  <c r="N508" i="3"/>
  <c r="N520" i="3"/>
  <c r="N522" i="3"/>
  <c r="N525" i="3"/>
  <c r="N528" i="3"/>
  <c r="N530" i="3"/>
  <c r="N532" i="3"/>
  <c r="N535" i="3"/>
  <c r="N537" i="3"/>
  <c r="N542" i="3"/>
  <c r="N544" i="3"/>
  <c r="R2" i="3"/>
  <c r="N2" i="3"/>
  <c r="P110" i="3"/>
  <c r="P113" i="3"/>
  <c r="P117" i="3"/>
  <c r="P121" i="3"/>
  <c r="H297" i="3"/>
  <c r="H299" i="3"/>
  <c r="H301" i="3"/>
  <c r="H305" i="3"/>
  <c r="H307" i="3"/>
  <c r="H309" i="3"/>
  <c r="H311" i="3"/>
  <c r="H313" i="3"/>
  <c r="H315" i="3"/>
  <c r="H317" i="3"/>
  <c r="H319" i="3"/>
  <c r="H321" i="3"/>
  <c r="H323" i="3"/>
  <c r="H326" i="3"/>
  <c r="H328" i="3"/>
  <c r="H330" i="3"/>
  <c r="H332" i="3"/>
  <c r="P478" i="3"/>
  <c r="P480" i="3"/>
  <c r="P485" i="3"/>
  <c r="P489" i="3"/>
  <c r="P509" i="3"/>
  <c r="P516" i="3"/>
  <c r="P523" i="3"/>
  <c r="P526" i="3"/>
  <c r="P530" i="3"/>
  <c r="P265" i="3"/>
  <c r="P269" i="3"/>
  <c r="P275" i="3"/>
  <c r="P278" i="3"/>
  <c r="P282" i="3"/>
  <c r="P288" i="3"/>
  <c r="P291" i="3"/>
  <c r="P293" i="3"/>
  <c r="P295" i="3"/>
  <c r="P430" i="3"/>
  <c r="P434" i="3"/>
  <c r="P438" i="3"/>
  <c r="P446" i="3"/>
  <c r="P450" i="3"/>
  <c r="P454" i="3"/>
  <c r="P459" i="3"/>
  <c r="P464" i="3"/>
  <c r="P465" i="3"/>
  <c r="P470" i="3"/>
  <c r="P472" i="3"/>
  <c r="P476" i="3"/>
  <c r="P481" i="3"/>
  <c r="P486" i="3"/>
  <c r="P488" i="3"/>
  <c r="P499" i="3"/>
  <c r="P502" i="3"/>
  <c r="P505" i="3"/>
  <c r="P507" i="3"/>
  <c r="P512" i="3"/>
  <c r="P517" i="3"/>
  <c r="P521" i="3"/>
  <c r="P525" i="3"/>
  <c r="P529" i="3"/>
  <c r="P533" i="3"/>
  <c r="P537" i="3"/>
  <c r="P540" i="3"/>
  <c r="P545" i="3"/>
  <c r="P3" i="3"/>
  <c r="P7" i="3"/>
  <c r="P11" i="3"/>
  <c r="P15" i="3"/>
  <c r="P19" i="3"/>
  <c r="P23" i="3"/>
  <c r="P28" i="3"/>
  <c r="P32" i="3"/>
  <c r="P35" i="3"/>
  <c r="P38" i="3"/>
  <c r="P42" i="3"/>
  <c r="P46" i="3"/>
  <c r="P50" i="3"/>
  <c r="P54" i="3"/>
  <c r="P58" i="3"/>
  <c r="P62" i="3"/>
  <c r="P64" i="3"/>
  <c r="P67" i="3"/>
  <c r="P74" i="3"/>
  <c r="P78" i="3"/>
  <c r="P82" i="3"/>
  <c r="P88" i="3"/>
  <c r="P92" i="3"/>
  <c r="P96" i="3"/>
  <c r="P99" i="3"/>
  <c r="P104" i="3"/>
  <c r="P106" i="3"/>
  <c r="P125" i="3"/>
  <c r="P127" i="3"/>
  <c r="P131" i="3"/>
  <c r="P137" i="3"/>
  <c r="P140" i="3"/>
  <c r="P144" i="3"/>
  <c r="P148" i="3"/>
  <c r="P152" i="3"/>
  <c r="P156" i="3"/>
  <c r="P160" i="3"/>
  <c r="P164" i="3"/>
  <c r="P167" i="3"/>
  <c r="P171" i="3"/>
  <c r="P175" i="3"/>
  <c r="P180" i="3"/>
  <c r="P183" i="3"/>
  <c r="P186" i="3"/>
  <c r="P189" i="3"/>
  <c r="P192" i="3"/>
  <c r="P194" i="3"/>
  <c r="P196" i="3"/>
  <c r="P201" i="3"/>
  <c r="P205" i="3"/>
  <c r="P208" i="3"/>
  <c r="P211" i="3"/>
  <c r="P214" i="3"/>
  <c r="P217" i="3"/>
  <c r="P221" i="3"/>
  <c r="P226" i="3"/>
  <c r="P229" i="3"/>
  <c r="P233" i="3"/>
  <c r="P237" i="3"/>
  <c r="P241" i="3"/>
  <c r="P245" i="3"/>
  <c r="P249" i="3"/>
  <c r="P253" i="3"/>
  <c r="P257" i="3"/>
  <c r="P262" i="3"/>
  <c r="P266" i="3"/>
  <c r="P270" i="3"/>
  <c r="P274" i="3"/>
  <c r="P280" i="3"/>
  <c r="P284" i="3"/>
  <c r="P287" i="3"/>
  <c r="P292" i="3"/>
  <c r="P424" i="3"/>
  <c r="P427" i="3"/>
  <c r="P432" i="3"/>
  <c r="P223" i="3"/>
  <c r="P227" i="3"/>
  <c r="P232" i="3"/>
  <c r="P236" i="3"/>
  <c r="P240" i="3"/>
  <c r="P244" i="3"/>
  <c r="P247" i="3"/>
  <c r="P250" i="3"/>
  <c r="P255" i="3"/>
  <c r="P259" i="3"/>
  <c r="P264" i="3"/>
  <c r="P268" i="3"/>
  <c r="P271" i="3"/>
  <c r="P276" i="3"/>
  <c r="P279" i="3"/>
  <c r="P283" i="3"/>
  <c r="P286" i="3"/>
  <c r="P290" i="3"/>
  <c r="P426" i="3"/>
  <c r="P431" i="3"/>
  <c r="P436" i="3"/>
  <c r="P440" i="3"/>
  <c r="P444" i="3"/>
  <c r="P449" i="3"/>
  <c r="P455" i="3"/>
  <c r="P460" i="3"/>
  <c r="P466" i="3"/>
  <c r="P471" i="3"/>
  <c r="P475" i="3"/>
  <c r="P534" i="3"/>
  <c r="P538" i="3"/>
  <c r="P542" i="3"/>
  <c r="P544" i="3"/>
  <c r="P4" i="3"/>
  <c r="P9" i="3"/>
  <c r="P13" i="3"/>
  <c r="P17" i="3"/>
  <c r="P21" i="3"/>
  <c r="P26" i="3"/>
  <c r="P29" i="3"/>
  <c r="P33" i="3"/>
  <c r="P40" i="3"/>
  <c r="P43" i="3"/>
  <c r="P47" i="3"/>
  <c r="P51" i="3"/>
  <c r="P56" i="3"/>
  <c r="P60" i="3"/>
  <c r="P66" i="3"/>
  <c r="P70" i="3"/>
  <c r="P71" i="3"/>
  <c r="P75" i="3"/>
  <c r="P81" i="3"/>
  <c r="P85" i="3"/>
  <c r="P89" i="3"/>
  <c r="P93" i="3"/>
  <c r="P97" i="3"/>
  <c r="P101" i="3"/>
  <c r="P105" i="3"/>
  <c r="P109" i="3"/>
  <c r="P114" i="3"/>
  <c r="P118" i="3"/>
  <c r="P122" i="3"/>
  <c r="P124" i="3"/>
  <c r="P129" i="3"/>
  <c r="P133" i="3"/>
  <c r="P136" i="3"/>
  <c r="P138" i="3"/>
  <c r="P141" i="3"/>
  <c r="P145" i="3"/>
  <c r="P149" i="3"/>
  <c r="P153" i="3"/>
  <c r="P158" i="3"/>
  <c r="P162" i="3"/>
  <c r="P166" i="3"/>
  <c r="P170" i="3"/>
  <c r="P174" i="3"/>
  <c r="P178" i="3"/>
  <c r="P187" i="3"/>
  <c r="P195" i="3"/>
  <c r="P200" i="3"/>
  <c r="P202" i="3"/>
  <c r="P210" i="3"/>
  <c r="P218" i="3"/>
  <c r="P220" i="3"/>
  <c r="P224" i="3"/>
  <c r="P228" i="3"/>
  <c r="P231" i="3"/>
  <c r="P235" i="3"/>
  <c r="P239" i="3"/>
  <c r="P242" i="3"/>
  <c r="P246" i="3"/>
  <c r="P252" i="3"/>
  <c r="P254" i="3"/>
  <c r="P258" i="3"/>
  <c r="P261" i="3"/>
  <c r="P437" i="3"/>
  <c r="P441" i="3"/>
  <c r="P445" i="3"/>
  <c r="P452" i="3"/>
  <c r="P457" i="3"/>
  <c r="P462" i="3"/>
  <c r="P467" i="3"/>
  <c r="P494" i="3"/>
  <c r="P496" i="3"/>
  <c r="P498" i="3"/>
  <c r="P501" i="3"/>
  <c r="P504" i="3"/>
  <c r="P508" i="3"/>
  <c r="P511" i="3"/>
  <c r="P514" i="3"/>
  <c r="P518" i="3"/>
  <c r="P520" i="3"/>
  <c r="P527" i="3"/>
  <c r="P532" i="3"/>
  <c r="P536" i="3"/>
  <c r="P539" i="3"/>
  <c r="P543" i="3"/>
  <c r="P2" i="3"/>
  <c r="P6" i="3"/>
  <c r="P8" i="3"/>
  <c r="P12" i="3"/>
  <c r="P16" i="3"/>
  <c r="P20" i="3"/>
  <c r="P24" i="3"/>
  <c r="P27" i="3"/>
  <c r="P31" i="3"/>
  <c r="P36" i="3"/>
  <c r="P37" i="3"/>
  <c r="P41" i="3"/>
  <c r="P45" i="3"/>
  <c r="P49" i="3"/>
  <c r="P53" i="3"/>
  <c r="P57" i="3"/>
  <c r="P59" i="3"/>
  <c r="P65" i="3"/>
  <c r="P69" i="3"/>
  <c r="P73" i="3"/>
  <c r="P76" i="3"/>
  <c r="P80" i="3"/>
  <c r="P83" i="3"/>
  <c r="P87" i="3"/>
  <c r="P91" i="3"/>
  <c r="P95" i="3"/>
  <c r="P100" i="3"/>
  <c r="P103" i="3"/>
  <c r="P107" i="3"/>
  <c r="P111" i="3"/>
  <c r="P115" i="3"/>
  <c r="P119" i="3"/>
  <c r="P123" i="3"/>
  <c r="P128" i="3"/>
  <c r="P132" i="3"/>
  <c r="P135" i="3"/>
  <c r="P142" i="3"/>
  <c r="P146" i="3"/>
  <c r="P150" i="3"/>
  <c r="P154" i="3"/>
  <c r="P157" i="3"/>
  <c r="P161" i="3"/>
  <c r="P168" i="3"/>
  <c r="P172" i="3"/>
  <c r="P176" i="3"/>
  <c r="P179" i="3"/>
  <c r="P182" i="3"/>
  <c r="P185" i="3"/>
  <c r="P188" i="3"/>
  <c r="P191" i="3"/>
  <c r="P197" i="3"/>
  <c r="P199" i="3"/>
  <c r="P203" i="3"/>
  <c r="P206" i="3"/>
  <c r="P209" i="3"/>
  <c r="P213" i="3"/>
  <c r="P216" i="3"/>
  <c r="P222" i="3"/>
  <c r="P225" i="3"/>
  <c r="P230" i="3"/>
  <c r="P234" i="3"/>
  <c r="P238" i="3"/>
  <c r="P243" i="3"/>
  <c r="P248" i="3"/>
  <c r="P251" i="3"/>
  <c r="P256" i="3"/>
  <c r="P260" i="3"/>
  <c r="P263" i="3"/>
  <c r="P267" i="3"/>
  <c r="P343" i="3"/>
  <c r="P345" i="3"/>
  <c r="P347" i="3"/>
  <c r="P349" i="3"/>
  <c r="P351" i="3"/>
  <c r="P353" i="3"/>
  <c r="P355" i="3"/>
  <c r="P357" i="3"/>
  <c r="P359" i="3"/>
  <c r="P361" i="3"/>
  <c r="P363" i="3"/>
  <c r="P365" i="3"/>
  <c r="P367" i="3"/>
  <c r="P369" i="3"/>
  <c r="P371" i="3"/>
  <c r="P373" i="3"/>
  <c r="P375" i="3"/>
  <c r="P377" i="3"/>
  <c r="P379" i="3"/>
  <c r="P381" i="3"/>
  <c r="P383" i="3"/>
  <c r="P385" i="3"/>
  <c r="P387" i="3"/>
  <c r="P389" i="3"/>
  <c r="P391" i="3"/>
  <c r="P393" i="3"/>
  <c r="P395" i="3"/>
  <c r="P397" i="3"/>
  <c r="P399" i="3"/>
  <c r="P401" i="3"/>
  <c r="P403" i="3"/>
  <c r="P405" i="3"/>
  <c r="P407" i="3"/>
  <c r="P409" i="3"/>
  <c r="P411" i="3"/>
  <c r="P413" i="3"/>
  <c r="P415" i="3"/>
  <c r="P418" i="3"/>
  <c r="P419" i="3"/>
  <c r="P420" i="3"/>
  <c r="P422" i="3"/>
  <c r="P425" i="3"/>
  <c r="P435" i="3"/>
  <c r="P443" i="3"/>
  <c r="P451" i="3"/>
  <c r="P461" i="3"/>
  <c r="P474" i="3"/>
  <c r="P482" i="3"/>
  <c r="P490" i="3"/>
  <c r="P493" i="3"/>
  <c r="P497" i="3"/>
  <c r="P506" i="3"/>
  <c r="P5" i="3"/>
  <c r="P10" i="3"/>
  <c r="P22" i="3"/>
  <c r="P30" i="3"/>
  <c r="P44" i="3"/>
  <c r="P52" i="3"/>
  <c r="P63" i="3"/>
  <c r="P77" i="3"/>
  <c r="P84" i="3"/>
  <c r="P94" i="3"/>
  <c r="P108" i="3"/>
  <c r="P116" i="3"/>
  <c r="P130" i="3"/>
  <c r="P143" i="3"/>
  <c r="P151" i="3"/>
  <c r="P163" i="3"/>
  <c r="P173" i="3"/>
  <c r="P181" i="3"/>
  <c r="P193" i="3"/>
  <c r="P204" i="3"/>
  <c r="P215" i="3"/>
  <c r="P272" i="3"/>
  <c r="P273" i="3"/>
  <c r="P277" i="3"/>
  <c r="P281" i="3"/>
  <c r="P285" i="3"/>
  <c r="P289" i="3"/>
  <c r="P294" i="3"/>
  <c r="P428" i="3"/>
  <c r="P433" i="3"/>
  <c r="P442" i="3"/>
  <c r="P447" i="3"/>
  <c r="P453" i="3"/>
  <c r="P458" i="3"/>
  <c r="P463" i="3"/>
  <c r="P468" i="3"/>
  <c r="P473" i="3"/>
  <c r="P479" i="3"/>
  <c r="P483" i="3"/>
  <c r="P510" i="3"/>
  <c r="P515" i="3"/>
  <c r="P522" i="3"/>
  <c r="P528" i="3"/>
  <c r="P531" i="3"/>
  <c r="P535" i="3"/>
  <c r="P541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4" i="3"/>
  <c r="P346" i="3"/>
  <c r="P348" i="3"/>
  <c r="P350" i="3"/>
  <c r="P352" i="3"/>
  <c r="P354" i="3"/>
  <c r="P356" i="3"/>
  <c r="P358" i="3"/>
  <c r="P360" i="3"/>
  <c r="P362" i="3"/>
  <c r="P364" i="3"/>
  <c r="P366" i="3"/>
  <c r="P368" i="3"/>
  <c r="P370" i="3"/>
  <c r="P372" i="3"/>
  <c r="P374" i="3"/>
  <c r="P376" i="3"/>
  <c r="P378" i="3"/>
  <c r="P380" i="3"/>
  <c r="P382" i="3"/>
  <c r="P384" i="3"/>
  <c r="P386" i="3"/>
  <c r="P388" i="3"/>
  <c r="P390" i="3"/>
  <c r="P392" i="3"/>
  <c r="P394" i="3"/>
  <c r="P396" i="3"/>
  <c r="P398" i="3"/>
  <c r="P400" i="3"/>
  <c r="P402" i="3"/>
  <c r="P404" i="3"/>
  <c r="P406" i="3"/>
  <c r="P408" i="3"/>
  <c r="P410" i="3"/>
  <c r="P412" i="3"/>
  <c r="P414" i="3"/>
  <c r="P417" i="3"/>
  <c r="P421" i="3"/>
  <c r="P423" i="3"/>
  <c r="P429" i="3"/>
  <c r="P439" i="3"/>
  <c r="P448" i="3"/>
  <c r="P456" i="3"/>
  <c r="P469" i="3"/>
  <c r="P477" i="3"/>
  <c r="P487" i="3"/>
  <c r="P491" i="3"/>
  <c r="P495" i="3"/>
  <c r="P503" i="3"/>
  <c r="P513" i="3"/>
  <c r="P524" i="3"/>
  <c r="P14" i="3"/>
  <c r="P25" i="3"/>
  <c r="P34" i="3"/>
  <c r="P48" i="3"/>
  <c r="P61" i="3"/>
  <c r="P68" i="3"/>
  <c r="P79" i="3"/>
  <c r="P90" i="3"/>
  <c r="P98" i="3"/>
  <c r="P112" i="3"/>
  <c r="P126" i="3"/>
  <c r="P134" i="3"/>
  <c r="P147" i="3"/>
  <c r="P159" i="3"/>
  <c r="P165" i="3"/>
  <c r="P177" i="3"/>
  <c r="P190" i="3"/>
  <c r="P198" i="3"/>
  <c r="P212" i="3"/>
  <c r="P219" i="3"/>
  <c r="P416" i="3"/>
  <c r="P484" i="3"/>
  <c r="P492" i="3"/>
  <c r="P500" i="3"/>
  <c r="P519" i="3"/>
  <c r="P18" i="3"/>
  <c r="P39" i="3"/>
  <c r="P55" i="3"/>
  <c r="P72" i="3"/>
  <c r="P86" i="3"/>
  <c r="P102" i="3"/>
  <c r="P120" i="3"/>
  <c r="P139" i="3"/>
  <c r="P155" i="3"/>
  <c r="P169" i="3"/>
  <c r="P184" i="3"/>
  <c r="P207" i="3"/>
  <c r="J412" i="3"/>
  <c r="J414" i="3"/>
  <c r="J417" i="3"/>
  <c r="J420" i="3"/>
  <c r="J423" i="3"/>
  <c r="J426" i="3"/>
  <c r="J431" i="3"/>
  <c r="J436" i="3"/>
  <c r="J439" i="3"/>
  <c r="J444" i="3"/>
  <c r="J449" i="3"/>
  <c r="J451" i="3"/>
  <c r="J454" i="3"/>
  <c r="J456" i="3"/>
  <c r="J459" i="3"/>
  <c r="J461" i="3"/>
  <c r="J462" i="3"/>
  <c r="J465" i="3"/>
  <c r="J468" i="3"/>
  <c r="J471" i="3"/>
  <c r="J473" i="3"/>
  <c r="J475" i="3"/>
  <c r="J478" i="3"/>
  <c r="J480" i="3"/>
  <c r="J482" i="3"/>
  <c r="J413" i="3"/>
  <c r="J415" i="3"/>
  <c r="J418" i="3"/>
  <c r="J425" i="3"/>
  <c r="J428" i="3"/>
  <c r="J430" i="3"/>
  <c r="J433" i="3"/>
  <c r="J435" i="3"/>
  <c r="J437" i="3"/>
  <c r="J440" i="3"/>
  <c r="J443" i="3"/>
  <c r="J446" i="3"/>
  <c r="J448" i="3"/>
  <c r="J450" i="3"/>
  <c r="J453" i="3"/>
  <c r="J455" i="3"/>
  <c r="J458" i="3"/>
  <c r="J464" i="3"/>
  <c r="J467" i="3"/>
  <c r="J469" i="3"/>
  <c r="J472" i="3"/>
  <c r="J474" i="3"/>
  <c r="J476" i="3"/>
  <c r="J481" i="3"/>
  <c r="J484" i="3"/>
  <c r="J485" i="3"/>
  <c r="J486" i="3"/>
  <c r="J487" i="3"/>
  <c r="J489" i="3"/>
  <c r="J490" i="3"/>
  <c r="J491" i="3"/>
  <c r="J492" i="3"/>
  <c r="J493" i="3"/>
  <c r="J494" i="3"/>
  <c r="J495" i="3"/>
  <c r="J496" i="3"/>
  <c r="J497" i="3"/>
  <c r="J498" i="3"/>
  <c r="J500" i="3"/>
  <c r="J502" i="3"/>
  <c r="J504" i="3"/>
  <c r="J506" i="3"/>
  <c r="J509" i="3"/>
  <c r="J511" i="3"/>
  <c r="J514" i="3"/>
  <c r="J516" i="3"/>
  <c r="J520" i="3"/>
  <c r="J522" i="3"/>
  <c r="J524" i="3"/>
  <c r="J411" i="3"/>
  <c r="J416" i="3"/>
  <c r="J419" i="3"/>
  <c r="J421" i="3"/>
  <c r="J422" i="3"/>
  <c r="J424" i="3"/>
  <c r="J427" i="3"/>
  <c r="J429" i="3"/>
  <c r="J432" i="3"/>
  <c r="J434" i="3"/>
  <c r="J438" i="3"/>
  <c r="J441" i="3"/>
  <c r="J442" i="3"/>
  <c r="J445" i="3"/>
  <c r="J447" i="3"/>
  <c r="J452" i="3"/>
  <c r="J457" i="3"/>
  <c r="J460" i="3"/>
  <c r="J463" i="3"/>
  <c r="J466" i="3"/>
  <c r="J470" i="3"/>
  <c r="J477" i="3"/>
  <c r="J479" i="3"/>
  <c r="J483" i="3"/>
  <c r="J488" i="3"/>
  <c r="J499" i="3"/>
  <c r="J501" i="3"/>
  <c r="J503" i="3"/>
  <c r="J505" i="3"/>
  <c r="J507" i="3"/>
  <c r="J508" i="3"/>
  <c r="J510" i="3"/>
  <c r="J512" i="3"/>
  <c r="J513" i="3"/>
  <c r="J515" i="3"/>
  <c r="J517" i="3"/>
  <c r="J518" i="3"/>
  <c r="J519" i="3"/>
  <c r="J521" i="3"/>
  <c r="J523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409" i="3"/>
  <c r="J405" i="3"/>
  <c r="J401" i="3"/>
  <c r="J397" i="3"/>
  <c r="J393" i="3"/>
  <c r="J389" i="3"/>
  <c r="J384" i="3"/>
  <c r="J380" i="3"/>
  <c r="J375" i="3"/>
  <c r="J370" i="3"/>
  <c r="J365" i="3"/>
  <c r="J359" i="3"/>
  <c r="J355" i="3"/>
  <c r="J352" i="3"/>
  <c r="J348" i="3"/>
  <c r="J343" i="3"/>
  <c r="J338" i="3"/>
  <c r="J334" i="3"/>
  <c r="J329" i="3"/>
  <c r="J325" i="3"/>
  <c r="J320" i="3"/>
  <c r="J316" i="3"/>
  <c r="J311" i="3"/>
  <c r="J306" i="3"/>
  <c r="J301" i="3"/>
  <c r="J256" i="3"/>
  <c r="J251" i="3"/>
  <c r="J247" i="3"/>
  <c r="J242" i="3"/>
  <c r="J237" i="3"/>
  <c r="J233" i="3"/>
  <c r="J228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2" i="3"/>
  <c r="J410" i="3"/>
  <c r="J406" i="3"/>
  <c r="J402" i="3"/>
  <c r="J398" i="3"/>
  <c r="J394" i="3"/>
  <c r="J391" i="3"/>
  <c r="J386" i="3"/>
  <c r="J379" i="3"/>
  <c r="J374" i="3"/>
  <c r="J369" i="3"/>
  <c r="J364" i="3"/>
  <c r="J360" i="3"/>
  <c r="J353" i="3"/>
  <c r="J347" i="3"/>
  <c r="J341" i="3"/>
  <c r="J336" i="3"/>
  <c r="J331" i="3"/>
  <c r="J326" i="3"/>
  <c r="J322" i="3"/>
  <c r="J315" i="3"/>
  <c r="J310" i="3"/>
  <c r="J302" i="3"/>
  <c r="J298" i="3"/>
  <c r="J294" i="3"/>
  <c r="J289" i="3"/>
  <c r="J282" i="3"/>
  <c r="J278" i="3"/>
  <c r="J273" i="3"/>
  <c r="J269" i="3"/>
  <c r="J265" i="3"/>
  <c r="J261" i="3"/>
  <c r="J258" i="3"/>
  <c r="J254" i="3"/>
  <c r="J249" i="3"/>
  <c r="J245" i="3"/>
  <c r="J240" i="3"/>
  <c r="J232" i="3"/>
  <c r="J227" i="3"/>
  <c r="J144" i="3"/>
  <c r="J140" i="3"/>
  <c r="J136" i="3"/>
  <c r="J132" i="3"/>
  <c r="J126" i="3"/>
  <c r="J122" i="3"/>
  <c r="J119" i="3"/>
  <c r="J116" i="3"/>
  <c r="J109" i="3"/>
  <c r="J105" i="3"/>
  <c r="J102" i="3"/>
  <c r="J99" i="3"/>
  <c r="J95" i="3"/>
  <c r="J90" i="3"/>
  <c r="J79" i="3"/>
  <c r="J37" i="3"/>
  <c r="J407" i="3"/>
  <c r="J403" i="3"/>
  <c r="J399" i="3"/>
  <c r="J395" i="3"/>
  <c r="J392" i="3"/>
  <c r="J388" i="3"/>
  <c r="J383" i="3"/>
  <c r="J378" i="3"/>
  <c r="J371" i="3"/>
  <c r="J363" i="3"/>
  <c r="J358" i="3"/>
  <c r="J354" i="3"/>
  <c r="J350" i="3"/>
  <c r="J345" i="3"/>
  <c r="J340" i="3"/>
  <c r="J332" i="3"/>
  <c r="J327" i="3"/>
  <c r="J321" i="3"/>
  <c r="J317" i="3"/>
  <c r="J312" i="3"/>
  <c r="J307" i="3"/>
  <c r="J303" i="3"/>
  <c r="J297" i="3"/>
  <c r="J291" i="3"/>
  <c r="J285" i="3"/>
  <c r="J280" i="3"/>
  <c r="J275" i="3"/>
  <c r="J272" i="3"/>
  <c r="J268" i="3"/>
  <c r="J262" i="3"/>
  <c r="J253" i="3"/>
  <c r="J248" i="3"/>
  <c r="J244" i="3"/>
  <c r="J239" i="3"/>
  <c r="J236" i="3"/>
  <c r="J231" i="3"/>
  <c r="J226" i="3"/>
  <c r="J143" i="3"/>
  <c r="J139" i="3"/>
  <c r="J135" i="3"/>
  <c r="J129" i="3"/>
  <c r="J124" i="3"/>
  <c r="J118" i="3"/>
  <c r="J115" i="3"/>
  <c r="J112" i="3"/>
  <c r="J108" i="3"/>
  <c r="J104" i="3"/>
  <c r="J100" i="3"/>
  <c r="J96" i="3"/>
  <c r="J93" i="3"/>
  <c r="J89" i="3"/>
  <c r="J86" i="3"/>
  <c r="J82" i="3"/>
  <c r="J77" i="3"/>
  <c r="J74" i="3"/>
  <c r="J71" i="3"/>
  <c r="J67" i="3"/>
  <c r="J64" i="3"/>
  <c r="J63" i="3"/>
  <c r="J58" i="3"/>
  <c r="J54" i="3"/>
  <c r="J50" i="3"/>
  <c r="J47" i="3"/>
  <c r="J44" i="3"/>
  <c r="J41" i="3"/>
  <c r="J38" i="3"/>
  <c r="J33" i="3"/>
  <c r="J30" i="3"/>
  <c r="J26" i="3"/>
  <c r="J23" i="3"/>
  <c r="J20" i="3"/>
  <c r="J19" i="3"/>
  <c r="J15" i="3"/>
  <c r="J11" i="3"/>
  <c r="J8" i="3"/>
  <c r="J5" i="3"/>
  <c r="J390" i="3"/>
  <c r="J385" i="3"/>
  <c r="J381" i="3"/>
  <c r="J377" i="3"/>
  <c r="J373" i="3"/>
  <c r="J368" i="3"/>
  <c r="J366" i="3"/>
  <c r="J362" i="3"/>
  <c r="J357" i="3"/>
  <c r="J351" i="3"/>
  <c r="J346" i="3"/>
  <c r="J342" i="3"/>
  <c r="J337" i="3"/>
  <c r="J333" i="3"/>
  <c r="J328" i="3"/>
  <c r="J323" i="3"/>
  <c r="J318" i="3"/>
  <c r="J314" i="3"/>
  <c r="J309" i="3"/>
  <c r="J305" i="3"/>
  <c r="J300" i="3"/>
  <c r="J296" i="3"/>
  <c r="J293" i="3"/>
  <c r="J292" i="3"/>
  <c r="J288" i="3"/>
  <c r="J286" i="3"/>
  <c r="J283" i="3"/>
  <c r="J279" i="3"/>
  <c r="J276" i="3"/>
  <c r="J271" i="3"/>
  <c r="J267" i="3"/>
  <c r="J263" i="3"/>
  <c r="J260" i="3"/>
  <c r="J257" i="3"/>
  <c r="J252" i="3"/>
  <c r="J246" i="3"/>
  <c r="J243" i="3"/>
  <c r="J238" i="3"/>
  <c r="J235" i="3"/>
  <c r="J230" i="3"/>
  <c r="J146" i="3"/>
  <c r="J142" i="3"/>
  <c r="J138" i="3"/>
  <c r="J133" i="3"/>
  <c r="J130" i="3"/>
  <c r="J128" i="3"/>
  <c r="J125" i="3"/>
  <c r="J121" i="3"/>
  <c r="J117" i="3"/>
  <c r="J113" i="3"/>
  <c r="J110" i="3"/>
  <c r="J106" i="3"/>
  <c r="J103" i="3"/>
  <c r="J98" i="3"/>
  <c r="J94" i="3"/>
  <c r="J91" i="3"/>
  <c r="J87" i="3"/>
  <c r="J84" i="3"/>
  <c r="J81" i="3"/>
  <c r="J76" i="3"/>
  <c r="J73" i="3"/>
  <c r="J70" i="3"/>
  <c r="J68" i="3"/>
  <c r="J65" i="3"/>
  <c r="J61" i="3"/>
  <c r="J59" i="3"/>
  <c r="J56" i="3"/>
  <c r="J53" i="3"/>
  <c r="J51" i="3"/>
  <c r="J48" i="3"/>
  <c r="J45" i="3"/>
  <c r="J43" i="3"/>
  <c r="J40" i="3"/>
  <c r="J36" i="3"/>
  <c r="J35" i="3"/>
  <c r="J32" i="3"/>
  <c r="J29" i="3"/>
  <c r="J27" i="3"/>
  <c r="J24" i="3"/>
  <c r="J21" i="3"/>
  <c r="J18" i="3"/>
  <c r="J16" i="3"/>
  <c r="J12" i="3"/>
  <c r="J9" i="3"/>
  <c r="J7" i="3"/>
  <c r="J3" i="3"/>
  <c r="J408" i="3"/>
  <c r="J404" i="3"/>
  <c r="J400" i="3"/>
  <c r="J396" i="3"/>
  <c r="J387" i="3"/>
  <c r="J382" i="3"/>
  <c r="J376" i="3"/>
  <c r="J372" i="3"/>
  <c r="J367" i="3"/>
  <c r="J361" i="3"/>
  <c r="J356" i="3"/>
  <c r="J349" i="3"/>
  <c r="J344" i="3"/>
  <c r="J339" i="3"/>
  <c r="J335" i="3"/>
  <c r="J330" i="3"/>
  <c r="J324" i="3"/>
  <c r="J319" i="3"/>
  <c r="J313" i="3"/>
  <c r="J308" i="3"/>
  <c r="J304" i="3"/>
  <c r="J299" i="3"/>
  <c r="J295" i="3"/>
  <c r="J290" i="3"/>
  <c r="J287" i="3"/>
  <c r="J284" i="3"/>
  <c r="J281" i="3"/>
  <c r="J277" i="3"/>
  <c r="J274" i="3"/>
  <c r="J270" i="3"/>
  <c r="J266" i="3"/>
  <c r="J264" i="3"/>
  <c r="J259" i="3"/>
  <c r="J255" i="3"/>
  <c r="J250" i="3"/>
  <c r="J241" i="3"/>
  <c r="J234" i="3"/>
  <c r="J229" i="3"/>
  <c r="J145" i="3"/>
  <c r="J141" i="3"/>
  <c r="J137" i="3"/>
  <c r="J134" i="3"/>
  <c r="J131" i="3"/>
  <c r="J127" i="3"/>
  <c r="J123" i="3"/>
  <c r="J120" i="3"/>
  <c r="J114" i="3"/>
  <c r="J111" i="3"/>
  <c r="J107" i="3"/>
  <c r="J101" i="3"/>
  <c r="J97" i="3"/>
  <c r="J92" i="3"/>
  <c r="J88" i="3"/>
  <c r="J85" i="3"/>
  <c r="J83" i="3"/>
  <c r="J80" i="3"/>
  <c r="J78" i="3"/>
  <c r="J75" i="3"/>
  <c r="J72" i="3"/>
  <c r="J69" i="3"/>
  <c r="J66" i="3"/>
  <c r="J62" i="3"/>
  <c r="J60" i="3"/>
  <c r="J57" i="3"/>
  <c r="J55" i="3"/>
  <c r="J52" i="3"/>
  <c r="J49" i="3"/>
  <c r="J46" i="3"/>
  <c r="J42" i="3"/>
  <c r="J39" i="3"/>
  <c r="J34" i="3"/>
  <c r="J31" i="3"/>
  <c r="J28" i="3"/>
  <c r="J25" i="3"/>
  <c r="J22" i="3"/>
  <c r="J17" i="3"/>
  <c r="J14" i="3"/>
  <c r="J13" i="3"/>
  <c r="J10" i="3"/>
  <c r="J6" i="3"/>
  <c r="J4" i="3"/>
  <c r="H3" i="3"/>
  <c r="H11" i="3"/>
  <c r="H13" i="3"/>
  <c r="H15" i="3"/>
  <c r="H17" i="3"/>
  <c r="H19" i="3"/>
  <c r="H21" i="3"/>
  <c r="H23" i="3"/>
  <c r="H25" i="3"/>
  <c r="H27" i="3"/>
  <c r="H29" i="3"/>
  <c r="H32" i="3"/>
  <c r="H34" i="3"/>
  <c r="H36" i="3"/>
  <c r="H38" i="3"/>
  <c r="H40" i="3"/>
  <c r="H42" i="3"/>
  <c r="H44" i="3"/>
  <c r="H46" i="3"/>
  <c r="H47" i="3"/>
  <c r="H49" i="3"/>
  <c r="H51" i="3"/>
  <c r="H53" i="3"/>
  <c r="H57" i="3"/>
  <c r="H59" i="3"/>
  <c r="H61" i="3"/>
  <c r="H63" i="3"/>
  <c r="H65" i="3"/>
  <c r="H67" i="3"/>
  <c r="H70" i="3"/>
  <c r="H73" i="3"/>
  <c r="H75" i="3"/>
  <c r="H77" i="3"/>
  <c r="H79" i="3"/>
  <c r="H82" i="3"/>
  <c r="H84" i="3"/>
  <c r="H86" i="3"/>
  <c r="H87" i="3"/>
  <c r="H89" i="3"/>
  <c r="H91" i="3"/>
  <c r="H94" i="3"/>
  <c r="H96" i="3"/>
  <c r="H97" i="3"/>
  <c r="H99" i="3"/>
  <c r="H101" i="3"/>
  <c r="H103" i="3"/>
  <c r="H105" i="3"/>
  <c r="H107" i="3"/>
  <c r="H109" i="3"/>
  <c r="H111" i="3"/>
  <c r="H113" i="3"/>
  <c r="H114" i="3"/>
  <c r="H116" i="3"/>
  <c r="H276" i="3"/>
  <c r="H280" i="3"/>
  <c r="H286" i="3"/>
  <c r="H290" i="3"/>
  <c r="H296" i="3"/>
  <c r="H118" i="3"/>
  <c r="H120" i="3"/>
  <c r="H122" i="3"/>
  <c r="H124" i="3"/>
  <c r="H125" i="3"/>
  <c r="H127" i="3"/>
  <c r="H129" i="3"/>
  <c r="H131" i="3"/>
  <c r="H134" i="3"/>
  <c r="H136" i="3"/>
  <c r="H138" i="3"/>
  <c r="H140" i="3"/>
  <c r="H142" i="3"/>
  <c r="H143" i="3"/>
  <c r="H145" i="3"/>
  <c r="H146" i="3"/>
  <c r="H148" i="3"/>
  <c r="H149" i="3"/>
  <c r="H151" i="3"/>
  <c r="H153" i="3"/>
  <c r="H156" i="3"/>
  <c r="H157" i="3"/>
  <c r="H159" i="3"/>
  <c r="H161" i="3"/>
  <c r="H163" i="3"/>
  <c r="H165" i="3"/>
  <c r="H167" i="3"/>
  <c r="H169" i="3"/>
  <c r="H170" i="3"/>
  <c r="H171" i="3"/>
  <c r="H172" i="3"/>
  <c r="H173" i="3"/>
  <c r="H174" i="3"/>
  <c r="H186" i="3"/>
  <c r="H188" i="3"/>
  <c r="H190" i="3"/>
  <c r="H192" i="3"/>
  <c r="H193" i="3"/>
  <c r="H195" i="3"/>
  <c r="H198" i="3"/>
  <c r="H200" i="3"/>
  <c r="H202" i="3"/>
  <c r="H204" i="3"/>
  <c r="H206" i="3"/>
  <c r="H208" i="3"/>
  <c r="H210" i="3"/>
  <c r="H212" i="3"/>
  <c r="H214" i="3"/>
  <c r="H216" i="3"/>
  <c r="H218" i="3"/>
  <c r="H219" i="3"/>
  <c r="H222" i="3"/>
  <c r="H224" i="3"/>
  <c r="H225" i="3"/>
  <c r="H227" i="3"/>
  <c r="H229" i="3"/>
  <c r="H231" i="3"/>
  <c r="H233" i="3"/>
  <c r="H235" i="3"/>
  <c r="H236" i="3"/>
  <c r="H238" i="3"/>
  <c r="H240" i="3"/>
  <c r="H242" i="3"/>
  <c r="H244" i="3"/>
  <c r="H246" i="3"/>
  <c r="H247" i="3"/>
  <c r="H249" i="3"/>
  <c r="H251" i="3"/>
  <c r="H253" i="3"/>
  <c r="H255" i="3"/>
  <c r="H257" i="3"/>
  <c r="H259" i="3"/>
  <c r="H261" i="3"/>
  <c r="H263" i="3"/>
  <c r="H265" i="3"/>
  <c r="H267" i="3"/>
  <c r="H269" i="3"/>
  <c r="H271" i="3"/>
  <c r="H273" i="3"/>
  <c r="H278" i="3"/>
  <c r="H282" i="3"/>
  <c r="H284" i="3"/>
  <c r="H288" i="3"/>
  <c r="H291" i="3"/>
  <c r="H293" i="3"/>
  <c r="H333" i="3"/>
  <c r="H335" i="3"/>
  <c r="H336" i="3"/>
  <c r="H337" i="3"/>
  <c r="H338" i="3"/>
  <c r="H339" i="3"/>
  <c r="H340" i="3"/>
  <c r="H341" i="3"/>
  <c r="H342" i="3"/>
  <c r="H343" i="3"/>
  <c r="H344" i="3"/>
  <c r="H351" i="3"/>
  <c r="H354" i="3"/>
  <c r="H356" i="3"/>
  <c r="H358" i="3"/>
  <c r="H360" i="3"/>
  <c r="H362" i="3"/>
  <c r="H364" i="3"/>
  <c r="H366" i="3"/>
  <c r="H368" i="3"/>
  <c r="H369" i="3"/>
  <c r="H371" i="3"/>
  <c r="H373" i="3"/>
  <c r="H375" i="3"/>
  <c r="H377" i="3"/>
  <c r="H379" i="3"/>
  <c r="H381" i="3"/>
  <c r="H383" i="3"/>
  <c r="H385" i="3"/>
  <c r="H387" i="3"/>
  <c r="H389" i="3"/>
  <c r="H391" i="3"/>
  <c r="H393" i="3"/>
  <c r="H395" i="3"/>
  <c r="H397" i="3"/>
  <c r="H399" i="3"/>
  <c r="H401" i="3"/>
  <c r="H403" i="3"/>
  <c r="H405" i="3"/>
  <c r="H407" i="3"/>
  <c r="H409" i="3"/>
  <c r="H411" i="3"/>
  <c r="H414" i="3"/>
  <c r="H416" i="3"/>
  <c r="H119" i="3"/>
  <c r="H121" i="3"/>
  <c r="H123" i="3"/>
  <c r="H126" i="3"/>
  <c r="H128" i="3"/>
  <c r="H130" i="3"/>
  <c r="H132" i="3"/>
  <c r="H133" i="3"/>
  <c r="H135" i="3"/>
  <c r="H137" i="3"/>
  <c r="H139" i="3"/>
  <c r="H141" i="3"/>
  <c r="H144" i="3"/>
  <c r="H147" i="3"/>
  <c r="H150" i="3"/>
  <c r="H152" i="3"/>
  <c r="H154" i="3"/>
  <c r="H155" i="3"/>
  <c r="H158" i="3"/>
  <c r="H160" i="3"/>
  <c r="H162" i="3"/>
  <c r="H164" i="3"/>
  <c r="H166" i="3"/>
  <c r="H168" i="3"/>
  <c r="H175" i="3"/>
  <c r="H176" i="3"/>
  <c r="H177" i="3"/>
  <c r="H178" i="3"/>
  <c r="H179" i="3"/>
  <c r="H180" i="3"/>
  <c r="H181" i="3"/>
  <c r="H182" i="3"/>
  <c r="H183" i="3"/>
  <c r="H184" i="3"/>
  <c r="H185" i="3"/>
  <c r="H187" i="3"/>
  <c r="H189" i="3"/>
  <c r="H191" i="3"/>
  <c r="H194" i="3"/>
  <c r="H196" i="3"/>
  <c r="H197" i="3"/>
  <c r="H199" i="3"/>
  <c r="H201" i="3"/>
  <c r="H223" i="3"/>
  <c r="H226" i="3"/>
  <c r="H228" i="3"/>
  <c r="H230" i="3"/>
  <c r="H232" i="3"/>
  <c r="H234" i="3"/>
  <c r="H237" i="3"/>
  <c r="H239" i="3"/>
  <c r="H241" i="3"/>
  <c r="H243" i="3"/>
  <c r="H245" i="3"/>
  <c r="H248" i="3"/>
  <c r="H250" i="3"/>
  <c r="H252" i="3"/>
  <c r="H254" i="3"/>
  <c r="H256" i="3"/>
  <c r="H258" i="3"/>
  <c r="H260" i="3"/>
  <c r="H262" i="3"/>
  <c r="L2" i="3"/>
  <c r="F458" i="3"/>
  <c r="F497" i="3"/>
  <c r="F484" i="3"/>
  <c r="F506" i="3"/>
  <c r="F442" i="3"/>
  <c r="F544" i="3"/>
  <c r="F481" i="3"/>
  <c r="F452" i="3"/>
  <c r="F432" i="3"/>
  <c r="F471" i="3"/>
  <c r="F444" i="3"/>
  <c r="F486" i="3"/>
  <c r="F422" i="3"/>
  <c r="F485" i="3"/>
  <c r="F421" i="3"/>
  <c r="F515" i="3"/>
  <c r="F451" i="3"/>
  <c r="F540" i="3"/>
  <c r="F498" i="3"/>
  <c r="F434" i="3"/>
  <c r="F537" i="3"/>
  <c r="F473" i="3"/>
  <c r="F436" i="3"/>
  <c r="F488" i="3"/>
  <c r="F424" i="3"/>
  <c r="F527" i="3"/>
  <c r="F463" i="3"/>
  <c r="F428" i="3"/>
  <c r="F542" i="3"/>
  <c r="F478" i="3"/>
  <c r="F541" i="3"/>
  <c r="F477" i="3"/>
  <c r="F507" i="3"/>
  <c r="F443" i="3"/>
  <c r="F490" i="3"/>
  <c r="F426" i="3"/>
  <c r="F529" i="3"/>
  <c r="F465" i="3"/>
  <c r="F420" i="3"/>
  <c r="F480" i="3"/>
  <c r="F519" i="3"/>
  <c r="F455" i="3"/>
  <c r="F532" i="3"/>
  <c r="F534" i="3"/>
  <c r="F470" i="3"/>
  <c r="F533" i="3"/>
  <c r="F469" i="3"/>
  <c r="F499" i="3"/>
  <c r="F435" i="3"/>
  <c r="F516" i="3"/>
  <c r="AE378" i="3" l="1"/>
  <c r="AE24" i="3"/>
  <c r="AE120" i="3"/>
  <c r="AE58" i="3"/>
  <c r="AE104" i="3"/>
  <c r="AE26" i="3"/>
  <c r="AE48" i="3"/>
  <c r="AE12" i="3"/>
  <c r="AE208" i="3"/>
  <c r="AE143" i="3"/>
  <c r="AE8" i="3"/>
  <c r="AE64" i="3"/>
  <c r="AE108" i="3"/>
  <c r="V363" i="3"/>
  <c r="Y2" i="3"/>
  <c r="AE55" i="3"/>
  <c r="V232" i="3"/>
  <c r="AE229" i="3"/>
  <c r="AE141" i="3"/>
  <c r="V230" i="3"/>
  <c r="AE30" i="3"/>
  <c r="S288" i="3"/>
  <c r="AE234" i="3"/>
  <c r="AE68" i="3"/>
  <c r="AE33" i="3"/>
  <c r="S410" i="3"/>
  <c r="AE2" i="3"/>
  <c r="AE166" i="3"/>
  <c r="AE124" i="3"/>
  <c r="AE277" i="3"/>
  <c r="AE404" i="3"/>
  <c r="AE72" i="3"/>
  <c r="AE390" i="3"/>
  <c r="S84" i="3"/>
  <c r="S352" i="3"/>
  <c r="AE158" i="3"/>
  <c r="AE245" i="3"/>
  <c r="S293" i="3"/>
  <c r="S82" i="3"/>
  <c r="S4" i="3"/>
  <c r="S78" i="3"/>
  <c r="V367" i="3"/>
  <c r="V346" i="3"/>
  <c r="S374" i="3"/>
  <c r="S301" i="3"/>
  <c r="S413" i="3"/>
  <c r="AE182" i="3"/>
  <c r="AE349" i="3"/>
  <c r="AE154" i="3"/>
  <c r="V401" i="3"/>
  <c r="S263" i="3"/>
  <c r="AE177" i="3"/>
  <c r="V397" i="3"/>
  <c r="S214" i="3"/>
  <c r="V296" i="3"/>
  <c r="S103" i="3"/>
  <c r="S79" i="3"/>
  <c r="S27" i="3"/>
  <c r="AE372" i="3"/>
  <c r="AE16" i="3"/>
  <c r="AE93" i="3"/>
  <c r="V262" i="3"/>
  <c r="V237" i="3"/>
  <c r="S188" i="3"/>
  <c r="S159" i="3"/>
  <c r="AE138" i="3"/>
  <c r="S49" i="3"/>
  <c r="S25" i="3"/>
  <c r="V350" i="3"/>
  <c r="S322" i="3"/>
  <c r="S311" i="3"/>
  <c r="V260" i="3"/>
  <c r="AE119" i="3"/>
  <c r="S210" i="3"/>
  <c r="S208" i="3"/>
  <c r="S153" i="3"/>
  <c r="V411" i="3"/>
  <c r="S116" i="3"/>
  <c r="AE135" i="3"/>
  <c r="AE127" i="3"/>
  <c r="AE201" i="3"/>
  <c r="AE132" i="3"/>
  <c r="V405" i="3"/>
  <c r="S267" i="3"/>
  <c r="AE146" i="3"/>
  <c r="S412" i="3"/>
  <c r="S259" i="3"/>
  <c r="S257" i="3"/>
  <c r="AE255" i="3"/>
  <c r="V258" i="3"/>
  <c r="AE187" i="3"/>
  <c r="V256" i="3"/>
  <c r="AE184" i="3"/>
  <c r="V407" i="3"/>
  <c r="AE130" i="3"/>
  <c r="V403" i="3"/>
  <c r="AE122" i="3"/>
  <c r="S338" i="3"/>
  <c r="S65" i="3"/>
  <c r="S236" i="3"/>
  <c r="S315" i="3"/>
  <c r="S282" i="3"/>
  <c r="S231" i="3"/>
  <c r="S278" i="3"/>
  <c r="S70" i="3"/>
  <c r="S398" i="3"/>
  <c r="S13" i="3"/>
  <c r="S106" i="3"/>
  <c r="S334" i="3"/>
  <c r="S336" i="3"/>
  <c r="S111" i="3"/>
  <c r="S87" i="3"/>
  <c r="S61" i="3"/>
  <c r="S11" i="3"/>
  <c r="S110" i="3"/>
  <c r="S205" i="3"/>
  <c r="S221" i="3"/>
  <c r="S109" i="3"/>
  <c r="S59" i="3"/>
  <c r="S209" i="3"/>
  <c r="S326" i="3"/>
  <c r="S107" i="3"/>
  <c r="S206" i="3"/>
  <c r="S91" i="3"/>
  <c r="S253" i="3"/>
  <c r="V254" i="3"/>
  <c r="S198" i="3"/>
  <c r="S74" i="3"/>
  <c r="S356" i="3"/>
  <c r="S335" i="3"/>
  <c r="S219" i="3"/>
  <c r="S167" i="3"/>
  <c r="S86" i="3"/>
  <c r="S34" i="3"/>
  <c r="S69" i="3"/>
  <c r="S217" i="3"/>
  <c r="S75" i="3"/>
  <c r="S173" i="3"/>
  <c r="S170" i="3"/>
  <c r="S358" i="3"/>
  <c r="S222" i="3"/>
  <c r="S169" i="3"/>
  <c r="S354" i="3"/>
  <c r="S218" i="3"/>
  <c r="S193" i="3"/>
  <c r="S165" i="3"/>
  <c r="S32" i="3"/>
  <c r="V268" i="3"/>
  <c r="S249" i="3"/>
  <c r="S351" i="3"/>
  <c r="S238" i="3"/>
  <c r="S216" i="3"/>
  <c r="S163" i="3"/>
  <c r="S105" i="3"/>
  <c r="S29" i="3"/>
  <c r="V361" i="3"/>
  <c r="S9" i="3"/>
  <c r="V272" i="3"/>
  <c r="S144" i="3"/>
  <c r="S342" i="3"/>
  <c r="S284" i="3"/>
  <c r="S233" i="3"/>
  <c r="S186" i="3"/>
  <c r="S157" i="3"/>
  <c r="S306" i="3"/>
  <c r="S51" i="3"/>
  <c r="S121" i="3"/>
  <c r="S368" i="3"/>
  <c r="S280" i="3"/>
  <c r="S85" i="3"/>
  <c r="S316" i="3"/>
  <c r="S137" i="3"/>
  <c r="S364" i="3"/>
  <c r="S227" i="3"/>
  <c r="S204" i="3"/>
  <c r="S172" i="3"/>
  <c r="S151" i="3"/>
  <c r="S94" i="3"/>
  <c r="S92" i="3"/>
  <c r="S213" i="3"/>
  <c r="S320" i="3"/>
  <c r="S265" i="3"/>
  <c r="S101" i="3"/>
  <c r="S80" i="3"/>
  <c r="S156" i="3"/>
  <c r="S97" i="3"/>
  <c r="S331" i="3"/>
  <c r="S370" i="3"/>
  <c r="S362" i="3"/>
  <c r="S271" i="3"/>
  <c r="S247" i="3"/>
  <c r="S225" i="3"/>
  <c r="S202" i="3"/>
  <c r="S15" i="3"/>
  <c r="S22" i="3"/>
  <c r="S402" i="3"/>
  <c r="S325" i="3"/>
  <c r="S380" i="3"/>
  <c r="S192" i="3"/>
  <c r="S292" i="3"/>
  <c r="S212" i="3"/>
  <c r="S73" i="3"/>
  <c r="S251" i="3"/>
  <c r="S96" i="3"/>
  <c r="S394" i="3"/>
  <c r="S360" i="3"/>
  <c r="S337" i="3"/>
  <c r="S200" i="3"/>
  <c r="S148" i="3"/>
  <c r="S113" i="3"/>
  <c r="S89" i="3"/>
  <c r="S63" i="3"/>
  <c r="S347" i="3"/>
  <c r="S406" i="3"/>
  <c r="S215" i="3"/>
  <c r="S329" i="3"/>
  <c r="S384" i="3"/>
  <c r="V307" i="3"/>
  <c r="AE307" i="3"/>
  <c r="AE156" i="3"/>
  <c r="AE163" i="3"/>
  <c r="AE168" i="3"/>
  <c r="AE172" i="3"/>
  <c r="AE175" i="3"/>
  <c r="AE179" i="3"/>
  <c r="AE183" i="3"/>
  <c r="AE186" i="3"/>
  <c r="AE191" i="3"/>
  <c r="AE197" i="3"/>
  <c r="AE200" i="3"/>
  <c r="AE205" i="3"/>
  <c r="AE213" i="3"/>
  <c r="AE231" i="3"/>
  <c r="AE243" i="3"/>
  <c r="AE247" i="3"/>
  <c r="AE258" i="3"/>
  <c r="AE266" i="3"/>
  <c r="AE270" i="3"/>
  <c r="AE284" i="3"/>
  <c r="AE292" i="3"/>
  <c r="V415" i="3"/>
  <c r="V5" i="3"/>
  <c r="V13" i="3"/>
  <c r="V19" i="3"/>
  <c r="V25" i="3"/>
  <c r="V32" i="3"/>
  <c r="V34" i="3"/>
  <c r="V40" i="3"/>
  <c r="V46" i="3"/>
  <c r="V52" i="3"/>
  <c r="V58" i="3"/>
  <c r="V64" i="3"/>
  <c r="V68" i="3"/>
  <c r="V76" i="3"/>
  <c r="V80" i="3"/>
  <c r="V89" i="3"/>
  <c r="V93" i="3"/>
  <c r="V99" i="3"/>
  <c r="V105" i="3"/>
  <c r="V111" i="3"/>
  <c r="V117" i="3"/>
  <c r="V127" i="3"/>
  <c r="V153" i="3"/>
  <c r="V159" i="3"/>
  <c r="V165" i="3"/>
  <c r="V169" i="3"/>
  <c r="V178" i="3"/>
  <c r="V184" i="3"/>
  <c r="V190" i="3"/>
  <c r="V195" i="3"/>
  <c r="V205" i="3"/>
  <c r="V211" i="3"/>
  <c r="V223" i="3"/>
  <c r="V227" i="3"/>
  <c r="V234" i="3"/>
  <c r="V245" i="3"/>
  <c r="V251" i="3"/>
  <c r="V257" i="3"/>
  <c r="V263" i="3"/>
  <c r="V275" i="3"/>
  <c r="AE232" i="3"/>
  <c r="AE268" i="3"/>
  <c r="AE309" i="3"/>
  <c r="AE338" i="3"/>
  <c r="AE375" i="3"/>
  <c r="V197" i="3"/>
  <c r="V243" i="3"/>
  <c r="V273" i="3"/>
  <c r="V317" i="3"/>
  <c r="V344" i="3"/>
  <c r="V282" i="3"/>
  <c r="V288" i="3"/>
  <c r="V295" i="3"/>
  <c r="V303" i="3"/>
  <c r="V311" i="3"/>
  <c r="V315" i="3"/>
  <c r="V318" i="3"/>
  <c r="V325" i="3"/>
  <c r="V329" i="3"/>
  <c r="V335" i="3"/>
  <c r="V342" i="3"/>
  <c r="V347" i="3"/>
  <c r="V356" i="3"/>
  <c r="V362" i="3"/>
  <c r="V370" i="3"/>
  <c r="V202" i="3"/>
  <c r="V261" i="3"/>
  <c r="V313" i="3"/>
  <c r="V352" i="3"/>
  <c r="AE235" i="3"/>
  <c r="AE244" i="3"/>
  <c r="AE254" i="3"/>
  <c r="AE265" i="3"/>
  <c r="AE275" i="3"/>
  <c r="AE285" i="3"/>
  <c r="AE299" i="3"/>
  <c r="AE306" i="3"/>
  <c r="AE312" i="3"/>
  <c r="AE317" i="3"/>
  <c r="AE322" i="3"/>
  <c r="AE332" i="3"/>
  <c r="AE337" i="3"/>
  <c r="AE339" i="3"/>
  <c r="AE363" i="3"/>
  <c r="AE382" i="3"/>
  <c r="AE408" i="3"/>
  <c r="AE250" i="3"/>
  <c r="AE313" i="3"/>
  <c r="AE381" i="3"/>
  <c r="V297" i="3"/>
  <c r="AE417" i="3"/>
  <c r="V102" i="3"/>
  <c r="V108" i="3"/>
  <c r="V118" i="3"/>
  <c r="V122" i="3"/>
  <c r="V131" i="3"/>
  <c r="V135" i="3"/>
  <c r="V140" i="3"/>
  <c r="V144" i="3"/>
  <c r="V149" i="3"/>
  <c r="V156" i="3"/>
  <c r="V166" i="3"/>
  <c r="V177" i="3"/>
  <c r="V183" i="3"/>
  <c r="V192" i="3"/>
  <c r="V200" i="3"/>
  <c r="V210" i="3"/>
  <c r="V222" i="3"/>
  <c r="AE74" i="3"/>
  <c r="AE84" i="3"/>
  <c r="AE95" i="3"/>
  <c r="AE112" i="3"/>
  <c r="AE354" i="3"/>
  <c r="AE362" i="3"/>
  <c r="AE377" i="3"/>
  <c r="AE387" i="3"/>
  <c r="AE401" i="3"/>
  <c r="AE412" i="3"/>
  <c r="AE311" i="3"/>
  <c r="AE323" i="3"/>
  <c r="AB113" i="3"/>
  <c r="Y121" i="3"/>
  <c r="V376" i="3"/>
  <c r="V378" i="3"/>
  <c r="V380" i="3"/>
  <c r="V382" i="3"/>
  <c r="V384" i="3"/>
  <c r="V386" i="3"/>
  <c r="V388" i="3"/>
  <c r="V390" i="3"/>
  <c r="V392" i="3"/>
  <c r="V394" i="3"/>
  <c r="V396" i="3"/>
  <c r="V398" i="3"/>
  <c r="V400" i="3"/>
  <c r="V402" i="3"/>
  <c r="V404" i="3"/>
  <c r="V406" i="3"/>
  <c r="V408" i="3"/>
  <c r="V410" i="3"/>
  <c r="V412" i="3"/>
  <c r="V414" i="3"/>
  <c r="AE4" i="3"/>
  <c r="AE5" i="3"/>
  <c r="AE9" i="3"/>
  <c r="AE11" i="3"/>
  <c r="AE13" i="3"/>
  <c r="AE15" i="3"/>
  <c r="AE18" i="3"/>
  <c r="AE20" i="3"/>
  <c r="AE22" i="3"/>
  <c r="AE25" i="3"/>
  <c r="AE27" i="3"/>
  <c r="AE29" i="3"/>
  <c r="AE32" i="3"/>
  <c r="AE34" i="3"/>
  <c r="AE37" i="3"/>
  <c r="AE39" i="3"/>
  <c r="AE41" i="3"/>
  <c r="AE43" i="3"/>
  <c r="AE45" i="3"/>
  <c r="AE49" i="3"/>
  <c r="AE51" i="3"/>
  <c r="AE54" i="3"/>
  <c r="AE56" i="3"/>
  <c r="AE59" i="3"/>
  <c r="AE61" i="3"/>
  <c r="AE63" i="3"/>
  <c r="AE65" i="3"/>
  <c r="AE69" i="3"/>
  <c r="AE71" i="3"/>
  <c r="AE73" i="3"/>
  <c r="AE75" i="3"/>
  <c r="AE79" i="3"/>
  <c r="AE81" i="3"/>
  <c r="AE85" i="3"/>
  <c r="AE87" i="3"/>
  <c r="AE89" i="3"/>
  <c r="AE91" i="3"/>
  <c r="AE94" i="3"/>
  <c r="AE96" i="3"/>
  <c r="AE98" i="3"/>
  <c r="AE101" i="3"/>
  <c r="AE103" i="3"/>
  <c r="AE105" i="3"/>
  <c r="AE107" i="3"/>
  <c r="AE109" i="3"/>
  <c r="AE111" i="3"/>
  <c r="AE113" i="3"/>
  <c r="AE115" i="3"/>
  <c r="AE116" i="3"/>
  <c r="AE118" i="3"/>
  <c r="AE121" i="3"/>
  <c r="AE123" i="3"/>
  <c r="AE125" i="3"/>
  <c r="AE126" i="3"/>
  <c r="AE128" i="3"/>
  <c r="AE129" i="3"/>
  <c r="AE131" i="3"/>
  <c r="AE133" i="3"/>
  <c r="AE134" i="3"/>
  <c r="AE136" i="3"/>
  <c r="AE137" i="3"/>
  <c r="AE139" i="3"/>
  <c r="AE140" i="3"/>
  <c r="AE142" i="3"/>
  <c r="AE144" i="3"/>
  <c r="AE145" i="3"/>
  <c r="AE147" i="3"/>
  <c r="AE148" i="3"/>
  <c r="AE150" i="3"/>
  <c r="AE151" i="3"/>
  <c r="AE153" i="3"/>
  <c r="AE155" i="3"/>
  <c r="AE157" i="3"/>
  <c r="AE159" i="3"/>
  <c r="AE160" i="3"/>
  <c r="AE164" i="3"/>
  <c r="AE165" i="3"/>
  <c r="AE167" i="3"/>
  <c r="AE169" i="3"/>
  <c r="AE170" i="3"/>
  <c r="AE173" i="3"/>
  <c r="AE176" i="3"/>
  <c r="AE178" i="3"/>
  <c r="AE180" i="3"/>
  <c r="AE185" i="3"/>
  <c r="AE189" i="3"/>
  <c r="AE192" i="3"/>
  <c r="AE194" i="3"/>
  <c r="AE196" i="3"/>
  <c r="AE199" i="3"/>
  <c r="AE204" i="3"/>
  <c r="AE206" i="3"/>
  <c r="AE210" i="3"/>
  <c r="AE214" i="3"/>
  <c r="AE215" i="3"/>
  <c r="AE217" i="3"/>
  <c r="AE219" i="3"/>
  <c r="AE221" i="3"/>
  <c r="AE223" i="3"/>
  <c r="AE226" i="3"/>
  <c r="AE346" i="3"/>
  <c r="AE350" i="3"/>
  <c r="AE357" i="3"/>
  <c r="AE361" i="3"/>
  <c r="AE369" i="3"/>
  <c r="AE371" i="3"/>
  <c r="AE376" i="3"/>
  <c r="AE380" i="3"/>
  <c r="AE384" i="3"/>
  <c r="AE391" i="3"/>
  <c r="AE394" i="3"/>
  <c r="AE400" i="3"/>
  <c r="AE402" i="3"/>
  <c r="AE406" i="3"/>
  <c r="AE411" i="3"/>
  <c r="AE414" i="3"/>
  <c r="AE416" i="3"/>
  <c r="AE162" i="3"/>
  <c r="AE193" i="3"/>
  <c r="AE198" i="3"/>
  <c r="AE216" i="3"/>
  <c r="AE227" i="3"/>
  <c r="AE236" i="3"/>
  <c r="AE256" i="3"/>
  <c r="AE272" i="3"/>
  <c r="AE289" i="3"/>
  <c r="AE298" i="3"/>
  <c r="AE305" i="3"/>
  <c r="AE316" i="3"/>
  <c r="AE324" i="3"/>
  <c r="AE335" i="3"/>
  <c r="AE342" i="3"/>
  <c r="AE360" i="3"/>
  <c r="AE367" i="3"/>
  <c r="AE389" i="3"/>
  <c r="V191" i="3"/>
  <c r="V238" i="3"/>
  <c r="V285" i="3"/>
  <c r="V328" i="3"/>
  <c r="AE228" i="3"/>
  <c r="AE237" i="3"/>
  <c r="AE246" i="3"/>
  <c r="AE257" i="3"/>
  <c r="AE271" i="3"/>
  <c r="AE280" i="3"/>
  <c r="AE290" i="3"/>
  <c r="AE297" i="3"/>
  <c r="AE303" i="3"/>
  <c r="AE310" i="3"/>
  <c r="V128" i="3"/>
  <c r="V133" i="3"/>
  <c r="V138" i="3"/>
  <c r="V143" i="3"/>
  <c r="V147" i="3"/>
  <c r="V154" i="3"/>
  <c r="V162" i="3"/>
  <c r="V173" i="3"/>
  <c r="V179" i="3"/>
  <c r="V189" i="3"/>
  <c r="V198" i="3"/>
  <c r="V208" i="3"/>
  <c r="V220" i="3"/>
  <c r="AE70" i="3"/>
  <c r="AE82" i="3"/>
  <c r="AE90" i="3"/>
  <c r="AE100" i="3"/>
  <c r="AE345" i="3"/>
  <c r="AE356" i="3"/>
  <c r="AE368" i="3"/>
  <c r="AE379" i="3"/>
  <c r="AE392" i="3"/>
  <c r="AE405" i="3"/>
  <c r="AE326" i="3"/>
  <c r="AB110" i="3"/>
  <c r="V4" i="3"/>
  <c r="V6" i="3"/>
  <c r="V8" i="3"/>
  <c r="V10" i="3"/>
  <c r="V12" i="3"/>
  <c r="V14" i="3"/>
  <c r="V16" i="3"/>
  <c r="V18" i="3"/>
  <c r="V20" i="3"/>
  <c r="V22" i="3"/>
  <c r="V24" i="3"/>
  <c r="V26" i="3"/>
  <c r="V27" i="3"/>
  <c r="V29" i="3"/>
  <c r="V31" i="3"/>
  <c r="V33" i="3"/>
  <c r="V35" i="3"/>
  <c r="V37" i="3"/>
  <c r="V39" i="3"/>
  <c r="V41" i="3"/>
  <c r="V43" i="3"/>
  <c r="V45" i="3"/>
  <c r="V47" i="3"/>
  <c r="V49" i="3"/>
  <c r="V51" i="3"/>
  <c r="V53" i="3"/>
  <c r="V55" i="3"/>
  <c r="V57" i="3"/>
  <c r="V59" i="3"/>
  <c r="V61" i="3"/>
  <c r="V63" i="3"/>
  <c r="V65" i="3"/>
  <c r="V67" i="3"/>
  <c r="V69" i="3"/>
  <c r="V71" i="3"/>
  <c r="V73" i="3"/>
  <c r="V75" i="3"/>
  <c r="V77" i="3"/>
  <c r="V79" i="3"/>
  <c r="V82" i="3"/>
  <c r="V84" i="3"/>
  <c r="V86" i="3"/>
  <c r="V88" i="3"/>
  <c r="V90" i="3"/>
  <c r="V92" i="3"/>
  <c r="V94" i="3"/>
  <c r="V96" i="3"/>
  <c r="V98" i="3"/>
  <c r="V110" i="3"/>
  <c r="V124" i="3"/>
  <c r="V137" i="3"/>
  <c r="V148" i="3"/>
  <c r="V168" i="3"/>
  <c r="V187" i="3"/>
  <c r="V212" i="3"/>
  <c r="AE76" i="3"/>
  <c r="AE106" i="3"/>
  <c r="AE374" i="3"/>
  <c r="AE407" i="3"/>
  <c r="Y110" i="3"/>
  <c r="AB121" i="3"/>
  <c r="AE202" i="3"/>
  <c r="AE209" i="3"/>
  <c r="AE218" i="3"/>
  <c r="AE225" i="3"/>
  <c r="AE238" i="3"/>
  <c r="AE251" i="3"/>
  <c r="AE262" i="3"/>
  <c r="AE279" i="3"/>
  <c r="AE288" i="3"/>
  <c r="AE296" i="3"/>
  <c r="V417" i="3"/>
  <c r="V3" i="3"/>
  <c r="V9" i="3"/>
  <c r="V15" i="3"/>
  <c r="V21" i="3"/>
  <c r="V28" i="3"/>
  <c r="V36" i="3"/>
  <c r="V42" i="3"/>
  <c r="V48" i="3"/>
  <c r="V54" i="3"/>
  <c r="V62" i="3"/>
  <c r="V70" i="3"/>
  <c r="V74" i="3"/>
  <c r="V81" i="3"/>
  <c r="V85" i="3"/>
  <c r="V91" i="3"/>
  <c r="V97" i="3"/>
  <c r="V101" i="3"/>
  <c r="V109" i="3"/>
  <c r="V115" i="3"/>
  <c r="V121" i="3"/>
  <c r="V125" i="3"/>
  <c r="V129" i="3"/>
  <c r="V155" i="3"/>
  <c r="V163" i="3"/>
  <c r="V172" i="3"/>
  <c r="V176" i="3"/>
  <c r="V182" i="3"/>
  <c r="V188" i="3"/>
  <c r="V199" i="3"/>
  <c r="V203" i="3"/>
  <c r="V213" i="3"/>
  <c r="V218" i="3"/>
  <c r="V225" i="3"/>
  <c r="V231" i="3"/>
  <c r="V239" i="3"/>
  <c r="V247" i="3"/>
  <c r="V259" i="3"/>
  <c r="V269" i="3"/>
  <c r="AE188" i="3"/>
  <c r="AE242" i="3"/>
  <c r="AE282" i="3"/>
  <c r="AE320" i="3"/>
  <c r="AE364" i="3"/>
  <c r="AE396" i="3"/>
  <c r="V207" i="3"/>
  <c r="V292" i="3"/>
  <c r="V324" i="3"/>
  <c r="V357" i="3"/>
  <c r="V280" i="3"/>
  <c r="V284" i="3"/>
  <c r="V290" i="3"/>
  <c r="V299" i="3"/>
  <c r="V308" i="3"/>
  <c r="V314" i="3"/>
  <c r="V319" i="3"/>
  <c r="V321" i="3"/>
  <c r="V326" i="3"/>
  <c r="V330" i="3"/>
  <c r="V333" i="3"/>
  <c r="V338" i="3"/>
  <c r="V345" i="3"/>
  <c r="V351" i="3"/>
  <c r="V358" i="3"/>
  <c r="V360" i="3"/>
  <c r="V366" i="3"/>
  <c r="V372" i="3"/>
  <c r="V214" i="3"/>
  <c r="V250" i="3"/>
  <c r="V304" i="3"/>
  <c r="V337" i="3"/>
  <c r="AE230" i="3"/>
  <c r="AE239" i="3"/>
  <c r="AE249" i="3"/>
  <c r="AE259" i="3"/>
  <c r="AE267" i="3"/>
  <c r="AE283" i="3"/>
  <c r="AE293" i="3"/>
  <c r="AE301" i="3"/>
  <c r="AE308" i="3"/>
  <c r="AE315" i="3"/>
  <c r="AE321" i="3"/>
  <c r="AE327" i="3"/>
  <c r="AE334" i="3"/>
  <c r="AE343" i="3"/>
  <c r="AE373" i="3"/>
  <c r="AE397" i="3"/>
  <c r="AE181" i="3"/>
  <c r="AE276" i="3"/>
  <c r="AE351" i="3"/>
  <c r="V219" i="3"/>
  <c r="V320" i="3"/>
  <c r="V104" i="3"/>
  <c r="V112" i="3"/>
  <c r="V114" i="3"/>
  <c r="V120" i="3"/>
  <c r="V130" i="3"/>
  <c r="V134" i="3"/>
  <c r="V139" i="3"/>
  <c r="V142" i="3"/>
  <c r="V146" i="3"/>
  <c r="V152" i="3"/>
  <c r="V160" i="3"/>
  <c r="V170" i="3"/>
  <c r="V181" i="3"/>
  <c r="V194" i="3"/>
  <c r="V204" i="3"/>
  <c r="V217" i="3"/>
  <c r="V226" i="3"/>
  <c r="AE78" i="3"/>
  <c r="AE92" i="3"/>
  <c r="AE102" i="3"/>
  <c r="AE348" i="3"/>
  <c r="AE358" i="3"/>
  <c r="AE365" i="3"/>
  <c r="AE383" i="3"/>
  <c r="AE395" i="3"/>
  <c r="AE403" i="3"/>
  <c r="AE415" i="3"/>
  <c r="V305" i="3"/>
  <c r="AE319" i="3"/>
  <c r="AE330" i="3"/>
  <c r="AB117" i="3"/>
  <c r="AE274" i="3"/>
  <c r="V7" i="3"/>
  <c r="V11" i="3"/>
  <c r="V17" i="3"/>
  <c r="V23" i="3"/>
  <c r="V30" i="3"/>
  <c r="V38" i="3"/>
  <c r="V44" i="3"/>
  <c r="V50" i="3"/>
  <c r="V56" i="3"/>
  <c r="V60" i="3"/>
  <c r="V66" i="3"/>
  <c r="V72" i="3"/>
  <c r="V78" i="3"/>
  <c r="V83" i="3"/>
  <c r="V87" i="3"/>
  <c r="V95" i="3"/>
  <c r="V103" i="3"/>
  <c r="V107" i="3"/>
  <c r="V113" i="3"/>
  <c r="V119" i="3"/>
  <c r="V123" i="3"/>
  <c r="V151" i="3"/>
  <c r="V157" i="3"/>
  <c r="V161" i="3"/>
  <c r="V167" i="3"/>
  <c r="V174" i="3"/>
  <c r="V180" i="3"/>
  <c r="V186" i="3"/>
  <c r="V193" i="3"/>
  <c r="V201" i="3"/>
  <c r="V209" i="3"/>
  <c r="V216" i="3"/>
  <c r="V221" i="3"/>
  <c r="V229" i="3"/>
  <c r="V236" i="3"/>
  <c r="V241" i="3"/>
  <c r="V249" i="3"/>
  <c r="V253" i="3"/>
  <c r="V267" i="3"/>
  <c r="V271" i="3"/>
  <c r="AE212" i="3"/>
  <c r="AE260" i="3"/>
  <c r="AE302" i="3"/>
  <c r="AE328" i="3"/>
  <c r="AE347" i="3"/>
  <c r="V171" i="3"/>
  <c r="V233" i="3"/>
  <c r="V255" i="3"/>
  <c r="V309" i="3"/>
  <c r="V331" i="3"/>
  <c r="V277" i="3"/>
  <c r="V286" i="3"/>
  <c r="V293" i="3"/>
  <c r="V301" i="3"/>
  <c r="V306" i="3"/>
  <c r="V312" i="3"/>
  <c r="V316" i="3"/>
  <c r="V323" i="3"/>
  <c r="V327" i="3"/>
  <c r="V332" i="3"/>
  <c r="V336" i="3"/>
  <c r="V340" i="3"/>
  <c r="V349" i="3"/>
  <c r="V354" i="3"/>
  <c r="V364" i="3"/>
  <c r="V368" i="3"/>
  <c r="V374" i="3"/>
  <c r="V228" i="3"/>
  <c r="V278" i="3"/>
  <c r="V322" i="3"/>
  <c r="AE233" i="3"/>
  <c r="AE241" i="3"/>
  <c r="AE253" i="3"/>
  <c r="AE263" i="3"/>
  <c r="AE278" i="3"/>
  <c r="AE287" i="3"/>
  <c r="AE294" i="3"/>
  <c r="AE304" i="3"/>
  <c r="AE314" i="3"/>
  <c r="AE318" i="3"/>
  <c r="AE325" i="3"/>
  <c r="AE329" i="3"/>
  <c r="AE336" i="3"/>
  <c r="AE341" i="3"/>
  <c r="AE353" i="3"/>
  <c r="AE388" i="3"/>
  <c r="AE222" i="3"/>
  <c r="AE331" i="3"/>
  <c r="V265" i="3"/>
  <c r="V334" i="3"/>
  <c r="V416" i="3"/>
  <c r="V100" i="3"/>
  <c r="V106" i="3"/>
  <c r="V116" i="3"/>
  <c r="V126" i="3"/>
  <c r="V132" i="3"/>
  <c r="V136" i="3"/>
  <c r="V141" i="3"/>
  <c r="V145" i="3"/>
  <c r="V150" i="3"/>
  <c r="V158" i="3"/>
  <c r="V164" i="3"/>
  <c r="V175" i="3"/>
  <c r="V185" i="3"/>
  <c r="V196" i="3"/>
  <c r="V206" i="3"/>
  <c r="V215" i="3"/>
  <c r="V224" i="3"/>
  <c r="AE80" i="3"/>
  <c r="AE86" i="3"/>
  <c r="AE97" i="3"/>
  <c r="AE110" i="3"/>
  <c r="AE352" i="3"/>
  <c r="AE370" i="3"/>
  <c r="AE385" i="3"/>
  <c r="AE398" i="3"/>
  <c r="AE410" i="3"/>
  <c r="Y113" i="3"/>
  <c r="Y117" i="3"/>
  <c r="AE413" i="3"/>
  <c r="V413" i="3"/>
  <c r="S365" i="3"/>
  <c r="V365" i="3"/>
  <c r="S359" i="3"/>
  <c r="AE359" i="3"/>
  <c r="V359" i="3"/>
  <c r="S355" i="3"/>
  <c r="V355" i="3"/>
  <c r="AE355" i="3"/>
  <c r="S348" i="3"/>
  <c r="V348" i="3"/>
  <c r="S220" i="3"/>
  <c r="AE220" i="3"/>
  <c r="S211" i="3"/>
  <c r="AE211" i="3"/>
  <c r="S207" i="3"/>
  <c r="AE207" i="3"/>
  <c r="S203" i="3"/>
  <c r="AE203" i="3"/>
  <c r="S386" i="3"/>
  <c r="AE386" i="3"/>
  <c r="S353" i="3"/>
  <c r="V353" i="3"/>
  <c r="S310" i="3"/>
  <c r="V310" i="3"/>
  <c r="S302" i="3"/>
  <c r="V302" i="3"/>
  <c r="S298" i="3"/>
  <c r="V298" i="3"/>
  <c r="S294" i="3"/>
  <c r="V294" i="3"/>
  <c r="S289" i="3"/>
  <c r="V289" i="3"/>
  <c r="S50" i="3"/>
  <c r="AE50" i="3"/>
  <c r="AE300" i="3"/>
  <c r="V300" i="3"/>
  <c r="S283" i="3"/>
  <c r="V283" i="3"/>
  <c r="S279" i="3"/>
  <c r="V279" i="3"/>
  <c r="S117" i="3"/>
  <c r="AE117" i="3"/>
  <c r="S35" i="3"/>
  <c r="AE35" i="3"/>
  <c r="S7" i="3"/>
  <c r="AE7" i="3"/>
  <c r="S295" i="3"/>
  <c r="AE295" i="3"/>
  <c r="S287" i="3"/>
  <c r="V287" i="3"/>
  <c r="AE281" i="3"/>
  <c r="V281" i="3"/>
  <c r="S274" i="3"/>
  <c r="V274" i="3"/>
  <c r="S270" i="3"/>
  <c r="V270" i="3"/>
  <c r="S266" i="3"/>
  <c r="V266" i="3"/>
  <c r="S264" i="3"/>
  <c r="AE264" i="3"/>
  <c r="V264" i="3"/>
  <c r="S88" i="3"/>
  <c r="AE88" i="3"/>
  <c r="S83" i="3"/>
  <c r="AE83" i="3"/>
  <c r="S66" i="3"/>
  <c r="AE66" i="3"/>
  <c r="S62" i="3"/>
  <c r="AE62" i="3"/>
  <c r="S60" i="3"/>
  <c r="AE60" i="3"/>
  <c r="S52" i="3"/>
  <c r="AE52" i="3"/>
  <c r="S31" i="3"/>
  <c r="AE31" i="3"/>
  <c r="S28" i="3"/>
  <c r="AE28" i="3"/>
  <c r="S14" i="3"/>
  <c r="AE14" i="3"/>
  <c r="S10" i="3"/>
  <c r="AE10" i="3"/>
  <c r="S6" i="3"/>
  <c r="AE6" i="3"/>
  <c r="S3" i="3"/>
  <c r="AE3" i="3"/>
  <c r="S17" i="3"/>
  <c r="AE17" i="3"/>
  <c r="S19" i="3"/>
  <c r="AE19" i="3"/>
  <c r="S21" i="3"/>
  <c r="AE21" i="3"/>
  <c r="S23" i="3"/>
  <c r="AE23" i="3"/>
  <c r="S36" i="3"/>
  <c r="AE36" i="3"/>
  <c r="S38" i="3"/>
  <c r="AE38" i="3"/>
  <c r="S40" i="3"/>
  <c r="AE40" i="3"/>
  <c r="S42" i="3"/>
  <c r="AE42" i="3"/>
  <c r="S44" i="3"/>
  <c r="AE44" i="3"/>
  <c r="S46" i="3"/>
  <c r="AE46" i="3"/>
  <c r="S47" i="3"/>
  <c r="AE47" i="3"/>
  <c r="S53" i="3"/>
  <c r="AE53" i="3"/>
  <c r="S57" i="3"/>
  <c r="AE57" i="3"/>
  <c r="S67" i="3"/>
  <c r="AE67" i="3"/>
  <c r="S77" i="3"/>
  <c r="AE77" i="3"/>
  <c r="S99" i="3"/>
  <c r="AE99" i="3"/>
  <c r="S114" i="3"/>
  <c r="AE114" i="3"/>
  <c r="S276" i="3"/>
  <c r="V276" i="3"/>
  <c r="S286" i="3"/>
  <c r="AE286" i="3"/>
  <c r="S149" i="3"/>
  <c r="AE149" i="3"/>
  <c r="S161" i="3"/>
  <c r="AE161" i="3"/>
  <c r="S171" i="3"/>
  <c r="AE171" i="3"/>
  <c r="S174" i="3"/>
  <c r="AE174" i="3"/>
  <c r="S190" i="3"/>
  <c r="AE190" i="3"/>
  <c r="S195" i="3"/>
  <c r="AE195" i="3"/>
  <c r="S224" i="3"/>
  <c r="AE224" i="3"/>
  <c r="S235" i="3"/>
  <c r="V235" i="3"/>
  <c r="S240" i="3"/>
  <c r="V240" i="3"/>
  <c r="AE240" i="3"/>
  <c r="S242" i="3"/>
  <c r="V242" i="3"/>
  <c r="S244" i="3"/>
  <c r="V244" i="3"/>
  <c r="S246" i="3"/>
  <c r="V246" i="3"/>
  <c r="S261" i="3"/>
  <c r="AE261" i="3"/>
  <c r="S269" i="3"/>
  <c r="AE269" i="3"/>
  <c r="S273" i="3"/>
  <c r="AE273" i="3"/>
  <c r="S291" i="3"/>
  <c r="AE291" i="3"/>
  <c r="V291" i="3"/>
  <c r="S333" i="3"/>
  <c r="AE333" i="3"/>
  <c r="S339" i="3"/>
  <c r="V339" i="3"/>
  <c r="S340" i="3"/>
  <c r="AE340" i="3"/>
  <c r="S341" i="3"/>
  <c r="V341" i="3"/>
  <c r="S343" i="3"/>
  <c r="V343" i="3"/>
  <c r="S344" i="3"/>
  <c r="AE344" i="3"/>
  <c r="S366" i="3"/>
  <c r="AE366" i="3"/>
  <c r="S369" i="3"/>
  <c r="V369" i="3"/>
  <c r="S371" i="3"/>
  <c r="V371" i="3"/>
  <c r="S373" i="3"/>
  <c r="V373" i="3"/>
  <c r="S375" i="3"/>
  <c r="V375" i="3"/>
  <c r="S377" i="3"/>
  <c r="V377" i="3"/>
  <c r="S379" i="3"/>
  <c r="V379" i="3"/>
  <c r="S381" i="3"/>
  <c r="V381" i="3"/>
  <c r="S383" i="3"/>
  <c r="V383" i="3"/>
  <c r="S385" i="3"/>
  <c r="V385" i="3"/>
  <c r="S387" i="3"/>
  <c r="V387" i="3"/>
  <c r="S389" i="3"/>
  <c r="V389" i="3"/>
  <c r="S391" i="3"/>
  <c r="V391" i="3"/>
  <c r="S393" i="3"/>
  <c r="V393" i="3"/>
  <c r="AE393" i="3"/>
  <c r="S395" i="3"/>
  <c r="V395" i="3"/>
  <c r="V399" i="3"/>
  <c r="AE399" i="3"/>
  <c r="AE409" i="3"/>
  <c r="V409" i="3"/>
  <c r="S152" i="3"/>
  <c r="AE152" i="3"/>
  <c r="V248" i="3"/>
  <c r="AE248" i="3"/>
  <c r="AE252" i="3"/>
  <c r="V252" i="3"/>
  <c r="Y265" i="3"/>
  <c r="AB265" i="3"/>
  <c r="AB269" i="3"/>
  <c r="Y269" i="3"/>
  <c r="Y275" i="3"/>
  <c r="AB275" i="3"/>
  <c r="Y278" i="3"/>
  <c r="AB278" i="3"/>
  <c r="AB282" i="3"/>
  <c r="Y282" i="3"/>
  <c r="Y288" i="3"/>
  <c r="AB288" i="3"/>
  <c r="Y291" i="3"/>
  <c r="AB291" i="3"/>
  <c r="Y293" i="3"/>
  <c r="AB293" i="3"/>
  <c r="Y295" i="3"/>
  <c r="AB295" i="3"/>
  <c r="Y3" i="3"/>
  <c r="AB3" i="3"/>
  <c r="Y7" i="3"/>
  <c r="AB7" i="3"/>
  <c r="AB11" i="3"/>
  <c r="Y11" i="3"/>
  <c r="Y15" i="3"/>
  <c r="AB15" i="3"/>
  <c r="AB19" i="3"/>
  <c r="Y19" i="3"/>
  <c r="Y23" i="3"/>
  <c r="AB23" i="3"/>
  <c r="Y28" i="3"/>
  <c r="AB28" i="3"/>
  <c r="Y32" i="3"/>
  <c r="AB32" i="3"/>
  <c r="AB35" i="3"/>
  <c r="Y35" i="3"/>
  <c r="Y38" i="3"/>
  <c r="AB38" i="3"/>
  <c r="AB42" i="3"/>
  <c r="Y42" i="3"/>
  <c r="Y46" i="3"/>
  <c r="AB46" i="3"/>
  <c r="AB50" i="3"/>
  <c r="Y50" i="3"/>
  <c r="Y54" i="3"/>
  <c r="AB54" i="3"/>
  <c r="AB58" i="3"/>
  <c r="Y58" i="3"/>
  <c r="Y62" i="3"/>
  <c r="AB62" i="3"/>
  <c r="AB64" i="3"/>
  <c r="Y64" i="3"/>
  <c r="AB67" i="3"/>
  <c r="Y67" i="3"/>
  <c r="Y74" i="3"/>
  <c r="AB74" i="3"/>
  <c r="Y78" i="3"/>
  <c r="AB78" i="3"/>
  <c r="Y82" i="3"/>
  <c r="AB82" i="3"/>
  <c r="Y88" i="3"/>
  <c r="AB88" i="3"/>
  <c r="Y92" i="3"/>
  <c r="AB92" i="3"/>
  <c r="Y96" i="3"/>
  <c r="AB96" i="3"/>
  <c r="Y99" i="3"/>
  <c r="AB99" i="3"/>
  <c r="Y104" i="3"/>
  <c r="AB104" i="3"/>
  <c r="Y106" i="3"/>
  <c r="AB106" i="3"/>
  <c r="Y125" i="3"/>
  <c r="AB125" i="3"/>
  <c r="Y127" i="3"/>
  <c r="AB127" i="3"/>
  <c r="AB131" i="3"/>
  <c r="Y131" i="3"/>
  <c r="AB137" i="3"/>
  <c r="Y137" i="3"/>
  <c r="Y140" i="3"/>
  <c r="AB140" i="3"/>
  <c r="Y144" i="3"/>
  <c r="AB144" i="3"/>
  <c r="Y148" i="3"/>
  <c r="AB148" i="3"/>
  <c r="Y152" i="3"/>
  <c r="AB152" i="3"/>
  <c r="Y156" i="3"/>
  <c r="AB156" i="3"/>
  <c r="Y160" i="3"/>
  <c r="AB160" i="3"/>
  <c r="AB164" i="3"/>
  <c r="Y164" i="3"/>
  <c r="Y167" i="3"/>
  <c r="AB167" i="3"/>
  <c r="AB171" i="3"/>
  <c r="Y171" i="3"/>
  <c r="AB175" i="3"/>
  <c r="Y175" i="3"/>
  <c r="Y180" i="3"/>
  <c r="AB180" i="3"/>
  <c r="Y183" i="3"/>
  <c r="AB183" i="3"/>
  <c r="Y186" i="3"/>
  <c r="AB186" i="3"/>
  <c r="Y189" i="3"/>
  <c r="AB189" i="3"/>
  <c r="Y192" i="3"/>
  <c r="AB192" i="3"/>
  <c r="Y194" i="3"/>
  <c r="AB194" i="3"/>
  <c r="AB196" i="3"/>
  <c r="Y196" i="3"/>
  <c r="Y201" i="3"/>
  <c r="AB201" i="3"/>
  <c r="AB205" i="3"/>
  <c r="Y205" i="3"/>
  <c r="AB208" i="3"/>
  <c r="Y208" i="3"/>
  <c r="Y211" i="3"/>
  <c r="AB211" i="3"/>
  <c r="Y214" i="3"/>
  <c r="AB214" i="3"/>
  <c r="Y217" i="3"/>
  <c r="AB217" i="3"/>
  <c r="Y221" i="3"/>
  <c r="AB221" i="3"/>
  <c r="Y226" i="3"/>
  <c r="AB226" i="3"/>
  <c r="AB229" i="3"/>
  <c r="Y229" i="3"/>
  <c r="Y233" i="3"/>
  <c r="AB233" i="3"/>
  <c r="AB237" i="3"/>
  <c r="Y237" i="3"/>
  <c r="AB241" i="3"/>
  <c r="Y241" i="3"/>
  <c r="Y245" i="3"/>
  <c r="AB245" i="3"/>
  <c r="Y249" i="3"/>
  <c r="AB249" i="3"/>
  <c r="Y253" i="3"/>
  <c r="AB253" i="3"/>
  <c r="Y257" i="3"/>
  <c r="AB257" i="3"/>
  <c r="AB262" i="3"/>
  <c r="Y262" i="3"/>
  <c r="AB266" i="3"/>
  <c r="Y266" i="3"/>
  <c r="Y270" i="3"/>
  <c r="AB270" i="3"/>
  <c r="AB274" i="3"/>
  <c r="Y274" i="3"/>
  <c r="Y280" i="3"/>
  <c r="AB280" i="3"/>
  <c r="Y284" i="3"/>
  <c r="AB284" i="3"/>
  <c r="Y287" i="3"/>
  <c r="AB287" i="3"/>
  <c r="Y292" i="3"/>
  <c r="AB292" i="3"/>
  <c r="S397" i="3"/>
  <c r="S399" i="3"/>
  <c r="S401" i="3"/>
  <c r="S403" i="3"/>
  <c r="S405" i="3"/>
  <c r="S407" i="3"/>
  <c r="S409" i="3"/>
  <c r="S411" i="3"/>
  <c r="S414" i="3"/>
  <c r="S416" i="3"/>
  <c r="S119" i="3"/>
  <c r="S123" i="3"/>
  <c r="S126" i="3"/>
  <c r="S128" i="3"/>
  <c r="S130" i="3"/>
  <c r="S132" i="3"/>
  <c r="S133" i="3"/>
  <c r="S135" i="3"/>
  <c r="S139" i="3"/>
  <c r="S141" i="3"/>
  <c r="S147" i="3"/>
  <c r="S150" i="3"/>
  <c r="S154" i="3"/>
  <c r="S155" i="3"/>
  <c r="S158" i="3"/>
  <c r="AB223" i="3"/>
  <c r="Y223" i="3"/>
  <c r="AB227" i="3"/>
  <c r="Y227" i="3"/>
  <c r="AB232" i="3"/>
  <c r="Y232" i="3"/>
  <c r="Y236" i="3"/>
  <c r="AB236" i="3"/>
  <c r="Y240" i="3"/>
  <c r="AB240" i="3"/>
  <c r="Y244" i="3"/>
  <c r="AB244" i="3"/>
  <c r="AB247" i="3"/>
  <c r="Y247" i="3"/>
  <c r="Y250" i="3"/>
  <c r="AB250" i="3"/>
  <c r="Y255" i="3"/>
  <c r="AB255" i="3"/>
  <c r="Y259" i="3"/>
  <c r="AB259" i="3"/>
  <c r="Y264" i="3"/>
  <c r="AB264" i="3"/>
  <c r="Y268" i="3"/>
  <c r="AB268" i="3"/>
  <c r="AB271" i="3"/>
  <c r="Y271" i="3"/>
  <c r="AB276" i="3"/>
  <c r="Y276" i="3"/>
  <c r="Y279" i="3"/>
  <c r="AB279" i="3"/>
  <c r="AB283" i="3"/>
  <c r="Y283" i="3"/>
  <c r="Y286" i="3"/>
  <c r="AB286" i="3"/>
  <c r="AB290" i="3"/>
  <c r="Y290" i="3"/>
  <c r="Y4" i="3"/>
  <c r="AB4" i="3"/>
  <c r="AB9" i="3"/>
  <c r="Y9" i="3"/>
  <c r="Y13" i="3"/>
  <c r="AB13" i="3"/>
  <c r="Y17" i="3"/>
  <c r="AB17" i="3"/>
  <c r="AB21" i="3"/>
  <c r="Y21" i="3"/>
  <c r="Y26" i="3"/>
  <c r="AB26" i="3"/>
  <c r="AB29" i="3"/>
  <c r="Y29" i="3"/>
  <c r="Y33" i="3"/>
  <c r="AB33" i="3"/>
  <c r="Y40" i="3"/>
  <c r="AB40" i="3"/>
  <c r="AB43" i="3"/>
  <c r="Y43" i="3"/>
  <c r="Y47" i="3"/>
  <c r="AB47" i="3"/>
  <c r="Y51" i="3"/>
  <c r="AB51" i="3"/>
  <c r="AB56" i="3"/>
  <c r="Y56" i="3"/>
  <c r="Y60" i="3"/>
  <c r="AB60" i="3"/>
  <c r="Y66" i="3"/>
  <c r="AB66" i="3"/>
  <c r="Y70" i="3"/>
  <c r="AB70" i="3"/>
  <c r="Y71" i="3"/>
  <c r="AB71" i="3"/>
  <c r="Y75" i="3"/>
  <c r="AB75" i="3"/>
  <c r="AB81" i="3"/>
  <c r="Y81" i="3"/>
  <c r="Y85" i="3"/>
  <c r="AB85" i="3"/>
  <c r="Y89" i="3"/>
  <c r="AB89" i="3"/>
  <c r="AB93" i="3"/>
  <c r="Y93" i="3"/>
  <c r="Y97" i="3"/>
  <c r="AB97" i="3"/>
  <c r="Y101" i="3"/>
  <c r="AB101" i="3"/>
  <c r="Y105" i="3"/>
  <c r="AB105" i="3"/>
  <c r="Y109" i="3"/>
  <c r="AB109" i="3"/>
  <c r="AB114" i="3"/>
  <c r="Y114" i="3"/>
  <c r="AB118" i="3"/>
  <c r="Y118" i="3"/>
  <c r="AB122" i="3"/>
  <c r="Y122" i="3"/>
  <c r="Y124" i="3"/>
  <c r="AB124" i="3"/>
  <c r="Y129" i="3"/>
  <c r="AB129" i="3"/>
  <c r="Y133" i="3"/>
  <c r="AB133" i="3"/>
  <c r="Y136" i="3"/>
  <c r="AB136" i="3"/>
  <c r="AB138" i="3"/>
  <c r="Y138" i="3"/>
  <c r="AB141" i="3"/>
  <c r="Y141" i="3"/>
  <c r="AB145" i="3"/>
  <c r="Y145" i="3"/>
  <c r="AB149" i="3"/>
  <c r="Y149" i="3"/>
  <c r="AB153" i="3"/>
  <c r="Y153" i="3"/>
  <c r="AB158" i="3"/>
  <c r="Y158" i="3"/>
  <c r="AB162" i="3"/>
  <c r="Y162" i="3"/>
  <c r="AB166" i="3"/>
  <c r="Y166" i="3"/>
  <c r="AB170" i="3"/>
  <c r="Y170" i="3"/>
  <c r="AB174" i="3"/>
  <c r="Y174" i="3"/>
  <c r="AB178" i="3"/>
  <c r="Y178" i="3"/>
  <c r="Y187" i="3"/>
  <c r="AB187" i="3"/>
  <c r="AB195" i="3"/>
  <c r="Y195" i="3"/>
  <c r="AB200" i="3"/>
  <c r="Y200" i="3"/>
  <c r="AB202" i="3"/>
  <c r="Y202" i="3"/>
  <c r="Y210" i="3"/>
  <c r="AB210" i="3"/>
  <c r="AB218" i="3"/>
  <c r="Y218" i="3"/>
  <c r="AB220" i="3"/>
  <c r="Y220" i="3"/>
  <c r="Y224" i="3"/>
  <c r="AB224" i="3"/>
  <c r="AB228" i="3"/>
  <c r="Y228" i="3"/>
  <c r="Y231" i="3"/>
  <c r="AB231" i="3"/>
  <c r="AB235" i="3"/>
  <c r="Y235" i="3"/>
  <c r="AB239" i="3"/>
  <c r="Y239" i="3"/>
  <c r="AB242" i="3"/>
  <c r="Y242" i="3"/>
  <c r="AB246" i="3"/>
  <c r="Y246" i="3"/>
  <c r="Y252" i="3"/>
  <c r="AB252" i="3"/>
  <c r="Y254" i="3"/>
  <c r="AB254" i="3"/>
  <c r="AB258" i="3"/>
  <c r="Y258" i="3"/>
  <c r="AB261" i="3"/>
  <c r="Y261" i="3"/>
  <c r="Y6" i="3"/>
  <c r="AB6" i="3"/>
  <c r="Y8" i="3"/>
  <c r="AB8" i="3"/>
  <c r="Y12" i="3"/>
  <c r="AB12" i="3"/>
  <c r="Y16" i="3"/>
  <c r="AB16" i="3"/>
  <c r="Y20" i="3"/>
  <c r="AB20" i="3"/>
  <c r="Y24" i="3"/>
  <c r="AB24" i="3"/>
  <c r="AB27" i="3"/>
  <c r="Y27" i="3"/>
  <c r="AB31" i="3"/>
  <c r="Y31" i="3"/>
  <c r="AB36" i="3"/>
  <c r="Y36" i="3"/>
  <c r="AB37" i="3"/>
  <c r="Y37" i="3"/>
  <c r="AB41" i="3"/>
  <c r="Y41" i="3"/>
  <c r="AB45" i="3"/>
  <c r="Y45" i="3"/>
  <c r="Y49" i="3"/>
  <c r="AB49" i="3"/>
  <c r="Y53" i="3"/>
  <c r="AB53" i="3"/>
  <c r="Y57" i="3"/>
  <c r="AB57" i="3"/>
  <c r="Y59" i="3"/>
  <c r="AB59" i="3"/>
  <c r="Y65" i="3"/>
  <c r="AB65" i="3"/>
  <c r="Y69" i="3"/>
  <c r="AB69" i="3"/>
  <c r="Y73" i="3"/>
  <c r="AB73" i="3"/>
  <c r="AB76" i="3"/>
  <c r="Y76" i="3"/>
  <c r="Y80" i="3"/>
  <c r="AB80" i="3"/>
  <c r="Y83" i="3"/>
  <c r="AB83" i="3"/>
  <c r="AB87" i="3"/>
  <c r="Y87" i="3"/>
  <c r="AB91" i="3"/>
  <c r="Y91" i="3"/>
  <c r="AB95" i="3"/>
  <c r="Y95" i="3"/>
  <c r="Y100" i="3"/>
  <c r="AB100" i="3"/>
  <c r="Y103" i="3"/>
  <c r="AB103" i="3"/>
  <c r="Y107" i="3"/>
  <c r="AB107" i="3"/>
  <c r="Y111" i="3"/>
  <c r="AB111" i="3"/>
  <c r="AB115" i="3"/>
  <c r="Y115" i="3"/>
  <c r="Y119" i="3"/>
  <c r="AB119" i="3"/>
  <c r="Y123" i="3"/>
  <c r="AB123" i="3"/>
  <c r="Y128" i="3"/>
  <c r="AB128" i="3"/>
  <c r="Y132" i="3"/>
  <c r="AB132" i="3"/>
  <c r="Y135" i="3"/>
  <c r="AB135" i="3"/>
  <c r="AB142" i="3"/>
  <c r="Y142" i="3"/>
  <c r="AB146" i="3"/>
  <c r="Y146" i="3"/>
  <c r="AB150" i="3"/>
  <c r="Y150" i="3"/>
  <c r="AB154" i="3"/>
  <c r="Y154" i="3"/>
  <c r="Y157" i="3"/>
  <c r="AB157" i="3"/>
  <c r="Y161" i="3"/>
  <c r="AB161" i="3"/>
  <c r="AB168" i="3"/>
  <c r="Y168" i="3"/>
  <c r="AB172" i="3"/>
  <c r="Y172" i="3"/>
  <c r="AB176" i="3"/>
  <c r="Y176" i="3"/>
  <c r="Y179" i="3"/>
  <c r="AB179" i="3"/>
  <c r="AB182" i="3"/>
  <c r="Y182" i="3"/>
  <c r="Y185" i="3"/>
  <c r="AB185" i="3"/>
  <c r="Y188" i="3"/>
  <c r="AB188" i="3"/>
  <c r="AB191" i="3"/>
  <c r="Y191" i="3"/>
  <c r="AB197" i="3"/>
  <c r="Y197" i="3"/>
  <c r="AB199" i="3"/>
  <c r="Y199" i="3"/>
  <c r="AB203" i="3"/>
  <c r="Y203" i="3"/>
  <c r="AB206" i="3"/>
  <c r="Y206" i="3"/>
  <c r="Y209" i="3"/>
  <c r="AB209" i="3"/>
  <c r="Y213" i="3"/>
  <c r="AB213" i="3"/>
  <c r="AB216" i="3"/>
  <c r="Y216" i="3"/>
  <c r="AB222" i="3"/>
  <c r="Y222" i="3"/>
  <c r="Y225" i="3"/>
  <c r="AB225" i="3"/>
  <c r="AB230" i="3"/>
  <c r="Y230" i="3"/>
  <c r="Y234" i="3"/>
  <c r="AB234" i="3"/>
  <c r="AB238" i="3"/>
  <c r="Y238" i="3"/>
  <c r="AB243" i="3"/>
  <c r="Y243" i="3"/>
  <c r="AB248" i="3"/>
  <c r="Y248" i="3"/>
  <c r="AB251" i="3"/>
  <c r="Y251" i="3"/>
  <c r="Y256" i="3"/>
  <c r="AB256" i="3"/>
  <c r="AB260" i="3"/>
  <c r="Y260" i="3"/>
  <c r="AB263" i="3"/>
  <c r="Y263" i="3"/>
  <c r="AB267" i="3"/>
  <c r="Y267" i="3"/>
  <c r="Y343" i="3"/>
  <c r="AB343" i="3"/>
  <c r="AB345" i="3"/>
  <c r="Y345" i="3"/>
  <c r="Y347" i="3"/>
  <c r="AB347" i="3"/>
  <c r="Y349" i="3"/>
  <c r="AB349" i="3"/>
  <c r="Y351" i="3"/>
  <c r="AB351" i="3"/>
  <c r="Y353" i="3"/>
  <c r="AB353" i="3"/>
  <c r="Y355" i="3"/>
  <c r="AB355" i="3"/>
  <c r="AB357" i="3"/>
  <c r="Y357" i="3"/>
  <c r="Y359" i="3"/>
  <c r="AB359" i="3"/>
  <c r="Y361" i="3"/>
  <c r="AB361" i="3"/>
  <c r="Y363" i="3"/>
  <c r="AB363" i="3"/>
  <c r="AB365" i="3"/>
  <c r="Y365" i="3"/>
  <c r="AB367" i="3"/>
  <c r="Y367" i="3"/>
  <c r="AB369" i="3"/>
  <c r="Y369" i="3"/>
  <c r="Y371" i="3"/>
  <c r="AB371" i="3"/>
  <c r="Y373" i="3"/>
  <c r="AB373" i="3"/>
  <c r="AB375" i="3"/>
  <c r="Y375" i="3"/>
  <c r="AB377" i="3"/>
  <c r="Y377" i="3"/>
  <c r="Y379" i="3"/>
  <c r="AB379" i="3"/>
  <c r="AB381" i="3"/>
  <c r="Y381" i="3"/>
  <c r="AB383" i="3"/>
  <c r="Y383" i="3"/>
  <c r="AB385" i="3"/>
  <c r="Y385" i="3"/>
  <c r="AB387" i="3"/>
  <c r="Y387" i="3"/>
  <c r="AB389" i="3"/>
  <c r="Y389" i="3"/>
  <c r="AB391" i="3"/>
  <c r="Y391" i="3"/>
  <c r="Y393" i="3"/>
  <c r="AB393" i="3"/>
  <c r="Y395" i="3"/>
  <c r="AB395" i="3"/>
  <c r="Y397" i="3"/>
  <c r="AB397" i="3"/>
  <c r="Y399" i="3"/>
  <c r="AB399" i="3"/>
  <c r="AB401" i="3"/>
  <c r="Y401" i="3"/>
  <c r="Y403" i="3"/>
  <c r="AB403" i="3"/>
  <c r="Y405" i="3"/>
  <c r="AB405" i="3"/>
  <c r="AB407" i="3"/>
  <c r="Y407" i="3"/>
  <c r="Y409" i="3"/>
  <c r="AB409" i="3"/>
  <c r="AB411" i="3"/>
  <c r="Y411" i="3"/>
  <c r="Y413" i="3"/>
  <c r="AB413" i="3"/>
  <c r="Y415" i="3"/>
  <c r="AB415" i="3"/>
  <c r="Y5" i="3"/>
  <c r="AB5" i="3"/>
  <c r="AB10" i="3"/>
  <c r="Y10" i="3"/>
  <c r="AB22" i="3"/>
  <c r="Y22" i="3"/>
  <c r="AB30" i="3"/>
  <c r="Y30" i="3"/>
  <c r="Y44" i="3"/>
  <c r="AB44" i="3"/>
  <c r="Y52" i="3"/>
  <c r="AB52" i="3"/>
  <c r="AB63" i="3"/>
  <c r="Y63" i="3"/>
  <c r="AB77" i="3"/>
  <c r="Y77" i="3"/>
  <c r="Y84" i="3"/>
  <c r="AB84" i="3"/>
  <c r="Y94" i="3"/>
  <c r="AB94" i="3"/>
  <c r="AB108" i="3"/>
  <c r="Y108" i="3"/>
  <c r="Y116" i="3"/>
  <c r="AB116" i="3"/>
  <c r="AB130" i="3"/>
  <c r="Y130" i="3"/>
  <c r="AB143" i="3"/>
  <c r="Y143" i="3"/>
  <c r="Y151" i="3"/>
  <c r="AB151" i="3"/>
  <c r="Y163" i="3"/>
  <c r="AB163" i="3"/>
  <c r="AB173" i="3"/>
  <c r="Y173" i="3"/>
  <c r="Y181" i="3"/>
  <c r="AB181" i="3"/>
  <c r="AB193" i="3"/>
  <c r="Y193" i="3"/>
  <c r="Y204" i="3"/>
  <c r="AB204" i="3"/>
  <c r="AB215" i="3"/>
  <c r="Y215" i="3"/>
  <c r="Y272" i="3"/>
  <c r="AB272" i="3"/>
  <c r="Y273" i="3"/>
  <c r="AB273" i="3"/>
  <c r="AB277" i="3"/>
  <c r="Y277" i="3"/>
  <c r="AB281" i="3"/>
  <c r="Y281" i="3"/>
  <c r="Y285" i="3"/>
  <c r="AB285" i="3"/>
  <c r="AB289" i="3"/>
  <c r="Y289" i="3"/>
  <c r="AB294" i="3"/>
  <c r="Y294" i="3"/>
  <c r="AB296" i="3"/>
  <c r="Y296" i="3"/>
  <c r="Y297" i="3"/>
  <c r="AB297" i="3"/>
  <c r="AB298" i="3"/>
  <c r="Y298" i="3"/>
  <c r="Y299" i="3"/>
  <c r="AB299" i="3"/>
  <c r="Y300" i="3"/>
  <c r="AB300" i="3"/>
  <c r="AB301" i="3"/>
  <c r="Y301" i="3"/>
  <c r="AB302" i="3"/>
  <c r="Y302" i="3"/>
  <c r="Y303" i="3"/>
  <c r="AB303" i="3"/>
  <c r="AB304" i="3"/>
  <c r="Y304" i="3"/>
  <c r="Y305" i="3"/>
  <c r="AB305" i="3"/>
  <c r="AB306" i="3"/>
  <c r="Y306" i="3"/>
  <c r="AB307" i="3"/>
  <c r="Y307" i="3"/>
  <c r="Y308" i="3"/>
  <c r="AB308" i="3"/>
  <c r="Y309" i="3"/>
  <c r="AB309" i="3"/>
  <c r="Y310" i="3"/>
  <c r="AB310" i="3"/>
  <c r="AB311" i="3"/>
  <c r="Y311" i="3"/>
  <c r="Y312" i="3"/>
  <c r="AB312" i="3"/>
  <c r="AB313" i="3"/>
  <c r="Y313" i="3"/>
  <c r="Y314" i="3"/>
  <c r="AB314" i="3"/>
  <c r="AB315" i="3"/>
  <c r="Y315" i="3"/>
  <c r="Y316" i="3"/>
  <c r="AB316" i="3"/>
  <c r="Y317" i="3"/>
  <c r="AB317" i="3"/>
  <c r="Y318" i="3"/>
  <c r="AB318" i="3"/>
  <c r="Y319" i="3"/>
  <c r="AB319" i="3"/>
  <c r="AB320" i="3"/>
  <c r="Y320" i="3"/>
  <c r="AB321" i="3"/>
  <c r="Y321" i="3"/>
  <c r="AB322" i="3"/>
  <c r="Y322" i="3"/>
  <c r="Y323" i="3"/>
  <c r="AB323" i="3"/>
  <c r="Y324" i="3"/>
  <c r="AB324" i="3"/>
  <c r="AB325" i="3"/>
  <c r="Y325" i="3"/>
  <c r="Y326" i="3"/>
  <c r="AB326" i="3"/>
  <c r="Y327" i="3"/>
  <c r="AB327" i="3"/>
  <c r="AB328" i="3"/>
  <c r="Y328" i="3"/>
  <c r="Y329" i="3"/>
  <c r="AB329" i="3"/>
  <c r="AB330" i="3"/>
  <c r="Y330" i="3"/>
  <c r="Y331" i="3"/>
  <c r="AB331" i="3"/>
  <c r="Y332" i="3"/>
  <c r="AB332" i="3"/>
  <c r="Y333" i="3"/>
  <c r="AB333" i="3"/>
  <c r="AB334" i="3"/>
  <c r="Y334" i="3"/>
  <c r="AB335" i="3"/>
  <c r="Y335" i="3"/>
  <c r="AB336" i="3"/>
  <c r="Y336" i="3"/>
  <c r="AB337" i="3"/>
  <c r="Y337" i="3"/>
  <c r="AB338" i="3"/>
  <c r="Y338" i="3"/>
  <c r="AB339" i="3"/>
  <c r="Y339" i="3"/>
  <c r="AB340" i="3"/>
  <c r="Y340" i="3"/>
  <c r="Y341" i="3"/>
  <c r="AB341" i="3"/>
  <c r="AB342" i="3"/>
  <c r="Y342" i="3"/>
  <c r="Y344" i="3"/>
  <c r="AB344" i="3"/>
  <c r="Y346" i="3"/>
  <c r="AB346" i="3"/>
  <c r="Y348" i="3"/>
  <c r="AB348" i="3"/>
  <c r="AB350" i="3"/>
  <c r="Y350" i="3"/>
  <c r="Y352" i="3"/>
  <c r="AB352" i="3"/>
  <c r="AB354" i="3"/>
  <c r="Y354" i="3"/>
  <c r="Y356" i="3"/>
  <c r="AB356" i="3"/>
  <c r="Y358" i="3"/>
  <c r="AB358" i="3"/>
  <c r="Y360" i="3"/>
  <c r="AB360" i="3"/>
  <c r="Y362" i="3"/>
  <c r="AB362" i="3"/>
  <c r="AB364" i="3"/>
  <c r="Y364" i="3"/>
  <c r="AB366" i="3"/>
  <c r="Y366" i="3"/>
  <c r="Y368" i="3"/>
  <c r="AB368" i="3"/>
  <c r="Y370" i="3"/>
  <c r="AB370" i="3"/>
  <c r="Y372" i="3"/>
  <c r="AB372" i="3"/>
  <c r="AB374" i="3"/>
  <c r="Y374" i="3"/>
  <c r="Y376" i="3"/>
  <c r="AB376" i="3"/>
  <c r="Y378" i="3"/>
  <c r="AB378" i="3"/>
  <c r="Y380" i="3"/>
  <c r="AB380" i="3"/>
  <c r="Y382" i="3"/>
  <c r="AB382" i="3"/>
  <c r="Y384" i="3"/>
  <c r="AB384" i="3"/>
  <c r="Y386" i="3"/>
  <c r="AB386" i="3"/>
  <c r="Y388" i="3"/>
  <c r="AB388" i="3"/>
  <c r="Y390" i="3"/>
  <c r="AB390" i="3"/>
  <c r="Y392" i="3"/>
  <c r="AB392" i="3"/>
  <c r="AB394" i="3"/>
  <c r="Y394" i="3"/>
  <c r="Y396" i="3"/>
  <c r="AB396" i="3"/>
  <c r="Y398" i="3"/>
  <c r="AB398" i="3"/>
  <c r="AB400" i="3"/>
  <c r="Y400" i="3"/>
  <c r="AB402" i="3"/>
  <c r="Y402" i="3"/>
  <c r="Y404" i="3"/>
  <c r="AB404" i="3"/>
  <c r="AB406" i="3"/>
  <c r="Y406" i="3"/>
  <c r="Y408" i="3"/>
  <c r="AB408" i="3"/>
  <c r="Y410" i="3"/>
  <c r="AB410" i="3"/>
  <c r="Y412" i="3"/>
  <c r="AB412" i="3"/>
  <c r="AB414" i="3"/>
  <c r="Y414" i="3"/>
  <c r="Y417" i="3"/>
  <c r="AB417" i="3"/>
  <c r="AB14" i="3"/>
  <c r="Y14" i="3"/>
  <c r="Y25" i="3"/>
  <c r="AB25" i="3"/>
  <c r="AB34" i="3"/>
  <c r="Y34" i="3"/>
  <c r="Y48" i="3"/>
  <c r="AB48" i="3"/>
  <c r="Y61" i="3"/>
  <c r="AB61" i="3"/>
  <c r="Y68" i="3"/>
  <c r="AB68" i="3"/>
  <c r="AB79" i="3"/>
  <c r="Y79" i="3"/>
  <c r="AB90" i="3"/>
  <c r="Y90" i="3"/>
  <c r="AB98" i="3"/>
  <c r="Y98" i="3"/>
  <c r="Y112" i="3"/>
  <c r="AB112" i="3"/>
  <c r="AB126" i="3"/>
  <c r="Y126" i="3"/>
  <c r="Y134" i="3"/>
  <c r="AB134" i="3"/>
  <c r="AB147" i="3"/>
  <c r="Y147" i="3"/>
  <c r="Y159" i="3"/>
  <c r="AB159" i="3"/>
  <c r="Y165" i="3"/>
  <c r="AB165" i="3"/>
  <c r="AB177" i="3"/>
  <c r="Y177" i="3"/>
  <c r="Y190" i="3"/>
  <c r="AB190" i="3"/>
  <c r="AB198" i="3"/>
  <c r="Y198" i="3"/>
  <c r="AB212" i="3"/>
  <c r="Y212" i="3"/>
  <c r="Y219" i="3"/>
  <c r="AB219" i="3"/>
  <c r="Y416" i="3"/>
  <c r="AB416" i="3"/>
  <c r="AB18" i="3"/>
  <c r="Y18" i="3"/>
  <c r="Y39" i="3"/>
  <c r="AB39" i="3"/>
  <c r="Y55" i="3"/>
  <c r="AB55" i="3"/>
  <c r="AB72" i="3"/>
  <c r="Y72" i="3"/>
  <c r="AB86" i="3"/>
  <c r="Y86" i="3"/>
  <c r="AB102" i="3"/>
  <c r="Y102" i="3"/>
  <c r="Y120" i="3"/>
  <c r="AB120" i="3"/>
  <c r="Y139" i="3"/>
  <c r="AB139" i="3"/>
  <c r="AB155" i="3"/>
  <c r="Y155" i="3"/>
  <c r="Y169" i="3"/>
  <c r="AB169" i="3"/>
  <c r="Y184" i="3"/>
  <c r="AB184" i="3"/>
  <c r="AB207" i="3"/>
  <c r="Y207" i="3"/>
  <c r="S41" i="3"/>
  <c r="S30" i="3"/>
  <c r="S26" i="3"/>
  <c r="S8" i="3"/>
  <c r="S5" i="3"/>
  <c r="S390" i="3"/>
  <c r="S357" i="3"/>
  <c r="S346" i="3"/>
  <c r="S328" i="3"/>
  <c r="S323" i="3"/>
  <c r="S318" i="3"/>
  <c r="S314" i="3"/>
  <c r="S309" i="3"/>
  <c r="S305" i="3"/>
  <c r="S300" i="3"/>
  <c r="S98" i="3"/>
  <c r="S81" i="3"/>
  <c r="S76" i="3"/>
  <c r="S68" i="3"/>
  <c r="S56" i="3"/>
  <c r="S48" i="3"/>
  <c r="S45" i="3"/>
  <c r="S18" i="3"/>
  <c r="S16" i="3"/>
  <c r="S12" i="3"/>
  <c r="S408" i="3"/>
  <c r="S404" i="3"/>
  <c r="S400" i="3"/>
  <c r="S396" i="3"/>
  <c r="S382" i="3"/>
  <c r="S376" i="3"/>
  <c r="S372" i="3"/>
  <c r="S367" i="3"/>
  <c r="S361" i="3"/>
  <c r="S349" i="3"/>
  <c r="S330" i="3"/>
  <c r="S324" i="3"/>
  <c r="S319" i="3"/>
  <c r="S313" i="3"/>
  <c r="S308" i="3"/>
  <c r="S304" i="3"/>
  <c r="S299" i="3"/>
  <c r="S281" i="3"/>
  <c r="S277" i="3"/>
  <c r="S72" i="3"/>
  <c r="S55" i="3"/>
  <c r="S39" i="3"/>
  <c r="S37" i="3"/>
  <c r="S321" i="3"/>
  <c r="S312" i="3"/>
  <c r="S303" i="3"/>
  <c r="S275" i="3"/>
  <c r="S272" i="3"/>
  <c r="S93" i="3"/>
  <c r="S71" i="3"/>
  <c r="S64" i="3"/>
  <c r="S58" i="3"/>
  <c r="S54" i="3"/>
  <c r="S33" i="3"/>
  <c r="S20" i="3"/>
  <c r="S102" i="3"/>
  <c r="S95" i="3"/>
  <c r="S378" i="3"/>
  <c r="S363" i="3"/>
  <c r="S345" i="3"/>
  <c r="S327" i="3"/>
  <c r="S317" i="3"/>
  <c r="S307" i="3"/>
  <c r="S297" i="3"/>
  <c r="S285" i="3"/>
  <c r="S268" i="3"/>
  <c r="S115" i="3"/>
  <c r="S112" i="3"/>
  <c r="S108" i="3"/>
  <c r="S104" i="3"/>
  <c r="S100" i="3"/>
  <c r="S160" i="3"/>
  <c r="S162" i="3"/>
  <c r="S164" i="3"/>
  <c r="S166" i="3"/>
  <c r="S168" i="3"/>
  <c r="S175" i="3"/>
  <c r="S176" i="3"/>
  <c r="S177" i="3"/>
  <c r="S178" i="3"/>
  <c r="S179" i="3"/>
  <c r="S180" i="3"/>
  <c r="S181" i="3"/>
  <c r="S182" i="3"/>
  <c r="S183" i="3"/>
  <c r="S184" i="3"/>
  <c r="S185" i="3"/>
  <c r="S187" i="3"/>
  <c r="S189" i="3"/>
  <c r="S191" i="3"/>
  <c r="S194" i="3"/>
  <c r="S196" i="3"/>
  <c r="S197" i="3"/>
  <c r="S199" i="3"/>
  <c r="S201" i="3"/>
  <c r="S223" i="3"/>
  <c r="S226" i="3"/>
  <c r="S228" i="3"/>
  <c r="S230" i="3"/>
  <c r="S232" i="3"/>
  <c r="S234" i="3"/>
  <c r="S237" i="3"/>
  <c r="S239" i="3"/>
  <c r="S241" i="3"/>
  <c r="S243" i="3"/>
  <c r="S245" i="3"/>
  <c r="S248" i="3"/>
  <c r="S250" i="3"/>
  <c r="S252" i="3"/>
  <c r="S254" i="3"/>
  <c r="S256" i="3"/>
  <c r="S258" i="3"/>
  <c r="S260" i="3"/>
  <c r="S262" i="3"/>
  <c r="S90" i="3"/>
  <c r="S415" i="3"/>
  <c r="S392" i="3"/>
  <c r="S388" i="3"/>
  <c r="S350" i="3"/>
  <c r="S332" i="3"/>
  <c r="S417" i="3"/>
  <c r="S43" i="3"/>
  <c r="S24" i="3"/>
  <c r="S2" i="3"/>
  <c r="AB2" i="3"/>
  <c r="V2" i="3"/>
  <c r="S290" i="3"/>
  <c r="S296" i="3"/>
  <c r="S118" i="3"/>
  <c r="S120" i="3"/>
  <c r="S122" i="3"/>
  <c r="S124" i="3"/>
  <c r="S125" i="3"/>
  <c r="S127" i="3"/>
  <c r="S129" i="3"/>
  <c r="S131" i="3"/>
  <c r="S134" i="3"/>
  <c r="S136" i="3"/>
  <c r="S138" i="3"/>
  <c r="S140" i="3"/>
  <c r="S142" i="3"/>
  <c r="S143" i="3"/>
  <c r="S145" i="3"/>
  <c r="S146" i="3"/>
  <c r="S229" i="3"/>
  <c r="S255" i="3"/>
  <c r="F522" i="3"/>
  <c r="F467" i="3"/>
  <c r="F437" i="3"/>
  <c r="F438" i="3"/>
  <c r="F514" i="3"/>
  <c r="F459" i="3"/>
  <c r="F545" i="3"/>
  <c r="F520" i="3"/>
  <c r="F440" i="3"/>
  <c r="F453" i="3"/>
  <c r="F539" i="3"/>
  <c r="F510" i="3"/>
  <c r="F419" i="3"/>
  <c r="F518" i="3"/>
  <c r="F464" i="3"/>
  <c r="F430" i="3"/>
  <c r="F524" i="3"/>
  <c r="F474" i="3"/>
  <c r="F439" i="3"/>
  <c r="F461" i="3"/>
  <c r="F523" i="3"/>
  <c r="F492" i="3"/>
  <c r="F456" i="3"/>
  <c r="F500" i="3"/>
  <c r="F525" i="3"/>
  <c r="F468" i="3"/>
  <c r="F450" i="3"/>
  <c r="F445" i="3"/>
  <c r="F447" i="3"/>
  <c r="F521" i="3"/>
  <c r="F425" i="3"/>
  <c r="F457" i="3"/>
  <c r="F431" i="3"/>
  <c r="F530" i="3"/>
  <c r="F513" i="3"/>
  <c r="F493" i="3"/>
  <c r="F538" i="3"/>
  <c r="F472" i="3"/>
  <c r="F449" i="3"/>
  <c r="F483" i="3"/>
  <c r="F454" i="3"/>
  <c r="F509" i="3"/>
  <c r="F517" i="3"/>
  <c r="F504" i="3"/>
  <c r="F511" i="3"/>
  <c r="F466" i="3"/>
  <c r="F526" i="3"/>
  <c r="F505" i="3"/>
  <c r="F494" i="3"/>
  <c r="F491" i="3"/>
  <c r="F462" i="3"/>
  <c r="F536" i="3"/>
  <c r="F460" i="3"/>
  <c r="F495" i="3"/>
  <c r="F503" i="3"/>
  <c r="F418" i="3"/>
  <c r="F543" i="3"/>
  <c r="F508" i="3"/>
  <c r="F429" i="3"/>
  <c r="F482" i="3"/>
  <c r="F427" i="3"/>
  <c r="F531" i="3"/>
  <c r="F501" i="3"/>
  <c r="F502" i="3"/>
  <c r="F441" i="3"/>
  <c r="F423" i="3"/>
  <c r="F476" i="3"/>
  <c r="F487" i="3"/>
  <c r="F448" i="3"/>
  <c r="F512" i="3"/>
  <c r="F446" i="3"/>
  <c r="F489" i="3"/>
  <c r="F535" i="3"/>
  <c r="F496" i="3"/>
  <c r="F433" i="3"/>
  <c r="F479" i="3"/>
  <c r="F528" i="3"/>
  <c r="F475" i="3"/>
  <c r="H511" i="3" l="1"/>
  <c r="H446" i="3"/>
  <c r="H525" i="3"/>
  <c r="H530" i="3"/>
  <c r="H528" i="3"/>
  <c r="H513" i="3"/>
  <c r="H479" i="3"/>
  <c r="H456" i="3"/>
  <c r="H526" i="3"/>
  <c r="H468" i="3"/>
  <c r="H418" i="3"/>
  <c r="H425" i="3"/>
  <c r="H433" i="3"/>
  <c r="H458" i="3"/>
  <c r="H527" i="3"/>
  <c r="H423" i="3"/>
  <c r="H448" i="3"/>
  <c r="H544" i="3"/>
  <c r="H497" i="3"/>
  <c r="H438" i="3"/>
  <c r="H498" i="3"/>
  <c r="H496" i="3"/>
  <c r="H542" i="3"/>
  <c r="H512" i="3"/>
  <c r="H502" i="3"/>
  <c r="H540" i="3"/>
  <c r="H522" i="3"/>
  <c r="H537" i="3"/>
  <c r="H484" i="3"/>
  <c r="H535" i="3"/>
  <c r="H476" i="3"/>
  <c r="H506" i="3"/>
  <c r="H488" i="3"/>
  <c r="H501" i="3"/>
  <c r="H541" i="3"/>
  <c r="H499" i="3"/>
  <c r="H463" i="3"/>
  <c r="H457" i="3"/>
  <c r="H507" i="3"/>
  <c r="H424" i="3"/>
  <c r="H515" i="3"/>
  <c r="H450" i="3"/>
  <c r="H531" i="3"/>
  <c r="H487" i="3"/>
  <c r="H444" i="3"/>
  <c r="H467" i="3"/>
  <c r="H421" i="3"/>
  <c r="H534" i="3"/>
  <c r="H442" i="3"/>
  <c r="H473" i="3"/>
  <c r="H427" i="3"/>
  <c r="H478" i="3"/>
  <c r="H509" i="3"/>
  <c r="H533" i="3"/>
  <c r="H481" i="3"/>
  <c r="H470" i="3"/>
  <c r="H516" i="3"/>
  <c r="H436" i="3"/>
  <c r="H480" i="3"/>
  <c r="H435" i="3"/>
  <c r="H490" i="3"/>
  <c r="H486" i="3"/>
  <c r="H420" i="3"/>
  <c r="H432" i="3"/>
  <c r="H471" i="3"/>
  <c r="H437" i="3"/>
  <c r="H422" i="3"/>
  <c r="H451" i="3"/>
  <c r="H477" i="3"/>
  <c r="H452" i="3"/>
  <c r="H443" i="3"/>
  <c r="H469" i="3"/>
  <c r="H434" i="3"/>
  <c r="H529" i="3"/>
  <c r="H445" i="3"/>
  <c r="H426" i="3"/>
  <c r="H524" i="3"/>
  <c r="H514" i="3"/>
  <c r="H466" i="3"/>
  <c r="H532" i="3"/>
  <c r="H519" i="3"/>
  <c r="H483" i="3"/>
  <c r="H504" i="3"/>
  <c r="H543" i="3"/>
  <c r="H485" i="3"/>
  <c r="H428" i="3"/>
  <c r="H465" i="3"/>
  <c r="H517" i="3"/>
  <c r="H429" i="3"/>
  <c r="H441" i="3"/>
  <c r="H489" i="3"/>
  <c r="H492" i="3"/>
  <c r="H536" i="3"/>
  <c r="H462" i="3"/>
  <c r="H431" i="3"/>
  <c r="H482" i="3"/>
  <c r="H464" i="3"/>
  <c r="H419" i="3"/>
  <c r="H440" i="3"/>
  <c r="H508" i="3"/>
  <c r="H493" i="3"/>
  <c r="H460" i="3"/>
  <c r="H505" i="3"/>
  <c r="H491" i="3"/>
  <c r="H494" i="3"/>
  <c r="H459" i="3"/>
  <c r="H455" i="3"/>
  <c r="H495" i="3"/>
  <c r="H475" i="3"/>
  <c r="H520" i="3"/>
  <c r="L482" i="3"/>
  <c r="L543" i="3"/>
  <c r="L517" i="3"/>
  <c r="L471" i="3"/>
  <c r="L530" i="3"/>
  <c r="L536" i="3"/>
  <c r="L516" i="3"/>
  <c r="L432" i="3"/>
  <c r="L470" i="3"/>
  <c r="L475" i="3"/>
  <c r="L481" i="3"/>
  <c r="L435" i="3"/>
  <c r="H461" i="3"/>
  <c r="L461" i="3"/>
  <c r="L486" i="3"/>
  <c r="L445" i="3"/>
  <c r="L505" i="3"/>
  <c r="L540" i="3"/>
  <c r="H454" i="3"/>
  <c r="L454" i="3"/>
  <c r="L542" i="3"/>
  <c r="H430" i="3"/>
  <c r="L430" i="3"/>
  <c r="L509" i="3"/>
  <c r="H545" i="3"/>
  <c r="L545" i="3"/>
  <c r="L436" i="3"/>
  <c r="L483" i="3"/>
  <c r="H453" i="3"/>
  <c r="L453" i="3"/>
  <c r="H503" i="3"/>
  <c r="L503" i="3"/>
  <c r="L492" i="3"/>
  <c r="L426" i="3"/>
  <c r="H472" i="3"/>
  <c r="L472" i="3"/>
  <c r="L511" i="3"/>
  <c r="H523" i="3"/>
  <c r="L523" i="3"/>
  <c r="L508" i="3"/>
  <c r="L514" i="3"/>
  <c r="L465" i="3"/>
  <c r="L440" i="3"/>
  <c r="L457" i="3"/>
  <c r="L441" i="3"/>
  <c r="L479" i="3"/>
  <c r="L489" i="3"/>
  <c r="L418" i="3"/>
  <c r="L466" i="3"/>
  <c r="L448" i="3"/>
  <c r="L424" i="3"/>
  <c r="L419" i="3"/>
  <c r="L463" i="3"/>
  <c r="L458" i="3"/>
  <c r="L527" i="3"/>
  <c r="L459" i="3"/>
  <c r="L497" i="3"/>
  <c r="L512" i="3"/>
  <c r="H518" i="3"/>
  <c r="L518" i="3"/>
  <c r="H474" i="3"/>
  <c r="L474" i="3"/>
  <c r="H449" i="3"/>
  <c r="L449" i="3"/>
  <c r="L490" i="3"/>
  <c r="L507" i="3"/>
  <c r="L420" i="3"/>
  <c r="L460" i="3"/>
  <c r="L425" i="3"/>
  <c r="L520" i="3"/>
  <c r="L522" i="3"/>
  <c r="L469" i="3"/>
  <c r="L531" i="3"/>
  <c r="L422" i="3"/>
  <c r="L502" i="3"/>
  <c r="L519" i="3"/>
  <c r="L443" i="3"/>
  <c r="L433" i="3"/>
  <c r="L427" i="3"/>
  <c r="L431" i="3"/>
  <c r="L534" i="3"/>
  <c r="L473" i="3"/>
  <c r="H521" i="3"/>
  <c r="L521" i="3"/>
  <c r="L537" i="3"/>
  <c r="L468" i="3"/>
  <c r="L506" i="3"/>
  <c r="L525" i="3"/>
  <c r="L528" i="3"/>
  <c r="H447" i="3"/>
  <c r="L447" i="3"/>
  <c r="L533" i="3"/>
  <c r="L442" i="3"/>
  <c r="H439" i="3"/>
  <c r="L439" i="3"/>
  <c r="L444" i="3"/>
  <c r="L438" i="3"/>
  <c r="L495" i="3"/>
  <c r="L477" i="3"/>
  <c r="H539" i="3"/>
  <c r="L539" i="3"/>
  <c r="L421" i="3"/>
  <c r="L478" i="3"/>
  <c r="L515" i="3"/>
  <c r="L535" i="3"/>
  <c r="H538" i="3"/>
  <c r="L538" i="3"/>
  <c r="L450" i="3"/>
  <c r="L488" i="3"/>
  <c r="H500" i="3"/>
  <c r="L500" i="3"/>
  <c r="L504" i="3"/>
  <c r="L510" i="3"/>
  <c r="L484" i="3"/>
  <c r="L476" i="3"/>
  <c r="L494" i="3"/>
  <c r="L455" i="3"/>
  <c r="L462" i="3"/>
  <c r="L485" i="3"/>
  <c r="L467" i="3"/>
  <c r="L423" i="3"/>
  <c r="L487" i="3"/>
  <c r="L429" i="3"/>
  <c r="L464" i="3"/>
  <c r="L498" i="3"/>
  <c r="L456" i="3"/>
  <c r="L491" i="3"/>
  <c r="L532" i="3"/>
  <c r="L446" i="3"/>
  <c r="L434" i="3"/>
  <c r="L499" i="3"/>
  <c r="L529" i="3"/>
  <c r="L496" i="3"/>
  <c r="L501" i="3"/>
  <c r="L480" i="3"/>
  <c r="L526" i="3"/>
  <c r="L524" i="3"/>
  <c r="L493" i="3"/>
  <c r="L513" i="3"/>
  <c r="L451" i="3"/>
  <c r="L437" i="3"/>
  <c r="L428" i="3"/>
  <c r="L544" i="3"/>
  <c r="L452" i="3"/>
  <c r="L541" i="3"/>
  <c r="H510" i="3"/>
  <c r="S474" i="3" l="1"/>
  <c r="Y511" i="3"/>
  <c r="AB511" i="3"/>
  <c r="V511" i="3"/>
  <c r="AE511" i="3"/>
  <c r="AB446" i="3"/>
  <c r="AE446" i="3"/>
  <c r="Y446" i="3"/>
  <c r="V446" i="3"/>
  <c r="AE525" i="3"/>
  <c r="Y525" i="3"/>
  <c r="AB525" i="3"/>
  <c r="V525" i="3"/>
  <c r="AB530" i="3"/>
  <c r="AE530" i="3"/>
  <c r="V530" i="3"/>
  <c r="Y530" i="3"/>
  <c r="V528" i="3"/>
  <c r="Y528" i="3"/>
  <c r="AB528" i="3"/>
  <c r="AE528" i="3"/>
  <c r="AE513" i="3"/>
  <c r="AB513" i="3"/>
  <c r="V513" i="3"/>
  <c r="Y513" i="3"/>
  <c r="Y479" i="3"/>
  <c r="V479" i="3"/>
  <c r="AB479" i="3"/>
  <c r="AE479" i="3"/>
  <c r="Y456" i="3"/>
  <c r="AB456" i="3"/>
  <c r="AE456" i="3"/>
  <c r="V456" i="3"/>
  <c r="AE526" i="3"/>
  <c r="AB526" i="3"/>
  <c r="Y526" i="3"/>
  <c r="V526" i="3"/>
  <c r="AE468" i="3"/>
  <c r="Y468" i="3"/>
  <c r="V468" i="3"/>
  <c r="AB468" i="3"/>
  <c r="AB418" i="3"/>
  <c r="Y418" i="3"/>
  <c r="AE418" i="3"/>
  <c r="V418" i="3"/>
  <c r="AB425" i="3"/>
  <c r="Y425" i="3"/>
  <c r="AE425" i="3"/>
  <c r="V425" i="3"/>
  <c r="AE433" i="3"/>
  <c r="V433" i="3"/>
  <c r="Y433" i="3"/>
  <c r="AB433" i="3"/>
  <c r="V458" i="3"/>
  <c r="AB458" i="3"/>
  <c r="AE458" i="3"/>
  <c r="Y458" i="3"/>
  <c r="AE527" i="3"/>
  <c r="Y527" i="3"/>
  <c r="AB527" i="3"/>
  <c r="V527" i="3"/>
  <c r="AB423" i="3"/>
  <c r="Y423" i="3"/>
  <c r="V423" i="3"/>
  <c r="AE423" i="3"/>
  <c r="V448" i="3"/>
  <c r="AB448" i="3"/>
  <c r="Y448" i="3"/>
  <c r="AE448" i="3"/>
  <c r="AE544" i="3"/>
  <c r="V544" i="3"/>
  <c r="Y544" i="3"/>
  <c r="AB544" i="3"/>
  <c r="AE497" i="3"/>
  <c r="V497" i="3"/>
  <c r="AB497" i="3"/>
  <c r="Y497" i="3"/>
  <c r="V438" i="3"/>
  <c r="AE438" i="3"/>
  <c r="Y438" i="3"/>
  <c r="AB438" i="3"/>
  <c r="V498" i="3"/>
  <c r="AB498" i="3"/>
  <c r="Y498" i="3"/>
  <c r="AE498" i="3"/>
  <c r="AE496" i="3"/>
  <c r="V496" i="3"/>
  <c r="AB496" i="3"/>
  <c r="Y496" i="3"/>
  <c r="V542" i="3"/>
  <c r="AB542" i="3"/>
  <c r="Y542" i="3"/>
  <c r="AE542" i="3"/>
  <c r="Y512" i="3"/>
  <c r="AB512" i="3"/>
  <c r="AE512" i="3"/>
  <c r="V512" i="3"/>
  <c r="AB502" i="3"/>
  <c r="Y502" i="3"/>
  <c r="AE502" i="3"/>
  <c r="V502" i="3"/>
  <c r="AB540" i="3"/>
  <c r="Y540" i="3"/>
  <c r="AE540" i="3"/>
  <c r="V540" i="3"/>
  <c r="Y522" i="3"/>
  <c r="AE522" i="3"/>
  <c r="AB522" i="3"/>
  <c r="V522" i="3"/>
  <c r="AB537" i="3"/>
  <c r="AE537" i="3"/>
  <c r="Y537" i="3"/>
  <c r="V537" i="3"/>
  <c r="AB484" i="3"/>
  <c r="AE484" i="3"/>
  <c r="Y484" i="3"/>
  <c r="V484" i="3"/>
  <c r="AE535" i="3"/>
  <c r="V535" i="3"/>
  <c r="AB535" i="3"/>
  <c r="Y535" i="3"/>
  <c r="AE476" i="3"/>
  <c r="Y476" i="3"/>
  <c r="V476" i="3"/>
  <c r="AB476" i="3"/>
  <c r="Y506" i="3"/>
  <c r="AB506" i="3"/>
  <c r="V506" i="3"/>
  <c r="AE506" i="3"/>
  <c r="Y488" i="3"/>
  <c r="AE488" i="3"/>
  <c r="V488" i="3"/>
  <c r="AB488" i="3"/>
  <c r="V501" i="3"/>
  <c r="AB501" i="3"/>
  <c r="AE501" i="3"/>
  <c r="Y501" i="3"/>
  <c r="V541" i="3"/>
  <c r="AE541" i="3"/>
  <c r="AB541" i="3"/>
  <c r="Y541" i="3"/>
  <c r="V499" i="3"/>
  <c r="AB499" i="3"/>
  <c r="AE499" i="3"/>
  <c r="Y499" i="3"/>
  <c r="AE463" i="3"/>
  <c r="Y463" i="3"/>
  <c r="AB463" i="3"/>
  <c r="V463" i="3"/>
  <c r="V457" i="3"/>
  <c r="Y457" i="3"/>
  <c r="AB457" i="3"/>
  <c r="AE457" i="3"/>
  <c r="V507" i="3"/>
  <c r="AE507" i="3"/>
  <c r="Y507" i="3"/>
  <c r="AB507" i="3"/>
  <c r="V424" i="3"/>
  <c r="Y424" i="3"/>
  <c r="AE424" i="3"/>
  <c r="AB424" i="3"/>
  <c r="V515" i="3"/>
  <c r="AB515" i="3"/>
  <c r="Y515" i="3"/>
  <c r="AE515" i="3"/>
  <c r="V450" i="3"/>
  <c r="Y450" i="3"/>
  <c r="AE450" i="3"/>
  <c r="AB450" i="3"/>
  <c r="Y531" i="3"/>
  <c r="AE531" i="3"/>
  <c r="V531" i="3"/>
  <c r="AB531" i="3"/>
  <c r="Y487" i="3"/>
  <c r="AE487" i="3"/>
  <c r="AB487" i="3"/>
  <c r="V487" i="3"/>
  <c r="Y444" i="3"/>
  <c r="AB444" i="3"/>
  <c r="AE444" i="3"/>
  <c r="V444" i="3"/>
  <c r="V467" i="3"/>
  <c r="AE467" i="3"/>
  <c r="AB467" i="3"/>
  <c r="Y467" i="3"/>
  <c r="AB421" i="3"/>
  <c r="AE421" i="3"/>
  <c r="V421" i="3"/>
  <c r="Y421" i="3"/>
  <c r="V534" i="3"/>
  <c r="Y534" i="3"/>
  <c r="AE534" i="3"/>
  <c r="AB534" i="3"/>
  <c r="AE442" i="3"/>
  <c r="Y442" i="3"/>
  <c r="V442" i="3"/>
  <c r="AB442" i="3"/>
  <c r="AB473" i="3"/>
  <c r="V473" i="3"/>
  <c r="AE473" i="3"/>
  <c r="Y473" i="3"/>
  <c r="AE427" i="3"/>
  <c r="V427" i="3"/>
  <c r="Y427" i="3"/>
  <c r="AB427" i="3"/>
  <c r="V478" i="3"/>
  <c r="AB478" i="3"/>
  <c r="AE478" i="3"/>
  <c r="Y478" i="3"/>
  <c r="V509" i="3"/>
  <c r="AE509" i="3"/>
  <c r="Y509" i="3"/>
  <c r="AB509" i="3"/>
  <c r="Y533" i="3"/>
  <c r="AE533" i="3"/>
  <c r="AB533" i="3"/>
  <c r="V533" i="3"/>
  <c r="V481" i="3"/>
  <c r="AB481" i="3"/>
  <c r="Y481" i="3"/>
  <c r="AE481" i="3"/>
  <c r="V470" i="3"/>
  <c r="AB470" i="3"/>
  <c r="Y470" i="3"/>
  <c r="AE470" i="3"/>
  <c r="Y516" i="3"/>
  <c r="AB516" i="3"/>
  <c r="V516" i="3"/>
  <c r="AE516" i="3"/>
  <c r="Y436" i="3"/>
  <c r="AE436" i="3"/>
  <c r="V436" i="3"/>
  <c r="AB436" i="3"/>
  <c r="Y480" i="3"/>
  <c r="AB480" i="3"/>
  <c r="V480" i="3"/>
  <c r="AE480" i="3"/>
  <c r="V435" i="3"/>
  <c r="Y435" i="3"/>
  <c r="AB435" i="3"/>
  <c r="AE435" i="3"/>
  <c r="AE490" i="3"/>
  <c r="AB490" i="3"/>
  <c r="Y490" i="3"/>
  <c r="V490" i="3"/>
  <c r="AE486" i="3"/>
  <c r="V486" i="3"/>
  <c r="Y486" i="3"/>
  <c r="AB486" i="3"/>
  <c r="V420" i="3"/>
  <c r="AB420" i="3"/>
  <c r="AE420" i="3"/>
  <c r="Y420" i="3"/>
  <c r="Y432" i="3"/>
  <c r="AE432" i="3"/>
  <c r="AB432" i="3"/>
  <c r="V432" i="3"/>
  <c r="V471" i="3"/>
  <c r="AB471" i="3"/>
  <c r="AE471" i="3"/>
  <c r="Y471" i="3"/>
  <c r="AE437" i="3"/>
  <c r="Y437" i="3"/>
  <c r="V437" i="3"/>
  <c r="AB437" i="3"/>
  <c r="V422" i="3"/>
  <c r="AB422" i="3"/>
  <c r="Y422" i="3"/>
  <c r="AE422" i="3"/>
  <c r="V451" i="3"/>
  <c r="AE451" i="3"/>
  <c r="Y451" i="3"/>
  <c r="AB451" i="3"/>
  <c r="Y477" i="3"/>
  <c r="V477" i="3"/>
  <c r="AB477" i="3"/>
  <c r="AE477" i="3"/>
  <c r="Y452" i="3"/>
  <c r="AE452" i="3"/>
  <c r="AB452" i="3"/>
  <c r="V452" i="3"/>
  <c r="AE443" i="3"/>
  <c r="V443" i="3"/>
  <c r="AB443" i="3"/>
  <c r="Y443" i="3"/>
  <c r="V469" i="3"/>
  <c r="AB469" i="3"/>
  <c r="Y469" i="3"/>
  <c r="AE469" i="3"/>
  <c r="Y434" i="3"/>
  <c r="AE434" i="3"/>
  <c r="V434" i="3"/>
  <c r="AB434" i="3"/>
  <c r="V529" i="3"/>
  <c r="AB529" i="3"/>
  <c r="AE529" i="3"/>
  <c r="Y529" i="3"/>
  <c r="AE445" i="3"/>
  <c r="AB445" i="3"/>
  <c r="V445" i="3"/>
  <c r="Y445" i="3"/>
  <c r="Y426" i="3"/>
  <c r="AB426" i="3"/>
  <c r="V426" i="3"/>
  <c r="AE426" i="3"/>
  <c r="AB524" i="3"/>
  <c r="V524" i="3"/>
  <c r="AE524" i="3"/>
  <c r="Y524" i="3"/>
  <c r="V514" i="3"/>
  <c r="AB514" i="3"/>
  <c r="AE514" i="3"/>
  <c r="Y514" i="3"/>
  <c r="AB466" i="3"/>
  <c r="V466" i="3"/>
  <c r="Y466" i="3"/>
  <c r="AE466" i="3"/>
  <c r="AB532" i="3"/>
  <c r="Y532" i="3"/>
  <c r="V532" i="3"/>
  <c r="AE532" i="3"/>
  <c r="V519" i="3"/>
  <c r="AE519" i="3"/>
  <c r="Y519" i="3"/>
  <c r="AB519" i="3"/>
  <c r="AE483" i="3"/>
  <c r="Y483" i="3"/>
  <c r="V483" i="3"/>
  <c r="AB483" i="3"/>
  <c r="Y504" i="3"/>
  <c r="AE504" i="3"/>
  <c r="V504" i="3"/>
  <c r="AB504" i="3"/>
  <c r="Y543" i="3"/>
  <c r="AB543" i="3"/>
  <c r="AE543" i="3"/>
  <c r="V543" i="3"/>
  <c r="Y485" i="3"/>
  <c r="AE485" i="3"/>
  <c r="V485" i="3"/>
  <c r="AB485" i="3"/>
  <c r="Y428" i="3"/>
  <c r="AB428" i="3"/>
  <c r="AE428" i="3"/>
  <c r="V428" i="3"/>
  <c r="AB465" i="3"/>
  <c r="Y465" i="3"/>
  <c r="V465" i="3"/>
  <c r="AE465" i="3"/>
  <c r="Y517" i="3"/>
  <c r="AB517" i="3"/>
  <c r="AE517" i="3"/>
  <c r="V517" i="3"/>
  <c r="Y429" i="3"/>
  <c r="AE429" i="3"/>
  <c r="AB429" i="3"/>
  <c r="V429" i="3"/>
  <c r="AB441" i="3"/>
  <c r="AE441" i="3"/>
  <c r="V441" i="3"/>
  <c r="Y441" i="3"/>
  <c r="AE489" i="3"/>
  <c r="AB489" i="3"/>
  <c r="Y489" i="3"/>
  <c r="V489" i="3"/>
  <c r="V492" i="3"/>
  <c r="AB492" i="3"/>
  <c r="Y492" i="3"/>
  <c r="AE492" i="3"/>
  <c r="AE536" i="3"/>
  <c r="AB536" i="3"/>
  <c r="V536" i="3"/>
  <c r="Y536" i="3"/>
  <c r="Y462" i="3"/>
  <c r="AE462" i="3"/>
  <c r="V462" i="3"/>
  <c r="AB462" i="3"/>
  <c r="V431" i="3"/>
  <c r="Y431" i="3"/>
  <c r="AB431" i="3"/>
  <c r="AE431" i="3"/>
  <c r="Y482" i="3"/>
  <c r="AB482" i="3"/>
  <c r="V482" i="3"/>
  <c r="AE482" i="3"/>
  <c r="Y464" i="3"/>
  <c r="AE464" i="3"/>
  <c r="AB464" i="3"/>
  <c r="V464" i="3"/>
  <c r="V419" i="3"/>
  <c r="Y419" i="3"/>
  <c r="AE419" i="3"/>
  <c r="AB419" i="3"/>
  <c r="Y440" i="3"/>
  <c r="V440" i="3"/>
  <c r="AE440" i="3"/>
  <c r="AB440" i="3"/>
  <c r="AE508" i="3"/>
  <c r="AB508" i="3"/>
  <c r="V508" i="3"/>
  <c r="Y508" i="3"/>
  <c r="AB493" i="3"/>
  <c r="V493" i="3"/>
  <c r="AE493" i="3"/>
  <c r="Y493" i="3"/>
  <c r="V460" i="3"/>
  <c r="AB460" i="3"/>
  <c r="AE460" i="3"/>
  <c r="Y460" i="3"/>
  <c r="V505" i="3"/>
  <c r="Y505" i="3"/>
  <c r="AB505" i="3"/>
  <c r="AE505" i="3"/>
  <c r="AB491" i="3"/>
  <c r="V491" i="3"/>
  <c r="Y491" i="3"/>
  <c r="AE491" i="3"/>
  <c r="AB494" i="3"/>
  <c r="Y494" i="3"/>
  <c r="V494" i="3"/>
  <c r="AE494" i="3"/>
  <c r="V459" i="3"/>
  <c r="AE459" i="3"/>
  <c r="Y459" i="3"/>
  <c r="AB459" i="3"/>
  <c r="AE455" i="3"/>
  <c r="V455" i="3"/>
  <c r="AB455" i="3"/>
  <c r="Y455" i="3"/>
  <c r="AB495" i="3"/>
  <c r="V495" i="3"/>
  <c r="AE495" i="3"/>
  <c r="Y495" i="3"/>
  <c r="V475" i="3"/>
  <c r="AB475" i="3"/>
  <c r="Y475" i="3"/>
  <c r="AE475" i="3"/>
  <c r="AE520" i="3"/>
  <c r="Y520" i="3"/>
  <c r="AB520" i="3"/>
  <c r="V520" i="3"/>
  <c r="AE461" i="3"/>
  <c r="AB461" i="3"/>
  <c r="Y461" i="3"/>
  <c r="V461" i="3"/>
  <c r="AE454" i="3"/>
  <c r="AB454" i="3"/>
  <c r="Y454" i="3"/>
  <c r="V454" i="3"/>
  <c r="AB430" i="3"/>
  <c r="AE430" i="3"/>
  <c r="V430" i="3"/>
  <c r="Y430" i="3"/>
  <c r="AE545" i="3"/>
  <c r="V545" i="3"/>
  <c r="Y545" i="3"/>
  <c r="AB545" i="3"/>
  <c r="V453" i="3"/>
  <c r="AB453" i="3"/>
  <c r="Y453" i="3"/>
  <c r="AE453" i="3"/>
  <c r="AE503" i="3"/>
  <c r="Y503" i="3"/>
  <c r="V503" i="3"/>
  <c r="AB503" i="3"/>
  <c r="AB472" i="3"/>
  <c r="AE472" i="3"/>
  <c r="Y472" i="3"/>
  <c r="V472" i="3"/>
  <c r="AE523" i="3"/>
  <c r="Y523" i="3"/>
  <c r="AB523" i="3"/>
  <c r="V523" i="3"/>
  <c r="Y518" i="3"/>
  <c r="V518" i="3"/>
  <c r="AB518" i="3"/>
  <c r="AE518" i="3"/>
  <c r="AE474" i="3"/>
  <c r="Y474" i="3"/>
  <c r="V474" i="3"/>
  <c r="AB474" i="3"/>
  <c r="AB449" i="3"/>
  <c r="Y449" i="3"/>
  <c r="AE449" i="3"/>
  <c r="V449" i="3"/>
  <c r="S521" i="3"/>
  <c r="AE521" i="3"/>
  <c r="V521" i="3"/>
  <c r="Y521" i="3"/>
  <c r="AB521" i="3"/>
  <c r="AB447" i="3"/>
  <c r="Y447" i="3"/>
  <c r="V447" i="3"/>
  <c r="AE447" i="3"/>
  <c r="V439" i="3"/>
  <c r="Y439" i="3"/>
  <c r="AE439" i="3"/>
  <c r="AB439" i="3"/>
  <c r="AE539" i="3"/>
  <c r="Y539" i="3"/>
  <c r="AB539" i="3"/>
  <c r="V539" i="3"/>
  <c r="AB538" i="3"/>
  <c r="AE538" i="3"/>
  <c r="V538" i="3"/>
  <c r="Y538" i="3"/>
  <c r="AE500" i="3"/>
  <c r="V500" i="3"/>
  <c r="Y500" i="3"/>
  <c r="AB500" i="3"/>
  <c r="Y510" i="3"/>
  <c r="AE510" i="3"/>
  <c r="AB510" i="3"/>
  <c r="V510" i="3"/>
  <c r="S486" i="3"/>
  <c r="S432" i="3"/>
  <c r="S449" i="3"/>
  <c r="S542" i="3"/>
  <c r="S540" i="3"/>
  <c r="S481" i="3"/>
  <c r="S470" i="3"/>
  <c r="S516" i="3"/>
  <c r="S435" i="3"/>
  <c r="S471" i="3"/>
  <c r="S543" i="3"/>
  <c r="S517" i="3"/>
  <c r="S536" i="3"/>
  <c r="S482" i="3"/>
  <c r="S523" i="3"/>
  <c r="S447" i="3"/>
  <c r="S439" i="3"/>
  <c r="S539" i="3"/>
  <c r="S538" i="3"/>
  <c r="S510" i="3"/>
  <c r="S511" i="3"/>
  <c r="S446" i="3"/>
  <c r="S525" i="3"/>
  <c r="S530" i="3"/>
  <c r="S528" i="3"/>
  <c r="S513" i="3"/>
  <c r="S479" i="3"/>
  <c r="S456" i="3"/>
  <c r="S526" i="3"/>
  <c r="S468" i="3"/>
  <c r="S418" i="3"/>
  <c r="S425" i="3"/>
  <c r="S433" i="3"/>
  <c r="S458" i="3"/>
  <c r="S527" i="3"/>
  <c r="S423" i="3"/>
  <c r="S448" i="3"/>
  <c r="S544" i="3"/>
  <c r="S497" i="3"/>
  <c r="S438" i="3"/>
  <c r="S498" i="3"/>
  <c r="S496" i="3"/>
  <c r="S512" i="3"/>
  <c r="S502" i="3"/>
  <c r="S522" i="3"/>
  <c r="S537" i="3"/>
  <c r="S484" i="3"/>
  <c r="S535" i="3"/>
  <c r="S476" i="3"/>
  <c r="S506" i="3"/>
  <c r="S488" i="3"/>
  <c r="S501" i="3"/>
  <c r="S541" i="3"/>
  <c r="S499" i="3"/>
  <c r="S463" i="3"/>
  <c r="S457" i="3"/>
  <c r="S507" i="3"/>
  <c r="S424" i="3"/>
  <c r="S515" i="3"/>
  <c r="S450" i="3"/>
  <c r="S531" i="3"/>
  <c r="S487" i="3"/>
  <c r="S444" i="3"/>
  <c r="S467" i="3"/>
  <c r="S421" i="3"/>
  <c r="S534" i="3"/>
  <c r="S442" i="3"/>
  <c r="S473" i="3"/>
  <c r="S427" i="3"/>
  <c r="S478" i="3"/>
  <c r="S509" i="3"/>
  <c r="S533" i="3"/>
  <c r="S436" i="3"/>
  <c r="S480" i="3"/>
  <c r="S490" i="3"/>
  <c r="S420" i="3"/>
  <c r="S518" i="3"/>
  <c r="S500" i="3"/>
  <c r="S437" i="3"/>
  <c r="S422" i="3"/>
  <c r="S451" i="3"/>
  <c r="S477" i="3"/>
  <c r="S452" i="3"/>
  <c r="S443" i="3"/>
  <c r="S469" i="3"/>
  <c r="S434" i="3"/>
  <c r="S529" i="3"/>
  <c r="S445" i="3"/>
  <c r="S426" i="3"/>
  <c r="S524" i="3"/>
  <c r="S514" i="3"/>
  <c r="S466" i="3"/>
  <c r="S532" i="3"/>
  <c r="S519" i="3"/>
  <c r="S483" i="3"/>
  <c r="S504" i="3"/>
  <c r="S485" i="3"/>
  <c r="S428" i="3"/>
  <c r="S465" i="3"/>
  <c r="S429" i="3"/>
  <c r="S441" i="3"/>
  <c r="S489" i="3"/>
  <c r="S492" i="3"/>
  <c r="S462" i="3"/>
  <c r="S431" i="3"/>
  <c r="S464" i="3"/>
  <c r="S419" i="3"/>
  <c r="S440" i="3"/>
  <c r="S508" i="3"/>
  <c r="S493" i="3"/>
  <c r="S460" i="3"/>
  <c r="S505" i="3"/>
  <c r="S491" i="3"/>
  <c r="S494" i="3"/>
  <c r="S459" i="3"/>
  <c r="S455" i="3"/>
  <c r="S495" i="3"/>
  <c r="S475" i="3"/>
  <c r="S520" i="3"/>
  <c r="S461" i="3"/>
  <c r="S454" i="3"/>
  <c r="S430" i="3"/>
  <c r="S545" i="3"/>
  <c r="S453" i="3"/>
  <c r="S503" i="3"/>
  <c r="S472" i="3"/>
  <c r="AJ13" i="3" l="1"/>
  <c r="AI13" i="3"/>
  <c r="AJ16" i="3"/>
  <c r="AI16" i="3"/>
  <c r="AK16" i="3" l="1"/>
  <c r="AF80" i="3" s="1"/>
  <c r="AK13" i="3"/>
  <c r="W409" i="3" s="1"/>
  <c r="AF17" i="3" l="1"/>
  <c r="AG17" i="3" s="1"/>
  <c r="AF10" i="3"/>
  <c r="AF418" i="3"/>
  <c r="AF194" i="3"/>
  <c r="AF468" i="3"/>
  <c r="AF416" i="3"/>
  <c r="AF4" i="3"/>
  <c r="AG4" i="3" s="1"/>
  <c r="AF254" i="3"/>
  <c r="AF338" i="3"/>
  <c r="AF11" i="3"/>
  <c r="AF282" i="3"/>
  <c r="AF251" i="3"/>
  <c r="AF506" i="3"/>
  <c r="AF387" i="3"/>
  <c r="AF172" i="3"/>
  <c r="AF414" i="3"/>
  <c r="AF400" i="3"/>
  <c r="AF309" i="3"/>
  <c r="AF192" i="3"/>
  <c r="AF177" i="3"/>
  <c r="AF230" i="3"/>
  <c r="AF38" i="3"/>
  <c r="AF104" i="3"/>
  <c r="AF487" i="3"/>
  <c r="AF21" i="3"/>
  <c r="AF108" i="3"/>
  <c r="W358" i="3"/>
  <c r="W146" i="3"/>
  <c r="W394" i="3"/>
  <c r="W314" i="3"/>
  <c r="W304" i="3"/>
  <c r="W228" i="3"/>
  <c r="W290" i="3"/>
  <c r="X290" i="3" s="1"/>
  <c r="W329" i="3"/>
  <c r="W249" i="3"/>
  <c r="W472" i="3"/>
  <c r="W315" i="3"/>
  <c r="W81" i="3"/>
  <c r="W203" i="3"/>
  <c r="W221" i="3"/>
  <c r="W98" i="3"/>
  <c r="W323" i="3"/>
  <c r="W169" i="3"/>
  <c r="W4" i="3"/>
  <c r="X4" i="3" s="1"/>
  <c r="W212" i="3"/>
  <c r="W84" i="3"/>
  <c r="W20" i="3"/>
  <c r="X20" i="3" s="1"/>
  <c r="W130" i="3"/>
  <c r="X130" i="3" s="1"/>
  <c r="W402" i="3"/>
  <c r="W301" i="3"/>
  <c r="W320" i="3"/>
  <c r="W333" i="3"/>
  <c r="W328" i="3"/>
  <c r="W347" i="3"/>
  <c r="W231" i="3"/>
  <c r="W259" i="3"/>
  <c r="W364" i="3"/>
  <c r="W188" i="3"/>
  <c r="W225" i="3"/>
  <c r="W267" i="3"/>
  <c r="W28" i="3"/>
  <c r="X28" i="3" s="1"/>
  <c r="W453" i="3"/>
  <c r="W295" i="3"/>
  <c r="W36" i="3"/>
  <c r="X36" i="3" s="1"/>
  <c r="W155" i="3"/>
  <c r="W186" i="3"/>
  <c r="W92" i="3"/>
  <c r="W312" i="3"/>
  <c r="W93" i="3"/>
  <c r="W56" i="3"/>
  <c r="W317" i="3"/>
  <c r="X317" i="3" s="1"/>
  <c r="W293" i="3"/>
  <c r="W86" i="3"/>
  <c r="W224" i="3"/>
  <c r="W23" i="3"/>
  <c r="W79" i="3"/>
  <c r="W178" i="3"/>
  <c r="W331" i="3"/>
  <c r="W29" i="3"/>
  <c r="X29" i="3" s="1"/>
  <c r="W185" i="3"/>
  <c r="W11" i="3"/>
  <c r="W71" i="3"/>
  <c r="W159" i="3"/>
  <c r="W233" i="3"/>
  <c r="W18" i="3"/>
  <c r="X18" i="3" s="1"/>
  <c r="W219" i="3"/>
  <c r="W368" i="3"/>
  <c r="W117" i="3"/>
  <c r="W113" i="3"/>
  <c r="X113" i="3" s="1"/>
  <c r="W10" i="3"/>
  <c r="W250" i="3"/>
  <c r="W327" i="3"/>
  <c r="W14" i="3"/>
  <c r="X14" i="3" s="1"/>
  <c r="W376" i="3"/>
  <c r="AF361" i="3"/>
  <c r="AF241" i="3"/>
  <c r="AF183" i="3"/>
  <c r="AF350" i="3"/>
  <c r="AF233" i="3"/>
  <c r="AF175" i="3"/>
  <c r="W161" i="3"/>
  <c r="W35" i="3"/>
  <c r="X35" i="3" s="1"/>
  <c r="W153" i="3"/>
  <c r="W236" i="3"/>
  <c r="W357" i="3"/>
  <c r="W112" i="3"/>
  <c r="W99" i="3"/>
  <c r="AF486" i="3"/>
  <c r="AF147" i="3"/>
  <c r="AF168" i="3"/>
  <c r="AF444" i="3"/>
  <c r="AF435" i="3"/>
  <c r="AF144" i="3"/>
  <c r="AF156" i="3"/>
  <c r="W95" i="3"/>
  <c r="W24" i="3"/>
  <c r="W80" i="3"/>
  <c r="W209" i="3"/>
  <c r="W109" i="3"/>
  <c r="W238" i="3"/>
  <c r="W252" i="3"/>
  <c r="AF346" i="3"/>
  <c r="AF141" i="3"/>
  <c r="AF171" i="3"/>
  <c r="AF139" i="3"/>
  <c r="AF394" i="3"/>
  <c r="AF237" i="3"/>
  <c r="AF83" i="3"/>
  <c r="AF264" i="3"/>
  <c r="AF473" i="3"/>
  <c r="AF207" i="3"/>
  <c r="AF389" i="3"/>
  <c r="AF114" i="3"/>
  <c r="AG114" i="3" s="1"/>
  <c r="AF352" i="3"/>
  <c r="AF6" i="3"/>
  <c r="AG6" i="3" s="1"/>
  <c r="AF200" i="3"/>
  <c r="AF127" i="3"/>
  <c r="AF143" i="3"/>
  <c r="AF337" i="3"/>
  <c r="AF311" i="3"/>
  <c r="AF29" i="3"/>
  <c r="AF111" i="3"/>
  <c r="AF287" i="3"/>
  <c r="AG287" i="3" s="1"/>
  <c r="AF86" i="3"/>
  <c r="AF23" i="3"/>
  <c r="AF149" i="3"/>
  <c r="AF513" i="3"/>
  <c r="AF425" i="3"/>
  <c r="AF544" i="3"/>
  <c r="AF420" i="3"/>
  <c r="AF496" i="3"/>
  <c r="AF537" i="3"/>
  <c r="AF193" i="3"/>
  <c r="AF100" i="3"/>
  <c r="AF397" i="3"/>
  <c r="AF388" i="3"/>
  <c r="AF199" i="3"/>
  <c r="AF357" i="3"/>
  <c r="AF376" i="3"/>
  <c r="AF501" i="3"/>
  <c r="AF424" i="3"/>
  <c r="AF467" i="3"/>
  <c r="AF478" i="3"/>
  <c r="AF313" i="3"/>
  <c r="AF314" i="3"/>
  <c r="AF185" i="3"/>
  <c r="AF380" i="3"/>
  <c r="AF7" i="3"/>
  <c r="AF355" i="3"/>
  <c r="AF258" i="3"/>
  <c r="AF184" i="3"/>
  <c r="AF49" i="3"/>
  <c r="AF329" i="3"/>
  <c r="AF511" i="3"/>
  <c r="AF219" i="3"/>
  <c r="AF406" i="3"/>
  <c r="AF533" i="3"/>
  <c r="AF179" i="3"/>
  <c r="AF52" i="3"/>
  <c r="AF443" i="3"/>
  <c r="AF410" i="3"/>
  <c r="AF36" i="3"/>
  <c r="AF213" i="3"/>
  <c r="AF146" i="3"/>
  <c r="AF130" i="3"/>
  <c r="AG130" i="3" s="1"/>
  <c r="AF382" i="3"/>
  <c r="AF247" i="3"/>
  <c r="AF37" i="3"/>
  <c r="AG37" i="3" s="1"/>
  <c r="AF113" i="3"/>
  <c r="AG113" i="3" s="1"/>
  <c r="AF304" i="3"/>
  <c r="AF110" i="3"/>
  <c r="AF40" i="3"/>
  <c r="AF174" i="3"/>
  <c r="AF180" i="3"/>
  <c r="AF215" i="3"/>
  <c r="AF402" i="3"/>
  <c r="AF359" i="3"/>
  <c r="AF47" i="3"/>
  <c r="AF243" i="3"/>
  <c r="AF255" i="3"/>
  <c r="AF158" i="3"/>
  <c r="AF266" i="3"/>
  <c r="AF41" i="3"/>
  <c r="AF118" i="3"/>
  <c r="AF398" i="3"/>
  <c r="AF88" i="3"/>
  <c r="AF46" i="3"/>
  <c r="AF433" i="3"/>
  <c r="AF217" i="3"/>
  <c r="AF422" i="3"/>
  <c r="AF484" i="3"/>
  <c r="AF198" i="3"/>
  <c r="AF407" i="3"/>
  <c r="AF421" i="3"/>
  <c r="AF67" i="3"/>
  <c r="AF135" i="3"/>
  <c r="AF417" i="3"/>
  <c r="AF284" i="3"/>
  <c r="AF121" i="3"/>
  <c r="AF300" i="3"/>
  <c r="AG300" i="3" s="1"/>
  <c r="AF66" i="3"/>
  <c r="AF479" i="3"/>
  <c r="AF204" i="3"/>
  <c r="AF451" i="3"/>
  <c r="AF542" i="3"/>
  <c r="AF541" i="3"/>
  <c r="AF515" i="3"/>
  <c r="AF365" i="3"/>
  <c r="AF386" i="3"/>
  <c r="AF8" i="3"/>
  <c r="AF270" i="3"/>
  <c r="AF154" i="3"/>
  <c r="AF245" i="3"/>
  <c r="AF232" i="3"/>
  <c r="AF59" i="3"/>
  <c r="AF126" i="3"/>
  <c r="AF341" i="3"/>
  <c r="AF295" i="3"/>
  <c r="AF446" i="3"/>
  <c r="AF456" i="3"/>
  <c r="AF206" i="3"/>
  <c r="AF481" i="3"/>
  <c r="AF512" i="3"/>
  <c r="AF535" i="3"/>
  <c r="AF216" i="3"/>
  <c r="AF161" i="3"/>
  <c r="AF33" i="3"/>
  <c r="AF190" i="3"/>
  <c r="AF292" i="3"/>
  <c r="AF182" i="3"/>
  <c r="AF307" i="3"/>
  <c r="AF186" i="3"/>
  <c r="AF375" i="3"/>
  <c r="AF65" i="3"/>
  <c r="AF131" i="3"/>
  <c r="AF222" i="3"/>
  <c r="AF220" i="3"/>
  <c r="AF14" i="3"/>
  <c r="AF57" i="3"/>
  <c r="AF189" i="3"/>
  <c r="AF458" i="3"/>
  <c r="AF221" i="3"/>
  <c r="AF469" i="3"/>
  <c r="AF384" i="3"/>
  <c r="AF411" i="3"/>
  <c r="AF499" i="3"/>
  <c r="AF450" i="3"/>
  <c r="AF534" i="3"/>
  <c r="AF274" i="3"/>
  <c r="AF30" i="3"/>
  <c r="AF390" i="3"/>
  <c r="AF68" i="3"/>
  <c r="AF201" i="3"/>
  <c r="AF163" i="3"/>
  <c r="AF197" i="3"/>
  <c r="AF235" i="3"/>
  <c r="AF71" i="3"/>
  <c r="AF134" i="3"/>
  <c r="AF353" i="3"/>
  <c r="AF203" i="3"/>
  <c r="AF3" i="3"/>
  <c r="AF525" i="3"/>
  <c r="AF526" i="3"/>
  <c r="AF527" i="3"/>
  <c r="AF223" i="3"/>
  <c r="AF497" i="3"/>
  <c r="AF502" i="3"/>
  <c r="AF476" i="3"/>
  <c r="AF463" i="3"/>
  <c r="AF531" i="3"/>
  <c r="AF442" i="3"/>
  <c r="AF522" i="3"/>
  <c r="AF528" i="3"/>
  <c r="AF50" i="3"/>
  <c r="AF362" i="3"/>
  <c r="AF28" i="3"/>
  <c r="AG28" i="3" s="1"/>
  <c r="AF325" i="3"/>
  <c r="AF507" i="3"/>
  <c r="AF226" i="3"/>
  <c r="AF31" i="3"/>
  <c r="AG31" i="3" s="1"/>
  <c r="AF103" i="3"/>
  <c r="AF84" i="3"/>
  <c r="AF72" i="3"/>
  <c r="AF62" i="3"/>
  <c r="AF427" i="3"/>
  <c r="AF540" i="3"/>
  <c r="AF448" i="3"/>
  <c r="AF286" i="3"/>
  <c r="AF98" i="3"/>
  <c r="AF231" i="3"/>
  <c r="AF122" i="3"/>
  <c r="AF457" i="3"/>
  <c r="AF391" i="3"/>
  <c r="AF214" i="3"/>
  <c r="AF530" i="3"/>
  <c r="AF91" i="3"/>
  <c r="AF205" i="3"/>
  <c r="AF277" i="3"/>
  <c r="AF281" i="3"/>
  <c r="AF278" i="3"/>
  <c r="AF498" i="3"/>
  <c r="AF423" i="3"/>
  <c r="AF385" i="3"/>
  <c r="AF87" i="3"/>
  <c r="AF322" i="3"/>
  <c r="AF372" i="3"/>
  <c r="AF35" i="3"/>
  <c r="AF347" i="3"/>
  <c r="AF305" i="3"/>
  <c r="AF371" i="3"/>
  <c r="AF210" i="3"/>
  <c r="AF99" i="3"/>
  <c r="AF97" i="3"/>
  <c r="AF79" i="3"/>
  <c r="AF306" i="3"/>
  <c r="AF12" i="3"/>
  <c r="AF58" i="3"/>
  <c r="AF319" i="3"/>
  <c r="AF162" i="3"/>
  <c r="AF438" i="3"/>
  <c r="AF208" i="3"/>
  <c r="AG208" i="3" s="1"/>
  <c r="AF53" i="3"/>
  <c r="AF25" i="3"/>
  <c r="AF275" i="3"/>
  <c r="AF24" i="3"/>
  <c r="AF64" i="3"/>
  <c r="AF301" i="3"/>
  <c r="AF488" i="3"/>
  <c r="AF369" i="3"/>
  <c r="AF196" i="3"/>
  <c r="AF44" i="3"/>
  <c r="AF331" i="3"/>
  <c r="AF20" i="3"/>
  <c r="AF244" i="3"/>
  <c r="AF191" i="3"/>
  <c r="AF93" i="3"/>
  <c r="W151" i="3"/>
  <c r="W172" i="3"/>
  <c r="W406" i="3"/>
  <c r="W105" i="3"/>
  <c r="W319" i="3"/>
  <c r="W38" i="3"/>
  <c r="X38" i="3" s="1"/>
  <c r="W207" i="3"/>
  <c r="W26" i="3"/>
  <c r="W125" i="3"/>
  <c r="W68" i="3"/>
  <c r="W83" i="3"/>
  <c r="W137" i="3"/>
  <c r="X137" i="3" s="1"/>
  <c r="W390" i="3"/>
  <c r="W276" i="3"/>
  <c r="W349" i="3"/>
  <c r="W42" i="3"/>
  <c r="W85" i="3"/>
  <c r="W8" i="3"/>
  <c r="X8" i="3" s="1"/>
  <c r="W49" i="3"/>
  <c r="W175" i="3"/>
  <c r="W160" i="3"/>
  <c r="W110" i="3"/>
  <c r="W384" i="3"/>
  <c r="W300" i="3"/>
  <c r="W336" i="3"/>
  <c r="W104" i="3"/>
  <c r="W70" i="3"/>
  <c r="W60" i="3"/>
  <c r="W33" i="3"/>
  <c r="X33" i="3" s="1"/>
  <c r="W191" i="3"/>
  <c r="W206" i="3"/>
  <c r="W148" i="3"/>
  <c r="W145" i="3"/>
  <c r="W139" i="3"/>
  <c r="W94" i="3"/>
  <c r="W370" i="3"/>
  <c r="W302" i="3"/>
  <c r="W316" i="3"/>
  <c r="W278" i="3"/>
  <c r="W48" i="3"/>
  <c r="X48" i="3" s="1"/>
  <c r="W217" i="3"/>
  <c r="W16" i="3"/>
  <c r="W248" i="3"/>
  <c r="W132" i="3"/>
  <c r="W72" i="3"/>
  <c r="W121" i="3"/>
  <c r="W6" i="3"/>
  <c r="X6" i="3" s="1"/>
  <c r="W344" i="3"/>
  <c r="X344" i="3" s="1"/>
  <c r="W141" i="3"/>
  <c r="X141" i="3" s="1"/>
  <c r="W306" i="3"/>
  <c r="W15" i="3"/>
  <c r="X15" i="3" s="1"/>
  <c r="W269" i="3"/>
  <c r="W67" i="3"/>
  <c r="W202" i="3"/>
  <c r="W189" i="3"/>
  <c r="W412" i="3"/>
  <c r="W539" i="3"/>
  <c r="W253" i="3"/>
  <c r="W351" i="3"/>
  <c r="W73" i="3"/>
  <c r="W210" i="3"/>
  <c r="W52" i="3"/>
  <c r="W324" i="3"/>
  <c r="W157" i="3"/>
  <c r="W162" i="3"/>
  <c r="W201" i="3"/>
  <c r="W133" i="3"/>
  <c r="X133" i="3" s="1"/>
  <c r="W311" i="3"/>
  <c r="W408" i="3"/>
  <c r="W439" i="3"/>
  <c r="W123" i="3"/>
  <c r="W229" i="3"/>
  <c r="W59" i="3"/>
  <c r="W156" i="3"/>
  <c r="W32" i="3"/>
  <c r="X32" i="3" s="1"/>
  <c r="W204" i="3"/>
  <c r="W213" i="3"/>
  <c r="W107" i="3"/>
  <c r="W181" i="3"/>
  <c r="W214" i="3"/>
  <c r="W199" i="3"/>
  <c r="W119" i="3"/>
  <c r="W51" i="3"/>
  <c r="W220" i="3"/>
  <c r="W360" i="3"/>
  <c r="W168" i="3"/>
  <c r="W74" i="3"/>
  <c r="W398" i="3"/>
  <c r="W149" i="3"/>
  <c r="W271" i="3"/>
  <c r="W372" i="3"/>
  <c r="W82" i="3"/>
  <c r="W378" i="3"/>
  <c r="W64" i="3"/>
  <c r="W299" i="3"/>
  <c r="W174" i="3"/>
  <c r="W309" i="3"/>
  <c r="X309" i="3" s="1"/>
  <c r="W9" i="3"/>
  <c r="X9" i="3" s="1"/>
  <c r="W17" i="3"/>
  <c r="X17" i="3" s="1"/>
  <c r="W417" i="3"/>
  <c r="W96" i="3"/>
  <c r="W106" i="3"/>
  <c r="W50" i="3"/>
  <c r="W101" i="3"/>
  <c r="W208" i="3"/>
  <c r="W243" i="3"/>
  <c r="W126" i="3"/>
  <c r="W286" i="3"/>
  <c r="W198" i="3"/>
  <c r="W239" i="3"/>
  <c r="W61" i="3"/>
  <c r="W356" i="3"/>
  <c r="W128" i="3"/>
  <c r="W200" i="3"/>
  <c r="W416" i="3"/>
  <c r="W241" i="3"/>
  <c r="W44" i="3"/>
  <c r="W338" i="3"/>
  <c r="W91" i="3"/>
  <c r="W69" i="3"/>
  <c r="W173" i="3"/>
  <c r="W183" i="3"/>
  <c r="W275" i="3"/>
  <c r="W40" i="3"/>
  <c r="X40" i="3" s="1"/>
  <c r="W265" i="3"/>
  <c r="W247" i="3"/>
  <c r="W277" i="3"/>
  <c r="W226" i="3"/>
  <c r="W337" i="3"/>
  <c r="W218" i="3"/>
  <c r="W167" i="3"/>
  <c r="W55" i="3"/>
  <c r="W352" i="3"/>
  <c r="W335" i="3"/>
  <c r="W288" i="3"/>
  <c r="W197" i="3"/>
  <c r="W404" i="3"/>
  <c r="W177" i="3"/>
  <c r="W447" i="3"/>
  <c r="W374" i="3"/>
  <c r="W30" i="3"/>
  <c r="X30" i="3" s="1"/>
  <c r="W326" i="3"/>
  <c r="W62" i="3"/>
  <c r="W154" i="3"/>
  <c r="W251" i="3"/>
  <c r="W255" i="3"/>
  <c r="W521" i="3"/>
  <c r="W354" i="3"/>
  <c r="W216" i="3"/>
  <c r="W7" i="3"/>
  <c r="W308" i="3"/>
  <c r="W54" i="3"/>
  <c r="W53" i="3"/>
  <c r="W143" i="3"/>
  <c r="W140" i="3"/>
  <c r="W227" i="3"/>
  <c r="W19" i="3"/>
  <c r="X19" i="3" s="1"/>
  <c r="W170" i="3"/>
  <c r="W182" i="3"/>
  <c r="W171" i="3"/>
  <c r="W103" i="3"/>
  <c r="W152" i="3"/>
  <c r="W366" i="3"/>
  <c r="W176" i="3"/>
  <c r="W87" i="3"/>
  <c r="W43" i="3"/>
  <c r="W179" i="3"/>
  <c r="W321" i="3"/>
  <c r="W90" i="3"/>
  <c r="W257" i="3"/>
  <c r="W392" i="3"/>
  <c r="W135" i="3"/>
  <c r="W449" i="3"/>
  <c r="W340" i="3"/>
  <c r="W193" i="3"/>
  <c r="W305" i="3"/>
  <c r="W284" i="3"/>
  <c r="W21" i="3"/>
  <c r="X21" i="3" s="1"/>
  <c r="W47" i="3"/>
  <c r="X47" i="3" s="1"/>
  <c r="W285" i="3"/>
  <c r="W122" i="3"/>
  <c r="W205" i="3"/>
  <c r="W5" i="3"/>
  <c r="X5" i="3" s="1"/>
  <c r="W142" i="3"/>
  <c r="X142" i="3" s="1"/>
  <c r="W129" i="3"/>
  <c r="W158" i="3"/>
  <c r="W78" i="3"/>
  <c r="W134" i="3"/>
  <c r="W345" i="3"/>
  <c r="W163" i="3"/>
  <c r="W187" i="3"/>
  <c r="W37" i="3"/>
  <c r="X37" i="3" s="1"/>
  <c r="W147" i="3"/>
  <c r="W280" i="3"/>
  <c r="W75" i="3"/>
  <c r="W223" i="3"/>
  <c r="W386" i="3"/>
  <c r="W118" i="3"/>
  <c r="W523" i="3"/>
  <c r="W332" i="3"/>
  <c r="W180" i="3"/>
  <c r="W194" i="3"/>
  <c r="W292" i="3"/>
  <c r="W3" i="3"/>
  <c r="X3" i="3" s="1"/>
  <c r="W41" i="3"/>
  <c r="X41" i="3" s="1"/>
  <c r="W414" i="3"/>
  <c r="W313" i="3"/>
  <c r="W190" i="3"/>
  <c r="W307" i="3"/>
  <c r="W114" i="3"/>
  <c r="W322" i="3"/>
  <c r="W100" i="3"/>
  <c r="W66" i="3"/>
  <c r="W120" i="3"/>
  <c r="W330" i="3"/>
  <c r="W115" i="3"/>
  <c r="W124" i="3"/>
  <c r="W31" i="3"/>
  <c r="X31" i="3" s="1"/>
  <c r="W138" i="3"/>
  <c r="W325" i="3"/>
  <c r="W63" i="3"/>
  <c r="W195" i="3"/>
  <c r="W382" i="3"/>
  <c r="W215" i="3"/>
  <c r="W346" i="3"/>
  <c r="W297" i="3"/>
  <c r="W102" i="3"/>
  <c r="W108" i="3"/>
  <c r="W361" i="3"/>
  <c r="W289" i="3"/>
  <c r="W131" i="3"/>
  <c r="W266" i="3"/>
  <c r="W334" i="3"/>
  <c r="W116" i="3"/>
  <c r="W397" i="3"/>
  <c r="W405" i="3"/>
  <c r="W136" i="3"/>
  <c r="W150" i="3"/>
  <c r="W164" i="3"/>
  <c r="W196" i="3"/>
  <c r="W144" i="3"/>
  <c r="W254" i="3"/>
  <c r="W262" i="3"/>
  <c r="W166" i="3"/>
  <c r="W363" i="3"/>
  <c r="W350" i="3"/>
  <c r="W272" i="3"/>
  <c r="W268" i="3"/>
  <c r="W192" i="3"/>
  <c r="W413" i="3"/>
  <c r="W359" i="3"/>
  <c r="W348" i="3"/>
  <c r="W222" i="3"/>
  <c r="W353" i="3"/>
  <c r="W294" i="3"/>
  <c r="W97" i="3"/>
  <c r="W279" i="3"/>
  <c r="W12" i="3"/>
  <c r="X12" i="3" s="1"/>
  <c r="W287" i="3"/>
  <c r="X287" i="3" s="1"/>
  <c r="W274" i="3"/>
  <c r="W264" i="3"/>
  <c r="W367" i="3"/>
  <c r="W22" i="3"/>
  <c r="W296" i="3"/>
  <c r="W235" i="3"/>
  <c r="W240" i="3"/>
  <c r="W27" i="3"/>
  <c r="W242" i="3"/>
  <c r="W403" i="3"/>
  <c r="W411" i="3"/>
  <c r="W244" i="3"/>
  <c r="W246" i="3"/>
  <c r="W380" i="3"/>
  <c r="W388" i="3"/>
  <c r="W237" i="3"/>
  <c r="W258" i="3"/>
  <c r="W396" i="3"/>
  <c r="W407" i="3"/>
  <c r="W400" i="3"/>
  <c r="W291" i="3"/>
  <c r="W230" i="3"/>
  <c r="W256" i="3"/>
  <c r="W410" i="3"/>
  <c r="W401" i="3"/>
  <c r="W339" i="3"/>
  <c r="W39" i="3"/>
  <c r="X39" i="3" s="1"/>
  <c r="W341" i="3"/>
  <c r="W232" i="3"/>
  <c r="W343" i="3"/>
  <c r="W260" i="3"/>
  <c r="W45" i="3"/>
  <c r="X45" i="3" s="1"/>
  <c r="W57" i="3"/>
  <c r="W369" i="3"/>
  <c r="W371" i="3"/>
  <c r="W373" i="3"/>
  <c r="W375" i="3"/>
  <c r="W377" i="3"/>
  <c r="W379" i="3"/>
  <c r="W381" i="3"/>
  <c r="W383" i="3"/>
  <c r="W385" i="3"/>
  <c r="W415" i="3"/>
  <c r="W13" i="3"/>
  <c r="X13" i="3" s="1"/>
  <c r="W25" i="3"/>
  <c r="X25" i="3" s="1"/>
  <c r="W34" i="3"/>
  <c r="X34" i="3" s="1"/>
  <c r="W46" i="3"/>
  <c r="W58" i="3"/>
  <c r="W76" i="3"/>
  <c r="W89" i="3"/>
  <c r="W111" i="3"/>
  <c r="W127" i="3"/>
  <c r="W165" i="3"/>
  <c r="W184" i="3"/>
  <c r="W211" i="3"/>
  <c r="W234" i="3"/>
  <c r="W245" i="3"/>
  <c r="W263" i="3"/>
  <c r="W387" i="3"/>
  <c r="W389" i="3"/>
  <c r="W273" i="3"/>
  <c r="W282" i="3"/>
  <c r="W303" i="3"/>
  <c r="W318" i="3"/>
  <c r="X318" i="3" s="1"/>
  <c r="W342" i="3"/>
  <c r="X342" i="3" s="1"/>
  <c r="W362" i="3"/>
  <c r="W261" i="3"/>
  <c r="W391" i="3"/>
  <c r="W393" i="3"/>
  <c r="W65" i="3"/>
  <c r="W395" i="3"/>
  <c r="W399" i="3"/>
  <c r="W77" i="3"/>
  <c r="W88" i="3"/>
  <c r="W365" i="3"/>
  <c r="W355" i="3"/>
  <c r="W310" i="3"/>
  <c r="X310" i="3" s="1"/>
  <c r="W298" i="3"/>
  <c r="W283" i="3"/>
  <c r="W510" i="3"/>
  <c r="W281" i="3"/>
  <c r="W270" i="3"/>
  <c r="W511" i="3"/>
  <c r="W446" i="3"/>
  <c r="W525" i="3"/>
  <c r="W530" i="3"/>
  <c r="W528" i="3"/>
  <c r="W513" i="3"/>
  <c r="W479" i="3"/>
  <c r="W456" i="3"/>
  <c r="W526" i="3"/>
  <c r="W468" i="3"/>
  <c r="W418" i="3"/>
  <c r="W425" i="3"/>
  <c r="W433" i="3"/>
  <c r="W458" i="3"/>
  <c r="W527" i="3"/>
  <c r="W423" i="3"/>
  <c r="W448" i="3"/>
  <c r="W544" i="3"/>
  <c r="W509" i="3"/>
  <c r="W481" i="3"/>
  <c r="W516" i="3"/>
  <c r="W436" i="3"/>
  <c r="W480" i="3"/>
  <c r="W435" i="3"/>
  <c r="W420" i="3"/>
  <c r="W471" i="3"/>
  <c r="W497" i="3"/>
  <c r="W438" i="3"/>
  <c r="W498" i="3"/>
  <c r="W496" i="3"/>
  <c r="W542" i="3"/>
  <c r="W512" i="3"/>
  <c r="W502" i="3"/>
  <c r="W540" i="3"/>
  <c r="W522" i="3"/>
  <c r="W537" i="3"/>
  <c r="W484" i="3"/>
  <c r="W535" i="3"/>
  <c r="W476" i="3"/>
  <c r="W506" i="3"/>
  <c r="W488" i="3"/>
  <c r="W501" i="3"/>
  <c r="W541" i="3"/>
  <c r="W499" i="3"/>
  <c r="W463" i="3"/>
  <c r="W457" i="3"/>
  <c r="W507" i="3"/>
  <c r="W424" i="3"/>
  <c r="W515" i="3"/>
  <c r="W450" i="3"/>
  <c r="W531" i="3"/>
  <c r="W487" i="3"/>
  <c r="W444" i="3"/>
  <c r="W467" i="3"/>
  <c r="W421" i="3"/>
  <c r="W534" i="3"/>
  <c r="W442" i="3"/>
  <c r="W473" i="3"/>
  <c r="W427" i="3"/>
  <c r="W478" i="3"/>
  <c r="W533" i="3"/>
  <c r="W470" i="3"/>
  <c r="W490" i="3"/>
  <c r="W486" i="3"/>
  <c r="W432" i="3"/>
  <c r="W437" i="3"/>
  <c r="W422" i="3"/>
  <c r="W451" i="3"/>
  <c r="W477" i="3"/>
  <c r="W452" i="3"/>
  <c r="W443" i="3"/>
  <c r="W469" i="3"/>
  <c r="W434" i="3"/>
  <c r="W529" i="3"/>
  <c r="W445" i="3"/>
  <c r="W426" i="3"/>
  <c r="W524" i="3"/>
  <c r="W514" i="3"/>
  <c r="W466" i="3"/>
  <c r="W532" i="3"/>
  <c r="W519" i="3"/>
  <c r="W483" i="3"/>
  <c r="W504" i="3"/>
  <c r="W543" i="3"/>
  <c r="W485" i="3"/>
  <c r="W428" i="3"/>
  <c r="W465" i="3"/>
  <c r="W517" i="3"/>
  <c r="W429" i="3"/>
  <c r="W441" i="3"/>
  <c r="W494" i="3"/>
  <c r="W459" i="3"/>
  <c r="W495" i="3"/>
  <c r="W475" i="3"/>
  <c r="W461" i="3"/>
  <c r="W430" i="3"/>
  <c r="W545" i="3"/>
  <c r="W503" i="3"/>
  <c r="W518" i="3"/>
  <c r="W474" i="3"/>
  <c r="W538" i="3"/>
  <c r="W500" i="3"/>
  <c r="W489" i="3"/>
  <c r="W492" i="3"/>
  <c r="W536" i="3"/>
  <c r="W462" i="3"/>
  <c r="W431" i="3"/>
  <c r="W482" i="3"/>
  <c r="W464" i="3"/>
  <c r="W419" i="3"/>
  <c r="W440" i="3"/>
  <c r="W508" i="3"/>
  <c r="W493" i="3"/>
  <c r="W460" i="3"/>
  <c r="W505" i="3"/>
  <c r="W491" i="3"/>
  <c r="W455" i="3"/>
  <c r="W520" i="3"/>
  <c r="W454" i="3"/>
  <c r="AF26" i="3"/>
  <c r="AF48" i="3"/>
  <c r="AF16" i="3"/>
  <c r="AF404" i="3"/>
  <c r="AF242" i="3"/>
  <c r="AF396" i="3"/>
  <c r="AF349" i="3"/>
  <c r="AF55" i="3"/>
  <c r="AF124" i="3"/>
  <c r="AF138" i="3"/>
  <c r="AF229" i="3"/>
  <c r="AF119" i="3"/>
  <c r="AF239" i="3"/>
  <c r="AF293" i="3"/>
  <c r="AF321" i="3"/>
  <c r="AF181" i="3"/>
  <c r="AF132" i="3"/>
  <c r="AF166" i="3"/>
  <c r="AF187" i="3"/>
  <c r="AF234" i="3"/>
  <c r="AF378" i="3"/>
  <c r="AF92" i="3"/>
  <c r="AF358" i="3"/>
  <c r="AF403" i="3"/>
  <c r="AF151" i="3"/>
  <c r="AF157" i="3"/>
  <c r="AF164" i="3"/>
  <c r="AF167" i="3"/>
  <c r="AF176" i="3"/>
  <c r="AF236" i="3"/>
  <c r="AF289" i="3"/>
  <c r="AF335" i="3"/>
  <c r="AF367" i="3"/>
  <c r="AF285" i="3"/>
  <c r="AF228" i="3"/>
  <c r="AF257" i="3"/>
  <c r="AF280" i="3"/>
  <c r="AF310" i="3"/>
  <c r="AG310" i="3" s="1"/>
  <c r="AF312" i="3"/>
  <c r="AG312" i="3" s="1"/>
  <c r="AF332" i="3"/>
  <c r="AF363" i="3"/>
  <c r="AF250" i="3"/>
  <c r="AF70" i="3"/>
  <c r="AF345" i="3"/>
  <c r="AF379" i="3"/>
  <c r="AF405" i="3"/>
  <c r="AF381" i="3"/>
  <c r="AF74" i="3"/>
  <c r="AF112" i="3"/>
  <c r="AF377" i="3"/>
  <c r="AF412" i="3"/>
  <c r="AF323" i="3"/>
  <c r="AF5" i="3"/>
  <c r="AF13" i="3"/>
  <c r="AG13" i="3" s="1"/>
  <c r="AF18" i="3"/>
  <c r="AF27" i="3"/>
  <c r="AF32" i="3"/>
  <c r="AG32" i="3" s="1"/>
  <c r="AF39" i="3"/>
  <c r="AF43" i="3"/>
  <c r="AF51" i="3"/>
  <c r="AF56" i="3"/>
  <c r="AF61" i="3"/>
  <c r="AF69" i="3"/>
  <c r="AF75" i="3"/>
  <c r="AF374" i="3"/>
  <c r="AF209" i="3"/>
  <c r="AF238" i="3"/>
  <c r="AF279" i="3"/>
  <c r="AF85" i="3"/>
  <c r="AF89" i="3"/>
  <c r="AF96" i="3"/>
  <c r="AF105" i="3"/>
  <c r="AF109" i="3"/>
  <c r="AF115" i="3"/>
  <c r="AF120" i="3"/>
  <c r="AF123" i="3"/>
  <c r="AF128" i="3"/>
  <c r="AF133" i="3"/>
  <c r="AF136" i="3"/>
  <c r="AF140" i="3"/>
  <c r="AF188" i="3"/>
  <c r="AG188" i="3" s="1"/>
  <c r="AF364" i="3"/>
  <c r="AF145" i="3"/>
  <c r="AF150" i="3"/>
  <c r="AF153" i="3"/>
  <c r="AF159" i="3"/>
  <c r="AF165" i="3"/>
  <c r="AF169" i="3"/>
  <c r="AF173" i="3"/>
  <c r="AF178" i="3"/>
  <c r="AF249" i="3"/>
  <c r="AF267" i="3"/>
  <c r="AF315" i="3"/>
  <c r="AF334" i="3"/>
  <c r="AF373" i="3"/>
  <c r="AF351" i="3"/>
  <c r="AF256" i="3"/>
  <c r="AF298" i="3"/>
  <c r="AF324" i="3"/>
  <c r="AF360" i="3"/>
  <c r="AF271" i="3"/>
  <c r="AF78" i="3"/>
  <c r="AF348" i="3"/>
  <c r="AF395" i="3"/>
  <c r="AF290" i="3"/>
  <c r="AF330" i="3"/>
  <c r="AF303" i="3"/>
  <c r="AF90" i="3"/>
  <c r="AF356" i="3"/>
  <c r="AF392" i="3"/>
  <c r="AF326" i="3"/>
  <c r="AF106" i="3"/>
  <c r="AF218" i="3"/>
  <c r="AF262" i="3"/>
  <c r="AF296" i="3"/>
  <c r="AF320" i="3"/>
  <c r="AF259" i="3"/>
  <c r="AF283" i="3"/>
  <c r="AF308" i="3"/>
  <c r="AF327" i="3"/>
  <c r="AF343" i="3"/>
  <c r="AG343" i="3" s="1"/>
  <c r="AF276" i="3"/>
  <c r="AF102" i="3"/>
  <c r="AF260" i="3"/>
  <c r="AF328" i="3"/>
  <c r="AF383" i="3"/>
  <c r="AF415" i="3"/>
  <c r="AF212" i="3"/>
  <c r="AF302" i="3"/>
  <c r="AF253" i="3"/>
  <c r="AF263" i="3"/>
  <c r="AF294" i="3"/>
  <c r="AF318" i="3"/>
  <c r="AG318" i="3" s="1"/>
  <c r="AF336" i="3"/>
  <c r="AF370" i="3"/>
  <c r="AF413" i="3"/>
  <c r="AF470" i="3"/>
  <c r="AF516" i="3"/>
  <c r="AF436" i="3"/>
  <c r="AF480" i="3"/>
  <c r="AF490" i="3"/>
  <c r="AF211" i="3"/>
  <c r="AF117" i="3"/>
  <c r="AF432" i="3"/>
  <c r="AF60" i="3"/>
  <c r="AF471" i="3"/>
  <c r="AF437" i="3"/>
  <c r="AF19" i="3"/>
  <c r="AG19" i="3" s="1"/>
  <c r="AF42" i="3"/>
  <c r="AF77" i="3"/>
  <c r="AF195" i="3"/>
  <c r="AF477" i="3"/>
  <c r="AF452" i="3"/>
  <c r="AF224" i="3"/>
  <c r="AF240" i="3"/>
  <c r="AF261" i="3"/>
  <c r="AF434" i="3"/>
  <c r="AF269" i="3"/>
  <c r="AF273" i="3"/>
  <c r="AF529" i="3"/>
  <c r="AF445" i="3"/>
  <c r="AF291" i="3"/>
  <c r="AF333" i="3"/>
  <c r="AF426" i="3"/>
  <c r="AF340" i="3"/>
  <c r="AF524" i="3"/>
  <c r="AF344" i="3"/>
  <c r="AG344" i="3" s="1"/>
  <c r="AF514" i="3"/>
  <c r="AF366" i="3"/>
  <c r="AF466" i="3"/>
  <c r="AF393" i="3"/>
  <c r="AF532" i="3"/>
  <c r="AF399" i="3"/>
  <c r="AF519" i="3"/>
  <c r="AF483" i="3"/>
  <c r="AF409" i="3"/>
  <c r="AF504" i="3"/>
  <c r="AF152" i="3"/>
  <c r="AF543" i="3"/>
  <c r="AF248" i="3"/>
  <c r="AF485" i="3"/>
  <c r="AF252" i="3"/>
  <c r="AF428" i="3"/>
  <c r="AF268" i="3"/>
  <c r="AF265" i="3"/>
  <c r="AF465" i="3"/>
  <c r="AF517" i="3"/>
  <c r="AF299" i="3"/>
  <c r="AF429" i="3"/>
  <c r="AF317" i="3"/>
  <c r="AG317" i="3" s="1"/>
  <c r="AF441" i="3"/>
  <c r="AF339" i="3"/>
  <c r="AG339" i="3" s="1"/>
  <c r="AF489" i="3"/>
  <c r="AF408" i="3"/>
  <c r="AF95" i="3"/>
  <c r="AF455" i="3"/>
  <c r="AF354" i="3"/>
  <c r="AF495" i="3"/>
  <c r="AF401" i="3"/>
  <c r="AF520" i="3"/>
  <c r="AF461" i="3"/>
  <c r="AF9" i="3"/>
  <c r="AF15" i="3"/>
  <c r="AF22" i="3"/>
  <c r="AF503" i="3"/>
  <c r="AF34" i="3"/>
  <c r="AG34" i="3" s="1"/>
  <c r="AF523" i="3"/>
  <c r="AF45" i="3"/>
  <c r="AF518" i="3"/>
  <c r="AF54" i="3"/>
  <c r="AF449" i="3"/>
  <c r="AF521" i="3"/>
  <c r="AF447" i="3"/>
  <c r="AF439" i="3"/>
  <c r="AF539" i="3"/>
  <c r="AF63" i="3"/>
  <c r="AF73" i="3"/>
  <c r="AF81" i="3"/>
  <c r="AG81" i="3" s="1"/>
  <c r="AF94" i="3"/>
  <c r="AF492" i="3"/>
  <c r="AF536" i="3"/>
  <c r="AF101" i="3"/>
  <c r="AF462" i="3"/>
  <c r="AF107" i="3"/>
  <c r="AF116" i="3"/>
  <c r="AF431" i="3"/>
  <c r="AF125" i="3"/>
  <c r="AF482" i="3"/>
  <c r="AF464" i="3"/>
  <c r="AF129" i="3"/>
  <c r="AF137" i="3"/>
  <c r="AG137" i="3" s="1"/>
  <c r="AF419" i="3"/>
  <c r="AF142" i="3"/>
  <c r="AG142" i="3" s="1"/>
  <c r="AF440" i="3"/>
  <c r="AF508" i="3"/>
  <c r="AF148" i="3"/>
  <c r="AF155" i="3"/>
  <c r="AF493" i="3"/>
  <c r="AF160" i="3"/>
  <c r="AF460" i="3"/>
  <c r="AF170" i="3"/>
  <c r="AF505" i="3"/>
  <c r="AF227" i="3"/>
  <c r="AF491" i="3"/>
  <c r="AF494" i="3"/>
  <c r="AF459" i="3"/>
  <c r="AF272" i="3"/>
  <c r="AF475" i="3"/>
  <c r="AF316" i="3"/>
  <c r="AF454" i="3"/>
  <c r="AF342" i="3"/>
  <c r="AG342" i="3" s="1"/>
  <c r="AF430" i="3"/>
  <c r="AF545" i="3"/>
  <c r="AF246" i="3"/>
  <c r="AF453" i="3"/>
  <c r="AF472" i="3"/>
  <c r="AF297" i="3"/>
  <c r="AF82" i="3"/>
  <c r="AF474" i="3"/>
  <c r="AF368" i="3"/>
  <c r="AF76" i="3"/>
  <c r="AF202" i="3"/>
  <c r="AF225" i="3"/>
  <c r="AF288" i="3"/>
  <c r="AF538" i="3"/>
  <c r="AF500" i="3"/>
  <c r="AF510" i="3"/>
  <c r="AF509" i="3"/>
  <c r="AF2" i="3"/>
  <c r="AG2" i="3" s="1"/>
  <c r="W2" i="3"/>
  <c r="X2" i="3" s="1"/>
  <c r="T517" i="3" l="1"/>
  <c r="U517" i="3" s="1"/>
  <c r="T510" i="3"/>
  <c r="U510" i="3" s="1"/>
  <c r="T507" i="3"/>
  <c r="U507" i="3" s="1"/>
  <c r="T495" i="3"/>
  <c r="U495" i="3" s="1"/>
  <c r="T422" i="3"/>
  <c r="U422" i="3" s="1"/>
  <c r="T482" i="3"/>
  <c r="U482" i="3" s="1"/>
  <c r="T497" i="3"/>
  <c r="U497" i="3" s="1"/>
  <c r="T538" i="3"/>
  <c r="U538" i="3" s="1"/>
  <c r="T486" i="3"/>
  <c r="U486" i="3" s="1"/>
  <c r="T480" i="3"/>
  <c r="U480" i="3" s="1"/>
  <c r="T423" i="3"/>
  <c r="U423" i="3" s="1"/>
  <c r="T435" i="3"/>
  <c r="U435" i="3" s="1"/>
  <c r="T442" i="3"/>
  <c r="U442" i="3" s="1"/>
  <c r="T446" i="3"/>
  <c r="U446" i="3" s="1"/>
  <c r="T511" i="3"/>
  <c r="U511" i="3" s="1"/>
  <c r="T535" i="3"/>
  <c r="U535" i="3" s="1"/>
  <c r="T481" i="3"/>
  <c r="U481" i="3" s="1"/>
  <c r="T478" i="3"/>
  <c r="U478" i="3" s="1"/>
  <c r="T475" i="3"/>
  <c r="U475" i="3" s="1"/>
  <c r="T430" i="3"/>
  <c r="U430" i="3" s="1"/>
  <c r="T489" i="3"/>
  <c r="U489" i="3" s="1"/>
  <c r="T488" i="3"/>
  <c r="U488" i="3" s="1"/>
  <c r="T544" i="3"/>
  <c r="U544" i="3" s="1"/>
  <c r="T494" i="3"/>
  <c r="U494" i="3" s="1"/>
  <c r="T492" i="3"/>
  <c r="U492" i="3" s="1"/>
  <c r="T536" i="3"/>
  <c r="U536" i="3" s="1"/>
  <c r="T521" i="3"/>
  <c r="U521" i="3" s="1"/>
  <c r="T508" i="3"/>
  <c r="U508" i="3" s="1"/>
  <c r="T448" i="3"/>
  <c r="U448" i="3" s="1"/>
  <c r="T432" i="3"/>
  <c r="U432" i="3" s="1"/>
  <c r="T476" i="3"/>
  <c r="U476" i="3" s="1"/>
  <c r="T454" i="3"/>
  <c r="U454" i="3" s="1"/>
  <c r="T512" i="3"/>
  <c r="U512" i="3" s="1"/>
  <c r="AJ10" i="3"/>
  <c r="T527" i="3"/>
  <c r="U527" i="3" s="1"/>
  <c r="T445" i="3"/>
  <c r="U445" i="3" s="1"/>
  <c r="T493" i="3"/>
  <c r="U493" i="3" s="1"/>
  <c r="T490" i="3"/>
  <c r="U490" i="3" s="1"/>
  <c r="T487" i="3"/>
  <c r="U487" i="3" s="1"/>
  <c r="T427" i="3"/>
  <c r="U427" i="3" s="1"/>
  <c r="T439" i="3"/>
  <c r="U439" i="3" s="1"/>
  <c r="T431" i="3"/>
  <c r="U431" i="3" s="1"/>
  <c r="T541" i="3"/>
  <c r="U541" i="3" s="1"/>
  <c r="T524" i="3"/>
  <c r="U524" i="3" s="1"/>
  <c r="T460" i="3"/>
  <c r="U460" i="3" s="1"/>
  <c r="T519" i="3"/>
  <c r="U519" i="3" s="1"/>
  <c r="T457" i="3"/>
  <c r="U457" i="3" s="1"/>
  <c r="T438" i="3" l="1"/>
  <c r="U438" i="3" s="1"/>
  <c r="T506" i="3"/>
  <c r="U506" i="3" s="1"/>
  <c r="T421" i="3"/>
  <c r="U421" i="3" s="1"/>
  <c r="T509" i="3"/>
  <c r="U509" i="3" s="1"/>
  <c r="T426" i="3"/>
  <c r="U426" i="3" s="1"/>
  <c r="T515" i="3"/>
  <c r="U515" i="3" s="1"/>
  <c r="T436" i="3"/>
  <c r="U436" i="3" s="1"/>
  <c r="T452" i="3"/>
  <c r="U452" i="3" s="1"/>
  <c r="T443" i="3"/>
  <c r="U443" i="3" s="1"/>
  <c r="T514" i="3"/>
  <c r="U514" i="3" s="1"/>
  <c r="T444" i="3"/>
  <c r="U444" i="3" s="1"/>
  <c r="T485" i="3"/>
  <c r="U485" i="3" s="1"/>
  <c r="T424" i="3"/>
  <c r="U424" i="3" s="1"/>
  <c r="T496" i="3"/>
  <c r="U496" i="3" s="1"/>
  <c r="T455" i="3"/>
  <c r="U455" i="3" s="1"/>
  <c r="T499" i="3"/>
  <c r="U499" i="3" s="1"/>
  <c r="T518" i="3"/>
  <c r="U518" i="3" s="1"/>
  <c r="T433" i="3"/>
  <c r="U433" i="3" s="1"/>
  <c r="T531" i="3"/>
  <c r="U531" i="3" s="1"/>
  <c r="T543" i="3"/>
  <c r="U543" i="3" s="1"/>
  <c r="T451" i="3"/>
  <c r="U451" i="3" s="1"/>
  <c r="T498" i="3"/>
  <c r="U498" i="3" s="1"/>
  <c r="T537" i="3"/>
  <c r="U537" i="3" s="1"/>
  <c r="T528" i="3"/>
  <c r="U528" i="3" s="1"/>
  <c r="T503" i="3"/>
  <c r="U503" i="3" s="1"/>
  <c r="T473" i="3"/>
  <c r="U473" i="3" s="1"/>
  <c r="T472" i="3"/>
  <c r="U472" i="3" s="1"/>
  <c r="T520" i="3"/>
  <c r="U520" i="3" s="1"/>
  <c r="T461" i="3"/>
  <c r="U461" i="3" s="1"/>
  <c r="T467" i="3"/>
  <c r="U467" i="3" s="1"/>
  <c r="T523" i="3"/>
  <c r="U523" i="3" s="1"/>
  <c r="T466" i="3"/>
  <c r="U466" i="3" s="1"/>
  <c r="T450" i="3"/>
  <c r="U450" i="3" s="1"/>
  <c r="T529" i="3"/>
  <c r="U529" i="3" s="1"/>
  <c r="T534" i="3"/>
  <c r="U534" i="3" s="1"/>
  <c r="T456" i="3"/>
  <c r="U456" i="3" s="1"/>
  <c r="T429" i="3"/>
  <c r="U429" i="3" s="1"/>
  <c r="T545" i="3"/>
  <c r="U545" i="3" s="1"/>
  <c r="T502" i="3"/>
  <c r="U502" i="3" s="1"/>
  <c r="T458" i="3"/>
  <c r="U458" i="3" s="1"/>
  <c r="T501" i="3"/>
  <c r="U501" i="3" s="1"/>
  <c r="T464" i="3"/>
  <c r="U464" i="3" s="1"/>
  <c r="T462" i="3"/>
  <c r="U462" i="3" s="1"/>
  <c r="T540" i="3"/>
  <c r="U540" i="3" s="1"/>
  <c r="T440" i="3"/>
  <c r="U440" i="3" s="1"/>
  <c r="T425" i="3"/>
  <c r="U425" i="3" s="1"/>
  <c r="AI10" i="3"/>
  <c r="AI15" i="3"/>
  <c r="T474" i="3"/>
  <c r="U474" i="3" s="1"/>
  <c r="T468" i="3"/>
  <c r="U468" i="3" s="1"/>
  <c r="T526" i="3"/>
  <c r="U526" i="3" s="1"/>
  <c r="T419" i="3"/>
  <c r="U419" i="3" s="1"/>
  <c r="T471" i="3"/>
  <c r="U471" i="3" s="1"/>
  <c r="T532" i="3"/>
  <c r="U532" i="3" s="1"/>
  <c r="T516" i="3"/>
  <c r="U516" i="3" s="1"/>
  <c r="T525" i="3"/>
  <c r="U525" i="3" s="1"/>
  <c r="T539" i="3"/>
  <c r="U539" i="3" s="1"/>
  <c r="T469" i="3"/>
  <c r="U469" i="3" s="1"/>
  <c r="T434" i="3"/>
  <c r="U434" i="3" s="1"/>
  <c r="T470" i="3"/>
  <c r="U470" i="3" s="1"/>
  <c r="T477" i="3"/>
  <c r="U477" i="3" s="1"/>
  <c r="T459" i="3"/>
  <c r="U459" i="3" s="1"/>
  <c r="T484" i="3"/>
  <c r="U484" i="3" s="1"/>
  <c r="T449" i="3"/>
  <c r="U449" i="3" s="1"/>
  <c r="T441" i="3"/>
  <c r="U441" i="3" s="1"/>
  <c r="AJ15" i="3"/>
  <c r="AI14" i="3"/>
  <c r="T530" i="3"/>
  <c r="U530" i="3" s="1"/>
  <c r="T447" i="3"/>
  <c r="U447" i="3" s="1"/>
  <c r="T453" i="3"/>
  <c r="U453" i="3" s="1"/>
  <c r="AJ14" i="3"/>
  <c r="T418" i="3"/>
  <c r="U418" i="3" s="1"/>
  <c r="T500" i="3"/>
  <c r="U500" i="3" s="1"/>
  <c r="T533" i="3"/>
  <c r="U533" i="3" s="1"/>
  <c r="T479" i="3"/>
  <c r="U479" i="3" s="1"/>
  <c r="T420" i="3"/>
  <c r="U420" i="3" s="1"/>
  <c r="T483" i="3"/>
  <c r="U483" i="3" s="1"/>
  <c r="T504" i="3"/>
  <c r="U504" i="3" s="1"/>
  <c r="T491" i="3"/>
  <c r="U491" i="3" s="1"/>
  <c r="T428" i="3"/>
  <c r="U428" i="3" s="1"/>
  <c r="T437" i="3"/>
  <c r="U437" i="3" s="1"/>
  <c r="T505" i="3"/>
  <c r="U505" i="3" s="1"/>
  <c r="T542" i="3"/>
  <c r="U542" i="3" s="1"/>
  <c r="T463" i="3"/>
  <c r="U463" i="3" s="1"/>
  <c r="T513" i="3"/>
  <c r="U513" i="3" s="1"/>
  <c r="T465" i="3"/>
  <c r="U465" i="3" s="1"/>
  <c r="T522" i="3"/>
  <c r="U522" i="3" s="1"/>
  <c r="AK10" i="3" l="1"/>
  <c r="AK15" i="3"/>
  <c r="AC434" i="3" s="1"/>
  <c r="AD434" i="3" s="1"/>
  <c r="AK14" i="3"/>
  <c r="Z454" i="3" s="1"/>
  <c r="Z15" i="3" l="1"/>
  <c r="AA15" i="3" s="1"/>
  <c r="Z185" i="3"/>
  <c r="Z450" i="3"/>
  <c r="Z80" i="3"/>
  <c r="AC408" i="3"/>
  <c r="AD408" i="3" s="1"/>
  <c r="AC406" i="3"/>
  <c r="AD406" i="3" s="1"/>
  <c r="AC300" i="3"/>
  <c r="AD300" i="3" s="1"/>
  <c r="AC299" i="3"/>
  <c r="AD299" i="3" s="1"/>
  <c r="AC403" i="3"/>
  <c r="AD403" i="3" s="1"/>
  <c r="AC401" i="3"/>
  <c r="AD401" i="3" s="1"/>
  <c r="AC356" i="3"/>
  <c r="AD356" i="3" s="1"/>
  <c r="AC351" i="3"/>
  <c r="AD351" i="3" s="1"/>
  <c r="Z278" i="3"/>
  <c r="AA278" i="3" s="1"/>
  <c r="AC349" i="3"/>
  <c r="AD349" i="3" s="1"/>
  <c r="Z37" i="3"/>
  <c r="AA37" i="3" s="1"/>
  <c r="AC347" i="3"/>
  <c r="AD347" i="3" s="1"/>
  <c r="Z385" i="3"/>
  <c r="Z507" i="3"/>
  <c r="Z275" i="3"/>
  <c r="AC338" i="3"/>
  <c r="AD338" i="3" s="1"/>
  <c r="AC163" i="3"/>
  <c r="AD163" i="3" s="1"/>
  <c r="AC251" i="3"/>
  <c r="AD251" i="3" s="1"/>
  <c r="Z537" i="3"/>
  <c r="Z179" i="3"/>
  <c r="AC358" i="3"/>
  <c r="AD358" i="3" s="1"/>
  <c r="AC353" i="3"/>
  <c r="AD353" i="3" s="1"/>
  <c r="AC354" i="3"/>
  <c r="AD354" i="3" s="1"/>
  <c r="Z194" i="3"/>
  <c r="AC352" i="3"/>
  <c r="AD352" i="3" s="1"/>
  <c r="Z192" i="3"/>
  <c r="Z36" i="3"/>
  <c r="AA36" i="3" s="1"/>
  <c r="AC506" i="3"/>
  <c r="AD506" i="3" s="1"/>
  <c r="Z383" i="3"/>
  <c r="AC165" i="3"/>
  <c r="AD165" i="3" s="1"/>
  <c r="AC497" i="3"/>
  <c r="AD497" i="3" s="1"/>
  <c r="Z189" i="3"/>
  <c r="AC34" i="3"/>
  <c r="AD34" i="3" s="1"/>
  <c r="AC443" i="3"/>
  <c r="AD443" i="3" s="1"/>
  <c r="Z186" i="3"/>
  <c r="Z486" i="3"/>
  <c r="AC25" i="3"/>
  <c r="AD25" i="3" s="1"/>
  <c r="AC312" i="3"/>
  <c r="AD312" i="3" s="1"/>
  <c r="AC435" i="3"/>
  <c r="AD435" i="3" s="1"/>
  <c r="AC150" i="3"/>
  <c r="AD150" i="3" s="1"/>
  <c r="Z430" i="3"/>
  <c r="AC294" i="3"/>
  <c r="AD294" i="3" s="1"/>
  <c r="Z41" i="3"/>
  <c r="AA41" i="3" s="1"/>
  <c r="AC289" i="3"/>
  <c r="AD289" i="3" s="1"/>
  <c r="Z512" i="3"/>
  <c r="AC277" i="3"/>
  <c r="AD277" i="3" s="1"/>
  <c r="Z135" i="3"/>
  <c r="AA135" i="3" s="1"/>
  <c r="AC273" i="3"/>
  <c r="AD273" i="3" s="1"/>
  <c r="Z132" i="3"/>
  <c r="AA132" i="3" s="1"/>
  <c r="AC321" i="3"/>
  <c r="AD321" i="3" s="1"/>
  <c r="AC185" i="3"/>
  <c r="AD185" i="3" s="1"/>
  <c r="Z505" i="3"/>
  <c r="AC320" i="3"/>
  <c r="AD320" i="3" s="1"/>
  <c r="AC182" i="3"/>
  <c r="AD182" i="3" s="1"/>
  <c r="Z128" i="3"/>
  <c r="AA128" i="3" s="1"/>
  <c r="AC313" i="3"/>
  <c r="AD313" i="3" s="1"/>
  <c r="AC154" i="3"/>
  <c r="AD154" i="3" s="1"/>
  <c r="Z375" i="3"/>
  <c r="Z83" i="3"/>
  <c r="AC410" i="3"/>
  <c r="AD410" i="3" s="1"/>
  <c r="AC301" i="3"/>
  <c r="AD301" i="3" s="1"/>
  <c r="AC405" i="3"/>
  <c r="AD405" i="3" s="1"/>
  <c r="AC149" i="3"/>
  <c r="AD149" i="3" s="1"/>
  <c r="Z182" i="3"/>
  <c r="Z269" i="3"/>
  <c r="Z523" i="3"/>
  <c r="Z87" i="3"/>
  <c r="Z11" i="3"/>
  <c r="AA11" i="3" s="1"/>
  <c r="Z459" i="3"/>
  <c r="AC350" i="3"/>
  <c r="AD350" i="3" s="1"/>
  <c r="AC285" i="3"/>
  <c r="AD285" i="3" s="1"/>
  <c r="AC357" i="3"/>
  <c r="AD357" i="3" s="1"/>
  <c r="AC470" i="3"/>
  <c r="AD470" i="3" s="1"/>
  <c r="Z7" i="3"/>
  <c r="AA7" i="3" s="1"/>
  <c r="AC190" i="3"/>
  <c r="AD190" i="3" s="1"/>
  <c r="AC348" i="3"/>
  <c r="AD348" i="3" s="1"/>
  <c r="AC281" i="3"/>
  <c r="AD281" i="3" s="1"/>
  <c r="AC355" i="3"/>
  <c r="AD355" i="3" s="1"/>
  <c r="AC283" i="3"/>
  <c r="AD283" i="3" s="1"/>
  <c r="AC395" i="3"/>
  <c r="AD395" i="3" s="1"/>
  <c r="AC402" i="3"/>
  <c r="AD402" i="3" s="1"/>
  <c r="AC298" i="3"/>
  <c r="AD298" i="3" s="1"/>
  <c r="AC399" i="3"/>
  <c r="AD399" i="3" s="1"/>
  <c r="AC465" i="3"/>
  <c r="AD465" i="3" s="1"/>
  <c r="AC398" i="3"/>
  <c r="AD398" i="3" s="1"/>
  <c r="AC297" i="3"/>
  <c r="AD297" i="3" s="1"/>
  <c r="AC397" i="3"/>
  <c r="AD397" i="3" s="1"/>
  <c r="AC464" i="3"/>
  <c r="AD464" i="3" s="1"/>
  <c r="AC396" i="3"/>
  <c r="AD396" i="3" s="1"/>
  <c r="AC296" i="3"/>
  <c r="AD296" i="3" s="1"/>
  <c r="AC197" i="3"/>
  <c r="AD197" i="3" s="1"/>
  <c r="AC500" i="3"/>
  <c r="AD500" i="3" s="1"/>
  <c r="AC382" i="3"/>
  <c r="AD382" i="3" s="1"/>
  <c r="AC323" i="3"/>
  <c r="AD323" i="3" s="1"/>
  <c r="AC510" i="3"/>
  <c r="AD510" i="3" s="1"/>
  <c r="AC10" i="3"/>
  <c r="AD10" i="3" s="1"/>
  <c r="AC381" i="3"/>
  <c r="AD381" i="3" s="1"/>
  <c r="AC191" i="3"/>
  <c r="AD191" i="3" s="1"/>
  <c r="AC511" i="3"/>
  <c r="AD511" i="3" s="1"/>
  <c r="AC337" i="3"/>
  <c r="AD337" i="3" s="1"/>
  <c r="AC151" i="3"/>
  <c r="AD151" i="3" s="1"/>
  <c r="AC248" i="3"/>
  <c r="AD248" i="3" s="1"/>
  <c r="AC72" i="3"/>
  <c r="AD72" i="3" s="1"/>
  <c r="AC325" i="3"/>
  <c r="AD325" i="3" s="1"/>
  <c r="AC30" i="3"/>
  <c r="AD30" i="3" s="1"/>
  <c r="AC199" i="3"/>
  <c r="AD199" i="3" s="1"/>
  <c r="AC18" i="3"/>
  <c r="AD18" i="3" s="1"/>
  <c r="AC324" i="3"/>
  <c r="AD324" i="3" s="1"/>
  <c r="AC22" i="3"/>
  <c r="AD22" i="3" s="1"/>
  <c r="AC279" i="3"/>
  <c r="AD279" i="3" s="1"/>
  <c r="AC492" i="3"/>
  <c r="AD492" i="3" s="1"/>
  <c r="AC380" i="3"/>
  <c r="AD380" i="3" s="1"/>
  <c r="AC322" i="3"/>
  <c r="AD322" i="3" s="1"/>
  <c r="AC483" i="3"/>
  <c r="AD483" i="3" s="1"/>
  <c r="AC5" i="3"/>
  <c r="AD5" i="3" s="1"/>
  <c r="AC379" i="3"/>
  <c r="AD379" i="3" s="1"/>
  <c r="AC188" i="3"/>
  <c r="AD188" i="3" s="1"/>
  <c r="AC446" i="3"/>
  <c r="AD446" i="3" s="1"/>
  <c r="Z24" i="3"/>
  <c r="AA24" i="3" s="1"/>
  <c r="Z282" i="3"/>
  <c r="AA282" i="3" s="1"/>
  <c r="Z69" i="3"/>
  <c r="Z464" i="3"/>
  <c r="Z488" i="3"/>
  <c r="Z517" i="3"/>
  <c r="Z540" i="3"/>
  <c r="Z188" i="3"/>
  <c r="Z180" i="3"/>
  <c r="Z196" i="3"/>
  <c r="Z377" i="3"/>
  <c r="Z530" i="3"/>
  <c r="Z73" i="3"/>
  <c r="Z119" i="3"/>
  <c r="AA119" i="3" s="1"/>
  <c r="Z545" i="3"/>
  <c r="Z379" i="3"/>
  <c r="Z27" i="3"/>
  <c r="AA27" i="3" s="1"/>
  <c r="Z438" i="3"/>
  <c r="Z499" i="3"/>
  <c r="Z172" i="3"/>
  <c r="Z183" i="3"/>
  <c r="Z8" i="3"/>
  <c r="AA8" i="3" s="1"/>
  <c r="Z53" i="3"/>
  <c r="AA53" i="3" s="1"/>
  <c r="Z100" i="3"/>
  <c r="Z525" i="3"/>
  <c r="Z28" i="3"/>
  <c r="AA28" i="3" s="1"/>
  <c r="Z543" i="3"/>
  <c r="Z526" i="3"/>
  <c r="Z45" i="3"/>
  <c r="AA45" i="3" s="1"/>
  <c r="Z434" i="3"/>
  <c r="Z91" i="3"/>
  <c r="Z115" i="3"/>
  <c r="AA115" i="3" s="1"/>
  <c r="Z142" i="3"/>
  <c r="AA142" i="3" s="1"/>
  <c r="Z168" i="3"/>
  <c r="Z19" i="3"/>
  <c r="AA19" i="3" s="1"/>
  <c r="Z389" i="3"/>
  <c r="Z6" i="3"/>
  <c r="AA6" i="3" s="1"/>
  <c r="Z49" i="3"/>
  <c r="AA49" i="3" s="1"/>
  <c r="Z465" i="3"/>
  <c r="Z521" i="3"/>
  <c r="Z23" i="3"/>
  <c r="AA23" i="3" s="1"/>
  <c r="Z201" i="3"/>
  <c r="AA201" i="3" s="1"/>
  <c r="Z485" i="3"/>
  <c r="Z288" i="3"/>
  <c r="AA288" i="3" s="1"/>
  <c r="Z95" i="3"/>
  <c r="Z146" i="3"/>
  <c r="AA146" i="3" s="1"/>
  <c r="Z191" i="3"/>
  <c r="Z391" i="3"/>
  <c r="Z265" i="3"/>
  <c r="AA265" i="3" s="1"/>
  <c r="Z446" i="3"/>
  <c r="AA446" i="3" s="1"/>
  <c r="Z123" i="3"/>
  <c r="Z3" i="3"/>
  <c r="AA3" i="3" s="1"/>
  <c r="Z489" i="3"/>
  <c r="Z31" i="3"/>
  <c r="AA31" i="3" s="1"/>
  <c r="Z291" i="3"/>
  <c r="Z76" i="3"/>
  <c r="Z470" i="3"/>
  <c r="Z502" i="3"/>
  <c r="Z150" i="3"/>
  <c r="Z176" i="3"/>
  <c r="Z197" i="3"/>
  <c r="Z381" i="3"/>
  <c r="Z205" i="3"/>
  <c r="AA205" i="3" s="1"/>
  <c r="Z175" i="3"/>
  <c r="Z161" i="3"/>
  <c r="Z111" i="3"/>
  <c r="AA111" i="3" s="1"/>
  <c r="Z65" i="3"/>
  <c r="AA65" i="3" s="1"/>
  <c r="Z20" i="3"/>
  <c r="AA20" i="3" s="1"/>
  <c r="Z171" i="3"/>
  <c r="Z295" i="3"/>
  <c r="AA295" i="3" s="1"/>
  <c r="AC14" i="3"/>
  <c r="AD14" i="3" s="1"/>
  <c r="AC336" i="3"/>
  <c r="AD336" i="3" s="1"/>
  <c r="AC143" i="3"/>
  <c r="AD143" i="3" s="1"/>
  <c r="AC377" i="3"/>
  <c r="AD377" i="3" s="1"/>
  <c r="AC146" i="3"/>
  <c r="AD146" i="3" s="1"/>
  <c r="Z373" i="3"/>
  <c r="Z16" i="3"/>
  <c r="AA16" i="3" s="1"/>
  <c r="AC495" i="3"/>
  <c r="AD495" i="3" s="1"/>
  <c r="AC376" i="3"/>
  <c r="AD376" i="3" s="1"/>
  <c r="AC335" i="3"/>
  <c r="AD335" i="3" s="1"/>
  <c r="AC310" i="3"/>
  <c r="AD310" i="3" s="1"/>
  <c r="AC473" i="3"/>
  <c r="AD473" i="3" s="1"/>
  <c r="AC130" i="3"/>
  <c r="AD130" i="3" s="1"/>
  <c r="AC422" i="3"/>
  <c r="AD422" i="3" s="1"/>
  <c r="AC375" i="3"/>
  <c r="AD375" i="3" s="1"/>
  <c r="AC238" i="3"/>
  <c r="AD238" i="3" s="1"/>
  <c r="AC142" i="3"/>
  <c r="AD142" i="3" s="1"/>
  <c r="AC438" i="3"/>
  <c r="AD438" i="3" s="1"/>
  <c r="Z533" i="3"/>
  <c r="AC311" i="3"/>
  <c r="AD311" i="3" s="1"/>
  <c r="AC309" i="3"/>
  <c r="AD309" i="3" s="1"/>
  <c r="AC373" i="3"/>
  <c r="AD373" i="3" s="1"/>
  <c r="AC135" i="3"/>
  <c r="AD135" i="3" s="1"/>
  <c r="AC261" i="3"/>
  <c r="AD261" i="3" s="1"/>
  <c r="AC276" i="3"/>
  <c r="AD276" i="3" s="1"/>
  <c r="AC327" i="3"/>
  <c r="AD327" i="3" s="1"/>
  <c r="AC157" i="3"/>
  <c r="AD157" i="3" s="1"/>
  <c r="AC203" i="3"/>
  <c r="AD203" i="3" s="1"/>
  <c r="AC256" i="3"/>
  <c r="AD256" i="3" s="1"/>
  <c r="AC359" i="3"/>
  <c r="AD359" i="3" s="1"/>
  <c r="AC383" i="3"/>
  <c r="AD383" i="3" s="1"/>
  <c r="AC407" i="3"/>
  <c r="AD407" i="3" s="1"/>
  <c r="AC451" i="3"/>
  <c r="AD451" i="3" s="1"/>
  <c r="AC44" i="3"/>
  <c r="AD44" i="3" s="1"/>
  <c r="AC173" i="3"/>
  <c r="AD173" i="3" s="1"/>
  <c r="AC428" i="3"/>
  <c r="AD428" i="3" s="1"/>
  <c r="AC515" i="3"/>
  <c r="AD515" i="3" s="1"/>
  <c r="AC302" i="3"/>
  <c r="AD302" i="3" s="1"/>
  <c r="AC314" i="3"/>
  <c r="AD314" i="3" s="1"/>
  <c r="AC326" i="3"/>
  <c r="AD326" i="3" s="1"/>
  <c r="AC339" i="3"/>
  <c r="AD339" i="3" s="1"/>
  <c r="AC360" i="3"/>
  <c r="AD360" i="3" s="1"/>
  <c r="AC384" i="3"/>
  <c r="AD384" i="3" s="1"/>
  <c r="AC412" i="3"/>
  <c r="AD412" i="3" s="1"/>
  <c r="AC48" i="3"/>
  <c r="AD48" i="3" s="1"/>
  <c r="AC102" i="3"/>
  <c r="AD102" i="3" s="1"/>
  <c r="AC264" i="3"/>
  <c r="AD264" i="3" s="1"/>
  <c r="AC63" i="3"/>
  <c r="AD63" i="3" s="1"/>
  <c r="AC304" i="3"/>
  <c r="AD304" i="3" s="1"/>
  <c r="AC341" i="3"/>
  <c r="AD341" i="3" s="1"/>
  <c r="AC388" i="3"/>
  <c r="AD388" i="3" s="1"/>
  <c r="AC68" i="3"/>
  <c r="AD68" i="3" s="1"/>
  <c r="AC295" i="3"/>
  <c r="AD295" i="3" s="1"/>
  <c r="AC119" i="3"/>
  <c r="AD119" i="3" s="1"/>
  <c r="AC172" i="3"/>
  <c r="AD172" i="3" s="1"/>
  <c r="AC267" i="3"/>
  <c r="AD267" i="3" s="1"/>
  <c r="AC389" i="3"/>
  <c r="AD389" i="3" s="1"/>
  <c r="AC482" i="3"/>
  <c r="AD482" i="3" s="1"/>
  <c r="AC204" i="3"/>
  <c r="AD204" i="3" s="1"/>
  <c r="AC531" i="3"/>
  <c r="AD531" i="3" s="1"/>
  <c r="AC317" i="3"/>
  <c r="AD317" i="3" s="1"/>
  <c r="AC342" i="3"/>
  <c r="AD342" i="3" s="1"/>
  <c r="AC390" i="3"/>
  <c r="AD390" i="3" s="1"/>
  <c r="AC112" i="3"/>
  <c r="AD112" i="3" s="1"/>
  <c r="AC141" i="3"/>
  <c r="AD141" i="3" s="1"/>
  <c r="AC123" i="3"/>
  <c r="AD123" i="3" s="1"/>
  <c r="AC222" i="3"/>
  <c r="AD222" i="3" s="1"/>
  <c r="AC367" i="3"/>
  <c r="AD367" i="3" s="1"/>
  <c r="AC415" i="3"/>
  <c r="AD415" i="3" s="1"/>
  <c r="AC84" i="3"/>
  <c r="AD84" i="3" s="1"/>
  <c r="AC453" i="3"/>
  <c r="AD453" i="3" s="1"/>
  <c r="AC306" i="3"/>
  <c r="AD306" i="3" s="1"/>
  <c r="AC331" i="3"/>
  <c r="AD331" i="3" s="1"/>
  <c r="AC368" i="3"/>
  <c r="AD368" i="3" s="1"/>
  <c r="AC439" i="3"/>
  <c r="AD439" i="3" s="1"/>
  <c r="AC293" i="3"/>
  <c r="AD293" i="3" s="1"/>
  <c r="AC450" i="3"/>
  <c r="AD450" i="3" s="1"/>
  <c r="AC472" i="3"/>
  <c r="AD472" i="3" s="1"/>
  <c r="AC161" i="3"/>
  <c r="AD161" i="3" s="1"/>
  <c r="AC209" i="3"/>
  <c r="AD209" i="3" s="1"/>
  <c r="AC260" i="3"/>
  <c r="AD260" i="3" s="1"/>
  <c r="AC361" i="3"/>
  <c r="AD361" i="3" s="1"/>
  <c r="AC385" i="3"/>
  <c r="AD385" i="3" s="1"/>
  <c r="AC409" i="3"/>
  <c r="AD409" i="3" s="1"/>
  <c r="AC461" i="3"/>
  <c r="AD461" i="3" s="1"/>
  <c r="AC52" i="3"/>
  <c r="AD52" i="3" s="1"/>
  <c r="AC181" i="3"/>
  <c r="AD181" i="3" s="1"/>
  <c r="AC433" i="3"/>
  <c r="AD433" i="3" s="1"/>
  <c r="AC522" i="3"/>
  <c r="AD522" i="3" s="1"/>
  <c r="AC303" i="3"/>
  <c r="AD303" i="3" s="1"/>
  <c r="AC315" i="3"/>
  <c r="AD315" i="3" s="1"/>
  <c r="AC328" i="3"/>
  <c r="AD328" i="3" s="1"/>
  <c r="AC340" i="3"/>
  <c r="AD340" i="3" s="1"/>
  <c r="AC362" i="3"/>
  <c r="AD362" i="3" s="1"/>
  <c r="AC386" i="3"/>
  <c r="AD386" i="3" s="1"/>
  <c r="AC417" i="3"/>
  <c r="AD417" i="3" s="1"/>
  <c r="AC61" i="3"/>
  <c r="AD61" i="3" s="1"/>
  <c r="AC454" i="3"/>
  <c r="AD454" i="3" s="1"/>
  <c r="AC476" i="3"/>
  <c r="AD476" i="3" s="1"/>
  <c r="AC168" i="3"/>
  <c r="AD168" i="3" s="1"/>
  <c r="AC213" i="3"/>
  <c r="AD213" i="3" s="1"/>
  <c r="AC263" i="3"/>
  <c r="AD263" i="3" s="1"/>
  <c r="AC363" i="3"/>
  <c r="AD363" i="3" s="1"/>
  <c r="AC387" i="3"/>
  <c r="AD387" i="3" s="1"/>
  <c r="AC411" i="3"/>
  <c r="AD411" i="3" s="1"/>
  <c r="AC474" i="3"/>
  <c r="AD474" i="3" s="1"/>
  <c r="AC193" i="3"/>
  <c r="AD193" i="3" s="1"/>
  <c r="AC442" i="3"/>
  <c r="AD442" i="3" s="1"/>
  <c r="AC528" i="3"/>
  <c r="AD528" i="3" s="1"/>
  <c r="AC316" i="3"/>
  <c r="AD316" i="3" s="1"/>
  <c r="AC329" i="3"/>
  <c r="AD329" i="3" s="1"/>
  <c r="AC364" i="3"/>
  <c r="AD364" i="3" s="1"/>
  <c r="AC423" i="3"/>
  <c r="AD423" i="3" s="1"/>
  <c r="AC145" i="3"/>
  <c r="AD145" i="3" s="1"/>
  <c r="AC216" i="3"/>
  <c r="AD216" i="3" s="1"/>
  <c r="AC365" i="3"/>
  <c r="AD365" i="3" s="1"/>
  <c r="AC413" i="3"/>
  <c r="AD413" i="3" s="1"/>
  <c r="AC77" i="3"/>
  <c r="AD77" i="3" s="1"/>
  <c r="AC447" i="3"/>
  <c r="AD447" i="3" s="1"/>
  <c r="AC305" i="3"/>
  <c r="AD305" i="3" s="1"/>
  <c r="AC330" i="3"/>
  <c r="AD330" i="3" s="1"/>
  <c r="AC366" i="3"/>
  <c r="AD366" i="3" s="1"/>
  <c r="AC429" i="3"/>
  <c r="AD429" i="3" s="1"/>
  <c r="AC524" i="3"/>
  <c r="AD524" i="3" s="1"/>
  <c r="AC176" i="3"/>
  <c r="AD176" i="3" s="1"/>
  <c r="AC343" i="3"/>
  <c r="AD343" i="3" s="1"/>
  <c r="AC391" i="3"/>
  <c r="AD391" i="3" s="1"/>
  <c r="AC490" i="3"/>
  <c r="AD490" i="3" s="1"/>
  <c r="AC215" i="3"/>
  <c r="AD215" i="3" s="1"/>
  <c r="AC535" i="3"/>
  <c r="AD535" i="3" s="1"/>
  <c r="AC318" i="3"/>
  <c r="AD318" i="3" s="1"/>
  <c r="AC344" i="3"/>
  <c r="AD344" i="3" s="1"/>
  <c r="AC392" i="3"/>
  <c r="AD392" i="3" s="1"/>
  <c r="AC134" i="3"/>
  <c r="AD134" i="3" s="1"/>
  <c r="AC430" i="3"/>
  <c r="AD430" i="3" s="1"/>
  <c r="AC459" i="3"/>
  <c r="AD459" i="3" s="1"/>
  <c r="AC128" i="3"/>
  <c r="AD128" i="3" s="1"/>
  <c r="AC179" i="3"/>
  <c r="AD179" i="3" s="1"/>
  <c r="AC225" i="3"/>
  <c r="AD225" i="3" s="1"/>
  <c r="AC345" i="3"/>
  <c r="AD345" i="3" s="1"/>
  <c r="AC369" i="3"/>
  <c r="AD369" i="3" s="1"/>
  <c r="AC393" i="3"/>
  <c r="AD393" i="3" s="1"/>
  <c r="AC418" i="3"/>
  <c r="AD418" i="3" s="1"/>
  <c r="AC493" i="3"/>
  <c r="AD493" i="3" s="1"/>
  <c r="AC94" i="3"/>
  <c r="AD94" i="3" s="1"/>
  <c r="AC272" i="3"/>
  <c r="AD272" i="3" s="1"/>
  <c r="AC458" i="3"/>
  <c r="AD458" i="3" s="1"/>
  <c r="AC541" i="3"/>
  <c r="AD541" i="3" s="1"/>
  <c r="AC307" i="3"/>
  <c r="AD307" i="3" s="1"/>
  <c r="AC319" i="3"/>
  <c r="AD319" i="3" s="1"/>
  <c r="AC332" i="3"/>
  <c r="AD332" i="3" s="1"/>
  <c r="AC346" i="3"/>
  <c r="AD346" i="3" s="1"/>
  <c r="AC370" i="3"/>
  <c r="AD370" i="3" s="1"/>
  <c r="AC394" i="3"/>
  <c r="AD394" i="3" s="1"/>
  <c r="AC448" i="3"/>
  <c r="AD448" i="3" s="1"/>
  <c r="AC159" i="3"/>
  <c r="AD159" i="3" s="1"/>
  <c r="Z481" i="3"/>
  <c r="Z516" i="3"/>
  <c r="AC378" i="3"/>
  <c r="AD378" i="3" s="1"/>
  <c r="AC479" i="3"/>
  <c r="AD479" i="3" s="1"/>
  <c r="AC425" i="3"/>
  <c r="AD425" i="3" s="1"/>
  <c r="AC243" i="3"/>
  <c r="AD243" i="3" s="1"/>
  <c r="AC271" i="3"/>
  <c r="AD271" i="3" s="1"/>
  <c r="Z157" i="3"/>
  <c r="Z107" i="3"/>
  <c r="AA107" i="3" s="1"/>
  <c r="Z59" i="3"/>
  <c r="AA59" i="3" s="1"/>
  <c r="Z393" i="3"/>
  <c r="Z199" i="3"/>
  <c r="AA199" i="3" s="1"/>
  <c r="Z154" i="3"/>
  <c r="Z476" i="3"/>
  <c r="Z293" i="3"/>
  <c r="Z509" i="3"/>
  <c r="AC477" i="3"/>
  <c r="AD477" i="3" s="1"/>
  <c r="AC374" i="3"/>
  <c r="AD374" i="3" s="1"/>
  <c r="AC334" i="3"/>
  <c r="AD334" i="3" s="1"/>
  <c r="AC468" i="3"/>
  <c r="AD468" i="3" s="1"/>
  <c r="AC116" i="3"/>
  <c r="AD116" i="3" s="1"/>
  <c r="AC420" i="3"/>
  <c r="AD420" i="3" s="1"/>
  <c r="AC234" i="3"/>
  <c r="AD234" i="3" s="1"/>
  <c r="Z387" i="3"/>
  <c r="Z32" i="3"/>
  <c r="AA32" i="3" s="1"/>
  <c r="Z529" i="3"/>
  <c r="Z103" i="3"/>
  <c r="Z57" i="3"/>
  <c r="Z12" i="3"/>
  <c r="AA12" i="3" s="1"/>
  <c r="AC456" i="3"/>
  <c r="AD456" i="3" s="1"/>
  <c r="AC372" i="3"/>
  <c r="AD372" i="3" s="1"/>
  <c r="AC333" i="3"/>
  <c r="AD333" i="3" s="1"/>
  <c r="AC308" i="3"/>
  <c r="AD308" i="3" s="1"/>
  <c r="AC463" i="3"/>
  <c r="AD463" i="3" s="1"/>
  <c r="AC108" i="3"/>
  <c r="AD108" i="3" s="1"/>
  <c r="AC419" i="3"/>
  <c r="AD419" i="3" s="1"/>
  <c r="AC371" i="3"/>
  <c r="AD371" i="3" s="1"/>
  <c r="AC230" i="3"/>
  <c r="AD230" i="3" s="1"/>
  <c r="AC132" i="3"/>
  <c r="AD132" i="3" s="1"/>
  <c r="AC268" i="3"/>
  <c r="AD268" i="3" s="1"/>
  <c r="AC120" i="3"/>
  <c r="AD120" i="3" s="1"/>
  <c r="AC155" i="3"/>
  <c r="AD155" i="3" s="1"/>
  <c r="AC86" i="3"/>
  <c r="AD86" i="3" s="1"/>
  <c r="AC55" i="3"/>
  <c r="AD55" i="3" s="1"/>
  <c r="AC39" i="3"/>
  <c r="AD39" i="3" s="1"/>
  <c r="AC519" i="3"/>
  <c r="AD519" i="3" s="1"/>
  <c r="AC484" i="3"/>
  <c r="AD484" i="3" s="1"/>
  <c r="AC416" i="3"/>
  <c r="AD416" i="3" s="1"/>
  <c r="AC219" i="3"/>
  <c r="AD219" i="3" s="1"/>
  <c r="AC212" i="3"/>
  <c r="AD212" i="3" s="1"/>
  <c r="AC198" i="3"/>
  <c r="AD198" i="3" s="1"/>
  <c r="AC177" i="3"/>
  <c r="AD177" i="3" s="1"/>
  <c r="AC147" i="3"/>
  <c r="AD147" i="3" s="1"/>
  <c r="AC126" i="3"/>
  <c r="AD126" i="3" s="1"/>
  <c r="AC169" i="3"/>
  <c r="AD169" i="3" s="1"/>
  <c r="AC98" i="3"/>
  <c r="AD98" i="3" s="1"/>
  <c r="AC90" i="3"/>
  <c r="AD90" i="3" s="1"/>
  <c r="AC122" i="3"/>
  <c r="AD122" i="3" s="1"/>
  <c r="AC184" i="3"/>
  <c r="AD184" i="3" s="1"/>
  <c r="AC223" i="3"/>
  <c r="AD223" i="3" s="1"/>
  <c r="AC110" i="3"/>
  <c r="AD110" i="3" s="1"/>
  <c r="AC252" i="3"/>
  <c r="AD252" i="3" s="1"/>
  <c r="AC113" i="3"/>
  <c r="AD113" i="3" s="1"/>
  <c r="AC117" i="3"/>
  <c r="AD117" i="3" s="1"/>
  <c r="AC227" i="3"/>
  <c r="AD227" i="3" s="1"/>
  <c r="AC121" i="3"/>
  <c r="AD121" i="3" s="1"/>
  <c r="AC508" i="3"/>
  <c r="AD508" i="3" s="1"/>
  <c r="AC478" i="3"/>
  <c r="AD478" i="3" s="1"/>
  <c r="AC232" i="3"/>
  <c r="AD232" i="3" s="1"/>
  <c r="AC480" i="3"/>
  <c r="AD480" i="3" s="1"/>
  <c r="AC124" i="3"/>
  <c r="AD124" i="3" s="1"/>
  <c r="AC254" i="3"/>
  <c r="AD254" i="3" s="1"/>
  <c r="AC485" i="3"/>
  <c r="AD485" i="3" s="1"/>
  <c r="AC489" i="3"/>
  <c r="AD489" i="3" s="1"/>
  <c r="AC236" i="3"/>
  <c r="AD236" i="3" s="1"/>
  <c r="AC509" i="3"/>
  <c r="AD509" i="3" s="1"/>
  <c r="AC129" i="3"/>
  <c r="AD129" i="3" s="1"/>
  <c r="AC516" i="3"/>
  <c r="AD516" i="3" s="1"/>
  <c r="AC240" i="3"/>
  <c r="AD240" i="3" s="1"/>
  <c r="AC523" i="3"/>
  <c r="AD523" i="3" s="1"/>
  <c r="AC258" i="3"/>
  <c r="AD258" i="3" s="1"/>
  <c r="AC526" i="3"/>
  <c r="AD526" i="3" s="1"/>
  <c r="AC244" i="3"/>
  <c r="AD244" i="3" s="1"/>
  <c r="AC530" i="3"/>
  <c r="AD530" i="3" s="1"/>
  <c r="AC247" i="3"/>
  <c r="AD247" i="3" s="1"/>
  <c r="AC133" i="3"/>
  <c r="AD133" i="3" s="1"/>
  <c r="AC265" i="3"/>
  <c r="AD265" i="3" s="1"/>
  <c r="AC269" i="3"/>
  <c r="AD269" i="3" s="1"/>
  <c r="AC491" i="3"/>
  <c r="AD491" i="3" s="1"/>
  <c r="AC250" i="3"/>
  <c r="AD250" i="3" s="1"/>
  <c r="AC275" i="3"/>
  <c r="AD275" i="3" s="1"/>
  <c r="AC136" i="3"/>
  <c r="AD136" i="3" s="1"/>
  <c r="AC278" i="3"/>
  <c r="AD278" i="3" s="1"/>
  <c r="AC282" i="3"/>
  <c r="AD282" i="3" s="1"/>
  <c r="AC255" i="3"/>
  <c r="AD255" i="3" s="1"/>
  <c r="AC138" i="3"/>
  <c r="AD138" i="3" s="1"/>
  <c r="AC288" i="3"/>
  <c r="AD288" i="3" s="1"/>
  <c r="AC259" i="3"/>
  <c r="AD259" i="3" s="1"/>
  <c r="AC291" i="3"/>
  <c r="AD291" i="3" s="1"/>
  <c r="AC437" i="3"/>
  <c r="AD437" i="3" s="1"/>
  <c r="AC286" i="3"/>
  <c r="AD286" i="3" s="1"/>
  <c r="AC481" i="3"/>
  <c r="AD481" i="3" s="1"/>
  <c r="AC486" i="3"/>
  <c r="AD486" i="3" s="1"/>
  <c r="AC290" i="3"/>
  <c r="AD290" i="3" s="1"/>
  <c r="AC153" i="3"/>
  <c r="AD153" i="3" s="1"/>
  <c r="AC488" i="3"/>
  <c r="AD488" i="3" s="1"/>
  <c r="AC426" i="3"/>
  <c r="AD426" i="3" s="1"/>
  <c r="AC499" i="3"/>
  <c r="AD499" i="3" s="1"/>
  <c r="AC502" i="3"/>
  <c r="AD502" i="3" s="1"/>
  <c r="AC441" i="3"/>
  <c r="AD441" i="3" s="1"/>
  <c r="AC431" i="3"/>
  <c r="AD431" i="3" s="1"/>
  <c r="AC505" i="3"/>
  <c r="AD505" i="3" s="1"/>
  <c r="AC507" i="3"/>
  <c r="AD507" i="3" s="1"/>
  <c r="AC158" i="3"/>
  <c r="AD158" i="3" s="1"/>
  <c r="AC436" i="3"/>
  <c r="AD436" i="3" s="1"/>
  <c r="AC512" i="3"/>
  <c r="AD512" i="3" s="1"/>
  <c r="AC503" i="3"/>
  <c r="AD503" i="3" s="1"/>
  <c r="AC517" i="3"/>
  <c r="AD517" i="3" s="1"/>
  <c r="AC521" i="3"/>
  <c r="AD521" i="3" s="1"/>
  <c r="AC162" i="3"/>
  <c r="AD162" i="3" s="1"/>
  <c r="AC440" i="3"/>
  <c r="AD440" i="3" s="1"/>
  <c r="AC525" i="3"/>
  <c r="AD525" i="3" s="1"/>
  <c r="AC529" i="3"/>
  <c r="AD529" i="3" s="1"/>
  <c r="AC514" i="3"/>
  <c r="AD514" i="3" s="1"/>
  <c r="AC444" i="3"/>
  <c r="AD444" i="3" s="1"/>
  <c r="AC533" i="3"/>
  <c r="AD533" i="3" s="1"/>
  <c r="AC449" i="3"/>
  <c r="AD449" i="3" s="1"/>
  <c r="AC537" i="3"/>
  <c r="AD537" i="3" s="1"/>
  <c r="AC540" i="3"/>
  <c r="AD540" i="3" s="1"/>
  <c r="AC166" i="3"/>
  <c r="AD166" i="3" s="1"/>
  <c r="AC455" i="3"/>
  <c r="AD455" i="3" s="1"/>
  <c r="AC545" i="3"/>
  <c r="AD545" i="3" s="1"/>
  <c r="AC445" i="3"/>
  <c r="AD445" i="3" s="1"/>
  <c r="AC3" i="3"/>
  <c r="AD3" i="3" s="1"/>
  <c r="AC460" i="3"/>
  <c r="AD460" i="3" s="1"/>
  <c r="AC7" i="3"/>
  <c r="AD7" i="3" s="1"/>
  <c r="AC11" i="3"/>
  <c r="AD11" i="3" s="1"/>
  <c r="AC170" i="3"/>
  <c r="AD170" i="3" s="1"/>
  <c r="AC466" i="3"/>
  <c r="AD466" i="3" s="1"/>
  <c r="AC15" i="3"/>
  <c r="AD15" i="3" s="1"/>
  <c r="AC19" i="3"/>
  <c r="AD19" i="3" s="1"/>
  <c r="AC452" i="3"/>
  <c r="AD452" i="3" s="1"/>
  <c r="AC471" i="3"/>
  <c r="AD471" i="3" s="1"/>
  <c r="AC23" i="3"/>
  <c r="AD23" i="3" s="1"/>
  <c r="AC174" i="3"/>
  <c r="AD174" i="3" s="1"/>
  <c r="AC28" i="3"/>
  <c r="AD28" i="3" s="1"/>
  <c r="AC475" i="3"/>
  <c r="AD475" i="3" s="1"/>
  <c r="AC32" i="3"/>
  <c r="AD32" i="3" s="1"/>
  <c r="AC35" i="3"/>
  <c r="AD35" i="3" s="1"/>
  <c r="AC487" i="3"/>
  <c r="AD487" i="3" s="1"/>
  <c r="AC432" i="3"/>
  <c r="AD432" i="3" s="1"/>
  <c r="AC139" i="3"/>
  <c r="AD139" i="3" s="1"/>
  <c r="AC207" i="3"/>
  <c r="AD207" i="3" s="1"/>
  <c r="AC527" i="3"/>
  <c r="AD527" i="3" s="1"/>
  <c r="AC532" i="3"/>
  <c r="AD532" i="3" s="1"/>
  <c r="AC536" i="3"/>
  <c r="AD536" i="3" s="1"/>
  <c r="AC539" i="3"/>
  <c r="AD539" i="3" s="1"/>
  <c r="AC543" i="3"/>
  <c r="AD543" i="3" s="1"/>
  <c r="AC6" i="3"/>
  <c r="AD6" i="3" s="1"/>
  <c r="AC8" i="3"/>
  <c r="AD8" i="3" s="1"/>
  <c r="AC12" i="3"/>
  <c r="AD12" i="3" s="1"/>
  <c r="AC16" i="3"/>
  <c r="AD16" i="3" s="1"/>
  <c r="AC20" i="3"/>
  <c r="AD20" i="3" s="1"/>
  <c r="AC24" i="3"/>
  <c r="AD24" i="3" s="1"/>
  <c r="AC27" i="3"/>
  <c r="AD27" i="3" s="1"/>
  <c r="AC31" i="3"/>
  <c r="AD31" i="3" s="1"/>
  <c r="AC36" i="3"/>
  <c r="AD36" i="3" s="1"/>
  <c r="AC37" i="3"/>
  <c r="AD37" i="3" s="1"/>
  <c r="AC41" i="3"/>
  <c r="AD41" i="3" s="1"/>
  <c r="AC45" i="3"/>
  <c r="AD45" i="3" s="1"/>
  <c r="AC49" i="3"/>
  <c r="AD49" i="3" s="1"/>
  <c r="AC53" i="3"/>
  <c r="AD53" i="3" s="1"/>
  <c r="AC57" i="3"/>
  <c r="AD57" i="3" s="1"/>
  <c r="AC59" i="3"/>
  <c r="AD59" i="3" s="1"/>
  <c r="AC65" i="3"/>
  <c r="AD65" i="3" s="1"/>
  <c r="AC69" i="3"/>
  <c r="AD69" i="3" s="1"/>
  <c r="AC73" i="3"/>
  <c r="AD73" i="3" s="1"/>
  <c r="AC76" i="3"/>
  <c r="AD76" i="3" s="1"/>
  <c r="AC80" i="3"/>
  <c r="AD80" i="3" s="1"/>
  <c r="AC83" i="3"/>
  <c r="AD83" i="3" s="1"/>
  <c r="AC87" i="3"/>
  <c r="AD87" i="3" s="1"/>
  <c r="AC91" i="3"/>
  <c r="AD91" i="3" s="1"/>
  <c r="AC95" i="3"/>
  <c r="AD95" i="3" s="1"/>
  <c r="AC100" i="3"/>
  <c r="AD100" i="3" s="1"/>
  <c r="AC103" i="3"/>
  <c r="AD103" i="3" s="1"/>
  <c r="AC107" i="3"/>
  <c r="AD107" i="3" s="1"/>
  <c r="AC111" i="3"/>
  <c r="AD111" i="3" s="1"/>
  <c r="AC115" i="3"/>
  <c r="AD115" i="3" s="1"/>
  <c r="Z35" i="3"/>
  <c r="AA35" i="3" s="1"/>
  <c r="Z203" i="3"/>
  <c r="Z61" i="3"/>
  <c r="Z206" i="3"/>
  <c r="Z209" i="3"/>
  <c r="Z38" i="3"/>
  <c r="AA38" i="3" s="1"/>
  <c r="Z213" i="3"/>
  <c r="AA213" i="3" s="1"/>
  <c r="Z42" i="3"/>
  <c r="AA42" i="3" s="1"/>
  <c r="Z46" i="3"/>
  <c r="Z216" i="3"/>
  <c r="AA216" i="3" s="1"/>
  <c r="Z50" i="3"/>
  <c r="Z222" i="3"/>
  <c r="Z225" i="3"/>
  <c r="AA225" i="3" s="1"/>
  <c r="Z54" i="3"/>
  <c r="AA54" i="3" s="1"/>
  <c r="Z58" i="3"/>
  <c r="AA58" i="3" s="1"/>
  <c r="Z230" i="3"/>
  <c r="Z234" i="3"/>
  <c r="AA234" i="3" s="1"/>
  <c r="Z62" i="3"/>
  <c r="AA62" i="3" s="1"/>
  <c r="Z64" i="3"/>
  <c r="Z238" i="3"/>
  <c r="AA238" i="3" s="1"/>
  <c r="Z67" i="3"/>
  <c r="Z243" i="3"/>
  <c r="Z74" i="3"/>
  <c r="Z248" i="3"/>
  <c r="Z78" i="3"/>
  <c r="Z251" i="3"/>
  <c r="Z256" i="3"/>
  <c r="Z82" i="3"/>
  <c r="AA82" i="3" s="1"/>
  <c r="Z88" i="3"/>
  <c r="AA88" i="3" s="1"/>
  <c r="Z260" i="3"/>
  <c r="Z92" i="3"/>
  <c r="Z263" i="3"/>
  <c r="Z96" i="3"/>
  <c r="Z267" i="3"/>
  <c r="AA267" i="3" s="1"/>
  <c r="Z343" i="3"/>
  <c r="AA343" i="3" s="1"/>
  <c r="Z99" i="3"/>
  <c r="Z104" i="3"/>
  <c r="Z345" i="3"/>
  <c r="AA345" i="3" s="1"/>
  <c r="Z347" i="3"/>
  <c r="Z106" i="3"/>
  <c r="Z349" i="3"/>
  <c r="Z125" i="3"/>
  <c r="AA125" i="3" s="1"/>
  <c r="Z351" i="3"/>
  <c r="Z127" i="3"/>
  <c r="AA127" i="3" s="1"/>
  <c r="Z353" i="3"/>
  <c r="Z131" i="3"/>
  <c r="Z355" i="3"/>
  <c r="Z137" i="3"/>
  <c r="AA137" i="3" s="1"/>
  <c r="Z140" i="3"/>
  <c r="AA140" i="3" s="1"/>
  <c r="Z357" i="3"/>
  <c r="Z359" i="3"/>
  <c r="Z144" i="3"/>
  <c r="Z361" i="3"/>
  <c r="Z148" i="3"/>
  <c r="Z363" i="3"/>
  <c r="Z152" i="3"/>
  <c r="Z156" i="3"/>
  <c r="Z365" i="3"/>
  <c r="Z160" i="3"/>
  <c r="Z367" i="3"/>
  <c r="Z164" i="3"/>
  <c r="Z369" i="3"/>
  <c r="Z371" i="3"/>
  <c r="Z167" i="3"/>
  <c r="Z395" i="3"/>
  <c r="Z208" i="3"/>
  <c r="Z397" i="3"/>
  <c r="Z211" i="3"/>
  <c r="Z399" i="3"/>
  <c r="Z214" i="3"/>
  <c r="AA214" i="3" s="1"/>
  <c r="Z217" i="3"/>
  <c r="Z401" i="3"/>
  <c r="Z403" i="3"/>
  <c r="Z221" i="3"/>
  <c r="Z405" i="3"/>
  <c r="Z229" i="3"/>
  <c r="AA229" i="3" s="1"/>
  <c r="Z233" i="3"/>
  <c r="AA233" i="3" s="1"/>
  <c r="Z407" i="3"/>
  <c r="Z409" i="3"/>
  <c r="Z237" i="3"/>
  <c r="AA237" i="3" s="1"/>
  <c r="Z241" i="3"/>
  <c r="AA241" i="3" s="1"/>
  <c r="Z411" i="3"/>
  <c r="Z413" i="3"/>
  <c r="Z245" i="3"/>
  <c r="Z415" i="3"/>
  <c r="Z249" i="3"/>
  <c r="Z253" i="3"/>
  <c r="Z418" i="3"/>
  <c r="Z419" i="3"/>
  <c r="Z257" i="3"/>
  <c r="Z420" i="3"/>
  <c r="Z262" i="3"/>
  <c r="Z266" i="3"/>
  <c r="AA266" i="3" s="1"/>
  <c r="Z422" i="3"/>
  <c r="Z425" i="3"/>
  <c r="Z270" i="3"/>
  <c r="Z274" i="3"/>
  <c r="Z435" i="3"/>
  <c r="Z280" i="3"/>
  <c r="AA280" i="3" s="1"/>
  <c r="Z443" i="3"/>
  <c r="Z451" i="3"/>
  <c r="Z284" i="3"/>
  <c r="AA284" i="3" s="1"/>
  <c r="Z461" i="3"/>
  <c r="Z287" i="3"/>
  <c r="AA287" i="3" s="1"/>
  <c r="Z474" i="3"/>
  <c r="Z292" i="3"/>
  <c r="Z482" i="3"/>
  <c r="Z424" i="3"/>
  <c r="Z490" i="3"/>
  <c r="Z427" i="3"/>
  <c r="Z432" i="3"/>
  <c r="Z493" i="3"/>
  <c r="Z223" i="3"/>
  <c r="Z497" i="3"/>
  <c r="Z506" i="3"/>
  <c r="Z227" i="3"/>
  <c r="Z5" i="3"/>
  <c r="AA5" i="3" s="1"/>
  <c r="Z232" i="3"/>
  <c r="AA232" i="3" s="1"/>
  <c r="Z236" i="3"/>
  <c r="Z10" i="3"/>
  <c r="AA10" i="3" s="1"/>
  <c r="Z240" i="3"/>
  <c r="Z22" i="3"/>
  <c r="AA22" i="3" s="1"/>
  <c r="Z244" i="3"/>
  <c r="Z30" i="3"/>
  <c r="AA30" i="3" s="1"/>
  <c r="Z44" i="3"/>
  <c r="AA44" i="3" s="1"/>
  <c r="Z247" i="3"/>
  <c r="Z52" i="3"/>
  <c r="AA52" i="3" s="1"/>
  <c r="Z250" i="3"/>
  <c r="Z255" i="3"/>
  <c r="Z63" i="3"/>
  <c r="AA63" i="3" s="1"/>
  <c r="Z259" i="3"/>
  <c r="Z77" i="3"/>
  <c r="AA77" i="3" s="1"/>
  <c r="Z84" i="3"/>
  <c r="Z264" i="3"/>
  <c r="AA264" i="3" s="1"/>
  <c r="Z94" i="3"/>
  <c r="Z268" i="3"/>
  <c r="AA268" i="3" s="1"/>
  <c r="Z271" i="3"/>
  <c r="Z108" i="3"/>
  <c r="AA108" i="3" s="1"/>
  <c r="Z116" i="3"/>
  <c r="AA116" i="3" s="1"/>
  <c r="Z276" i="3"/>
  <c r="Z279" i="3"/>
  <c r="Z130" i="3"/>
  <c r="AA130" i="3" s="1"/>
  <c r="Z283" i="3"/>
  <c r="AA283" i="3" s="1"/>
  <c r="Z143" i="3"/>
  <c r="Z151" i="3"/>
  <c r="Z286" i="3"/>
  <c r="AA286" i="3" s="1"/>
  <c r="Z163" i="3"/>
  <c r="Z290" i="3"/>
  <c r="AA290" i="3" s="1"/>
  <c r="AC518" i="3"/>
  <c r="AD518" i="3" s="1"/>
  <c r="AC178" i="3"/>
  <c r="AD178" i="3" s="1"/>
  <c r="AC38" i="3"/>
  <c r="AD38" i="3" s="1"/>
  <c r="AC42" i="3"/>
  <c r="AD42" i="3" s="1"/>
  <c r="AC534" i="3"/>
  <c r="AD534" i="3" s="1"/>
  <c r="AC538" i="3"/>
  <c r="AD538" i="3" s="1"/>
  <c r="AC46" i="3"/>
  <c r="AD46" i="3" s="1"/>
  <c r="AC50" i="3"/>
  <c r="AD50" i="3" s="1"/>
  <c r="AC414" i="3"/>
  <c r="AD414" i="3" s="1"/>
  <c r="AC457" i="3"/>
  <c r="AD457" i="3" s="1"/>
  <c r="AC54" i="3"/>
  <c r="AD54" i="3" s="1"/>
  <c r="AC58" i="3"/>
  <c r="AD58" i="3" s="1"/>
  <c r="AC542" i="3"/>
  <c r="AD542" i="3" s="1"/>
  <c r="AC187" i="3"/>
  <c r="AD187" i="3" s="1"/>
  <c r="AC62" i="3"/>
  <c r="AD62" i="3" s="1"/>
  <c r="AC64" i="3"/>
  <c r="AD64" i="3" s="1"/>
  <c r="AC544" i="3"/>
  <c r="AD544" i="3" s="1"/>
  <c r="AC67" i="3"/>
  <c r="AD67" i="3" s="1"/>
  <c r="AC195" i="3"/>
  <c r="AD195" i="3" s="1"/>
  <c r="AC4" i="3"/>
  <c r="AD4" i="3" s="1"/>
  <c r="AC74" i="3"/>
  <c r="AD74" i="3" s="1"/>
  <c r="AC9" i="3"/>
  <c r="AD9" i="3" s="1"/>
  <c r="AC78" i="3"/>
  <c r="AD78" i="3" s="1"/>
  <c r="AC462" i="3"/>
  <c r="AD462" i="3" s="1"/>
  <c r="AC82" i="3"/>
  <c r="AD82" i="3" s="1"/>
  <c r="AC200" i="3"/>
  <c r="AD200" i="3" s="1"/>
  <c r="AC88" i="3"/>
  <c r="AD88" i="3" s="1"/>
  <c r="AC13" i="3"/>
  <c r="AD13" i="3" s="1"/>
  <c r="AC92" i="3"/>
  <c r="AD92" i="3" s="1"/>
  <c r="AC469" i="3"/>
  <c r="AD469" i="3" s="1"/>
  <c r="AC96" i="3"/>
  <c r="AD96" i="3" s="1"/>
  <c r="AC17" i="3"/>
  <c r="AD17" i="3" s="1"/>
  <c r="AC99" i="3"/>
  <c r="AD99" i="3" s="1"/>
  <c r="AC21" i="3"/>
  <c r="AD21" i="3" s="1"/>
  <c r="AC104" i="3"/>
  <c r="AD104" i="3" s="1"/>
  <c r="AC202" i="3"/>
  <c r="AD202" i="3" s="1"/>
  <c r="AC106" i="3"/>
  <c r="AD106" i="3" s="1"/>
  <c r="AC467" i="3"/>
  <c r="AD467" i="3" s="1"/>
  <c r="AC125" i="3"/>
  <c r="AD125" i="3" s="1"/>
  <c r="AC26" i="3"/>
  <c r="AD26" i="3" s="1"/>
  <c r="AC127" i="3"/>
  <c r="AD127" i="3" s="1"/>
  <c r="AC131" i="3"/>
  <c r="AD131" i="3" s="1"/>
  <c r="AC29" i="3"/>
  <c r="AD29" i="3" s="1"/>
  <c r="AC137" i="3"/>
  <c r="AD137" i="3" s="1"/>
  <c r="AC520" i="3"/>
  <c r="AD520" i="3" s="1"/>
  <c r="AC210" i="3"/>
  <c r="AD210" i="3" s="1"/>
  <c r="AC140" i="3"/>
  <c r="AD140" i="3" s="1"/>
  <c r="AC33" i="3"/>
  <c r="AD33" i="3" s="1"/>
  <c r="AC144" i="3"/>
  <c r="AD144" i="3" s="1"/>
  <c r="AC218" i="3"/>
  <c r="AD218" i="3" s="1"/>
  <c r="AC148" i="3"/>
  <c r="AD148" i="3" s="1"/>
  <c r="AC40" i="3"/>
  <c r="AD40" i="3" s="1"/>
  <c r="AC152" i="3"/>
  <c r="AD152" i="3" s="1"/>
  <c r="AC43" i="3"/>
  <c r="AD43" i="3" s="1"/>
  <c r="AC156" i="3"/>
  <c r="AD156" i="3" s="1"/>
  <c r="AC494" i="3"/>
  <c r="AD494" i="3" s="1"/>
  <c r="AC160" i="3"/>
  <c r="AD160" i="3" s="1"/>
  <c r="AC164" i="3"/>
  <c r="AD164" i="3" s="1"/>
  <c r="AC220" i="3"/>
  <c r="AD220" i="3" s="1"/>
  <c r="AC47" i="3"/>
  <c r="AD47" i="3" s="1"/>
  <c r="AC167" i="3"/>
  <c r="AD167" i="3" s="1"/>
  <c r="AC171" i="3"/>
  <c r="AD171" i="3" s="1"/>
  <c r="AC421" i="3"/>
  <c r="AD421" i="3" s="1"/>
  <c r="AC175" i="3"/>
  <c r="AD175" i="3" s="1"/>
  <c r="AC51" i="3"/>
  <c r="AD51" i="3" s="1"/>
  <c r="AC56" i="3"/>
  <c r="AD56" i="3" s="1"/>
  <c r="AC180" i="3"/>
  <c r="AD180" i="3" s="1"/>
  <c r="AC496" i="3"/>
  <c r="AD496" i="3" s="1"/>
  <c r="AC183" i="3"/>
  <c r="AD183" i="3" s="1"/>
  <c r="AC224" i="3"/>
  <c r="AD224" i="3" s="1"/>
  <c r="AC186" i="3"/>
  <c r="AD186" i="3" s="1"/>
  <c r="AC60" i="3"/>
  <c r="AD60" i="3" s="1"/>
  <c r="AC189" i="3"/>
  <c r="AD189" i="3" s="1"/>
  <c r="AC228" i="3"/>
  <c r="AD228" i="3" s="1"/>
  <c r="AC192" i="3"/>
  <c r="AD192" i="3" s="1"/>
  <c r="AC66" i="3"/>
  <c r="AD66" i="3" s="1"/>
  <c r="AC194" i="3"/>
  <c r="AD194" i="3" s="1"/>
  <c r="AC196" i="3"/>
  <c r="AD196" i="3" s="1"/>
  <c r="AC400" i="3"/>
  <c r="AD400" i="3" s="1"/>
  <c r="AC70" i="3"/>
  <c r="AD70" i="3" s="1"/>
  <c r="AC201" i="3"/>
  <c r="AD201" i="3" s="1"/>
  <c r="AC205" i="3"/>
  <c r="AD205" i="3" s="1"/>
  <c r="AC498" i="3"/>
  <c r="AD498" i="3" s="1"/>
  <c r="AC208" i="3"/>
  <c r="AD208" i="3" s="1"/>
  <c r="AC71" i="3"/>
  <c r="AD71" i="3" s="1"/>
  <c r="AC231" i="3"/>
  <c r="AD231" i="3" s="1"/>
  <c r="AC211" i="3"/>
  <c r="AD211" i="3" s="1"/>
  <c r="AC75" i="3"/>
  <c r="AD75" i="3" s="1"/>
  <c r="AC214" i="3"/>
  <c r="AD214" i="3" s="1"/>
  <c r="AC81" i="3"/>
  <c r="AD81" i="3" s="1"/>
  <c r="AC217" i="3"/>
  <c r="AD217" i="3" s="1"/>
  <c r="AC235" i="3"/>
  <c r="AD235" i="3" s="1"/>
  <c r="AC221" i="3"/>
  <c r="AD221" i="3" s="1"/>
  <c r="AC79" i="3"/>
  <c r="AD79" i="3" s="1"/>
  <c r="AC226" i="3"/>
  <c r="AD226" i="3" s="1"/>
  <c r="AC229" i="3"/>
  <c r="AD229" i="3" s="1"/>
  <c r="AC513" i="3"/>
  <c r="AD513" i="3" s="1"/>
  <c r="AC85" i="3"/>
  <c r="AD85" i="3" s="1"/>
  <c r="AC233" i="3"/>
  <c r="AD233" i="3" s="1"/>
  <c r="AC237" i="3"/>
  <c r="AD237" i="3" s="1"/>
  <c r="AC206" i="3"/>
  <c r="AD206" i="3" s="1"/>
  <c r="AC241" i="3"/>
  <c r="AD241" i="3" s="1"/>
  <c r="AC89" i="3"/>
  <c r="AD89" i="3" s="1"/>
  <c r="AC93" i="3"/>
  <c r="AD93" i="3" s="1"/>
  <c r="AC245" i="3"/>
  <c r="AD245" i="3" s="1"/>
  <c r="AC239" i="3"/>
  <c r="AD239" i="3" s="1"/>
  <c r="AC249" i="3"/>
  <c r="AD249" i="3" s="1"/>
  <c r="AC501" i="3"/>
  <c r="AD501" i="3" s="1"/>
  <c r="AC253" i="3"/>
  <c r="AD253" i="3" s="1"/>
  <c r="AC97" i="3"/>
  <c r="AD97" i="3" s="1"/>
  <c r="AC257" i="3"/>
  <c r="AD257" i="3" s="1"/>
  <c r="AC262" i="3"/>
  <c r="AD262" i="3" s="1"/>
  <c r="AC242" i="3"/>
  <c r="AD242" i="3" s="1"/>
  <c r="AC266" i="3"/>
  <c r="AD266" i="3" s="1"/>
  <c r="AC101" i="3"/>
  <c r="AD101" i="3" s="1"/>
  <c r="AC404" i="3"/>
  <c r="AD404" i="3" s="1"/>
  <c r="AC270" i="3"/>
  <c r="AD270" i="3" s="1"/>
  <c r="AC274" i="3"/>
  <c r="AD274" i="3" s="1"/>
  <c r="AC105" i="3"/>
  <c r="AD105" i="3" s="1"/>
  <c r="AC246" i="3"/>
  <c r="AD246" i="3" s="1"/>
  <c r="AC280" i="3"/>
  <c r="AD280" i="3" s="1"/>
  <c r="AC109" i="3"/>
  <c r="AD109" i="3" s="1"/>
  <c r="AC284" i="3"/>
  <c r="AD284" i="3" s="1"/>
  <c r="AC114" i="3"/>
  <c r="AD114" i="3" s="1"/>
  <c r="AC287" i="3"/>
  <c r="AD287" i="3" s="1"/>
  <c r="AC504" i="3"/>
  <c r="AD504" i="3" s="1"/>
  <c r="AC292" i="3"/>
  <c r="AD292" i="3" s="1"/>
  <c r="AC424" i="3"/>
  <c r="AD424" i="3" s="1"/>
  <c r="AC118" i="3"/>
  <c r="AD118" i="3" s="1"/>
  <c r="AC427" i="3"/>
  <c r="AD427" i="3" s="1"/>
  <c r="Z426" i="3"/>
  <c r="Z173" i="3"/>
  <c r="Z181" i="3"/>
  <c r="Z431" i="3"/>
  <c r="Z436" i="3"/>
  <c r="Z193" i="3"/>
  <c r="Z204" i="3"/>
  <c r="AA204" i="3" s="1"/>
  <c r="Z440" i="3"/>
  <c r="Z444" i="3"/>
  <c r="Z215" i="3"/>
  <c r="AA215" i="3" s="1"/>
  <c r="Z272" i="3"/>
  <c r="AA272" i="3" s="1"/>
  <c r="Z449" i="3"/>
  <c r="Z273" i="3"/>
  <c r="Z455" i="3"/>
  <c r="Z460" i="3"/>
  <c r="Z277" i="3"/>
  <c r="Z466" i="3"/>
  <c r="Z281" i="3"/>
  <c r="Z285" i="3"/>
  <c r="AA285" i="3" s="1"/>
  <c r="Z471" i="3"/>
  <c r="Z475" i="3"/>
  <c r="Z289" i="3"/>
  <c r="AA289" i="3" s="1"/>
  <c r="Z534" i="3"/>
  <c r="AA534" i="3" s="1"/>
  <c r="Z294" i="3"/>
  <c r="Z538" i="3"/>
  <c r="Z428" i="3"/>
  <c r="Z433" i="3"/>
  <c r="Z542" i="3"/>
  <c r="Z442" i="3"/>
  <c r="Z544" i="3"/>
  <c r="Z447" i="3"/>
  <c r="Z4" i="3"/>
  <c r="AA4" i="3" s="1"/>
  <c r="Z9" i="3"/>
  <c r="AA9" i="3" s="1"/>
  <c r="Z453" i="3"/>
  <c r="Z458" i="3"/>
  <c r="Z13" i="3"/>
  <c r="AA13" i="3" s="1"/>
  <c r="Z463" i="3"/>
  <c r="Z17" i="3"/>
  <c r="AA17" i="3" s="1"/>
  <c r="Z21" i="3"/>
  <c r="AA21" i="3" s="1"/>
  <c r="Z468" i="3"/>
  <c r="Z473" i="3"/>
  <c r="Z26" i="3"/>
  <c r="AA26" i="3" s="1"/>
  <c r="Z479" i="3"/>
  <c r="Z29" i="3"/>
  <c r="AA29" i="3" s="1"/>
  <c r="Z483" i="3"/>
  <c r="Z33" i="3"/>
  <c r="AA33" i="3" s="1"/>
  <c r="Z40" i="3"/>
  <c r="AA40" i="3" s="1"/>
  <c r="Z510" i="3"/>
  <c r="Z43" i="3"/>
  <c r="AA43" i="3" s="1"/>
  <c r="Z515" i="3"/>
  <c r="Z522" i="3"/>
  <c r="Z47" i="3"/>
  <c r="AA47" i="3" s="1"/>
  <c r="Z51" i="3"/>
  <c r="Z528" i="3"/>
  <c r="Z56" i="3"/>
  <c r="Z531" i="3"/>
  <c r="Z60" i="3"/>
  <c r="AA60" i="3" s="1"/>
  <c r="Z535" i="3"/>
  <c r="Z541" i="3"/>
  <c r="Z66" i="3"/>
  <c r="Z70" i="3"/>
  <c r="Z296" i="3"/>
  <c r="AA296" i="3" s="1"/>
  <c r="Z297" i="3"/>
  <c r="AA297" i="3" s="1"/>
  <c r="Z71" i="3"/>
  <c r="Z75" i="3"/>
  <c r="AA75" i="3" s="1"/>
  <c r="Z298" i="3"/>
  <c r="AA298" i="3" s="1"/>
  <c r="Z299" i="3"/>
  <c r="AA299" i="3" s="1"/>
  <c r="Z81" i="3"/>
  <c r="AA81" i="3" s="1"/>
  <c r="Z300" i="3"/>
  <c r="AA300" i="3" s="1"/>
  <c r="Z85" i="3"/>
  <c r="Z93" i="3"/>
  <c r="Z301" i="3"/>
  <c r="AA301" i="3" s="1"/>
  <c r="Z97" i="3"/>
  <c r="Z302" i="3"/>
  <c r="AA302" i="3" s="1"/>
  <c r="Z303" i="3"/>
  <c r="Z101" i="3"/>
  <c r="Z105" i="3"/>
  <c r="Z304" i="3"/>
  <c r="Z305" i="3"/>
  <c r="Z109" i="3"/>
  <c r="Z114" i="3"/>
  <c r="AA114" i="3" s="1"/>
  <c r="Z306" i="3"/>
  <c r="Z118" i="3"/>
  <c r="Z307" i="3"/>
  <c r="Z308" i="3"/>
  <c r="Z122" i="3"/>
  <c r="AA122" i="3" s="1"/>
  <c r="Z309" i="3"/>
  <c r="AA309" i="3" s="1"/>
  <c r="Z124" i="3"/>
  <c r="Z310" i="3"/>
  <c r="AA310" i="3" s="1"/>
  <c r="Z129" i="3"/>
  <c r="AA129" i="3" s="1"/>
  <c r="Z133" i="3"/>
  <c r="AA133" i="3" s="1"/>
  <c r="Z311" i="3"/>
  <c r="AA311" i="3" s="1"/>
  <c r="Z312" i="3"/>
  <c r="AA312" i="3" s="1"/>
  <c r="Z136" i="3"/>
  <c r="AA136" i="3" s="1"/>
  <c r="Z138" i="3"/>
  <c r="AA138" i="3" s="1"/>
  <c r="Z313" i="3"/>
  <c r="AA313" i="3" s="1"/>
  <c r="Z314" i="3"/>
  <c r="AA314" i="3" s="1"/>
  <c r="Z141" i="3"/>
  <c r="AA141" i="3" s="1"/>
  <c r="Z145" i="3"/>
  <c r="AA145" i="3" s="1"/>
  <c r="Z315" i="3"/>
  <c r="AA315" i="3" s="1"/>
  <c r="Z316" i="3"/>
  <c r="AA316" i="3" s="1"/>
  <c r="Z149" i="3"/>
  <c r="Z317" i="3"/>
  <c r="AA317" i="3" s="1"/>
  <c r="Z153" i="3"/>
  <c r="Z318" i="3"/>
  <c r="AA318" i="3" s="1"/>
  <c r="Z158" i="3"/>
  <c r="Z319" i="3"/>
  <c r="AA319" i="3" s="1"/>
  <c r="Z162" i="3"/>
  <c r="Z166" i="3"/>
  <c r="Z320" i="3"/>
  <c r="AA320" i="3" s="1"/>
  <c r="Z170" i="3"/>
  <c r="Z321" i="3"/>
  <c r="AA321" i="3" s="1"/>
  <c r="Z174" i="3"/>
  <c r="Z322" i="3"/>
  <c r="Z323" i="3"/>
  <c r="Z178" i="3"/>
  <c r="Z324" i="3"/>
  <c r="Z187" i="3"/>
  <c r="Z195" i="3"/>
  <c r="Z325" i="3"/>
  <c r="Z326" i="3"/>
  <c r="Z200" i="3"/>
  <c r="AA200" i="3" s="1"/>
  <c r="Z327" i="3"/>
  <c r="Z89" i="3"/>
  <c r="Z202" i="3"/>
  <c r="Z328" i="3"/>
  <c r="Z329" i="3"/>
  <c r="Z210" i="3"/>
  <c r="Z218" i="3"/>
  <c r="Z330" i="3"/>
  <c r="Z331" i="3"/>
  <c r="Z220" i="3"/>
  <c r="Z332" i="3"/>
  <c r="Z224" i="3"/>
  <c r="AA224" i="3" s="1"/>
  <c r="Z333" i="3"/>
  <c r="Z228" i="3"/>
  <c r="Z231" i="3"/>
  <c r="AA231" i="3" s="1"/>
  <c r="Z334" i="3"/>
  <c r="Z235" i="3"/>
  <c r="Z335" i="3"/>
  <c r="Z239" i="3"/>
  <c r="Z336" i="3"/>
  <c r="AA336" i="3" s="1"/>
  <c r="Z242" i="3"/>
  <c r="Z337" i="3"/>
  <c r="AA337" i="3" s="1"/>
  <c r="Z246" i="3"/>
  <c r="Z338" i="3"/>
  <c r="AA338" i="3" s="1"/>
  <c r="Z252" i="3"/>
  <c r="Z339" i="3"/>
  <c r="AA339" i="3" s="1"/>
  <c r="Z254" i="3"/>
  <c r="Z340" i="3"/>
  <c r="AA340" i="3" s="1"/>
  <c r="Z341" i="3"/>
  <c r="AA341" i="3" s="1"/>
  <c r="Z258" i="3"/>
  <c r="Z261" i="3"/>
  <c r="Z342" i="3"/>
  <c r="AA342" i="3" s="1"/>
  <c r="Z344" i="3"/>
  <c r="AA344" i="3" s="1"/>
  <c r="Z437" i="3"/>
  <c r="Z346" i="3"/>
  <c r="Z441" i="3"/>
  <c r="Z348" i="3"/>
  <c r="Z445" i="3"/>
  <c r="Z452" i="3"/>
  <c r="Z350" i="3"/>
  <c r="Z352" i="3"/>
  <c r="Z457" i="3"/>
  <c r="Z462" i="3"/>
  <c r="Z354" i="3"/>
  <c r="Z356" i="3"/>
  <c r="Z467" i="3"/>
  <c r="Z358" i="3"/>
  <c r="Z494" i="3"/>
  <c r="Z360" i="3"/>
  <c r="Z496" i="3"/>
  <c r="Z362" i="3"/>
  <c r="Z498" i="3"/>
  <c r="Z501" i="3"/>
  <c r="Z364" i="3"/>
  <c r="Z504" i="3"/>
  <c r="Z366" i="3"/>
  <c r="Z368" i="3"/>
  <c r="Z508" i="3"/>
  <c r="Z370" i="3"/>
  <c r="Z511" i="3"/>
  <c r="Z372" i="3"/>
  <c r="Z514" i="3"/>
  <c r="Z518" i="3"/>
  <c r="Z374" i="3"/>
  <c r="Z376" i="3"/>
  <c r="Z520" i="3"/>
  <c r="Z378" i="3"/>
  <c r="Z527" i="3"/>
  <c r="Z380" i="3"/>
  <c r="Z402" i="3"/>
  <c r="Z382" i="3"/>
  <c r="Z406" i="3"/>
  <c r="Z384" i="3"/>
  <c r="Z408" i="3"/>
  <c r="Z386" i="3"/>
  <c r="Z410" i="3"/>
  <c r="Z388" i="3"/>
  <c r="Z412" i="3"/>
  <c r="Z390" i="3"/>
  <c r="Z417" i="3"/>
  <c r="Z392" i="3"/>
  <c r="Z423" i="3"/>
  <c r="Z429" i="3"/>
  <c r="Z394" i="3"/>
  <c r="Z396" i="3"/>
  <c r="Z439" i="3"/>
  <c r="Z398" i="3"/>
  <c r="Z448" i="3"/>
  <c r="Z400" i="3"/>
  <c r="Z456" i="3"/>
  <c r="Z404" i="3"/>
  <c r="Z477" i="3"/>
  <c r="Z495" i="3"/>
  <c r="Z14" i="3"/>
  <c r="AA14" i="3" s="1"/>
  <c r="Z25" i="3"/>
  <c r="AA25" i="3" s="1"/>
  <c r="Z414" i="3"/>
  <c r="Z34" i="3"/>
  <c r="AA34" i="3" s="1"/>
  <c r="Z421" i="3"/>
  <c r="Z48" i="3"/>
  <c r="AA48" i="3" s="1"/>
  <c r="Z226" i="3"/>
  <c r="AA226" i="3" s="1"/>
  <c r="Z68" i="3"/>
  <c r="Z112" i="3"/>
  <c r="AA112" i="3" s="1"/>
  <c r="Z134" i="3"/>
  <c r="AA134" i="3" s="1"/>
  <c r="Z469" i="3"/>
  <c r="Z159" i="3"/>
  <c r="Z487" i="3"/>
  <c r="Z491" i="3"/>
  <c r="Z165" i="3"/>
  <c r="Z503" i="3"/>
  <c r="Z513" i="3"/>
  <c r="Z524" i="3"/>
  <c r="Z190" i="3"/>
  <c r="Z492" i="3"/>
  <c r="Z500" i="3"/>
  <c r="Z18" i="3"/>
  <c r="AA18" i="3" s="1"/>
  <c r="Z72" i="3"/>
  <c r="Z102" i="3"/>
  <c r="Z79" i="3"/>
  <c r="Z90" i="3"/>
  <c r="AA90" i="3" s="1"/>
  <c r="Z98" i="3"/>
  <c r="Z472" i="3"/>
  <c r="Z126" i="3"/>
  <c r="AA126" i="3" s="1"/>
  <c r="Z155" i="3"/>
  <c r="Z147" i="3"/>
  <c r="Z169" i="3"/>
  <c r="Z184" i="3"/>
  <c r="Z177" i="3"/>
  <c r="Z110" i="3"/>
  <c r="Z198" i="3"/>
  <c r="Z212" i="3"/>
  <c r="Z219" i="3"/>
  <c r="Z416" i="3"/>
  <c r="Z484" i="3"/>
  <c r="Z113" i="3"/>
  <c r="AA113" i="3" s="1"/>
  <c r="Z117" i="3"/>
  <c r="AA117" i="3" s="1"/>
  <c r="Z519" i="3"/>
  <c r="Z532" i="3"/>
  <c r="Z39" i="3"/>
  <c r="AA39" i="3" s="1"/>
  <c r="Z55" i="3"/>
  <c r="AA55" i="3" s="1"/>
  <c r="Z536" i="3"/>
  <c r="Z86" i="3"/>
  <c r="Z121" i="3"/>
  <c r="AA121" i="3" s="1"/>
  <c r="Z120" i="3"/>
  <c r="AA120" i="3" s="1"/>
  <c r="Z139" i="3"/>
  <c r="AA139" i="3" s="1"/>
  <c r="Z539" i="3"/>
  <c r="Z478" i="3"/>
  <c r="Z480" i="3"/>
  <c r="Z207" i="3"/>
  <c r="AA207" i="3" s="1"/>
  <c r="T2" i="3"/>
  <c r="U2" i="3" s="1"/>
  <c r="T417" i="3"/>
  <c r="U417" i="3" s="1"/>
  <c r="AC2" i="3"/>
  <c r="AD2" i="3" s="1"/>
  <c r="Z2" i="3"/>
  <c r="AA2" i="3" s="1"/>
  <c r="T110" i="3"/>
  <c r="U110" i="3" s="1"/>
  <c r="T114" i="3"/>
  <c r="U114" i="3" s="1"/>
  <c r="T120" i="3"/>
  <c r="U120" i="3" s="1"/>
  <c r="T124" i="3"/>
  <c r="U124" i="3" s="1"/>
  <c r="T130" i="3"/>
  <c r="U130" i="3" s="1"/>
  <c r="T134" i="3"/>
  <c r="U134" i="3" s="1"/>
  <c r="T138" i="3"/>
  <c r="U138" i="3" s="1"/>
  <c r="T142" i="3"/>
  <c r="U142" i="3" s="1"/>
  <c r="T147" i="3"/>
  <c r="U147" i="3" s="1"/>
  <c r="T153" i="3"/>
  <c r="U153" i="3" s="1"/>
  <c r="T158" i="3"/>
  <c r="U158" i="3" s="1"/>
  <c r="T162" i="3"/>
  <c r="U162" i="3" s="1"/>
  <c r="T169" i="3"/>
  <c r="U169" i="3" s="1"/>
  <c r="T175" i="3"/>
  <c r="U175" i="3" s="1"/>
  <c r="T180" i="3"/>
  <c r="U180" i="3" s="1"/>
  <c r="T183" i="3"/>
  <c r="U183" i="3" s="1"/>
  <c r="T187" i="3"/>
  <c r="U187" i="3" s="1"/>
  <c r="T192" i="3"/>
  <c r="U192" i="3" s="1"/>
  <c r="T196" i="3"/>
  <c r="U196" i="3" s="1"/>
  <c r="T199" i="3"/>
  <c r="U199" i="3" s="1"/>
  <c r="T203" i="3"/>
  <c r="U203" i="3" s="1"/>
  <c r="T205" i="3"/>
  <c r="U205" i="3" s="1"/>
  <c r="T207" i="3"/>
  <c r="U207" i="3" s="1"/>
  <c r="T209" i="3"/>
  <c r="U209" i="3" s="1"/>
  <c r="T211" i="3"/>
  <c r="U211" i="3" s="1"/>
  <c r="T213" i="3"/>
  <c r="U213" i="3" s="1"/>
  <c r="T215" i="3"/>
  <c r="U215" i="3" s="1"/>
  <c r="T217" i="3"/>
  <c r="U217" i="3" s="1"/>
  <c r="T219" i="3"/>
  <c r="U219" i="3" s="1"/>
  <c r="T223" i="3"/>
  <c r="U223" i="3" s="1"/>
  <c r="T226" i="3"/>
  <c r="U226" i="3" s="1"/>
  <c r="T230" i="3"/>
  <c r="U230" i="3" s="1"/>
  <c r="T233" i="3"/>
  <c r="U233" i="3" s="1"/>
  <c r="T237" i="3"/>
  <c r="U237" i="3" s="1"/>
  <c r="T241" i="3"/>
  <c r="U241" i="3" s="1"/>
  <c r="T247" i="3"/>
  <c r="U247" i="3" s="1"/>
  <c r="T252" i="3"/>
  <c r="U252" i="3" s="1"/>
  <c r="T256" i="3"/>
  <c r="U256" i="3" s="1"/>
  <c r="T260" i="3"/>
  <c r="U260" i="3" s="1"/>
  <c r="T263" i="3"/>
  <c r="U263" i="3" s="1"/>
  <c r="T267" i="3"/>
  <c r="U267" i="3" s="1"/>
  <c r="T273" i="3"/>
  <c r="U273" i="3" s="1"/>
  <c r="T279" i="3"/>
  <c r="U279" i="3" s="1"/>
  <c r="T283" i="3"/>
  <c r="U283" i="3" s="1"/>
  <c r="T287" i="3"/>
  <c r="U287" i="3" s="1"/>
  <c r="T291" i="3"/>
  <c r="U291" i="3" s="1"/>
  <c r="T296" i="3"/>
  <c r="U296" i="3" s="1"/>
  <c r="T299" i="3"/>
  <c r="U299" i="3" s="1"/>
  <c r="T303" i="3"/>
  <c r="U303" i="3" s="1"/>
  <c r="T305" i="3"/>
  <c r="U305" i="3" s="1"/>
  <c r="T307" i="3"/>
  <c r="U307" i="3" s="1"/>
  <c r="T309" i="3"/>
  <c r="U309" i="3" s="1"/>
  <c r="T312" i="3"/>
  <c r="U312" i="3" s="1"/>
  <c r="T313" i="3"/>
  <c r="U313" i="3" s="1"/>
  <c r="T314" i="3"/>
  <c r="U314" i="3" s="1"/>
  <c r="T317" i="3"/>
  <c r="U317" i="3" s="1"/>
  <c r="T319" i="3"/>
  <c r="U319" i="3" s="1"/>
  <c r="T322" i="3"/>
  <c r="U322" i="3" s="1"/>
  <c r="T325" i="3"/>
  <c r="U325" i="3" s="1"/>
  <c r="T330" i="3"/>
  <c r="U330" i="3" s="1"/>
  <c r="T335" i="3"/>
  <c r="U335" i="3" s="1"/>
  <c r="T340" i="3"/>
  <c r="U340" i="3" s="1"/>
  <c r="T344" i="3"/>
  <c r="U344" i="3" s="1"/>
  <c r="T348" i="3"/>
  <c r="U348" i="3" s="1"/>
  <c r="T352" i="3"/>
  <c r="U352" i="3" s="1"/>
  <c r="T356" i="3"/>
  <c r="U356" i="3" s="1"/>
  <c r="T360" i="3"/>
  <c r="U360" i="3" s="1"/>
  <c r="T364" i="3"/>
  <c r="U364" i="3" s="1"/>
  <c r="T368" i="3"/>
  <c r="U368" i="3" s="1"/>
  <c r="T371" i="3"/>
  <c r="U371" i="3" s="1"/>
  <c r="T376" i="3"/>
  <c r="U376" i="3" s="1"/>
  <c r="T379" i="3"/>
  <c r="U379" i="3" s="1"/>
  <c r="T385" i="3"/>
  <c r="U385" i="3" s="1"/>
  <c r="T389" i="3"/>
  <c r="U389" i="3" s="1"/>
  <c r="T394" i="3"/>
  <c r="U394" i="3" s="1"/>
  <c r="T398" i="3"/>
  <c r="U398" i="3" s="1"/>
  <c r="T404" i="3"/>
  <c r="U404" i="3" s="1"/>
  <c r="T407" i="3"/>
  <c r="U407" i="3" s="1"/>
  <c r="T412" i="3"/>
  <c r="U412" i="3" s="1"/>
  <c r="T416" i="3"/>
  <c r="U416" i="3" s="1"/>
  <c r="T108" i="3"/>
  <c r="U108" i="3" s="1"/>
  <c r="T111" i="3"/>
  <c r="U111" i="3" s="1"/>
  <c r="T116" i="3"/>
  <c r="U116" i="3" s="1"/>
  <c r="T119" i="3"/>
  <c r="U119" i="3" s="1"/>
  <c r="T123" i="3"/>
  <c r="U123" i="3" s="1"/>
  <c r="T127" i="3"/>
  <c r="U127" i="3" s="1"/>
  <c r="T132" i="3"/>
  <c r="U132" i="3" s="1"/>
  <c r="T137" i="3"/>
  <c r="U137" i="3" s="1"/>
  <c r="T141" i="3"/>
  <c r="U141" i="3" s="1"/>
  <c r="T144" i="3"/>
  <c r="U144" i="3" s="1"/>
  <c r="T149" i="3"/>
  <c r="U149" i="3" s="1"/>
  <c r="T155" i="3"/>
  <c r="U155" i="3" s="1"/>
  <c r="T159" i="3"/>
  <c r="U159" i="3" s="1"/>
  <c r="T165" i="3"/>
  <c r="U165" i="3" s="1"/>
  <c r="T170" i="3"/>
  <c r="U170" i="3" s="1"/>
  <c r="T173" i="3"/>
  <c r="U173" i="3" s="1"/>
  <c r="T178" i="3"/>
  <c r="U178" i="3" s="1"/>
  <c r="T184" i="3"/>
  <c r="U184" i="3" s="1"/>
  <c r="T188" i="3"/>
  <c r="U188" i="3" s="1"/>
  <c r="T191" i="3"/>
  <c r="U191" i="3" s="1"/>
  <c r="T195" i="3"/>
  <c r="U195" i="3" s="1"/>
  <c r="T200" i="3"/>
  <c r="U200" i="3" s="1"/>
  <c r="T204" i="3"/>
  <c r="U204" i="3" s="1"/>
  <c r="T206" i="3"/>
  <c r="U206" i="3" s="1"/>
  <c r="T208" i="3"/>
  <c r="U208" i="3" s="1"/>
  <c r="T210" i="3"/>
  <c r="U210" i="3" s="1"/>
  <c r="T212" i="3"/>
  <c r="U212" i="3" s="1"/>
  <c r="T214" i="3"/>
  <c r="U214" i="3" s="1"/>
  <c r="T216" i="3"/>
  <c r="U216" i="3" s="1"/>
  <c r="T218" i="3"/>
  <c r="U218" i="3" s="1"/>
  <c r="T220" i="3"/>
  <c r="U220" i="3" s="1"/>
  <c r="T221" i="3"/>
  <c r="U221" i="3" s="1"/>
  <c r="T225" i="3"/>
  <c r="U225" i="3" s="1"/>
  <c r="T229" i="3"/>
  <c r="U229" i="3" s="1"/>
  <c r="T232" i="3"/>
  <c r="U232" i="3" s="1"/>
  <c r="T236" i="3"/>
  <c r="U236" i="3" s="1"/>
  <c r="T240" i="3"/>
  <c r="U240" i="3" s="1"/>
  <c r="T246" i="3"/>
  <c r="U246" i="3" s="1"/>
  <c r="T251" i="3"/>
  <c r="U251" i="3" s="1"/>
  <c r="T255" i="3"/>
  <c r="U255" i="3" s="1"/>
  <c r="T259" i="3"/>
  <c r="U259" i="3" s="1"/>
  <c r="T264" i="3"/>
  <c r="U264" i="3" s="1"/>
  <c r="T269" i="3"/>
  <c r="U269" i="3" s="1"/>
  <c r="T272" i="3"/>
  <c r="U272" i="3" s="1"/>
  <c r="T276" i="3"/>
  <c r="U276" i="3" s="1"/>
  <c r="T280" i="3"/>
  <c r="U280" i="3" s="1"/>
  <c r="T286" i="3"/>
  <c r="U286" i="3" s="1"/>
  <c r="T289" i="3"/>
  <c r="U289" i="3" s="1"/>
  <c r="T315" i="3"/>
  <c r="U315" i="3" s="1"/>
  <c r="T318" i="3"/>
  <c r="U318" i="3" s="1"/>
  <c r="T320" i="3"/>
  <c r="U320" i="3" s="1"/>
  <c r="T324" i="3"/>
  <c r="U324" i="3" s="1"/>
  <c r="T326" i="3"/>
  <c r="U326" i="3" s="1"/>
  <c r="T329" i="3"/>
  <c r="U329" i="3" s="1"/>
  <c r="T334" i="3"/>
  <c r="U334" i="3" s="1"/>
  <c r="T337" i="3"/>
  <c r="U337" i="3" s="1"/>
  <c r="T341" i="3"/>
  <c r="U341" i="3" s="1"/>
  <c r="T346" i="3"/>
  <c r="U346" i="3" s="1"/>
  <c r="T351" i="3"/>
  <c r="U351" i="3" s="1"/>
  <c r="T355" i="3"/>
  <c r="U355" i="3" s="1"/>
  <c r="T359" i="3"/>
  <c r="U359" i="3" s="1"/>
  <c r="T363" i="3"/>
  <c r="U363" i="3" s="1"/>
  <c r="T367" i="3"/>
  <c r="U367" i="3" s="1"/>
  <c r="T372" i="3"/>
  <c r="U372" i="3" s="1"/>
  <c r="T375" i="3"/>
  <c r="U375" i="3" s="1"/>
  <c r="T380" i="3"/>
  <c r="U380" i="3" s="1"/>
  <c r="T384" i="3"/>
  <c r="U384" i="3" s="1"/>
  <c r="T388" i="3"/>
  <c r="U388" i="3" s="1"/>
  <c r="T392" i="3"/>
  <c r="U392" i="3" s="1"/>
  <c r="T397" i="3"/>
  <c r="U397" i="3" s="1"/>
  <c r="T401" i="3"/>
  <c r="U401" i="3" s="1"/>
  <c r="T405" i="3"/>
  <c r="U405" i="3" s="1"/>
  <c r="T409" i="3"/>
  <c r="U409" i="3" s="1"/>
  <c r="T413" i="3"/>
  <c r="U413" i="3" s="1"/>
  <c r="T109" i="3"/>
  <c r="U109" i="3" s="1"/>
  <c r="T113" i="3"/>
  <c r="U113" i="3" s="1"/>
  <c r="T117" i="3"/>
  <c r="U117" i="3" s="1"/>
  <c r="T121" i="3"/>
  <c r="U121" i="3" s="1"/>
  <c r="T126" i="3"/>
  <c r="U126" i="3" s="1"/>
  <c r="T129" i="3"/>
  <c r="U129" i="3" s="1"/>
  <c r="T133" i="3"/>
  <c r="U133" i="3" s="1"/>
  <c r="T136" i="3"/>
  <c r="U136" i="3" s="1"/>
  <c r="T140" i="3"/>
  <c r="U140" i="3" s="1"/>
  <c r="T145" i="3"/>
  <c r="U145" i="3" s="1"/>
  <c r="T148" i="3"/>
  <c r="U148" i="3" s="1"/>
  <c r="T151" i="3"/>
  <c r="U151" i="3" s="1"/>
  <c r="T154" i="3"/>
  <c r="U154" i="3" s="1"/>
  <c r="T157" i="3"/>
  <c r="U157" i="3" s="1"/>
  <c r="T161" i="3"/>
  <c r="U161" i="3" s="1"/>
  <c r="T166" i="3"/>
  <c r="U166" i="3" s="1"/>
  <c r="T167" i="3"/>
  <c r="U167" i="3" s="1"/>
  <c r="T171" i="3"/>
  <c r="U171" i="3" s="1"/>
  <c r="T174" i="3"/>
  <c r="U174" i="3" s="1"/>
  <c r="T179" i="3"/>
  <c r="U179" i="3" s="1"/>
  <c r="T181" i="3"/>
  <c r="U181" i="3" s="1"/>
  <c r="T185" i="3"/>
  <c r="U185" i="3" s="1"/>
  <c r="T190" i="3"/>
  <c r="U190" i="3" s="1"/>
  <c r="T193" i="3"/>
  <c r="U193" i="3" s="1"/>
  <c r="T197" i="3"/>
  <c r="U197" i="3" s="1"/>
  <c r="T201" i="3"/>
  <c r="U201" i="3" s="1"/>
  <c r="T202" i="3"/>
  <c r="U202" i="3" s="1"/>
  <c r="T222" i="3"/>
  <c r="U222" i="3" s="1"/>
  <c r="T224" i="3"/>
  <c r="U224" i="3" s="1"/>
  <c r="T227" i="3"/>
  <c r="U227" i="3" s="1"/>
  <c r="T228" i="3"/>
  <c r="U228" i="3" s="1"/>
  <c r="T231" i="3"/>
  <c r="U231" i="3" s="1"/>
  <c r="T235" i="3"/>
  <c r="U235" i="3" s="1"/>
  <c r="T239" i="3"/>
  <c r="U239" i="3" s="1"/>
  <c r="T243" i="3"/>
  <c r="U243" i="3" s="1"/>
  <c r="T244" i="3"/>
  <c r="U244" i="3" s="1"/>
  <c r="T248" i="3"/>
  <c r="U248" i="3" s="1"/>
  <c r="T250" i="3"/>
  <c r="U250" i="3" s="1"/>
  <c r="T254" i="3"/>
  <c r="U254" i="3" s="1"/>
  <c r="T257" i="3"/>
  <c r="U257" i="3" s="1"/>
  <c r="T261" i="3"/>
  <c r="U261" i="3" s="1"/>
  <c r="T265" i="3"/>
  <c r="U265" i="3" s="1"/>
  <c r="T268" i="3"/>
  <c r="U268" i="3" s="1"/>
  <c r="T271" i="3"/>
  <c r="U271" i="3" s="1"/>
  <c r="T275" i="3"/>
  <c r="U275" i="3" s="1"/>
  <c r="T277" i="3"/>
  <c r="U277" i="3" s="1"/>
  <c r="T281" i="3"/>
  <c r="U281" i="3" s="1"/>
  <c r="T284" i="3"/>
  <c r="U284" i="3" s="1"/>
  <c r="T288" i="3"/>
  <c r="U288" i="3" s="1"/>
  <c r="T292" i="3"/>
  <c r="U292" i="3" s="1"/>
  <c r="T293" i="3"/>
  <c r="U293" i="3" s="1"/>
  <c r="T295" i="3"/>
  <c r="U295" i="3" s="1"/>
  <c r="T298" i="3"/>
  <c r="U298" i="3" s="1"/>
  <c r="T300" i="3"/>
  <c r="U300" i="3" s="1"/>
  <c r="T302" i="3"/>
  <c r="U302" i="3" s="1"/>
  <c r="T316" i="3"/>
  <c r="U316" i="3" s="1"/>
  <c r="T321" i="3"/>
  <c r="U321" i="3" s="1"/>
  <c r="T323" i="3"/>
  <c r="U323" i="3" s="1"/>
  <c r="T327" i="3"/>
  <c r="U327" i="3" s="1"/>
  <c r="T331" i="3"/>
  <c r="U331" i="3" s="1"/>
  <c r="T333" i="3"/>
  <c r="U333" i="3" s="1"/>
  <c r="T336" i="3"/>
  <c r="U336" i="3" s="1"/>
  <c r="T339" i="3"/>
  <c r="U339" i="3" s="1"/>
  <c r="T342" i="3"/>
  <c r="U342" i="3" s="1"/>
  <c r="T347" i="3"/>
  <c r="U347" i="3" s="1"/>
  <c r="T350" i="3"/>
  <c r="U350" i="3" s="1"/>
  <c r="T353" i="3"/>
  <c r="U353" i="3" s="1"/>
  <c r="T357" i="3"/>
  <c r="U357" i="3" s="1"/>
  <c r="T362" i="3"/>
  <c r="U362" i="3" s="1"/>
  <c r="T366" i="3"/>
  <c r="U366" i="3" s="1"/>
  <c r="T370" i="3"/>
  <c r="U370" i="3" s="1"/>
  <c r="T374" i="3"/>
  <c r="U374" i="3" s="1"/>
  <c r="T377" i="3"/>
  <c r="U377" i="3" s="1"/>
  <c r="T381" i="3"/>
  <c r="U381" i="3" s="1"/>
  <c r="T383" i="3"/>
  <c r="U383" i="3" s="1"/>
  <c r="T387" i="3"/>
  <c r="U387" i="3" s="1"/>
  <c r="T391" i="3"/>
  <c r="U391" i="3" s="1"/>
  <c r="T395" i="3"/>
  <c r="U395" i="3" s="1"/>
  <c r="T399" i="3"/>
  <c r="U399" i="3" s="1"/>
  <c r="T402" i="3"/>
  <c r="U402" i="3" s="1"/>
  <c r="T408" i="3"/>
  <c r="U408" i="3" s="1"/>
  <c r="T410" i="3"/>
  <c r="U410" i="3" s="1"/>
  <c r="T414" i="3"/>
  <c r="U414" i="3" s="1"/>
  <c r="T106" i="3"/>
  <c r="U106" i="3" s="1"/>
  <c r="T112" i="3"/>
  <c r="U112" i="3" s="1"/>
  <c r="T115" i="3"/>
  <c r="U115" i="3" s="1"/>
  <c r="T118" i="3"/>
  <c r="U118" i="3" s="1"/>
  <c r="T122" i="3"/>
  <c r="U122" i="3" s="1"/>
  <c r="T125" i="3"/>
  <c r="U125" i="3" s="1"/>
  <c r="T128" i="3"/>
  <c r="U128" i="3" s="1"/>
  <c r="T131" i="3"/>
  <c r="U131" i="3" s="1"/>
  <c r="T135" i="3"/>
  <c r="U135" i="3" s="1"/>
  <c r="T139" i="3"/>
  <c r="U139" i="3" s="1"/>
  <c r="T143" i="3"/>
  <c r="U143" i="3" s="1"/>
  <c r="T146" i="3"/>
  <c r="U146" i="3" s="1"/>
  <c r="T150" i="3"/>
  <c r="U150" i="3" s="1"/>
  <c r="T152" i="3"/>
  <c r="U152" i="3" s="1"/>
  <c r="T156" i="3"/>
  <c r="U156" i="3" s="1"/>
  <c r="T160" i="3"/>
  <c r="U160" i="3" s="1"/>
  <c r="T163" i="3"/>
  <c r="U163" i="3" s="1"/>
  <c r="T164" i="3"/>
  <c r="U164" i="3" s="1"/>
  <c r="T168" i="3"/>
  <c r="U168" i="3" s="1"/>
  <c r="T172" i="3"/>
  <c r="U172" i="3" s="1"/>
  <c r="T176" i="3"/>
  <c r="U176" i="3" s="1"/>
  <c r="T177" i="3"/>
  <c r="U177" i="3" s="1"/>
  <c r="T182" i="3"/>
  <c r="U182" i="3" s="1"/>
  <c r="T186" i="3"/>
  <c r="U186" i="3" s="1"/>
  <c r="T189" i="3"/>
  <c r="U189" i="3" s="1"/>
  <c r="T194" i="3"/>
  <c r="U194" i="3" s="1"/>
  <c r="T198" i="3"/>
  <c r="U198" i="3" s="1"/>
  <c r="T234" i="3"/>
  <c r="U234" i="3" s="1"/>
  <c r="T238" i="3"/>
  <c r="U238" i="3" s="1"/>
  <c r="T242" i="3"/>
  <c r="U242" i="3" s="1"/>
  <c r="T245" i="3"/>
  <c r="U245" i="3" s="1"/>
  <c r="T249" i="3"/>
  <c r="U249" i="3" s="1"/>
  <c r="T253" i="3"/>
  <c r="U253" i="3" s="1"/>
  <c r="T258" i="3"/>
  <c r="U258" i="3" s="1"/>
  <c r="T262" i="3"/>
  <c r="U262" i="3" s="1"/>
  <c r="T266" i="3"/>
  <c r="U266" i="3" s="1"/>
  <c r="T270" i="3"/>
  <c r="U270" i="3" s="1"/>
  <c r="T274" i="3"/>
  <c r="U274" i="3" s="1"/>
  <c r="T278" i="3"/>
  <c r="U278" i="3" s="1"/>
  <c r="T282" i="3"/>
  <c r="U282" i="3" s="1"/>
  <c r="T285" i="3"/>
  <c r="U285" i="3" s="1"/>
  <c r="T290" i="3"/>
  <c r="U290" i="3" s="1"/>
  <c r="T294" i="3"/>
  <c r="U294" i="3" s="1"/>
  <c r="T297" i="3"/>
  <c r="U297" i="3" s="1"/>
  <c r="T301" i="3"/>
  <c r="U301" i="3" s="1"/>
  <c r="T304" i="3"/>
  <c r="U304" i="3" s="1"/>
  <c r="T306" i="3"/>
  <c r="U306" i="3" s="1"/>
  <c r="T308" i="3"/>
  <c r="U308" i="3" s="1"/>
  <c r="T310" i="3"/>
  <c r="U310" i="3" s="1"/>
  <c r="T311" i="3"/>
  <c r="U311" i="3" s="1"/>
  <c r="T328" i="3"/>
  <c r="U328" i="3" s="1"/>
  <c r="T332" i="3"/>
  <c r="U332" i="3" s="1"/>
  <c r="T338" i="3"/>
  <c r="U338" i="3" s="1"/>
  <c r="T343" i="3"/>
  <c r="U343" i="3" s="1"/>
  <c r="T345" i="3"/>
  <c r="U345" i="3" s="1"/>
  <c r="T349" i="3"/>
  <c r="U349" i="3" s="1"/>
  <c r="T354" i="3"/>
  <c r="U354" i="3" s="1"/>
  <c r="T358" i="3"/>
  <c r="U358" i="3" s="1"/>
  <c r="T361" i="3"/>
  <c r="U361" i="3" s="1"/>
  <c r="T365" i="3"/>
  <c r="U365" i="3" s="1"/>
  <c r="T369" i="3"/>
  <c r="U369" i="3" s="1"/>
  <c r="T373" i="3"/>
  <c r="U373" i="3" s="1"/>
  <c r="T378" i="3"/>
  <c r="U378" i="3" s="1"/>
  <c r="T382" i="3"/>
  <c r="U382" i="3" s="1"/>
  <c r="T386" i="3"/>
  <c r="U386" i="3" s="1"/>
  <c r="T390" i="3"/>
  <c r="U390" i="3" s="1"/>
  <c r="T393" i="3"/>
  <c r="U393" i="3" s="1"/>
  <c r="T396" i="3"/>
  <c r="U396" i="3" s="1"/>
  <c r="T400" i="3"/>
  <c r="U400" i="3" s="1"/>
  <c r="T403" i="3"/>
  <c r="U403" i="3" s="1"/>
  <c r="T406" i="3"/>
  <c r="U406" i="3" s="1"/>
  <c r="T411" i="3"/>
  <c r="U411" i="3" s="1"/>
  <c r="T415" i="3"/>
  <c r="U415" i="3" s="1"/>
  <c r="T3" i="3"/>
  <c r="U3" i="3" s="1"/>
  <c r="T7" i="3"/>
  <c r="U7" i="3" s="1"/>
  <c r="T9" i="3"/>
  <c r="U9" i="3" s="1"/>
  <c r="T12" i="3"/>
  <c r="U12" i="3" s="1"/>
  <c r="T15" i="3"/>
  <c r="U15" i="3" s="1"/>
  <c r="T18" i="3"/>
  <c r="U18" i="3" s="1"/>
  <c r="T20" i="3"/>
  <c r="U20" i="3" s="1"/>
  <c r="T24" i="3"/>
  <c r="U24" i="3" s="1"/>
  <c r="T25" i="3"/>
  <c r="U25" i="3" s="1"/>
  <c r="T27" i="3"/>
  <c r="U27" i="3" s="1"/>
  <c r="T30" i="3"/>
  <c r="U30" i="3" s="1"/>
  <c r="T32" i="3"/>
  <c r="U32" i="3" s="1"/>
  <c r="T35" i="3"/>
  <c r="U35" i="3" s="1"/>
  <c r="T38" i="3"/>
  <c r="U38" i="3" s="1"/>
  <c r="T41" i="3"/>
  <c r="U41" i="3" s="1"/>
  <c r="T69" i="3"/>
  <c r="U69" i="3" s="1"/>
  <c r="T72" i="3"/>
  <c r="U72" i="3" s="1"/>
  <c r="T78" i="3"/>
  <c r="U78" i="3" s="1"/>
  <c r="T81" i="3"/>
  <c r="U81" i="3" s="1"/>
  <c r="T89" i="3"/>
  <c r="U89" i="3" s="1"/>
  <c r="T95" i="3"/>
  <c r="U95" i="3" s="1"/>
  <c r="T100" i="3"/>
  <c r="U100" i="3" s="1"/>
  <c r="T105" i="3"/>
  <c r="U105" i="3" s="1"/>
  <c r="T14" i="3"/>
  <c r="U14" i="3" s="1"/>
  <c r="T21" i="3"/>
  <c r="U21" i="3" s="1"/>
  <c r="T31" i="3"/>
  <c r="U31" i="3" s="1"/>
  <c r="T60" i="3"/>
  <c r="U60" i="3" s="1"/>
  <c r="T70" i="3"/>
  <c r="U70" i="3" s="1"/>
  <c r="T76" i="3"/>
  <c r="U76" i="3" s="1"/>
  <c r="T79" i="3"/>
  <c r="U79" i="3" s="1"/>
  <c r="T88" i="3"/>
  <c r="U88" i="3" s="1"/>
  <c r="T96" i="3"/>
  <c r="U96" i="3" s="1"/>
  <c r="T101" i="3"/>
  <c r="U101" i="3" s="1"/>
  <c r="T44" i="3"/>
  <c r="U44" i="3" s="1"/>
  <c r="T47" i="3"/>
  <c r="U47" i="3" s="1"/>
  <c r="T49" i="3"/>
  <c r="U49" i="3" s="1"/>
  <c r="T53" i="3"/>
  <c r="U53" i="3" s="1"/>
  <c r="T56" i="3"/>
  <c r="U56" i="3" s="1"/>
  <c r="T61" i="3"/>
  <c r="U61" i="3" s="1"/>
  <c r="T64" i="3"/>
  <c r="U64" i="3" s="1"/>
  <c r="T67" i="3"/>
  <c r="U67" i="3" s="1"/>
  <c r="T71" i="3"/>
  <c r="U71" i="3" s="1"/>
  <c r="T75" i="3"/>
  <c r="U75" i="3" s="1"/>
  <c r="T86" i="3"/>
  <c r="U86" i="3" s="1"/>
  <c r="T92" i="3"/>
  <c r="U92" i="3" s="1"/>
  <c r="T97" i="3"/>
  <c r="U97" i="3" s="1"/>
  <c r="T103" i="3"/>
  <c r="U103" i="3" s="1"/>
  <c r="T107" i="3"/>
  <c r="U107" i="3" s="1"/>
  <c r="T6" i="3"/>
  <c r="U6" i="3" s="1"/>
  <c r="T11" i="3"/>
  <c r="U11" i="3" s="1"/>
  <c r="T17" i="3"/>
  <c r="U17" i="3" s="1"/>
  <c r="T28" i="3"/>
  <c r="U28" i="3" s="1"/>
  <c r="T57" i="3"/>
  <c r="U57" i="3" s="1"/>
  <c r="T59" i="3"/>
  <c r="U59" i="3" s="1"/>
  <c r="T66" i="3"/>
  <c r="U66" i="3" s="1"/>
  <c r="T73" i="3"/>
  <c r="U73" i="3" s="1"/>
  <c r="T85" i="3"/>
  <c r="U85" i="3" s="1"/>
  <c r="T91" i="3"/>
  <c r="U91" i="3" s="1"/>
  <c r="T99" i="3"/>
  <c r="U99" i="3" s="1"/>
  <c r="T34" i="3"/>
  <c r="U34" i="3" s="1"/>
  <c r="T37" i="3"/>
  <c r="U37" i="3" s="1"/>
  <c r="T40" i="3"/>
  <c r="U40" i="3" s="1"/>
  <c r="T43" i="3"/>
  <c r="U43" i="3" s="1"/>
  <c r="T46" i="3"/>
  <c r="U46" i="3" s="1"/>
  <c r="T50" i="3"/>
  <c r="U50" i="3" s="1"/>
  <c r="T52" i="3"/>
  <c r="U52" i="3" s="1"/>
  <c r="T55" i="3"/>
  <c r="U55" i="3" s="1"/>
  <c r="T58" i="3"/>
  <c r="U58" i="3" s="1"/>
  <c r="T63" i="3"/>
  <c r="U63" i="3" s="1"/>
  <c r="T65" i="3"/>
  <c r="U65" i="3" s="1"/>
  <c r="T68" i="3"/>
  <c r="U68" i="3" s="1"/>
  <c r="T74" i="3"/>
  <c r="U74" i="3" s="1"/>
  <c r="T77" i="3"/>
  <c r="U77" i="3" s="1"/>
  <c r="T80" i="3"/>
  <c r="U80" i="3" s="1"/>
  <c r="T83" i="3"/>
  <c r="U83" i="3" s="1"/>
  <c r="T84" i="3"/>
  <c r="U84" i="3" s="1"/>
  <c r="T87" i="3"/>
  <c r="U87" i="3" s="1"/>
  <c r="T90" i="3"/>
  <c r="U90" i="3" s="1"/>
  <c r="T93" i="3"/>
  <c r="U93" i="3" s="1"/>
  <c r="T98" i="3"/>
  <c r="U98" i="3" s="1"/>
  <c r="T102" i="3"/>
  <c r="U102" i="3" s="1"/>
  <c r="T104" i="3"/>
  <c r="U104" i="3" s="1"/>
  <c r="T4" i="3"/>
  <c r="U4" i="3" s="1"/>
  <c r="T5" i="3"/>
  <c r="U5" i="3" s="1"/>
  <c r="T8" i="3"/>
  <c r="U8" i="3" s="1"/>
  <c r="T10" i="3"/>
  <c r="U10" i="3" s="1"/>
  <c r="T13" i="3"/>
  <c r="U13" i="3" s="1"/>
  <c r="T16" i="3"/>
  <c r="U16" i="3" s="1"/>
  <c r="T19" i="3"/>
  <c r="U19" i="3" s="1"/>
  <c r="T22" i="3"/>
  <c r="U22" i="3" s="1"/>
  <c r="T23" i="3"/>
  <c r="U23" i="3" s="1"/>
  <c r="T26" i="3"/>
  <c r="U26" i="3" s="1"/>
  <c r="T29" i="3"/>
  <c r="U29" i="3" s="1"/>
  <c r="T33" i="3"/>
  <c r="U33" i="3" s="1"/>
  <c r="T36" i="3"/>
  <c r="U36" i="3" s="1"/>
  <c r="T39" i="3"/>
  <c r="U39" i="3" s="1"/>
  <c r="T42" i="3"/>
  <c r="U42" i="3" s="1"/>
  <c r="T45" i="3"/>
  <c r="U45" i="3" s="1"/>
  <c r="T48" i="3"/>
  <c r="U48" i="3" s="1"/>
  <c r="T51" i="3"/>
  <c r="U51" i="3" s="1"/>
  <c r="T54" i="3"/>
  <c r="U54" i="3" s="1"/>
  <c r="T62" i="3"/>
  <c r="U62" i="3" s="1"/>
  <c r="T82" i="3"/>
  <c r="U82" i="3" s="1"/>
  <c r="T94" i="3"/>
  <c r="U9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Raisa Ahmed</author>
  </authors>
  <commentList>
    <comment ref="F2" authorId="0" shapeId="0" xr:uid="{BFE43839-71BC-4A53-893D-90C2CF12E771}">
      <text>
        <r>
          <rPr>
            <b/>
            <sz val="9"/>
            <color indexed="81"/>
            <rFont val="Tahoma"/>
            <family val="2"/>
          </rPr>
          <t>Raisa Ahmed:</t>
        </r>
        <r>
          <rPr>
            <sz val="9"/>
            <color indexed="81"/>
            <rFont val="Tahoma"/>
            <family val="2"/>
          </rPr>
          <t xml:space="preserve">
blue is from field </t>
        </r>
      </text>
    </comment>
  </commentList>
</comments>
</file>

<file path=xl/sharedStrings.xml><?xml version="1.0" encoding="utf-8"?>
<sst xmlns="http://schemas.openxmlformats.org/spreadsheetml/2006/main" count="3069" uniqueCount="1171">
  <si>
    <t>BD404104</t>
  </si>
  <si>
    <t>BD302602</t>
  </si>
  <si>
    <t>BD501006</t>
  </si>
  <si>
    <t>BD555202</t>
  </si>
  <si>
    <t>BD100602</t>
  </si>
  <si>
    <t>BD603602</t>
  </si>
  <si>
    <t>BD201202</t>
  </si>
  <si>
    <t>BD503813</t>
  </si>
  <si>
    <t>BD401807</t>
  </si>
  <si>
    <t>BD302903</t>
  </si>
  <si>
    <t>BD200304</t>
  </si>
  <si>
    <t>BD201504</t>
  </si>
  <si>
    <t>BD306702</t>
  </si>
  <si>
    <t>BD201233</t>
  </si>
  <si>
    <t>BD408704</t>
  </si>
  <si>
    <t>BD507605</t>
  </si>
  <si>
    <t>BD457204</t>
  </si>
  <si>
    <t>BD506403</t>
  </si>
  <si>
    <t>BD557704</t>
  </si>
  <si>
    <t>BD304802</t>
  </si>
  <si>
    <t>BD100603</t>
  </si>
  <si>
    <t>BD506406</t>
  </si>
  <si>
    <t>BD558503</t>
  </si>
  <si>
    <t>BD302604</t>
  </si>
  <si>
    <t>BD506909</t>
  </si>
  <si>
    <t>BD400108</t>
  </si>
  <si>
    <t>BD508110</t>
  </si>
  <si>
    <t>BD208407</t>
  </si>
  <si>
    <t>BD404109</t>
  </si>
  <si>
    <t>BD508112</t>
  </si>
  <si>
    <t>BD603605</t>
  </si>
  <si>
    <t>BD304806</t>
  </si>
  <si>
    <t>BD201510</t>
  </si>
  <si>
    <t>BD100607</t>
  </si>
  <si>
    <t>BD453907</t>
  </si>
  <si>
    <t>BD609108</t>
  </si>
  <si>
    <t>BD308207</t>
  </si>
  <si>
    <t>BD559408</t>
  </si>
  <si>
    <t>BD100419</t>
  </si>
  <si>
    <t>BD100610</t>
  </si>
  <si>
    <t>BD201204</t>
  </si>
  <si>
    <t>BD306706</t>
  </si>
  <si>
    <t>BD200314</t>
  </si>
  <si>
    <t>BD302605</t>
  </si>
  <si>
    <t>BD603611</t>
  </si>
  <si>
    <t>BD201508</t>
  </si>
  <si>
    <t>BD506915</t>
  </si>
  <si>
    <t>BD100428</t>
  </si>
  <si>
    <t>BD457209</t>
  </si>
  <si>
    <t>BD100651</t>
  </si>
  <si>
    <t>BD208421</t>
  </si>
  <si>
    <t>BD605814</t>
  </si>
  <si>
    <t>BD201909</t>
  </si>
  <si>
    <t>BD309309</t>
  </si>
  <si>
    <t>BD404712</t>
  </si>
  <si>
    <t>BD107838</t>
  </si>
  <si>
    <t>BD201506</t>
  </si>
  <si>
    <t>BD609117</t>
  </si>
  <si>
    <t>BD207507</t>
  </si>
  <si>
    <t>BD306807</t>
  </si>
  <si>
    <t>BD208429</t>
  </si>
  <si>
    <t>BD508811</t>
  </si>
  <si>
    <t>BD507616</t>
  </si>
  <si>
    <t>BD100447</t>
  </si>
  <si>
    <t>BD304811</t>
  </si>
  <si>
    <t>BD456113</t>
  </si>
  <si>
    <t>BD107914</t>
  </si>
  <si>
    <t>BD302910</t>
  </si>
  <si>
    <t>BD507619</t>
  </si>
  <si>
    <t>BD308614</t>
  </si>
  <si>
    <t>BD405015</t>
  </si>
  <si>
    <t>BD100918</t>
  </si>
  <si>
    <t>BD507018</t>
  </si>
  <si>
    <t>BD309319</t>
  </si>
  <si>
    <t>BD554906</t>
  </si>
  <si>
    <t>BD201207</t>
  </si>
  <si>
    <t>BD302606</t>
  </si>
  <si>
    <t>BD552717</t>
  </si>
  <si>
    <t>BD552710</t>
  </si>
  <si>
    <t>BD552712</t>
  </si>
  <si>
    <t>BD609018</t>
  </si>
  <si>
    <t>BD609120</t>
  </si>
  <si>
    <t>BD508122</t>
  </si>
  <si>
    <t>BD201512</t>
  </si>
  <si>
    <t>BD302918</t>
  </si>
  <si>
    <t>BD552721</t>
  </si>
  <si>
    <t>BD557725</t>
  </si>
  <si>
    <t>BD501020</t>
  </si>
  <si>
    <t>BD201915</t>
  </si>
  <si>
    <t>BD201213</t>
  </si>
  <si>
    <t>BD100921</t>
  </si>
  <si>
    <t>BD201918</t>
  </si>
  <si>
    <t>BD302608</t>
  </si>
  <si>
    <t>BD302609</t>
  </si>
  <si>
    <t>BD202216</t>
  </si>
  <si>
    <t>BD201518</t>
  </si>
  <si>
    <t>BD201519</t>
  </si>
  <si>
    <t>BD201927</t>
  </si>
  <si>
    <t>BD201322</t>
  </si>
  <si>
    <t>BD302921</t>
  </si>
  <si>
    <t>BD100925</t>
  </si>
  <si>
    <t>BD554908</t>
  </si>
  <si>
    <t>BD508125</t>
  </si>
  <si>
    <t>BD207510</t>
  </si>
  <si>
    <t>BD507622</t>
  </si>
  <si>
    <t>BD201931</t>
  </si>
  <si>
    <t>BD404111</t>
  </si>
  <si>
    <t>BD508827</t>
  </si>
  <si>
    <t>BD203014</t>
  </si>
  <si>
    <t>BD609023</t>
  </si>
  <si>
    <t>BD554909</t>
  </si>
  <si>
    <t>BD552730</t>
  </si>
  <si>
    <t>BD400114</t>
  </si>
  <si>
    <t>BD201520</t>
  </si>
  <si>
    <t>BD401823</t>
  </si>
  <si>
    <t>BD603626</t>
  </si>
  <si>
    <t>BD201967</t>
  </si>
  <si>
    <t>BD201933</t>
  </si>
  <si>
    <t>BD207521</t>
  </si>
  <si>
    <t>BD609127</t>
  </si>
  <si>
    <t>BD202224</t>
  </si>
  <si>
    <t>BD404717</t>
  </si>
  <si>
    <t>BD203025</t>
  </si>
  <si>
    <t>BD609027</t>
  </si>
  <si>
    <t>BD609131</t>
  </si>
  <si>
    <t>BD302610</t>
  </si>
  <si>
    <t>BD308625</t>
  </si>
  <si>
    <t>BD401831</t>
  </si>
  <si>
    <t>BD302611</t>
  </si>
  <si>
    <t>BD107852</t>
  </si>
  <si>
    <t>BD201936</t>
  </si>
  <si>
    <t>BD100929</t>
  </si>
  <si>
    <t>BD305610</t>
  </si>
  <si>
    <t>BD404721</t>
  </si>
  <si>
    <t>BD405039</t>
  </si>
  <si>
    <t>BD408725</t>
  </si>
  <si>
    <t>BD201940</t>
  </si>
  <si>
    <t>BD557734</t>
  </si>
  <si>
    <t>BD309323</t>
  </si>
  <si>
    <t>BD302612</t>
  </si>
  <si>
    <t>BD609029</t>
  </si>
  <si>
    <t>BD453915</t>
  </si>
  <si>
    <t>BD506428</t>
  </si>
  <si>
    <t>BD302614</t>
  </si>
  <si>
    <t>BD309325</t>
  </si>
  <si>
    <t>BD302616</t>
  </si>
  <si>
    <t>BD609032</t>
  </si>
  <si>
    <t>BD456116</t>
  </si>
  <si>
    <t>BD501027</t>
  </si>
  <si>
    <t>BD501033</t>
  </si>
  <si>
    <t>BD404740</t>
  </si>
  <si>
    <t>BD204643</t>
  </si>
  <si>
    <t>BD557312</t>
  </si>
  <si>
    <t>BD552764</t>
  </si>
  <si>
    <t>BD302618</t>
  </si>
  <si>
    <t>BD557315</t>
  </si>
  <si>
    <t>BD201528</t>
  </si>
  <si>
    <t>BD609033</t>
  </si>
  <si>
    <t>BD107855</t>
  </si>
  <si>
    <t>BD404730</t>
  </si>
  <si>
    <t>BD457218</t>
  </si>
  <si>
    <t>BD508131</t>
  </si>
  <si>
    <t>BD400134</t>
  </si>
  <si>
    <t>BD201345</t>
  </si>
  <si>
    <t>BD507633</t>
  </si>
  <si>
    <t>BD302947</t>
  </si>
  <si>
    <t>BD201533</t>
  </si>
  <si>
    <t>BD609135</t>
  </si>
  <si>
    <t>BD203029</t>
  </si>
  <si>
    <t>BD552738</t>
  </si>
  <si>
    <t>BD456120</t>
  </si>
  <si>
    <t>BD553221</t>
  </si>
  <si>
    <t>BD203041</t>
  </si>
  <si>
    <t>BD501040</t>
  </si>
  <si>
    <t>BD456122</t>
  </si>
  <si>
    <t>BD553224</t>
  </si>
  <si>
    <t>BD558527</t>
  </si>
  <si>
    <t>BD405747</t>
  </si>
  <si>
    <t>BD456123</t>
  </si>
  <si>
    <t>BD100632</t>
  </si>
  <si>
    <t>BD305924</t>
  </si>
  <si>
    <t>BD303330</t>
  </si>
  <si>
    <t>BD302624</t>
  </si>
  <si>
    <t>BD309328</t>
  </si>
  <si>
    <t>BD305622</t>
  </si>
  <si>
    <t>BD552743</t>
  </si>
  <si>
    <t>BD308229</t>
  </si>
  <si>
    <t>BD553230</t>
  </si>
  <si>
    <t>BD508134</t>
  </si>
  <si>
    <t>BD609138</t>
  </si>
  <si>
    <t>BD507037</t>
  </si>
  <si>
    <t>BD303532</t>
  </si>
  <si>
    <t>BD309338</t>
  </si>
  <si>
    <t>BD308636</t>
  </si>
  <si>
    <t>BD609141</t>
  </si>
  <si>
    <t>BD302626</t>
  </si>
  <si>
    <t>BD506941</t>
  </si>
  <si>
    <t>BD603644</t>
  </si>
  <si>
    <t>BD201347</t>
  </si>
  <si>
    <t>BD201349</t>
  </si>
  <si>
    <t>BD552747</t>
  </si>
  <si>
    <t>BD201535</t>
  </si>
  <si>
    <t>BD456124</t>
  </si>
  <si>
    <t>BD404414</t>
  </si>
  <si>
    <t>BD559451</t>
  </si>
  <si>
    <t>BD305628</t>
  </si>
  <si>
    <t>BD201537</t>
  </si>
  <si>
    <t>BD555233</t>
  </si>
  <si>
    <t>BD207536</t>
  </si>
  <si>
    <t>BD302628</t>
  </si>
  <si>
    <t>BD100636</t>
  </si>
  <si>
    <t>BD201954</t>
  </si>
  <si>
    <t>BD304827</t>
  </si>
  <si>
    <t>BD507639</t>
  </si>
  <si>
    <t>BD456131</t>
  </si>
  <si>
    <t>BD453929</t>
  </si>
  <si>
    <t>BD304833</t>
  </si>
  <si>
    <t>BD609047</t>
  </si>
  <si>
    <t>BD609153</t>
  </si>
  <si>
    <t>BD557336</t>
  </si>
  <si>
    <t>BD609050</t>
  </si>
  <si>
    <t>BD453936</t>
  </si>
  <si>
    <t>BD302629</t>
  </si>
  <si>
    <t>BD104240</t>
  </si>
  <si>
    <t>BD404419</t>
  </si>
  <si>
    <t>BD458937</t>
  </si>
  <si>
    <t>BD404123</t>
  </si>
  <si>
    <t>BD401855</t>
  </si>
  <si>
    <t>BD503847</t>
  </si>
  <si>
    <t>BD208447</t>
  </si>
  <si>
    <t>BD605835</t>
  </si>
  <si>
    <t>BD207547</t>
  </si>
  <si>
    <t>BD201358</t>
  </si>
  <si>
    <t>BD400138</t>
  </si>
  <si>
    <t>BD302632</t>
  </si>
  <si>
    <t>BD302630</t>
  </si>
  <si>
    <t>BD501054</t>
  </si>
  <si>
    <t>BD552756</t>
  </si>
  <si>
    <t>BD107866</t>
  </si>
  <si>
    <t>BD302633</t>
  </si>
  <si>
    <t>BD503858</t>
  </si>
  <si>
    <t>BD408743</t>
  </si>
  <si>
    <t>BD406528</t>
  </si>
  <si>
    <t>BD303332</t>
  </si>
  <si>
    <t>BD303334</t>
  </si>
  <si>
    <t>BD404433</t>
  </si>
  <si>
    <t>BD408747</t>
  </si>
  <si>
    <t>BD555239</t>
  </si>
  <si>
    <t>BD309347</t>
  </si>
  <si>
    <t>BD305440</t>
  </si>
  <si>
    <t>BD457240</t>
  </si>
  <si>
    <t>BD308247</t>
  </si>
  <si>
    <t>BD605856</t>
  </si>
  <si>
    <t>BD205133</t>
  </si>
  <si>
    <t>BD508844</t>
  </si>
  <si>
    <t>BD302634</t>
  </si>
  <si>
    <t>BD609159</t>
  </si>
  <si>
    <t>BD104243</t>
  </si>
  <si>
    <t>BD303336</t>
  </si>
  <si>
    <t>BD208436</t>
  </si>
  <si>
    <t>BD304842</t>
  </si>
  <si>
    <t>BD201263</t>
  </si>
  <si>
    <t>BD303543</t>
  </si>
  <si>
    <t>BD304845</t>
  </si>
  <si>
    <t>BD558542</t>
  </si>
  <si>
    <t>BD107947</t>
  </si>
  <si>
    <t>BD208425</t>
  </si>
  <si>
    <t>BD508850</t>
  </si>
  <si>
    <t>BD457247</t>
  </si>
  <si>
    <t>BD302638</t>
  </si>
  <si>
    <t>BD404138</t>
  </si>
  <si>
    <t>BD204649</t>
  </si>
  <si>
    <t>BD457238</t>
  </si>
  <si>
    <t>BD404745</t>
  </si>
  <si>
    <t>BD404748</t>
  </si>
  <si>
    <t>BD552760</t>
  </si>
  <si>
    <t>BD503861</t>
  </si>
  <si>
    <t>BD302636</t>
  </si>
  <si>
    <t>BD302637</t>
  </si>
  <si>
    <t>BD405063</t>
  </si>
  <si>
    <t>BD404751</t>
  </si>
  <si>
    <t>BD201543</t>
  </si>
  <si>
    <t>BD557345</t>
  </si>
  <si>
    <t>BD304849</t>
  </si>
  <si>
    <t>BD303551</t>
  </si>
  <si>
    <t>BD404442</t>
  </si>
  <si>
    <t>BD201541</t>
  </si>
  <si>
    <t>BD302640</t>
  </si>
  <si>
    <t>BD404147</t>
  </si>
  <si>
    <t>BD404753</t>
  </si>
  <si>
    <t>BD605865</t>
  </si>
  <si>
    <t>BD304854</t>
  </si>
  <si>
    <t>BD405071</t>
  </si>
  <si>
    <t>BD554952</t>
  </si>
  <si>
    <t>BD405079</t>
  </si>
  <si>
    <t>BD202245</t>
  </si>
  <si>
    <t>BD603668</t>
  </si>
  <si>
    <t>BD201972</t>
  </si>
  <si>
    <t>BD204661</t>
  </si>
  <si>
    <t>BD205143</t>
  </si>
  <si>
    <t>BD302642</t>
  </si>
  <si>
    <t>BD100954</t>
  </si>
  <si>
    <t>BD555255</t>
  </si>
  <si>
    <t>BD506944</t>
  </si>
  <si>
    <t>BD200351</t>
  </si>
  <si>
    <t>BD208458</t>
  </si>
  <si>
    <t>BD201547</t>
  </si>
  <si>
    <t>BD406552</t>
  </si>
  <si>
    <t>BD305944</t>
  </si>
  <si>
    <t>BD457256</t>
  </si>
  <si>
    <t>BD453958</t>
  </si>
  <si>
    <t>BD305454</t>
  </si>
  <si>
    <t>BD603671</t>
  </si>
  <si>
    <t>BD302956</t>
  </si>
  <si>
    <t>BD309357</t>
  </si>
  <si>
    <t>BD405557</t>
  </si>
  <si>
    <t>BD506450</t>
  </si>
  <si>
    <t>BD204665</t>
  </si>
  <si>
    <t>BD202249</t>
  </si>
  <si>
    <t>BD404471</t>
  </si>
  <si>
    <t>BD506447</t>
  </si>
  <si>
    <t>BD204667</t>
  </si>
  <si>
    <t>BD305646</t>
  </si>
  <si>
    <t>BD404161</t>
  </si>
  <si>
    <t>BD306852</t>
  </si>
  <si>
    <t>BD201974</t>
  </si>
  <si>
    <t>BD100965</t>
  </si>
  <si>
    <t>BD107958</t>
  </si>
  <si>
    <t>BD508140</t>
  </si>
  <si>
    <t>BD204670</t>
  </si>
  <si>
    <t>BD201376</t>
  </si>
  <si>
    <t>BD201379</t>
  </si>
  <si>
    <t>BD605874</t>
  </si>
  <si>
    <t>BD201975</t>
  </si>
  <si>
    <t>BD100662</t>
  </si>
  <si>
    <t>BD405787</t>
  </si>
  <si>
    <t>BD453961</t>
  </si>
  <si>
    <t>BD302648</t>
  </si>
  <si>
    <t>BD405094</t>
  </si>
  <si>
    <t>BD201553</t>
  </si>
  <si>
    <t>BD107876</t>
  </si>
  <si>
    <t>BD309366</t>
  </si>
  <si>
    <t>BD558558</t>
  </si>
  <si>
    <t>BD304859</t>
  </si>
  <si>
    <t>BD302650</t>
  </si>
  <si>
    <t>BD405566</t>
  </si>
  <si>
    <t>BD457263</t>
  </si>
  <si>
    <t>BD508153</t>
  </si>
  <si>
    <t>BD400156</t>
  </si>
  <si>
    <t>BD400158</t>
  </si>
  <si>
    <t>BD400160</t>
  </si>
  <si>
    <t>BD302654</t>
  </si>
  <si>
    <t>BD405760</t>
  </si>
  <si>
    <t>BD303558</t>
  </si>
  <si>
    <t>BD456165</t>
  </si>
  <si>
    <t>BD100669</t>
  </si>
  <si>
    <t>BD305956</t>
  </si>
  <si>
    <t>BD201981</t>
  </si>
  <si>
    <t>BD456152</t>
  </si>
  <si>
    <t>BD603677</t>
  </si>
  <si>
    <t>BD201285</t>
  </si>
  <si>
    <t>BD507056</t>
  </si>
  <si>
    <t>BD302962</t>
  </si>
  <si>
    <t>BD309376</t>
  </si>
  <si>
    <t>BD554961</t>
  </si>
  <si>
    <t>BD200373</t>
  </si>
  <si>
    <t>BD458967</t>
  </si>
  <si>
    <t>BD104273</t>
  </si>
  <si>
    <t>BD458970</t>
  </si>
  <si>
    <t>BD456172</t>
  </si>
  <si>
    <t>BD501067</t>
  </si>
  <si>
    <t>BD201987</t>
  </si>
  <si>
    <t>BD208475</t>
  </si>
  <si>
    <t>BD506460</t>
  </si>
  <si>
    <t>BD406576</t>
  </si>
  <si>
    <t>BD306758</t>
  </si>
  <si>
    <t>BD308665</t>
  </si>
  <si>
    <t>BD306860</t>
  </si>
  <si>
    <t>BD201290</t>
  </si>
  <si>
    <t>BD506963</t>
  </si>
  <si>
    <t>BD302662</t>
  </si>
  <si>
    <t>BD552769</t>
  </si>
  <si>
    <t>BD507066</t>
  </si>
  <si>
    <t>BD107976</t>
  </si>
  <si>
    <t>BD107987</t>
  </si>
  <si>
    <t>BD457274</t>
  </si>
  <si>
    <t>BD302663</t>
  </si>
  <si>
    <t>BD506469</t>
  </si>
  <si>
    <t>BD304876</t>
  </si>
  <si>
    <t>BD557364</t>
  </si>
  <si>
    <t>BD207587</t>
  </si>
  <si>
    <t>BD508172</t>
  </si>
  <si>
    <t>BD507655</t>
  </si>
  <si>
    <t>BD201555</t>
  </si>
  <si>
    <t>BD404764</t>
  </si>
  <si>
    <t>BD304879</t>
  </si>
  <si>
    <t>BD306863</t>
  </si>
  <si>
    <t>BD553267</t>
  </si>
  <si>
    <t>BD302664</t>
  </si>
  <si>
    <t>BD302665</t>
  </si>
  <si>
    <t>BD557773</t>
  </si>
  <si>
    <t>BD503874</t>
  </si>
  <si>
    <t>BD204677</t>
  </si>
  <si>
    <t>BD201557</t>
  </si>
  <si>
    <t>BD308273</t>
  </si>
  <si>
    <t>BD552777</t>
  </si>
  <si>
    <t>BD203051</t>
  </si>
  <si>
    <t>BD201565</t>
  </si>
  <si>
    <t>BD555270</t>
  </si>
  <si>
    <t>BD100485</t>
  </si>
  <si>
    <t>BD201561</t>
  </si>
  <si>
    <t>BD506475</t>
  </si>
  <si>
    <t>BD107895</t>
  </si>
  <si>
    <t>BD202256</t>
  </si>
  <si>
    <t>BD554918</t>
  </si>
  <si>
    <t>BD456181</t>
  </si>
  <si>
    <t>BD404769</t>
  </si>
  <si>
    <t>BD558573</t>
  </si>
  <si>
    <t>BD558576</t>
  </si>
  <si>
    <t>BD559482</t>
  </si>
  <si>
    <t>BD107980</t>
  </si>
  <si>
    <t>BD506479</t>
  </si>
  <si>
    <t>BD457283</t>
  </si>
  <si>
    <t>BD508182</t>
  </si>
  <si>
    <t>BD104284</t>
  </si>
  <si>
    <t>BD554977</t>
  </si>
  <si>
    <t>BD208478</t>
  </si>
  <si>
    <t>BD308276</t>
  </si>
  <si>
    <t>BD605880</t>
  </si>
  <si>
    <t>BD305480</t>
  </si>
  <si>
    <t>BD508185</t>
  </si>
  <si>
    <t>BD205165</t>
  </si>
  <si>
    <t>BD204680</t>
  </si>
  <si>
    <t>BD205173</t>
  </si>
  <si>
    <t>BD302666</t>
  </si>
  <si>
    <t>BD400173</t>
  </si>
  <si>
    <t>BD302667</t>
  </si>
  <si>
    <t>BD202266</t>
  </si>
  <si>
    <t>BD208487</t>
  </si>
  <si>
    <t>BD558549</t>
  </si>
  <si>
    <t>BD201570</t>
  </si>
  <si>
    <t>BD506485</t>
  </si>
  <si>
    <t>BD559486</t>
  </si>
  <si>
    <t>BD201574</t>
  </si>
  <si>
    <t>BD554979</t>
  </si>
  <si>
    <t>BD200389</t>
  </si>
  <si>
    <t>BD508861</t>
  </si>
  <si>
    <t>BD205158</t>
  </si>
  <si>
    <t>BD306864</t>
  </si>
  <si>
    <t>BD200391</t>
  </si>
  <si>
    <t>BD306768</t>
  </si>
  <si>
    <t>BD404775</t>
  </si>
  <si>
    <t>BD302668</t>
  </si>
  <si>
    <t>BD302984</t>
  </si>
  <si>
    <t>BD553282</t>
  </si>
  <si>
    <t>BD553288</t>
  </si>
  <si>
    <t>BD557385</t>
  </si>
  <si>
    <t>BD309385</t>
  </si>
  <si>
    <t>BD302990</t>
  </si>
  <si>
    <t>BD201578</t>
  </si>
  <si>
    <t>BD507672</t>
  </si>
  <si>
    <t>BD506486</t>
  </si>
  <si>
    <t>BD201294</t>
  </si>
  <si>
    <t>BD400177</t>
  </si>
  <si>
    <t>BD501081</t>
  </si>
  <si>
    <t>BD453985</t>
  </si>
  <si>
    <t>BD201582</t>
  </si>
  <si>
    <t>BD408782</t>
  </si>
  <si>
    <t>BD305670</t>
  </si>
  <si>
    <t>BD302672</t>
  </si>
  <si>
    <t>BD207580</t>
  </si>
  <si>
    <t>BD305974</t>
  </si>
  <si>
    <t>BD302674</t>
  </si>
  <si>
    <t>BD508190</t>
  </si>
  <si>
    <t>BD302675</t>
  </si>
  <si>
    <t>BD508867</t>
  </si>
  <si>
    <t>BD201395</t>
  </si>
  <si>
    <t>BD404480</t>
  </si>
  <si>
    <t>BD501085</t>
  </si>
  <si>
    <t>BD405585</t>
  </si>
  <si>
    <t>BD308669</t>
  </si>
  <si>
    <t>BD404190</t>
  </si>
  <si>
    <t>BD302680</t>
  </si>
  <si>
    <t>BD501088</t>
  </si>
  <si>
    <t>BD458988</t>
  </si>
  <si>
    <t>BD305487</t>
  </si>
  <si>
    <t>BD305678</t>
  </si>
  <si>
    <t>BD501094</t>
  </si>
  <si>
    <t>BD507088</t>
  </si>
  <si>
    <t>BD306876</t>
  </si>
  <si>
    <t>BD302676</t>
  </si>
  <si>
    <t>BD305682</t>
  </si>
  <si>
    <t>BD506991</t>
  </si>
  <si>
    <t>BD508878</t>
  </si>
  <si>
    <t>BD201586</t>
  </si>
  <si>
    <t>BD404785</t>
  </si>
  <si>
    <t>BD203094</t>
  </si>
  <si>
    <t>BD207583</t>
  </si>
  <si>
    <t>BD306704</t>
  </si>
  <si>
    <t>BD501095</t>
  </si>
  <si>
    <t>BD458990</t>
  </si>
  <si>
    <t>BD605883</t>
  </si>
  <si>
    <t>BD305984</t>
  </si>
  <si>
    <t>BD303386</t>
  </si>
  <si>
    <t>BD405595</t>
  </si>
  <si>
    <t>BD207585</t>
  </si>
  <si>
    <t>BD507683</t>
  </si>
  <si>
    <t>BD609086</t>
  </si>
  <si>
    <t>BD609089</t>
  </si>
  <si>
    <t>BD553291</t>
  </si>
  <si>
    <t>BD302688</t>
  </si>
  <si>
    <t>BD609162</t>
  </si>
  <si>
    <t>BD609092</t>
  </si>
  <si>
    <t>BD408790</t>
  </si>
  <si>
    <t>BD309395</t>
  </si>
  <si>
    <t>BD508194</t>
  </si>
  <si>
    <t>BD558592</t>
  </si>
  <si>
    <t>BD304892</t>
  </si>
  <si>
    <t>BD508889</t>
  </si>
  <si>
    <t>BD100991</t>
  </si>
  <si>
    <t>BD302690</t>
  </si>
  <si>
    <t>BD302692</t>
  </si>
  <si>
    <t>BD202290</t>
  </si>
  <si>
    <t>BD557790</t>
  </si>
  <si>
    <t>BD404794</t>
  </si>
  <si>
    <t>BD559494</t>
  </si>
  <si>
    <t>BD200395</t>
  </si>
  <si>
    <t>BD201994</t>
  </si>
  <si>
    <t>BD305994</t>
  </si>
  <si>
    <t>BD456194</t>
  </si>
  <si>
    <t>BD303591</t>
  </si>
  <si>
    <t>BD302693</t>
  </si>
  <si>
    <t>BD202294</t>
  </si>
  <si>
    <t>BD554994</t>
  </si>
  <si>
    <t>BD508894</t>
  </si>
  <si>
    <t>BD302696</t>
  </si>
  <si>
    <t>BD302695</t>
  </si>
  <si>
    <t>BD100694</t>
  </si>
  <si>
    <t>BD609194</t>
  </si>
  <si>
    <t>BD308694</t>
  </si>
  <si>
    <t>BD107990</t>
  </si>
  <si>
    <t>BD100409</t>
  </si>
  <si>
    <t>BD408786</t>
  </si>
  <si>
    <t>BD107857</t>
  </si>
  <si>
    <t>ADM3_PCODE</t>
  </si>
  <si>
    <t>District</t>
  </si>
  <si>
    <t>P Code</t>
  </si>
  <si>
    <t>Wind Gust</t>
  </si>
  <si>
    <t>Rainfall</t>
  </si>
  <si>
    <t>Storm Surge</t>
  </si>
  <si>
    <t>Amtali</t>
  </si>
  <si>
    <t>Barguna</t>
  </si>
  <si>
    <t>Bamna</t>
  </si>
  <si>
    <t>Barguna Sadar</t>
  </si>
  <si>
    <t>Betagi</t>
  </si>
  <si>
    <t>Patharghata</t>
  </si>
  <si>
    <t>Agailjhara</t>
  </si>
  <si>
    <t>Barisal</t>
  </si>
  <si>
    <t>Babuganj</t>
  </si>
  <si>
    <t>Bakerganj</t>
  </si>
  <si>
    <t>Banari Para</t>
  </si>
  <si>
    <t>Gaurnadi</t>
  </si>
  <si>
    <t>Hizla</t>
  </si>
  <si>
    <t>Mehendiganj</t>
  </si>
  <si>
    <t>Muladi</t>
  </si>
  <si>
    <t>Wazirpur</t>
  </si>
  <si>
    <t>Bhola Sadar</t>
  </si>
  <si>
    <t>Bhola</t>
  </si>
  <si>
    <t>Burhanuddin</t>
  </si>
  <si>
    <t>Char Fasson</t>
  </si>
  <si>
    <t>Lalmohan</t>
  </si>
  <si>
    <t>Manpura</t>
  </si>
  <si>
    <t>Tazumuddin</t>
  </si>
  <si>
    <t>Jhalokati Sadar</t>
  </si>
  <si>
    <t>Jhalokati</t>
  </si>
  <si>
    <t>Kanthalia</t>
  </si>
  <si>
    <t>Nalchity</t>
  </si>
  <si>
    <t>Rajapur</t>
  </si>
  <si>
    <t>Bauphal</t>
  </si>
  <si>
    <t>Patuakhali</t>
  </si>
  <si>
    <t>Dashmina</t>
  </si>
  <si>
    <t>Dumki</t>
  </si>
  <si>
    <t>Galachipa</t>
  </si>
  <si>
    <t>Kala Para</t>
  </si>
  <si>
    <t>Mirzaganj</t>
  </si>
  <si>
    <t>Patuakhali Sadar</t>
  </si>
  <si>
    <t>Bhandaria</t>
  </si>
  <si>
    <t>Pirojpur</t>
  </si>
  <si>
    <t>Kawkhali</t>
  </si>
  <si>
    <t>Mathbaria</t>
  </si>
  <si>
    <t>Nazirpur</t>
  </si>
  <si>
    <t>Pirojpur Sadar</t>
  </si>
  <si>
    <t>Zianagar</t>
  </si>
  <si>
    <t>Alikadam</t>
  </si>
  <si>
    <t>Bandarban</t>
  </si>
  <si>
    <t>Bandarban Sadar</t>
  </si>
  <si>
    <t>Lama</t>
  </si>
  <si>
    <t>Naikhongchhari</t>
  </si>
  <si>
    <t>Rowangchhari</t>
  </si>
  <si>
    <t>Ruma</t>
  </si>
  <si>
    <t>Thanchi</t>
  </si>
  <si>
    <t>Akhaura</t>
  </si>
  <si>
    <t>Banchharampur</t>
  </si>
  <si>
    <t>Brahmanbaria Sadar</t>
  </si>
  <si>
    <t>Ashuganj</t>
  </si>
  <si>
    <t>Kasba</t>
  </si>
  <si>
    <t>Nabinagar</t>
  </si>
  <si>
    <t>Nasirnagar</t>
  </si>
  <si>
    <t>Sarail</t>
  </si>
  <si>
    <t>Chandpur Sadar</t>
  </si>
  <si>
    <t>Chandpur</t>
  </si>
  <si>
    <t>Faridganj</t>
  </si>
  <si>
    <t>Haim Char</t>
  </si>
  <si>
    <t>Hajiganj</t>
  </si>
  <si>
    <t>Matlab Dakshin</t>
  </si>
  <si>
    <t>Shahrasti</t>
  </si>
  <si>
    <t>Anowara</t>
  </si>
  <si>
    <t>Bayejid Bostami</t>
  </si>
  <si>
    <t>Banshkhali</t>
  </si>
  <si>
    <t>Bakalia</t>
  </si>
  <si>
    <t>Boalkhali</t>
  </si>
  <si>
    <t>Chandanaish</t>
  </si>
  <si>
    <t>Chandgaon</t>
  </si>
  <si>
    <t>Chittagong Port</t>
  </si>
  <si>
    <t>Double Mooring</t>
  </si>
  <si>
    <t>Fatikchhari</t>
  </si>
  <si>
    <t>Halishahar</t>
  </si>
  <si>
    <t>Hathazari</t>
  </si>
  <si>
    <t>Khulshi</t>
  </si>
  <si>
    <t>Mirsharai</t>
  </si>
  <si>
    <t>Pahartali</t>
  </si>
  <si>
    <t>Panchlaish</t>
  </si>
  <si>
    <t>Patiya</t>
  </si>
  <si>
    <t>Patenga</t>
  </si>
  <si>
    <t>Rangunia</t>
  </si>
  <si>
    <t>Raozan</t>
  </si>
  <si>
    <t>Sandwip</t>
  </si>
  <si>
    <t>Satkania</t>
  </si>
  <si>
    <t>Sitakunda</t>
  </si>
  <si>
    <t>Barura</t>
  </si>
  <si>
    <t>Brahman Para</t>
  </si>
  <si>
    <t>Burichang</t>
  </si>
  <si>
    <t>Chandina</t>
  </si>
  <si>
    <t>Chauddagram</t>
  </si>
  <si>
    <t>Comilla Sadar Dakshin</t>
  </si>
  <si>
    <t>Daudkandi</t>
  </si>
  <si>
    <t>Debidwar</t>
  </si>
  <si>
    <t>Homna</t>
  </si>
  <si>
    <t>Comilla Adarsha Sadar</t>
  </si>
  <si>
    <t>Laksam</t>
  </si>
  <si>
    <t>Manoharganj</t>
  </si>
  <si>
    <t>Meghna</t>
  </si>
  <si>
    <t>Muradnagar</t>
  </si>
  <si>
    <t>Nangalkot</t>
  </si>
  <si>
    <t>Titas</t>
  </si>
  <si>
    <t>Chakaria</t>
  </si>
  <si>
    <t>Cox's Bazar</t>
  </si>
  <si>
    <t>Cox's Bazar Sadar</t>
  </si>
  <si>
    <t>Kutubdia</t>
  </si>
  <si>
    <t>Maheshkhali</t>
  </si>
  <si>
    <t>Pekua</t>
  </si>
  <si>
    <t>Ramu</t>
  </si>
  <si>
    <t>Teknaf</t>
  </si>
  <si>
    <t>Ukhia</t>
  </si>
  <si>
    <t>Chhagalnaiya</t>
  </si>
  <si>
    <t>Feni</t>
  </si>
  <si>
    <t>Daganbhuiyan</t>
  </si>
  <si>
    <t>Feni Sadar</t>
  </si>
  <si>
    <t>Fulgazi</t>
  </si>
  <si>
    <t>Parshuram</t>
  </si>
  <si>
    <t>Sonagazi</t>
  </si>
  <si>
    <t>Dighinala</t>
  </si>
  <si>
    <t>Khagrachhari</t>
  </si>
  <si>
    <t>Khagrachhari Sadar</t>
  </si>
  <si>
    <t>Lakshmichhari</t>
  </si>
  <si>
    <t>Mahalchhari</t>
  </si>
  <si>
    <t>Manikchhari</t>
  </si>
  <si>
    <t>Matiranga</t>
  </si>
  <si>
    <t>Panchhari</t>
  </si>
  <si>
    <t>Ramgarh</t>
  </si>
  <si>
    <t>Kamalnagar</t>
  </si>
  <si>
    <t>Lakshmipur</t>
  </si>
  <si>
    <t>Lakshmipur Sadar</t>
  </si>
  <si>
    <t>Roypur</t>
  </si>
  <si>
    <t>Ramganj</t>
  </si>
  <si>
    <t>Ramgati</t>
  </si>
  <si>
    <t>Begumganj</t>
  </si>
  <si>
    <t>Noakhali</t>
  </si>
  <si>
    <t>Chatkhil</t>
  </si>
  <si>
    <t>Hatiya</t>
  </si>
  <si>
    <t>Kabirhat</t>
  </si>
  <si>
    <t>Senbagh</t>
  </si>
  <si>
    <t>Sonaimuri</t>
  </si>
  <si>
    <t>Subarnachar</t>
  </si>
  <si>
    <t>Baghai Chhari</t>
  </si>
  <si>
    <t>Rangamati</t>
  </si>
  <si>
    <t>Barkal</t>
  </si>
  <si>
    <t>Belai Chhari</t>
  </si>
  <si>
    <t>Kaptai</t>
  </si>
  <si>
    <t>Jurai Chhari</t>
  </si>
  <si>
    <t>Langadu</t>
  </si>
  <si>
    <t>Naniarchar</t>
  </si>
  <si>
    <t>Rajasthali</t>
  </si>
  <si>
    <t>Rangamati Sadar</t>
  </si>
  <si>
    <t>Adabor</t>
  </si>
  <si>
    <t>Dhaka</t>
  </si>
  <si>
    <t>Badda</t>
  </si>
  <si>
    <t>Bangshal</t>
  </si>
  <si>
    <t>Cantonment</t>
  </si>
  <si>
    <t>Dakshinkhan</t>
  </si>
  <si>
    <t>Darus Salam</t>
  </si>
  <si>
    <t>Demra</t>
  </si>
  <si>
    <t>Dhamrai</t>
  </si>
  <si>
    <t>Dhanmondi</t>
  </si>
  <si>
    <t>Dohar</t>
  </si>
  <si>
    <t>Gendaria</t>
  </si>
  <si>
    <t>Gulshan</t>
  </si>
  <si>
    <t>Hazaribagh</t>
  </si>
  <si>
    <t>Jatrabari</t>
  </si>
  <si>
    <t>Kafrul</t>
  </si>
  <si>
    <t>Kadamtali</t>
  </si>
  <si>
    <t>Kalabagan</t>
  </si>
  <si>
    <t>Kamrangir Char</t>
  </si>
  <si>
    <t>Khilgaon</t>
  </si>
  <si>
    <t>Khilkhet</t>
  </si>
  <si>
    <t>Keraniganj</t>
  </si>
  <si>
    <t>Lalbagh</t>
  </si>
  <si>
    <t>Motijheel</t>
  </si>
  <si>
    <t>Nawabganj</t>
  </si>
  <si>
    <t>New Market</t>
  </si>
  <si>
    <t>Pallabi</t>
  </si>
  <si>
    <t>Paltan</t>
  </si>
  <si>
    <t>Ramna</t>
  </si>
  <si>
    <t>Rampura</t>
  </si>
  <si>
    <t>Sabujbagh</t>
  </si>
  <si>
    <t>Savar</t>
  </si>
  <si>
    <t>Shah Ali</t>
  </si>
  <si>
    <t>Shahbagh</t>
  </si>
  <si>
    <t>Shyampur</t>
  </si>
  <si>
    <t>Sutrapur</t>
  </si>
  <si>
    <t>Tejgaon</t>
  </si>
  <si>
    <t>Tejgaon Ind. Area</t>
  </si>
  <si>
    <t>Turag</t>
  </si>
  <si>
    <t>Uttara</t>
  </si>
  <si>
    <t>Uttar Khan</t>
  </si>
  <si>
    <t>Alfadanga</t>
  </si>
  <si>
    <t>Faridpur</t>
  </si>
  <si>
    <t>Bhanga</t>
  </si>
  <si>
    <t>Boalmari</t>
  </si>
  <si>
    <t>Char Bhadrasan</t>
  </si>
  <si>
    <t>Faridpur Sadar</t>
  </si>
  <si>
    <t>Madhukhali</t>
  </si>
  <si>
    <t>Nagarkanda</t>
  </si>
  <si>
    <t>Sadarpur</t>
  </si>
  <si>
    <t>Saltha</t>
  </si>
  <si>
    <t>Gazipur Sadar</t>
  </si>
  <si>
    <t>Gazipur</t>
  </si>
  <si>
    <t>Kaliakair</t>
  </si>
  <si>
    <t>Kapasia</t>
  </si>
  <si>
    <t>Gopalganj Sadar</t>
  </si>
  <si>
    <t>Gopalganj</t>
  </si>
  <si>
    <t>Kashiani</t>
  </si>
  <si>
    <t>Muksudpur</t>
  </si>
  <si>
    <t>Austagram</t>
  </si>
  <si>
    <t>Kishoreganj</t>
  </si>
  <si>
    <t>Bajitpur</t>
  </si>
  <si>
    <t>Bhairab</t>
  </si>
  <si>
    <t>Hossainpur</t>
  </si>
  <si>
    <t>Itna</t>
  </si>
  <si>
    <t>Karimganj</t>
  </si>
  <si>
    <t>Katiadi</t>
  </si>
  <si>
    <t>Kishoreganj Sadar</t>
  </si>
  <si>
    <t>Kuliar Char</t>
  </si>
  <si>
    <t>Mithamain</t>
  </si>
  <si>
    <t>Nikli</t>
  </si>
  <si>
    <t>Pakundia</t>
  </si>
  <si>
    <t>Tarail</t>
  </si>
  <si>
    <t>Kalkini</t>
  </si>
  <si>
    <t>Madaripur</t>
  </si>
  <si>
    <t>Madaripur Sadar</t>
  </si>
  <si>
    <t>Rajoir</t>
  </si>
  <si>
    <t>Shib Char</t>
  </si>
  <si>
    <t>Manikganj</t>
  </si>
  <si>
    <t>Ghior</t>
  </si>
  <si>
    <t>Harirampur</t>
  </si>
  <si>
    <t>Manikganj Sadar</t>
  </si>
  <si>
    <t>Saturia</t>
  </si>
  <si>
    <t>Shibalaya</t>
  </si>
  <si>
    <t>Singair</t>
  </si>
  <si>
    <t>Gazaria</t>
  </si>
  <si>
    <t>Munshiganj</t>
  </si>
  <si>
    <t>Lohajang</t>
  </si>
  <si>
    <t>Munshiganj Sadar</t>
  </si>
  <si>
    <t>Serajdikhan</t>
  </si>
  <si>
    <t>Sreenagar</t>
  </si>
  <si>
    <t>Tongibari</t>
  </si>
  <si>
    <t>Araihazar</t>
  </si>
  <si>
    <t>Narayanganj</t>
  </si>
  <si>
    <t>Sonargaon</t>
  </si>
  <si>
    <t>Bandar</t>
  </si>
  <si>
    <t>Narayanganj Sadar</t>
  </si>
  <si>
    <t>Rupganj</t>
  </si>
  <si>
    <t>Belabo</t>
  </si>
  <si>
    <t>Narsingdi</t>
  </si>
  <si>
    <t>Manohardi</t>
  </si>
  <si>
    <t>Narsingdi Sadar</t>
  </si>
  <si>
    <t>Palash</t>
  </si>
  <si>
    <t>Roypura</t>
  </si>
  <si>
    <t>Shibpur</t>
  </si>
  <si>
    <t>Rajbari</t>
  </si>
  <si>
    <t>Kalukhali</t>
  </si>
  <si>
    <t>Pangsha</t>
  </si>
  <si>
    <t>Rajbari Sadar</t>
  </si>
  <si>
    <t>Bhedarganj</t>
  </si>
  <si>
    <t>Shariatpur</t>
  </si>
  <si>
    <t>Damudya</t>
  </si>
  <si>
    <t>Gosairhat</t>
  </si>
  <si>
    <t>Naria</t>
  </si>
  <si>
    <t>Shariatpur Sadar</t>
  </si>
  <si>
    <t>Zanjira</t>
  </si>
  <si>
    <t>Basail</t>
  </si>
  <si>
    <t>Tangail</t>
  </si>
  <si>
    <t>Bhuapur</t>
  </si>
  <si>
    <t>Delduar</t>
  </si>
  <si>
    <t>Dhanbari</t>
  </si>
  <si>
    <t>Ghatail</t>
  </si>
  <si>
    <t>Gopalpur</t>
  </si>
  <si>
    <t>Kalihati</t>
  </si>
  <si>
    <t>Madhupur</t>
  </si>
  <si>
    <t>Mirzapur</t>
  </si>
  <si>
    <t>Nagarpur</t>
  </si>
  <si>
    <t>Tangail Sadar</t>
  </si>
  <si>
    <t>Bagerhat Sadar</t>
  </si>
  <si>
    <t>Bagerhat</t>
  </si>
  <si>
    <t>Chitalmari</t>
  </si>
  <si>
    <t>Fakirhat</t>
  </si>
  <si>
    <t>Mollahat</t>
  </si>
  <si>
    <t>Mongla</t>
  </si>
  <si>
    <t>Morrelganj</t>
  </si>
  <si>
    <t>Rampal</t>
  </si>
  <si>
    <t>Sarankhola</t>
  </si>
  <si>
    <t>Alamdanga</t>
  </si>
  <si>
    <t>Chuadanga</t>
  </si>
  <si>
    <t>Chuadanga Sadar</t>
  </si>
  <si>
    <t>Damurhuda</t>
  </si>
  <si>
    <t>Jiban Nagar</t>
  </si>
  <si>
    <t>Abhaynagar</t>
  </si>
  <si>
    <t>Bagher Para</t>
  </si>
  <si>
    <t>Chaugachha</t>
  </si>
  <si>
    <t>Jhikargachha</t>
  </si>
  <si>
    <t>Keshabpur</t>
  </si>
  <si>
    <t>Manirampur</t>
  </si>
  <si>
    <t>Sharsha</t>
  </si>
  <si>
    <t>Harinakunda</t>
  </si>
  <si>
    <t>Jhenaidah</t>
  </si>
  <si>
    <t>Kotchandpur</t>
  </si>
  <si>
    <t>Maheshpur</t>
  </si>
  <si>
    <t>Shailkupa</t>
  </si>
  <si>
    <t>Batiaghata</t>
  </si>
  <si>
    <t>Khulna</t>
  </si>
  <si>
    <t>Dacope</t>
  </si>
  <si>
    <t>Dumuria</t>
  </si>
  <si>
    <t>Dighalia</t>
  </si>
  <si>
    <t>Khalishpur</t>
  </si>
  <si>
    <t>Khan Jahan Ali</t>
  </si>
  <si>
    <t>Khulna Sadar</t>
  </si>
  <si>
    <t>Koyra</t>
  </si>
  <si>
    <t>Paikgachha</t>
  </si>
  <si>
    <t>Phultala</t>
  </si>
  <si>
    <t>Rupsa</t>
  </si>
  <si>
    <t>Sonadanga</t>
  </si>
  <si>
    <t>Terokhada</t>
  </si>
  <si>
    <t>Bheramara</t>
  </si>
  <si>
    <t>Kushtia</t>
  </si>
  <si>
    <t>Khoksa</t>
  </si>
  <si>
    <t>Kumarkhali</t>
  </si>
  <si>
    <t>Kushtia Sadar</t>
  </si>
  <si>
    <t>Magura Sadar</t>
  </si>
  <si>
    <t>Magura</t>
  </si>
  <si>
    <t>Shalikha</t>
  </si>
  <si>
    <t>Gangni</t>
  </si>
  <si>
    <t>Meherpur</t>
  </si>
  <si>
    <t>Mujib Nagar</t>
  </si>
  <si>
    <t>Meherpur Sadar</t>
  </si>
  <si>
    <t>Kalia</t>
  </si>
  <si>
    <t>Narail</t>
  </si>
  <si>
    <t>Narail Sadar</t>
  </si>
  <si>
    <t>Assasuni</t>
  </si>
  <si>
    <t>Satkhira</t>
  </si>
  <si>
    <t>Debhata</t>
  </si>
  <si>
    <t>Kalaroa</t>
  </si>
  <si>
    <t>Satkhira Sadar</t>
  </si>
  <si>
    <t>Shyamnagar</t>
  </si>
  <si>
    <t>Tala</t>
  </si>
  <si>
    <t>Bakshiganj</t>
  </si>
  <si>
    <t>Jamalpur</t>
  </si>
  <si>
    <t>Dewanganj</t>
  </si>
  <si>
    <t>Islampur</t>
  </si>
  <si>
    <t>Jamalpur Sadar</t>
  </si>
  <si>
    <t>Madarganj</t>
  </si>
  <si>
    <t>Melandaha</t>
  </si>
  <si>
    <t>Sarishabari</t>
  </si>
  <si>
    <t>Bhaluka</t>
  </si>
  <si>
    <t>Mymensingh</t>
  </si>
  <si>
    <t>Dhobaura</t>
  </si>
  <si>
    <t>Fulbaria</t>
  </si>
  <si>
    <t>Gaffargaon</t>
  </si>
  <si>
    <t>Gauripur</t>
  </si>
  <si>
    <t>Haluaghat</t>
  </si>
  <si>
    <t>Ishwarganj</t>
  </si>
  <si>
    <t>Mymensingh Sadar</t>
  </si>
  <si>
    <t>Muktagachha</t>
  </si>
  <si>
    <t>Nandail</t>
  </si>
  <si>
    <t>Phulpur</t>
  </si>
  <si>
    <t>Trishal</t>
  </si>
  <si>
    <t>Atpara</t>
  </si>
  <si>
    <t>Netrakona</t>
  </si>
  <si>
    <t>Barhatta</t>
  </si>
  <si>
    <t>Khaliajuri</t>
  </si>
  <si>
    <t>Kalmakanda</t>
  </si>
  <si>
    <t>Kendua</t>
  </si>
  <si>
    <t>Madan</t>
  </si>
  <si>
    <t>Netrokona Sadar</t>
  </si>
  <si>
    <t>Purbadhala</t>
  </si>
  <si>
    <t>Jhenaigati</t>
  </si>
  <si>
    <t>Sherpur</t>
  </si>
  <si>
    <t>Nakla</t>
  </si>
  <si>
    <t>Nalitabari</t>
  </si>
  <si>
    <t>Sherpur Sadar</t>
  </si>
  <si>
    <t>Sreebardi</t>
  </si>
  <si>
    <t>Adamdighi</t>
  </si>
  <si>
    <t>Bogra Sadar</t>
  </si>
  <si>
    <t>Dhunat</t>
  </si>
  <si>
    <t>Dhupchanchia</t>
  </si>
  <si>
    <t>Gabtali</t>
  </si>
  <si>
    <t>Kahaloo</t>
  </si>
  <si>
    <t>Nandigram</t>
  </si>
  <si>
    <t>Sariakandi</t>
  </si>
  <si>
    <t>Shajahanpur</t>
  </si>
  <si>
    <t>Sonatola</t>
  </si>
  <si>
    <t>Akkelpur</t>
  </si>
  <si>
    <t>Joypurhat</t>
  </si>
  <si>
    <t>Joypurhat Sadar</t>
  </si>
  <si>
    <t>Kalai</t>
  </si>
  <si>
    <t>Khetlal</t>
  </si>
  <si>
    <t>Panchbibi</t>
  </si>
  <si>
    <t>Atrai</t>
  </si>
  <si>
    <t>Naogaon</t>
  </si>
  <si>
    <t>Badalgachhi</t>
  </si>
  <si>
    <t>Dhamoirhat</t>
  </si>
  <si>
    <t>Manda</t>
  </si>
  <si>
    <t>Mahadebpur</t>
  </si>
  <si>
    <t>Naogaon Sadar</t>
  </si>
  <si>
    <t>Niamatpur</t>
  </si>
  <si>
    <t>Patnitala</t>
  </si>
  <si>
    <t>Porsha</t>
  </si>
  <si>
    <t>Raninagar</t>
  </si>
  <si>
    <t>Sapahar</t>
  </si>
  <si>
    <t>Bagati Para</t>
  </si>
  <si>
    <t>Natore</t>
  </si>
  <si>
    <t>Baraigram</t>
  </si>
  <si>
    <t>Gurudaspur</t>
  </si>
  <si>
    <t>Lalpur</t>
  </si>
  <si>
    <t>Natore Sadar</t>
  </si>
  <si>
    <t>Singra</t>
  </si>
  <si>
    <t>Bholahat</t>
  </si>
  <si>
    <t>Gomastapur</t>
  </si>
  <si>
    <t>Nachole</t>
  </si>
  <si>
    <t>Atgharia</t>
  </si>
  <si>
    <t>Pabna</t>
  </si>
  <si>
    <t>Bera</t>
  </si>
  <si>
    <t>Bhangura</t>
  </si>
  <si>
    <t>Chatmohar</t>
  </si>
  <si>
    <t>Ishwardi</t>
  </si>
  <si>
    <t>Pabna Sadar</t>
  </si>
  <si>
    <t>Santhia</t>
  </si>
  <si>
    <t>Sujanagar</t>
  </si>
  <si>
    <t>Bagha</t>
  </si>
  <si>
    <t>Rajshahi</t>
  </si>
  <si>
    <t>Baghmara</t>
  </si>
  <si>
    <t>Boalia</t>
  </si>
  <si>
    <t>Charghat</t>
  </si>
  <si>
    <t>Godagari</t>
  </si>
  <si>
    <t>Matihar</t>
  </si>
  <si>
    <t>Mohanpur</t>
  </si>
  <si>
    <t>Paba</t>
  </si>
  <si>
    <t>Puthia</t>
  </si>
  <si>
    <t>Rajpara</t>
  </si>
  <si>
    <t>Shah Makhdum</t>
  </si>
  <si>
    <t>Tanore</t>
  </si>
  <si>
    <t>Belkuchi</t>
  </si>
  <si>
    <t>Sirajganj</t>
  </si>
  <si>
    <t>Chauhali</t>
  </si>
  <si>
    <t>Kamarkhanda</t>
  </si>
  <si>
    <t>Kazipur</t>
  </si>
  <si>
    <t>Royganj</t>
  </si>
  <si>
    <t>Shahjadpur</t>
  </si>
  <si>
    <t>Sirajganj Sadar</t>
  </si>
  <si>
    <t>Tarash</t>
  </si>
  <si>
    <t>Ullah Para</t>
  </si>
  <si>
    <t>Birampur</t>
  </si>
  <si>
    <t>Dinajpur</t>
  </si>
  <si>
    <t>Birganj</t>
  </si>
  <si>
    <t>Biral</t>
  </si>
  <si>
    <t>Bochaganj</t>
  </si>
  <si>
    <t>Chirirbandar</t>
  </si>
  <si>
    <t>Fulbari</t>
  </si>
  <si>
    <t>Ghoraghat</t>
  </si>
  <si>
    <t>Hakimpur</t>
  </si>
  <si>
    <t>Kaharole</t>
  </si>
  <si>
    <t>Khansama</t>
  </si>
  <si>
    <t>Dinajpur Sadar</t>
  </si>
  <si>
    <t>Parbatipur</t>
  </si>
  <si>
    <t>Fulchhari</t>
  </si>
  <si>
    <t>Gaibandha</t>
  </si>
  <si>
    <t>Gaibandha Sadar</t>
  </si>
  <si>
    <t>Gobindaganj</t>
  </si>
  <si>
    <t>Palashbari</t>
  </si>
  <si>
    <t>Sadullapur</t>
  </si>
  <si>
    <t>Saghatta</t>
  </si>
  <si>
    <t>Sundarganj</t>
  </si>
  <si>
    <t>Bhurungamari</t>
  </si>
  <si>
    <t>Kurigram</t>
  </si>
  <si>
    <t>Char Rajibpur</t>
  </si>
  <si>
    <t>Chilmari</t>
  </si>
  <si>
    <t>Phulbari</t>
  </si>
  <si>
    <t>Kurigram Sadar</t>
  </si>
  <si>
    <t>Nageshwari</t>
  </si>
  <si>
    <t>Rajarhat</t>
  </si>
  <si>
    <t>Raumari</t>
  </si>
  <si>
    <t>Ulipur</t>
  </si>
  <si>
    <t>Aditmari</t>
  </si>
  <si>
    <t>Lalmonirhat</t>
  </si>
  <si>
    <t>Hatibandha</t>
  </si>
  <si>
    <t>Lalmonirhat Sadar</t>
  </si>
  <si>
    <t>Patgram</t>
  </si>
  <si>
    <t>Dimla</t>
  </si>
  <si>
    <t>Nilphamari</t>
  </si>
  <si>
    <t>Domar</t>
  </si>
  <si>
    <t>Jaldhaka</t>
  </si>
  <si>
    <t>Nilphamari Sadar</t>
  </si>
  <si>
    <t>Saidpur</t>
  </si>
  <si>
    <t>Atwari</t>
  </si>
  <si>
    <t>Panchagarh</t>
  </si>
  <si>
    <t>Boda</t>
  </si>
  <si>
    <t>Debiganj</t>
  </si>
  <si>
    <t>Panchagarh Sadar</t>
  </si>
  <si>
    <t>Tentulia</t>
  </si>
  <si>
    <t>Badarganj</t>
  </si>
  <si>
    <t>Rangpur</t>
  </si>
  <si>
    <t>Gangachara</t>
  </si>
  <si>
    <t>Kaunia</t>
  </si>
  <si>
    <t>Rangpur Sadar</t>
  </si>
  <si>
    <t>Mitha Pukur</t>
  </si>
  <si>
    <t>Pirgachha</t>
  </si>
  <si>
    <t>Taraganj</t>
  </si>
  <si>
    <t>Baliadangi</t>
  </si>
  <si>
    <t>Thakurgaon</t>
  </si>
  <si>
    <t>Haripur</t>
  </si>
  <si>
    <t>Ranisankail</t>
  </si>
  <si>
    <t>Thakurgaon Sadar</t>
  </si>
  <si>
    <t>Ajmiriganj</t>
  </si>
  <si>
    <t>Habiganj</t>
  </si>
  <si>
    <t>Bahubal</t>
  </si>
  <si>
    <t>Baniachong</t>
  </si>
  <si>
    <t>Chunarughat</t>
  </si>
  <si>
    <t>Habiganj Sadar</t>
  </si>
  <si>
    <t>Lakhai</t>
  </si>
  <si>
    <t>Madhabpur</t>
  </si>
  <si>
    <t>Nabiganj</t>
  </si>
  <si>
    <t>Barlekha</t>
  </si>
  <si>
    <t>Maulvibazar</t>
  </si>
  <si>
    <t>Juri</t>
  </si>
  <si>
    <t>Kamalganj</t>
  </si>
  <si>
    <t>Kulaura</t>
  </si>
  <si>
    <t>Maulvi Bazar Sadar</t>
  </si>
  <si>
    <t>Rajnagar</t>
  </si>
  <si>
    <t>Sreemangal</t>
  </si>
  <si>
    <t>Bishwambarpur</t>
  </si>
  <si>
    <t>Sunamganj</t>
  </si>
  <si>
    <t>Chhatak</t>
  </si>
  <si>
    <t>Dakshin Sunamganj</t>
  </si>
  <si>
    <t>Derai</t>
  </si>
  <si>
    <t>Dharampasha</t>
  </si>
  <si>
    <t>Dowarabazar</t>
  </si>
  <si>
    <t>Jagannathpur</t>
  </si>
  <si>
    <t>Jamalganj</t>
  </si>
  <si>
    <t>Sulla</t>
  </si>
  <si>
    <t>Sunamganj Sadar</t>
  </si>
  <si>
    <t>Tahirpur</t>
  </si>
  <si>
    <t>Balaganj</t>
  </si>
  <si>
    <t>Sylhet</t>
  </si>
  <si>
    <t>Beani Bazar</t>
  </si>
  <si>
    <t>Bishwanath</t>
  </si>
  <si>
    <t>Dakshin Surma</t>
  </si>
  <si>
    <t>Fenchuganj</t>
  </si>
  <si>
    <t>Golabganj</t>
  </si>
  <si>
    <t>Gowainghat</t>
  </si>
  <si>
    <t>Jaintiapur</t>
  </si>
  <si>
    <t>Kanaighat</t>
  </si>
  <si>
    <t>Sylhet Sadar</t>
  </si>
  <si>
    <t>Zakiganj</t>
  </si>
  <si>
    <t>Vul_INFORM</t>
  </si>
  <si>
    <t>Norm_Vul</t>
  </si>
  <si>
    <t>Max</t>
  </si>
  <si>
    <t>Min</t>
  </si>
  <si>
    <t>Change</t>
  </si>
  <si>
    <t>Norm_Wind Gust</t>
  </si>
  <si>
    <t>Norm_Rainfall</t>
  </si>
  <si>
    <t>Norm_Storm Surge</t>
  </si>
  <si>
    <t>VCI</t>
  </si>
  <si>
    <t>fAPAR</t>
  </si>
  <si>
    <t>Norm_VCI</t>
  </si>
  <si>
    <t>Norm_fAPAR</t>
  </si>
  <si>
    <t>Classification</t>
  </si>
  <si>
    <t>Impact_fAPAR</t>
  </si>
  <si>
    <t>Impact(VCI+fAPAR)</t>
  </si>
  <si>
    <t>Norm_Impact_VCI</t>
  </si>
  <si>
    <t>Norm_Impact_VCI+F</t>
  </si>
  <si>
    <t>Impact_VCI+F</t>
  </si>
  <si>
    <t>Norm_Impact_fAPAR</t>
  </si>
  <si>
    <t>Impact_VCI</t>
  </si>
  <si>
    <t>Impact(VCI)</t>
  </si>
  <si>
    <t>Barisal Sadar (Kotwali)</t>
  </si>
  <si>
    <t>Daulatkhan</t>
  </si>
  <si>
    <t>Nesarabad (Swarupkati)</t>
  </si>
  <si>
    <t>Bijoynagar</t>
  </si>
  <si>
    <t>Kachua</t>
  </si>
  <si>
    <t>Matlab Uttar</t>
  </si>
  <si>
    <t>Kotwali</t>
  </si>
  <si>
    <t>Lohagara</t>
  </si>
  <si>
    <t>Companiganj</t>
  </si>
  <si>
    <t>Noakhali Sadar (Sudharam)</t>
  </si>
  <si>
    <t>Kawkhali (Betbunia)</t>
  </si>
  <si>
    <t>Biman Bandar</t>
  </si>
  <si>
    <t>Chak Bazar</t>
  </si>
  <si>
    <t>Mirpur</t>
  </si>
  <si>
    <t>Mohammadpur</t>
  </si>
  <si>
    <t>Sher-e-bangla Nagar</t>
  </si>
  <si>
    <t>Kaliganj</t>
  </si>
  <si>
    <t>Sreepur</t>
  </si>
  <si>
    <t>Kotali Para</t>
  </si>
  <si>
    <t>Tungi Para</t>
  </si>
  <si>
    <t>Daulatpur</t>
  </si>
  <si>
    <t>Goalandaghat</t>
  </si>
  <si>
    <t>Sakhipur</t>
  </si>
  <si>
    <t>Jhenaidah Sadar</t>
  </si>
  <si>
    <t>Durgapur</t>
  </si>
  <si>
    <t>Mohanganj</t>
  </si>
  <si>
    <t>Shibganj</t>
  </si>
  <si>
    <t>Nawabganj Sadar</t>
  </si>
  <si>
    <t>Pirganj</t>
  </si>
  <si>
    <t>Balia Kandi</t>
  </si>
  <si>
    <t>Brahamanbaria</t>
  </si>
  <si>
    <t>Chittagong</t>
  </si>
  <si>
    <t>Comilla</t>
  </si>
  <si>
    <t>Jessore</t>
  </si>
  <si>
    <t>Bogra</t>
  </si>
  <si>
    <t>Vulnerability</t>
  </si>
  <si>
    <t>House</t>
  </si>
  <si>
    <t>Impact_vci+fapar+house</t>
  </si>
  <si>
    <t>Impact_house</t>
  </si>
  <si>
    <t>Total Number of House</t>
  </si>
  <si>
    <t>Norm_House</t>
  </si>
  <si>
    <t>Impact_House</t>
  </si>
  <si>
    <t>Norm_Impact_House</t>
  </si>
  <si>
    <t>Upazila</t>
  </si>
  <si>
    <t>Impact_VCI_fAPAR_house</t>
  </si>
  <si>
    <t>Norm_VCI_fAPAR_house</t>
  </si>
  <si>
    <t>Low</t>
  </si>
  <si>
    <t>No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</si>
</sst>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64" fontId="4" fillId="0" borderId="0" xfId="0" applyNumberFormat="1" applyFont="1" applyAlignment="1">
      <alignment horizontal="center"/>
    </xf>
    <xf numFmtId="1" fontId="0" fillId="0" borderId="0" xfId="0" applyNumberFormat="1"/>
    <xf numFmtId="2" fontId="0" fillId="2" borderId="0" xfId="0" applyNumberForma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6" borderId="0" xfId="0" applyFill="1"/>
    <xf numFmtId="0" fontId="1" fillId="6" borderId="0" xfId="0" applyFont="1" applyFill="1"/>
    <xf numFmtId="0" fontId="0" fillId="6" borderId="0" xfId="0" applyFill="1" applyAlignment="1">
      <alignment horizontal="right" wrapText="1"/>
    </xf>
    <xf numFmtId="0" fontId="0" fillId="0" borderId="0" xfId="0" applyFill="1"/>
    <xf numFmtId="165" fontId="4" fillId="0" borderId="0" xfId="0" applyNumberFormat="1" applyFont="1" applyAlignment="1">
      <alignment horizontal="center"/>
    </xf>
    <xf numFmtId="2" fontId="0" fillId="0" borderId="0" xfId="0" applyNumberFormat="1" applyFill="1"/>
    <xf numFmtId="0" fontId="0" fillId="0" borderId="0" xfId="0" applyFill="1" applyAlignment="1">
      <alignment wrapText="1"/>
    </xf>
    <xf numFmtId="166" fontId="1" fillId="0" borderId="0" xfId="0" applyNumberFormat="1" applyFont="1" applyAlignment="1">
      <alignment wrapText="1"/>
    </xf>
    <xf numFmtId="165" fontId="1" fillId="0" borderId="0" xfId="0" applyNumberFormat="1" applyFont="1"/>
    <xf numFmtId="165" fontId="1" fillId="6" borderId="0" xfId="0" applyNumberFormat="1" applyFont="1" applyFill="1"/>
    <xf numFmtId="164" fontId="1" fillId="7" borderId="0" xfId="0" applyNumberFormat="1" applyFont="1" applyFill="1"/>
    <xf numFmtId="164" fontId="0" fillId="0" borderId="0" xfId="0" applyNumberFormat="1" applyFill="1"/>
    <xf numFmtId="0" fontId="1" fillId="7" borderId="0" xfId="0" applyFont="1" applyFill="1"/>
    <xf numFmtId="0" fontId="0" fillId="5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F27D7-F803-47EC-95B8-B9C22A017237}">
  <dimension ref="A1:AK1000"/>
  <sheetViews>
    <sheetView tabSelected="1" topLeftCell="T1" zoomScale="79" workbookViewId="0">
      <selection activeCell="AH26" sqref="AH26"/>
    </sheetView>
  </sheetViews>
  <sheetFormatPr defaultColWidth="8.77734375" defaultRowHeight="14.4" x14ac:dyDescent="0.3"/>
  <cols>
    <col min="1" max="1" width="7.6640625" style="13" bestFit="1" customWidth="1"/>
    <col min="2" max="2" width="13.44140625" style="13" bestFit="1" customWidth="1"/>
    <col min="3" max="3" width="12.44140625" style="13" bestFit="1" customWidth="1"/>
    <col min="4" max="4" width="23.109375" style="13" customWidth="1"/>
    <col min="5" max="5" width="11.44140625" style="13" customWidth="1"/>
    <col min="6" max="6" width="9.6640625" style="15" customWidth="1"/>
    <col min="7" max="7" width="9.6640625" style="13" customWidth="1"/>
    <col min="8" max="8" width="15.44140625" style="13" customWidth="1"/>
    <col min="9" max="9" width="7.77734375" style="13" customWidth="1"/>
    <col min="10" max="10" width="12.77734375" style="15" customWidth="1"/>
    <col min="11" max="11" width="11" style="13" customWidth="1"/>
    <col min="12" max="12" width="16.77734375" style="15" customWidth="1"/>
    <col min="13" max="13" width="20.21875" style="13" customWidth="1"/>
    <col min="14" max="14" width="12" style="13" customWidth="1"/>
    <col min="15" max="15" width="16.77734375" style="10" customWidth="1"/>
    <col min="16" max="16" width="12.21875" style="13" customWidth="1"/>
    <col min="17" max="17" width="9.6640625" style="23" bestFit="1" customWidth="1"/>
    <col min="18" max="18" width="14.6640625" style="13" bestFit="1" customWidth="1"/>
    <col min="19" max="19" width="19.77734375" style="13" bestFit="1" customWidth="1"/>
    <col min="20" max="20" width="20.77734375" style="13" bestFit="1" customWidth="1"/>
    <col min="21" max="21" width="8.77734375" style="13"/>
    <col min="22" max="22" width="15.6640625" style="13" bestFit="1" customWidth="1"/>
    <col min="23" max="23" width="21.21875" style="13" bestFit="1" customWidth="1"/>
    <col min="24" max="24" width="8.77734375" style="13"/>
    <col min="25" max="25" width="13.6640625" style="13" bestFit="1" customWidth="1"/>
    <col min="26" max="26" width="18.88671875" style="13" bestFit="1" customWidth="1"/>
    <col min="27" max="27" width="8.77734375" style="13"/>
    <col min="28" max="28" width="24.109375" style="13" bestFit="1" customWidth="1"/>
    <col min="29" max="29" width="20.6640625" style="13" bestFit="1" customWidth="1"/>
    <col min="30" max="30" width="11.77734375" style="13" bestFit="1" customWidth="1"/>
    <col min="31" max="31" width="14.5546875" style="13" bestFit="1" customWidth="1"/>
    <col min="32" max="32" width="19.77734375" style="13" bestFit="1" customWidth="1"/>
    <col min="33" max="33" width="14.77734375" style="13" bestFit="1" customWidth="1"/>
    <col min="34" max="34" width="20.33203125" style="13" bestFit="1" customWidth="1"/>
    <col min="35" max="16384" width="8.77734375" style="13"/>
  </cols>
  <sheetData>
    <row r="1" spans="1:37" customFormat="1" x14ac:dyDescent="0.3">
      <c r="A1" s="1" t="s">
        <v>546</v>
      </c>
      <c r="B1" s="1" t="s">
        <v>544</v>
      </c>
      <c r="C1" s="1" t="s">
        <v>545</v>
      </c>
      <c r="D1" s="22" t="s">
        <v>1166</v>
      </c>
      <c r="E1" s="20" t="s">
        <v>1102</v>
      </c>
      <c r="F1" s="17" t="s">
        <v>1103</v>
      </c>
      <c r="G1" s="1" t="s">
        <v>547</v>
      </c>
      <c r="H1" s="1" t="s">
        <v>1107</v>
      </c>
      <c r="I1" s="1" t="s">
        <v>548</v>
      </c>
      <c r="J1" s="18" t="s">
        <v>1108</v>
      </c>
      <c r="K1" s="1" t="s">
        <v>549</v>
      </c>
      <c r="L1" s="1" t="s">
        <v>1109</v>
      </c>
      <c r="M1" s="9" t="s">
        <v>1162</v>
      </c>
      <c r="N1" s="9" t="s">
        <v>1163</v>
      </c>
      <c r="O1" s="11" t="s">
        <v>1110</v>
      </c>
      <c r="P1" s="11" t="s">
        <v>1112</v>
      </c>
      <c r="Q1" s="9" t="s">
        <v>1111</v>
      </c>
      <c r="R1" s="24" t="s">
        <v>1113</v>
      </c>
      <c r="S1" s="11" t="s">
        <v>1116</v>
      </c>
      <c r="T1" s="19" t="s">
        <v>1118</v>
      </c>
      <c r="U1" s="11" t="s">
        <v>1114</v>
      </c>
      <c r="V1" s="11" t="s">
        <v>1115</v>
      </c>
      <c r="W1" s="11" t="s">
        <v>1120</v>
      </c>
      <c r="X1" s="11" t="s">
        <v>1114</v>
      </c>
      <c r="Y1" s="11" t="s">
        <v>1122</v>
      </c>
      <c r="Z1" s="11" t="s">
        <v>1117</v>
      </c>
      <c r="AA1" s="11" t="s">
        <v>1114</v>
      </c>
      <c r="AB1" s="11" t="s">
        <v>1167</v>
      </c>
      <c r="AC1" s="11" t="s">
        <v>1168</v>
      </c>
      <c r="AD1" s="11" t="s">
        <v>1114</v>
      </c>
      <c r="AE1" s="11" t="s">
        <v>1164</v>
      </c>
      <c r="AF1" s="11" t="s">
        <v>1165</v>
      </c>
      <c r="AG1" s="11" t="s">
        <v>1114</v>
      </c>
    </row>
    <row r="2" spans="1:37" customFormat="1" x14ac:dyDescent="0.3">
      <c r="A2">
        <v>100409</v>
      </c>
      <c r="B2" t="s">
        <v>541</v>
      </c>
      <c r="C2" t="s">
        <v>551</v>
      </c>
      <c r="D2" t="s">
        <v>550</v>
      </c>
      <c r="E2" s="21">
        <v>7.5</v>
      </c>
      <c r="F2" s="2">
        <f>(E2-$AJ$5)/$AK$5</f>
        <v>0.95555555555555549</v>
      </c>
      <c r="G2" s="10">
        <v>72.419759999999997</v>
      </c>
      <c r="H2">
        <f>(G2-$AJ$6)/$AK$6</f>
        <v>0.66099968455917146</v>
      </c>
      <c r="I2" s="10">
        <v>69.099999999999994</v>
      </c>
      <c r="J2" s="2">
        <f>(I2-$AJ$7)/$AK$7</f>
        <v>0.16747455162384878</v>
      </c>
      <c r="K2" s="10">
        <v>1.7</v>
      </c>
      <c r="L2" s="2">
        <f>(K2-$AJ$8)/$AK$8</f>
        <v>1</v>
      </c>
      <c r="M2">
        <v>43022</v>
      </c>
      <c r="N2">
        <f>(M2-$AJ$9)/$AK$9</f>
        <v>0.2024243800655775</v>
      </c>
      <c r="O2" s="10">
        <v>0.58931245600000004</v>
      </c>
      <c r="P2">
        <f>(O2-$AJ$11)/$AK$11</f>
        <v>0.5535374019725765</v>
      </c>
      <c r="Q2" s="23">
        <v>0.38740000000000002</v>
      </c>
      <c r="R2" s="13">
        <f>(Q2-$AJ$12)/$AK$12</f>
        <v>0.8388912949328714</v>
      </c>
      <c r="S2">
        <f>F2*(R2*0.5+P2*0.5)*(H2*0.35+J2*0.35+L2*0.3)</f>
        <v>0.39248754746396181</v>
      </c>
      <c r="T2" s="14">
        <f>(S2-$AJ$10)/$AK$10</f>
        <v>0.82891263335135568</v>
      </c>
      <c r="U2" t="str">
        <f>IF(T2&gt;0.7,"High",IF(T2&gt;0.3,"Moderate",IF(T2&gt;0.15,"Low","No Impact")))</f>
        <v>High</v>
      </c>
      <c r="V2">
        <f>F2*(R2*1)*(H2*0.35+J2*0.35+L2*0.3)</f>
        <v>0.47292100151168831</v>
      </c>
      <c r="W2">
        <f t="shared" ref="W2:W65" si="0">(V2-$AJ$13)/$AK$13</f>
        <v>0.85849040975369406</v>
      </c>
      <c r="X2" t="str">
        <f>IF(W2&gt;0.7,"High",IF(W2&gt;0.3,"Moderate",IF(W2&gt;0.15,"Low","No Impact")))</f>
        <v>High</v>
      </c>
      <c r="Y2">
        <f t="shared" ref="Y2:Y65" si="1">F2*(P2*1)*(H2*0.35+J2*0.35+L2*0.3)</f>
        <v>0.3120540934162353</v>
      </c>
      <c r="Z2">
        <f>(Y2-$AJ$14)/$AK$14</f>
        <v>0.6899828809433729</v>
      </c>
      <c r="AA2" t="str">
        <f>IF(Z2&gt;0.7,"High",IF(Z2&gt;0.3,"Moderate",IF(Z2&gt;0.15,"Low","No Impact")))</f>
        <v>Moderate</v>
      </c>
      <c r="AB2">
        <f t="shared" ref="AB2:AB65" si="2">F2*(R2*0.35+P2*0.3+N2*0.35)*(H2*0.35+J2*0.35+L2*0.3)</f>
        <v>0.29907910409670135</v>
      </c>
      <c r="AC2">
        <f>(AB2-$AJ$15)/$AK$15</f>
        <v>0.8771559449859152</v>
      </c>
      <c r="AD2" t="str">
        <f>IF(AC2&gt;0.7,"High",IF(AC2&gt;0.3,"Moderate",IF(AC2&gt;0.15,"Low","No Impact")))</f>
        <v>High</v>
      </c>
      <c r="AE2">
        <f t="shared" ref="AE2:AE65" si="3">F2*(N2*1)*(H2*0.35+J2*0.35+L2*0.3)</f>
        <v>0.11411578726497094</v>
      </c>
      <c r="AF2">
        <f>(AE2-$AJ$16)/$AK$16</f>
        <v>0.75200159589173976</v>
      </c>
      <c r="AG2" t="str">
        <f>IF(AF2&gt;0.7,"High",IF(AF2&gt;0.3,"Moderate",IF(AF2&gt;0.15,"Low","No Impact")))</f>
        <v>High</v>
      </c>
    </row>
    <row r="3" spans="1:37" customFormat="1" x14ac:dyDescent="0.3">
      <c r="A3">
        <v>100419</v>
      </c>
      <c r="B3" t="s">
        <v>38</v>
      </c>
      <c r="C3" t="s">
        <v>551</v>
      </c>
      <c r="D3" t="s">
        <v>552</v>
      </c>
      <c r="E3" s="21">
        <v>5.6</v>
      </c>
      <c r="F3" s="2">
        <f t="shared" ref="F3:F66" si="4">(E3-$AJ$5)/$AK$5</f>
        <v>0.53333333333333321</v>
      </c>
      <c r="G3" s="10">
        <v>66.790080000000003</v>
      </c>
      <c r="H3">
        <f t="shared" ref="H3:H66" si="5">(G3-$AJ$6)/$AK$6</f>
        <v>0.60961568792387366</v>
      </c>
      <c r="I3" s="12">
        <v>84.9</v>
      </c>
      <c r="J3" s="2">
        <f t="shared" ref="J3:J66" si="6">(I3-$AJ$7)/$AK$7</f>
        <v>0.2057682985942802</v>
      </c>
      <c r="K3" s="10">
        <v>1</v>
      </c>
      <c r="L3" s="2">
        <f t="shared" ref="L3:L66" si="7">(K3-$AJ$8)/$AK$8</f>
        <v>0.58823529411764708</v>
      </c>
      <c r="M3">
        <v>10180</v>
      </c>
      <c r="N3">
        <f t="shared" ref="N3:N66" si="8">(M3-$AJ$9)/$AK$9</f>
        <v>4.7035055097396299E-2</v>
      </c>
      <c r="O3" s="10">
        <v>0.73532441199999998</v>
      </c>
      <c r="P3">
        <f t="shared" ref="P3:P66" si="9">(O3-$AJ$11)/$AK$11</f>
        <v>0.71433873441925777</v>
      </c>
      <c r="Q3" s="23">
        <v>0.40060000000000001</v>
      </c>
      <c r="R3" s="13">
        <f t="shared" ref="R3:R66" si="10">(Q3-$AJ$12)/$AK$12</f>
        <v>0.86747509744478135</v>
      </c>
      <c r="S3">
        <f t="shared" ref="S3:S66" si="11">F3*(R3*0.5+P3*0.5)*(H3*0.35+J3*0.35+L3*0.3)</f>
        <v>0.19481829366452572</v>
      </c>
      <c r="T3" s="14">
        <f t="shared" ref="T3:T65" si="12">(S3-$AJ$10)/$AK$10</f>
        <v>0.41144577928630338</v>
      </c>
      <c r="U3" t="str">
        <f t="shared" ref="U3:U66" si="13">IF(T3&gt;0.7,"High",IF(T3&gt;0.3,"Moderate",IF(T3&gt;0.15,"Low","No Impact")))</f>
        <v>Moderate</v>
      </c>
      <c r="V3">
        <f t="shared" ref="V3:V66" si="14">F3*(R3*1)*(H3*0.35+J3*0.35+L3*0.3)</f>
        <v>0.2136787716434464</v>
      </c>
      <c r="W3">
        <f t="shared" si="0"/>
        <v>0.38788968059671708</v>
      </c>
      <c r="X3" t="str">
        <f t="shared" ref="X3:X48" si="15">IF(W3&gt;0.7,"High",IF(W3&gt;0.3,"Moderate",IF(W3&gt;0.15,"Low","No Impact")))</f>
        <v>Moderate</v>
      </c>
      <c r="Y3">
        <f t="shared" si="1"/>
        <v>0.17595781568560503</v>
      </c>
      <c r="Z3">
        <f t="shared" ref="Z3:Z66" si="16">(Y3-$AJ$14)/$AK$14</f>
        <v>0.38906036854743675</v>
      </c>
      <c r="AA3" t="str">
        <f t="shared" ref="AA3:AA65" si="17">IF(Z3&gt;0.7,"High",IF(Z3&gt;0.3,"Moderate",IF(Z3&gt;0.15,"Low","No Impact")))</f>
        <v>Moderate</v>
      </c>
      <c r="AB3">
        <f t="shared" si="2"/>
        <v>0.13162994470560743</v>
      </c>
      <c r="AC3">
        <f t="shared" ref="AC3:AC66" si="18">(AB3-$AJ$15)/$AK$15</f>
        <v>0.38605167313647942</v>
      </c>
      <c r="AD3" t="str">
        <f t="shared" ref="AD3:AD66" si="19">IF(AC3&gt;0.7,"High",IF(AC3&gt;0.3,"Moderate",IF(AC3&gt;0.15,"Low","No Impact")))</f>
        <v>Moderate</v>
      </c>
      <c r="AE3">
        <f t="shared" si="3"/>
        <v>1.1585799784913383E-2</v>
      </c>
      <c r="AF3">
        <f t="shared" ref="AF3:AF66" si="20">(AE3-$AJ$16)/$AK$16</f>
        <v>7.6348243628263049E-2</v>
      </c>
      <c r="AG3" t="s">
        <v>1170</v>
      </c>
    </row>
    <row r="4" spans="1:37" customFormat="1" x14ac:dyDescent="0.3">
      <c r="A4">
        <v>100428</v>
      </c>
      <c r="B4" t="s">
        <v>47</v>
      </c>
      <c r="C4" t="s">
        <v>551</v>
      </c>
      <c r="D4" t="s">
        <v>553</v>
      </c>
      <c r="E4" s="21">
        <v>7.5</v>
      </c>
      <c r="F4" s="2">
        <f t="shared" si="4"/>
        <v>0.95555555555555549</v>
      </c>
      <c r="G4" s="10">
        <v>73.756799999999998</v>
      </c>
      <c r="H4">
        <f t="shared" si="5"/>
        <v>0.67320330161400554</v>
      </c>
      <c r="I4" s="12">
        <v>85.100000000000009</v>
      </c>
      <c r="J4" s="2">
        <f t="shared" si="6"/>
        <v>0.20625302956858946</v>
      </c>
      <c r="K4" s="10">
        <v>1.7</v>
      </c>
      <c r="L4" s="2">
        <f t="shared" si="7"/>
        <v>1</v>
      </c>
      <c r="M4">
        <v>41704</v>
      </c>
      <c r="N4">
        <f t="shared" si="8"/>
        <v>0.19618836732859246</v>
      </c>
      <c r="O4" s="10">
        <v>0.39440944999999999</v>
      </c>
      <c r="P4">
        <f t="shared" si="9"/>
        <v>0.33889290352709633</v>
      </c>
      <c r="Q4" s="23">
        <v>0.38929999999999998</v>
      </c>
      <c r="R4" s="13">
        <f t="shared" si="10"/>
        <v>0.84300563014291896</v>
      </c>
      <c r="S4">
        <f t="shared" si="11"/>
        <v>0.34322094128365077</v>
      </c>
      <c r="T4" s="14">
        <f t="shared" si="12"/>
        <v>0.7248642054991179</v>
      </c>
      <c r="U4" t="str">
        <f t="shared" si="13"/>
        <v>High</v>
      </c>
      <c r="V4">
        <f t="shared" si="14"/>
        <v>0.4896142564567264</v>
      </c>
      <c r="W4">
        <f t="shared" si="0"/>
        <v>0.88879356658555331</v>
      </c>
      <c r="X4" t="str">
        <f t="shared" si="15"/>
        <v>High</v>
      </c>
      <c r="Y4">
        <f t="shared" si="1"/>
        <v>0.1968276261105753</v>
      </c>
      <c r="Z4">
        <f t="shared" si="16"/>
        <v>0.4352056113933806</v>
      </c>
      <c r="AA4" t="str">
        <f t="shared" si="17"/>
        <v>Moderate</v>
      </c>
      <c r="AB4">
        <f t="shared" si="2"/>
        <v>0.27029417085890811</v>
      </c>
      <c r="AC4">
        <f t="shared" si="18"/>
        <v>0.79273388082395602</v>
      </c>
      <c r="AD4" t="str">
        <f t="shared" si="19"/>
        <v>High</v>
      </c>
      <c r="AE4">
        <f t="shared" si="3"/>
        <v>0.11394540933108946</v>
      </c>
      <c r="AF4">
        <f t="shared" si="20"/>
        <v>0.75087883732121774</v>
      </c>
      <c r="AG4" t="str">
        <f t="shared" ref="AG4:AG37" si="21">IF(AF4&gt;0.7,"High",IF(AF4&gt;0.3,"Moderate",IF(AF4&gt;0.15,"Low","No Impact")))</f>
        <v>High</v>
      </c>
      <c r="AI4" s="1" t="s">
        <v>1104</v>
      </c>
      <c r="AJ4" s="1" t="s">
        <v>1105</v>
      </c>
      <c r="AK4" s="1" t="s">
        <v>1106</v>
      </c>
    </row>
    <row r="5" spans="1:37" customFormat="1" x14ac:dyDescent="0.3">
      <c r="A5">
        <v>100447</v>
      </c>
      <c r="B5" t="s">
        <v>63</v>
      </c>
      <c r="C5" t="s">
        <v>551</v>
      </c>
      <c r="D5" t="s">
        <v>554</v>
      </c>
      <c r="E5" s="21">
        <v>5.6</v>
      </c>
      <c r="F5" s="2">
        <f t="shared" si="4"/>
        <v>0.53333333333333321</v>
      </c>
      <c r="G5" s="10">
        <v>67.055400000000006</v>
      </c>
      <c r="H5">
        <f t="shared" si="5"/>
        <v>0.6120373534514485</v>
      </c>
      <c r="I5" s="12">
        <v>80.499999999999986</v>
      </c>
      <c r="J5" s="2">
        <f t="shared" si="6"/>
        <v>0.19510421715947648</v>
      </c>
      <c r="K5" s="10">
        <v>1</v>
      </c>
      <c r="L5" s="2">
        <f t="shared" si="7"/>
        <v>0.58823529411764708</v>
      </c>
      <c r="M5">
        <v>7682</v>
      </c>
      <c r="N5">
        <f t="shared" si="8"/>
        <v>3.521596570666137E-2</v>
      </c>
      <c r="O5" s="10">
        <v>0.69492346299999996</v>
      </c>
      <c r="P5">
        <f t="shared" si="9"/>
        <v>0.66984562159971295</v>
      </c>
      <c r="Q5" s="23">
        <v>0.3906</v>
      </c>
      <c r="R5" s="13">
        <f t="shared" si="10"/>
        <v>0.84582070160242528</v>
      </c>
      <c r="S5">
        <f t="shared" si="11"/>
        <v>0.18550548838531136</v>
      </c>
      <c r="T5" s="14">
        <f t="shared" si="12"/>
        <v>0.39177763440435454</v>
      </c>
      <c r="U5" t="str">
        <f t="shared" si="13"/>
        <v>Moderate</v>
      </c>
      <c r="V5">
        <f t="shared" si="14"/>
        <v>0.20704343685049853</v>
      </c>
      <c r="W5">
        <f t="shared" si="0"/>
        <v>0.37584460062132508</v>
      </c>
      <c r="X5" t="str">
        <f t="shared" si="15"/>
        <v>Moderate</v>
      </c>
      <c r="Y5">
        <f t="shared" si="1"/>
        <v>0.16396753992012417</v>
      </c>
      <c r="Z5">
        <f t="shared" si="16"/>
        <v>0.36254866692095983</v>
      </c>
      <c r="AA5" t="str">
        <f t="shared" si="17"/>
        <v>Moderate</v>
      </c>
      <c r="AB5">
        <f t="shared" si="2"/>
        <v>0.12467257251287932</v>
      </c>
      <c r="AC5">
        <f t="shared" si="18"/>
        <v>0.36564670235537811</v>
      </c>
      <c r="AD5" t="str">
        <f t="shared" si="19"/>
        <v>Moderate</v>
      </c>
      <c r="AE5">
        <f t="shared" si="3"/>
        <v>8.6203075404788117E-3</v>
      </c>
      <c r="AF5">
        <f t="shared" si="20"/>
        <v>5.6806206948962018E-2</v>
      </c>
      <c r="AG5" t="s">
        <v>1170</v>
      </c>
      <c r="AH5" s="1" t="s">
        <v>1158</v>
      </c>
      <c r="AI5" s="3">
        <f>MAX(E2:E555)</f>
        <v>7.7</v>
      </c>
      <c r="AJ5">
        <f>MIN((E2:E555))</f>
        <v>3.2</v>
      </c>
      <c r="AK5" s="3">
        <f t="shared" ref="AK5:AK16" si="22">AI5-AJ5</f>
        <v>4.5</v>
      </c>
    </row>
    <row r="6" spans="1:37" customFormat="1" x14ac:dyDescent="0.3">
      <c r="A6">
        <v>100485</v>
      </c>
      <c r="B6" t="s">
        <v>409</v>
      </c>
      <c r="C6" t="s">
        <v>551</v>
      </c>
      <c r="D6" t="s">
        <v>555</v>
      </c>
      <c r="E6" s="21">
        <v>7.5</v>
      </c>
      <c r="F6" s="2">
        <f t="shared" si="4"/>
        <v>0.95555555555555549</v>
      </c>
      <c r="G6" s="10">
        <v>84.725279999999998</v>
      </c>
      <c r="H6">
        <f t="shared" si="5"/>
        <v>0.77331633457757221</v>
      </c>
      <c r="I6" s="12">
        <v>98.40000000000002</v>
      </c>
      <c r="J6" s="2">
        <f t="shared" si="6"/>
        <v>0.23848763936015518</v>
      </c>
      <c r="K6" s="10">
        <v>1.7</v>
      </c>
      <c r="L6" s="2">
        <f t="shared" si="7"/>
        <v>1</v>
      </c>
      <c r="M6">
        <v>28660</v>
      </c>
      <c r="N6">
        <f t="shared" si="8"/>
        <v>0.13447171320019116</v>
      </c>
      <c r="O6" s="10">
        <v>0.703602862</v>
      </c>
      <c r="P6">
        <f t="shared" si="9"/>
        <v>0.67940414654705628</v>
      </c>
      <c r="Q6" s="23">
        <v>0.38590000000000002</v>
      </c>
      <c r="R6" s="13">
        <f t="shared" si="10"/>
        <v>0.83564313555651804</v>
      </c>
      <c r="S6">
        <f t="shared" si="11"/>
        <v>0.47349688214680158</v>
      </c>
      <c r="T6" s="14">
        <f t="shared" si="12"/>
        <v>1</v>
      </c>
      <c r="U6" t="str">
        <f t="shared" si="13"/>
        <v>High</v>
      </c>
      <c r="V6">
        <f t="shared" si="14"/>
        <v>0.5223261662487686</v>
      </c>
      <c r="W6">
        <f t="shared" si="0"/>
        <v>0.94817528309090948</v>
      </c>
      <c r="X6" t="str">
        <f t="shared" si="15"/>
        <v>High</v>
      </c>
      <c r="Y6">
        <f t="shared" si="1"/>
        <v>0.42466759804483445</v>
      </c>
      <c r="Z6">
        <f t="shared" si="16"/>
        <v>0.93898262809018629</v>
      </c>
      <c r="AA6" t="str">
        <f t="shared" si="17"/>
        <v>High</v>
      </c>
      <c r="AB6">
        <f t="shared" si="2"/>
        <v>0.33963289627342408</v>
      </c>
      <c r="AC6">
        <f t="shared" si="18"/>
        <v>0.99609437770247888</v>
      </c>
      <c r="AD6" t="str">
        <f t="shared" si="19"/>
        <v>High</v>
      </c>
      <c r="AE6">
        <f t="shared" si="3"/>
        <v>8.4052739065442E-2</v>
      </c>
      <c r="AF6">
        <f t="shared" si="20"/>
        <v>0.55389175705828619</v>
      </c>
      <c r="AG6" t="str">
        <f t="shared" si="21"/>
        <v>Moderate</v>
      </c>
      <c r="AH6" s="1" t="s">
        <v>547</v>
      </c>
      <c r="AI6">
        <f>MAX(G1:G555)</f>
        <v>109.56095999999999</v>
      </c>
      <c r="AJ6">
        <f>MIN(G1:G555)</f>
        <v>0</v>
      </c>
      <c r="AK6">
        <f t="shared" si="22"/>
        <v>109.56095999999999</v>
      </c>
    </row>
    <row r="7" spans="1:37" customFormat="1" x14ac:dyDescent="0.3">
      <c r="A7">
        <v>100602</v>
      </c>
      <c r="B7" t="s">
        <v>4</v>
      </c>
      <c r="C7" t="s">
        <v>557</v>
      </c>
      <c r="D7" t="s">
        <v>556</v>
      </c>
      <c r="E7" s="21">
        <v>6.7</v>
      </c>
      <c r="F7" s="2">
        <f>(E7-$AJ$5)/$AK$5</f>
        <v>0.77777777777777779</v>
      </c>
      <c r="G7" s="10">
        <v>50.932079999999999</v>
      </c>
      <c r="H7">
        <f t="shared" si="5"/>
        <v>0.46487434940329114</v>
      </c>
      <c r="I7" s="12">
        <v>97.4</v>
      </c>
      <c r="J7" s="2">
        <f t="shared" si="6"/>
        <v>0.23606398448860885</v>
      </c>
      <c r="K7" s="10">
        <v>0.1</v>
      </c>
      <c r="L7" s="2">
        <f t="shared" si="7"/>
        <v>5.8823529411764712E-2</v>
      </c>
      <c r="M7">
        <v>14078</v>
      </c>
      <c r="N7">
        <f t="shared" si="8"/>
        <v>6.5478133738342964E-2</v>
      </c>
      <c r="O7" s="10">
        <v>0.75035458200000005</v>
      </c>
      <c r="P7">
        <f t="shared" si="9"/>
        <v>0.73089129236800654</v>
      </c>
      <c r="Q7" s="23">
        <v>0.29409999999999997</v>
      </c>
      <c r="R7" s="13">
        <f t="shared" si="10"/>
        <v>0.63685578172368984</v>
      </c>
      <c r="S7">
        <f t="shared" si="11"/>
        <v>0.13987708677715913</v>
      </c>
      <c r="T7" s="14">
        <f t="shared" si="12"/>
        <v>0.29541289932674158</v>
      </c>
      <c r="U7" t="str">
        <f t="shared" si="13"/>
        <v>Low</v>
      </c>
      <c r="V7">
        <f t="shared" si="14"/>
        <v>0.13026024055486718</v>
      </c>
      <c r="W7">
        <f t="shared" si="0"/>
        <v>0.23646056514958738</v>
      </c>
      <c r="X7" t="s">
        <v>1169</v>
      </c>
      <c r="Y7">
        <f t="shared" si="1"/>
        <v>0.14949393299945102</v>
      </c>
      <c r="Z7">
        <f t="shared" si="16"/>
        <v>0.33054607118045981</v>
      </c>
      <c r="AA7" t="str">
        <f t="shared" si="17"/>
        <v>Moderate</v>
      </c>
      <c r="AB7">
        <f t="shared" si="2"/>
        <v>9.5126697566126392E-2</v>
      </c>
      <c r="AC7">
        <f t="shared" si="18"/>
        <v>0.27899290573649027</v>
      </c>
      <c r="AD7" t="str">
        <f t="shared" si="19"/>
        <v>Low</v>
      </c>
      <c r="AE7">
        <f t="shared" si="3"/>
        <v>1.3392667063107312E-2</v>
      </c>
      <c r="AF7">
        <f t="shared" si="20"/>
        <v>8.8255159483922971E-2</v>
      </c>
      <c r="AG7" t="s">
        <v>1170</v>
      </c>
      <c r="AH7" s="1" t="s">
        <v>548</v>
      </c>
      <c r="AI7">
        <f>MAX(I1:I555)</f>
        <v>412.59999999999997</v>
      </c>
      <c r="AJ7">
        <f>MIN(K1:K555)</f>
        <v>0</v>
      </c>
      <c r="AK7">
        <f t="shared" si="22"/>
        <v>412.59999999999997</v>
      </c>
    </row>
    <row r="8" spans="1:37" customFormat="1" x14ac:dyDescent="0.3">
      <c r="A8">
        <v>100603</v>
      </c>
      <c r="B8" t="s">
        <v>20</v>
      </c>
      <c r="C8" t="s">
        <v>557</v>
      </c>
      <c r="D8" t="s">
        <v>558</v>
      </c>
      <c r="E8" s="21">
        <v>6.7</v>
      </c>
      <c r="F8" s="2">
        <f t="shared" si="4"/>
        <v>0.77777777777777779</v>
      </c>
      <c r="G8" s="10">
        <v>53.553959999999996</v>
      </c>
      <c r="H8">
        <f t="shared" si="5"/>
        <v>0.48880513642815837</v>
      </c>
      <c r="I8" s="12">
        <v>89.7</v>
      </c>
      <c r="J8" s="2">
        <f t="shared" si="6"/>
        <v>0.2174018419777024</v>
      </c>
      <c r="K8" s="10">
        <v>0.2</v>
      </c>
      <c r="L8" s="2">
        <f t="shared" si="7"/>
        <v>0.11764705882352942</v>
      </c>
      <c r="M8">
        <v>12897</v>
      </c>
      <c r="N8">
        <f t="shared" si="8"/>
        <v>5.9890325663700068E-2</v>
      </c>
      <c r="O8" s="10">
        <v>0.68775487000000002</v>
      </c>
      <c r="P8">
        <f t="shared" si="9"/>
        <v>0.66195093038574182</v>
      </c>
      <c r="Q8" s="23">
        <v>0.35470000000000002</v>
      </c>
      <c r="R8" s="13">
        <f t="shared" si="10"/>
        <v>0.76808142052836736</v>
      </c>
      <c r="S8">
        <f t="shared" si="11"/>
        <v>0.15708634626955337</v>
      </c>
      <c r="T8" s="14">
        <f t="shared" si="12"/>
        <v>0.33175793166226336</v>
      </c>
      <c r="U8" t="str">
        <f t="shared" si="13"/>
        <v>Moderate</v>
      </c>
      <c r="V8">
        <f t="shared" si="14"/>
        <v>0.16874457967500398</v>
      </c>
      <c r="W8">
        <f t="shared" si="0"/>
        <v>0.30632093496767382</v>
      </c>
      <c r="X8" t="str">
        <f t="shared" si="15"/>
        <v>Moderate</v>
      </c>
      <c r="Y8">
        <f t="shared" si="1"/>
        <v>0.14542811286410279</v>
      </c>
      <c r="Z8">
        <f t="shared" si="16"/>
        <v>0.32155613530212085</v>
      </c>
      <c r="AA8" t="str">
        <f t="shared" si="17"/>
        <v>Moderate</v>
      </c>
      <c r="AB8">
        <f t="shared" si="2"/>
        <v>0.1072942239642003</v>
      </c>
      <c r="AC8">
        <f t="shared" si="18"/>
        <v>0.31467850854073276</v>
      </c>
      <c r="AD8" t="str">
        <f t="shared" si="19"/>
        <v>Moderate</v>
      </c>
      <c r="AE8">
        <f t="shared" si="3"/>
        <v>1.3157677767765927E-2</v>
      </c>
      <c r="AF8">
        <f t="shared" si="20"/>
        <v>8.6706624181757647E-2</v>
      </c>
      <c r="AG8" t="s">
        <v>1170</v>
      </c>
      <c r="AH8" s="1" t="s">
        <v>549</v>
      </c>
      <c r="AI8">
        <f>MAX(K1:K545)</f>
        <v>1.7</v>
      </c>
      <c r="AJ8">
        <f>MIN(K1:K555)</f>
        <v>0</v>
      </c>
      <c r="AK8">
        <f t="shared" si="22"/>
        <v>1.7</v>
      </c>
    </row>
    <row r="9" spans="1:37" customFormat="1" x14ac:dyDescent="0.3">
      <c r="A9">
        <v>100607</v>
      </c>
      <c r="B9" t="s">
        <v>33</v>
      </c>
      <c r="C9" t="s">
        <v>557</v>
      </c>
      <c r="D9" t="s">
        <v>559</v>
      </c>
      <c r="E9" s="21">
        <v>6.7</v>
      </c>
      <c r="F9" s="2">
        <f t="shared" si="4"/>
        <v>0.77777777777777779</v>
      </c>
      <c r="G9" s="10">
        <v>61.4754</v>
      </c>
      <c r="H9">
        <f t="shared" si="5"/>
        <v>0.56110680300720261</v>
      </c>
      <c r="I9" s="12">
        <v>67</v>
      </c>
      <c r="J9" s="2">
        <f t="shared" si="6"/>
        <v>0.16238487639360155</v>
      </c>
      <c r="K9" s="10">
        <v>0.2</v>
      </c>
      <c r="L9" s="2">
        <f t="shared" si="7"/>
        <v>0.11764705882352942</v>
      </c>
      <c r="M9">
        <v>24771</v>
      </c>
      <c r="N9">
        <f t="shared" si="8"/>
        <v>0.11607121734728157</v>
      </c>
      <c r="O9" s="10">
        <v>0.90452841500000003</v>
      </c>
      <c r="P9">
        <f t="shared" si="9"/>
        <v>0.90068120857741696</v>
      </c>
      <c r="Q9" s="23">
        <v>0.3705</v>
      </c>
      <c r="R9" s="13">
        <f t="shared" si="10"/>
        <v>0.80229536595928974</v>
      </c>
      <c r="S9">
        <f t="shared" si="11"/>
        <v>0.19107524303544851</v>
      </c>
      <c r="T9" s="14">
        <f t="shared" si="12"/>
        <v>0.40354065726711186</v>
      </c>
      <c r="U9" t="str">
        <f t="shared" si="13"/>
        <v>Moderate</v>
      </c>
      <c r="V9">
        <f t="shared" si="14"/>
        <v>0.18003627804286174</v>
      </c>
      <c r="W9">
        <f t="shared" si="0"/>
        <v>0.32681868137278403</v>
      </c>
      <c r="X9" t="str">
        <f t="shared" si="15"/>
        <v>Moderate</v>
      </c>
      <c r="Y9">
        <f t="shared" si="1"/>
        <v>0.20211420802803529</v>
      </c>
      <c r="Z9">
        <f t="shared" si="16"/>
        <v>0.44689477394151206</v>
      </c>
      <c r="AA9" t="str">
        <f t="shared" si="17"/>
        <v>Moderate</v>
      </c>
      <c r="AB9">
        <f t="shared" si="2"/>
        <v>0.13276325379167325</v>
      </c>
      <c r="AC9">
        <f t="shared" si="18"/>
        <v>0.38937550548963429</v>
      </c>
      <c r="AD9" t="str">
        <f t="shared" si="19"/>
        <v>Moderate</v>
      </c>
      <c r="AE9">
        <f t="shared" si="3"/>
        <v>2.6046554480745915E-2</v>
      </c>
      <c r="AF9">
        <f t="shared" si="20"/>
        <v>0.17164189991978898</v>
      </c>
      <c r="AG9" t="s">
        <v>1169</v>
      </c>
      <c r="AH9" s="1" t="s">
        <v>1159</v>
      </c>
      <c r="AI9" s="5">
        <f>MAX(M1:M555)</f>
        <v>211592</v>
      </c>
      <c r="AJ9" s="5">
        <f>MIN(M1:M555)</f>
        <v>239</v>
      </c>
      <c r="AK9" s="5">
        <f t="shared" si="22"/>
        <v>211353</v>
      </c>
    </row>
    <row r="10" spans="1:37" customFormat="1" x14ac:dyDescent="0.3">
      <c r="A10">
        <v>100610</v>
      </c>
      <c r="B10" t="s">
        <v>39</v>
      </c>
      <c r="C10" t="s">
        <v>557</v>
      </c>
      <c r="D10" t="s">
        <v>560</v>
      </c>
      <c r="E10" s="21">
        <v>6.7</v>
      </c>
      <c r="F10" s="2">
        <f t="shared" si="4"/>
        <v>0.77777777777777779</v>
      </c>
      <c r="G10" s="10">
        <v>50.168160000000007</v>
      </c>
      <c r="H10">
        <f t="shared" si="5"/>
        <v>0.45790179275537574</v>
      </c>
      <c r="I10" s="12">
        <v>96.100000000000009</v>
      </c>
      <c r="J10" s="2">
        <f t="shared" si="6"/>
        <v>0.23291323315559867</v>
      </c>
      <c r="K10" s="10">
        <v>0.2</v>
      </c>
      <c r="L10" s="2">
        <f t="shared" si="7"/>
        <v>0.11764705882352942</v>
      </c>
      <c r="M10">
        <v>9050</v>
      </c>
      <c r="N10">
        <f t="shared" si="8"/>
        <v>4.1688549488296832E-2</v>
      </c>
      <c r="O10" s="10">
        <v>0.70393524799999996</v>
      </c>
      <c r="P10">
        <f t="shared" si="9"/>
        <v>0.67977019952758488</v>
      </c>
      <c r="Q10" s="23">
        <v>0.32950000000000002</v>
      </c>
      <c r="R10" s="13">
        <f t="shared" si="10"/>
        <v>0.71351234300563016</v>
      </c>
      <c r="S10">
        <f t="shared" si="11"/>
        <v>0.15013050051776286</v>
      </c>
      <c r="T10" s="14">
        <f t="shared" si="12"/>
        <v>0.31706755879168985</v>
      </c>
      <c r="U10" t="str">
        <f t="shared" si="13"/>
        <v>Moderate</v>
      </c>
      <c r="V10">
        <f t="shared" si="14"/>
        <v>0.15376632077263439</v>
      </c>
      <c r="W10">
        <f t="shared" si="0"/>
        <v>0.27913099926723023</v>
      </c>
      <c r="X10" t="s">
        <v>1169</v>
      </c>
      <c r="Y10">
        <f t="shared" si="1"/>
        <v>0.14649468026289139</v>
      </c>
      <c r="Z10">
        <f t="shared" si="16"/>
        <v>0.32391442273389265</v>
      </c>
      <c r="AA10" t="str">
        <f t="shared" si="17"/>
        <v>Moderate</v>
      </c>
      <c r="AB10">
        <f t="shared" si="2"/>
        <v>0.10091106539435586</v>
      </c>
      <c r="AC10">
        <f t="shared" si="18"/>
        <v>0.29595762362890521</v>
      </c>
      <c r="AD10" t="str">
        <f t="shared" si="19"/>
        <v>Low</v>
      </c>
      <c r="AE10">
        <f t="shared" si="3"/>
        <v>8.9841401287611786E-3</v>
      </c>
      <c r="AF10">
        <f t="shared" si="20"/>
        <v>5.920379534214789E-2</v>
      </c>
      <c r="AG10" t="s">
        <v>1170</v>
      </c>
      <c r="AH10" s="1" t="s">
        <v>1119</v>
      </c>
      <c r="AI10" s="2">
        <f>MAX(S2:S545)</f>
        <v>0.47349688214680158</v>
      </c>
      <c r="AJ10" s="2">
        <f>MIN(S2:S545)</f>
        <v>0</v>
      </c>
      <c r="AK10" s="2">
        <f t="shared" si="22"/>
        <v>0.47349688214680158</v>
      </c>
    </row>
    <row r="11" spans="1:37" customFormat="1" x14ac:dyDescent="0.3">
      <c r="A11">
        <v>100632</v>
      </c>
      <c r="B11" t="s">
        <v>179</v>
      </c>
      <c r="C11" t="s">
        <v>557</v>
      </c>
      <c r="D11" t="s">
        <v>561</v>
      </c>
      <c r="E11" s="21">
        <v>6.7</v>
      </c>
      <c r="F11" s="2">
        <f t="shared" si="4"/>
        <v>0.77777777777777779</v>
      </c>
      <c r="G11" s="10">
        <v>50.707799999999999</v>
      </c>
      <c r="H11">
        <f t="shared" si="5"/>
        <v>0.46282726985962885</v>
      </c>
      <c r="I11" s="12">
        <v>92.8</v>
      </c>
      <c r="J11" s="2">
        <f t="shared" si="6"/>
        <v>0.22491517207949588</v>
      </c>
      <c r="K11" s="10">
        <v>0.2</v>
      </c>
      <c r="L11" s="2">
        <f t="shared" si="7"/>
        <v>0.11764705882352942</v>
      </c>
      <c r="M11">
        <v>26617</v>
      </c>
      <c r="N11">
        <f t="shared" si="8"/>
        <v>0.12480542031577503</v>
      </c>
      <c r="O11" s="10">
        <v>0.755505117</v>
      </c>
      <c r="P11">
        <f t="shared" si="9"/>
        <v>0.73656351890001226</v>
      </c>
      <c r="Q11" s="23">
        <v>0.32450000000000001</v>
      </c>
      <c r="R11" s="13">
        <f t="shared" si="10"/>
        <v>0.70268514508445223</v>
      </c>
      <c r="S11">
        <f t="shared" si="11"/>
        <v>0.15448157994276168</v>
      </c>
      <c r="T11" s="14">
        <f t="shared" si="12"/>
        <v>0.32625680499173099</v>
      </c>
      <c r="U11" t="str">
        <f t="shared" si="13"/>
        <v>Moderate</v>
      </c>
      <c r="V11">
        <f t="shared" si="14"/>
        <v>0.15084524881813841</v>
      </c>
      <c r="W11">
        <f t="shared" si="0"/>
        <v>0.27382839639884543</v>
      </c>
      <c r="X11" t="s">
        <v>1169</v>
      </c>
      <c r="Y11">
        <f t="shared" si="1"/>
        <v>0.15811791106738499</v>
      </c>
      <c r="Z11">
        <f t="shared" si="16"/>
        <v>0.34961455115892487</v>
      </c>
      <c r="AA11" t="str">
        <f t="shared" si="17"/>
        <v>Moderate</v>
      </c>
      <c r="AB11">
        <f t="shared" si="2"/>
        <v>0.10960839261196401</v>
      </c>
      <c r="AC11">
        <f t="shared" si="18"/>
        <v>0.32146563194481259</v>
      </c>
      <c r="AD11" t="str">
        <f t="shared" si="19"/>
        <v>Moderate</v>
      </c>
      <c r="AE11">
        <f t="shared" si="3"/>
        <v>2.6791949158285949E-2</v>
      </c>
      <c r="AF11">
        <f t="shared" si="20"/>
        <v>0.17655391078624144</v>
      </c>
      <c r="AG11" t="s">
        <v>1169</v>
      </c>
      <c r="AH11" s="1" t="s">
        <v>1110</v>
      </c>
      <c r="AI11">
        <f>MAX(O1:O555)</f>
        <v>0.99471256200000002</v>
      </c>
      <c r="AJ11">
        <f>MIN(O1:O555)</f>
        <v>8.6685533999999995E-2</v>
      </c>
      <c r="AK11">
        <f t="shared" si="22"/>
        <v>0.90802702800000001</v>
      </c>
    </row>
    <row r="12" spans="1:37" customFormat="1" x14ac:dyDescent="0.3">
      <c r="A12">
        <v>100636</v>
      </c>
      <c r="B12" t="s">
        <v>210</v>
      </c>
      <c r="C12" t="s">
        <v>557</v>
      </c>
      <c r="D12" t="s">
        <v>562</v>
      </c>
      <c r="E12" s="21">
        <v>6.7</v>
      </c>
      <c r="F12" s="2">
        <f t="shared" si="4"/>
        <v>0.77777777777777779</v>
      </c>
      <c r="G12" s="10">
        <v>55.15992</v>
      </c>
      <c r="H12">
        <f t="shared" si="5"/>
        <v>0.50346327743020869</v>
      </c>
      <c r="I12" s="12">
        <v>81.199999999999989</v>
      </c>
      <c r="J12" s="2">
        <f t="shared" si="6"/>
        <v>0.19680077556955888</v>
      </c>
      <c r="K12" s="10">
        <v>1</v>
      </c>
      <c r="L12" s="2">
        <f t="shared" si="7"/>
        <v>0.58823529411764708</v>
      </c>
      <c r="M12">
        <v>4786</v>
      </c>
      <c r="N12">
        <f t="shared" si="8"/>
        <v>2.1513770800509101E-2</v>
      </c>
      <c r="O12" s="10">
        <v>0.79455427199999995</v>
      </c>
      <c r="P12">
        <f t="shared" si="9"/>
        <v>0.77956791612154519</v>
      </c>
      <c r="Q12" s="23">
        <v>0.32219999999999999</v>
      </c>
      <c r="R12" s="13">
        <f t="shared" si="10"/>
        <v>0.69770463404071026</v>
      </c>
      <c r="S12">
        <f t="shared" si="11"/>
        <v>0.24218578925631201</v>
      </c>
      <c r="T12" s="14">
        <f t="shared" si="12"/>
        <v>0.51148338751093492</v>
      </c>
      <c r="U12" t="str">
        <f t="shared" si="13"/>
        <v>Moderate</v>
      </c>
      <c r="V12">
        <f t="shared" si="14"/>
        <v>0.22876502706880536</v>
      </c>
      <c r="W12">
        <f t="shared" si="0"/>
        <v>0.41527566168101282</v>
      </c>
      <c r="X12" t="str">
        <f t="shared" si="15"/>
        <v>Moderate</v>
      </c>
      <c r="Y12">
        <f t="shared" si="1"/>
        <v>0.25560655144381866</v>
      </c>
      <c r="Z12">
        <f t="shared" si="16"/>
        <v>0.56517170732306987</v>
      </c>
      <c r="AA12" t="str">
        <f t="shared" si="17"/>
        <v>Moderate</v>
      </c>
      <c r="AB12">
        <f t="shared" si="2"/>
        <v>0.15921861982606955</v>
      </c>
      <c r="AC12">
        <f t="shared" si="18"/>
        <v>0.46696528450123026</v>
      </c>
      <c r="AD12" t="str">
        <f t="shared" si="19"/>
        <v>Moderate</v>
      </c>
      <c r="AE12">
        <f t="shared" si="3"/>
        <v>7.0539854824059681E-3</v>
      </c>
      <c r="AF12">
        <f t="shared" si="20"/>
        <v>4.6484438895815751E-2</v>
      </c>
      <c r="AG12" t="s">
        <v>1170</v>
      </c>
      <c r="AH12" s="1" t="s">
        <v>1111</v>
      </c>
      <c r="AI12">
        <f>MAX(Q1:Q555)</f>
        <v>0.46179999999999999</v>
      </c>
      <c r="AJ12">
        <f>MIN(Q1:Q555)</f>
        <v>0</v>
      </c>
      <c r="AK12">
        <f t="shared" si="22"/>
        <v>0.46179999999999999</v>
      </c>
    </row>
    <row r="13" spans="1:37" customFormat="1" x14ac:dyDescent="0.3">
      <c r="A13">
        <v>100651</v>
      </c>
      <c r="B13" t="s">
        <v>49</v>
      </c>
      <c r="C13" t="s">
        <v>557</v>
      </c>
      <c r="D13" t="s">
        <v>1123</v>
      </c>
      <c r="E13" s="21">
        <v>6.8</v>
      </c>
      <c r="F13" s="2">
        <f t="shared" si="4"/>
        <v>0.79999999999999993</v>
      </c>
      <c r="G13" s="10">
        <v>53.553959999999996</v>
      </c>
      <c r="H13">
        <f t="shared" si="5"/>
        <v>0.48880513642815837</v>
      </c>
      <c r="I13" s="12">
        <v>84.8</v>
      </c>
      <c r="J13" s="2">
        <f t="shared" si="6"/>
        <v>0.20552593310712555</v>
      </c>
      <c r="K13" s="10">
        <v>0.5</v>
      </c>
      <c r="L13" s="2">
        <f t="shared" si="7"/>
        <v>0.29411764705882354</v>
      </c>
      <c r="M13">
        <v>47691</v>
      </c>
      <c r="N13">
        <f t="shared" si="8"/>
        <v>0.22451538421503361</v>
      </c>
      <c r="O13" s="10">
        <v>0.78589732800000001</v>
      </c>
      <c r="P13">
        <f t="shared" si="9"/>
        <v>0.77003412061430399</v>
      </c>
      <c r="Q13" s="23">
        <v>0.33860000000000001</v>
      </c>
      <c r="R13" s="13">
        <f t="shared" si="10"/>
        <v>0.73321784322217409</v>
      </c>
      <c r="S13">
        <f t="shared" si="11"/>
        <v>0.19918158780124054</v>
      </c>
      <c r="T13" s="14">
        <f t="shared" si="12"/>
        <v>0.42066082230186019</v>
      </c>
      <c r="U13" t="str">
        <f t="shared" si="13"/>
        <v>Moderate</v>
      </c>
      <c r="V13">
        <f t="shared" si="14"/>
        <v>0.19430341383951802</v>
      </c>
      <c r="W13">
        <f t="shared" si="0"/>
        <v>0.35271771993722029</v>
      </c>
      <c r="X13" t="str">
        <f t="shared" si="15"/>
        <v>Moderate</v>
      </c>
      <c r="Y13">
        <f t="shared" si="1"/>
        <v>0.20405976176296306</v>
      </c>
      <c r="Z13">
        <f t="shared" si="16"/>
        <v>0.45119658827235321</v>
      </c>
      <c r="AA13" t="str">
        <f t="shared" si="17"/>
        <v>Moderate</v>
      </c>
      <c r="AB13">
        <f t="shared" si="2"/>
        <v>0.15004799871277888</v>
      </c>
      <c r="AC13">
        <f t="shared" si="18"/>
        <v>0.44006917334351003</v>
      </c>
      <c r="AD13" t="str">
        <f t="shared" si="19"/>
        <v>Moderate</v>
      </c>
      <c r="AE13">
        <f t="shared" si="3"/>
        <v>5.9496786685881868E-2</v>
      </c>
      <c r="AF13">
        <f t="shared" si="20"/>
        <v>0.39207264490342353</v>
      </c>
      <c r="AG13" t="str">
        <f t="shared" si="21"/>
        <v>Moderate</v>
      </c>
      <c r="AH13" s="1" t="s">
        <v>1115</v>
      </c>
      <c r="AI13">
        <f>MAX(V1:V545)</f>
        <v>0.55087511303401993</v>
      </c>
      <c r="AJ13">
        <f>MIN(V1:V555)</f>
        <v>0</v>
      </c>
      <c r="AK13">
        <f t="shared" si="22"/>
        <v>0.55087511303401993</v>
      </c>
    </row>
    <row r="14" spans="1:37" customFormat="1" x14ac:dyDescent="0.3">
      <c r="A14">
        <v>100662</v>
      </c>
      <c r="B14" t="s">
        <v>334</v>
      </c>
      <c r="C14" t="s">
        <v>557</v>
      </c>
      <c r="D14" t="s">
        <v>563</v>
      </c>
      <c r="E14" s="21">
        <v>6.7</v>
      </c>
      <c r="F14" s="2">
        <f t="shared" si="4"/>
        <v>0.77777777777777779</v>
      </c>
      <c r="G14" s="10">
        <v>55.15992</v>
      </c>
      <c r="H14">
        <f t="shared" si="5"/>
        <v>0.50346327743020869</v>
      </c>
      <c r="I14" s="12">
        <v>78.399999999999991</v>
      </c>
      <c r="J14" s="2">
        <f t="shared" si="6"/>
        <v>0.19001454192922929</v>
      </c>
      <c r="K14" s="10">
        <v>1</v>
      </c>
      <c r="L14" s="2">
        <f t="shared" si="7"/>
        <v>0.58823529411764708</v>
      </c>
      <c r="M14">
        <v>15037</v>
      </c>
      <c r="N14">
        <f t="shared" si="8"/>
        <v>7.0015566374737992E-2</v>
      </c>
      <c r="O14" s="10">
        <v>0.76204103400000001</v>
      </c>
      <c r="P14">
        <f t="shared" si="9"/>
        <v>0.74376145111839109</v>
      </c>
      <c r="Q14" s="23">
        <v>0.34320000000000001</v>
      </c>
      <c r="R14" s="13">
        <f t="shared" si="10"/>
        <v>0.74317886530965793</v>
      </c>
      <c r="S14">
        <f t="shared" si="11"/>
        <v>0.24239727445297266</v>
      </c>
      <c r="T14" s="14">
        <f t="shared" si="12"/>
        <v>0.51193003289474781</v>
      </c>
      <c r="U14" t="str">
        <f t="shared" si="13"/>
        <v>Moderate</v>
      </c>
      <c r="V14">
        <f t="shared" si="14"/>
        <v>0.2423023027781773</v>
      </c>
      <c r="W14">
        <f t="shared" si="0"/>
        <v>0.43984978998899454</v>
      </c>
      <c r="X14" t="str">
        <f t="shared" si="15"/>
        <v>Moderate</v>
      </c>
      <c r="Y14">
        <f t="shared" si="1"/>
        <v>0.24249224612776804</v>
      </c>
      <c r="Z14">
        <f t="shared" si="16"/>
        <v>0.5361746636872089</v>
      </c>
      <c r="AA14" t="str">
        <f t="shared" si="17"/>
        <v>Moderate</v>
      </c>
      <c r="AB14">
        <f t="shared" si="2"/>
        <v>0.16554311301231348</v>
      </c>
      <c r="AC14">
        <f t="shared" si="18"/>
        <v>0.48551411229076075</v>
      </c>
      <c r="AD14" t="str">
        <f t="shared" si="19"/>
        <v>Moderate</v>
      </c>
      <c r="AE14">
        <f t="shared" si="3"/>
        <v>2.2827523433202868E-2</v>
      </c>
      <c r="AF14">
        <f t="shared" si="20"/>
        <v>0.15042909016756204</v>
      </c>
      <c r="AG14" t="s">
        <v>1169</v>
      </c>
      <c r="AH14" s="1" t="s">
        <v>1121</v>
      </c>
      <c r="AI14">
        <f>MAX(Y1:Y545)</f>
        <v>0.45226353005973446</v>
      </c>
      <c r="AJ14">
        <f>MIN(Y1:Y555)</f>
        <v>0</v>
      </c>
      <c r="AK14">
        <f t="shared" si="22"/>
        <v>0.45226353005973446</v>
      </c>
    </row>
    <row r="15" spans="1:37" customFormat="1" x14ac:dyDescent="0.3">
      <c r="A15">
        <v>100669</v>
      </c>
      <c r="B15" t="s">
        <v>355</v>
      </c>
      <c r="C15" t="s">
        <v>557</v>
      </c>
      <c r="D15" t="s">
        <v>564</v>
      </c>
      <c r="E15" s="21">
        <v>6.7</v>
      </c>
      <c r="F15" s="2">
        <f t="shared" si="4"/>
        <v>0.77777777777777779</v>
      </c>
      <c r="G15" s="10">
        <v>50.648040000000002</v>
      </c>
      <c r="H15">
        <f t="shared" si="5"/>
        <v>0.46228182009358082</v>
      </c>
      <c r="I15" s="12">
        <v>89.7</v>
      </c>
      <c r="J15" s="2">
        <f t="shared" si="6"/>
        <v>0.2174018419777024</v>
      </c>
      <c r="K15" s="10">
        <v>1</v>
      </c>
      <c r="L15" s="2">
        <f t="shared" si="7"/>
        <v>0.58823529411764708</v>
      </c>
      <c r="M15">
        <v>4807</v>
      </c>
      <c r="N15">
        <f t="shared" si="8"/>
        <v>2.1613130639262276E-2</v>
      </c>
      <c r="O15" s="10">
        <v>0.72722841299999996</v>
      </c>
      <c r="P15">
        <f t="shared" si="9"/>
        <v>0.70542270136038276</v>
      </c>
      <c r="Q15" s="23">
        <v>0.32900000000000001</v>
      </c>
      <c r="R15" s="13">
        <f t="shared" si="10"/>
        <v>0.71242962321351244</v>
      </c>
      <c r="S15">
        <f t="shared" si="11"/>
        <v>0.22847265187960411</v>
      </c>
      <c r="T15" s="14">
        <f t="shared" si="12"/>
        <v>0.48252197742828878</v>
      </c>
      <c r="U15" t="str">
        <f t="shared" si="13"/>
        <v>Moderate</v>
      </c>
      <c r="V15">
        <f t="shared" si="14"/>
        <v>0.22960174691267027</v>
      </c>
      <c r="W15">
        <f t="shared" si="0"/>
        <v>0.4167945537566714</v>
      </c>
      <c r="X15" t="str">
        <f t="shared" si="15"/>
        <v>Moderate</v>
      </c>
      <c r="Y15">
        <f t="shared" si="1"/>
        <v>0.22734355684653795</v>
      </c>
      <c r="Z15">
        <f t="shared" si="16"/>
        <v>0.50267939317705024</v>
      </c>
      <c r="AA15" t="str">
        <f t="shared" si="17"/>
        <v>Moderate</v>
      </c>
      <c r="AB15">
        <f t="shared" si="2"/>
        <v>0.15100159561814491</v>
      </c>
      <c r="AC15">
        <f t="shared" si="18"/>
        <v>0.44286593574918964</v>
      </c>
      <c r="AD15" t="str">
        <f t="shared" si="19"/>
        <v>Moderate</v>
      </c>
      <c r="AE15">
        <f t="shared" si="3"/>
        <v>6.9654775564254728E-3</v>
      </c>
      <c r="AF15">
        <f t="shared" si="20"/>
        <v>4.5901188294110176E-2</v>
      </c>
      <c r="AG15" t="s">
        <v>1170</v>
      </c>
      <c r="AH15" s="1" t="s">
        <v>1160</v>
      </c>
      <c r="AI15">
        <f>MAX(AB1:AB545)</f>
        <v>0.34096457512068024</v>
      </c>
      <c r="AJ15">
        <f>MIN(AB1:AB555)</f>
        <v>0</v>
      </c>
      <c r="AK15">
        <f t="shared" si="22"/>
        <v>0.34096457512068024</v>
      </c>
    </row>
    <row r="16" spans="1:37" customFormat="1" x14ac:dyDescent="0.3">
      <c r="A16">
        <v>100694</v>
      </c>
      <c r="B16" t="s">
        <v>537</v>
      </c>
      <c r="C16" t="s">
        <v>557</v>
      </c>
      <c r="D16" t="s">
        <v>565</v>
      </c>
      <c r="E16" s="21">
        <v>6.7</v>
      </c>
      <c r="F16" s="2">
        <f t="shared" si="4"/>
        <v>0.77777777777777779</v>
      </c>
      <c r="G16" s="10">
        <v>50.932079999999999</v>
      </c>
      <c r="H16">
        <f t="shared" si="5"/>
        <v>0.46487434940329114</v>
      </c>
      <c r="I16" s="12">
        <v>97.4</v>
      </c>
      <c r="J16" s="2">
        <f t="shared" si="6"/>
        <v>0.23606398448860885</v>
      </c>
      <c r="K16" s="10">
        <v>0.1</v>
      </c>
      <c r="L16" s="2">
        <f t="shared" si="7"/>
        <v>5.8823529411764712E-2</v>
      </c>
      <c r="M16">
        <v>26434</v>
      </c>
      <c r="N16">
        <f t="shared" si="8"/>
        <v>0.1239395702923545</v>
      </c>
      <c r="O16" s="10">
        <v>0.83544914100000001</v>
      </c>
      <c r="P16">
        <f t="shared" si="9"/>
        <v>0.82460497750734352</v>
      </c>
      <c r="Q16" s="23">
        <v>0.28420000000000001</v>
      </c>
      <c r="R16" s="13">
        <f t="shared" si="10"/>
        <v>0.61541792983975752</v>
      </c>
      <c r="S16">
        <f t="shared" si="11"/>
        <v>0.14726860907807243</v>
      </c>
      <c r="T16" s="14">
        <f t="shared" si="12"/>
        <v>0.31102339768398668</v>
      </c>
      <c r="U16" t="str">
        <f t="shared" si="13"/>
        <v>Moderate</v>
      </c>
      <c r="V16">
        <f t="shared" si="14"/>
        <v>0.1258754177684232</v>
      </c>
      <c r="W16">
        <f t="shared" si="0"/>
        <v>0.22850082494223989</v>
      </c>
      <c r="X16" t="s">
        <v>1169</v>
      </c>
      <c r="Y16">
        <f t="shared" si="1"/>
        <v>0.16866180038772169</v>
      </c>
      <c r="Z16">
        <f t="shared" si="16"/>
        <v>0.37292814736895769</v>
      </c>
      <c r="AA16" t="str">
        <f t="shared" si="17"/>
        <v>Moderate</v>
      </c>
      <c r="AB16">
        <f t="shared" si="2"/>
        <v>0.10352749358660746</v>
      </c>
      <c r="AC16">
        <f t="shared" si="18"/>
        <v>0.30363123075165555</v>
      </c>
      <c r="AD16" t="str">
        <f t="shared" si="19"/>
        <v>Moderate</v>
      </c>
      <c r="AE16">
        <f t="shared" si="3"/>
        <v>2.5350163575265264E-2</v>
      </c>
      <c r="AF16">
        <f t="shared" si="20"/>
        <v>0.16705281470347294</v>
      </c>
      <c r="AG16" t="s">
        <v>1169</v>
      </c>
      <c r="AH16" s="1" t="s">
        <v>1161</v>
      </c>
      <c r="AI16">
        <f>MAX(AE1:AE545)</f>
        <v>0.15174939506564475</v>
      </c>
      <c r="AJ16">
        <f>MIN(AE1:AE555)</f>
        <v>0</v>
      </c>
      <c r="AK16">
        <f t="shared" si="22"/>
        <v>0.15174939506564475</v>
      </c>
    </row>
    <row r="17" spans="1:33" customFormat="1" x14ac:dyDescent="0.3">
      <c r="A17">
        <v>100918</v>
      </c>
      <c r="B17" t="s">
        <v>71</v>
      </c>
      <c r="C17" t="s">
        <v>567</v>
      </c>
      <c r="D17" t="s">
        <v>566</v>
      </c>
      <c r="E17" s="21">
        <v>7.2</v>
      </c>
      <c r="F17" s="2">
        <f t="shared" si="4"/>
        <v>0.88888888888888884</v>
      </c>
      <c r="G17" s="10">
        <v>57.310560000000002</v>
      </c>
      <c r="H17">
        <f t="shared" si="5"/>
        <v>0.52309289732401032</v>
      </c>
      <c r="I17" s="12">
        <v>71.000000000000014</v>
      </c>
      <c r="J17" s="2">
        <f t="shared" si="6"/>
        <v>0.17207949587978677</v>
      </c>
      <c r="K17" s="10">
        <v>1</v>
      </c>
      <c r="L17" s="2">
        <f t="shared" si="7"/>
        <v>0.58823529411764708</v>
      </c>
      <c r="M17">
        <v>36805</v>
      </c>
      <c r="N17">
        <f t="shared" si="8"/>
        <v>0.1730091363737444</v>
      </c>
      <c r="O17" s="10">
        <v>0.90781101099999995</v>
      </c>
      <c r="P17">
        <f t="shared" si="9"/>
        <v>0.90429629480148022</v>
      </c>
      <c r="Q17" s="23">
        <v>0.38429999999999997</v>
      </c>
      <c r="R17" s="13">
        <f t="shared" si="10"/>
        <v>0.83217843222174093</v>
      </c>
      <c r="S17">
        <f t="shared" si="11"/>
        <v>0.32397287494952642</v>
      </c>
      <c r="T17" s="14">
        <f t="shared" si="12"/>
        <v>0.68421332254746048</v>
      </c>
      <c r="U17" t="str">
        <f t="shared" si="13"/>
        <v>Moderate</v>
      </c>
      <c r="V17">
        <f t="shared" si="14"/>
        <v>0.31051789578307154</v>
      </c>
      <c r="W17">
        <f t="shared" si="0"/>
        <v>0.56368111108314878</v>
      </c>
      <c r="X17" t="str">
        <f t="shared" si="15"/>
        <v>Moderate</v>
      </c>
      <c r="Y17">
        <f t="shared" si="1"/>
        <v>0.33742785411598142</v>
      </c>
      <c r="Z17">
        <f t="shared" si="16"/>
        <v>0.74608680932423255</v>
      </c>
      <c r="AA17" t="str">
        <f t="shared" si="17"/>
        <v>High</v>
      </c>
      <c r="AB17">
        <f t="shared" si="2"/>
        <v>0.2325043552317751</v>
      </c>
      <c r="AC17">
        <f t="shared" si="18"/>
        <v>0.68190179331528222</v>
      </c>
      <c r="AD17" t="str">
        <f t="shared" si="19"/>
        <v>Moderate</v>
      </c>
      <c r="AE17">
        <f t="shared" si="3"/>
        <v>6.4556387065444601E-2</v>
      </c>
      <c r="AF17">
        <f t="shared" si="20"/>
        <v>0.42541446071345707</v>
      </c>
      <c r="AG17" t="str">
        <f t="shared" si="21"/>
        <v>Moderate</v>
      </c>
    </row>
    <row r="18" spans="1:33" customFormat="1" x14ac:dyDescent="0.3">
      <c r="A18">
        <v>100921</v>
      </c>
      <c r="B18" t="s">
        <v>90</v>
      </c>
      <c r="C18" t="s">
        <v>567</v>
      </c>
      <c r="D18" t="s">
        <v>568</v>
      </c>
      <c r="E18" s="21">
        <v>7.2</v>
      </c>
      <c r="F18" s="2">
        <f t="shared" si="4"/>
        <v>0.88888888888888884</v>
      </c>
      <c r="G18" s="10">
        <v>57.994200000000006</v>
      </c>
      <c r="H18">
        <f t="shared" si="5"/>
        <v>0.52933271121392156</v>
      </c>
      <c r="I18" s="12">
        <v>64.699999999999989</v>
      </c>
      <c r="J18" s="2">
        <f t="shared" si="6"/>
        <v>0.15681047018904506</v>
      </c>
      <c r="K18" s="10">
        <v>1</v>
      </c>
      <c r="L18" s="2">
        <f t="shared" si="7"/>
        <v>0.58823529411764708</v>
      </c>
      <c r="M18">
        <v>23768</v>
      </c>
      <c r="N18">
        <f t="shared" si="8"/>
        <v>0.11132560219159415</v>
      </c>
      <c r="O18" s="10">
        <v>0.83327052400000001</v>
      </c>
      <c r="P18">
        <f t="shared" si="9"/>
        <v>0.82220569099623764</v>
      </c>
      <c r="Q18" s="23">
        <v>0.38890000000000002</v>
      </c>
      <c r="R18" s="13">
        <f t="shared" si="10"/>
        <v>0.84213945430922488</v>
      </c>
      <c r="S18">
        <f t="shared" si="11"/>
        <v>0.3081780632675451</v>
      </c>
      <c r="T18" s="14">
        <f t="shared" si="12"/>
        <v>0.65085552806659974</v>
      </c>
      <c r="U18" t="str">
        <f t="shared" si="13"/>
        <v>Moderate</v>
      </c>
      <c r="V18">
        <f t="shared" si="14"/>
        <v>0.31186909369399107</v>
      </c>
      <c r="W18">
        <f t="shared" si="0"/>
        <v>0.56613393183861482</v>
      </c>
      <c r="X18" t="str">
        <f t="shared" si="15"/>
        <v>Moderate</v>
      </c>
      <c r="Y18">
        <f t="shared" si="1"/>
        <v>0.30448703284109918</v>
      </c>
      <c r="Z18">
        <f t="shared" si="16"/>
        <v>0.67325135148722448</v>
      </c>
      <c r="AA18" t="str">
        <f t="shared" si="17"/>
        <v>Moderate</v>
      </c>
      <c r="AB18">
        <f t="shared" si="2"/>
        <v>0.21492979724683456</v>
      </c>
      <c r="AC18">
        <f t="shared" si="18"/>
        <v>0.63035814547820046</v>
      </c>
      <c r="AD18" t="str">
        <f t="shared" si="19"/>
        <v>Moderate</v>
      </c>
      <c r="AE18">
        <f t="shared" si="3"/>
        <v>4.1227156004594215E-2</v>
      </c>
      <c r="AF18">
        <f t="shared" si="20"/>
        <v>0.27167921154980484</v>
      </c>
      <c r="AG18" t="s">
        <v>1169</v>
      </c>
    </row>
    <row r="19" spans="1:33" customFormat="1" x14ac:dyDescent="0.3">
      <c r="A19">
        <v>100925</v>
      </c>
      <c r="B19" t="s">
        <v>100</v>
      </c>
      <c r="C19" t="s">
        <v>567</v>
      </c>
      <c r="D19" t="s">
        <v>569</v>
      </c>
      <c r="E19" s="21">
        <v>7.2</v>
      </c>
      <c r="F19" s="2">
        <f t="shared" si="4"/>
        <v>0.88888888888888884</v>
      </c>
      <c r="G19" s="10">
        <v>79.095600000000005</v>
      </c>
      <c r="H19">
        <f t="shared" si="5"/>
        <v>0.7219323379422744</v>
      </c>
      <c r="I19" s="12">
        <v>63.400000000000013</v>
      </c>
      <c r="J19" s="2">
        <f t="shared" si="6"/>
        <v>0.15365971885603494</v>
      </c>
      <c r="K19" s="10">
        <v>1.5</v>
      </c>
      <c r="L19" s="2">
        <f t="shared" si="7"/>
        <v>0.88235294117647056</v>
      </c>
      <c r="M19">
        <v>19441</v>
      </c>
      <c r="N19">
        <f t="shared" si="8"/>
        <v>9.0852743987546905E-2</v>
      </c>
      <c r="O19" s="10">
        <v>0.82435042199999997</v>
      </c>
      <c r="P19">
        <f t="shared" si="9"/>
        <v>0.81238208252981647</v>
      </c>
      <c r="Q19" s="23">
        <v>0.37219999999999998</v>
      </c>
      <c r="R19" s="13">
        <f t="shared" si="10"/>
        <v>0.80597661325249026</v>
      </c>
      <c r="S19">
        <f t="shared" si="11"/>
        <v>0.41082078809232059</v>
      </c>
      <c r="T19" s="14">
        <f t="shared" si="12"/>
        <v>0.86763145351599358</v>
      </c>
      <c r="U19" t="str">
        <f t="shared" si="13"/>
        <v>High</v>
      </c>
      <c r="V19">
        <f t="shared" si="14"/>
        <v>0.40919475800179095</v>
      </c>
      <c r="W19">
        <f t="shared" si="0"/>
        <v>0.74280857551922241</v>
      </c>
      <c r="X19" t="str">
        <f t="shared" si="15"/>
        <v>High</v>
      </c>
      <c r="Y19">
        <f t="shared" si="1"/>
        <v>0.41244681818285023</v>
      </c>
      <c r="Z19">
        <f t="shared" si="16"/>
        <v>0.91196125880053758</v>
      </c>
      <c r="AA19" t="str">
        <f t="shared" si="17"/>
        <v>High</v>
      </c>
      <c r="AB19">
        <f t="shared" si="2"/>
        <v>0.28309630612062592</v>
      </c>
      <c r="AC19">
        <f t="shared" si="18"/>
        <v>0.83028070004171972</v>
      </c>
      <c r="AD19" t="str">
        <f t="shared" si="19"/>
        <v>High</v>
      </c>
      <c r="AE19">
        <f t="shared" si="3"/>
        <v>4.6125986757554416E-2</v>
      </c>
      <c r="AF19">
        <f t="shared" si="20"/>
        <v>0.3039615857288982</v>
      </c>
      <c r="AG19" t="str">
        <f t="shared" si="21"/>
        <v>Moderate</v>
      </c>
    </row>
    <row r="20" spans="1:33" customFormat="1" x14ac:dyDescent="0.3">
      <c r="A20">
        <v>100929</v>
      </c>
      <c r="B20" t="s">
        <v>131</v>
      </c>
      <c r="C20" t="s">
        <v>567</v>
      </c>
      <c r="D20" t="s">
        <v>1124</v>
      </c>
      <c r="E20" s="21">
        <v>7.2</v>
      </c>
      <c r="F20" s="2">
        <f t="shared" si="4"/>
        <v>0.88888888888888884</v>
      </c>
      <c r="G20" s="10">
        <v>57.994200000000006</v>
      </c>
      <c r="H20">
        <f t="shared" si="5"/>
        <v>0.52933271121392156</v>
      </c>
      <c r="I20" s="12">
        <v>66.600000000000009</v>
      </c>
      <c r="J20" s="2">
        <f t="shared" si="6"/>
        <v>0.16141541444498306</v>
      </c>
      <c r="K20" s="10">
        <v>1</v>
      </c>
      <c r="L20" s="2">
        <f t="shared" si="7"/>
        <v>0.58823529411764708</v>
      </c>
      <c r="M20">
        <v>11391</v>
      </c>
      <c r="N20">
        <f t="shared" si="8"/>
        <v>5.2764805798829445E-2</v>
      </c>
      <c r="O20" s="10">
        <v>0.88380282600000004</v>
      </c>
      <c r="P20">
        <f t="shared" si="9"/>
        <v>0.87785634944778324</v>
      </c>
      <c r="Q20" s="23">
        <v>0.40139999999999998</v>
      </c>
      <c r="R20" s="13">
        <f t="shared" si="10"/>
        <v>0.86920744911216974</v>
      </c>
      <c r="S20">
        <f t="shared" si="11"/>
        <v>0.324746107425821</v>
      </c>
      <c r="T20" s="14">
        <f t="shared" si="12"/>
        <v>0.68584634803389832</v>
      </c>
      <c r="U20" t="str">
        <f t="shared" si="13"/>
        <v>Moderate</v>
      </c>
      <c r="V20">
        <f t="shared" si="14"/>
        <v>0.32313844048210688</v>
      </c>
      <c r="W20">
        <f t="shared" si="0"/>
        <v>0.58659110356679167</v>
      </c>
      <c r="X20" t="str">
        <f t="shared" si="15"/>
        <v>Moderate</v>
      </c>
      <c r="Y20">
        <f t="shared" si="1"/>
        <v>0.32635377436953494</v>
      </c>
      <c r="Z20">
        <f t="shared" si="16"/>
        <v>0.72160090893561657</v>
      </c>
      <c r="AA20" t="str">
        <f t="shared" si="17"/>
        <v>High</v>
      </c>
      <c r="AB20">
        <f t="shared" si="2"/>
        <v>0.21787017187748728</v>
      </c>
      <c r="AC20">
        <f t="shared" si="18"/>
        <v>0.63898184085656051</v>
      </c>
      <c r="AD20" t="str">
        <f t="shared" si="19"/>
        <v>Moderate</v>
      </c>
      <c r="AE20">
        <f t="shared" si="3"/>
        <v>1.9615958279684115E-2</v>
      </c>
      <c r="AF20">
        <f t="shared" si="20"/>
        <v>0.12926547925412496</v>
      </c>
      <c r="AG20" t="s">
        <v>1169</v>
      </c>
    </row>
    <row r="21" spans="1:33" customFormat="1" x14ac:dyDescent="0.3">
      <c r="A21">
        <v>100954</v>
      </c>
      <c r="B21" t="s">
        <v>301</v>
      </c>
      <c r="C21" t="s">
        <v>567</v>
      </c>
      <c r="D21" t="s">
        <v>570</v>
      </c>
      <c r="E21" s="21">
        <v>7.2</v>
      </c>
      <c r="F21" s="2">
        <f t="shared" si="4"/>
        <v>0.88888888888888884</v>
      </c>
      <c r="G21" s="10">
        <v>63.232559999999999</v>
      </c>
      <c r="H21">
        <f t="shared" si="5"/>
        <v>0.5771449976341938</v>
      </c>
      <c r="I21" s="12">
        <v>63.099999999999987</v>
      </c>
      <c r="J21" s="2">
        <f t="shared" si="6"/>
        <v>0.15293262239457101</v>
      </c>
      <c r="K21" s="10">
        <v>1</v>
      </c>
      <c r="L21" s="2">
        <f t="shared" si="7"/>
        <v>0.58823529411764708</v>
      </c>
      <c r="M21">
        <v>17773</v>
      </c>
      <c r="N21">
        <f t="shared" si="8"/>
        <v>8.2960733938008929E-2</v>
      </c>
      <c r="O21" s="10">
        <v>0.92547457700000002</v>
      </c>
      <c r="P21">
        <f t="shared" si="9"/>
        <v>0.92374898228249658</v>
      </c>
      <c r="Q21" s="23">
        <v>0.3896</v>
      </c>
      <c r="R21" s="13">
        <f t="shared" si="10"/>
        <v>0.84365526201818974</v>
      </c>
      <c r="S21">
        <f t="shared" si="11"/>
        <v>0.33933985162178731</v>
      </c>
      <c r="T21" s="14">
        <f t="shared" si="12"/>
        <v>0.71666755245197034</v>
      </c>
      <c r="U21" t="str">
        <f t="shared" si="13"/>
        <v>High</v>
      </c>
      <c r="V21">
        <f t="shared" si="14"/>
        <v>0.3239619372380404</v>
      </c>
      <c r="W21">
        <f t="shared" si="0"/>
        <v>0.5880859918571667</v>
      </c>
      <c r="X21" t="str">
        <f t="shared" si="15"/>
        <v>Moderate</v>
      </c>
      <c r="Y21">
        <f t="shared" si="1"/>
        <v>0.35471776600553417</v>
      </c>
      <c r="Z21">
        <f t="shared" si="16"/>
        <v>0.78431653765821763</v>
      </c>
      <c r="AA21" t="str">
        <f t="shared" si="17"/>
        <v>High</v>
      </c>
      <c r="AB21">
        <f t="shared" si="2"/>
        <v>0.23095187253911184</v>
      </c>
      <c r="AC21">
        <f t="shared" si="18"/>
        <v>0.67734858513489049</v>
      </c>
      <c r="AD21" t="str">
        <f t="shared" si="19"/>
        <v>Moderate</v>
      </c>
      <c r="AE21">
        <f t="shared" si="3"/>
        <v>3.1856756297535607E-2</v>
      </c>
      <c r="AF21">
        <f t="shared" si="20"/>
        <v>0.20993003816426947</v>
      </c>
      <c r="AG21" t="s">
        <v>1169</v>
      </c>
    </row>
    <row r="22" spans="1:33" customFormat="1" x14ac:dyDescent="0.3">
      <c r="A22">
        <v>100965</v>
      </c>
      <c r="B22" t="s">
        <v>326</v>
      </c>
      <c r="C22" t="s">
        <v>567</v>
      </c>
      <c r="D22" t="s">
        <v>571</v>
      </c>
      <c r="E22" s="21">
        <v>5.3</v>
      </c>
      <c r="F22" s="2">
        <f t="shared" si="4"/>
        <v>0.46666666666666656</v>
      </c>
      <c r="G22" s="10">
        <v>74.383200000000002</v>
      </c>
      <c r="H22">
        <f t="shared" si="5"/>
        <v>0.67892066663161776</v>
      </c>
      <c r="I22" s="12">
        <v>51.1</v>
      </c>
      <c r="J22" s="2">
        <f t="shared" si="6"/>
        <v>0.12384876393601553</v>
      </c>
      <c r="K22" s="10">
        <v>1</v>
      </c>
      <c r="L22" s="2">
        <f t="shared" si="7"/>
        <v>0.58823529411764708</v>
      </c>
      <c r="M22">
        <v>12816</v>
      </c>
      <c r="N22">
        <f t="shared" si="8"/>
        <v>5.9507080571366389E-2</v>
      </c>
      <c r="O22" s="10">
        <v>0.68064322799999999</v>
      </c>
      <c r="P22">
        <f t="shared" si="9"/>
        <v>0.6541189586704681</v>
      </c>
      <c r="Q22" s="23">
        <v>0.35170000000000001</v>
      </c>
      <c r="R22" s="13">
        <f t="shared" si="10"/>
        <v>0.76158510177566052</v>
      </c>
      <c r="S22">
        <f t="shared" si="11"/>
        <v>0.15110655190722963</v>
      </c>
      <c r="T22" s="14">
        <f t="shared" si="12"/>
        <v>0.31912892693637845</v>
      </c>
      <c r="U22" t="str">
        <f t="shared" si="13"/>
        <v>Moderate</v>
      </c>
      <c r="V22">
        <f t="shared" si="14"/>
        <v>0.16257705537267653</v>
      </c>
      <c r="W22">
        <f t="shared" si="0"/>
        <v>0.29512506832494428</v>
      </c>
      <c r="X22" t="s">
        <v>1169</v>
      </c>
      <c r="Y22">
        <f t="shared" si="1"/>
        <v>0.13963604844178276</v>
      </c>
      <c r="Z22">
        <f t="shared" si="16"/>
        <v>0.30874930026601921</v>
      </c>
      <c r="AA22" t="str">
        <f t="shared" si="17"/>
        <v>Moderate</v>
      </c>
      <c r="AB22">
        <f t="shared" si="2"/>
        <v>0.10323886625977216</v>
      </c>
      <c r="AC22">
        <f t="shared" si="18"/>
        <v>0.30278472836432357</v>
      </c>
      <c r="AD22" t="str">
        <f t="shared" si="19"/>
        <v>Moderate</v>
      </c>
      <c r="AE22">
        <f t="shared" si="3"/>
        <v>1.2703092419430181E-2</v>
      </c>
      <c r="AF22">
        <f t="shared" si="20"/>
        <v>8.3710992152126823E-2</v>
      </c>
      <c r="AG22" t="s">
        <v>1170</v>
      </c>
    </row>
    <row r="23" spans="1:33" customFormat="1" x14ac:dyDescent="0.3">
      <c r="A23">
        <v>100991</v>
      </c>
      <c r="B23" t="s">
        <v>519</v>
      </c>
      <c r="C23" t="s">
        <v>567</v>
      </c>
      <c r="D23" t="s">
        <v>572</v>
      </c>
      <c r="E23" s="21">
        <v>5.3</v>
      </c>
      <c r="F23" s="2">
        <f t="shared" si="4"/>
        <v>0.46666666666666656</v>
      </c>
      <c r="G23" s="10">
        <v>61.886879999999998</v>
      </c>
      <c r="H23">
        <f t="shared" si="5"/>
        <v>0.56486252037222018</v>
      </c>
      <c r="I23" s="12">
        <v>53.6</v>
      </c>
      <c r="J23" s="2">
        <f t="shared" si="6"/>
        <v>0.12990790111488126</v>
      </c>
      <c r="K23" s="10">
        <v>1</v>
      </c>
      <c r="L23" s="2">
        <f t="shared" si="7"/>
        <v>0.58823529411764708</v>
      </c>
      <c r="M23">
        <v>7108</v>
      </c>
      <c r="N23">
        <f t="shared" si="8"/>
        <v>3.2500130114074557E-2</v>
      </c>
      <c r="O23" s="10">
        <v>0.82798430499999998</v>
      </c>
      <c r="P23">
        <f t="shared" si="9"/>
        <v>0.81638403719409991</v>
      </c>
      <c r="Q23" s="23">
        <v>0.33700000000000002</v>
      </c>
      <c r="R23" s="13">
        <f t="shared" si="10"/>
        <v>0.72975313988739721</v>
      </c>
      <c r="S23">
        <f t="shared" si="11"/>
        <v>0.15139165288362613</v>
      </c>
      <c r="T23" s="14">
        <f t="shared" si="12"/>
        <v>0.3197310448956433</v>
      </c>
      <c r="U23" t="str">
        <f t="shared" si="13"/>
        <v>Moderate</v>
      </c>
      <c r="V23">
        <f t="shared" si="14"/>
        <v>0.14290909717740494</v>
      </c>
      <c r="W23">
        <f t="shared" si="0"/>
        <v>0.25942195208331986</v>
      </c>
      <c r="X23" t="s">
        <v>1169</v>
      </c>
      <c r="Y23">
        <f t="shared" si="1"/>
        <v>0.15987420858984736</v>
      </c>
      <c r="Z23">
        <f t="shared" si="16"/>
        <v>0.35349790103290296</v>
      </c>
      <c r="AA23" t="str">
        <f t="shared" si="17"/>
        <v>Moderate</v>
      </c>
      <c r="AB23">
        <f t="shared" si="2"/>
        <v>0.10020804575869602</v>
      </c>
      <c r="AC23">
        <f t="shared" si="18"/>
        <v>0.29389576827219838</v>
      </c>
      <c r="AD23" t="str">
        <f t="shared" si="19"/>
        <v>Low</v>
      </c>
      <c r="AE23">
        <f t="shared" si="3"/>
        <v>6.3645690561430863E-3</v>
      </c>
      <c r="AF23">
        <f t="shared" si="20"/>
        <v>4.1941314187050695E-2</v>
      </c>
      <c r="AG23" t="s">
        <v>1170</v>
      </c>
    </row>
    <row r="24" spans="1:33" customFormat="1" x14ac:dyDescent="0.3">
      <c r="A24">
        <v>104240</v>
      </c>
      <c r="B24" t="s">
        <v>223</v>
      </c>
      <c r="C24" t="s">
        <v>574</v>
      </c>
      <c r="D24" t="s">
        <v>573</v>
      </c>
      <c r="E24" s="21">
        <v>5.9</v>
      </c>
      <c r="F24" s="2">
        <f t="shared" si="4"/>
        <v>0.60000000000000009</v>
      </c>
      <c r="G24" s="10">
        <v>58.804199999999994</v>
      </c>
      <c r="H24">
        <f t="shared" si="5"/>
        <v>0.53672585563324748</v>
      </c>
      <c r="I24" s="12">
        <v>91.6</v>
      </c>
      <c r="J24" s="2">
        <f t="shared" si="6"/>
        <v>0.22200678623364034</v>
      </c>
      <c r="K24" s="10">
        <v>0.2</v>
      </c>
      <c r="L24" s="2">
        <f t="shared" si="7"/>
        <v>0.11764705882352942</v>
      </c>
      <c r="M24">
        <v>18852</v>
      </c>
      <c r="N24">
        <f t="shared" si="8"/>
        <v>8.806593708156496E-2</v>
      </c>
      <c r="O24" s="10">
        <v>0.79860103800000004</v>
      </c>
      <c r="P24">
        <f t="shared" si="9"/>
        <v>0.78402457421124261</v>
      </c>
      <c r="Q24" s="23">
        <v>0.37219999999999998</v>
      </c>
      <c r="R24" s="13">
        <f t="shared" si="10"/>
        <v>0.80597661325249026</v>
      </c>
      <c r="S24">
        <f t="shared" si="11"/>
        <v>0.14350581585205641</v>
      </c>
      <c r="T24" s="14">
        <f t="shared" si="12"/>
        <v>0.30307658035975049</v>
      </c>
      <c r="U24" t="str">
        <f t="shared" si="13"/>
        <v>Moderate</v>
      </c>
      <c r="V24">
        <f t="shared" si="14"/>
        <v>0.14548710070710452</v>
      </c>
      <c r="W24">
        <f t="shared" si="0"/>
        <v>0.26410178507759124</v>
      </c>
      <c r="X24" t="s">
        <v>1169</v>
      </c>
      <c r="Y24">
        <f t="shared" si="1"/>
        <v>0.14152453099700826</v>
      </c>
      <c r="Z24">
        <f t="shared" si="16"/>
        <v>0.3129249244977057</v>
      </c>
      <c r="AA24" t="str">
        <f t="shared" si="17"/>
        <v>Moderate</v>
      </c>
      <c r="AB24">
        <f t="shared" si="2"/>
        <v>9.8941728381718511E-2</v>
      </c>
      <c r="AC24">
        <f t="shared" si="18"/>
        <v>0.2901818417549662</v>
      </c>
      <c r="AD24" t="str">
        <f t="shared" si="19"/>
        <v>Low</v>
      </c>
      <c r="AE24">
        <f t="shared" si="3"/>
        <v>1.5896810957512712E-2</v>
      </c>
      <c r="AF24">
        <f t="shared" si="20"/>
        <v>0.10475699722319134</v>
      </c>
      <c r="AG24" t="s">
        <v>1169</v>
      </c>
    </row>
    <row r="25" spans="1:33" customFormat="1" x14ac:dyDescent="0.3">
      <c r="A25">
        <v>104243</v>
      </c>
      <c r="B25" t="s">
        <v>257</v>
      </c>
      <c r="C25" t="s">
        <v>574</v>
      </c>
      <c r="D25" t="s">
        <v>575</v>
      </c>
      <c r="E25" s="21">
        <v>5.8</v>
      </c>
      <c r="F25" s="2">
        <f t="shared" si="4"/>
        <v>0.57777777777777772</v>
      </c>
      <c r="G25" s="10">
        <v>65.6892</v>
      </c>
      <c r="H25">
        <f t="shared" si="5"/>
        <v>0.59956758319751857</v>
      </c>
      <c r="I25" s="12">
        <v>80.100000000000009</v>
      </c>
      <c r="J25" s="2">
        <f t="shared" si="6"/>
        <v>0.19413475521085802</v>
      </c>
      <c r="K25" s="10">
        <v>0.5</v>
      </c>
      <c r="L25" s="2">
        <f t="shared" si="7"/>
        <v>0.29411764705882354</v>
      </c>
      <c r="M25">
        <v>10294</v>
      </c>
      <c r="N25">
        <f t="shared" si="8"/>
        <v>4.7574437079199255E-2</v>
      </c>
      <c r="O25" s="10">
        <v>0.80922643100000002</v>
      </c>
      <c r="P25">
        <f t="shared" si="9"/>
        <v>0.79572620056415322</v>
      </c>
      <c r="Q25" s="23">
        <v>0.39860000000000001</v>
      </c>
      <c r="R25" s="13">
        <f t="shared" si="10"/>
        <v>0.86314421827631016</v>
      </c>
      <c r="S25">
        <f t="shared" si="11"/>
        <v>0.17541280900058015</v>
      </c>
      <c r="T25" s="14">
        <f t="shared" si="12"/>
        <v>0.37046243727154188</v>
      </c>
      <c r="U25" t="str">
        <f t="shared" si="13"/>
        <v>Moderate</v>
      </c>
      <c r="V25">
        <f t="shared" si="14"/>
        <v>0.18254174669808068</v>
      </c>
      <c r="W25">
        <f t="shared" si="0"/>
        <v>0.33136684228246777</v>
      </c>
      <c r="X25" t="str">
        <f t="shared" si="15"/>
        <v>Moderate</v>
      </c>
      <c r="Y25">
        <f t="shared" si="1"/>
        <v>0.16828387130307959</v>
      </c>
      <c r="Z25">
        <f t="shared" si="16"/>
        <v>0.37209250827908419</v>
      </c>
      <c r="AA25" t="str">
        <f t="shared" si="17"/>
        <v>Moderate</v>
      </c>
      <c r="AB25">
        <f t="shared" si="2"/>
        <v>0.11789621472670184</v>
      </c>
      <c r="AC25">
        <f t="shared" si="18"/>
        <v>0.34577262076265231</v>
      </c>
      <c r="AD25" t="str">
        <f t="shared" si="19"/>
        <v>Moderate</v>
      </c>
      <c r="AE25">
        <f t="shared" si="3"/>
        <v>1.0061262832713478E-2</v>
      </c>
      <c r="AF25">
        <f t="shared" si="20"/>
        <v>6.6301831571461037E-2</v>
      </c>
      <c r="AG25" t="s">
        <v>1170</v>
      </c>
    </row>
    <row r="26" spans="1:33" customFormat="1" x14ac:dyDescent="0.3">
      <c r="A26">
        <v>104273</v>
      </c>
      <c r="B26" t="s">
        <v>367</v>
      </c>
      <c r="C26" t="s">
        <v>574</v>
      </c>
      <c r="D26" t="s">
        <v>576</v>
      </c>
      <c r="E26" s="21">
        <v>5.9</v>
      </c>
      <c r="F26" s="2">
        <f t="shared" si="4"/>
        <v>0.60000000000000009</v>
      </c>
      <c r="G26" s="10">
        <v>61.4754</v>
      </c>
      <c r="H26">
        <f t="shared" si="5"/>
        <v>0.56110680300720261</v>
      </c>
      <c r="I26" s="12">
        <v>75.399999999999991</v>
      </c>
      <c r="J26" s="2">
        <f t="shared" si="6"/>
        <v>0.1827435773145904</v>
      </c>
      <c r="K26" s="10">
        <v>0.1</v>
      </c>
      <c r="L26" s="2">
        <f t="shared" si="7"/>
        <v>5.8823529411764712E-2</v>
      </c>
      <c r="M26">
        <v>19028</v>
      </c>
      <c r="N26">
        <f t="shared" si="8"/>
        <v>8.8898667158734443E-2</v>
      </c>
      <c r="O26" s="10">
        <v>0.90292693000000002</v>
      </c>
      <c r="P26">
        <f t="shared" si="9"/>
        <v>0.8989175110765536</v>
      </c>
      <c r="Q26" s="23">
        <v>0.36380000000000001</v>
      </c>
      <c r="R26" s="13">
        <f t="shared" si="10"/>
        <v>0.7877869207449113</v>
      </c>
      <c r="S26">
        <f t="shared" si="11"/>
        <v>0.14066846367346766</v>
      </c>
      <c r="T26" s="14">
        <f t="shared" si="12"/>
        <v>0.29708424485434148</v>
      </c>
      <c r="U26" t="str">
        <f t="shared" si="13"/>
        <v>Low</v>
      </c>
      <c r="V26">
        <f t="shared" si="14"/>
        <v>0.1314003494062892</v>
      </c>
      <c r="W26">
        <f t="shared" si="0"/>
        <v>0.23853019731202563</v>
      </c>
      <c r="X26" t="s">
        <v>1169</v>
      </c>
      <c r="Y26">
        <f t="shared" si="1"/>
        <v>0.1499365779406461</v>
      </c>
      <c r="Z26">
        <f t="shared" si="16"/>
        <v>0.3315248035163097</v>
      </c>
      <c r="AA26" t="str">
        <f t="shared" si="17"/>
        <v>Moderate</v>
      </c>
      <c r="AB26">
        <f t="shared" si="2"/>
        <v>9.6160900768363797E-2</v>
      </c>
      <c r="AC26">
        <f t="shared" si="18"/>
        <v>0.28202607480360337</v>
      </c>
      <c r="AD26" t="str">
        <f t="shared" si="19"/>
        <v>Low</v>
      </c>
      <c r="AE26">
        <f t="shared" si="3"/>
        <v>1.4828014554196403E-2</v>
      </c>
      <c r="AF26">
        <f t="shared" si="20"/>
        <v>9.7713829750570025E-2</v>
      </c>
      <c r="AG26" t="s">
        <v>1170</v>
      </c>
    </row>
    <row r="27" spans="1:33" customFormat="1" x14ac:dyDescent="0.3">
      <c r="A27">
        <v>104284</v>
      </c>
      <c r="B27" t="s">
        <v>424</v>
      </c>
      <c r="C27" t="s">
        <v>574</v>
      </c>
      <c r="D27" t="s">
        <v>577</v>
      </c>
      <c r="E27" s="21">
        <v>5.8</v>
      </c>
      <c r="F27" s="2">
        <f t="shared" si="4"/>
        <v>0.57777777777777772</v>
      </c>
      <c r="G27" s="10">
        <v>62.305559999999993</v>
      </c>
      <c r="H27">
        <f t="shared" si="5"/>
        <v>0.56868395457652066</v>
      </c>
      <c r="I27" s="12">
        <v>85.7</v>
      </c>
      <c r="J27" s="2">
        <f t="shared" si="6"/>
        <v>0.20770722249151724</v>
      </c>
      <c r="K27" s="10">
        <v>0.1</v>
      </c>
      <c r="L27" s="2">
        <f t="shared" si="7"/>
        <v>5.8823529411764712E-2</v>
      </c>
      <c r="M27">
        <v>10861</v>
      </c>
      <c r="N27">
        <f t="shared" si="8"/>
        <v>5.0257152725535006E-2</v>
      </c>
      <c r="O27" s="10">
        <v>0.90539121899999997</v>
      </c>
      <c r="P27">
        <f t="shared" si="9"/>
        <v>0.90163140496298089</v>
      </c>
      <c r="Q27" s="23">
        <v>0.39779999999999999</v>
      </c>
      <c r="R27" s="13">
        <f t="shared" si="10"/>
        <v>0.86141186660892155</v>
      </c>
      <c r="S27">
        <f t="shared" si="11"/>
        <v>0.14739008919989316</v>
      </c>
      <c r="T27" s="14">
        <f t="shared" si="12"/>
        <v>0.31127995718078832</v>
      </c>
      <c r="U27" t="str">
        <f t="shared" si="13"/>
        <v>Moderate</v>
      </c>
      <c r="V27">
        <f t="shared" si="14"/>
        <v>0.14402774328293896</v>
      </c>
      <c r="W27">
        <f t="shared" si="0"/>
        <v>0.26145262306312311</v>
      </c>
      <c r="X27" t="s">
        <v>1169</v>
      </c>
      <c r="Y27">
        <f t="shared" si="1"/>
        <v>0.15075243511684736</v>
      </c>
      <c r="Z27">
        <f t="shared" si="16"/>
        <v>0.33332874551466962</v>
      </c>
      <c r="AA27" t="str">
        <f t="shared" si="17"/>
        <v>Moderate</v>
      </c>
      <c r="AB27">
        <f t="shared" si="2"/>
        <v>9.8576482710567792E-2</v>
      </c>
      <c r="AC27">
        <f t="shared" si="18"/>
        <v>0.28911062879678295</v>
      </c>
      <c r="AD27" t="str">
        <f t="shared" si="19"/>
        <v>Low</v>
      </c>
      <c r="AE27">
        <f t="shared" si="3"/>
        <v>8.4029772185284235E-3</v>
      </c>
      <c r="AF27">
        <f t="shared" si="20"/>
        <v>5.5374040963348872E-2</v>
      </c>
      <c r="AG27" t="s">
        <v>1170</v>
      </c>
    </row>
    <row r="28" spans="1:33" customFormat="1" x14ac:dyDescent="0.3">
      <c r="A28">
        <v>107838</v>
      </c>
      <c r="B28" t="s">
        <v>55</v>
      </c>
      <c r="C28" t="s">
        <v>579</v>
      </c>
      <c r="D28" t="s">
        <v>578</v>
      </c>
      <c r="E28" s="21">
        <v>7.4</v>
      </c>
      <c r="F28" s="2">
        <f t="shared" si="4"/>
        <v>0.93333333333333335</v>
      </c>
      <c r="G28" s="10">
        <v>63.191880000000005</v>
      </c>
      <c r="H28">
        <f t="shared" si="5"/>
        <v>0.5767736974922455</v>
      </c>
      <c r="I28" s="12">
        <v>57</v>
      </c>
      <c r="J28" s="2">
        <f t="shared" si="6"/>
        <v>0.13814832767813864</v>
      </c>
      <c r="K28" s="10">
        <v>0.5</v>
      </c>
      <c r="L28" s="2">
        <f t="shared" si="7"/>
        <v>0.29411764705882354</v>
      </c>
      <c r="M28">
        <v>30925</v>
      </c>
      <c r="N28">
        <f t="shared" si="8"/>
        <v>0.14518838152285513</v>
      </c>
      <c r="O28" s="10">
        <v>0.87585950400000001</v>
      </c>
      <c r="P28">
        <f t="shared" si="9"/>
        <v>0.86910845785969271</v>
      </c>
      <c r="Q28" s="23">
        <v>0.37719999999999998</v>
      </c>
      <c r="R28" s="13">
        <f t="shared" si="10"/>
        <v>0.81680381117366818</v>
      </c>
      <c r="S28">
        <f t="shared" si="11"/>
        <v>0.26628489985422882</v>
      </c>
      <c r="T28" s="14">
        <f t="shared" si="12"/>
        <v>0.5623794155663957</v>
      </c>
      <c r="U28" t="str">
        <f t="shared" si="13"/>
        <v>Moderate</v>
      </c>
      <c r="V28">
        <f t="shared" si="14"/>
        <v>0.25802353426568325</v>
      </c>
      <c r="W28">
        <f t="shared" si="0"/>
        <v>0.46838843897772653</v>
      </c>
      <c r="X28" t="str">
        <f t="shared" si="15"/>
        <v>Moderate</v>
      </c>
      <c r="Y28">
        <f t="shared" si="1"/>
        <v>0.27454626544277427</v>
      </c>
      <c r="Z28">
        <f t="shared" si="16"/>
        <v>0.60704931349762492</v>
      </c>
      <c r="AA28" t="str">
        <f t="shared" si="17"/>
        <v>Moderate</v>
      </c>
      <c r="AB28">
        <f t="shared" si="2"/>
        <v>0.18872457204758822</v>
      </c>
      <c r="AC28">
        <f t="shared" si="18"/>
        <v>0.55350199351587026</v>
      </c>
      <c r="AD28" t="str">
        <f t="shared" si="19"/>
        <v>Moderate</v>
      </c>
      <c r="AE28">
        <f t="shared" si="3"/>
        <v>4.5864158347905117E-2</v>
      </c>
      <c r="AF28">
        <f t="shared" si="20"/>
        <v>0.30223618570647282</v>
      </c>
      <c r="AG28" t="str">
        <f t="shared" si="21"/>
        <v>Moderate</v>
      </c>
    </row>
    <row r="29" spans="1:33" customFormat="1" x14ac:dyDescent="0.3">
      <c r="A29">
        <v>107852</v>
      </c>
      <c r="B29" t="s">
        <v>129</v>
      </c>
      <c r="C29" t="s">
        <v>579</v>
      </c>
      <c r="D29" t="s">
        <v>580</v>
      </c>
      <c r="E29" s="21">
        <v>6.4</v>
      </c>
      <c r="F29" s="2">
        <f t="shared" si="4"/>
        <v>0.71111111111111114</v>
      </c>
      <c r="G29" s="10">
        <v>74.478240000000014</v>
      </c>
      <c r="H29">
        <f t="shared" si="5"/>
        <v>0.67978812891015206</v>
      </c>
      <c r="I29" s="12">
        <v>61.900000000000006</v>
      </c>
      <c r="J29" s="2">
        <f t="shared" si="6"/>
        <v>0.15002423654871549</v>
      </c>
      <c r="K29" s="10">
        <v>1</v>
      </c>
      <c r="L29" s="2">
        <f t="shared" si="7"/>
        <v>0.58823529411764708</v>
      </c>
      <c r="M29">
        <v>16302</v>
      </c>
      <c r="N29">
        <f t="shared" si="8"/>
        <v>7.6000813804393594E-2</v>
      </c>
      <c r="O29" s="10">
        <v>0.84050282600000004</v>
      </c>
      <c r="P29">
        <f t="shared" si="9"/>
        <v>0.83017054421864633</v>
      </c>
      <c r="Q29" s="23">
        <v>0.37109999999999999</v>
      </c>
      <c r="R29" s="13">
        <f t="shared" si="10"/>
        <v>0.80359462970983109</v>
      </c>
      <c r="S29">
        <f t="shared" si="11"/>
        <v>0.2712223969902805</v>
      </c>
      <c r="T29" s="14">
        <f t="shared" si="12"/>
        <v>0.57280714449602543</v>
      </c>
      <c r="U29" t="str">
        <f t="shared" si="13"/>
        <v>Moderate</v>
      </c>
      <c r="V29">
        <f t="shared" si="14"/>
        <v>0.26681051249775106</v>
      </c>
      <c r="W29">
        <f t="shared" si="0"/>
        <v>0.48433938325559078</v>
      </c>
      <c r="X29" t="str">
        <f t="shared" si="15"/>
        <v>Moderate</v>
      </c>
      <c r="Y29">
        <f t="shared" si="1"/>
        <v>0.27563428148280988</v>
      </c>
      <c r="Z29">
        <f t="shared" si="16"/>
        <v>0.6094550260252124</v>
      </c>
      <c r="AA29" t="str">
        <f t="shared" si="17"/>
        <v>Moderate</v>
      </c>
      <c r="AB29">
        <f t="shared" si="2"/>
        <v>0.18490582426970556</v>
      </c>
      <c r="AC29">
        <f t="shared" si="18"/>
        <v>0.54230215618223798</v>
      </c>
      <c r="AD29" t="str">
        <f t="shared" si="19"/>
        <v>Moderate</v>
      </c>
      <c r="AE29">
        <f t="shared" si="3"/>
        <v>2.5233887001856272E-2</v>
      </c>
      <c r="AF29">
        <f t="shared" si="20"/>
        <v>0.16628657393290056</v>
      </c>
      <c r="AG29" t="s">
        <v>1169</v>
      </c>
    </row>
    <row r="30" spans="1:33" customFormat="1" x14ac:dyDescent="0.3">
      <c r="A30">
        <v>107855</v>
      </c>
      <c r="B30" t="s">
        <v>158</v>
      </c>
      <c r="C30" t="s">
        <v>579</v>
      </c>
      <c r="D30" t="s">
        <v>581</v>
      </c>
      <c r="E30" s="21">
        <v>7.4</v>
      </c>
      <c r="F30" s="2">
        <f t="shared" si="4"/>
        <v>0.93333333333333335</v>
      </c>
      <c r="G30" s="10">
        <v>58.919759999999997</v>
      </c>
      <c r="H30">
        <f t="shared" si="5"/>
        <v>0.53778061090373797</v>
      </c>
      <c r="I30" s="12">
        <v>61.2</v>
      </c>
      <c r="J30" s="2">
        <f t="shared" si="6"/>
        <v>0.14832767813863307</v>
      </c>
      <c r="K30" s="10">
        <v>0.5</v>
      </c>
      <c r="L30" s="2">
        <f t="shared" si="7"/>
        <v>0.29411764705882354</v>
      </c>
      <c r="M30">
        <v>9856</v>
      </c>
      <c r="N30">
        <f t="shared" si="8"/>
        <v>4.5502074728061587E-2</v>
      </c>
      <c r="O30" s="10">
        <v>0.87768363699999996</v>
      </c>
      <c r="P30">
        <f t="shared" si="9"/>
        <v>0.871117355110271</v>
      </c>
      <c r="Q30" s="23">
        <v>0.37409999999999999</v>
      </c>
      <c r="R30" s="13">
        <f t="shared" si="10"/>
        <v>0.81009094846253793</v>
      </c>
      <c r="S30">
        <f t="shared" si="11"/>
        <v>0.25762974653716336</v>
      </c>
      <c r="T30" s="14">
        <f t="shared" si="12"/>
        <v>0.54410019632882944</v>
      </c>
      <c r="U30" t="str">
        <f t="shared" si="13"/>
        <v>Moderate</v>
      </c>
      <c r="V30">
        <f t="shared" si="14"/>
        <v>0.24827800966831887</v>
      </c>
      <c r="W30">
        <f t="shared" si="0"/>
        <v>0.45069745173437553</v>
      </c>
      <c r="X30" t="str">
        <f t="shared" si="15"/>
        <v>Moderate</v>
      </c>
      <c r="Y30">
        <f t="shared" si="1"/>
        <v>0.26698148340600786</v>
      </c>
      <c r="Z30">
        <f t="shared" si="16"/>
        <v>0.5903228221182133</v>
      </c>
      <c r="AA30" t="str">
        <f t="shared" si="17"/>
        <v>Moderate</v>
      </c>
      <c r="AB30">
        <f t="shared" si="2"/>
        <v>0.17187269121805626</v>
      </c>
      <c r="AC30">
        <f t="shared" si="18"/>
        <v>0.50407785371023961</v>
      </c>
      <c r="AD30" t="str">
        <f t="shared" si="19"/>
        <v>Moderate</v>
      </c>
      <c r="AE30">
        <f t="shared" si="3"/>
        <v>1.3945550892406584E-2</v>
      </c>
      <c r="AF30">
        <f t="shared" si="20"/>
        <v>9.1898560032967022E-2</v>
      </c>
      <c r="AG30" t="s">
        <v>1170</v>
      </c>
    </row>
    <row r="31" spans="1:33" customFormat="1" x14ac:dyDescent="0.3">
      <c r="A31">
        <v>107857</v>
      </c>
      <c r="B31" t="s">
        <v>543</v>
      </c>
      <c r="C31" t="s">
        <v>579</v>
      </c>
      <c r="D31" t="s">
        <v>582</v>
      </c>
      <c r="E31" s="21">
        <v>7.4</v>
      </c>
      <c r="F31" s="2">
        <f t="shared" si="4"/>
        <v>0.93333333333333335</v>
      </c>
      <c r="G31" s="10">
        <v>74.754000000000005</v>
      </c>
      <c r="H31">
        <f t="shared" si="5"/>
        <v>0.68230508385468702</v>
      </c>
      <c r="I31" s="12">
        <v>64.7</v>
      </c>
      <c r="J31" s="2">
        <f t="shared" si="6"/>
        <v>0.15681047018904509</v>
      </c>
      <c r="K31" s="10">
        <v>1.7</v>
      </c>
      <c r="L31" s="2">
        <f t="shared" si="7"/>
        <v>1</v>
      </c>
      <c r="M31">
        <v>50319</v>
      </c>
      <c r="N31">
        <f t="shared" si="8"/>
        <v>0.23694955832185963</v>
      </c>
      <c r="O31" s="10">
        <v>0.80030565200000003</v>
      </c>
      <c r="P31">
        <f t="shared" si="9"/>
        <v>0.78590184652521156</v>
      </c>
      <c r="Q31" s="23">
        <v>0.3518</v>
      </c>
      <c r="R31" s="13">
        <f t="shared" si="10"/>
        <v>0.76180164573408404</v>
      </c>
      <c r="S31">
        <f t="shared" si="11"/>
        <v>0.4287998275720557</v>
      </c>
      <c r="T31" s="14">
        <f t="shared" si="12"/>
        <v>0.90560221986659639</v>
      </c>
      <c r="U31" t="str">
        <f t="shared" si="13"/>
        <v>High</v>
      </c>
      <c r="V31">
        <f t="shared" si="14"/>
        <v>0.42212273341586054</v>
      </c>
      <c r="W31">
        <f t="shared" si="0"/>
        <v>0.76627664497486903</v>
      </c>
      <c r="X31" t="str">
        <f t="shared" si="15"/>
        <v>High</v>
      </c>
      <c r="Y31">
        <f t="shared" si="1"/>
        <v>0.43547692172825081</v>
      </c>
      <c r="Z31">
        <f t="shared" si="16"/>
        <v>0.96288312628421202</v>
      </c>
      <c r="AA31" t="str">
        <f t="shared" si="17"/>
        <v>High</v>
      </c>
      <c r="AB31">
        <f t="shared" si="2"/>
        <v>0.32433976477946902</v>
      </c>
      <c r="AC31">
        <f t="shared" si="18"/>
        <v>0.95124182523851031</v>
      </c>
      <c r="AD31" t="str">
        <f t="shared" si="19"/>
        <v>High</v>
      </c>
      <c r="AE31">
        <f t="shared" si="3"/>
        <v>0.13129637590126453</v>
      </c>
      <c r="AF31">
        <f t="shared" si="20"/>
        <v>0.86521844679820625</v>
      </c>
      <c r="AG31" t="str">
        <f t="shared" si="21"/>
        <v>High</v>
      </c>
    </row>
    <row r="32" spans="1:33" customFormat="1" x14ac:dyDescent="0.3">
      <c r="A32">
        <v>107866</v>
      </c>
      <c r="B32" t="s">
        <v>238</v>
      </c>
      <c r="C32" t="s">
        <v>579</v>
      </c>
      <c r="D32" t="s">
        <v>583</v>
      </c>
      <c r="E32" s="21">
        <v>7.4</v>
      </c>
      <c r="F32" s="2">
        <f t="shared" si="4"/>
        <v>0.93333333333333335</v>
      </c>
      <c r="G32" s="10">
        <v>81.972719999999995</v>
      </c>
      <c r="H32">
        <f t="shared" si="5"/>
        <v>0.74819278691972035</v>
      </c>
      <c r="I32" s="12">
        <v>84.7</v>
      </c>
      <c r="J32" s="2">
        <f t="shared" si="6"/>
        <v>0.20528356761997094</v>
      </c>
      <c r="K32" s="10">
        <v>1.7</v>
      </c>
      <c r="L32" s="2">
        <f t="shared" si="7"/>
        <v>1</v>
      </c>
      <c r="M32">
        <v>36052</v>
      </c>
      <c r="N32">
        <f t="shared" si="8"/>
        <v>0.16944637644130908</v>
      </c>
      <c r="O32" s="10">
        <v>0.76198099100000005</v>
      </c>
      <c r="P32">
        <f t="shared" si="9"/>
        <v>0.74369532643471048</v>
      </c>
      <c r="Q32" s="23">
        <v>0.34060000000000001</v>
      </c>
      <c r="R32" s="13">
        <f t="shared" si="10"/>
        <v>0.73754872239064539</v>
      </c>
      <c r="S32">
        <f t="shared" si="11"/>
        <v>0.43805492555895992</v>
      </c>
      <c r="T32" s="14">
        <f t="shared" si="12"/>
        <v>0.92514849004464328</v>
      </c>
      <c r="U32" t="str">
        <f t="shared" si="13"/>
        <v>High</v>
      </c>
      <c r="V32">
        <f t="shared" si="14"/>
        <v>0.43623716286205749</v>
      </c>
      <c r="W32">
        <f t="shared" si="0"/>
        <v>0.7918984766972349</v>
      </c>
      <c r="X32" t="str">
        <f t="shared" si="15"/>
        <v>High</v>
      </c>
      <c r="Y32">
        <f t="shared" si="1"/>
        <v>0.43987268825586229</v>
      </c>
      <c r="Z32">
        <f t="shared" si="16"/>
        <v>0.97260260670977472</v>
      </c>
      <c r="AA32" t="str">
        <f t="shared" si="17"/>
        <v>High</v>
      </c>
      <c r="AB32">
        <f t="shared" si="2"/>
        <v>0.31972260765693788</v>
      </c>
      <c r="AC32">
        <f t="shared" si="18"/>
        <v>0.93770036826780612</v>
      </c>
      <c r="AD32" t="str">
        <f t="shared" si="19"/>
        <v>High</v>
      </c>
      <c r="AE32">
        <f t="shared" si="3"/>
        <v>0.10022226908131161</v>
      </c>
      <c r="AF32">
        <f t="shared" si="20"/>
        <v>0.66044592163254956</v>
      </c>
      <c r="AG32" t="str">
        <f t="shared" si="21"/>
        <v>Moderate</v>
      </c>
    </row>
    <row r="33" spans="1:33" customFormat="1" x14ac:dyDescent="0.3">
      <c r="A33">
        <v>107876</v>
      </c>
      <c r="B33" t="s">
        <v>340</v>
      </c>
      <c r="C33" t="s">
        <v>579</v>
      </c>
      <c r="D33" t="s">
        <v>584</v>
      </c>
      <c r="E33" s="21">
        <v>7.4</v>
      </c>
      <c r="F33" s="2">
        <f t="shared" si="4"/>
        <v>0.93333333333333335</v>
      </c>
      <c r="G33" s="10">
        <v>67.055400000000006</v>
      </c>
      <c r="H33">
        <f t="shared" si="5"/>
        <v>0.6120373534514485</v>
      </c>
      <c r="I33" s="12">
        <v>76.800000000000011</v>
      </c>
      <c r="J33" s="2">
        <f t="shared" si="6"/>
        <v>0.18613669413475525</v>
      </c>
      <c r="K33" s="10">
        <v>0.2</v>
      </c>
      <c r="L33" s="2">
        <f t="shared" si="7"/>
        <v>0.11764705882352942</v>
      </c>
      <c r="M33">
        <v>16333</v>
      </c>
      <c r="N33">
        <f t="shared" si="8"/>
        <v>7.6147487852076853E-2</v>
      </c>
      <c r="O33" s="10">
        <v>0.68257780599999995</v>
      </c>
      <c r="P33">
        <f t="shared" si="9"/>
        <v>0.65624948776304481</v>
      </c>
      <c r="Q33" s="23">
        <v>0.3846</v>
      </c>
      <c r="R33" s="13">
        <f t="shared" si="10"/>
        <v>0.83282806409701171</v>
      </c>
      <c r="S33">
        <f t="shared" si="11"/>
        <v>0.21865468247429654</v>
      </c>
      <c r="T33" s="14">
        <f t="shared" si="12"/>
        <v>0.46178695302687439</v>
      </c>
      <c r="U33" t="str">
        <f t="shared" si="13"/>
        <v>Moderate</v>
      </c>
      <c r="V33">
        <f t="shared" si="14"/>
        <v>0.2445833068712181</v>
      </c>
      <c r="W33">
        <f t="shared" si="0"/>
        <v>0.4439904818428666</v>
      </c>
      <c r="X33" t="str">
        <f t="shared" si="15"/>
        <v>Moderate</v>
      </c>
      <c r="Y33">
        <f t="shared" si="1"/>
        <v>0.192726058077375</v>
      </c>
      <c r="Z33">
        <f t="shared" si="16"/>
        <v>0.42613663332951024</v>
      </c>
      <c r="AA33" t="str">
        <f t="shared" si="17"/>
        <v>Moderate</v>
      </c>
      <c r="AB33">
        <f t="shared" si="2"/>
        <v>0.1512489703594993</v>
      </c>
      <c r="AC33">
        <f t="shared" si="18"/>
        <v>0.44359145024366997</v>
      </c>
      <c r="AD33" t="str">
        <f t="shared" si="19"/>
        <v>Moderate</v>
      </c>
      <c r="AE33">
        <f t="shared" si="3"/>
        <v>2.2362844375315629E-2</v>
      </c>
      <c r="AF33">
        <f t="shared" si="20"/>
        <v>0.14736694248857971</v>
      </c>
      <c r="AG33" t="s">
        <v>1169</v>
      </c>
    </row>
    <row r="34" spans="1:33" customFormat="1" x14ac:dyDescent="0.3">
      <c r="A34">
        <v>107895</v>
      </c>
      <c r="B34" t="s">
        <v>412</v>
      </c>
      <c r="C34" t="s">
        <v>579</v>
      </c>
      <c r="D34" t="s">
        <v>585</v>
      </c>
      <c r="E34" s="21">
        <v>7.4</v>
      </c>
      <c r="F34" s="2">
        <f t="shared" si="4"/>
        <v>0.93333333333333335</v>
      </c>
      <c r="G34" s="10">
        <v>72.379080000000002</v>
      </c>
      <c r="H34">
        <f t="shared" si="5"/>
        <v>0.66062838441722316</v>
      </c>
      <c r="I34" s="12">
        <v>70.5</v>
      </c>
      <c r="J34" s="2">
        <f t="shared" si="6"/>
        <v>0.17086766844401358</v>
      </c>
      <c r="K34" s="10">
        <v>1</v>
      </c>
      <c r="L34" s="2">
        <f t="shared" si="7"/>
        <v>0.58823529411764708</v>
      </c>
      <c r="M34">
        <v>53541</v>
      </c>
      <c r="N34">
        <f t="shared" si="8"/>
        <v>0.25219419643913266</v>
      </c>
      <c r="O34" s="10">
        <v>0.81383022800000004</v>
      </c>
      <c r="P34">
        <f t="shared" si="9"/>
        <v>0.80079631065783652</v>
      </c>
      <c r="Q34" s="23">
        <v>0.38329999999999997</v>
      </c>
      <c r="R34" s="13">
        <f t="shared" si="10"/>
        <v>0.83001299263750539</v>
      </c>
      <c r="S34">
        <f t="shared" si="11"/>
        <v>0.35578382073870074</v>
      </c>
      <c r="T34" s="14">
        <f t="shared" si="12"/>
        <v>0.75139633259167815</v>
      </c>
      <c r="U34" t="str">
        <f t="shared" si="13"/>
        <v>High</v>
      </c>
      <c r="V34">
        <f t="shared" si="14"/>
        <v>0.36215784786929756</v>
      </c>
      <c r="W34">
        <f t="shared" si="0"/>
        <v>0.65742277932045934</v>
      </c>
      <c r="X34" t="str">
        <f t="shared" si="15"/>
        <v>Moderate</v>
      </c>
      <c r="Y34">
        <f t="shared" si="1"/>
        <v>0.34940979360810398</v>
      </c>
      <c r="Z34">
        <f t="shared" si="16"/>
        <v>0.77258007861468359</v>
      </c>
      <c r="AA34" t="str">
        <f t="shared" si="17"/>
        <v>High</v>
      </c>
      <c r="AB34">
        <f t="shared" si="2"/>
        <v>0.27009196460060542</v>
      </c>
      <c r="AC34">
        <f t="shared" si="18"/>
        <v>0.79214083898601395</v>
      </c>
      <c r="AD34" t="str">
        <f t="shared" si="19"/>
        <v>High</v>
      </c>
      <c r="AE34">
        <f t="shared" si="3"/>
        <v>0.11003937075405737</v>
      </c>
      <c r="AF34">
        <f t="shared" si="20"/>
        <v>0.7251387770373372</v>
      </c>
      <c r="AG34" t="str">
        <f t="shared" si="21"/>
        <v>High</v>
      </c>
    </row>
    <row r="35" spans="1:33" customFormat="1" x14ac:dyDescent="0.3">
      <c r="A35">
        <v>107914</v>
      </c>
      <c r="B35" t="s">
        <v>66</v>
      </c>
      <c r="C35" t="s">
        <v>587</v>
      </c>
      <c r="D35" t="s">
        <v>586</v>
      </c>
      <c r="E35" s="21">
        <v>7.1</v>
      </c>
      <c r="F35" s="2">
        <f t="shared" si="4"/>
        <v>0.86666666666666659</v>
      </c>
      <c r="G35" s="10">
        <v>64.767240000000001</v>
      </c>
      <c r="H35">
        <f t="shared" si="5"/>
        <v>0.59115254192734346</v>
      </c>
      <c r="I35" s="12">
        <v>88.9</v>
      </c>
      <c r="J35" s="2">
        <f t="shared" si="6"/>
        <v>0.21546291808046536</v>
      </c>
      <c r="K35" s="10">
        <v>0.2</v>
      </c>
      <c r="L35" s="2">
        <f t="shared" si="7"/>
        <v>0.11764705882352942</v>
      </c>
      <c r="M35">
        <v>20310</v>
      </c>
      <c r="N35">
        <f t="shared" si="8"/>
        <v>9.4964348743571181E-2</v>
      </c>
      <c r="O35" s="10">
        <v>0.82599811999999995</v>
      </c>
      <c r="P35">
        <f t="shared" si="9"/>
        <v>0.81419667389019601</v>
      </c>
      <c r="Q35" s="23">
        <v>0.3906</v>
      </c>
      <c r="R35" s="13">
        <f t="shared" si="10"/>
        <v>0.84582070160242528</v>
      </c>
      <c r="S35">
        <f t="shared" si="11"/>
        <v>0.2284695123449596</v>
      </c>
      <c r="T35" s="14">
        <f t="shared" si="12"/>
        <v>0.4825153468996351</v>
      </c>
      <c r="U35" t="str">
        <f t="shared" si="13"/>
        <v>Moderate</v>
      </c>
      <c r="V35">
        <f t="shared" si="14"/>
        <v>0.23282195244375817</v>
      </c>
      <c r="W35">
        <f t="shared" si="0"/>
        <v>0.42264017185575775</v>
      </c>
      <c r="X35" t="str">
        <f t="shared" si="15"/>
        <v>Moderate</v>
      </c>
      <c r="Y35">
        <f t="shared" si="1"/>
        <v>0.22411707224616098</v>
      </c>
      <c r="Z35">
        <f t="shared" si="16"/>
        <v>0.49554531230178972</v>
      </c>
      <c r="AA35" t="str">
        <f t="shared" si="17"/>
        <v>Moderate</v>
      </c>
      <c r="AB35">
        <f t="shared" si="2"/>
        <v>0.15787181824886759</v>
      </c>
      <c r="AC35">
        <f t="shared" si="18"/>
        <v>0.46301530941444807</v>
      </c>
      <c r="AD35" t="str">
        <f t="shared" si="19"/>
        <v>Moderate</v>
      </c>
      <c r="AE35">
        <f t="shared" si="3"/>
        <v>2.6140037770582748E-2</v>
      </c>
      <c r="AF35">
        <f t="shared" si="20"/>
        <v>0.17225793723444446</v>
      </c>
      <c r="AG35" t="s">
        <v>1169</v>
      </c>
    </row>
    <row r="36" spans="1:33" customFormat="1" x14ac:dyDescent="0.3">
      <c r="A36">
        <v>107947</v>
      </c>
      <c r="B36" t="s">
        <v>265</v>
      </c>
      <c r="C36" t="s">
        <v>587</v>
      </c>
      <c r="D36" t="s">
        <v>588</v>
      </c>
      <c r="E36" s="21">
        <v>7.2</v>
      </c>
      <c r="F36" s="2">
        <f t="shared" si="4"/>
        <v>0.88888888888888884</v>
      </c>
      <c r="G36" s="10">
        <v>57.633839999999999</v>
      </c>
      <c r="H36">
        <f t="shared" si="5"/>
        <v>0.52604358340781243</v>
      </c>
      <c r="I36" s="12">
        <v>91.8</v>
      </c>
      <c r="J36" s="2">
        <f t="shared" si="6"/>
        <v>0.2224915172079496</v>
      </c>
      <c r="K36" s="10">
        <v>0.2</v>
      </c>
      <c r="L36" s="2">
        <f t="shared" si="7"/>
        <v>0.11764705882352942</v>
      </c>
      <c r="M36">
        <v>9387</v>
      </c>
      <c r="N36">
        <f t="shared" si="8"/>
        <v>4.3283038329240651E-2</v>
      </c>
      <c r="O36" s="10">
        <v>0.88411509899999996</v>
      </c>
      <c r="P36">
        <f t="shared" si="9"/>
        <v>0.87820025220658948</v>
      </c>
      <c r="Q36" s="23">
        <v>0.38159999999999999</v>
      </c>
      <c r="R36" s="13">
        <f t="shared" si="10"/>
        <v>0.82633174534430487</v>
      </c>
      <c r="S36">
        <f t="shared" si="11"/>
        <v>0.22521140598047909</v>
      </c>
      <c r="T36" s="14">
        <f t="shared" si="12"/>
        <v>0.47563440113773592</v>
      </c>
      <c r="U36" t="str">
        <f t="shared" si="13"/>
        <v>Moderate</v>
      </c>
      <c r="V36">
        <f t="shared" si="14"/>
        <v>0.21835827598740928</v>
      </c>
      <c r="W36">
        <f t="shared" si="0"/>
        <v>0.39638435431357799</v>
      </c>
      <c r="X36" t="str">
        <f t="shared" si="15"/>
        <v>Moderate</v>
      </c>
      <c r="Y36">
        <f t="shared" si="1"/>
        <v>0.2320645359735489</v>
      </c>
      <c r="Z36">
        <f t="shared" si="16"/>
        <v>0.51311795125929804</v>
      </c>
      <c r="AA36" t="str">
        <f t="shared" si="17"/>
        <v>Moderate</v>
      </c>
      <c r="AB36">
        <f t="shared" si="2"/>
        <v>0.15004789945355562</v>
      </c>
      <c r="AC36">
        <f t="shared" si="18"/>
        <v>0.4400688822305015</v>
      </c>
      <c r="AD36" t="str">
        <f t="shared" si="19"/>
        <v>Moderate</v>
      </c>
      <c r="AE36">
        <f t="shared" si="3"/>
        <v>1.1437548759707809E-2</v>
      </c>
      <c r="AF36">
        <f t="shared" si="20"/>
        <v>7.5371297228302492E-2</v>
      </c>
      <c r="AG36" t="s">
        <v>1170</v>
      </c>
    </row>
    <row r="37" spans="1:33" customFormat="1" x14ac:dyDescent="0.3">
      <c r="A37">
        <v>107958</v>
      </c>
      <c r="B37" t="s">
        <v>327</v>
      </c>
      <c r="C37" t="s">
        <v>587</v>
      </c>
      <c r="D37" t="s">
        <v>589</v>
      </c>
      <c r="E37" s="21">
        <v>7.1</v>
      </c>
      <c r="F37" s="2">
        <f t="shared" si="4"/>
        <v>0.86666666666666659</v>
      </c>
      <c r="G37" s="10">
        <v>73.101960000000005</v>
      </c>
      <c r="H37">
        <f t="shared" si="5"/>
        <v>0.66722635508122607</v>
      </c>
      <c r="I37" s="12">
        <v>94.2</v>
      </c>
      <c r="J37" s="2">
        <f t="shared" si="6"/>
        <v>0.22830828889966071</v>
      </c>
      <c r="K37" s="10">
        <v>0.1</v>
      </c>
      <c r="L37" s="2">
        <f t="shared" si="7"/>
        <v>5.8823529411764712E-2</v>
      </c>
      <c r="M37">
        <v>34224</v>
      </c>
      <c r="N37">
        <f t="shared" si="8"/>
        <v>0.16079733904888976</v>
      </c>
      <c r="O37" s="10">
        <v>0.80954014299999999</v>
      </c>
      <c r="P37">
        <f t="shared" si="9"/>
        <v>0.79607168807754913</v>
      </c>
      <c r="Q37" s="23">
        <v>0.39229999999999998</v>
      </c>
      <c r="R37" s="13">
        <f t="shared" si="10"/>
        <v>0.8495019488956258</v>
      </c>
      <c r="S37">
        <f t="shared" si="11"/>
        <v>0.23609014223860067</v>
      </c>
      <c r="T37" s="14">
        <f t="shared" si="12"/>
        <v>0.4986097081952991</v>
      </c>
      <c r="U37" t="str">
        <f t="shared" si="13"/>
        <v>Moderate</v>
      </c>
      <c r="V37">
        <f t="shared" si="14"/>
        <v>0.24375577177529392</v>
      </c>
      <c r="W37">
        <f t="shared" si="0"/>
        <v>0.44248826278024384</v>
      </c>
      <c r="X37" t="str">
        <f t="shared" si="15"/>
        <v>Moderate</v>
      </c>
      <c r="Y37">
        <f t="shared" si="1"/>
        <v>0.22842451270190747</v>
      </c>
      <c r="Z37">
        <f t="shared" si="16"/>
        <v>0.50506949492862585</v>
      </c>
      <c r="AA37" t="str">
        <f t="shared" si="17"/>
        <v>Moderate</v>
      </c>
      <c r="AB37">
        <f t="shared" si="2"/>
        <v>0.16999056886497466</v>
      </c>
      <c r="AC37">
        <f t="shared" si="18"/>
        <v>0.49855785987388446</v>
      </c>
      <c r="AD37" t="str">
        <f t="shared" si="19"/>
        <v>Moderate</v>
      </c>
      <c r="AE37">
        <f t="shared" si="3"/>
        <v>4.6139128380141559E-2</v>
      </c>
      <c r="AF37">
        <f t="shared" si="20"/>
        <v>0.30404818655245636</v>
      </c>
      <c r="AG37" t="str">
        <f t="shared" si="21"/>
        <v>Moderate</v>
      </c>
    </row>
    <row r="38" spans="1:33" customFormat="1" x14ac:dyDescent="0.3">
      <c r="A38">
        <v>107976</v>
      </c>
      <c r="B38" t="s">
        <v>383</v>
      </c>
      <c r="C38" t="s">
        <v>587</v>
      </c>
      <c r="D38" t="s">
        <v>590</v>
      </c>
      <c r="E38" s="21">
        <v>7</v>
      </c>
      <c r="F38" s="2">
        <f t="shared" si="4"/>
        <v>0.84444444444444444</v>
      </c>
      <c r="G38" s="10">
        <v>56.010600000000004</v>
      </c>
      <c r="H38">
        <f t="shared" si="5"/>
        <v>0.51122772199148314</v>
      </c>
      <c r="I38" s="12">
        <v>107</v>
      </c>
      <c r="J38" s="2">
        <f t="shared" si="6"/>
        <v>0.25933107125545324</v>
      </c>
      <c r="K38" s="10">
        <v>0.2</v>
      </c>
      <c r="L38" s="2">
        <f t="shared" si="7"/>
        <v>0.11764705882352942</v>
      </c>
      <c r="M38">
        <v>7339</v>
      </c>
      <c r="N38">
        <f t="shared" si="8"/>
        <v>3.3593088340359491E-2</v>
      </c>
      <c r="O38" s="10">
        <v>0.74950483999999995</v>
      </c>
      <c r="P38">
        <f t="shared" si="9"/>
        <v>0.72995548101680507</v>
      </c>
      <c r="Q38" s="23">
        <v>0.30149999999999999</v>
      </c>
      <c r="R38" s="13">
        <f t="shared" si="10"/>
        <v>0.65288003464703337</v>
      </c>
      <c r="S38">
        <f t="shared" si="11"/>
        <v>0.17807246818756539</v>
      </c>
      <c r="T38" s="14">
        <f t="shared" si="12"/>
        <v>0.3760794947164115</v>
      </c>
      <c r="U38" t="str">
        <f t="shared" si="13"/>
        <v>Moderate</v>
      </c>
      <c r="V38">
        <f t="shared" si="14"/>
        <v>0.16814719882887758</v>
      </c>
      <c r="W38">
        <f t="shared" si="0"/>
        <v>0.30523651341369173</v>
      </c>
      <c r="X38" t="str">
        <f t="shared" si="15"/>
        <v>Moderate</v>
      </c>
      <c r="Y38">
        <f t="shared" si="1"/>
        <v>0.18799773754625326</v>
      </c>
      <c r="Z38">
        <f t="shared" si="16"/>
        <v>0.41568184266686886</v>
      </c>
      <c r="AA38" t="str">
        <f t="shared" si="17"/>
        <v>Moderate</v>
      </c>
      <c r="AB38">
        <f t="shared" si="2"/>
        <v>0.11827896882794345</v>
      </c>
      <c r="AC38">
        <f t="shared" si="18"/>
        <v>0.3468951834250818</v>
      </c>
      <c r="AD38" t="str">
        <f t="shared" si="19"/>
        <v>Moderate</v>
      </c>
      <c r="AE38">
        <f t="shared" si="3"/>
        <v>8.6517942113152092E-3</v>
      </c>
      <c r="AF38">
        <f t="shared" si="20"/>
        <v>5.701369819347589E-2</v>
      </c>
      <c r="AG38" t="s">
        <v>1170</v>
      </c>
    </row>
    <row r="39" spans="1:33" customFormat="1" x14ac:dyDescent="0.3">
      <c r="A39">
        <v>107980</v>
      </c>
      <c r="B39" t="s">
        <v>420</v>
      </c>
      <c r="C39" t="s">
        <v>587</v>
      </c>
      <c r="D39" t="s">
        <v>591</v>
      </c>
      <c r="E39" s="21">
        <v>7.1</v>
      </c>
      <c r="F39" s="2">
        <f t="shared" si="4"/>
        <v>0.86666666666666659</v>
      </c>
      <c r="G39" s="10">
        <v>57.633839999999999</v>
      </c>
      <c r="H39">
        <f t="shared" si="5"/>
        <v>0.52604358340781243</v>
      </c>
      <c r="I39" s="12">
        <v>97.8</v>
      </c>
      <c r="J39" s="2">
        <f t="shared" si="6"/>
        <v>0.23703344643722735</v>
      </c>
      <c r="K39" s="10">
        <v>0.2</v>
      </c>
      <c r="L39" s="2">
        <f t="shared" si="7"/>
        <v>0.11764705882352942</v>
      </c>
      <c r="M39">
        <v>16497</v>
      </c>
      <c r="N39">
        <f t="shared" si="8"/>
        <v>7.692344087853023E-2</v>
      </c>
      <c r="O39" s="10">
        <v>0.77471300799999998</v>
      </c>
      <c r="P39">
        <f t="shared" si="9"/>
        <v>0.75771695421383423</v>
      </c>
      <c r="Q39" s="23">
        <v>0.38500000000000001</v>
      </c>
      <c r="R39" s="13">
        <f t="shared" si="10"/>
        <v>0.83369423993070602</v>
      </c>
      <c r="S39">
        <f t="shared" si="11"/>
        <v>0.2085185780004041</v>
      </c>
      <c r="T39" s="14">
        <f t="shared" si="12"/>
        <v>0.44038004443660861</v>
      </c>
      <c r="U39" t="str">
        <f t="shared" si="13"/>
        <v>Moderate</v>
      </c>
      <c r="V39">
        <f t="shared" si="14"/>
        <v>0.21847368931060746</v>
      </c>
      <c r="W39">
        <f t="shared" si="0"/>
        <v>0.39659386336647845</v>
      </c>
      <c r="X39" t="str">
        <f t="shared" si="15"/>
        <v>Moderate</v>
      </c>
      <c r="Y39">
        <f t="shared" si="1"/>
        <v>0.19856346669020075</v>
      </c>
      <c r="Z39">
        <f t="shared" si="16"/>
        <v>0.43904372891613591</v>
      </c>
      <c r="AA39" t="str">
        <f t="shared" si="17"/>
        <v>Moderate</v>
      </c>
      <c r="AB39">
        <f t="shared" si="2"/>
        <v>0.14309018980298488</v>
      </c>
      <c r="AC39">
        <f t="shared" si="18"/>
        <v>0.4196629217341416</v>
      </c>
      <c r="AD39" t="str">
        <f t="shared" si="19"/>
        <v>Moderate</v>
      </c>
      <c r="AE39">
        <f t="shared" si="3"/>
        <v>2.015816724917727E-2</v>
      </c>
      <c r="AF39">
        <f t="shared" si="20"/>
        <v>0.13283853448283678</v>
      </c>
      <c r="AG39" t="s">
        <v>1169</v>
      </c>
    </row>
    <row r="40" spans="1:33" customFormat="1" x14ac:dyDescent="0.3">
      <c r="A40">
        <v>107987</v>
      </c>
      <c r="B40" t="s">
        <v>384</v>
      </c>
      <c r="C40" t="s">
        <v>587</v>
      </c>
      <c r="D40" t="s">
        <v>1125</v>
      </c>
      <c r="E40" s="21">
        <v>7.1</v>
      </c>
      <c r="F40" s="2">
        <f t="shared" si="4"/>
        <v>0.86666666666666659</v>
      </c>
      <c r="G40" s="10">
        <v>54.001440000000002</v>
      </c>
      <c r="H40">
        <f t="shared" si="5"/>
        <v>0.49288943798959051</v>
      </c>
      <c r="I40" s="12">
        <v>99</v>
      </c>
      <c r="J40" s="2">
        <f t="shared" si="6"/>
        <v>0.23994183228308291</v>
      </c>
      <c r="K40" s="10">
        <v>0</v>
      </c>
      <c r="L40" s="2">
        <f t="shared" si="7"/>
        <v>0</v>
      </c>
      <c r="M40">
        <v>14296</v>
      </c>
      <c r="N40">
        <f t="shared" si="8"/>
        <v>6.650958349301879E-2</v>
      </c>
      <c r="O40" s="10">
        <v>0.78418434400000003</v>
      </c>
      <c r="P40">
        <f t="shared" si="9"/>
        <v>0.76814763051304236</v>
      </c>
      <c r="Q40" s="23">
        <v>0.37390000000000001</v>
      </c>
      <c r="R40" s="13">
        <f t="shared" si="10"/>
        <v>0.80965786054569078</v>
      </c>
      <c r="S40">
        <f t="shared" si="11"/>
        <v>0.17536688900879188</v>
      </c>
      <c r="T40" s="14">
        <f t="shared" si="12"/>
        <v>0.37036545671365506</v>
      </c>
      <c r="U40" t="str">
        <f t="shared" si="13"/>
        <v>Moderate</v>
      </c>
      <c r="V40">
        <f t="shared" si="14"/>
        <v>0.17998058819041926</v>
      </c>
      <c r="W40">
        <f t="shared" si="0"/>
        <v>0.32671758794684258</v>
      </c>
      <c r="X40" t="str">
        <f t="shared" si="15"/>
        <v>Moderate</v>
      </c>
      <c r="Y40">
        <f t="shared" si="1"/>
        <v>0.17075318982716448</v>
      </c>
      <c r="Z40">
        <f t="shared" si="16"/>
        <v>0.37755241906109827</v>
      </c>
      <c r="AA40" t="str">
        <f t="shared" si="17"/>
        <v>Moderate</v>
      </c>
      <c r="AB40">
        <f t="shared" si="2"/>
        <v>0.11939375826954399</v>
      </c>
      <c r="AC40">
        <f t="shared" si="18"/>
        <v>0.35016470032784497</v>
      </c>
      <c r="AD40" t="str">
        <f t="shared" si="19"/>
        <v>Moderate</v>
      </c>
      <c r="AE40">
        <f t="shared" si="3"/>
        <v>1.4784558442136934E-2</v>
      </c>
      <c r="AF40">
        <f t="shared" si="20"/>
        <v>9.7427462137436083E-2</v>
      </c>
      <c r="AG40" t="s">
        <v>1170</v>
      </c>
    </row>
    <row r="41" spans="1:33" customFormat="1" x14ac:dyDescent="0.3">
      <c r="A41">
        <v>107990</v>
      </c>
      <c r="B41" t="s">
        <v>540</v>
      </c>
      <c r="C41" t="s">
        <v>587</v>
      </c>
      <c r="D41" t="s">
        <v>592</v>
      </c>
      <c r="E41" s="21">
        <v>7.1</v>
      </c>
      <c r="F41" s="2">
        <f t="shared" si="4"/>
        <v>0.86666666666666659</v>
      </c>
      <c r="G41" s="10">
        <v>61.401960000000003</v>
      </c>
      <c r="H41">
        <f t="shared" si="5"/>
        <v>0.56043649124651707</v>
      </c>
      <c r="I41" s="12">
        <v>97.7</v>
      </c>
      <c r="J41" s="2">
        <f t="shared" si="6"/>
        <v>0.23679108095007273</v>
      </c>
      <c r="K41" s="10">
        <v>0</v>
      </c>
      <c r="L41" s="2">
        <f t="shared" si="7"/>
        <v>0</v>
      </c>
      <c r="M41">
        <v>6600</v>
      </c>
      <c r="N41">
        <f t="shared" si="8"/>
        <v>3.0096568300426303E-2</v>
      </c>
      <c r="O41" s="10">
        <v>0.68800640999999996</v>
      </c>
      <c r="P41">
        <f t="shared" si="9"/>
        <v>0.66222794857159251</v>
      </c>
      <c r="Q41" s="23">
        <v>0.39489999999999997</v>
      </c>
      <c r="R41" s="13">
        <f t="shared" si="10"/>
        <v>0.85513209181463834</v>
      </c>
      <c r="S41">
        <f t="shared" si="11"/>
        <v>0.18346832460702717</v>
      </c>
      <c r="T41" s="14">
        <f t="shared" si="12"/>
        <v>0.38747525385002468</v>
      </c>
      <c r="U41" t="str">
        <f t="shared" si="13"/>
        <v>Moderate</v>
      </c>
      <c r="V41">
        <f t="shared" si="14"/>
        <v>0.20679291404431521</v>
      </c>
      <c r="W41">
        <f t="shared" si="0"/>
        <v>0.37538982820511713</v>
      </c>
      <c r="X41" t="str">
        <f t="shared" si="15"/>
        <v>Moderate</v>
      </c>
      <c r="Y41">
        <f t="shared" si="1"/>
        <v>0.16014373516973918</v>
      </c>
      <c r="Z41">
        <f t="shared" si="16"/>
        <v>0.3540938513184726</v>
      </c>
      <c r="AA41" t="str">
        <f t="shared" si="17"/>
        <v>Moderate</v>
      </c>
      <c r="AB41">
        <f t="shared" si="2"/>
        <v>0.12296798372767034</v>
      </c>
      <c r="AC41">
        <f t="shared" si="18"/>
        <v>0.360647388908796</v>
      </c>
      <c r="AD41" t="str">
        <f t="shared" si="19"/>
        <v>Moderate</v>
      </c>
      <c r="AE41">
        <f t="shared" si="3"/>
        <v>7.2781236035379697E-3</v>
      </c>
      <c r="AF41">
        <f t="shared" si="20"/>
        <v>4.796146699886053E-2</v>
      </c>
      <c r="AG41" t="s">
        <v>1170</v>
      </c>
    </row>
    <row r="42" spans="1:33" customFormat="1" x14ac:dyDescent="0.3">
      <c r="A42">
        <v>200304</v>
      </c>
      <c r="B42" t="s">
        <v>10</v>
      </c>
      <c r="C42" t="s">
        <v>594</v>
      </c>
      <c r="D42" t="s">
        <v>593</v>
      </c>
      <c r="E42" s="21">
        <v>6</v>
      </c>
      <c r="F42" s="2">
        <f t="shared" si="4"/>
        <v>0.62222222222222223</v>
      </c>
      <c r="G42" s="10">
        <v>44.225640000000006</v>
      </c>
      <c r="H42">
        <f t="shared" si="5"/>
        <v>0.40366239945323595</v>
      </c>
      <c r="I42" s="12">
        <v>38.200000000000003</v>
      </c>
      <c r="J42" s="2">
        <f t="shared" si="6"/>
        <v>9.2583616093068366E-2</v>
      </c>
      <c r="K42" s="10">
        <v>0</v>
      </c>
      <c r="L42" s="2">
        <f t="shared" si="7"/>
        <v>0</v>
      </c>
      <c r="M42">
        <v>7538</v>
      </c>
      <c r="N42">
        <f t="shared" si="8"/>
        <v>3.4534641098068163E-2</v>
      </c>
      <c r="O42" s="10">
        <v>0.89268930899999999</v>
      </c>
      <c r="P42">
        <f t="shared" si="9"/>
        <v>0.8876429336858902</v>
      </c>
      <c r="Q42" s="23">
        <v>0.45639999999999997</v>
      </c>
      <c r="R42" s="13">
        <f t="shared" si="10"/>
        <v>0.98830662624512777</v>
      </c>
      <c r="S42">
        <f t="shared" si="11"/>
        <v>0.10136820495466427</v>
      </c>
      <c r="T42" s="14">
        <f t="shared" si="12"/>
        <v>0.21408420789397378</v>
      </c>
      <c r="U42" t="str">
        <f t="shared" si="13"/>
        <v>Low</v>
      </c>
      <c r="V42">
        <f t="shared" si="14"/>
        <v>0.10680763575642492</v>
      </c>
      <c r="W42">
        <f t="shared" si="0"/>
        <v>0.19388720461188977</v>
      </c>
      <c r="X42" t="s">
        <v>1169</v>
      </c>
      <c r="Y42">
        <f t="shared" si="1"/>
        <v>9.5928774152903629E-2</v>
      </c>
      <c r="Z42">
        <f t="shared" si="16"/>
        <v>0.21210813558244121</v>
      </c>
      <c r="AA42" t="str">
        <f t="shared" si="17"/>
        <v>Low</v>
      </c>
      <c r="AB42">
        <f t="shared" si="2"/>
        <v>6.7467576664804393E-2</v>
      </c>
      <c r="AC42">
        <f t="shared" si="18"/>
        <v>0.19787268704065539</v>
      </c>
      <c r="AD42" t="str">
        <f t="shared" si="19"/>
        <v>Low</v>
      </c>
      <c r="AE42">
        <f t="shared" si="3"/>
        <v>3.7322054405273804E-3</v>
      </c>
      <c r="AF42">
        <f t="shared" si="20"/>
        <v>2.4594532577298767E-2</v>
      </c>
      <c r="AG42" t="s">
        <v>1170</v>
      </c>
    </row>
    <row r="43" spans="1:33" customFormat="1" x14ac:dyDescent="0.3">
      <c r="A43">
        <v>200314</v>
      </c>
      <c r="B43" t="s">
        <v>42</v>
      </c>
      <c r="C43" t="s">
        <v>594</v>
      </c>
      <c r="D43" t="s">
        <v>595</v>
      </c>
      <c r="E43" s="21">
        <v>7.6</v>
      </c>
      <c r="F43" s="2">
        <f t="shared" si="4"/>
        <v>0.97777777777777763</v>
      </c>
      <c r="G43" s="10">
        <v>36.521999999999998</v>
      </c>
      <c r="H43">
        <f t="shared" si="5"/>
        <v>0.33334866726249934</v>
      </c>
      <c r="I43" s="12">
        <v>44.1</v>
      </c>
      <c r="J43" s="2">
        <f t="shared" si="6"/>
        <v>0.10688317983519148</v>
      </c>
      <c r="K43" s="10">
        <v>0</v>
      </c>
      <c r="L43" s="2">
        <f t="shared" si="7"/>
        <v>0</v>
      </c>
      <c r="M43">
        <v>10534</v>
      </c>
      <c r="N43">
        <f t="shared" si="8"/>
        <v>4.8709978093521268E-2</v>
      </c>
      <c r="O43" s="10">
        <v>0.93405031299999997</v>
      </c>
      <c r="P43">
        <f t="shared" si="9"/>
        <v>0.93319334432851264</v>
      </c>
      <c r="Q43" s="23">
        <v>0.44669999999999999</v>
      </c>
      <c r="R43" s="13">
        <f t="shared" si="10"/>
        <v>0.96730186227804249</v>
      </c>
      <c r="S43">
        <f t="shared" si="11"/>
        <v>0.14316156815725056</v>
      </c>
      <c r="T43" s="14">
        <f t="shared" si="12"/>
        <v>0.30234954770592382</v>
      </c>
      <c r="U43" t="str">
        <f t="shared" si="13"/>
        <v>Moderate</v>
      </c>
      <c r="V43">
        <f t="shared" si="14"/>
        <v>0.14573091371529243</v>
      </c>
      <c r="W43">
        <f t="shared" si="0"/>
        <v>0.26454437724125801</v>
      </c>
      <c r="X43" t="s">
        <v>1169</v>
      </c>
      <c r="Y43">
        <f t="shared" si="1"/>
        <v>0.1405922225992087</v>
      </c>
      <c r="Z43">
        <f t="shared" si="16"/>
        <v>0.31086349717528505</v>
      </c>
      <c r="AA43" t="str">
        <f t="shared" si="17"/>
        <v>Moderate</v>
      </c>
      <c r="AB43">
        <f t="shared" si="2"/>
        <v>9.575196335247034E-2</v>
      </c>
      <c r="AC43">
        <f t="shared" si="18"/>
        <v>0.28082672024969196</v>
      </c>
      <c r="AD43" t="str">
        <f t="shared" si="19"/>
        <v>Low</v>
      </c>
      <c r="AE43">
        <f t="shared" si="3"/>
        <v>7.3385050638725188E-3</v>
      </c>
      <c r="AF43">
        <f t="shared" si="20"/>
        <v>4.8359369476879827E-2</v>
      </c>
      <c r="AG43" t="s">
        <v>1170</v>
      </c>
    </row>
    <row r="44" spans="1:33" customFormat="1" x14ac:dyDescent="0.3">
      <c r="A44">
        <v>200351</v>
      </c>
      <c r="B44" t="s">
        <v>304</v>
      </c>
      <c r="C44" t="s">
        <v>594</v>
      </c>
      <c r="D44" t="s">
        <v>596</v>
      </c>
      <c r="E44" s="21">
        <v>7.7</v>
      </c>
      <c r="F44" s="2">
        <f t="shared" si="4"/>
        <v>1</v>
      </c>
      <c r="G44" s="10">
        <v>36.763559999999998</v>
      </c>
      <c r="H44">
        <f t="shared" si="5"/>
        <v>0.33555346722044055</v>
      </c>
      <c r="I44" s="12">
        <v>40.700000000000003</v>
      </c>
      <c r="J44" s="2">
        <f t="shared" si="6"/>
        <v>9.8642753271934086E-2</v>
      </c>
      <c r="K44" s="10">
        <v>0</v>
      </c>
      <c r="L44" s="2">
        <f t="shared" si="7"/>
        <v>0</v>
      </c>
      <c r="M44">
        <v>14751</v>
      </c>
      <c r="N44">
        <f t="shared" si="8"/>
        <v>6.8662379999337594E-2</v>
      </c>
      <c r="O44" s="10">
        <v>0.816387109</v>
      </c>
      <c r="P44">
        <f t="shared" si="9"/>
        <v>0.80361217507723792</v>
      </c>
      <c r="Q44" s="23">
        <v>0.43519999999999998</v>
      </c>
      <c r="R44" s="13">
        <f t="shared" si="10"/>
        <v>0.94239930705933306</v>
      </c>
      <c r="S44">
        <f t="shared" si="11"/>
        <v>0.13266952763399795</v>
      </c>
      <c r="T44" s="14">
        <f t="shared" si="12"/>
        <v>0.28019092128438866</v>
      </c>
      <c r="U44" t="str">
        <f t="shared" si="13"/>
        <v>Low</v>
      </c>
      <c r="V44">
        <f t="shared" si="14"/>
        <v>0.14321517606192832</v>
      </c>
      <c r="W44">
        <f t="shared" si="0"/>
        <v>0.25997757508621361</v>
      </c>
      <c r="X44" t="s">
        <v>1169</v>
      </c>
      <c r="Y44">
        <f t="shared" si="1"/>
        <v>0.1221238792060676</v>
      </c>
      <c r="Z44">
        <f t="shared" si="16"/>
        <v>0.270028138660523</v>
      </c>
      <c r="AA44" t="str">
        <f t="shared" si="17"/>
        <v>Low</v>
      </c>
      <c r="AB44">
        <f t="shared" si="2"/>
        <v>9.0414561254496345E-2</v>
      </c>
      <c r="AC44">
        <f t="shared" si="18"/>
        <v>0.26517288848114273</v>
      </c>
      <c r="AD44" t="str">
        <f t="shared" si="19"/>
        <v>Low</v>
      </c>
      <c r="AE44">
        <f t="shared" si="3"/>
        <v>1.043453106000326E-2</v>
      </c>
      <c r="AF44">
        <f t="shared" si="20"/>
        <v>6.8761599052763411E-2</v>
      </c>
      <c r="AG44" t="s">
        <v>1170</v>
      </c>
    </row>
    <row r="45" spans="1:33" customFormat="1" x14ac:dyDescent="0.3">
      <c r="A45">
        <v>200373</v>
      </c>
      <c r="B45" t="s">
        <v>365</v>
      </c>
      <c r="C45" t="s">
        <v>594</v>
      </c>
      <c r="D45" t="s">
        <v>597</v>
      </c>
      <c r="E45" s="21">
        <v>7.7</v>
      </c>
      <c r="F45" s="2">
        <f t="shared" si="4"/>
        <v>1</v>
      </c>
      <c r="G45" s="10">
        <v>38.497320000000002</v>
      </c>
      <c r="H45">
        <f t="shared" si="5"/>
        <v>0.3513780821197624</v>
      </c>
      <c r="I45" s="12">
        <v>70.899999999999991</v>
      </c>
      <c r="J45" s="2">
        <f t="shared" si="6"/>
        <v>0.17183713039263207</v>
      </c>
      <c r="K45" s="10">
        <v>0</v>
      </c>
      <c r="L45" s="2">
        <f t="shared" si="7"/>
        <v>0</v>
      </c>
      <c r="M45">
        <v>12144</v>
      </c>
      <c r="N45">
        <f t="shared" si="8"/>
        <v>5.6327565731264753E-2</v>
      </c>
      <c r="O45" s="10">
        <v>0.91274416700000005</v>
      </c>
      <c r="P45">
        <f t="shared" si="9"/>
        <v>0.90972912427448138</v>
      </c>
      <c r="Q45" s="23">
        <v>0.443</v>
      </c>
      <c r="R45" s="13">
        <f t="shared" si="10"/>
        <v>0.95928973581637078</v>
      </c>
      <c r="S45">
        <f t="shared" si="11"/>
        <v>0.17113234251261897</v>
      </c>
      <c r="T45" s="14">
        <f t="shared" si="12"/>
        <v>0.36142232180435269</v>
      </c>
      <c r="U45" t="str">
        <f t="shared" si="13"/>
        <v>Moderate</v>
      </c>
      <c r="V45">
        <f t="shared" si="14"/>
        <v>0.17567024404514239</v>
      </c>
      <c r="W45">
        <f t="shared" si="0"/>
        <v>0.31889304833107185</v>
      </c>
      <c r="X45" t="str">
        <f t="shared" si="15"/>
        <v>Moderate</v>
      </c>
      <c r="Y45">
        <f t="shared" si="1"/>
        <v>0.16659444098009554</v>
      </c>
      <c r="Z45">
        <f t="shared" si="16"/>
        <v>0.36835700848594166</v>
      </c>
      <c r="AA45" t="str">
        <f t="shared" si="17"/>
        <v>Moderate</v>
      </c>
      <c r="AB45">
        <f t="shared" si="2"/>
        <v>0.11507316902094121</v>
      </c>
      <c r="AC45">
        <f t="shared" si="18"/>
        <v>0.33749303422565957</v>
      </c>
      <c r="AD45" t="str">
        <f t="shared" si="19"/>
        <v>Moderate</v>
      </c>
      <c r="AE45">
        <f t="shared" si="3"/>
        <v>1.0315003746036343E-2</v>
      </c>
      <c r="AF45">
        <f t="shared" si="20"/>
        <v>6.7973936512723571E-2</v>
      </c>
      <c r="AG45" t="s">
        <v>1170</v>
      </c>
    </row>
    <row r="46" spans="1:33" customFormat="1" x14ac:dyDescent="0.3">
      <c r="A46">
        <v>200389</v>
      </c>
      <c r="B46" t="s">
        <v>445</v>
      </c>
      <c r="C46" t="s">
        <v>594</v>
      </c>
      <c r="D46" t="s">
        <v>598</v>
      </c>
      <c r="E46" s="21">
        <v>5.9</v>
      </c>
      <c r="F46" s="2">
        <f t="shared" si="4"/>
        <v>0.60000000000000009</v>
      </c>
      <c r="G46" s="10">
        <v>31.055759999999999</v>
      </c>
      <c r="H46">
        <f t="shared" si="5"/>
        <v>0.2834564428789233</v>
      </c>
      <c r="I46" s="12">
        <v>40.6</v>
      </c>
      <c r="J46" s="2">
        <f t="shared" si="6"/>
        <v>9.8400387784779456E-2</v>
      </c>
      <c r="K46" s="10">
        <v>0</v>
      </c>
      <c r="L46" s="2">
        <f t="shared" si="7"/>
        <v>0</v>
      </c>
      <c r="M46">
        <v>5632</v>
      </c>
      <c r="N46">
        <f t="shared" si="8"/>
        <v>2.5516552875994188E-2</v>
      </c>
      <c r="O46" s="10">
        <v>0.88670519800000003</v>
      </c>
      <c r="P46">
        <f t="shared" si="9"/>
        <v>0.88105269923749452</v>
      </c>
      <c r="Q46" s="23">
        <v>0.46079999999999999</v>
      </c>
      <c r="R46" s="13">
        <f t="shared" si="10"/>
        <v>0.99783456041576435</v>
      </c>
      <c r="S46">
        <f t="shared" si="11"/>
        <v>7.5333923085288301E-2</v>
      </c>
      <c r="T46" s="14">
        <f t="shared" si="12"/>
        <v>0.15910120198411781</v>
      </c>
      <c r="U46" t="str">
        <f t="shared" si="13"/>
        <v>Low</v>
      </c>
      <c r="V46">
        <f t="shared" si="14"/>
        <v>8.0016287981085288E-2</v>
      </c>
      <c r="W46">
        <f t="shared" si="0"/>
        <v>0.14525304572280395</v>
      </c>
      <c r="X46" t="s">
        <v>1170</v>
      </c>
      <c r="Y46">
        <f t="shared" si="1"/>
        <v>7.0651558189491342E-2</v>
      </c>
      <c r="Z46">
        <f t="shared" si="16"/>
        <v>0.15621767729129024</v>
      </c>
      <c r="AA46" t="s">
        <v>1170</v>
      </c>
      <c r="AB46">
        <f t="shared" si="2"/>
        <v>4.9917327996012957E-2</v>
      </c>
      <c r="AC46">
        <f t="shared" si="18"/>
        <v>0.14640033492730242</v>
      </c>
      <c r="AD46" t="str">
        <f t="shared" si="19"/>
        <v>No Impact</v>
      </c>
      <c r="AE46">
        <f t="shared" si="3"/>
        <v>2.0461707022448854E-3</v>
      </c>
      <c r="AF46">
        <f t="shared" si="20"/>
        <v>1.3483880455403064E-2</v>
      </c>
      <c r="AG46" t="s">
        <v>1170</v>
      </c>
    </row>
    <row r="47" spans="1:33" customFormat="1" x14ac:dyDescent="0.3">
      <c r="A47">
        <v>200391</v>
      </c>
      <c r="B47" t="s">
        <v>449</v>
      </c>
      <c r="C47" t="s">
        <v>594</v>
      </c>
      <c r="D47" t="s">
        <v>599</v>
      </c>
      <c r="E47" s="21">
        <v>7.7</v>
      </c>
      <c r="F47" s="2">
        <f t="shared" si="4"/>
        <v>1</v>
      </c>
      <c r="G47" s="10">
        <v>44.225640000000006</v>
      </c>
      <c r="H47">
        <f t="shared" si="5"/>
        <v>0.40366239945323595</v>
      </c>
      <c r="I47" s="12">
        <v>37.1</v>
      </c>
      <c r="J47" s="2">
        <f t="shared" si="6"/>
        <v>8.9917595734367431E-2</v>
      </c>
      <c r="K47" s="10">
        <v>0</v>
      </c>
      <c r="L47" s="2">
        <f t="shared" si="7"/>
        <v>0</v>
      </c>
      <c r="M47">
        <v>2880</v>
      </c>
      <c r="N47">
        <f t="shared" si="8"/>
        <v>1.2495682578435131E-2</v>
      </c>
      <c r="O47" s="10">
        <v>0.85408552900000001</v>
      </c>
      <c r="P47">
        <f t="shared" si="9"/>
        <v>0.84512902296560277</v>
      </c>
      <c r="Q47" s="23">
        <v>0.46179999999999999</v>
      </c>
      <c r="R47" s="13">
        <f t="shared" si="10"/>
        <v>1</v>
      </c>
      <c r="S47">
        <f t="shared" si="11"/>
        <v>0.15937578549827713</v>
      </c>
      <c r="T47" s="14">
        <f t="shared" si="12"/>
        <v>0.33659310442695745</v>
      </c>
      <c r="U47" t="str">
        <f t="shared" si="13"/>
        <v>Moderate</v>
      </c>
      <c r="V47">
        <f t="shared" si="14"/>
        <v>0.17275299831566115</v>
      </c>
      <c r="W47">
        <f t="shared" si="0"/>
        <v>0.31359739118400254</v>
      </c>
      <c r="X47" t="str">
        <f t="shared" si="15"/>
        <v>Moderate</v>
      </c>
      <c r="Y47">
        <f t="shared" si="1"/>
        <v>0.14599857268089314</v>
      </c>
      <c r="Z47">
        <f t="shared" si="16"/>
        <v>0.3228174791401151</v>
      </c>
      <c r="AA47" t="str">
        <f t="shared" si="17"/>
        <v>Moderate</v>
      </c>
      <c r="AB47">
        <f t="shared" si="2"/>
        <v>0.10501865453574824</v>
      </c>
      <c r="AC47">
        <f t="shared" si="18"/>
        <v>0.30800459108861433</v>
      </c>
      <c r="AD47" t="str">
        <f t="shared" si="19"/>
        <v>Moderate</v>
      </c>
      <c r="AE47">
        <f t="shared" si="3"/>
        <v>2.1586666314254406E-3</v>
      </c>
      <c r="AF47">
        <f t="shared" si="20"/>
        <v>1.4225207490887397E-2</v>
      </c>
      <c r="AG47" t="s">
        <v>1170</v>
      </c>
    </row>
    <row r="48" spans="1:33" customFormat="1" x14ac:dyDescent="0.3">
      <c r="A48">
        <v>200395</v>
      </c>
      <c r="B48" t="s">
        <v>526</v>
      </c>
      <c r="C48" t="s">
        <v>594</v>
      </c>
      <c r="D48" t="s">
        <v>600</v>
      </c>
      <c r="E48" s="21">
        <v>7.7</v>
      </c>
      <c r="F48" s="2">
        <f t="shared" si="4"/>
        <v>1</v>
      </c>
      <c r="G48" s="10">
        <v>44.225640000000006</v>
      </c>
      <c r="H48">
        <f t="shared" si="5"/>
        <v>0.40366239945323595</v>
      </c>
      <c r="I48" s="12">
        <v>37.9</v>
      </c>
      <c r="J48" s="2">
        <f t="shared" si="6"/>
        <v>9.1856519631604461E-2</v>
      </c>
      <c r="K48" s="10">
        <v>0</v>
      </c>
      <c r="L48" s="2">
        <f t="shared" si="7"/>
        <v>0</v>
      </c>
      <c r="M48">
        <v>2642</v>
      </c>
      <c r="N48">
        <f t="shared" si="8"/>
        <v>1.1369604405899136E-2</v>
      </c>
      <c r="O48" s="10">
        <v>0.60021188400000003</v>
      </c>
      <c r="P48">
        <f t="shared" si="9"/>
        <v>0.56554082000299222</v>
      </c>
      <c r="Q48" s="23">
        <v>0.45600000000000002</v>
      </c>
      <c r="R48" s="13">
        <f t="shared" si="10"/>
        <v>0.98744045041143358</v>
      </c>
      <c r="S48">
        <f t="shared" si="11"/>
        <v>0.13466803008308273</v>
      </c>
      <c r="T48" s="14">
        <f t="shared" si="12"/>
        <v>0.28441165118660833</v>
      </c>
      <c r="U48" t="str">
        <f t="shared" si="13"/>
        <v>Low</v>
      </c>
      <c r="V48">
        <f t="shared" si="14"/>
        <v>0.17125339862698249</v>
      </c>
      <c r="W48">
        <f t="shared" si="0"/>
        <v>0.3108751776492153</v>
      </c>
      <c r="X48" t="str">
        <f t="shared" si="15"/>
        <v>Moderate</v>
      </c>
      <c r="Y48">
        <f t="shared" si="1"/>
        <v>9.8082661539182936E-2</v>
      </c>
      <c r="Z48">
        <f t="shared" si="16"/>
        <v>0.21687059649985108</v>
      </c>
      <c r="AA48" t="str">
        <f t="shared" si="17"/>
        <v>Low</v>
      </c>
      <c r="AB48">
        <f t="shared" si="2"/>
        <v>9.0053635106688845E-2</v>
      </c>
      <c r="AC48">
        <f t="shared" si="18"/>
        <v>0.26411434406291462</v>
      </c>
      <c r="AD48" t="str">
        <f t="shared" si="19"/>
        <v>Low</v>
      </c>
      <c r="AE48">
        <f t="shared" si="3"/>
        <v>1.9718489299716821E-3</v>
      </c>
      <c r="AF48">
        <f t="shared" si="20"/>
        <v>1.2994113941071639E-2</v>
      </c>
      <c r="AG48" t="s">
        <v>1170</v>
      </c>
    </row>
    <row r="49" spans="1:33" customFormat="1" x14ac:dyDescent="0.3">
      <c r="A49">
        <v>201202</v>
      </c>
      <c r="B49" t="s">
        <v>6</v>
      </c>
      <c r="C49" t="s">
        <v>1153</v>
      </c>
      <c r="D49" t="s">
        <v>601</v>
      </c>
      <c r="E49" s="21">
        <v>6</v>
      </c>
      <c r="F49" s="2">
        <f t="shared" si="4"/>
        <v>0.62222222222222223</v>
      </c>
      <c r="G49" s="10">
        <v>38.034720000000007</v>
      </c>
      <c r="H49">
        <f t="shared" si="5"/>
        <v>0.34715577519583629</v>
      </c>
      <c r="I49" s="12">
        <v>51.300000000000004</v>
      </c>
      <c r="J49" s="2">
        <f t="shared" si="6"/>
        <v>0.12433349491032479</v>
      </c>
      <c r="K49" s="10">
        <v>0</v>
      </c>
      <c r="L49" s="2">
        <f t="shared" si="7"/>
        <v>0</v>
      </c>
      <c r="M49">
        <v>17023</v>
      </c>
      <c r="N49">
        <f t="shared" si="8"/>
        <v>7.9412168268252634E-2</v>
      </c>
      <c r="O49" s="10">
        <v>0.90624782100000001</v>
      </c>
      <c r="P49">
        <f t="shared" si="9"/>
        <v>0.90257477115538021</v>
      </c>
      <c r="Q49" s="23">
        <v>0.29530000000000001</v>
      </c>
      <c r="R49" s="13">
        <f t="shared" si="10"/>
        <v>0.63945430922477264</v>
      </c>
      <c r="S49">
        <f t="shared" si="11"/>
        <v>7.916768469767721E-2</v>
      </c>
      <c r="T49" s="14">
        <f t="shared" si="12"/>
        <v>0.16719790073112306</v>
      </c>
      <c r="U49" t="str">
        <f t="shared" si="13"/>
        <v>Low</v>
      </c>
      <c r="V49">
        <f t="shared" si="14"/>
        <v>6.5659095247149996E-2</v>
      </c>
      <c r="W49">
        <f t="shared" si="0"/>
        <v>0.11919052738745732</v>
      </c>
      <c r="X49" t="s">
        <v>1170</v>
      </c>
      <c r="Y49">
        <f t="shared" si="1"/>
        <v>9.267627414820441E-2</v>
      </c>
      <c r="Z49">
        <f t="shared" si="16"/>
        <v>0.20491653204043189</v>
      </c>
      <c r="AA49" t="str">
        <f t="shared" si="17"/>
        <v>Low</v>
      </c>
      <c r="AB49">
        <f t="shared" si="2"/>
        <v>5.3637476901461756E-2</v>
      </c>
      <c r="AC49">
        <f t="shared" si="18"/>
        <v>0.15731099596630363</v>
      </c>
      <c r="AD49" t="str">
        <f t="shared" si="19"/>
        <v>Low</v>
      </c>
      <c r="AE49">
        <f t="shared" si="3"/>
        <v>8.1540323442798133E-3</v>
      </c>
      <c r="AF49">
        <f t="shared" si="20"/>
        <v>5.3733541018417166E-2</v>
      </c>
      <c r="AG49" t="s">
        <v>1170</v>
      </c>
    </row>
    <row r="50" spans="1:33" customFormat="1" x14ac:dyDescent="0.3">
      <c r="A50">
        <v>201204</v>
      </c>
      <c r="B50" t="s">
        <v>40</v>
      </c>
      <c r="C50" t="s">
        <v>1153</v>
      </c>
      <c r="D50" t="s">
        <v>602</v>
      </c>
      <c r="E50" s="21">
        <v>6</v>
      </c>
      <c r="F50" s="2">
        <f t="shared" si="4"/>
        <v>0.62222222222222223</v>
      </c>
      <c r="G50" s="10">
        <v>41.942520000000002</v>
      </c>
      <c r="H50">
        <f t="shared" si="5"/>
        <v>0.382823589716629</v>
      </c>
      <c r="I50" s="12">
        <v>61.5</v>
      </c>
      <c r="J50" s="2">
        <f t="shared" si="6"/>
        <v>0.14905477460009695</v>
      </c>
      <c r="K50" s="10">
        <v>0</v>
      </c>
      <c r="L50" s="2">
        <f t="shared" si="7"/>
        <v>0</v>
      </c>
      <c r="M50">
        <v>40696</v>
      </c>
      <c r="N50">
        <f t="shared" si="8"/>
        <v>0.19141909506844001</v>
      </c>
      <c r="O50" s="10">
        <v>0.69973283900000005</v>
      </c>
      <c r="P50">
        <f t="shared" si="9"/>
        <v>0.67514213354450947</v>
      </c>
      <c r="Q50" s="23">
        <v>0.27539999999999998</v>
      </c>
      <c r="R50" s="13">
        <f t="shared" si="10"/>
        <v>0.59636206149848414</v>
      </c>
      <c r="S50">
        <f t="shared" si="11"/>
        <v>7.3639984450188475E-2</v>
      </c>
      <c r="T50" s="14">
        <f t="shared" si="12"/>
        <v>0.1555236945094759</v>
      </c>
      <c r="U50" t="str">
        <f t="shared" si="13"/>
        <v>Low</v>
      </c>
      <c r="V50">
        <f t="shared" si="14"/>
        <v>6.9077385834257141E-2</v>
      </c>
      <c r="W50">
        <f t="shared" si="0"/>
        <v>0.12539572799686666</v>
      </c>
      <c r="X50" t="s">
        <v>1170</v>
      </c>
      <c r="Y50">
        <f t="shared" si="1"/>
        <v>7.8202583066119796E-2</v>
      </c>
      <c r="Z50">
        <f t="shared" si="16"/>
        <v>0.17291375021061478</v>
      </c>
      <c r="AA50" t="s">
        <v>1170</v>
      </c>
      <c r="AB50">
        <f t="shared" si="2"/>
        <v>5.5398172092516705E-2</v>
      </c>
      <c r="AC50">
        <f t="shared" si="18"/>
        <v>0.16247486142192102</v>
      </c>
      <c r="AD50" t="str">
        <f t="shared" si="19"/>
        <v>Low</v>
      </c>
      <c r="AE50">
        <f t="shared" si="3"/>
        <v>2.2172320373402207E-2</v>
      </c>
      <c r="AF50">
        <f t="shared" si="20"/>
        <v>0.14611142511514302</v>
      </c>
      <c r="AG50" t="s">
        <v>1169</v>
      </c>
    </row>
    <row r="51" spans="1:33" customFormat="1" x14ac:dyDescent="0.3">
      <c r="A51">
        <v>201207</v>
      </c>
      <c r="B51" t="s">
        <v>75</v>
      </c>
      <c r="C51" t="s">
        <v>1153</v>
      </c>
      <c r="D51" t="s">
        <v>1126</v>
      </c>
      <c r="E51" s="21">
        <v>5.2</v>
      </c>
      <c r="F51" s="2">
        <f t="shared" si="4"/>
        <v>0.44444444444444442</v>
      </c>
      <c r="G51" s="10">
        <v>41.221080000000001</v>
      </c>
      <c r="H51">
        <f t="shared" si="5"/>
        <v>0.37623876242048265</v>
      </c>
      <c r="I51" s="12">
        <v>59.4</v>
      </c>
      <c r="J51" s="2">
        <f t="shared" si="6"/>
        <v>0.14396509936984975</v>
      </c>
      <c r="K51" s="10">
        <v>0</v>
      </c>
      <c r="L51" s="2">
        <f t="shared" si="7"/>
        <v>0</v>
      </c>
      <c r="M51">
        <v>16310</v>
      </c>
      <c r="N51">
        <f t="shared" si="8"/>
        <v>7.6038665171537664E-2</v>
      </c>
      <c r="O51" s="10">
        <v>0.791599575</v>
      </c>
      <c r="P51">
        <f t="shared" si="9"/>
        <v>0.77631394139514531</v>
      </c>
      <c r="Q51" s="23">
        <v>0.26979999999999998</v>
      </c>
      <c r="R51" s="13">
        <f t="shared" si="10"/>
        <v>0.58423559982676476</v>
      </c>
      <c r="S51">
        <f t="shared" si="11"/>
        <v>5.5048243094499093E-2</v>
      </c>
      <c r="T51" s="14">
        <f t="shared" si="12"/>
        <v>0.11625893468382353</v>
      </c>
      <c r="U51" t="str">
        <f t="shared" si="13"/>
        <v>No Impact</v>
      </c>
      <c r="V51">
        <f t="shared" si="14"/>
        <v>4.727669570170933E-2</v>
      </c>
      <c r="W51">
        <f t="shared" si="0"/>
        <v>8.5821077378730126E-2</v>
      </c>
      <c r="X51" t="s">
        <v>1170</v>
      </c>
      <c r="Y51">
        <f t="shared" si="1"/>
        <v>6.2819790487288849E-2</v>
      </c>
      <c r="Z51">
        <f t="shared" si="16"/>
        <v>0.13890085384287271</v>
      </c>
      <c r="AA51" t="s">
        <v>1170</v>
      </c>
      <c r="AB51">
        <f t="shared" si="2"/>
        <v>3.7546363704132897E-2</v>
      </c>
      <c r="AC51">
        <f t="shared" si="18"/>
        <v>0.11011807807554148</v>
      </c>
      <c r="AD51" t="str">
        <f t="shared" si="19"/>
        <v>No Impact</v>
      </c>
      <c r="AE51">
        <f t="shared" si="3"/>
        <v>6.1530944638513684E-3</v>
      </c>
      <c r="AF51">
        <f t="shared" si="20"/>
        <v>4.0547736359605402E-2</v>
      </c>
      <c r="AG51" t="s">
        <v>1170</v>
      </c>
    </row>
    <row r="52" spans="1:33" customFormat="1" x14ac:dyDescent="0.3">
      <c r="A52">
        <v>201213</v>
      </c>
      <c r="B52" t="s">
        <v>89</v>
      </c>
      <c r="C52" t="s">
        <v>1153</v>
      </c>
      <c r="D52" t="s">
        <v>603</v>
      </c>
      <c r="E52" s="21">
        <v>6</v>
      </c>
      <c r="F52" s="2">
        <f t="shared" si="4"/>
        <v>0.62222222222222223</v>
      </c>
      <c r="G52" s="10">
        <v>38.563560000000003</v>
      </c>
      <c r="H52">
        <f t="shared" si="5"/>
        <v>0.35198267704116509</v>
      </c>
      <c r="I52" s="12">
        <v>51.4</v>
      </c>
      <c r="J52" s="2">
        <f t="shared" si="6"/>
        <v>0.12457586039747941</v>
      </c>
      <c r="K52" s="10">
        <v>0</v>
      </c>
      <c r="L52" s="2">
        <f t="shared" si="7"/>
        <v>0</v>
      </c>
      <c r="M52">
        <v>60378</v>
      </c>
      <c r="N52">
        <f t="shared" si="8"/>
        <v>0.28454292108463092</v>
      </c>
      <c r="O52" s="10">
        <v>0.83918392200000003</v>
      </c>
      <c r="P52">
        <f t="shared" si="9"/>
        <v>0.82871805000941012</v>
      </c>
      <c r="Q52" s="23">
        <v>0.29239999999999999</v>
      </c>
      <c r="R52" s="13">
        <f t="shared" si="10"/>
        <v>0.63317453443048943</v>
      </c>
      <c r="S52">
        <f t="shared" si="11"/>
        <v>7.5860427121601889E-2</v>
      </c>
      <c r="T52" s="14">
        <f t="shared" si="12"/>
        <v>0.16021315024854238</v>
      </c>
      <c r="U52" t="str">
        <f t="shared" si="13"/>
        <v>Low</v>
      </c>
      <c r="V52">
        <f t="shared" si="14"/>
        <v>6.5713296771145985E-2</v>
      </c>
      <c r="W52">
        <f t="shared" si="0"/>
        <v>0.11928891906047639</v>
      </c>
      <c r="X52" t="s">
        <v>1170</v>
      </c>
      <c r="Y52">
        <f t="shared" si="1"/>
        <v>8.6007557472057808E-2</v>
      </c>
      <c r="Z52">
        <f t="shared" si="16"/>
        <v>0.19017133099522313</v>
      </c>
      <c r="AA52" t="str">
        <f t="shared" si="17"/>
        <v>Low</v>
      </c>
      <c r="AB52">
        <f t="shared" si="2"/>
        <v>5.9137757978305026E-2</v>
      </c>
      <c r="AC52">
        <f t="shared" si="18"/>
        <v>0.17344252832533685</v>
      </c>
      <c r="AD52" t="str">
        <f t="shared" si="19"/>
        <v>Low</v>
      </c>
      <c r="AE52">
        <f t="shared" si="3"/>
        <v>2.9530962476533137E-2</v>
      </c>
      <c r="AF52">
        <f t="shared" si="20"/>
        <v>0.19460349389701645</v>
      </c>
      <c r="AG52" t="s">
        <v>1169</v>
      </c>
    </row>
    <row r="53" spans="1:33" customFormat="1" x14ac:dyDescent="0.3">
      <c r="A53">
        <v>201233</v>
      </c>
      <c r="B53" t="s">
        <v>13</v>
      </c>
      <c r="C53" t="s">
        <v>1153</v>
      </c>
      <c r="D53" t="s">
        <v>604</v>
      </c>
      <c r="E53" s="21">
        <v>6</v>
      </c>
      <c r="F53" s="2">
        <f t="shared" si="4"/>
        <v>0.62222222222222223</v>
      </c>
      <c r="G53" s="10">
        <v>38.82564</v>
      </c>
      <c r="H53">
        <f t="shared" si="5"/>
        <v>0.35437476999106254</v>
      </c>
      <c r="I53" s="12">
        <v>53.900000000000006</v>
      </c>
      <c r="J53" s="2">
        <f t="shared" si="6"/>
        <v>0.13063499757634514</v>
      </c>
      <c r="K53" s="10">
        <v>0</v>
      </c>
      <c r="L53" s="2">
        <f t="shared" si="7"/>
        <v>0</v>
      </c>
      <c r="M53">
        <v>21752</v>
      </c>
      <c r="N53">
        <f t="shared" si="8"/>
        <v>0.10178705767128926</v>
      </c>
      <c r="O53" s="10">
        <v>0.87803279599999995</v>
      </c>
      <c r="P53">
        <f t="shared" si="9"/>
        <v>0.87150188000791529</v>
      </c>
      <c r="Q53" s="23">
        <v>0.32090000000000002</v>
      </c>
      <c r="R53" s="13">
        <f t="shared" si="10"/>
        <v>0.69488956258120405</v>
      </c>
      <c r="S53">
        <f t="shared" si="11"/>
        <v>8.2724538499992298E-2</v>
      </c>
      <c r="T53" s="14">
        <f t="shared" si="12"/>
        <v>0.17470978504636622</v>
      </c>
      <c r="U53" t="str">
        <f t="shared" si="13"/>
        <v>Low</v>
      </c>
      <c r="V53">
        <f t="shared" si="14"/>
        <v>7.3397257939528171E-2</v>
      </c>
      <c r="W53">
        <f t="shared" si="0"/>
        <v>0.13323756365627545</v>
      </c>
      <c r="X53" t="s">
        <v>1170</v>
      </c>
      <c r="Y53">
        <f t="shared" si="1"/>
        <v>9.2051819060456397E-2</v>
      </c>
      <c r="Z53">
        <f t="shared" si="16"/>
        <v>0.20353579924584742</v>
      </c>
      <c r="AA53" t="str">
        <f t="shared" si="17"/>
        <v>Low</v>
      </c>
      <c r="AB53">
        <f t="shared" si="2"/>
        <v>5.706750310666181E-2</v>
      </c>
      <c r="AC53">
        <f t="shared" si="18"/>
        <v>0.16737076890308464</v>
      </c>
      <c r="AD53" t="str">
        <f t="shared" si="19"/>
        <v>Low</v>
      </c>
      <c r="AE53">
        <f t="shared" si="3"/>
        <v>1.0751191741971528E-2</v>
      </c>
      <c r="AF53">
        <f t="shared" si="20"/>
        <v>7.0848333446869471E-2</v>
      </c>
      <c r="AG53" t="s">
        <v>1170</v>
      </c>
    </row>
    <row r="54" spans="1:33" customFormat="1" x14ac:dyDescent="0.3">
      <c r="A54">
        <v>201263</v>
      </c>
      <c r="B54" t="s">
        <v>261</v>
      </c>
      <c r="C54" t="s">
        <v>1153</v>
      </c>
      <c r="D54" t="s">
        <v>605</v>
      </c>
      <c r="E54" s="21">
        <v>5.9</v>
      </c>
      <c r="F54" s="2">
        <f t="shared" si="4"/>
        <v>0.60000000000000009</v>
      </c>
      <c r="G54" s="10">
        <v>39.791879999999999</v>
      </c>
      <c r="H54">
        <f t="shared" si="5"/>
        <v>0.36319396982282742</v>
      </c>
      <c r="I54" s="12">
        <v>53</v>
      </c>
      <c r="J54" s="2">
        <f t="shared" si="6"/>
        <v>0.12845370819195348</v>
      </c>
      <c r="K54" s="10">
        <v>0</v>
      </c>
      <c r="L54" s="2">
        <f t="shared" si="7"/>
        <v>0</v>
      </c>
      <c r="M54">
        <v>28839</v>
      </c>
      <c r="N54">
        <f t="shared" si="8"/>
        <v>0.13531863754003964</v>
      </c>
      <c r="O54" s="10">
        <v>0.94135772799999995</v>
      </c>
      <c r="P54">
        <f t="shared" si="9"/>
        <v>0.94124091865688375</v>
      </c>
      <c r="Q54" s="23">
        <v>0.32390000000000002</v>
      </c>
      <c r="R54" s="13">
        <f t="shared" si="10"/>
        <v>0.70138588133391089</v>
      </c>
      <c r="S54">
        <f t="shared" si="11"/>
        <v>8.4797333466334043E-2</v>
      </c>
      <c r="T54" s="14">
        <f t="shared" si="12"/>
        <v>0.17908741675735834</v>
      </c>
      <c r="U54" t="str">
        <f t="shared" si="13"/>
        <v>Low</v>
      </c>
      <c r="V54">
        <f t="shared" si="14"/>
        <v>7.241529538953527E-2</v>
      </c>
      <c r="W54">
        <f t="shared" si="0"/>
        <v>0.13145501344342483</v>
      </c>
      <c r="X54" t="s">
        <v>1170</v>
      </c>
      <c r="Y54">
        <f t="shared" si="1"/>
        <v>9.7179371543132817E-2</v>
      </c>
      <c r="Z54">
        <f t="shared" si="16"/>
        <v>0.21487333177251208</v>
      </c>
      <c r="AA54" t="str">
        <f t="shared" si="17"/>
        <v>Low</v>
      </c>
      <c r="AB54">
        <f t="shared" si="2"/>
        <v>5.9389053253770474E-2</v>
      </c>
      <c r="AC54">
        <f t="shared" si="18"/>
        <v>0.17417954118180884</v>
      </c>
      <c r="AD54" t="str">
        <f t="shared" si="19"/>
        <v>Low</v>
      </c>
      <c r="AE54">
        <f t="shared" si="3"/>
        <v>1.3971109727123695E-2</v>
      </c>
      <c r="AF54">
        <f t="shared" si="20"/>
        <v>9.2066987951286275E-2</v>
      </c>
      <c r="AG54" t="s">
        <v>1170</v>
      </c>
    </row>
    <row r="55" spans="1:33" customFormat="1" x14ac:dyDescent="0.3">
      <c r="A55">
        <v>201285</v>
      </c>
      <c r="B55" t="s">
        <v>360</v>
      </c>
      <c r="C55" t="s">
        <v>1153</v>
      </c>
      <c r="D55" t="s">
        <v>606</v>
      </c>
      <c r="E55" s="21">
        <v>6</v>
      </c>
      <c r="F55" s="2">
        <f t="shared" si="4"/>
        <v>0.62222222222222223</v>
      </c>
      <c r="G55" s="10">
        <v>40.237919999999995</v>
      </c>
      <c r="H55">
        <f t="shared" si="5"/>
        <v>0.36726512801640288</v>
      </c>
      <c r="I55" s="12">
        <v>53.9</v>
      </c>
      <c r="J55" s="2">
        <f t="shared" si="6"/>
        <v>0.13063499757634514</v>
      </c>
      <c r="K55" s="10">
        <v>0</v>
      </c>
      <c r="L55" s="2">
        <f t="shared" si="7"/>
        <v>0</v>
      </c>
      <c r="M55">
        <v>31740</v>
      </c>
      <c r="N55">
        <f t="shared" si="8"/>
        <v>0.14904448955065697</v>
      </c>
      <c r="O55" s="10">
        <v>0.80501187699999999</v>
      </c>
      <c r="P55">
        <f t="shared" si="9"/>
        <v>0.79108475942854861</v>
      </c>
      <c r="Q55" s="23">
        <v>0.28299999999999997</v>
      </c>
      <c r="R55" s="13">
        <f t="shared" si="10"/>
        <v>0.61281940233867471</v>
      </c>
      <c r="S55">
        <f t="shared" si="11"/>
        <v>7.6113775254977825E-2</v>
      </c>
      <c r="T55" s="14">
        <f t="shared" si="12"/>
        <v>0.16074820790769165</v>
      </c>
      <c r="U55" t="str">
        <f t="shared" si="13"/>
        <v>Low</v>
      </c>
      <c r="V55">
        <f t="shared" si="14"/>
        <v>6.6448977831621542E-2</v>
      </c>
      <c r="W55">
        <f t="shared" si="0"/>
        <v>0.12062439609160182</v>
      </c>
      <c r="X55" t="s">
        <v>1170</v>
      </c>
      <c r="Y55">
        <f t="shared" si="1"/>
        <v>8.5778572678334108E-2</v>
      </c>
      <c r="Z55">
        <f t="shared" si="16"/>
        <v>0.18966502266279259</v>
      </c>
      <c r="AA55" t="str">
        <f t="shared" si="17"/>
        <v>Low</v>
      </c>
      <c r="AB55">
        <f t="shared" si="2"/>
        <v>5.4647109518500978E-2</v>
      </c>
      <c r="AC55">
        <f t="shared" si="18"/>
        <v>0.16027210304518968</v>
      </c>
      <c r="AD55" t="str">
        <f t="shared" si="19"/>
        <v>Low</v>
      </c>
      <c r="AE55">
        <f t="shared" si="3"/>
        <v>1.6161129925523453E-2</v>
      </c>
      <c r="AF55">
        <f t="shared" si="20"/>
        <v>0.10649880955724644</v>
      </c>
      <c r="AG55" t="s">
        <v>1169</v>
      </c>
    </row>
    <row r="56" spans="1:33" customFormat="1" x14ac:dyDescent="0.3">
      <c r="A56">
        <v>201290</v>
      </c>
      <c r="B56" t="s">
        <v>378</v>
      </c>
      <c r="C56" t="s">
        <v>1153</v>
      </c>
      <c r="D56" t="s">
        <v>607</v>
      </c>
      <c r="E56" s="21">
        <v>5.8</v>
      </c>
      <c r="F56" s="2">
        <f t="shared" si="4"/>
        <v>0.57777777777777772</v>
      </c>
      <c r="G56" s="10">
        <v>37.735199999999999</v>
      </c>
      <c r="H56">
        <f t="shared" si="5"/>
        <v>0.34442195468166764</v>
      </c>
      <c r="I56" s="12">
        <v>59.9</v>
      </c>
      <c r="J56" s="2">
        <f t="shared" si="6"/>
        <v>0.14517692680562289</v>
      </c>
      <c r="K56" s="10">
        <v>0</v>
      </c>
      <c r="L56" s="2">
        <f t="shared" si="7"/>
        <v>0</v>
      </c>
      <c r="M56">
        <v>31073</v>
      </c>
      <c r="N56">
        <f t="shared" si="8"/>
        <v>0.14588863181502038</v>
      </c>
      <c r="O56" s="10">
        <v>0.67167999700000003</v>
      </c>
      <c r="P56">
        <f t="shared" si="9"/>
        <v>0.64424785271920348</v>
      </c>
      <c r="Q56" s="23">
        <v>0.28899999999999998</v>
      </c>
      <c r="R56" s="13">
        <f t="shared" si="10"/>
        <v>0.62581203984408829</v>
      </c>
      <c r="S56">
        <f t="shared" si="11"/>
        <v>6.287290128521987E-2</v>
      </c>
      <c r="T56" s="14">
        <f t="shared" si="12"/>
        <v>0.13278419279163689</v>
      </c>
      <c r="U56" t="str">
        <f t="shared" si="13"/>
        <v>No Impact</v>
      </c>
      <c r="V56">
        <f t="shared" si="14"/>
        <v>6.1960256889631145E-2</v>
      </c>
      <c r="W56">
        <f t="shared" si="0"/>
        <v>0.11247605024009265</v>
      </c>
      <c r="X56" t="s">
        <v>1170</v>
      </c>
      <c r="Y56">
        <f t="shared" si="1"/>
        <v>6.3785545680808589E-2</v>
      </c>
      <c r="Z56">
        <f t="shared" si="16"/>
        <v>0.141036235383348</v>
      </c>
      <c r="AA56" t="s">
        <v>1170</v>
      </c>
      <c r="AB56">
        <f t="shared" si="2"/>
        <v>4.5877191646776345E-2</v>
      </c>
      <c r="AC56">
        <f t="shared" si="18"/>
        <v>0.13455119679379793</v>
      </c>
      <c r="AD56" t="str">
        <f t="shared" si="19"/>
        <v>No Impact</v>
      </c>
      <c r="AE56">
        <f t="shared" si="3"/>
        <v>1.4444108660465345E-2</v>
      </c>
      <c r="AF56">
        <f t="shared" si="20"/>
        <v>9.5183962046221121E-2</v>
      </c>
      <c r="AG56" t="s">
        <v>1170</v>
      </c>
    </row>
    <row r="57" spans="1:33" customFormat="1" x14ac:dyDescent="0.3">
      <c r="A57">
        <v>201294</v>
      </c>
      <c r="B57" t="s">
        <v>462</v>
      </c>
      <c r="C57" t="s">
        <v>1153</v>
      </c>
      <c r="D57" t="s">
        <v>608</v>
      </c>
      <c r="E57" s="21">
        <v>5.5</v>
      </c>
      <c r="F57" s="2">
        <f t="shared" si="4"/>
        <v>0.51111111111111107</v>
      </c>
      <c r="G57" s="10">
        <v>35.811</v>
      </c>
      <c r="H57">
        <f t="shared" si="5"/>
        <v>0.32685912938331319</v>
      </c>
      <c r="I57" s="12">
        <v>47.800000000000004</v>
      </c>
      <c r="J57" s="2">
        <f t="shared" si="6"/>
        <v>0.11585070285991277</v>
      </c>
      <c r="K57" s="10">
        <v>0</v>
      </c>
      <c r="L57" s="2">
        <f t="shared" si="7"/>
        <v>0</v>
      </c>
      <c r="M57">
        <v>26913</v>
      </c>
      <c r="N57">
        <f t="shared" si="8"/>
        <v>0.12620592090010552</v>
      </c>
      <c r="O57" s="10">
        <v>0.64343845700000002</v>
      </c>
      <c r="P57">
        <f t="shared" si="9"/>
        <v>0.61314576089909079</v>
      </c>
      <c r="Q57" s="23">
        <v>0.2959</v>
      </c>
      <c r="R57" s="13">
        <f t="shared" si="10"/>
        <v>0.64075357297531399</v>
      </c>
      <c r="S57">
        <f t="shared" si="11"/>
        <v>4.9651824313143494E-2</v>
      </c>
      <c r="T57" s="14">
        <f t="shared" si="12"/>
        <v>0.10486198787207555</v>
      </c>
      <c r="U57" t="str">
        <f t="shared" si="13"/>
        <v>No Impact</v>
      </c>
      <c r="V57">
        <f t="shared" si="14"/>
        <v>5.0745036661094409E-2</v>
      </c>
      <c r="W57">
        <f t="shared" si="0"/>
        <v>9.2117134102517692E-2</v>
      </c>
      <c r="X57" t="s">
        <v>1170</v>
      </c>
      <c r="Y57">
        <f t="shared" si="1"/>
        <v>4.8558611965192594E-2</v>
      </c>
      <c r="Z57">
        <f t="shared" si="16"/>
        <v>0.10736795858551546</v>
      </c>
      <c r="AA57" t="s">
        <v>1170</v>
      </c>
      <c r="AB57">
        <f t="shared" si="2"/>
        <v>3.5826592117199185E-2</v>
      </c>
      <c r="AC57">
        <f t="shared" si="18"/>
        <v>0.10507423565782105</v>
      </c>
      <c r="AD57" t="str">
        <f t="shared" si="19"/>
        <v>No Impact</v>
      </c>
      <c r="AE57">
        <f t="shared" si="3"/>
        <v>9.9949877035953281E-3</v>
      </c>
      <c r="AF57">
        <f t="shared" si="20"/>
        <v>6.5865090923569292E-2</v>
      </c>
      <c r="AG57" t="s">
        <v>1170</v>
      </c>
    </row>
    <row r="58" spans="1:33" customFormat="1" x14ac:dyDescent="0.3">
      <c r="A58">
        <v>201322</v>
      </c>
      <c r="B58" t="s">
        <v>98</v>
      </c>
      <c r="C58" t="s">
        <v>610</v>
      </c>
      <c r="D58" t="s">
        <v>609</v>
      </c>
      <c r="E58" s="21">
        <v>6</v>
      </c>
      <c r="F58" s="2">
        <f t="shared" si="4"/>
        <v>0.62222222222222223</v>
      </c>
      <c r="G58" s="10">
        <v>41.476320000000001</v>
      </c>
      <c r="H58">
        <f t="shared" si="5"/>
        <v>0.37856842437306137</v>
      </c>
      <c r="I58" s="12">
        <v>71.400000000000006</v>
      </c>
      <c r="J58" s="2">
        <f t="shared" si="6"/>
        <v>0.17304895782840526</v>
      </c>
      <c r="K58" s="10">
        <v>0</v>
      </c>
      <c r="L58" s="2">
        <f t="shared" si="7"/>
        <v>0</v>
      </c>
      <c r="M58">
        <v>31606</v>
      </c>
      <c r="N58">
        <f t="shared" si="8"/>
        <v>0.14841047915099384</v>
      </c>
      <c r="O58" s="10">
        <v>0.85805156400000004</v>
      </c>
      <c r="P58">
        <f t="shared" si="9"/>
        <v>0.84949677290883463</v>
      </c>
      <c r="Q58" s="23">
        <v>0.32750000000000001</v>
      </c>
      <c r="R58" s="13">
        <f t="shared" si="10"/>
        <v>0.70918146383715897</v>
      </c>
      <c r="S58">
        <f t="shared" si="11"/>
        <v>9.3622014275028698E-2</v>
      </c>
      <c r="T58" s="14">
        <f t="shared" si="12"/>
        <v>0.19772466895780405</v>
      </c>
      <c r="U58" t="str">
        <f t="shared" si="13"/>
        <v>Low</v>
      </c>
      <c r="V58">
        <f t="shared" si="14"/>
        <v>8.519397469686768E-2</v>
      </c>
      <c r="W58">
        <f t="shared" si="0"/>
        <v>0.15465206665018905</v>
      </c>
      <c r="X58" t="s">
        <v>1170</v>
      </c>
      <c r="Y58">
        <f t="shared" si="1"/>
        <v>0.10205005385318974</v>
      </c>
      <c r="Z58">
        <f t="shared" si="16"/>
        <v>0.22564289859876849</v>
      </c>
      <c r="AA58" t="str">
        <f t="shared" si="17"/>
        <v>Low</v>
      </c>
      <c r="AB58">
        <f t="shared" si="2"/>
        <v>6.6672900499901502E-2</v>
      </c>
      <c r="AC58">
        <f t="shared" si="18"/>
        <v>0.19554201628220014</v>
      </c>
      <c r="AD58" t="str">
        <f t="shared" si="19"/>
        <v>Low</v>
      </c>
      <c r="AE58">
        <f t="shared" si="3"/>
        <v>1.7828552000116852E-2</v>
      </c>
      <c r="AF58">
        <f t="shared" si="20"/>
        <v>0.11748680772272245</v>
      </c>
      <c r="AG58" t="s">
        <v>1169</v>
      </c>
    </row>
    <row r="59" spans="1:33" customFormat="1" x14ac:dyDescent="0.3">
      <c r="A59">
        <v>201345</v>
      </c>
      <c r="B59" t="s">
        <v>163</v>
      </c>
      <c r="C59" t="s">
        <v>610</v>
      </c>
      <c r="D59" t="s">
        <v>611</v>
      </c>
      <c r="E59" s="21">
        <v>6</v>
      </c>
      <c r="F59" s="2">
        <f t="shared" si="4"/>
        <v>0.62222222222222223</v>
      </c>
      <c r="G59" s="10">
        <v>43.060319999999997</v>
      </c>
      <c r="H59">
        <f t="shared" si="5"/>
        <v>0.39302612901529888</v>
      </c>
      <c r="I59" s="12">
        <v>70.700000000000017</v>
      </c>
      <c r="J59" s="2">
        <f t="shared" si="6"/>
        <v>0.17135239941832289</v>
      </c>
      <c r="K59" s="10">
        <v>0</v>
      </c>
      <c r="L59" s="2">
        <f t="shared" si="7"/>
        <v>0</v>
      </c>
      <c r="M59">
        <v>25019</v>
      </c>
      <c r="N59">
        <f t="shared" si="8"/>
        <v>0.11724460972874765</v>
      </c>
      <c r="O59" s="10">
        <v>0.846689413</v>
      </c>
      <c r="P59">
        <f t="shared" si="9"/>
        <v>0.83698376321899526</v>
      </c>
      <c r="Q59" s="23">
        <v>0.3659</v>
      </c>
      <c r="R59" s="13">
        <f t="shared" si="10"/>
        <v>0.79233434387180601</v>
      </c>
      <c r="S59">
        <f t="shared" si="11"/>
        <v>0.1001290125019508</v>
      </c>
      <c r="T59" s="14">
        <f t="shared" si="12"/>
        <v>0.21146709994788751</v>
      </c>
      <c r="U59" t="str">
        <f t="shared" si="13"/>
        <v>Low</v>
      </c>
      <c r="V59">
        <f t="shared" si="14"/>
        <v>9.7385102489189621E-2</v>
      </c>
      <c r="W59">
        <f t="shared" si="0"/>
        <v>0.17678254142364114</v>
      </c>
      <c r="X59" t="s">
        <v>1170</v>
      </c>
      <c r="Y59">
        <f t="shared" si="1"/>
        <v>0.102872922514712</v>
      </c>
      <c r="Z59">
        <f t="shared" si="16"/>
        <v>0.22746234369400659</v>
      </c>
      <c r="AA59" t="str">
        <f t="shared" si="17"/>
        <v>Low</v>
      </c>
      <c r="AB59">
        <f t="shared" si="2"/>
        <v>6.9990313008914701E-2</v>
      </c>
      <c r="AC59">
        <f t="shared" si="18"/>
        <v>0.20527150946441428</v>
      </c>
      <c r="AD59" t="str">
        <f t="shared" si="19"/>
        <v>Low</v>
      </c>
      <c r="AE59">
        <f t="shared" si="3"/>
        <v>1.441042966652782E-2</v>
      </c>
      <c r="AF59">
        <f t="shared" si="20"/>
        <v>9.4962023804405035E-2</v>
      </c>
      <c r="AG59" t="s">
        <v>1170</v>
      </c>
    </row>
    <row r="60" spans="1:33" customFormat="1" x14ac:dyDescent="0.3">
      <c r="A60">
        <v>201347</v>
      </c>
      <c r="B60" t="s">
        <v>198</v>
      </c>
      <c r="C60" t="s">
        <v>610</v>
      </c>
      <c r="D60" t="s">
        <v>612</v>
      </c>
      <c r="E60" s="21">
        <v>6</v>
      </c>
      <c r="F60" s="2">
        <f t="shared" si="4"/>
        <v>0.62222222222222223</v>
      </c>
      <c r="G60" s="10">
        <v>43.318799999999996</v>
      </c>
      <c r="H60">
        <f t="shared" si="5"/>
        <v>0.39538536354555492</v>
      </c>
      <c r="I60" s="12">
        <v>72.000000000000014</v>
      </c>
      <c r="J60" s="2">
        <f t="shared" si="6"/>
        <v>0.17450315075133305</v>
      </c>
      <c r="K60" s="10">
        <v>0</v>
      </c>
      <c r="L60" s="2">
        <f t="shared" si="7"/>
        <v>0</v>
      </c>
      <c r="M60">
        <v>5413</v>
      </c>
      <c r="N60">
        <f t="shared" si="8"/>
        <v>2.4480371700425354E-2</v>
      </c>
      <c r="O60" s="10">
        <v>0.769642139</v>
      </c>
      <c r="P60">
        <f t="shared" si="9"/>
        <v>0.75213246295571723</v>
      </c>
      <c r="Q60" s="23">
        <v>0.28320000000000001</v>
      </c>
      <c r="R60" s="13">
        <f t="shared" si="10"/>
        <v>0.61325249025552186</v>
      </c>
      <c r="S60">
        <f t="shared" si="11"/>
        <v>8.4728317597811256E-2</v>
      </c>
      <c r="T60" s="14">
        <f t="shared" si="12"/>
        <v>0.17894165894748668</v>
      </c>
      <c r="U60" t="str">
        <f t="shared" si="13"/>
        <v>Low</v>
      </c>
      <c r="V60">
        <f t="shared" si="14"/>
        <v>7.6110186566527654E-2</v>
      </c>
      <c r="W60">
        <f t="shared" si="0"/>
        <v>0.13816232529972247</v>
      </c>
      <c r="X60" t="s">
        <v>1170</v>
      </c>
      <c r="Y60">
        <f t="shared" si="1"/>
        <v>9.3346448629094886E-2</v>
      </c>
      <c r="Z60">
        <f t="shared" si="16"/>
        <v>0.20639835499618064</v>
      </c>
      <c r="AA60" t="str">
        <f t="shared" si="17"/>
        <v>Low</v>
      </c>
      <c r="AB60">
        <f t="shared" si="2"/>
        <v>5.5705882409595876E-2</v>
      </c>
      <c r="AC60">
        <f t="shared" si="18"/>
        <v>0.16337733147169162</v>
      </c>
      <c r="AD60" t="str">
        <f t="shared" si="19"/>
        <v>Low</v>
      </c>
      <c r="AE60">
        <f t="shared" si="3"/>
        <v>3.0382357788078149E-3</v>
      </c>
      <c r="AF60">
        <f t="shared" si="20"/>
        <v>2.0021402902420236E-2</v>
      </c>
      <c r="AG60" t="s">
        <v>1170</v>
      </c>
    </row>
    <row r="61" spans="1:33" customFormat="1" x14ac:dyDescent="0.3">
      <c r="A61">
        <v>201349</v>
      </c>
      <c r="B61" t="s">
        <v>199</v>
      </c>
      <c r="C61" t="s">
        <v>610</v>
      </c>
      <c r="D61" t="s">
        <v>613</v>
      </c>
      <c r="E61" s="21">
        <v>4.5999999999999996</v>
      </c>
      <c r="F61" s="2">
        <f t="shared" si="4"/>
        <v>0.31111111111111101</v>
      </c>
      <c r="G61" s="10">
        <v>41.81832</v>
      </c>
      <c r="H61">
        <f t="shared" si="5"/>
        <v>0.38168997423899903</v>
      </c>
      <c r="I61" s="12">
        <v>71.5</v>
      </c>
      <c r="J61" s="2">
        <f t="shared" si="6"/>
        <v>0.17329132331555988</v>
      </c>
      <c r="K61" s="10">
        <v>0</v>
      </c>
      <c r="L61" s="2">
        <f t="shared" si="7"/>
        <v>0</v>
      </c>
      <c r="M61">
        <v>29282</v>
      </c>
      <c r="N61">
        <f t="shared" si="8"/>
        <v>0.13741465699564237</v>
      </c>
      <c r="O61" s="10">
        <v>0.92798871100000002</v>
      </c>
      <c r="P61">
        <f t="shared" si="9"/>
        <v>0.92651776990937762</v>
      </c>
      <c r="Q61" s="23">
        <v>0.28999999999999998</v>
      </c>
      <c r="R61" s="13">
        <f t="shared" si="10"/>
        <v>0.62797747942832394</v>
      </c>
      <c r="S61">
        <f t="shared" si="11"/>
        <v>4.697008192830212E-2</v>
      </c>
      <c r="T61" s="14">
        <f t="shared" si="12"/>
        <v>9.9198291898656379E-2</v>
      </c>
      <c r="U61" t="str">
        <f t="shared" si="13"/>
        <v>No Impact</v>
      </c>
      <c r="V61">
        <f t="shared" si="14"/>
        <v>3.7949493471200996E-2</v>
      </c>
      <c r="W61">
        <f t="shared" si="0"/>
        <v>6.8889467999723161E-2</v>
      </c>
      <c r="X61" t="s">
        <v>1170</v>
      </c>
      <c r="Y61">
        <f t="shared" si="1"/>
        <v>5.5990670385403243E-2</v>
      </c>
      <c r="Z61">
        <f t="shared" si="16"/>
        <v>0.12380098474446537</v>
      </c>
      <c r="AA61" t="s">
        <v>1170</v>
      </c>
      <c r="AB61">
        <f t="shared" si="2"/>
        <v>3.298597490524826E-2</v>
      </c>
      <c r="AC61">
        <f t="shared" si="18"/>
        <v>9.6743114423465476E-2</v>
      </c>
      <c r="AD61" t="str">
        <f t="shared" si="19"/>
        <v>No Impact</v>
      </c>
      <c r="AE61">
        <f t="shared" si="3"/>
        <v>8.3041459277341211E-3</v>
      </c>
      <c r="AF61">
        <f t="shared" si="20"/>
        <v>5.4722761327264988E-2</v>
      </c>
      <c r="AG61" t="s">
        <v>1170</v>
      </c>
    </row>
    <row r="62" spans="1:33" customFormat="1" x14ac:dyDescent="0.3">
      <c r="A62">
        <v>201358</v>
      </c>
      <c r="B62" t="s">
        <v>232</v>
      </c>
      <c r="C62" t="s">
        <v>833</v>
      </c>
      <c r="D62" t="s">
        <v>1127</v>
      </c>
      <c r="E62" s="21">
        <v>5.6</v>
      </c>
      <c r="F62" s="2">
        <f t="shared" si="4"/>
        <v>0.53333333333333321</v>
      </c>
      <c r="G62" s="10">
        <v>41.622480000000003</v>
      </c>
      <c r="H62">
        <f t="shared" si="5"/>
        <v>0.37990247621050421</v>
      </c>
      <c r="I62" s="12">
        <v>71.599999999999994</v>
      </c>
      <c r="J62" s="2">
        <f t="shared" si="6"/>
        <v>0.1735336888027145</v>
      </c>
      <c r="K62" s="10">
        <v>0</v>
      </c>
      <c r="L62" s="2">
        <f t="shared" si="7"/>
        <v>0</v>
      </c>
      <c r="M62">
        <v>41920</v>
      </c>
      <c r="N62">
        <f t="shared" si="8"/>
        <v>0.19721035424148226</v>
      </c>
      <c r="O62" s="10">
        <v>0.96081656400000004</v>
      </c>
      <c r="P62">
        <f t="shared" si="9"/>
        <v>0.96267071688971795</v>
      </c>
      <c r="Q62" s="23">
        <v>0.3014</v>
      </c>
      <c r="R62" s="13">
        <f t="shared" si="10"/>
        <v>0.65266349068860985</v>
      </c>
      <c r="S62">
        <f t="shared" si="11"/>
        <v>8.343854111196948E-2</v>
      </c>
      <c r="T62" s="14">
        <f t="shared" si="12"/>
        <v>0.17621772023854729</v>
      </c>
      <c r="U62" t="str">
        <f t="shared" si="13"/>
        <v>Low</v>
      </c>
      <c r="V62">
        <f t="shared" si="14"/>
        <v>6.7425414808424344E-2</v>
      </c>
      <c r="W62">
        <f t="shared" si="0"/>
        <v>0.12239691576747706</v>
      </c>
      <c r="X62" t="s">
        <v>1170</v>
      </c>
      <c r="Y62">
        <f t="shared" si="1"/>
        <v>9.9451667415514658E-2</v>
      </c>
      <c r="Z62">
        <f t="shared" si="16"/>
        <v>0.2198976057219984</v>
      </c>
      <c r="AA62" t="str">
        <f t="shared" si="17"/>
        <v>Low</v>
      </c>
      <c r="AB62">
        <f t="shared" si="2"/>
        <v>6.0565093761553453E-2</v>
      </c>
      <c r="AC62">
        <f t="shared" si="18"/>
        <v>0.17762869864154415</v>
      </c>
      <c r="AD62" t="str">
        <f t="shared" si="19"/>
        <v>Low</v>
      </c>
      <c r="AE62">
        <f t="shared" si="3"/>
        <v>2.0373423868430128E-2</v>
      </c>
      <c r="AF62">
        <f t="shared" si="20"/>
        <v>0.13425703515731879</v>
      </c>
      <c r="AG62" t="s">
        <v>1169</v>
      </c>
    </row>
    <row r="63" spans="1:33" customFormat="1" x14ac:dyDescent="0.3">
      <c r="A63">
        <v>201376</v>
      </c>
      <c r="B63" t="s">
        <v>330</v>
      </c>
      <c r="C63" t="s">
        <v>610</v>
      </c>
      <c r="D63" t="s">
        <v>614</v>
      </c>
      <c r="E63" s="21">
        <v>6</v>
      </c>
      <c r="F63" s="2">
        <f t="shared" si="4"/>
        <v>0.62222222222222223</v>
      </c>
      <c r="G63" s="10">
        <v>41.622480000000003</v>
      </c>
      <c r="H63">
        <f t="shared" si="5"/>
        <v>0.37990247621050421</v>
      </c>
      <c r="I63" s="12">
        <v>71.899999999999991</v>
      </c>
      <c r="J63" s="2">
        <f t="shared" si="6"/>
        <v>0.17426078526417837</v>
      </c>
      <c r="K63" s="10">
        <v>0</v>
      </c>
      <c r="L63" s="2">
        <f t="shared" si="7"/>
        <v>0</v>
      </c>
      <c r="M63">
        <v>14716</v>
      </c>
      <c r="N63">
        <f t="shared" si="8"/>
        <v>6.8496780268082313E-2</v>
      </c>
      <c r="O63" s="10">
        <v>0.86178397799999995</v>
      </c>
      <c r="P63">
        <f t="shared" si="9"/>
        <v>0.85360723866030108</v>
      </c>
      <c r="Q63" s="23">
        <v>0.28999999999999998</v>
      </c>
      <c r="R63" s="13">
        <f t="shared" si="10"/>
        <v>0.62797747942832394</v>
      </c>
      <c r="S63">
        <f t="shared" si="11"/>
        <v>8.9402113681833303E-2</v>
      </c>
      <c r="T63" s="14">
        <f t="shared" si="12"/>
        <v>0.1888124654094667</v>
      </c>
      <c r="U63" t="str">
        <f t="shared" si="13"/>
        <v>Low</v>
      </c>
      <c r="V63">
        <f t="shared" si="14"/>
        <v>7.5787112704443854E-2</v>
      </c>
      <c r="W63">
        <f t="shared" si="0"/>
        <v>0.13757585142490097</v>
      </c>
      <c r="X63" t="s">
        <v>1170</v>
      </c>
      <c r="Y63">
        <f t="shared" si="1"/>
        <v>0.10301711465922275</v>
      </c>
      <c r="Z63">
        <f t="shared" si="16"/>
        <v>0.22778116697938561</v>
      </c>
      <c r="AA63" t="str">
        <f t="shared" si="17"/>
        <v>Low</v>
      </c>
      <c r="AB63">
        <f t="shared" si="2"/>
        <v>6.0323897379828656E-2</v>
      </c>
      <c r="AC63">
        <f t="shared" si="18"/>
        <v>0.17692130438617487</v>
      </c>
      <c r="AD63" t="str">
        <f t="shared" si="19"/>
        <v>Low</v>
      </c>
      <c r="AE63">
        <f t="shared" si="3"/>
        <v>8.2664958157328151E-3</v>
      </c>
      <c r="AF63">
        <f t="shared" si="20"/>
        <v>5.4474654163575678E-2</v>
      </c>
      <c r="AG63" t="s">
        <v>1170</v>
      </c>
    </row>
    <row r="64" spans="1:33" customFormat="1" x14ac:dyDescent="0.3">
      <c r="A64">
        <v>201379</v>
      </c>
      <c r="B64" t="s">
        <v>331</v>
      </c>
      <c r="C64" t="s">
        <v>610</v>
      </c>
      <c r="D64" t="s">
        <v>1128</v>
      </c>
      <c r="E64" s="21">
        <v>5.3</v>
      </c>
      <c r="F64" s="2">
        <f t="shared" si="4"/>
        <v>0.46666666666666656</v>
      </c>
      <c r="G64" s="10">
        <v>41.622480000000003</v>
      </c>
      <c r="H64">
        <f t="shared" si="5"/>
        <v>0.37990247621050421</v>
      </c>
      <c r="I64" s="12">
        <v>76</v>
      </c>
      <c r="J64" s="2">
        <f t="shared" si="6"/>
        <v>0.18419777023751818</v>
      </c>
      <c r="K64" s="10">
        <v>0</v>
      </c>
      <c r="L64" s="2">
        <f t="shared" si="7"/>
        <v>0</v>
      </c>
      <c r="M64">
        <v>26290</v>
      </c>
      <c r="N64">
        <f t="shared" si="8"/>
        <v>0.12325824568376129</v>
      </c>
      <c r="O64" s="10">
        <v>0.66952665899999997</v>
      </c>
      <c r="P64">
        <f t="shared" si="9"/>
        <v>0.64187640568778304</v>
      </c>
      <c r="Q64" s="23">
        <v>0.30840000000000001</v>
      </c>
      <c r="R64" s="13">
        <f t="shared" si="10"/>
        <v>0.66782156777825907</v>
      </c>
      <c r="S64">
        <f t="shared" si="11"/>
        <v>6.0335410884381359E-2</v>
      </c>
      <c r="T64" s="14">
        <f t="shared" si="12"/>
        <v>0.12742514926566115</v>
      </c>
      <c r="U64" t="str">
        <f t="shared" si="13"/>
        <v>No Impact</v>
      </c>
      <c r="V64">
        <f t="shared" si="14"/>
        <v>6.1530657457946683E-2</v>
      </c>
      <c r="W64">
        <f t="shared" si="0"/>
        <v>0.11169620119351223</v>
      </c>
      <c r="X64" t="s">
        <v>1170</v>
      </c>
      <c r="Y64">
        <f t="shared" si="1"/>
        <v>5.9140164310816028E-2</v>
      </c>
      <c r="Z64">
        <f t="shared" si="16"/>
        <v>0.13076483151981072</v>
      </c>
      <c r="AA64" t="s">
        <v>1170</v>
      </c>
      <c r="AB64">
        <f t="shared" si="2"/>
        <v>4.3252578123704061E-2</v>
      </c>
      <c r="AC64">
        <f t="shared" si="18"/>
        <v>0.12685358327443647</v>
      </c>
      <c r="AD64" t="str">
        <f t="shared" si="19"/>
        <v>No Impact</v>
      </c>
      <c r="AE64">
        <f t="shared" si="3"/>
        <v>1.1356567771936901E-2</v>
      </c>
      <c r="AF64">
        <f t="shared" si="20"/>
        <v>7.483764773509774E-2</v>
      </c>
      <c r="AG64" t="s">
        <v>1170</v>
      </c>
    </row>
    <row r="65" spans="1:33" customFormat="1" x14ac:dyDescent="0.3">
      <c r="A65">
        <v>201395</v>
      </c>
      <c r="B65" t="s">
        <v>476</v>
      </c>
      <c r="C65" t="s">
        <v>610</v>
      </c>
      <c r="D65" t="s">
        <v>615</v>
      </c>
      <c r="E65" s="21">
        <v>6</v>
      </c>
      <c r="F65" s="2">
        <f t="shared" si="4"/>
        <v>0.62222222222222223</v>
      </c>
      <c r="G65" s="10">
        <v>41.81832</v>
      </c>
      <c r="H65">
        <f t="shared" si="5"/>
        <v>0.38168997423899903</v>
      </c>
      <c r="I65" s="12">
        <v>71.5</v>
      </c>
      <c r="J65" s="2">
        <f t="shared" si="6"/>
        <v>0.17329132331555988</v>
      </c>
      <c r="K65" s="10">
        <v>0</v>
      </c>
      <c r="L65" s="2">
        <f t="shared" si="7"/>
        <v>0</v>
      </c>
      <c r="M65">
        <v>14024</v>
      </c>
      <c r="N65">
        <f t="shared" si="8"/>
        <v>6.5222637010120516E-2</v>
      </c>
      <c r="O65" s="10">
        <v>0.96913159999999998</v>
      </c>
      <c r="P65">
        <f t="shared" si="9"/>
        <v>0.97182797294443524</v>
      </c>
      <c r="Q65" s="23">
        <v>0.29509999999999997</v>
      </c>
      <c r="R65" s="13">
        <f t="shared" si="10"/>
        <v>0.63902122130792549</v>
      </c>
      <c r="S65">
        <f t="shared" si="11"/>
        <v>9.7345705830119214E-2</v>
      </c>
      <c r="T65" s="14">
        <f t="shared" si="12"/>
        <v>0.20558890565184004</v>
      </c>
      <c r="U65" t="str">
        <f t="shared" si="13"/>
        <v>Low</v>
      </c>
      <c r="V65">
        <f t="shared" si="14"/>
        <v>7.7233762230009773E-2</v>
      </c>
      <c r="W65">
        <f t="shared" si="0"/>
        <v>0.14020194487391938</v>
      </c>
      <c r="X65" t="s">
        <v>1170</v>
      </c>
      <c r="Y65">
        <f t="shared" si="1"/>
        <v>0.11745764943022867</v>
      </c>
      <c r="Z65">
        <f t="shared" si="16"/>
        <v>0.25971063688180868</v>
      </c>
      <c r="AA65" t="str">
        <f t="shared" si="17"/>
        <v>Low</v>
      </c>
      <c r="AB65">
        <f t="shared" si="2"/>
        <v>6.5028153586284831E-2</v>
      </c>
      <c r="AC65">
        <f t="shared" si="18"/>
        <v>0.19071821042778098</v>
      </c>
      <c r="AD65" t="str">
        <f t="shared" si="19"/>
        <v>Low</v>
      </c>
      <c r="AE65">
        <f t="shared" si="3"/>
        <v>7.8829770763223436E-3</v>
      </c>
      <c r="AF65">
        <f t="shared" si="20"/>
        <v>5.1947337733453725E-2</v>
      </c>
      <c r="AG65" t="s">
        <v>1170</v>
      </c>
    </row>
    <row r="66" spans="1:33" customFormat="1" x14ac:dyDescent="0.3">
      <c r="A66">
        <v>201504</v>
      </c>
      <c r="B66" t="s">
        <v>11</v>
      </c>
      <c r="C66" t="s">
        <v>1154</v>
      </c>
      <c r="D66" t="s">
        <v>616</v>
      </c>
      <c r="E66" s="21">
        <v>5.2</v>
      </c>
      <c r="F66" s="2">
        <f t="shared" si="4"/>
        <v>0.44444444444444442</v>
      </c>
      <c r="G66" s="10">
        <v>43.720200000000006</v>
      </c>
      <c r="H66">
        <f t="shared" si="5"/>
        <v>0.39904907733557654</v>
      </c>
      <c r="I66" s="12">
        <v>60</v>
      </c>
      <c r="J66" s="2">
        <f t="shared" si="6"/>
        <v>0.14541929229277753</v>
      </c>
      <c r="K66" s="10">
        <v>0</v>
      </c>
      <c r="L66" s="2">
        <f t="shared" si="7"/>
        <v>0</v>
      </c>
      <c r="M66">
        <v>33279</v>
      </c>
      <c r="N66">
        <f t="shared" si="8"/>
        <v>0.15632614630499686</v>
      </c>
      <c r="O66" s="10">
        <v>0.81444864400000005</v>
      </c>
      <c r="P66">
        <f t="shared" si="9"/>
        <v>0.80147736527507862</v>
      </c>
      <c r="Q66" s="23">
        <v>0.3594</v>
      </c>
      <c r="R66" s="13">
        <f t="shared" si="10"/>
        <v>0.77825898657427461</v>
      </c>
      <c r="S66">
        <f t="shared" si="11"/>
        <v>6.6897948128204751E-2</v>
      </c>
      <c r="T66" s="14">
        <f t="shared" ref="T66:T129" si="23">(S66-$AJ$10)/$AK$10</f>
        <v>0.14128487567836595</v>
      </c>
      <c r="U66" t="str">
        <f t="shared" si="13"/>
        <v>No Impact</v>
      </c>
      <c r="V66">
        <f t="shared" si="14"/>
        <v>6.5914706910688264E-2</v>
      </c>
      <c r="W66">
        <f t="shared" ref="W66:W129" si="24">(V66-$AJ$13)/$AK$13</f>
        <v>0.11965453757323327</v>
      </c>
      <c r="X66" t="s">
        <v>1170</v>
      </c>
      <c r="Y66">
        <f t="shared" ref="Y66:Y129" si="25">F66*(P66*1)*(H66*0.35+J66*0.35+L66*0.3)</f>
        <v>6.7881189345721238E-2</v>
      </c>
      <c r="Z66">
        <f t="shared" si="16"/>
        <v>0.15009211407507381</v>
      </c>
      <c r="AA66" t="s">
        <v>1170</v>
      </c>
      <c r="AB66">
        <f t="shared" ref="AB66:AB129" si="26">F66*(R66*0.35+P66*0.3+N66*0.35)*(H66*0.35+J66*0.35+L66*0.3)</f>
        <v>4.8068523620723141E-2</v>
      </c>
      <c r="AC66">
        <f t="shared" si="18"/>
        <v>0.14097805792202864</v>
      </c>
      <c r="AD66" t="str">
        <f t="shared" si="19"/>
        <v>No Impact</v>
      </c>
      <c r="AE66">
        <f t="shared" ref="AE66:AE129" si="27">F66*(N66*1)*(H66*0.35+J66*0.35+L66*0.3)</f>
        <v>1.3240055423616804E-2</v>
      </c>
      <c r="AF66">
        <f t="shared" si="20"/>
        <v>8.7249477455177554E-2</v>
      </c>
      <c r="AG66" t="s">
        <v>1170</v>
      </c>
    </row>
    <row r="67" spans="1:33" customFormat="1" x14ac:dyDescent="0.3">
      <c r="A67">
        <v>201506</v>
      </c>
      <c r="B67" t="s">
        <v>56</v>
      </c>
      <c r="C67" t="s">
        <v>1154</v>
      </c>
      <c r="D67" t="s">
        <v>617</v>
      </c>
      <c r="E67" s="21">
        <v>5.3</v>
      </c>
      <c r="F67" s="2">
        <f t="shared" ref="F67:F130" si="28">(E67-$AJ$5)/$AK$5</f>
        <v>0.46666666666666656</v>
      </c>
      <c r="G67" s="10">
        <v>30.193200000000001</v>
      </c>
      <c r="H67">
        <f t="shared" ref="H67:H130" si="29">(G67-$AJ$6)/$AK$6</f>
        <v>0.27558356553283214</v>
      </c>
      <c r="I67" s="12">
        <v>80.5</v>
      </c>
      <c r="J67" s="2">
        <f t="shared" ref="J67:J130" si="30">(I67-$AJ$7)/$AK$7</f>
        <v>0.19510421715947651</v>
      </c>
      <c r="K67" s="10">
        <v>0</v>
      </c>
      <c r="L67" s="2">
        <f t="shared" ref="L67:L130" si="31">(K67-$AJ$8)/$AK$8</f>
        <v>0</v>
      </c>
      <c r="M67">
        <v>20965</v>
      </c>
      <c r="N67">
        <f t="shared" ref="N67:N130" si="32">(M67-$AJ$9)/$AK$9</f>
        <v>9.8063429428491666E-2</v>
      </c>
      <c r="O67" s="10">
        <v>0.88726144200000001</v>
      </c>
      <c r="P67">
        <f t="shared" ref="P67:P130" si="33">(O67-$AJ$11)/$AK$11</f>
        <v>0.8816652845271914</v>
      </c>
      <c r="Q67" s="23">
        <v>0.36270000000000002</v>
      </c>
      <c r="R67" s="13">
        <f t="shared" ref="R67:R130" si="34">(Q67-$AJ$12)/$AK$12</f>
        <v>0.78540493720225213</v>
      </c>
      <c r="S67">
        <f t="shared" ref="S67:S130" si="35">F67*(R67*0.5+P67*0.5)*(H67*0.35+J67*0.35+L67*0.3)</f>
        <v>6.4081349544420227E-2</v>
      </c>
      <c r="T67" s="14">
        <f t="shared" si="23"/>
        <v>0.13533637065122772</v>
      </c>
      <c r="U67" t="str">
        <f t="shared" ref="U67:U130" si="36">IF(T67&gt;0.7,"High",IF(T67&gt;0.3,"Moderate",IF(T67&gt;0.15,"Low","No Impact")))</f>
        <v>No Impact</v>
      </c>
      <c r="V67">
        <f t="shared" ref="V67:V130" si="37">F67*(R67*1)*(H67*0.35+J67*0.35+L67*0.3)</f>
        <v>6.0381149706528907E-2</v>
      </c>
      <c r="W67">
        <f t="shared" si="24"/>
        <v>0.1096095072692093</v>
      </c>
      <c r="X67" t="s">
        <v>1170</v>
      </c>
      <c r="Y67">
        <f t="shared" si="25"/>
        <v>6.778154938231154E-2</v>
      </c>
      <c r="Z67">
        <f t="shared" ref="Z67:Z130" si="38">(Y67-$AJ$14)/$AK$14</f>
        <v>0.14987180012803383</v>
      </c>
      <c r="AA67" t="s">
        <v>1170</v>
      </c>
      <c r="AB67">
        <f t="shared" si="26"/>
        <v>4.4106523803510059E-2</v>
      </c>
      <c r="AC67">
        <f t="shared" ref="AC67:AC130" si="39">(AB67-$AJ$15)/$AK$15</f>
        <v>0.12935808298530455</v>
      </c>
      <c r="AD67" t="str">
        <f t="shared" ref="AD67:AD130" si="40">IF(AC67&gt;0.7,"High",IF(AC67&gt;0.3,"Moderate",IF(AC67&gt;0.15,"Low","No Impact")))</f>
        <v>No Impact</v>
      </c>
      <c r="AE67">
        <f t="shared" si="27"/>
        <v>7.5390188329470687E-3</v>
      </c>
      <c r="AF67">
        <f t="shared" ref="AF67:AF130" si="41">(AE67-$AJ$16)/$AK$16</f>
        <v>4.9680717538846141E-2</v>
      </c>
      <c r="AG67" t="s">
        <v>1170</v>
      </c>
    </row>
    <row r="68" spans="1:33" customFormat="1" x14ac:dyDescent="0.3">
      <c r="A68">
        <v>201508</v>
      </c>
      <c r="B68" t="s">
        <v>45</v>
      </c>
      <c r="C68" t="s">
        <v>1154</v>
      </c>
      <c r="D68" t="s">
        <v>618</v>
      </c>
      <c r="E68" s="21">
        <v>5.7</v>
      </c>
      <c r="F68" s="2">
        <f t="shared" si="28"/>
        <v>0.55555555555555558</v>
      </c>
      <c r="G68" s="10">
        <v>43.720200000000006</v>
      </c>
      <c r="H68">
        <f t="shared" si="29"/>
        <v>0.39904907733557654</v>
      </c>
      <c r="I68" s="12">
        <v>46.000000000000007</v>
      </c>
      <c r="J68" s="2">
        <f t="shared" si="30"/>
        <v>0.11148812409112945</v>
      </c>
      <c r="K68" s="10">
        <v>0</v>
      </c>
      <c r="L68" s="2">
        <f t="shared" si="31"/>
        <v>0</v>
      </c>
      <c r="M68">
        <v>56891</v>
      </c>
      <c r="N68">
        <f t="shared" si="32"/>
        <v>0.26804445643071073</v>
      </c>
      <c r="O68" s="10">
        <v>0.84354453600000001</v>
      </c>
      <c r="P68">
        <f t="shared" si="33"/>
        <v>0.83352034538778064</v>
      </c>
      <c r="Q68" s="23">
        <v>0.36940000000000001</v>
      </c>
      <c r="R68" s="13">
        <f t="shared" si="34"/>
        <v>0.79991338241663057</v>
      </c>
      <c r="S68">
        <f t="shared" si="35"/>
        <v>8.1076399843955427E-2</v>
      </c>
      <c r="T68" s="14">
        <f t="shared" si="23"/>
        <v>0.17122900466917698</v>
      </c>
      <c r="U68" t="str">
        <f t="shared" si="36"/>
        <v>Low</v>
      </c>
      <c r="V68">
        <f t="shared" si="37"/>
        <v>7.940829937498052E-2</v>
      </c>
      <c r="W68">
        <f t="shared" si="24"/>
        <v>0.1441493679713147</v>
      </c>
      <c r="X68" t="s">
        <v>1170</v>
      </c>
      <c r="Y68">
        <f t="shared" si="25"/>
        <v>8.2744500312930333E-2</v>
      </c>
      <c r="Z68">
        <f t="shared" si="38"/>
        <v>0.18295638452652049</v>
      </c>
      <c r="AA68" t="s">
        <v>1170</v>
      </c>
      <c r="AB68">
        <f t="shared" si="26"/>
        <v>6.1929430799510882E-2</v>
      </c>
      <c r="AC68">
        <f t="shared" si="39"/>
        <v>0.18163010270961938</v>
      </c>
      <c r="AD68" t="str">
        <f t="shared" si="40"/>
        <v>Low</v>
      </c>
      <c r="AE68">
        <f t="shared" si="27"/>
        <v>2.6609074069681767E-2</v>
      </c>
      <c r="AF68">
        <f t="shared" si="41"/>
        <v>0.17534879831429337</v>
      </c>
      <c r="AG68" t="s">
        <v>1169</v>
      </c>
    </row>
    <row r="69" spans="1:33" customFormat="1" x14ac:dyDescent="0.3">
      <c r="A69">
        <v>201510</v>
      </c>
      <c r="B69" t="s">
        <v>32</v>
      </c>
      <c r="C69" t="s">
        <v>1154</v>
      </c>
      <c r="D69" t="s">
        <v>619</v>
      </c>
      <c r="E69" s="21">
        <v>5.6</v>
      </c>
      <c r="F69" s="2">
        <f t="shared" si="28"/>
        <v>0.53333333333333321</v>
      </c>
      <c r="G69" s="10">
        <v>32.752079999999999</v>
      </c>
      <c r="H69">
        <f t="shared" si="29"/>
        <v>0.29893933021397406</v>
      </c>
      <c r="I69" s="12">
        <v>60.1</v>
      </c>
      <c r="J69" s="2">
        <f t="shared" si="30"/>
        <v>0.14566165777993215</v>
      </c>
      <c r="K69" s="10">
        <v>0</v>
      </c>
      <c r="L69" s="2">
        <f t="shared" si="31"/>
        <v>0</v>
      </c>
      <c r="M69">
        <v>9263</v>
      </c>
      <c r="N69">
        <f t="shared" si="32"/>
        <v>4.2696342138507613E-2</v>
      </c>
      <c r="O69" s="10">
        <v>0.68256633</v>
      </c>
      <c r="P69">
        <f t="shared" si="33"/>
        <v>0.65623684937272597</v>
      </c>
      <c r="Q69" s="23">
        <v>0.18</v>
      </c>
      <c r="R69" s="13">
        <f t="shared" si="34"/>
        <v>0.38977912516240798</v>
      </c>
      <c r="S69">
        <f t="shared" si="35"/>
        <v>4.3405575335334706E-2</v>
      </c>
      <c r="T69" s="14">
        <f t="shared" si="23"/>
        <v>9.1670245300321473E-2</v>
      </c>
      <c r="U69" t="str">
        <f t="shared" si="36"/>
        <v>No Impact</v>
      </c>
      <c r="V69">
        <f t="shared" si="37"/>
        <v>3.2348621040699965E-2</v>
      </c>
      <c r="W69">
        <f t="shared" si="24"/>
        <v>5.8722240804336787E-2</v>
      </c>
      <c r="X69" t="s">
        <v>1170</v>
      </c>
      <c r="Y69">
        <f t="shared" si="25"/>
        <v>5.4462529629969454E-2</v>
      </c>
      <c r="Z69">
        <f t="shared" si="38"/>
        <v>0.12042211235289324</v>
      </c>
      <c r="AA69" t="s">
        <v>1170</v>
      </c>
      <c r="AB69">
        <f t="shared" si="26"/>
        <v>2.8900988198604899E-2</v>
      </c>
      <c r="AC69">
        <f t="shared" si="39"/>
        <v>8.4762436650129266E-2</v>
      </c>
      <c r="AD69" t="str">
        <f t="shared" si="40"/>
        <v>No Impact</v>
      </c>
      <c r="AE69">
        <f t="shared" si="27"/>
        <v>3.5434627010545146E-3</v>
      </c>
      <c r="AF69">
        <f t="shared" si="41"/>
        <v>2.3350753388648834E-2</v>
      </c>
      <c r="AG69" t="s">
        <v>1170</v>
      </c>
    </row>
    <row r="70" spans="1:33" customFormat="1" x14ac:dyDescent="0.3">
      <c r="A70">
        <v>201512</v>
      </c>
      <c r="B70" t="s">
        <v>83</v>
      </c>
      <c r="C70" t="s">
        <v>1154</v>
      </c>
      <c r="D70" t="s">
        <v>620</v>
      </c>
      <c r="E70" s="21">
        <v>5.8</v>
      </c>
      <c r="F70" s="2">
        <f t="shared" si="28"/>
        <v>0.57777777777777772</v>
      </c>
      <c r="G70" s="10">
        <v>32.752079999999999</v>
      </c>
      <c r="H70">
        <f t="shared" si="29"/>
        <v>0.29893933021397406</v>
      </c>
      <c r="I70" s="12">
        <v>61.4</v>
      </c>
      <c r="J70" s="2">
        <f t="shared" si="30"/>
        <v>0.14881240911294233</v>
      </c>
      <c r="K70" s="10">
        <v>0</v>
      </c>
      <c r="L70" s="2">
        <f t="shared" si="31"/>
        <v>0</v>
      </c>
      <c r="M70">
        <v>21163</v>
      </c>
      <c r="N70">
        <f t="shared" si="32"/>
        <v>9.9000250765307329E-2</v>
      </c>
      <c r="O70" s="10">
        <v>0.73354032800000002</v>
      </c>
      <c r="P70">
        <f t="shared" si="33"/>
        <v>0.71237394268400567</v>
      </c>
      <c r="Q70" s="23">
        <v>0.3957</v>
      </c>
      <c r="R70" s="13">
        <f t="shared" si="34"/>
        <v>0.85686444348202684</v>
      </c>
      <c r="S70">
        <f t="shared" si="35"/>
        <v>7.1043620812245314E-2</v>
      </c>
      <c r="T70" s="14">
        <f t="shared" si="23"/>
        <v>0.15004031386677466</v>
      </c>
      <c r="U70" t="str">
        <f t="shared" si="36"/>
        <v>Low</v>
      </c>
      <c r="V70">
        <f t="shared" si="37"/>
        <v>7.7585092420485696E-2</v>
      </c>
      <c r="W70">
        <f t="shared" si="24"/>
        <v>0.14083971227738934</v>
      </c>
      <c r="X70" t="s">
        <v>1170</v>
      </c>
      <c r="Y70">
        <f t="shared" si="25"/>
        <v>6.4502149204004947E-2</v>
      </c>
      <c r="Z70">
        <f t="shared" si="38"/>
        <v>0.14262071760569678</v>
      </c>
      <c r="AA70" t="s">
        <v>1170</v>
      </c>
      <c r="AB70">
        <f t="shared" si="26"/>
        <v>4.9642831492806717E-2</v>
      </c>
      <c r="AC70">
        <f t="shared" si="39"/>
        <v>0.14559527621083876</v>
      </c>
      <c r="AD70" t="str">
        <f t="shared" si="40"/>
        <v>No Impact</v>
      </c>
      <c r="AE70">
        <f t="shared" si="27"/>
        <v>8.9640125269578198E-3</v>
      </c>
      <c r="AF70">
        <f t="shared" si="41"/>
        <v>5.9071158228209797E-2</v>
      </c>
      <c r="AG70" t="s">
        <v>1170</v>
      </c>
    </row>
    <row r="71" spans="1:33" customFormat="1" x14ac:dyDescent="0.3">
      <c r="A71">
        <v>201518</v>
      </c>
      <c r="B71" t="s">
        <v>95</v>
      </c>
      <c r="C71" t="s">
        <v>1154</v>
      </c>
      <c r="D71" t="s">
        <v>621</v>
      </c>
      <c r="E71" s="21">
        <v>5.7</v>
      </c>
      <c r="F71" s="2">
        <f t="shared" si="28"/>
        <v>0.55555555555555558</v>
      </c>
      <c r="G71" s="10">
        <v>31.994999999999997</v>
      </c>
      <c r="H71">
        <f t="shared" si="29"/>
        <v>0.29202920456337733</v>
      </c>
      <c r="I71" s="12">
        <v>41.900000000000006</v>
      </c>
      <c r="J71" s="2">
        <f t="shared" si="30"/>
        <v>0.10155113911778965</v>
      </c>
      <c r="K71" s="10">
        <v>0</v>
      </c>
      <c r="L71" s="2">
        <f t="shared" si="31"/>
        <v>0</v>
      </c>
      <c r="M71">
        <v>25017</v>
      </c>
      <c r="N71">
        <f t="shared" si="32"/>
        <v>0.11723514688696163</v>
      </c>
      <c r="O71" s="10">
        <v>0.76349621999999995</v>
      </c>
      <c r="P71">
        <f t="shared" si="33"/>
        <v>0.74536403116846417</v>
      </c>
      <c r="Q71" s="23">
        <v>0.3952</v>
      </c>
      <c r="R71" s="13">
        <f t="shared" si="34"/>
        <v>0.85578172368990901</v>
      </c>
      <c r="S71">
        <f t="shared" si="35"/>
        <v>6.1267451046744449E-2</v>
      </c>
      <c r="T71" s="14">
        <f t="shared" si="23"/>
        <v>0.1293935680610232</v>
      </c>
      <c r="U71" t="str">
        <f t="shared" si="36"/>
        <v>No Impact</v>
      </c>
      <c r="V71">
        <f t="shared" si="37"/>
        <v>6.5492557068931978E-2</v>
      </c>
      <c r="W71">
        <f t="shared" si="24"/>
        <v>0.11888821171866483</v>
      </c>
      <c r="X71" t="s">
        <v>1170</v>
      </c>
      <c r="Y71">
        <f t="shared" si="25"/>
        <v>5.7042345024556927E-2</v>
      </c>
      <c r="Z71">
        <f t="shared" si="38"/>
        <v>0.12612634279182944</v>
      </c>
      <c r="AA71" t="s">
        <v>1170</v>
      </c>
      <c r="AB71">
        <f t="shared" si="26"/>
        <v>4.3175280454772216E-2</v>
      </c>
      <c r="AC71">
        <f t="shared" si="39"/>
        <v>0.12662688034230787</v>
      </c>
      <c r="AD71" t="str">
        <f t="shared" si="40"/>
        <v>No Impact</v>
      </c>
      <c r="AE71">
        <f t="shared" si="27"/>
        <v>8.9719484950826992E-3</v>
      </c>
      <c r="AF71">
        <f t="shared" si="41"/>
        <v>5.9123454766996306E-2</v>
      </c>
      <c r="AG71" t="s">
        <v>1170</v>
      </c>
    </row>
    <row r="72" spans="1:33" customFormat="1" x14ac:dyDescent="0.3">
      <c r="A72">
        <v>201519</v>
      </c>
      <c r="B72" t="s">
        <v>96</v>
      </c>
      <c r="C72" t="s">
        <v>1154</v>
      </c>
      <c r="D72" t="s">
        <v>622</v>
      </c>
      <c r="E72" s="21">
        <v>5.7</v>
      </c>
      <c r="F72" s="2">
        <f t="shared" si="28"/>
        <v>0.55555555555555558</v>
      </c>
      <c r="G72" s="10">
        <v>32.752079999999999</v>
      </c>
      <c r="H72">
        <f t="shared" si="29"/>
        <v>0.29893933021397406</v>
      </c>
      <c r="I72" s="12">
        <v>80.5</v>
      </c>
      <c r="J72" s="2">
        <f t="shared" si="30"/>
        <v>0.19510421715947651</v>
      </c>
      <c r="K72" s="10">
        <v>0</v>
      </c>
      <c r="L72" s="2">
        <f t="shared" si="31"/>
        <v>0</v>
      </c>
      <c r="M72">
        <v>16713</v>
      </c>
      <c r="N72">
        <f t="shared" si="32"/>
        <v>7.7945427791420038E-2</v>
      </c>
      <c r="O72" s="10">
        <v>0.72230756799999996</v>
      </c>
      <c r="P72">
        <f t="shared" si="33"/>
        <v>0.70000342985385222</v>
      </c>
      <c r="Q72" s="23">
        <v>0.2442</v>
      </c>
      <c r="R72" s="13">
        <f t="shared" si="34"/>
        <v>0.52880034647033347</v>
      </c>
      <c r="S72">
        <f t="shared" si="35"/>
        <v>5.9021917177328465E-2</v>
      </c>
      <c r="T72" s="14">
        <f t="shared" si="23"/>
        <v>0.12465112105855321</v>
      </c>
      <c r="U72" t="str">
        <f t="shared" si="36"/>
        <v>No Impact</v>
      </c>
      <c r="V72">
        <f t="shared" si="37"/>
        <v>5.0798688698822023E-2</v>
      </c>
      <c r="W72">
        <f t="shared" si="24"/>
        <v>9.2214528296697421E-2</v>
      </c>
      <c r="X72" t="s">
        <v>1170</v>
      </c>
      <c r="Y72">
        <f t="shared" si="25"/>
        <v>6.7245145655834906E-2</v>
      </c>
      <c r="Z72">
        <f t="shared" si="38"/>
        <v>0.14868575771951642</v>
      </c>
      <c r="AA72" t="s">
        <v>1170</v>
      </c>
      <c r="AB72">
        <f t="shared" si="26"/>
        <v>4.0573797722911933E-2</v>
      </c>
      <c r="AC72">
        <f t="shared" si="39"/>
        <v>0.118997106102742</v>
      </c>
      <c r="AD72" t="str">
        <f t="shared" si="40"/>
        <v>No Impact</v>
      </c>
      <c r="AE72">
        <f t="shared" si="27"/>
        <v>7.4877513759250029E-3</v>
      </c>
      <c r="AF72">
        <f t="shared" si="41"/>
        <v>4.9342874630148623E-2</v>
      </c>
      <c r="AG72" t="s">
        <v>1170</v>
      </c>
    </row>
    <row r="73" spans="1:33" customFormat="1" x14ac:dyDescent="0.3">
      <c r="A73">
        <v>201520</v>
      </c>
      <c r="B73" t="s">
        <v>113</v>
      </c>
      <c r="C73" t="s">
        <v>1154</v>
      </c>
      <c r="D73" t="s">
        <v>623</v>
      </c>
      <c r="E73" s="21">
        <v>5.5</v>
      </c>
      <c r="F73" s="2">
        <f t="shared" si="28"/>
        <v>0.51111111111111107</v>
      </c>
      <c r="G73" s="10">
        <v>32.752079999999999</v>
      </c>
      <c r="H73">
        <f t="shared" si="29"/>
        <v>0.29893933021397406</v>
      </c>
      <c r="I73" s="12">
        <v>60.1</v>
      </c>
      <c r="J73" s="2">
        <f t="shared" si="30"/>
        <v>0.14566165777993215</v>
      </c>
      <c r="K73" s="10">
        <v>0</v>
      </c>
      <c r="L73" s="2">
        <f t="shared" si="31"/>
        <v>0</v>
      </c>
      <c r="M73">
        <v>10040</v>
      </c>
      <c r="N73">
        <f t="shared" si="32"/>
        <v>4.6372656172375126E-2</v>
      </c>
      <c r="O73" s="10">
        <v>0.53431662000000002</v>
      </c>
      <c r="P73">
        <f t="shared" si="33"/>
        <v>0.49297110349891482</v>
      </c>
      <c r="Q73" s="23">
        <v>0.14399999999999999</v>
      </c>
      <c r="R73" s="13">
        <f t="shared" si="34"/>
        <v>0.31182330012992637</v>
      </c>
      <c r="S73">
        <f t="shared" si="35"/>
        <v>3.2004330169245129E-2</v>
      </c>
      <c r="T73" s="14">
        <f t="shared" si="23"/>
        <v>6.7591427474959803E-2</v>
      </c>
      <c r="U73" t="str">
        <f t="shared" si="36"/>
        <v>No Impact</v>
      </c>
      <c r="V73">
        <f t="shared" si="37"/>
        <v>2.480060946453664E-2</v>
      </c>
      <c r="W73">
        <f t="shared" si="24"/>
        <v>4.50203846166582E-2</v>
      </c>
      <c r="X73" t="s">
        <v>1170</v>
      </c>
      <c r="Y73">
        <f t="shared" si="25"/>
        <v>3.9208050873953612E-2</v>
      </c>
      <c r="Z73">
        <f t="shared" si="38"/>
        <v>8.6692930709613161E-2</v>
      </c>
      <c r="AA73" t="s">
        <v>1170</v>
      </c>
      <c r="AB73">
        <f t="shared" si="26"/>
        <v>2.1733502435963205E-2</v>
      </c>
      <c r="AC73">
        <f t="shared" si="39"/>
        <v>6.3741233024782407E-2</v>
      </c>
      <c r="AD73" t="str">
        <f t="shared" si="40"/>
        <v>No Impact</v>
      </c>
      <c r="AE73">
        <f t="shared" si="27"/>
        <v>3.688211031969433E-3</v>
      </c>
      <c r="AF73">
        <f t="shared" si="41"/>
        <v>2.4304617691384946E-2</v>
      </c>
      <c r="AG73" t="s">
        <v>1170</v>
      </c>
    </row>
    <row r="74" spans="1:33" customFormat="1" x14ac:dyDescent="0.3">
      <c r="A74">
        <v>201528</v>
      </c>
      <c r="B74" t="s">
        <v>156</v>
      </c>
      <c r="C74" t="s">
        <v>1154</v>
      </c>
      <c r="D74" t="s">
        <v>624</v>
      </c>
      <c r="E74" s="21">
        <v>5.7</v>
      </c>
      <c r="F74" s="2">
        <f t="shared" si="28"/>
        <v>0.55555555555555558</v>
      </c>
      <c r="G74" s="10">
        <v>32.752079999999999</v>
      </c>
      <c r="H74">
        <f t="shared" si="29"/>
        <v>0.29893933021397406</v>
      </c>
      <c r="I74" s="12">
        <v>60.1</v>
      </c>
      <c r="J74" s="2">
        <f t="shared" si="30"/>
        <v>0.14566165777993215</v>
      </c>
      <c r="K74" s="10">
        <v>0</v>
      </c>
      <c r="L74" s="2">
        <f t="shared" si="31"/>
        <v>0</v>
      </c>
      <c r="M74">
        <v>11215</v>
      </c>
      <c r="N74">
        <f t="shared" si="32"/>
        <v>5.1932075721659969E-2</v>
      </c>
      <c r="O74" s="10">
        <v>0.71414856299999996</v>
      </c>
      <c r="P74">
        <f t="shared" si="33"/>
        <v>0.69101800899256927</v>
      </c>
      <c r="Q74" s="23">
        <v>0.1386</v>
      </c>
      <c r="R74" s="13">
        <f t="shared" si="34"/>
        <v>0.30012992637505415</v>
      </c>
      <c r="S74">
        <f t="shared" si="35"/>
        <v>4.2842464710943877E-2</v>
      </c>
      <c r="T74" s="14">
        <f t="shared" si="23"/>
        <v>9.0480985886747883E-2</v>
      </c>
      <c r="U74" t="str">
        <f t="shared" si="36"/>
        <v>No Impact</v>
      </c>
      <c r="V74">
        <f t="shared" si="37"/>
        <v>2.5946289793061433E-2</v>
      </c>
      <c r="W74">
        <f t="shared" si="24"/>
        <v>4.7100130645145136E-2</v>
      </c>
      <c r="X74" t="s">
        <v>1170</v>
      </c>
      <c r="Y74">
        <f t="shared" si="25"/>
        <v>5.9738639628826321E-2</v>
      </c>
      <c r="Z74">
        <f t="shared" si="38"/>
        <v>0.13208812043928483</v>
      </c>
      <c r="AA74" t="s">
        <v>1170</v>
      </c>
      <c r="AB74">
        <f t="shared" si="26"/>
        <v>2.8574131589201059E-2</v>
      </c>
      <c r="AC74">
        <f t="shared" si="39"/>
        <v>8.3803813282032583E-2</v>
      </c>
      <c r="AD74" t="str">
        <f t="shared" si="40"/>
        <v>No Impact</v>
      </c>
      <c r="AE74">
        <f t="shared" si="27"/>
        <v>4.489537922804738E-3</v>
      </c>
      <c r="AF74">
        <f t="shared" si="41"/>
        <v>2.9585211333874671E-2</v>
      </c>
      <c r="AG74" t="s">
        <v>1170</v>
      </c>
    </row>
    <row r="75" spans="1:33" customFormat="1" x14ac:dyDescent="0.3">
      <c r="A75">
        <v>201533</v>
      </c>
      <c r="B75" t="s">
        <v>166</v>
      </c>
      <c r="C75" t="s">
        <v>1154</v>
      </c>
      <c r="D75" t="s">
        <v>625</v>
      </c>
      <c r="E75" s="21">
        <v>5.6</v>
      </c>
      <c r="F75" s="2">
        <f t="shared" si="28"/>
        <v>0.53333333333333321</v>
      </c>
      <c r="G75" s="10">
        <v>35.115120000000005</v>
      </c>
      <c r="H75">
        <f t="shared" si="29"/>
        <v>0.32050759686662117</v>
      </c>
      <c r="I75" s="12">
        <v>81.799999999999983</v>
      </c>
      <c r="J75" s="2">
        <f t="shared" si="30"/>
        <v>0.19825496849248664</v>
      </c>
      <c r="K75" s="10">
        <v>0</v>
      </c>
      <c r="L75" s="2">
        <f t="shared" si="31"/>
        <v>0</v>
      </c>
      <c r="M75">
        <v>78242</v>
      </c>
      <c r="N75">
        <f t="shared" si="32"/>
        <v>0.36906502391733259</v>
      </c>
      <c r="O75" s="10">
        <v>0.91133705799999998</v>
      </c>
      <c r="P75">
        <f t="shared" si="33"/>
        <v>0.90817949088625582</v>
      </c>
      <c r="Q75" s="23">
        <v>0.39119999999999999</v>
      </c>
      <c r="R75" s="13">
        <f t="shared" si="34"/>
        <v>0.84711996535296663</v>
      </c>
      <c r="S75">
        <f t="shared" si="35"/>
        <v>8.4987807229929865E-2</v>
      </c>
      <c r="T75" s="14">
        <f t="shared" si="23"/>
        <v>0.17948968712233357</v>
      </c>
      <c r="U75" t="str">
        <f t="shared" si="36"/>
        <v>Low</v>
      </c>
      <c r="V75">
        <f t="shared" si="37"/>
        <v>8.2031436926772366E-2</v>
      </c>
      <c r="W75">
        <f t="shared" si="24"/>
        <v>0.14891113246153564</v>
      </c>
      <c r="X75" t="s">
        <v>1170</v>
      </c>
      <c r="Y75">
        <f t="shared" si="25"/>
        <v>8.7944177533087378E-2</v>
      </c>
      <c r="Z75">
        <f t="shared" si="38"/>
        <v>0.19445339207756107</v>
      </c>
      <c r="AA75" t="str">
        <f t="shared" ref="AA75:AA130" si="42">IF(Z75&gt;0.7,"High",IF(Z75&gt;0.3,"Moderate",IF(Z75&gt;0.15,"Low","No Impact")))</f>
        <v>Low</v>
      </c>
      <c r="AB75">
        <f t="shared" si="26"/>
        <v>6.7602787932286024E-2</v>
      </c>
      <c r="AC75">
        <f t="shared" si="39"/>
        <v>0.19826924221778419</v>
      </c>
      <c r="AD75" t="str">
        <f t="shared" si="40"/>
        <v>Low</v>
      </c>
      <c r="AE75">
        <f t="shared" si="27"/>
        <v>3.5738662137112832E-2</v>
      </c>
      <c r="AF75">
        <f t="shared" si="41"/>
        <v>0.23551106824282739</v>
      </c>
      <c r="AG75" t="s">
        <v>1169</v>
      </c>
    </row>
    <row r="76" spans="1:33" customFormat="1" x14ac:dyDescent="0.3">
      <c r="A76">
        <v>201535</v>
      </c>
      <c r="B76" t="s">
        <v>201</v>
      </c>
      <c r="C76" t="s">
        <v>1154</v>
      </c>
      <c r="D76" t="s">
        <v>626</v>
      </c>
      <c r="E76" s="21">
        <v>5.7</v>
      </c>
      <c r="F76" s="2">
        <f t="shared" si="28"/>
        <v>0.55555555555555558</v>
      </c>
      <c r="G76" s="10">
        <v>32.752079999999999</v>
      </c>
      <c r="H76">
        <f t="shared" si="29"/>
        <v>0.29893933021397406</v>
      </c>
      <c r="I76" s="12">
        <v>60.1</v>
      </c>
      <c r="J76" s="2">
        <f t="shared" si="30"/>
        <v>0.14566165777993215</v>
      </c>
      <c r="K76" s="10">
        <v>0</v>
      </c>
      <c r="L76" s="2">
        <f t="shared" si="31"/>
        <v>0</v>
      </c>
      <c r="M76">
        <v>11544</v>
      </c>
      <c r="N76">
        <f t="shared" si="32"/>
        <v>5.3488713195459732E-2</v>
      </c>
      <c r="O76" s="10">
        <v>0.68375518400000002</v>
      </c>
      <c r="P76">
        <f t="shared" si="33"/>
        <v>0.65754612097295417</v>
      </c>
      <c r="Q76" s="23">
        <v>0.1956</v>
      </c>
      <c r="R76" s="13">
        <f t="shared" si="34"/>
        <v>0.42355998267648332</v>
      </c>
      <c r="S76">
        <f t="shared" si="35"/>
        <v>4.6730915175853829E-2</v>
      </c>
      <c r="T76" s="14">
        <f t="shared" si="23"/>
        <v>9.8693184554836236E-2</v>
      </c>
      <c r="U76" t="str">
        <f t="shared" si="36"/>
        <v>No Impact</v>
      </c>
      <c r="V76">
        <f t="shared" si="37"/>
        <v>3.6616841872458991E-2</v>
      </c>
      <c r="W76">
        <f t="shared" si="24"/>
        <v>6.6470314243797901E-2</v>
      </c>
      <c r="X76" t="s">
        <v>1170</v>
      </c>
      <c r="Y76">
        <f t="shared" si="25"/>
        <v>5.6844988479248661E-2</v>
      </c>
      <c r="Z76">
        <f t="shared" si="38"/>
        <v>0.12568996768707094</v>
      </c>
      <c r="AA76" t="s">
        <v>1170</v>
      </c>
      <c r="AB76">
        <f t="shared" si="26"/>
        <v>3.1487829535146325E-2</v>
      </c>
      <c r="AC76">
        <f t="shared" si="39"/>
        <v>9.2349269785582833E-2</v>
      </c>
      <c r="AD76" t="str">
        <f t="shared" si="40"/>
        <v>No Impact</v>
      </c>
      <c r="AE76">
        <f t="shared" si="27"/>
        <v>4.6241095314602382E-3</v>
      </c>
      <c r="AF76">
        <f t="shared" si="41"/>
        <v>3.047201294911199E-2</v>
      </c>
      <c r="AG76" t="s">
        <v>1170</v>
      </c>
    </row>
    <row r="77" spans="1:33" customFormat="1" x14ac:dyDescent="0.3">
      <c r="A77">
        <v>201537</v>
      </c>
      <c r="B77" t="s">
        <v>206</v>
      </c>
      <c r="C77" t="s">
        <v>1154</v>
      </c>
      <c r="D77" t="s">
        <v>627</v>
      </c>
      <c r="E77" s="21">
        <v>5.8</v>
      </c>
      <c r="F77" s="2">
        <f t="shared" si="28"/>
        <v>0.57777777777777772</v>
      </c>
      <c r="G77" s="10">
        <v>35.115120000000005</v>
      </c>
      <c r="H77">
        <f t="shared" si="29"/>
        <v>0.32050759686662117</v>
      </c>
      <c r="I77" s="12">
        <v>81.799999999999983</v>
      </c>
      <c r="J77" s="2">
        <f t="shared" si="30"/>
        <v>0.19825496849248664</v>
      </c>
      <c r="K77" s="10">
        <v>0</v>
      </c>
      <c r="L77" s="2">
        <f t="shared" si="31"/>
        <v>0</v>
      </c>
      <c r="M77">
        <v>46431</v>
      </c>
      <c r="N77">
        <f t="shared" si="32"/>
        <v>0.21855379388984306</v>
      </c>
      <c r="O77" s="10">
        <v>0.91627187200000004</v>
      </c>
      <c r="P77">
        <f t="shared" si="33"/>
        <v>0.91361414629609461</v>
      </c>
      <c r="Q77" s="23">
        <v>0.38469999999999999</v>
      </c>
      <c r="R77" s="13">
        <f t="shared" si="34"/>
        <v>0.83304460805543523</v>
      </c>
      <c r="S77">
        <f t="shared" si="35"/>
        <v>9.1616896706116932E-2</v>
      </c>
      <c r="T77" s="14">
        <f t="shared" si="23"/>
        <v>0.19348996827757844</v>
      </c>
      <c r="U77" t="str">
        <f t="shared" si="36"/>
        <v>Low</v>
      </c>
      <c r="V77">
        <f t="shared" si="37"/>
        <v>8.7390810159867355E-2</v>
      </c>
      <c r="W77">
        <f t="shared" si="24"/>
        <v>0.1586399677388774</v>
      </c>
      <c r="X77" t="s">
        <v>1170</v>
      </c>
      <c r="Y77">
        <f t="shared" si="25"/>
        <v>9.5842983252366482E-2</v>
      </c>
      <c r="Z77">
        <f t="shared" si="38"/>
        <v>0.21191844330164683</v>
      </c>
      <c r="AA77" t="str">
        <f t="shared" si="42"/>
        <v>Low</v>
      </c>
      <c r="AB77">
        <f t="shared" si="26"/>
        <v>6.7364287927606292E-2</v>
      </c>
      <c r="AC77">
        <f t="shared" si="39"/>
        <v>0.19756975604801036</v>
      </c>
      <c r="AD77" t="str">
        <f t="shared" si="40"/>
        <v>Low</v>
      </c>
      <c r="AE77">
        <f t="shared" si="27"/>
        <v>2.2927455416979377E-2</v>
      </c>
      <c r="AF77">
        <f t="shared" si="41"/>
        <v>0.15108762316358013</v>
      </c>
      <c r="AG77" t="s">
        <v>1169</v>
      </c>
    </row>
    <row r="78" spans="1:33" customFormat="1" x14ac:dyDescent="0.3">
      <c r="A78">
        <v>201541</v>
      </c>
      <c r="B78" t="s">
        <v>286</v>
      </c>
      <c r="C78" t="s">
        <v>1154</v>
      </c>
      <c r="D78" t="s">
        <v>1129</v>
      </c>
      <c r="E78" s="21">
        <v>5.7</v>
      </c>
      <c r="F78" s="2">
        <f t="shared" si="28"/>
        <v>0.55555555555555558</v>
      </c>
      <c r="G78" s="10">
        <v>32.752079999999999</v>
      </c>
      <c r="H78">
        <f t="shared" si="29"/>
        <v>0.29893933021397406</v>
      </c>
      <c r="I78" s="12">
        <v>60.1</v>
      </c>
      <c r="J78" s="2">
        <f t="shared" si="30"/>
        <v>0.14566165777993215</v>
      </c>
      <c r="K78" s="10">
        <v>0</v>
      </c>
      <c r="L78" s="2">
        <f t="shared" si="31"/>
        <v>0</v>
      </c>
      <c r="M78">
        <v>9508</v>
      </c>
      <c r="N78">
        <f t="shared" si="32"/>
        <v>4.385554025729467E-2</v>
      </c>
      <c r="O78" s="10">
        <v>0.80364287999999995</v>
      </c>
      <c r="P78">
        <f t="shared" si="33"/>
        <v>0.78957709835923506</v>
      </c>
      <c r="Q78" s="23">
        <v>0.29720000000000002</v>
      </c>
      <c r="R78" s="13">
        <f t="shared" si="34"/>
        <v>0.64356864443482031</v>
      </c>
      <c r="S78">
        <f t="shared" si="35"/>
        <v>6.1947862393034479E-2</v>
      </c>
      <c r="T78" s="14">
        <f t="shared" si="23"/>
        <v>0.13083056030309476</v>
      </c>
      <c r="U78" t="str">
        <f t="shared" si="36"/>
        <v>No Impact</v>
      </c>
      <c r="V78">
        <f t="shared" si="37"/>
        <v>5.5636632947314996E-2</v>
      </c>
      <c r="W78">
        <f t="shared" si="24"/>
        <v>0.10099681693894037</v>
      </c>
      <c r="X78" t="s">
        <v>1170</v>
      </c>
      <c r="Y78">
        <f t="shared" si="25"/>
        <v>6.8259091838753963E-2</v>
      </c>
      <c r="Z78">
        <f t="shared" si="38"/>
        <v>0.15092769436823344</v>
      </c>
      <c r="AA78" t="s">
        <v>1170</v>
      </c>
      <c r="AB78">
        <f t="shared" si="26"/>
        <v>4.1277511041301139E-2</v>
      </c>
      <c r="AC78">
        <f t="shared" si="39"/>
        <v>0.12106099593100389</v>
      </c>
      <c r="AD78" t="str">
        <f t="shared" si="40"/>
        <v>No Impact</v>
      </c>
      <c r="AE78">
        <f t="shared" si="27"/>
        <v>3.7913198803277261E-3</v>
      </c>
      <c r="AF78">
        <f t="shared" si="41"/>
        <v>2.4984085628068909E-2</v>
      </c>
      <c r="AG78" t="s">
        <v>1170</v>
      </c>
    </row>
    <row r="79" spans="1:33" customFormat="1" x14ac:dyDescent="0.3">
      <c r="A79">
        <v>201543</v>
      </c>
      <c r="B79" t="s">
        <v>281</v>
      </c>
      <c r="C79" t="s">
        <v>1154</v>
      </c>
      <c r="D79" t="s">
        <v>628</v>
      </c>
      <c r="E79" s="21">
        <v>5.3</v>
      </c>
      <c r="F79" s="2">
        <f t="shared" si="28"/>
        <v>0.46666666666666656</v>
      </c>
      <c r="G79" s="10">
        <v>32.752079999999999</v>
      </c>
      <c r="H79">
        <f t="shared" si="29"/>
        <v>0.29893933021397406</v>
      </c>
      <c r="I79" s="12">
        <v>80.5</v>
      </c>
      <c r="J79" s="2">
        <f t="shared" si="30"/>
        <v>0.19510421715947651</v>
      </c>
      <c r="K79" s="10">
        <v>0</v>
      </c>
      <c r="L79" s="2">
        <f t="shared" si="31"/>
        <v>0</v>
      </c>
      <c r="M79">
        <v>12037</v>
      </c>
      <c r="N79">
        <f t="shared" si="32"/>
        <v>5.5821303695712858E-2</v>
      </c>
      <c r="O79" s="10">
        <v>0.823781761</v>
      </c>
      <c r="P79">
        <f t="shared" si="33"/>
        <v>0.81175582253703571</v>
      </c>
      <c r="Q79" s="23">
        <v>0.33500000000000002</v>
      </c>
      <c r="R79" s="13">
        <f t="shared" si="34"/>
        <v>0.72542226071892602</v>
      </c>
      <c r="S79">
        <f t="shared" si="35"/>
        <v>6.2020354577713876E-2</v>
      </c>
      <c r="T79" s="14">
        <f t="shared" si="23"/>
        <v>0.13098365990609684</v>
      </c>
      <c r="U79" t="str">
        <f t="shared" si="36"/>
        <v>No Impact</v>
      </c>
      <c r="V79">
        <f t="shared" si="37"/>
        <v>5.8537063881443557E-2</v>
      </c>
      <c r="W79">
        <f t="shared" si="24"/>
        <v>0.10626195029766852</v>
      </c>
      <c r="X79" t="s">
        <v>1170</v>
      </c>
      <c r="Y79">
        <f t="shared" si="25"/>
        <v>6.550364527398421E-2</v>
      </c>
      <c r="Z79">
        <f t="shared" si="38"/>
        <v>0.14483512580670072</v>
      </c>
      <c r="AA79" t="s">
        <v>1170</v>
      </c>
      <c r="AB79">
        <f t="shared" si="26"/>
        <v>4.1715617128969894E-2</v>
      </c>
      <c r="AC79">
        <f t="shared" si="39"/>
        <v>0.12234589799894949</v>
      </c>
      <c r="AD79" t="str">
        <f t="shared" si="40"/>
        <v>No Impact</v>
      </c>
      <c r="AE79">
        <f t="shared" si="27"/>
        <v>4.5044319664839776E-3</v>
      </c>
      <c r="AF79">
        <f t="shared" si="41"/>
        <v>2.9683360283152504E-2</v>
      </c>
      <c r="AG79" t="s">
        <v>1170</v>
      </c>
    </row>
    <row r="80" spans="1:33" customFormat="1" x14ac:dyDescent="0.3">
      <c r="A80">
        <v>201547</v>
      </c>
      <c r="B80" t="s">
        <v>306</v>
      </c>
      <c r="C80" t="s">
        <v>1154</v>
      </c>
      <c r="D80" t="s">
        <v>1130</v>
      </c>
      <c r="E80" s="21">
        <v>5.7</v>
      </c>
      <c r="F80" s="2">
        <f t="shared" si="28"/>
        <v>0.55555555555555558</v>
      </c>
      <c r="G80" s="10">
        <v>37.911960000000001</v>
      </c>
      <c r="H80">
        <f t="shared" si="29"/>
        <v>0.34603530308606278</v>
      </c>
      <c r="I80" s="12">
        <v>42.4</v>
      </c>
      <c r="J80" s="2">
        <f t="shared" si="30"/>
        <v>0.10276296655356278</v>
      </c>
      <c r="K80" s="10">
        <v>0</v>
      </c>
      <c r="L80" s="2">
        <f t="shared" si="31"/>
        <v>0</v>
      </c>
      <c r="M80">
        <v>21502</v>
      </c>
      <c r="N80">
        <f t="shared" si="32"/>
        <v>0.10060420244803717</v>
      </c>
      <c r="O80" s="10">
        <v>0.96594195500000002</v>
      </c>
      <c r="P80">
        <f t="shared" si="33"/>
        <v>0.9683152526160268</v>
      </c>
      <c r="Q80" s="23">
        <v>0.38100000000000001</v>
      </c>
      <c r="R80" s="13">
        <f t="shared" si="34"/>
        <v>0.82503248159376352</v>
      </c>
      <c r="S80">
        <f t="shared" si="35"/>
        <v>7.8249437775395544E-2</v>
      </c>
      <c r="T80" s="14">
        <f t="shared" si="23"/>
        <v>0.1652586125184565</v>
      </c>
      <c r="U80" t="str">
        <f t="shared" si="36"/>
        <v>Low</v>
      </c>
      <c r="V80">
        <f t="shared" si="37"/>
        <v>7.1997556970843646E-2</v>
      </c>
      <c r="W80">
        <f t="shared" si="24"/>
        <v>0.13069669561637531</v>
      </c>
      <c r="X80" t="s">
        <v>1170</v>
      </c>
      <c r="Y80">
        <f t="shared" si="25"/>
        <v>8.4501318579947443E-2</v>
      </c>
      <c r="Z80">
        <f t="shared" si="38"/>
        <v>0.18684088581890873</v>
      </c>
      <c r="AA80" t="s">
        <v>1170</v>
      </c>
      <c r="AB80">
        <f t="shared" si="26"/>
        <v>5.3622316356669128E-2</v>
      </c>
      <c r="AC80">
        <f t="shared" si="39"/>
        <v>0.15726653227154219</v>
      </c>
      <c r="AD80" t="str">
        <f t="shared" si="40"/>
        <v>Low</v>
      </c>
      <c r="AE80">
        <f t="shared" si="27"/>
        <v>8.7793595511132128E-3</v>
      </c>
      <c r="AF80">
        <f t="shared" si="41"/>
        <v>5.7854329813409669E-2</v>
      </c>
      <c r="AG80" t="s">
        <v>1170</v>
      </c>
    </row>
    <row r="81" spans="1:33" customFormat="1" x14ac:dyDescent="0.3">
      <c r="A81">
        <v>201553</v>
      </c>
      <c r="B81" t="s">
        <v>339</v>
      </c>
      <c r="C81" t="s">
        <v>1154</v>
      </c>
      <c r="D81" t="s">
        <v>629</v>
      </c>
      <c r="E81" s="21">
        <v>5.8</v>
      </c>
      <c r="F81" s="2">
        <f t="shared" si="28"/>
        <v>0.57777777777777772</v>
      </c>
      <c r="G81" s="10">
        <v>42.463079999999998</v>
      </c>
      <c r="H81">
        <f t="shared" si="29"/>
        <v>0.3875749171967825</v>
      </c>
      <c r="I81" s="12">
        <v>81.799999999999983</v>
      </c>
      <c r="J81" s="2">
        <f t="shared" si="30"/>
        <v>0.19825496849248664</v>
      </c>
      <c r="K81" s="10">
        <v>0.5</v>
      </c>
      <c r="L81" s="2">
        <f t="shared" si="31"/>
        <v>0.29411764705882354</v>
      </c>
      <c r="M81">
        <v>64375</v>
      </c>
      <c r="N81">
        <f t="shared" si="32"/>
        <v>0.30345441039398541</v>
      </c>
      <c r="O81" s="10">
        <v>0.89663636999999996</v>
      </c>
      <c r="P81">
        <f t="shared" si="33"/>
        <v>0.89198978777534799</v>
      </c>
      <c r="Q81" s="23">
        <v>0.37080000000000002</v>
      </c>
      <c r="R81" s="13">
        <f t="shared" si="34"/>
        <v>0.80294499783456053</v>
      </c>
      <c r="S81">
        <f t="shared" si="35"/>
        <v>0.14360183569770649</v>
      </c>
      <c r="T81" s="14">
        <f t="shared" si="23"/>
        <v>0.30327936911986803</v>
      </c>
      <c r="U81" t="str">
        <f t="shared" si="36"/>
        <v>Moderate</v>
      </c>
      <c r="V81">
        <f t="shared" si="37"/>
        <v>0.13605759540989359</v>
      </c>
      <c r="W81">
        <f t="shared" si="24"/>
        <v>0.24698446560879797</v>
      </c>
      <c r="X81" t="s">
        <v>1169</v>
      </c>
      <c r="Y81">
        <f t="shared" si="25"/>
        <v>0.15114607598551932</v>
      </c>
      <c r="Z81">
        <f t="shared" si="38"/>
        <v>0.33419912493398729</v>
      </c>
      <c r="AA81" t="str">
        <f t="shared" si="42"/>
        <v>Moderate</v>
      </c>
      <c r="AB81">
        <f t="shared" si="26"/>
        <v>0.11096091388952481</v>
      </c>
      <c r="AC81">
        <f t="shared" si="39"/>
        <v>0.32543238208911163</v>
      </c>
      <c r="AD81" t="str">
        <f t="shared" si="40"/>
        <v>Moderate</v>
      </c>
      <c r="AE81">
        <f t="shared" si="27"/>
        <v>5.1419807715446457E-2</v>
      </c>
      <c r="AF81">
        <f t="shared" si="41"/>
        <v>0.33884687114042822</v>
      </c>
      <c r="AG81" t="str">
        <f t="shared" ref="AG81:AG130" si="43">IF(AF81&gt;0.7,"High",IF(AF81&gt;0.3,"Moderate",IF(AF81&gt;0.15,"Low","No Impact")))</f>
        <v>Moderate</v>
      </c>
    </row>
    <row r="82" spans="1:33" customFormat="1" x14ac:dyDescent="0.3">
      <c r="A82">
        <v>201555</v>
      </c>
      <c r="B82" t="s">
        <v>393</v>
      </c>
      <c r="C82" t="s">
        <v>1154</v>
      </c>
      <c r="D82" t="s">
        <v>630</v>
      </c>
      <c r="E82" s="21">
        <v>5.8</v>
      </c>
      <c r="F82" s="2">
        <f t="shared" si="28"/>
        <v>0.57777777777777772</v>
      </c>
      <c r="G82" s="10">
        <v>49.564439999999998</v>
      </c>
      <c r="H82">
        <f t="shared" si="29"/>
        <v>0.45239143578150465</v>
      </c>
      <c r="I82" s="12">
        <v>77.7</v>
      </c>
      <c r="J82" s="2">
        <f t="shared" si="30"/>
        <v>0.18831798351914689</v>
      </c>
      <c r="K82" s="10">
        <v>0</v>
      </c>
      <c r="L82" s="2">
        <f t="shared" si="31"/>
        <v>0</v>
      </c>
      <c r="M82">
        <v>9603</v>
      </c>
      <c r="N82">
        <f t="shared" si="32"/>
        <v>4.4305025242130466E-2</v>
      </c>
      <c r="O82" s="10">
        <v>0.70779540699999999</v>
      </c>
      <c r="P82">
        <f t="shared" si="33"/>
        <v>0.68402134941736559</v>
      </c>
      <c r="Q82" s="23">
        <v>0.26750000000000002</v>
      </c>
      <c r="R82" s="13">
        <f t="shared" si="34"/>
        <v>0.57925508878302301</v>
      </c>
      <c r="S82">
        <f t="shared" si="35"/>
        <v>8.1838636994818373E-2</v>
      </c>
      <c r="T82" s="14">
        <f t="shared" si="23"/>
        <v>0.17283880861848075</v>
      </c>
      <c r="U82" t="str">
        <f t="shared" si="36"/>
        <v>Low</v>
      </c>
      <c r="V82">
        <f t="shared" si="37"/>
        <v>7.5051580960137185E-2</v>
      </c>
      <c r="W82">
        <f t="shared" si="24"/>
        <v>0.13624064544644313</v>
      </c>
      <c r="X82" t="s">
        <v>1170</v>
      </c>
      <c r="Y82">
        <f t="shared" si="25"/>
        <v>8.8625693029499533E-2</v>
      </c>
      <c r="Z82">
        <f t="shared" si="38"/>
        <v>0.19596029115545521</v>
      </c>
      <c r="AA82" t="str">
        <f t="shared" si="42"/>
        <v>Low</v>
      </c>
      <c r="AB82">
        <f t="shared" si="26"/>
        <v>5.486490503776522E-2</v>
      </c>
      <c r="AC82">
        <f t="shared" si="39"/>
        <v>0.16091086594068155</v>
      </c>
      <c r="AD82" t="str">
        <f t="shared" si="40"/>
        <v>Low</v>
      </c>
      <c r="AE82">
        <f t="shared" si="27"/>
        <v>5.7404108367638583E-3</v>
      </c>
      <c r="AF82">
        <f t="shared" si="41"/>
        <v>3.7828228799730197E-2</v>
      </c>
      <c r="AG82" t="s">
        <v>1170</v>
      </c>
    </row>
    <row r="83" spans="1:33" customFormat="1" x14ac:dyDescent="0.3">
      <c r="A83">
        <v>201557</v>
      </c>
      <c r="B83" t="s">
        <v>403</v>
      </c>
      <c r="C83" t="s">
        <v>1154</v>
      </c>
      <c r="D83" t="s">
        <v>631</v>
      </c>
      <c r="E83" s="21">
        <v>5.7</v>
      </c>
      <c r="F83" s="2">
        <f t="shared" si="28"/>
        <v>0.55555555555555558</v>
      </c>
      <c r="G83" s="10">
        <v>32.752079999999999</v>
      </c>
      <c r="H83">
        <f t="shared" si="29"/>
        <v>0.29893933021397406</v>
      </c>
      <c r="I83" s="12">
        <v>80.5</v>
      </c>
      <c r="J83" s="2">
        <f t="shared" si="30"/>
        <v>0.19510421715947651</v>
      </c>
      <c r="K83" s="10">
        <v>0</v>
      </c>
      <c r="L83" s="2">
        <f t="shared" si="31"/>
        <v>0</v>
      </c>
      <c r="M83">
        <v>8383</v>
      </c>
      <c r="N83">
        <f t="shared" si="32"/>
        <v>3.8532691752660241E-2</v>
      </c>
      <c r="O83" s="10">
        <v>0.81107052199999996</v>
      </c>
      <c r="P83">
        <f t="shared" si="33"/>
        <v>0.7977570773366891</v>
      </c>
      <c r="Q83" s="23">
        <v>0.26750000000000002</v>
      </c>
      <c r="R83" s="13">
        <f t="shared" si="34"/>
        <v>0.57925508878302301</v>
      </c>
      <c r="S83">
        <f t="shared" si="35"/>
        <v>6.6140664267823224E-2</v>
      </c>
      <c r="T83" s="14">
        <f t="shared" si="23"/>
        <v>0.1396855328126895</v>
      </c>
      <c r="U83" t="str">
        <f t="shared" si="36"/>
        <v>No Impact</v>
      </c>
      <c r="V83">
        <f t="shared" si="37"/>
        <v>5.5645574229872617E-2</v>
      </c>
      <c r="W83">
        <f t="shared" si="24"/>
        <v>0.10101304799085407</v>
      </c>
      <c r="X83" t="s">
        <v>1170</v>
      </c>
      <c r="Y83">
        <f t="shared" si="25"/>
        <v>7.6635754305773837E-2</v>
      </c>
      <c r="Z83">
        <f t="shared" si="38"/>
        <v>0.16944933476208413</v>
      </c>
      <c r="AA83" t="s">
        <v>1170</v>
      </c>
      <c r="AB83">
        <f t="shared" si="26"/>
        <v>4.3762239158914321E-2</v>
      </c>
      <c r="AC83">
        <f t="shared" si="39"/>
        <v>0.12834834569962353</v>
      </c>
      <c r="AD83" t="str">
        <f t="shared" si="40"/>
        <v>No Impact</v>
      </c>
      <c r="AE83">
        <f t="shared" si="27"/>
        <v>3.7016053906478827E-3</v>
      </c>
      <c r="AF83">
        <f t="shared" si="41"/>
        <v>2.4392883998296123E-2</v>
      </c>
      <c r="AG83" t="s">
        <v>1170</v>
      </c>
    </row>
    <row r="84" spans="1:33" customFormat="1" x14ac:dyDescent="0.3">
      <c r="A84">
        <v>201561</v>
      </c>
      <c r="B84" t="s">
        <v>410</v>
      </c>
      <c r="C84" t="s">
        <v>1154</v>
      </c>
      <c r="D84" t="s">
        <v>632</v>
      </c>
      <c r="E84" s="21">
        <v>5.0999999999999996</v>
      </c>
      <c r="F84" s="2">
        <f t="shared" si="28"/>
        <v>0.42222222222222211</v>
      </c>
      <c r="G84" s="10">
        <v>42.260760000000005</v>
      </c>
      <c r="H84">
        <f t="shared" si="29"/>
        <v>0.38572827401293314</v>
      </c>
      <c r="I84" s="12">
        <v>60</v>
      </c>
      <c r="J84" s="2">
        <f t="shared" si="30"/>
        <v>0.14541929229277753</v>
      </c>
      <c r="K84" s="10">
        <v>0</v>
      </c>
      <c r="L84" s="2">
        <f t="shared" si="31"/>
        <v>0</v>
      </c>
      <c r="M84">
        <v>61378</v>
      </c>
      <c r="N84">
        <f t="shared" si="32"/>
        <v>0.28927434197763929</v>
      </c>
      <c r="O84" s="10">
        <v>0.78106483400000004</v>
      </c>
      <c r="P84">
        <f t="shared" si="33"/>
        <v>0.76471214907492824</v>
      </c>
      <c r="Q84" s="23">
        <v>0.38279999999999997</v>
      </c>
      <c r="R84" s="13">
        <f t="shared" si="34"/>
        <v>0.82893027284538756</v>
      </c>
      <c r="S84">
        <f t="shared" si="35"/>
        <v>6.2543936720711318E-2</v>
      </c>
      <c r="T84" s="14">
        <f t="shared" si="23"/>
        <v>0.13208943728867126</v>
      </c>
      <c r="U84" t="str">
        <f t="shared" si="36"/>
        <v>No Impact</v>
      </c>
      <c r="V84">
        <f t="shared" si="37"/>
        <v>6.5064235009823529E-2</v>
      </c>
      <c r="W84">
        <f t="shared" si="24"/>
        <v>0.11811068147819088</v>
      </c>
      <c r="X84" t="s">
        <v>1170</v>
      </c>
      <c r="Y84">
        <f t="shared" si="25"/>
        <v>6.0023638431599101E-2</v>
      </c>
      <c r="Z84">
        <f t="shared" si="38"/>
        <v>0.13271828136058472</v>
      </c>
      <c r="AA84" t="s">
        <v>1170</v>
      </c>
      <c r="AB84">
        <f t="shared" si="26"/>
        <v>4.8726556822213378E-2</v>
      </c>
      <c r="AC84">
        <f t="shared" si="39"/>
        <v>0.14290797454535331</v>
      </c>
      <c r="AD84" t="str">
        <f t="shared" si="40"/>
        <v>No Impact</v>
      </c>
      <c r="AE84">
        <f t="shared" si="27"/>
        <v>2.2705665826558322E-2</v>
      </c>
      <c r="AF84">
        <f t="shared" si="41"/>
        <v>0.14962607143663509</v>
      </c>
      <c r="AG84" t="s">
        <v>1169</v>
      </c>
    </row>
    <row r="85" spans="1:33" customFormat="1" x14ac:dyDescent="0.3">
      <c r="A85">
        <v>201565</v>
      </c>
      <c r="B85" t="s">
        <v>407</v>
      </c>
      <c r="C85" t="s">
        <v>1154</v>
      </c>
      <c r="D85" t="s">
        <v>633</v>
      </c>
      <c r="E85" s="21">
        <v>4.0999999999999996</v>
      </c>
      <c r="F85" s="2">
        <f t="shared" si="28"/>
        <v>0.19999999999999987</v>
      </c>
      <c r="G85" s="10">
        <v>42.260760000000005</v>
      </c>
      <c r="H85">
        <f t="shared" si="29"/>
        <v>0.38572827401293314</v>
      </c>
      <c r="I85" s="12">
        <v>58.9</v>
      </c>
      <c r="J85" s="2">
        <f t="shared" si="30"/>
        <v>0.14275327193407661</v>
      </c>
      <c r="K85" s="10">
        <v>0</v>
      </c>
      <c r="L85" s="2">
        <f t="shared" si="31"/>
        <v>0</v>
      </c>
      <c r="M85">
        <v>13802</v>
      </c>
      <c r="N85">
        <f t="shared" si="32"/>
        <v>6.4172261571872655E-2</v>
      </c>
      <c r="O85" s="10">
        <v>0.66219155200000002</v>
      </c>
      <c r="P85">
        <f t="shared" si="33"/>
        <v>0.63379833446984135</v>
      </c>
      <c r="Q85" s="23">
        <v>0.18890000000000001</v>
      </c>
      <c r="R85" s="13">
        <f t="shared" si="34"/>
        <v>0.40905153746210482</v>
      </c>
      <c r="S85">
        <f t="shared" si="35"/>
        <v>1.9289441937823244E-2</v>
      </c>
      <c r="T85" s="14">
        <f t="shared" si="23"/>
        <v>4.0738266005820922E-2</v>
      </c>
      <c r="U85" t="str">
        <f t="shared" si="36"/>
        <v>No Impact</v>
      </c>
      <c r="V85">
        <f t="shared" si="37"/>
        <v>1.513233322229819E-2</v>
      </c>
      <c r="W85">
        <f t="shared" si="24"/>
        <v>2.7469625808569927E-2</v>
      </c>
      <c r="X85" t="s">
        <v>1170</v>
      </c>
      <c r="Y85">
        <f t="shared" si="25"/>
        <v>2.3446550653348303E-2</v>
      </c>
      <c r="Z85">
        <f t="shared" si="38"/>
        <v>5.1842673784135346E-2</v>
      </c>
      <c r="AA85" t="s">
        <v>1170</v>
      </c>
      <c r="AB85">
        <f t="shared" si="26"/>
        <v>1.3161171295868124E-2</v>
      </c>
      <c r="AC85">
        <f t="shared" si="39"/>
        <v>3.8599820204811272E-2</v>
      </c>
      <c r="AD85" t="str">
        <f t="shared" si="40"/>
        <v>No Impact</v>
      </c>
      <c r="AE85">
        <f t="shared" si="27"/>
        <v>2.3739699201693384E-3</v>
      </c>
      <c r="AF85">
        <f t="shared" si="41"/>
        <v>1.5644015708546257E-2</v>
      </c>
      <c r="AG85" t="s">
        <v>1170</v>
      </c>
    </row>
    <row r="86" spans="1:33" customFormat="1" x14ac:dyDescent="0.3">
      <c r="A86">
        <v>201570</v>
      </c>
      <c r="B86" t="s">
        <v>440</v>
      </c>
      <c r="C86" t="s">
        <v>1154</v>
      </c>
      <c r="D86" t="s">
        <v>634</v>
      </c>
      <c r="E86" s="21">
        <v>5.7</v>
      </c>
      <c r="F86" s="2">
        <f t="shared" si="28"/>
        <v>0.55555555555555558</v>
      </c>
      <c r="G86" s="10">
        <v>27.699120000000001</v>
      </c>
      <c r="H86">
        <f t="shared" si="29"/>
        <v>0.25281925240523634</v>
      </c>
      <c r="I86" s="12">
        <v>59.1</v>
      </c>
      <c r="J86" s="2">
        <f t="shared" si="30"/>
        <v>0.14323800290838587</v>
      </c>
      <c r="K86" s="10">
        <v>0</v>
      </c>
      <c r="L86" s="2">
        <f t="shared" si="31"/>
        <v>0</v>
      </c>
      <c r="M86">
        <v>39341</v>
      </c>
      <c r="N86">
        <f t="shared" si="32"/>
        <v>0.18500801975841366</v>
      </c>
      <c r="O86" s="10">
        <v>0.90397899299999995</v>
      </c>
      <c r="P86">
        <f t="shared" si="33"/>
        <v>0.90007613627994332</v>
      </c>
      <c r="Q86" s="23">
        <v>0.37219999999999998</v>
      </c>
      <c r="R86" s="13">
        <f t="shared" si="34"/>
        <v>0.80597661325249026</v>
      </c>
      <c r="S86">
        <f t="shared" si="35"/>
        <v>6.5692527580562765E-2</v>
      </c>
      <c r="T86" s="14">
        <f t="shared" si="23"/>
        <v>0.13873909218307301</v>
      </c>
      <c r="U86" t="str">
        <f t="shared" si="36"/>
        <v>No Impact</v>
      </c>
      <c r="V86">
        <f t="shared" si="37"/>
        <v>6.2069172140062523E-2</v>
      </c>
      <c r="W86">
        <f t="shared" si="24"/>
        <v>0.11267376338387856</v>
      </c>
      <c r="X86" t="s">
        <v>1170</v>
      </c>
      <c r="Y86">
        <f t="shared" si="25"/>
        <v>6.9315883021063035E-2</v>
      </c>
      <c r="Z86">
        <f t="shared" si="38"/>
        <v>0.15326436560539797</v>
      </c>
      <c r="AA86" t="s">
        <v>1170</v>
      </c>
      <c r="AB86">
        <f t="shared" si="26"/>
        <v>4.7505662179382131E-2</v>
      </c>
      <c r="AC86">
        <f t="shared" si="39"/>
        <v>0.13932726636650766</v>
      </c>
      <c r="AD86" t="str">
        <f t="shared" si="40"/>
        <v>No Impact</v>
      </c>
      <c r="AE86">
        <f t="shared" si="27"/>
        <v>1.4247677211546666E-2</v>
      </c>
      <c r="AF86">
        <f t="shared" si="41"/>
        <v>9.3889515707020199E-2</v>
      </c>
      <c r="AG86" t="s">
        <v>1170</v>
      </c>
    </row>
    <row r="87" spans="1:33" customFormat="1" x14ac:dyDescent="0.3">
      <c r="A87">
        <v>201574</v>
      </c>
      <c r="B87" t="s">
        <v>443</v>
      </c>
      <c r="C87" t="s">
        <v>1154</v>
      </c>
      <c r="D87" t="s">
        <v>635</v>
      </c>
      <c r="E87" s="21">
        <v>5.5</v>
      </c>
      <c r="F87" s="2">
        <f t="shared" si="28"/>
        <v>0.51111111111111107</v>
      </c>
      <c r="G87" s="10">
        <v>32.539320000000004</v>
      </c>
      <c r="H87">
        <f t="shared" si="29"/>
        <v>0.29699739761316446</v>
      </c>
      <c r="I87" s="12">
        <v>80.5</v>
      </c>
      <c r="J87" s="2">
        <f t="shared" si="30"/>
        <v>0.19510421715947651</v>
      </c>
      <c r="K87" s="10">
        <v>0</v>
      </c>
      <c r="L87" s="2">
        <f t="shared" si="31"/>
        <v>0</v>
      </c>
      <c r="M87">
        <v>34140</v>
      </c>
      <c r="N87">
        <f t="shared" si="32"/>
        <v>0.16039989969387708</v>
      </c>
      <c r="O87" s="10">
        <v>0.88721162600000003</v>
      </c>
      <c r="P87">
        <f t="shared" si="33"/>
        <v>0.88161042272411305</v>
      </c>
      <c r="Q87" s="23">
        <v>0.37519999999999998</v>
      </c>
      <c r="R87" s="13">
        <f t="shared" si="34"/>
        <v>0.81247293200519699</v>
      </c>
      <c r="S87">
        <f t="shared" si="35"/>
        <v>7.4566358812167277E-2</v>
      </c>
      <c r="T87" s="14">
        <f t="shared" si="23"/>
        <v>0.15748014743853994</v>
      </c>
      <c r="U87" t="str">
        <f t="shared" si="36"/>
        <v>Low</v>
      </c>
      <c r="V87">
        <f t="shared" si="37"/>
        <v>7.1523219921788825E-2</v>
      </c>
      <c r="W87">
        <f t="shared" si="24"/>
        <v>0.12983563466475173</v>
      </c>
      <c r="X87" t="s">
        <v>1170</v>
      </c>
      <c r="Y87">
        <f t="shared" si="25"/>
        <v>7.7609497702545743E-2</v>
      </c>
      <c r="Z87">
        <f t="shared" si="38"/>
        <v>0.17160237902068992</v>
      </c>
      <c r="AA87" t="s">
        <v>1170</v>
      </c>
      <c r="AB87">
        <f t="shared" si="26"/>
        <v>5.3258062225285084E-2</v>
      </c>
      <c r="AC87">
        <f t="shared" si="39"/>
        <v>0.15619822735671307</v>
      </c>
      <c r="AD87" t="str">
        <f t="shared" si="40"/>
        <v>Low</v>
      </c>
      <c r="AE87">
        <f t="shared" si="27"/>
        <v>1.4120245548272192E-2</v>
      </c>
      <c r="AF87">
        <f t="shared" si="41"/>
        <v>9.3049764990258868E-2</v>
      </c>
      <c r="AG87" t="s">
        <v>1170</v>
      </c>
    </row>
    <row r="88" spans="1:33" customFormat="1" x14ac:dyDescent="0.3">
      <c r="A88">
        <v>201578</v>
      </c>
      <c r="B88" t="s">
        <v>459</v>
      </c>
      <c r="C88" t="s">
        <v>1154</v>
      </c>
      <c r="D88" t="s">
        <v>636</v>
      </c>
      <c r="E88" s="21">
        <v>5.8</v>
      </c>
      <c r="F88" s="2">
        <f t="shared" si="28"/>
        <v>0.57777777777777772</v>
      </c>
      <c r="G88" s="10">
        <v>62.102880000000006</v>
      </c>
      <c r="H88">
        <f t="shared" si="29"/>
        <v>0.56683402555070717</v>
      </c>
      <c r="I88" s="12">
        <v>59.8</v>
      </c>
      <c r="J88" s="2">
        <f t="shared" si="30"/>
        <v>0.14493456131846827</v>
      </c>
      <c r="K88" s="10">
        <v>0.5</v>
      </c>
      <c r="L88" s="2">
        <f t="shared" si="31"/>
        <v>0.29411764705882354</v>
      </c>
      <c r="M88">
        <v>39476</v>
      </c>
      <c r="N88">
        <f t="shared" si="32"/>
        <v>0.18564676157896978</v>
      </c>
      <c r="O88" s="10">
        <v>0.88188322299999999</v>
      </c>
      <c r="P88">
        <f t="shared" si="33"/>
        <v>0.87574231215505183</v>
      </c>
      <c r="Q88" s="23">
        <v>0.31380000000000002</v>
      </c>
      <c r="R88" s="13">
        <f t="shared" si="34"/>
        <v>0.6795149415331313</v>
      </c>
      <c r="S88">
        <f t="shared" si="35"/>
        <v>0.15157211951389912</v>
      </c>
      <c r="T88" s="14">
        <f t="shared" si="23"/>
        <v>0.32011218073217673</v>
      </c>
      <c r="U88" t="str">
        <f t="shared" si="36"/>
        <v>Moderate</v>
      </c>
      <c r="V88">
        <f t="shared" si="37"/>
        <v>0.13244821033342663</v>
      </c>
      <c r="W88">
        <f t="shared" si="24"/>
        <v>0.24043237241913148</v>
      </c>
      <c r="X88" t="s">
        <v>1169</v>
      </c>
      <c r="Y88">
        <f t="shared" si="25"/>
        <v>0.17069602869437167</v>
      </c>
      <c r="Z88">
        <f t="shared" si="38"/>
        <v>0.37742603006664349</v>
      </c>
      <c r="AA88" t="str">
        <f t="shared" si="42"/>
        <v>Moderate</v>
      </c>
      <c r="AB88">
        <f t="shared" si="26"/>
        <v>0.11023060382989681</v>
      </c>
      <c r="AC88">
        <f t="shared" si="39"/>
        <v>0.32329048784872166</v>
      </c>
      <c r="AD88" t="str">
        <f t="shared" si="40"/>
        <v>Moderate</v>
      </c>
      <c r="AE88">
        <f t="shared" si="27"/>
        <v>3.6185490299674335E-2</v>
      </c>
      <c r="AF88">
        <f t="shared" si="41"/>
        <v>0.23845558187576943</v>
      </c>
      <c r="AG88" t="s">
        <v>1169</v>
      </c>
    </row>
    <row r="89" spans="1:33" customFormat="1" x14ac:dyDescent="0.3">
      <c r="A89">
        <v>201582</v>
      </c>
      <c r="B89" t="s">
        <v>466</v>
      </c>
      <c r="C89" t="s">
        <v>1154</v>
      </c>
      <c r="D89" t="s">
        <v>637</v>
      </c>
      <c r="E89" s="21">
        <v>5.7</v>
      </c>
      <c r="F89" s="2">
        <f t="shared" si="28"/>
        <v>0.55555555555555558</v>
      </c>
      <c r="G89" s="10">
        <v>37.911960000000001</v>
      </c>
      <c r="H89">
        <f t="shared" si="29"/>
        <v>0.34603530308606278</v>
      </c>
      <c r="I89" s="12">
        <v>42.4</v>
      </c>
      <c r="J89" s="2">
        <f t="shared" si="30"/>
        <v>0.10276296655356278</v>
      </c>
      <c r="K89" s="10">
        <v>0</v>
      </c>
      <c r="L89" s="2">
        <f t="shared" si="31"/>
        <v>0</v>
      </c>
      <c r="M89">
        <v>40219</v>
      </c>
      <c r="N89">
        <f t="shared" si="32"/>
        <v>0.18916220730247502</v>
      </c>
      <c r="O89" s="10">
        <v>0.88565957200000001</v>
      </c>
      <c r="P89">
        <f t="shared" si="33"/>
        <v>0.87990116303013832</v>
      </c>
      <c r="Q89" s="23">
        <v>0.38100000000000001</v>
      </c>
      <c r="R89" s="13">
        <f t="shared" si="34"/>
        <v>0.82503248159376352</v>
      </c>
      <c r="S89">
        <f t="shared" si="35"/>
        <v>7.439165120698768E-2</v>
      </c>
      <c r="T89" s="14">
        <f t="shared" si="23"/>
        <v>0.15711117435388627</v>
      </c>
      <c r="U89" t="str">
        <f t="shared" si="36"/>
        <v>Low</v>
      </c>
      <c r="V89">
        <f t="shared" si="37"/>
        <v>7.1997556970843646E-2</v>
      </c>
      <c r="W89">
        <f t="shared" si="24"/>
        <v>0.13069669561637531</v>
      </c>
      <c r="X89" t="s">
        <v>1170</v>
      </c>
      <c r="Y89">
        <f t="shared" si="25"/>
        <v>7.67857454431317E-2</v>
      </c>
      <c r="Z89">
        <f t="shared" si="38"/>
        <v>0.16978098020194093</v>
      </c>
      <c r="AA89" t="s">
        <v>1170</v>
      </c>
      <c r="AB89">
        <f t="shared" si="26"/>
        <v>5.4012490648581421E-2</v>
      </c>
      <c r="AC89">
        <f t="shared" si="39"/>
        <v>0.15841085728470286</v>
      </c>
      <c r="AD89" t="str">
        <f t="shared" si="40"/>
        <v>Low</v>
      </c>
      <c r="AE89">
        <f t="shared" si="27"/>
        <v>1.6507491645276127E-2</v>
      </c>
      <c r="AF89">
        <f t="shared" si="41"/>
        <v>0.1087812682095715</v>
      </c>
      <c r="AG89" t="s">
        <v>1169</v>
      </c>
    </row>
    <row r="90" spans="1:33" customFormat="1" x14ac:dyDescent="0.3">
      <c r="A90">
        <v>201586</v>
      </c>
      <c r="B90" t="s">
        <v>494</v>
      </c>
      <c r="C90" t="s">
        <v>1154</v>
      </c>
      <c r="D90" t="s">
        <v>638</v>
      </c>
      <c r="E90" s="21">
        <v>5.8</v>
      </c>
      <c r="F90" s="2">
        <f t="shared" si="28"/>
        <v>0.57777777777777772</v>
      </c>
      <c r="G90" s="10">
        <v>49.564439999999998</v>
      </c>
      <c r="H90">
        <f t="shared" si="29"/>
        <v>0.45239143578150465</v>
      </c>
      <c r="I90" s="12">
        <v>81.799999999999983</v>
      </c>
      <c r="J90" s="2">
        <f t="shared" si="30"/>
        <v>0.19825496849248664</v>
      </c>
      <c r="K90" s="10">
        <v>0.2</v>
      </c>
      <c r="L90" s="2">
        <f t="shared" si="31"/>
        <v>0.11764705882352942</v>
      </c>
      <c r="M90">
        <v>54977</v>
      </c>
      <c r="N90">
        <f t="shared" si="32"/>
        <v>0.25898851684149266</v>
      </c>
      <c r="O90" s="10">
        <v>0.75093842799999999</v>
      </c>
      <c r="P90">
        <f t="shared" si="33"/>
        <v>0.73153427543128147</v>
      </c>
      <c r="Q90" s="23">
        <v>0.3886</v>
      </c>
      <c r="R90" s="13">
        <f t="shared" si="34"/>
        <v>0.84148982243395409</v>
      </c>
      <c r="S90">
        <f t="shared" si="35"/>
        <v>0.11952412713541104</v>
      </c>
      <c r="T90" s="14">
        <f t="shared" si="23"/>
        <v>0.2524285410148786</v>
      </c>
      <c r="U90" t="str">
        <f t="shared" si="36"/>
        <v>Low</v>
      </c>
      <c r="V90">
        <f t="shared" si="37"/>
        <v>0.12787895195788304</v>
      </c>
      <c r="W90">
        <f t="shared" si="24"/>
        <v>0.23213782748974127</v>
      </c>
      <c r="X90" t="s">
        <v>1169</v>
      </c>
      <c r="Y90">
        <f t="shared" si="25"/>
        <v>0.11116930231293902</v>
      </c>
      <c r="Z90">
        <f t="shared" si="38"/>
        <v>0.24580647105959638</v>
      </c>
      <c r="AA90" t="str">
        <f t="shared" si="42"/>
        <v>Low</v>
      </c>
      <c r="AB90">
        <f t="shared" si="26"/>
        <v>9.1883650538992154E-2</v>
      </c>
      <c r="AC90">
        <f t="shared" si="39"/>
        <v>0.26948151580401297</v>
      </c>
      <c r="AD90" t="str">
        <f t="shared" si="40"/>
        <v>Low</v>
      </c>
      <c r="AE90">
        <f t="shared" si="27"/>
        <v>3.9357790456718264E-2</v>
      </c>
      <c r="AF90">
        <f t="shared" si="41"/>
        <v>0.25936044384027107</v>
      </c>
      <c r="AG90" t="s">
        <v>1169</v>
      </c>
    </row>
    <row r="91" spans="1:33" customFormat="1" x14ac:dyDescent="0.3">
      <c r="A91">
        <v>201909</v>
      </c>
      <c r="B91" t="s">
        <v>52</v>
      </c>
      <c r="C91" t="s">
        <v>1155</v>
      </c>
      <c r="D91" t="s">
        <v>639</v>
      </c>
      <c r="E91" s="21">
        <v>4.4000000000000004</v>
      </c>
      <c r="F91" s="2">
        <f t="shared" si="28"/>
        <v>0.26666666666666672</v>
      </c>
      <c r="G91" s="10">
        <v>41.307839999999999</v>
      </c>
      <c r="H91">
        <f t="shared" si="29"/>
        <v>0.37703065033384153</v>
      </c>
      <c r="I91" s="12">
        <v>70.3</v>
      </c>
      <c r="J91" s="2">
        <f t="shared" si="30"/>
        <v>0.17038293746970432</v>
      </c>
      <c r="K91" s="10">
        <v>0</v>
      </c>
      <c r="L91" s="2">
        <f t="shared" si="31"/>
        <v>0</v>
      </c>
      <c r="M91">
        <v>52813</v>
      </c>
      <c r="N91">
        <f t="shared" si="32"/>
        <v>0.24874972202902254</v>
      </c>
      <c r="O91" s="10">
        <v>0.95209893899999998</v>
      </c>
      <c r="P91">
        <f t="shared" si="33"/>
        <v>0.95307009407653887</v>
      </c>
      <c r="Q91" s="23">
        <v>0.35060000000000002</v>
      </c>
      <c r="R91" s="13">
        <f t="shared" si="34"/>
        <v>0.75920311823300135</v>
      </c>
      <c r="S91">
        <f t="shared" si="35"/>
        <v>4.374167571434584E-2</v>
      </c>
      <c r="T91" s="14">
        <f t="shared" si="23"/>
        <v>9.238007126049945E-2</v>
      </c>
      <c r="U91" t="str">
        <f t="shared" si="36"/>
        <v>No Impact</v>
      </c>
      <c r="V91">
        <f t="shared" si="37"/>
        <v>3.8789156263532916E-2</v>
      </c>
      <c r="W91">
        <f t="shared" si="24"/>
        <v>7.041370239054065E-2</v>
      </c>
      <c r="X91" t="s">
        <v>1170</v>
      </c>
      <c r="Y91">
        <f t="shared" si="25"/>
        <v>4.8694195165158771E-2</v>
      </c>
      <c r="Z91">
        <f t="shared" si="38"/>
        <v>0.1076677466315431</v>
      </c>
      <c r="AA91" t="s">
        <v>1170</v>
      </c>
      <c r="AB91">
        <f t="shared" si="26"/>
        <v>3.2632649849951519E-2</v>
      </c>
      <c r="AC91">
        <f t="shared" si="39"/>
        <v>9.5706862915015706E-2</v>
      </c>
      <c r="AD91" t="str">
        <f t="shared" si="40"/>
        <v>No Impact</v>
      </c>
      <c r="AE91">
        <f t="shared" si="27"/>
        <v>1.2709104594763916E-2</v>
      </c>
      <c r="AF91">
        <f t="shared" si="41"/>
        <v>8.3750611257897456E-2</v>
      </c>
      <c r="AG91" t="s">
        <v>1170</v>
      </c>
    </row>
    <row r="92" spans="1:33" customFormat="1" x14ac:dyDescent="0.3">
      <c r="A92">
        <v>201915</v>
      </c>
      <c r="B92" t="s">
        <v>88</v>
      </c>
      <c r="C92" t="s">
        <v>1155</v>
      </c>
      <c r="D92" t="s">
        <v>640</v>
      </c>
      <c r="E92" s="21">
        <v>4.4000000000000004</v>
      </c>
      <c r="F92" s="2">
        <f t="shared" si="28"/>
        <v>0.26666666666666672</v>
      </c>
      <c r="G92" s="10">
        <v>41.058</v>
      </c>
      <c r="H92">
        <f t="shared" si="29"/>
        <v>0.37475027601072503</v>
      </c>
      <c r="I92" s="12">
        <v>55.4</v>
      </c>
      <c r="J92" s="2">
        <f t="shared" si="30"/>
        <v>0.13427047988366458</v>
      </c>
      <c r="K92" s="10">
        <v>0</v>
      </c>
      <c r="L92" s="2">
        <f t="shared" si="31"/>
        <v>0</v>
      </c>
      <c r="M92">
        <v>14956</v>
      </c>
      <c r="N92">
        <f t="shared" si="32"/>
        <v>6.9632321282404319E-2</v>
      </c>
      <c r="O92" s="10">
        <v>0.85900518000000003</v>
      </c>
      <c r="P92">
        <f t="shared" si="33"/>
        <v>0.85054697953330083</v>
      </c>
      <c r="Q92" s="23">
        <v>0.32940000000000003</v>
      </c>
      <c r="R92" s="13">
        <f t="shared" si="34"/>
        <v>0.71329579904720664</v>
      </c>
      <c r="S92">
        <f t="shared" si="35"/>
        <v>3.7147993551808187E-2</v>
      </c>
      <c r="T92" s="14">
        <f t="shared" si="23"/>
        <v>7.8454568451183454E-2</v>
      </c>
      <c r="U92" t="str">
        <f t="shared" si="36"/>
        <v>No Impact</v>
      </c>
      <c r="V92">
        <f t="shared" si="37"/>
        <v>3.3887687568681511E-2</v>
      </c>
      <c r="W92">
        <f t="shared" si="24"/>
        <v>6.1516098235116203E-2</v>
      </c>
      <c r="X92" t="s">
        <v>1170</v>
      </c>
      <c r="Y92">
        <f t="shared" si="25"/>
        <v>4.0408299534934876E-2</v>
      </c>
      <c r="Z92">
        <f t="shared" si="38"/>
        <v>8.9346800812344501E-2</v>
      </c>
      <c r="AA92" t="s">
        <v>1170</v>
      </c>
      <c r="AB92">
        <f t="shared" si="26"/>
        <v>2.5141027538771434E-2</v>
      </c>
      <c r="AC92">
        <f t="shared" si="39"/>
        <v>7.3735013468402319E-2</v>
      </c>
      <c r="AD92" t="str">
        <f t="shared" si="40"/>
        <v>No Impact</v>
      </c>
      <c r="AE92">
        <f t="shared" si="27"/>
        <v>3.3081343692927087E-3</v>
      </c>
      <c r="AF92">
        <f t="shared" si="41"/>
        <v>2.1799983900177358E-2</v>
      </c>
      <c r="AG92" t="s">
        <v>1170</v>
      </c>
    </row>
    <row r="93" spans="1:33" customFormat="1" x14ac:dyDescent="0.3">
      <c r="A93">
        <v>201918</v>
      </c>
      <c r="B93" t="s">
        <v>91</v>
      </c>
      <c r="C93" t="s">
        <v>1155</v>
      </c>
      <c r="D93" t="s">
        <v>641</v>
      </c>
      <c r="E93" s="21">
        <v>4.3</v>
      </c>
      <c r="F93" s="2">
        <f t="shared" si="28"/>
        <v>0.24444444444444435</v>
      </c>
      <c r="G93" s="10">
        <v>41.058</v>
      </c>
      <c r="H93">
        <f t="shared" si="29"/>
        <v>0.37475027601072503</v>
      </c>
      <c r="I93" s="12">
        <v>63.4</v>
      </c>
      <c r="J93" s="2">
        <f t="shared" si="30"/>
        <v>0.15365971885603491</v>
      </c>
      <c r="K93" s="10">
        <v>0</v>
      </c>
      <c r="L93" s="2">
        <f t="shared" si="31"/>
        <v>0</v>
      </c>
      <c r="M93">
        <v>36049</v>
      </c>
      <c r="N93">
        <f t="shared" si="32"/>
        <v>0.16943218217863007</v>
      </c>
      <c r="O93" s="10">
        <v>0.842859162</v>
      </c>
      <c r="P93">
        <f t="shared" si="33"/>
        <v>0.83276555067477576</v>
      </c>
      <c r="Q93" s="23">
        <v>0.32790000000000002</v>
      </c>
      <c r="R93" s="13">
        <f t="shared" si="34"/>
        <v>0.71004763967085327</v>
      </c>
      <c r="S93">
        <f t="shared" si="35"/>
        <v>3.4874066149610854E-2</v>
      </c>
      <c r="T93" s="14">
        <f t="shared" si="23"/>
        <v>7.3652155831511051E-2</v>
      </c>
      <c r="U93" t="str">
        <f t="shared" si="36"/>
        <v>No Impact</v>
      </c>
      <c r="V93">
        <f t="shared" si="37"/>
        <v>3.2100125290877274E-2</v>
      </c>
      <c r="W93">
        <f t="shared" si="24"/>
        <v>5.8271148090320232E-2</v>
      </c>
      <c r="X93" t="s">
        <v>1170</v>
      </c>
      <c r="Y93">
        <f t="shared" si="25"/>
        <v>3.7648007008344433E-2</v>
      </c>
      <c r="Z93">
        <f t="shared" si="38"/>
        <v>8.3243517343465495E-2</v>
      </c>
      <c r="AA93" t="s">
        <v>1170</v>
      </c>
      <c r="AB93">
        <f t="shared" si="26"/>
        <v>2.5210361839851071E-2</v>
      </c>
      <c r="AC93">
        <f t="shared" si="39"/>
        <v>7.3938360989343754E-2</v>
      </c>
      <c r="AD93" t="str">
        <f t="shared" si="40"/>
        <v>No Impact</v>
      </c>
      <c r="AE93">
        <f t="shared" si="27"/>
        <v>7.6597596729734265E-3</v>
      </c>
      <c r="AF93">
        <f t="shared" si="41"/>
        <v>5.0476376987597986E-2</v>
      </c>
      <c r="AG93" t="s">
        <v>1170</v>
      </c>
    </row>
    <row r="94" spans="1:33" customFormat="1" x14ac:dyDescent="0.3">
      <c r="A94">
        <v>201927</v>
      </c>
      <c r="B94" t="s">
        <v>97</v>
      </c>
      <c r="C94" t="s">
        <v>1155</v>
      </c>
      <c r="D94" t="s">
        <v>642</v>
      </c>
      <c r="E94" s="21">
        <v>3.8</v>
      </c>
      <c r="F94" s="2">
        <f t="shared" si="28"/>
        <v>0.13333333333333325</v>
      </c>
      <c r="G94" s="10">
        <v>41.622480000000003</v>
      </c>
      <c r="H94">
        <f t="shared" si="29"/>
        <v>0.37990247621050421</v>
      </c>
      <c r="I94" s="12">
        <v>72.400000000000006</v>
      </c>
      <c r="J94" s="2">
        <f t="shared" si="30"/>
        <v>0.17547261269995157</v>
      </c>
      <c r="K94" s="10">
        <v>0</v>
      </c>
      <c r="L94" s="2">
        <f t="shared" si="31"/>
        <v>0</v>
      </c>
      <c r="M94">
        <v>52969</v>
      </c>
      <c r="N94">
        <f t="shared" si="32"/>
        <v>0.24948782368833183</v>
      </c>
      <c r="O94" s="10">
        <v>0.86641621099999999</v>
      </c>
      <c r="P94">
        <f t="shared" si="33"/>
        <v>0.85870866500242538</v>
      </c>
      <c r="Q94" s="23">
        <v>0.31480000000000002</v>
      </c>
      <c r="R94" s="13">
        <f t="shared" si="34"/>
        <v>0.68168038111736684</v>
      </c>
      <c r="S94">
        <f t="shared" si="35"/>
        <v>1.9961519747060993E-2</v>
      </c>
      <c r="T94" s="14">
        <f t="shared" si="23"/>
        <v>4.2157658264943297E-2</v>
      </c>
      <c r="U94" t="str">
        <f t="shared" si="36"/>
        <v>No Impact</v>
      </c>
      <c r="V94">
        <f t="shared" si="37"/>
        <v>1.7667454106006633E-2</v>
      </c>
      <c r="W94">
        <f t="shared" si="24"/>
        <v>3.2071614215245119E-2</v>
      </c>
      <c r="X94" t="s">
        <v>1170</v>
      </c>
      <c r="Y94">
        <f t="shared" si="25"/>
        <v>2.2255585388115357E-2</v>
      </c>
      <c r="Z94">
        <f t="shared" si="38"/>
        <v>4.920933019997404E-2</v>
      </c>
      <c r="AA94" t="s">
        <v>1170</v>
      </c>
      <c r="AB94">
        <f t="shared" si="26"/>
        <v>1.5123420150498989E-2</v>
      </c>
      <c r="AC94">
        <f t="shared" si="39"/>
        <v>4.4354813532010588E-2</v>
      </c>
      <c r="AD94" t="str">
        <f t="shared" si="40"/>
        <v>No Impact</v>
      </c>
      <c r="AE94">
        <f t="shared" si="27"/>
        <v>6.4661017056058881E-3</v>
      </c>
      <c r="AF94">
        <f t="shared" si="41"/>
        <v>4.2610395269178765E-2</v>
      </c>
      <c r="AG94" t="s">
        <v>1170</v>
      </c>
    </row>
    <row r="95" spans="1:33" customFormat="1" x14ac:dyDescent="0.3">
      <c r="A95">
        <v>201931</v>
      </c>
      <c r="B95" t="s">
        <v>105</v>
      </c>
      <c r="C95" t="s">
        <v>1155</v>
      </c>
      <c r="D95" t="s">
        <v>643</v>
      </c>
      <c r="E95" s="21">
        <v>4.5</v>
      </c>
      <c r="F95" s="2">
        <f t="shared" si="28"/>
        <v>0.28888888888888886</v>
      </c>
      <c r="G95" s="10">
        <v>40.591799999999999</v>
      </c>
      <c r="H95">
        <f t="shared" si="29"/>
        <v>0.37049511066715735</v>
      </c>
      <c r="I95" s="12">
        <v>56.399999999999991</v>
      </c>
      <c r="J95" s="2">
        <f t="shared" si="30"/>
        <v>0.13669413475521086</v>
      </c>
      <c r="K95" s="10">
        <v>0</v>
      </c>
      <c r="L95" s="2">
        <f t="shared" si="31"/>
        <v>0</v>
      </c>
      <c r="M95">
        <v>58877</v>
      </c>
      <c r="N95">
        <f t="shared" si="32"/>
        <v>0.27744105832422533</v>
      </c>
      <c r="O95" s="10">
        <v>0.98834520400000003</v>
      </c>
      <c r="P95">
        <f t="shared" si="33"/>
        <v>0.99298769992119662</v>
      </c>
      <c r="Q95" s="23">
        <v>0.33629999999999999</v>
      </c>
      <c r="R95" s="13">
        <f t="shared" si="34"/>
        <v>0.72823733217843223</v>
      </c>
      <c r="S95">
        <f t="shared" si="35"/>
        <v>4.4134333942319942E-2</v>
      </c>
      <c r="T95" s="14">
        <f t="shared" si="23"/>
        <v>9.3209344361926891E-2</v>
      </c>
      <c r="U95" t="str">
        <f t="shared" si="36"/>
        <v>No Impact</v>
      </c>
      <c r="V95">
        <f t="shared" si="37"/>
        <v>3.7345807791815504E-2</v>
      </c>
      <c r="W95">
        <f t="shared" si="24"/>
        <v>6.7793601323044655E-2</v>
      </c>
      <c r="X95" t="s">
        <v>1170</v>
      </c>
      <c r="Y95">
        <f t="shared" si="25"/>
        <v>5.092286009282438E-2</v>
      </c>
      <c r="Z95">
        <f t="shared" si="38"/>
        <v>0.11259554818868227</v>
      </c>
      <c r="AA95" t="s">
        <v>1170</v>
      </c>
      <c r="AB95">
        <f t="shared" si="26"/>
        <v>3.3327642537768966E-2</v>
      </c>
      <c r="AC95">
        <f t="shared" si="39"/>
        <v>9.7745176389579636E-2</v>
      </c>
      <c r="AD95" t="str">
        <f t="shared" si="40"/>
        <v>No Impact</v>
      </c>
      <c r="AE95">
        <f t="shared" si="27"/>
        <v>1.4227862236532092E-2</v>
      </c>
      <c r="AF95">
        <f t="shared" si="41"/>
        <v>9.375893874487809E-2</v>
      </c>
      <c r="AG95" t="s">
        <v>1170</v>
      </c>
    </row>
    <row r="96" spans="1:33" customFormat="1" x14ac:dyDescent="0.3">
      <c r="A96">
        <v>201933</v>
      </c>
      <c r="B96" t="s">
        <v>117</v>
      </c>
      <c r="C96" t="s">
        <v>1155</v>
      </c>
      <c r="D96" t="s">
        <v>644</v>
      </c>
      <c r="E96" s="21">
        <v>4.4000000000000004</v>
      </c>
      <c r="F96" s="2">
        <f t="shared" si="28"/>
        <v>0.26666666666666672</v>
      </c>
      <c r="G96" s="10">
        <v>40.567680000000003</v>
      </c>
      <c r="H96">
        <f t="shared" si="29"/>
        <v>0.3702749592555597</v>
      </c>
      <c r="I96" s="12">
        <v>59.7</v>
      </c>
      <c r="J96" s="2">
        <f t="shared" si="30"/>
        <v>0.14469219583131365</v>
      </c>
      <c r="K96" s="10">
        <v>0</v>
      </c>
      <c r="L96" s="2">
        <f t="shared" si="31"/>
        <v>0</v>
      </c>
      <c r="M96">
        <v>63237</v>
      </c>
      <c r="N96">
        <f t="shared" si="32"/>
        <v>0.2980700534177419</v>
      </c>
      <c r="O96" s="10">
        <v>0.98278746500000003</v>
      </c>
      <c r="P96">
        <f t="shared" si="33"/>
        <v>0.98686702418289696</v>
      </c>
      <c r="Q96" s="23">
        <v>0.35449999999999998</v>
      </c>
      <c r="R96" s="13">
        <f t="shared" si="34"/>
        <v>0.7676483326115201</v>
      </c>
      <c r="S96">
        <f t="shared" si="35"/>
        <v>4.2164163152750414E-2</v>
      </c>
      <c r="T96" s="14">
        <f t="shared" si="23"/>
        <v>8.9048449403892713E-2</v>
      </c>
      <c r="U96" t="str">
        <f t="shared" si="36"/>
        <v>No Impact</v>
      </c>
      <c r="V96">
        <f t="shared" si="37"/>
        <v>3.6895943275532736E-2</v>
      </c>
      <c r="W96">
        <f t="shared" si="24"/>
        <v>6.6976965200557514E-2</v>
      </c>
      <c r="X96" t="s">
        <v>1170</v>
      </c>
      <c r="Y96">
        <f t="shared" si="25"/>
        <v>4.7432383029968085E-2</v>
      </c>
      <c r="Z96">
        <f t="shared" si="38"/>
        <v>0.1048777535161928</v>
      </c>
      <c r="AA96" t="s">
        <v>1170</v>
      </c>
      <c r="AB96">
        <f t="shared" si="26"/>
        <v>3.2157507111314362E-2</v>
      </c>
      <c r="AC96">
        <f t="shared" si="39"/>
        <v>9.4313337683049933E-2</v>
      </c>
      <c r="AD96" t="str">
        <f t="shared" si="40"/>
        <v>No Impact</v>
      </c>
      <c r="AE96">
        <f t="shared" si="27"/>
        <v>1.4326320159678515E-2</v>
      </c>
      <c r="AF96">
        <f t="shared" si="41"/>
        <v>9.440775795831767E-2</v>
      </c>
      <c r="AG96" t="s">
        <v>1170</v>
      </c>
    </row>
    <row r="97" spans="1:33" customFormat="1" x14ac:dyDescent="0.3">
      <c r="A97">
        <v>201936</v>
      </c>
      <c r="B97" t="s">
        <v>130</v>
      </c>
      <c r="C97" t="s">
        <v>1155</v>
      </c>
      <c r="D97" t="s">
        <v>645</v>
      </c>
      <c r="E97" s="21">
        <v>4.3</v>
      </c>
      <c r="F97" s="2">
        <f t="shared" si="28"/>
        <v>0.24444444444444435</v>
      </c>
      <c r="G97" s="10">
        <v>41.622480000000003</v>
      </c>
      <c r="H97">
        <f t="shared" si="29"/>
        <v>0.37990247621050421</v>
      </c>
      <c r="I97" s="12">
        <v>60.800000000000004</v>
      </c>
      <c r="J97" s="2">
        <f t="shared" si="30"/>
        <v>0.14735821619001457</v>
      </c>
      <c r="K97" s="10">
        <v>0</v>
      </c>
      <c r="L97" s="2">
        <f t="shared" si="31"/>
        <v>0</v>
      </c>
      <c r="M97">
        <v>46512</v>
      </c>
      <c r="N97">
        <f t="shared" si="32"/>
        <v>0.21893703898217673</v>
      </c>
      <c r="O97" s="10">
        <v>0.57750674800000001</v>
      </c>
      <c r="P97">
        <f t="shared" si="33"/>
        <v>0.54053590792453809</v>
      </c>
      <c r="Q97" s="23">
        <v>0.2457</v>
      </c>
      <c r="R97" s="13">
        <f t="shared" si="34"/>
        <v>0.53204850584668695</v>
      </c>
      <c r="S97">
        <f t="shared" si="35"/>
        <v>2.4192185139473649E-2</v>
      </c>
      <c r="T97" s="14">
        <f t="shared" si="23"/>
        <v>5.1092596491423517E-2</v>
      </c>
      <c r="U97" t="str">
        <f t="shared" si="36"/>
        <v>No Impact</v>
      </c>
      <c r="V97">
        <f t="shared" si="37"/>
        <v>2.4000751439911872E-2</v>
      </c>
      <c r="W97">
        <f t="shared" si="24"/>
        <v>4.3568407561061263E-2</v>
      </c>
      <c r="X97" t="s">
        <v>1170</v>
      </c>
      <c r="Y97">
        <f t="shared" si="25"/>
        <v>2.4383618839035431E-2</v>
      </c>
      <c r="Z97">
        <f t="shared" si="38"/>
        <v>5.3914625474698059E-2</v>
      </c>
      <c r="AA97" t="s">
        <v>1170</v>
      </c>
      <c r="AB97">
        <f t="shared" si="26"/>
        <v>1.9172042337835312E-2</v>
      </c>
      <c r="AC97">
        <f t="shared" si="39"/>
        <v>5.6228839406702598E-2</v>
      </c>
      <c r="AD97" t="str">
        <f t="shared" si="40"/>
        <v>No Impact</v>
      </c>
      <c r="AE97">
        <f t="shared" si="27"/>
        <v>9.876267663301512E-3</v>
      </c>
      <c r="AF97">
        <f t="shared" si="41"/>
        <v>6.508274816534966E-2</v>
      </c>
      <c r="AG97" t="s">
        <v>1170</v>
      </c>
    </row>
    <row r="98" spans="1:33" customFormat="1" x14ac:dyDescent="0.3">
      <c r="A98">
        <v>201940</v>
      </c>
      <c r="B98" t="s">
        <v>136</v>
      </c>
      <c r="C98" t="s">
        <v>1155</v>
      </c>
      <c r="D98" t="s">
        <v>646</v>
      </c>
      <c r="E98" s="21">
        <v>4.4000000000000004</v>
      </c>
      <c r="F98" s="2">
        <f t="shared" si="28"/>
        <v>0.26666666666666672</v>
      </c>
      <c r="G98" s="10">
        <v>41.367600000000003</v>
      </c>
      <c r="H98">
        <f t="shared" si="29"/>
        <v>0.37757610009988962</v>
      </c>
      <c r="I98" s="12">
        <v>75.399999999999991</v>
      </c>
      <c r="J98" s="2">
        <f t="shared" si="30"/>
        <v>0.1827435773145904</v>
      </c>
      <c r="K98" s="10">
        <v>0</v>
      </c>
      <c r="L98" s="2">
        <f t="shared" si="31"/>
        <v>0</v>
      </c>
      <c r="M98">
        <v>53195</v>
      </c>
      <c r="N98">
        <f t="shared" si="32"/>
        <v>0.25055712481015174</v>
      </c>
      <c r="O98" s="10">
        <v>0.80615409500000001</v>
      </c>
      <c r="P98">
        <f t="shared" si="33"/>
        <v>0.7923426713240963</v>
      </c>
      <c r="Q98" s="23">
        <v>0.32319999999999999</v>
      </c>
      <c r="R98" s="13">
        <f t="shared" si="34"/>
        <v>0.69987007362494591</v>
      </c>
      <c r="S98">
        <f t="shared" si="35"/>
        <v>3.9018754314569082E-2</v>
      </c>
      <c r="T98" s="14">
        <f t="shared" si="23"/>
        <v>8.2405514768462237E-2</v>
      </c>
      <c r="U98" t="str">
        <f t="shared" si="36"/>
        <v>No Impact</v>
      </c>
      <c r="V98">
        <f t="shared" si="37"/>
        <v>3.6600757562653956E-2</v>
      </c>
      <c r="W98">
        <f t="shared" si="24"/>
        <v>6.6441116501107275E-2</v>
      </c>
      <c r="X98" t="s">
        <v>1170</v>
      </c>
      <c r="Y98">
        <f t="shared" si="25"/>
        <v>4.1436751066484208E-2</v>
      </c>
      <c r="Z98">
        <f t="shared" si="38"/>
        <v>9.1620810240903766E-2</v>
      </c>
      <c r="AA98" t="s">
        <v>1170</v>
      </c>
      <c r="AB98">
        <f t="shared" si="26"/>
        <v>2.982743198689326E-2</v>
      </c>
      <c r="AC98">
        <f t="shared" si="39"/>
        <v>8.747956287346334E-2</v>
      </c>
      <c r="AD98" t="str">
        <f t="shared" si="40"/>
        <v>No Impact</v>
      </c>
      <c r="AE98">
        <f t="shared" si="27"/>
        <v>1.3103261485768894E-2</v>
      </c>
      <c r="AF98">
        <f t="shared" si="41"/>
        <v>8.6348031108134563E-2</v>
      </c>
      <c r="AG98" t="s">
        <v>1170</v>
      </c>
    </row>
    <row r="99" spans="1:33" customFormat="1" x14ac:dyDescent="0.3">
      <c r="A99">
        <v>201954</v>
      </c>
      <c r="B99" t="s">
        <v>211</v>
      </c>
      <c r="C99" t="s">
        <v>1155</v>
      </c>
      <c r="D99" t="s">
        <v>647</v>
      </c>
      <c r="E99" s="21">
        <v>4.4000000000000004</v>
      </c>
      <c r="F99" s="2">
        <f t="shared" si="28"/>
        <v>0.26666666666666672</v>
      </c>
      <c r="G99" s="10">
        <v>41.942520000000002</v>
      </c>
      <c r="H99">
        <f t="shared" si="29"/>
        <v>0.382823589716629</v>
      </c>
      <c r="I99" s="12">
        <v>62.300000000000011</v>
      </c>
      <c r="J99" s="2">
        <f t="shared" si="30"/>
        <v>0.15099369849733402</v>
      </c>
      <c r="K99" s="10">
        <v>0</v>
      </c>
      <c r="L99" s="2">
        <f t="shared" si="31"/>
        <v>0</v>
      </c>
      <c r="M99">
        <v>23236</v>
      </c>
      <c r="N99">
        <f t="shared" si="32"/>
        <v>0.1088084862765137</v>
      </c>
      <c r="O99" s="10">
        <v>0.643845801</v>
      </c>
      <c r="P99">
        <f t="shared" si="33"/>
        <v>0.61359436428581726</v>
      </c>
      <c r="Q99" s="23">
        <v>0.25950000000000001</v>
      </c>
      <c r="R99" s="13">
        <f t="shared" si="34"/>
        <v>0.56193157210913813</v>
      </c>
      <c r="S99">
        <f t="shared" si="35"/>
        <v>2.9284083154271615E-2</v>
      </c>
      <c r="T99" s="14">
        <f t="shared" si="23"/>
        <v>6.1846411789449683E-2</v>
      </c>
      <c r="U99" t="str">
        <f t="shared" si="36"/>
        <v>No Impact</v>
      </c>
      <c r="V99">
        <f t="shared" si="37"/>
        <v>2.7997086878610185E-2</v>
      </c>
      <c r="W99">
        <f t="shared" si="24"/>
        <v>5.0822929219678133E-2</v>
      </c>
      <c r="X99" t="s">
        <v>1170</v>
      </c>
      <c r="Y99">
        <f t="shared" si="25"/>
        <v>3.0571079429933052E-2</v>
      </c>
      <c r="Z99">
        <f t="shared" si="38"/>
        <v>6.7595721074160578E-2</v>
      </c>
      <c r="AA99" t="s">
        <v>1170</v>
      </c>
      <c r="AB99">
        <f t="shared" si="26"/>
        <v>2.0867710038400777E-2</v>
      </c>
      <c r="AC99">
        <f t="shared" si="39"/>
        <v>6.1201988596659658E-2</v>
      </c>
      <c r="AD99" t="str">
        <f t="shared" si="40"/>
        <v>No Impact</v>
      </c>
      <c r="AE99">
        <f t="shared" si="27"/>
        <v>5.4211594340208436E-3</v>
      </c>
      <c r="AF99">
        <f t="shared" si="41"/>
        <v>3.5724422042511098E-2</v>
      </c>
      <c r="AG99" t="s">
        <v>1170</v>
      </c>
    </row>
    <row r="100" spans="1:33" customFormat="1" x14ac:dyDescent="0.3">
      <c r="A100">
        <v>201967</v>
      </c>
      <c r="B100" t="s">
        <v>116</v>
      </c>
      <c r="C100" t="s">
        <v>1155</v>
      </c>
      <c r="D100" t="s">
        <v>648</v>
      </c>
      <c r="E100" s="21">
        <v>4.4000000000000004</v>
      </c>
      <c r="F100" s="2">
        <f t="shared" si="28"/>
        <v>0.26666666666666672</v>
      </c>
      <c r="G100" s="10">
        <v>40.567680000000003</v>
      </c>
      <c r="H100">
        <f t="shared" si="29"/>
        <v>0.3702749592555597</v>
      </c>
      <c r="I100" s="12">
        <v>61.29999999999999</v>
      </c>
      <c r="J100" s="2">
        <f t="shared" si="30"/>
        <v>0.14857004362578768</v>
      </c>
      <c r="K100" s="10">
        <v>0</v>
      </c>
      <c r="L100" s="2">
        <f t="shared" si="31"/>
        <v>0</v>
      </c>
      <c r="M100">
        <v>64652</v>
      </c>
      <c r="N100">
        <f t="shared" si="32"/>
        <v>0.30476501398134875</v>
      </c>
      <c r="O100" s="10">
        <v>0.944552842</v>
      </c>
      <c r="P100">
        <f t="shared" si="33"/>
        <v>0.94475966193376348</v>
      </c>
      <c r="Q100" s="23">
        <v>0.31680000000000003</v>
      </c>
      <c r="R100" s="13">
        <f t="shared" si="34"/>
        <v>0.68601126028583814</v>
      </c>
      <c r="S100">
        <f t="shared" si="35"/>
        <v>3.9485476045766188E-2</v>
      </c>
      <c r="T100" s="14">
        <f t="shared" si="23"/>
        <v>8.3391206013314845E-2</v>
      </c>
      <c r="U100" t="str">
        <f t="shared" si="36"/>
        <v>No Impact</v>
      </c>
      <c r="V100">
        <f t="shared" si="37"/>
        <v>3.3220461336499967E-2</v>
      </c>
      <c r="W100">
        <f t="shared" si="24"/>
        <v>6.0304886807345026E-2</v>
      </c>
      <c r="X100" t="s">
        <v>1170</v>
      </c>
      <c r="Y100">
        <f t="shared" si="25"/>
        <v>4.5750490755032409E-2</v>
      </c>
      <c r="Z100">
        <f t="shared" si="38"/>
        <v>0.10115892110290152</v>
      </c>
      <c r="AA100" t="s">
        <v>1170</v>
      </c>
      <c r="AB100">
        <f t="shared" si="26"/>
        <v>3.0517751643156076E-2</v>
      </c>
      <c r="AC100">
        <f t="shared" si="39"/>
        <v>8.9504171019393119E-2</v>
      </c>
      <c r="AD100" t="str">
        <f t="shared" si="40"/>
        <v>No Impact</v>
      </c>
      <c r="AE100">
        <f t="shared" si="27"/>
        <v>1.4758408425346767E-2</v>
      </c>
      <c r="AF100">
        <f t="shared" si="41"/>
        <v>9.7255138440337618E-2</v>
      </c>
      <c r="AG100" t="s">
        <v>1170</v>
      </c>
    </row>
    <row r="101" spans="1:33" customFormat="1" x14ac:dyDescent="0.3">
      <c r="A101">
        <v>201972</v>
      </c>
      <c r="B101" t="s">
        <v>297</v>
      </c>
      <c r="C101" t="s">
        <v>1155</v>
      </c>
      <c r="D101" t="s">
        <v>649</v>
      </c>
      <c r="E101" s="21">
        <v>4.4000000000000004</v>
      </c>
      <c r="F101" s="2">
        <f t="shared" si="28"/>
        <v>0.26666666666666672</v>
      </c>
      <c r="G101" s="10">
        <v>41.307839999999999</v>
      </c>
      <c r="H101">
        <f t="shared" si="29"/>
        <v>0.37703065033384153</v>
      </c>
      <c r="I101" s="12">
        <v>63.4</v>
      </c>
      <c r="J101" s="2">
        <f t="shared" si="30"/>
        <v>0.15365971885603491</v>
      </c>
      <c r="K101" s="10">
        <v>0</v>
      </c>
      <c r="L101" s="2">
        <f t="shared" si="31"/>
        <v>0</v>
      </c>
      <c r="M101">
        <v>22886</v>
      </c>
      <c r="N101">
        <f t="shared" si="32"/>
        <v>0.10715248896396076</v>
      </c>
      <c r="O101" s="10">
        <v>0.96014469499999999</v>
      </c>
      <c r="P101">
        <f t="shared" si="33"/>
        <v>0.96193079508201595</v>
      </c>
      <c r="Q101" s="23">
        <v>0.30080000000000001</v>
      </c>
      <c r="R101" s="13">
        <f t="shared" si="34"/>
        <v>0.6513642269380685</v>
      </c>
      <c r="S101">
        <f t="shared" si="35"/>
        <v>3.9954139439574661E-2</v>
      </c>
      <c r="T101" s="14">
        <f t="shared" si="23"/>
        <v>8.4380997945383299E-2</v>
      </c>
      <c r="U101" t="str">
        <f t="shared" si="36"/>
        <v>No Impact</v>
      </c>
      <c r="V101">
        <f t="shared" si="37"/>
        <v>3.2262787393278591E-2</v>
      </c>
      <c r="W101">
        <f t="shared" si="24"/>
        <v>5.8566427543961616E-2</v>
      </c>
      <c r="X101" t="s">
        <v>1170</v>
      </c>
      <c r="Y101">
        <f t="shared" si="25"/>
        <v>4.7645491485870731E-2</v>
      </c>
      <c r="Z101">
        <f t="shared" si="38"/>
        <v>0.10534895767425193</v>
      </c>
      <c r="AA101" t="s">
        <v>1170</v>
      </c>
      <c r="AB101">
        <f t="shared" si="26"/>
        <v>2.7443206301720077E-2</v>
      </c>
      <c r="AC101">
        <f t="shared" si="39"/>
        <v>8.0486972266860538E-2</v>
      </c>
      <c r="AD101" t="str">
        <f t="shared" si="40"/>
        <v>No Impact</v>
      </c>
      <c r="AE101">
        <f t="shared" si="27"/>
        <v>5.3073807666038598E-3</v>
      </c>
      <c r="AF101">
        <f t="shared" si="41"/>
        <v>3.4974642003073278E-2</v>
      </c>
      <c r="AG101" t="s">
        <v>1170</v>
      </c>
    </row>
    <row r="102" spans="1:33" customFormat="1" x14ac:dyDescent="0.3">
      <c r="A102">
        <v>201974</v>
      </c>
      <c r="B102" t="s">
        <v>325</v>
      </c>
      <c r="C102" t="s">
        <v>1155</v>
      </c>
      <c r="D102" t="s">
        <v>650</v>
      </c>
      <c r="E102" s="21">
        <v>4.4000000000000004</v>
      </c>
      <c r="F102" s="2">
        <f t="shared" si="28"/>
        <v>0.26666666666666672</v>
      </c>
      <c r="G102" s="10">
        <v>44.164439999999999</v>
      </c>
      <c r="H102">
        <f t="shared" si="29"/>
        <v>0.40310380631933129</v>
      </c>
      <c r="I102" s="12">
        <v>71.599999999999994</v>
      </c>
      <c r="J102" s="2">
        <f t="shared" si="30"/>
        <v>0.1735336888027145</v>
      </c>
      <c r="K102" s="10">
        <v>0</v>
      </c>
      <c r="L102" s="2">
        <f t="shared" si="31"/>
        <v>0</v>
      </c>
      <c r="M102">
        <v>12259</v>
      </c>
      <c r="N102">
        <f t="shared" si="32"/>
        <v>5.6871679133960719E-2</v>
      </c>
      <c r="O102" s="10">
        <v>0.98073687799999998</v>
      </c>
      <c r="P102">
        <f t="shared" si="33"/>
        <v>0.98460873567741414</v>
      </c>
      <c r="Q102" s="23">
        <v>0.26600000000000001</v>
      </c>
      <c r="R102" s="13">
        <f t="shared" si="34"/>
        <v>0.57600692940666964</v>
      </c>
      <c r="S102">
        <f t="shared" si="35"/>
        <v>4.1995777038241214E-2</v>
      </c>
      <c r="T102" s="14">
        <f t="shared" si="23"/>
        <v>8.8692826968226932E-2</v>
      </c>
      <c r="U102" t="str">
        <f t="shared" si="36"/>
        <v>No Impact</v>
      </c>
      <c r="V102">
        <f t="shared" si="37"/>
        <v>3.1000404674960288E-2</v>
      </c>
      <c r="W102">
        <f t="shared" si="24"/>
        <v>5.6274832428390757E-2</v>
      </c>
      <c r="X102" t="s">
        <v>1170</v>
      </c>
      <c r="Y102">
        <f t="shared" si="25"/>
        <v>5.2991149401522143E-2</v>
      </c>
      <c r="Z102">
        <f t="shared" si="38"/>
        <v>0.11716874317618123</v>
      </c>
      <c r="AA102" t="s">
        <v>1170</v>
      </c>
      <c r="AB102">
        <f t="shared" si="26"/>
        <v>2.7818768314933007E-2</v>
      </c>
      <c r="AC102">
        <f t="shared" si="39"/>
        <v>8.1588441570761117E-2</v>
      </c>
      <c r="AD102" t="str">
        <f t="shared" si="40"/>
        <v>No Impact</v>
      </c>
      <c r="AE102">
        <f t="shared" si="27"/>
        <v>3.0608053092579042E-3</v>
      </c>
      <c r="AF102">
        <f t="shared" si="41"/>
        <v>2.0170131867305572E-2</v>
      </c>
      <c r="AG102" t="s">
        <v>1170</v>
      </c>
    </row>
    <row r="103" spans="1:33" customFormat="1" x14ac:dyDescent="0.3">
      <c r="A103">
        <v>201975</v>
      </c>
      <c r="B103" t="s">
        <v>333</v>
      </c>
      <c r="C103" t="s">
        <v>1155</v>
      </c>
      <c r="D103" t="s">
        <v>651</v>
      </c>
      <c r="E103" s="21">
        <v>3.2</v>
      </c>
      <c r="F103" s="2">
        <f t="shared" si="28"/>
        <v>0</v>
      </c>
      <c r="G103" s="10">
        <v>41.942520000000002</v>
      </c>
      <c r="H103">
        <f t="shared" si="29"/>
        <v>0.382823589716629</v>
      </c>
      <c r="I103" s="12">
        <v>63.300000000000011</v>
      </c>
      <c r="J103" s="2">
        <f t="shared" si="30"/>
        <v>0.15341735336888032</v>
      </c>
      <c r="K103" s="10">
        <v>0</v>
      </c>
      <c r="L103" s="2">
        <f t="shared" si="31"/>
        <v>0</v>
      </c>
      <c r="M103">
        <v>18727</v>
      </c>
      <c r="N103">
        <f t="shared" si="32"/>
        <v>8.7474509469938913E-2</v>
      </c>
      <c r="O103" s="10">
        <v>0.57778389299999999</v>
      </c>
      <c r="P103">
        <f t="shared" si="33"/>
        <v>0.54084112461022471</v>
      </c>
      <c r="Q103" s="23">
        <v>0.24129999999999999</v>
      </c>
      <c r="R103" s="13">
        <f t="shared" si="34"/>
        <v>0.52252057167605026</v>
      </c>
      <c r="S103">
        <f t="shared" si="35"/>
        <v>0</v>
      </c>
      <c r="T103" s="14">
        <f t="shared" si="23"/>
        <v>0</v>
      </c>
      <c r="U103" t="str">
        <f t="shared" si="36"/>
        <v>No Impact</v>
      </c>
      <c r="V103">
        <f t="shared" si="37"/>
        <v>0</v>
      </c>
      <c r="W103">
        <f t="shared" si="24"/>
        <v>0</v>
      </c>
      <c r="X103" t="s">
        <v>1170</v>
      </c>
      <c r="Y103">
        <f t="shared" si="25"/>
        <v>0</v>
      </c>
      <c r="Z103">
        <f t="shared" si="38"/>
        <v>0</v>
      </c>
      <c r="AA103" t="s">
        <v>1170</v>
      </c>
      <c r="AB103">
        <f t="shared" si="26"/>
        <v>0</v>
      </c>
      <c r="AC103">
        <f t="shared" si="39"/>
        <v>0</v>
      </c>
      <c r="AD103" t="str">
        <f t="shared" si="40"/>
        <v>No Impact</v>
      </c>
      <c r="AE103">
        <f t="shared" si="27"/>
        <v>0</v>
      </c>
      <c r="AF103">
        <f t="shared" si="41"/>
        <v>0</v>
      </c>
      <c r="AG103" t="s">
        <v>1170</v>
      </c>
    </row>
    <row r="104" spans="1:33" customFormat="1" x14ac:dyDescent="0.3">
      <c r="A104">
        <v>201981</v>
      </c>
      <c r="B104" t="s">
        <v>357</v>
      </c>
      <c r="C104" t="s">
        <v>1155</v>
      </c>
      <c r="D104" t="s">
        <v>652</v>
      </c>
      <c r="E104" s="21">
        <v>4.4000000000000004</v>
      </c>
      <c r="F104" s="2">
        <f t="shared" si="28"/>
        <v>0.26666666666666672</v>
      </c>
      <c r="G104" s="10">
        <v>41.942520000000002</v>
      </c>
      <c r="H104">
        <f t="shared" si="29"/>
        <v>0.382823589716629</v>
      </c>
      <c r="I104" s="12">
        <v>64.400000000000006</v>
      </c>
      <c r="J104" s="2">
        <f t="shared" si="30"/>
        <v>0.15608337372758121</v>
      </c>
      <c r="K104" s="10">
        <v>0</v>
      </c>
      <c r="L104" s="2">
        <f t="shared" si="31"/>
        <v>0</v>
      </c>
      <c r="M104">
        <v>60123</v>
      </c>
      <c r="N104">
        <f t="shared" si="32"/>
        <v>0.28333640875691379</v>
      </c>
      <c r="O104" s="10">
        <v>0.79839812700000001</v>
      </c>
      <c r="P104">
        <f t="shared" si="33"/>
        <v>0.78380111059865942</v>
      </c>
      <c r="Q104" s="23">
        <v>0.27929999999999999</v>
      </c>
      <c r="R104" s="13">
        <f t="shared" si="34"/>
        <v>0.604807275877003</v>
      </c>
      <c r="S104">
        <f t="shared" si="35"/>
        <v>3.492210068520897E-2</v>
      </c>
      <c r="T104" s="14">
        <f t="shared" si="23"/>
        <v>7.3753602192425466E-2</v>
      </c>
      <c r="U104" t="str">
        <f t="shared" si="36"/>
        <v>No Impact</v>
      </c>
      <c r="V104">
        <f t="shared" si="37"/>
        <v>3.042058623443844E-2</v>
      </c>
      <c r="W104">
        <f t="shared" si="24"/>
        <v>5.5222291794764344E-2</v>
      </c>
      <c r="X104" t="s">
        <v>1170</v>
      </c>
      <c r="Y104">
        <f t="shared" si="25"/>
        <v>3.9423615135979494E-2</v>
      </c>
      <c r="Z104">
        <f t="shared" si="38"/>
        <v>8.7169564901181551E-2</v>
      </c>
      <c r="AA104" t="s">
        <v>1170</v>
      </c>
      <c r="AB104">
        <f t="shared" si="26"/>
        <v>2.7462227202942252E-2</v>
      </c>
      <c r="AC104">
        <f t="shared" si="39"/>
        <v>8.0542757831139303E-2</v>
      </c>
      <c r="AD104" t="str">
        <f t="shared" si="40"/>
        <v>No Impact</v>
      </c>
      <c r="AE104">
        <f t="shared" si="27"/>
        <v>1.4251249943128421E-2</v>
      </c>
      <c r="AF104">
        <f t="shared" si="41"/>
        <v>9.3913059336833082E-2</v>
      </c>
      <c r="AG104" t="s">
        <v>1170</v>
      </c>
    </row>
    <row r="105" spans="1:33" customFormat="1" x14ac:dyDescent="0.3">
      <c r="A105">
        <v>201987</v>
      </c>
      <c r="B105" t="s">
        <v>371</v>
      </c>
      <c r="C105" t="s">
        <v>1155</v>
      </c>
      <c r="D105" t="s">
        <v>653</v>
      </c>
      <c r="E105" s="21">
        <v>4.4000000000000004</v>
      </c>
      <c r="F105" s="2">
        <f t="shared" si="28"/>
        <v>0.26666666666666672</v>
      </c>
      <c r="G105" s="10">
        <v>42.291360000000005</v>
      </c>
      <c r="H105">
        <f t="shared" si="29"/>
        <v>0.38600757057988544</v>
      </c>
      <c r="I105" s="12">
        <v>60.29999999999999</v>
      </c>
      <c r="J105" s="2">
        <f t="shared" si="30"/>
        <v>0.14614638875424138</v>
      </c>
      <c r="K105" s="10">
        <v>0</v>
      </c>
      <c r="L105" s="2">
        <f t="shared" si="31"/>
        <v>0</v>
      </c>
      <c r="M105">
        <v>33417</v>
      </c>
      <c r="N105">
        <f t="shared" si="32"/>
        <v>0.15697908238823202</v>
      </c>
      <c r="O105" s="10">
        <v>0.95925769699999996</v>
      </c>
      <c r="P105">
        <f t="shared" si="33"/>
        <v>0.96095395411511908</v>
      </c>
      <c r="Q105" s="23">
        <v>0.32940000000000003</v>
      </c>
      <c r="R105" s="13">
        <f t="shared" si="34"/>
        <v>0.71329579904720664</v>
      </c>
      <c r="S105">
        <f t="shared" si="35"/>
        <v>4.1578069636110757E-2</v>
      </c>
      <c r="T105" s="14">
        <f t="shared" si="23"/>
        <v>8.7810651355503574E-2</v>
      </c>
      <c r="U105" t="str">
        <f t="shared" si="36"/>
        <v>No Impact</v>
      </c>
      <c r="V105">
        <f t="shared" si="37"/>
        <v>3.5427763806341273E-2</v>
      </c>
      <c r="W105">
        <f t="shared" si="24"/>
        <v>6.4311788585289367E-2</v>
      </c>
      <c r="X105" t="s">
        <v>1170</v>
      </c>
      <c r="Y105">
        <f t="shared" si="25"/>
        <v>4.7728375465880248E-2</v>
      </c>
      <c r="Z105">
        <f t="shared" si="38"/>
        <v>0.1055322224623691</v>
      </c>
      <c r="AA105" t="s">
        <v>1170</v>
      </c>
      <c r="AB105">
        <f t="shared" si="26"/>
        <v>2.9447106619351023E-2</v>
      </c>
      <c r="AC105">
        <f t="shared" si="39"/>
        <v>8.6364123337236948E-2</v>
      </c>
      <c r="AD105" t="str">
        <f t="shared" si="40"/>
        <v>No Impact</v>
      </c>
      <c r="AE105">
        <f t="shared" si="27"/>
        <v>7.7967904210500061E-3</v>
      </c>
      <c r="AF105">
        <f t="shared" si="41"/>
        <v>5.1379383869551633E-2</v>
      </c>
      <c r="AG105" t="s">
        <v>1170</v>
      </c>
    </row>
    <row r="106" spans="1:33" customFormat="1" x14ac:dyDescent="0.3">
      <c r="A106">
        <v>201994</v>
      </c>
      <c r="B106" t="s">
        <v>527</v>
      </c>
      <c r="C106" t="s">
        <v>1155</v>
      </c>
      <c r="D106" t="s">
        <v>654</v>
      </c>
      <c r="E106" s="21">
        <v>4.3</v>
      </c>
      <c r="F106" s="2">
        <f t="shared" si="28"/>
        <v>0.24444444444444435</v>
      </c>
      <c r="G106" s="10">
        <v>41.942520000000002</v>
      </c>
      <c r="H106">
        <f t="shared" si="29"/>
        <v>0.382823589716629</v>
      </c>
      <c r="I106" s="12">
        <v>63.300000000000011</v>
      </c>
      <c r="J106" s="2">
        <f t="shared" si="30"/>
        <v>0.15341735336888032</v>
      </c>
      <c r="K106" s="10">
        <v>0</v>
      </c>
      <c r="L106" s="2">
        <f t="shared" si="31"/>
        <v>0</v>
      </c>
      <c r="M106">
        <v>27825</v>
      </c>
      <c r="N106">
        <f t="shared" si="32"/>
        <v>0.13052097675452914</v>
      </c>
      <c r="O106" s="10">
        <v>0.88093243300000001</v>
      </c>
      <c r="P106">
        <f t="shared" si="33"/>
        <v>0.87469521777274672</v>
      </c>
      <c r="Q106" s="23">
        <v>0.25969999999999999</v>
      </c>
      <c r="R106" s="13">
        <f t="shared" si="34"/>
        <v>0.56236466002598529</v>
      </c>
      <c r="S106">
        <f t="shared" si="35"/>
        <v>3.2964998054926482E-2</v>
      </c>
      <c r="T106" s="14">
        <f t="shared" si="23"/>
        <v>6.9620306485367975E-2</v>
      </c>
      <c r="U106" t="str">
        <f t="shared" si="36"/>
        <v>No Impact</v>
      </c>
      <c r="V106">
        <f t="shared" si="37"/>
        <v>2.5800386205636437E-2</v>
      </c>
      <c r="W106">
        <f t="shared" si="24"/>
        <v>4.6835272814444794E-2</v>
      </c>
      <c r="X106" t="s">
        <v>1170</v>
      </c>
      <c r="Y106">
        <f t="shared" si="25"/>
        <v>4.0129609904216518E-2</v>
      </c>
      <c r="Z106">
        <f t="shared" si="38"/>
        <v>8.8730590102890333E-2</v>
      </c>
      <c r="AA106" t="s">
        <v>1170</v>
      </c>
      <c r="AB106">
        <f t="shared" si="26"/>
        <v>2.3164850521497127E-2</v>
      </c>
      <c r="AC106">
        <f t="shared" si="39"/>
        <v>6.7939170845822364E-2</v>
      </c>
      <c r="AD106" t="str">
        <f t="shared" si="40"/>
        <v>No Impact</v>
      </c>
      <c r="AE106">
        <f t="shared" si="27"/>
        <v>5.9880925093126324E-3</v>
      </c>
      <c r="AF106">
        <f t="shared" si="41"/>
        <v>3.9460404482813682E-2</v>
      </c>
      <c r="AG106" t="s">
        <v>1170</v>
      </c>
    </row>
    <row r="107" spans="1:33" customFormat="1" x14ac:dyDescent="0.3">
      <c r="A107">
        <v>202216</v>
      </c>
      <c r="B107" t="s">
        <v>94</v>
      </c>
      <c r="C107" t="s">
        <v>656</v>
      </c>
      <c r="D107" t="s">
        <v>655</v>
      </c>
      <c r="E107" s="21">
        <v>7.1</v>
      </c>
      <c r="F107" s="2">
        <f t="shared" si="28"/>
        <v>0.86666666666666659</v>
      </c>
      <c r="G107" s="10">
        <v>42.679079999999999</v>
      </c>
      <c r="H107">
        <f t="shared" si="29"/>
        <v>0.38954642237526943</v>
      </c>
      <c r="I107" s="12">
        <v>46.000000000000007</v>
      </c>
      <c r="J107" s="2">
        <f t="shared" si="30"/>
        <v>0.11148812409112945</v>
      </c>
      <c r="K107" s="10">
        <v>0</v>
      </c>
      <c r="L107" s="2">
        <f t="shared" si="31"/>
        <v>0</v>
      </c>
      <c r="M107">
        <v>58413</v>
      </c>
      <c r="N107">
        <f t="shared" si="32"/>
        <v>0.27524567902986946</v>
      </c>
      <c r="O107" s="10">
        <v>0.70760314599999996</v>
      </c>
      <c r="P107">
        <f t="shared" si="33"/>
        <v>0.68380961453054889</v>
      </c>
      <c r="Q107" s="23">
        <v>0.34789999999999999</v>
      </c>
      <c r="R107" s="13">
        <f t="shared" si="34"/>
        <v>0.75335643135556518</v>
      </c>
      <c r="S107">
        <f t="shared" si="35"/>
        <v>0.10921059209628095</v>
      </c>
      <c r="T107" s="14">
        <f t="shared" si="23"/>
        <v>0.23064690859447226</v>
      </c>
      <c r="U107" t="str">
        <f t="shared" si="36"/>
        <v>Low</v>
      </c>
      <c r="V107">
        <f t="shared" si="37"/>
        <v>0.11449547136657336</v>
      </c>
      <c r="W107">
        <f t="shared" si="24"/>
        <v>0.20784288245655883</v>
      </c>
      <c r="X107" t="s">
        <v>1169</v>
      </c>
      <c r="Y107">
        <f t="shared" si="25"/>
        <v>0.10392571282598856</v>
      </c>
      <c r="Z107">
        <f t="shared" si="38"/>
        <v>0.22979016860426965</v>
      </c>
      <c r="AA107" t="str">
        <f t="shared" si="42"/>
        <v>Low</v>
      </c>
      <c r="AB107">
        <f t="shared" si="26"/>
        <v>8.5892318384804558E-2</v>
      </c>
      <c r="AC107">
        <f t="shared" si="39"/>
        <v>0.25190980134638336</v>
      </c>
      <c r="AD107" t="str">
        <f t="shared" si="40"/>
        <v>Low</v>
      </c>
      <c r="AE107">
        <f t="shared" si="27"/>
        <v>4.1831970167735211E-2</v>
      </c>
      <c r="AF107">
        <f t="shared" si="41"/>
        <v>0.27566482324123442</v>
      </c>
      <c r="AG107" t="s">
        <v>1169</v>
      </c>
    </row>
    <row r="108" spans="1:33" customFormat="1" x14ac:dyDescent="0.3">
      <c r="A108">
        <v>202224</v>
      </c>
      <c r="B108" t="s">
        <v>120</v>
      </c>
      <c r="C108" t="s">
        <v>656</v>
      </c>
      <c r="D108" t="s">
        <v>657</v>
      </c>
      <c r="E108" s="21">
        <v>7.1</v>
      </c>
      <c r="F108" s="2">
        <f t="shared" si="28"/>
        <v>0.86666666666666659</v>
      </c>
      <c r="G108" s="10">
        <v>47.685960000000001</v>
      </c>
      <c r="H108">
        <f t="shared" si="29"/>
        <v>0.43524591241259664</v>
      </c>
      <c r="I108" s="12">
        <v>37.699999999999996</v>
      </c>
      <c r="J108" s="2">
        <f t="shared" si="30"/>
        <v>9.13717886572952E-2</v>
      </c>
      <c r="K108" s="10">
        <v>0</v>
      </c>
      <c r="L108" s="2">
        <f t="shared" si="31"/>
        <v>0</v>
      </c>
      <c r="M108">
        <v>44313</v>
      </c>
      <c r="N108">
        <f t="shared" si="32"/>
        <v>0.20853264443845132</v>
      </c>
      <c r="O108" s="10">
        <v>0.72987790200000002</v>
      </c>
      <c r="P108">
        <f t="shared" si="33"/>
        <v>0.70834055393337914</v>
      </c>
      <c r="Q108" s="23">
        <v>0.33069999999999999</v>
      </c>
      <c r="R108" s="13">
        <f t="shared" si="34"/>
        <v>0.71611087050671285</v>
      </c>
      <c r="S108">
        <f t="shared" si="35"/>
        <v>0.11377143572103003</v>
      </c>
      <c r="T108" s="14">
        <f t="shared" si="23"/>
        <v>0.24027916552522657</v>
      </c>
      <c r="U108" t="str">
        <f t="shared" si="36"/>
        <v>Low</v>
      </c>
      <c r="V108">
        <f t="shared" si="37"/>
        <v>0.11439205363567924</v>
      </c>
      <c r="W108">
        <f t="shared" si="24"/>
        <v>0.20765514892413522</v>
      </c>
      <c r="X108" t="s">
        <v>1169</v>
      </c>
      <c r="Y108">
        <f t="shared" si="25"/>
        <v>0.11315081780638085</v>
      </c>
      <c r="Z108">
        <f t="shared" si="38"/>
        <v>0.25018780044333006</v>
      </c>
      <c r="AA108" t="str">
        <f t="shared" si="42"/>
        <v>Low</v>
      </c>
      <c r="AB108">
        <f t="shared" si="26"/>
        <v>8.5641367016797476E-2</v>
      </c>
      <c r="AC108">
        <f t="shared" si="39"/>
        <v>0.25117379712096416</v>
      </c>
      <c r="AD108" t="str">
        <f t="shared" si="40"/>
        <v>Low</v>
      </c>
      <c r="AE108">
        <f t="shared" si="27"/>
        <v>3.3311151149701387E-2</v>
      </c>
      <c r="AF108">
        <f t="shared" si="41"/>
        <v>0.21951422696144146</v>
      </c>
      <c r="AG108" t="s">
        <v>1169</v>
      </c>
    </row>
    <row r="109" spans="1:33" customFormat="1" x14ac:dyDescent="0.3">
      <c r="A109">
        <v>202245</v>
      </c>
      <c r="B109" t="s">
        <v>295</v>
      </c>
      <c r="C109" t="s">
        <v>656</v>
      </c>
      <c r="D109" t="s">
        <v>658</v>
      </c>
      <c r="E109" s="21">
        <v>6.2</v>
      </c>
      <c r="F109" s="2">
        <f t="shared" si="28"/>
        <v>0.66666666666666663</v>
      </c>
      <c r="G109" s="10">
        <v>54.491399999999999</v>
      </c>
      <c r="H109">
        <f t="shared" si="29"/>
        <v>0.49736146890279165</v>
      </c>
      <c r="I109" s="12">
        <v>46.500000000000007</v>
      </c>
      <c r="J109" s="2">
        <f t="shared" si="30"/>
        <v>0.1126999515269026</v>
      </c>
      <c r="K109" s="10">
        <v>0</v>
      </c>
      <c r="L109" s="2">
        <f t="shared" si="31"/>
        <v>0</v>
      </c>
      <c r="M109">
        <v>10526</v>
      </c>
      <c r="N109">
        <f t="shared" si="32"/>
        <v>4.8672126726377198E-2</v>
      </c>
      <c r="O109" s="10">
        <v>0.58076928000000005</v>
      </c>
      <c r="P109">
        <f t="shared" si="33"/>
        <v>0.54412889789003072</v>
      </c>
      <c r="Q109" s="23">
        <v>0.22789999999999999</v>
      </c>
      <c r="R109" s="13">
        <f t="shared" si="34"/>
        <v>0.49350368124729321</v>
      </c>
      <c r="S109">
        <f t="shared" si="35"/>
        <v>7.3852287263141678E-2</v>
      </c>
      <c r="T109" s="14">
        <f t="shared" si="23"/>
        <v>0.15597206665501281</v>
      </c>
      <c r="U109" t="str">
        <f t="shared" si="36"/>
        <v>Low</v>
      </c>
      <c r="V109">
        <f t="shared" si="37"/>
        <v>7.02490965794349E-2</v>
      </c>
      <c r="W109">
        <f t="shared" si="24"/>
        <v>0.12752272687093888</v>
      </c>
      <c r="X109" t="s">
        <v>1170</v>
      </c>
      <c r="Y109">
        <f t="shared" si="25"/>
        <v>7.7455477946848442E-2</v>
      </c>
      <c r="Z109">
        <f t="shared" si="38"/>
        <v>0.17126182590185463</v>
      </c>
      <c r="AA109" t="s">
        <v>1170</v>
      </c>
      <c r="AB109">
        <f t="shared" si="26"/>
        <v>5.0248754439415684E-2</v>
      </c>
      <c r="AC109">
        <f t="shared" si="39"/>
        <v>0.14737236096046269</v>
      </c>
      <c r="AD109" t="str">
        <f t="shared" si="40"/>
        <v>No Impact</v>
      </c>
      <c r="AE109">
        <f t="shared" si="27"/>
        <v>6.9283635787398086E-3</v>
      </c>
      <c r="AF109">
        <f t="shared" si="41"/>
        <v>4.5656614154822112E-2</v>
      </c>
      <c r="AG109" t="s">
        <v>1170</v>
      </c>
    </row>
    <row r="110" spans="1:33" customFormat="1" x14ac:dyDescent="0.3">
      <c r="A110">
        <v>202249</v>
      </c>
      <c r="B110" t="s">
        <v>318</v>
      </c>
      <c r="C110" t="s">
        <v>656</v>
      </c>
      <c r="D110" t="s">
        <v>659</v>
      </c>
      <c r="E110" s="21">
        <v>6.2</v>
      </c>
      <c r="F110" s="2">
        <f t="shared" si="28"/>
        <v>0.66666666666666663</v>
      </c>
      <c r="G110" s="10">
        <v>57.143520000000002</v>
      </c>
      <c r="H110">
        <f t="shared" si="29"/>
        <v>0.52156826665264711</v>
      </c>
      <c r="I110" s="12">
        <v>38.700000000000003</v>
      </c>
      <c r="J110" s="2">
        <f t="shared" si="30"/>
        <v>9.3795443528841504E-2</v>
      </c>
      <c r="K110" s="10">
        <v>0</v>
      </c>
      <c r="L110" s="2">
        <f t="shared" si="31"/>
        <v>0</v>
      </c>
      <c r="M110">
        <v>24265</v>
      </c>
      <c r="N110">
        <f t="shared" si="32"/>
        <v>0.11367711837541933</v>
      </c>
      <c r="O110" s="10">
        <v>0.53547143699999999</v>
      </c>
      <c r="P110">
        <f t="shared" si="33"/>
        <v>0.49424289053210868</v>
      </c>
      <c r="Q110" s="23">
        <v>0.33729999999999999</v>
      </c>
      <c r="R110" s="13">
        <f t="shared" si="34"/>
        <v>0.73040277176266777</v>
      </c>
      <c r="S110">
        <f t="shared" si="35"/>
        <v>8.7920291480861001E-2</v>
      </c>
      <c r="T110" s="14">
        <f t="shared" si="23"/>
        <v>0.18568293645828582</v>
      </c>
      <c r="U110" t="str">
        <f t="shared" si="36"/>
        <v>Low</v>
      </c>
      <c r="V110">
        <f t="shared" si="37"/>
        <v>0.10487478389703425</v>
      </c>
      <c r="W110">
        <f t="shared" si="24"/>
        <v>0.19037851123718777</v>
      </c>
      <c r="X110" t="s">
        <v>1169</v>
      </c>
      <c r="Y110">
        <f t="shared" si="25"/>
        <v>7.0965799064687723E-2</v>
      </c>
      <c r="Z110">
        <f t="shared" si="38"/>
        <v>0.1569124953659532</v>
      </c>
      <c r="AA110" t="s">
        <v>1170</v>
      </c>
      <c r="AB110">
        <f t="shared" si="26"/>
        <v>6.3708723905011089E-2</v>
      </c>
      <c r="AC110">
        <f t="shared" si="39"/>
        <v>0.18684851317020887</v>
      </c>
      <c r="AD110" t="str">
        <f t="shared" si="40"/>
        <v>Low</v>
      </c>
      <c r="AE110">
        <f t="shared" si="27"/>
        <v>1.6322313776122272E-2</v>
      </c>
      <c r="AF110">
        <f t="shared" si="41"/>
        <v>0.10756098084649009</v>
      </c>
      <c r="AG110" t="s">
        <v>1169</v>
      </c>
    </row>
    <row r="111" spans="1:33" customFormat="1" x14ac:dyDescent="0.3">
      <c r="A111">
        <v>202256</v>
      </c>
      <c r="B111" t="s">
        <v>413</v>
      </c>
      <c r="C111" t="s">
        <v>656</v>
      </c>
      <c r="D111" t="s">
        <v>660</v>
      </c>
      <c r="E111" s="21">
        <v>7</v>
      </c>
      <c r="F111" s="2">
        <f t="shared" si="28"/>
        <v>0.84444444444444444</v>
      </c>
      <c r="G111" s="10">
        <v>42.679079999999999</v>
      </c>
      <c r="H111">
        <f t="shared" si="29"/>
        <v>0.38954642237526943</v>
      </c>
      <c r="I111" s="12">
        <v>46.000000000000007</v>
      </c>
      <c r="J111" s="2">
        <f t="shared" si="30"/>
        <v>0.11148812409112945</v>
      </c>
      <c r="K111" s="10">
        <v>0</v>
      </c>
      <c r="L111" s="2">
        <f t="shared" si="31"/>
        <v>0</v>
      </c>
      <c r="M111">
        <v>24564</v>
      </c>
      <c r="N111">
        <f t="shared" si="32"/>
        <v>0.11509181322242883</v>
      </c>
      <c r="O111" s="10">
        <v>0.72713207499999999</v>
      </c>
      <c r="P111">
        <f t="shared" si="33"/>
        <v>0.70531660539954766</v>
      </c>
      <c r="Q111" s="23">
        <v>0.3095</v>
      </c>
      <c r="R111" s="13">
        <f t="shared" si="34"/>
        <v>0.67020355132091813</v>
      </c>
      <c r="S111">
        <f t="shared" si="35"/>
        <v>0.10184594964194577</v>
      </c>
      <c r="T111" s="14">
        <f t="shared" si="23"/>
        <v>0.21509317903041597</v>
      </c>
      <c r="U111" t="str">
        <f t="shared" si="36"/>
        <v>Low</v>
      </c>
      <c r="V111">
        <f t="shared" si="37"/>
        <v>9.9246116902312734E-2</v>
      </c>
      <c r="W111">
        <f t="shared" si="24"/>
        <v>0.18016082875064221</v>
      </c>
      <c r="X111" t="s">
        <v>1170</v>
      </c>
      <c r="Y111">
        <f t="shared" si="25"/>
        <v>0.10444578238157878</v>
      </c>
      <c r="Z111">
        <f t="shared" si="38"/>
        <v>0.2309400945236148</v>
      </c>
      <c r="AA111" t="str">
        <f t="shared" si="42"/>
        <v>Low</v>
      </c>
      <c r="AB111">
        <f t="shared" si="26"/>
        <v>7.2034996875121118E-2</v>
      </c>
      <c r="AC111">
        <f t="shared" si="39"/>
        <v>0.2112682728099399</v>
      </c>
      <c r="AD111" t="str">
        <f t="shared" si="40"/>
        <v>Low</v>
      </c>
      <c r="AE111">
        <f t="shared" si="27"/>
        <v>1.7043203556680112E-2</v>
      </c>
      <c r="AF111">
        <f t="shared" si="41"/>
        <v>0.11231150904626309</v>
      </c>
      <c r="AG111" t="s">
        <v>1169</v>
      </c>
    </row>
    <row r="112" spans="1:33" customFormat="1" x14ac:dyDescent="0.3">
      <c r="A112">
        <v>202266</v>
      </c>
      <c r="B112" t="s">
        <v>437</v>
      </c>
      <c r="C112" t="s">
        <v>656</v>
      </c>
      <c r="D112" t="s">
        <v>661</v>
      </c>
      <c r="E112" s="21">
        <v>7</v>
      </c>
      <c r="F112" s="2">
        <f t="shared" si="28"/>
        <v>0.84444444444444444</v>
      </c>
      <c r="G112" s="10">
        <v>44.85528</v>
      </c>
      <c r="H112">
        <f t="shared" si="29"/>
        <v>0.40940933704852533</v>
      </c>
      <c r="I112" s="12">
        <v>56.599999999999994</v>
      </c>
      <c r="J112" s="2">
        <f t="shared" si="30"/>
        <v>0.13717886572952012</v>
      </c>
      <c r="K112" s="10">
        <v>0</v>
      </c>
      <c r="L112" s="2">
        <f t="shared" si="31"/>
        <v>0</v>
      </c>
      <c r="M112">
        <v>42505</v>
      </c>
      <c r="N112">
        <f t="shared" si="32"/>
        <v>0.19997823546389215</v>
      </c>
      <c r="O112" s="10">
        <v>0.86730278299999997</v>
      </c>
      <c r="P112">
        <f t="shared" si="33"/>
        <v>0.85968503682029163</v>
      </c>
      <c r="Q112" s="23">
        <v>0.39379999999999998</v>
      </c>
      <c r="R112" s="13">
        <f t="shared" si="34"/>
        <v>0.85275010827197917</v>
      </c>
      <c r="S112">
        <f t="shared" si="35"/>
        <v>0.13831953425320309</v>
      </c>
      <c r="T112" s="14">
        <f t="shared" si="23"/>
        <v>0.29212343199826796</v>
      </c>
      <c r="U112" t="str">
        <f t="shared" si="36"/>
        <v>Low</v>
      </c>
      <c r="V112">
        <f t="shared" si="37"/>
        <v>0.13775937517819756</v>
      </c>
      <c r="W112">
        <f t="shared" si="24"/>
        <v>0.25007369532355345</v>
      </c>
      <c r="X112" t="s">
        <v>1169</v>
      </c>
      <c r="Y112">
        <f t="shared" si="25"/>
        <v>0.1388796933282086</v>
      </c>
      <c r="Z112">
        <f t="shared" si="38"/>
        <v>0.3070769232926332</v>
      </c>
      <c r="AA112" t="str">
        <f t="shared" si="42"/>
        <v>Moderate</v>
      </c>
      <c r="AB112">
        <f t="shared" si="26"/>
        <v>0.1011867613062834</v>
      </c>
      <c r="AC112">
        <f t="shared" si="39"/>
        <v>0.29676620003843385</v>
      </c>
      <c r="AD112" t="str">
        <f t="shared" si="40"/>
        <v>Low</v>
      </c>
      <c r="AE112">
        <f t="shared" si="27"/>
        <v>3.2305919987004814E-2</v>
      </c>
      <c r="AF112">
        <f t="shared" si="41"/>
        <v>0.21288994248069132</v>
      </c>
      <c r="AG112" t="s">
        <v>1169</v>
      </c>
    </row>
    <row r="113" spans="1:33" customFormat="1" x14ac:dyDescent="0.3">
      <c r="A113">
        <v>202290</v>
      </c>
      <c r="B113" t="s">
        <v>522</v>
      </c>
      <c r="C113" t="s">
        <v>656</v>
      </c>
      <c r="D113" t="s">
        <v>662</v>
      </c>
      <c r="E113" s="21">
        <v>7.2</v>
      </c>
      <c r="F113" s="2">
        <f t="shared" si="28"/>
        <v>0.88888888888888884</v>
      </c>
      <c r="G113" s="10">
        <v>55.461240000000004</v>
      </c>
      <c r="H113">
        <f t="shared" si="29"/>
        <v>0.5062135271541981</v>
      </c>
      <c r="I113" s="12">
        <v>116.89999999999998</v>
      </c>
      <c r="J113" s="2">
        <f t="shared" si="30"/>
        <v>0.2833252544837615</v>
      </c>
      <c r="K113" s="10">
        <v>0</v>
      </c>
      <c r="L113" s="2">
        <f t="shared" si="31"/>
        <v>0</v>
      </c>
      <c r="M113">
        <v>42859</v>
      </c>
      <c r="N113">
        <f t="shared" si="32"/>
        <v>0.20165315846001713</v>
      </c>
      <c r="O113" s="10">
        <v>0.52971822700000004</v>
      </c>
      <c r="P113">
        <f t="shared" si="33"/>
        <v>0.48790694476993041</v>
      </c>
      <c r="Q113" s="23">
        <v>0.40629999999999999</v>
      </c>
      <c r="R113" s="13">
        <f t="shared" si="34"/>
        <v>0.87981810307492425</v>
      </c>
      <c r="S113">
        <f t="shared" si="35"/>
        <v>0.16798008389417832</v>
      </c>
      <c r="T113" s="14">
        <f t="shared" si="23"/>
        <v>0.35476492080067862</v>
      </c>
      <c r="U113" t="str">
        <f t="shared" si="36"/>
        <v>Moderate</v>
      </c>
      <c r="V113">
        <f t="shared" si="37"/>
        <v>0.21611349298460331</v>
      </c>
      <c r="W113">
        <f t="shared" si="24"/>
        <v>0.39230941436858296</v>
      </c>
      <c r="X113" t="str">
        <f t="shared" ref="X113:X130" si="44">IF(W113&gt;0.7,"High",IF(W113&gt;0.3,"Moderate",IF(W113&gt;0.15,"Low","No Impact")))</f>
        <v>Moderate</v>
      </c>
      <c r="Y113">
        <f t="shared" si="25"/>
        <v>0.11984667480375336</v>
      </c>
      <c r="Z113">
        <f t="shared" si="38"/>
        <v>0.26499301145932358</v>
      </c>
      <c r="AA113" t="str">
        <f t="shared" si="42"/>
        <v>Low</v>
      </c>
      <c r="AB113">
        <f t="shared" si="26"/>
        <v>0.1289302504594137</v>
      </c>
      <c r="AC113">
        <f t="shared" si="39"/>
        <v>0.37813385866781152</v>
      </c>
      <c r="AD113" t="str">
        <f t="shared" si="40"/>
        <v>Moderate</v>
      </c>
      <c r="AE113">
        <f t="shared" si="27"/>
        <v>4.9532929924790144E-2</v>
      </c>
      <c r="AF113">
        <f t="shared" si="41"/>
        <v>0.32641270104149583</v>
      </c>
      <c r="AG113" t="str">
        <f t="shared" si="43"/>
        <v>Moderate</v>
      </c>
    </row>
    <row r="114" spans="1:33" customFormat="1" x14ac:dyDescent="0.3">
      <c r="A114">
        <v>202294</v>
      </c>
      <c r="B114" t="s">
        <v>532</v>
      </c>
      <c r="C114" t="s">
        <v>656</v>
      </c>
      <c r="D114" t="s">
        <v>663</v>
      </c>
      <c r="E114" s="21">
        <v>7</v>
      </c>
      <c r="F114" s="2">
        <f t="shared" si="28"/>
        <v>0.84444444444444444</v>
      </c>
      <c r="G114" s="10">
        <v>49.123800000000003</v>
      </c>
      <c r="H114">
        <f t="shared" si="29"/>
        <v>0.44836956521739135</v>
      </c>
      <c r="I114" s="12">
        <v>79.999999999999986</v>
      </c>
      <c r="J114" s="2">
        <f t="shared" si="30"/>
        <v>0.19389238972370332</v>
      </c>
      <c r="K114" s="10">
        <v>0</v>
      </c>
      <c r="L114" s="2">
        <f t="shared" si="31"/>
        <v>0</v>
      </c>
      <c r="M114">
        <v>79128</v>
      </c>
      <c r="N114">
        <f t="shared" si="32"/>
        <v>0.37325706282853804</v>
      </c>
      <c r="O114" s="10">
        <v>0.68287693000000005</v>
      </c>
      <c r="P114">
        <f t="shared" si="33"/>
        <v>0.6565789096753627</v>
      </c>
      <c r="Q114" s="23">
        <v>0.38619999999999999</v>
      </c>
      <c r="R114" s="13">
        <f t="shared" si="34"/>
        <v>0.8362927674317886</v>
      </c>
      <c r="S114">
        <f t="shared" si="35"/>
        <v>0.14169150297933214</v>
      </c>
      <c r="T114" s="14">
        <f t="shared" si="23"/>
        <v>0.29924484895637077</v>
      </c>
      <c r="U114" t="str">
        <f t="shared" si="36"/>
        <v>Low</v>
      </c>
      <c r="V114">
        <f t="shared" si="37"/>
        <v>0.15874851263542344</v>
      </c>
      <c r="W114">
        <f t="shared" si="24"/>
        <v>0.2881751396629525</v>
      </c>
      <c r="X114" t="s">
        <v>1169</v>
      </c>
      <c r="Y114">
        <f t="shared" si="25"/>
        <v>0.12463449332324085</v>
      </c>
      <c r="Z114">
        <f t="shared" si="38"/>
        <v>0.27557935813833867</v>
      </c>
      <c r="AA114" t="str">
        <f t="shared" si="42"/>
        <v>Low</v>
      </c>
      <c r="AB114">
        <f t="shared" si="26"/>
        <v>0.11775094107692018</v>
      </c>
      <c r="AC114">
        <f t="shared" si="39"/>
        <v>0.34534655406721848</v>
      </c>
      <c r="AD114" t="str">
        <f t="shared" si="40"/>
        <v>Moderate</v>
      </c>
      <c r="AE114">
        <f t="shared" si="27"/>
        <v>7.0853181878713548E-2</v>
      </c>
      <c r="AF114">
        <f t="shared" si="41"/>
        <v>0.46690915537464522</v>
      </c>
      <c r="AG114" t="str">
        <f t="shared" si="43"/>
        <v>Moderate</v>
      </c>
    </row>
    <row r="115" spans="1:33" customFormat="1" x14ac:dyDescent="0.3">
      <c r="A115">
        <v>203014</v>
      </c>
      <c r="B115" t="s">
        <v>108</v>
      </c>
      <c r="C115" t="s">
        <v>665</v>
      </c>
      <c r="D115" t="s">
        <v>664</v>
      </c>
      <c r="E115" s="21">
        <v>5.5</v>
      </c>
      <c r="F115" s="2">
        <f t="shared" si="28"/>
        <v>0.51111111111111107</v>
      </c>
      <c r="G115" s="10">
        <v>38.379959999999997</v>
      </c>
      <c r="H115">
        <f t="shared" si="29"/>
        <v>0.35030689763945111</v>
      </c>
      <c r="I115" s="12">
        <v>57.399999999999991</v>
      </c>
      <c r="J115" s="2">
        <f t="shared" si="30"/>
        <v>0.13911778962675714</v>
      </c>
      <c r="K115" s="10">
        <v>0</v>
      </c>
      <c r="L115" s="2">
        <f t="shared" si="31"/>
        <v>0</v>
      </c>
      <c r="M115">
        <v>24400</v>
      </c>
      <c r="N115">
        <f t="shared" si="32"/>
        <v>0.11431586019597545</v>
      </c>
      <c r="O115" s="10">
        <v>0.97458525799999995</v>
      </c>
      <c r="P115">
        <f t="shared" si="33"/>
        <v>0.97783402544268749</v>
      </c>
      <c r="Q115" s="23">
        <v>0.3458</v>
      </c>
      <c r="R115" s="13">
        <f t="shared" si="34"/>
        <v>0.74880900822867047</v>
      </c>
      <c r="S115">
        <f t="shared" si="35"/>
        <v>7.558607667265109E-2</v>
      </c>
      <c r="T115" s="14">
        <f t="shared" si="23"/>
        <v>0.15963373682620491</v>
      </c>
      <c r="U115" t="str">
        <f t="shared" si="36"/>
        <v>Low</v>
      </c>
      <c r="V115">
        <f t="shared" si="37"/>
        <v>6.5560204402871428E-2</v>
      </c>
      <c r="W115">
        <f t="shared" si="24"/>
        <v>0.11901101148278355</v>
      </c>
      <c r="X115" t="s">
        <v>1170</v>
      </c>
      <c r="Y115">
        <f t="shared" si="25"/>
        <v>8.5611948942430779E-2</v>
      </c>
      <c r="Z115">
        <f t="shared" si="38"/>
        <v>0.18929660088029485</v>
      </c>
      <c r="AA115" t="str">
        <f t="shared" si="42"/>
        <v>Low</v>
      </c>
      <c r="AB115">
        <f t="shared" si="26"/>
        <v>5.213268553762216E-2</v>
      </c>
      <c r="AC115">
        <f t="shared" si="39"/>
        <v>0.15289765958581014</v>
      </c>
      <c r="AD115" t="str">
        <f t="shared" si="40"/>
        <v>Low</v>
      </c>
      <c r="AE115">
        <f t="shared" si="27"/>
        <v>1.0008655182536933E-2</v>
      </c>
      <c r="AF115">
        <f t="shared" si="41"/>
        <v>6.5955157041695772E-2</v>
      </c>
      <c r="AG115" t="s">
        <v>1170</v>
      </c>
    </row>
    <row r="116" spans="1:33" customFormat="1" x14ac:dyDescent="0.3">
      <c r="A116">
        <v>203025</v>
      </c>
      <c r="B116" t="s">
        <v>122</v>
      </c>
      <c r="C116" t="s">
        <v>665</v>
      </c>
      <c r="D116" t="s">
        <v>666</v>
      </c>
      <c r="E116" s="21">
        <v>5.6</v>
      </c>
      <c r="F116" s="2">
        <f t="shared" si="28"/>
        <v>0.53333333333333321</v>
      </c>
      <c r="G116" s="10">
        <v>47.79504</v>
      </c>
      <c r="H116">
        <f t="shared" si="29"/>
        <v>0.43624152252773252</v>
      </c>
      <c r="I116" s="12">
        <v>61.000000000000007</v>
      </c>
      <c r="J116" s="2">
        <f t="shared" si="30"/>
        <v>0.14784294716432383</v>
      </c>
      <c r="K116" s="10">
        <v>0</v>
      </c>
      <c r="L116" s="2">
        <f t="shared" si="31"/>
        <v>0</v>
      </c>
      <c r="M116">
        <v>37243</v>
      </c>
      <c r="N116">
        <f t="shared" si="32"/>
        <v>0.17508149872488207</v>
      </c>
      <c r="O116" s="10">
        <v>0.87586015800000006</v>
      </c>
      <c r="P116">
        <f t="shared" si="33"/>
        <v>0.86910917810257082</v>
      </c>
      <c r="Q116" s="23">
        <v>0.35709999999999997</v>
      </c>
      <c r="R116" s="13">
        <f t="shared" si="34"/>
        <v>0.77327847553053264</v>
      </c>
      <c r="S116">
        <f t="shared" si="35"/>
        <v>8.953402469210002E-2</v>
      </c>
      <c r="T116" s="14">
        <f t="shared" si="23"/>
        <v>0.18909105438278503</v>
      </c>
      <c r="U116" t="str">
        <f t="shared" si="36"/>
        <v>Low</v>
      </c>
      <c r="V116">
        <f t="shared" si="37"/>
        <v>8.4309857016846124E-2</v>
      </c>
      <c r="W116">
        <f t="shared" si="24"/>
        <v>0.15304713359167393</v>
      </c>
      <c r="X116" t="s">
        <v>1170</v>
      </c>
      <c r="Y116">
        <f t="shared" si="25"/>
        <v>9.475819236735393E-2</v>
      </c>
      <c r="Z116">
        <f t="shared" si="38"/>
        <v>0.20951986191510594</v>
      </c>
      <c r="AA116" t="str">
        <f t="shared" si="42"/>
        <v>Low</v>
      </c>
      <c r="AB116">
        <f t="shared" si="26"/>
        <v>6.4617050109362376E-2</v>
      </c>
      <c r="AC116">
        <f t="shared" si="39"/>
        <v>0.18951250312878387</v>
      </c>
      <c r="AD116" t="str">
        <f t="shared" si="40"/>
        <v>Low</v>
      </c>
      <c r="AE116">
        <f t="shared" si="27"/>
        <v>1.9088978409314457E-2</v>
      </c>
      <c r="AF116">
        <f t="shared" si="41"/>
        <v>0.12579278092711224</v>
      </c>
      <c r="AG116" t="s">
        <v>1169</v>
      </c>
    </row>
    <row r="117" spans="1:33" customFormat="1" x14ac:dyDescent="0.3">
      <c r="A117">
        <v>203029</v>
      </c>
      <c r="B117" t="s">
        <v>168</v>
      </c>
      <c r="C117" t="s">
        <v>665</v>
      </c>
      <c r="D117" t="s">
        <v>667</v>
      </c>
      <c r="E117" s="21">
        <v>5.6</v>
      </c>
      <c r="F117" s="2">
        <f t="shared" si="28"/>
        <v>0.53333333333333321</v>
      </c>
      <c r="G117" s="10">
        <v>43.832520000000002</v>
      </c>
      <c r="H117">
        <f t="shared" si="29"/>
        <v>0.40007426002838969</v>
      </c>
      <c r="I117" s="12">
        <v>59.6</v>
      </c>
      <c r="J117" s="2">
        <f t="shared" si="30"/>
        <v>0.14444983034415901</v>
      </c>
      <c r="K117" s="10">
        <v>0</v>
      </c>
      <c r="L117" s="2">
        <f t="shared" si="31"/>
        <v>0</v>
      </c>
      <c r="M117">
        <v>65689</v>
      </c>
      <c r="N117">
        <f t="shared" si="32"/>
        <v>0.30967149744739841</v>
      </c>
      <c r="O117" s="10">
        <v>0.97930060699999999</v>
      </c>
      <c r="P117">
        <f t="shared" si="33"/>
        <v>0.98302698650507569</v>
      </c>
      <c r="Q117" s="23">
        <v>0.3508</v>
      </c>
      <c r="R117" s="13">
        <f t="shared" si="34"/>
        <v>0.75963620614984839</v>
      </c>
      <c r="S117">
        <f t="shared" si="35"/>
        <v>8.8566061715240077E-2</v>
      </c>
      <c r="T117" s="14">
        <f t="shared" si="23"/>
        <v>0.18704676853137403</v>
      </c>
      <c r="U117" t="str">
        <f t="shared" si="36"/>
        <v>Low</v>
      </c>
      <c r="V117">
        <f t="shared" si="37"/>
        <v>7.721283997798932E-2</v>
      </c>
      <c r="W117">
        <f t="shared" si="24"/>
        <v>0.14016396484627716</v>
      </c>
      <c r="X117" t="s">
        <v>1170</v>
      </c>
      <c r="Y117">
        <f t="shared" si="25"/>
        <v>9.9919283452490834E-2</v>
      </c>
      <c r="Z117">
        <f t="shared" si="38"/>
        <v>0.22093155165373074</v>
      </c>
      <c r="AA117" t="str">
        <f t="shared" si="42"/>
        <v>Low</v>
      </c>
      <c r="AB117">
        <f t="shared" si="26"/>
        <v>6.8017020271551015E-2</v>
      </c>
      <c r="AC117">
        <f t="shared" si="39"/>
        <v>0.19948412601947643</v>
      </c>
      <c r="AD117" t="str">
        <f t="shared" si="40"/>
        <v>Low</v>
      </c>
      <c r="AE117">
        <f t="shared" si="27"/>
        <v>3.147640355287859E-2</v>
      </c>
      <c r="AF117">
        <f t="shared" si="41"/>
        <v>0.20742358504468714</v>
      </c>
      <c r="AG117" t="s">
        <v>1169</v>
      </c>
    </row>
    <row r="118" spans="1:33" customFormat="1" x14ac:dyDescent="0.3">
      <c r="A118">
        <v>203041</v>
      </c>
      <c r="B118" t="s">
        <v>172</v>
      </c>
      <c r="C118" t="s">
        <v>665</v>
      </c>
      <c r="D118" t="s">
        <v>668</v>
      </c>
      <c r="E118" s="21">
        <v>5.5</v>
      </c>
      <c r="F118" s="2">
        <f t="shared" si="28"/>
        <v>0.51111111111111107</v>
      </c>
      <c r="G118" s="10">
        <v>35.452080000000002</v>
      </c>
      <c r="H118">
        <f t="shared" si="29"/>
        <v>0.32358314494506074</v>
      </c>
      <c r="I118" s="12">
        <v>61.5</v>
      </c>
      <c r="J118" s="2">
        <f t="shared" si="30"/>
        <v>0.14905477460009695</v>
      </c>
      <c r="K118" s="10">
        <v>0</v>
      </c>
      <c r="L118" s="2">
        <f t="shared" si="31"/>
        <v>0</v>
      </c>
      <c r="M118">
        <v>9161</v>
      </c>
      <c r="N118">
        <f t="shared" si="32"/>
        <v>4.2213737207420762E-2</v>
      </c>
      <c r="O118" s="10">
        <v>0.99172091799999995</v>
      </c>
      <c r="P118">
        <f t="shared" si="33"/>
        <v>0.99670533595614508</v>
      </c>
      <c r="Q118" s="23">
        <v>0.34060000000000001</v>
      </c>
      <c r="R118" s="13">
        <f t="shared" si="34"/>
        <v>0.73754872239064539</v>
      </c>
      <c r="S118">
        <f t="shared" si="35"/>
        <v>7.3315306136701966E-2</v>
      </c>
      <c r="T118" s="14">
        <f t="shared" si="23"/>
        <v>0.15483799133860296</v>
      </c>
      <c r="U118" t="str">
        <f t="shared" si="36"/>
        <v>Low</v>
      </c>
      <c r="V118">
        <f t="shared" si="37"/>
        <v>6.2359502764376101E-2</v>
      </c>
      <c r="W118">
        <f t="shared" si="24"/>
        <v>0.11320079867272025</v>
      </c>
      <c r="X118" t="s">
        <v>1170</v>
      </c>
      <c r="Y118">
        <f t="shared" si="25"/>
        <v>8.4271109509027817E-2</v>
      </c>
      <c r="Z118">
        <f t="shared" si="38"/>
        <v>0.18633187048687605</v>
      </c>
      <c r="AA118" t="s">
        <v>1170</v>
      </c>
      <c r="AB118">
        <f t="shared" si="26"/>
        <v>4.8356363996464639E-2</v>
      </c>
      <c r="AC118">
        <f t="shared" si="39"/>
        <v>0.14182225229512332</v>
      </c>
      <c r="AD118" t="str">
        <f t="shared" si="40"/>
        <v>No Impact</v>
      </c>
      <c r="AE118">
        <f t="shared" si="27"/>
        <v>3.5691576463561768E-3</v>
      </c>
      <c r="AF118">
        <f t="shared" si="41"/>
        <v>2.3520078250145297E-2</v>
      </c>
      <c r="AG118" t="s">
        <v>1170</v>
      </c>
    </row>
    <row r="119" spans="1:33" customFormat="1" x14ac:dyDescent="0.3">
      <c r="A119">
        <v>203051</v>
      </c>
      <c r="B119" t="s">
        <v>406</v>
      </c>
      <c r="C119" t="s">
        <v>665</v>
      </c>
      <c r="D119" t="s">
        <v>669</v>
      </c>
      <c r="E119" s="21">
        <v>5.7</v>
      </c>
      <c r="F119" s="2">
        <f t="shared" si="28"/>
        <v>0.55555555555555558</v>
      </c>
      <c r="G119" s="10">
        <v>35.452080000000002</v>
      </c>
      <c r="H119">
        <f t="shared" si="29"/>
        <v>0.32358314494506074</v>
      </c>
      <c r="I119" s="12">
        <v>54.800000000000004</v>
      </c>
      <c r="J119" s="2">
        <f t="shared" si="30"/>
        <v>0.1328162869607368</v>
      </c>
      <c r="K119" s="10">
        <v>0</v>
      </c>
      <c r="L119" s="2">
        <f t="shared" si="31"/>
        <v>0</v>
      </c>
      <c r="M119">
        <v>14970</v>
      </c>
      <c r="N119">
        <f t="shared" si="32"/>
        <v>6.9698561174906443E-2</v>
      </c>
      <c r="O119" s="10">
        <v>0.99414276099999999</v>
      </c>
      <c r="P119">
        <f t="shared" si="33"/>
        <v>0.99937248453798222</v>
      </c>
      <c r="Q119" s="23">
        <v>0.34549999999999997</v>
      </c>
      <c r="R119" s="13">
        <f t="shared" si="34"/>
        <v>0.74815937635339969</v>
      </c>
      <c r="S119">
        <f t="shared" si="35"/>
        <v>7.754177555328827E-2</v>
      </c>
      <c r="T119" s="14">
        <f t="shared" si="23"/>
        <v>0.16376406788935824</v>
      </c>
      <c r="U119" t="str">
        <f t="shared" si="36"/>
        <v>Low</v>
      </c>
      <c r="V119">
        <f t="shared" si="37"/>
        <v>6.6394905566633661E-2</v>
      </c>
      <c r="W119">
        <f t="shared" si="24"/>
        <v>0.12052623906161716</v>
      </c>
      <c r="X119" t="s">
        <v>1170</v>
      </c>
      <c r="Y119">
        <f t="shared" si="25"/>
        <v>8.8688645539942879E-2</v>
      </c>
      <c r="Z119">
        <f t="shared" si="38"/>
        <v>0.19609948546642481</v>
      </c>
      <c r="AA119" t="str">
        <f t="shared" si="42"/>
        <v>Low</v>
      </c>
      <c r="AB119">
        <f t="shared" si="26"/>
        <v>5.2009683947136676E-2</v>
      </c>
      <c r="AC119">
        <f t="shared" si="39"/>
        <v>0.15253691363312005</v>
      </c>
      <c r="AD119" t="str">
        <f t="shared" si="40"/>
        <v>Low</v>
      </c>
      <c r="AE119">
        <f t="shared" si="27"/>
        <v>6.1853523909486501E-3</v>
      </c>
      <c r="AF119">
        <f t="shared" si="41"/>
        <v>4.0760310037960608E-2</v>
      </c>
      <c r="AG119" t="s">
        <v>1170</v>
      </c>
    </row>
    <row r="120" spans="1:33" customFormat="1" x14ac:dyDescent="0.3">
      <c r="A120">
        <v>203094</v>
      </c>
      <c r="B120" t="s">
        <v>496</v>
      </c>
      <c r="C120" t="s">
        <v>665</v>
      </c>
      <c r="D120" t="s">
        <v>670</v>
      </c>
      <c r="E120" s="21">
        <v>5.4</v>
      </c>
      <c r="F120" s="2">
        <f t="shared" si="28"/>
        <v>0.48888888888888893</v>
      </c>
      <c r="G120" s="10">
        <v>43.832520000000002</v>
      </c>
      <c r="H120">
        <f t="shared" si="29"/>
        <v>0.40007426002838969</v>
      </c>
      <c r="I120" s="12">
        <v>54.500000000000007</v>
      </c>
      <c r="J120" s="2">
        <f t="shared" si="30"/>
        <v>0.13208919049927292</v>
      </c>
      <c r="K120" s="10">
        <v>0.5</v>
      </c>
      <c r="L120" s="2">
        <f t="shared" si="31"/>
        <v>0.29411764705882354</v>
      </c>
      <c r="M120">
        <v>40135</v>
      </c>
      <c r="N120">
        <f t="shared" si="32"/>
        <v>0.1887647679474623</v>
      </c>
      <c r="O120" s="10">
        <v>0.92235553199999998</v>
      </c>
      <c r="P120">
        <f t="shared" si="33"/>
        <v>0.92031401294367632</v>
      </c>
      <c r="Q120" s="23">
        <v>0.44019999999999998</v>
      </c>
      <c r="R120" s="13">
        <f t="shared" si="34"/>
        <v>0.95322650498051098</v>
      </c>
      <c r="S120">
        <f t="shared" si="35"/>
        <v>0.12571113475385456</v>
      </c>
      <c r="T120" s="14">
        <f t="shared" si="23"/>
        <v>0.26549516901545184</v>
      </c>
      <c r="U120" t="str">
        <f t="shared" si="36"/>
        <v>Low</v>
      </c>
      <c r="V120">
        <f t="shared" si="37"/>
        <v>0.12791950264445767</v>
      </c>
      <c r="W120">
        <f t="shared" si="24"/>
        <v>0.23221143888661722</v>
      </c>
      <c r="X120" t="s">
        <v>1169</v>
      </c>
      <c r="Y120">
        <f t="shared" si="25"/>
        <v>0.12350276686325146</v>
      </c>
      <c r="Z120">
        <f t="shared" si="38"/>
        <v>0.2730769974906872</v>
      </c>
      <c r="AA120" t="str">
        <f t="shared" si="42"/>
        <v>Low</v>
      </c>
      <c r="AB120">
        <f t="shared" si="26"/>
        <v>9.0688694945123813E-2</v>
      </c>
      <c r="AC120">
        <f t="shared" si="39"/>
        <v>0.26597688312055778</v>
      </c>
      <c r="AD120" t="str">
        <f t="shared" si="40"/>
        <v>Low</v>
      </c>
      <c r="AE120">
        <f>F120*(N120*1)*(H120*0.35+J120*0.35+L120*0.3)</f>
        <v>2.5331539887394897E-2</v>
      </c>
      <c r="AF120">
        <f t="shared" si="41"/>
        <v>0.16693008809977011</v>
      </c>
      <c r="AG120" t="s">
        <v>1169</v>
      </c>
    </row>
    <row r="121" spans="1:33" customFormat="1" x14ac:dyDescent="0.3">
      <c r="A121">
        <v>204643</v>
      </c>
      <c r="B121" t="s">
        <v>151</v>
      </c>
      <c r="C121" t="s">
        <v>672</v>
      </c>
      <c r="D121" t="s">
        <v>671</v>
      </c>
      <c r="E121" s="21">
        <v>6.2</v>
      </c>
      <c r="F121" s="2">
        <f t="shared" si="28"/>
        <v>0.66666666666666663</v>
      </c>
      <c r="G121" s="10">
        <v>38.670839999999998</v>
      </c>
      <c r="H121">
        <f t="shared" si="29"/>
        <v>0.35296185794648022</v>
      </c>
      <c r="I121" s="12">
        <v>52.099999999999994</v>
      </c>
      <c r="J121" s="2">
        <f t="shared" si="30"/>
        <v>0.12627241880756179</v>
      </c>
      <c r="K121" s="10">
        <v>0</v>
      </c>
      <c r="L121" s="2">
        <f t="shared" si="31"/>
        <v>0</v>
      </c>
      <c r="M121">
        <v>15793</v>
      </c>
      <c r="N121">
        <f t="shared" si="32"/>
        <v>7.3592520569852327E-2</v>
      </c>
      <c r="O121" s="10">
        <v>0.80730636300000003</v>
      </c>
      <c r="P121">
        <f t="shared" si="33"/>
        <v>0.79361165117212784</v>
      </c>
      <c r="Q121" s="23">
        <v>0.44019999999999998</v>
      </c>
      <c r="R121" s="13">
        <f t="shared" si="34"/>
        <v>0.95322650498051098</v>
      </c>
      <c r="S121">
        <f t="shared" si="35"/>
        <v>9.7666884043186963E-2</v>
      </c>
      <c r="T121" s="14">
        <f t="shared" si="23"/>
        <v>0.20626721679849755</v>
      </c>
      <c r="U121" t="str">
        <f t="shared" si="36"/>
        <v>Low</v>
      </c>
      <c r="V121">
        <f t="shared" si="37"/>
        <v>0.10659105676266095</v>
      </c>
      <c r="W121">
        <f t="shared" si="24"/>
        <v>0.19349405017699228</v>
      </c>
      <c r="X121" t="s">
        <v>1169</v>
      </c>
      <c r="Y121">
        <f t="shared" si="25"/>
        <v>8.8742711323712989E-2</v>
      </c>
      <c r="Z121">
        <f t="shared" si="38"/>
        <v>0.19621903033391164</v>
      </c>
      <c r="AA121" t="str">
        <f t="shared" si="42"/>
        <v>Low</v>
      </c>
      <c r="AB121">
        <f t="shared" si="26"/>
        <v>6.6809908030912246E-2</v>
      </c>
      <c r="AC121">
        <f t="shared" si="39"/>
        <v>0.19594383964159826</v>
      </c>
      <c r="AD121" t="str">
        <f t="shared" si="40"/>
        <v>Low</v>
      </c>
      <c r="AE121">
        <f t="shared" si="27"/>
        <v>8.2292136196200315E-3</v>
      </c>
      <c r="AF121">
        <f t="shared" si="41"/>
        <v>5.4228971496460887E-2</v>
      </c>
      <c r="AG121" t="s">
        <v>1170</v>
      </c>
    </row>
    <row r="122" spans="1:33" customFormat="1" x14ac:dyDescent="0.3">
      <c r="A122">
        <v>204649</v>
      </c>
      <c r="B122" t="s">
        <v>271</v>
      </c>
      <c r="C122" t="s">
        <v>672</v>
      </c>
      <c r="D122" t="s">
        <v>673</v>
      </c>
      <c r="E122" s="21">
        <v>6.2</v>
      </c>
      <c r="F122" s="2">
        <f t="shared" si="28"/>
        <v>0.66666666666666663</v>
      </c>
      <c r="G122" s="10">
        <v>35.822879999999998</v>
      </c>
      <c r="H122">
        <f t="shared" si="29"/>
        <v>0.32696756216812994</v>
      </c>
      <c r="I122" s="12">
        <v>48.20000000000001</v>
      </c>
      <c r="J122" s="2">
        <f t="shared" si="30"/>
        <v>0.1168201648085313</v>
      </c>
      <c r="K122" s="10">
        <v>0</v>
      </c>
      <c r="L122" s="2">
        <f t="shared" si="31"/>
        <v>0</v>
      </c>
      <c r="M122">
        <v>15837</v>
      </c>
      <c r="N122">
        <f t="shared" si="32"/>
        <v>7.3800703089144701E-2</v>
      </c>
      <c r="O122" s="10">
        <v>0.90342085400000005</v>
      </c>
      <c r="P122">
        <f t="shared" si="33"/>
        <v>0.89946146404796223</v>
      </c>
      <c r="Q122" s="23">
        <v>0.4178</v>
      </c>
      <c r="R122" s="13">
        <f t="shared" si="34"/>
        <v>0.90472065829363368</v>
      </c>
      <c r="S122">
        <f t="shared" si="35"/>
        <v>9.3411953031355618E-2</v>
      </c>
      <c r="T122" s="14">
        <f t="shared" si="23"/>
        <v>0.1972810308862698</v>
      </c>
      <c r="U122" t="str">
        <f t="shared" si="36"/>
        <v>Low</v>
      </c>
      <c r="V122">
        <f t="shared" si="37"/>
        <v>9.3684249048357399E-2</v>
      </c>
      <c r="W122">
        <f t="shared" si="24"/>
        <v>0.17006440630867967</v>
      </c>
      <c r="X122" t="s">
        <v>1170</v>
      </c>
      <c r="Y122">
        <f t="shared" si="25"/>
        <v>9.3139657014353824E-2</v>
      </c>
      <c r="Z122">
        <f t="shared" si="38"/>
        <v>0.20594111800713191</v>
      </c>
      <c r="AA122" t="str">
        <f t="shared" si="42"/>
        <v>Low</v>
      </c>
      <c r="AB122">
        <f t="shared" si="26"/>
        <v>6.3406118383543472E-2</v>
      </c>
      <c r="AC122">
        <f t="shared" si="39"/>
        <v>0.18596101475087742</v>
      </c>
      <c r="AD122" t="str">
        <f t="shared" si="40"/>
        <v>Low</v>
      </c>
      <c r="AE122">
        <f t="shared" si="27"/>
        <v>7.6420974637492296E-3</v>
      </c>
      <c r="AF122">
        <f t="shared" si="41"/>
        <v>5.0359986347513021E-2</v>
      </c>
      <c r="AG122" t="s">
        <v>1170</v>
      </c>
    </row>
    <row r="123" spans="1:33" customFormat="1" x14ac:dyDescent="0.3">
      <c r="A123">
        <v>204661</v>
      </c>
      <c r="B123" t="s">
        <v>298</v>
      </c>
      <c r="C123" t="s">
        <v>672</v>
      </c>
      <c r="D123" t="s">
        <v>674</v>
      </c>
      <c r="E123" s="21">
        <v>5</v>
      </c>
      <c r="F123" s="2">
        <f t="shared" si="28"/>
        <v>0.39999999999999997</v>
      </c>
      <c r="G123" s="10">
        <v>32.539320000000004</v>
      </c>
      <c r="H123">
        <f t="shared" si="29"/>
        <v>0.29699739761316446</v>
      </c>
      <c r="I123" s="12">
        <v>67.900000000000006</v>
      </c>
      <c r="J123" s="2">
        <f t="shared" si="30"/>
        <v>0.16456616577799324</v>
      </c>
      <c r="K123" s="10">
        <v>0</v>
      </c>
      <c r="L123" s="2">
        <f t="shared" si="31"/>
        <v>0</v>
      </c>
      <c r="M123">
        <v>2349</v>
      </c>
      <c r="N123">
        <f t="shared" si="32"/>
        <v>9.9832980842476798E-3</v>
      </c>
      <c r="O123" s="10">
        <v>0.85465459600000004</v>
      </c>
      <c r="P123">
        <f t="shared" si="33"/>
        <v>0.84575573008163807</v>
      </c>
      <c r="Q123" s="23">
        <v>0.45419999999999999</v>
      </c>
      <c r="R123" s="13">
        <f t="shared" si="34"/>
        <v>0.98354265915980943</v>
      </c>
      <c r="S123">
        <f t="shared" si="35"/>
        <v>5.9103623813079126E-2</v>
      </c>
      <c r="T123" s="14">
        <f t="shared" si="23"/>
        <v>0.12482368108762924</v>
      </c>
      <c r="U123" t="str">
        <f t="shared" si="36"/>
        <v>No Impact</v>
      </c>
      <c r="V123">
        <f t="shared" si="37"/>
        <v>6.3555443631262309E-2</v>
      </c>
      <c r="W123">
        <f t="shared" si="24"/>
        <v>0.11537178232870608</v>
      </c>
      <c r="X123" t="s">
        <v>1170</v>
      </c>
      <c r="Y123">
        <f t="shared" si="25"/>
        <v>5.4651803994895935E-2</v>
      </c>
      <c r="Z123">
        <f t="shared" si="38"/>
        <v>0.12084061694666733</v>
      </c>
      <c r="AA123" t="s">
        <v>1170</v>
      </c>
      <c r="AB123">
        <f t="shared" si="26"/>
        <v>3.8865734874680501E-2</v>
      </c>
      <c r="AC123">
        <f t="shared" si="39"/>
        <v>0.11398760372957939</v>
      </c>
      <c r="AD123" t="str">
        <f t="shared" si="40"/>
        <v>No Impact</v>
      </c>
      <c r="AE123">
        <f t="shared" si="27"/>
        <v>6.4510972934260676E-4</v>
      </c>
      <c r="AF123">
        <f t="shared" si="41"/>
        <v>4.2511519012220179E-3</v>
      </c>
      <c r="AG123" t="s">
        <v>1170</v>
      </c>
    </row>
    <row r="124" spans="1:33" customFormat="1" x14ac:dyDescent="0.3">
      <c r="A124">
        <v>204665</v>
      </c>
      <c r="B124" t="s">
        <v>317</v>
      </c>
      <c r="C124" t="s">
        <v>672</v>
      </c>
      <c r="D124" t="s">
        <v>675</v>
      </c>
      <c r="E124" s="21">
        <v>6</v>
      </c>
      <c r="F124" s="2">
        <f t="shared" si="28"/>
        <v>0.62222222222222223</v>
      </c>
      <c r="G124" s="10">
        <v>28.299599999999998</v>
      </c>
      <c r="H124">
        <f t="shared" si="29"/>
        <v>0.25830003680142999</v>
      </c>
      <c r="I124" s="12">
        <v>47.699999999999996</v>
      </c>
      <c r="J124" s="2">
        <f t="shared" si="30"/>
        <v>0.11560833737275812</v>
      </c>
      <c r="K124" s="10">
        <v>0</v>
      </c>
      <c r="L124" s="2">
        <f t="shared" si="31"/>
        <v>0</v>
      </c>
      <c r="M124">
        <v>8061</v>
      </c>
      <c r="N124">
        <f t="shared" si="32"/>
        <v>3.7009174225111546E-2</v>
      </c>
      <c r="O124" s="10">
        <v>0.83036402099999995</v>
      </c>
      <c r="P124">
        <f t="shared" si="33"/>
        <v>0.81900479178247532</v>
      </c>
      <c r="Q124" s="23">
        <v>0.42359999999999998</v>
      </c>
      <c r="R124" s="13">
        <f t="shared" si="34"/>
        <v>0.9172802078822001</v>
      </c>
      <c r="S124">
        <f t="shared" si="35"/>
        <v>7.0691919033455161E-2</v>
      </c>
      <c r="T124" s="14">
        <f t="shared" si="23"/>
        <v>0.14929753858767342</v>
      </c>
      <c r="U124" t="str">
        <f t="shared" si="36"/>
        <v>No Impact</v>
      </c>
      <c r="V124">
        <f t="shared" si="37"/>
        <v>7.4693150259459287E-2</v>
      </c>
      <c r="W124">
        <f t="shared" si="24"/>
        <v>0.13558998853311155</v>
      </c>
      <c r="X124" t="s">
        <v>1170</v>
      </c>
      <c r="Y124">
        <f t="shared" si="25"/>
        <v>6.6690687807451049E-2</v>
      </c>
      <c r="Z124">
        <f t="shared" si="38"/>
        <v>0.14745979583771129</v>
      </c>
      <c r="AA124" t="s">
        <v>1170</v>
      </c>
      <c r="AB124">
        <f t="shared" si="26"/>
        <v>4.7204575105549602E-2</v>
      </c>
      <c r="AC124">
        <f t="shared" si="39"/>
        <v>0.1384442213354338</v>
      </c>
      <c r="AD124" t="str">
        <f t="shared" si="40"/>
        <v>No Impact</v>
      </c>
      <c r="AE124">
        <f t="shared" si="27"/>
        <v>3.013617635724425E-3</v>
      </c>
      <c r="AF124">
        <f t="shared" si="41"/>
        <v>1.9859173965212674E-2</v>
      </c>
      <c r="AG124" t="s">
        <v>1170</v>
      </c>
    </row>
    <row r="125" spans="1:33" customFormat="1" x14ac:dyDescent="0.3">
      <c r="A125">
        <v>204667</v>
      </c>
      <c r="B125" t="s">
        <v>321</v>
      </c>
      <c r="C125" t="s">
        <v>672</v>
      </c>
      <c r="D125" t="s">
        <v>676</v>
      </c>
      <c r="E125" s="21">
        <v>6.2</v>
      </c>
      <c r="F125" s="2">
        <f t="shared" si="28"/>
        <v>0.66666666666666663</v>
      </c>
      <c r="G125" s="10">
        <v>31.07808</v>
      </c>
      <c r="H125">
        <f t="shared" si="29"/>
        <v>0.2836601650807003</v>
      </c>
      <c r="I125" s="12">
        <v>77</v>
      </c>
      <c r="J125" s="2">
        <f t="shared" si="30"/>
        <v>0.18662142510906449</v>
      </c>
      <c r="K125" s="10">
        <v>0</v>
      </c>
      <c r="L125" s="2">
        <f t="shared" si="31"/>
        <v>0</v>
      </c>
      <c r="M125">
        <v>12067</v>
      </c>
      <c r="N125">
        <f t="shared" si="32"/>
        <v>5.5963246322503109E-2</v>
      </c>
      <c r="O125" s="10">
        <v>0.95616841299999999</v>
      </c>
      <c r="P125">
        <f t="shared" si="33"/>
        <v>0.95755176023240574</v>
      </c>
      <c r="Q125" s="23">
        <v>0.40610000000000002</v>
      </c>
      <c r="R125" s="13">
        <f t="shared" si="34"/>
        <v>0.8793850151580771</v>
      </c>
      <c r="S125">
        <f t="shared" si="35"/>
        <v>0.10078571391101442</v>
      </c>
      <c r="T125" s="14">
        <f t="shared" si="23"/>
        <v>0.21285401807517523</v>
      </c>
      <c r="U125" t="str">
        <f t="shared" si="36"/>
        <v>Low</v>
      </c>
      <c r="V125">
        <f t="shared" si="37"/>
        <v>9.6497002774104543E-2</v>
      </c>
      <c r="W125">
        <f t="shared" si="24"/>
        <v>0.17517037980284519</v>
      </c>
      <c r="X125" t="s">
        <v>1170</v>
      </c>
      <c r="Y125">
        <f t="shared" si="25"/>
        <v>0.10507442504792429</v>
      </c>
      <c r="Z125">
        <f t="shared" si="38"/>
        <v>0.23233008647424253</v>
      </c>
      <c r="AA125" t="str">
        <f t="shared" si="42"/>
        <v>Low</v>
      </c>
      <c r="AB125">
        <f t="shared" si="26"/>
        <v>6.7445621383920004E-2</v>
      </c>
      <c r="AC125">
        <f t="shared" si="39"/>
        <v>0.19780829536337741</v>
      </c>
      <c r="AD125" t="str">
        <f t="shared" si="40"/>
        <v>Low</v>
      </c>
      <c r="AE125">
        <f t="shared" si="27"/>
        <v>6.1409797103032628E-3</v>
      </c>
      <c r="AF125">
        <f t="shared" si="41"/>
        <v>4.046790241006732E-2</v>
      </c>
      <c r="AG125" t="s">
        <v>1170</v>
      </c>
    </row>
    <row r="126" spans="1:33" customFormat="1" x14ac:dyDescent="0.3">
      <c r="A126">
        <v>204670</v>
      </c>
      <c r="B126" t="s">
        <v>329</v>
      </c>
      <c r="C126" t="s">
        <v>672</v>
      </c>
      <c r="D126" t="s">
        <v>677</v>
      </c>
      <c r="E126" s="21">
        <v>6.2</v>
      </c>
      <c r="F126" s="2">
        <f t="shared" si="28"/>
        <v>0.66666666666666663</v>
      </c>
      <c r="G126" s="10">
        <v>33.277680000000004</v>
      </c>
      <c r="H126">
        <f t="shared" si="29"/>
        <v>0.30373665948162565</v>
      </c>
      <c r="I126" s="12">
        <v>46.8</v>
      </c>
      <c r="J126" s="2">
        <f t="shared" si="30"/>
        <v>0.11342704798836646</v>
      </c>
      <c r="K126" s="10">
        <v>0</v>
      </c>
      <c r="L126" s="2">
        <f t="shared" si="31"/>
        <v>0</v>
      </c>
      <c r="M126">
        <v>9838</v>
      </c>
      <c r="N126">
        <f t="shared" si="32"/>
        <v>4.5416909151987435E-2</v>
      </c>
      <c r="O126" s="10">
        <v>0.91808002099999997</v>
      </c>
      <c r="P126">
        <f t="shared" si="33"/>
        <v>0.9156054405464239</v>
      </c>
      <c r="Q126" s="23">
        <v>0.41789999999999999</v>
      </c>
      <c r="R126" s="13">
        <f t="shared" si="34"/>
        <v>0.9049372022520572</v>
      </c>
      <c r="S126">
        <f t="shared" si="35"/>
        <v>8.8604170488987027E-2</v>
      </c>
      <c r="T126" s="14">
        <f t="shared" si="23"/>
        <v>0.18712725221602716</v>
      </c>
      <c r="U126" t="str">
        <f t="shared" si="36"/>
        <v>Low</v>
      </c>
      <c r="V126">
        <f t="shared" si="37"/>
        <v>8.808495694109772E-2</v>
      </c>
      <c r="W126">
        <f t="shared" si="24"/>
        <v>0.15990004786376677</v>
      </c>
      <c r="X126" t="s">
        <v>1170</v>
      </c>
      <c r="Y126">
        <f t="shared" si="25"/>
        <v>8.9123384036876349E-2</v>
      </c>
      <c r="Z126">
        <f t="shared" si="38"/>
        <v>0.19706073586146783</v>
      </c>
      <c r="AA126" t="str">
        <f t="shared" si="42"/>
        <v>Low</v>
      </c>
      <c r="AB126">
        <f t="shared" si="26"/>
        <v>5.911403018041355E-2</v>
      </c>
      <c r="AC126">
        <f t="shared" si="39"/>
        <v>0.17337293811091919</v>
      </c>
      <c r="AD126" t="str">
        <f t="shared" si="40"/>
        <v>Low</v>
      </c>
      <c r="AE126">
        <f t="shared" si="27"/>
        <v>4.4208001141898745E-3</v>
      </c>
      <c r="AF126">
        <f t="shared" si="41"/>
        <v>2.913224209083335E-2</v>
      </c>
      <c r="AG126" t="s">
        <v>1170</v>
      </c>
    </row>
    <row r="127" spans="1:33" customFormat="1" x14ac:dyDescent="0.3">
      <c r="A127">
        <v>204677</v>
      </c>
      <c r="B127" t="s">
        <v>402</v>
      </c>
      <c r="C127" t="s">
        <v>672</v>
      </c>
      <c r="D127" t="s">
        <v>678</v>
      </c>
      <c r="E127" s="21">
        <v>6.2</v>
      </c>
      <c r="F127" s="2">
        <f t="shared" si="28"/>
        <v>0.66666666666666663</v>
      </c>
      <c r="G127" s="10">
        <v>35.822879999999998</v>
      </c>
      <c r="H127">
        <f t="shared" si="29"/>
        <v>0.32696756216812994</v>
      </c>
      <c r="I127" s="12">
        <v>56.399999999999991</v>
      </c>
      <c r="J127" s="2">
        <f t="shared" si="30"/>
        <v>0.13669413475521086</v>
      </c>
      <c r="K127" s="10">
        <v>0</v>
      </c>
      <c r="L127" s="2">
        <f t="shared" si="31"/>
        <v>0</v>
      </c>
      <c r="M127">
        <v>7474</v>
      </c>
      <c r="N127">
        <f t="shared" si="32"/>
        <v>3.4231830160915626E-2</v>
      </c>
      <c r="O127" s="10">
        <v>0.87037959200000004</v>
      </c>
      <c r="P127">
        <f t="shared" si="33"/>
        <v>0.86307349212517059</v>
      </c>
      <c r="Q127" s="23">
        <v>0.42820000000000003</v>
      </c>
      <c r="R127" s="13">
        <f t="shared" si="34"/>
        <v>0.92724122996968394</v>
      </c>
      <c r="S127">
        <f t="shared" si="35"/>
        <v>9.6845042241889612E-2</v>
      </c>
      <c r="T127" s="14">
        <f t="shared" si="23"/>
        <v>0.20453153102677465</v>
      </c>
      <c r="U127" t="str">
        <f t="shared" si="36"/>
        <v>Low</v>
      </c>
      <c r="V127">
        <f t="shared" si="37"/>
        <v>0.10031612316717349</v>
      </c>
      <c r="W127">
        <f t="shared" si="24"/>
        <v>0.18210320414489001</v>
      </c>
      <c r="X127" t="s">
        <v>1170</v>
      </c>
      <c r="Y127">
        <f t="shared" si="25"/>
        <v>9.3373961316605705E-2</v>
      </c>
      <c r="Z127">
        <f t="shared" si="38"/>
        <v>0.20645918830614748</v>
      </c>
      <c r="AA127" t="str">
        <f t="shared" si="42"/>
        <v>Low</v>
      </c>
      <c r="AB127">
        <f t="shared" si="26"/>
        <v>6.4419043894490574E-2</v>
      </c>
      <c r="AC127">
        <f t="shared" si="39"/>
        <v>0.18893177941341924</v>
      </c>
      <c r="AD127" t="str">
        <f t="shared" si="40"/>
        <v>Low</v>
      </c>
      <c r="AE127">
        <f t="shared" si="27"/>
        <v>3.7034639742804048E-3</v>
      </c>
      <c r="AF127">
        <f t="shared" si="41"/>
        <v>2.4405131715209381E-2</v>
      </c>
      <c r="AG127" t="s">
        <v>1170</v>
      </c>
    </row>
    <row r="128" spans="1:33" customFormat="1" x14ac:dyDescent="0.3">
      <c r="A128">
        <v>204680</v>
      </c>
      <c r="B128" t="s">
        <v>432</v>
      </c>
      <c r="C128" t="s">
        <v>672</v>
      </c>
      <c r="D128" t="s">
        <v>679</v>
      </c>
      <c r="E128" s="21">
        <v>6.2</v>
      </c>
      <c r="F128" s="2">
        <f t="shared" si="28"/>
        <v>0.66666666666666663</v>
      </c>
      <c r="G128" s="10">
        <v>31.07808</v>
      </c>
      <c r="H128">
        <f t="shared" si="29"/>
        <v>0.2836601650807003</v>
      </c>
      <c r="I128" s="12">
        <v>70.5</v>
      </c>
      <c r="J128" s="2">
        <f t="shared" si="30"/>
        <v>0.17086766844401358</v>
      </c>
      <c r="K128" s="10">
        <v>0</v>
      </c>
      <c r="L128" s="2">
        <f t="shared" si="31"/>
        <v>0</v>
      </c>
      <c r="M128">
        <v>11497</v>
      </c>
      <c r="N128">
        <f t="shared" si="32"/>
        <v>5.3266336413488331E-2</v>
      </c>
      <c r="O128" s="10">
        <v>0.95523553100000003</v>
      </c>
      <c r="P128">
        <f t="shared" si="33"/>
        <v>0.95652438773000925</v>
      </c>
      <c r="Q128" s="23">
        <v>0.42409999999999998</v>
      </c>
      <c r="R128" s="13">
        <f t="shared" si="34"/>
        <v>0.91836292767431782</v>
      </c>
      <c r="S128">
        <f t="shared" si="35"/>
        <v>9.9421988116931134E-2</v>
      </c>
      <c r="T128" s="14">
        <f t="shared" si="23"/>
        <v>0.20997390239648217</v>
      </c>
      <c r="U128" t="str">
        <f t="shared" si="36"/>
        <v>Low</v>
      </c>
      <c r="V128">
        <f t="shared" si="37"/>
        <v>9.7398352777884931E-2</v>
      </c>
      <c r="W128">
        <f t="shared" si="24"/>
        <v>0.17680659458629416</v>
      </c>
      <c r="X128" t="s">
        <v>1170</v>
      </c>
      <c r="Y128">
        <f t="shared" si="25"/>
        <v>0.10144562345597737</v>
      </c>
      <c r="Z128">
        <f t="shared" si="38"/>
        <v>0.22430644240223954</v>
      </c>
      <c r="AA128" t="str">
        <f t="shared" si="42"/>
        <v>Low</v>
      </c>
      <c r="AB128">
        <f t="shared" si="26"/>
        <v>6.6500344829055022E-2</v>
      </c>
      <c r="AC128">
        <f t="shared" si="39"/>
        <v>0.19503593534758865</v>
      </c>
      <c r="AD128" t="str">
        <f t="shared" si="40"/>
        <v>Low</v>
      </c>
      <c r="AE128">
        <f t="shared" si="27"/>
        <v>5.6492409142916665E-3</v>
      </c>
      <c r="AF128">
        <f t="shared" si="41"/>
        <v>3.7227436141329465E-2</v>
      </c>
      <c r="AG128" t="s">
        <v>1170</v>
      </c>
    </row>
    <row r="129" spans="1:33" customFormat="1" x14ac:dyDescent="0.3">
      <c r="A129">
        <v>205133</v>
      </c>
      <c r="B129" t="s">
        <v>253</v>
      </c>
      <c r="C129" t="s">
        <v>681</v>
      </c>
      <c r="D129" t="s">
        <v>680</v>
      </c>
      <c r="E129" s="21">
        <v>6.5</v>
      </c>
      <c r="F129" s="2">
        <f t="shared" si="28"/>
        <v>0.73333333333333328</v>
      </c>
      <c r="G129" s="10">
        <v>50.988239999999998</v>
      </c>
      <c r="H129">
        <f t="shared" si="29"/>
        <v>0.46538694074969772</v>
      </c>
      <c r="I129" s="12">
        <v>73.7</v>
      </c>
      <c r="J129" s="2">
        <f t="shared" si="30"/>
        <v>0.17862336403296172</v>
      </c>
      <c r="K129" s="10">
        <v>0</v>
      </c>
      <c r="L129" s="2">
        <f t="shared" si="31"/>
        <v>0</v>
      </c>
      <c r="M129">
        <v>17191</v>
      </c>
      <c r="N129">
        <f t="shared" si="32"/>
        <v>8.0207046978278046E-2</v>
      </c>
      <c r="O129" s="10">
        <v>0.90302609199999995</v>
      </c>
      <c r="P129">
        <f t="shared" si="33"/>
        <v>0.89902671707697224</v>
      </c>
      <c r="Q129" s="23">
        <v>0.36159999999999998</v>
      </c>
      <c r="R129" s="13">
        <f t="shared" si="34"/>
        <v>0.78302295365959285</v>
      </c>
      <c r="S129">
        <f t="shared" si="35"/>
        <v>0.13901802287586382</v>
      </c>
      <c r="T129" s="14">
        <f t="shared" si="23"/>
        <v>0.29359860247773095</v>
      </c>
      <c r="U129" t="str">
        <f t="shared" si="36"/>
        <v>Low</v>
      </c>
      <c r="V129">
        <f t="shared" si="37"/>
        <v>0.12943054509978735</v>
      </c>
      <c r="W129">
        <f t="shared" si="24"/>
        <v>0.23495442440107878</v>
      </c>
      <c r="X129" t="s">
        <v>1169</v>
      </c>
      <c r="Y129">
        <f t="shared" si="25"/>
        <v>0.14860550065194025</v>
      </c>
      <c r="Z129">
        <f t="shared" si="38"/>
        <v>0.3285816582033767</v>
      </c>
      <c r="AA129" t="str">
        <f t="shared" si="42"/>
        <v>Moderate</v>
      </c>
      <c r="AB129">
        <f t="shared" si="26"/>
        <v>9.4522606782363752E-2</v>
      </c>
      <c r="AC129">
        <f t="shared" si="39"/>
        <v>0.27722119445666354</v>
      </c>
      <c r="AD129" t="str">
        <f t="shared" si="40"/>
        <v>Low</v>
      </c>
      <c r="AE129">
        <f t="shared" si="27"/>
        <v>1.3257902291017466E-2</v>
      </c>
      <c r="AF129">
        <f t="shared" si="41"/>
        <v>8.7367084957948427E-2</v>
      </c>
      <c r="AG129" t="s">
        <v>1170</v>
      </c>
    </row>
    <row r="130" spans="1:33" customFormat="1" x14ac:dyDescent="0.3">
      <c r="A130">
        <v>205143</v>
      </c>
      <c r="B130" t="s">
        <v>299</v>
      </c>
      <c r="C130" t="s">
        <v>681</v>
      </c>
      <c r="D130" t="s">
        <v>682</v>
      </c>
      <c r="E130" s="21">
        <v>6.5</v>
      </c>
      <c r="F130" s="2">
        <f t="shared" si="28"/>
        <v>0.73333333333333328</v>
      </c>
      <c r="G130" s="10">
        <v>47.743920000000003</v>
      </c>
      <c r="H130">
        <f t="shared" si="29"/>
        <v>0.43577493296882397</v>
      </c>
      <c r="I130" s="12">
        <v>79.900000000000006</v>
      </c>
      <c r="J130" s="2">
        <f t="shared" si="30"/>
        <v>0.19365002423654876</v>
      </c>
      <c r="K130" s="10">
        <v>1</v>
      </c>
      <c r="L130" s="2">
        <f t="shared" si="31"/>
        <v>0.58823529411764708</v>
      </c>
      <c r="M130">
        <v>40462</v>
      </c>
      <c r="N130">
        <f t="shared" si="32"/>
        <v>0.19031194257947603</v>
      </c>
      <c r="O130" s="10">
        <v>0.96756664100000001</v>
      </c>
      <c r="P130">
        <f t="shared" si="33"/>
        <v>0.97010450111844027</v>
      </c>
      <c r="Q130" s="23">
        <v>0.37790000000000001</v>
      </c>
      <c r="R130" s="13">
        <f t="shared" si="34"/>
        <v>0.81831961888263327</v>
      </c>
      <c r="S130">
        <f t="shared" si="35"/>
        <v>0.26018367018953237</v>
      </c>
      <c r="T130" s="14">
        <f t="shared" ref="T130:T193" si="45">(S130-$AJ$10)/$AK$10</f>
        <v>0.5494939459999777</v>
      </c>
      <c r="U130" t="str">
        <f t="shared" si="36"/>
        <v>Moderate</v>
      </c>
      <c r="V130">
        <f t="shared" si="37"/>
        <v>0.23810168902089629</v>
      </c>
      <c r="W130">
        <f t="shared" ref="W130:W193" si="46">(V130-$AJ$13)/$AK$13</f>
        <v>0.43222444323091436</v>
      </c>
      <c r="X130" t="str">
        <f t="shared" si="44"/>
        <v>Moderate</v>
      </c>
      <c r="Y130">
        <f t="shared" ref="Y130:Y193" si="47">F130*(P130*1)*(H130*0.35+J130*0.35+L130*0.3)</f>
        <v>0.28226565135816845</v>
      </c>
      <c r="Z130">
        <f t="shared" si="38"/>
        <v>0.62411764955022375</v>
      </c>
      <c r="AA130" t="str">
        <f t="shared" si="42"/>
        <v>Moderate</v>
      </c>
      <c r="AB130">
        <f t="shared" ref="AB130:AB193" si="48">F130*(R130*0.35+P130*0.3+N130*0.35)*(H130*0.35+J130*0.35+L130*0.3)</f>
        <v>0.18739617133545189</v>
      </c>
      <c r="AC130">
        <f t="shared" si="39"/>
        <v>0.54960598551660478</v>
      </c>
      <c r="AD130" t="str">
        <f t="shared" si="40"/>
        <v>Moderate</v>
      </c>
      <c r="AE130">
        <f t="shared" ref="AE130:AE193" si="49">F130*(N130*1)*(H130*0.35+J130*0.35+L130*0.3)</f>
        <v>5.53739564876791E-2</v>
      </c>
      <c r="AF130">
        <f t="shared" si="41"/>
        <v>0.36490396857084717</v>
      </c>
      <c r="AG130" t="str">
        <f t="shared" si="43"/>
        <v>Moderate</v>
      </c>
    </row>
    <row r="131" spans="1:33" customFormat="1" x14ac:dyDescent="0.3">
      <c r="A131">
        <v>205158</v>
      </c>
      <c r="B131" t="s">
        <v>447</v>
      </c>
      <c r="C131" t="s">
        <v>681</v>
      </c>
      <c r="D131" t="s">
        <v>683</v>
      </c>
      <c r="E131" s="21">
        <v>5</v>
      </c>
      <c r="F131" s="2">
        <f t="shared" ref="F131:F194" si="50">(E131-$AJ$5)/$AK$5</f>
        <v>0.39999999999999997</v>
      </c>
      <c r="G131" s="10">
        <v>47.743920000000003</v>
      </c>
      <c r="H131">
        <f t="shared" ref="H131:H194" si="51">(G131-$AJ$6)/$AK$6</f>
        <v>0.43577493296882397</v>
      </c>
      <c r="I131" s="12">
        <v>72.000000000000014</v>
      </c>
      <c r="J131" s="2">
        <f t="shared" ref="J131:J194" si="52">(I131-$AJ$7)/$AK$7</f>
        <v>0.17450315075133305</v>
      </c>
      <c r="K131" s="10">
        <v>0</v>
      </c>
      <c r="L131" s="2">
        <f t="shared" ref="L131:L194" si="53">(K131-$AJ$8)/$AK$8</f>
        <v>0</v>
      </c>
      <c r="M131">
        <v>15111</v>
      </c>
      <c r="N131">
        <f t="shared" ref="N131:N194" si="54">(M131-$AJ$9)/$AK$9</f>
        <v>7.0365691520820617E-2</v>
      </c>
      <c r="O131" s="10">
        <v>0.87404807399999995</v>
      </c>
      <c r="P131">
        <f t="shared" ref="P131:P194" si="55">(O131-$AJ$11)/$AK$11</f>
        <v>0.86711355028079617</v>
      </c>
      <c r="Q131" s="23">
        <v>0.39319999999999999</v>
      </c>
      <c r="R131" s="13">
        <f t="shared" ref="R131:R194" si="56">(Q131-$AJ$12)/$AK$12</f>
        <v>0.85145084452143782</v>
      </c>
      <c r="S131">
        <f t="shared" ref="S131:S194" si="57">F131*(R131*0.5+P131*0.5)*(H131*0.35+J131*0.35+L131*0.3)</f>
        <v>7.3416152992671901E-2</v>
      </c>
      <c r="T131" s="14">
        <f t="shared" si="45"/>
        <v>0.15505097448542474</v>
      </c>
      <c r="U131" t="str">
        <f t="shared" ref="U131:U194" si="58">IF(T131&gt;0.7,"High",IF(T131&gt;0.3,"Moderate",IF(T131&gt;0.15,"Low","No Impact")))</f>
        <v>Low</v>
      </c>
      <c r="V131">
        <f t="shared" ref="V131:V194" si="59">F131*(R131*1)*(H131*0.35+J131*0.35+L131*0.3)</f>
        <v>7.2747050568703328E-2</v>
      </c>
      <c r="W131">
        <f t="shared" si="46"/>
        <v>0.13205724645653169</v>
      </c>
      <c r="X131" t="s">
        <v>1170</v>
      </c>
      <c r="Y131">
        <f t="shared" si="47"/>
        <v>7.4085255416640475E-2</v>
      </c>
      <c r="Z131">
        <f t="shared" ref="Z131:Z194" si="60">(Y131-$AJ$14)/$AK$14</f>
        <v>0.16380992605540265</v>
      </c>
      <c r="AA131" t="s">
        <v>1170</v>
      </c>
      <c r="AB131">
        <f t="shared" si="48"/>
        <v>4.9791233653705837E-2</v>
      </c>
      <c r="AC131">
        <f t="shared" ref="AC131:AC194" si="61">(AB131-$AJ$15)/$AK$15</f>
        <v>0.1460305183788751</v>
      </c>
      <c r="AD131" t="str">
        <f t="shared" ref="AD131:AD194" si="62">IF(AC131&gt;0.7,"High",IF(AC131&gt;0.3,"Moderate",IF(AC131&gt;0.15,"Low","No Impact")))</f>
        <v>No Impact</v>
      </c>
      <c r="AE131">
        <f t="shared" si="49"/>
        <v>6.0119695133358138E-3</v>
      </c>
      <c r="AF131">
        <f t="shared" ref="AF131:AF194" si="63">(AE131-$AJ$16)/$AK$16</f>
        <v>3.9617749452873378E-2</v>
      </c>
      <c r="AG131" t="s">
        <v>1170</v>
      </c>
    </row>
    <row r="132" spans="1:33" customFormat="1" x14ac:dyDescent="0.3">
      <c r="A132">
        <v>205165</v>
      </c>
      <c r="B132" t="s">
        <v>431</v>
      </c>
      <c r="C132" t="s">
        <v>681</v>
      </c>
      <c r="D132" t="s">
        <v>684</v>
      </c>
      <c r="E132" s="21">
        <v>6.5</v>
      </c>
      <c r="F132" s="2">
        <f t="shared" si="50"/>
        <v>0.73333333333333328</v>
      </c>
      <c r="G132" s="10">
        <v>41.81832</v>
      </c>
      <c r="H132">
        <f t="shared" si="51"/>
        <v>0.38168997423899903</v>
      </c>
      <c r="I132" s="12">
        <v>70.5</v>
      </c>
      <c r="J132" s="2">
        <f t="shared" si="52"/>
        <v>0.17086766844401358</v>
      </c>
      <c r="K132" s="10">
        <v>0</v>
      </c>
      <c r="L132" s="2">
        <f t="shared" si="53"/>
        <v>0</v>
      </c>
      <c r="M132">
        <v>18858</v>
      </c>
      <c r="N132">
        <f t="shared" si="54"/>
        <v>8.8094325606923013E-2</v>
      </c>
      <c r="O132" s="10">
        <v>0.98073412900000001</v>
      </c>
      <c r="P132">
        <f t="shared" si="55"/>
        <v>0.98460570823449101</v>
      </c>
      <c r="Q132" s="23">
        <v>0.34699999999999998</v>
      </c>
      <c r="R132" s="13">
        <f t="shared" si="56"/>
        <v>0.75140753572975305</v>
      </c>
      <c r="S132">
        <f t="shared" si="57"/>
        <v>0.12310341450475944</v>
      </c>
      <c r="T132" s="14">
        <f t="shared" si="45"/>
        <v>0.25998780381956732</v>
      </c>
      <c r="U132" t="str">
        <f t="shared" si="58"/>
        <v>Low</v>
      </c>
      <c r="V132">
        <f t="shared" si="59"/>
        <v>0.1065669673368515</v>
      </c>
      <c r="W132">
        <f t="shared" si="46"/>
        <v>0.19345032079942653</v>
      </c>
      <c r="X132" t="s">
        <v>1169</v>
      </c>
      <c r="Y132">
        <f t="shared" si="47"/>
        <v>0.13963986167266734</v>
      </c>
      <c r="Z132">
        <f t="shared" si="60"/>
        <v>0.30875773170174448</v>
      </c>
      <c r="AA132" t="str">
        <f t="shared" ref="AA132:AA146" si="64">IF(Z132&gt;0.7,"High",IF(Z132&gt;0.3,"Moderate",IF(Z132&gt;0.15,"Low","No Impact")))</f>
        <v>Moderate</v>
      </c>
      <c r="AB132">
        <f t="shared" si="48"/>
        <v>8.356323156441639E-2</v>
      </c>
      <c r="AC132">
        <f t="shared" si="61"/>
        <v>0.24507892509020976</v>
      </c>
      <c r="AD132" t="str">
        <f t="shared" si="62"/>
        <v>Low</v>
      </c>
      <c r="AE132">
        <f t="shared" si="49"/>
        <v>1.2493812842051855E-2</v>
      </c>
      <c r="AF132">
        <f t="shared" si="63"/>
        <v>8.2331879060520793E-2</v>
      </c>
      <c r="AG132" t="s">
        <v>1170</v>
      </c>
    </row>
    <row r="133" spans="1:33" customFormat="1" x14ac:dyDescent="0.3">
      <c r="A133">
        <v>205173</v>
      </c>
      <c r="B133" t="s">
        <v>433</v>
      </c>
      <c r="C133" t="s">
        <v>681</v>
      </c>
      <c r="D133" t="s">
        <v>685</v>
      </c>
      <c r="E133" s="21">
        <v>6.5</v>
      </c>
      <c r="F133" s="2">
        <f t="shared" si="50"/>
        <v>0.73333333333333328</v>
      </c>
      <c r="G133" s="10">
        <v>56.544840000000001</v>
      </c>
      <c r="H133">
        <f t="shared" si="51"/>
        <v>0.5161039114662741</v>
      </c>
      <c r="I133" s="12">
        <v>66.400000000000006</v>
      </c>
      <c r="J133" s="2">
        <f t="shared" si="52"/>
        <v>0.1609306834706738</v>
      </c>
      <c r="K133" s="10">
        <v>1</v>
      </c>
      <c r="L133" s="2">
        <f t="shared" si="53"/>
        <v>0.58823529411764708</v>
      </c>
      <c r="M133">
        <v>8289</v>
      </c>
      <c r="N133">
        <f t="shared" si="54"/>
        <v>3.8087938188717453E-2</v>
      </c>
      <c r="O133" s="10">
        <v>0.88596356399999998</v>
      </c>
      <c r="P133">
        <f t="shared" si="55"/>
        <v>0.8802359460163558</v>
      </c>
      <c r="Q133" s="23">
        <v>0.34549999999999997</v>
      </c>
      <c r="R133" s="13">
        <f t="shared" si="56"/>
        <v>0.74815937635339969</v>
      </c>
      <c r="S133">
        <f t="shared" si="57"/>
        <v>0.24685168531299173</v>
      </c>
      <c r="T133" s="14">
        <f t="shared" si="45"/>
        <v>0.52133750953920444</v>
      </c>
      <c r="U133" t="str">
        <f t="shared" si="58"/>
        <v>Moderate</v>
      </c>
      <c r="V133">
        <f t="shared" si="59"/>
        <v>0.22682993545668975</v>
      </c>
      <c r="W133">
        <f t="shared" si="46"/>
        <v>0.41176290249779646</v>
      </c>
      <c r="X133" t="str">
        <f t="shared" ref="X133:X142" si="65">IF(W133&gt;0.7,"High",IF(W133&gt;0.3,"Moderate",IF(W133&gt;0.15,"Low","No Impact")))</f>
        <v>Moderate</v>
      </c>
      <c r="Y133">
        <f t="shared" si="47"/>
        <v>0.26687343516929368</v>
      </c>
      <c r="Z133">
        <f t="shared" si="60"/>
        <v>0.5900839166360492</v>
      </c>
      <c r="AA133" t="str">
        <f t="shared" si="64"/>
        <v>Moderate</v>
      </c>
      <c r="AB133">
        <f t="shared" si="48"/>
        <v>0.16349418636757163</v>
      </c>
      <c r="AC133">
        <f t="shared" si="61"/>
        <v>0.47950490548674995</v>
      </c>
      <c r="AD133" t="str">
        <f t="shared" si="62"/>
        <v>Moderate</v>
      </c>
      <c r="AE133">
        <f t="shared" si="49"/>
        <v>1.1547652591263162E-2</v>
      </c>
      <c r="AF133">
        <f t="shared" si="63"/>
        <v>7.609686078990828E-2</v>
      </c>
      <c r="AG133" t="s">
        <v>1170</v>
      </c>
    </row>
    <row r="134" spans="1:33" customFormat="1" x14ac:dyDescent="0.3">
      <c r="A134">
        <v>207507</v>
      </c>
      <c r="B134" t="s">
        <v>58</v>
      </c>
      <c r="C134" t="s">
        <v>687</v>
      </c>
      <c r="D134" t="s">
        <v>686</v>
      </c>
      <c r="E134" s="21">
        <v>6.6</v>
      </c>
      <c r="F134" s="2">
        <f t="shared" si="50"/>
        <v>0.75555555555555542</v>
      </c>
      <c r="G134" s="10">
        <v>47.79504</v>
      </c>
      <c r="H134">
        <f t="shared" si="51"/>
        <v>0.43624152252773252</v>
      </c>
      <c r="I134" s="12">
        <v>73.399999999999991</v>
      </c>
      <c r="J134" s="2">
        <f t="shared" si="52"/>
        <v>0.17789626757149782</v>
      </c>
      <c r="K134" s="10">
        <v>0</v>
      </c>
      <c r="L134" s="2">
        <f t="shared" si="53"/>
        <v>0</v>
      </c>
      <c r="M134">
        <v>35521</v>
      </c>
      <c r="N134">
        <f t="shared" si="54"/>
        <v>0.16693399194712163</v>
      </c>
      <c r="O134" s="10">
        <v>0.93623014699999996</v>
      </c>
      <c r="P134">
        <f t="shared" si="55"/>
        <v>0.93559397110809339</v>
      </c>
      <c r="Q134" s="23">
        <v>0.31330000000000002</v>
      </c>
      <c r="R134" s="13">
        <f t="shared" si="56"/>
        <v>0.67843222174101347</v>
      </c>
      <c r="S134">
        <f t="shared" si="57"/>
        <v>0.13106322558821812</v>
      </c>
      <c r="T134" s="14">
        <f t="shared" si="45"/>
        <v>0.27679849758246911</v>
      </c>
      <c r="U134" t="str">
        <f t="shared" si="58"/>
        <v>Low</v>
      </c>
      <c r="V134">
        <f t="shared" si="59"/>
        <v>0.11018100662592066</v>
      </c>
      <c r="W134">
        <f t="shared" si="46"/>
        <v>0.20001086275087598</v>
      </c>
      <c r="X134" t="s">
        <v>1169</v>
      </c>
      <c r="Y134">
        <f t="shared" si="47"/>
        <v>0.15194544455051559</v>
      </c>
      <c r="Z134">
        <f t="shared" si="60"/>
        <v>0.3359666089601494</v>
      </c>
      <c r="AA134" t="str">
        <f t="shared" si="64"/>
        <v>Moderate</v>
      </c>
      <c r="AB134">
        <f t="shared" si="48"/>
        <v>9.3635825009938486E-2</v>
      </c>
      <c r="AC134">
        <f t="shared" si="61"/>
        <v>0.27462039121453374</v>
      </c>
      <c r="AD134" t="str">
        <f t="shared" si="62"/>
        <v>Low</v>
      </c>
      <c r="AE134">
        <f t="shared" si="49"/>
        <v>2.7110969502033132E-2</v>
      </c>
      <c r="AF134">
        <f t="shared" si="63"/>
        <v>0.17865619490809365</v>
      </c>
      <c r="AG134" t="s">
        <v>1169</v>
      </c>
    </row>
    <row r="135" spans="1:33" customFormat="1" x14ac:dyDescent="0.3">
      <c r="A135">
        <v>207510</v>
      </c>
      <c r="B135" t="s">
        <v>103</v>
      </c>
      <c r="C135" t="s">
        <v>687</v>
      </c>
      <c r="D135" t="s">
        <v>688</v>
      </c>
      <c r="E135" s="21">
        <v>6.5</v>
      </c>
      <c r="F135" s="2">
        <f t="shared" si="50"/>
        <v>0.73333333333333328</v>
      </c>
      <c r="G135" s="10">
        <v>45.282240000000002</v>
      </c>
      <c r="H135">
        <f t="shared" si="51"/>
        <v>0.41330634561800117</v>
      </c>
      <c r="I135" s="12">
        <v>75</v>
      </c>
      <c r="J135" s="2">
        <f t="shared" si="52"/>
        <v>0.18177411536597191</v>
      </c>
      <c r="K135" s="10">
        <v>0</v>
      </c>
      <c r="L135" s="2">
        <f t="shared" si="53"/>
        <v>0</v>
      </c>
      <c r="M135">
        <v>14588</v>
      </c>
      <c r="N135">
        <f t="shared" si="54"/>
        <v>6.789115839377724E-2</v>
      </c>
      <c r="O135" s="10">
        <v>0.99471256200000002</v>
      </c>
      <c r="P135">
        <f t="shared" si="55"/>
        <v>1</v>
      </c>
      <c r="Q135" s="23">
        <v>0.35680000000000001</v>
      </c>
      <c r="R135" s="13">
        <f t="shared" si="56"/>
        <v>0.77262884365526208</v>
      </c>
      <c r="S135">
        <f t="shared" si="57"/>
        <v>0.13537328797760206</v>
      </c>
      <c r="T135" s="14">
        <f t="shared" si="45"/>
        <v>0.28590111800489393</v>
      </c>
      <c r="U135" t="str">
        <f t="shared" si="58"/>
        <v>Low</v>
      </c>
      <c r="V135">
        <f t="shared" si="59"/>
        <v>0.11800925763598442</v>
      </c>
      <c r="W135">
        <f t="shared" si="46"/>
        <v>0.2142214357552519</v>
      </c>
      <c r="X135" t="s">
        <v>1169</v>
      </c>
      <c r="Y135">
        <f t="shared" si="47"/>
        <v>0.15273731831921974</v>
      </c>
      <c r="Z135">
        <f t="shared" si="60"/>
        <v>0.33771752124042892</v>
      </c>
      <c r="AA135" t="str">
        <f t="shared" si="64"/>
        <v>Moderate</v>
      </c>
      <c r="AB135">
        <f t="shared" si="48"/>
        <v>9.0753765383088283E-2</v>
      </c>
      <c r="AC135">
        <f t="shared" si="61"/>
        <v>0.26616772534497785</v>
      </c>
      <c r="AD135" t="str">
        <f t="shared" si="62"/>
        <v>Low</v>
      </c>
      <c r="AE135">
        <f t="shared" si="49"/>
        <v>1.0369513470650921E-2</v>
      </c>
      <c r="AF135">
        <f t="shared" si="63"/>
        <v>6.8333145355638544E-2</v>
      </c>
      <c r="AG135" t="s">
        <v>1170</v>
      </c>
    </row>
    <row r="136" spans="1:33" customFormat="1" x14ac:dyDescent="0.3">
      <c r="A136">
        <v>207521</v>
      </c>
      <c r="B136" t="s">
        <v>118</v>
      </c>
      <c r="C136" t="s">
        <v>687</v>
      </c>
      <c r="D136" t="s">
        <v>1131</v>
      </c>
      <c r="E136" s="21">
        <v>6.4</v>
      </c>
      <c r="F136" s="2">
        <f t="shared" si="50"/>
        <v>0.71111111111111114</v>
      </c>
      <c r="G136" s="10">
        <v>49.419720000000005</v>
      </c>
      <c r="H136">
        <f t="shared" si="51"/>
        <v>0.45107052731191849</v>
      </c>
      <c r="I136" s="12">
        <v>53.300000000000004</v>
      </c>
      <c r="J136" s="2">
        <f t="shared" si="52"/>
        <v>0.12918080465341739</v>
      </c>
      <c r="K136" s="10">
        <v>0.5</v>
      </c>
      <c r="L136" s="2">
        <f t="shared" si="53"/>
        <v>0.29411764705882354</v>
      </c>
      <c r="M136">
        <v>38608</v>
      </c>
      <c r="N136">
        <f t="shared" si="54"/>
        <v>0.18153988824383852</v>
      </c>
      <c r="O136" s="10">
        <v>0.844903509</v>
      </c>
      <c r="P136">
        <f t="shared" si="55"/>
        <v>0.83501696713811913</v>
      </c>
      <c r="Q136" s="23">
        <v>0.31859999999999999</v>
      </c>
      <c r="R136" s="13">
        <f t="shared" si="56"/>
        <v>0.68990905153746207</v>
      </c>
      <c r="S136">
        <f t="shared" si="57"/>
        <v>0.15795428248365456</v>
      </c>
      <c r="T136" s="14">
        <f t="shared" si="45"/>
        <v>0.33359096635969587</v>
      </c>
      <c r="U136" t="str">
        <f t="shared" si="58"/>
        <v>Moderate</v>
      </c>
      <c r="V136">
        <f t="shared" si="59"/>
        <v>0.14292377188137156</v>
      </c>
      <c r="W136">
        <f t="shared" si="46"/>
        <v>0.25944859097772521</v>
      </c>
      <c r="X136" t="s">
        <v>1169</v>
      </c>
      <c r="Y136">
        <f t="shared" si="47"/>
        <v>0.17298479308593753</v>
      </c>
      <c r="Z136">
        <f t="shared" si="60"/>
        <v>0.38248671756285518</v>
      </c>
      <c r="AA136" t="str">
        <f t="shared" si="64"/>
        <v>Moderate</v>
      </c>
      <c r="AB136">
        <f t="shared" si="48"/>
        <v>0.11508169301158065</v>
      </c>
      <c r="AC136">
        <f t="shared" si="61"/>
        <v>0.33751803386275214</v>
      </c>
      <c r="AD136" t="str">
        <f t="shared" si="62"/>
        <v>Moderate</v>
      </c>
      <c r="AE136">
        <f t="shared" si="49"/>
        <v>3.7608385506626707E-2</v>
      </c>
      <c r="AF136">
        <f t="shared" si="63"/>
        <v>0.24783219392972095</v>
      </c>
      <c r="AG136" t="s">
        <v>1169</v>
      </c>
    </row>
    <row r="137" spans="1:33" customFormat="1" x14ac:dyDescent="0.3">
      <c r="A137">
        <v>207536</v>
      </c>
      <c r="B137" t="s">
        <v>208</v>
      </c>
      <c r="C137" t="s">
        <v>687</v>
      </c>
      <c r="D137" t="s">
        <v>689</v>
      </c>
      <c r="E137" s="21">
        <v>6.5</v>
      </c>
      <c r="F137" s="2">
        <f t="shared" si="50"/>
        <v>0.73333333333333328</v>
      </c>
      <c r="G137" s="10">
        <v>74.383200000000002</v>
      </c>
      <c r="H137">
        <f t="shared" si="51"/>
        <v>0.67892066663161776</v>
      </c>
      <c r="I137" s="12">
        <v>63.3</v>
      </c>
      <c r="J137" s="2">
        <f t="shared" si="52"/>
        <v>0.15341735336888027</v>
      </c>
      <c r="K137" s="10">
        <v>0.5</v>
      </c>
      <c r="L137" s="2">
        <f t="shared" si="53"/>
        <v>0.29411764705882354</v>
      </c>
      <c r="M137">
        <v>64514</v>
      </c>
      <c r="N137">
        <f t="shared" si="54"/>
        <v>0.30411207789811356</v>
      </c>
      <c r="O137" s="10">
        <v>0.84397795499999995</v>
      </c>
      <c r="P137">
        <f t="shared" si="55"/>
        <v>0.83399766488008098</v>
      </c>
      <c r="Q137" s="23">
        <v>0.34389999999999998</v>
      </c>
      <c r="R137" s="13">
        <f t="shared" si="56"/>
        <v>0.7446946730186228</v>
      </c>
      <c r="S137">
        <f t="shared" si="57"/>
        <v>0.21970606603240736</v>
      </c>
      <c r="T137" s="14">
        <f t="shared" si="45"/>
        <v>0.46400741866826134</v>
      </c>
      <c r="U137" t="str">
        <f t="shared" si="58"/>
        <v>Moderate</v>
      </c>
      <c r="V137">
        <f t="shared" si="59"/>
        <v>0.2072777995768163</v>
      </c>
      <c r="W137">
        <f t="shared" si="46"/>
        <v>0.37627003774994572</v>
      </c>
      <c r="X137" t="str">
        <f t="shared" si="65"/>
        <v>Moderate</v>
      </c>
      <c r="Y137">
        <f t="shared" si="47"/>
        <v>0.23213433248799839</v>
      </c>
      <c r="Z137">
        <f t="shared" si="60"/>
        <v>0.51327227834917033</v>
      </c>
      <c r="AA137" t="str">
        <f t="shared" si="64"/>
        <v>Moderate</v>
      </c>
      <c r="AB137">
        <f t="shared" si="48"/>
        <v>0.17181375040442934</v>
      </c>
      <c r="AC137">
        <f t="shared" si="61"/>
        <v>0.50390498879133694</v>
      </c>
      <c r="AD137" t="str">
        <f t="shared" si="62"/>
        <v>Moderate</v>
      </c>
      <c r="AE137">
        <f t="shared" si="49"/>
        <v>8.4646345160411779E-2</v>
      </c>
      <c r="AF137">
        <f t="shared" si="63"/>
        <v>0.55780350968644654</v>
      </c>
      <c r="AG137" t="str">
        <f t="shared" ref="AG137:AG188" si="66">IF(AF137&gt;0.7,"High",IF(AF137&gt;0.3,"Moderate",IF(AF137&gt;0.15,"Low","No Impact")))</f>
        <v>Moderate</v>
      </c>
    </row>
    <row r="138" spans="1:33" customFormat="1" x14ac:dyDescent="0.3">
      <c r="A138">
        <v>207547</v>
      </c>
      <c r="B138" t="s">
        <v>231</v>
      </c>
      <c r="C138" t="s">
        <v>687</v>
      </c>
      <c r="D138" t="s">
        <v>690</v>
      </c>
      <c r="E138" s="21">
        <v>6.5</v>
      </c>
      <c r="F138" s="2">
        <f t="shared" si="50"/>
        <v>0.73333333333333328</v>
      </c>
      <c r="G138" s="10">
        <v>49.419720000000005</v>
      </c>
      <c r="H138">
        <f t="shared" si="51"/>
        <v>0.45107052731191849</v>
      </c>
      <c r="I138" s="12">
        <v>53.300000000000004</v>
      </c>
      <c r="J138" s="2">
        <f t="shared" si="52"/>
        <v>0.12918080465341739</v>
      </c>
      <c r="K138" s="10">
        <v>0</v>
      </c>
      <c r="L138" s="2">
        <f t="shared" si="53"/>
        <v>0</v>
      </c>
      <c r="M138">
        <v>22882</v>
      </c>
      <c r="N138">
        <f t="shared" si="54"/>
        <v>0.10713356328038873</v>
      </c>
      <c r="O138" s="10">
        <v>0.77012592300000005</v>
      </c>
      <c r="P138">
        <f t="shared" si="55"/>
        <v>0.7526652488586496</v>
      </c>
      <c r="Q138" s="23">
        <v>0.34300000000000003</v>
      </c>
      <c r="R138" s="13">
        <f t="shared" si="56"/>
        <v>0.74274577739281078</v>
      </c>
      <c r="S138">
        <f t="shared" si="57"/>
        <v>0.111356660776651</v>
      </c>
      <c r="T138" s="14">
        <f t="shared" si="45"/>
        <v>0.23517929045650254</v>
      </c>
      <c r="U138" t="str">
        <f t="shared" si="58"/>
        <v>Low</v>
      </c>
      <c r="V138">
        <f t="shared" si="59"/>
        <v>0.11061800150524387</v>
      </c>
      <c r="W138">
        <f t="shared" si="46"/>
        <v>0.20080413670532349</v>
      </c>
      <c r="X138" t="s">
        <v>1169</v>
      </c>
      <c r="Y138">
        <f t="shared" si="47"/>
        <v>0.11209532004805813</v>
      </c>
      <c r="Z138">
        <f t="shared" si="60"/>
        <v>0.24785398909625259</v>
      </c>
      <c r="AA138" t="str">
        <f t="shared" si="64"/>
        <v>Low</v>
      </c>
      <c r="AB138">
        <f t="shared" si="48"/>
        <v>7.7929331160368279E-2</v>
      </c>
      <c r="AC138">
        <f t="shared" si="61"/>
        <v>0.22855550648564046</v>
      </c>
      <c r="AD138" t="str">
        <f t="shared" si="62"/>
        <v>Low</v>
      </c>
      <c r="AE138">
        <f t="shared" si="49"/>
        <v>1.5955527483187126E-2</v>
      </c>
      <c r="AF138">
        <f t="shared" si="63"/>
        <v>0.10514392809463906</v>
      </c>
      <c r="AG138" t="s">
        <v>1169</v>
      </c>
    </row>
    <row r="139" spans="1:33" customFormat="1" x14ac:dyDescent="0.3">
      <c r="A139">
        <v>207580</v>
      </c>
      <c r="B139" t="s">
        <v>470</v>
      </c>
      <c r="C139" t="s">
        <v>687</v>
      </c>
      <c r="D139" t="s">
        <v>691</v>
      </c>
      <c r="E139" s="21">
        <v>6.6</v>
      </c>
      <c r="F139" s="2">
        <f t="shared" si="50"/>
        <v>0.75555555555555542</v>
      </c>
      <c r="G139" s="10">
        <v>47.79504</v>
      </c>
      <c r="H139">
        <f t="shared" si="51"/>
        <v>0.43624152252773252</v>
      </c>
      <c r="I139" s="12">
        <v>61.000000000000007</v>
      </c>
      <c r="J139" s="2">
        <f t="shared" si="52"/>
        <v>0.14784294716432383</v>
      </c>
      <c r="K139" s="10">
        <v>0</v>
      </c>
      <c r="L139" s="2">
        <f t="shared" si="53"/>
        <v>0</v>
      </c>
      <c r="M139">
        <v>19359</v>
      </c>
      <c r="N139">
        <f t="shared" si="54"/>
        <v>9.046476747432021E-2</v>
      </c>
      <c r="O139" s="10">
        <v>0.86036707800000001</v>
      </c>
      <c r="P139">
        <f t="shared" si="55"/>
        <v>0.85204682255339204</v>
      </c>
      <c r="Q139" s="23">
        <v>0.33050000000000002</v>
      </c>
      <c r="R139" s="13">
        <f t="shared" si="56"/>
        <v>0.71567778258986581</v>
      </c>
      <c r="S139">
        <f t="shared" si="57"/>
        <v>0.12107371973286252</v>
      </c>
      <c r="T139" s="14">
        <f t="shared" si="45"/>
        <v>0.25570119740582614</v>
      </c>
      <c r="U139" t="str">
        <f t="shared" si="58"/>
        <v>Low</v>
      </c>
      <c r="V139">
        <f t="shared" si="59"/>
        <v>0.11054208243469384</v>
      </c>
      <c r="W139">
        <f t="shared" si="46"/>
        <v>0.20066632131168211</v>
      </c>
      <c r="X139" t="s">
        <v>1169</v>
      </c>
      <c r="Y139">
        <f t="shared" si="47"/>
        <v>0.13160535703103121</v>
      </c>
      <c r="Z139">
        <f t="shared" si="60"/>
        <v>0.29099263655782487</v>
      </c>
      <c r="AA139" t="str">
        <f t="shared" si="64"/>
        <v>Low</v>
      </c>
      <c r="AB139">
        <f t="shared" si="48"/>
        <v>8.3061885045689149E-2</v>
      </c>
      <c r="AC139">
        <f t="shared" si="61"/>
        <v>0.24360854794457873</v>
      </c>
      <c r="AD139" t="str">
        <f t="shared" si="62"/>
        <v>Low</v>
      </c>
      <c r="AE139">
        <f t="shared" si="49"/>
        <v>1.3972997383534145E-2</v>
      </c>
      <c r="AF139">
        <f t="shared" si="63"/>
        <v>9.2079427252343332E-2</v>
      </c>
      <c r="AG139" t="s">
        <v>1170</v>
      </c>
    </row>
    <row r="140" spans="1:33" customFormat="1" x14ac:dyDescent="0.3">
      <c r="A140">
        <v>207583</v>
      </c>
      <c r="B140" t="s">
        <v>497</v>
      </c>
      <c r="C140" t="s">
        <v>687</v>
      </c>
      <c r="D140" t="s">
        <v>692</v>
      </c>
      <c r="E140" s="21">
        <v>6.5</v>
      </c>
      <c r="F140" s="2">
        <f t="shared" si="50"/>
        <v>0.73333333333333328</v>
      </c>
      <c r="G140" s="10">
        <v>47.79504</v>
      </c>
      <c r="H140">
        <f t="shared" si="51"/>
        <v>0.43624152252773252</v>
      </c>
      <c r="I140" s="12">
        <v>73.399999999999991</v>
      </c>
      <c r="J140" s="2">
        <f t="shared" si="52"/>
        <v>0.17789626757149782</v>
      </c>
      <c r="K140" s="10">
        <v>0</v>
      </c>
      <c r="L140" s="2">
        <f t="shared" si="53"/>
        <v>0</v>
      </c>
      <c r="M140">
        <v>20762</v>
      </c>
      <c r="N140">
        <f t="shared" si="54"/>
        <v>9.7102950987210973E-2</v>
      </c>
      <c r="O140" s="10">
        <v>0.97866548399999997</v>
      </c>
      <c r="P140">
        <f t="shared" si="55"/>
        <v>0.98232753265577899</v>
      </c>
      <c r="Q140" s="23">
        <v>0.30740000000000001</v>
      </c>
      <c r="R140" s="13">
        <f t="shared" si="56"/>
        <v>0.66565612819402342</v>
      </c>
      <c r="S140">
        <f t="shared" si="57"/>
        <v>0.12988476059455525</v>
      </c>
      <c r="T140" s="14">
        <f t="shared" si="45"/>
        <v>0.27430964277033226</v>
      </c>
      <c r="U140" t="str">
        <f t="shared" si="58"/>
        <v>Low</v>
      </c>
      <c r="V140">
        <f t="shared" si="59"/>
        <v>0.10492650977400578</v>
      </c>
      <c r="W140">
        <f t="shared" si="46"/>
        <v>0.190472408884309</v>
      </c>
      <c r="X140" t="s">
        <v>1169</v>
      </c>
      <c r="Y140">
        <f t="shared" si="47"/>
        <v>0.15484301141510473</v>
      </c>
      <c r="Z140">
        <f t="shared" si="60"/>
        <v>0.34237341975076618</v>
      </c>
      <c r="AA140" t="str">
        <f t="shared" si="64"/>
        <v>Moderate</v>
      </c>
      <c r="AB140">
        <f t="shared" si="48"/>
        <v>8.8534356002637496E-2</v>
      </c>
      <c r="AC140">
        <f t="shared" si="61"/>
        <v>0.25965851722661171</v>
      </c>
      <c r="AD140" t="str">
        <f t="shared" si="62"/>
        <v>Low</v>
      </c>
      <c r="AE140">
        <f t="shared" si="49"/>
        <v>1.5306211877725901E-2</v>
      </c>
      <c r="AF140">
        <f t="shared" si="63"/>
        <v>0.10086506026007312</v>
      </c>
      <c r="AG140" t="s">
        <v>1169</v>
      </c>
    </row>
    <row r="141" spans="1:33" customFormat="1" x14ac:dyDescent="0.3">
      <c r="A141">
        <v>207585</v>
      </c>
      <c r="B141" t="s">
        <v>505</v>
      </c>
      <c r="C141" t="s">
        <v>687</v>
      </c>
      <c r="D141" t="s">
        <v>693</v>
      </c>
      <c r="E141" s="21">
        <v>6.5</v>
      </c>
      <c r="F141" s="2">
        <f t="shared" si="50"/>
        <v>0.73333333333333328</v>
      </c>
      <c r="G141" s="10">
        <v>65.3202</v>
      </c>
      <c r="H141">
        <f t="shared" si="51"/>
        <v>0.59619959518427001</v>
      </c>
      <c r="I141" s="12">
        <v>61.3</v>
      </c>
      <c r="J141" s="2">
        <f t="shared" si="52"/>
        <v>0.14857004362578768</v>
      </c>
      <c r="K141" s="10">
        <v>0.5</v>
      </c>
      <c r="L141" s="2">
        <f t="shared" si="53"/>
        <v>0.29411764705882354</v>
      </c>
      <c r="M141">
        <v>36232</v>
      </c>
      <c r="N141">
        <f t="shared" si="54"/>
        <v>0.17029803220205059</v>
      </c>
      <c r="O141" s="10">
        <v>0.94488430199999995</v>
      </c>
      <c r="P141">
        <f t="shared" si="55"/>
        <v>0.94512469512085928</v>
      </c>
      <c r="Q141" s="23">
        <v>0.3397</v>
      </c>
      <c r="R141" s="13">
        <f t="shared" si="56"/>
        <v>0.73559982676483326</v>
      </c>
      <c r="S141">
        <f t="shared" si="57"/>
        <v>0.2150179646287679</v>
      </c>
      <c r="T141" s="14">
        <f t="shared" si="45"/>
        <v>0.45410640013909187</v>
      </c>
      <c r="U141" t="str">
        <f t="shared" si="58"/>
        <v>Moderate</v>
      </c>
      <c r="V141">
        <f t="shared" si="59"/>
        <v>0.18821308962017491</v>
      </c>
      <c r="W141">
        <f t="shared" si="46"/>
        <v>0.34166199410164966</v>
      </c>
      <c r="X141" t="str">
        <f t="shared" si="65"/>
        <v>Moderate</v>
      </c>
      <c r="Y141">
        <f t="shared" si="47"/>
        <v>0.24182283963736095</v>
      </c>
      <c r="Z141">
        <f t="shared" si="60"/>
        <v>0.53469453883540263</v>
      </c>
      <c r="AA141" t="str">
        <f t="shared" si="64"/>
        <v>Moderate</v>
      </c>
      <c r="AB141">
        <f t="shared" si="48"/>
        <v>0.15367199636441173</v>
      </c>
      <c r="AC141">
        <f t="shared" si="61"/>
        <v>0.4506978366008299</v>
      </c>
      <c r="AD141" t="str">
        <f t="shared" si="62"/>
        <v>Moderate</v>
      </c>
      <c r="AE141">
        <f t="shared" si="49"/>
        <v>4.3573037446120698E-2</v>
      </c>
      <c r="AF141">
        <f t="shared" si="63"/>
        <v>0.2871381294618775</v>
      </c>
      <c r="AG141" t="s">
        <v>1169</v>
      </c>
    </row>
    <row r="142" spans="1:33" customFormat="1" x14ac:dyDescent="0.3">
      <c r="A142">
        <v>207587</v>
      </c>
      <c r="B142" t="s">
        <v>390</v>
      </c>
      <c r="C142" t="s">
        <v>687</v>
      </c>
      <c r="D142" t="s">
        <v>1132</v>
      </c>
      <c r="E142" s="21">
        <v>6.6</v>
      </c>
      <c r="F142" s="2">
        <f t="shared" si="50"/>
        <v>0.75555555555555542</v>
      </c>
      <c r="G142" s="10">
        <v>47.79504</v>
      </c>
      <c r="H142">
        <f t="shared" si="51"/>
        <v>0.43624152252773252</v>
      </c>
      <c r="I142" s="12">
        <v>68.099999999999994</v>
      </c>
      <c r="J142" s="2">
        <f t="shared" si="52"/>
        <v>0.16505089675230247</v>
      </c>
      <c r="K142" s="10">
        <v>0.5</v>
      </c>
      <c r="L142" s="2">
        <f t="shared" si="53"/>
        <v>0.29411764705882354</v>
      </c>
      <c r="M142">
        <v>46149</v>
      </c>
      <c r="N142">
        <f t="shared" si="54"/>
        <v>0.21721953319801471</v>
      </c>
      <c r="O142" s="10">
        <v>0.92720738000000003</v>
      </c>
      <c r="P142">
        <f t="shared" si="55"/>
        <v>0.92565729882657188</v>
      </c>
      <c r="Q142" s="23">
        <v>0.3644</v>
      </c>
      <c r="R142" s="13">
        <f t="shared" si="56"/>
        <v>0.78908618449545265</v>
      </c>
      <c r="S142">
        <f t="shared" si="57"/>
        <v>0.19348745905099363</v>
      </c>
      <c r="T142" s="14">
        <f t="shared" si="45"/>
        <v>0.40863512801548996</v>
      </c>
      <c r="U142" t="str">
        <f t="shared" si="58"/>
        <v>Moderate</v>
      </c>
      <c r="V142">
        <f t="shared" si="59"/>
        <v>0.17807710866989906</v>
      </c>
      <c r="W142">
        <f t="shared" si="46"/>
        <v>0.32326221398733201</v>
      </c>
      <c r="X142" t="str">
        <f t="shared" si="65"/>
        <v>Moderate</v>
      </c>
      <c r="Y142">
        <f t="shared" si="47"/>
        <v>0.20889780943208819</v>
      </c>
      <c r="Z142">
        <f t="shared" si="60"/>
        <v>0.46189399663620279</v>
      </c>
      <c r="AA142" t="str">
        <f t="shared" si="64"/>
        <v>Moderate</v>
      </c>
      <c r="AB142">
        <f t="shared" si="48"/>
        <v>0.14215369530982827</v>
      </c>
      <c r="AC142">
        <f t="shared" si="61"/>
        <v>0.41691631824072839</v>
      </c>
      <c r="AD142" t="str">
        <f t="shared" si="62"/>
        <v>Moderate</v>
      </c>
      <c r="AE142">
        <f t="shared" si="49"/>
        <v>4.902104127353471E-2</v>
      </c>
      <c r="AF142">
        <f t="shared" si="63"/>
        <v>0.32303945101282855</v>
      </c>
      <c r="AG142" t="str">
        <f t="shared" si="66"/>
        <v>Moderate</v>
      </c>
    </row>
    <row r="143" spans="1:33" customFormat="1" x14ac:dyDescent="0.3">
      <c r="A143">
        <v>208407</v>
      </c>
      <c r="B143" t="s">
        <v>27</v>
      </c>
      <c r="C143" t="s">
        <v>695</v>
      </c>
      <c r="D143" t="s">
        <v>694</v>
      </c>
      <c r="E143" s="21">
        <v>6.2</v>
      </c>
      <c r="F143" s="2">
        <f t="shared" si="50"/>
        <v>0.66666666666666663</v>
      </c>
      <c r="G143" s="10">
        <v>35.674920000000007</v>
      </c>
      <c r="H143">
        <f t="shared" si="51"/>
        <v>0.32561708112086651</v>
      </c>
      <c r="I143" s="12">
        <v>64.400000000000006</v>
      </c>
      <c r="J143" s="2">
        <f t="shared" si="52"/>
        <v>0.15608337372758121</v>
      </c>
      <c r="K143" s="10">
        <v>0</v>
      </c>
      <c r="L143" s="2">
        <f t="shared" si="53"/>
        <v>0</v>
      </c>
      <c r="M143">
        <v>3903</v>
      </c>
      <c r="N143">
        <f t="shared" si="54"/>
        <v>1.7335926151982702E-2</v>
      </c>
      <c r="O143" s="10">
        <v>0.75222789899999998</v>
      </c>
      <c r="P143">
        <f t="shared" si="55"/>
        <v>0.73295435540713882</v>
      </c>
      <c r="Q143" s="23">
        <v>0.44419999999999998</v>
      </c>
      <c r="R143" s="13">
        <f t="shared" si="56"/>
        <v>0.96188826331745347</v>
      </c>
      <c r="S143">
        <f t="shared" si="57"/>
        <v>9.524742037255321E-2</v>
      </c>
      <c r="T143" s="14">
        <f t="shared" si="45"/>
        <v>0.20115743939159239</v>
      </c>
      <c r="U143" t="str">
        <f t="shared" si="58"/>
        <v>Low</v>
      </c>
      <c r="V143">
        <f t="shared" si="59"/>
        <v>0.10811313658912684</v>
      </c>
      <c r="W143">
        <f t="shared" si="46"/>
        <v>0.19625707175929399</v>
      </c>
      <c r="X143" t="s">
        <v>1169</v>
      </c>
      <c r="Y143">
        <f t="shared" si="47"/>
        <v>8.2381704155979563E-2</v>
      </c>
      <c r="Z143">
        <f t="shared" si="60"/>
        <v>0.18215420585670192</v>
      </c>
      <c r="AA143" t="s">
        <v>1170</v>
      </c>
      <c r="AB143">
        <f t="shared" si="48"/>
        <v>6.3236084806519641E-2</v>
      </c>
      <c r="AC143">
        <f t="shared" si="61"/>
        <v>0.18546233075426677</v>
      </c>
      <c r="AD143" t="str">
        <f t="shared" si="62"/>
        <v>Low</v>
      </c>
      <c r="AE143">
        <f t="shared" si="49"/>
        <v>1.9485021529468056E-3</v>
      </c>
      <c r="AF143">
        <f t="shared" si="63"/>
        <v>1.2840263067301913E-2</v>
      </c>
      <c r="AG143" t="s">
        <v>1170</v>
      </c>
    </row>
    <row r="144" spans="1:33" customFormat="1" x14ac:dyDescent="0.3">
      <c r="A144">
        <v>208421</v>
      </c>
      <c r="B144" t="s">
        <v>50</v>
      </c>
      <c r="C144" t="s">
        <v>695</v>
      </c>
      <c r="D144" t="s">
        <v>696</v>
      </c>
      <c r="E144" s="21">
        <v>6.2</v>
      </c>
      <c r="F144" s="2">
        <f t="shared" si="50"/>
        <v>0.66666666666666663</v>
      </c>
      <c r="G144" s="10">
        <v>27.405000000000001</v>
      </c>
      <c r="H144">
        <f t="shared" si="51"/>
        <v>0.25013471952052996</v>
      </c>
      <c r="I144" s="12">
        <v>54.999999999999993</v>
      </c>
      <c r="J144" s="2">
        <f t="shared" si="52"/>
        <v>0.13330101793504603</v>
      </c>
      <c r="K144" s="10">
        <v>0</v>
      </c>
      <c r="L144" s="2">
        <f t="shared" si="53"/>
        <v>0</v>
      </c>
      <c r="M144">
        <v>239</v>
      </c>
      <c r="N144">
        <f t="shared" si="54"/>
        <v>0</v>
      </c>
      <c r="O144" s="10">
        <v>0.91206592500000006</v>
      </c>
      <c r="P144">
        <f t="shared" si="55"/>
        <v>0.90898218395322927</v>
      </c>
      <c r="Q144" s="23">
        <v>0.44700000000000001</v>
      </c>
      <c r="R144" s="13">
        <f t="shared" si="56"/>
        <v>0.96795149415331316</v>
      </c>
      <c r="S144">
        <f t="shared" si="57"/>
        <v>8.3963069052332015E-2</v>
      </c>
      <c r="T144" s="14">
        <f t="shared" si="45"/>
        <v>0.17732549509439083</v>
      </c>
      <c r="U144" t="str">
        <f t="shared" si="58"/>
        <v>Low</v>
      </c>
      <c r="V144">
        <f t="shared" si="59"/>
        <v>8.6601012162443855E-2</v>
      </c>
      <c r="W144">
        <f t="shared" si="46"/>
        <v>0.15720625258504956</v>
      </c>
      <c r="X144" t="s">
        <v>1170</v>
      </c>
      <c r="Y144">
        <f t="shared" si="47"/>
        <v>8.1325125942220175E-2</v>
      </c>
      <c r="Z144">
        <f t="shared" si="60"/>
        <v>0.17981800551434879</v>
      </c>
      <c r="AA144" t="s">
        <v>1170</v>
      </c>
      <c r="AB144">
        <f t="shared" si="48"/>
        <v>5.4707892039521394E-2</v>
      </c>
      <c r="AC144">
        <f t="shared" si="61"/>
        <v>0.16045036942667198</v>
      </c>
      <c r="AD144" t="str">
        <f t="shared" si="62"/>
        <v>Low</v>
      </c>
      <c r="AE144">
        <f t="shared" si="49"/>
        <v>0</v>
      </c>
      <c r="AF144">
        <f t="shared" si="63"/>
        <v>0</v>
      </c>
      <c r="AG144" t="s">
        <v>1170</v>
      </c>
    </row>
    <row r="145" spans="1:33" customFormat="1" x14ac:dyDescent="0.3">
      <c r="A145">
        <v>208425</v>
      </c>
      <c r="B145" t="s">
        <v>266</v>
      </c>
      <c r="C145" t="s">
        <v>695</v>
      </c>
      <c r="D145" t="s">
        <v>1133</v>
      </c>
      <c r="E145" s="21">
        <v>6.3</v>
      </c>
      <c r="F145" s="2">
        <f t="shared" si="50"/>
        <v>0.68888888888888877</v>
      </c>
      <c r="G145" s="10">
        <v>32.539320000000004</v>
      </c>
      <c r="H145">
        <f t="shared" si="51"/>
        <v>0.29699739761316446</v>
      </c>
      <c r="I145" s="12">
        <v>59.1</v>
      </c>
      <c r="J145" s="2">
        <f t="shared" si="52"/>
        <v>0.14323800290838587</v>
      </c>
      <c r="K145" s="10">
        <v>0</v>
      </c>
      <c r="L145" s="2">
        <f t="shared" si="53"/>
        <v>0</v>
      </c>
      <c r="M145">
        <v>5340</v>
      </c>
      <c r="N145">
        <f t="shared" si="54"/>
        <v>2.4134977975235745E-2</v>
      </c>
      <c r="O145" s="10">
        <v>0.84088359700000004</v>
      </c>
      <c r="P145">
        <f t="shared" si="55"/>
        <v>0.83058988305797432</v>
      </c>
      <c r="Q145" s="23">
        <v>0.45100000000000001</v>
      </c>
      <c r="R145" s="13">
        <f t="shared" si="56"/>
        <v>0.97661325249025555</v>
      </c>
      <c r="S145">
        <f t="shared" si="57"/>
        <v>9.5913372653226206E-2</v>
      </c>
      <c r="T145" s="14">
        <f t="shared" si="45"/>
        <v>0.20256389486317569</v>
      </c>
      <c r="U145" t="str">
        <f t="shared" si="58"/>
        <v>Low</v>
      </c>
      <c r="V145">
        <f t="shared" si="59"/>
        <v>0.10366324513460025</v>
      </c>
      <c r="W145">
        <f t="shared" si="46"/>
        <v>0.18817921282314021</v>
      </c>
      <c r="X145" t="s">
        <v>1169</v>
      </c>
      <c r="Y145">
        <f t="shared" si="47"/>
        <v>8.8163500171852177E-2</v>
      </c>
      <c r="Z145">
        <f t="shared" si="60"/>
        <v>0.19493833641684008</v>
      </c>
      <c r="AA145" t="str">
        <f t="shared" si="64"/>
        <v>Low</v>
      </c>
      <c r="AB145">
        <f t="shared" si="48"/>
        <v>6.3627823843414325E-2</v>
      </c>
      <c r="AC145">
        <f t="shared" si="61"/>
        <v>0.18661124493913783</v>
      </c>
      <c r="AD145" t="str">
        <f t="shared" si="62"/>
        <v>Low</v>
      </c>
      <c r="AE145">
        <f t="shared" si="49"/>
        <v>2.5618228421388379E-3</v>
      </c>
      <c r="AF145">
        <f t="shared" si="63"/>
        <v>1.6881931167044374E-2</v>
      </c>
      <c r="AG145" t="s">
        <v>1170</v>
      </c>
    </row>
    <row r="146" spans="1:33" customFormat="1" x14ac:dyDescent="0.3">
      <c r="A146">
        <v>208429</v>
      </c>
      <c r="B146" t="s">
        <v>60</v>
      </c>
      <c r="C146" t="s">
        <v>695</v>
      </c>
      <c r="D146" t="s">
        <v>697</v>
      </c>
      <c r="E146" s="21">
        <v>6.2</v>
      </c>
      <c r="F146" s="2">
        <f t="shared" si="50"/>
        <v>0.66666666666666663</v>
      </c>
      <c r="G146" s="10">
        <v>43.039800000000007</v>
      </c>
      <c r="H146">
        <f t="shared" si="51"/>
        <v>0.39283883602334269</v>
      </c>
      <c r="I146" s="12">
        <v>49.800000000000004</v>
      </c>
      <c r="J146" s="2">
        <f t="shared" si="52"/>
        <v>0.12069801260300535</v>
      </c>
      <c r="K146" s="10">
        <v>0</v>
      </c>
      <c r="L146" s="2">
        <f t="shared" si="53"/>
        <v>0</v>
      </c>
      <c r="M146">
        <v>952</v>
      </c>
      <c r="N146">
        <f t="shared" si="54"/>
        <v>3.3735030967149745E-3</v>
      </c>
      <c r="O146" s="10">
        <v>0.88512824599999995</v>
      </c>
      <c r="P146">
        <f t="shared" si="55"/>
        <v>0.87931601965486861</v>
      </c>
      <c r="Q146" s="23">
        <v>0.45760000000000001</v>
      </c>
      <c r="R146" s="13">
        <f t="shared" si="56"/>
        <v>0.99090515374621047</v>
      </c>
      <c r="S146">
        <f t="shared" si="57"/>
        <v>0.11204987355597709</v>
      </c>
      <c r="T146" s="14">
        <f t="shared" si="45"/>
        <v>0.23664331863802532</v>
      </c>
      <c r="U146" t="str">
        <f t="shared" si="58"/>
        <v>Low</v>
      </c>
      <c r="V146">
        <f t="shared" si="59"/>
        <v>0.11873547231990167</v>
      </c>
      <c r="W146">
        <f t="shared" si="46"/>
        <v>0.2155397285347487</v>
      </c>
      <c r="X146" t="s">
        <v>1169</v>
      </c>
      <c r="Y146">
        <f t="shared" si="47"/>
        <v>0.10536427479205251</v>
      </c>
      <c r="Z146">
        <f t="shared" si="60"/>
        <v>0.23297097331313918</v>
      </c>
      <c r="AA146" t="str">
        <f t="shared" si="64"/>
        <v>Low</v>
      </c>
      <c r="AB146">
        <f t="shared" si="48"/>
        <v>7.3308178565092655E-2</v>
      </c>
      <c r="AC146">
        <f t="shared" si="61"/>
        <v>0.21500233136872393</v>
      </c>
      <c r="AD146" t="str">
        <f t="shared" si="62"/>
        <v>Low</v>
      </c>
      <c r="AE146">
        <f t="shared" si="49"/>
        <v>4.0423090146092126E-4</v>
      </c>
      <c r="AF146">
        <f t="shared" si="63"/>
        <v>2.6638056862503894E-3</v>
      </c>
      <c r="AG146" t="s">
        <v>1170</v>
      </c>
    </row>
    <row r="147" spans="1:33" customFormat="1" x14ac:dyDescent="0.3">
      <c r="A147">
        <v>208436</v>
      </c>
      <c r="B147" t="s">
        <v>259</v>
      </c>
      <c r="C147" t="s">
        <v>695</v>
      </c>
      <c r="D147" t="s">
        <v>698</v>
      </c>
      <c r="E147" s="21">
        <v>6.2</v>
      </c>
      <c r="F147" s="2">
        <f t="shared" si="50"/>
        <v>0.66666666666666663</v>
      </c>
      <c r="G147" s="10">
        <v>27.699120000000001</v>
      </c>
      <c r="H147">
        <f t="shared" si="51"/>
        <v>0.25281925240523634</v>
      </c>
      <c r="I147" s="12">
        <v>37.499999999999993</v>
      </c>
      <c r="J147" s="2">
        <f t="shared" si="52"/>
        <v>9.0887057682985939E-2</v>
      </c>
      <c r="K147" s="10">
        <v>0</v>
      </c>
      <c r="L147" s="2">
        <f t="shared" si="53"/>
        <v>0</v>
      </c>
      <c r="M147">
        <v>8318</v>
      </c>
      <c r="N147">
        <f t="shared" si="54"/>
        <v>3.8225149394614695E-2</v>
      </c>
      <c r="O147" s="10">
        <v>0.95089819600000003</v>
      </c>
      <c r="P147">
        <f t="shared" si="55"/>
        <v>0.95174772925371554</v>
      </c>
      <c r="Q147" s="23">
        <v>0.44490000000000002</v>
      </c>
      <c r="R147" s="13">
        <f t="shared" si="56"/>
        <v>0.96340407102641845</v>
      </c>
      <c r="S147">
        <f t="shared" si="57"/>
        <v>7.6795805162195085E-2</v>
      </c>
      <c r="T147" s="14">
        <f t="shared" si="45"/>
        <v>0.16218861846356475</v>
      </c>
      <c r="U147" t="str">
        <f t="shared" si="58"/>
        <v>Low</v>
      </c>
      <c r="V147">
        <f t="shared" si="59"/>
        <v>7.7263213621174442E-2</v>
      </c>
      <c r="W147">
        <f t="shared" si="46"/>
        <v>0.1402554077922249</v>
      </c>
      <c r="X147" t="s">
        <v>1170</v>
      </c>
      <c r="Y147">
        <f t="shared" si="47"/>
        <v>7.6328396703215742E-2</v>
      </c>
      <c r="Z147">
        <f t="shared" si="60"/>
        <v>0.1687697362932058</v>
      </c>
      <c r="AA147" t="s">
        <v>1170</v>
      </c>
      <c r="AB147">
        <f t="shared" si="48"/>
        <v>5.101359882420696E-2</v>
      </c>
      <c r="AC147">
        <f t="shared" si="61"/>
        <v>0.1496155394036208</v>
      </c>
      <c r="AD147" t="str">
        <f t="shared" si="62"/>
        <v>No Impact</v>
      </c>
      <c r="AE147">
        <f t="shared" si="49"/>
        <v>3.0655858452319474E-3</v>
      </c>
      <c r="AF147">
        <f t="shared" si="63"/>
        <v>2.0201634701119013E-2</v>
      </c>
      <c r="AG147" t="s">
        <v>1170</v>
      </c>
    </row>
    <row r="148" spans="1:33" customFormat="1" x14ac:dyDescent="0.3">
      <c r="A148">
        <v>208447</v>
      </c>
      <c r="B148" t="s">
        <v>229</v>
      </c>
      <c r="C148" t="s">
        <v>695</v>
      </c>
      <c r="D148" t="s">
        <v>699</v>
      </c>
      <c r="E148" s="21">
        <v>5</v>
      </c>
      <c r="F148" s="2">
        <f t="shared" si="50"/>
        <v>0.39999999999999997</v>
      </c>
      <c r="G148" s="10">
        <v>27.294119999999999</v>
      </c>
      <c r="H148">
        <f t="shared" si="51"/>
        <v>0.24912268019557332</v>
      </c>
      <c r="I148" s="12">
        <v>51.100000000000009</v>
      </c>
      <c r="J148" s="2">
        <f t="shared" si="52"/>
        <v>0.12384876393601554</v>
      </c>
      <c r="K148" s="10">
        <v>0</v>
      </c>
      <c r="L148" s="2">
        <f t="shared" si="53"/>
        <v>0</v>
      </c>
      <c r="M148">
        <v>1297</v>
      </c>
      <c r="N148">
        <f t="shared" si="54"/>
        <v>5.0058433048028655E-3</v>
      </c>
      <c r="O148" s="10">
        <v>0.93619544099999996</v>
      </c>
      <c r="P148">
        <f t="shared" si="55"/>
        <v>0.93555574977884903</v>
      </c>
      <c r="Q148" s="23">
        <v>0.4556</v>
      </c>
      <c r="R148" s="13">
        <f t="shared" si="56"/>
        <v>0.98657427457773927</v>
      </c>
      <c r="S148">
        <f t="shared" si="57"/>
        <v>5.0182972769507395E-2</v>
      </c>
      <c r="T148" s="14">
        <f t="shared" si="45"/>
        <v>0.10598374490235569</v>
      </c>
      <c r="U148" t="str">
        <f t="shared" si="58"/>
        <v>No Impact</v>
      </c>
      <c r="V148">
        <f t="shared" si="59"/>
        <v>5.1514964470526767E-2</v>
      </c>
      <c r="W148">
        <f t="shared" si="46"/>
        <v>9.3514779033674375E-2</v>
      </c>
      <c r="X148" t="s">
        <v>1170</v>
      </c>
      <c r="Y148">
        <f t="shared" si="47"/>
        <v>4.8850981068488016E-2</v>
      </c>
      <c r="Z148">
        <f t="shared" si="60"/>
        <v>0.10801441598007214</v>
      </c>
      <c r="AA148" t="s">
        <v>1170</v>
      </c>
      <c r="AB148">
        <f t="shared" si="48"/>
        <v>3.2777016678948716E-2</v>
      </c>
      <c r="AC148">
        <f t="shared" si="61"/>
        <v>9.6130270035670692E-2</v>
      </c>
      <c r="AD148" t="str">
        <f t="shared" si="62"/>
        <v>No Impact</v>
      </c>
      <c r="AE148">
        <f t="shared" si="49"/>
        <v>2.6138512490842778E-4</v>
      </c>
      <c r="AF148">
        <f t="shared" si="63"/>
        <v>1.7224788592755582E-3</v>
      </c>
      <c r="AG148" t="s">
        <v>1170</v>
      </c>
    </row>
    <row r="149" spans="1:33" customFormat="1" x14ac:dyDescent="0.3">
      <c r="A149">
        <v>208458</v>
      </c>
      <c r="B149" t="s">
        <v>305</v>
      </c>
      <c r="C149" t="s">
        <v>695</v>
      </c>
      <c r="D149" t="s">
        <v>700</v>
      </c>
      <c r="E149" s="21">
        <v>6.3</v>
      </c>
      <c r="F149" s="2">
        <f t="shared" si="50"/>
        <v>0.68888888888888877</v>
      </c>
      <c r="G149" s="10">
        <v>26.496359999999999</v>
      </c>
      <c r="H149">
        <f t="shared" si="51"/>
        <v>0.24184125440302823</v>
      </c>
      <c r="I149" s="12">
        <v>47.5</v>
      </c>
      <c r="J149" s="2">
        <f t="shared" si="52"/>
        <v>0.11512360639844887</v>
      </c>
      <c r="K149" s="10">
        <v>0</v>
      </c>
      <c r="L149" s="2">
        <f t="shared" si="53"/>
        <v>0</v>
      </c>
      <c r="M149">
        <v>5825</v>
      </c>
      <c r="N149">
        <f t="shared" si="54"/>
        <v>2.6429717108344807E-2</v>
      </c>
      <c r="O149" s="10">
        <v>0.89196034499999999</v>
      </c>
      <c r="P149">
        <f t="shared" si="55"/>
        <v>0.88684013379390281</v>
      </c>
      <c r="Q149" s="23">
        <v>0.42820000000000003</v>
      </c>
      <c r="R149" s="13">
        <f t="shared" si="56"/>
        <v>0.92724122996968394</v>
      </c>
      <c r="S149">
        <f t="shared" si="57"/>
        <v>7.8067353569532025E-2</v>
      </c>
      <c r="T149" s="14">
        <f t="shared" si="45"/>
        <v>0.16487406044909975</v>
      </c>
      <c r="U149" t="str">
        <f t="shared" si="58"/>
        <v>Low</v>
      </c>
      <c r="V149">
        <f t="shared" si="59"/>
        <v>7.9805978265619484E-2</v>
      </c>
      <c r="W149">
        <f t="shared" si="46"/>
        <v>0.14487127186791424</v>
      </c>
      <c r="X149" t="s">
        <v>1170</v>
      </c>
      <c r="Y149">
        <f t="shared" si="47"/>
        <v>7.6328728873444579E-2</v>
      </c>
      <c r="Z149">
        <f t="shared" si="60"/>
        <v>0.16877047075487861</v>
      </c>
      <c r="AA149" t="s">
        <v>1170</v>
      </c>
      <c r="AB149">
        <f t="shared" si="48"/>
        <v>5.16268763637995E-2</v>
      </c>
      <c r="AC149">
        <f t="shared" si="61"/>
        <v>0.15141419411540569</v>
      </c>
      <c r="AD149" t="str">
        <f t="shared" si="62"/>
        <v>Low</v>
      </c>
      <c r="AE149">
        <f t="shared" si="49"/>
        <v>2.2747580251408781E-3</v>
      </c>
      <c r="AF149">
        <f t="shared" si="63"/>
        <v>1.4990227962074236E-2</v>
      </c>
      <c r="AG149" t="s">
        <v>1170</v>
      </c>
    </row>
    <row r="150" spans="1:33" customFormat="1" x14ac:dyDescent="0.3">
      <c r="A150">
        <v>208475</v>
      </c>
      <c r="B150" t="s">
        <v>372</v>
      </c>
      <c r="C150" t="s">
        <v>695</v>
      </c>
      <c r="D150" t="s">
        <v>701</v>
      </c>
      <c r="E150" s="21">
        <v>6.2</v>
      </c>
      <c r="F150" s="2">
        <f t="shared" si="50"/>
        <v>0.66666666666666663</v>
      </c>
      <c r="G150" s="10">
        <v>32.539320000000004</v>
      </c>
      <c r="H150">
        <f t="shared" si="51"/>
        <v>0.29699739761316446</v>
      </c>
      <c r="I150" s="12">
        <v>57.8</v>
      </c>
      <c r="J150" s="2">
        <f t="shared" si="52"/>
        <v>0.14008725157537566</v>
      </c>
      <c r="K150" s="10">
        <v>0</v>
      </c>
      <c r="L150" s="2">
        <f t="shared" si="53"/>
        <v>0</v>
      </c>
      <c r="M150">
        <v>3524</v>
      </c>
      <c r="N150">
        <f t="shared" si="54"/>
        <v>1.5542717633532526E-2</v>
      </c>
      <c r="O150" s="10">
        <v>0.82959499699999995</v>
      </c>
      <c r="P150">
        <f t="shared" si="55"/>
        <v>0.81815787426098507</v>
      </c>
      <c r="Q150" s="23">
        <v>0.43430000000000002</v>
      </c>
      <c r="R150" s="13">
        <f t="shared" si="56"/>
        <v>0.94045041143352104</v>
      </c>
      <c r="S150">
        <f t="shared" si="57"/>
        <v>8.9677079988165029E-2</v>
      </c>
      <c r="T150" s="14">
        <f t="shared" si="45"/>
        <v>0.18939317948953635</v>
      </c>
      <c r="U150" t="str">
        <f t="shared" si="58"/>
        <v>Low</v>
      </c>
      <c r="V150">
        <f t="shared" si="59"/>
        <v>9.5913168904149027E-2</v>
      </c>
      <c r="W150">
        <f t="shared" si="46"/>
        <v>0.17411054998635561</v>
      </c>
      <c r="X150" t="s">
        <v>1170</v>
      </c>
      <c r="Y150">
        <f t="shared" si="47"/>
        <v>8.3440991072181017E-2</v>
      </c>
      <c r="Z150">
        <f t="shared" si="60"/>
        <v>0.18449639541167562</v>
      </c>
      <c r="AA150" t="s">
        <v>1170</v>
      </c>
      <c r="AB150">
        <f t="shared" si="48"/>
        <v>5.9156707572990075E-2</v>
      </c>
      <c r="AC150">
        <f t="shared" si="61"/>
        <v>0.17349810475781036</v>
      </c>
      <c r="AD150" t="str">
        <f t="shared" si="62"/>
        <v>Low</v>
      </c>
      <c r="AE150">
        <f t="shared" si="49"/>
        <v>1.5851460996674567E-3</v>
      </c>
      <c r="AF150">
        <f t="shared" si="63"/>
        <v>1.0445814950245725E-2</v>
      </c>
      <c r="AG150" t="s">
        <v>1170</v>
      </c>
    </row>
    <row r="151" spans="1:33" customFormat="1" x14ac:dyDescent="0.3">
      <c r="A151">
        <v>208478</v>
      </c>
      <c r="B151" t="s">
        <v>426</v>
      </c>
      <c r="C151" t="s">
        <v>695</v>
      </c>
      <c r="D151" t="s">
        <v>702</v>
      </c>
      <c r="E151" s="21">
        <v>6.3</v>
      </c>
      <c r="F151" s="2">
        <f t="shared" si="50"/>
        <v>0.68888888888888877</v>
      </c>
      <c r="G151" s="10">
        <v>26.729280000000003</v>
      </c>
      <c r="H151">
        <f t="shared" si="51"/>
        <v>0.24396719415383</v>
      </c>
      <c r="I151" s="12">
        <v>45.400000000000013</v>
      </c>
      <c r="J151" s="2">
        <f t="shared" si="52"/>
        <v>0.11003393116820169</v>
      </c>
      <c r="K151" s="10">
        <v>0</v>
      </c>
      <c r="L151" s="2">
        <f t="shared" si="53"/>
        <v>0</v>
      </c>
      <c r="M151">
        <v>5481</v>
      </c>
      <c r="N151">
        <f t="shared" si="54"/>
        <v>2.4802108321149926E-2</v>
      </c>
      <c r="O151" s="10">
        <v>0.93875404299999998</v>
      </c>
      <c r="P151">
        <f t="shared" si="55"/>
        <v>0.93837350951628273</v>
      </c>
      <c r="Q151" s="23">
        <v>0.44359999999999999</v>
      </c>
      <c r="R151" s="13">
        <f t="shared" si="56"/>
        <v>0.96058899956691213</v>
      </c>
      <c r="S151">
        <f t="shared" si="57"/>
        <v>8.1041647633153621E-2</v>
      </c>
      <c r="T151" s="14">
        <f t="shared" si="45"/>
        <v>0.1711556098652994</v>
      </c>
      <c r="U151" t="str">
        <f t="shared" si="58"/>
        <v>Low</v>
      </c>
      <c r="V151">
        <f t="shared" si="59"/>
        <v>8.1989733710719284E-2</v>
      </c>
      <c r="W151">
        <f t="shared" si="46"/>
        <v>0.14883542888541401</v>
      </c>
      <c r="X151" t="s">
        <v>1170</v>
      </c>
      <c r="Y151">
        <f t="shared" si="47"/>
        <v>8.0093561555587958E-2</v>
      </c>
      <c r="Z151">
        <f t="shared" si="60"/>
        <v>0.17709489320310504</v>
      </c>
      <c r="AA151" t="s">
        <v>1170</v>
      </c>
      <c r="AB151">
        <f t="shared" si="48"/>
        <v>5.3465407537368899E-2</v>
      </c>
      <c r="AC151">
        <f t="shared" si="61"/>
        <v>0.15680634129937243</v>
      </c>
      <c r="AD151" t="str">
        <f t="shared" si="62"/>
        <v>Low</v>
      </c>
      <c r="AE151">
        <f t="shared" si="49"/>
        <v>2.1169493484022015E-3</v>
      </c>
      <c r="AF151">
        <f t="shared" si="63"/>
        <v>1.395029843437885E-2</v>
      </c>
      <c r="AG151" t="s">
        <v>1170</v>
      </c>
    </row>
    <row r="152" spans="1:33" customFormat="1" x14ac:dyDescent="0.3">
      <c r="A152">
        <v>208487</v>
      </c>
      <c r="B152" t="s">
        <v>438</v>
      </c>
      <c r="C152" t="s">
        <v>695</v>
      </c>
      <c r="D152" t="s">
        <v>703</v>
      </c>
      <c r="E152" s="21">
        <v>6.2</v>
      </c>
      <c r="F152" s="2">
        <f t="shared" si="50"/>
        <v>0.66666666666666663</v>
      </c>
      <c r="G152" s="10">
        <v>27.699120000000001</v>
      </c>
      <c r="H152">
        <f t="shared" si="51"/>
        <v>0.25281925240523634</v>
      </c>
      <c r="I152" s="12">
        <v>41.499999999999993</v>
      </c>
      <c r="J152" s="2">
        <f t="shared" si="52"/>
        <v>0.1005816771691711</v>
      </c>
      <c r="K152" s="10">
        <v>0</v>
      </c>
      <c r="L152" s="2">
        <f t="shared" si="53"/>
        <v>0</v>
      </c>
      <c r="M152">
        <v>13916</v>
      </c>
      <c r="N152">
        <f t="shared" si="54"/>
        <v>6.4711643553675605E-2</v>
      </c>
      <c r="O152" s="10">
        <v>0.89341966500000003</v>
      </c>
      <c r="P152">
        <f t="shared" si="55"/>
        <v>0.88844726657189332</v>
      </c>
      <c r="Q152" s="23">
        <v>0.44450000000000001</v>
      </c>
      <c r="R152" s="13">
        <f t="shared" si="56"/>
        <v>0.96253789519272415</v>
      </c>
      <c r="S152">
        <f t="shared" si="57"/>
        <v>7.6316318959539248E-2</v>
      </c>
      <c r="T152" s="14">
        <f t="shared" si="45"/>
        <v>0.16117596934012832</v>
      </c>
      <c r="U152" t="str">
        <f t="shared" si="58"/>
        <v>Low</v>
      </c>
      <c r="V152">
        <f t="shared" si="59"/>
        <v>7.9371083612730514E-2</v>
      </c>
      <c r="W152">
        <f t="shared" si="46"/>
        <v>0.14408181044081558</v>
      </c>
      <c r="X152" t="s">
        <v>1170</v>
      </c>
      <c r="Y152">
        <f t="shared" si="47"/>
        <v>7.3261554306347967E-2</v>
      </c>
      <c r="Z152">
        <f t="shared" si="60"/>
        <v>0.16198864033248858</v>
      </c>
      <c r="AA152" t="s">
        <v>1170</v>
      </c>
      <c r="AB152">
        <f t="shared" si="48"/>
        <v>5.1625993213562864E-2</v>
      </c>
      <c r="AC152">
        <f t="shared" si="61"/>
        <v>0.15141160396293507</v>
      </c>
      <c r="AD152" t="str">
        <f t="shared" si="62"/>
        <v>Low</v>
      </c>
      <c r="AE152">
        <f t="shared" si="49"/>
        <v>5.336136163436556E-3</v>
      </c>
      <c r="AF152">
        <f t="shared" si="63"/>
        <v>3.5164134665105026E-2</v>
      </c>
      <c r="AG152" t="s">
        <v>1170</v>
      </c>
    </row>
    <row r="153" spans="1:33" customFormat="1" x14ac:dyDescent="0.3">
      <c r="A153">
        <v>302602</v>
      </c>
      <c r="B153" t="s">
        <v>1</v>
      </c>
      <c r="C153" t="s">
        <v>705</v>
      </c>
      <c r="D153" t="s">
        <v>704</v>
      </c>
      <c r="E153" s="21">
        <v>5.8</v>
      </c>
      <c r="F153" s="2">
        <f t="shared" si="50"/>
        <v>0.57777777777777772</v>
      </c>
      <c r="G153" s="10">
        <v>39.620159999999998</v>
      </c>
      <c r="H153">
        <f t="shared" si="51"/>
        <v>0.36162662320593031</v>
      </c>
      <c r="I153" s="12">
        <v>36.000000000000007</v>
      </c>
      <c r="J153" s="2">
        <f t="shared" si="52"/>
        <v>8.7251575375666524E-2</v>
      </c>
      <c r="K153" s="10">
        <v>0</v>
      </c>
      <c r="L153" s="2">
        <f t="shared" si="53"/>
        <v>0</v>
      </c>
      <c r="M153">
        <v>1837</v>
      </c>
      <c r="N153">
        <f t="shared" si="54"/>
        <v>7.5608105870273905E-3</v>
      </c>
      <c r="O153" s="10">
        <v>0.79969991200000001</v>
      </c>
      <c r="P153">
        <f t="shared" si="55"/>
        <v>0.7852347518448537</v>
      </c>
      <c r="Q153" s="23">
        <v>5.7500000000000002E-2</v>
      </c>
      <c r="R153" s="13">
        <f t="shared" si="56"/>
        <v>0.124512776093547</v>
      </c>
      <c r="S153">
        <f t="shared" si="57"/>
        <v>4.1290322963288398E-2</v>
      </c>
      <c r="T153" s="14">
        <f t="shared" si="45"/>
        <v>8.7202945827395892E-2</v>
      </c>
      <c r="U153" t="str">
        <f t="shared" si="58"/>
        <v>No Impact</v>
      </c>
      <c r="V153">
        <f t="shared" si="59"/>
        <v>1.1302416505838049E-2</v>
      </c>
      <c r="W153">
        <f t="shared" si="46"/>
        <v>2.0517202971084402E-2</v>
      </c>
      <c r="X153" t="s">
        <v>1170</v>
      </c>
      <c r="Y153">
        <f t="shared" si="47"/>
        <v>7.1278229420738776E-2</v>
      </c>
      <c r="Z153">
        <f t="shared" si="60"/>
        <v>0.15760331020129884</v>
      </c>
      <c r="AA153" t="s">
        <v>1170</v>
      </c>
      <c r="AB153">
        <f t="shared" si="48"/>
        <v>2.5579526102599327E-2</v>
      </c>
      <c r="AC153">
        <f t="shared" si="61"/>
        <v>7.5021066612406193E-2</v>
      </c>
      <c r="AD153" t="str">
        <f t="shared" si="62"/>
        <v>No Impact</v>
      </c>
      <c r="AE153">
        <f t="shared" si="49"/>
        <v>6.8631856952679627E-4</v>
      </c>
      <c r="AF153">
        <f t="shared" si="63"/>
        <v>4.522710414956871E-3</v>
      </c>
      <c r="AG153" t="s">
        <v>1170</v>
      </c>
    </row>
    <row r="154" spans="1:33" customFormat="1" x14ac:dyDescent="0.3">
      <c r="A154">
        <v>302604</v>
      </c>
      <c r="B154" t="s">
        <v>23</v>
      </c>
      <c r="C154" t="s">
        <v>705</v>
      </c>
      <c r="D154" t="s">
        <v>706</v>
      </c>
      <c r="E154" s="21">
        <v>5.8</v>
      </c>
      <c r="F154" s="2">
        <f t="shared" si="50"/>
        <v>0.57777777777777772</v>
      </c>
      <c r="G154" s="10">
        <v>38.76444</v>
      </c>
      <c r="H154">
        <f t="shared" si="51"/>
        <v>0.35381617685715788</v>
      </c>
      <c r="I154" s="12">
        <v>42.499999999999993</v>
      </c>
      <c r="J154" s="2">
        <f t="shared" si="52"/>
        <v>0.10300533204071739</v>
      </c>
      <c r="K154" s="10">
        <v>0</v>
      </c>
      <c r="L154" s="2">
        <f t="shared" si="53"/>
        <v>0</v>
      </c>
      <c r="M154">
        <v>22100</v>
      </c>
      <c r="N154">
        <f t="shared" si="54"/>
        <v>0.10343359214205618</v>
      </c>
      <c r="O154" s="10">
        <v>0.70643578500000004</v>
      </c>
      <c r="P154">
        <f t="shared" si="55"/>
        <v>0.68252401293059306</v>
      </c>
      <c r="Q154" s="23">
        <v>0.15720000000000001</v>
      </c>
      <c r="R154" s="13">
        <f t="shared" si="56"/>
        <v>0.34040710264183632</v>
      </c>
      <c r="S154">
        <f t="shared" si="57"/>
        <v>4.724891238889882E-2</v>
      </c>
      <c r="T154" s="14">
        <f t="shared" si="45"/>
        <v>9.9787166865123955E-2</v>
      </c>
      <c r="U154" t="str">
        <f t="shared" si="58"/>
        <v>No Impact</v>
      </c>
      <c r="V154">
        <f t="shared" si="59"/>
        <v>3.1446624556498173E-2</v>
      </c>
      <c r="W154">
        <f t="shared" si="46"/>
        <v>5.7084852469195049E-2</v>
      </c>
      <c r="X154" t="s">
        <v>1170</v>
      </c>
      <c r="Y154">
        <f t="shared" si="47"/>
        <v>6.3051200221299467E-2</v>
      </c>
      <c r="Z154">
        <f t="shared" si="60"/>
        <v>0.13941252396135442</v>
      </c>
      <c r="AA154" t="s">
        <v>1170</v>
      </c>
      <c r="AB154">
        <f t="shared" si="48"/>
        <v>3.3265977471859776E-2</v>
      </c>
      <c r="AC154">
        <f t="shared" si="61"/>
        <v>9.7564321631024839E-2</v>
      </c>
      <c r="AD154" t="str">
        <f t="shared" si="62"/>
        <v>No Impact</v>
      </c>
      <c r="AE154">
        <f t="shared" si="49"/>
        <v>9.5551394591302154E-3</v>
      </c>
      <c r="AF154">
        <f t="shared" si="63"/>
        <v>6.2966573639366336E-2</v>
      </c>
      <c r="AG154" t="s">
        <v>1170</v>
      </c>
    </row>
    <row r="155" spans="1:33" customFormat="1" x14ac:dyDescent="0.3">
      <c r="A155">
        <v>302605</v>
      </c>
      <c r="B155" t="s">
        <v>43</v>
      </c>
      <c r="C155" t="s">
        <v>705</v>
      </c>
      <c r="D155" t="s">
        <v>707</v>
      </c>
      <c r="E155" s="21">
        <v>5.8</v>
      </c>
      <c r="F155" s="2">
        <f t="shared" si="50"/>
        <v>0.57777777777777772</v>
      </c>
      <c r="G155" s="10">
        <v>38.349359999999997</v>
      </c>
      <c r="H155">
        <f t="shared" si="51"/>
        <v>0.35002760107249881</v>
      </c>
      <c r="I155" s="12">
        <v>56.000000000000007</v>
      </c>
      <c r="J155" s="2">
        <f t="shared" si="52"/>
        <v>0.13572467280659237</v>
      </c>
      <c r="K155" s="10">
        <v>0</v>
      </c>
      <c r="L155" s="2">
        <f t="shared" si="53"/>
        <v>0</v>
      </c>
      <c r="M155">
        <v>763</v>
      </c>
      <c r="N155">
        <f t="shared" si="54"/>
        <v>2.4792645479363908E-3</v>
      </c>
      <c r="O155" s="10">
        <v>0.59461408699999996</v>
      </c>
      <c r="P155">
        <f t="shared" si="55"/>
        <v>0.55937602883776705</v>
      </c>
      <c r="Q155" s="23">
        <v>0</v>
      </c>
      <c r="R155" s="13">
        <f t="shared" si="56"/>
        <v>0</v>
      </c>
      <c r="S155">
        <f t="shared" si="57"/>
        <v>2.7473726882763918E-2</v>
      </c>
      <c r="T155" s="14">
        <f t="shared" si="45"/>
        <v>5.8023036515467578E-2</v>
      </c>
      <c r="U155" t="str">
        <f t="shared" si="58"/>
        <v>No Impact</v>
      </c>
      <c r="V155">
        <f t="shared" si="59"/>
        <v>0</v>
      </c>
      <c r="W155">
        <f t="shared" si="46"/>
        <v>0</v>
      </c>
      <c r="X155" t="s">
        <v>1170</v>
      </c>
      <c r="Y155">
        <f t="shared" si="47"/>
        <v>5.4947453765527836E-2</v>
      </c>
      <c r="Z155">
        <f t="shared" si="60"/>
        <v>0.12149432822556008</v>
      </c>
      <c r="AA155" t="s">
        <v>1170</v>
      </c>
      <c r="AB155">
        <f t="shared" si="48"/>
        <v>1.6569474401382567E-2</v>
      </c>
      <c r="AC155">
        <f t="shared" si="61"/>
        <v>4.8595882418336289E-2</v>
      </c>
      <c r="AD155" t="str">
        <f t="shared" si="62"/>
        <v>No Impact</v>
      </c>
      <c r="AE155">
        <f t="shared" si="49"/>
        <v>2.435379192120458E-4</v>
      </c>
      <c r="AF155">
        <f t="shared" si="63"/>
        <v>1.6048691271994498E-3</v>
      </c>
      <c r="AG155" t="s">
        <v>1170</v>
      </c>
    </row>
    <row r="156" spans="1:33" customFormat="1" x14ac:dyDescent="0.3">
      <c r="A156">
        <v>302606</v>
      </c>
      <c r="B156" t="s">
        <v>76</v>
      </c>
      <c r="C156" t="s">
        <v>705</v>
      </c>
      <c r="D156" t="s">
        <v>1134</v>
      </c>
      <c r="E156" s="21">
        <v>5.8</v>
      </c>
      <c r="F156" s="2">
        <f t="shared" si="50"/>
        <v>0.57777777777777772</v>
      </c>
      <c r="G156" s="10">
        <v>38.76444</v>
      </c>
      <c r="H156">
        <f t="shared" si="51"/>
        <v>0.35381617685715788</v>
      </c>
      <c r="I156" s="12">
        <v>42.499999999999993</v>
      </c>
      <c r="J156" s="2">
        <f t="shared" si="52"/>
        <v>0.10300533204071739</v>
      </c>
      <c r="K156" s="10">
        <v>0</v>
      </c>
      <c r="L156" s="2">
        <f t="shared" si="53"/>
        <v>0</v>
      </c>
      <c r="M156">
        <v>2282</v>
      </c>
      <c r="N156">
        <f t="shared" si="54"/>
        <v>9.6662928844161184E-3</v>
      </c>
      <c r="O156" s="10">
        <v>0.72934481699999998</v>
      </c>
      <c r="P156">
        <f t="shared" si="55"/>
        <v>0.70775347339110262</v>
      </c>
      <c r="Q156" s="23">
        <v>0.18229999999999999</v>
      </c>
      <c r="R156" s="13">
        <f t="shared" si="56"/>
        <v>0.39475963620614984</v>
      </c>
      <c r="S156">
        <f t="shared" si="57"/>
        <v>5.0924783233152651E-2</v>
      </c>
      <c r="T156" s="14">
        <f t="shared" si="45"/>
        <v>0.10755040878466457</v>
      </c>
      <c r="U156" t="str">
        <f t="shared" si="58"/>
        <v>No Impact</v>
      </c>
      <c r="V156">
        <f t="shared" si="59"/>
        <v>3.6467682294208749E-2</v>
      </c>
      <c r="W156">
        <f t="shared" si="46"/>
        <v>6.619954583418737E-2</v>
      </c>
      <c r="X156" t="s">
        <v>1170</v>
      </c>
      <c r="Y156">
        <f t="shared" si="47"/>
        <v>6.5381884172096547E-2</v>
      </c>
      <c r="Z156">
        <f t="shared" si="60"/>
        <v>0.1445658998050561</v>
      </c>
      <c r="AA156" t="s">
        <v>1170</v>
      </c>
      <c r="AB156">
        <f t="shared" si="48"/>
        <v>3.2690792477832943E-2</v>
      </c>
      <c r="AC156">
        <f t="shared" si="61"/>
        <v>9.5877386870065417E-2</v>
      </c>
      <c r="AD156" t="str">
        <f t="shared" si="62"/>
        <v>No Impact</v>
      </c>
      <c r="AE156">
        <f t="shared" si="49"/>
        <v>8.929669235169036E-4</v>
      </c>
      <c r="AF156">
        <f t="shared" si="63"/>
        <v>5.8844842388374469E-3</v>
      </c>
      <c r="AG156" t="s">
        <v>1170</v>
      </c>
    </row>
    <row r="157" spans="1:33" customFormat="1" x14ac:dyDescent="0.3">
      <c r="A157">
        <v>302608</v>
      </c>
      <c r="B157" t="s">
        <v>92</v>
      </c>
      <c r="C157" t="s">
        <v>705</v>
      </c>
      <c r="D157" t="s">
        <v>708</v>
      </c>
      <c r="E157" s="21">
        <v>5.8</v>
      </c>
      <c r="F157" s="2">
        <f t="shared" si="50"/>
        <v>0.57777777777777772</v>
      </c>
      <c r="G157" s="10">
        <v>38.76444</v>
      </c>
      <c r="H157">
        <f t="shared" si="51"/>
        <v>0.35381617685715788</v>
      </c>
      <c r="I157" s="12">
        <v>42.499999999999993</v>
      </c>
      <c r="J157" s="2">
        <f t="shared" si="52"/>
        <v>0.10300533204071739</v>
      </c>
      <c r="K157" s="10">
        <v>0</v>
      </c>
      <c r="L157" s="2">
        <f t="shared" si="53"/>
        <v>0</v>
      </c>
      <c r="M157">
        <v>5168</v>
      </c>
      <c r="N157">
        <f t="shared" si="54"/>
        <v>2.3321173581638301E-2</v>
      </c>
      <c r="O157" s="10">
        <v>0.74978494500000004</v>
      </c>
      <c r="P157">
        <f t="shared" si="55"/>
        <v>0.73026395751735274</v>
      </c>
      <c r="Q157" s="23">
        <v>0.20530000000000001</v>
      </c>
      <c r="R157" s="13">
        <f t="shared" si="56"/>
        <v>0.44456474664356865</v>
      </c>
      <c r="S157">
        <f t="shared" si="57"/>
        <v>5.4265021045723116E-2</v>
      </c>
      <c r="T157" s="14">
        <f t="shared" si="45"/>
        <v>0.11460481175649843</v>
      </c>
      <c r="U157" t="str">
        <f t="shared" si="58"/>
        <v>No Impact</v>
      </c>
      <c r="V157">
        <f t="shared" si="59"/>
        <v>4.1068651535935585E-2</v>
      </c>
      <c r="W157">
        <f t="shared" si="46"/>
        <v>7.455165529214848E-2</v>
      </c>
      <c r="X157" t="s">
        <v>1170</v>
      </c>
      <c r="Y157">
        <f t="shared" si="47"/>
        <v>6.7461390555510647E-2</v>
      </c>
      <c r="Z157">
        <f t="shared" si="60"/>
        <v>0.14916389686915596</v>
      </c>
      <c r="AA157" t="s">
        <v>1170</v>
      </c>
      <c r="AB157">
        <f t="shared" si="48"/>
        <v>3.5366484307561619E-2</v>
      </c>
      <c r="AC157">
        <f t="shared" si="61"/>
        <v>0.10372480570758438</v>
      </c>
      <c r="AD157" t="str">
        <f t="shared" si="62"/>
        <v>No Impact</v>
      </c>
      <c r="AE157">
        <f t="shared" si="49"/>
        <v>2.1543974380885062E-3</v>
      </c>
      <c r="AF157">
        <f t="shared" si="63"/>
        <v>1.4197074308971991E-2</v>
      </c>
      <c r="AG157" t="s">
        <v>1170</v>
      </c>
    </row>
    <row r="158" spans="1:33" customFormat="1" x14ac:dyDescent="0.3">
      <c r="A158">
        <v>302609</v>
      </c>
      <c r="B158" t="s">
        <v>93</v>
      </c>
      <c r="C158" t="s">
        <v>705</v>
      </c>
      <c r="D158" t="s">
        <v>1135</v>
      </c>
      <c r="E158" s="21">
        <v>5.8</v>
      </c>
      <c r="F158" s="2">
        <f t="shared" si="50"/>
        <v>0.57777777777777772</v>
      </c>
      <c r="G158" s="10">
        <v>38.349359999999997</v>
      </c>
      <c r="H158">
        <f t="shared" si="51"/>
        <v>0.35002760107249881</v>
      </c>
      <c r="I158" s="12">
        <v>56.000000000000007</v>
      </c>
      <c r="J158" s="2">
        <f t="shared" si="52"/>
        <v>0.13572467280659237</v>
      </c>
      <c r="K158" s="10">
        <v>0</v>
      </c>
      <c r="L158" s="2">
        <f t="shared" si="53"/>
        <v>0</v>
      </c>
      <c r="M158">
        <v>943</v>
      </c>
      <c r="N158">
        <f t="shared" si="54"/>
        <v>3.330920308677899E-3</v>
      </c>
      <c r="O158" s="10">
        <v>0.54199917099999995</v>
      </c>
      <c r="P158">
        <f t="shared" si="55"/>
        <v>0.5014318109042013</v>
      </c>
      <c r="Q158" s="23">
        <v>0</v>
      </c>
      <c r="R158" s="13">
        <f t="shared" si="56"/>
        <v>0</v>
      </c>
      <c r="S158">
        <f t="shared" si="57"/>
        <v>2.4627799392360428E-2</v>
      </c>
      <c r="T158" s="14">
        <f t="shared" si="45"/>
        <v>5.2012590411788386E-2</v>
      </c>
      <c r="U158" t="str">
        <f t="shared" si="58"/>
        <v>No Impact</v>
      </c>
      <c r="V158">
        <f t="shared" si="59"/>
        <v>0</v>
      </c>
      <c r="W158">
        <f t="shared" si="46"/>
        <v>0</v>
      </c>
      <c r="X158" t="s">
        <v>1170</v>
      </c>
      <c r="Y158">
        <f t="shared" si="47"/>
        <v>4.9255598784720855E-2</v>
      </c>
      <c r="Z158">
        <f t="shared" si="60"/>
        <v>0.10890906630966957</v>
      </c>
      <c r="AA158" t="s">
        <v>1170</v>
      </c>
      <c r="AB158">
        <f t="shared" si="48"/>
        <v>1.4891198229488483E-2</v>
      </c>
      <c r="AC158">
        <f t="shared" si="61"/>
        <v>4.3673740077595821E-2</v>
      </c>
      <c r="AD158" t="str">
        <f t="shared" si="62"/>
        <v>No Impact</v>
      </c>
      <c r="AE158">
        <f t="shared" si="49"/>
        <v>3.271959830635119E-4</v>
      </c>
      <c r="AF158">
        <f t="shared" si="63"/>
        <v>2.156160048756513E-3</v>
      </c>
      <c r="AG158" t="s">
        <v>1170</v>
      </c>
    </row>
    <row r="159" spans="1:33" customFormat="1" x14ac:dyDescent="0.3">
      <c r="A159">
        <v>302610</v>
      </c>
      <c r="B159" t="s">
        <v>125</v>
      </c>
      <c r="C159" t="s">
        <v>705</v>
      </c>
      <c r="D159" t="s">
        <v>709</v>
      </c>
      <c r="E159" s="21">
        <v>5.8</v>
      </c>
      <c r="F159" s="2">
        <f t="shared" si="50"/>
        <v>0.57777777777777772</v>
      </c>
      <c r="G159" s="10">
        <v>39.254400000000004</v>
      </c>
      <c r="H159">
        <f t="shared" si="51"/>
        <v>0.35828820777035914</v>
      </c>
      <c r="I159" s="12">
        <v>46.4</v>
      </c>
      <c r="J159" s="2">
        <f t="shared" si="52"/>
        <v>0.11245758603974794</v>
      </c>
      <c r="K159" s="10">
        <v>0</v>
      </c>
      <c r="L159" s="2">
        <f t="shared" si="53"/>
        <v>0</v>
      </c>
      <c r="M159">
        <v>9039</v>
      </c>
      <c r="N159">
        <f t="shared" si="54"/>
        <v>4.1636503858473735E-2</v>
      </c>
      <c r="O159" s="10">
        <v>0.87399733599999996</v>
      </c>
      <c r="P159">
        <f t="shared" si="55"/>
        <v>0.86705767308944015</v>
      </c>
      <c r="Q159" s="23">
        <v>0.20499999999999999</v>
      </c>
      <c r="R159" s="13">
        <f t="shared" si="56"/>
        <v>0.44391511476829792</v>
      </c>
      <c r="S159">
        <f t="shared" si="57"/>
        <v>6.2399198041335709E-2</v>
      </c>
      <c r="T159" s="14">
        <f t="shared" si="45"/>
        <v>0.13178375696672412</v>
      </c>
      <c r="U159" t="str">
        <f t="shared" si="58"/>
        <v>No Impact</v>
      </c>
      <c r="V159">
        <f t="shared" si="59"/>
        <v>4.2258615001816775E-2</v>
      </c>
      <c r="W159">
        <f t="shared" si="46"/>
        <v>7.6711788211073259E-2</v>
      </c>
      <c r="X159" t="s">
        <v>1170</v>
      </c>
      <c r="Y159">
        <f t="shared" si="47"/>
        <v>8.2539781080854635E-2</v>
      </c>
      <c r="Z159">
        <f t="shared" si="60"/>
        <v>0.18250372978328117</v>
      </c>
      <c r="AA159" t="s">
        <v>1170</v>
      </c>
      <c r="AB159">
        <f t="shared" si="48"/>
        <v>4.0939708816162622E-2</v>
      </c>
      <c r="AC159">
        <f t="shared" si="61"/>
        <v>0.12007027064812383</v>
      </c>
      <c r="AD159" t="str">
        <f t="shared" si="62"/>
        <v>No Impact</v>
      </c>
      <c r="AE159">
        <f t="shared" si="49"/>
        <v>3.9635978322010382E-3</v>
      </c>
      <c r="AF159">
        <f t="shared" si="63"/>
        <v>2.6119364960146555E-2</v>
      </c>
      <c r="AG159" t="s">
        <v>1170</v>
      </c>
    </row>
    <row r="160" spans="1:33" customFormat="1" x14ac:dyDescent="0.3">
      <c r="A160">
        <v>302611</v>
      </c>
      <c r="B160" t="s">
        <v>128</v>
      </c>
      <c r="C160" t="s">
        <v>705</v>
      </c>
      <c r="D160" t="s">
        <v>710</v>
      </c>
      <c r="E160" s="21">
        <v>5.8</v>
      </c>
      <c r="F160" s="2">
        <f t="shared" si="50"/>
        <v>0.57777777777777772</v>
      </c>
      <c r="G160" s="10">
        <v>39.620159999999998</v>
      </c>
      <c r="H160">
        <f t="shared" si="51"/>
        <v>0.36162662320593031</v>
      </c>
      <c r="I160" s="12">
        <v>36.000000000000007</v>
      </c>
      <c r="J160" s="2">
        <f t="shared" si="52"/>
        <v>8.7251575375666524E-2</v>
      </c>
      <c r="K160" s="10">
        <v>0</v>
      </c>
      <c r="L160" s="2">
        <f t="shared" si="53"/>
        <v>0</v>
      </c>
      <c r="M160">
        <v>3309</v>
      </c>
      <c r="N160">
        <f t="shared" si="54"/>
        <v>1.4525462141535725E-2</v>
      </c>
      <c r="O160" s="10">
        <v>0.58542256299999995</v>
      </c>
      <c r="P160">
        <f t="shared" si="55"/>
        <v>0.54925350636148673</v>
      </c>
      <c r="Q160" s="23">
        <v>9.8299999999999998E-2</v>
      </c>
      <c r="R160" s="13">
        <f t="shared" si="56"/>
        <v>0.21286271113035946</v>
      </c>
      <c r="S160">
        <f t="shared" si="57"/>
        <v>3.4589843653775543E-2</v>
      </c>
      <c r="T160" s="14">
        <f t="shared" si="45"/>
        <v>7.3051893176038718E-2</v>
      </c>
      <c r="U160" t="str">
        <f t="shared" si="58"/>
        <v>No Impact</v>
      </c>
      <c r="V160">
        <f t="shared" si="59"/>
        <v>1.9322218130850093E-2</v>
      </c>
      <c r="W160">
        <f t="shared" si="46"/>
        <v>3.5075496557523428E-2</v>
      </c>
      <c r="X160" t="s">
        <v>1170</v>
      </c>
      <c r="Y160">
        <f t="shared" si="47"/>
        <v>4.9857469176701003E-2</v>
      </c>
      <c r="Z160">
        <f t="shared" si="60"/>
        <v>0.1102398620780143</v>
      </c>
      <c r="AA160" t="s">
        <v>1170</v>
      </c>
      <c r="AB160">
        <f t="shared" si="48"/>
        <v>2.2181499766490274E-2</v>
      </c>
      <c r="AC160">
        <f t="shared" si="61"/>
        <v>6.5055144683694499E-2</v>
      </c>
      <c r="AD160" t="str">
        <f t="shared" si="62"/>
        <v>No Impact</v>
      </c>
      <c r="AE160">
        <f t="shared" si="49"/>
        <v>1.3185219076641205E-3</v>
      </c>
      <c r="AF160">
        <f t="shared" si="63"/>
        <v>8.6888116232275298E-3</v>
      </c>
      <c r="AG160" t="s">
        <v>1170</v>
      </c>
    </row>
    <row r="161" spans="1:33" customFormat="1" x14ac:dyDescent="0.3">
      <c r="A161">
        <v>302612</v>
      </c>
      <c r="B161" t="s">
        <v>139</v>
      </c>
      <c r="C161" t="s">
        <v>705</v>
      </c>
      <c r="D161" t="s">
        <v>711</v>
      </c>
      <c r="E161" s="21">
        <v>5.8</v>
      </c>
      <c r="F161" s="2">
        <f t="shared" si="50"/>
        <v>0.57777777777777772</v>
      </c>
      <c r="G161" s="10">
        <v>39.147120000000001</v>
      </c>
      <c r="H161">
        <f t="shared" si="51"/>
        <v>0.3573090268650439</v>
      </c>
      <c r="I161" s="12">
        <v>56.000000000000007</v>
      </c>
      <c r="J161" s="2">
        <f t="shared" si="52"/>
        <v>0.13572467280659237</v>
      </c>
      <c r="K161" s="10">
        <v>0</v>
      </c>
      <c r="L161" s="2">
        <f t="shared" si="53"/>
        <v>0</v>
      </c>
      <c r="M161">
        <v>15140</v>
      </c>
      <c r="N161">
        <f t="shared" si="54"/>
        <v>7.0502902726717859E-2</v>
      </c>
      <c r="O161" s="10">
        <v>0.68918116200000001</v>
      </c>
      <c r="P161">
        <f t="shared" si="55"/>
        <v>0.66352168979710147</v>
      </c>
      <c r="Q161" s="23">
        <v>0.16800000000000001</v>
      </c>
      <c r="R161" s="13">
        <f t="shared" si="56"/>
        <v>0.36379385015158078</v>
      </c>
      <c r="S161">
        <f t="shared" si="57"/>
        <v>5.1212897229540852E-2</v>
      </c>
      <c r="T161" s="14">
        <f t="shared" si="45"/>
        <v>0.10815889008042709</v>
      </c>
      <c r="U161" t="str">
        <f t="shared" si="58"/>
        <v>No Impact</v>
      </c>
      <c r="V161">
        <f t="shared" si="59"/>
        <v>3.6271109189066807E-2</v>
      </c>
      <c r="W161">
        <f t="shared" si="46"/>
        <v>6.5842707958431307E-2</v>
      </c>
      <c r="X161" t="s">
        <v>1170</v>
      </c>
      <c r="Y161">
        <f t="shared" si="47"/>
        <v>6.615468527001489E-2</v>
      </c>
      <c r="Z161">
        <f t="shared" si="60"/>
        <v>0.14627464049837768</v>
      </c>
      <c r="AA161" t="s">
        <v>1170</v>
      </c>
      <c r="AB161">
        <f t="shared" si="48"/>
        <v>3.5001551079313055E-2</v>
      </c>
      <c r="AC161">
        <f t="shared" si="61"/>
        <v>0.10265450909944145</v>
      </c>
      <c r="AD161" t="str">
        <f t="shared" si="62"/>
        <v>No Impact</v>
      </c>
      <c r="AE161">
        <f t="shared" si="49"/>
        <v>7.0293065203862895E-3</v>
      </c>
      <c r="AF161">
        <f t="shared" si="63"/>
        <v>4.632180917324584E-2</v>
      </c>
      <c r="AG161" t="s">
        <v>1170</v>
      </c>
    </row>
    <row r="162" spans="1:33" customFormat="1" x14ac:dyDescent="0.3">
      <c r="A162">
        <v>302614</v>
      </c>
      <c r="B162" t="s">
        <v>143</v>
      </c>
      <c r="C162" t="s">
        <v>705</v>
      </c>
      <c r="D162" t="s">
        <v>712</v>
      </c>
      <c r="E162" s="21">
        <v>5.6</v>
      </c>
      <c r="F162" s="2">
        <f t="shared" si="50"/>
        <v>0.53333333333333321</v>
      </c>
      <c r="G162" s="10">
        <v>42.110999999999997</v>
      </c>
      <c r="H162">
        <f t="shared" si="51"/>
        <v>0.38436136375584878</v>
      </c>
      <c r="I162" s="12">
        <v>31.8</v>
      </c>
      <c r="J162" s="2">
        <f t="shared" si="52"/>
        <v>7.7072224915172086E-2</v>
      </c>
      <c r="K162" s="10">
        <v>0</v>
      </c>
      <c r="L162" s="2">
        <f t="shared" si="53"/>
        <v>0</v>
      </c>
      <c r="M162">
        <v>70768</v>
      </c>
      <c r="N162">
        <f t="shared" si="54"/>
        <v>0.33370238416298798</v>
      </c>
      <c r="O162" s="10">
        <v>0.89261666200000001</v>
      </c>
      <c r="P162">
        <f t="shared" si="55"/>
        <v>0.88756292835811934</v>
      </c>
      <c r="Q162" s="23">
        <v>0.26879999999999998</v>
      </c>
      <c r="R162" s="13">
        <f t="shared" si="56"/>
        <v>0.58207016024252922</v>
      </c>
      <c r="S162">
        <f t="shared" si="57"/>
        <v>6.3292886542916191E-2</v>
      </c>
      <c r="T162" s="14">
        <f t="shared" si="45"/>
        <v>0.13367117911305074</v>
      </c>
      <c r="U162" t="str">
        <f t="shared" si="58"/>
        <v>No Impact</v>
      </c>
      <c r="V162">
        <f t="shared" si="59"/>
        <v>5.0136188274484912E-2</v>
      </c>
      <c r="W162">
        <f t="shared" si="46"/>
        <v>9.1011895597085529E-2</v>
      </c>
      <c r="X162" t="s">
        <v>1170</v>
      </c>
      <c r="Y162">
        <f t="shared" si="47"/>
        <v>7.6449584811347449E-2</v>
      </c>
      <c r="Z162">
        <f t="shared" si="60"/>
        <v>0.16903769534821894</v>
      </c>
      <c r="AA162" t="s">
        <v>1170</v>
      </c>
      <c r="AB162">
        <f t="shared" si="48"/>
        <v>5.0542665266070957E-2</v>
      </c>
      <c r="AC162">
        <f t="shared" si="61"/>
        <v>0.1482343590919438</v>
      </c>
      <c r="AD162" t="str">
        <f t="shared" si="62"/>
        <v>No Impact</v>
      </c>
      <c r="AE162">
        <f t="shared" si="49"/>
        <v>2.8743211218848583E-2</v>
      </c>
      <c r="AF162">
        <f t="shared" si="63"/>
        <v>0.18941236112614918</v>
      </c>
      <c r="AG162" t="s">
        <v>1169</v>
      </c>
    </row>
    <row r="163" spans="1:33" customFormat="1" x14ac:dyDescent="0.3">
      <c r="A163">
        <v>302616</v>
      </c>
      <c r="B163" t="s">
        <v>145</v>
      </c>
      <c r="C163" t="s">
        <v>705</v>
      </c>
      <c r="D163" t="s">
        <v>713</v>
      </c>
      <c r="E163" s="21">
        <v>5.8</v>
      </c>
      <c r="F163" s="2">
        <f t="shared" si="50"/>
        <v>0.57777777777777772</v>
      </c>
      <c r="G163" s="10">
        <v>39.620159999999998</v>
      </c>
      <c r="H163">
        <f t="shared" si="51"/>
        <v>0.36162662320593031</v>
      </c>
      <c r="I163" s="12">
        <v>56.000000000000007</v>
      </c>
      <c r="J163" s="2">
        <f t="shared" si="52"/>
        <v>0.13572467280659237</v>
      </c>
      <c r="K163" s="10">
        <v>0</v>
      </c>
      <c r="L163" s="2">
        <f t="shared" si="53"/>
        <v>0</v>
      </c>
      <c r="M163">
        <v>1742</v>
      </c>
      <c r="N163">
        <f t="shared" si="54"/>
        <v>7.1113256021915943E-3</v>
      </c>
      <c r="O163" s="10">
        <v>0.68543173899999998</v>
      </c>
      <c r="P163">
        <f t="shared" si="55"/>
        <v>0.65939249222436136</v>
      </c>
      <c r="Q163" s="23">
        <v>0</v>
      </c>
      <c r="R163" s="13">
        <f t="shared" si="56"/>
        <v>0</v>
      </c>
      <c r="S163">
        <f t="shared" si="57"/>
        <v>3.3159359626192125E-2</v>
      </c>
      <c r="T163" s="14">
        <f t="shared" si="45"/>
        <v>7.0030787691462551E-2</v>
      </c>
      <c r="U163" t="str">
        <f t="shared" si="58"/>
        <v>No Impact</v>
      </c>
      <c r="V163">
        <f t="shared" si="59"/>
        <v>0</v>
      </c>
      <c r="W163">
        <f t="shared" si="46"/>
        <v>0</v>
      </c>
      <c r="X163" t="s">
        <v>1170</v>
      </c>
      <c r="Y163">
        <f t="shared" si="47"/>
        <v>6.6318719252384251E-2</v>
      </c>
      <c r="Z163">
        <f t="shared" si="60"/>
        <v>0.14663733607621413</v>
      </c>
      <c r="AA163" t="s">
        <v>1170</v>
      </c>
      <c r="AB163">
        <f t="shared" si="48"/>
        <v>2.0145944531486503E-2</v>
      </c>
      <c r="AC163">
        <f t="shared" si="61"/>
        <v>5.9085154298965201E-2</v>
      </c>
      <c r="AD163" t="str">
        <f t="shared" si="62"/>
        <v>No Impact</v>
      </c>
      <c r="AE163">
        <f t="shared" si="49"/>
        <v>7.1522501648922003E-4</v>
      </c>
      <c r="AF163">
        <f t="shared" si="63"/>
        <v>4.7131984689614305E-3</v>
      </c>
      <c r="AG163" t="s">
        <v>1170</v>
      </c>
    </row>
    <row r="164" spans="1:33" customFormat="1" x14ac:dyDescent="0.3">
      <c r="A164">
        <v>302618</v>
      </c>
      <c r="B164" t="s">
        <v>154</v>
      </c>
      <c r="C164" t="s">
        <v>705</v>
      </c>
      <c r="D164" t="s">
        <v>714</v>
      </c>
      <c r="E164" s="21">
        <v>5.8</v>
      </c>
      <c r="F164" s="2">
        <f t="shared" si="50"/>
        <v>0.57777777777777772</v>
      </c>
      <c r="G164" s="10">
        <v>45.21564</v>
      </c>
      <c r="H164">
        <f t="shared" si="51"/>
        <v>0.41269846485463435</v>
      </c>
      <c r="I164" s="12">
        <v>57.400000000000006</v>
      </c>
      <c r="J164" s="2">
        <f t="shared" si="52"/>
        <v>0.13911778962675717</v>
      </c>
      <c r="K164" s="10">
        <v>0</v>
      </c>
      <c r="L164" s="2">
        <f t="shared" si="53"/>
        <v>0</v>
      </c>
      <c r="M164">
        <v>27219</v>
      </c>
      <c r="N164">
        <f t="shared" si="54"/>
        <v>0.12765373569336608</v>
      </c>
      <c r="O164" s="10">
        <v>0.71492299500000001</v>
      </c>
      <c r="P164">
        <f t="shared" si="55"/>
        <v>0.69187088228391369</v>
      </c>
      <c r="Q164" s="23">
        <v>0.26579999999999998</v>
      </c>
      <c r="R164" s="13">
        <f t="shared" si="56"/>
        <v>0.57557384148982238</v>
      </c>
      <c r="S164">
        <f t="shared" si="57"/>
        <v>7.0716767357096963E-2</v>
      </c>
      <c r="T164" s="14">
        <f t="shared" si="45"/>
        <v>0.14935001691346331</v>
      </c>
      <c r="U164" t="str">
        <f t="shared" si="58"/>
        <v>No Impact</v>
      </c>
      <c r="V164">
        <f t="shared" si="59"/>
        <v>6.4228002502983481E-2</v>
      </c>
      <c r="W164">
        <f t="shared" si="46"/>
        <v>0.11659267406225521</v>
      </c>
      <c r="X164" t="s">
        <v>1170</v>
      </c>
      <c r="Y164">
        <f t="shared" si="47"/>
        <v>7.7205532211210418E-2</v>
      </c>
      <c r="Z164">
        <f t="shared" si="60"/>
        <v>0.17070917082572012</v>
      </c>
      <c r="AA164" t="s">
        <v>1170</v>
      </c>
      <c r="AB164">
        <f t="shared" si="48"/>
        <v>5.0627146740924528E-2</v>
      </c>
      <c r="AC164">
        <f t="shared" si="61"/>
        <v>0.14848213109237424</v>
      </c>
      <c r="AD164" t="str">
        <f t="shared" si="62"/>
        <v>No Impact</v>
      </c>
      <c r="AE164">
        <f t="shared" si="49"/>
        <v>1.4244817718620536E-2</v>
      </c>
      <c r="AF164">
        <f t="shared" si="63"/>
        <v>9.3870672185931411E-2</v>
      </c>
      <c r="AG164" t="s">
        <v>1170</v>
      </c>
    </row>
    <row r="165" spans="1:33" customFormat="1" x14ac:dyDescent="0.3">
      <c r="A165">
        <v>302624</v>
      </c>
      <c r="B165" t="s">
        <v>182</v>
      </c>
      <c r="C165" t="s">
        <v>705</v>
      </c>
      <c r="D165" t="s">
        <v>715</v>
      </c>
      <c r="E165" s="21">
        <v>5.7</v>
      </c>
      <c r="F165" s="2">
        <f t="shared" si="50"/>
        <v>0.55555555555555558</v>
      </c>
      <c r="G165" s="10">
        <v>38.349359999999997</v>
      </c>
      <c r="H165">
        <f t="shared" si="51"/>
        <v>0.35002760107249881</v>
      </c>
      <c r="I165" s="12">
        <v>56.000000000000007</v>
      </c>
      <c r="J165" s="2">
        <f t="shared" si="52"/>
        <v>0.13572467280659237</v>
      </c>
      <c r="K165" s="10">
        <v>0</v>
      </c>
      <c r="L165" s="2">
        <f t="shared" si="53"/>
        <v>0</v>
      </c>
      <c r="M165">
        <v>1598</v>
      </c>
      <c r="N165">
        <f t="shared" si="54"/>
        <v>6.4300009935983875E-3</v>
      </c>
      <c r="O165" s="10">
        <v>0.68262042700000003</v>
      </c>
      <c r="P165">
        <f t="shared" si="55"/>
        <v>0.65629642579317582</v>
      </c>
      <c r="Q165" s="23">
        <v>0</v>
      </c>
      <c r="R165" s="13">
        <f t="shared" si="56"/>
        <v>0</v>
      </c>
      <c r="S165">
        <f t="shared" si="57"/>
        <v>3.0994199557976221E-2</v>
      </c>
      <c r="T165" s="14">
        <f t="shared" si="45"/>
        <v>6.5458085843038083E-2</v>
      </c>
      <c r="U165" t="str">
        <f t="shared" si="58"/>
        <v>No Impact</v>
      </c>
      <c r="V165">
        <f t="shared" si="59"/>
        <v>0</v>
      </c>
      <c r="W165">
        <f t="shared" si="46"/>
        <v>0</v>
      </c>
      <c r="X165" t="s">
        <v>1170</v>
      </c>
      <c r="Y165">
        <f t="shared" si="47"/>
        <v>6.1988399115952442E-2</v>
      </c>
      <c r="Z165">
        <f t="shared" si="60"/>
        <v>0.13706256418191642</v>
      </c>
      <c r="AA165" t="s">
        <v>1170</v>
      </c>
      <c r="AB165">
        <f t="shared" si="48"/>
        <v>1.8809083613369866E-2</v>
      </c>
      <c r="AC165">
        <f t="shared" si="61"/>
        <v>5.5164333733827398E-2</v>
      </c>
      <c r="AD165" t="str">
        <f t="shared" si="62"/>
        <v>No Impact</v>
      </c>
      <c r="AE165">
        <f t="shared" si="49"/>
        <v>6.0732536738323964E-4</v>
      </c>
      <c r="AF165">
        <f t="shared" si="63"/>
        <v>4.002160055534448E-3</v>
      </c>
      <c r="AG165" t="s">
        <v>1170</v>
      </c>
    </row>
    <row r="166" spans="1:33" customFormat="1" x14ac:dyDescent="0.3">
      <c r="A166">
        <v>302626</v>
      </c>
      <c r="B166" t="s">
        <v>195</v>
      </c>
      <c r="C166" t="s">
        <v>705</v>
      </c>
      <c r="D166" t="s">
        <v>716</v>
      </c>
      <c r="E166" s="21">
        <v>5.7</v>
      </c>
      <c r="F166" s="2">
        <f t="shared" si="50"/>
        <v>0.55555555555555558</v>
      </c>
      <c r="G166" s="10">
        <v>38.76444</v>
      </c>
      <c r="H166">
        <f t="shared" si="51"/>
        <v>0.35381617685715788</v>
      </c>
      <c r="I166" s="12">
        <v>42.499999999999993</v>
      </c>
      <c r="J166" s="2">
        <f t="shared" si="52"/>
        <v>0.10300533204071739</v>
      </c>
      <c r="K166" s="10">
        <v>0</v>
      </c>
      <c r="L166" s="2">
        <f t="shared" si="53"/>
        <v>0</v>
      </c>
      <c r="M166">
        <v>6565</v>
      </c>
      <c r="N166">
        <f t="shared" si="54"/>
        <v>2.9930968569171008E-2</v>
      </c>
      <c r="O166" s="10">
        <v>0.66813441399999995</v>
      </c>
      <c r="P166">
        <f t="shared" si="55"/>
        <v>0.64034314185634567</v>
      </c>
      <c r="Q166" s="23">
        <v>0</v>
      </c>
      <c r="R166" s="13">
        <f t="shared" si="56"/>
        <v>0</v>
      </c>
      <c r="S166">
        <f t="shared" si="57"/>
        <v>2.843968947120214E-2</v>
      </c>
      <c r="T166" s="14">
        <f t="shared" si="45"/>
        <v>6.0063097653903413E-2</v>
      </c>
      <c r="U166" t="str">
        <f t="shared" si="58"/>
        <v>No Impact</v>
      </c>
      <c r="V166">
        <f t="shared" si="59"/>
        <v>0</v>
      </c>
      <c r="W166">
        <f t="shared" si="46"/>
        <v>0</v>
      </c>
      <c r="X166" t="s">
        <v>1170</v>
      </c>
      <c r="Y166">
        <f t="shared" si="47"/>
        <v>5.6879378942404281E-2</v>
      </c>
      <c r="Z166">
        <f t="shared" si="60"/>
        <v>0.12576600844841881</v>
      </c>
      <c r="AA166" t="s">
        <v>1170</v>
      </c>
      <c r="AB166">
        <f t="shared" si="48"/>
        <v>1.799434479522494E-2</v>
      </c>
      <c r="AC166">
        <f t="shared" si="61"/>
        <v>5.2774822102431208E-2</v>
      </c>
      <c r="AD166" t="str">
        <f t="shared" si="62"/>
        <v>No Impact</v>
      </c>
      <c r="AE166">
        <f t="shared" si="49"/>
        <v>2.6586603214390288E-3</v>
      </c>
      <c r="AF166">
        <f t="shared" si="63"/>
        <v>1.7520071960016235E-2</v>
      </c>
      <c r="AG166" t="s">
        <v>1170</v>
      </c>
    </row>
    <row r="167" spans="1:33" customFormat="1" x14ac:dyDescent="0.3">
      <c r="A167">
        <v>302628</v>
      </c>
      <c r="B167" t="s">
        <v>209</v>
      </c>
      <c r="C167" t="s">
        <v>705</v>
      </c>
      <c r="D167" t="s">
        <v>717</v>
      </c>
      <c r="E167" s="21">
        <v>5.9</v>
      </c>
      <c r="F167" s="2">
        <f t="shared" si="50"/>
        <v>0.60000000000000009</v>
      </c>
      <c r="G167" s="10">
        <v>39.620159999999998</v>
      </c>
      <c r="H167">
        <f t="shared" si="51"/>
        <v>0.36162662320593031</v>
      </c>
      <c r="I167" s="12">
        <v>51.3</v>
      </c>
      <c r="J167" s="2">
        <f t="shared" si="52"/>
        <v>0.12433349491032478</v>
      </c>
      <c r="K167" s="10">
        <v>0</v>
      </c>
      <c r="L167" s="2">
        <f t="shared" si="53"/>
        <v>0</v>
      </c>
      <c r="M167">
        <v>4547</v>
      </c>
      <c r="N167">
        <f t="shared" si="54"/>
        <v>2.0382961207080098E-2</v>
      </c>
      <c r="O167" s="10">
        <v>0.74273034199999999</v>
      </c>
      <c r="P167">
        <f t="shared" si="55"/>
        <v>0.72249480221419138</v>
      </c>
      <c r="Q167" s="23">
        <v>0.1132</v>
      </c>
      <c r="R167" s="13">
        <f t="shared" si="56"/>
        <v>0.2451277609354699</v>
      </c>
      <c r="S167">
        <f t="shared" si="57"/>
        <v>4.9373727383417117E-2</v>
      </c>
      <c r="T167" s="14">
        <f t="shared" si="45"/>
        <v>0.1042746620834336</v>
      </c>
      <c r="U167" t="str">
        <f t="shared" si="58"/>
        <v>No Impact</v>
      </c>
      <c r="V167">
        <f t="shared" si="59"/>
        <v>2.5015686288132562E-2</v>
      </c>
      <c r="W167">
        <f t="shared" si="46"/>
        <v>4.5410812171846449E-2</v>
      </c>
      <c r="X167" t="s">
        <v>1170</v>
      </c>
      <c r="Y167">
        <f t="shared" si="47"/>
        <v>7.3731768478701651E-2</v>
      </c>
      <c r="Z167">
        <f t="shared" si="60"/>
        <v>0.16302833100197853</v>
      </c>
      <c r="AA167" t="s">
        <v>1170</v>
      </c>
      <c r="AB167">
        <f t="shared" si="48"/>
        <v>3.1603060752784642E-2</v>
      </c>
      <c r="AC167">
        <f t="shared" si="61"/>
        <v>9.2687226353644292E-2</v>
      </c>
      <c r="AD167" t="str">
        <f t="shared" si="62"/>
        <v>No Impact</v>
      </c>
      <c r="AE167">
        <f t="shared" si="49"/>
        <v>2.0801143095078552E-3</v>
      </c>
      <c r="AF167">
        <f t="shared" si="63"/>
        <v>1.3707562449313393E-2</v>
      </c>
      <c r="AG167" t="s">
        <v>1170</v>
      </c>
    </row>
    <row r="168" spans="1:33" customFormat="1" x14ac:dyDescent="0.3">
      <c r="A168">
        <v>302629</v>
      </c>
      <c r="B168" t="s">
        <v>222</v>
      </c>
      <c r="C168" t="s">
        <v>705</v>
      </c>
      <c r="D168" t="s">
        <v>718</v>
      </c>
      <c r="E168" s="21">
        <v>5.8</v>
      </c>
      <c r="F168" s="2">
        <f t="shared" si="50"/>
        <v>0.57777777777777772</v>
      </c>
      <c r="G168" s="10">
        <v>38.349359999999997</v>
      </c>
      <c r="H168">
        <f t="shared" si="51"/>
        <v>0.35002760107249881</v>
      </c>
      <c r="I168" s="12">
        <v>56.000000000000007</v>
      </c>
      <c r="J168" s="2">
        <f t="shared" si="52"/>
        <v>0.13572467280659237</v>
      </c>
      <c r="K168" s="10">
        <v>0</v>
      </c>
      <c r="L168" s="2">
        <f t="shared" si="53"/>
        <v>0</v>
      </c>
      <c r="M168">
        <v>7826</v>
      </c>
      <c r="N168">
        <f t="shared" si="54"/>
        <v>3.5897290315254571E-2</v>
      </c>
      <c r="O168" s="10">
        <v>0.64920389700000003</v>
      </c>
      <c r="P168">
        <f t="shared" si="55"/>
        <v>0.61949517542334653</v>
      </c>
      <c r="Q168" s="23">
        <v>0.1537</v>
      </c>
      <c r="R168" s="13">
        <f t="shared" si="56"/>
        <v>0.33282806409701171</v>
      </c>
      <c r="S168">
        <f t="shared" si="57"/>
        <v>4.6773310327674872E-2</v>
      </c>
      <c r="T168" s="14">
        <f t="shared" si="45"/>
        <v>9.8782720839909174E-2</v>
      </c>
      <c r="U168" t="str">
        <f t="shared" si="58"/>
        <v>No Impact</v>
      </c>
      <c r="V168">
        <f t="shared" si="59"/>
        <v>3.2693668875726306E-2</v>
      </c>
      <c r="W168">
        <f t="shared" si="46"/>
        <v>5.9348603888931303E-2</v>
      </c>
      <c r="X168" t="s">
        <v>1170</v>
      </c>
      <c r="Y168">
        <f t="shared" si="47"/>
        <v>6.0852951779623445E-2</v>
      </c>
      <c r="Z168">
        <f t="shared" si="60"/>
        <v>0.13455197630369634</v>
      </c>
      <c r="AA168" t="s">
        <v>1170</v>
      </c>
      <c r="AB168">
        <f t="shared" si="48"/>
        <v>3.0932835227359991E-2</v>
      </c>
      <c r="AC168">
        <f t="shared" si="61"/>
        <v>9.0721551399912129E-2</v>
      </c>
      <c r="AD168" t="str">
        <f t="shared" si="62"/>
        <v>No Impact</v>
      </c>
      <c r="AE168">
        <f t="shared" si="49"/>
        <v>3.5261873913392961E-3</v>
      </c>
      <c r="AF168">
        <f t="shared" si="63"/>
        <v>2.3236912343630199E-2</v>
      </c>
      <c r="AG168" t="s">
        <v>1170</v>
      </c>
    </row>
    <row r="169" spans="1:33" customFormat="1" x14ac:dyDescent="0.3">
      <c r="A169">
        <v>302630</v>
      </c>
      <c r="B169" t="s">
        <v>235</v>
      </c>
      <c r="C169" t="s">
        <v>705</v>
      </c>
      <c r="D169" t="s">
        <v>719</v>
      </c>
      <c r="E169" s="21">
        <v>5.8</v>
      </c>
      <c r="F169" s="2">
        <f t="shared" si="50"/>
        <v>0.57777777777777772</v>
      </c>
      <c r="G169" s="10">
        <v>39.620159999999998</v>
      </c>
      <c r="H169">
        <f t="shared" si="51"/>
        <v>0.36162662320593031</v>
      </c>
      <c r="I169" s="12">
        <v>41.999999999999993</v>
      </c>
      <c r="J169" s="2">
        <f t="shared" si="52"/>
        <v>0.10179350460494424</v>
      </c>
      <c r="K169" s="10">
        <v>0</v>
      </c>
      <c r="L169" s="2">
        <f t="shared" si="53"/>
        <v>0</v>
      </c>
      <c r="M169">
        <v>6991</v>
      </c>
      <c r="N169">
        <f t="shared" si="54"/>
        <v>3.1946553869592574E-2</v>
      </c>
      <c r="O169" s="10">
        <v>0.79098264299999999</v>
      </c>
      <c r="P169">
        <f t="shared" si="55"/>
        <v>0.77563452109048892</v>
      </c>
      <c r="Q169" s="23">
        <v>0.11</v>
      </c>
      <c r="R169" s="13">
        <f t="shared" si="56"/>
        <v>0.23819835426591598</v>
      </c>
      <c r="S169">
        <f t="shared" si="57"/>
        <v>4.7505090023960417E-2</v>
      </c>
      <c r="T169" s="14">
        <f t="shared" si="45"/>
        <v>0.10032820027995892</v>
      </c>
      <c r="U169" t="str">
        <f t="shared" si="58"/>
        <v>No Impact</v>
      </c>
      <c r="V169">
        <f t="shared" si="59"/>
        <v>2.2322484381824038E-2</v>
      </c>
      <c r="W169">
        <f t="shared" si="46"/>
        <v>4.0521860315816241E-2</v>
      </c>
      <c r="X169" t="s">
        <v>1170</v>
      </c>
      <c r="Y169">
        <f t="shared" si="47"/>
        <v>7.2687695666096785E-2</v>
      </c>
      <c r="Z169">
        <f t="shared" si="60"/>
        <v>0.16071978135512335</v>
      </c>
      <c r="AA169" t="s">
        <v>1170</v>
      </c>
      <c r="AB169">
        <f t="shared" si="48"/>
        <v>3.0667020306943068E-2</v>
      </c>
      <c r="AC169">
        <f t="shared" si="61"/>
        <v>8.9941954515623368E-2</v>
      </c>
      <c r="AD169" t="str">
        <f t="shared" si="62"/>
        <v>No Impact</v>
      </c>
      <c r="AE169">
        <f t="shared" si="49"/>
        <v>2.9938344956446346E-3</v>
      </c>
      <c r="AF169">
        <f t="shared" si="63"/>
        <v>1.9728806789309057E-2</v>
      </c>
      <c r="AG169" t="s">
        <v>1170</v>
      </c>
    </row>
    <row r="170" spans="1:33" customFormat="1" x14ac:dyDescent="0.3">
      <c r="A170">
        <v>302632</v>
      </c>
      <c r="B170" t="s">
        <v>234</v>
      </c>
      <c r="C170" t="s">
        <v>705</v>
      </c>
      <c r="D170" t="s">
        <v>720</v>
      </c>
      <c r="E170" s="21">
        <v>5.8</v>
      </c>
      <c r="F170" s="2">
        <f t="shared" si="50"/>
        <v>0.57777777777777772</v>
      </c>
      <c r="G170" s="10">
        <v>38.349359999999997</v>
      </c>
      <c r="H170">
        <f t="shared" si="51"/>
        <v>0.35002760107249881</v>
      </c>
      <c r="I170" s="12">
        <v>56.000000000000007</v>
      </c>
      <c r="J170" s="2">
        <f t="shared" si="52"/>
        <v>0.13572467280659237</v>
      </c>
      <c r="K170" s="10">
        <v>0</v>
      </c>
      <c r="L170" s="2">
        <f t="shared" si="53"/>
        <v>0</v>
      </c>
      <c r="M170">
        <v>4323</v>
      </c>
      <c r="N170">
        <f t="shared" si="54"/>
        <v>1.9323122927046223E-2</v>
      </c>
      <c r="O170" s="10">
        <v>0.69893141800000003</v>
      </c>
      <c r="P170">
        <f t="shared" si="55"/>
        <v>0.67425953756962398</v>
      </c>
      <c r="Q170" s="23">
        <v>9.0200000000000002E-2</v>
      </c>
      <c r="R170" s="13">
        <f t="shared" si="56"/>
        <v>0.19532265049805111</v>
      </c>
      <c r="S170">
        <f t="shared" si="57"/>
        <v>4.2709487545839114E-2</v>
      </c>
      <c r="T170" s="14">
        <f t="shared" si="45"/>
        <v>9.0200145251637776E-2</v>
      </c>
      <c r="U170" t="str">
        <f t="shared" si="58"/>
        <v>No Impact</v>
      </c>
      <c r="V170">
        <f t="shared" si="59"/>
        <v>1.918652526083613E-2</v>
      </c>
      <c r="W170">
        <f t="shared" si="46"/>
        <v>3.4829174175547199E-2</v>
      </c>
      <c r="X170" t="s">
        <v>1170</v>
      </c>
      <c r="Y170">
        <f t="shared" si="47"/>
        <v>6.6232449830842102E-2</v>
      </c>
      <c r="Z170">
        <f t="shared" si="60"/>
        <v>0.1464465857375106</v>
      </c>
      <c r="AA170" t="s">
        <v>1170</v>
      </c>
      <c r="AB170">
        <f t="shared" si="48"/>
        <v>2.7249356770930194E-2</v>
      </c>
      <c r="AC170">
        <f t="shared" si="61"/>
        <v>7.991843950734652E-2</v>
      </c>
      <c r="AD170" t="str">
        <f t="shared" si="62"/>
        <v>No Impact</v>
      </c>
      <c r="AE170">
        <f t="shared" si="49"/>
        <v>1.8981085153854868E-3</v>
      </c>
      <c r="AF170">
        <f t="shared" si="63"/>
        <v>1.2508178464661361E-2</v>
      </c>
      <c r="AG170" t="s">
        <v>1170</v>
      </c>
    </row>
    <row r="171" spans="1:33" customFormat="1" x14ac:dyDescent="0.3">
      <c r="A171">
        <v>302633</v>
      </c>
      <c r="B171" t="s">
        <v>239</v>
      </c>
      <c r="C171" t="s">
        <v>705</v>
      </c>
      <c r="D171" t="s">
        <v>721</v>
      </c>
      <c r="E171" s="21">
        <v>5.7</v>
      </c>
      <c r="F171" s="2">
        <f t="shared" si="50"/>
        <v>0.55555555555555558</v>
      </c>
      <c r="G171" s="10">
        <v>38.76444</v>
      </c>
      <c r="H171">
        <f t="shared" si="51"/>
        <v>0.35381617685715788</v>
      </c>
      <c r="I171" s="12">
        <v>56.000000000000007</v>
      </c>
      <c r="J171" s="2">
        <f t="shared" si="52"/>
        <v>0.13572467280659237</v>
      </c>
      <c r="K171" s="10">
        <v>0</v>
      </c>
      <c r="L171" s="2">
        <f t="shared" si="53"/>
        <v>0</v>
      </c>
      <c r="M171">
        <v>731</v>
      </c>
      <c r="N171">
        <f t="shared" si="54"/>
        <v>2.3278590793601225E-3</v>
      </c>
      <c r="O171" s="10">
        <v>0.62907357699999999</v>
      </c>
      <c r="P171">
        <f t="shared" si="55"/>
        <v>0.59732587937900017</v>
      </c>
      <c r="Q171" s="23">
        <v>0</v>
      </c>
      <c r="R171" s="13">
        <f t="shared" si="56"/>
        <v>0</v>
      </c>
      <c r="S171">
        <f t="shared" si="57"/>
        <v>2.8429276800297186E-2</v>
      </c>
      <c r="T171" s="14">
        <f t="shared" si="45"/>
        <v>6.0041106651855539E-2</v>
      </c>
      <c r="U171" t="str">
        <f t="shared" si="58"/>
        <v>No Impact</v>
      </c>
      <c r="V171">
        <f t="shared" si="59"/>
        <v>0</v>
      </c>
      <c r="W171">
        <f t="shared" si="46"/>
        <v>0</v>
      </c>
      <c r="X171" t="s">
        <v>1170</v>
      </c>
      <c r="Y171">
        <f t="shared" si="47"/>
        <v>5.6858553600594372E-2</v>
      </c>
      <c r="Z171">
        <f t="shared" si="60"/>
        <v>0.12571996153013831</v>
      </c>
      <c r="AA171" t="s">
        <v>1170</v>
      </c>
      <c r="AB171">
        <f t="shared" si="48"/>
        <v>1.7135120973884928E-2</v>
      </c>
      <c r="AC171">
        <f t="shared" si="61"/>
        <v>5.0254842362495167E-2</v>
      </c>
      <c r="AD171" t="str">
        <f t="shared" si="62"/>
        <v>No Impact</v>
      </c>
      <c r="AE171">
        <f t="shared" si="49"/>
        <v>2.2158541059033354E-4</v>
      </c>
      <c r="AF171">
        <f t="shared" si="63"/>
        <v>1.4602062202256469E-3</v>
      </c>
      <c r="AG171" t="s">
        <v>1170</v>
      </c>
    </row>
    <row r="172" spans="1:33" customFormat="1" x14ac:dyDescent="0.3">
      <c r="A172">
        <v>302634</v>
      </c>
      <c r="B172" t="s">
        <v>255</v>
      </c>
      <c r="C172" t="s">
        <v>705</v>
      </c>
      <c r="D172" t="s">
        <v>722</v>
      </c>
      <c r="E172" s="21">
        <v>3.7</v>
      </c>
      <c r="F172" s="2">
        <f t="shared" si="50"/>
        <v>0.1111111111111111</v>
      </c>
      <c r="G172" s="10">
        <v>38.994120000000002</v>
      </c>
      <c r="H172">
        <f t="shared" si="51"/>
        <v>0.35591254403028239</v>
      </c>
      <c r="I172" s="12">
        <v>56.000000000000007</v>
      </c>
      <c r="J172" s="2">
        <f t="shared" si="52"/>
        <v>0.13572467280659237</v>
      </c>
      <c r="K172" s="10">
        <v>0</v>
      </c>
      <c r="L172" s="2">
        <f t="shared" si="53"/>
        <v>0</v>
      </c>
      <c r="M172">
        <v>2173</v>
      </c>
      <c r="N172">
        <f t="shared" si="54"/>
        <v>9.1505680070782056E-3</v>
      </c>
      <c r="O172" s="10">
        <v>0.54825125100000005</v>
      </c>
      <c r="P172">
        <f t="shared" si="55"/>
        <v>0.50831715661221488</v>
      </c>
      <c r="Q172" s="23">
        <v>8.2500000000000004E-2</v>
      </c>
      <c r="R172" s="13">
        <f t="shared" si="56"/>
        <v>0.178648765699437</v>
      </c>
      <c r="S172">
        <f t="shared" si="57"/>
        <v>6.5671280520820568E-3</v>
      </c>
      <c r="T172" s="14">
        <f t="shared" si="45"/>
        <v>1.3869421953334011E-2</v>
      </c>
      <c r="U172" t="str">
        <f t="shared" si="58"/>
        <v>No Impact</v>
      </c>
      <c r="V172">
        <f t="shared" si="59"/>
        <v>3.4156259651038829E-3</v>
      </c>
      <c r="W172">
        <f t="shared" si="46"/>
        <v>6.2003635384649276E-3</v>
      </c>
      <c r="X172" t="s">
        <v>1170</v>
      </c>
      <c r="Y172">
        <f t="shared" si="47"/>
        <v>9.718630139060231E-3</v>
      </c>
      <c r="Z172">
        <f t="shared" si="60"/>
        <v>2.1488865435991721E-2</v>
      </c>
      <c r="AA172" t="s">
        <v>1170</v>
      </c>
      <c r="AB172">
        <f t="shared" si="48"/>
        <v>4.1722912488339689E-3</v>
      </c>
      <c r="AC172">
        <f t="shared" si="61"/>
        <v>1.2236729423745084E-2</v>
      </c>
      <c r="AD172" t="str">
        <f t="shared" si="62"/>
        <v>No Impact</v>
      </c>
      <c r="AE172">
        <f t="shared" si="49"/>
        <v>1.7495176951297408E-4</v>
      </c>
      <c r="AF172">
        <f t="shared" si="63"/>
        <v>1.152899287916715E-3</v>
      </c>
      <c r="AG172" t="s">
        <v>1170</v>
      </c>
    </row>
    <row r="173" spans="1:33" customFormat="1" x14ac:dyDescent="0.3">
      <c r="A173">
        <v>302636</v>
      </c>
      <c r="B173" t="s">
        <v>277</v>
      </c>
      <c r="C173" t="s">
        <v>705</v>
      </c>
      <c r="D173" t="s">
        <v>723</v>
      </c>
      <c r="E173" s="21">
        <v>5.9</v>
      </c>
      <c r="F173" s="2">
        <f t="shared" si="50"/>
        <v>0.60000000000000009</v>
      </c>
      <c r="G173" s="10">
        <v>38.76444</v>
      </c>
      <c r="H173">
        <f t="shared" si="51"/>
        <v>0.35381617685715788</v>
      </c>
      <c r="I173" s="12">
        <v>56.000000000000007</v>
      </c>
      <c r="J173" s="2">
        <f t="shared" si="52"/>
        <v>0.13572467280659237</v>
      </c>
      <c r="K173" s="10">
        <v>0</v>
      </c>
      <c r="L173" s="2">
        <f t="shared" si="53"/>
        <v>0</v>
      </c>
      <c r="M173">
        <v>13317</v>
      </c>
      <c r="N173">
        <f t="shared" si="54"/>
        <v>6.1877522438763585E-2</v>
      </c>
      <c r="O173" s="10">
        <v>0.67128717500000001</v>
      </c>
      <c r="P173">
        <f t="shared" si="55"/>
        <v>0.64381524224849396</v>
      </c>
      <c r="Q173" s="23">
        <v>0.16489999999999999</v>
      </c>
      <c r="R173" s="13">
        <f t="shared" si="56"/>
        <v>0.35708098744045041</v>
      </c>
      <c r="S173">
        <f t="shared" si="57"/>
        <v>5.1447857024252849E-2</v>
      </c>
      <c r="T173" s="14">
        <f t="shared" si="45"/>
        <v>0.10865511255531796</v>
      </c>
      <c r="U173" t="str">
        <f t="shared" si="58"/>
        <v>No Impact</v>
      </c>
      <c r="V173">
        <f t="shared" si="59"/>
        <v>3.67092032979775E-2</v>
      </c>
      <c r="W173">
        <f t="shared" si="46"/>
        <v>6.6637977337180021E-2</v>
      </c>
      <c r="X173" t="s">
        <v>1170</v>
      </c>
      <c r="Y173">
        <f t="shared" si="47"/>
        <v>6.6186510750528199E-2</v>
      </c>
      <c r="Z173">
        <f t="shared" si="60"/>
        <v>0.14634500982598875</v>
      </c>
      <c r="AA173" t="s">
        <v>1170</v>
      </c>
      <c r="AB173">
        <f t="shared" si="48"/>
        <v>3.4930605135317948E-2</v>
      </c>
      <c r="AC173">
        <f t="shared" si="61"/>
        <v>0.10244643486190519</v>
      </c>
      <c r="AD173" t="str">
        <f t="shared" si="62"/>
        <v>No Impact</v>
      </c>
      <c r="AE173">
        <f t="shared" si="49"/>
        <v>6.36123073104962E-3</v>
      </c>
      <c r="AF173">
        <f t="shared" si="63"/>
        <v>4.1919315251951E-2</v>
      </c>
      <c r="AG173" t="s">
        <v>1170</v>
      </c>
    </row>
    <row r="174" spans="1:33" customFormat="1" x14ac:dyDescent="0.3">
      <c r="A174">
        <v>302637</v>
      </c>
      <c r="B174" t="s">
        <v>278</v>
      </c>
      <c r="C174" t="s">
        <v>705</v>
      </c>
      <c r="D174" t="s">
        <v>724</v>
      </c>
      <c r="E174" s="21">
        <v>5.8</v>
      </c>
      <c r="F174" s="2">
        <f t="shared" si="50"/>
        <v>0.57777777777777772</v>
      </c>
      <c r="G174" s="10">
        <v>38.76444</v>
      </c>
      <c r="H174">
        <f t="shared" si="51"/>
        <v>0.35381617685715788</v>
      </c>
      <c r="I174" s="12">
        <v>42.499999999999993</v>
      </c>
      <c r="J174" s="2">
        <f t="shared" si="52"/>
        <v>0.10300533204071739</v>
      </c>
      <c r="K174" s="10">
        <v>0</v>
      </c>
      <c r="L174" s="2">
        <f t="shared" si="53"/>
        <v>0</v>
      </c>
      <c r="M174">
        <v>9630</v>
      </c>
      <c r="N174">
        <f t="shared" si="54"/>
        <v>4.4432773606241691E-2</v>
      </c>
      <c r="O174" s="10">
        <v>0.630962676</v>
      </c>
      <c r="P174">
        <f t="shared" si="55"/>
        <v>0.59940632295804308</v>
      </c>
      <c r="Q174" s="23">
        <v>0.1953</v>
      </c>
      <c r="R174" s="13">
        <f t="shared" si="56"/>
        <v>0.42291035080121264</v>
      </c>
      <c r="S174">
        <f t="shared" si="57"/>
        <v>4.7220531487236171E-2</v>
      </c>
      <c r="T174" s="14">
        <f t="shared" si="45"/>
        <v>9.9727227924166259E-2</v>
      </c>
      <c r="U174" t="str">
        <f t="shared" si="58"/>
        <v>No Impact</v>
      </c>
      <c r="V174">
        <f t="shared" si="59"/>
        <v>3.9068230126489134E-2</v>
      </c>
      <c r="W174">
        <f t="shared" si="46"/>
        <v>7.0920303353904521E-2</v>
      </c>
      <c r="X174" t="s">
        <v>1170</v>
      </c>
      <c r="Y174">
        <f t="shared" si="47"/>
        <v>5.5372832847983222E-2</v>
      </c>
      <c r="Z174">
        <f t="shared" si="60"/>
        <v>0.12243488401700141</v>
      </c>
      <c r="AA174" t="s">
        <v>1170</v>
      </c>
      <c r="AB174">
        <f t="shared" si="48"/>
        <v>3.1722366880585662E-2</v>
      </c>
      <c r="AC174">
        <f t="shared" si="61"/>
        <v>9.3037134046426731E-2</v>
      </c>
      <c r="AD174" t="str">
        <f t="shared" si="62"/>
        <v>No Impact</v>
      </c>
      <c r="AE174">
        <f t="shared" si="49"/>
        <v>4.1046756626271384E-3</v>
      </c>
      <c r="AF174">
        <f t="shared" si="63"/>
        <v>2.7049041354342867E-2</v>
      </c>
      <c r="AG174" t="s">
        <v>1170</v>
      </c>
    </row>
    <row r="175" spans="1:33" customFormat="1" x14ac:dyDescent="0.3">
      <c r="A175">
        <v>302638</v>
      </c>
      <c r="B175" t="s">
        <v>269</v>
      </c>
      <c r="C175" t="s">
        <v>705</v>
      </c>
      <c r="D175" t="s">
        <v>725</v>
      </c>
      <c r="E175" s="21">
        <v>5.6</v>
      </c>
      <c r="F175" s="2">
        <f t="shared" si="50"/>
        <v>0.53333333333333321</v>
      </c>
      <c r="G175" s="10">
        <v>40.564439999999998</v>
      </c>
      <c r="H175">
        <f t="shared" si="51"/>
        <v>0.37024538667788232</v>
      </c>
      <c r="I175" s="12">
        <v>67.599999999999994</v>
      </c>
      <c r="J175" s="2">
        <f t="shared" si="52"/>
        <v>0.16383906931652933</v>
      </c>
      <c r="K175" s="10">
        <v>0</v>
      </c>
      <c r="L175" s="2">
        <f t="shared" si="53"/>
        <v>0</v>
      </c>
      <c r="M175">
        <v>88374</v>
      </c>
      <c r="N175">
        <f t="shared" si="54"/>
        <v>0.41700378040529351</v>
      </c>
      <c r="O175" s="10">
        <v>0.70952502799999995</v>
      </c>
      <c r="P175">
        <f t="shared" si="55"/>
        <v>0.68592616166046538</v>
      </c>
      <c r="Q175" s="23">
        <v>0.2223</v>
      </c>
      <c r="R175" s="13">
        <f t="shared" si="56"/>
        <v>0.48137721957557383</v>
      </c>
      <c r="S175">
        <f t="shared" si="57"/>
        <v>5.8187601859136136E-2</v>
      </c>
      <c r="T175" s="14">
        <f t="shared" si="45"/>
        <v>0.12288909188866808</v>
      </c>
      <c r="U175" t="str">
        <f t="shared" si="58"/>
        <v>No Impact</v>
      </c>
      <c r="V175">
        <f t="shared" si="59"/>
        <v>4.799127021642291E-2</v>
      </c>
      <c r="W175">
        <f t="shared" si="46"/>
        <v>8.7118239834986247E-2</v>
      </c>
      <c r="X175" t="s">
        <v>1170</v>
      </c>
      <c r="Y175">
        <f t="shared" si="47"/>
        <v>6.8383933501849362E-2</v>
      </c>
      <c r="Z175">
        <f t="shared" si="60"/>
        <v>0.15120373179950478</v>
      </c>
      <c r="AA175" t="s">
        <v>1170</v>
      </c>
      <c r="AB175">
        <f t="shared" si="48"/>
        <v>5.1862853457053944E-2</v>
      </c>
      <c r="AC175">
        <f t="shared" si="61"/>
        <v>0.1521062809492679</v>
      </c>
      <c r="AD175" t="str">
        <f t="shared" si="62"/>
        <v>Low</v>
      </c>
      <c r="AE175">
        <f t="shared" si="49"/>
        <v>4.1573510945003188E-2</v>
      </c>
      <c r="AF175">
        <f t="shared" si="63"/>
        <v>0.27396162552752878</v>
      </c>
      <c r="AG175" t="s">
        <v>1169</v>
      </c>
    </row>
    <row r="176" spans="1:33" customFormat="1" x14ac:dyDescent="0.3">
      <c r="A176">
        <v>302640</v>
      </c>
      <c r="B176" t="s">
        <v>287</v>
      </c>
      <c r="C176" t="s">
        <v>705</v>
      </c>
      <c r="D176" t="s">
        <v>1129</v>
      </c>
      <c r="E176" s="21">
        <v>5.7</v>
      </c>
      <c r="F176" s="2">
        <f t="shared" si="50"/>
        <v>0.55555555555555558</v>
      </c>
      <c r="G176" s="10">
        <v>38.349359999999997</v>
      </c>
      <c r="H176">
        <f t="shared" si="51"/>
        <v>0.35002760107249881</v>
      </c>
      <c r="I176" s="12">
        <v>56.000000000000007</v>
      </c>
      <c r="J176" s="2">
        <f t="shared" si="52"/>
        <v>0.13572467280659237</v>
      </c>
      <c r="K176" s="10">
        <v>0</v>
      </c>
      <c r="L176" s="2">
        <f t="shared" si="53"/>
        <v>0</v>
      </c>
      <c r="M176">
        <v>383</v>
      </c>
      <c r="N176">
        <f t="shared" si="54"/>
        <v>6.8132460859320662E-4</v>
      </c>
      <c r="O176" s="10">
        <v>0.43857410099999999</v>
      </c>
      <c r="P176">
        <f t="shared" si="55"/>
        <v>0.38753093922221882</v>
      </c>
      <c r="Q176" s="23">
        <v>0.1</v>
      </c>
      <c r="R176" s="13">
        <f t="shared" si="56"/>
        <v>0.21654395842356</v>
      </c>
      <c r="S176">
        <f t="shared" si="57"/>
        <v>2.8527990081569643E-2</v>
      </c>
      <c r="T176" s="14">
        <f t="shared" si="45"/>
        <v>6.0249583803436556E-2</v>
      </c>
      <c r="U176" t="str">
        <f t="shared" si="58"/>
        <v>No Impact</v>
      </c>
      <c r="V176">
        <f t="shared" si="59"/>
        <v>2.0452973372032376E-2</v>
      </c>
      <c r="W176">
        <f t="shared" si="46"/>
        <v>3.7128149172295753E-2</v>
      </c>
      <c r="X176" t="s">
        <v>1170</v>
      </c>
      <c r="Y176">
        <f t="shared" si="47"/>
        <v>3.660300679110691E-2</v>
      </c>
      <c r="Z176">
        <f t="shared" si="60"/>
        <v>8.0932917112004205E-2</v>
      </c>
      <c r="AA176" t="s">
        <v>1170</v>
      </c>
      <c r="AB176">
        <f t="shared" si="48"/>
        <v>1.8161966042426488E-2</v>
      </c>
      <c r="AC176">
        <f t="shared" si="61"/>
        <v>5.3266431083048092E-2</v>
      </c>
      <c r="AD176" t="str">
        <f t="shared" si="62"/>
        <v>No Impact</v>
      </c>
      <c r="AE176">
        <f t="shared" si="49"/>
        <v>6.435235680882009E-5</v>
      </c>
      <c r="AF176">
        <f t="shared" si="63"/>
        <v>4.2406993965927921E-4</v>
      </c>
      <c r="AG176" t="s">
        <v>1170</v>
      </c>
    </row>
    <row r="177" spans="1:33" customFormat="1" x14ac:dyDescent="0.3">
      <c r="A177">
        <v>302642</v>
      </c>
      <c r="B177" t="s">
        <v>300</v>
      </c>
      <c r="C177" t="s">
        <v>705</v>
      </c>
      <c r="D177" t="s">
        <v>726</v>
      </c>
      <c r="E177" s="21">
        <v>5.8</v>
      </c>
      <c r="F177" s="2">
        <f t="shared" si="50"/>
        <v>0.57777777777777772</v>
      </c>
      <c r="G177" s="10">
        <v>38.994120000000002</v>
      </c>
      <c r="H177">
        <f t="shared" si="51"/>
        <v>0.35591254403028239</v>
      </c>
      <c r="I177" s="12">
        <v>56.000000000000007</v>
      </c>
      <c r="J177" s="2">
        <f t="shared" si="52"/>
        <v>0.13572467280659237</v>
      </c>
      <c r="K177" s="10">
        <v>0</v>
      </c>
      <c r="L177" s="2">
        <f t="shared" si="53"/>
        <v>0</v>
      </c>
      <c r="M177">
        <v>3930</v>
      </c>
      <c r="N177">
        <f t="shared" si="54"/>
        <v>1.7463674516093926E-2</v>
      </c>
      <c r="O177" s="10">
        <v>0.71664690200000003</v>
      </c>
      <c r="P177">
        <f t="shared" si="55"/>
        <v>0.69376940176278545</v>
      </c>
      <c r="Q177" s="23">
        <v>0.1</v>
      </c>
      <c r="R177" s="13">
        <f t="shared" si="56"/>
        <v>0.21654395842356</v>
      </c>
      <c r="S177">
        <f t="shared" si="57"/>
        <v>4.5251663714978761E-2</v>
      </c>
      <c r="T177" s="14">
        <f t="shared" si="45"/>
        <v>9.5569084868755413E-2</v>
      </c>
      <c r="U177" t="str">
        <f t="shared" si="58"/>
        <v>No Impact</v>
      </c>
      <c r="V177">
        <f t="shared" si="59"/>
        <v>2.15287939618669E-2</v>
      </c>
      <c r="W177">
        <f t="shared" si="46"/>
        <v>3.9081079272748641E-2</v>
      </c>
      <c r="X177" t="s">
        <v>1170</v>
      </c>
      <c r="Y177">
        <f t="shared" si="47"/>
        <v>6.8974533468090626E-2</v>
      </c>
      <c r="Z177">
        <f t="shared" si="60"/>
        <v>0.15250960752678985</v>
      </c>
      <c r="AA177" t="s">
        <v>1170</v>
      </c>
      <c r="AB177">
        <f t="shared" si="48"/>
        <v>2.8835121229001878E-2</v>
      </c>
      <c r="AC177">
        <f t="shared" si="61"/>
        <v>8.4569258313113738E-2</v>
      </c>
      <c r="AD177" t="str">
        <f t="shared" si="62"/>
        <v>No Impact</v>
      </c>
      <c r="AE177">
        <f t="shared" si="49"/>
        <v>1.7362380054893557E-3</v>
      </c>
      <c r="AF177">
        <f t="shared" si="63"/>
        <v>1.1441482219670679E-2</v>
      </c>
      <c r="AG177" t="s">
        <v>1170</v>
      </c>
    </row>
    <row r="178" spans="1:33" customFormat="1" x14ac:dyDescent="0.3">
      <c r="A178">
        <v>302648</v>
      </c>
      <c r="B178" t="s">
        <v>337</v>
      </c>
      <c r="C178" t="s">
        <v>705</v>
      </c>
      <c r="D178" t="s">
        <v>1136</v>
      </c>
      <c r="E178" s="21">
        <v>5.7</v>
      </c>
      <c r="F178" s="2">
        <f t="shared" si="50"/>
        <v>0.55555555555555558</v>
      </c>
      <c r="G178" s="10">
        <v>39.620159999999998</v>
      </c>
      <c r="H178">
        <f t="shared" si="51"/>
        <v>0.36162662320593031</v>
      </c>
      <c r="I178" s="12">
        <v>36.000000000000007</v>
      </c>
      <c r="J178" s="2">
        <f t="shared" si="52"/>
        <v>8.7251575375666524E-2</v>
      </c>
      <c r="K178" s="10">
        <v>0</v>
      </c>
      <c r="L178" s="2">
        <f t="shared" si="53"/>
        <v>0</v>
      </c>
      <c r="M178">
        <v>5661</v>
      </c>
      <c r="N178">
        <f t="shared" si="54"/>
        <v>2.5653764081891434E-2</v>
      </c>
      <c r="O178" s="10">
        <v>0.71504660099999995</v>
      </c>
      <c r="P178">
        <f t="shared" si="55"/>
        <v>0.69200700818786631</v>
      </c>
      <c r="Q178" s="23">
        <v>0.30959999999999999</v>
      </c>
      <c r="R178" s="13">
        <f t="shared" si="56"/>
        <v>0.67042009527934165</v>
      </c>
      <c r="S178">
        <f t="shared" si="57"/>
        <v>5.9457593990579476E-2</v>
      </c>
      <c r="T178" s="14">
        <f t="shared" si="45"/>
        <v>0.1255712471030494</v>
      </c>
      <c r="U178" t="str">
        <f t="shared" si="58"/>
        <v>No Impact</v>
      </c>
      <c r="V178">
        <f t="shared" si="59"/>
        <v>5.8515520906479275E-2</v>
      </c>
      <c r="W178">
        <f t="shared" si="46"/>
        <v>0.10622284347571458</v>
      </c>
      <c r="X178" t="s">
        <v>1170</v>
      </c>
      <c r="Y178">
        <f t="shared" si="47"/>
        <v>6.0399667074679683E-2</v>
      </c>
      <c r="Z178">
        <f t="shared" si="60"/>
        <v>0.13354971838366486</v>
      </c>
      <c r="AA178" t="s">
        <v>1170</v>
      </c>
      <c r="AB178">
        <f t="shared" si="48"/>
        <v>3.9384020432710422E-2</v>
      </c>
      <c r="AC178">
        <f t="shared" si="61"/>
        <v>0.11550766063826698</v>
      </c>
      <c r="AD178" t="str">
        <f t="shared" si="62"/>
        <v>No Impact</v>
      </c>
      <c r="AE178">
        <f t="shared" si="49"/>
        <v>2.2391085515393581E-3</v>
      </c>
      <c r="AF178">
        <f t="shared" si="63"/>
        <v>1.4755304629522575E-2</v>
      </c>
      <c r="AG178" t="s">
        <v>1170</v>
      </c>
    </row>
    <row r="179" spans="1:33" customFormat="1" x14ac:dyDescent="0.3">
      <c r="A179">
        <v>302650</v>
      </c>
      <c r="B179" t="s">
        <v>344</v>
      </c>
      <c r="C179" t="s">
        <v>705</v>
      </c>
      <c r="D179" t="s">
        <v>1137</v>
      </c>
      <c r="E179" s="21">
        <v>5.8</v>
      </c>
      <c r="F179" s="2">
        <f t="shared" si="50"/>
        <v>0.57777777777777772</v>
      </c>
      <c r="G179" s="10">
        <v>39.620159999999998</v>
      </c>
      <c r="H179">
        <f t="shared" si="51"/>
        <v>0.36162662320593031</v>
      </c>
      <c r="I179" s="12">
        <v>41.999999999999993</v>
      </c>
      <c r="J179" s="2">
        <f t="shared" si="52"/>
        <v>0.10179350460494424</v>
      </c>
      <c r="K179" s="10">
        <v>0</v>
      </c>
      <c r="L179" s="2">
        <f t="shared" si="53"/>
        <v>0</v>
      </c>
      <c r="M179">
        <v>4452</v>
      </c>
      <c r="N179">
        <f t="shared" si="54"/>
        <v>1.9933476222244301E-2</v>
      </c>
      <c r="O179" s="10">
        <v>0.75734058299999996</v>
      </c>
      <c r="P179">
        <f t="shared" si="55"/>
        <v>0.73858489705661046</v>
      </c>
      <c r="Q179" s="23">
        <v>0.28249999999999997</v>
      </c>
      <c r="R179" s="13">
        <f t="shared" si="56"/>
        <v>0.61173668254655689</v>
      </c>
      <c r="S179">
        <f t="shared" si="57"/>
        <v>6.327191567722093E-2</v>
      </c>
      <c r="T179" s="14">
        <f t="shared" si="45"/>
        <v>0.13362688977032017</v>
      </c>
      <c r="U179" t="str">
        <f t="shared" si="58"/>
        <v>No Impact</v>
      </c>
      <c r="V179">
        <f t="shared" si="59"/>
        <v>5.7328198526048098E-2</v>
      </c>
      <c r="W179">
        <f t="shared" si="46"/>
        <v>0.10406750490198262</v>
      </c>
      <c r="X179" t="s">
        <v>1170</v>
      </c>
      <c r="Y179">
        <f t="shared" si="47"/>
        <v>6.9215632828393769E-2</v>
      </c>
      <c r="Z179">
        <f t="shared" si="60"/>
        <v>0.15304270238029549</v>
      </c>
      <c r="AA179" t="s">
        <v>1170</v>
      </c>
      <c r="AB179">
        <f t="shared" si="48"/>
        <v>4.1483374299393368E-2</v>
      </c>
      <c r="AC179">
        <f t="shared" si="61"/>
        <v>0.12166476322272141</v>
      </c>
      <c r="AD179" t="str">
        <f t="shared" si="62"/>
        <v>No Impact</v>
      </c>
      <c r="AE179">
        <f t="shared" si="49"/>
        <v>1.8680427621668907E-3</v>
      </c>
      <c r="AF179">
        <f t="shared" si="63"/>
        <v>1.2310050800260524E-2</v>
      </c>
      <c r="AG179" t="s">
        <v>1170</v>
      </c>
    </row>
    <row r="180" spans="1:33" customFormat="1" x14ac:dyDescent="0.3">
      <c r="A180">
        <v>302654</v>
      </c>
      <c r="B180" t="s">
        <v>351</v>
      </c>
      <c r="C180" t="s">
        <v>705</v>
      </c>
      <c r="D180" t="s">
        <v>727</v>
      </c>
      <c r="E180" s="21">
        <v>5.8</v>
      </c>
      <c r="F180" s="2">
        <f t="shared" si="50"/>
        <v>0.57777777777777772</v>
      </c>
      <c r="G180" s="10">
        <v>38.76444</v>
      </c>
      <c r="H180">
        <f t="shared" si="51"/>
        <v>0.35381617685715788</v>
      </c>
      <c r="I180" s="12">
        <v>56.000000000000007</v>
      </c>
      <c r="J180" s="2">
        <f t="shared" si="52"/>
        <v>0.13572467280659237</v>
      </c>
      <c r="K180" s="10">
        <v>0</v>
      </c>
      <c r="L180" s="2">
        <f t="shared" si="53"/>
        <v>0</v>
      </c>
      <c r="M180">
        <v>2689</v>
      </c>
      <c r="N180">
        <f t="shared" si="54"/>
        <v>1.1591981187870529E-2</v>
      </c>
      <c r="O180" s="10">
        <v>0.780226368</v>
      </c>
      <c r="P180">
        <f t="shared" si="55"/>
        <v>0.76378875585628492</v>
      </c>
      <c r="Q180" s="23">
        <v>0</v>
      </c>
      <c r="R180" s="13">
        <f t="shared" si="56"/>
        <v>0</v>
      </c>
      <c r="S180">
        <f t="shared" si="57"/>
        <v>3.7806030535556555E-2</v>
      </c>
      <c r="T180" s="14">
        <f t="shared" si="45"/>
        <v>7.984430724051797E-2</v>
      </c>
      <c r="U180" t="str">
        <f t="shared" si="58"/>
        <v>No Impact</v>
      </c>
      <c r="V180">
        <f t="shared" si="59"/>
        <v>0</v>
      </c>
      <c r="W180">
        <f t="shared" si="46"/>
        <v>0</v>
      </c>
      <c r="X180" t="s">
        <v>1170</v>
      </c>
      <c r="Y180">
        <f t="shared" si="47"/>
        <v>7.561206107111311E-2</v>
      </c>
      <c r="Z180">
        <f t="shared" si="60"/>
        <v>0.16718584640491874</v>
      </c>
      <c r="AA180" t="s">
        <v>1170</v>
      </c>
      <c r="AB180">
        <f t="shared" si="48"/>
        <v>2.308526439687145E-2</v>
      </c>
      <c r="AC180">
        <f t="shared" si="61"/>
        <v>6.7705756202680892E-2</v>
      </c>
      <c r="AD180" t="str">
        <f t="shared" si="62"/>
        <v>No Impact</v>
      </c>
      <c r="AE180">
        <f t="shared" si="49"/>
        <v>1.1475602158214835E-3</v>
      </c>
      <c r="AF180">
        <f t="shared" si="63"/>
        <v>7.5622061974287566E-3</v>
      </c>
      <c r="AG180" t="s">
        <v>1170</v>
      </c>
    </row>
    <row r="181" spans="1:33" customFormat="1" x14ac:dyDescent="0.3">
      <c r="A181">
        <v>302662</v>
      </c>
      <c r="B181" t="s">
        <v>380</v>
      </c>
      <c r="C181" t="s">
        <v>705</v>
      </c>
      <c r="D181" t="s">
        <v>728</v>
      </c>
      <c r="E181" s="21">
        <v>5.6</v>
      </c>
      <c r="F181" s="2">
        <f t="shared" si="50"/>
        <v>0.53333333333333321</v>
      </c>
      <c r="G181" s="10">
        <v>45.21564</v>
      </c>
      <c r="H181">
        <f t="shared" si="51"/>
        <v>0.41269846485463435</v>
      </c>
      <c r="I181" s="12">
        <v>52.600000000000009</v>
      </c>
      <c r="J181" s="2">
        <f t="shared" si="52"/>
        <v>0.12748424624333499</v>
      </c>
      <c r="K181" s="10">
        <v>0</v>
      </c>
      <c r="L181" s="2">
        <f t="shared" si="53"/>
        <v>0</v>
      </c>
      <c r="M181">
        <v>31650</v>
      </c>
      <c r="N181">
        <f t="shared" si="54"/>
        <v>0.1486186616702862</v>
      </c>
      <c r="O181" s="10">
        <v>0.79457865299999997</v>
      </c>
      <c r="P181">
        <f t="shared" si="55"/>
        <v>0.7795947666438845</v>
      </c>
      <c r="Q181" s="23">
        <v>0.31040000000000001</v>
      </c>
      <c r="R181" s="13">
        <f t="shared" si="56"/>
        <v>0.67215244694673026</v>
      </c>
      <c r="S181">
        <f t="shared" si="57"/>
        <v>7.3192816262188057E-2</v>
      </c>
      <c r="T181" s="14">
        <f t="shared" si="45"/>
        <v>0.1545792992983121</v>
      </c>
      <c r="U181" t="str">
        <f t="shared" si="58"/>
        <v>Low</v>
      </c>
      <c r="V181">
        <f t="shared" si="59"/>
        <v>6.7775891131726135E-2</v>
      </c>
      <c r="W181">
        <f t="shared" si="46"/>
        <v>0.12303313315143456</v>
      </c>
      <c r="X181" t="s">
        <v>1170</v>
      </c>
      <c r="Y181">
        <f t="shared" si="47"/>
        <v>7.8609741392649993E-2</v>
      </c>
      <c r="Z181">
        <f t="shared" si="60"/>
        <v>0.17381401808425123</v>
      </c>
      <c r="AA181" t="s">
        <v>1170</v>
      </c>
      <c r="AB181">
        <f t="shared" si="48"/>
        <v>5.2549524777178537E-2</v>
      </c>
      <c r="AC181">
        <f t="shared" si="61"/>
        <v>0.15412018905066391</v>
      </c>
      <c r="AD181" t="str">
        <f t="shared" si="62"/>
        <v>Low</v>
      </c>
      <c r="AE181">
        <f t="shared" si="49"/>
        <v>1.498582989508398E-2</v>
      </c>
      <c r="AF181">
        <f t="shared" si="63"/>
        <v>9.8753803193754486E-2</v>
      </c>
      <c r="AG181" t="s">
        <v>1170</v>
      </c>
    </row>
    <row r="182" spans="1:33" customFormat="1" x14ac:dyDescent="0.3">
      <c r="A182">
        <v>302663</v>
      </c>
      <c r="B182" t="s">
        <v>386</v>
      </c>
      <c r="C182" t="s">
        <v>705</v>
      </c>
      <c r="D182" t="s">
        <v>729</v>
      </c>
      <c r="E182" s="21">
        <v>5.8</v>
      </c>
      <c r="F182" s="2">
        <f t="shared" si="50"/>
        <v>0.57777777777777772</v>
      </c>
      <c r="G182" s="10">
        <v>38.994120000000002</v>
      </c>
      <c r="H182">
        <f t="shared" si="51"/>
        <v>0.35591254403028239</v>
      </c>
      <c r="I182" s="12">
        <v>56.000000000000007</v>
      </c>
      <c r="J182" s="2">
        <f t="shared" si="52"/>
        <v>0.13572467280659237</v>
      </c>
      <c r="K182" s="10">
        <v>0</v>
      </c>
      <c r="L182" s="2">
        <f t="shared" si="53"/>
        <v>0</v>
      </c>
      <c r="M182">
        <v>580</v>
      </c>
      <c r="N182">
        <f t="shared" si="54"/>
        <v>1.6134145245158573E-3</v>
      </c>
      <c r="O182" s="10">
        <v>0.46205987799999998</v>
      </c>
      <c r="P182">
        <f t="shared" si="55"/>
        <v>0.41339556249420362</v>
      </c>
      <c r="Q182" s="23">
        <v>0</v>
      </c>
      <c r="R182" s="13">
        <f t="shared" si="56"/>
        <v>0</v>
      </c>
      <c r="S182">
        <f t="shared" si="57"/>
        <v>2.0549887317289083E-2</v>
      </c>
      <c r="T182" s="14">
        <f t="shared" si="45"/>
        <v>4.3400258992450674E-2</v>
      </c>
      <c r="U182" t="str">
        <f t="shared" si="58"/>
        <v>No Impact</v>
      </c>
      <c r="V182">
        <f t="shared" si="59"/>
        <v>0</v>
      </c>
      <c r="W182">
        <f t="shared" si="46"/>
        <v>0</v>
      </c>
      <c r="X182" t="s">
        <v>1170</v>
      </c>
      <c r="Y182">
        <f t="shared" si="47"/>
        <v>4.1099774634578166E-2</v>
      </c>
      <c r="Z182">
        <f t="shared" si="60"/>
        <v>9.0875721571336415E-2</v>
      </c>
      <c r="AA182" t="s">
        <v>1170</v>
      </c>
      <c r="AB182">
        <f t="shared" si="48"/>
        <v>1.2386074358933501E-2</v>
      </c>
      <c r="AC182">
        <f t="shared" si="61"/>
        <v>3.632657250258213E-2</v>
      </c>
      <c r="AD182" t="str">
        <f t="shared" si="62"/>
        <v>No Impact</v>
      </c>
      <c r="AE182">
        <f t="shared" si="49"/>
        <v>1.6040562445729348E-4</v>
      </c>
      <c r="AF182">
        <f t="shared" si="63"/>
        <v>1.05704292519851E-3</v>
      </c>
      <c r="AG182" t="s">
        <v>1170</v>
      </c>
    </row>
    <row r="183" spans="1:33" customFormat="1" x14ac:dyDescent="0.3">
      <c r="A183">
        <v>302664</v>
      </c>
      <c r="B183" t="s">
        <v>398</v>
      </c>
      <c r="C183" t="s">
        <v>705</v>
      </c>
      <c r="D183" t="s">
        <v>730</v>
      </c>
      <c r="E183" s="21">
        <v>5.4</v>
      </c>
      <c r="F183" s="2">
        <f t="shared" si="50"/>
        <v>0.48888888888888893</v>
      </c>
      <c r="G183" s="10">
        <v>39.620159999999998</v>
      </c>
      <c r="H183">
        <f t="shared" si="51"/>
        <v>0.36162662320593031</v>
      </c>
      <c r="I183" s="12">
        <v>41.999999999999993</v>
      </c>
      <c r="J183" s="2">
        <f t="shared" si="52"/>
        <v>0.10179350460494424</v>
      </c>
      <c r="K183" s="10">
        <v>0</v>
      </c>
      <c r="L183" s="2">
        <f t="shared" si="53"/>
        <v>0</v>
      </c>
      <c r="M183">
        <v>9521</v>
      </c>
      <c r="N183">
        <f t="shared" si="54"/>
        <v>4.3917048728903778E-2</v>
      </c>
      <c r="O183" s="10">
        <v>0.56633476400000005</v>
      </c>
      <c r="P183">
        <f t="shared" si="55"/>
        <v>0.52823232702275913</v>
      </c>
      <c r="Q183" s="23">
        <v>0.15140000000000001</v>
      </c>
      <c r="R183" s="13">
        <f t="shared" si="56"/>
        <v>0.32784755305326985</v>
      </c>
      <c r="S183">
        <f t="shared" si="57"/>
        <v>3.3941997614409629E-2</v>
      </c>
      <c r="T183" s="14">
        <f t="shared" si="45"/>
        <v>7.1683677114237787E-2</v>
      </c>
      <c r="U183" t="str">
        <f t="shared" si="58"/>
        <v>No Impact</v>
      </c>
      <c r="V183">
        <f t="shared" si="59"/>
        <v>2.5997108733908925E-2</v>
      </c>
      <c r="W183">
        <f t="shared" si="46"/>
        <v>4.7192381937035233E-2</v>
      </c>
      <c r="X183" t="s">
        <v>1170</v>
      </c>
      <c r="Y183">
        <f t="shared" si="47"/>
        <v>4.1886886494910333E-2</v>
      </c>
      <c r="Z183">
        <f t="shared" si="60"/>
        <v>9.2616104794870285E-2</v>
      </c>
      <c r="AA183" t="s">
        <v>1170</v>
      </c>
      <c r="AB183">
        <f t="shared" si="48"/>
        <v>2.2883915327183275E-2</v>
      </c>
      <c r="AC183">
        <f t="shared" si="61"/>
        <v>6.7115228375510247E-2</v>
      </c>
      <c r="AD183" t="str">
        <f t="shared" si="62"/>
        <v>No Impact</v>
      </c>
      <c r="AE183">
        <f t="shared" si="49"/>
        <v>3.4824609195487212E-3</v>
      </c>
      <c r="AF183">
        <f t="shared" si="63"/>
        <v>2.2948763110668451E-2</v>
      </c>
      <c r="AG183" t="s">
        <v>1170</v>
      </c>
    </row>
    <row r="184" spans="1:33" customFormat="1" x14ac:dyDescent="0.3">
      <c r="A184">
        <v>302665</v>
      </c>
      <c r="B184" t="s">
        <v>399</v>
      </c>
      <c r="C184" t="s">
        <v>705</v>
      </c>
      <c r="D184" t="s">
        <v>731</v>
      </c>
      <c r="E184" s="21">
        <v>5.7</v>
      </c>
      <c r="F184" s="2">
        <f t="shared" si="50"/>
        <v>0.55555555555555558</v>
      </c>
      <c r="G184" s="10">
        <v>38.76444</v>
      </c>
      <c r="H184">
        <f t="shared" si="51"/>
        <v>0.35381617685715788</v>
      </c>
      <c r="I184" s="12">
        <v>56.000000000000007</v>
      </c>
      <c r="J184" s="2">
        <f t="shared" si="52"/>
        <v>0.13572467280659237</v>
      </c>
      <c r="K184" s="10">
        <v>0</v>
      </c>
      <c r="L184" s="2">
        <f t="shared" si="53"/>
        <v>0</v>
      </c>
      <c r="M184">
        <v>723</v>
      </c>
      <c r="N184">
        <f t="shared" si="54"/>
        <v>2.2900077122160558E-3</v>
      </c>
      <c r="O184" s="10">
        <v>0.70669813999999997</v>
      </c>
      <c r="P184">
        <f t="shared" si="55"/>
        <v>0.68281294155486305</v>
      </c>
      <c r="Q184" s="23">
        <v>0</v>
      </c>
      <c r="R184" s="13">
        <f t="shared" si="56"/>
        <v>0</v>
      </c>
      <c r="S184">
        <f t="shared" si="57"/>
        <v>3.2497969347100086E-2</v>
      </c>
      <c r="T184" s="14">
        <f t="shared" si="45"/>
        <v>6.863396692235138E-2</v>
      </c>
      <c r="U184" t="str">
        <f t="shared" si="58"/>
        <v>No Impact</v>
      </c>
      <c r="V184">
        <f t="shared" si="59"/>
        <v>0</v>
      </c>
      <c r="W184">
        <f t="shared" si="46"/>
        <v>0</v>
      </c>
      <c r="X184" t="s">
        <v>1170</v>
      </c>
      <c r="Y184">
        <f t="shared" si="47"/>
        <v>6.4995938694200173E-2</v>
      </c>
      <c r="Z184">
        <f t="shared" si="60"/>
        <v>0.1437125356661316</v>
      </c>
      <c r="AA184" t="s">
        <v>1170</v>
      </c>
      <c r="AB184">
        <f t="shared" si="48"/>
        <v>1.9575075446784444E-2</v>
      </c>
      <c r="AC184">
        <f t="shared" si="61"/>
        <v>5.7410877478565291E-2</v>
      </c>
      <c r="AD184" t="str">
        <f t="shared" si="62"/>
        <v>No Impact</v>
      </c>
      <c r="AE184">
        <f t="shared" si="49"/>
        <v>2.1798239578398669E-4</v>
      </c>
      <c r="AF184">
        <f t="shared" si="63"/>
        <v>1.4364630296528724E-3</v>
      </c>
      <c r="AG184" t="s">
        <v>1170</v>
      </c>
    </row>
    <row r="185" spans="1:33" customFormat="1" x14ac:dyDescent="0.3">
      <c r="A185">
        <v>302666</v>
      </c>
      <c r="B185" t="s">
        <v>434</v>
      </c>
      <c r="C185" t="s">
        <v>705</v>
      </c>
      <c r="D185" t="s">
        <v>732</v>
      </c>
      <c r="E185" s="21">
        <v>5.7</v>
      </c>
      <c r="F185" s="2">
        <f t="shared" si="50"/>
        <v>0.55555555555555558</v>
      </c>
      <c r="G185" s="10">
        <v>38.76444</v>
      </c>
      <c r="H185">
        <f t="shared" si="51"/>
        <v>0.35381617685715788</v>
      </c>
      <c r="I185" s="12">
        <v>56.000000000000007</v>
      </c>
      <c r="J185" s="2">
        <f t="shared" si="52"/>
        <v>0.13572467280659237</v>
      </c>
      <c r="K185" s="10">
        <v>0</v>
      </c>
      <c r="L185" s="2">
        <f t="shared" si="53"/>
        <v>0</v>
      </c>
      <c r="M185">
        <v>2576</v>
      </c>
      <c r="N185">
        <f t="shared" si="54"/>
        <v>1.1057330626960583E-2</v>
      </c>
      <c r="O185" s="10">
        <v>0.81574973799999995</v>
      </c>
      <c r="P185">
        <f t="shared" si="55"/>
        <v>0.802910245530709</v>
      </c>
      <c r="Q185" s="23">
        <v>0</v>
      </c>
      <c r="R185" s="13">
        <f t="shared" si="56"/>
        <v>0</v>
      </c>
      <c r="S185">
        <f t="shared" si="57"/>
        <v>3.821391036952549E-2</v>
      </c>
      <c r="T185" s="14">
        <f t="shared" si="45"/>
        <v>8.0705727556782014E-2</v>
      </c>
      <c r="U185" t="str">
        <f t="shared" si="58"/>
        <v>No Impact</v>
      </c>
      <c r="V185">
        <f t="shared" si="59"/>
        <v>0</v>
      </c>
      <c r="W185">
        <f t="shared" si="46"/>
        <v>0</v>
      </c>
      <c r="X185" t="s">
        <v>1170</v>
      </c>
      <c r="Y185">
        <f t="shared" si="47"/>
        <v>7.6427820739050981E-2</v>
      </c>
      <c r="Z185">
        <f t="shared" si="60"/>
        <v>0.16898957280273402</v>
      </c>
      <c r="AA185" t="s">
        <v>1170</v>
      </c>
      <c r="AB185">
        <f t="shared" si="48"/>
        <v>2.3296731966821724E-2</v>
      </c>
      <c r="AC185">
        <f t="shared" si="61"/>
        <v>6.8325960134058297E-2</v>
      </c>
      <c r="AD185" t="str">
        <f t="shared" si="62"/>
        <v>No Impact</v>
      </c>
      <c r="AE185">
        <f t="shared" si="49"/>
        <v>1.0525307003040846E-3</v>
      </c>
      <c r="AF185">
        <f t="shared" si="63"/>
        <v>6.9359795460718241E-3</v>
      </c>
      <c r="AG185" t="s">
        <v>1170</v>
      </c>
    </row>
    <row r="186" spans="1:33" customFormat="1" x14ac:dyDescent="0.3">
      <c r="A186">
        <v>302667</v>
      </c>
      <c r="B186" t="s">
        <v>436</v>
      </c>
      <c r="C186" t="s">
        <v>705</v>
      </c>
      <c r="D186" t="s">
        <v>733</v>
      </c>
      <c r="E186" s="21">
        <v>5.8</v>
      </c>
      <c r="F186" s="2">
        <f t="shared" si="50"/>
        <v>0.57777777777777772</v>
      </c>
      <c r="G186" s="10">
        <v>38.76444</v>
      </c>
      <c r="H186">
        <f t="shared" si="51"/>
        <v>0.35381617685715788</v>
      </c>
      <c r="I186" s="12">
        <v>42.499999999999993</v>
      </c>
      <c r="J186" s="2">
        <f t="shared" si="52"/>
        <v>0.10300533204071739</v>
      </c>
      <c r="K186" s="10">
        <v>0</v>
      </c>
      <c r="L186" s="2">
        <f t="shared" si="53"/>
        <v>0</v>
      </c>
      <c r="M186">
        <v>3584</v>
      </c>
      <c r="N186">
        <f t="shared" si="54"/>
        <v>1.5826602887113028E-2</v>
      </c>
      <c r="O186" s="10">
        <v>0.65307780100000001</v>
      </c>
      <c r="P186">
        <f t="shared" si="55"/>
        <v>0.62376146252774312</v>
      </c>
      <c r="Q186" s="23">
        <v>7.8299999999999995E-2</v>
      </c>
      <c r="R186" s="13">
        <f t="shared" si="56"/>
        <v>0.16955391944564746</v>
      </c>
      <c r="S186">
        <f t="shared" si="57"/>
        <v>3.6643023571192271E-2</v>
      </c>
      <c r="T186" s="14">
        <f t="shared" si="45"/>
        <v>7.7388098956545137E-2</v>
      </c>
      <c r="U186" t="str">
        <f t="shared" si="58"/>
        <v>No Impact</v>
      </c>
      <c r="V186">
        <f t="shared" si="59"/>
        <v>1.5663299635965688E-2</v>
      </c>
      <c r="W186">
        <f t="shared" si="46"/>
        <v>2.8433485676450196E-2</v>
      </c>
      <c r="X186" t="s">
        <v>1170</v>
      </c>
      <c r="Y186">
        <f t="shared" si="47"/>
        <v>5.7622747506418853E-2</v>
      </c>
      <c r="Z186">
        <f t="shared" si="60"/>
        <v>0.12740967085895274</v>
      </c>
      <c r="AA186" t="s">
        <v>1170</v>
      </c>
      <c r="AB186">
        <f t="shared" si="48"/>
        <v>2.3280697688247087E-2</v>
      </c>
      <c r="AC186">
        <f t="shared" si="61"/>
        <v>6.8278933903931721E-2</v>
      </c>
      <c r="AD186" t="str">
        <f t="shared" si="62"/>
        <v>No Impact</v>
      </c>
      <c r="AE186">
        <f t="shared" si="49"/>
        <v>1.462053039238396E-3</v>
      </c>
      <c r="AF186">
        <f t="shared" si="63"/>
        <v>9.634654811018729E-3</v>
      </c>
      <c r="AG186" t="s">
        <v>1170</v>
      </c>
    </row>
    <row r="187" spans="1:33" customFormat="1" x14ac:dyDescent="0.3">
      <c r="A187">
        <v>302668</v>
      </c>
      <c r="B187" t="s">
        <v>452</v>
      </c>
      <c r="C187" t="s">
        <v>705</v>
      </c>
      <c r="D187" t="s">
        <v>734</v>
      </c>
      <c r="E187" s="21">
        <v>5.8</v>
      </c>
      <c r="F187" s="2">
        <f t="shared" si="50"/>
        <v>0.57777777777777772</v>
      </c>
      <c r="G187" s="10">
        <v>38.76444</v>
      </c>
      <c r="H187">
        <f t="shared" si="51"/>
        <v>0.35381617685715788</v>
      </c>
      <c r="I187" s="12">
        <v>56.000000000000007</v>
      </c>
      <c r="J187" s="2">
        <f t="shared" si="52"/>
        <v>0.13572467280659237</v>
      </c>
      <c r="K187" s="10">
        <v>0</v>
      </c>
      <c r="L187" s="2">
        <f t="shared" si="53"/>
        <v>0</v>
      </c>
      <c r="M187">
        <v>8555</v>
      </c>
      <c r="N187">
        <f t="shared" si="54"/>
        <v>3.9346496146257681E-2</v>
      </c>
      <c r="O187" s="10">
        <v>0.81426305499999996</v>
      </c>
      <c r="P187">
        <f t="shared" si="55"/>
        <v>0.8012729781871647</v>
      </c>
      <c r="Q187" s="23">
        <v>0.17649999999999999</v>
      </c>
      <c r="R187" s="13">
        <f t="shared" si="56"/>
        <v>0.38220008661758337</v>
      </c>
      <c r="S187">
        <f t="shared" si="57"/>
        <v>5.8579572536199741E-2</v>
      </c>
      <c r="T187" s="14">
        <f t="shared" si="45"/>
        <v>0.12371691291947705</v>
      </c>
      <c r="U187" t="str">
        <f t="shared" si="58"/>
        <v>No Impact</v>
      </c>
      <c r="V187">
        <f t="shared" si="59"/>
        <v>3.7836294484742426E-2</v>
      </c>
      <c r="W187">
        <f t="shared" si="46"/>
        <v>6.868397861786471E-2</v>
      </c>
      <c r="X187" t="s">
        <v>1170</v>
      </c>
      <c r="Y187">
        <f t="shared" si="47"/>
        <v>7.9322850587657076E-2</v>
      </c>
      <c r="Z187">
        <f t="shared" si="60"/>
        <v>0.175390773996701</v>
      </c>
      <c r="AA187" t="s">
        <v>1170</v>
      </c>
      <c r="AB187">
        <f t="shared" si="48"/>
        <v>3.8402859782352888E-2</v>
      </c>
      <c r="AC187">
        <f t="shared" si="61"/>
        <v>0.11263005773770095</v>
      </c>
      <c r="AD187" t="str">
        <f t="shared" si="62"/>
        <v>No Impact</v>
      </c>
      <c r="AE187">
        <f t="shared" si="49"/>
        <v>3.8951472468454922E-3</v>
      </c>
      <c r="AF187">
        <f t="shared" si="63"/>
        <v>2.566828846441532E-2</v>
      </c>
      <c r="AG187" t="s">
        <v>1170</v>
      </c>
    </row>
    <row r="188" spans="1:33" customFormat="1" x14ac:dyDescent="0.3">
      <c r="A188">
        <v>302672</v>
      </c>
      <c r="B188" t="s">
        <v>469</v>
      </c>
      <c r="C188" t="s">
        <v>705</v>
      </c>
      <c r="D188" t="s">
        <v>735</v>
      </c>
      <c r="E188" s="21">
        <v>5.7</v>
      </c>
      <c r="F188" s="2">
        <f t="shared" si="50"/>
        <v>0.55555555555555558</v>
      </c>
      <c r="G188" s="10">
        <v>41.961240000000004</v>
      </c>
      <c r="H188">
        <f t="shared" si="51"/>
        <v>0.3829944534987646</v>
      </c>
      <c r="I188" s="12">
        <v>36.000000000000007</v>
      </c>
      <c r="J188" s="2">
        <f t="shared" si="52"/>
        <v>8.7251575375666524E-2</v>
      </c>
      <c r="K188" s="10">
        <v>0</v>
      </c>
      <c r="L188" s="2">
        <f t="shared" si="53"/>
        <v>0</v>
      </c>
      <c r="M188">
        <v>146872</v>
      </c>
      <c r="N188">
        <f t="shared" si="54"/>
        <v>0.69378243980449772</v>
      </c>
      <c r="O188" s="10">
        <v>0.72891504399999996</v>
      </c>
      <c r="P188">
        <f t="shared" si="55"/>
        <v>0.70728016919778292</v>
      </c>
      <c r="Q188" s="23">
        <v>0.21959999999999999</v>
      </c>
      <c r="R188" s="13">
        <f t="shared" si="56"/>
        <v>0.47553053269813772</v>
      </c>
      <c r="S188">
        <f t="shared" si="57"/>
        <v>5.4076170115793694E-2</v>
      </c>
      <c r="T188" s="14">
        <f t="shared" si="45"/>
        <v>0.11420596872912053</v>
      </c>
      <c r="U188" t="str">
        <f t="shared" si="58"/>
        <v>No Impact</v>
      </c>
      <c r="V188">
        <f t="shared" si="59"/>
        <v>4.3480955896358184E-2</v>
      </c>
      <c r="W188">
        <f t="shared" si="46"/>
        <v>7.893069566508619E-2</v>
      </c>
      <c r="X188" t="s">
        <v>1170</v>
      </c>
      <c r="Y188">
        <f t="shared" si="47"/>
        <v>6.4671384335229218E-2</v>
      </c>
      <c r="Z188">
        <f t="shared" si="60"/>
        <v>0.14299491344501622</v>
      </c>
      <c r="AA188" t="s">
        <v>1170</v>
      </c>
      <c r="AB188">
        <f t="shared" si="48"/>
        <v>5.6822768508492834E-2</v>
      </c>
      <c r="AC188">
        <f t="shared" si="61"/>
        <v>0.166652997568387</v>
      </c>
      <c r="AD188" t="str">
        <f t="shared" si="62"/>
        <v>Low</v>
      </c>
      <c r="AE188">
        <f t="shared" si="49"/>
        <v>6.3437196126282042E-2</v>
      </c>
      <c r="AF188">
        <f t="shared" si="63"/>
        <v>0.41803920271866629</v>
      </c>
      <c r="AG188" t="str">
        <f t="shared" si="66"/>
        <v>Moderate</v>
      </c>
    </row>
    <row r="189" spans="1:33" customFormat="1" x14ac:dyDescent="0.3">
      <c r="A189">
        <v>302674</v>
      </c>
      <c r="B189" t="s">
        <v>472</v>
      </c>
      <c r="C189" t="s">
        <v>705</v>
      </c>
      <c r="D189" t="s">
        <v>736</v>
      </c>
      <c r="E189" s="21">
        <v>5.8</v>
      </c>
      <c r="F189" s="2">
        <f t="shared" si="50"/>
        <v>0.57777777777777772</v>
      </c>
      <c r="G189" s="10">
        <v>39.620159999999998</v>
      </c>
      <c r="H189">
        <f t="shared" si="51"/>
        <v>0.36162662320593031</v>
      </c>
      <c r="I189" s="12">
        <v>36.000000000000007</v>
      </c>
      <c r="J189" s="2">
        <f t="shared" si="52"/>
        <v>8.7251575375666524E-2</v>
      </c>
      <c r="K189" s="10">
        <v>0</v>
      </c>
      <c r="L189" s="2">
        <f t="shared" si="53"/>
        <v>0</v>
      </c>
      <c r="M189">
        <v>2058</v>
      </c>
      <c r="N189">
        <f t="shared" si="54"/>
        <v>8.6064546043822417E-3</v>
      </c>
      <c r="O189" s="10">
        <v>0.39071708700000002</v>
      </c>
      <c r="P189">
        <f t="shared" si="55"/>
        <v>0.33482654549353347</v>
      </c>
      <c r="Q189" s="23">
        <v>0.217</v>
      </c>
      <c r="R189" s="13">
        <f t="shared" si="56"/>
        <v>0.46990038977912518</v>
      </c>
      <c r="S189">
        <f t="shared" si="57"/>
        <v>3.6523798124478341E-2</v>
      </c>
      <c r="T189" s="14">
        <f t="shared" si="45"/>
        <v>7.7136301212548664E-2</v>
      </c>
      <c r="U189" t="str">
        <f t="shared" si="58"/>
        <v>No Impact</v>
      </c>
      <c r="V189">
        <f t="shared" si="59"/>
        <v>4.2654337074206204E-2</v>
      </c>
      <c r="W189">
        <f t="shared" si="46"/>
        <v>7.7430139908266346E-2</v>
      </c>
      <c r="X189" t="s">
        <v>1170</v>
      </c>
      <c r="Y189">
        <f t="shared" si="47"/>
        <v>3.0393259174750466E-2</v>
      </c>
      <c r="Z189">
        <f t="shared" si="60"/>
        <v>6.7202542665193807E-2</v>
      </c>
      <c r="AA189" t="s">
        <v>1170</v>
      </c>
      <c r="AB189">
        <f t="shared" si="48"/>
        <v>2.4320427967001339E-2</v>
      </c>
      <c r="AC189">
        <f t="shared" si="61"/>
        <v>7.1328313090570833E-2</v>
      </c>
      <c r="AD189" t="str">
        <f t="shared" si="62"/>
        <v>No Impact</v>
      </c>
      <c r="AE189">
        <f t="shared" si="49"/>
        <v>7.8123496744007663E-4</v>
      </c>
      <c r="AF189">
        <f t="shared" si="63"/>
        <v>5.1481916425572894E-3</v>
      </c>
      <c r="AG189" t="s">
        <v>1170</v>
      </c>
    </row>
    <row r="190" spans="1:33" customFormat="1" x14ac:dyDescent="0.3">
      <c r="A190">
        <v>302675</v>
      </c>
      <c r="B190" t="s">
        <v>474</v>
      </c>
      <c r="C190" t="s">
        <v>705</v>
      </c>
      <c r="D190" t="s">
        <v>737</v>
      </c>
      <c r="E190" s="21">
        <v>5.8</v>
      </c>
      <c r="F190" s="2">
        <f t="shared" si="50"/>
        <v>0.57777777777777772</v>
      </c>
      <c r="G190" s="10">
        <v>38.76444</v>
      </c>
      <c r="H190">
        <f t="shared" si="51"/>
        <v>0.35381617685715788</v>
      </c>
      <c r="I190" s="12">
        <v>56.000000000000007</v>
      </c>
      <c r="J190" s="2">
        <f t="shared" si="52"/>
        <v>0.13572467280659237</v>
      </c>
      <c r="K190" s="10">
        <v>0</v>
      </c>
      <c r="L190" s="2">
        <f t="shared" si="53"/>
        <v>0</v>
      </c>
      <c r="M190">
        <v>1343</v>
      </c>
      <c r="N190">
        <f t="shared" si="54"/>
        <v>5.2234886658812504E-3</v>
      </c>
      <c r="O190" s="10">
        <v>0.82661689500000002</v>
      </c>
      <c r="P190">
        <f t="shared" si="55"/>
        <v>0.81487812387011893</v>
      </c>
      <c r="Q190" s="23">
        <v>0</v>
      </c>
      <c r="R190" s="13">
        <f t="shared" si="56"/>
        <v>0</v>
      </c>
      <c r="S190">
        <f t="shared" si="57"/>
        <v>4.0334853056657821E-2</v>
      </c>
      <c r="T190" s="14">
        <f t="shared" si="45"/>
        <v>8.5185044669739821E-2</v>
      </c>
      <c r="U190" t="str">
        <f t="shared" si="58"/>
        <v>No Impact</v>
      </c>
      <c r="V190">
        <f t="shared" si="59"/>
        <v>0</v>
      </c>
      <c r="W190">
        <f t="shared" si="46"/>
        <v>0</v>
      </c>
      <c r="X190" t="s">
        <v>1170</v>
      </c>
      <c r="Y190">
        <f t="shared" si="47"/>
        <v>8.0669706113315642E-2</v>
      </c>
      <c r="Z190">
        <f t="shared" si="60"/>
        <v>0.17836880657315188</v>
      </c>
      <c r="AA190" t="s">
        <v>1170</v>
      </c>
      <c r="AB190">
        <f t="shared" si="48"/>
        <v>2.4381898473747107E-2</v>
      </c>
      <c r="AC190">
        <f t="shared" si="61"/>
        <v>7.1508597235115795E-2</v>
      </c>
      <c r="AD190" t="str">
        <f t="shared" si="62"/>
        <v>No Impact</v>
      </c>
      <c r="AE190">
        <f t="shared" si="49"/>
        <v>5.1710468500690515E-4</v>
      </c>
      <c r="AF190">
        <f t="shared" si="63"/>
        <v>3.4076227110046309E-3</v>
      </c>
      <c r="AG190" t="s">
        <v>1170</v>
      </c>
    </row>
    <row r="191" spans="1:33" customFormat="1" x14ac:dyDescent="0.3">
      <c r="A191">
        <v>302676</v>
      </c>
      <c r="B191" t="s">
        <v>490</v>
      </c>
      <c r="C191" t="s">
        <v>705</v>
      </c>
      <c r="D191" t="s">
        <v>738</v>
      </c>
      <c r="E191" s="21">
        <v>5.8</v>
      </c>
      <c r="F191" s="2">
        <f t="shared" si="50"/>
        <v>0.57777777777777772</v>
      </c>
      <c r="G191" s="10">
        <v>38.349359999999997</v>
      </c>
      <c r="H191">
        <f t="shared" si="51"/>
        <v>0.35002760107249881</v>
      </c>
      <c r="I191" s="12">
        <v>56.000000000000007</v>
      </c>
      <c r="J191" s="2">
        <f t="shared" si="52"/>
        <v>0.13572467280659237</v>
      </c>
      <c r="K191" s="10">
        <v>0.1</v>
      </c>
      <c r="L191" s="2">
        <f t="shared" si="53"/>
        <v>5.8823529411764712E-2</v>
      </c>
      <c r="M191">
        <v>2470</v>
      </c>
      <c r="N191">
        <f t="shared" si="54"/>
        <v>1.0555800012301695E-2</v>
      </c>
      <c r="O191" s="10">
        <v>0.34470895800000001</v>
      </c>
      <c r="P191">
        <f t="shared" si="55"/>
        <v>0.28415830811591214</v>
      </c>
      <c r="Q191" s="23">
        <v>0</v>
      </c>
      <c r="R191" s="13">
        <f t="shared" si="56"/>
        <v>0</v>
      </c>
      <c r="S191">
        <f t="shared" si="57"/>
        <v>1.5405071900586331E-2</v>
      </c>
      <c r="T191" s="14">
        <f t="shared" si="45"/>
        <v>3.2534684981959792E-2</v>
      </c>
      <c r="U191" t="str">
        <f t="shared" si="58"/>
        <v>No Impact</v>
      </c>
      <c r="V191">
        <f t="shared" si="59"/>
        <v>0</v>
      </c>
      <c r="W191">
        <f t="shared" si="46"/>
        <v>0</v>
      </c>
      <c r="X191" t="s">
        <v>1170</v>
      </c>
      <c r="Y191">
        <f t="shared" si="47"/>
        <v>3.0810143801172661E-2</v>
      </c>
      <c r="Z191">
        <f t="shared" si="60"/>
        <v>6.8124316362858817E-2</v>
      </c>
      <c r="AA191" t="s">
        <v>1170</v>
      </c>
      <c r="AB191">
        <f t="shared" si="48"/>
        <v>9.643626186700633E-3</v>
      </c>
      <c r="AC191">
        <f t="shared" si="61"/>
        <v>2.8283366925398012E-2</v>
      </c>
      <c r="AD191" t="str">
        <f t="shared" si="62"/>
        <v>No Impact</v>
      </c>
      <c r="AE191">
        <f t="shared" si="49"/>
        <v>1.1445229895680942E-3</v>
      </c>
      <c r="AF191">
        <f t="shared" si="63"/>
        <v>7.5421914471091563E-3</v>
      </c>
      <c r="AG191" t="s">
        <v>1170</v>
      </c>
    </row>
    <row r="192" spans="1:33" customFormat="1" x14ac:dyDescent="0.3">
      <c r="A192">
        <v>302680</v>
      </c>
      <c r="B192" t="s">
        <v>482</v>
      </c>
      <c r="C192" t="s">
        <v>705</v>
      </c>
      <c r="D192" t="s">
        <v>1138</v>
      </c>
      <c r="E192" s="21">
        <v>5.8</v>
      </c>
      <c r="F192" s="2">
        <f t="shared" si="50"/>
        <v>0.57777777777777772</v>
      </c>
      <c r="G192" s="10">
        <v>39.620159999999998</v>
      </c>
      <c r="H192">
        <f t="shared" si="51"/>
        <v>0.36162662320593031</v>
      </c>
      <c r="I192" s="12">
        <v>41.999999999999993</v>
      </c>
      <c r="J192" s="2">
        <f t="shared" si="52"/>
        <v>0.10179350460494424</v>
      </c>
      <c r="K192" s="10">
        <v>0</v>
      </c>
      <c r="L192" s="2">
        <f t="shared" si="53"/>
        <v>0</v>
      </c>
      <c r="M192">
        <v>2247</v>
      </c>
      <c r="N192">
        <f t="shared" si="54"/>
        <v>9.5006931531608253E-3</v>
      </c>
      <c r="O192" s="10">
        <v>0.74695859200000003</v>
      </c>
      <c r="P192">
        <f t="shared" si="55"/>
        <v>0.72715132660126058</v>
      </c>
      <c r="Q192" s="23">
        <v>0</v>
      </c>
      <c r="R192" s="13">
        <f t="shared" si="56"/>
        <v>0</v>
      </c>
      <c r="S192">
        <f t="shared" si="57"/>
        <v>3.4072074471930759E-2</v>
      </c>
      <c r="T192" s="14">
        <f t="shared" si="45"/>
        <v>7.1958392455406181E-2</v>
      </c>
      <c r="U192" t="str">
        <f t="shared" si="58"/>
        <v>No Impact</v>
      </c>
      <c r="V192">
        <f t="shared" si="59"/>
        <v>0</v>
      </c>
      <c r="W192">
        <f t="shared" si="46"/>
        <v>0</v>
      </c>
      <c r="X192" t="s">
        <v>1170</v>
      </c>
      <c r="Y192">
        <f t="shared" si="47"/>
        <v>6.8144148943861518E-2</v>
      </c>
      <c r="Z192">
        <f t="shared" si="60"/>
        <v>0.15067354410571446</v>
      </c>
      <c r="AA192" t="s">
        <v>1170</v>
      </c>
      <c r="AB192">
        <f t="shared" si="48"/>
        <v>2.0754865963303455E-2</v>
      </c>
      <c r="AC192">
        <f t="shared" si="61"/>
        <v>6.0871033173922909E-2</v>
      </c>
      <c r="AD192" t="str">
        <f t="shared" si="62"/>
        <v>No Impact</v>
      </c>
      <c r="AE192">
        <f t="shared" si="49"/>
        <v>8.9034651470000395E-4</v>
      </c>
      <c r="AF192">
        <f t="shared" si="63"/>
        <v>5.8672162371049457E-3</v>
      </c>
      <c r="AG192" t="s">
        <v>1170</v>
      </c>
    </row>
    <row r="193" spans="1:33" customFormat="1" x14ac:dyDescent="0.3">
      <c r="A193">
        <v>302688</v>
      </c>
      <c r="B193" t="s">
        <v>510</v>
      </c>
      <c r="C193" t="s">
        <v>705</v>
      </c>
      <c r="D193" t="s">
        <v>739</v>
      </c>
      <c r="E193" s="21">
        <v>5.7</v>
      </c>
      <c r="F193" s="2">
        <f t="shared" si="50"/>
        <v>0.55555555555555558</v>
      </c>
      <c r="G193" s="10">
        <v>38.349359999999997</v>
      </c>
      <c r="H193">
        <f t="shared" si="51"/>
        <v>0.35002760107249881</v>
      </c>
      <c r="I193" s="12">
        <v>56.000000000000007</v>
      </c>
      <c r="J193" s="2">
        <f t="shared" si="52"/>
        <v>0.13572467280659237</v>
      </c>
      <c r="K193" s="10">
        <v>0</v>
      </c>
      <c r="L193" s="2">
        <f t="shared" si="53"/>
        <v>0</v>
      </c>
      <c r="M193">
        <v>1739</v>
      </c>
      <c r="N193">
        <f t="shared" si="54"/>
        <v>7.0971313395125687E-3</v>
      </c>
      <c r="O193" s="10">
        <v>0.80234277700000001</v>
      </c>
      <c r="P193">
        <f t="shared" si="55"/>
        <v>0.78814530948080985</v>
      </c>
      <c r="Q193" s="23">
        <v>0.04</v>
      </c>
      <c r="R193" s="13">
        <f t="shared" si="56"/>
        <v>8.6617583369424003E-2</v>
      </c>
      <c r="S193">
        <f t="shared" si="57"/>
        <v>4.1311478474296816E-2</v>
      </c>
      <c r="T193" s="14">
        <f t="shared" si="45"/>
        <v>8.7247625131116974E-2</v>
      </c>
      <c r="U193" t="str">
        <f t="shared" si="58"/>
        <v>No Impact</v>
      </c>
      <c r="V193">
        <f t="shared" si="59"/>
        <v>8.1811893488129509E-3</v>
      </c>
      <c r="W193">
        <f t="shared" si="46"/>
        <v>1.4851259668918301E-2</v>
      </c>
      <c r="X193" t="s">
        <v>1170</v>
      </c>
      <c r="Y193">
        <f t="shared" si="47"/>
        <v>7.4441767599780662E-2</v>
      </c>
      <c r="Z193">
        <f t="shared" si="60"/>
        <v>0.16459821022921853</v>
      </c>
      <c r="AA193" t="s">
        <v>1170</v>
      </c>
      <c r="AB193">
        <f t="shared" si="48"/>
        <v>2.5430564519550888E-2</v>
      </c>
      <c r="AC193">
        <f t="shared" si="61"/>
        <v>7.4584183739762555E-2</v>
      </c>
      <c r="AD193" t="str">
        <f t="shared" si="62"/>
        <v>No Impact</v>
      </c>
      <c r="AE193">
        <f t="shared" si="49"/>
        <v>6.7033705009187587E-4</v>
      </c>
      <c r="AF193">
        <f t="shared" si="63"/>
        <v>4.4173952047841577E-3</v>
      </c>
      <c r="AG193" t="s">
        <v>1170</v>
      </c>
    </row>
    <row r="194" spans="1:33" customFormat="1" x14ac:dyDescent="0.3">
      <c r="A194">
        <v>302690</v>
      </c>
      <c r="B194" t="s">
        <v>520</v>
      </c>
      <c r="C194" t="s">
        <v>705</v>
      </c>
      <c r="D194" t="s">
        <v>740</v>
      </c>
      <c r="E194" s="21">
        <v>5.8</v>
      </c>
      <c r="F194" s="2">
        <f t="shared" si="50"/>
        <v>0.57777777777777772</v>
      </c>
      <c r="G194" s="10">
        <v>38.76444</v>
      </c>
      <c r="H194">
        <f t="shared" si="51"/>
        <v>0.35381617685715788</v>
      </c>
      <c r="I194" s="12">
        <v>42.499999999999993</v>
      </c>
      <c r="J194" s="2">
        <f t="shared" si="52"/>
        <v>0.10300533204071739</v>
      </c>
      <c r="K194" s="10">
        <v>0</v>
      </c>
      <c r="L194" s="2">
        <f t="shared" si="53"/>
        <v>0</v>
      </c>
      <c r="M194">
        <v>1906</v>
      </c>
      <c r="N194">
        <f t="shared" si="54"/>
        <v>7.8872786286449687E-3</v>
      </c>
      <c r="O194" s="10">
        <v>0.79507423399999999</v>
      </c>
      <c r="P194">
        <f t="shared" si="55"/>
        <v>0.78014054445084202</v>
      </c>
      <c r="Q194" s="23">
        <v>0</v>
      </c>
      <c r="R194" s="13">
        <f t="shared" si="56"/>
        <v>0</v>
      </c>
      <c r="S194">
        <f t="shared" si="57"/>
        <v>3.6034481378698177E-2</v>
      </c>
      <c r="T194" s="14">
        <f t="shared" ref="T194:T257" si="67">(S194-$AJ$10)/$AK$10</f>
        <v>7.6102890509691157E-2</v>
      </c>
      <c r="U194" t="str">
        <f t="shared" si="58"/>
        <v>No Impact</v>
      </c>
      <c r="V194">
        <f t="shared" si="59"/>
        <v>0</v>
      </c>
      <c r="W194">
        <f t="shared" ref="W194:W257" si="68">(V194-$AJ$13)/$AK$13</f>
        <v>0</v>
      </c>
      <c r="X194" t="s">
        <v>1170</v>
      </c>
      <c r="Y194">
        <f t="shared" ref="Y194:Y257" si="69">F194*(P194*1)*(H194*0.35+J194*0.35+L194*0.3)</f>
        <v>7.2068962757396354E-2</v>
      </c>
      <c r="Z194">
        <f t="shared" si="60"/>
        <v>0.15935170087200612</v>
      </c>
      <c r="AA194" t="s">
        <v>1170</v>
      </c>
      <c r="AB194">
        <f t="shared" ref="AB194:AB257" si="70">F194*(R194*0.35+P194*0.3+N194*0.35)*(H194*0.35+J194*0.35+L194*0.3)</f>
        <v>2.1875706718323135E-2</v>
      </c>
      <c r="AC194">
        <f t="shared" si="61"/>
        <v>6.4158297707556558E-2</v>
      </c>
      <c r="AD194" t="str">
        <f t="shared" si="62"/>
        <v>No Impact</v>
      </c>
      <c r="AE194">
        <f t="shared" ref="AE194:AE257" si="71">F194*(N194*1)*(H194*0.35+J194*0.35+L194*0.3)</f>
        <v>7.2862254601207958E-4</v>
      </c>
      <c r="AF194">
        <f t="shared" si="63"/>
        <v>4.8014856711414717E-3</v>
      </c>
      <c r="AG194" t="s">
        <v>1170</v>
      </c>
    </row>
    <row r="195" spans="1:33" customFormat="1" x14ac:dyDescent="0.3">
      <c r="A195">
        <v>302692</v>
      </c>
      <c r="B195" t="s">
        <v>521</v>
      </c>
      <c r="C195" t="s">
        <v>705</v>
      </c>
      <c r="D195" t="s">
        <v>741</v>
      </c>
      <c r="E195" s="21">
        <v>5.7</v>
      </c>
      <c r="F195" s="2">
        <f t="shared" ref="F195:F258" si="72">(E195-$AJ$5)/$AK$5</f>
        <v>0.55555555555555558</v>
      </c>
      <c r="G195" s="10">
        <v>38.76444</v>
      </c>
      <c r="H195">
        <f t="shared" ref="H195:H258" si="73">(G195-$AJ$6)/$AK$6</f>
        <v>0.35381617685715788</v>
      </c>
      <c r="I195" s="12">
        <v>42.499999999999993</v>
      </c>
      <c r="J195" s="2">
        <f t="shared" ref="J195:J258" si="74">(I195-$AJ$7)/$AK$7</f>
        <v>0.10300533204071739</v>
      </c>
      <c r="K195" s="10">
        <v>0</v>
      </c>
      <c r="L195" s="2">
        <f t="shared" ref="L195:L258" si="75">(K195-$AJ$8)/$AK$8</f>
        <v>0</v>
      </c>
      <c r="M195">
        <v>1942</v>
      </c>
      <c r="N195">
        <f t="shared" ref="N195:N258" si="76">(M195-$AJ$9)/$AK$9</f>
        <v>8.0576097807932706E-3</v>
      </c>
      <c r="O195" s="10">
        <v>0.62585864599999996</v>
      </c>
      <c r="P195">
        <f t="shared" ref="P195:P258" si="77">(O195-$AJ$11)/$AK$11</f>
        <v>0.59378531186188432</v>
      </c>
      <c r="Q195" s="23">
        <v>0</v>
      </c>
      <c r="R195" s="13">
        <f t="shared" ref="R195:R258" si="78">(Q195-$AJ$12)/$AK$12</f>
        <v>0</v>
      </c>
      <c r="S195">
        <f t="shared" ref="S195:S258" si="79">F195*(R195*0.5+P195*0.5)*(H195*0.35+J195*0.35+L195*0.3)</f>
        <v>2.6371907151152636E-2</v>
      </c>
      <c r="T195" s="14">
        <f t="shared" si="67"/>
        <v>5.5696052382825129E-2</v>
      </c>
      <c r="U195" t="str">
        <f t="shared" ref="U195:U258" si="80">IF(T195&gt;0.7,"High",IF(T195&gt;0.3,"Moderate",IF(T195&gt;0.15,"Low","No Impact")))</f>
        <v>No Impact</v>
      </c>
      <c r="V195">
        <f t="shared" ref="V195:V258" si="81">F195*(R195*1)*(H195*0.35+J195*0.35+L195*0.3)</f>
        <v>0</v>
      </c>
      <c r="W195">
        <f t="shared" si="68"/>
        <v>0</v>
      </c>
      <c r="X195" t="s">
        <v>1170</v>
      </c>
      <c r="Y195">
        <f t="shared" si="69"/>
        <v>5.2743814302305271E-2</v>
      </c>
      <c r="Z195">
        <f t="shared" ref="Z195:Z258" si="82">(Y195-$AJ$14)/$AK$14</f>
        <v>0.11662186047886489</v>
      </c>
      <c r="AA195" t="s">
        <v>1170</v>
      </c>
      <c r="AB195">
        <f t="shared" si="70"/>
        <v>1.6073649267706085E-2</v>
      </c>
      <c r="AC195">
        <f t="shared" ref="AC195:AC258" si="83">(AB195-$AJ$15)/$AK$15</f>
        <v>4.7141698699980826E-2</v>
      </c>
      <c r="AD195" t="str">
        <f t="shared" ref="AD195:AD258" si="84">IF(AC195&gt;0.7,"High",IF(AC195&gt;0.3,"Moderate",IF(AC195&gt;0.15,"Low","No Impact")))</f>
        <v>No Impact</v>
      </c>
      <c r="AE195">
        <f t="shared" si="71"/>
        <v>7.1572850575571715E-4</v>
      </c>
      <c r="AF195">
        <f t="shared" ref="AF195:AF258" si="85">(AE195-$AJ$16)/$AK$16</f>
        <v>4.7165163686227717E-3</v>
      </c>
      <c r="AG195" t="s">
        <v>1170</v>
      </c>
    </row>
    <row r="196" spans="1:33" customFormat="1" x14ac:dyDescent="0.3">
      <c r="A196">
        <v>302693</v>
      </c>
      <c r="B196" t="s">
        <v>531</v>
      </c>
      <c r="C196" t="s">
        <v>705</v>
      </c>
      <c r="D196" t="s">
        <v>742</v>
      </c>
      <c r="E196" s="21">
        <v>5.8</v>
      </c>
      <c r="F196" s="2">
        <f t="shared" si="72"/>
        <v>0.57777777777777772</v>
      </c>
      <c r="G196" s="10">
        <v>39.873600000000003</v>
      </c>
      <c r="H196">
        <f t="shared" si="73"/>
        <v>0.36393985594868833</v>
      </c>
      <c r="I196" s="12">
        <v>45.9</v>
      </c>
      <c r="J196" s="2">
        <f t="shared" si="74"/>
        <v>0.1112457586039748</v>
      </c>
      <c r="K196" s="10">
        <v>0</v>
      </c>
      <c r="L196" s="2">
        <f t="shared" si="75"/>
        <v>0</v>
      </c>
      <c r="M196">
        <v>15432</v>
      </c>
      <c r="N196">
        <f t="shared" si="76"/>
        <v>7.1884477627476309E-2</v>
      </c>
      <c r="O196" s="10">
        <v>0.70445228500000001</v>
      </c>
      <c r="P196">
        <f t="shared" si="77"/>
        <v>0.680339606587129</v>
      </c>
      <c r="Q196" s="23">
        <v>0.16</v>
      </c>
      <c r="R196" s="13">
        <f t="shared" si="78"/>
        <v>0.34647033347769601</v>
      </c>
      <c r="S196">
        <f t="shared" si="79"/>
        <v>4.9334670475847019E-2</v>
      </c>
      <c r="T196" s="14">
        <f t="shared" si="67"/>
        <v>0.10419217599103735</v>
      </c>
      <c r="U196" t="str">
        <f t="shared" si="80"/>
        <v>No Impact</v>
      </c>
      <c r="V196">
        <f t="shared" si="81"/>
        <v>3.3293405263879382E-2</v>
      </c>
      <c r="W196">
        <f t="shared" si="68"/>
        <v>6.0437301442992052E-2</v>
      </c>
      <c r="X196" t="s">
        <v>1170</v>
      </c>
      <c r="Y196">
        <f t="shared" si="69"/>
        <v>6.5375935687814649E-2</v>
      </c>
      <c r="Z196">
        <f t="shared" si="82"/>
        <v>0.14455274711003088</v>
      </c>
      <c r="AA196" t="s">
        <v>1170</v>
      </c>
      <c r="AB196">
        <f t="shared" si="70"/>
        <v>3.3683133124815447E-2</v>
      </c>
      <c r="AC196">
        <f t="shared" si="83"/>
        <v>9.8787779090815264E-2</v>
      </c>
      <c r="AD196" t="str">
        <f t="shared" si="84"/>
        <v>No Impact</v>
      </c>
      <c r="AE196">
        <f t="shared" si="71"/>
        <v>6.9076016460379178E-3</v>
      </c>
      <c r="AF196">
        <f t="shared" si="85"/>
        <v>4.5519796919452508E-2</v>
      </c>
      <c r="AG196" t="s">
        <v>1170</v>
      </c>
    </row>
    <row r="197" spans="1:33" customFormat="1" x14ac:dyDescent="0.3">
      <c r="A197">
        <v>302695</v>
      </c>
      <c r="B197" t="s">
        <v>536</v>
      </c>
      <c r="C197" t="s">
        <v>705</v>
      </c>
      <c r="D197" t="s">
        <v>743</v>
      </c>
      <c r="E197" s="21">
        <v>5.7</v>
      </c>
      <c r="F197" s="2">
        <f t="shared" si="72"/>
        <v>0.55555555555555558</v>
      </c>
      <c r="G197" s="10">
        <v>39.254400000000004</v>
      </c>
      <c r="H197">
        <f t="shared" si="73"/>
        <v>0.35828820777035914</v>
      </c>
      <c r="I197" s="12">
        <v>46.4</v>
      </c>
      <c r="J197" s="2">
        <f t="shared" si="74"/>
        <v>0.11245758603974794</v>
      </c>
      <c r="K197" s="10">
        <v>0</v>
      </c>
      <c r="L197" s="2">
        <f t="shared" si="75"/>
        <v>0</v>
      </c>
      <c r="M197">
        <v>7916</v>
      </c>
      <c r="N197">
        <f t="shared" si="76"/>
        <v>3.632311819562533E-2</v>
      </c>
      <c r="O197" s="10">
        <v>0.81122422100000002</v>
      </c>
      <c r="P197">
        <f t="shared" si="77"/>
        <v>0.79792634432463172</v>
      </c>
      <c r="Q197" s="23">
        <v>0.1075</v>
      </c>
      <c r="R197" s="13">
        <f t="shared" si="78"/>
        <v>0.232784755305327</v>
      </c>
      <c r="S197">
        <f t="shared" si="79"/>
        <v>4.7172505604018783E-2</v>
      </c>
      <c r="T197" s="14">
        <f t="shared" si="67"/>
        <v>9.9625799836615514E-2</v>
      </c>
      <c r="U197" t="str">
        <f t="shared" si="80"/>
        <v>No Impact</v>
      </c>
      <c r="V197">
        <f t="shared" si="81"/>
        <v>2.1307697526713441E-2</v>
      </c>
      <c r="W197">
        <f t="shared" si="68"/>
        <v>3.8679724355958622E-2</v>
      </c>
      <c r="X197" t="s">
        <v>1170</v>
      </c>
      <c r="Y197">
        <f t="shared" si="69"/>
        <v>7.3037313681324142E-2</v>
      </c>
      <c r="Z197">
        <f t="shared" si="82"/>
        <v>0.16149282183261041</v>
      </c>
      <c r="AA197" t="s">
        <v>1170</v>
      </c>
      <c r="AB197">
        <f t="shared" si="70"/>
        <v>3.053256712808617E-2</v>
      </c>
      <c r="AC197">
        <f t="shared" si="83"/>
        <v>8.9547622703266286E-2</v>
      </c>
      <c r="AD197" t="str">
        <f t="shared" si="84"/>
        <v>No Impact</v>
      </c>
      <c r="AE197">
        <f t="shared" si="71"/>
        <v>3.3247968266834978E-3</v>
      </c>
      <c r="AF197">
        <f t="shared" si="85"/>
        <v>2.1909786363532028E-2</v>
      </c>
      <c r="AG197" t="s">
        <v>1170</v>
      </c>
    </row>
    <row r="198" spans="1:33" customFormat="1" x14ac:dyDescent="0.3">
      <c r="A198">
        <v>302696</v>
      </c>
      <c r="B198" t="s">
        <v>535</v>
      </c>
      <c r="C198" t="s">
        <v>705</v>
      </c>
      <c r="D198" t="s">
        <v>744</v>
      </c>
      <c r="E198" s="21">
        <v>5.8</v>
      </c>
      <c r="F198" s="2">
        <f t="shared" si="72"/>
        <v>0.57777777777777772</v>
      </c>
      <c r="G198" s="10">
        <v>39.254400000000004</v>
      </c>
      <c r="H198">
        <f t="shared" si="73"/>
        <v>0.35828820777035914</v>
      </c>
      <c r="I198" s="12">
        <v>46.4</v>
      </c>
      <c r="J198" s="2">
        <f t="shared" si="74"/>
        <v>0.11245758603974794</v>
      </c>
      <c r="K198" s="10">
        <v>0</v>
      </c>
      <c r="L198" s="2">
        <f t="shared" si="75"/>
        <v>0</v>
      </c>
      <c r="M198">
        <v>14687</v>
      </c>
      <c r="N198">
        <f t="shared" si="76"/>
        <v>6.8359569062185072E-2</v>
      </c>
      <c r="O198" s="10">
        <v>0.76579187400000004</v>
      </c>
      <c r="P198">
        <f t="shared" si="77"/>
        <v>0.7478922092173671</v>
      </c>
      <c r="Q198" s="23">
        <v>0.24560000000000001</v>
      </c>
      <c r="R198" s="13">
        <f t="shared" si="78"/>
        <v>0.53183196188826332</v>
      </c>
      <c r="S198">
        <f t="shared" si="79"/>
        <v>6.0911837934938012E-2</v>
      </c>
      <c r="T198" s="14">
        <f t="shared" si="67"/>
        <v>0.1286425322565336</v>
      </c>
      <c r="U198" t="str">
        <f t="shared" si="80"/>
        <v>No Impact</v>
      </c>
      <c r="V198">
        <f t="shared" si="81"/>
        <v>5.0627882168030255E-2</v>
      </c>
      <c r="W198">
        <f t="shared" si="68"/>
        <v>9.1904464315315099E-2</v>
      </c>
      <c r="X198" t="s">
        <v>1170</v>
      </c>
      <c r="Y198">
        <f t="shared" si="69"/>
        <v>7.1195793701845769E-2</v>
      </c>
      <c r="Z198">
        <f t="shared" si="82"/>
        <v>0.15742103656344411</v>
      </c>
      <c r="AA198" t="s">
        <v>1170</v>
      </c>
      <c r="AB198">
        <f t="shared" si="70"/>
        <v>4.1356124314577296E-2</v>
      </c>
      <c r="AC198">
        <f t="shared" si="83"/>
        <v>0.12129155734122761</v>
      </c>
      <c r="AD198" t="str">
        <f t="shared" si="84"/>
        <v>No Impact</v>
      </c>
      <c r="AE198">
        <f t="shared" si="71"/>
        <v>6.5075069863227957E-3</v>
      </c>
      <c r="AF198">
        <f t="shared" si="85"/>
        <v>4.288324828911335E-2</v>
      </c>
      <c r="AG198" t="s">
        <v>1170</v>
      </c>
    </row>
    <row r="199" spans="1:33" customFormat="1" x14ac:dyDescent="0.3">
      <c r="A199">
        <v>302903</v>
      </c>
      <c r="B199" t="s">
        <v>9</v>
      </c>
      <c r="C199" t="s">
        <v>746</v>
      </c>
      <c r="D199" t="s">
        <v>745</v>
      </c>
      <c r="E199" s="21">
        <v>5.4</v>
      </c>
      <c r="F199" s="2">
        <f t="shared" si="72"/>
        <v>0.48888888888888893</v>
      </c>
      <c r="G199" s="10">
        <v>50.096880000000006</v>
      </c>
      <c r="H199">
        <f t="shared" si="73"/>
        <v>0.45725119604647502</v>
      </c>
      <c r="I199" s="12">
        <v>89.4</v>
      </c>
      <c r="J199" s="2">
        <f t="shared" si="74"/>
        <v>0.21667474551623853</v>
      </c>
      <c r="K199" s="10">
        <v>0</v>
      </c>
      <c r="L199" s="2">
        <f t="shared" si="75"/>
        <v>0</v>
      </c>
      <c r="M199">
        <v>9951</v>
      </c>
      <c r="N199">
        <f t="shared" si="76"/>
        <v>4.5951559712897383E-2</v>
      </c>
      <c r="O199" s="10">
        <v>0.92279505299999998</v>
      </c>
      <c r="P199">
        <f t="shared" si="77"/>
        <v>0.92079805250026103</v>
      </c>
      <c r="Q199" s="23">
        <v>0.25619999999999998</v>
      </c>
      <c r="R199" s="13">
        <f t="shared" si="78"/>
        <v>0.55478562148116062</v>
      </c>
      <c r="S199">
        <f t="shared" si="79"/>
        <v>8.5079363329858132E-2</v>
      </c>
      <c r="T199" s="14">
        <f t="shared" si="67"/>
        <v>0.17968304869107962</v>
      </c>
      <c r="U199" t="str">
        <f t="shared" si="80"/>
        <v>Low</v>
      </c>
      <c r="V199">
        <f t="shared" si="81"/>
        <v>6.3975778930678379E-2</v>
      </c>
      <c r="W199">
        <f t="shared" si="68"/>
        <v>0.11613481425639841</v>
      </c>
      <c r="X199" t="s">
        <v>1170</v>
      </c>
      <c r="Y199">
        <f t="shared" si="69"/>
        <v>0.1061829477290379</v>
      </c>
      <c r="Z199">
        <f t="shared" si="82"/>
        <v>0.23478114124084551</v>
      </c>
      <c r="AA199" t="str">
        <f t="shared" ref="AA199:AA241" si="86">IF(Z199&gt;0.7,"High",IF(Z199&gt;0.3,"Moderate",IF(Z199&gt;0.15,"Low","No Impact")))</f>
        <v>Low</v>
      </c>
      <c r="AB199">
        <f t="shared" si="70"/>
        <v>5.6101042950068868E-2</v>
      </c>
      <c r="AC199">
        <f t="shared" si="83"/>
        <v>0.16453628043386206</v>
      </c>
      <c r="AD199" t="str">
        <f t="shared" si="84"/>
        <v>Low</v>
      </c>
      <c r="AE199">
        <f t="shared" si="71"/>
        <v>5.2989600160573353E-3</v>
      </c>
      <c r="AF199">
        <f t="shared" si="85"/>
        <v>3.4919150839218017E-2</v>
      </c>
      <c r="AG199" t="s">
        <v>1170</v>
      </c>
    </row>
    <row r="200" spans="1:33" customFormat="1" x14ac:dyDescent="0.3">
      <c r="A200">
        <v>302910</v>
      </c>
      <c r="B200" t="s">
        <v>67</v>
      </c>
      <c r="C200" t="s">
        <v>746</v>
      </c>
      <c r="D200" t="s">
        <v>747</v>
      </c>
      <c r="E200" s="21">
        <v>5.4</v>
      </c>
      <c r="F200" s="2">
        <f t="shared" si="72"/>
        <v>0.48888888888888893</v>
      </c>
      <c r="G200" s="10">
        <v>47.948039999999999</v>
      </c>
      <c r="H200">
        <f t="shared" si="73"/>
        <v>0.43763800536249409</v>
      </c>
      <c r="I200" s="12">
        <v>86.500000000000014</v>
      </c>
      <c r="J200" s="2">
        <f t="shared" si="74"/>
        <v>0.20964614638875428</v>
      </c>
      <c r="K200" s="10">
        <v>0</v>
      </c>
      <c r="L200" s="2">
        <f t="shared" si="75"/>
        <v>0</v>
      </c>
      <c r="M200">
        <v>18588</v>
      </c>
      <c r="N200">
        <f t="shared" si="76"/>
        <v>8.6816841965810757E-2</v>
      </c>
      <c r="O200" s="10">
        <v>0.93174542000000005</v>
      </c>
      <c r="P200">
        <f t="shared" si="77"/>
        <v>0.93065499147234643</v>
      </c>
      <c r="Q200" s="23">
        <v>0.26469999999999999</v>
      </c>
      <c r="R200" s="13">
        <f t="shared" si="78"/>
        <v>0.57319185794716332</v>
      </c>
      <c r="S200">
        <f t="shared" si="79"/>
        <v>8.3281166540391874E-2</v>
      </c>
      <c r="T200" s="14">
        <f t="shared" si="67"/>
        <v>0.175885353590505</v>
      </c>
      <c r="U200" t="str">
        <f t="shared" si="80"/>
        <v>Low</v>
      </c>
      <c r="V200">
        <f t="shared" si="81"/>
        <v>6.3485303173951055E-2</v>
      </c>
      <c r="W200">
        <f t="shared" si="68"/>
        <v>0.11524445681399016</v>
      </c>
      <c r="X200" t="s">
        <v>1170</v>
      </c>
      <c r="Y200">
        <f t="shared" si="69"/>
        <v>0.10307702990683269</v>
      </c>
      <c r="Z200">
        <f t="shared" si="82"/>
        <v>0.22791364559777436</v>
      </c>
      <c r="AA200" t="str">
        <f t="shared" si="86"/>
        <v>Low</v>
      </c>
      <c r="AB200">
        <f t="shared" si="70"/>
        <v>5.6508431130183112E-2</v>
      </c>
      <c r="AC200">
        <f t="shared" si="83"/>
        <v>0.16573109130232266</v>
      </c>
      <c r="AD200" t="str">
        <f t="shared" si="84"/>
        <v>Low</v>
      </c>
      <c r="AE200">
        <f t="shared" si="71"/>
        <v>9.6156172778583855E-3</v>
      </c>
      <c r="AF200">
        <f t="shared" si="85"/>
        <v>6.3365111101093996E-2</v>
      </c>
      <c r="AG200" t="s">
        <v>1170</v>
      </c>
    </row>
    <row r="201" spans="1:33" customFormat="1" x14ac:dyDescent="0.3">
      <c r="A201">
        <v>302918</v>
      </c>
      <c r="B201" t="s">
        <v>84</v>
      </c>
      <c r="C201" t="s">
        <v>746</v>
      </c>
      <c r="D201" t="s">
        <v>748</v>
      </c>
      <c r="E201" s="21">
        <v>5.5</v>
      </c>
      <c r="F201" s="2">
        <f t="shared" si="72"/>
        <v>0.51111111111111107</v>
      </c>
      <c r="G201" s="10">
        <v>47.561760000000007</v>
      </c>
      <c r="H201">
        <f t="shared" si="73"/>
        <v>0.43411229693496672</v>
      </c>
      <c r="I201" s="12">
        <v>72.599999999999994</v>
      </c>
      <c r="J201" s="2">
        <f t="shared" si="74"/>
        <v>0.17595734367426077</v>
      </c>
      <c r="K201" s="10">
        <v>0</v>
      </c>
      <c r="L201" s="2">
        <f t="shared" si="75"/>
        <v>0</v>
      </c>
      <c r="M201">
        <v>27398</v>
      </c>
      <c r="N201">
        <f t="shared" si="76"/>
        <v>0.12850066003321459</v>
      </c>
      <c r="O201" s="10">
        <v>0.96372172199999995</v>
      </c>
      <c r="P201">
        <f t="shared" si="77"/>
        <v>0.96587013487003814</v>
      </c>
      <c r="Q201" s="23">
        <v>0.28249999999999997</v>
      </c>
      <c r="R201" s="13">
        <f t="shared" si="78"/>
        <v>0.61173668254655689</v>
      </c>
      <c r="S201">
        <f t="shared" si="79"/>
        <v>8.6085807713314158E-2</v>
      </c>
      <c r="T201" s="14">
        <f t="shared" si="67"/>
        <v>0.18180860520771996</v>
      </c>
      <c r="U201" t="str">
        <f t="shared" si="80"/>
        <v>Low</v>
      </c>
      <c r="V201">
        <f t="shared" si="81"/>
        <v>6.6761687187837898E-2</v>
      </c>
      <c r="W201">
        <f t="shared" si="68"/>
        <v>0.12119205534651727</v>
      </c>
      <c r="X201" t="s">
        <v>1170</v>
      </c>
      <c r="Y201">
        <f t="shared" si="69"/>
        <v>0.10540992823879042</v>
      </c>
      <c r="Z201">
        <f t="shared" si="82"/>
        <v>0.23307191766019247</v>
      </c>
      <c r="AA201" t="str">
        <f t="shared" si="86"/>
        <v>Low</v>
      </c>
      <c r="AB201">
        <f t="shared" si="70"/>
        <v>5.9897926438660647E-2</v>
      </c>
      <c r="AC201">
        <f t="shared" si="83"/>
        <v>0.17567199295545735</v>
      </c>
      <c r="AD201" t="str">
        <f t="shared" si="84"/>
        <v>Low</v>
      </c>
      <c r="AE201">
        <f t="shared" si="71"/>
        <v>1.4023878432229322E-2</v>
      </c>
      <c r="AF201">
        <f t="shared" si="85"/>
        <v>9.24147238027722E-2</v>
      </c>
      <c r="AG201" t="s">
        <v>1170</v>
      </c>
    </row>
    <row r="202" spans="1:33" customFormat="1" x14ac:dyDescent="0.3">
      <c r="A202">
        <v>302921</v>
      </c>
      <c r="B202" t="s">
        <v>99</v>
      </c>
      <c r="C202" t="s">
        <v>746</v>
      </c>
      <c r="D202" t="s">
        <v>749</v>
      </c>
      <c r="E202" s="21">
        <v>5.4</v>
      </c>
      <c r="F202" s="2">
        <f t="shared" si="72"/>
        <v>0.48888888888888893</v>
      </c>
      <c r="G202" s="10">
        <v>50.333400000000005</v>
      </c>
      <c r="H202">
        <f t="shared" si="73"/>
        <v>0.45940999421691819</v>
      </c>
      <c r="I202" s="12">
        <v>54.399999999999991</v>
      </c>
      <c r="J202" s="2">
        <f t="shared" si="74"/>
        <v>0.13184682501211825</v>
      </c>
      <c r="K202" s="10">
        <v>0</v>
      </c>
      <c r="L202" s="2">
        <f t="shared" si="75"/>
        <v>0</v>
      </c>
      <c r="M202">
        <v>8877</v>
      </c>
      <c r="N202">
        <f t="shared" si="76"/>
        <v>4.0870013673806382E-2</v>
      </c>
      <c r="O202" s="10">
        <v>0.64947396999999996</v>
      </c>
      <c r="P202">
        <f t="shared" si="77"/>
        <v>0.61979260379460854</v>
      </c>
      <c r="Q202" s="23">
        <v>0.22500000000000001</v>
      </c>
      <c r="R202" s="13">
        <f t="shared" si="78"/>
        <v>0.48722390645301</v>
      </c>
      <c r="S202">
        <f t="shared" si="79"/>
        <v>5.5998768525104096E-2</v>
      </c>
      <c r="T202" s="14">
        <f t="shared" si="67"/>
        <v>0.11826639337350991</v>
      </c>
      <c r="U202" t="str">
        <f t="shared" si="80"/>
        <v>No Impact</v>
      </c>
      <c r="V202">
        <f t="shared" si="81"/>
        <v>4.9292740451099833E-2</v>
      </c>
      <c r="W202">
        <f t="shared" si="68"/>
        <v>8.9480790264082413E-2</v>
      </c>
      <c r="X202" t="s">
        <v>1170</v>
      </c>
      <c r="Y202">
        <f t="shared" si="69"/>
        <v>6.2704796599108367E-2</v>
      </c>
      <c r="Z202">
        <f t="shared" si="82"/>
        <v>0.13864659082908229</v>
      </c>
      <c r="AA202" t="s">
        <v>1170</v>
      </c>
      <c r="AB202">
        <f t="shared" si="70"/>
        <v>3.7511093631005139E-2</v>
      </c>
      <c r="AC202">
        <f t="shared" si="83"/>
        <v>0.11001463602994108</v>
      </c>
      <c r="AD202" t="str">
        <f t="shared" si="84"/>
        <v>No Impact</v>
      </c>
      <c r="AE202">
        <f t="shared" si="71"/>
        <v>4.1348442668219841E-3</v>
      </c>
      <c r="AF202">
        <f t="shared" si="85"/>
        <v>2.7247846787351648E-2</v>
      </c>
      <c r="AG202" t="s">
        <v>1170</v>
      </c>
    </row>
    <row r="203" spans="1:33" customFormat="1" x14ac:dyDescent="0.3">
      <c r="A203">
        <v>302947</v>
      </c>
      <c r="B203" t="s">
        <v>165</v>
      </c>
      <c r="C203" t="s">
        <v>746</v>
      </c>
      <c r="D203" t="s">
        <v>750</v>
      </c>
      <c r="E203" s="21">
        <v>5.5</v>
      </c>
      <c r="F203" s="2">
        <f t="shared" si="72"/>
        <v>0.51111111111111107</v>
      </c>
      <c r="G203" s="10">
        <v>50.333400000000005</v>
      </c>
      <c r="H203">
        <f t="shared" si="73"/>
        <v>0.45940999421691819</v>
      </c>
      <c r="I203" s="12">
        <v>48.20000000000001</v>
      </c>
      <c r="J203" s="2">
        <f t="shared" si="74"/>
        <v>0.1168201648085313</v>
      </c>
      <c r="K203" s="10">
        <v>0</v>
      </c>
      <c r="L203" s="2">
        <f t="shared" si="75"/>
        <v>0</v>
      </c>
      <c r="M203">
        <v>53061</v>
      </c>
      <c r="N203">
        <f t="shared" si="76"/>
        <v>0.24992311441048862</v>
      </c>
      <c r="O203" s="10">
        <v>0.72030687100000002</v>
      </c>
      <c r="P203">
        <f t="shared" si="77"/>
        <v>0.69780008464681953</v>
      </c>
      <c r="Q203" s="23">
        <v>0.26669999999999999</v>
      </c>
      <c r="R203" s="13">
        <f t="shared" si="78"/>
        <v>0.57752273711563451</v>
      </c>
      <c r="S203">
        <f t="shared" si="79"/>
        <v>6.5730886141815104E-2</v>
      </c>
      <c r="T203" s="14">
        <f t="shared" si="67"/>
        <v>0.13882010340553011</v>
      </c>
      <c r="U203" t="str">
        <f t="shared" si="80"/>
        <v>No Impact</v>
      </c>
      <c r="V203">
        <f t="shared" si="81"/>
        <v>5.9531721113868591E-2</v>
      </c>
      <c r="W203">
        <f t="shared" si="68"/>
        <v>0.10806754508474617</v>
      </c>
      <c r="X203" t="s">
        <v>1170</v>
      </c>
      <c r="Y203">
        <f t="shared" si="69"/>
        <v>7.1930051169761575E-2</v>
      </c>
      <c r="Z203">
        <f t="shared" si="82"/>
        <v>0.15904455342720455</v>
      </c>
      <c r="AA203" t="s">
        <v>1170</v>
      </c>
      <c r="AB203">
        <f t="shared" si="70"/>
        <v>5.1431946459000524E-2</v>
      </c>
      <c r="AC203">
        <f t="shared" si="83"/>
        <v>0.15084249277449663</v>
      </c>
      <c r="AD203" t="str">
        <f t="shared" si="84"/>
        <v>Low</v>
      </c>
      <c r="AE203">
        <f t="shared" si="71"/>
        <v>2.5762367766337245E-2</v>
      </c>
      <c r="AF203">
        <f t="shared" si="85"/>
        <v>0.16976916287009111</v>
      </c>
      <c r="AG203" t="s">
        <v>1169</v>
      </c>
    </row>
    <row r="204" spans="1:33" customFormat="1" x14ac:dyDescent="0.3">
      <c r="A204">
        <v>302956</v>
      </c>
      <c r="B204" t="s">
        <v>313</v>
      </c>
      <c r="C204" t="s">
        <v>746</v>
      </c>
      <c r="D204" t="s">
        <v>751</v>
      </c>
      <c r="E204" s="21">
        <v>5.5</v>
      </c>
      <c r="F204" s="2">
        <f t="shared" si="72"/>
        <v>0.51111111111111107</v>
      </c>
      <c r="G204" s="10">
        <v>45.763559999999998</v>
      </c>
      <c r="H204">
        <f t="shared" si="73"/>
        <v>0.41769951632406288</v>
      </c>
      <c r="I204" s="12">
        <v>46.300000000000011</v>
      </c>
      <c r="J204" s="2">
        <f t="shared" si="74"/>
        <v>0.11221522055259335</v>
      </c>
      <c r="K204" s="10">
        <v>0</v>
      </c>
      <c r="L204" s="2">
        <f t="shared" si="75"/>
        <v>0</v>
      </c>
      <c r="M204">
        <v>19899</v>
      </c>
      <c r="N204">
        <f t="shared" si="76"/>
        <v>9.3019734756544736E-2</v>
      </c>
      <c r="O204" s="10">
        <v>0.96441881799999996</v>
      </c>
      <c r="P204">
        <f t="shared" si="77"/>
        <v>0.96663783889040789</v>
      </c>
      <c r="Q204" s="23">
        <v>0.2848</v>
      </c>
      <c r="R204" s="13">
        <f t="shared" si="78"/>
        <v>0.61671719359029886</v>
      </c>
      <c r="S204">
        <f t="shared" si="79"/>
        <v>7.5047749795841237E-2</v>
      </c>
      <c r="T204" s="14">
        <f t="shared" si="67"/>
        <v>0.15849681935724691</v>
      </c>
      <c r="U204" t="str">
        <f t="shared" si="80"/>
        <v>Low</v>
      </c>
      <c r="V204">
        <f t="shared" si="81"/>
        <v>5.8462235809291996E-2</v>
      </c>
      <c r="W204">
        <f t="shared" si="68"/>
        <v>0.10612611538630462</v>
      </c>
      <c r="X204" t="s">
        <v>1170</v>
      </c>
      <c r="Y204">
        <f t="shared" si="69"/>
        <v>9.1633263782390478E-2</v>
      </c>
      <c r="Z204">
        <f t="shared" si="82"/>
        <v>0.2026103315699315</v>
      </c>
      <c r="AA204" t="str">
        <f t="shared" si="86"/>
        <v>Low</v>
      </c>
      <c r="AB204">
        <f t="shared" si="70"/>
        <v>5.103802163229533E-2</v>
      </c>
      <c r="AC204">
        <f t="shared" si="83"/>
        <v>0.14968716798286463</v>
      </c>
      <c r="AD204" t="str">
        <f t="shared" si="84"/>
        <v>No Impact</v>
      </c>
      <c r="AE204">
        <f t="shared" si="71"/>
        <v>8.8178856123599676E-3</v>
      </c>
      <c r="AF204">
        <f t="shared" si="85"/>
        <v>5.8108209318036945E-2</v>
      </c>
      <c r="AG204" t="s">
        <v>1170</v>
      </c>
    </row>
    <row r="205" spans="1:33" customFormat="1" x14ac:dyDescent="0.3">
      <c r="A205">
        <v>302962</v>
      </c>
      <c r="B205" t="s">
        <v>362</v>
      </c>
      <c r="C205" t="s">
        <v>746</v>
      </c>
      <c r="D205" t="s">
        <v>752</v>
      </c>
      <c r="E205" s="21">
        <v>5.4</v>
      </c>
      <c r="F205" s="2">
        <f t="shared" si="72"/>
        <v>0.48888888888888893</v>
      </c>
      <c r="G205" s="10">
        <v>47.948039999999999</v>
      </c>
      <c r="H205">
        <f t="shared" si="73"/>
        <v>0.43763800536249409</v>
      </c>
      <c r="I205" s="12">
        <v>86.500000000000014</v>
      </c>
      <c r="J205" s="2">
        <f t="shared" si="74"/>
        <v>0.20964614638875428</v>
      </c>
      <c r="K205" s="10">
        <v>0</v>
      </c>
      <c r="L205" s="2">
        <f t="shared" si="75"/>
        <v>0</v>
      </c>
      <c r="M205">
        <v>16580</v>
      </c>
      <c r="N205">
        <f t="shared" si="76"/>
        <v>7.7316148812649921E-2</v>
      </c>
      <c r="O205" s="10">
        <v>0.96128024199999995</v>
      </c>
      <c r="P205">
        <f t="shared" si="77"/>
        <v>0.96318136027994961</v>
      </c>
      <c r="Q205" s="23">
        <v>0.24690000000000001</v>
      </c>
      <c r="R205" s="13">
        <f t="shared" si="78"/>
        <v>0.53464703334776964</v>
      </c>
      <c r="S205">
        <f t="shared" si="79"/>
        <v>8.2947871950383889E-2</v>
      </c>
      <c r="T205" s="14">
        <f t="shared" si="67"/>
        <v>0.17518145330610008</v>
      </c>
      <c r="U205" t="str">
        <f t="shared" si="80"/>
        <v>Low</v>
      </c>
      <c r="V205">
        <f t="shared" si="81"/>
        <v>5.9216174362102442E-2</v>
      </c>
      <c r="W205">
        <f t="shared" si="68"/>
        <v>0.10749473512419407</v>
      </c>
      <c r="X205" t="s">
        <v>1170</v>
      </c>
      <c r="Y205">
        <f t="shared" si="69"/>
        <v>0.10667956953866531</v>
      </c>
      <c r="Z205">
        <f t="shared" si="82"/>
        <v>0.2358792218434575</v>
      </c>
      <c r="AA205" t="str">
        <f t="shared" si="86"/>
        <v>Low</v>
      </c>
      <c r="AB205">
        <f t="shared" si="70"/>
        <v>5.5726702343298629E-2</v>
      </c>
      <c r="AC205">
        <f t="shared" si="83"/>
        <v>0.16343839333917562</v>
      </c>
      <c r="AD205" t="str">
        <f t="shared" si="84"/>
        <v>Low</v>
      </c>
      <c r="AE205">
        <f t="shared" si="71"/>
        <v>8.5633441570376508E-3</v>
      </c>
      <c r="AF205">
        <f t="shared" si="85"/>
        <v>5.6430828955418656E-2</v>
      </c>
      <c r="AG205" t="s">
        <v>1170</v>
      </c>
    </row>
    <row r="206" spans="1:33" customFormat="1" x14ac:dyDescent="0.3">
      <c r="A206">
        <v>302984</v>
      </c>
      <c r="B206" t="s">
        <v>453</v>
      </c>
      <c r="C206" t="s">
        <v>746</v>
      </c>
      <c r="D206" t="s">
        <v>753</v>
      </c>
      <c r="E206" s="21">
        <v>5.4</v>
      </c>
      <c r="F206" s="2">
        <f t="shared" si="72"/>
        <v>0.48888888888888893</v>
      </c>
      <c r="G206" s="10">
        <v>43.705080000000002</v>
      </c>
      <c r="H206">
        <f t="shared" si="73"/>
        <v>0.3989110719730824</v>
      </c>
      <c r="I206" s="12">
        <v>73.699999999999989</v>
      </c>
      <c r="J206" s="2">
        <f t="shared" si="74"/>
        <v>0.1786233640329617</v>
      </c>
      <c r="K206" s="10">
        <v>0</v>
      </c>
      <c r="L206" s="2">
        <f t="shared" si="75"/>
        <v>0</v>
      </c>
      <c r="M206">
        <v>32677</v>
      </c>
      <c r="N206">
        <f t="shared" si="76"/>
        <v>0.1534778309274058</v>
      </c>
      <c r="O206" s="10">
        <v>0.71021932499999996</v>
      </c>
      <c r="P206">
        <f t="shared" si="77"/>
        <v>0.68669078317347176</v>
      </c>
      <c r="Q206" s="23">
        <v>0.25030000000000002</v>
      </c>
      <c r="R206" s="13">
        <f t="shared" si="78"/>
        <v>0.54200952793417068</v>
      </c>
      <c r="S206">
        <f t="shared" si="79"/>
        <v>6.0711654524546944E-2</v>
      </c>
      <c r="T206" s="14">
        <f t="shared" si="67"/>
        <v>0.12821975563869517</v>
      </c>
      <c r="U206" t="str">
        <f t="shared" si="80"/>
        <v>No Impact</v>
      </c>
      <c r="V206">
        <f t="shared" si="81"/>
        <v>5.3562768579895524E-2</v>
      </c>
      <c r="W206">
        <f t="shared" si="68"/>
        <v>9.7232144478067384E-2</v>
      </c>
      <c r="X206" t="s">
        <v>1170</v>
      </c>
      <c r="Y206">
        <f t="shared" si="69"/>
        <v>6.7860540469198358E-2</v>
      </c>
      <c r="Z206">
        <f t="shared" si="82"/>
        <v>0.15004645733923186</v>
      </c>
      <c r="AA206" t="s">
        <v>1170</v>
      </c>
      <c r="AB206">
        <f t="shared" si="70"/>
        <v>4.441360634711012E-2</v>
      </c>
      <c r="AC206">
        <f t="shared" si="83"/>
        <v>0.13025871186586016</v>
      </c>
      <c r="AD206" t="str">
        <f t="shared" si="84"/>
        <v>No Impact</v>
      </c>
      <c r="AE206">
        <f t="shared" si="71"/>
        <v>1.5167072009677676E-2</v>
      </c>
      <c r="AF206">
        <f t="shared" si="85"/>
        <v>9.9948154673806799E-2</v>
      </c>
      <c r="AG206" t="s">
        <v>1169</v>
      </c>
    </row>
    <row r="207" spans="1:33" customFormat="1" x14ac:dyDescent="0.3">
      <c r="A207">
        <v>302990</v>
      </c>
      <c r="B207" t="s">
        <v>458</v>
      </c>
      <c r="C207" t="s">
        <v>746</v>
      </c>
      <c r="D207" t="s">
        <v>754</v>
      </c>
      <c r="E207" s="21">
        <v>5.4</v>
      </c>
      <c r="F207" s="2">
        <f t="shared" si="72"/>
        <v>0.48888888888888893</v>
      </c>
      <c r="G207" s="10">
        <v>47.948039999999999</v>
      </c>
      <c r="H207">
        <f t="shared" si="73"/>
        <v>0.43763800536249409</v>
      </c>
      <c r="I207" s="12">
        <v>86.500000000000014</v>
      </c>
      <c r="J207" s="2">
        <f t="shared" si="74"/>
        <v>0.20964614638875428</v>
      </c>
      <c r="K207" s="10">
        <v>0</v>
      </c>
      <c r="L207" s="2">
        <f t="shared" si="75"/>
        <v>0</v>
      </c>
      <c r="M207">
        <v>15640</v>
      </c>
      <c r="N207">
        <f t="shared" si="76"/>
        <v>7.2868613173222047E-2</v>
      </c>
      <c r="O207" s="10">
        <v>0.946430463</v>
      </c>
      <c r="P207">
        <f t="shared" si="77"/>
        <v>0.94682746491990988</v>
      </c>
      <c r="Q207" s="23">
        <v>0.2477</v>
      </c>
      <c r="R207" s="13">
        <f t="shared" si="78"/>
        <v>0.53637938501515814</v>
      </c>
      <c r="S207">
        <f t="shared" si="79"/>
        <v>8.2138149061503712E-2</v>
      </c>
      <c r="T207" s="14">
        <f t="shared" si="67"/>
        <v>0.17347136202691582</v>
      </c>
      <c r="U207" t="str">
        <f t="shared" si="80"/>
        <v>Low</v>
      </c>
      <c r="V207">
        <f t="shared" si="81"/>
        <v>5.9408045319938332E-2</v>
      </c>
      <c r="W207">
        <f t="shared" si="68"/>
        <v>0.10784303722261188</v>
      </c>
      <c r="X207" t="s">
        <v>1170</v>
      </c>
      <c r="Y207">
        <f t="shared" si="69"/>
        <v>0.10486825280306909</v>
      </c>
      <c r="Z207">
        <f t="shared" si="82"/>
        <v>0.23187421897409727</v>
      </c>
      <c r="AA207" t="str">
        <f t="shared" si="86"/>
        <v>Low</v>
      </c>
      <c r="AB207">
        <f t="shared" si="70"/>
        <v>5.5078052866652155E-2</v>
      </c>
      <c r="AC207">
        <f t="shared" si="83"/>
        <v>0.16153599782956324</v>
      </c>
      <c r="AD207" t="str">
        <f t="shared" si="84"/>
        <v>Low</v>
      </c>
      <c r="AE207">
        <f t="shared" si="71"/>
        <v>8.0707461821514521E-3</v>
      </c>
      <c r="AF207">
        <f t="shared" si="85"/>
        <v>5.318470085933559E-2</v>
      </c>
      <c r="AG207" t="s">
        <v>1170</v>
      </c>
    </row>
    <row r="208" spans="1:33" customFormat="1" x14ac:dyDescent="0.3">
      <c r="A208">
        <v>303330</v>
      </c>
      <c r="B208" t="s">
        <v>181</v>
      </c>
      <c r="C208" t="s">
        <v>756</v>
      </c>
      <c r="D208" t="s">
        <v>755</v>
      </c>
      <c r="E208" s="21">
        <v>4.8</v>
      </c>
      <c r="F208" s="2">
        <f t="shared" si="72"/>
        <v>0.35555555555555546</v>
      </c>
      <c r="G208" s="10">
        <v>41.961240000000004</v>
      </c>
      <c r="H208">
        <f t="shared" si="73"/>
        <v>0.3829944534987646</v>
      </c>
      <c r="I208" s="12">
        <v>45.400000000000006</v>
      </c>
      <c r="J208" s="2">
        <f t="shared" si="74"/>
        <v>0.11003393116820168</v>
      </c>
      <c r="K208" s="10">
        <v>0</v>
      </c>
      <c r="L208" s="2">
        <f t="shared" si="75"/>
        <v>0</v>
      </c>
      <c r="M208">
        <v>211592</v>
      </c>
      <c r="N208">
        <f t="shared" si="76"/>
        <v>1</v>
      </c>
      <c r="O208" s="10">
        <v>0.84649196599999998</v>
      </c>
      <c r="P208">
        <f t="shared" si="77"/>
        <v>0.83676631704843918</v>
      </c>
      <c r="Q208" s="23">
        <v>0.2616</v>
      </c>
      <c r="R208" s="13">
        <f t="shared" si="78"/>
        <v>0.56647899523603296</v>
      </c>
      <c r="S208">
        <f t="shared" si="79"/>
        <v>4.3047807886664353E-2</v>
      </c>
      <c r="T208" s="14">
        <f t="shared" si="67"/>
        <v>9.0914659652009996E-2</v>
      </c>
      <c r="U208" t="str">
        <f t="shared" si="80"/>
        <v>No Impact</v>
      </c>
      <c r="V208">
        <f t="shared" si="81"/>
        <v>3.4756116760585092E-2</v>
      </c>
      <c r="W208">
        <f t="shared" si="68"/>
        <v>6.3092552083467757E-2</v>
      </c>
      <c r="X208" t="s">
        <v>1170</v>
      </c>
      <c r="Y208">
        <f t="shared" si="69"/>
        <v>5.1339499012743622E-2</v>
      </c>
      <c r="Z208">
        <f t="shared" si="82"/>
        <v>0.11351677860463956</v>
      </c>
      <c r="AA208" t="s">
        <v>1170</v>
      </c>
      <c r="AB208">
        <f t="shared" si="70"/>
        <v>4.9040615768855725E-2</v>
      </c>
      <c r="AC208">
        <f t="shared" si="83"/>
        <v>0.14382906421143135</v>
      </c>
      <c r="AD208" t="str">
        <f t="shared" si="84"/>
        <v>No Impact</v>
      </c>
      <c r="AE208">
        <f>F208*(N208*1)*(H208*0.35+J208*0.35+L208*0.3)</f>
        <v>6.1354643425222448E-2</v>
      </c>
      <c r="AF208">
        <f t="shared" si="85"/>
        <v>0.40431557172719701</v>
      </c>
      <c r="AG208" t="str">
        <f t="shared" ref="AG208" si="87">IF(AF208&gt;0.7,"High",IF(AF208&gt;0.3,"Moderate",IF(AF208&gt;0.15,"Low","No Impact")))</f>
        <v>Moderate</v>
      </c>
    </row>
    <row r="209" spans="1:33" customFormat="1" x14ac:dyDescent="0.3">
      <c r="A209">
        <v>303332</v>
      </c>
      <c r="B209" t="s">
        <v>243</v>
      </c>
      <c r="C209" t="s">
        <v>756</v>
      </c>
      <c r="D209" t="s">
        <v>757</v>
      </c>
      <c r="E209" s="21">
        <v>4.8</v>
      </c>
      <c r="F209" s="2">
        <f t="shared" si="72"/>
        <v>0.35555555555555546</v>
      </c>
      <c r="G209" s="10">
        <v>38.383200000000002</v>
      </c>
      <c r="H209">
        <f t="shared" si="73"/>
        <v>0.35033647021712849</v>
      </c>
      <c r="I209" s="12">
        <v>45.000000000000007</v>
      </c>
      <c r="J209" s="2">
        <f t="shared" si="74"/>
        <v>0.10906446921958315</v>
      </c>
      <c r="K209" s="10">
        <v>0</v>
      </c>
      <c r="L209" s="2">
        <f t="shared" si="75"/>
        <v>0</v>
      </c>
      <c r="M209">
        <v>85598</v>
      </c>
      <c r="N209">
        <f t="shared" si="76"/>
        <v>0.40386935600630225</v>
      </c>
      <c r="O209" s="10">
        <v>0.85164215099999996</v>
      </c>
      <c r="P209">
        <f t="shared" si="77"/>
        <v>0.8424381581293634</v>
      </c>
      <c r="Q209" s="23">
        <v>0.26490000000000002</v>
      </c>
      <c r="R209" s="13">
        <f t="shared" si="78"/>
        <v>0.57362494586401047</v>
      </c>
      <c r="S209">
        <f t="shared" si="79"/>
        <v>4.0478089261631565E-2</v>
      </c>
      <c r="T209" s="14">
        <f t="shared" si="67"/>
        <v>8.5487551846396018E-2</v>
      </c>
      <c r="U209" t="str">
        <f t="shared" si="80"/>
        <v>No Impact</v>
      </c>
      <c r="V209">
        <f t="shared" si="81"/>
        <v>3.2794077743996702E-2</v>
      </c>
      <c r="W209">
        <f t="shared" si="68"/>
        <v>5.9530875452657207E-2</v>
      </c>
      <c r="X209" t="s">
        <v>1170</v>
      </c>
      <c r="Y209">
        <f t="shared" si="69"/>
        <v>4.8162100779266442E-2</v>
      </c>
      <c r="Z209">
        <f t="shared" si="82"/>
        <v>0.10649123260702725</v>
      </c>
      <c r="AA209" t="s">
        <v>1170</v>
      </c>
      <c r="AB209">
        <f t="shared" si="70"/>
        <v>3.4007766436526102E-2</v>
      </c>
      <c r="AC209">
        <f t="shared" si="83"/>
        <v>9.9739881846932249E-2</v>
      </c>
      <c r="AD209" t="str">
        <f t="shared" si="84"/>
        <v>No Impact</v>
      </c>
      <c r="AE209">
        <f t="shared" si="71"/>
        <v>2.3089168549563815E-2</v>
      </c>
      <c r="AF209">
        <f t="shared" si="85"/>
        <v>0.1521532823216577</v>
      </c>
      <c r="AG209" t="s">
        <v>1169</v>
      </c>
    </row>
    <row r="210" spans="1:33" customFormat="1" x14ac:dyDescent="0.3">
      <c r="A210">
        <v>303334</v>
      </c>
      <c r="B210" t="s">
        <v>244</v>
      </c>
      <c r="C210" t="s">
        <v>756</v>
      </c>
      <c r="D210" t="s">
        <v>1139</v>
      </c>
      <c r="E210" s="21">
        <v>4.8</v>
      </c>
      <c r="F210" s="2">
        <f t="shared" si="72"/>
        <v>0.35555555555555546</v>
      </c>
      <c r="G210" s="10">
        <v>39.254400000000004</v>
      </c>
      <c r="H210">
        <f t="shared" si="73"/>
        <v>0.35828820777035914</v>
      </c>
      <c r="I210" s="12">
        <v>52.599999999999994</v>
      </c>
      <c r="J210" s="2">
        <f t="shared" si="74"/>
        <v>0.12748424624333496</v>
      </c>
      <c r="K210" s="10">
        <v>0</v>
      </c>
      <c r="L210" s="2">
        <f t="shared" si="75"/>
        <v>0</v>
      </c>
      <c r="M210">
        <v>42892</v>
      </c>
      <c r="N210">
        <f t="shared" si="76"/>
        <v>0.20180929534948641</v>
      </c>
      <c r="O210" s="10">
        <v>0.92763556300000005</v>
      </c>
      <c r="P210">
        <f t="shared" si="77"/>
        <v>0.92612885197069272</v>
      </c>
      <c r="Q210" s="23">
        <v>0.2959</v>
      </c>
      <c r="R210" s="13">
        <f t="shared" si="78"/>
        <v>0.64075357297531399</v>
      </c>
      <c r="S210">
        <f t="shared" si="79"/>
        <v>4.7360339955721281E-2</v>
      </c>
      <c r="T210" s="14">
        <f t="shared" si="67"/>
        <v>0.1000224959053433</v>
      </c>
      <c r="U210" t="str">
        <f t="shared" si="80"/>
        <v>No Impact</v>
      </c>
      <c r="V210">
        <f t="shared" si="81"/>
        <v>3.8734631981081347E-2</v>
      </c>
      <c r="W210">
        <f t="shared" si="68"/>
        <v>7.0314724816202115E-2</v>
      </c>
      <c r="X210" t="s">
        <v>1170</v>
      </c>
      <c r="Y210">
        <f t="shared" si="69"/>
        <v>5.598604793036123E-2</v>
      </c>
      <c r="Z210">
        <f t="shared" si="82"/>
        <v>0.12379076403301113</v>
      </c>
      <c r="AA210" t="s">
        <v>1170</v>
      </c>
      <c r="AB210">
        <f t="shared" si="70"/>
        <v>3.4622834626344627E-2</v>
      </c>
      <c r="AC210">
        <f t="shared" si="83"/>
        <v>0.10154378827797668</v>
      </c>
      <c r="AD210" t="str">
        <f t="shared" si="84"/>
        <v>No Impact</v>
      </c>
      <c r="AE210">
        <f t="shared" si="71"/>
        <v>1.2199711582450853E-2</v>
      </c>
      <c r="AF210">
        <f t="shared" si="85"/>
        <v>8.0393807020933572E-2</v>
      </c>
      <c r="AG210" t="s">
        <v>1170</v>
      </c>
    </row>
    <row r="211" spans="1:33" customFormat="1" x14ac:dyDescent="0.3">
      <c r="A211">
        <v>303336</v>
      </c>
      <c r="B211" t="s">
        <v>258</v>
      </c>
      <c r="C211" t="s">
        <v>756</v>
      </c>
      <c r="D211" t="s">
        <v>758</v>
      </c>
      <c r="E211" s="21">
        <v>4.8</v>
      </c>
      <c r="F211" s="2">
        <f t="shared" si="72"/>
        <v>0.35555555555555546</v>
      </c>
      <c r="G211" s="10">
        <v>38.560319999999997</v>
      </c>
      <c r="H211">
        <f t="shared" si="73"/>
        <v>0.35195310446348771</v>
      </c>
      <c r="I211" s="12">
        <v>57.7</v>
      </c>
      <c r="J211" s="2">
        <f t="shared" si="74"/>
        <v>0.13984488608822104</v>
      </c>
      <c r="K211" s="10">
        <v>0</v>
      </c>
      <c r="L211" s="2">
        <f t="shared" si="75"/>
        <v>0</v>
      </c>
      <c r="M211">
        <v>53557</v>
      </c>
      <c r="N211">
        <f t="shared" si="76"/>
        <v>0.2522698991734208</v>
      </c>
      <c r="O211" s="10">
        <v>0.96333890600000005</v>
      </c>
      <c r="P211">
        <f t="shared" si="77"/>
        <v>0.96544854389510537</v>
      </c>
      <c r="Q211" s="23">
        <v>0.311</v>
      </c>
      <c r="R211" s="13">
        <f t="shared" si="78"/>
        <v>0.67345171069727161</v>
      </c>
      <c r="S211">
        <f t="shared" si="79"/>
        <v>5.0151599675222237E-2</v>
      </c>
      <c r="T211" s="14">
        <f t="shared" si="67"/>
        <v>0.10591748661118613</v>
      </c>
      <c r="U211" t="str">
        <f t="shared" si="80"/>
        <v>No Impact</v>
      </c>
      <c r="V211">
        <f t="shared" si="81"/>
        <v>4.121627353567469E-2</v>
      </c>
      <c r="W211">
        <f t="shared" si="68"/>
        <v>7.4819632545515505E-2</v>
      </c>
      <c r="X211" t="s">
        <v>1170</v>
      </c>
      <c r="Y211">
        <f t="shared" si="69"/>
        <v>5.9086925814769792E-2</v>
      </c>
      <c r="Z211">
        <f t="shared" si="82"/>
        <v>0.13064711586840896</v>
      </c>
      <c r="AA211" t="s">
        <v>1170</v>
      </c>
      <c r="AB211">
        <f t="shared" si="70"/>
        <v>3.7555529610822272E-2</v>
      </c>
      <c r="AC211">
        <f t="shared" si="83"/>
        <v>0.11014496035997275</v>
      </c>
      <c r="AD211" t="str">
        <f t="shared" si="84"/>
        <v>No Impact</v>
      </c>
      <c r="AE211">
        <f t="shared" si="71"/>
        <v>1.5439303225443436E-2</v>
      </c>
      <c r="AF211">
        <f t="shared" si="85"/>
        <v>0.10174210723386806</v>
      </c>
      <c r="AG211" t="s">
        <v>1169</v>
      </c>
    </row>
    <row r="212" spans="1:33" customFormat="1" x14ac:dyDescent="0.3">
      <c r="A212">
        <v>303386</v>
      </c>
      <c r="B212" t="s">
        <v>503</v>
      </c>
      <c r="C212" t="s">
        <v>756</v>
      </c>
      <c r="D212" t="s">
        <v>1140</v>
      </c>
      <c r="E212" s="21">
        <v>4.7</v>
      </c>
      <c r="F212" s="2">
        <f t="shared" si="72"/>
        <v>0.33333333333333331</v>
      </c>
      <c r="G212" s="10">
        <v>36.763559999999998</v>
      </c>
      <c r="H212">
        <f t="shared" si="73"/>
        <v>0.33555346722044055</v>
      </c>
      <c r="I212" s="12">
        <v>47.400000000000006</v>
      </c>
      <c r="J212" s="2">
        <f t="shared" si="74"/>
        <v>0.11488124091129426</v>
      </c>
      <c r="K212" s="10">
        <v>0</v>
      </c>
      <c r="L212" s="2">
        <f t="shared" si="75"/>
        <v>0</v>
      </c>
      <c r="M212">
        <v>93377</v>
      </c>
      <c r="N212">
        <f t="shared" si="76"/>
        <v>0.44067507913301446</v>
      </c>
      <c r="O212" s="10">
        <v>0.95399844199999995</v>
      </c>
      <c r="P212">
        <f t="shared" si="77"/>
        <v>0.95516199546430236</v>
      </c>
      <c r="Q212" s="23">
        <v>0.31040000000000001</v>
      </c>
      <c r="R212" s="13">
        <f t="shared" si="78"/>
        <v>0.67215244694673026</v>
      </c>
      <c r="S212">
        <f t="shared" si="79"/>
        <v>4.2758269511181592E-2</v>
      </c>
      <c r="T212" s="14">
        <f t="shared" si="67"/>
        <v>9.0303170144053757E-2</v>
      </c>
      <c r="U212" t="str">
        <f t="shared" si="80"/>
        <v>No Impact</v>
      </c>
      <c r="V212">
        <f t="shared" si="81"/>
        <v>3.5322092313722873E-2</v>
      </c>
      <c r="W212">
        <f t="shared" si="68"/>
        <v>6.411996381390625E-2</v>
      </c>
      <c r="X212" t="s">
        <v>1170</v>
      </c>
      <c r="Y212">
        <f t="shared" si="69"/>
        <v>5.019444670864031E-2</v>
      </c>
      <c r="Z212">
        <f t="shared" si="82"/>
        <v>0.11098495317986547</v>
      </c>
      <c r="AA212" t="s">
        <v>1170</v>
      </c>
      <c r="AB212">
        <f t="shared" si="70"/>
        <v>3.5526293140611946E-2</v>
      </c>
      <c r="AC212">
        <f t="shared" si="83"/>
        <v>0.10419350200248179</v>
      </c>
      <c r="AD212" t="str">
        <f t="shared" si="84"/>
        <v>No Impact</v>
      </c>
      <c r="AE212">
        <f t="shared" si="71"/>
        <v>2.3157790909190987E-2</v>
      </c>
      <c r="AF212">
        <f t="shared" si="85"/>
        <v>0.15260549077756283</v>
      </c>
      <c r="AG212" t="s">
        <v>1169</v>
      </c>
    </row>
    <row r="213" spans="1:33" customFormat="1" x14ac:dyDescent="0.3">
      <c r="A213">
        <v>303532</v>
      </c>
      <c r="B213" t="s">
        <v>191</v>
      </c>
      <c r="C213" t="s">
        <v>760</v>
      </c>
      <c r="D213" t="s">
        <v>759</v>
      </c>
      <c r="E213" s="21">
        <v>6</v>
      </c>
      <c r="F213" s="2">
        <f t="shared" si="72"/>
        <v>0.62222222222222223</v>
      </c>
      <c r="G213" s="10">
        <v>56.951280000000004</v>
      </c>
      <c r="H213">
        <f t="shared" si="73"/>
        <v>0.51981362704379375</v>
      </c>
      <c r="I213" s="12">
        <v>108.5</v>
      </c>
      <c r="J213" s="2">
        <f t="shared" si="74"/>
        <v>0.26296655356277271</v>
      </c>
      <c r="K213" s="10">
        <v>0</v>
      </c>
      <c r="L213" s="2">
        <f t="shared" si="75"/>
        <v>0</v>
      </c>
      <c r="M213">
        <v>31655</v>
      </c>
      <c r="N213">
        <f t="shared" si="76"/>
        <v>0.14864231877475126</v>
      </c>
      <c r="O213" s="10">
        <v>0.81147459</v>
      </c>
      <c r="P213">
        <f t="shared" si="77"/>
        <v>0.79820207290129253</v>
      </c>
      <c r="Q213" s="23">
        <v>0.25580000000000003</v>
      </c>
      <c r="R213" s="13">
        <f t="shared" si="78"/>
        <v>0.55391944564746654</v>
      </c>
      <c r="S213">
        <f t="shared" si="79"/>
        <v>0.11524951644019887</v>
      </c>
      <c r="T213" s="14">
        <f t="shared" si="67"/>
        <v>0.24340079266766376</v>
      </c>
      <c r="U213" t="str">
        <f t="shared" si="80"/>
        <v>Low</v>
      </c>
      <c r="V213">
        <f t="shared" si="81"/>
        <v>9.4427826762512171E-2</v>
      </c>
      <c r="W213">
        <f t="shared" si="68"/>
        <v>0.17141421808372867</v>
      </c>
      <c r="X213" t="s">
        <v>1170</v>
      </c>
      <c r="Y213">
        <f t="shared" si="69"/>
        <v>0.13607120611788562</v>
      </c>
      <c r="Z213">
        <f t="shared" si="82"/>
        <v>0.30086707654697137</v>
      </c>
      <c r="AA213" t="str">
        <f t="shared" si="86"/>
        <v>Moderate</v>
      </c>
      <c r="AB213">
        <f t="shared" si="70"/>
        <v>8.2739881551076852E-2</v>
      </c>
      <c r="AC213">
        <f t="shared" si="83"/>
        <v>0.24266415806331812</v>
      </c>
      <c r="AD213" t="str">
        <f t="shared" si="84"/>
        <v>Low</v>
      </c>
      <c r="AE213">
        <f t="shared" si="71"/>
        <v>2.533937242523401E-2</v>
      </c>
      <c r="AF213">
        <f t="shared" si="85"/>
        <v>0.16698170305240781</v>
      </c>
      <c r="AG213" t="s">
        <v>1169</v>
      </c>
    </row>
    <row r="214" spans="1:33" customFormat="1" x14ac:dyDescent="0.3">
      <c r="A214">
        <v>303543</v>
      </c>
      <c r="B214" t="s">
        <v>262</v>
      </c>
      <c r="C214" t="s">
        <v>760</v>
      </c>
      <c r="D214" t="s">
        <v>761</v>
      </c>
      <c r="E214" s="21">
        <v>6</v>
      </c>
      <c r="F214" s="2">
        <f t="shared" si="72"/>
        <v>0.62222222222222223</v>
      </c>
      <c r="G214" s="10">
        <v>52.727040000000002</v>
      </c>
      <c r="H214">
        <f t="shared" si="73"/>
        <v>0.4812575574365176</v>
      </c>
      <c r="I214" s="12">
        <v>99.4</v>
      </c>
      <c r="J214" s="2">
        <f t="shared" si="74"/>
        <v>0.24091129423170143</v>
      </c>
      <c r="K214" s="10">
        <v>0</v>
      </c>
      <c r="L214" s="2">
        <f t="shared" si="75"/>
        <v>0</v>
      </c>
      <c r="M214">
        <v>27057</v>
      </c>
      <c r="N214">
        <f t="shared" si="76"/>
        <v>0.1268872455086987</v>
      </c>
      <c r="O214" s="10">
        <v>0.94520886900000001</v>
      </c>
      <c r="P214">
        <f t="shared" si="77"/>
        <v>0.94548213712422668</v>
      </c>
      <c r="Q214" s="23">
        <v>0.28220000000000001</v>
      </c>
      <c r="R214" s="13">
        <f t="shared" si="78"/>
        <v>0.61108705067128632</v>
      </c>
      <c r="S214">
        <f t="shared" si="79"/>
        <v>0.12240262969272996</v>
      </c>
      <c r="T214" s="14">
        <f t="shared" si="67"/>
        <v>0.25850778391140622</v>
      </c>
      <c r="U214" t="str">
        <f t="shared" si="80"/>
        <v>Low</v>
      </c>
      <c r="V214">
        <f t="shared" si="81"/>
        <v>9.6107082884344344E-2</v>
      </c>
      <c r="W214">
        <f t="shared" si="68"/>
        <v>0.17446256076993832</v>
      </c>
      <c r="X214" t="s">
        <v>1170</v>
      </c>
      <c r="Y214">
        <f t="shared" si="69"/>
        <v>0.14869817650111555</v>
      </c>
      <c r="Z214">
        <f t="shared" si="82"/>
        <v>0.32878657379575943</v>
      </c>
      <c r="AA214" t="str">
        <f t="shared" si="86"/>
        <v>Moderate</v>
      </c>
      <c r="AB214">
        <f t="shared" si="70"/>
        <v>8.5231480319513775E-2</v>
      </c>
      <c r="AC214">
        <f t="shared" si="83"/>
        <v>0.24997165846143146</v>
      </c>
      <c r="AD214" t="str">
        <f t="shared" si="84"/>
        <v>Low</v>
      </c>
      <c r="AE214">
        <f t="shared" si="71"/>
        <v>1.9955852456167357E-2</v>
      </c>
      <c r="AF214">
        <f t="shared" si="85"/>
        <v>0.13150531801154611</v>
      </c>
      <c r="AG214" t="s">
        <v>1169</v>
      </c>
    </row>
    <row r="215" spans="1:33" customFormat="1" x14ac:dyDescent="0.3">
      <c r="A215">
        <v>303551</v>
      </c>
      <c r="B215" t="s">
        <v>284</v>
      </c>
      <c r="C215" t="s">
        <v>760</v>
      </c>
      <c r="D215" t="s">
        <v>1141</v>
      </c>
      <c r="E215" s="21">
        <v>5.9</v>
      </c>
      <c r="F215" s="2">
        <f t="shared" si="72"/>
        <v>0.60000000000000009</v>
      </c>
      <c r="G215" s="10">
        <v>53.558999999999997</v>
      </c>
      <c r="H215">
        <f t="shared" si="73"/>
        <v>0.4888511382156564</v>
      </c>
      <c r="I215" s="12">
        <v>99.799999999999983</v>
      </c>
      <c r="J215" s="2">
        <f t="shared" si="74"/>
        <v>0.2418807561803199</v>
      </c>
      <c r="K215" s="10">
        <v>0</v>
      </c>
      <c r="L215" s="2">
        <f t="shared" si="75"/>
        <v>0</v>
      </c>
      <c r="M215">
        <v>16777</v>
      </c>
      <c r="N215">
        <f t="shared" si="76"/>
        <v>7.8248238728572575E-2</v>
      </c>
      <c r="O215" s="10">
        <v>0.68702795100000003</v>
      </c>
      <c r="P215">
        <f t="shared" si="77"/>
        <v>0.66115038262935932</v>
      </c>
      <c r="Q215" s="23">
        <v>0.248</v>
      </c>
      <c r="R215" s="13">
        <f t="shared" si="78"/>
        <v>0.53702901689042881</v>
      </c>
      <c r="S215">
        <f t="shared" si="79"/>
        <v>9.1932529755919465E-2</v>
      </c>
      <c r="T215" s="14">
        <f t="shared" si="67"/>
        <v>0.19415656833705819</v>
      </c>
      <c r="U215" t="str">
        <f t="shared" si="80"/>
        <v>Low</v>
      </c>
      <c r="V215">
        <f t="shared" si="81"/>
        <v>8.2409088480169895E-2</v>
      </c>
      <c r="W215">
        <f t="shared" si="68"/>
        <v>0.14959668086345485</v>
      </c>
      <c r="X215" t="s">
        <v>1170</v>
      </c>
      <c r="Y215">
        <f t="shared" si="69"/>
        <v>0.10145597103166905</v>
      </c>
      <c r="Z215">
        <f t="shared" si="82"/>
        <v>0.2243293219293381</v>
      </c>
      <c r="AA215" t="str">
        <f t="shared" si="86"/>
        <v>Low</v>
      </c>
      <c r="AB215">
        <f t="shared" si="70"/>
        <v>6.3482590830927138E-2</v>
      </c>
      <c r="AC215">
        <f t="shared" si="83"/>
        <v>0.18618529742703696</v>
      </c>
      <c r="AD215" t="str">
        <f t="shared" si="84"/>
        <v>Low</v>
      </c>
      <c r="AE215">
        <f t="shared" si="71"/>
        <v>1.2007481581048475E-2</v>
      </c>
      <c r="AF215">
        <f t="shared" si="85"/>
        <v>7.912704743141942E-2</v>
      </c>
      <c r="AG215" t="s">
        <v>1170</v>
      </c>
    </row>
    <row r="216" spans="1:33" customFormat="1" x14ac:dyDescent="0.3">
      <c r="A216">
        <v>303558</v>
      </c>
      <c r="B216" t="s">
        <v>353</v>
      </c>
      <c r="C216" t="s">
        <v>760</v>
      </c>
      <c r="D216" t="s">
        <v>762</v>
      </c>
      <c r="E216" s="21">
        <v>6</v>
      </c>
      <c r="F216" s="2">
        <f t="shared" si="72"/>
        <v>0.62222222222222223</v>
      </c>
      <c r="G216" s="10">
        <v>51.167160000000003</v>
      </c>
      <c r="H216">
        <f t="shared" si="73"/>
        <v>0.46702000420587775</v>
      </c>
      <c r="I216" s="12">
        <v>91.7</v>
      </c>
      <c r="J216" s="2">
        <f t="shared" si="74"/>
        <v>0.22224915172079499</v>
      </c>
      <c r="K216" s="10">
        <v>0</v>
      </c>
      <c r="L216" s="2">
        <f t="shared" si="75"/>
        <v>0</v>
      </c>
      <c r="M216">
        <v>27947</v>
      </c>
      <c r="N216">
        <f t="shared" si="76"/>
        <v>0.13109821010347616</v>
      </c>
      <c r="O216" s="10">
        <v>0.91718571999999998</v>
      </c>
      <c r="P216">
        <f t="shared" si="77"/>
        <v>0.91462055686738875</v>
      </c>
      <c r="Q216" s="23">
        <v>0.28560000000000002</v>
      </c>
      <c r="R216" s="13">
        <f t="shared" si="78"/>
        <v>0.61844954525768736</v>
      </c>
      <c r="S216">
        <f t="shared" si="79"/>
        <v>0.11506266406253396</v>
      </c>
      <c r="T216" s="14">
        <f t="shared" si="67"/>
        <v>0.24300617047539558</v>
      </c>
      <c r="U216" t="str">
        <f t="shared" si="80"/>
        <v>Low</v>
      </c>
      <c r="V216">
        <f t="shared" si="81"/>
        <v>9.28339182493646E-2</v>
      </c>
      <c r="W216">
        <f t="shared" si="68"/>
        <v>0.16852080635494515</v>
      </c>
      <c r="X216" t="s">
        <v>1170</v>
      </c>
      <c r="Y216">
        <f t="shared" si="69"/>
        <v>0.13729140987570335</v>
      </c>
      <c r="Z216">
        <f t="shared" si="82"/>
        <v>0.30356506936911332</v>
      </c>
      <c r="AA216" t="str">
        <f t="shared" si="86"/>
        <v>Moderate</v>
      </c>
      <c r="AB216">
        <f t="shared" si="70"/>
        <v>8.0566883183140064E-2</v>
      </c>
      <c r="AC216">
        <f t="shared" si="83"/>
        <v>0.23629106676147926</v>
      </c>
      <c r="AD216" t="str">
        <f t="shared" si="84"/>
        <v>Low</v>
      </c>
      <c r="AE216">
        <f t="shared" si="71"/>
        <v>1.9678825237575599E-2</v>
      </c>
      <c r="AF216">
        <f t="shared" si="85"/>
        <v>0.12967976069402321</v>
      </c>
      <c r="AG216" t="s">
        <v>1169</v>
      </c>
    </row>
    <row r="217" spans="1:33" customFormat="1" x14ac:dyDescent="0.3">
      <c r="A217">
        <v>303591</v>
      </c>
      <c r="B217" t="s">
        <v>530</v>
      </c>
      <c r="C217" t="s">
        <v>760</v>
      </c>
      <c r="D217" t="s">
        <v>1142</v>
      </c>
      <c r="E217" s="21">
        <v>6</v>
      </c>
      <c r="F217" s="2">
        <f t="shared" si="72"/>
        <v>0.62222222222222223</v>
      </c>
      <c r="G217" s="10">
        <v>56.951280000000004</v>
      </c>
      <c r="H217">
        <f t="shared" si="73"/>
        <v>0.51981362704379375</v>
      </c>
      <c r="I217" s="12">
        <v>108.00000000000001</v>
      </c>
      <c r="J217" s="2">
        <f t="shared" si="74"/>
        <v>0.26175472612699957</v>
      </c>
      <c r="K217" s="10">
        <v>0</v>
      </c>
      <c r="L217" s="2">
        <f t="shared" si="75"/>
        <v>0</v>
      </c>
      <c r="M217">
        <v>5557</v>
      </c>
      <c r="N217">
        <f t="shared" si="76"/>
        <v>2.5161696309018561E-2</v>
      </c>
      <c r="O217" s="10">
        <v>0.32568014200000001</v>
      </c>
      <c r="P217">
        <f t="shared" si="77"/>
        <v>0.26320208609473239</v>
      </c>
      <c r="Q217" s="23">
        <v>0.24540000000000001</v>
      </c>
      <c r="R217" s="13">
        <f t="shared" si="78"/>
        <v>0.53139887397141627</v>
      </c>
      <c r="S217">
        <f t="shared" si="79"/>
        <v>6.7623807167899397E-2</v>
      </c>
      <c r="T217" s="14">
        <f t="shared" si="67"/>
        <v>0.14281785100948882</v>
      </c>
      <c r="U217" t="str">
        <f t="shared" si="80"/>
        <v>No Impact</v>
      </c>
      <c r="V217">
        <f t="shared" si="81"/>
        <v>9.0448455989004611E-2</v>
      </c>
      <c r="W217">
        <f t="shared" si="68"/>
        <v>0.16419049227119262</v>
      </c>
      <c r="X217" t="s">
        <v>1170</v>
      </c>
      <c r="Y217">
        <f t="shared" si="69"/>
        <v>4.4799158346794182E-2</v>
      </c>
      <c r="Z217">
        <f t="shared" si="82"/>
        <v>9.9055429786428187E-2</v>
      </c>
      <c r="AA217" t="s">
        <v>1170</v>
      </c>
      <c r="AB217">
        <f t="shared" si="70"/>
        <v>4.659566173190044E-2</v>
      </c>
      <c r="AC217">
        <f t="shared" si="83"/>
        <v>0.13665836609392185</v>
      </c>
      <c r="AD217" t="str">
        <f t="shared" si="84"/>
        <v>No Impact</v>
      </c>
      <c r="AE217">
        <f t="shared" si="71"/>
        <v>4.2827275191730666E-3</v>
      </c>
      <c r="AF217">
        <f t="shared" si="85"/>
        <v>2.8222369633305069E-2</v>
      </c>
      <c r="AG217" t="s">
        <v>1170</v>
      </c>
    </row>
    <row r="218" spans="1:33" customFormat="1" x14ac:dyDescent="0.3">
      <c r="A218">
        <v>304802</v>
      </c>
      <c r="B218" t="s">
        <v>19</v>
      </c>
      <c r="C218" t="s">
        <v>764</v>
      </c>
      <c r="D218" t="s">
        <v>763</v>
      </c>
      <c r="E218" s="21">
        <v>6.2</v>
      </c>
      <c r="F218" s="2">
        <f t="shared" si="72"/>
        <v>0.66666666666666663</v>
      </c>
      <c r="G218" s="10">
        <v>35.0334</v>
      </c>
      <c r="H218">
        <f t="shared" si="73"/>
        <v>0.31976171074076021</v>
      </c>
      <c r="I218" s="12">
        <v>48.6</v>
      </c>
      <c r="J218" s="2">
        <f t="shared" si="74"/>
        <v>0.1177896267571498</v>
      </c>
      <c r="K218" s="10">
        <v>0</v>
      </c>
      <c r="L218" s="2">
        <f t="shared" si="75"/>
        <v>0</v>
      </c>
      <c r="M218">
        <v>7200</v>
      </c>
      <c r="N218">
        <f t="shared" si="76"/>
        <v>3.2935420836231327E-2</v>
      </c>
      <c r="O218" s="10">
        <v>0.209250879</v>
      </c>
      <c r="P218">
        <f t="shared" si="77"/>
        <v>0.13497984225200838</v>
      </c>
      <c r="Q218" s="23">
        <v>0.1673</v>
      </c>
      <c r="R218" s="13">
        <f t="shared" si="78"/>
        <v>0.36227804244261586</v>
      </c>
      <c r="S218">
        <f t="shared" si="79"/>
        <v>2.5383849461776669E-2</v>
      </c>
      <c r="T218" s="14">
        <f t="shared" si="67"/>
        <v>5.3609327577170268E-2</v>
      </c>
      <c r="U218" t="str">
        <f t="shared" si="80"/>
        <v>No Impact</v>
      </c>
      <c r="V218">
        <f t="shared" si="81"/>
        <v>3.6986889803941263E-2</v>
      </c>
      <c r="W218">
        <f t="shared" si="68"/>
        <v>6.7142059840443538E-2</v>
      </c>
      <c r="X218" t="s">
        <v>1170</v>
      </c>
      <c r="Y218">
        <f t="shared" si="69"/>
        <v>1.3780809119612068E-2</v>
      </c>
      <c r="Z218">
        <f t="shared" si="82"/>
        <v>3.0470750356085343E-2</v>
      </c>
      <c r="AA218" t="s">
        <v>1170</v>
      </c>
      <c r="AB218">
        <f t="shared" si="70"/>
        <v>1.8256547391362277E-2</v>
      </c>
      <c r="AC218">
        <f t="shared" si="83"/>
        <v>5.3543824559781898E-2</v>
      </c>
      <c r="AD218" t="str">
        <f t="shared" si="84"/>
        <v>No Impact</v>
      </c>
      <c r="AE218">
        <f t="shared" si="71"/>
        <v>3.3625520688548944E-3</v>
      </c>
      <c r="AF218">
        <f t="shared" si="85"/>
        <v>2.2158586315288439E-2</v>
      </c>
      <c r="AG218" t="s">
        <v>1170</v>
      </c>
    </row>
    <row r="219" spans="1:33" customFormat="1" x14ac:dyDescent="0.3">
      <c r="A219">
        <v>304806</v>
      </c>
      <c r="B219" t="s">
        <v>31</v>
      </c>
      <c r="C219" t="s">
        <v>764</v>
      </c>
      <c r="D219" t="s">
        <v>765</v>
      </c>
      <c r="E219" s="21">
        <v>6.3</v>
      </c>
      <c r="F219" s="2">
        <f t="shared" si="72"/>
        <v>0.68888888888888877</v>
      </c>
      <c r="G219" s="10">
        <v>37.228320000000004</v>
      </c>
      <c r="H219">
        <f t="shared" si="73"/>
        <v>0.33979548919615166</v>
      </c>
      <c r="I219" s="12">
        <v>47.1</v>
      </c>
      <c r="J219" s="2">
        <f t="shared" si="74"/>
        <v>0.11415414444983035</v>
      </c>
      <c r="K219" s="10">
        <v>0</v>
      </c>
      <c r="L219" s="2">
        <f t="shared" si="75"/>
        <v>0</v>
      </c>
      <c r="M219">
        <v>27557</v>
      </c>
      <c r="N219">
        <f t="shared" si="76"/>
        <v>0.12925295595520292</v>
      </c>
      <c r="O219" s="10">
        <v>0.51745865099999999</v>
      </c>
      <c r="P219">
        <f t="shared" si="77"/>
        <v>0.47440561097483103</v>
      </c>
      <c r="Q219" s="23">
        <v>0.30230000000000001</v>
      </c>
      <c r="R219" s="13">
        <f t="shared" si="78"/>
        <v>0.65461238631442187</v>
      </c>
      <c r="S219">
        <f t="shared" si="79"/>
        <v>6.1786808586706293E-2</v>
      </c>
      <c r="T219" s="14">
        <f t="shared" si="67"/>
        <v>0.13049042330874333</v>
      </c>
      <c r="U219" t="str">
        <f t="shared" si="80"/>
        <v>No Impact</v>
      </c>
      <c r="V219">
        <f t="shared" si="81"/>
        <v>7.1648831655132431E-2</v>
      </c>
      <c r="W219">
        <f t="shared" si="68"/>
        <v>0.13006365682507728</v>
      </c>
      <c r="X219" t="s">
        <v>1170</v>
      </c>
      <c r="Y219">
        <f t="shared" si="69"/>
        <v>5.1924785518280156E-2</v>
      </c>
      <c r="Z219">
        <f t="shared" si="82"/>
        <v>0.11481090573768349</v>
      </c>
      <c r="AA219" t="s">
        <v>1170</v>
      </c>
      <c r="AB219">
        <f t="shared" si="70"/>
        <v>4.5605988418855617E-2</v>
      </c>
      <c r="AC219">
        <f t="shared" si="83"/>
        <v>0.13375579677951568</v>
      </c>
      <c r="AD219" t="str">
        <f t="shared" si="84"/>
        <v>No Impact</v>
      </c>
      <c r="AE219">
        <f t="shared" si="71"/>
        <v>1.4147033383072043E-2</v>
      </c>
      <c r="AF219">
        <f t="shared" si="85"/>
        <v>9.3226291788196095E-2</v>
      </c>
      <c r="AG219" t="s">
        <v>1170</v>
      </c>
    </row>
    <row r="220" spans="1:33" customFormat="1" x14ac:dyDescent="0.3">
      <c r="A220">
        <v>304811</v>
      </c>
      <c r="B220" t="s">
        <v>64</v>
      </c>
      <c r="C220" t="s">
        <v>764</v>
      </c>
      <c r="D220" t="s">
        <v>766</v>
      </c>
      <c r="E220" s="21">
        <v>6.2</v>
      </c>
      <c r="F220" s="2">
        <f t="shared" si="72"/>
        <v>0.66666666666666663</v>
      </c>
      <c r="G220" s="10">
        <v>36.411480000000005</v>
      </c>
      <c r="H220">
        <f t="shared" si="73"/>
        <v>0.33233991377950695</v>
      </c>
      <c r="I220" s="12">
        <v>53.1</v>
      </c>
      <c r="J220" s="2">
        <f t="shared" si="74"/>
        <v>0.1286960736791081</v>
      </c>
      <c r="K220" s="10">
        <v>0</v>
      </c>
      <c r="L220" s="2">
        <f t="shared" si="75"/>
        <v>0</v>
      </c>
      <c r="M220">
        <v>22574</v>
      </c>
      <c r="N220">
        <f t="shared" si="76"/>
        <v>0.10567628564534215</v>
      </c>
      <c r="O220" s="10">
        <v>0.66802993899999996</v>
      </c>
      <c r="P220">
        <f t="shared" si="77"/>
        <v>0.64022808470850934</v>
      </c>
      <c r="Q220" s="23">
        <v>0.28449999999999998</v>
      </c>
      <c r="R220" s="13">
        <f t="shared" si="78"/>
        <v>0.61606756171502808</v>
      </c>
      <c r="S220">
        <f t="shared" si="79"/>
        <v>6.7573042120364038E-2</v>
      </c>
      <c r="T220" s="14">
        <f t="shared" si="67"/>
        <v>0.14271063795392402</v>
      </c>
      <c r="U220" t="str">
        <f t="shared" si="80"/>
        <v>No Impact</v>
      </c>
      <c r="V220">
        <f t="shared" si="81"/>
        <v>6.6273507219852146E-2</v>
      </c>
      <c r="W220">
        <f t="shared" si="68"/>
        <v>0.12030586543443894</v>
      </c>
      <c r="X220" t="s">
        <v>1170</v>
      </c>
      <c r="Y220">
        <f t="shared" si="69"/>
        <v>6.887257702087593E-2</v>
      </c>
      <c r="Z220">
        <f t="shared" si="82"/>
        <v>0.15228417160185195</v>
      </c>
      <c r="AA220" t="s">
        <v>1170</v>
      </c>
      <c r="AB220">
        <f t="shared" si="70"/>
        <v>4.7836347240660174E-2</v>
      </c>
      <c r="AC220">
        <f t="shared" si="83"/>
        <v>0.1402971180326551</v>
      </c>
      <c r="AD220" t="str">
        <f t="shared" si="84"/>
        <v>No Impact</v>
      </c>
      <c r="AE220">
        <f t="shared" si="71"/>
        <v>1.1368133164140428E-2</v>
      </c>
      <c r="AF220">
        <f t="shared" si="85"/>
        <v>7.4913861496599218E-2</v>
      </c>
      <c r="AG220" t="s">
        <v>1170</v>
      </c>
    </row>
    <row r="221" spans="1:33" customFormat="1" x14ac:dyDescent="0.3">
      <c r="A221">
        <v>304827</v>
      </c>
      <c r="B221" t="s">
        <v>212</v>
      </c>
      <c r="C221" t="s">
        <v>764</v>
      </c>
      <c r="D221" t="s">
        <v>767</v>
      </c>
      <c r="E221" s="21">
        <v>6.3</v>
      </c>
      <c r="F221" s="2">
        <f t="shared" si="72"/>
        <v>0.68888888888888877</v>
      </c>
      <c r="G221" s="10">
        <v>33.000480000000003</v>
      </c>
      <c r="H221">
        <f t="shared" si="73"/>
        <v>0.30120656116923405</v>
      </c>
      <c r="I221" s="12">
        <v>24.400000000000002</v>
      </c>
      <c r="J221" s="2">
        <f t="shared" si="74"/>
        <v>5.9137178865729528E-2</v>
      </c>
      <c r="K221" s="10">
        <v>0</v>
      </c>
      <c r="L221" s="2">
        <f t="shared" si="75"/>
        <v>0</v>
      </c>
      <c r="M221">
        <v>17728</v>
      </c>
      <c r="N221">
        <f t="shared" si="76"/>
        <v>8.2747819997823546E-2</v>
      </c>
      <c r="O221" s="10">
        <v>0.89023456000000001</v>
      </c>
      <c r="P221">
        <f t="shared" si="77"/>
        <v>0.88493954609465653</v>
      </c>
      <c r="Q221" s="23">
        <v>0.2923</v>
      </c>
      <c r="R221" s="13">
        <f t="shared" si="78"/>
        <v>0.6329579904720658</v>
      </c>
      <c r="S221">
        <f t="shared" si="79"/>
        <v>6.5939654413132986E-2</v>
      </c>
      <c r="T221" s="14">
        <f t="shared" si="67"/>
        <v>0.13926101078885086</v>
      </c>
      <c r="U221" t="str">
        <f t="shared" si="80"/>
        <v>No Impact</v>
      </c>
      <c r="V221">
        <f t="shared" si="81"/>
        <v>5.4993212841181131E-2</v>
      </c>
      <c r="W221">
        <f t="shared" si="68"/>
        <v>9.9828820616525038E-2</v>
      </c>
      <c r="X221" t="s">
        <v>1170</v>
      </c>
      <c r="Y221">
        <f t="shared" si="69"/>
        <v>7.6886095985084849E-2</v>
      </c>
      <c r="Z221">
        <f t="shared" si="82"/>
        <v>0.17000286530936912</v>
      </c>
      <c r="AA221" t="s">
        <v>1170</v>
      </c>
      <c r="AB221">
        <f t="shared" si="70"/>
        <v>4.4829732396963896E-2</v>
      </c>
      <c r="AC221">
        <f t="shared" si="83"/>
        <v>0.13147914964801538</v>
      </c>
      <c r="AD221" t="str">
        <f t="shared" si="84"/>
        <v>No Impact</v>
      </c>
      <c r="AE221">
        <f t="shared" si="71"/>
        <v>7.1893688772144259E-3</v>
      </c>
      <c r="AF221">
        <f t="shared" si="85"/>
        <v>4.7376590029267675E-2</v>
      </c>
      <c r="AG221" t="s">
        <v>1170</v>
      </c>
    </row>
    <row r="222" spans="1:33" customFormat="1" x14ac:dyDescent="0.3">
      <c r="A222">
        <v>304833</v>
      </c>
      <c r="B222" t="s">
        <v>216</v>
      </c>
      <c r="C222" t="s">
        <v>764</v>
      </c>
      <c r="D222" t="s">
        <v>768</v>
      </c>
      <c r="E222" s="21">
        <v>5.8</v>
      </c>
      <c r="F222" s="2">
        <f t="shared" si="72"/>
        <v>0.57777777777777772</v>
      </c>
      <c r="G222" s="10">
        <v>32.810040000000001</v>
      </c>
      <c r="H222">
        <f t="shared" si="73"/>
        <v>0.2994683507702014</v>
      </c>
      <c r="I222" s="12">
        <v>34.300000000000004</v>
      </c>
      <c r="J222" s="2">
        <f t="shared" si="74"/>
        <v>8.313136209403782E-2</v>
      </c>
      <c r="K222" s="10">
        <v>0</v>
      </c>
      <c r="L222" s="2">
        <f t="shared" si="75"/>
        <v>0</v>
      </c>
      <c r="M222">
        <v>5943</v>
      </c>
      <c r="N222">
        <f t="shared" si="76"/>
        <v>2.6988024773719796E-2</v>
      </c>
      <c r="O222" s="10">
        <v>8.6685533999999995E-2</v>
      </c>
      <c r="P222">
        <f t="shared" si="77"/>
        <v>0</v>
      </c>
      <c r="Q222" s="23">
        <v>0.12609999999999999</v>
      </c>
      <c r="R222" s="13">
        <f t="shared" si="78"/>
        <v>0.27306193157210912</v>
      </c>
      <c r="S222">
        <f t="shared" si="79"/>
        <v>1.0563423235379506E-2</v>
      </c>
      <c r="T222" s="14">
        <f t="shared" si="67"/>
        <v>2.2309382878057588E-2</v>
      </c>
      <c r="U222" t="str">
        <f t="shared" si="80"/>
        <v>No Impact</v>
      </c>
      <c r="V222">
        <f t="shared" si="81"/>
        <v>2.1126846470759013E-2</v>
      </c>
      <c r="W222">
        <f t="shared" si="68"/>
        <v>3.8351426613556783E-2</v>
      </c>
      <c r="X222" t="s">
        <v>1170</v>
      </c>
      <c r="Y222">
        <f t="shared" si="69"/>
        <v>0</v>
      </c>
      <c r="Z222">
        <f t="shared" si="82"/>
        <v>0</v>
      </c>
      <c r="AA222" t="s">
        <v>1170</v>
      </c>
      <c r="AB222">
        <f t="shared" si="70"/>
        <v>8.125220032221124E-3</v>
      </c>
      <c r="AC222">
        <f t="shared" si="83"/>
        <v>2.3830100324484741E-2</v>
      </c>
      <c r="AD222" t="str">
        <f t="shared" si="84"/>
        <v>No Impact</v>
      </c>
      <c r="AE222">
        <f t="shared" si="71"/>
        <v>2.0880679070156291E-3</v>
      </c>
      <c r="AF222">
        <f t="shared" si="85"/>
        <v>1.3759975162420642E-2</v>
      </c>
      <c r="AG222" t="s">
        <v>1170</v>
      </c>
    </row>
    <row r="223" spans="1:33" customFormat="1" x14ac:dyDescent="0.3">
      <c r="A223">
        <v>304842</v>
      </c>
      <c r="B223" t="s">
        <v>260</v>
      </c>
      <c r="C223" t="s">
        <v>764</v>
      </c>
      <c r="D223" t="s">
        <v>769</v>
      </c>
      <c r="E223" s="21">
        <v>5.7</v>
      </c>
      <c r="F223" s="2">
        <f t="shared" si="72"/>
        <v>0.55555555555555558</v>
      </c>
      <c r="G223" s="10">
        <v>32.810040000000001</v>
      </c>
      <c r="H223">
        <f t="shared" si="73"/>
        <v>0.2994683507702014</v>
      </c>
      <c r="I223" s="12">
        <v>33</v>
      </c>
      <c r="J223" s="2">
        <f t="shared" si="74"/>
        <v>7.9980610761027637E-2</v>
      </c>
      <c r="K223" s="10">
        <v>0</v>
      </c>
      <c r="L223" s="2">
        <f t="shared" si="75"/>
        <v>0</v>
      </c>
      <c r="M223">
        <v>9163</v>
      </c>
      <c r="N223">
        <f t="shared" si="76"/>
        <v>4.222320004920678E-2</v>
      </c>
      <c r="O223" s="10">
        <v>0.60753610700000005</v>
      </c>
      <c r="P223">
        <f t="shared" si="77"/>
        <v>0.57360690479358734</v>
      </c>
      <c r="Q223" s="23">
        <v>0.27450000000000002</v>
      </c>
      <c r="R223" s="13">
        <f t="shared" si="78"/>
        <v>0.59441316587267223</v>
      </c>
      <c r="S223">
        <f t="shared" si="79"/>
        <v>4.3089278056022425E-2</v>
      </c>
      <c r="T223" s="14">
        <f t="shared" si="67"/>
        <v>9.1002242423769863E-2</v>
      </c>
      <c r="U223" t="str">
        <f t="shared" si="80"/>
        <v>No Impact</v>
      </c>
      <c r="V223">
        <f t="shared" si="81"/>
        <v>4.3856839154892489E-2</v>
      </c>
      <c r="W223">
        <f t="shared" si="68"/>
        <v>7.9613034092872625E-2</v>
      </c>
      <c r="X223" t="s">
        <v>1170</v>
      </c>
      <c r="Y223">
        <f t="shared" si="69"/>
        <v>4.232171695715236E-2</v>
      </c>
      <c r="Z223">
        <f t="shared" si="82"/>
        <v>9.3577558534429145E-2</v>
      </c>
      <c r="AA223" t="s">
        <v>1170</v>
      </c>
      <c r="AB223">
        <f t="shared" si="70"/>
        <v>2.9136764237397861E-2</v>
      </c>
      <c r="AC223">
        <f t="shared" si="83"/>
        <v>8.5453933820207745E-2</v>
      </c>
      <c r="AD223" t="str">
        <f t="shared" si="84"/>
        <v>No Impact</v>
      </c>
      <c r="AE223">
        <f t="shared" si="71"/>
        <v>3.1153012743993878E-3</v>
      </c>
      <c r="AF223">
        <f t="shared" si="85"/>
        <v>2.0529250037878241E-2</v>
      </c>
      <c r="AG223" t="s">
        <v>1170</v>
      </c>
    </row>
    <row r="224" spans="1:33" customFormat="1" x14ac:dyDescent="0.3">
      <c r="A224">
        <v>304845</v>
      </c>
      <c r="B224" t="s">
        <v>263</v>
      </c>
      <c r="C224" t="s">
        <v>764</v>
      </c>
      <c r="D224" t="s">
        <v>770</v>
      </c>
      <c r="E224" s="21">
        <v>6.3</v>
      </c>
      <c r="F224" s="2">
        <f t="shared" si="72"/>
        <v>0.68888888888888877</v>
      </c>
      <c r="G224" s="10">
        <v>38.560319999999997</v>
      </c>
      <c r="H224">
        <f t="shared" si="73"/>
        <v>0.35195310446348771</v>
      </c>
      <c r="I224" s="12">
        <v>57.800000000000004</v>
      </c>
      <c r="J224" s="2">
        <f t="shared" si="74"/>
        <v>0.14008725157537569</v>
      </c>
      <c r="K224" s="10">
        <v>0</v>
      </c>
      <c r="L224" s="2">
        <f t="shared" si="75"/>
        <v>0</v>
      </c>
      <c r="M224">
        <v>30895</v>
      </c>
      <c r="N224">
        <f t="shared" si="76"/>
        <v>0.14504643889606489</v>
      </c>
      <c r="O224" s="10">
        <v>0.82721904700000004</v>
      </c>
      <c r="P224">
        <f t="shared" si="77"/>
        <v>0.81554126712624686</v>
      </c>
      <c r="Q224" s="23">
        <v>0.29780000000000001</v>
      </c>
      <c r="R224" s="13">
        <f t="shared" si="78"/>
        <v>0.64486790818536166</v>
      </c>
      <c r="S224">
        <f t="shared" si="79"/>
        <v>8.6628841320253336E-2</v>
      </c>
      <c r="T224" s="14">
        <f t="shared" si="67"/>
        <v>0.18295546303807589</v>
      </c>
      <c r="U224" t="str">
        <f t="shared" si="80"/>
        <v>Low</v>
      </c>
      <c r="V224">
        <f t="shared" si="81"/>
        <v>7.6504805139687812E-2</v>
      </c>
      <c r="W224">
        <f t="shared" si="68"/>
        <v>0.13887867382196148</v>
      </c>
      <c r="X224" t="s">
        <v>1170</v>
      </c>
      <c r="Y224">
        <f t="shared" si="69"/>
        <v>9.6752877500818846E-2</v>
      </c>
      <c r="Z224">
        <f t="shared" si="82"/>
        <v>0.21393031069305948</v>
      </c>
      <c r="AA224" t="str">
        <f t="shared" si="86"/>
        <v>Low</v>
      </c>
      <c r="AB224">
        <f t="shared" si="70"/>
        <v>6.1825270464812974E-2</v>
      </c>
      <c r="AC224">
        <f t="shared" si="83"/>
        <v>0.18132461544701728</v>
      </c>
      <c r="AD224" t="str">
        <f t="shared" si="84"/>
        <v>Low</v>
      </c>
      <c r="AE224">
        <f t="shared" si="71"/>
        <v>1.7207786901933125E-2</v>
      </c>
      <c r="AF224">
        <f t="shared" si="85"/>
        <v>0.11339608236651795</v>
      </c>
      <c r="AG224" t="s">
        <v>1169</v>
      </c>
    </row>
    <row r="225" spans="1:33" customFormat="1" x14ac:dyDescent="0.3">
      <c r="A225">
        <v>304849</v>
      </c>
      <c r="B225" t="s">
        <v>283</v>
      </c>
      <c r="C225" t="s">
        <v>764</v>
      </c>
      <c r="D225" t="s">
        <v>771</v>
      </c>
      <c r="E225" s="21">
        <v>6.3</v>
      </c>
      <c r="F225" s="2">
        <f t="shared" si="72"/>
        <v>0.68888888888888877</v>
      </c>
      <c r="G225" s="10">
        <v>38.560319999999997</v>
      </c>
      <c r="H225">
        <f t="shared" si="73"/>
        <v>0.35195310446348771</v>
      </c>
      <c r="I225" s="12">
        <v>58.300000000000004</v>
      </c>
      <c r="J225" s="2">
        <f t="shared" si="74"/>
        <v>0.14129907901114883</v>
      </c>
      <c r="K225" s="10">
        <v>0</v>
      </c>
      <c r="L225" s="2">
        <f t="shared" si="75"/>
        <v>0</v>
      </c>
      <c r="M225">
        <v>49962</v>
      </c>
      <c r="N225">
        <f t="shared" si="76"/>
        <v>0.23526044106305566</v>
      </c>
      <c r="O225" s="10">
        <v>0.80412546600000001</v>
      </c>
      <c r="P225">
        <f t="shared" si="77"/>
        <v>0.79010856491817993</v>
      </c>
      <c r="Q225" s="23">
        <v>0.26929999999999998</v>
      </c>
      <c r="R225" s="13">
        <f t="shared" si="78"/>
        <v>0.58315288003464705</v>
      </c>
      <c r="S225">
        <f t="shared" si="79"/>
        <v>8.1660018192433334E-2</v>
      </c>
      <c r="T225" s="14">
        <f t="shared" si="67"/>
        <v>0.17246157529526393</v>
      </c>
      <c r="U225" t="str">
        <f t="shared" si="80"/>
        <v>Low</v>
      </c>
      <c r="V225">
        <f t="shared" si="81"/>
        <v>6.9353545120805424E-2</v>
      </c>
      <c r="W225">
        <f t="shared" si="68"/>
        <v>0.12589703814868547</v>
      </c>
      <c r="X225" t="s">
        <v>1170</v>
      </c>
      <c r="Y225">
        <f t="shared" si="69"/>
        <v>9.396649126406123E-2</v>
      </c>
      <c r="Z225">
        <f t="shared" si="82"/>
        <v>0.20776933141535919</v>
      </c>
      <c r="AA225" t="str">
        <f t="shared" si="86"/>
        <v>Low</v>
      </c>
      <c r="AB225">
        <f t="shared" si="70"/>
        <v>6.2256404902494095E-2</v>
      </c>
      <c r="AC225">
        <f t="shared" si="83"/>
        <v>0.18258907066946531</v>
      </c>
      <c r="AD225" t="str">
        <f t="shared" si="84"/>
        <v>Low</v>
      </c>
      <c r="AE225">
        <f t="shared" si="71"/>
        <v>2.7979190659982368E-2</v>
      </c>
      <c r="AF225">
        <f t="shared" si="85"/>
        <v>0.18437760920153221</v>
      </c>
      <c r="AG225" t="s">
        <v>1169</v>
      </c>
    </row>
    <row r="226" spans="1:33" customFormat="1" x14ac:dyDescent="0.3">
      <c r="A226">
        <v>304854</v>
      </c>
      <c r="B226" t="s">
        <v>291</v>
      </c>
      <c r="C226" t="s">
        <v>764</v>
      </c>
      <c r="D226" t="s">
        <v>772</v>
      </c>
      <c r="E226" s="21">
        <v>6.3</v>
      </c>
      <c r="F226" s="2">
        <f t="shared" si="72"/>
        <v>0.68888888888888877</v>
      </c>
      <c r="G226" s="10">
        <v>37.323360000000001</v>
      </c>
      <c r="H226">
        <f t="shared" si="73"/>
        <v>0.34066295147468589</v>
      </c>
      <c r="I226" s="12">
        <v>52.400000000000006</v>
      </c>
      <c r="J226" s="2">
        <f t="shared" si="74"/>
        <v>0.12699951526902573</v>
      </c>
      <c r="K226" s="10">
        <v>0</v>
      </c>
      <c r="L226" s="2">
        <f t="shared" si="75"/>
        <v>0</v>
      </c>
      <c r="M226">
        <v>20678</v>
      </c>
      <c r="N226">
        <f t="shared" si="76"/>
        <v>9.670551163219826E-2</v>
      </c>
      <c r="O226" s="10">
        <v>0.85548379799999996</v>
      </c>
      <c r="P226">
        <f t="shared" si="77"/>
        <v>0.8466689209607976</v>
      </c>
      <c r="Q226" s="23">
        <v>0.3392</v>
      </c>
      <c r="R226" s="13">
        <f t="shared" si="78"/>
        <v>0.73451710697271544</v>
      </c>
      <c r="S226">
        <f t="shared" si="79"/>
        <v>8.9146174850158258E-2</v>
      </c>
      <c r="T226" s="14">
        <f t="shared" si="67"/>
        <v>0.18827193633456626</v>
      </c>
      <c r="U226" t="str">
        <f t="shared" si="80"/>
        <v>Low</v>
      </c>
      <c r="V226">
        <f t="shared" si="81"/>
        <v>8.2823133131524757E-2</v>
      </c>
      <c r="W226">
        <f t="shared" si="68"/>
        <v>0.15034829341874792</v>
      </c>
      <c r="X226" t="s">
        <v>1170</v>
      </c>
      <c r="Y226">
        <f t="shared" si="69"/>
        <v>9.5469216568791759E-2</v>
      </c>
      <c r="Z226">
        <f t="shared" si="82"/>
        <v>0.21109200769777367</v>
      </c>
      <c r="AA226" t="str">
        <f t="shared" si="86"/>
        <v>Low</v>
      </c>
      <c r="AB226">
        <f t="shared" si="70"/>
        <v>6.1445394477819798E-2</v>
      </c>
      <c r="AC226">
        <f t="shared" si="83"/>
        <v>0.18021049387923058</v>
      </c>
      <c r="AD226" t="str">
        <f t="shared" si="84"/>
        <v>Low</v>
      </c>
      <c r="AE226">
        <f t="shared" si="71"/>
        <v>1.0904379746138839E-2</v>
      </c>
      <c r="AF226">
        <f t="shared" si="85"/>
        <v>7.1857813610536975E-2</v>
      </c>
      <c r="AG226" t="s">
        <v>1170</v>
      </c>
    </row>
    <row r="227" spans="1:33" customFormat="1" x14ac:dyDescent="0.3">
      <c r="A227">
        <v>304859</v>
      </c>
      <c r="B227" t="s">
        <v>343</v>
      </c>
      <c r="C227" t="s">
        <v>764</v>
      </c>
      <c r="D227" t="s">
        <v>773</v>
      </c>
      <c r="E227" s="21">
        <v>5.9</v>
      </c>
      <c r="F227" s="2">
        <f t="shared" si="72"/>
        <v>0.60000000000000009</v>
      </c>
      <c r="G227" s="10">
        <v>32.810040000000001</v>
      </c>
      <c r="H227">
        <f t="shared" si="73"/>
        <v>0.2994683507702014</v>
      </c>
      <c r="I227" s="12">
        <v>41.6</v>
      </c>
      <c r="J227" s="2">
        <f t="shared" si="74"/>
        <v>0.10082404265632575</v>
      </c>
      <c r="K227" s="10">
        <v>0</v>
      </c>
      <c r="L227" s="2">
        <f t="shared" si="75"/>
        <v>0</v>
      </c>
      <c r="M227">
        <v>2267</v>
      </c>
      <c r="N227">
        <f t="shared" si="76"/>
        <v>9.595321571020993E-3</v>
      </c>
      <c r="O227" s="10">
        <v>0.23310546700000001</v>
      </c>
      <c r="P227">
        <f t="shared" si="77"/>
        <v>0.16125063294922098</v>
      </c>
      <c r="Q227" s="23">
        <v>0.15620000000000001</v>
      </c>
      <c r="R227" s="13">
        <f t="shared" si="78"/>
        <v>0.33824166305760073</v>
      </c>
      <c r="S227">
        <f t="shared" si="79"/>
        <v>2.0994011500001616E-2</v>
      </c>
      <c r="T227" s="14">
        <f t="shared" si="67"/>
        <v>4.4338225427834381E-2</v>
      </c>
      <c r="U227" t="str">
        <f t="shared" si="80"/>
        <v>No Impact</v>
      </c>
      <c r="V227">
        <f t="shared" si="81"/>
        <v>2.8433068620998148E-2</v>
      </c>
      <c r="W227">
        <f t="shared" si="68"/>
        <v>5.1614364033254541E-2</v>
      </c>
      <c r="X227" t="s">
        <v>1170</v>
      </c>
      <c r="Y227">
        <f t="shared" si="69"/>
        <v>1.3554954379005078E-2</v>
      </c>
      <c r="Z227">
        <f t="shared" si="82"/>
        <v>2.9971362884853341E-2</v>
      </c>
      <c r="AA227" t="s">
        <v>1170</v>
      </c>
      <c r="AB227">
        <f t="shared" si="70"/>
        <v>1.4300368997496921E-2</v>
      </c>
      <c r="AC227">
        <f t="shared" si="83"/>
        <v>4.1940923019452916E-2</v>
      </c>
      <c r="AD227" t="str">
        <f t="shared" si="84"/>
        <v>No Impact</v>
      </c>
      <c r="AE227">
        <f t="shared" si="71"/>
        <v>8.065961898458474E-4</v>
      </c>
      <c r="AF227">
        <f t="shared" si="85"/>
        <v>5.3153173328758562E-3</v>
      </c>
      <c r="AG227" t="s">
        <v>1170</v>
      </c>
    </row>
    <row r="228" spans="1:33" customFormat="1" x14ac:dyDescent="0.3">
      <c r="A228">
        <v>304876</v>
      </c>
      <c r="B228" t="s">
        <v>388</v>
      </c>
      <c r="C228" t="s">
        <v>764</v>
      </c>
      <c r="D228" t="s">
        <v>774</v>
      </c>
      <c r="E228" s="21">
        <v>6.2</v>
      </c>
      <c r="F228" s="2">
        <f t="shared" si="72"/>
        <v>0.66666666666666663</v>
      </c>
      <c r="G228" s="10">
        <v>35.0334</v>
      </c>
      <c r="H228">
        <f t="shared" si="73"/>
        <v>0.31976171074076021</v>
      </c>
      <c r="I228" s="12">
        <v>40.4</v>
      </c>
      <c r="J228" s="2">
        <f t="shared" si="74"/>
        <v>9.7915656810470195E-2</v>
      </c>
      <c r="K228" s="10">
        <v>0</v>
      </c>
      <c r="L228" s="2">
        <f t="shared" si="75"/>
        <v>0</v>
      </c>
      <c r="M228">
        <v>6692</v>
      </c>
      <c r="N228">
        <f t="shared" si="76"/>
        <v>3.0531859022583072E-2</v>
      </c>
      <c r="O228" s="10">
        <v>0.15062205200000001</v>
      </c>
      <c r="P228">
        <f t="shared" si="77"/>
        <v>7.0412571463676757E-2</v>
      </c>
      <c r="Q228" s="23">
        <v>0.18310000000000001</v>
      </c>
      <c r="R228" s="13">
        <f t="shared" si="78"/>
        <v>0.39649198787353834</v>
      </c>
      <c r="S228">
        <f t="shared" si="79"/>
        <v>2.2751804511524108E-2</v>
      </c>
      <c r="T228" s="14">
        <f t="shared" si="67"/>
        <v>4.8050589918077237E-2</v>
      </c>
      <c r="U228" t="str">
        <f t="shared" si="80"/>
        <v>No Impact</v>
      </c>
      <c r="V228">
        <f t="shared" si="81"/>
        <v>3.8641336941707231E-2</v>
      </c>
      <c r="W228">
        <f t="shared" si="68"/>
        <v>7.014536693967674E-2</v>
      </c>
      <c r="X228" t="s">
        <v>1170</v>
      </c>
      <c r="Y228">
        <f t="shared" si="69"/>
        <v>6.8622720813409912E-3</v>
      </c>
      <c r="Z228">
        <f t="shared" si="82"/>
        <v>1.5173171448148007E-2</v>
      </c>
      <c r="AA228" t="s">
        <v>1170</v>
      </c>
      <c r="AB228">
        <f t="shared" si="70"/>
        <v>1.6624600985077977E-2</v>
      </c>
      <c r="AC228">
        <f t="shared" si="83"/>
        <v>4.8757560750098169E-2</v>
      </c>
      <c r="AD228" t="str">
        <f t="shared" si="84"/>
        <v>No Impact</v>
      </c>
      <c r="AE228">
        <f t="shared" si="71"/>
        <v>2.9755755173661485E-3</v>
      </c>
      <c r="AF228">
        <f t="shared" si="85"/>
        <v>1.9608483553288331E-2</v>
      </c>
      <c r="AG228" t="s">
        <v>1170</v>
      </c>
    </row>
    <row r="229" spans="1:33" customFormat="1" x14ac:dyDescent="0.3">
      <c r="A229">
        <v>304879</v>
      </c>
      <c r="B229" t="s">
        <v>395</v>
      </c>
      <c r="C229" t="s">
        <v>764</v>
      </c>
      <c r="D229" t="s">
        <v>775</v>
      </c>
      <c r="E229" s="21">
        <v>6.3</v>
      </c>
      <c r="F229" s="2">
        <f t="shared" si="72"/>
        <v>0.68888888888888877</v>
      </c>
      <c r="G229" s="10">
        <v>38.560319999999997</v>
      </c>
      <c r="H229">
        <f t="shared" si="73"/>
        <v>0.35195310446348771</v>
      </c>
      <c r="I229" s="12">
        <v>59.100000000000009</v>
      </c>
      <c r="J229" s="2">
        <f t="shared" si="74"/>
        <v>0.14323800290838587</v>
      </c>
      <c r="K229" s="10">
        <v>0</v>
      </c>
      <c r="L229" s="2">
        <f t="shared" si="75"/>
        <v>0</v>
      </c>
      <c r="M229">
        <v>22012</v>
      </c>
      <c r="N229">
        <f t="shared" si="76"/>
        <v>0.10301722710347144</v>
      </c>
      <c r="O229" s="10">
        <v>0.88355955600000002</v>
      </c>
      <c r="P229">
        <f t="shared" si="77"/>
        <v>0.87758843892034455</v>
      </c>
      <c r="Q229" s="23">
        <v>0.30270000000000002</v>
      </c>
      <c r="R229" s="13">
        <f t="shared" si="78"/>
        <v>0.65547856214811617</v>
      </c>
      <c r="S229">
        <f t="shared" si="79"/>
        <v>9.1521093704309942E-2</v>
      </c>
      <c r="T229" s="14">
        <f t="shared" si="67"/>
        <v>0.19328763748001832</v>
      </c>
      <c r="U229" t="str">
        <f t="shared" si="80"/>
        <v>Low</v>
      </c>
      <c r="V229">
        <f t="shared" si="81"/>
        <v>7.8261569606174267E-2</v>
      </c>
      <c r="W229">
        <f t="shared" si="68"/>
        <v>0.14206771690072906</v>
      </c>
      <c r="X229" t="s">
        <v>1170</v>
      </c>
      <c r="Y229">
        <f t="shared" si="69"/>
        <v>0.1047806178024456</v>
      </c>
      <c r="Z229">
        <f t="shared" si="82"/>
        <v>0.23168044920315883</v>
      </c>
      <c r="AA229" t="str">
        <f t="shared" si="86"/>
        <v>Low</v>
      </c>
      <c r="AB229">
        <f t="shared" si="70"/>
        <v>6.313068321579518E-2</v>
      </c>
      <c r="AC229">
        <f t="shared" si="83"/>
        <v>0.18515320306647942</v>
      </c>
      <c r="AD229" t="str">
        <f t="shared" si="84"/>
        <v>Low</v>
      </c>
      <c r="AE229">
        <f t="shared" si="71"/>
        <v>1.2299852894001415E-2</v>
      </c>
      <c r="AF229">
        <f t="shared" si="85"/>
        <v>8.1053719447650274E-2</v>
      </c>
      <c r="AG229" t="s">
        <v>1170</v>
      </c>
    </row>
    <row r="230" spans="1:33" customFormat="1" x14ac:dyDescent="0.3">
      <c r="A230">
        <v>304892</v>
      </c>
      <c r="B230" t="s">
        <v>517</v>
      </c>
      <c r="C230" t="s">
        <v>764</v>
      </c>
      <c r="D230" t="s">
        <v>776</v>
      </c>
      <c r="E230" s="21">
        <v>6.3</v>
      </c>
      <c r="F230" s="2">
        <f t="shared" si="72"/>
        <v>0.68888888888888877</v>
      </c>
      <c r="G230" s="10">
        <v>32.810040000000001</v>
      </c>
      <c r="H230">
        <f t="shared" si="73"/>
        <v>0.2994683507702014</v>
      </c>
      <c r="I230" s="12">
        <v>29.400000000000002</v>
      </c>
      <c r="J230" s="2">
        <f t="shared" si="74"/>
        <v>7.1255453223460996E-2</v>
      </c>
      <c r="K230" s="10">
        <v>0</v>
      </c>
      <c r="L230" s="2">
        <f t="shared" si="75"/>
        <v>0</v>
      </c>
      <c r="M230">
        <v>17053</v>
      </c>
      <c r="N230">
        <f t="shared" si="76"/>
        <v>7.9554110895042884E-2</v>
      </c>
      <c r="O230" s="10">
        <v>0.73197743400000004</v>
      </c>
      <c r="P230">
        <f t="shared" si="77"/>
        <v>0.71065274501939169</v>
      </c>
      <c r="Q230" s="23">
        <v>0.2404</v>
      </c>
      <c r="R230" s="13">
        <f t="shared" si="78"/>
        <v>0.52057167605023824</v>
      </c>
      <c r="S230">
        <f t="shared" si="79"/>
        <v>5.5026884225497584E-2</v>
      </c>
      <c r="T230" s="14">
        <f t="shared" si="67"/>
        <v>0.11621382589893635</v>
      </c>
      <c r="U230" t="str">
        <f t="shared" si="80"/>
        <v>No Impact</v>
      </c>
      <c r="V230">
        <f t="shared" si="81"/>
        <v>4.6531626336982303E-2</v>
      </c>
      <c r="W230">
        <f t="shared" si="68"/>
        <v>8.4468557820125537E-2</v>
      </c>
      <c r="X230" t="s">
        <v>1170</v>
      </c>
      <c r="Y230">
        <f t="shared" si="69"/>
        <v>6.3522142114012858E-2</v>
      </c>
      <c r="Z230">
        <f t="shared" si="82"/>
        <v>0.14045382369350659</v>
      </c>
      <c r="AA230" t="s">
        <v>1170</v>
      </c>
      <c r="AB230">
        <f t="shared" si="70"/>
        <v>3.7831559817213686E-2</v>
      </c>
      <c r="AC230">
        <f t="shared" si="83"/>
        <v>0.11095451720702559</v>
      </c>
      <c r="AD230" t="str">
        <f t="shared" si="84"/>
        <v>No Impact</v>
      </c>
      <c r="AE230">
        <f t="shared" si="71"/>
        <v>7.1109941859029318E-3</v>
      </c>
      <c r="AF230">
        <f t="shared" si="85"/>
        <v>4.6860115540011286E-2</v>
      </c>
      <c r="AG230" t="s">
        <v>1170</v>
      </c>
    </row>
    <row r="231" spans="1:33" customFormat="1" x14ac:dyDescent="0.3">
      <c r="A231">
        <v>305440</v>
      </c>
      <c r="B231" t="s">
        <v>249</v>
      </c>
      <c r="C231" t="s">
        <v>778</v>
      </c>
      <c r="D231" t="s">
        <v>777</v>
      </c>
      <c r="E231" s="21">
        <v>6.4</v>
      </c>
      <c r="F231" s="2">
        <f t="shared" si="72"/>
        <v>0.71111111111111114</v>
      </c>
      <c r="G231" s="10">
        <v>50.707799999999999</v>
      </c>
      <c r="H231">
        <f t="shared" si="73"/>
        <v>0.46282726985962885</v>
      </c>
      <c r="I231" s="12">
        <v>93.5</v>
      </c>
      <c r="J231" s="2">
        <f t="shared" si="74"/>
        <v>0.22661173048957831</v>
      </c>
      <c r="K231" s="10">
        <v>0</v>
      </c>
      <c r="L231" s="2">
        <f t="shared" si="75"/>
        <v>0</v>
      </c>
      <c r="M231">
        <v>17400</v>
      </c>
      <c r="N231">
        <f t="shared" si="76"/>
        <v>8.1195913944916792E-2</v>
      </c>
      <c r="O231" s="10">
        <v>0.87484448500000001</v>
      </c>
      <c r="P231">
        <f t="shared" si="77"/>
        <v>0.86799062879877187</v>
      </c>
      <c r="Q231" s="23">
        <v>0.29370000000000002</v>
      </c>
      <c r="R231" s="13">
        <f t="shared" si="78"/>
        <v>0.63598960588999576</v>
      </c>
      <c r="S231">
        <f t="shared" si="79"/>
        <v>0.12903677167718272</v>
      </c>
      <c r="T231" s="14">
        <f t="shared" si="67"/>
        <v>0.27251873569291324</v>
      </c>
      <c r="U231" t="str">
        <f t="shared" si="80"/>
        <v>Low</v>
      </c>
      <c r="V231">
        <f t="shared" si="81"/>
        <v>0.10913181393141314</v>
      </c>
      <c r="W231">
        <f t="shared" si="68"/>
        <v>0.19810627009514872</v>
      </c>
      <c r="X231" t="s">
        <v>1169</v>
      </c>
      <c r="Y231">
        <f t="shared" si="69"/>
        <v>0.14894172942295236</v>
      </c>
      <c r="Z231">
        <f t="shared" si="82"/>
        <v>0.32932509371976182</v>
      </c>
      <c r="AA231" t="str">
        <f t="shared" si="86"/>
        <v>Moderate</v>
      </c>
      <c r="AB231">
        <f t="shared" si="70"/>
        <v>8.7755101449348838E-2</v>
      </c>
      <c r="AC231">
        <f t="shared" si="83"/>
        <v>0.25737307583431207</v>
      </c>
      <c r="AD231" t="str">
        <f t="shared" si="84"/>
        <v>Low</v>
      </c>
      <c r="AE231">
        <f t="shared" si="71"/>
        <v>1.3932707847053005E-2</v>
      </c>
      <c r="AF231">
        <f t="shared" si="85"/>
        <v>9.1813926777275803E-2</v>
      </c>
      <c r="AG231" t="s">
        <v>1170</v>
      </c>
    </row>
    <row r="232" spans="1:33" customFormat="1" x14ac:dyDescent="0.3">
      <c r="A232">
        <v>305454</v>
      </c>
      <c r="B232" t="s">
        <v>311</v>
      </c>
      <c r="C232" t="s">
        <v>778</v>
      </c>
      <c r="D232" t="s">
        <v>779</v>
      </c>
      <c r="E232" s="21">
        <v>6.4</v>
      </c>
      <c r="F232" s="2">
        <f t="shared" si="72"/>
        <v>0.71111111111111114</v>
      </c>
      <c r="G232" s="10">
        <v>49.2498</v>
      </c>
      <c r="H232">
        <f t="shared" si="73"/>
        <v>0.44951960990484202</v>
      </c>
      <c r="I232" s="12">
        <v>92.7</v>
      </c>
      <c r="J232" s="2">
        <f t="shared" si="74"/>
        <v>0.22467280659234129</v>
      </c>
      <c r="K232" s="10">
        <v>0</v>
      </c>
      <c r="L232" s="2">
        <f t="shared" si="75"/>
        <v>0</v>
      </c>
      <c r="M232">
        <v>27938</v>
      </c>
      <c r="N232">
        <f t="shared" si="76"/>
        <v>0.1310556273154391</v>
      </c>
      <c r="O232" s="10">
        <v>0.77323142600000005</v>
      </c>
      <c r="P232">
        <f t="shared" si="77"/>
        <v>0.75608530454448108</v>
      </c>
      <c r="Q232" s="23">
        <v>0.25740000000000002</v>
      </c>
      <c r="R232" s="13">
        <f t="shared" si="78"/>
        <v>0.55738414898224342</v>
      </c>
      <c r="S232">
        <f t="shared" si="79"/>
        <v>0.11019943136140303</v>
      </c>
      <c r="T232" s="14">
        <f t="shared" si="67"/>
        <v>0.2327352840461516</v>
      </c>
      <c r="U232" t="str">
        <f t="shared" si="80"/>
        <v>Low</v>
      </c>
      <c r="V232">
        <f t="shared" si="81"/>
        <v>9.352850361731388E-2</v>
      </c>
      <c r="W232">
        <f t="shared" si="68"/>
        <v>0.16978168264344504</v>
      </c>
      <c r="X232" t="s">
        <v>1170</v>
      </c>
      <c r="Y232">
        <f t="shared" si="69"/>
        <v>0.12687035910549216</v>
      </c>
      <c r="Z232">
        <f t="shared" si="82"/>
        <v>0.28052308150678268</v>
      </c>
      <c r="AA232" t="str">
        <f t="shared" si="86"/>
        <v>Low</v>
      </c>
      <c r="AB232">
        <f t="shared" si="70"/>
        <v>7.8492935186493556E-2</v>
      </c>
      <c r="AC232">
        <f t="shared" si="83"/>
        <v>0.23020847593540164</v>
      </c>
      <c r="AD232" t="str">
        <f t="shared" si="84"/>
        <v>Low</v>
      </c>
      <c r="AE232">
        <f t="shared" si="71"/>
        <v>2.1991003396531591E-2</v>
      </c>
      <c r="AF232">
        <f t="shared" si="85"/>
        <v>0.14491658030675231</v>
      </c>
      <c r="AG232" t="s">
        <v>1169</v>
      </c>
    </row>
    <row r="233" spans="1:33" customFormat="1" x14ac:dyDescent="0.3">
      <c r="A233">
        <v>305480</v>
      </c>
      <c r="B233" t="s">
        <v>429</v>
      </c>
      <c r="C233" t="s">
        <v>778</v>
      </c>
      <c r="D233" t="s">
        <v>780</v>
      </c>
      <c r="E233" s="21">
        <v>6.4</v>
      </c>
      <c r="F233" s="2">
        <f t="shared" si="72"/>
        <v>0.71111111111111114</v>
      </c>
      <c r="G233" s="10">
        <v>48.980879999999999</v>
      </c>
      <c r="H233">
        <f t="shared" si="73"/>
        <v>0.44706508595762579</v>
      </c>
      <c r="I233" s="12">
        <v>95.9</v>
      </c>
      <c r="J233" s="2">
        <f t="shared" si="74"/>
        <v>0.23242850218128941</v>
      </c>
      <c r="K233" s="10">
        <v>0</v>
      </c>
      <c r="L233" s="2">
        <f t="shared" si="75"/>
        <v>0</v>
      </c>
      <c r="M233">
        <v>12683</v>
      </c>
      <c r="N233">
        <f t="shared" si="76"/>
        <v>5.8877801592596271E-2</v>
      </c>
      <c r="O233" s="10">
        <v>0.79979732400000003</v>
      </c>
      <c r="P233">
        <f t="shared" si="77"/>
        <v>0.78534203058986474</v>
      </c>
      <c r="Q233" s="23">
        <v>0.27060000000000001</v>
      </c>
      <c r="R233" s="13">
        <f t="shared" si="78"/>
        <v>0.58596795149415337</v>
      </c>
      <c r="S233">
        <f t="shared" si="79"/>
        <v>0.11595687788869098</v>
      </c>
      <c r="T233" s="14">
        <f t="shared" si="67"/>
        <v>0.24489470207903091</v>
      </c>
      <c r="U233" t="str">
        <f t="shared" si="80"/>
        <v>Low</v>
      </c>
      <c r="V233">
        <f t="shared" si="81"/>
        <v>9.9097964845020606E-2</v>
      </c>
      <c r="W233">
        <f t="shared" si="68"/>
        <v>0.17989188928725611</v>
      </c>
      <c r="X233" t="s">
        <v>1170</v>
      </c>
      <c r="Y233">
        <f t="shared" si="69"/>
        <v>0.13281579093236132</v>
      </c>
      <c r="Z233">
        <f t="shared" si="82"/>
        <v>0.2936690272479392</v>
      </c>
      <c r="AA233" t="str">
        <f t="shared" si="86"/>
        <v>Low</v>
      </c>
      <c r="AB233">
        <f t="shared" si="70"/>
        <v>7.8014086921471534E-2</v>
      </c>
      <c r="AC233">
        <f t="shared" si="83"/>
        <v>0.22880408292814408</v>
      </c>
      <c r="AD233" t="str">
        <f t="shared" si="84"/>
        <v>Low</v>
      </c>
      <c r="AE233">
        <f t="shared" si="71"/>
        <v>9.9573198457312238E-3</v>
      </c>
      <c r="AF233">
        <f t="shared" si="85"/>
        <v>6.5616866817978556E-2</v>
      </c>
      <c r="AG233" t="s">
        <v>1170</v>
      </c>
    </row>
    <row r="234" spans="1:33" customFormat="1" x14ac:dyDescent="0.3">
      <c r="A234">
        <v>305487</v>
      </c>
      <c r="B234" t="s">
        <v>485</v>
      </c>
      <c r="C234" t="s">
        <v>778</v>
      </c>
      <c r="D234" t="s">
        <v>781</v>
      </c>
      <c r="E234" s="21">
        <v>6.4</v>
      </c>
      <c r="F234" s="2">
        <f t="shared" si="72"/>
        <v>0.71111111111111114</v>
      </c>
      <c r="G234" s="10">
        <v>47.099159999999998</v>
      </c>
      <c r="H234">
        <f t="shared" si="73"/>
        <v>0.42988999001104045</v>
      </c>
      <c r="I234" s="12">
        <v>69.200000000000017</v>
      </c>
      <c r="J234" s="2">
        <f t="shared" si="74"/>
        <v>0.16771691711100345</v>
      </c>
      <c r="K234" s="10">
        <v>0</v>
      </c>
      <c r="L234" s="2">
        <f t="shared" si="75"/>
        <v>0</v>
      </c>
      <c r="M234">
        <v>29231</v>
      </c>
      <c r="N234">
        <f t="shared" si="76"/>
        <v>0.13717335453009893</v>
      </c>
      <c r="O234" s="10">
        <v>0.70977384899999996</v>
      </c>
      <c r="P234">
        <f t="shared" si="77"/>
        <v>0.68620018544205708</v>
      </c>
      <c r="Q234" s="23">
        <v>0.24440000000000001</v>
      </c>
      <c r="R234" s="13">
        <f t="shared" si="78"/>
        <v>0.52923343438718062</v>
      </c>
      <c r="S234">
        <f t="shared" si="79"/>
        <v>9.0390412169032999E-2</v>
      </c>
      <c r="T234" s="14">
        <f t="shared" si="67"/>
        <v>0.19089969876720037</v>
      </c>
      <c r="U234" t="str">
        <f t="shared" si="80"/>
        <v>Low</v>
      </c>
      <c r="V234">
        <f t="shared" si="81"/>
        <v>7.8716973905347598E-2</v>
      </c>
      <c r="W234">
        <f t="shared" si="68"/>
        <v>0.14289440935496817</v>
      </c>
      <c r="X234" t="s">
        <v>1170</v>
      </c>
      <c r="Y234">
        <f t="shared" si="69"/>
        <v>0.10206385043271839</v>
      </c>
      <c r="Z234">
        <f t="shared" si="82"/>
        <v>0.22567340421907975</v>
      </c>
      <c r="AA234" t="str">
        <f t="shared" si="86"/>
        <v>Low</v>
      </c>
      <c r="AB234">
        <f t="shared" si="70"/>
        <v>6.5311094152907825E-2</v>
      </c>
      <c r="AC234">
        <f t="shared" si="83"/>
        <v>0.19154803436630261</v>
      </c>
      <c r="AD234" t="str">
        <f t="shared" si="84"/>
        <v>Low</v>
      </c>
      <c r="AE234">
        <f t="shared" si="71"/>
        <v>2.0402851874916136E-2</v>
      </c>
      <c r="AF234">
        <f t="shared" si="85"/>
        <v>0.13445096019058353</v>
      </c>
      <c r="AG234" t="s">
        <v>1169</v>
      </c>
    </row>
    <row r="235" spans="1:33" customFormat="1" x14ac:dyDescent="0.3">
      <c r="A235">
        <v>305610</v>
      </c>
      <c r="B235" t="s">
        <v>132</v>
      </c>
      <c r="C235" t="s">
        <v>859</v>
      </c>
      <c r="D235" t="s">
        <v>1143</v>
      </c>
      <c r="E235" s="21">
        <v>5.2</v>
      </c>
      <c r="F235" s="2">
        <f t="shared" si="72"/>
        <v>0.44444444444444442</v>
      </c>
      <c r="G235" s="10">
        <v>44.220600000000005</v>
      </c>
      <c r="H235">
        <f t="shared" si="73"/>
        <v>0.40361639766573792</v>
      </c>
      <c r="I235" s="12">
        <v>32.1</v>
      </c>
      <c r="J235" s="2">
        <f t="shared" si="74"/>
        <v>7.7799321376635977E-2</v>
      </c>
      <c r="K235" s="10">
        <v>0</v>
      </c>
      <c r="L235" s="2">
        <f t="shared" si="75"/>
        <v>0</v>
      </c>
      <c r="M235">
        <v>16413</v>
      </c>
      <c r="N235">
        <f t="shared" si="76"/>
        <v>7.6526001523517531E-2</v>
      </c>
      <c r="O235" s="10">
        <v>0.71263319599999997</v>
      </c>
      <c r="P235">
        <f t="shared" si="77"/>
        <v>0.6893491522809605</v>
      </c>
      <c r="Q235" s="23">
        <v>0.28360000000000002</v>
      </c>
      <c r="R235" s="13">
        <f t="shared" si="78"/>
        <v>0.61411866608921617</v>
      </c>
      <c r="S235">
        <f t="shared" si="79"/>
        <v>4.8806325324499016E-2</v>
      </c>
      <c r="T235" s="14">
        <f t="shared" si="67"/>
        <v>0.10307633939048251</v>
      </c>
      <c r="U235" t="str">
        <f t="shared" si="80"/>
        <v>No Impact</v>
      </c>
      <c r="V235">
        <f t="shared" si="81"/>
        <v>4.5989436766417438E-2</v>
      </c>
      <c r="W235">
        <f t="shared" si="68"/>
        <v>8.3484324628724529E-2</v>
      </c>
      <c r="X235" t="s">
        <v>1170</v>
      </c>
      <c r="Y235">
        <f t="shared" si="69"/>
        <v>5.1623213882580593E-2</v>
      </c>
      <c r="Z235">
        <f t="shared" si="82"/>
        <v>0.11414410062151652</v>
      </c>
      <c r="AA235" t="s">
        <v>1170</v>
      </c>
      <c r="AB235">
        <f t="shared" si="70"/>
        <v>3.3589045013459412E-2</v>
      </c>
      <c r="AC235">
        <f t="shared" si="83"/>
        <v>9.8511832208876771E-2</v>
      </c>
      <c r="AD235" t="str">
        <f t="shared" si="84"/>
        <v>No Impact</v>
      </c>
      <c r="AE235">
        <f t="shared" si="71"/>
        <v>5.7307942298260878E-3</v>
      </c>
      <c r="AF235">
        <f t="shared" si="85"/>
        <v>3.7764857166956239E-2</v>
      </c>
      <c r="AG235" t="s">
        <v>1170</v>
      </c>
    </row>
    <row r="236" spans="1:33" customFormat="1" x14ac:dyDescent="0.3">
      <c r="A236">
        <v>305622</v>
      </c>
      <c r="B236" t="s">
        <v>184</v>
      </c>
      <c r="C236" t="s">
        <v>782</v>
      </c>
      <c r="D236" t="s">
        <v>783</v>
      </c>
      <c r="E236" s="21">
        <v>5.9</v>
      </c>
      <c r="F236" s="2">
        <f t="shared" si="72"/>
        <v>0.60000000000000009</v>
      </c>
      <c r="G236" s="10">
        <v>44.909640000000003</v>
      </c>
      <c r="H236">
        <f t="shared" si="73"/>
        <v>0.40990549918511127</v>
      </c>
      <c r="I236" s="12">
        <v>34</v>
      </c>
      <c r="J236" s="2">
        <f t="shared" si="74"/>
        <v>8.2404265632573928E-2</v>
      </c>
      <c r="K236" s="10">
        <v>0</v>
      </c>
      <c r="L236" s="2">
        <f t="shared" si="75"/>
        <v>0</v>
      </c>
      <c r="M236">
        <v>22617</v>
      </c>
      <c r="N236">
        <f t="shared" si="76"/>
        <v>0.10587973674374151</v>
      </c>
      <c r="O236" s="10">
        <v>0.81849543499999999</v>
      </c>
      <c r="P236">
        <f t="shared" si="77"/>
        <v>0.80593405089699599</v>
      </c>
      <c r="Q236" s="23">
        <v>0.25090000000000001</v>
      </c>
      <c r="R236" s="13">
        <f t="shared" si="78"/>
        <v>0.54330879168471202</v>
      </c>
      <c r="S236">
        <f t="shared" si="79"/>
        <v>6.9745769783901318E-2</v>
      </c>
      <c r="T236" s="14">
        <f t="shared" si="67"/>
        <v>0.14729932215747418</v>
      </c>
      <c r="U236" t="str">
        <f t="shared" si="80"/>
        <v>No Impact</v>
      </c>
      <c r="V236">
        <f t="shared" si="81"/>
        <v>5.6170006926113077E-2</v>
      </c>
      <c r="W236">
        <f t="shared" si="68"/>
        <v>0.10196504724410056</v>
      </c>
      <c r="X236" t="s">
        <v>1170</v>
      </c>
      <c r="Y236">
        <f t="shared" si="69"/>
        <v>8.3321532641689539E-2</v>
      </c>
      <c r="Z236">
        <f t="shared" si="82"/>
        <v>0.18423226084730848</v>
      </c>
      <c r="AA236" t="s">
        <v>1170</v>
      </c>
      <c r="AB236">
        <f t="shared" si="70"/>
        <v>4.848719589634877E-2</v>
      </c>
      <c r="AC236">
        <f t="shared" si="83"/>
        <v>0.14220596341771669</v>
      </c>
      <c r="AD236" t="str">
        <f t="shared" si="84"/>
        <v>No Impact</v>
      </c>
      <c r="AE236">
        <f t="shared" si="71"/>
        <v>1.094638194200666E-2</v>
      </c>
      <c r="AF236">
        <f t="shared" si="85"/>
        <v>7.2134600189156614E-2</v>
      </c>
      <c r="AG236" t="s">
        <v>1170</v>
      </c>
    </row>
    <row r="237" spans="1:33" customFormat="1" x14ac:dyDescent="0.3">
      <c r="A237">
        <v>305628</v>
      </c>
      <c r="B237" t="s">
        <v>205</v>
      </c>
      <c r="C237" t="s">
        <v>782</v>
      </c>
      <c r="D237" t="s">
        <v>784</v>
      </c>
      <c r="E237" s="21">
        <v>5.9</v>
      </c>
      <c r="F237" s="2">
        <f t="shared" si="72"/>
        <v>0.60000000000000009</v>
      </c>
      <c r="G237" s="10">
        <v>50.333400000000005</v>
      </c>
      <c r="H237">
        <f t="shared" si="73"/>
        <v>0.45940999421691819</v>
      </c>
      <c r="I237" s="12">
        <v>52.699999999999996</v>
      </c>
      <c r="J237" s="2">
        <f t="shared" si="74"/>
        <v>0.12772661173048958</v>
      </c>
      <c r="K237" s="10">
        <v>0</v>
      </c>
      <c r="L237" s="2">
        <f t="shared" si="75"/>
        <v>0</v>
      </c>
      <c r="M237">
        <v>12495</v>
      </c>
      <c r="N237">
        <f t="shared" si="76"/>
        <v>5.7988294464710696E-2</v>
      </c>
      <c r="O237" s="10">
        <v>0.71691236599999997</v>
      </c>
      <c r="P237">
        <f t="shared" si="77"/>
        <v>0.69406175429394812</v>
      </c>
      <c r="Q237" s="23">
        <v>0.23949999999999999</v>
      </c>
      <c r="R237" s="13">
        <f t="shared" si="78"/>
        <v>0.51862278042442611</v>
      </c>
      <c r="S237">
        <f t="shared" si="79"/>
        <v>7.4761205588943072E-2</v>
      </c>
      <c r="T237" s="14">
        <f t="shared" si="67"/>
        <v>0.15789165337262839</v>
      </c>
      <c r="U237" t="str">
        <f t="shared" si="80"/>
        <v>Low</v>
      </c>
      <c r="V237">
        <f t="shared" si="81"/>
        <v>6.3945508003735108E-2</v>
      </c>
      <c r="W237">
        <f t="shared" si="68"/>
        <v>0.11607986364013885</v>
      </c>
      <c r="X237" t="s">
        <v>1170</v>
      </c>
      <c r="Y237">
        <f t="shared" si="69"/>
        <v>8.5576903174151009E-2</v>
      </c>
      <c r="Z237">
        <f t="shared" si="82"/>
        <v>0.18921911117362947</v>
      </c>
      <c r="AA237" t="str">
        <f t="shared" si="86"/>
        <v>Low</v>
      </c>
      <c r="AB237">
        <f t="shared" si="70"/>
        <v>5.0556456957709231E-2</v>
      </c>
      <c r="AC237">
        <f t="shared" si="83"/>
        <v>0.14827480813751809</v>
      </c>
      <c r="AD237" t="str">
        <f t="shared" si="84"/>
        <v>No Impact</v>
      </c>
      <c r="AE237">
        <f t="shared" si="71"/>
        <v>7.1498805833047092E-3</v>
      </c>
      <c r="AF237">
        <f t="shared" si="85"/>
        <v>4.7116369592193542E-2</v>
      </c>
      <c r="AG237" t="s">
        <v>1170</v>
      </c>
    </row>
    <row r="238" spans="1:33" customFormat="1" x14ac:dyDescent="0.3">
      <c r="A238">
        <v>305646</v>
      </c>
      <c r="B238" t="s">
        <v>322</v>
      </c>
      <c r="C238" t="s">
        <v>782</v>
      </c>
      <c r="D238" t="s">
        <v>785</v>
      </c>
      <c r="E238" s="21">
        <v>5.9</v>
      </c>
      <c r="F238" s="2">
        <f t="shared" si="72"/>
        <v>0.60000000000000009</v>
      </c>
      <c r="G238" s="10">
        <v>45.21564</v>
      </c>
      <c r="H238">
        <f t="shared" si="73"/>
        <v>0.41269846485463435</v>
      </c>
      <c r="I238" s="12">
        <v>53.1</v>
      </c>
      <c r="J238" s="2">
        <f t="shared" si="74"/>
        <v>0.1286960736791081</v>
      </c>
      <c r="K238" s="10">
        <v>0</v>
      </c>
      <c r="L238" s="2">
        <f t="shared" si="75"/>
        <v>0</v>
      </c>
      <c r="M238">
        <v>45062</v>
      </c>
      <c r="N238">
        <f t="shared" si="76"/>
        <v>0.21207647868731458</v>
      </c>
      <c r="O238" s="10">
        <v>0.79733383800000002</v>
      </c>
      <c r="P238">
        <f t="shared" si="77"/>
        <v>0.78262902103834731</v>
      </c>
      <c r="Q238" s="23">
        <v>0.25009999999999999</v>
      </c>
      <c r="R238" s="13">
        <f t="shared" si="78"/>
        <v>0.54157644001732352</v>
      </c>
      <c r="S238">
        <f t="shared" si="79"/>
        <v>7.5276348473770141E-2</v>
      </c>
      <c r="T238" s="14">
        <f t="shared" si="67"/>
        <v>0.15897960749492682</v>
      </c>
      <c r="U238" t="str">
        <f t="shared" si="80"/>
        <v>Low</v>
      </c>
      <c r="V238">
        <f t="shared" si="81"/>
        <v>6.1573370633024448E-2</v>
      </c>
      <c r="W238">
        <f t="shared" si="68"/>
        <v>0.11177373814166464</v>
      </c>
      <c r="X238" t="s">
        <v>1170</v>
      </c>
      <c r="Y238">
        <f t="shared" si="69"/>
        <v>8.8979326314515841E-2</v>
      </c>
      <c r="Z238">
        <f t="shared" si="82"/>
        <v>0.19674220979693752</v>
      </c>
      <c r="AA238" t="str">
        <f t="shared" si="86"/>
        <v>Low</v>
      </c>
      <c r="AB238">
        <f t="shared" si="70"/>
        <v>5.6683530593402608E-2</v>
      </c>
      <c r="AC238">
        <f t="shared" si="83"/>
        <v>0.16624463281365862</v>
      </c>
      <c r="AD238" t="str">
        <f t="shared" si="84"/>
        <v>Low</v>
      </c>
      <c r="AE238">
        <f t="shared" si="71"/>
        <v>2.411157993568375E-2</v>
      </c>
      <c r="AF238">
        <f t="shared" si="85"/>
        <v>0.15889078124662973</v>
      </c>
      <c r="AG238" t="s">
        <v>1169</v>
      </c>
    </row>
    <row r="239" spans="1:33" customFormat="1" x14ac:dyDescent="0.3">
      <c r="A239">
        <v>305670</v>
      </c>
      <c r="B239" t="s">
        <v>468</v>
      </c>
      <c r="C239" t="s">
        <v>782</v>
      </c>
      <c r="D239" t="s">
        <v>786</v>
      </c>
      <c r="E239" s="21">
        <v>5.9</v>
      </c>
      <c r="F239" s="2">
        <f t="shared" si="72"/>
        <v>0.60000000000000009</v>
      </c>
      <c r="G239" s="10">
        <v>42.435719999999996</v>
      </c>
      <c r="H239">
        <f t="shared" si="73"/>
        <v>0.38732519320750747</v>
      </c>
      <c r="I239" s="12">
        <v>19.599999999999998</v>
      </c>
      <c r="J239" s="2">
        <f t="shared" si="74"/>
        <v>4.7503635482307321E-2</v>
      </c>
      <c r="K239" s="10">
        <v>0</v>
      </c>
      <c r="L239" s="2">
        <f t="shared" si="75"/>
        <v>0</v>
      </c>
      <c r="M239">
        <v>15842</v>
      </c>
      <c r="N239">
        <f t="shared" si="76"/>
        <v>7.3824360193609745E-2</v>
      </c>
      <c r="O239" s="10">
        <v>0.81512432999999995</v>
      </c>
      <c r="P239">
        <f t="shared" si="77"/>
        <v>0.80222149070214677</v>
      </c>
      <c r="Q239" s="23">
        <v>0.28170000000000001</v>
      </c>
      <c r="R239" s="13">
        <f t="shared" si="78"/>
        <v>0.6100043308791685</v>
      </c>
      <c r="S239">
        <f t="shared" si="79"/>
        <v>6.4478032483590048E-2</v>
      </c>
      <c r="T239" s="14">
        <f t="shared" si="67"/>
        <v>0.13617414372667289</v>
      </c>
      <c r="U239" t="str">
        <f t="shared" si="80"/>
        <v>No Impact</v>
      </c>
      <c r="V239">
        <f t="shared" si="81"/>
        <v>5.5701968425299647E-2</v>
      </c>
      <c r="W239">
        <f t="shared" si="68"/>
        <v>0.10111542000602178</v>
      </c>
      <c r="X239" t="s">
        <v>1170</v>
      </c>
      <c r="Y239">
        <f t="shared" si="69"/>
        <v>7.3254096541880448E-2</v>
      </c>
      <c r="Z239">
        <f t="shared" si="82"/>
        <v>0.16197215046768226</v>
      </c>
      <c r="AA239" t="s">
        <v>1170</v>
      </c>
      <c r="AB239">
        <f t="shared" si="70"/>
        <v>4.3831338476693536E-2</v>
      </c>
      <c r="AC239">
        <f t="shared" si="83"/>
        <v>0.12855100404838235</v>
      </c>
      <c r="AD239" t="str">
        <f t="shared" si="84"/>
        <v>No Impact</v>
      </c>
      <c r="AE239">
        <f t="shared" si="71"/>
        <v>6.7412016150700865E-3</v>
      </c>
      <c r="AF239">
        <f t="shared" si="85"/>
        <v>4.4423251981689504E-2</v>
      </c>
      <c r="AG239" t="s">
        <v>1170</v>
      </c>
    </row>
    <row r="240" spans="1:33" customFormat="1" x14ac:dyDescent="0.3">
      <c r="A240">
        <v>305678</v>
      </c>
      <c r="B240" t="s">
        <v>486</v>
      </c>
      <c r="C240" t="s">
        <v>782</v>
      </c>
      <c r="D240" t="s">
        <v>787</v>
      </c>
      <c r="E240" s="21">
        <v>5.9</v>
      </c>
      <c r="F240" s="2">
        <f t="shared" si="72"/>
        <v>0.60000000000000009</v>
      </c>
      <c r="G240" s="10">
        <v>44.909640000000003</v>
      </c>
      <c r="H240">
        <f t="shared" si="73"/>
        <v>0.40990549918511127</v>
      </c>
      <c r="I240" s="12">
        <v>33.4</v>
      </c>
      <c r="J240" s="2">
        <f t="shared" si="74"/>
        <v>8.0950072709646145E-2</v>
      </c>
      <c r="K240" s="10">
        <v>0</v>
      </c>
      <c r="L240" s="2">
        <f t="shared" si="75"/>
        <v>0</v>
      </c>
      <c r="M240">
        <v>16520</v>
      </c>
      <c r="N240">
        <f t="shared" si="76"/>
        <v>7.7032263559069419E-2</v>
      </c>
      <c r="O240" s="10">
        <v>0.73930435999999999</v>
      </c>
      <c r="P240">
        <f t="shared" si="77"/>
        <v>0.71872180659362483</v>
      </c>
      <c r="Q240" s="23">
        <v>0.22090000000000001</v>
      </c>
      <c r="R240" s="13">
        <f t="shared" si="78"/>
        <v>0.47834560415764404</v>
      </c>
      <c r="S240">
        <f t="shared" si="79"/>
        <v>6.1696656892593515E-2</v>
      </c>
      <c r="T240" s="14">
        <f t="shared" si="67"/>
        <v>0.13030002776969768</v>
      </c>
      <c r="U240" t="str">
        <f t="shared" si="80"/>
        <v>No Impact</v>
      </c>
      <c r="V240">
        <f t="shared" si="81"/>
        <v>4.9307707069350164E-2</v>
      </c>
      <c r="W240">
        <f t="shared" si="68"/>
        <v>8.9507959068583137E-2</v>
      </c>
      <c r="X240" t="s">
        <v>1170</v>
      </c>
      <c r="Y240">
        <f t="shared" si="69"/>
        <v>7.4085606715836874E-2</v>
      </c>
      <c r="Z240">
        <f t="shared" si="82"/>
        <v>0.16381070281314022</v>
      </c>
      <c r="AA240" t="s">
        <v>1170</v>
      </c>
      <c r="AB240">
        <f t="shared" si="70"/>
        <v>4.2262540599120761E-2</v>
      </c>
      <c r="AC240">
        <f t="shared" si="83"/>
        <v>0.12394994578003433</v>
      </c>
      <c r="AD240" t="str">
        <f t="shared" si="84"/>
        <v>No Impact</v>
      </c>
      <c r="AE240">
        <f t="shared" si="71"/>
        <v>7.9404603145632885E-3</v>
      </c>
      <c r="AF240">
        <f t="shared" si="85"/>
        <v>5.2326141472447726E-2</v>
      </c>
      <c r="AG240" t="s">
        <v>1170</v>
      </c>
    </row>
    <row r="241" spans="1:33" customFormat="1" x14ac:dyDescent="0.3">
      <c r="A241">
        <v>305682</v>
      </c>
      <c r="B241" t="s">
        <v>491</v>
      </c>
      <c r="C241" t="s">
        <v>782</v>
      </c>
      <c r="D241" t="s">
        <v>788</v>
      </c>
      <c r="E241" s="21">
        <v>5.9</v>
      </c>
      <c r="F241" s="2">
        <f t="shared" si="72"/>
        <v>0.60000000000000009</v>
      </c>
      <c r="G241" s="10">
        <v>45.21564</v>
      </c>
      <c r="H241">
        <f t="shared" si="73"/>
        <v>0.41269846485463435</v>
      </c>
      <c r="I241" s="12">
        <v>51.3</v>
      </c>
      <c r="J241" s="2">
        <f t="shared" si="74"/>
        <v>0.12433349491032478</v>
      </c>
      <c r="K241" s="10">
        <v>0</v>
      </c>
      <c r="L241" s="2">
        <f t="shared" si="75"/>
        <v>0</v>
      </c>
      <c r="M241">
        <v>54363</v>
      </c>
      <c r="N241">
        <f t="shared" si="76"/>
        <v>0.25608342441318555</v>
      </c>
      <c r="O241" s="10">
        <v>0.78856901499999998</v>
      </c>
      <c r="P241">
        <f t="shared" si="77"/>
        <v>0.77297641959617969</v>
      </c>
      <c r="Q241" s="23">
        <v>0.25219999999999998</v>
      </c>
      <c r="R241" s="13">
        <f t="shared" si="78"/>
        <v>0.54612386314421824</v>
      </c>
      <c r="S241">
        <f t="shared" si="79"/>
        <v>7.4381896046491688E-2</v>
      </c>
      <c r="T241" s="14">
        <f t="shared" si="67"/>
        <v>0.15709057197853005</v>
      </c>
      <c r="U241" t="str">
        <f t="shared" si="80"/>
        <v>Low</v>
      </c>
      <c r="V241">
        <f t="shared" si="81"/>
        <v>6.159005338473747E-2</v>
      </c>
      <c r="W241">
        <f t="shared" si="68"/>
        <v>0.11180402223204791</v>
      </c>
      <c r="X241" t="s">
        <v>1170</v>
      </c>
      <c r="Y241">
        <f t="shared" si="69"/>
        <v>8.7173738708245921E-2</v>
      </c>
      <c r="Z241">
        <f t="shared" si="82"/>
        <v>0.19274987460680748</v>
      </c>
      <c r="AA241" t="str">
        <f t="shared" si="86"/>
        <v>Low</v>
      </c>
      <c r="AB241">
        <f t="shared" si="70"/>
        <v>5.7816726567913104E-2</v>
      </c>
      <c r="AC241">
        <f t="shared" si="83"/>
        <v>0.16956813342690977</v>
      </c>
      <c r="AD241" t="str">
        <f t="shared" si="84"/>
        <v>Low</v>
      </c>
      <c r="AE241">
        <f t="shared" si="71"/>
        <v>2.888024648794631E-2</v>
      </c>
      <c r="AF241">
        <f t="shared" si="85"/>
        <v>0.19031539780078269</v>
      </c>
      <c r="AG241" t="s">
        <v>1169</v>
      </c>
    </row>
    <row r="242" spans="1:33" customFormat="1" x14ac:dyDescent="0.3">
      <c r="A242">
        <v>305924</v>
      </c>
      <c r="B242" t="s">
        <v>180</v>
      </c>
      <c r="C242" t="s">
        <v>790</v>
      </c>
      <c r="D242" t="s">
        <v>789</v>
      </c>
      <c r="E242" s="21">
        <v>5.2</v>
      </c>
      <c r="F242" s="2">
        <f t="shared" si="72"/>
        <v>0.44444444444444442</v>
      </c>
      <c r="G242" s="10">
        <v>40.344839999999998</v>
      </c>
      <c r="H242">
        <f t="shared" si="73"/>
        <v>0.36824102307975398</v>
      </c>
      <c r="I242" s="12">
        <v>70.2</v>
      </c>
      <c r="J242" s="2">
        <f t="shared" si="74"/>
        <v>0.1701405719825497</v>
      </c>
      <c r="K242" s="10">
        <v>0</v>
      </c>
      <c r="L242" s="2">
        <f t="shared" si="75"/>
        <v>0</v>
      </c>
      <c r="M242">
        <v>21467</v>
      </c>
      <c r="N242">
        <f t="shared" si="76"/>
        <v>0.10043860271678187</v>
      </c>
      <c r="O242" s="10">
        <v>0.59665042999999995</v>
      </c>
      <c r="P242">
        <f t="shared" si="77"/>
        <v>0.56161863058552031</v>
      </c>
      <c r="Q242" s="23">
        <v>0.2409</v>
      </c>
      <c r="R242" s="13">
        <f t="shared" si="78"/>
        <v>0.52165439584235607</v>
      </c>
      <c r="S242">
        <f t="shared" si="79"/>
        <v>4.5361109099927376E-2</v>
      </c>
      <c r="T242" s="14">
        <f t="shared" si="67"/>
        <v>9.5800227647251435E-2</v>
      </c>
      <c r="U242" t="str">
        <f t="shared" si="80"/>
        <v>No Impact</v>
      </c>
      <c r="V242">
        <f t="shared" si="81"/>
        <v>4.368764177631311E-2</v>
      </c>
      <c r="W242">
        <f t="shared" si="68"/>
        <v>7.9305891195006903E-2</v>
      </c>
      <c r="X242" t="s">
        <v>1170</v>
      </c>
      <c r="Y242">
        <f t="shared" si="69"/>
        <v>4.7034576423541634E-2</v>
      </c>
      <c r="Z242">
        <f t="shared" si="82"/>
        <v>0.10399816323312508</v>
      </c>
      <c r="AA242" t="s">
        <v>1170</v>
      </c>
      <c r="AB242">
        <f t="shared" si="70"/>
        <v>3.2345092506203203E-2</v>
      </c>
      <c r="AC242">
        <f t="shared" si="83"/>
        <v>9.4863498634000482E-2</v>
      </c>
      <c r="AD242" t="str">
        <f t="shared" si="84"/>
        <v>No Impact</v>
      </c>
      <c r="AE242">
        <f t="shared" si="71"/>
        <v>8.4115570212317855E-3</v>
      </c>
      <c r="AF242">
        <f t="shared" si="85"/>
        <v>5.5430580251032029E-2</v>
      </c>
      <c r="AG242" t="s">
        <v>1170</v>
      </c>
    </row>
    <row r="243" spans="1:33" customFormat="1" x14ac:dyDescent="0.3">
      <c r="A243">
        <v>305944</v>
      </c>
      <c r="B243" t="s">
        <v>308</v>
      </c>
      <c r="C243" t="s">
        <v>790</v>
      </c>
      <c r="D243" t="s">
        <v>791</v>
      </c>
      <c r="E243" s="21">
        <v>5.2</v>
      </c>
      <c r="F243" s="2">
        <f t="shared" si="72"/>
        <v>0.44444444444444442</v>
      </c>
      <c r="G243" s="10">
        <v>42.69276</v>
      </c>
      <c r="H243">
        <f t="shared" si="73"/>
        <v>0.38967128436990695</v>
      </c>
      <c r="I243" s="12">
        <v>72.599999999999994</v>
      </c>
      <c r="J243" s="2">
        <f t="shared" si="74"/>
        <v>0.17595734367426077</v>
      </c>
      <c r="K243" s="10">
        <v>0</v>
      </c>
      <c r="L243" s="2">
        <f t="shared" si="75"/>
        <v>0</v>
      </c>
      <c r="M243">
        <v>27501</v>
      </c>
      <c r="N243">
        <f t="shared" si="76"/>
        <v>0.12898799638519443</v>
      </c>
      <c r="O243" s="10">
        <v>0.66358634800000005</v>
      </c>
      <c r="P243">
        <f t="shared" si="77"/>
        <v>0.63533440768901872</v>
      </c>
      <c r="Q243" s="23">
        <v>0.24210000000000001</v>
      </c>
      <c r="R243" s="13">
        <f t="shared" si="78"/>
        <v>0.52425292334343876</v>
      </c>
      <c r="S243">
        <f t="shared" si="79"/>
        <v>5.1014117089388994E-2</v>
      </c>
      <c r="T243" s="14">
        <f t="shared" si="67"/>
        <v>0.1077390770940129</v>
      </c>
      <c r="U243" t="str">
        <f t="shared" si="80"/>
        <v>No Impact</v>
      </c>
      <c r="V243">
        <f t="shared" si="81"/>
        <v>4.6127271832272318E-2</v>
      </c>
      <c r="W243">
        <f t="shared" si="68"/>
        <v>8.3734535724839826E-2</v>
      </c>
      <c r="X243" t="s">
        <v>1170</v>
      </c>
      <c r="Y243">
        <f t="shared" si="69"/>
        <v>5.5900962346505663E-2</v>
      </c>
      <c r="Z243">
        <f t="shared" si="82"/>
        <v>0.12360263127810091</v>
      </c>
      <c r="AA243" t="s">
        <v>1170</v>
      </c>
      <c r="AB243">
        <f t="shared" si="70"/>
        <v>3.6887062587521072E-2</v>
      </c>
      <c r="AC243">
        <f t="shared" si="83"/>
        <v>0.10818444283974471</v>
      </c>
      <c r="AD243" t="str">
        <f t="shared" si="84"/>
        <v>No Impact</v>
      </c>
      <c r="AE243">
        <f t="shared" si="71"/>
        <v>1.1349224977925889E-2</v>
      </c>
      <c r="AF243">
        <f t="shared" si="85"/>
        <v>7.4789260102265095E-2</v>
      </c>
      <c r="AG243" t="s">
        <v>1170</v>
      </c>
    </row>
    <row r="244" spans="1:33" customFormat="1" x14ac:dyDescent="0.3">
      <c r="A244">
        <v>305956</v>
      </c>
      <c r="B244" t="s">
        <v>356</v>
      </c>
      <c r="C244" t="s">
        <v>790</v>
      </c>
      <c r="D244" t="s">
        <v>792</v>
      </c>
      <c r="E244" s="21">
        <v>5.3</v>
      </c>
      <c r="F244" s="2">
        <f t="shared" si="72"/>
        <v>0.46666666666666656</v>
      </c>
      <c r="G244" s="10">
        <v>42.69276</v>
      </c>
      <c r="H244">
        <f t="shared" si="73"/>
        <v>0.38967128436990695</v>
      </c>
      <c r="I244" s="12">
        <v>72.5</v>
      </c>
      <c r="J244" s="2">
        <f t="shared" si="74"/>
        <v>0.17571497818710616</v>
      </c>
      <c r="K244" s="10">
        <v>0</v>
      </c>
      <c r="L244" s="2">
        <f t="shared" si="75"/>
        <v>0</v>
      </c>
      <c r="M244">
        <v>39821</v>
      </c>
      <c r="N244">
        <f t="shared" si="76"/>
        <v>0.18727910178705767</v>
      </c>
      <c r="O244" s="10">
        <v>0.80037910000000001</v>
      </c>
      <c r="P244">
        <f t="shared" si="77"/>
        <v>0.78598273398531482</v>
      </c>
      <c r="Q244" s="23">
        <v>0.22819999999999999</v>
      </c>
      <c r="R244" s="13">
        <f t="shared" si="78"/>
        <v>0.49415331312256389</v>
      </c>
      <c r="S244">
        <f t="shared" si="79"/>
        <v>5.9107992377837933E-2</v>
      </c>
      <c r="T244" s="14">
        <f t="shared" si="67"/>
        <v>0.12483290726191575</v>
      </c>
      <c r="U244" t="str">
        <f t="shared" si="80"/>
        <v>No Impact</v>
      </c>
      <c r="V244">
        <f t="shared" si="81"/>
        <v>4.5633290823300185E-2</v>
      </c>
      <c r="W244">
        <f t="shared" si="68"/>
        <v>8.2837815220892091E-2</v>
      </c>
      <c r="X244" t="s">
        <v>1170</v>
      </c>
      <c r="Y244">
        <f t="shared" si="69"/>
        <v>7.258269393237568E-2</v>
      </c>
      <c r="Z244">
        <f t="shared" si="82"/>
        <v>0.16048761199645931</v>
      </c>
      <c r="AA244" t="s">
        <v>1170</v>
      </c>
      <c r="AB244">
        <f t="shared" si="70"/>
        <v>4.3799554263725386E-2</v>
      </c>
      <c r="AC244">
        <f t="shared" si="83"/>
        <v>0.12845778552866693</v>
      </c>
      <c r="AD244" t="str">
        <f t="shared" si="84"/>
        <v>No Impact</v>
      </c>
      <c r="AE244">
        <f t="shared" si="71"/>
        <v>1.7294555131021759E-2</v>
      </c>
      <c r="AF244">
        <f t="shared" si="85"/>
        <v>0.11396786869259259</v>
      </c>
      <c r="AG244" t="s">
        <v>1169</v>
      </c>
    </row>
    <row r="245" spans="1:33" customFormat="1" x14ac:dyDescent="0.3">
      <c r="A245">
        <v>305974</v>
      </c>
      <c r="B245" t="s">
        <v>471</v>
      </c>
      <c r="C245" t="s">
        <v>790</v>
      </c>
      <c r="D245" t="s">
        <v>793</v>
      </c>
      <c r="E245" s="21">
        <v>5.2</v>
      </c>
      <c r="F245" s="2">
        <f t="shared" si="72"/>
        <v>0.44444444444444442</v>
      </c>
      <c r="G245" s="10">
        <v>40.564439999999998</v>
      </c>
      <c r="H245">
        <f t="shared" si="73"/>
        <v>0.37024538667788232</v>
      </c>
      <c r="I245" s="12">
        <v>67.400000000000006</v>
      </c>
      <c r="J245" s="2">
        <f t="shared" si="74"/>
        <v>0.1633543383422201</v>
      </c>
      <c r="K245" s="10">
        <v>0</v>
      </c>
      <c r="L245" s="2">
        <f t="shared" si="75"/>
        <v>0</v>
      </c>
      <c r="M245">
        <v>40362</v>
      </c>
      <c r="N245">
        <f t="shared" si="76"/>
        <v>0.18983880049017521</v>
      </c>
      <c r="O245" s="10">
        <v>0.75575219800000004</v>
      </c>
      <c r="P245">
        <f t="shared" si="77"/>
        <v>0.7368356264390844</v>
      </c>
      <c r="Q245" s="23">
        <v>0.23730000000000001</v>
      </c>
      <c r="R245" s="13">
        <f t="shared" si="78"/>
        <v>0.51385881333910788</v>
      </c>
      <c r="S245">
        <f t="shared" si="79"/>
        <v>5.1906571822763342E-2</v>
      </c>
      <c r="T245" s="14">
        <f t="shared" si="67"/>
        <v>0.10962389358811106</v>
      </c>
      <c r="U245" t="str">
        <f t="shared" si="80"/>
        <v>No Impact</v>
      </c>
      <c r="V245">
        <f t="shared" si="81"/>
        <v>4.2652543343962859E-2</v>
      </c>
      <c r="W245">
        <f t="shared" si="68"/>
        <v>7.7426883761453943E-2</v>
      </c>
      <c r="X245" t="s">
        <v>1170</v>
      </c>
      <c r="Y245">
        <f t="shared" si="69"/>
        <v>6.1160600301563832E-2</v>
      </c>
      <c r="Z245">
        <f t="shared" si="82"/>
        <v>0.13523221802449073</v>
      </c>
      <c r="AA245" t="s">
        <v>1170</v>
      </c>
      <c r="AB245">
        <f t="shared" si="70"/>
        <v>3.8791679877795568E-2</v>
      </c>
      <c r="AC245">
        <f t="shared" si="83"/>
        <v>0.11377041108762026</v>
      </c>
      <c r="AD245" t="str">
        <f t="shared" si="84"/>
        <v>No Impact</v>
      </c>
      <c r="AE245">
        <f t="shared" si="71"/>
        <v>1.5757456048398333E-2</v>
      </c>
      <c r="AF245">
        <f t="shared" si="85"/>
        <v>0.10383867455670495</v>
      </c>
      <c r="AG245" t="s">
        <v>1169</v>
      </c>
    </row>
    <row r="246" spans="1:33" customFormat="1" x14ac:dyDescent="0.3">
      <c r="A246">
        <v>305984</v>
      </c>
      <c r="B246" t="s">
        <v>502</v>
      </c>
      <c r="C246" t="s">
        <v>790</v>
      </c>
      <c r="D246" t="s">
        <v>794</v>
      </c>
      <c r="E246" s="21">
        <v>5.2</v>
      </c>
      <c r="F246" s="2">
        <f t="shared" si="72"/>
        <v>0.44444444444444442</v>
      </c>
      <c r="G246" s="10">
        <v>42.250320000000002</v>
      </c>
      <c r="H246">
        <f t="shared" si="73"/>
        <v>0.38563298459597289</v>
      </c>
      <c r="I246" s="12">
        <v>66.8</v>
      </c>
      <c r="J246" s="2">
        <f t="shared" si="74"/>
        <v>0.16190014541929229</v>
      </c>
      <c r="K246" s="10">
        <v>0</v>
      </c>
      <c r="L246" s="2">
        <f t="shared" si="75"/>
        <v>0</v>
      </c>
      <c r="M246">
        <v>39492</v>
      </c>
      <c r="N246">
        <f t="shared" si="76"/>
        <v>0.18572246431325792</v>
      </c>
      <c r="O246" s="10">
        <v>0.42531223400000001</v>
      </c>
      <c r="P246">
        <f t="shared" si="77"/>
        <v>0.37292579357010064</v>
      </c>
      <c r="Q246" s="23">
        <v>0.251</v>
      </c>
      <c r="R246" s="13">
        <f t="shared" si="78"/>
        <v>0.54352533564313554</v>
      </c>
      <c r="S246">
        <f t="shared" si="79"/>
        <v>3.9027905410989244E-2</v>
      </c>
      <c r="T246" s="14">
        <f t="shared" si="67"/>
        <v>8.2424841392913645E-2</v>
      </c>
      <c r="U246" t="str">
        <f t="shared" si="80"/>
        <v>No Impact</v>
      </c>
      <c r="V246">
        <f t="shared" si="81"/>
        <v>4.6293042174910773E-2</v>
      </c>
      <c r="W246">
        <f t="shared" si="68"/>
        <v>8.4035457546712392E-2</v>
      </c>
      <c r="X246" t="s">
        <v>1170</v>
      </c>
      <c r="Y246">
        <f t="shared" si="69"/>
        <v>3.1762768647067709E-2</v>
      </c>
      <c r="Z246">
        <f t="shared" si="82"/>
        <v>7.0230665388545735E-2</v>
      </c>
      <c r="AA246" t="s">
        <v>1170</v>
      </c>
      <c r="AB246">
        <f t="shared" si="70"/>
        <v>3.1267807475094347E-2</v>
      </c>
      <c r="AC246">
        <f t="shared" si="83"/>
        <v>9.1703976766581957E-2</v>
      </c>
      <c r="AD246" t="str">
        <f t="shared" si="84"/>
        <v>No Impact</v>
      </c>
      <c r="AE246">
        <f t="shared" si="71"/>
        <v>1.58183203421579E-2</v>
      </c>
      <c r="AF246">
        <f t="shared" si="85"/>
        <v>0.10423975881627144</v>
      </c>
      <c r="AG246" t="s">
        <v>1169</v>
      </c>
    </row>
    <row r="247" spans="1:33" customFormat="1" x14ac:dyDescent="0.3">
      <c r="A247">
        <v>305994</v>
      </c>
      <c r="B247" t="s">
        <v>528</v>
      </c>
      <c r="C247" t="s">
        <v>790</v>
      </c>
      <c r="D247" t="s">
        <v>795</v>
      </c>
      <c r="E247" s="21">
        <v>5.2</v>
      </c>
      <c r="F247" s="2">
        <f t="shared" si="72"/>
        <v>0.44444444444444442</v>
      </c>
      <c r="G247" s="10">
        <v>42.69276</v>
      </c>
      <c r="H247">
        <f t="shared" si="73"/>
        <v>0.38967128436990695</v>
      </c>
      <c r="I247" s="12">
        <v>72.5</v>
      </c>
      <c r="J247" s="2">
        <f t="shared" si="74"/>
        <v>0.17571497818710616</v>
      </c>
      <c r="K247" s="10">
        <v>0</v>
      </c>
      <c r="L247" s="2">
        <f t="shared" si="75"/>
        <v>0</v>
      </c>
      <c r="M247">
        <v>26166</v>
      </c>
      <c r="N247">
        <f t="shared" si="76"/>
        <v>0.12267154949302825</v>
      </c>
      <c r="O247" s="10">
        <v>0.60841971699999997</v>
      </c>
      <c r="P247">
        <f t="shared" si="77"/>
        <v>0.57458001459401487</v>
      </c>
      <c r="Q247" s="23">
        <v>0.2412</v>
      </c>
      <c r="R247" s="13">
        <f t="shared" si="78"/>
        <v>0.52230402771762674</v>
      </c>
      <c r="S247">
        <f t="shared" si="79"/>
        <v>4.8234913155411695E-2</v>
      </c>
      <c r="T247" s="14">
        <f t="shared" si="67"/>
        <v>0.10186954756009794</v>
      </c>
      <c r="U247" t="str">
        <f t="shared" si="80"/>
        <v>No Impact</v>
      </c>
      <c r="V247">
        <f t="shared" si="81"/>
        <v>4.5936103445515658E-2</v>
      </c>
      <c r="W247">
        <f t="shared" si="68"/>
        <v>8.3387508999120133E-2</v>
      </c>
      <c r="X247" t="s">
        <v>1170</v>
      </c>
      <c r="Y247">
        <f t="shared" si="69"/>
        <v>5.0533722865307745E-2</v>
      </c>
      <c r="Z247">
        <f t="shared" si="82"/>
        <v>0.1117351267714054</v>
      </c>
      <c r="AA247" t="s">
        <v>1170</v>
      </c>
      <c r="AB247">
        <f t="shared" si="70"/>
        <v>3.5013845993975147E-2</v>
      </c>
      <c r="AC247">
        <f t="shared" si="83"/>
        <v>0.10269056831368016</v>
      </c>
      <c r="AD247" t="str">
        <f t="shared" si="84"/>
        <v>No Impact</v>
      </c>
      <c r="AE247">
        <f t="shared" si="71"/>
        <v>1.0788836938435249E-2</v>
      </c>
      <c r="AF247">
        <f t="shared" si="85"/>
        <v>7.1096408218089727E-2</v>
      </c>
      <c r="AG247" t="s">
        <v>1170</v>
      </c>
    </row>
    <row r="248" spans="1:33" customFormat="1" x14ac:dyDescent="0.3">
      <c r="A248">
        <v>306702</v>
      </c>
      <c r="B248" t="s">
        <v>12</v>
      </c>
      <c r="C248" t="s">
        <v>797</v>
      </c>
      <c r="D248" t="s">
        <v>796</v>
      </c>
      <c r="E248" s="21">
        <v>4.4000000000000004</v>
      </c>
      <c r="F248" s="2">
        <f t="shared" si="72"/>
        <v>0.26666666666666672</v>
      </c>
      <c r="G248" s="10">
        <v>39.60324</v>
      </c>
      <c r="H248">
        <f t="shared" si="73"/>
        <v>0.36147218863361547</v>
      </c>
      <c r="I248" s="12">
        <v>61</v>
      </c>
      <c r="J248" s="2">
        <f t="shared" si="74"/>
        <v>0.14784294716432381</v>
      </c>
      <c r="K248" s="10">
        <v>0</v>
      </c>
      <c r="L248" s="2">
        <f t="shared" si="75"/>
        <v>0</v>
      </c>
      <c r="M248">
        <v>60872</v>
      </c>
      <c r="N248">
        <f t="shared" si="76"/>
        <v>0.28688024300577708</v>
      </c>
      <c r="O248" s="10">
        <v>0.79376532399999999</v>
      </c>
      <c r="P248">
        <f t="shared" si="77"/>
        <v>0.77869905652191662</v>
      </c>
      <c r="Q248" s="23">
        <v>0.2626</v>
      </c>
      <c r="R248" s="13">
        <f t="shared" si="78"/>
        <v>0.5686444348202685</v>
      </c>
      <c r="S248">
        <f t="shared" si="79"/>
        <v>3.2023713552106023E-2</v>
      </c>
      <c r="T248" s="14">
        <f t="shared" si="67"/>
        <v>6.7632364139152842E-2</v>
      </c>
      <c r="U248" t="str">
        <f t="shared" si="80"/>
        <v>No Impact</v>
      </c>
      <c r="V248">
        <f t="shared" si="81"/>
        <v>2.7031126970514567E-2</v>
      </c>
      <c r="W248">
        <f t="shared" si="68"/>
        <v>4.9069428498297811E-2</v>
      </c>
      <c r="X248" t="s">
        <v>1170</v>
      </c>
      <c r="Y248">
        <f t="shared" si="69"/>
        <v>3.7016300133697479E-2</v>
      </c>
      <c r="Z248">
        <f t="shared" si="82"/>
        <v>8.1846750121126077E-2</v>
      </c>
      <c r="AA248" t="s">
        <v>1170</v>
      </c>
      <c r="AB248">
        <f t="shared" si="70"/>
        <v>2.5338791177314295E-2</v>
      </c>
      <c r="AC248">
        <f t="shared" si="83"/>
        <v>7.4315025742325111E-2</v>
      </c>
      <c r="AD248" t="str">
        <f t="shared" si="84"/>
        <v>No Impact</v>
      </c>
      <c r="AE248">
        <f t="shared" si="71"/>
        <v>1.3637161992928432E-2</v>
      </c>
      <c r="AF248">
        <f t="shared" si="85"/>
        <v>8.9866335131215377E-2</v>
      </c>
      <c r="AG248" t="s">
        <v>1170</v>
      </c>
    </row>
    <row r="249" spans="1:33" customFormat="1" x14ac:dyDescent="0.3">
      <c r="A249">
        <v>306704</v>
      </c>
      <c r="B249" t="s">
        <v>498</v>
      </c>
      <c r="C249" t="s">
        <v>797</v>
      </c>
      <c r="D249" t="s">
        <v>798</v>
      </c>
      <c r="E249" s="21">
        <v>4.3</v>
      </c>
      <c r="F249" s="2">
        <f t="shared" si="72"/>
        <v>0.24444444444444435</v>
      </c>
      <c r="G249" s="10">
        <v>40.196880000000007</v>
      </c>
      <c r="H249">
        <f t="shared" si="73"/>
        <v>0.3668905420324905</v>
      </c>
      <c r="I249" s="12">
        <v>70.599999999999994</v>
      </c>
      <c r="J249" s="2">
        <f t="shared" si="74"/>
        <v>0.17111003393116819</v>
      </c>
      <c r="K249" s="10">
        <v>0</v>
      </c>
      <c r="L249" s="2">
        <f t="shared" si="75"/>
        <v>0</v>
      </c>
      <c r="M249">
        <v>54149</v>
      </c>
      <c r="N249">
        <f t="shared" si="76"/>
        <v>0.25507090034208174</v>
      </c>
      <c r="O249" s="10">
        <v>0.74988638299999999</v>
      </c>
      <c r="P249">
        <f t="shared" si="77"/>
        <v>0.73037567005109016</v>
      </c>
      <c r="Q249" s="23">
        <v>0.25009999999999999</v>
      </c>
      <c r="R249" s="13">
        <f t="shared" si="78"/>
        <v>0.54157644001732352</v>
      </c>
      <c r="S249">
        <f t="shared" si="79"/>
        <v>2.9273302512085996E-2</v>
      </c>
      <c r="T249" s="14">
        <f t="shared" si="67"/>
        <v>6.1823643651808015E-2</v>
      </c>
      <c r="U249" t="str">
        <f t="shared" si="80"/>
        <v>No Impact</v>
      </c>
      <c r="V249">
        <f t="shared" si="81"/>
        <v>2.492818846960047E-2</v>
      </c>
      <c r="W249">
        <f t="shared" si="68"/>
        <v>4.5251977952507363E-2</v>
      </c>
      <c r="X249" t="s">
        <v>1170</v>
      </c>
      <c r="Y249">
        <f t="shared" si="69"/>
        <v>3.3618416554571526E-2</v>
      </c>
      <c r="Z249">
        <f t="shared" si="82"/>
        <v>7.4333688922764221E-2</v>
      </c>
      <c r="AA249" t="s">
        <v>1170</v>
      </c>
      <c r="AB249">
        <f t="shared" si="70"/>
        <v>2.2919615875639024E-2</v>
      </c>
      <c r="AC249">
        <f t="shared" si="83"/>
        <v>6.72199329432593E-2</v>
      </c>
      <c r="AD249" t="str">
        <f t="shared" si="84"/>
        <v>No Impact</v>
      </c>
      <c r="AE249">
        <f t="shared" si="71"/>
        <v>1.174064269973543E-2</v>
      </c>
      <c r="AF249">
        <f t="shared" si="85"/>
        <v>7.7368629342190035E-2</v>
      </c>
      <c r="AG249" t="s">
        <v>1170</v>
      </c>
    </row>
    <row r="250" spans="1:33" customFormat="1" x14ac:dyDescent="0.3">
      <c r="A250">
        <v>306706</v>
      </c>
      <c r="B250" t="s">
        <v>41</v>
      </c>
      <c r="C250" t="s">
        <v>797</v>
      </c>
      <c r="D250" t="s">
        <v>799</v>
      </c>
      <c r="E250" s="21">
        <v>4.4000000000000004</v>
      </c>
      <c r="F250" s="2">
        <f t="shared" si="72"/>
        <v>0.26666666666666672</v>
      </c>
      <c r="G250" s="10">
        <v>39.147120000000001</v>
      </c>
      <c r="H250">
        <f t="shared" si="73"/>
        <v>0.3573090268650439</v>
      </c>
      <c r="I250" s="12">
        <v>70.599999999999994</v>
      </c>
      <c r="J250" s="2">
        <f t="shared" si="74"/>
        <v>0.17111003393116819</v>
      </c>
      <c r="K250" s="10">
        <v>0</v>
      </c>
      <c r="L250" s="2">
        <f t="shared" si="75"/>
        <v>0</v>
      </c>
      <c r="M250">
        <v>35234</v>
      </c>
      <c r="N250">
        <f t="shared" si="76"/>
        <v>0.16557607415082823</v>
      </c>
      <c r="O250" s="10">
        <v>0.70288455800000005</v>
      </c>
      <c r="P250">
        <f t="shared" si="77"/>
        <v>0.67861308639372353</v>
      </c>
      <c r="Q250" s="23">
        <v>0.22220000000000001</v>
      </c>
      <c r="R250" s="13">
        <f t="shared" si="78"/>
        <v>0.48116067561715031</v>
      </c>
      <c r="S250">
        <f t="shared" si="79"/>
        <v>2.8599506229367525E-2</v>
      </c>
      <c r="T250" s="14">
        <f t="shared" si="67"/>
        <v>6.0400622068933957E-2</v>
      </c>
      <c r="U250" t="str">
        <f t="shared" si="80"/>
        <v>No Impact</v>
      </c>
      <c r="V250">
        <f t="shared" si="81"/>
        <v>2.3730417414823977E-2</v>
      </c>
      <c r="W250">
        <f t="shared" si="68"/>
        <v>4.3077671968380388E-2</v>
      </c>
      <c r="X250" t="s">
        <v>1170</v>
      </c>
      <c r="Y250">
        <f t="shared" si="69"/>
        <v>3.346859504391108E-2</v>
      </c>
      <c r="Z250">
        <f t="shared" si="82"/>
        <v>7.4002418544538817E-2</v>
      </c>
      <c r="AA250" t="s">
        <v>1170</v>
      </c>
      <c r="AB250">
        <f t="shared" si="70"/>
        <v>2.1204347359069797E-2</v>
      </c>
      <c r="AC250">
        <f t="shared" si="83"/>
        <v>6.2189297382476694E-2</v>
      </c>
      <c r="AD250" t="str">
        <f t="shared" si="84"/>
        <v>No Impact</v>
      </c>
      <c r="AE250">
        <f t="shared" si="71"/>
        <v>8.1660650020230988E-3</v>
      </c>
      <c r="AF250">
        <f t="shared" si="85"/>
        <v>5.3812833972027165E-2</v>
      </c>
      <c r="AG250" t="s">
        <v>1170</v>
      </c>
    </row>
    <row r="251" spans="1:33" customFormat="1" x14ac:dyDescent="0.3">
      <c r="A251">
        <v>306758</v>
      </c>
      <c r="B251" t="s">
        <v>375</v>
      </c>
      <c r="C251" t="s">
        <v>797</v>
      </c>
      <c r="D251" t="s">
        <v>800</v>
      </c>
      <c r="E251" s="21">
        <v>4.4000000000000004</v>
      </c>
      <c r="F251" s="2">
        <f t="shared" si="72"/>
        <v>0.26666666666666672</v>
      </c>
      <c r="G251" s="10">
        <v>40.564439999999998</v>
      </c>
      <c r="H251">
        <f t="shared" si="73"/>
        <v>0.37024538667788232</v>
      </c>
      <c r="I251" s="12">
        <v>67.599999999999994</v>
      </c>
      <c r="J251" s="2">
        <f t="shared" si="74"/>
        <v>0.16383906931652933</v>
      </c>
      <c r="K251" s="10">
        <v>0</v>
      </c>
      <c r="L251" s="2">
        <f t="shared" si="75"/>
        <v>0</v>
      </c>
      <c r="M251">
        <v>84610</v>
      </c>
      <c r="N251">
        <f t="shared" si="76"/>
        <v>0.39919471216400998</v>
      </c>
      <c r="O251" s="10">
        <v>0.69753527900000001</v>
      </c>
      <c r="P251">
        <f t="shared" si="77"/>
        <v>0.67272198531958238</v>
      </c>
      <c r="Q251" s="23">
        <v>0.16539999999999999</v>
      </c>
      <c r="R251" s="13">
        <f t="shared" si="78"/>
        <v>0.35816370723256818</v>
      </c>
      <c r="S251">
        <f t="shared" si="79"/>
        <v>2.5693734467293092E-2</v>
      </c>
      <c r="T251" s="14">
        <f t="shared" si="67"/>
        <v>5.4263788075645837E-2</v>
      </c>
      <c r="U251" t="str">
        <f t="shared" si="80"/>
        <v>No Impact</v>
      </c>
      <c r="V251">
        <f t="shared" si="81"/>
        <v>1.7853702415196477E-2</v>
      </c>
      <c r="W251">
        <f t="shared" si="68"/>
        <v>3.2409709556245468E-2</v>
      </c>
      <c r="X251" t="s">
        <v>1170</v>
      </c>
      <c r="Y251">
        <f t="shared" si="69"/>
        <v>3.3533766519389711E-2</v>
      </c>
      <c r="Z251">
        <f t="shared" si="82"/>
        <v>7.4146519209631181E-2</v>
      </c>
      <c r="AA251" t="s">
        <v>1170</v>
      </c>
      <c r="AB251">
        <f t="shared" si="70"/>
        <v>2.3273579696746403E-2</v>
      </c>
      <c r="AC251">
        <f t="shared" si="83"/>
        <v>6.8258057859849536E-2</v>
      </c>
      <c r="AD251" t="str">
        <f t="shared" si="84"/>
        <v>No Impact</v>
      </c>
      <c r="AE251">
        <f t="shared" si="71"/>
        <v>1.9899011130316367E-2</v>
      </c>
      <c r="AF251">
        <f t="shared" si="85"/>
        <v>0.13113074435458752</v>
      </c>
      <c r="AG251" t="s">
        <v>1169</v>
      </c>
    </row>
    <row r="252" spans="1:33" customFormat="1" x14ac:dyDescent="0.3">
      <c r="A252">
        <v>306768</v>
      </c>
      <c r="B252" t="s">
        <v>450</v>
      </c>
      <c r="C252" t="s">
        <v>797</v>
      </c>
      <c r="D252" t="s">
        <v>801</v>
      </c>
      <c r="E252" s="21">
        <v>4.4000000000000004</v>
      </c>
      <c r="F252" s="2">
        <f t="shared" si="72"/>
        <v>0.26666666666666672</v>
      </c>
      <c r="G252" s="10">
        <v>39.160800000000002</v>
      </c>
      <c r="H252">
        <f t="shared" si="73"/>
        <v>0.35743388885968141</v>
      </c>
      <c r="I252" s="12">
        <v>56.000000000000007</v>
      </c>
      <c r="J252" s="2">
        <f t="shared" si="74"/>
        <v>0.13572467280659237</v>
      </c>
      <c r="K252" s="10">
        <v>0</v>
      </c>
      <c r="L252" s="2">
        <f t="shared" si="75"/>
        <v>0</v>
      </c>
      <c r="M252">
        <v>72027</v>
      </c>
      <c r="N252">
        <f t="shared" si="76"/>
        <v>0.33965924306728551</v>
      </c>
      <c r="O252" s="10">
        <v>0.80190976400000002</v>
      </c>
      <c r="P252">
        <f t="shared" si="77"/>
        <v>0.78766843711176404</v>
      </c>
      <c r="Q252" s="23">
        <v>0.2339</v>
      </c>
      <c r="R252" s="13">
        <f t="shared" si="78"/>
        <v>0.50649631875270684</v>
      </c>
      <c r="S252">
        <f t="shared" si="79"/>
        <v>2.9783993379527657E-2</v>
      </c>
      <c r="T252" s="14">
        <f t="shared" si="67"/>
        <v>6.2902195352351906E-2</v>
      </c>
      <c r="U252" t="str">
        <f t="shared" si="80"/>
        <v>No Impact</v>
      </c>
      <c r="V252">
        <f t="shared" si="81"/>
        <v>2.3313079630899101E-2</v>
      </c>
      <c r="W252">
        <f t="shared" si="68"/>
        <v>4.2320081411010076E-2</v>
      </c>
      <c r="X252" t="s">
        <v>1170</v>
      </c>
      <c r="Y252">
        <f t="shared" si="69"/>
        <v>3.6254907128156218E-2</v>
      </c>
      <c r="Z252">
        <f t="shared" si="82"/>
        <v>8.0163233863600969E-2</v>
      </c>
      <c r="AA252" t="s">
        <v>1170</v>
      </c>
      <c r="AB252">
        <f t="shared" si="70"/>
        <v>2.4507908225673666E-2</v>
      </c>
      <c r="AC252">
        <f t="shared" si="83"/>
        <v>7.1878165692137938E-2</v>
      </c>
      <c r="AD252" t="str">
        <f t="shared" si="84"/>
        <v>No Impact</v>
      </c>
      <c r="AE252">
        <f t="shared" si="71"/>
        <v>1.5633880618320332E-2</v>
      </c>
      <c r="AF252">
        <f t="shared" si="85"/>
        <v>0.10302433569212796</v>
      </c>
      <c r="AG252" t="s">
        <v>1169</v>
      </c>
    </row>
    <row r="253" spans="1:33" customFormat="1" x14ac:dyDescent="0.3">
      <c r="A253">
        <v>306807</v>
      </c>
      <c r="B253" t="s">
        <v>59</v>
      </c>
      <c r="C253" t="s">
        <v>803</v>
      </c>
      <c r="D253" t="s">
        <v>802</v>
      </c>
      <c r="E253" s="21">
        <v>4.4000000000000004</v>
      </c>
      <c r="F253" s="2">
        <f t="shared" si="72"/>
        <v>0.26666666666666672</v>
      </c>
      <c r="G253" s="10">
        <v>37.323360000000001</v>
      </c>
      <c r="H253">
        <f t="shared" si="73"/>
        <v>0.34066295147468589</v>
      </c>
      <c r="I253" s="12">
        <v>52.400000000000006</v>
      </c>
      <c r="J253" s="2">
        <f t="shared" si="74"/>
        <v>0.12699951526902573</v>
      </c>
      <c r="K253" s="10">
        <v>0</v>
      </c>
      <c r="L253" s="2">
        <f t="shared" si="75"/>
        <v>0</v>
      </c>
      <c r="M253">
        <v>27160</v>
      </c>
      <c r="N253">
        <f t="shared" si="76"/>
        <v>0.12737458186067857</v>
      </c>
      <c r="O253" s="10">
        <v>0.92547345299999995</v>
      </c>
      <c r="P253">
        <f t="shared" si="77"/>
        <v>0.92374774443388041</v>
      </c>
      <c r="Q253" s="23">
        <v>0.34399999999999997</v>
      </c>
      <c r="R253" s="13">
        <f t="shared" si="78"/>
        <v>0.74491121697704632</v>
      </c>
      <c r="S253">
        <f t="shared" si="79"/>
        <v>3.6417227748880246E-2</v>
      </c>
      <c r="T253" s="14">
        <f t="shared" si="67"/>
        <v>7.6911230299483907E-2</v>
      </c>
      <c r="U253" t="str">
        <f t="shared" si="80"/>
        <v>No Impact</v>
      </c>
      <c r="V253">
        <f t="shared" si="81"/>
        <v>3.2514254942077603E-2</v>
      </c>
      <c r="W253">
        <f t="shared" si="68"/>
        <v>5.9022914945278435E-2</v>
      </c>
      <c r="X253" t="s">
        <v>1170</v>
      </c>
      <c r="Y253">
        <f t="shared" si="69"/>
        <v>4.0320200555682903E-2</v>
      </c>
      <c r="Z253">
        <f t="shared" si="82"/>
        <v>8.915200513814911E-2</v>
      </c>
      <c r="AA253" t="s">
        <v>1170</v>
      </c>
      <c r="AB253">
        <f t="shared" si="70"/>
        <v>2.542194756077688E-2</v>
      </c>
      <c r="AC253">
        <f t="shared" si="83"/>
        <v>7.4558911440518696E-2</v>
      </c>
      <c r="AD253" t="str">
        <f t="shared" si="84"/>
        <v>No Impact</v>
      </c>
      <c r="AE253">
        <f t="shared" si="71"/>
        <v>5.5597090409852858E-3</v>
      </c>
      <c r="AF253">
        <f t="shared" si="85"/>
        <v>3.6637437919144457E-2</v>
      </c>
      <c r="AG253" t="s">
        <v>1170</v>
      </c>
    </row>
    <row r="254" spans="1:33" customFormat="1" x14ac:dyDescent="0.3">
      <c r="A254">
        <v>306852</v>
      </c>
      <c r="B254" t="s">
        <v>324</v>
      </c>
      <c r="C254" t="s">
        <v>803</v>
      </c>
      <c r="D254" t="s">
        <v>804</v>
      </c>
      <c r="E254" s="21">
        <v>4.5</v>
      </c>
      <c r="F254" s="2">
        <f t="shared" si="72"/>
        <v>0.28888888888888886</v>
      </c>
      <c r="G254" s="10">
        <v>38.560319999999997</v>
      </c>
      <c r="H254">
        <f t="shared" si="73"/>
        <v>0.35195310446348771</v>
      </c>
      <c r="I254" s="12">
        <v>57.800000000000004</v>
      </c>
      <c r="J254" s="2">
        <f t="shared" si="74"/>
        <v>0.14008725157537569</v>
      </c>
      <c r="K254" s="10">
        <v>0</v>
      </c>
      <c r="L254" s="2">
        <f t="shared" si="75"/>
        <v>0</v>
      </c>
      <c r="M254">
        <v>22807</v>
      </c>
      <c r="N254">
        <f t="shared" si="76"/>
        <v>0.10677870671341311</v>
      </c>
      <c r="O254" s="10">
        <v>0.95467453800000002</v>
      </c>
      <c r="P254">
        <f t="shared" si="77"/>
        <v>0.95590657241978039</v>
      </c>
      <c r="Q254" s="23">
        <v>0.32450000000000001</v>
      </c>
      <c r="R254" s="13">
        <f t="shared" si="78"/>
        <v>0.70268514508445223</v>
      </c>
      <c r="S254">
        <f t="shared" si="79"/>
        <v>4.1258088548641221E-2</v>
      </c>
      <c r="T254" s="14">
        <f t="shared" si="67"/>
        <v>8.7134868473853405E-2</v>
      </c>
      <c r="U254" t="str">
        <f t="shared" si="80"/>
        <v>No Impact</v>
      </c>
      <c r="V254">
        <f t="shared" si="81"/>
        <v>3.4959110951469169E-2</v>
      </c>
      <c r="W254">
        <f t="shared" si="68"/>
        <v>6.3461046114294567E-2</v>
      </c>
      <c r="X254" t="s">
        <v>1170</v>
      </c>
      <c r="Y254">
        <f t="shared" si="69"/>
        <v>4.7557066145813287E-2</v>
      </c>
      <c r="Z254">
        <f t="shared" si="82"/>
        <v>0.10515344038360114</v>
      </c>
      <c r="AA254" t="s">
        <v>1170</v>
      </c>
      <c r="AB254">
        <f t="shared" si="70"/>
        <v>2.8362120828831633E-2</v>
      </c>
      <c r="AC254">
        <f t="shared" si="83"/>
        <v>8.3182016251375113E-2</v>
      </c>
      <c r="AD254" t="str">
        <f t="shared" si="84"/>
        <v>No Impact</v>
      </c>
      <c r="AE254">
        <f t="shared" si="71"/>
        <v>5.3123204344955339E-3</v>
      </c>
      <c r="AF254">
        <f t="shared" si="85"/>
        <v>3.5007193486323258E-2</v>
      </c>
      <c r="AG254" t="s">
        <v>1170</v>
      </c>
    </row>
    <row r="255" spans="1:33" customFormat="1" x14ac:dyDescent="0.3">
      <c r="A255">
        <v>306860</v>
      </c>
      <c r="B255" t="s">
        <v>377</v>
      </c>
      <c r="C255" t="s">
        <v>803</v>
      </c>
      <c r="D255" t="s">
        <v>805</v>
      </c>
      <c r="E255" s="21">
        <v>4.4000000000000004</v>
      </c>
      <c r="F255" s="2">
        <f t="shared" si="72"/>
        <v>0.26666666666666672</v>
      </c>
      <c r="G255" s="10">
        <v>40.237919999999995</v>
      </c>
      <c r="H255">
        <f t="shared" si="73"/>
        <v>0.36726512801640288</v>
      </c>
      <c r="I255" s="12">
        <v>59.1</v>
      </c>
      <c r="J255" s="2">
        <f t="shared" si="74"/>
        <v>0.14323800290838587</v>
      </c>
      <c r="K255" s="10">
        <v>0</v>
      </c>
      <c r="L255" s="2">
        <f t="shared" si="75"/>
        <v>0</v>
      </c>
      <c r="M255">
        <v>70583</v>
      </c>
      <c r="N255">
        <f t="shared" si="76"/>
        <v>0.33282707129778144</v>
      </c>
      <c r="O255" s="10">
        <v>0.81197894699999995</v>
      </c>
      <c r="P255">
        <f t="shared" si="77"/>
        <v>0.79875751561879715</v>
      </c>
      <c r="Q255" s="23">
        <v>0.25750000000000001</v>
      </c>
      <c r="R255" s="13">
        <f t="shared" si="78"/>
        <v>0.55760069294066694</v>
      </c>
      <c r="S255">
        <f t="shared" si="79"/>
        <v>3.231317189917339E-2</v>
      </c>
      <c r="T255" s="14">
        <f t="shared" si="67"/>
        <v>6.8243684631391327E-2</v>
      </c>
      <c r="U255" t="str">
        <f t="shared" si="80"/>
        <v>No Impact</v>
      </c>
      <c r="V255">
        <f t="shared" si="81"/>
        <v>2.6567977291523947E-2</v>
      </c>
      <c r="W255">
        <f t="shared" si="68"/>
        <v>4.8228675906590121E-2</v>
      </c>
      <c r="X255" t="s">
        <v>1170</v>
      </c>
      <c r="Y255">
        <f t="shared" si="69"/>
        <v>3.8058366506822837E-2</v>
      </c>
      <c r="Z255">
        <f t="shared" si="82"/>
        <v>8.4150863329165923E-2</v>
      </c>
      <c r="AA255" t="s">
        <v>1170</v>
      </c>
      <c r="AB255">
        <f t="shared" si="70"/>
        <v>2.6266671227912375E-2</v>
      </c>
      <c r="AC255">
        <f t="shared" si="83"/>
        <v>7.703636431619211E-2</v>
      </c>
      <c r="AD255" t="str">
        <f t="shared" si="84"/>
        <v>No Impact</v>
      </c>
      <c r="AE255">
        <f t="shared" si="71"/>
        <v>1.5858197782377563E-2</v>
      </c>
      <c r="AF255">
        <f t="shared" si="85"/>
        <v>0.10450254365440811</v>
      </c>
      <c r="AG255" t="s">
        <v>1169</v>
      </c>
    </row>
    <row r="256" spans="1:33" customFormat="1" x14ac:dyDescent="0.3">
      <c r="A256">
        <v>306863</v>
      </c>
      <c r="B256" t="s">
        <v>396</v>
      </c>
      <c r="C256" t="s">
        <v>803</v>
      </c>
      <c r="D256" t="s">
        <v>806</v>
      </c>
      <c r="E256" s="21">
        <v>4</v>
      </c>
      <c r="F256" s="2">
        <f t="shared" si="72"/>
        <v>0.17777777777777773</v>
      </c>
      <c r="G256" s="10">
        <v>38.446200000000005</v>
      </c>
      <c r="H256">
        <f t="shared" si="73"/>
        <v>0.35091149256085385</v>
      </c>
      <c r="I256" s="12">
        <v>44.6</v>
      </c>
      <c r="J256" s="2">
        <f t="shared" si="74"/>
        <v>0.10809500727096463</v>
      </c>
      <c r="K256" s="10">
        <v>0</v>
      </c>
      <c r="L256" s="2">
        <f t="shared" si="75"/>
        <v>0</v>
      </c>
      <c r="M256">
        <v>31340</v>
      </c>
      <c r="N256">
        <f t="shared" si="76"/>
        <v>0.14715192119345361</v>
      </c>
      <c r="O256" s="10">
        <v>0.89756435099999998</v>
      </c>
      <c r="P256">
        <f t="shared" si="77"/>
        <v>0.89301176286131423</v>
      </c>
      <c r="Q256" s="23">
        <v>0.29330000000000001</v>
      </c>
      <c r="R256" s="13">
        <f t="shared" si="78"/>
        <v>0.63512343005630145</v>
      </c>
      <c r="S256">
        <f t="shared" si="79"/>
        <v>2.1822079569762429E-2</v>
      </c>
      <c r="T256" s="14">
        <f t="shared" si="67"/>
        <v>4.6087060744355181E-2</v>
      </c>
      <c r="U256" t="str">
        <f t="shared" si="80"/>
        <v>No Impact</v>
      </c>
      <c r="V256">
        <f t="shared" si="81"/>
        <v>1.8139382027904456E-2</v>
      </c>
      <c r="W256">
        <f t="shared" si="68"/>
        <v>3.2928301894052416E-2</v>
      </c>
      <c r="X256" t="s">
        <v>1170</v>
      </c>
      <c r="Y256">
        <f t="shared" si="69"/>
        <v>2.5504777111620403E-2</v>
      </c>
      <c r="Z256">
        <f t="shared" si="82"/>
        <v>5.6393618800639887E-2</v>
      </c>
      <c r="AA256" t="s">
        <v>1170</v>
      </c>
      <c r="AB256">
        <f t="shared" si="70"/>
        <v>1.5471168277135435E-2</v>
      </c>
      <c r="AC256">
        <f t="shared" si="83"/>
        <v>4.5374708711776304E-2</v>
      </c>
      <c r="AD256" t="str">
        <f t="shared" si="84"/>
        <v>No Impact</v>
      </c>
      <c r="AE256">
        <f t="shared" si="71"/>
        <v>4.2027183825221592E-3</v>
      </c>
      <c r="AF256">
        <f t="shared" si="85"/>
        <v>2.7695124456371768E-2</v>
      </c>
      <c r="AG256" t="s">
        <v>1170</v>
      </c>
    </row>
    <row r="257" spans="1:33" customFormat="1" x14ac:dyDescent="0.3">
      <c r="A257">
        <v>306864</v>
      </c>
      <c r="B257" t="s">
        <v>448</v>
      </c>
      <c r="C257" t="s">
        <v>803</v>
      </c>
      <c r="D257" t="s">
        <v>807</v>
      </c>
      <c r="E257" s="21">
        <v>4.5</v>
      </c>
      <c r="F257" s="2">
        <f t="shared" si="72"/>
        <v>0.28888888888888886</v>
      </c>
      <c r="G257" s="10">
        <v>39.130200000000002</v>
      </c>
      <c r="H257">
        <f t="shared" si="73"/>
        <v>0.35715459229272911</v>
      </c>
      <c r="I257" s="12">
        <v>53.199999999999996</v>
      </c>
      <c r="J257" s="2">
        <f t="shared" si="74"/>
        <v>0.12893843916626271</v>
      </c>
      <c r="K257" s="10">
        <v>0</v>
      </c>
      <c r="L257" s="2">
        <f t="shared" si="75"/>
        <v>0</v>
      </c>
      <c r="M257">
        <v>38383</v>
      </c>
      <c r="N257">
        <f t="shared" si="76"/>
        <v>0.18047531854291163</v>
      </c>
      <c r="O257" s="10">
        <v>0.74746294499999999</v>
      </c>
      <c r="P257">
        <f t="shared" si="77"/>
        <v>0.72770676491360997</v>
      </c>
      <c r="Q257" s="23">
        <v>0.30299999999999999</v>
      </c>
      <c r="R257" s="13">
        <f t="shared" si="78"/>
        <v>0.65612819402338673</v>
      </c>
      <c r="S257">
        <f t="shared" si="79"/>
        <v>3.4007333472668821E-2</v>
      </c>
      <c r="T257" s="14">
        <f t="shared" si="67"/>
        <v>7.1821662939958467E-2</v>
      </c>
      <c r="U257" t="str">
        <f t="shared" si="80"/>
        <v>No Impact</v>
      </c>
      <c r="V257">
        <f t="shared" si="81"/>
        <v>3.2248311333474756E-2</v>
      </c>
      <c r="W257">
        <f t="shared" si="68"/>
        <v>5.8540149247009503E-2</v>
      </c>
      <c r="X257" t="s">
        <v>1170</v>
      </c>
      <c r="Y257">
        <f t="shared" si="69"/>
        <v>3.5766355611862886E-2</v>
      </c>
      <c r="Z257">
        <f t="shared" si="82"/>
        <v>7.9082997488519366E-2</v>
      </c>
      <c r="AA257" t="s">
        <v>1170</v>
      </c>
      <c r="AB257">
        <f t="shared" si="70"/>
        <v>2.5121404829170059E-2</v>
      </c>
      <c r="AC257">
        <f t="shared" si="83"/>
        <v>7.3677462886807654E-2</v>
      </c>
      <c r="AD257" t="str">
        <f t="shared" si="84"/>
        <v>No Impact</v>
      </c>
      <c r="AE257">
        <f t="shared" si="71"/>
        <v>8.8702547968429434E-3</v>
      </c>
      <c r="AF257">
        <f t="shared" si="85"/>
        <v>5.8453312403688923E-2</v>
      </c>
      <c r="AG257" t="s">
        <v>1170</v>
      </c>
    </row>
    <row r="258" spans="1:33" customFormat="1" x14ac:dyDescent="0.3">
      <c r="A258">
        <v>306876</v>
      </c>
      <c r="B258" t="s">
        <v>489</v>
      </c>
      <c r="C258" t="s">
        <v>803</v>
      </c>
      <c r="D258" t="s">
        <v>808</v>
      </c>
      <c r="E258" s="21">
        <v>4.4000000000000004</v>
      </c>
      <c r="F258" s="2">
        <f t="shared" si="72"/>
        <v>0.26666666666666672</v>
      </c>
      <c r="G258" s="10">
        <v>39.055319999999995</v>
      </c>
      <c r="H258">
        <f t="shared" si="73"/>
        <v>0.35647113716418694</v>
      </c>
      <c r="I258" s="12">
        <v>48.099999999999994</v>
      </c>
      <c r="J258" s="2">
        <f t="shared" si="74"/>
        <v>0.11657779932137663</v>
      </c>
      <c r="K258" s="10">
        <v>0</v>
      </c>
      <c r="L258" s="2">
        <f t="shared" si="75"/>
        <v>0</v>
      </c>
      <c r="M258">
        <v>46047</v>
      </c>
      <c r="N258">
        <f t="shared" si="76"/>
        <v>0.21673692826692784</v>
      </c>
      <c r="O258" s="10">
        <v>0.957699203</v>
      </c>
      <c r="P258">
        <f t="shared" si="77"/>
        <v>0.95923760212124431</v>
      </c>
      <c r="Q258" s="23">
        <v>0.3322</v>
      </c>
      <c r="R258" s="13">
        <f t="shared" si="78"/>
        <v>0.71935902988306633</v>
      </c>
      <c r="S258">
        <f t="shared" si="79"/>
        <v>3.7056056406034779E-2</v>
      </c>
      <c r="T258" s="14">
        <f t="shared" ref="T258:T321" si="88">(S258-$AJ$10)/$AK$10</f>
        <v>7.8260402134065224E-2</v>
      </c>
      <c r="U258" t="str">
        <f t="shared" si="80"/>
        <v>No Impact</v>
      </c>
      <c r="V258">
        <f t="shared" si="81"/>
        <v>3.1760588910163992E-2</v>
      </c>
      <c r="W258">
        <f t="shared" ref="W258:W321" si="89">(V258-$AJ$13)/$AK$13</f>
        <v>5.7654789912795677E-2</v>
      </c>
      <c r="X258" t="s">
        <v>1170</v>
      </c>
      <c r="Y258">
        <f t="shared" ref="Y258:Y321" si="90">F258*(P258*1)*(H258*0.35+J258*0.35+L258*0.3)</f>
        <v>4.2351523901905566E-2</v>
      </c>
      <c r="Z258">
        <f t="shared" si="82"/>
        <v>9.3643464677135968E-2</v>
      </c>
      <c r="AA258" t="s">
        <v>1170</v>
      </c>
      <c r="AB258">
        <f t="shared" ref="AB258:AB321" si="91">F258*(R258*0.35+P258*0.3+N258*0.35)*(H258*0.35+J258*0.35+L258*0.3)</f>
        <v>2.7170884287313794E-2</v>
      </c>
      <c r="AC258">
        <f t="shared" si="83"/>
        <v>7.9688291012921186E-2</v>
      </c>
      <c r="AD258" t="str">
        <f t="shared" si="84"/>
        <v>No Impact</v>
      </c>
      <c r="AE258">
        <f t="shared" ref="AE258:AE321" si="92">F258*(N258*1)*(H258*0.35+J258*0.35+L258*0.3)</f>
        <v>9.569202851956355E-3</v>
      </c>
      <c r="AF258">
        <f t="shared" si="85"/>
        <v>6.3059248755600289E-2</v>
      </c>
      <c r="AG258" t="s">
        <v>1170</v>
      </c>
    </row>
    <row r="259" spans="1:33" customFormat="1" x14ac:dyDescent="0.3">
      <c r="A259">
        <v>308207</v>
      </c>
      <c r="B259" t="s">
        <v>36</v>
      </c>
      <c r="C259" t="s">
        <v>1057</v>
      </c>
      <c r="D259" t="s">
        <v>1056</v>
      </c>
      <c r="E259" s="21">
        <v>5.4</v>
      </c>
      <c r="F259" s="2">
        <f t="shared" ref="F259:F322" si="93">(E259-$AJ$5)/$AK$5</f>
        <v>0.48888888888888893</v>
      </c>
      <c r="G259" s="10">
        <v>42.137999999999998</v>
      </c>
      <c r="H259">
        <f t="shared" ref="H259:H322" si="94">(G259-$AJ$6)/$AK$6</f>
        <v>0.38460780190315969</v>
      </c>
      <c r="I259" s="12">
        <v>42.899999999999991</v>
      </c>
      <c r="J259" s="2">
        <f t="shared" ref="J259:J322" si="95">(I259-$AJ$7)/$AK$7</f>
        <v>0.1039747939893359</v>
      </c>
      <c r="K259" s="10">
        <v>0</v>
      </c>
      <c r="L259" s="2">
        <f t="shared" ref="L259:L322" si="96">(K259-$AJ$8)/$AK$8</f>
        <v>0</v>
      </c>
      <c r="M259">
        <v>27077</v>
      </c>
      <c r="N259">
        <f t="shared" ref="N259:N322" si="97">(M259-$AJ$9)/$AK$9</f>
        <v>0.12698187392655888</v>
      </c>
      <c r="O259" s="10">
        <v>0.48314523500000001</v>
      </c>
      <c r="P259">
        <f t="shared" ref="P259:P322" si="98">(O259-$AJ$11)/$AK$11</f>
        <v>0.43661663009440727</v>
      </c>
      <c r="Q259" s="23">
        <v>0.27929999999999999</v>
      </c>
      <c r="R259" s="13">
        <f t="shared" ref="R259:R322" si="99">(Q259-$AJ$12)/$AK$12</f>
        <v>0.604807275877003</v>
      </c>
      <c r="S259">
        <f t="shared" ref="S259:S322" si="100">F259*(R259*0.5+P259*0.5)*(H259*0.35+J259*0.35+L259*0.3)</f>
        <v>4.3532514273454517E-2</v>
      </c>
      <c r="T259" s="14">
        <f t="shared" si="88"/>
        <v>9.1938333524143087E-2</v>
      </c>
      <c r="U259" t="str">
        <f t="shared" ref="U259:U322" si="101">IF(T259&gt;0.7,"High",IF(T259&gt;0.3,"Moderate",IF(T259&gt;0.15,"Low","No Impact")))</f>
        <v>No Impact</v>
      </c>
      <c r="V259">
        <f t="shared" ref="V259:V322" si="102">F259*(R259*1)*(H259*0.35+J259*0.35+L259*0.3)</f>
        <v>5.056304396094316E-2</v>
      </c>
      <c r="W259">
        <f t="shared" si="89"/>
        <v>9.1786763940850932E-2</v>
      </c>
      <c r="X259" t="s">
        <v>1170</v>
      </c>
      <c r="Y259">
        <f t="shared" si="90"/>
        <v>3.6501984585965874E-2</v>
      </c>
      <c r="Z259">
        <f t="shared" ref="Z259:Z322" si="103">(Y259-$AJ$14)/$AK$14</f>
        <v>8.0709546889939879E-2</v>
      </c>
      <c r="AA259" t="s">
        <v>1170</v>
      </c>
      <c r="AB259">
        <f t="shared" si="91"/>
        <v>3.2363235318491508E-2</v>
      </c>
      <c r="AC259">
        <f t="shared" ref="AC259:AC322" si="104">(AB259-$AJ$15)/$AK$15</f>
        <v>9.4916708889880824E-2</v>
      </c>
      <c r="AD259" t="str">
        <f t="shared" ref="AD259:AD322" si="105">IF(AC259&gt;0.7,"High",IF(AC259&gt;0.3,"Moderate",IF(AC259&gt;0.15,"Low","No Impact")))</f>
        <v>No Impact</v>
      </c>
      <c r="AE259">
        <f t="shared" si="92"/>
        <v>1.0615927303918986E-2</v>
      </c>
      <c r="AF259">
        <f t="shared" ref="AF259:AF322" si="106">(AE259-$AJ$16)/$AK$16</f>
        <v>6.9956966216087241E-2</v>
      </c>
      <c r="AG259" t="s">
        <v>1170</v>
      </c>
    </row>
    <row r="260" spans="1:33" customFormat="1" x14ac:dyDescent="0.3">
      <c r="A260">
        <v>308229</v>
      </c>
      <c r="B260" t="s">
        <v>186</v>
      </c>
      <c r="C260" t="s">
        <v>809</v>
      </c>
      <c r="D260" t="s">
        <v>1144</v>
      </c>
      <c r="E260" s="21">
        <v>5.4</v>
      </c>
      <c r="F260" s="2">
        <f t="shared" si="93"/>
        <v>0.48888888888888893</v>
      </c>
      <c r="G260" s="10">
        <v>44.909640000000003</v>
      </c>
      <c r="H260">
        <f t="shared" si="94"/>
        <v>0.40990549918511127</v>
      </c>
      <c r="I260" s="12">
        <v>31.099999999999998</v>
      </c>
      <c r="J260" s="2">
        <f t="shared" si="95"/>
        <v>7.5375666505089672E-2</v>
      </c>
      <c r="K260" s="10">
        <v>0</v>
      </c>
      <c r="L260" s="2">
        <f t="shared" si="96"/>
        <v>0</v>
      </c>
      <c r="M260">
        <v>14728</v>
      </c>
      <c r="N260">
        <f t="shared" si="97"/>
        <v>6.8553557318798405E-2</v>
      </c>
      <c r="O260" s="10">
        <v>0.59395510500000004</v>
      </c>
      <c r="P260">
        <f t="shared" si="98"/>
        <v>0.5586502993388871</v>
      </c>
      <c r="Q260" s="23">
        <v>0.22500000000000001</v>
      </c>
      <c r="R260" s="13">
        <f t="shared" si="99"/>
        <v>0.48722390645301</v>
      </c>
      <c r="S260">
        <f t="shared" si="100"/>
        <v>4.3423127932115974E-2</v>
      </c>
      <c r="T260" s="14">
        <f t="shared" si="88"/>
        <v>9.1707315442582357E-2</v>
      </c>
      <c r="U260" t="str">
        <f t="shared" si="101"/>
        <v>No Impact</v>
      </c>
      <c r="V260">
        <f t="shared" si="102"/>
        <v>4.045761125827791E-2</v>
      </c>
      <c r="W260">
        <f t="shared" si="89"/>
        <v>7.3442437861191603E-2</v>
      </c>
      <c r="X260" t="s">
        <v>1170</v>
      </c>
      <c r="Y260">
        <f t="shared" si="90"/>
        <v>4.6388644605954051E-2</v>
      </c>
      <c r="Z260">
        <f t="shared" si="103"/>
        <v>0.10256994323603119</v>
      </c>
      <c r="AA260" t="s">
        <v>1170</v>
      </c>
      <c r="AB260">
        <f t="shared" si="91"/>
        <v>3.0069125917966306E-2</v>
      </c>
      <c r="AC260">
        <f t="shared" si="104"/>
        <v>8.8188416369424025E-2</v>
      </c>
      <c r="AD260" t="str">
        <f t="shared" si="105"/>
        <v>No Impact</v>
      </c>
      <c r="AE260">
        <f t="shared" si="92"/>
        <v>5.6924817022366448E-3</v>
      </c>
      <c r="AF260">
        <f t="shared" si="106"/>
        <v>3.7512384809007995E-2</v>
      </c>
      <c r="AG260" t="s">
        <v>1170</v>
      </c>
    </row>
    <row r="261" spans="1:33" customFormat="1" x14ac:dyDescent="0.3">
      <c r="A261">
        <v>308247</v>
      </c>
      <c r="B261" t="s">
        <v>251</v>
      </c>
      <c r="C261" t="s">
        <v>809</v>
      </c>
      <c r="D261" t="s">
        <v>810</v>
      </c>
      <c r="E261" s="21">
        <v>5.6</v>
      </c>
      <c r="F261" s="2">
        <f t="shared" si="93"/>
        <v>0.53333333333333321</v>
      </c>
      <c r="G261" s="10">
        <v>40.394159999999999</v>
      </c>
      <c r="H261">
        <f t="shared" si="94"/>
        <v>0.36869118342884183</v>
      </c>
      <c r="I261" s="12">
        <v>22.800000000000004</v>
      </c>
      <c r="J261" s="2">
        <f t="shared" si="95"/>
        <v>5.5259331071255469E-2</v>
      </c>
      <c r="K261" s="10">
        <v>0</v>
      </c>
      <c r="L261" s="2">
        <f t="shared" si="96"/>
        <v>0</v>
      </c>
      <c r="M261">
        <v>15025</v>
      </c>
      <c r="N261">
        <f t="shared" si="97"/>
        <v>6.99587893240219E-2</v>
      </c>
      <c r="O261" s="10">
        <v>0.84675784899999995</v>
      </c>
      <c r="P261">
        <f t="shared" si="98"/>
        <v>0.83705913101961094</v>
      </c>
      <c r="Q261" s="23">
        <v>0.2505</v>
      </c>
      <c r="R261" s="13">
        <f t="shared" si="99"/>
        <v>0.54244261585101772</v>
      </c>
      <c r="S261">
        <f t="shared" si="100"/>
        <v>5.458511103169468E-2</v>
      </c>
      <c r="T261" s="14">
        <f t="shared" si="88"/>
        <v>0.11528082462593972</v>
      </c>
      <c r="U261" t="str">
        <f t="shared" si="101"/>
        <v>No Impact</v>
      </c>
      <c r="V261">
        <f t="shared" si="102"/>
        <v>4.2927514201005941E-2</v>
      </c>
      <c r="W261">
        <f t="shared" si="89"/>
        <v>7.7926036564942625E-2</v>
      </c>
      <c r="X261" t="s">
        <v>1170</v>
      </c>
      <c r="Y261">
        <f t="shared" si="90"/>
        <v>6.6242707862383426E-2</v>
      </c>
      <c r="Z261">
        <f t="shared" si="103"/>
        <v>0.14646926727351675</v>
      </c>
      <c r="AA261" t="s">
        <v>1170</v>
      </c>
      <c r="AB261">
        <f t="shared" si="91"/>
        <v>3.6835167891278338E-2</v>
      </c>
      <c r="AC261">
        <f t="shared" si="104"/>
        <v>0.1080322431684904</v>
      </c>
      <c r="AD261" t="str">
        <f t="shared" si="105"/>
        <v>No Impact</v>
      </c>
      <c r="AE261">
        <f t="shared" si="92"/>
        <v>5.5363587491749581E-3</v>
      </c>
      <c r="AF261">
        <f t="shared" si="106"/>
        <v>3.6483563883599031E-2</v>
      </c>
      <c r="AG261" t="s">
        <v>1170</v>
      </c>
    </row>
    <row r="262" spans="1:33" customFormat="1" x14ac:dyDescent="0.3">
      <c r="A262">
        <v>308273</v>
      </c>
      <c r="B262" t="s">
        <v>404</v>
      </c>
      <c r="C262" t="s">
        <v>809</v>
      </c>
      <c r="D262" t="s">
        <v>811</v>
      </c>
      <c r="E262" s="21">
        <v>5.6</v>
      </c>
      <c r="F262" s="2">
        <f t="shared" si="93"/>
        <v>0.53333333333333321</v>
      </c>
      <c r="G262" s="10">
        <v>40.75488</v>
      </c>
      <c r="H262">
        <f t="shared" si="94"/>
        <v>0.37198359707691503</v>
      </c>
      <c r="I262" s="12">
        <v>25.1</v>
      </c>
      <c r="J262" s="2">
        <f t="shared" si="95"/>
        <v>6.0833737275811935E-2</v>
      </c>
      <c r="K262" s="10">
        <v>0</v>
      </c>
      <c r="L262" s="2">
        <f t="shared" si="96"/>
        <v>0</v>
      </c>
      <c r="M262">
        <v>21428</v>
      </c>
      <c r="N262">
        <f t="shared" si="97"/>
        <v>0.10025407730195456</v>
      </c>
      <c r="O262" s="10">
        <v>0.89919309599999997</v>
      </c>
      <c r="P262">
        <f t="shared" si="98"/>
        <v>0.89480548149498473</v>
      </c>
      <c r="Q262" s="23">
        <v>0.26350000000000001</v>
      </c>
      <c r="R262" s="13">
        <f t="shared" si="99"/>
        <v>0.57059333044608063</v>
      </c>
      <c r="S262">
        <f t="shared" si="100"/>
        <v>5.9196667371145241E-2</v>
      </c>
      <c r="T262" s="14">
        <f t="shared" si="88"/>
        <v>0.12502018408812263</v>
      </c>
      <c r="U262" t="str">
        <f t="shared" si="101"/>
        <v>No Impact</v>
      </c>
      <c r="V262">
        <f t="shared" si="102"/>
        <v>4.6099701066181879E-2</v>
      </c>
      <c r="W262">
        <f t="shared" si="89"/>
        <v>8.3684486692966534E-2</v>
      </c>
      <c r="X262" t="s">
        <v>1170</v>
      </c>
      <c r="Y262">
        <f t="shared" si="90"/>
        <v>7.2293633676108596E-2</v>
      </c>
      <c r="Z262">
        <f t="shared" si="103"/>
        <v>0.15984847079436215</v>
      </c>
      <c r="AA262" t="s">
        <v>1170</v>
      </c>
      <c r="AB262">
        <f t="shared" si="91"/>
        <v>4.0657910039056742E-2</v>
      </c>
      <c r="AC262">
        <f t="shared" si="104"/>
        <v>0.11924379541383844</v>
      </c>
      <c r="AD262" t="str">
        <f t="shared" si="105"/>
        <v>No Impact</v>
      </c>
      <c r="AE262">
        <f t="shared" si="92"/>
        <v>8.09978446588718E-3</v>
      </c>
      <c r="AF262">
        <f t="shared" si="106"/>
        <v>5.3376057692904294E-2</v>
      </c>
      <c r="AG262" t="s">
        <v>1170</v>
      </c>
    </row>
    <row r="263" spans="1:33" customFormat="1" x14ac:dyDescent="0.3">
      <c r="A263">
        <v>308276</v>
      </c>
      <c r="B263" t="s">
        <v>427</v>
      </c>
      <c r="C263" t="s">
        <v>809</v>
      </c>
      <c r="D263" t="s">
        <v>812</v>
      </c>
      <c r="E263" s="21">
        <v>5.6</v>
      </c>
      <c r="F263" s="2">
        <f t="shared" si="93"/>
        <v>0.53333333333333321</v>
      </c>
      <c r="G263" s="10">
        <v>42.578640000000007</v>
      </c>
      <c r="H263">
        <f t="shared" si="94"/>
        <v>0.38862967246727309</v>
      </c>
      <c r="I263" s="12">
        <v>46.3</v>
      </c>
      <c r="J263" s="2">
        <f t="shared" si="95"/>
        <v>0.11221522055259331</v>
      </c>
      <c r="K263" s="10">
        <v>0</v>
      </c>
      <c r="L263" s="2">
        <f t="shared" si="96"/>
        <v>0</v>
      </c>
      <c r="M263">
        <v>45411</v>
      </c>
      <c r="N263">
        <f t="shared" si="97"/>
        <v>0.2137277445789745</v>
      </c>
      <c r="O263" s="10">
        <v>0.88171203899999995</v>
      </c>
      <c r="P263">
        <f t="shared" si="98"/>
        <v>0.87555378913236481</v>
      </c>
      <c r="Q263" s="23">
        <v>0.2848</v>
      </c>
      <c r="R263" s="13">
        <f t="shared" si="99"/>
        <v>0.61671719359029886</v>
      </c>
      <c r="S263">
        <f t="shared" si="100"/>
        <v>6.9756988065182435E-2</v>
      </c>
      <c r="T263" s="14">
        <f t="shared" si="88"/>
        <v>0.14732301456539515</v>
      </c>
      <c r="U263" t="str">
        <f t="shared" si="101"/>
        <v>No Impact</v>
      </c>
      <c r="V263">
        <f t="shared" si="102"/>
        <v>5.7657535944819135E-2</v>
      </c>
      <c r="W263">
        <f t="shared" si="89"/>
        <v>0.10466534897040888</v>
      </c>
      <c r="X263" t="s">
        <v>1170</v>
      </c>
      <c r="Y263">
        <f t="shared" si="90"/>
        <v>8.185644018554572E-2</v>
      </c>
      <c r="Z263">
        <f t="shared" si="103"/>
        <v>0.18099279456544776</v>
      </c>
      <c r="AA263" t="s">
        <v>1170</v>
      </c>
      <c r="AB263">
        <f t="shared" si="91"/>
        <v>5.1730640328460614E-2</v>
      </c>
      <c r="AC263">
        <f t="shared" si="104"/>
        <v>0.15171851888176707</v>
      </c>
      <c r="AD263" t="str">
        <f t="shared" si="105"/>
        <v>Low</v>
      </c>
      <c r="AE263">
        <f t="shared" si="92"/>
        <v>1.9981630548886305E-2</v>
      </c>
      <c r="AF263">
        <f t="shared" si="106"/>
        <v>0.13167519079889919</v>
      </c>
      <c r="AG263" t="s">
        <v>1169</v>
      </c>
    </row>
    <row r="264" spans="1:33" customFormat="1" x14ac:dyDescent="0.3">
      <c r="A264">
        <v>308614</v>
      </c>
      <c r="B264" t="s">
        <v>69</v>
      </c>
      <c r="C264" t="s">
        <v>814</v>
      </c>
      <c r="D264" t="s">
        <v>813</v>
      </c>
      <c r="E264" s="21">
        <v>6.5</v>
      </c>
      <c r="F264" s="2">
        <f t="shared" si="93"/>
        <v>0.73333333333333328</v>
      </c>
      <c r="G264" s="10">
        <v>46.478160000000003</v>
      </c>
      <c r="H264">
        <f t="shared" si="94"/>
        <v>0.42422191262289055</v>
      </c>
      <c r="I264" s="12">
        <v>86.600000000000009</v>
      </c>
      <c r="J264" s="2">
        <f t="shared" si="95"/>
        <v>0.2098885118759089</v>
      </c>
      <c r="K264" s="10">
        <v>0</v>
      </c>
      <c r="L264" s="2">
        <f t="shared" si="96"/>
        <v>0</v>
      </c>
      <c r="M264">
        <v>19841</v>
      </c>
      <c r="N264">
        <f t="shared" si="97"/>
        <v>9.2745312344750253E-2</v>
      </c>
      <c r="O264" s="10">
        <v>0.75048115199999998</v>
      </c>
      <c r="P264">
        <f t="shared" si="98"/>
        <v>0.73103068249197534</v>
      </c>
      <c r="Q264" s="23">
        <v>0.255</v>
      </c>
      <c r="R264" s="13">
        <f t="shared" si="99"/>
        <v>0.55218709398007793</v>
      </c>
      <c r="S264">
        <f t="shared" si="100"/>
        <v>0.1044250603502644</v>
      </c>
      <c r="T264" s="14">
        <f t="shared" si="88"/>
        <v>0.22054012241180665</v>
      </c>
      <c r="U264" t="str">
        <f t="shared" si="101"/>
        <v>Low</v>
      </c>
      <c r="V264">
        <f t="shared" si="102"/>
        <v>8.9871215425392836E-2</v>
      </c>
      <c r="W264">
        <f t="shared" si="89"/>
        <v>0.16314263124070871</v>
      </c>
      <c r="X264" t="s">
        <v>1170</v>
      </c>
      <c r="Y264">
        <f t="shared" si="90"/>
        <v>0.11897890527513594</v>
      </c>
      <c r="Z264">
        <f t="shared" si="103"/>
        <v>0.26307428604606109</v>
      </c>
      <c r="AA264" t="str">
        <f t="shared" ref="AA264:AA321" si="107">IF(Z264&gt;0.7,"High",IF(Z264&gt;0.3,"Moderate",IF(Z264&gt;0.15,"Low","No Impact")))</f>
        <v>Low</v>
      </c>
      <c r="AB264">
        <f t="shared" si="91"/>
        <v>7.2431764430839707E-2</v>
      </c>
      <c r="AC264">
        <f t="shared" si="104"/>
        <v>0.21243193491641579</v>
      </c>
      <c r="AD264" t="str">
        <f t="shared" si="105"/>
        <v>Low</v>
      </c>
      <c r="AE264">
        <f t="shared" si="92"/>
        <v>1.5094764141175518E-2</v>
      </c>
      <c r="AF264">
        <f t="shared" si="106"/>
        <v>9.9471659406917073E-2</v>
      </c>
      <c r="AG264" t="s">
        <v>1169</v>
      </c>
    </row>
    <row r="265" spans="1:33" customFormat="1" x14ac:dyDescent="0.3">
      <c r="A265">
        <v>308625</v>
      </c>
      <c r="B265" t="s">
        <v>126</v>
      </c>
      <c r="C265" t="s">
        <v>814</v>
      </c>
      <c r="D265" t="s">
        <v>815</v>
      </c>
      <c r="E265" s="21">
        <v>6.5</v>
      </c>
      <c r="F265" s="2">
        <f t="shared" si="93"/>
        <v>0.73333333333333328</v>
      </c>
      <c r="G265" s="10">
        <v>50.561280000000004</v>
      </c>
      <c r="H265">
        <f t="shared" si="94"/>
        <v>0.46148993218022194</v>
      </c>
      <c r="I265" s="12">
        <v>83.6</v>
      </c>
      <c r="J265" s="2">
        <f t="shared" si="95"/>
        <v>0.20261754726126999</v>
      </c>
      <c r="K265" s="10">
        <v>0</v>
      </c>
      <c r="L265" s="2">
        <f t="shared" si="96"/>
        <v>0</v>
      </c>
      <c r="M265">
        <v>5388</v>
      </c>
      <c r="N265">
        <f t="shared" si="97"/>
        <v>2.4362086178100144E-2</v>
      </c>
      <c r="O265" s="10">
        <v>0.69507533399999999</v>
      </c>
      <c r="P265">
        <f t="shared" si="98"/>
        <v>0.67001287543172117</v>
      </c>
      <c r="Q265" s="23">
        <v>0.28070000000000001</v>
      </c>
      <c r="R265" s="13">
        <f t="shared" si="99"/>
        <v>0.60783889129493285</v>
      </c>
      <c r="S265">
        <f t="shared" si="100"/>
        <v>0.10890763420725591</v>
      </c>
      <c r="T265" s="14">
        <f t="shared" si="88"/>
        <v>0.23000707779421134</v>
      </c>
      <c r="U265" t="str">
        <f t="shared" si="101"/>
        <v>Low</v>
      </c>
      <c r="V265">
        <f t="shared" si="102"/>
        <v>0.10360872419445978</v>
      </c>
      <c r="W265">
        <f t="shared" si="89"/>
        <v>0.18808024131607723</v>
      </c>
      <c r="X265" t="s">
        <v>1169</v>
      </c>
      <c r="Y265">
        <f t="shared" si="90"/>
        <v>0.11420654422005203</v>
      </c>
      <c r="Z265">
        <f t="shared" si="103"/>
        <v>0.25252211737030344</v>
      </c>
      <c r="AA265" t="str">
        <f t="shared" si="107"/>
        <v>Low</v>
      </c>
      <c r="AB265">
        <f t="shared" si="91"/>
        <v>7.1978434154912965E-2</v>
      </c>
      <c r="AC265">
        <f t="shared" si="104"/>
        <v>0.2111023824965895</v>
      </c>
      <c r="AD265" t="str">
        <f t="shared" si="105"/>
        <v>Low</v>
      </c>
      <c r="AE265">
        <f t="shared" si="92"/>
        <v>4.1526212023897868E-3</v>
      </c>
      <c r="AF265">
        <f t="shared" si="106"/>
        <v>2.7364993452484068E-2</v>
      </c>
      <c r="AG265" t="s">
        <v>1170</v>
      </c>
    </row>
    <row r="266" spans="1:33" customFormat="1" x14ac:dyDescent="0.3">
      <c r="A266">
        <v>308636</v>
      </c>
      <c r="B266" t="s">
        <v>193</v>
      </c>
      <c r="C266" t="s">
        <v>814</v>
      </c>
      <c r="D266" t="s">
        <v>816</v>
      </c>
      <c r="E266" s="21">
        <v>6.4</v>
      </c>
      <c r="F266" s="2">
        <f t="shared" si="93"/>
        <v>0.71111111111111114</v>
      </c>
      <c r="G266" s="10">
        <v>50.561280000000004</v>
      </c>
      <c r="H266">
        <f t="shared" si="94"/>
        <v>0.46148993218022194</v>
      </c>
      <c r="I266" s="12">
        <v>83.2</v>
      </c>
      <c r="J266" s="2">
        <f t="shared" si="95"/>
        <v>0.20164808531265149</v>
      </c>
      <c r="K266" s="10">
        <v>0</v>
      </c>
      <c r="L266" s="2">
        <f t="shared" si="96"/>
        <v>0</v>
      </c>
      <c r="M266">
        <v>3568</v>
      </c>
      <c r="N266">
        <f t="shared" si="97"/>
        <v>1.5750900152824893E-2</v>
      </c>
      <c r="O266" s="10">
        <v>0.67876729199999997</v>
      </c>
      <c r="P266">
        <f t="shared" si="98"/>
        <v>0.65205301135595706</v>
      </c>
      <c r="Q266" s="23">
        <v>0.28839999999999999</v>
      </c>
      <c r="R266" s="13">
        <f t="shared" si="99"/>
        <v>0.62451277609354694</v>
      </c>
      <c r="S266">
        <f t="shared" si="100"/>
        <v>0.10534711357190135</v>
      </c>
      <c r="T266" s="14">
        <f t="shared" si="88"/>
        <v>0.22248744932440725</v>
      </c>
      <c r="U266" t="str">
        <f t="shared" si="101"/>
        <v>Low</v>
      </c>
      <c r="V266">
        <f t="shared" si="102"/>
        <v>0.10307438754359177</v>
      </c>
      <c r="W266">
        <f t="shared" si="89"/>
        <v>0.18711026347858684</v>
      </c>
      <c r="X266" t="s">
        <v>1170</v>
      </c>
      <c r="Y266">
        <f t="shared" si="90"/>
        <v>0.10761983960021092</v>
      </c>
      <c r="Z266">
        <f t="shared" si="103"/>
        <v>0.23795825320250033</v>
      </c>
      <c r="AA266" t="str">
        <f t="shared" si="107"/>
        <v>Low</v>
      </c>
      <c r="AB266">
        <f t="shared" si="91"/>
        <v>6.9271864879169379E-2</v>
      </c>
      <c r="AC266">
        <f t="shared" si="104"/>
        <v>0.2031644045562547</v>
      </c>
      <c r="AD266" t="str">
        <f t="shared" si="105"/>
        <v>Low</v>
      </c>
      <c r="AE266">
        <f t="shared" si="92"/>
        <v>2.5996495967113772E-3</v>
      </c>
      <c r="AF266">
        <f t="shared" si="106"/>
        <v>1.7131202372087241E-2</v>
      </c>
      <c r="AG266" t="s">
        <v>1170</v>
      </c>
    </row>
    <row r="267" spans="1:33" customFormat="1" x14ac:dyDescent="0.3">
      <c r="A267">
        <v>308665</v>
      </c>
      <c r="B267" t="s">
        <v>376</v>
      </c>
      <c r="C267" t="s">
        <v>814</v>
      </c>
      <c r="D267" t="s">
        <v>817</v>
      </c>
      <c r="E267" s="21">
        <v>6.5</v>
      </c>
      <c r="F267" s="2">
        <f t="shared" si="93"/>
        <v>0.73333333333333328</v>
      </c>
      <c r="G267" s="10">
        <v>46.569960000000002</v>
      </c>
      <c r="H267">
        <f t="shared" si="94"/>
        <v>0.42505980232374746</v>
      </c>
      <c r="I267" s="12">
        <v>86.799999999999983</v>
      </c>
      <c r="J267" s="2">
        <f t="shared" si="95"/>
        <v>0.21037324285021811</v>
      </c>
      <c r="K267" s="10">
        <v>0</v>
      </c>
      <c r="L267" s="2">
        <f t="shared" si="96"/>
        <v>0</v>
      </c>
      <c r="M267">
        <v>22687</v>
      </c>
      <c r="N267">
        <f t="shared" si="97"/>
        <v>0.1062109362062521</v>
      </c>
      <c r="O267" s="10">
        <v>0.61557059700000005</v>
      </c>
      <c r="P267">
        <f t="shared" si="98"/>
        <v>0.58245519867939444</v>
      </c>
      <c r="Q267" s="23">
        <v>0.2571</v>
      </c>
      <c r="R267" s="13">
        <f t="shared" si="99"/>
        <v>0.55673451710697275</v>
      </c>
      <c r="S267">
        <f t="shared" si="100"/>
        <v>9.2897778067067754E-2</v>
      </c>
      <c r="T267" s="14">
        <f t="shared" si="88"/>
        <v>0.19619512096019673</v>
      </c>
      <c r="U267" t="str">
        <f t="shared" si="101"/>
        <v>Low</v>
      </c>
      <c r="V267">
        <f t="shared" si="102"/>
        <v>9.0800327453410157E-2</v>
      </c>
      <c r="W267">
        <f t="shared" si="89"/>
        <v>0.16482924224569695</v>
      </c>
      <c r="X267" t="s">
        <v>1170</v>
      </c>
      <c r="Y267">
        <f t="shared" si="90"/>
        <v>9.4995228680725366E-2</v>
      </c>
      <c r="Z267">
        <f t="shared" si="103"/>
        <v>0.21004397296456448</v>
      </c>
      <c r="AA267" t="str">
        <f t="shared" si="107"/>
        <v>Low</v>
      </c>
      <c r="AB267">
        <f t="shared" si="91"/>
        <v>6.6341529365995591E-2</v>
      </c>
      <c r="AC267">
        <f t="shared" si="104"/>
        <v>0.19457015246382947</v>
      </c>
      <c r="AD267" t="str">
        <f t="shared" si="105"/>
        <v>Low</v>
      </c>
      <c r="AE267">
        <f t="shared" si="92"/>
        <v>1.7322417580241251E-2</v>
      </c>
      <c r="AF267">
        <f t="shared" si="106"/>
        <v>0.11415147699763684</v>
      </c>
      <c r="AG267" t="s">
        <v>1169</v>
      </c>
    </row>
    <row r="268" spans="1:33" customFormat="1" x14ac:dyDescent="0.3">
      <c r="A268">
        <v>308669</v>
      </c>
      <c r="B268" t="s">
        <v>480</v>
      </c>
      <c r="C268" t="s">
        <v>814</v>
      </c>
      <c r="D268" t="s">
        <v>818</v>
      </c>
      <c r="E268" s="21">
        <v>6.4</v>
      </c>
      <c r="F268" s="2">
        <f t="shared" si="93"/>
        <v>0.71111111111111114</v>
      </c>
      <c r="G268" s="10">
        <v>46.569960000000002</v>
      </c>
      <c r="H268">
        <f t="shared" si="94"/>
        <v>0.42505980232374746</v>
      </c>
      <c r="I268" s="12">
        <v>82.7</v>
      </c>
      <c r="J268" s="2">
        <f t="shared" si="95"/>
        <v>0.20043625787687835</v>
      </c>
      <c r="K268" s="10">
        <v>0</v>
      </c>
      <c r="L268" s="2">
        <f t="shared" si="96"/>
        <v>0</v>
      </c>
      <c r="M268">
        <v>23823</v>
      </c>
      <c r="N268">
        <f t="shared" si="97"/>
        <v>0.11158583034070962</v>
      </c>
      <c r="O268" s="10">
        <v>0.80336330099999997</v>
      </c>
      <c r="P268">
        <f t="shared" si="98"/>
        <v>0.78926920113659871</v>
      </c>
      <c r="Q268" s="23">
        <v>0.27650000000000002</v>
      </c>
      <c r="R268" s="13">
        <f t="shared" si="99"/>
        <v>0.59874404504114342</v>
      </c>
      <c r="S268">
        <f t="shared" si="100"/>
        <v>0.10804227055881267</v>
      </c>
      <c r="T268" s="14">
        <f t="shared" si="88"/>
        <v>0.22817947621736517</v>
      </c>
      <c r="U268" t="str">
        <f t="shared" si="101"/>
        <v>Low</v>
      </c>
      <c r="V268">
        <f t="shared" si="102"/>
        <v>9.3211885820186621E-2</v>
      </c>
      <c r="W268">
        <f t="shared" si="89"/>
        <v>0.16920692842123405</v>
      </c>
      <c r="X268" t="s">
        <v>1170</v>
      </c>
      <c r="Y268">
        <f t="shared" si="90"/>
        <v>0.12287265529743874</v>
      </c>
      <c r="Z268">
        <f t="shared" si="103"/>
        <v>0.27168375765609454</v>
      </c>
      <c r="AA268" t="str">
        <f t="shared" si="107"/>
        <v>Low</v>
      </c>
      <c r="AB268">
        <f t="shared" si="91"/>
        <v>7.5566007053610953E-2</v>
      </c>
      <c r="AC268">
        <f t="shared" si="104"/>
        <v>0.22162421719870837</v>
      </c>
      <c r="AD268" t="str">
        <f t="shared" si="105"/>
        <v>Low</v>
      </c>
      <c r="AE268">
        <f t="shared" si="92"/>
        <v>1.737157264946863E-2</v>
      </c>
      <c r="AF268">
        <f t="shared" si="106"/>
        <v>0.11447539966768185</v>
      </c>
      <c r="AG268" t="s">
        <v>1169</v>
      </c>
    </row>
    <row r="269" spans="1:33" customFormat="1" x14ac:dyDescent="0.3">
      <c r="A269">
        <v>308694</v>
      </c>
      <c r="B269" t="s">
        <v>539</v>
      </c>
      <c r="C269" t="s">
        <v>814</v>
      </c>
      <c r="D269" t="s">
        <v>819</v>
      </c>
      <c r="E269" s="21">
        <v>6.4</v>
      </c>
      <c r="F269" s="2">
        <f t="shared" si="93"/>
        <v>0.71111111111111114</v>
      </c>
      <c r="G269" s="10">
        <v>46.478160000000003</v>
      </c>
      <c r="H269">
        <f t="shared" si="94"/>
        <v>0.42422191262289055</v>
      </c>
      <c r="I269" s="12">
        <v>69.200000000000017</v>
      </c>
      <c r="J269" s="2">
        <f t="shared" si="95"/>
        <v>0.16771691711100345</v>
      </c>
      <c r="K269" s="10">
        <v>0</v>
      </c>
      <c r="L269" s="2">
        <f t="shared" si="96"/>
        <v>0</v>
      </c>
      <c r="M269">
        <v>35519</v>
      </c>
      <c r="N269">
        <f t="shared" si="97"/>
        <v>0.16692452910533562</v>
      </c>
      <c r="O269" s="10">
        <v>0.56178179500000003</v>
      </c>
      <c r="P269">
        <f t="shared" si="98"/>
        <v>0.52321819323642427</v>
      </c>
      <c r="Q269" s="23">
        <v>0.21740000000000001</v>
      </c>
      <c r="R269" s="13">
        <f t="shared" si="99"/>
        <v>0.47076656561281943</v>
      </c>
      <c r="S269">
        <f t="shared" si="100"/>
        <v>7.3220395101970426E-2</v>
      </c>
      <c r="T269" s="14">
        <f t="shared" si="88"/>
        <v>0.15463754432762958</v>
      </c>
      <c r="U269" t="str">
        <f t="shared" si="101"/>
        <v>Low</v>
      </c>
      <c r="V269">
        <f t="shared" si="102"/>
        <v>6.9356624692866742E-2</v>
      </c>
      <c r="W269">
        <f t="shared" si="89"/>
        <v>0.12590262847576406</v>
      </c>
      <c r="X269" t="s">
        <v>1170</v>
      </c>
      <c r="Y269">
        <f t="shared" si="90"/>
        <v>7.7084165511074124E-2</v>
      </c>
      <c r="Z269">
        <f t="shared" si="103"/>
        <v>0.17044081688588272</v>
      </c>
      <c r="AA269" t="s">
        <v>1170</v>
      </c>
      <c r="AB269">
        <f t="shared" si="91"/>
        <v>5.6007439691758386E-2</v>
      </c>
      <c r="AC269">
        <f t="shared" si="104"/>
        <v>0.16426175555608744</v>
      </c>
      <c r="AD269" t="str">
        <f t="shared" si="105"/>
        <v>Low</v>
      </c>
      <c r="AE269">
        <f t="shared" si="92"/>
        <v>2.4592489702665098E-2</v>
      </c>
      <c r="AF269">
        <f t="shared" si="106"/>
        <v>0.16205988624881645</v>
      </c>
      <c r="AG269" t="s">
        <v>1169</v>
      </c>
    </row>
    <row r="270" spans="1:33" customFormat="1" x14ac:dyDescent="0.3">
      <c r="A270">
        <v>309309</v>
      </c>
      <c r="B270" t="s">
        <v>53</v>
      </c>
      <c r="C270" t="s">
        <v>821</v>
      </c>
      <c r="D270" t="s">
        <v>820</v>
      </c>
      <c r="E270" s="21">
        <v>5.9</v>
      </c>
      <c r="F270" s="2">
        <f t="shared" si="93"/>
        <v>0.60000000000000009</v>
      </c>
      <c r="G270" s="10">
        <v>37.9818</v>
      </c>
      <c r="H270">
        <f t="shared" si="94"/>
        <v>0.34667275642710688</v>
      </c>
      <c r="I270" s="12">
        <v>25</v>
      </c>
      <c r="J270" s="2">
        <f t="shared" si="95"/>
        <v>6.0591371788657297E-2</v>
      </c>
      <c r="K270" s="10">
        <v>0</v>
      </c>
      <c r="L270" s="2">
        <f t="shared" si="96"/>
        <v>0</v>
      </c>
      <c r="M270">
        <v>14864</v>
      </c>
      <c r="N270">
        <f t="shared" si="97"/>
        <v>6.9197030560247549E-2</v>
      </c>
      <c r="O270" s="10">
        <v>0.93633418199999996</v>
      </c>
      <c r="P270">
        <f t="shared" si="98"/>
        <v>0.93570854368885581</v>
      </c>
      <c r="Q270" s="23">
        <v>0.2402</v>
      </c>
      <c r="R270" s="13">
        <f t="shared" si="99"/>
        <v>0.52013858813339109</v>
      </c>
      <c r="S270">
        <f t="shared" si="100"/>
        <v>6.2256002860485847E-2</v>
      </c>
      <c r="T270" s="14">
        <f t="shared" si="88"/>
        <v>0.13148133643081555</v>
      </c>
      <c r="U270" t="str">
        <f t="shared" si="101"/>
        <v>No Impact</v>
      </c>
      <c r="V270">
        <f t="shared" si="102"/>
        <v>4.4485095615980033E-2</v>
      </c>
      <c r="W270">
        <f t="shared" si="89"/>
        <v>8.0753503949329453E-2</v>
      </c>
      <c r="X270" t="s">
        <v>1170</v>
      </c>
      <c r="Y270">
        <f t="shared" si="90"/>
        <v>8.0026910104991675E-2</v>
      </c>
      <c r="Z270">
        <f t="shared" si="103"/>
        <v>0.17694752016467435</v>
      </c>
      <c r="AA270" t="s">
        <v>1170</v>
      </c>
      <c r="AB270">
        <f t="shared" si="91"/>
        <v>4.1649194419069065E-2</v>
      </c>
      <c r="AC270">
        <f t="shared" si="104"/>
        <v>0.12215108975566696</v>
      </c>
      <c r="AD270" t="str">
        <f t="shared" si="105"/>
        <v>No Impact</v>
      </c>
      <c r="AE270">
        <f t="shared" si="92"/>
        <v>5.9181083485101505E-3</v>
      </c>
      <c r="AF270">
        <f t="shared" si="106"/>
        <v>3.899922201304365E-2</v>
      </c>
      <c r="AG270" t="s">
        <v>1170</v>
      </c>
    </row>
    <row r="271" spans="1:33" customFormat="1" x14ac:dyDescent="0.3">
      <c r="A271">
        <v>309319</v>
      </c>
      <c r="B271" t="s">
        <v>73</v>
      </c>
      <c r="C271" t="s">
        <v>821</v>
      </c>
      <c r="D271" t="s">
        <v>822</v>
      </c>
      <c r="E271" s="21">
        <v>5.9</v>
      </c>
      <c r="F271" s="2">
        <f t="shared" si="93"/>
        <v>0.60000000000000009</v>
      </c>
      <c r="G271" s="10">
        <v>31.705560000000002</v>
      </c>
      <c r="H271">
        <f t="shared" si="94"/>
        <v>0.28938738762420485</v>
      </c>
      <c r="I271" s="12">
        <v>10.4</v>
      </c>
      <c r="J271" s="2">
        <f t="shared" si="95"/>
        <v>2.5206010664081437E-2</v>
      </c>
      <c r="K271" s="10">
        <v>0</v>
      </c>
      <c r="L271" s="2">
        <f t="shared" si="96"/>
        <v>0</v>
      </c>
      <c r="M271">
        <v>8293</v>
      </c>
      <c r="N271">
        <f t="shared" si="97"/>
        <v>3.8106863872289488E-2</v>
      </c>
      <c r="O271" s="10">
        <v>0.51194810599999996</v>
      </c>
      <c r="P271">
        <f t="shared" si="98"/>
        <v>0.4683369094603646</v>
      </c>
      <c r="Q271" s="23">
        <v>0.2331</v>
      </c>
      <c r="R271" s="13">
        <f t="shared" si="99"/>
        <v>0.50476396708531834</v>
      </c>
      <c r="S271">
        <f t="shared" si="100"/>
        <v>3.2143766721130743E-2</v>
      </c>
      <c r="T271" s="14">
        <f t="shared" si="88"/>
        <v>6.7885909988241455E-2</v>
      </c>
      <c r="U271" t="str">
        <f t="shared" si="101"/>
        <v>No Impact</v>
      </c>
      <c r="V271">
        <f t="shared" si="102"/>
        <v>3.3347036465157867E-2</v>
      </c>
      <c r="W271">
        <f t="shared" si="89"/>
        <v>6.0534657812901564E-2</v>
      </c>
      <c r="X271" t="s">
        <v>1170</v>
      </c>
      <c r="Y271">
        <f t="shared" si="90"/>
        <v>3.0940496977103608E-2</v>
      </c>
      <c r="Z271">
        <f t="shared" si="103"/>
        <v>6.8412540301485331E-2</v>
      </c>
      <c r="AA271" t="s">
        <v>1170</v>
      </c>
      <c r="AB271">
        <f t="shared" si="91"/>
        <v>2.1834742189507751E-2</v>
      </c>
      <c r="AC271">
        <f t="shared" si="104"/>
        <v>6.4038154643424786E-2</v>
      </c>
      <c r="AD271" t="str">
        <f t="shared" si="105"/>
        <v>No Impact</v>
      </c>
      <c r="AE271">
        <f t="shared" si="92"/>
        <v>2.5175152387754618E-3</v>
      </c>
      <c r="AF271">
        <f t="shared" si="106"/>
        <v>1.6589952386211613E-2</v>
      </c>
      <c r="AG271" t="s">
        <v>1170</v>
      </c>
    </row>
    <row r="272" spans="1:33" customFormat="1" x14ac:dyDescent="0.3">
      <c r="A272">
        <v>309323</v>
      </c>
      <c r="B272" t="s">
        <v>138</v>
      </c>
      <c r="C272" t="s">
        <v>821</v>
      </c>
      <c r="D272" t="s">
        <v>823</v>
      </c>
      <c r="E272" s="21">
        <v>5.9</v>
      </c>
      <c r="F272" s="2">
        <f t="shared" si="93"/>
        <v>0.60000000000000009</v>
      </c>
      <c r="G272" s="10">
        <v>43.609679999999997</v>
      </c>
      <c r="H272">
        <f t="shared" si="94"/>
        <v>0.39804032385258398</v>
      </c>
      <c r="I272" s="12">
        <v>32.700000000000003</v>
      </c>
      <c r="J272" s="2">
        <f t="shared" si="95"/>
        <v>7.925351429956376E-2</v>
      </c>
      <c r="K272" s="10">
        <v>0</v>
      </c>
      <c r="L272" s="2">
        <f t="shared" si="96"/>
        <v>0</v>
      </c>
      <c r="M272">
        <v>27551</v>
      </c>
      <c r="N272">
        <f t="shared" si="97"/>
        <v>0.12922456742984487</v>
      </c>
      <c r="O272" s="10">
        <v>0.94096279999999999</v>
      </c>
      <c r="P272">
        <f t="shared" si="98"/>
        <v>0.94080598887195233</v>
      </c>
      <c r="Q272" s="23">
        <v>0.26879999999999998</v>
      </c>
      <c r="R272" s="13">
        <f t="shared" si="99"/>
        <v>0.58207016024252922</v>
      </c>
      <c r="S272">
        <f t="shared" si="100"/>
        <v>7.6320237235327396E-2</v>
      </c>
      <c r="T272" s="14">
        <f t="shared" si="88"/>
        <v>0.1611842445282782</v>
      </c>
      <c r="U272" t="str">
        <f t="shared" si="101"/>
        <v>Low</v>
      </c>
      <c r="V272">
        <f t="shared" si="102"/>
        <v>5.8341885179758413E-2</v>
      </c>
      <c r="W272">
        <f t="shared" si="89"/>
        <v>0.10590764367341358</v>
      </c>
      <c r="X272" t="s">
        <v>1170</v>
      </c>
      <c r="Y272">
        <f t="shared" si="90"/>
        <v>9.4298589290896392E-2</v>
      </c>
      <c r="Z272">
        <f t="shared" si="103"/>
        <v>0.20850363344230197</v>
      </c>
      <c r="AA272" t="str">
        <f t="shared" si="107"/>
        <v>Low</v>
      </c>
      <c r="AB272">
        <f t="shared" si="91"/>
        <v>5.3242576198436767E-2</v>
      </c>
      <c r="AC272">
        <f t="shared" si="104"/>
        <v>0.15615280906995166</v>
      </c>
      <c r="AD272" t="str">
        <f t="shared" si="105"/>
        <v>Low</v>
      </c>
      <c r="AE272">
        <f t="shared" si="92"/>
        <v>1.2952398852149752E-2</v>
      </c>
      <c r="AF272">
        <f t="shared" si="106"/>
        <v>8.5353874699445872E-2</v>
      </c>
      <c r="AG272" t="s">
        <v>1170</v>
      </c>
    </row>
    <row r="273" spans="1:33" customFormat="1" x14ac:dyDescent="0.3">
      <c r="A273">
        <v>309325</v>
      </c>
      <c r="B273" t="s">
        <v>144</v>
      </c>
      <c r="C273" t="s">
        <v>821</v>
      </c>
      <c r="D273" t="s">
        <v>824</v>
      </c>
      <c r="E273" s="21">
        <v>5</v>
      </c>
      <c r="F273" s="2">
        <f t="shared" si="93"/>
        <v>0.39999999999999997</v>
      </c>
      <c r="G273" s="10">
        <v>31.44528</v>
      </c>
      <c r="H273">
        <f t="shared" si="94"/>
        <v>0.2870117238841281</v>
      </c>
      <c r="I273" s="12">
        <v>1</v>
      </c>
      <c r="J273" s="2">
        <f t="shared" si="95"/>
        <v>2.4236548715462921E-3</v>
      </c>
      <c r="K273" s="10">
        <v>0</v>
      </c>
      <c r="L273" s="2">
        <f t="shared" si="96"/>
        <v>0</v>
      </c>
      <c r="M273">
        <v>20219</v>
      </c>
      <c r="N273">
        <f t="shared" si="97"/>
        <v>9.453378944230742E-2</v>
      </c>
      <c r="O273" s="10">
        <v>0.96652717300000002</v>
      </c>
      <c r="P273">
        <f t="shared" si="98"/>
        <v>0.96895974664754136</v>
      </c>
      <c r="Q273" s="23">
        <v>0.3105</v>
      </c>
      <c r="R273" s="13">
        <f t="shared" si="99"/>
        <v>0.67236899090515378</v>
      </c>
      <c r="S273">
        <f t="shared" si="100"/>
        <v>3.3254102337129596E-2</v>
      </c>
      <c r="T273" s="14">
        <f t="shared" si="88"/>
        <v>7.0230879211617678E-2</v>
      </c>
      <c r="U273" t="str">
        <f t="shared" si="101"/>
        <v>No Impact</v>
      </c>
      <c r="V273">
        <f t="shared" si="102"/>
        <v>2.7245032296468522E-2</v>
      </c>
      <c r="W273">
        <f t="shared" si="89"/>
        <v>4.9457729441456856E-2</v>
      </c>
      <c r="X273" t="s">
        <v>1170</v>
      </c>
      <c r="Y273">
        <f t="shared" si="90"/>
        <v>3.9263172377790673E-2</v>
      </c>
      <c r="Z273">
        <f t="shared" si="103"/>
        <v>8.6814809879993723E-2</v>
      </c>
      <c r="AA273" t="s">
        <v>1170</v>
      </c>
      <c r="AB273">
        <f t="shared" si="91"/>
        <v>2.2655422751570911E-2</v>
      </c>
      <c r="AC273">
        <f t="shared" si="104"/>
        <v>6.6445092554123258E-2</v>
      </c>
      <c r="AD273" t="str">
        <f t="shared" si="105"/>
        <v>No Impact</v>
      </c>
      <c r="AE273">
        <f t="shared" si="92"/>
        <v>3.8305992413420779E-3</v>
      </c>
      <c r="AF273">
        <f t="shared" si="106"/>
        <v>2.5242929236620758E-2</v>
      </c>
      <c r="AG273" t="s">
        <v>1170</v>
      </c>
    </row>
    <row r="274" spans="1:33" customFormat="1" x14ac:dyDescent="0.3">
      <c r="A274">
        <v>309328</v>
      </c>
      <c r="B274" t="s">
        <v>183</v>
      </c>
      <c r="C274" t="s">
        <v>821</v>
      </c>
      <c r="D274" t="s">
        <v>825</v>
      </c>
      <c r="E274" s="21">
        <v>5.9</v>
      </c>
      <c r="F274" s="2">
        <f t="shared" si="93"/>
        <v>0.60000000000000009</v>
      </c>
      <c r="G274" s="10">
        <v>32.956200000000003</v>
      </c>
      <c r="H274">
        <f t="shared" si="94"/>
        <v>0.30080240260764424</v>
      </c>
      <c r="I274" s="12">
        <v>37.599999999999994</v>
      </c>
      <c r="J274" s="2">
        <f t="shared" si="95"/>
        <v>9.1129423170140569E-2</v>
      </c>
      <c r="K274" s="10">
        <v>0</v>
      </c>
      <c r="L274" s="2">
        <f t="shared" si="96"/>
        <v>0</v>
      </c>
      <c r="M274">
        <v>34950</v>
      </c>
      <c r="N274">
        <f t="shared" si="97"/>
        <v>0.16423235061721386</v>
      </c>
      <c r="O274" s="10">
        <v>0.96571768599999996</v>
      </c>
      <c r="P274">
        <f t="shared" si="98"/>
        <v>0.96806826767715992</v>
      </c>
      <c r="Q274" s="23">
        <v>0.308</v>
      </c>
      <c r="R274" s="13">
        <f t="shared" si="99"/>
        <v>0.66695539194456477</v>
      </c>
      <c r="S274">
        <f t="shared" si="100"/>
        <v>6.728586985106888E-2</v>
      </c>
      <c r="T274" s="14">
        <f t="shared" si="88"/>
        <v>0.14210414553523451</v>
      </c>
      <c r="U274" t="str">
        <f t="shared" si="101"/>
        <v>No Impact</v>
      </c>
      <c r="V274">
        <f t="shared" si="102"/>
        <v>5.4894219340205982E-2</v>
      </c>
      <c r="W274">
        <f t="shared" si="89"/>
        <v>9.9649118359819475E-2</v>
      </c>
      <c r="X274" t="s">
        <v>1170</v>
      </c>
      <c r="Y274">
        <f t="shared" si="90"/>
        <v>7.9677520361931792E-2</v>
      </c>
      <c r="Z274">
        <f t="shared" si="103"/>
        <v>0.17617498441983168</v>
      </c>
      <c r="AA274" t="s">
        <v>1170</v>
      </c>
      <c r="AB274">
        <f t="shared" si="91"/>
        <v>4.78472724272965E-2</v>
      </c>
      <c r="AC274">
        <f t="shared" si="104"/>
        <v>0.14032916003183482</v>
      </c>
      <c r="AD274" t="str">
        <f t="shared" si="105"/>
        <v>No Impact</v>
      </c>
      <c r="AE274">
        <f t="shared" si="92"/>
        <v>1.3517255856128207E-2</v>
      </c>
      <c r="AF274">
        <f t="shared" si="106"/>
        <v>8.9076176219884257E-2</v>
      </c>
      <c r="AG274" t="s">
        <v>1170</v>
      </c>
    </row>
    <row r="275" spans="1:33" customFormat="1" x14ac:dyDescent="0.3">
      <c r="A275">
        <v>309338</v>
      </c>
      <c r="B275" t="s">
        <v>192</v>
      </c>
      <c r="C275" t="s">
        <v>821</v>
      </c>
      <c r="D275" t="s">
        <v>826</v>
      </c>
      <c r="E275" s="21">
        <v>5.9</v>
      </c>
      <c r="F275" s="2">
        <f t="shared" si="93"/>
        <v>0.60000000000000009</v>
      </c>
      <c r="G275" s="10">
        <v>31.44528</v>
      </c>
      <c r="H275">
        <f t="shared" si="94"/>
        <v>0.2870117238841281</v>
      </c>
      <c r="I275" s="12">
        <v>6.8000000000000007</v>
      </c>
      <c r="J275" s="2">
        <f t="shared" si="95"/>
        <v>1.6480853126514788E-2</v>
      </c>
      <c r="K275" s="10">
        <v>0</v>
      </c>
      <c r="L275" s="2">
        <f t="shared" si="96"/>
        <v>0</v>
      </c>
      <c r="M275">
        <v>19705</v>
      </c>
      <c r="N275">
        <f t="shared" si="97"/>
        <v>9.2101839103301109E-2</v>
      </c>
      <c r="O275" s="10">
        <v>0.86807827699999995</v>
      </c>
      <c r="P275">
        <f t="shared" si="98"/>
        <v>0.86053907968034615</v>
      </c>
      <c r="Q275" s="23">
        <v>0.29730000000000001</v>
      </c>
      <c r="R275" s="13">
        <f t="shared" si="99"/>
        <v>0.64378518839324383</v>
      </c>
      <c r="S275">
        <f t="shared" si="100"/>
        <v>4.7937881121616815E-2</v>
      </c>
      <c r="T275" s="14">
        <f t="shared" si="88"/>
        <v>0.10124223184801098</v>
      </c>
      <c r="U275" t="str">
        <f t="shared" si="101"/>
        <v>No Impact</v>
      </c>
      <c r="V275">
        <f t="shared" si="102"/>
        <v>4.1030645432017038E-2</v>
      </c>
      <c r="W275">
        <f t="shared" si="89"/>
        <v>7.4482663059572893E-2</v>
      </c>
      <c r="X275" t="s">
        <v>1170</v>
      </c>
      <c r="Y275">
        <f t="shared" si="90"/>
        <v>5.4845116811216586E-2</v>
      </c>
      <c r="Z275">
        <f t="shared" si="103"/>
        <v>0.12126805096128955</v>
      </c>
      <c r="AA275" t="s">
        <v>1170</v>
      </c>
      <c r="AB275">
        <f t="shared" si="91"/>
        <v>3.2868749445091654E-2</v>
      </c>
      <c r="AC275">
        <f t="shared" si="104"/>
        <v>9.6399309029268396E-2</v>
      </c>
      <c r="AD275" t="str">
        <f t="shared" si="105"/>
        <v>No Impact</v>
      </c>
      <c r="AE275">
        <f t="shared" si="92"/>
        <v>5.8699671443448948E-3</v>
      </c>
      <c r="AF275">
        <f t="shared" si="106"/>
        <v>3.8681980523254313E-2</v>
      </c>
      <c r="AG275" t="s">
        <v>1170</v>
      </c>
    </row>
    <row r="276" spans="1:33" customFormat="1" x14ac:dyDescent="0.3">
      <c r="A276">
        <v>309347</v>
      </c>
      <c r="B276" t="s">
        <v>248</v>
      </c>
      <c r="C276" t="s">
        <v>821</v>
      </c>
      <c r="D276" t="s">
        <v>827</v>
      </c>
      <c r="E276" s="21">
        <v>5.9</v>
      </c>
      <c r="F276" s="2">
        <f t="shared" si="93"/>
        <v>0.60000000000000009</v>
      </c>
      <c r="G276" s="10">
        <v>34.454880000000003</v>
      </c>
      <c r="H276">
        <f t="shared" si="94"/>
        <v>0.31448136270437943</v>
      </c>
      <c r="I276" s="12">
        <v>22.5</v>
      </c>
      <c r="J276" s="2">
        <f t="shared" si="95"/>
        <v>5.453223460979157E-2</v>
      </c>
      <c r="K276" s="10">
        <v>0</v>
      </c>
      <c r="L276" s="2">
        <f t="shared" si="96"/>
        <v>0</v>
      </c>
      <c r="M276">
        <v>36750</v>
      </c>
      <c r="N276">
        <f t="shared" si="97"/>
        <v>0.17274890822462893</v>
      </c>
      <c r="O276" s="10">
        <v>0.91085044999999998</v>
      </c>
      <c r="P276">
        <f t="shared" si="98"/>
        <v>0.90764359494373992</v>
      </c>
      <c r="Q276" s="23">
        <v>0.27150000000000002</v>
      </c>
      <c r="R276" s="13">
        <f t="shared" si="99"/>
        <v>0.58791684711996539</v>
      </c>
      <c r="S276">
        <f t="shared" si="100"/>
        <v>5.7947624566303486E-2</v>
      </c>
      <c r="T276" s="14">
        <f t="shared" si="88"/>
        <v>0.12238227272706217</v>
      </c>
      <c r="U276" t="str">
        <f t="shared" si="101"/>
        <v>No Impact</v>
      </c>
      <c r="V276">
        <f t="shared" si="102"/>
        <v>4.5559355242242236E-2</v>
      </c>
      <c r="W276">
        <f t="shared" si="89"/>
        <v>8.2703600442789765E-2</v>
      </c>
      <c r="X276" t="s">
        <v>1170</v>
      </c>
      <c r="Y276">
        <f t="shared" si="90"/>
        <v>7.0335893890364723E-2</v>
      </c>
      <c r="Z276">
        <f t="shared" si="103"/>
        <v>0.15551971188363306</v>
      </c>
      <c r="AA276" t="s">
        <v>1170</v>
      </c>
      <c r="AB276">
        <f t="shared" si="91"/>
        <v>4.1731924662015044E-2</v>
      </c>
      <c r="AC276">
        <f t="shared" si="104"/>
        <v>0.12239372564508949</v>
      </c>
      <c r="AD276" t="str">
        <f t="shared" si="105"/>
        <v>No Impact</v>
      </c>
      <c r="AE276">
        <f t="shared" si="92"/>
        <v>1.3386806171773841E-2</v>
      </c>
      <c r="AF276">
        <f t="shared" si="106"/>
        <v>8.8216537311288049E-2</v>
      </c>
      <c r="AG276" t="s">
        <v>1170</v>
      </c>
    </row>
    <row r="277" spans="1:33" customFormat="1" x14ac:dyDescent="0.3">
      <c r="A277">
        <v>309357</v>
      </c>
      <c r="B277" t="s">
        <v>314</v>
      </c>
      <c r="C277" t="s">
        <v>821</v>
      </c>
      <c r="D277" t="s">
        <v>828</v>
      </c>
      <c r="E277" s="21">
        <v>5.3</v>
      </c>
      <c r="F277" s="2">
        <f t="shared" si="93"/>
        <v>0.46666666666666656</v>
      </c>
      <c r="G277" s="10">
        <v>30.51324</v>
      </c>
      <c r="H277">
        <f t="shared" si="94"/>
        <v>0.27850467903895698</v>
      </c>
      <c r="I277" s="12">
        <v>4.6999999999999993</v>
      </c>
      <c r="J277" s="2">
        <f t="shared" si="95"/>
        <v>1.1391177896267571E-2</v>
      </c>
      <c r="K277" s="10">
        <v>0</v>
      </c>
      <c r="L277" s="2">
        <f t="shared" si="96"/>
        <v>0</v>
      </c>
      <c r="M277">
        <v>40172</v>
      </c>
      <c r="N277">
        <f t="shared" si="97"/>
        <v>0.18893983052050362</v>
      </c>
      <c r="O277" s="10">
        <v>0.97708229199999996</v>
      </c>
      <c r="P277">
        <f t="shared" si="98"/>
        <v>0.98058398103101396</v>
      </c>
      <c r="Q277" s="23">
        <v>0.34720000000000001</v>
      </c>
      <c r="R277" s="13">
        <f t="shared" si="99"/>
        <v>0.75184062364660031</v>
      </c>
      <c r="S277">
        <f t="shared" si="100"/>
        <v>4.1014855086809229E-2</v>
      </c>
      <c r="T277" s="14">
        <f t="shared" si="88"/>
        <v>8.6621172458096793E-2</v>
      </c>
      <c r="U277" t="str">
        <f t="shared" si="101"/>
        <v>No Impact</v>
      </c>
      <c r="V277">
        <f t="shared" si="102"/>
        <v>3.5599395372221648E-2</v>
      </c>
      <c r="W277">
        <f t="shared" si="89"/>
        <v>6.4623350247487346E-2</v>
      </c>
      <c r="X277" t="s">
        <v>1170</v>
      </c>
      <c r="Y277">
        <f t="shared" si="90"/>
        <v>4.6430314801396817E-2</v>
      </c>
      <c r="Z277">
        <f t="shared" si="103"/>
        <v>0.10266208021518859</v>
      </c>
      <c r="AA277" t="s">
        <v>1170</v>
      </c>
      <c r="AB277">
        <f t="shared" si="91"/>
        <v>2.9520065455485377E-2</v>
      </c>
      <c r="AC277">
        <f t="shared" si="104"/>
        <v>8.6578101097561561E-2</v>
      </c>
      <c r="AD277" t="str">
        <f t="shared" si="105"/>
        <v>No Impact</v>
      </c>
      <c r="AE277">
        <f t="shared" si="92"/>
        <v>8.9462360993964544E-3</v>
      </c>
      <c r="AF277">
        <f t="shared" si="106"/>
        <v>5.895401491074434E-2</v>
      </c>
      <c r="AG277" t="s">
        <v>1170</v>
      </c>
    </row>
    <row r="278" spans="1:33" customFormat="1" x14ac:dyDescent="0.3">
      <c r="A278">
        <v>309366</v>
      </c>
      <c r="B278" t="s">
        <v>341</v>
      </c>
      <c r="C278" t="s">
        <v>821</v>
      </c>
      <c r="D278" t="s">
        <v>829</v>
      </c>
      <c r="E278" s="21">
        <v>5.9</v>
      </c>
      <c r="F278" s="2">
        <f t="shared" si="93"/>
        <v>0.60000000000000009</v>
      </c>
      <c r="G278" s="10">
        <v>41.466239999999999</v>
      </c>
      <c r="H278">
        <f t="shared" si="94"/>
        <v>0.37847642079806532</v>
      </c>
      <c r="I278" s="12">
        <v>24.599999999999998</v>
      </c>
      <c r="J278" s="2">
        <f t="shared" si="95"/>
        <v>5.9621909840038775E-2</v>
      </c>
      <c r="K278" s="10">
        <v>0</v>
      </c>
      <c r="L278" s="2">
        <f t="shared" si="96"/>
        <v>0</v>
      </c>
      <c r="M278">
        <v>80305</v>
      </c>
      <c r="N278">
        <f t="shared" si="97"/>
        <v>0.37882594521960888</v>
      </c>
      <c r="O278" s="10">
        <v>0.95865527299999997</v>
      </c>
      <c r="P278">
        <f t="shared" si="98"/>
        <v>0.96029051130843646</v>
      </c>
      <c r="Q278" s="23">
        <v>0.27160000000000001</v>
      </c>
      <c r="R278" s="13">
        <f t="shared" si="99"/>
        <v>0.58813339107838891</v>
      </c>
      <c r="S278">
        <f t="shared" si="100"/>
        <v>7.1228002309359717E-2</v>
      </c>
      <c r="T278" s="14">
        <f t="shared" si="88"/>
        <v>0.15042971769194544</v>
      </c>
      <c r="U278" t="str">
        <f t="shared" si="101"/>
        <v>Low</v>
      </c>
      <c r="V278">
        <f t="shared" si="102"/>
        <v>5.4108653933033574E-2</v>
      </c>
      <c r="W278">
        <f t="shared" si="89"/>
        <v>9.8223086599470377E-2</v>
      </c>
      <c r="X278" t="s">
        <v>1170</v>
      </c>
      <c r="Y278">
        <f t="shared" si="90"/>
        <v>8.8347350685685874E-2</v>
      </c>
      <c r="Z278">
        <f t="shared" si="103"/>
        <v>0.19534484833215948</v>
      </c>
      <c r="AA278" t="str">
        <f t="shared" si="107"/>
        <v>Low</v>
      </c>
      <c r="AB278">
        <f t="shared" si="91"/>
        <v>5.7640515626196286E-2</v>
      </c>
      <c r="AC278">
        <f t="shared" si="104"/>
        <v>0.16905133210919385</v>
      </c>
      <c r="AD278" t="str">
        <f t="shared" si="105"/>
        <v>Low</v>
      </c>
      <c r="AE278">
        <f t="shared" si="92"/>
        <v>3.4852232982653629E-2</v>
      </c>
      <c r="AF278">
        <f t="shared" si="106"/>
        <v>0.22966966667364322</v>
      </c>
      <c r="AG278" t="s">
        <v>1169</v>
      </c>
    </row>
    <row r="279" spans="1:33" customFormat="1" x14ac:dyDescent="0.3">
      <c r="A279">
        <v>309376</v>
      </c>
      <c r="B279" t="s">
        <v>363</v>
      </c>
      <c r="C279" t="s">
        <v>821</v>
      </c>
      <c r="D279" t="s">
        <v>830</v>
      </c>
      <c r="E279" s="21">
        <v>5.2</v>
      </c>
      <c r="F279" s="2">
        <f t="shared" si="93"/>
        <v>0.44444444444444442</v>
      </c>
      <c r="G279" s="10">
        <v>44.220600000000005</v>
      </c>
      <c r="H279">
        <f t="shared" si="94"/>
        <v>0.40361639766573792</v>
      </c>
      <c r="I279" s="12">
        <v>32.700000000000003</v>
      </c>
      <c r="J279" s="2">
        <f t="shared" si="95"/>
        <v>7.925351429956376E-2</v>
      </c>
      <c r="K279" s="10">
        <v>0</v>
      </c>
      <c r="L279" s="2">
        <f t="shared" si="96"/>
        <v>0</v>
      </c>
      <c r="M279">
        <v>29372</v>
      </c>
      <c r="N279">
        <f t="shared" si="97"/>
        <v>0.13784048487601311</v>
      </c>
      <c r="O279" s="10">
        <v>0.848726337</v>
      </c>
      <c r="P279">
        <f t="shared" si="98"/>
        <v>0.83922700481554391</v>
      </c>
      <c r="Q279" s="23">
        <v>0.2712</v>
      </c>
      <c r="R279" s="13">
        <f t="shared" si="99"/>
        <v>0.58726721524469472</v>
      </c>
      <c r="S279">
        <f t="shared" si="100"/>
        <v>5.3574199657961036E-2</v>
      </c>
      <c r="T279" s="14">
        <f t="shared" si="88"/>
        <v>0.11314583406560014</v>
      </c>
      <c r="U279" t="str">
        <f t="shared" si="101"/>
        <v>No Impact</v>
      </c>
      <c r="V279">
        <f t="shared" si="102"/>
        <v>4.4111459548382116E-2</v>
      </c>
      <c r="W279">
        <f t="shared" si="89"/>
        <v>8.0075244832594136E-2</v>
      </c>
      <c r="X279" t="s">
        <v>1170</v>
      </c>
      <c r="Y279">
        <f t="shared" si="90"/>
        <v>6.3036939767539962E-2</v>
      </c>
      <c r="Z279">
        <f t="shared" si="103"/>
        <v>0.13938099266861981</v>
      </c>
      <c r="AA279" t="s">
        <v>1170</v>
      </c>
      <c r="AB279">
        <f t="shared" si="91"/>
        <v>3.7973861791161738E-2</v>
      </c>
      <c r="AC279">
        <f t="shared" si="104"/>
        <v>0.11137186840516014</v>
      </c>
      <c r="AD279" t="str">
        <f t="shared" si="105"/>
        <v>No Impact</v>
      </c>
      <c r="AE279">
        <f t="shared" si="92"/>
        <v>1.0353625768474324E-2</v>
      </c>
      <c r="AF279">
        <f t="shared" si="106"/>
        <v>6.8228448383570062E-2</v>
      </c>
      <c r="AG279" t="s">
        <v>1170</v>
      </c>
    </row>
    <row r="280" spans="1:33" customFormat="1" x14ac:dyDescent="0.3">
      <c r="A280">
        <v>309385</v>
      </c>
      <c r="B280" t="s">
        <v>457</v>
      </c>
      <c r="C280" t="s">
        <v>821</v>
      </c>
      <c r="D280" t="s">
        <v>1145</v>
      </c>
      <c r="E280" s="21">
        <v>5.9</v>
      </c>
      <c r="F280" s="2">
        <f t="shared" si="93"/>
        <v>0.60000000000000009</v>
      </c>
      <c r="G280" s="10">
        <v>37.9818</v>
      </c>
      <c r="H280">
        <f t="shared" si="94"/>
        <v>0.34667275642710688</v>
      </c>
      <c r="I280" s="12">
        <v>43.300000000000004</v>
      </c>
      <c r="J280" s="2">
        <f t="shared" si="95"/>
        <v>0.10494425593795445</v>
      </c>
      <c r="K280" s="10">
        <v>0</v>
      </c>
      <c r="L280" s="2">
        <f t="shared" si="96"/>
        <v>0</v>
      </c>
      <c r="M280">
        <v>55940</v>
      </c>
      <c r="N280">
        <f t="shared" si="97"/>
        <v>0.26354487516145975</v>
      </c>
      <c r="O280" s="10">
        <v>0.98273148399999999</v>
      </c>
      <c r="P280">
        <f t="shared" si="98"/>
        <v>0.98680537293433956</v>
      </c>
      <c r="Q280" s="23">
        <v>0.32679999999999998</v>
      </c>
      <c r="R280" s="13">
        <f t="shared" si="99"/>
        <v>0.70766565612819399</v>
      </c>
      <c r="S280">
        <f t="shared" si="100"/>
        <v>8.035145408685912E-2</v>
      </c>
      <c r="T280" s="14">
        <f t="shared" si="88"/>
        <v>0.16969795814188104</v>
      </c>
      <c r="U280" t="str">
        <f t="shared" si="101"/>
        <v>Low</v>
      </c>
      <c r="V280">
        <f t="shared" si="102"/>
        <v>6.7114708368534934E-2</v>
      </c>
      <c r="W280">
        <f t="shared" si="89"/>
        <v>0.12183289239350732</v>
      </c>
      <c r="X280" t="s">
        <v>1170</v>
      </c>
      <c r="Y280">
        <f t="shared" si="90"/>
        <v>9.3588199805183292E-2</v>
      </c>
      <c r="Z280">
        <f t="shared" si="103"/>
        <v>0.20693289107972573</v>
      </c>
      <c r="AA280" t="str">
        <f t="shared" si="107"/>
        <v>Low</v>
      </c>
      <c r="AB280">
        <f t="shared" si="91"/>
        <v>6.0314677032666006E-2</v>
      </c>
      <c r="AC280">
        <f t="shared" si="104"/>
        <v>0.17689426243567491</v>
      </c>
      <c r="AD280" t="str">
        <f t="shared" si="105"/>
        <v>Low</v>
      </c>
      <c r="AE280">
        <f t="shared" si="92"/>
        <v>2.4994483320353721E-2</v>
      </c>
      <c r="AF280">
        <f t="shared" si="106"/>
        <v>0.16470894865538965</v>
      </c>
      <c r="AG280" t="s">
        <v>1169</v>
      </c>
    </row>
    <row r="281" spans="1:33" customFormat="1" x14ac:dyDescent="0.3">
      <c r="A281">
        <v>309395</v>
      </c>
      <c r="B281" t="s">
        <v>514</v>
      </c>
      <c r="C281" t="s">
        <v>821</v>
      </c>
      <c r="D281" t="s">
        <v>831</v>
      </c>
      <c r="E281" s="21">
        <v>5.9</v>
      </c>
      <c r="F281" s="2">
        <f t="shared" si="93"/>
        <v>0.60000000000000009</v>
      </c>
      <c r="G281" s="10">
        <v>36.947519999999997</v>
      </c>
      <c r="H281">
        <f t="shared" si="94"/>
        <v>0.33723253246411861</v>
      </c>
      <c r="I281" s="12">
        <v>34.9</v>
      </c>
      <c r="J281" s="2">
        <f t="shared" si="95"/>
        <v>8.4585555016965588E-2</v>
      </c>
      <c r="K281" s="10">
        <v>0</v>
      </c>
      <c r="L281" s="2">
        <f t="shared" si="96"/>
        <v>0</v>
      </c>
      <c r="M281">
        <v>51021</v>
      </c>
      <c r="N281">
        <f t="shared" si="97"/>
        <v>0.24027101578875151</v>
      </c>
      <c r="O281" s="10">
        <v>0.68991873199999998</v>
      </c>
      <c r="P281">
        <f t="shared" si="98"/>
        <v>0.66433396738053918</v>
      </c>
      <c r="Q281" s="23">
        <v>0.26569999999999999</v>
      </c>
      <c r="R281" s="13">
        <f t="shared" si="99"/>
        <v>0.57535729753139886</v>
      </c>
      <c r="S281">
        <f t="shared" si="100"/>
        <v>5.4907040835376793E-2</v>
      </c>
      <c r="T281" s="14">
        <f t="shared" si="88"/>
        <v>0.1159607230916329</v>
      </c>
      <c r="U281" t="str">
        <f t="shared" si="101"/>
        <v>No Impact</v>
      </c>
      <c r="V281">
        <f t="shared" si="102"/>
        <v>5.0966184121225763E-2</v>
      </c>
      <c r="W281">
        <f t="shared" si="89"/>
        <v>9.2518581644617306E-2</v>
      </c>
      <c r="X281" t="s">
        <v>1170</v>
      </c>
      <c r="Y281">
        <f t="shared" si="90"/>
        <v>5.8847897549527815E-2</v>
      </c>
      <c r="Z281">
        <f t="shared" si="103"/>
        <v>0.13011860041369078</v>
      </c>
      <c r="AA281" t="s">
        <v>1170</v>
      </c>
      <c r="AB281">
        <f t="shared" si="91"/>
        <v>4.2941807243537779E-2</v>
      </c>
      <c r="AC281">
        <f t="shared" si="104"/>
        <v>0.12594213703385185</v>
      </c>
      <c r="AD281" t="str">
        <f t="shared" si="105"/>
        <v>No Impact</v>
      </c>
      <c r="AE281">
        <f t="shared" si="92"/>
        <v>2.1283638675001198E-2</v>
      </c>
      <c r="AF281">
        <f t="shared" si="106"/>
        <v>0.14025517970463197</v>
      </c>
      <c r="AG281" t="s">
        <v>1169</v>
      </c>
    </row>
    <row r="282" spans="1:33" customFormat="1" x14ac:dyDescent="0.3">
      <c r="A282">
        <v>400108</v>
      </c>
      <c r="B282" t="s">
        <v>25</v>
      </c>
      <c r="C282" t="s">
        <v>833</v>
      </c>
      <c r="D282" t="s">
        <v>832</v>
      </c>
      <c r="E282" s="21">
        <v>6.9</v>
      </c>
      <c r="F282" s="2">
        <f t="shared" si="93"/>
        <v>0.8222222222222223</v>
      </c>
      <c r="G282" s="10">
        <v>59.191920000000003</v>
      </c>
      <c r="H282">
        <f t="shared" si="94"/>
        <v>0.54026470742863153</v>
      </c>
      <c r="I282" s="12">
        <v>114.7</v>
      </c>
      <c r="J282" s="2">
        <f t="shared" si="95"/>
        <v>0.27799321376635971</v>
      </c>
      <c r="K282" s="10">
        <v>0</v>
      </c>
      <c r="L282" s="2">
        <f t="shared" si="96"/>
        <v>0</v>
      </c>
      <c r="M282">
        <v>24641</v>
      </c>
      <c r="N282">
        <f t="shared" si="97"/>
        <v>0.11545613263119048</v>
      </c>
      <c r="O282" s="10">
        <v>0.64003497200000004</v>
      </c>
      <c r="P282">
        <f t="shared" si="98"/>
        <v>0.60939754097275622</v>
      </c>
      <c r="Q282" s="23">
        <v>0.22090000000000001</v>
      </c>
      <c r="R282" s="13">
        <f t="shared" si="99"/>
        <v>0.47834560415764404</v>
      </c>
      <c r="S282">
        <f t="shared" si="100"/>
        <v>0.12806894510260128</v>
      </c>
      <c r="T282" s="14">
        <f t="shared" si="88"/>
        <v>0.27047473791579302</v>
      </c>
      <c r="U282" t="str">
        <f t="shared" si="101"/>
        <v>Low</v>
      </c>
      <c r="V282">
        <f t="shared" si="102"/>
        <v>0.11263912292748463</v>
      </c>
      <c r="W282">
        <f t="shared" si="89"/>
        <v>0.20447306524179187</v>
      </c>
      <c r="X282" t="s">
        <v>1169</v>
      </c>
      <c r="Y282">
        <f t="shared" si="90"/>
        <v>0.1434987672777179</v>
      </c>
      <c r="Z282">
        <f t="shared" si="103"/>
        <v>0.31729015881241796</v>
      </c>
      <c r="AA282" t="str">
        <f t="shared" si="107"/>
        <v>Moderate</v>
      </c>
      <c r="AB282">
        <f t="shared" si="91"/>
        <v>9.1988843139757664E-2</v>
      </c>
      <c r="AC282">
        <f t="shared" si="104"/>
        <v>0.26979003055434525</v>
      </c>
      <c r="AD282" t="str">
        <f t="shared" si="105"/>
        <v>Low</v>
      </c>
      <c r="AE282">
        <f t="shared" si="92"/>
        <v>2.7187199805207646E-2</v>
      </c>
      <c r="AF282">
        <f t="shared" si="106"/>
        <v>0.17915853828245462</v>
      </c>
      <c r="AG282" t="s">
        <v>1169</v>
      </c>
    </row>
    <row r="283" spans="1:33" customFormat="1" x14ac:dyDescent="0.3">
      <c r="A283">
        <v>400114</v>
      </c>
      <c r="B283" t="s">
        <v>112</v>
      </c>
      <c r="C283" t="s">
        <v>833</v>
      </c>
      <c r="D283" t="s">
        <v>834</v>
      </c>
      <c r="E283" s="21">
        <v>6.8</v>
      </c>
      <c r="F283" s="2">
        <f t="shared" si="93"/>
        <v>0.79999999999999993</v>
      </c>
      <c r="G283" s="10">
        <v>56.951280000000004</v>
      </c>
      <c r="H283">
        <f t="shared" si="94"/>
        <v>0.51981362704379375</v>
      </c>
      <c r="I283" s="12">
        <v>107</v>
      </c>
      <c r="J283" s="2">
        <f t="shared" si="95"/>
        <v>0.25933107125545324</v>
      </c>
      <c r="K283" s="10">
        <v>0</v>
      </c>
      <c r="L283" s="2">
        <f t="shared" si="96"/>
        <v>0</v>
      </c>
      <c r="M283">
        <v>9991</v>
      </c>
      <c r="N283">
        <f t="shared" si="97"/>
        <v>4.6140816548617715E-2</v>
      </c>
      <c r="O283" s="10">
        <v>0.54261750600000003</v>
      </c>
      <c r="P283">
        <f t="shared" si="98"/>
        <v>0.50211277631705031</v>
      </c>
      <c r="Q283" s="23">
        <v>0.19700000000000001</v>
      </c>
      <c r="R283" s="13">
        <f t="shared" si="99"/>
        <v>0.42659159809441322</v>
      </c>
      <c r="S283">
        <f t="shared" si="100"/>
        <v>0.10130331254540148</v>
      </c>
      <c r="T283" s="14">
        <f t="shared" si="88"/>
        <v>0.21394715860873123</v>
      </c>
      <c r="U283" t="str">
        <f t="shared" si="101"/>
        <v>Low</v>
      </c>
      <c r="V283">
        <f t="shared" si="102"/>
        <v>9.3065442958394223E-2</v>
      </c>
      <c r="W283">
        <f t="shared" si="89"/>
        <v>0.16894109164929158</v>
      </c>
      <c r="X283" t="s">
        <v>1170</v>
      </c>
      <c r="Y283">
        <f t="shared" si="90"/>
        <v>0.1095411821324087</v>
      </c>
      <c r="Z283">
        <f t="shared" si="103"/>
        <v>0.24220653413716692</v>
      </c>
      <c r="AA283" t="str">
        <f t="shared" si="107"/>
        <v>Low</v>
      </c>
      <c r="AB283">
        <f t="shared" si="91"/>
        <v>6.8958396188887827E-2</v>
      </c>
      <c r="AC283">
        <f t="shared" si="104"/>
        <v>0.2022450460270861</v>
      </c>
      <c r="AD283" t="str">
        <f t="shared" si="105"/>
        <v>Low</v>
      </c>
      <c r="AE283">
        <f t="shared" si="92"/>
        <v>1.0066104324935021E-2</v>
      </c>
      <c r="AF283">
        <f t="shared" si="106"/>
        <v>6.633373609549191E-2</v>
      </c>
      <c r="AG283" t="s">
        <v>1170</v>
      </c>
    </row>
    <row r="284" spans="1:33" customFormat="1" x14ac:dyDescent="0.3">
      <c r="A284">
        <v>400134</v>
      </c>
      <c r="B284" t="s">
        <v>162</v>
      </c>
      <c r="C284" t="s">
        <v>833</v>
      </c>
      <c r="D284" t="s">
        <v>835</v>
      </c>
      <c r="E284" s="21">
        <v>6.9</v>
      </c>
      <c r="F284" s="2">
        <f t="shared" si="93"/>
        <v>0.8222222222222223</v>
      </c>
      <c r="G284" s="10">
        <v>61.328879999999998</v>
      </c>
      <c r="H284">
        <f t="shared" si="94"/>
        <v>0.55976946532779559</v>
      </c>
      <c r="I284" s="12">
        <v>116.30000000000001</v>
      </c>
      <c r="J284" s="2">
        <f t="shared" si="95"/>
        <v>0.2818710615608338</v>
      </c>
      <c r="K284" s="10">
        <v>0</v>
      </c>
      <c r="L284" s="2">
        <f t="shared" si="96"/>
        <v>0</v>
      </c>
      <c r="M284">
        <v>15140</v>
      </c>
      <c r="N284">
        <f t="shared" si="97"/>
        <v>7.0502902726717859E-2</v>
      </c>
      <c r="O284" s="10">
        <v>0.86480997900000001</v>
      </c>
      <c r="P284">
        <f t="shared" si="98"/>
        <v>0.8569397396836077</v>
      </c>
      <c r="Q284" s="23">
        <v>0.28370000000000001</v>
      </c>
      <c r="R284" s="13">
        <f t="shared" si="99"/>
        <v>0.61433521004763969</v>
      </c>
      <c r="S284">
        <f t="shared" si="100"/>
        <v>0.178175398659706</v>
      </c>
      <c r="T284" s="14">
        <f t="shared" si="88"/>
        <v>0.37629687834874703</v>
      </c>
      <c r="U284" t="str">
        <f t="shared" si="101"/>
        <v>Moderate</v>
      </c>
      <c r="V284">
        <f t="shared" si="102"/>
        <v>0.14879533017391072</v>
      </c>
      <c r="W284">
        <f t="shared" si="89"/>
        <v>0.2701071924531136</v>
      </c>
      <c r="X284" t="s">
        <v>1169</v>
      </c>
      <c r="Y284">
        <f t="shared" si="90"/>
        <v>0.2075554671455013</v>
      </c>
      <c r="Z284">
        <f t="shared" si="103"/>
        <v>0.45892594328374786</v>
      </c>
      <c r="AA284" t="str">
        <f t="shared" si="107"/>
        <v>Moderate</v>
      </c>
      <c r="AB284">
        <f t="shared" si="91"/>
        <v>0.12032167101891592</v>
      </c>
      <c r="AC284">
        <f t="shared" si="104"/>
        <v>0.35288613480250708</v>
      </c>
      <c r="AD284" t="str">
        <f t="shared" si="105"/>
        <v>Moderate</v>
      </c>
      <c r="AE284">
        <f t="shared" si="92"/>
        <v>1.7076186612562202E-2</v>
      </c>
      <c r="AF284">
        <f t="shared" si="106"/>
        <v>0.11252886118705958</v>
      </c>
      <c r="AG284" t="s">
        <v>1169</v>
      </c>
    </row>
    <row r="285" spans="1:33" customFormat="1" x14ac:dyDescent="0.3">
      <c r="A285">
        <v>400138</v>
      </c>
      <c r="B285" t="s">
        <v>233</v>
      </c>
      <c r="C285" t="s">
        <v>610</v>
      </c>
      <c r="D285" t="s">
        <v>1127</v>
      </c>
      <c r="E285" s="21">
        <v>6.9</v>
      </c>
      <c r="F285" s="2">
        <f t="shared" si="93"/>
        <v>0.8222222222222223</v>
      </c>
      <c r="G285" s="10">
        <v>56.437559999999998</v>
      </c>
      <c r="H285">
        <f t="shared" si="94"/>
        <v>0.51512473056095898</v>
      </c>
      <c r="I285" s="12">
        <v>105.1</v>
      </c>
      <c r="J285" s="2">
        <f t="shared" si="95"/>
        <v>0.2547261269995153</v>
      </c>
      <c r="K285" s="10">
        <v>0</v>
      </c>
      <c r="L285" s="2">
        <f t="shared" si="96"/>
        <v>0</v>
      </c>
      <c r="M285">
        <v>6938</v>
      </c>
      <c r="N285">
        <f t="shared" si="97"/>
        <v>3.1695788562263134E-2</v>
      </c>
      <c r="O285" s="10">
        <v>0.63860222200000005</v>
      </c>
      <c r="P285">
        <f t="shared" si="98"/>
        <v>0.6078196694382979</v>
      </c>
      <c r="Q285" s="23">
        <v>0.28810000000000002</v>
      </c>
      <c r="R285" s="13">
        <f t="shared" si="99"/>
        <v>0.62386314421827638</v>
      </c>
      <c r="S285">
        <f t="shared" si="100"/>
        <v>0.13643718123168166</v>
      </c>
      <c r="T285" s="14">
        <f t="shared" si="88"/>
        <v>0.28814800345270508</v>
      </c>
      <c r="U285" t="str">
        <f t="shared" si="101"/>
        <v>Low</v>
      </c>
      <c r="V285">
        <f t="shared" si="102"/>
        <v>0.13821436481488314</v>
      </c>
      <c r="W285">
        <f t="shared" si="89"/>
        <v>0.25089963504368284</v>
      </c>
      <c r="X285" t="s">
        <v>1169</v>
      </c>
      <c r="Y285">
        <f t="shared" si="90"/>
        <v>0.13465999764848022</v>
      </c>
      <c r="Z285">
        <f t="shared" si="103"/>
        <v>0.29774675316113697</v>
      </c>
      <c r="AA285" t="str">
        <f t="shared" si="107"/>
        <v>Low</v>
      </c>
      <c r="AB285">
        <f t="shared" si="91"/>
        <v>9.1230752946439758E-2</v>
      </c>
      <c r="AC285">
        <f t="shared" si="104"/>
        <v>0.26756666118217631</v>
      </c>
      <c r="AD285" t="str">
        <f t="shared" si="105"/>
        <v>Low</v>
      </c>
      <c r="AE285">
        <f t="shared" si="92"/>
        <v>7.0220741905331783E-3</v>
      </c>
      <c r="AF285">
        <f t="shared" si="106"/>
        <v>4.6274149478457711E-2</v>
      </c>
      <c r="AG285" t="s">
        <v>1170</v>
      </c>
    </row>
    <row r="286" spans="1:33" customFormat="1" x14ac:dyDescent="0.3">
      <c r="A286">
        <v>400156</v>
      </c>
      <c r="B286" t="s">
        <v>348</v>
      </c>
      <c r="C286" t="s">
        <v>833</v>
      </c>
      <c r="D286" t="s">
        <v>836</v>
      </c>
      <c r="E286" s="21">
        <v>6.9</v>
      </c>
      <c r="F286" s="2">
        <f t="shared" si="93"/>
        <v>0.8222222222222223</v>
      </c>
      <c r="G286" s="10">
        <v>58.623840000000008</v>
      </c>
      <c r="H286">
        <f t="shared" si="94"/>
        <v>0.53507964880921099</v>
      </c>
      <c r="I286" s="12">
        <v>109.89999999999999</v>
      </c>
      <c r="J286" s="2">
        <f t="shared" si="95"/>
        <v>0.26635967038293745</v>
      </c>
      <c r="K286" s="10">
        <v>0</v>
      </c>
      <c r="L286" s="2">
        <f t="shared" si="96"/>
        <v>0</v>
      </c>
      <c r="M286">
        <v>11647</v>
      </c>
      <c r="N286">
        <f t="shared" si="97"/>
        <v>5.3976049547439592E-2</v>
      </c>
      <c r="O286" s="10">
        <v>0.70539714099999995</v>
      </c>
      <c r="P286">
        <f t="shared" si="98"/>
        <v>0.68138016592166895</v>
      </c>
      <c r="Q286" s="23">
        <v>0.21429999999999999</v>
      </c>
      <c r="R286" s="13">
        <f t="shared" si="99"/>
        <v>0.46405370290168901</v>
      </c>
      <c r="S286">
        <f t="shared" si="100"/>
        <v>0.13208938703468887</v>
      </c>
      <c r="T286" s="14">
        <f t="shared" si="88"/>
        <v>0.27896569547787703</v>
      </c>
      <c r="U286" t="str">
        <f t="shared" si="101"/>
        <v>Low</v>
      </c>
      <c r="V286">
        <f t="shared" si="102"/>
        <v>0.10702768764892269</v>
      </c>
      <c r="W286">
        <f t="shared" si="89"/>
        <v>0.19428666337720918</v>
      </c>
      <c r="X286" t="s">
        <v>1169</v>
      </c>
      <c r="Y286">
        <f t="shared" si="90"/>
        <v>0.15715108642045506</v>
      </c>
      <c r="Z286">
        <f t="shared" si="103"/>
        <v>0.3474768049497573</v>
      </c>
      <c r="AA286" t="str">
        <f t="shared" si="107"/>
        <v>Moderate</v>
      </c>
      <c r="AB286">
        <f t="shared" si="91"/>
        <v>8.8962111713970171E-2</v>
      </c>
      <c r="AC286">
        <f t="shared" si="104"/>
        <v>0.26091306313121565</v>
      </c>
      <c r="AD286" t="str">
        <f t="shared" si="105"/>
        <v>Low</v>
      </c>
      <c r="AE286">
        <f t="shared" si="92"/>
        <v>1.2448843173459167E-2</v>
      </c>
      <c r="AF286">
        <f t="shared" si="106"/>
        <v>8.203553739422792E-2</v>
      </c>
      <c r="AG286" t="s">
        <v>1170</v>
      </c>
    </row>
    <row r="287" spans="1:33" customFormat="1" x14ac:dyDescent="0.3">
      <c r="A287">
        <v>400158</v>
      </c>
      <c r="B287" t="s">
        <v>349</v>
      </c>
      <c r="C287" t="s">
        <v>833</v>
      </c>
      <c r="D287" t="s">
        <v>837</v>
      </c>
      <c r="E287" s="21">
        <v>6.9</v>
      </c>
      <c r="F287" s="2">
        <f t="shared" si="93"/>
        <v>0.8222222222222223</v>
      </c>
      <c r="G287" s="10">
        <v>107.53812000000001</v>
      </c>
      <c r="H287">
        <f t="shared" si="94"/>
        <v>0.98153685400346991</v>
      </c>
      <c r="I287" s="12">
        <v>175.8</v>
      </c>
      <c r="J287" s="2">
        <f t="shared" si="95"/>
        <v>0.42607852641783817</v>
      </c>
      <c r="K287" s="10">
        <v>0.5</v>
      </c>
      <c r="L287" s="2">
        <f t="shared" si="96"/>
        <v>0.29411764705882354</v>
      </c>
      <c r="M287">
        <v>34915</v>
      </c>
      <c r="N287">
        <f t="shared" si="97"/>
        <v>0.16406675088595857</v>
      </c>
      <c r="O287" s="10">
        <v>0.29080084</v>
      </c>
      <c r="P287">
        <f t="shared" si="98"/>
        <v>0.22478990129796003</v>
      </c>
      <c r="Q287" s="23">
        <v>0.4264</v>
      </c>
      <c r="R287" s="13">
        <f t="shared" si="99"/>
        <v>0.92334343871805979</v>
      </c>
      <c r="S287">
        <f t="shared" si="100"/>
        <v>0.2741911454202251</v>
      </c>
      <c r="T287" s="14">
        <f t="shared" si="88"/>
        <v>0.57907698183156286</v>
      </c>
      <c r="U287" t="str">
        <f t="shared" si="101"/>
        <v>Moderate</v>
      </c>
      <c r="V287">
        <f t="shared" si="102"/>
        <v>0.44101601487301417</v>
      </c>
      <c r="W287">
        <f t="shared" si="89"/>
        <v>0.80057349558606528</v>
      </c>
      <c r="X287" t="str">
        <f t="shared" ref="X287:X318" si="108">IF(W287&gt;0.7,"High",IF(W287&gt;0.3,"Moderate",IF(W287&gt;0.15,"Low","No Impact")))</f>
        <v>High</v>
      </c>
      <c r="Y287">
        <f t="shared" si="90"/>
        <v>0.10736627596743599</v>
      </c>
      <c r="Z287">
        <f t="shared" si="103"/>
        <v>0.237397598593137</v>
      </c>
      <c r="AA287" t="str">
        <f t="shared" si="107"/>
        <v>Low</v>
      </c>
      <c r="AB287">
        <f t="shared" si="91"/>
        <v>0.21399257694794316</v>
      </c>
      <c r="AC287">
        <f t="shared" si="104"/>
        <v>0.627609413301083</v>
      </c>
      <c r="AD287" t="str">
        <f t="shared" si="105"/>
        <v>Moderate</v>
      </c>
      <c r="AE287">
        <f t="shared" si="92"/>
        <v>7.8363111291878396E-2</v>
      </c>
      <c r="AF287">
        <f t="shared" si="106"/>
        <v>0.51639817910298469</v>
      </c>
      <c r="AG287" t="str">
        <f t="shared" ref="AG287:AG318" si="109">IF(AF287&gt;0.7,"High",IF(AF287&gt;0.3,"Moderate",IF(AF287&gt;0.15,"Low","No Impact")))</f>
        <v>Moderate</v>
      </c>
    </row>
    <row r="288" spans="1:33" customFormat="1" x14ac:dyDescent="0.3">
      <c r="A288">
        <v>400160</v>
      </c>
      <c r="B288" t="s">
        <v>350</v>
      </c>
      <c r="C288" t="s">
        <v>833</v>
      </c>
      <c r="D288" t="s">
        <v>838</v>
      </c>
      <c r="E288" s="21">
        <v>6.9</v>
      </c>
      <c r="F288" s="2">
        <f t="shared" si="93"/>
        <v>0.8222222222222223</v>
      </c>
      <c r="G288" s="10">
        <v>64.767240000000001</v>
      </c>
      <c r="H288">
        <f t="shared" si="94"/>
        <v>0.59115254192734346</v>
      </c>
      <c r="I288" s="12">
        <v>113.4</v>
      </c>
      <c r="J288" s="2">
        <f t="shared" si="95"/>
        <v>0.27484246243334953</v>
      </c>
      <c r="K288" s="10">
        <v>0</v>
      </c>
      <c r="L288" s="2">
        <f t="shared" si="96"/>
        <v>0</v>
      </c>
      <c r="M288">
        <v>36030</v>
      </c>
      <c r="N288">
        <f t="shared" si="97"/>
        <v>0.16934228518166292</v>
      </c>
      <c r="O288" s="10">
        <v>0.62281557300000001</v>
      </c>
      <c r="P288">
        <f t="shared" si="98"/>
        <v>0.59043400963610959</v>
      </c>
      <c r="Q288" s="23">
        <v>0.2989</v>
      </c>
      <c r="R288" s="13">
        <f t="shared" si="99"/>
        <v>0.64724989172802083</v>
      </c>
      <c r="S288">
        <f t="shared" si="100"/>
        <v>0.15422415087209906</v>
      </c>
      <c r="T288" s="14">
        <f t="shared" si="88"/>
        <v>0.32571312861207785</v>
      </c>
      <c r="U288" t="str">
        <f t="shared" si="101"/>
        <v>Moderate</v>
      </c>
      <c r="V288">
        <f t="shared" si="102"/>
        <v>0.16130381084183507</v>
      </c>
      <c r="W288">
        <f t="shared" si="89"/>
        <v>0.29281375583193858</v>
      </c>
      <c r="X288" t="s">
        <v>1169</v>
      </c>
      <c r="Y288">
        <f t="shared" si="90"/>
        <v>0.14714449090236309</v>
      </c>
      <c r="Z288">
        <f t="shared" si="103"/>
        <v>0.32535121919498661</v>
      </c>
      <c r="AA288" t="str">
        <f t="shared" si="107"/>
        <v>Moderate</v>
      </c>
      <c r="AB288">
        <f t="shared" si="91"/>
        <v>0.11537055194528151</v>
      </c>
      <c r="AC288">
        <f t="shared" si="104"/>
        <v>0.33836521551966947</v>
      </c>
      <c r="AD288" t="str">
        <f t="shared" si="105"/>
        <v>Moderate</v>
      </c>
      <c r="AE288">
        <f t="shared" si="92"/>
        <v>4.2202488228372297E-2</v>
      </c>
      <c r="AF288">
        <f t="shared" si="106"/>
        <v>0.27810646764104774</v>
      </c>
      <c r="AG288" t="s">
        <v>1169</v>
      </c>
    </row>
    <row r="289" spans="1:33" customFormat="1" x14ac:dyDescent="0.3">
      <c r="A289">
        <v>400173</v>
      </c>
      <c r="B289" t="s">
        <v>435</v>
      </c>
      <c r="C289" t="s">
        <v>833</v>
      </c>
      <c r="D289" t="s">
        <v>839</v>
      </c>
      <c r="E289" s="21">
        <v>6.8</v>
      </c>
      <c r="F289" s="2">
        <f t="shared" si="93"/>
        <v>0.79999999999999993</v>
      </c>
      <c r="G289" s="10">
        <v>63.875880000000009</v>
      </c>
      <c r="H289">
        <f t="shared" si="94"/>
        <v>0.58301679722412081</v>
      </c>
      <c r="I289" s="12">
        <v>118.7</v>
      </c>
      <c r="J289" s="2">
        <f t="shared" si="95"/>
        <v>0.28768783325254488</v>
      </c>
      <c r="K289" s="10">
        <v>0.2</v>
      </c>
      <c r="L289" s="2">
        <f t="shared" si="96"/>
        <v>0.11764705882352942</v>
      </c>
      <c r="M289">
        <v>24278</v>
      </c>
      <c r="N289">
        <f t="shared" si="97"/>
        <v>0.11373862684702843</v>
      </c>
      <c r="O289" s="10">
        <v>0.53739436500000004</v>
      </c>
      <c r="P289">
        <f t="shared" si="98"/>
        <v>0.49636058961011459</v>
      </c>
      <c r="Q289" s="23">
        <v>0.20619999999999999</v>
      </c>
      <c r="R289" s="13">
        <f t="shared" si="99"/>
        <v>0.44651364226938067</v>
      </c>
      <c r="S289">
        <f t="shared" si="100"/>
        <v>0.12824625997817887</v>
      </c>
      <c r="T289" s="14">
        <f t="shared" si="88"/>
        <v>0.27084921741558116</v>
      </c>
      <c r="U289" t="str">
        <f t="shared" si="101"/>
        <v>Low</v>
      </c>
      <c r="V289">
        <f t="shared" si="102"/>
        <v>0.12146626286760413</v>
      </c>
      <c r="W289">
        <f t="shared" si="89"/>
        <v>0.22049691480635619</v>
      </c>
      <c r="X289" t="s">
        <v>1169</v>
      </c>
      <c r="Y289">
        <f t="shared" si="90"/>
        <v>0.1350262570887536</v>
      </c>
      <c r="Z289">
        <f t="shared" si="103"/>
        <v>0.29855658949754244</v>
      </c>
      <c r="AA289" t="str">
        <f t="shared" si="107"/>
        <v>Low</v>
      </c>
      <c r="AB289">
        <f t="shared" si="91"/>
        <v>9.3850283791691622E-2</v>
      </c>
      <c r="AC289">
        <f t="shared" si="104"/>
        <v>0.27524936793939508</v>
      </c>
      <c r="AD289" t="str">
        <f t="shared" si="105"/>
        <v>Low</v>
      </c>
      <c r="AE289">
        <f t="shared" si="92"/>
        <v>3.0940613318297422E-2</v>
      </c>
      <c r="AF289">
        <f t="shared" si="106"/>
        <v>0.20389282807297471</v>
      </c>
      <c r="AG289" t="s">
        <v>1169</v>
      </c>
    </row>
    <row r="290" spans="1:33" customFormat="1" x14ac:dyDescent="0.3">
      <c r="A290">
        <v>400177</v>
      </c>
      <c r="B290" t="s">
        <v>463</v>
      </c>
      <c r="C290" t="s">
        <v>833</v>
      </c>
      <c r="D290" t="s">
        <v>840</v>
      </c>
      <c r="E290" s="21">
        <v>6.9</v>
      </c>
      <c r="F290" s="2">
        <f t="shared" si="93"/>
        <v>0.8222222222222223</v>
      </c>
      <c r="G290" s="10">
        <v>87.794640000000001</v>
      </c>
      <c r="H290">
        <f t="shared" si="94"/>
        <v>0.80133142316387151</v>
      </c>
      <c r="I290" s="12">
        <v>121</v>
      </c>
      <c r="J290" s="2">
        <f t="shared" si="95"/>
        <v>0.29326223945710134</v>
      </c>
      <c r="K290" s="10">
        <v>1.7</v>
      </c>
      <c r="L290" s="2">
        <f t="shared" si="96"/>
        <v>1</v>
      </c>
      <c r="M290">
        <v>16547</v>
      </c>
      <c r="N290">
        <f t="shared" si="97"/>
        <v>7.7160011923180644E-2</v>
      </c>
      <c r="O290" s="10">
        <v>0.33360579899999998</v>
      </c>
      <c r="P290">
        <f t="shared" si="98"/>
        <v>0.27193052341609369</v>
      </c>
      <c r="Q290" s="23">
        <v>0.4219</v>
      </c>
      <c r="R290" s="13">
        <f t="shared" si="99"/>
        <v>0.91359896058899959</v>
      </c>
      <c r="S290">
        <f t="shared" si="100"/>
        <v>0.33293603777782393</v>
      </c>
      <c r="T290" s="14">
        <f t="shared" si="88"/>
        <v>0.70314304134024141</v>
      </c>
      <c r="U290" t="str">
        <f t="shared" si="101"/>
        <v>High</v>
      </c>
      <c r="V290">
        <f t="shared" si="102"/>
        <v>0.51313783783572786</v>
      </c>
      <c r="W290">
        <f t="shared" si="89"/>
        <v>0.9314957704470459</v>
      </c>
      <c r="X290" t="str">
        <f t="shared" si="108"/>
        <v>High</v>
      </c>
      <c r="Y290">
        <f t="shared" si="90"/>
        <v>0.15273423771992001</v>
      </c>
      <c r="Z290">
        <f t="shared" si="103"/>
        <v>0.33771070972657696</v>
      </c>
      <c r="AA290" t="str">
        <f t="shared" si="107"/>
        <v>Moderate</v>
      </c>
      <c r="AB290">
        <f t="shared" si="91"/>
        <v>0.24058687965933395</v>
      </c>
      <c r="AC290">
        <f t="shared" si="104"/>
        <v>0.70560667357945084</v>
      </c>
      <c r="AD290" t="str">
        <f t="shared" si="105"/>
        <v>High</v>
      </c>
      <c r="AE290">
        <f t="shared" si="92"/>
        <v>4.3338186002437787E-2</v>
      </c>
      <c r="AF290">
        <f t="shared" si="106"/>
        <v>0.28559050257623941</v>
      </c>
      <c r="AG290" t="s">
        <v>1169</v>
      </c>
    </row>
    <row r="291" spans="1:33" customFormat="1" x14ac:dyDescent="0.3">
      <c r="A291">
        <v>401807</v>
      </c>
      <c r="B291" t="s">
        <v>8</v>
      </c>
      <c r="C291" t="s">
        <v>842</v>
      </c>
      <c r="D291" t="s">
        <v>841</v>
      </c>
      <c r="E291" s="21">
        <v>6.3</v>
      </c>
      <c r="F291" s="2">
        <f t="shared" si="93"/>
        <v>0.68888888888888877</v>
      </c>
      <c r="G291" s="10">
        <v>42.740279999999998</v>
      </c>
      <c r="H291">
        <f t="shared" si="94"/>
        <v>0.39010501550917409</v>
      </c>
      <c r="I291" s="12">
        <v>29.699999999999996</v>
      </c>
      <c r="J291" s="2">
        <f t="shared" si="95"/>
        <v>7.198254968492486E-2</v>
      </c>
      <c r="K291" s="10">
        <v>0</v>
      </c>
      <c r="L291" s="2">
        <f t="shared" si="96"/>
        <v>0</v>
      </c>
      <c r="M291">
        <v>51862</v>
      </c>
      <c r="N291">
        <f t="shared" si="97"/>
        <v>0.24425014075977156</v>
      </c>
      <c r="O291" s="10">
        <v>0.66728496400000004</v>
      </c>
      <c r="P291">
        <f t="shared" si="98"/>
        <v>0.63940765208147532</v>
      </c>
      <c r="Q291" s="23">
        <v>0.27410000000000001</v>
      </c>
      <c r="R291" s="13">
        <f t="shared" si="99"/>
        <v>0.59354699003897793</v>
      </c>
      <c r="S291">
        <f t="shared" si="100"/>
        <v>6.8684479366759865E-2</v>
      </c>
      <c r="T291" s="14">
        <f t="shared" si="88"/>
        <v>0.14505793376156831</v>
      </c>
      <c r="U291" t="str">
        <f t="shared" si="101"/>
        <v>No Impact</v>
      </c>
      <c r="V291">
        <f t="shared" si="102"/>
        <v>6.6129709233134687E-2</v>
      </c>
      <c r="W291">
        <f t="shared" si="89"/>
        <v>0.12004482988697071</v>
      </c>
      <c r="X291" t="s">
        <v>1170</v>
      </c>
      <c r="Y291">
        <f t="shared" si="90"/>
        <v>7.1239249500385057E-2</v>
      </c>
      <c r="Z291">
        <f t="shared" si="103"/>
        <v>0.15751712169003734</v>
      </c>
      <c r="AA291" t="s">
        <v>1170</v>
      </c>
      <c r="AB291">
        <f t="shared" si="91"/>
        <v>5.4041721046545775E-2</v>
      </c>
      <c r="AC291">
        <f t="shared" si="104"/>
        <v>0.15849658583276099</v>
      </c>
      <c r="AD291" t="str">
        <f t="shared" si="105"/>
        <v>Low</v>
      </c>
      <c r="AE291">
        <f t="shared" si="92"/>
        <v>2.7212994185237475E-2</v>
      </c>
      <c r="AF291">
        <f t="shared" si="106"/>
        <v>0.17932851840012606</v>
      </c>
      <c r="AG291" t="s">
        <v>1169</v>
      </c>
    </row>
    <row r="292" spans="1:33" customFormat="1" x14ac:dyDescent="0.3">
      <c r="A292">
        <v>401823</v>
      </c>
      <c r="B292" t="s">
        <v>114</v>
      </c>
      <c r="C292" t="s">
        <v>842</v>
      </c>
      <c r="D292" t="s">
        <v>843</v>
      </c>
      <c r="E292" s="21">
        <v>6.3</v>
      </c>
      <c r="F292" s="2">
        <f t="shared" si="93"/>
        <v>0.68888888888888877</v>
      </c>
      <c r="G292" s="10">
        <v>42.740279999999998</v>
      </c>
      <c r="H292">
        <f t="shared" si="94"/>
        <v>0.39010501550917409</v>
      </c>
      <c r="I292" s="12">
        <v>42.9</v>
      </c>
      <c r="J292" s="2">
        <f t="shared" si="95"/>
        <v>0.10397479398933593</v>
      </c>
      <c r="K292" s="10">
        <v>0</v>
      </c>
      <c r="L292" s="2">
        <f t="shared" si="96"/>
        <v>0</v>
      </c>
      <c r="M292">
        <v>55839</v>
      </c>
      <c r="N292">
        <f t="shared" si="97"/>
        <v>0.2630670016512659</v>
      </c>
      <c r="O292" s="10">
        <v>0.454944974</v>
      </c>
      <c r="P292">
        <f t="shared" si="98"/>
        <v>0.40555999837485013</v>
      </c>
      <c r="Q292" s="23">
        <v>0.2742</v>
      </c>
      <c r="R292" s="13">
        <f t="shared" si="99"/>
        <v>0.59376353399740145</v>
      </c>
      <c r="S292">
        <f t="shared" si="100"/>
        <v>5.9523772760502011E-2</v>
      </c>
      <c r="T292" s="14">
        <f t="shared" si="88"/>
        <v>0.12571101311295949</v>
      </c>
      <c r="U292" t="str">
        <f t="shared" si="101"/>
        <v>No Impact</v>
      </c>
      <c r="V292">
        <f t="shared" si="102"/>
        <v>7.0733940563241976E-2</v>
      </c>
      <c r="W292">
        <f t="shared" si="89"/>
        <v>0.12840286099269421</v>
      </c>
      <c r="X292" t="s">
        <v>1170</v>
      </c>
      <c r="Y292">
        <f t="shared" si="90"/>
        <v>4.8313604957762039E-2</v>
      </c>
      <c r="Z292">
        <f t="shared" si="103"/>
        <v>0.10682622353250733</v>
      </c>
      <c r="AA292" t="s">
        <v>1170</v>
      </c>
      <c r="AB292">
        <f t="shared" si="91"/>
        <v>5.0219498844405824E-2</v>
      </c>
      <c r="AC292">
        <f t="shared" si="104"/>
        <v>0.14728655851309846</v>
      </c>
      <c r="AD292" t="str">
        <f t="shared" si="105"/>
        <v>No Impact</v>
      </c>
      <c r="AE292">
        <f t="shared" si="92"/>
        <v>3.1338680456978615E-2</v>
      </c>
      <c r="AF292">
        <f t="shared" si="106"/>
        <v>0.20651601572066844</v>
      </c>
      <c r="AG292" t="s">
        <v>1169</v>
      </c>
    </row>
    <row r="293" spans="1:33" customFormat="1" x14ac:dyDescent="0.3">
      <c r="A293">
        <v>401831</v>
      </c>
      <c r="B293" t="s">
        <v>127</v>
      </c>
      <c r="C293" t="s">
        <v>842</v>
      </c>
      <c r="D293" t="s">
        <v>844</v>
      </c>
      <c r="E293" s="21">
        <v>5.7</v>
      </c>
      <c r="F293" s="2">
        <f t="shared" si="93"/>
        <v>0.55555555555555558</v>
      </c>
      <c r="G293" s="10">
        <v>41.811480000000003</v>
      </c>
      <c r="H293">
        <f t="shared" si="94"/>
        <v>0.3816275432416803</v>
      </c>
      <c r="I293" s="12">
        <v>39.6</v>
      </c>
      <c r="J293" s="2">
        <f t="shared" si="95"/>
        <v>9.5976732913233165E-2</v>
      </c>
      <c r="K293" s="10">
        <v>0</v>
      </c>
      <c r="L293" s="2">
        <f t="shared" si="96"/>
        <v>0</v>
      </c>
      <c r="M293">
        <v>46381</v>
      </c>
      <c r="N293">
        <f t="shared" si="97"/>
        <v>0.21831722284519264</v>
      </c>
      <c r="O293" s="10">
        <v>0.49257115800000001</v>
      </c>
      <c r="P293">
        <f t="shared" si="98"/>
        <v>0.44699729356514262</v>
      </c>
      <c r="Q293" s="23">
        <v>0.27400000000000002</v>
      </c>
      <c r="R293" s="13">
        <f t="shared" si="99"/>
        <v>0.59333044608055441</v>
      </c>
      <c r="S293">
        <f t="shared" si="100"/>
        <v>4.8306317213910037E-2</v>
      </c>
      <c r="T293" s="14">
        <f t="shared" si="88"/>
        <v>0.10202034909901114</v>
      </c>
      <c r="U293" t="str">
        <f t="shared" si="101"/>
        <v>No Impact</v>
      </c>
      <c r="V293">
        <f t="shared" si="102"/>
        <v>5.5101114098522933E-2</v>
      </c>
      <c r="W293">
        <f t="shared" si="89"/>
        <v>0.1000246930652685</v>
      </c>
      <c r="X293" t="s">
        <v>1170</v>
      </c>
      <c r="Y293">
        <f t="shared" si="90"/>
        <v>4.1511520329297141E-2</v>
      </c>
      <c r="Z293">
        <f t="shared" si="103"/>
        <v>9.1786132575877491E-2</v>
      </c>
      <c r="AA293" t="s">
        <v>1170</v>
      </c>
      <c r="AB293">
        <f t="shared" si="91"/>
        <v>3.8834947033643458E-2</v>
      </c>
      <c r="AC293">
        <f t="shared" si="104"/>
        <v>0.11389730742526054</v>
      </c>
      <c r="AD293" t="str">
        <f t="shared" si="105"/>
        <v>No Impact</v>
      </c>
      <c r="AE293">
        <f t="shared" si="92"/>
        <v>2.0274574286775118E-2</v>
      </c>
      <c r="AF293">
        <f t="shared" si="106"/>
        <v>0.13360563498789968</v>
      </c>
      <c r="AG293" t="s">
        <v>1169</v>
      </c>
    </row>
    <row r="294" spans="1:33" customFormat="1" x14ac:dyDescent="0.3">
      <c r="A294">
        <v>401855</v>
      </c>
      <c r="B294" t="s">
        <v>227</v>
      </c>
      <c r="C294" t="s">
        <v>842</v>
      </c>
      <c r="D294" t="s">
        <v>845</v>
      </c>
      <c r="E294" s="21">
        <v>6.3</v>
      </c>
      <c r="F294" s="2">
        <f t="shared" si="93"/>
        <v>0.68888888888888877</v>
      </c>
      <c r="G294" s="10">
        <v>44.0946</v>
      </c>
      <c r="H294">
        <f t="shared" si="94"/>
        <v>0.4024663529782872</v>
      </c>
      <c r="I294" s="12">
        <v>39.6</v>
      </c>
      <c r="J294" s="2">
        <f t="shared" si="95"/>
        <v>9.5976732913233165E-2</v>
      </c>
      <c r="K294" s="10">
        <v>0</v>
      </c>
      <c r="L294" s="2">
        <f t="shared" si="96"/>
        <v>0</v>
      </c>
      <c r="M294">
        <v>28593</v>
      </c>
      <c r="N294">
        <f t="shared" si="97"/>
        <v>0.13415470800035958</v>
      </c>
      <c r="O294" s="10">
        <v>0.45530077899999999</v>
      </c>
      <c r="P294">
        <f t="shared" si="98"/>
        <v>0.40595184243788829</v>
      </c>
      <c r="Q294" s="23">
        <v>0.28839999999999999</v>
      </c>
      <c r="R294" s="13">
        <f t="shared" si="99"/>
        <v>0.62451277609354694</v>
      </c>
      <c r="S294">
        <f t="shared" si="100"/>
        <v>6.1920704592630889E-2</v>
      </c>
      <c r="T294" s="14">
        <f t="shared" si="88"/>
        <v>0.13077320448634586</v>
      </c>
      <c r="U294" t="str">
        <f t="shared" si="101"/>
        <v>No Impact</v>
      </c>
      <c r="V294">
        <f t="shared" si="102"/>
        <v>7.5054049265511361E-2</v>
      </c>
      <c r="W294">
        <f t="shared" si="89"/>
        <v>0.1362451261450911</v>
      </c>
      <c r="X294" t="s">
        <v>1170</v>
      </c>
      <c r="Y294">
        <f t="shared" si="90"/>
        <v>4.878735991975041E-2</v>
      </c>
      <c r="Z294">
        <f t="shared" si="103"/>
        <v>0.10787374324280941</v>
      </c>
      <c r="AA294" t="s">
        <v>1170</v>
      </c>
      <c r="AB294">
        <f t="shared" si="91"/>
        <v>4.6548082508302516E-2</v>
      </c>
      <c r="AC294">
        <f t="shared" si="104"/>
        <v>0.1365188230825076</v>
      </c>
      <c r="AD294" t="str">
        <f t="shared" si="105"/>
        <v>No Impact</v>
      </c>
      <c r="AE294">
        <f t="shared" si="92"/>
        <v>1.6122735112709764E-2</v>
      </c>
      <c r="AF294">
        <f t="shared" si="106"/>
        <v>0.10624579495513169</v>
      </c>
      <c r="AG294" t="s">
        <v>1169</v>
      </c>
    </row>
    <row r="295" spans="1:33" customFormat="1" x14ac:dyDescent="0.3">
      <c r="A295">
        <v>404104</v>
      </c>
      <c r="B295" t="s">
        <v>0</v>
      </c>
      <c r="C295" t="s">
        <v>1156</v>
      </c>
      <c r="D295" t="s">
        <v>846</v>
      </c>
      <c r="E295" s="21">
        <v>5.8</v>
      </c>
      <c r="F295" s="2">
        <f t="shared" si="93"/>
        <v>0.57777777777777772</v>
      </c>
      <c r="G295" s="10">
        <v>59.316120000000005</v>
      </c>
      <c r="H295">
        <f t="shared" si="94"/>
        <v>0.54139832290626155</v>
      </c>
      <c r="I295" s="12">
        <v>90</v>
      </c>
      <c r="J295" s="2">
        <f t="shared" si="95"/>
        <v>0.21812893843916628</v>
      </c>
      <c r="K295" s="10">
        <v>0</v>
      </c>
      <c r="L295" s="2">
        <f t="shared" si="96"/>
        <v>0</v>
      </c>
      <c r="M295">
        <v>51104</v>
      </c>
      <c r="N295">
        <f t="shared" si="97"/>
        <v>0.2406637237228712</v>
      </c>
      <c r="O295" s="10">
        <v>0.81907550100000004</v>
      </c>
      <c r="P295">
        <f t="shared" si="98"/>
        <v>0.80657287108859055</v>
      </c>
      <c r="Q295" s="23">
        <v>0.2397</v>
      </c>
      <c r="R295" s="13">
        <f t="shared" si="99"/>
        <v>0.51905586834127326</v>
      </c>
      <c r="S295">
        <f t="shared" si="100"/>
        <v>0.10180384011979554</v>
      </c>
      <c r="T295" s="14">
        <f t="shared" si="88"/>
        <v>0.21500424597987655</v>
      </c>
      <c r="U295" t="str">
        <f t="shared" si="101"/>
        <v>Low</v>
      </c>
      <c r="V295">
        <f t="shared" si="102"/>
        <v>7.9723498838118523E-2</v>
      </c>
      <c r="W295">
        <f t="shared" si="89"/>
        <v>0.14472154750108507</v>
      </c>
      <c r="X295" t="s">
        <v>1170</v>
      </c>
      <c r="Y295">
        <f t="shared" si="90"/>
        <v>0.12388418140147257</v>
      </c>
      <c r="Z295">
        <f t="shared" si="103"/>
        <v>0.2739203432678069</v>
      </c>
      <c r="AA295" t="str">
        <f t="shared" si="107"/>
        <v>Low</v>
      </c>
      <c r="AB295">
        <f t="shared" si="91"/>
        <v>7.8005995655236443E-2</v>
      </c>
      <c r="AC295">
        <f t="shared" si="104"/>
        <v>0.22878035240941724</v>
      </c>
      <c r="AD295" t="str">
        <f t="shared" si="105"/>
        <v>Low</v>
      </c>
      <c r="AE295">
        <f t="shared" si="92"/>
        <v>3.6964333261294828E-2</v>
      </c>
      <c r="AF295">
        <f t="shared" si="106"/>
        <v>0.24358801064942998</v>
      </c>
      <c r="AG295" t="s">
        <v>1169</v>
      </c>
    </row>
    <row r="296" spans="1:33" customFormat="1" x14ac:dyDescent="0.3">
      <c r="A296">
        <v>404109</v>
      </c>
      <c r="B296" t="s">
        <v>28</v>
      </c>
      <c r="C296" t="s">
        <v>1156</v>
      </c>
      <c r="D296" t="s">
        <v>847</v>
      </c>
      <c r="E296" s="21">
        <v>5.7</v>
      </c>
      <c r="F296" s="2">
        <f t="shared" si="93"/>
        <v>0.55555555555555558</v>
      </c>
      <c r="G296" s="10">
        <v>51.667200000000001</v>
      </c>
      <c r="H296">
        <f t="shared" si="94"/>
        <v>0.471584038694075</v>
      </c>
      <c r="I296" s="12">
        <v>51.600000000000009</v>
      </c>
      <c r="J296" s="2">
        <f t="shared" si="95"/>
        <v>0.12506059137178868</v>
      </c>
      <c r="K296" s="10">
        <v>0</v>
      </c>
      <c r="L296" s="2">
        <f t="shared" si="96"/>
        <v>0</v>
      </c>
      <c r="M296">
        <v>40351</v>
      </c>
      <c r="N296">
        <f t="shared" si="97"/>
        <v>0.18978675486035212</v>
      </c>
      <c r="O296" s="10">
        <v>0.923816415</v>
      </c>
      <c r="P296">
        <f t="shared" si="98"/>
        <v>0.92192286703606796</v>
      </c>
      <c r="Q296" s="23">
        <v>0.29399999999999998</v>
      </c>
      <c r="R296" s="13">
        <f t="shared" si="99"/>
        <v>0.63663923776526632</v>
      </c>
      <c r="S296">
        <f t="shared" si="100"/>
        <v>9.0407694071903646E-2</v>
      </c>
      <c r="T296" s="14">
        <f t="shared" si="88"/>
        <v>0.19093619721845162</v>
      </c>
      <c r="U296" t="str">
        <f t="shared" si="101"/>
        <v>Low</v>
      </c>
      <c r="V296">
        <f t="shared" si="102"/>
        <v>7.3859213264252654E-2</v>
      </c>
      <c r="W296">
        <f t="shared" si="89"/>
        <v>0.13407614814447316</v>
      </c>
      <c r="X296" t="s">
        <v>1170</v>
      </c>
      <c r="Y296">
        <f t="shared" si="90"/>
        <v>0.10695617487955464</v>
      </c>
      <c r="Z296">
        <f t="shared" si="103"/>
        <v>0.23649082397916982</v>
      </c>
      <c r="AA296" t="str">
        <f t="shared" si="107"/>
        <v>Low</v>
      </c>
      <c r="AB296">
        <f t="shared" si="91"/>
        <v>6.5643864827337764E-2</v>
      </c>
      <c r="AC296">
        <f t="shared" si="104"/>
        <v>0.19252400283549667</v>
      </c>
      <c r="AD296" t="str">
        <f t="shared" si="105"/>
        <v>Low</v>
      </c>
      <c r="AE296">
        <f t="shared" si="92"/>
        <v>2.2017964917094134E-2</v>
      </c>
      <c r="AF296">
        <f t="shared" si="106"/>
        <v>0.14509425166123041</v>
      </c>
      <c r="AG296" t="s">
        <v>1169</v>
      </c>
    </row>
    <row r="297" spans="1:33" customFormat="1" x14ac:dyDescent="0.3">
      <c r="A297">
        <v>404111</v>
      </c>
      <c r="B297" t="s">
        <v>106</v>
      </c>
      <c r="C297" t="s">
        <v>1156</v>
      </c>
      <c r="D297" t="s">
        <v>848</v>
      </c>
      <c r="E297" s="21">
        <v>5.8</v>
      </c>
      <c r="F297" s="2">
        <f t="shared" si="93"/>
        <v>0.57777777777777772</v>
      </c>
      <c r="G297" s="10">
        <v>47.863079999999997</v>
      </c>
      <c r="H297">
        <f t="shared" si="94"/>
        <v>0.43686254665895591</v>
      </c>
      <c r="I297" s="12">
        <v>43.699999999999996</v>
      </c>
      <c r="J297" s="2">
        <f t="shared" si="95"/>
        <v>0.10591371788657294</v>
      </c>
      <c r="K297" s="10">
        <v>0</v>
      </c>
      <c r="L297" s="2">
        <f t="shared" si="96"/>
        <v>0</v>
      </c>
      <c r="M297">
        <v>18322</v>
      </c>
      <c r="N297">
        <f t="shared" si="97"/>
        <v>8.5558284008270521E-2</v>
      </c>
      <c r="O297" s="10">
        <v>0.84663085400000004</v>
      </c>
      <c r="P297">
        <f t="shared" si="98"/>
        <v>0.83691927284790035</v>
      </c>
      <c r="Q297" s="23">
        <v>0.30320000000000003</v>
      </c>
      <c r="R297" s="13">
        <f t="shared" si="99"/>
        <v>0.65656128194023389</v>
      </c>
      <c r="S297">
        <f t="shared" si="100"/>
        <v>8.1963274999594618E-2</v>
      </c>
      <c r="T297" s="14">
        <f t="shared" si="88"/>
        <v>0.17310203739458407</v>
      </c>
      <c r="U297" t="str">
        <f t="shared" si="101"/>
        <v>Low</v>
      </c>
      <c r="V297">
        <f t="shared" si="102"/>
        <v>7.2065100189252648E-2</v>
      </c>
      <c r="W297">
        <f t="shared" si="89"/>
        <v>0.13081930638025063</v>
      </c>
      <c r="X297" t="s">
        <v>1170</v>
      </c>
      <c r="Y297">
        <f t="shared" si="90"/>
        <v>9.1861449809936588E-2</v>
      </c>
      <c r="Z297">
        <f t="shared" si="103"/>
        <v>0.20311487375027482</v>
      </c>
      <c r="AA297" t="str">
        <f t="shared" si="107"/>
        <v>Low</v>
      </c>
      <c r="AB297">
        <f t="shared" si="91"/>
        <v>5.6068069641594213E-2</v>
      </c>
      <c r="AC297">
        <f t="shared" si="104"/>
        <v>0.16443957446825555</v>
      </c>
      <c r="AD297" t="str">
        <f t="shared" si="105"/>
        <v>Low</v>
      </c>
      <c r="AE297">
        <f t="shared" si="92"/>
        <v>9.3909989496423155E-3</v>
      </c>
      <c r="AF297">
        <f t="shared" si="106"/>
        <v>6.18849185235954E-2</v>
      </c>
      <c r="AG297" t="s">
        <v>1170</v>
      </c>
    </row>
    <row r="298" spans="1:33" customFormat="1" x14ac:dyDescent="0.3">
      <c r="A298">
        <v>404123</v>
      </c>
      <c r="B298" t="s">
        <v>226</v>
      </c>
      <c r="C298" t="s">
        <v>1156</v>
      </c>
      <c r="D298" t="s">
        <v>849</v>
      </c>
      <c r="E298" s="21">
        <v>5.8</v>
      </c>
      <c r="F298" s="2">
        <f t="shared" si="93"/>
        <v>0.57777777777777772</v>
      </c>
      <c r="G298" s="10">
        <v>52.817399999999999</v>
      </c>
      <c r="H298">
        <f t="shared" si="94"/>
        <v>0.48208230376951794</v>
      </c>
      <c r="I298" s="12">
        <v>43.699999999999996</v>
      </c>
      <c r="J298" s="2">
        <f t="shared" si="95"/>
        <v>0.10591371788657294</v>
      </c>
      <c r="K298" s="10">
        <v>0</v>
      </c>
      <c r="L298" s="2">
        <f t="shared" si="96"/>
        <v>0</v>
      </c>
      <c r="M298">
        <v>65394</v>
      </c>
      <c r="N298">
        <f t="shared" si="97"/>
        <v>0.30827572828396094</v>
      </c>
      <c r="O298" s="10">
        <v>0.84320218000000002</v>
      </c>
      <c r="P298">
        <f t="shared" si="98"/>
        <v>0.83314331255787244</v>
      </c>
      <c r="Q298" s="23">
        <v>0.2954</v>
      </c>
      <c r="R298" s="13">
        <f t="shared" si="99"/>
        <v>0.63967085318319616</v>
      </c>
      <c r="S298">
        <f t="shared" si="100"/>
        <v>8.7563119087331026E-2</v>
      </c>
      <c r="T298" s="14">
        <f t="shared" si="88"/>
        <v>0.18492860753449103</v>
      </c>
      <c r="U298" t="str">
        <f t="shared" si="101"/>
        <v>Low</v>
      </c>
      <c r="V298">
        <f t="shared" si="102"/>
        <v>7.6060614294528844E-2</v>
      </c>
      <c r="W298">
        <f t="shared" si="89"/>
        <v>0.13807233707766289</v>
      </c>
      <c r="X298" t="s">
        <v>1170</v>
      </c>
      <c r="Y298">
        <f t="shared" si="90"/>
        <v>9.9065623880133208E-2</v>
      </c>
      <c r="Z298">
        <f t="shared" si="103"/>
        <v>0.21904402476814508</v>
      </c>
      <c r="AA298" t="str">
        <f t="shared" si="107"/>
        <v>Low</v>
      </c>
      <c r="AB298">
        <f t="shared" si="91"/>
        <v>6.9170429105926579E-2</v>
      </c>
      <c r="AC298">
        <f t="shared" si="104"/>
        <v>0.20286690804006413</v>
      </c>
      <c r="AD298" t="str">
        <f t="shared" si="105"/>
        <v>Low</v>
      </c>
      <c r="AE298">
        <f t="shared" si="92"/>
        <v>3.6655791253718623E-2</v>
      </c>
      <c r="AF298">
        <f t="shared" si="106"/>
        <v>0.24155477679408094</v>
      </c>
      <c r="AG298" t="s">
        <v>1169</v>
      </c>
    </row>
    <row r="299" spans="1:33" customFormat="1" x14ac:dyDescent="0.3">
      <c r="A299">
        <v>404138</v>
      </c>
      <c r="B299" t="s">
        <v>270</v>
      </c>
      <c r="C299" t="s">
        <v>1156</v>
      </c>
      <c r="D299" t="s">
        <v>850</v>
      </c>
      <c r="E299" s="21">
        <v>5.8</v>
      </c>
      <c r="F299" s="2">
        <f t="shared" si="93"/>
        <v>0.57777777777777772</v>
      </c>
      <c r="G299" s="10">
        <v>62.361720000000005</v>
      </c>
      <c r="H299">
        <f t="shared" si="94"/>
        <v>0.56919654592292734</v>
      </c>
      <c r="I299" s="12">
        <v>75.599999999999994</v>
      </c>
      <c r="J299" s="2">
        <f t="shared" si="95"/>
        <v>0.18322830828889966</v>
      </c>
      <c r="K299" s="10">
        <v>0</v>
      </c>
      <c r="L299" s="2">
        <f t="shared" si="96"/>
        <v>0</v>
      </c>
      <c r="M299">
        <v>45853</v>
      </c>
      <c r="N299">
        <f t="shared" si="97"/>
        <v>0.21581903261368421</v>
      </c>
      <c r="O299" s="10">
        <v>0.77521230200000002</v>
      </c>
      <c r="P299">
        <f t="shared" si="98"/>
        <v>0.75826682110612242</v>
      </c>
      <c r="Q299" s="23">
        <v>0.26069999999999999</v>
      </c>
      <c r="R299" s="13">
        <f t="shared" si="99"/>
        <v>0.56453009961022083</v>
      </c>
      <c r="S299">
        <f t="shared" si="100"/>
        <v>0.10063642277798686</v>
      </c>
      <c r="T299" s="14">
        <f t="shared" si="88"/>
        <v>0.21253872321546954</v>
      </c>
      <c r="U299" t="str">
        <f t="shared" si="101"/>
        <v>Low</v>
      </c>
      <c r="V299">
        <f t="shared" si="102"/>
        <v>8.5897221085920392E-2</v>
      </c>
      <c r="W299">
        <f t="shared" si="89"/>
        <v>0.15592866523381263</v>
      </c>
      <c r="X299" t="s">
        <v>1170</v>
      </c>
      <c r="Y299">
        <f t="shared" si="90"/>
        <v>0.11537562447005333</v>
      </c>
      <c r="Z299">
        <f t="shared" si="103"/>
        <v>0.25510707099202679</v>
      </c>
      <c r="AA299" t="str">
        <f t="shared" si="107"/>
        <v>Low</v>
      </c>
      <c r="AB299">
        <f t="shared" si="91"/>
        <v>7.617014848151718E-2</v>
      </c>
      <c r="AC299">
        <f t="shared" si="104"/>
        <v>0.2233960770105155</v>
      </c>
      <c r="AD299" t="str">
        <f t="shared" si="105"/>
        <v>Low</v>
      </c>
      <c r="AE299">
        <f t="shared" si="92"/>
        <v>3.2838382172654411E-2</v>
      </c>
      <c r="AF299">
        <f t="shared" si="106"/>
        <v>0.21639876823528006</v>
      </c>
      <c r="AG299" t="s">
        <v>1169</v>
      </c>
    </row>
    <row r="300" spans="1:33" customFormat="1" x14ac:dyDescent="0.3">
      <c r="A300">
        <v>404147</v>
      </c>
      <c r="B300" t="s">
        <v>288</v>
      </c>
      <c r="C300" t="s">
        <v>1156</v>
      </c>
      <c r="D300" t="s">
        <v>1129</v>
      </c>
      <c r="E300" s="21">
        <v>5.8</v>
      </c>
      <c r="F300" s="2">
        <f t="shared" si="93"/>
        <v>0.57777777777777772</v>
      </c>
      <c r="G300" s="10">
        <v>54.959040000000002</v>
      </c>
      <c r="H300">
        <f t="shared" si="94"/>
        <v>0.5016297776142159</v>
      </c>
      <c r="I300" s="12">
        <v>56.9</v>
      </c>
      <c r="J300" s="2">
        <f t="shared" si="95"/>
        <v>0.137905962190984</v>
      </c>
      <c r="K300" s="10">
        <v>0</v>
      </c>
      <c r="L300" s="2">
        <f t="shared" si="96"/>
        <v>0</v>
      </c>
      <c r="M300">
        <v>77221</v>
      </c>
      <c r="N300">
        <f t="shared" si="97"/>
        <v>0.36423424318557107</v>
      </c>
      <c r="O300" s="10">
        <v>0.87838899000000004</v>
      </c>
      <c r="P300">
        <f t="shared" si="98"/>
        <v>0.8718941524722984</v>
      </c>
      <c r="Q300" s="23">
        <v>0</v>
      </c>
      <c r="R300" s="13">
        <f t="shared" si="99"/>
        <v>0</v>
      </c>
      <c r="S300">
        <f t="shared" si="100"/>
        <v>5.6380311040912352E-2</v>
      </c>
      <c r="T300" s="14">
        <f t="shared" si="88"/>
        <v>0.11907219068748243</v>
      </c>
      <c r="U300" t="str">
        <f t="shared" si="101"/>
        <v>No Impact</v>
      </c>
      <c r="V300">
        <f t="shared" si="102"/>
        <v>0</v>
      </c>
      <c r="W300">
        <f t="shared" si="89"/>
        <v>0</v>
      </c>
      <c r="X300" t="s">
        <v>1170</v>
      </c>
      <c r="Y300">
        <f t="shared" si="90"/>
        <v>0.1127606220818247</v>
      </c>
      <c r="Z300">
        <f t="shared" si="103"/>
        <v>0.24932503858299476</v>
      </c>
      <c r="AA300" t="str">
        <f t="shared" si="107"/>
        <v>Low</v>
      </c>
      <c r="AB300">
        <f t="shared" si="91"/>
        <v>5.0315219947373119E-2</v>
      </c>
      <c r="AC300">
        <f t="shared" si="104"/>
        <v>0.14756729472428232</v>
      </c>
      <c r="AD300" t="str">
        <f t="shared" si="105"/>
        <v>No Impact</v>
      </c>
      <c r="AE300">
        <f t="shared" si="92"/>
        <v>4.7105809493787745E-2</v>
      </c>
      <c r="AF300">
        <f t="shared" si="106"/>
        <v>0.3104184334534606</v>
      </c>
      <c r="AG300" t="str">
        <f t="shared" si="109"/>
        <v>Moderate</v>
      </c>
    </row>
    <row r="301" spans="1:33" customFormat="1" x14ac:dyDescent="0.3">
      <c r="A301">
        <v>404161</v>
      </c>
      <c r="B301" t="s">
        <v>323</v>
      </c>
      <c r="C301" t="s">
        <v>1156</v>
      </c>
      <c r="D301" t="s">
        <v>851</v>
      </c>
      <c r="E301" s="21">
        <v>5.8</v>
      </c>
      <c r="F301" s="2">
        <f t="shared" si="93"/>
        <v>0.57777777777777772</v>
      </c>
      <c r="G301" s="10">
        <v>58.583159999999999</v>
      </c>
      <c r="H301">
        <f t="shared" si="94"/>
        <v>0.53470834866726247</v>
      </c>
      <c r="I301" s="12">
        <v>48.599999999999994</v>
      </c>
      <c r="J301" s="2">
        <f t="shared" si="95"/>
        <v>0.11778962675714978</v>
      </c>
      <c r="K301" s="10">
        <v>0</v>
      </c>
      <c r="L301" s="2">
        <f t="shared" si="96"/>
        <v>0</v>
      </c>
      <c r="M301">
        <v>71555</v>
      </c>
      <c r="N301">
        <f t="shared" si="97"/>
        <v>0.33742601240578557</v>
      </c>
      <c r="O301" s="10">
        <v>0.85398755299999995</v>
      </c>
      <c r="P301">
        <f t="shared" si="98"/>
        <v>0.84502112309370592</v>
      </c>
      <c r="Q301" s="23">
        <v>0.28170000000000001</v>
      </c>
      <c r="R301" s="13">
        <f t="shared" si="99"/>
        <v>0.6100043308791685</v>
      </c>
      <c r="S301">
        <f t="shared" si="100"/>
        <v>9.5995006471837882E-2</v>
      </c>
      <c r="T301" s="14">
        <f t="shared" si="88"/>
        <v>0.20273630110636268</v>
      </c>
      <c r="U301" t="str">
        <f t="shared" si="101"/>
        <v>Low</v>
      </c>
      <c r="V301">
        <f t="shared" si="102"/>
        <v>8.0489821715086771E-2</v>
      </c>
      <c r="W301">
        <f t="shared" si="89"/>
        <v>0.14611264842185026</v>
      </c>
      <c r="X301" t="s">
        <v>1170</v>
      </c>
      <c r="Y301">
        <f t="shared" si="90"/>
        <v>0.11150019122858901</v>
      </c>
      <c r="Z301">
        <f t="shared" si="103"/>
        <v>0.24653809962050707</v>
      </c>
      <c r="AA301" t="str">
        <f t="shared" si="107"/>
        <v>Low</v>
      </c>
      <c r="AB301">
        <f t="shared" si="91"/>
        <v>7.7204623435339945E-2</v>
      </c>
      <c r="AC301">
        <f t="shared" si="104"/>
        <v>0.22643004308589629</v>
      </c>
      <c r="AD301" t="str">
        <f t="shared" si="105"/>
        <v>Low</v>
      </c>
      <c r="AE301">
        <f t="shared" si="92"/>
        <v>4.4523224189951111E-2</v>
      </c>
      <c r="AF301">
        <f t="shared" si="106"/>
        <v>0.29339968156506296</v>
      </c>
      <c r="AG301" t="s">
        <v>1169</v>
      </c>
    </row>
    <row r="302" spans="1:33" customFormat="1" x14ac:dyDescent="0.3">
      <c r="A302">
        <v>404190</v>
      </c>
      <c r="B302" t="s">
        <v>481</v>
      </c>
      <c r="C302" t="s">
        <v>1156</v>
      </c>
      <c r="D302" t="s">
        <v>852</v>
      </c>
      <c r="E302" s="21">
        <v>5.8</v>
      </c>
      <c r="F302" s="2">
        <f t="shared" si="93"/>
        <v>0.57777777777777772</v>
      </c>
      <c r="G302" s="10">
        <v>50.294159999999998</v>
      </c>
      <c r="H302">
        <f t="shared" si="94"/>
        <v>0.45905183744282635</v>
      </c>
      <c r="I302" s="12">
        <v>43.699999999999996</v>
      </c>
      <c r="J302" s="2">
        <f t="shared" si="95"/>
        <v>0.10591371788657294</v>
      </c>
      <c r="K302" s="10">
        <v>0</v>
      </c>
      <c r="L302" s="2">
        <f t="shared" si="96"/>
        <v>0</v>
      </c>
      <c r="M302">
        <v>72161</v>
      </c>
      <c r="N302">
        <f t="shared" si="97"/>
        <v>0.34029325346694866</v>
      </c>
      <c r="O302" s="10">
        <v>0.86490294700000003</v>
      </c>
      <c r="P302">
        <f t="shared" si="98"/>
        <v>0.85704212430117221</v>
      </c>
      <c r="Q302" s="23">
        <v>0.29020000000000001</v>
      </c>
      <c r="R302" s="13">
        <f t="shared" si="99"/>
        <v>0.62841056734517109</v>
      </c>
      <c r="S302">
        <f t="shared" si="100"/>
        <v>8.4855437823876639E-2</v>
      </c>
      <c r="T302" s="14">
        <f t="shared" si="88"/>
        <v>0.17921013004171865</v>
      </c>
      <c r="U302" t="str">
        <f t="shared" si="101"/>
        <v>Low</v>
      </c>
      <c r="V302">
        <f t="shared" si="102"/>
        <v>7.1795021309127766E-2</v>
      </c>
      <c r="W302">
        <f t="shared" si="89"/>
        <v>0.13032903395055712</v>
      </c>
      <c r="X302" t="s">
        <v>1170</v>
      </c>
      <c r="Y302">
        <f t="shared" si="90"/>
        <v>9.7915854338625513E-2</v>
      </c>
      <c r="Z302">
        <f t="shared" si="103"/>
        <v>0.21650176905861257</v>
      </c>
      <c r="AA302" t="str">
        <f t="shared" si="107"/>
        <v>Low</v>
      </c>
      <c r="AB302">
        <f t="shared" si="91"/>
        <v>6.8110322307328386E-2</v>
      </c>
      <c r="AC302">
        <f t="shared" si="104"/>
        <v>0.19975776745493742</v>
      </c>
      <c r="AD302" t="str">
        <f t="shared" si="105"/>
        <v>Low</v>
      </c>
      <c r="AE302">
        <f t="shared" si="92"/>
        <v>3.8878024421560096E-2</v>
      </c>
      <c r="AF302">
        <f t="shared" si="106"/>
        <v>0.25619887581589362</v>
      </c>
      <c r="AG302" t="s">
        <v>1169</v>
      </c>
    </row>
    <row r="303" spans="1:33" customFormat="1" x14ac:dyDescent="0.3">
      <c r="A303">
        <v>404414</v>
      </c>
      <c r="B303" t="s">
        <v>203</v>
      </c>
      <c r="C303" t="s">
        <v>854</v>
      </c>
      <c r="D303" t="s">
        <v>853</v>
      </c>
      <c r="E303" s="21">
        <v>4.7</v>
      </c>
      <c r="F303" s="2">
        <f t="shared" si="93"/>
        <v>0.33333333333333331</v>
      </c>
      <c r="G303" s="10">
        <v>47.662199999999999</v>
      </c>
      <c r="H303">
        <f t="shared" si="94"/>
        <v>0.43502904684296306</v>
      </c>
      <c r="I303" s="12">
        <v>29.7</v>
      </c>
      <c r="J303" s="2">
        <f t="shared" si="95"/>
        <v>7.1982549684924874E-2</v>
      </c>
      <c r="K303" s="10">
        <v>0</v>
      </c>
      <c r="L303" s="2">
        <f t="shared" si="96"/>
        <v>0</v>
      </c>
      <c r="M303">
        <v>28168</v>
      </c>
      <c r="N303">
        <f t="shared" si="97"/>
        <v>0.13214385412083102</v>
      </c>
      <c r="O303" s="10">
        <v>0.93225243000000002</v>
      </c>
      <c r="P303">
        <f t="shared" si="98"/>
        <v>0.93121335590904897</v>
      </c>
      <c r="Q303" s="23">
        <v>0.29570000000000002</v>
      </c>
      <c r="R303" s="13">
        <f t="shared" si="99"/>
        <v>0.64032048505846695</v>
      </c>
      <c r="S303">
        <f t="shared" si="100"/>
        <v>4.6479176432881734E-2</v>
      </c>
      <c r="T303" s="14">
        <f t="shared" si="88"/>
        <v>9.8161525841835365E-2</v>
      </c>
      <c r="U303" t="str">
        <f t="shared" si="101"/>
        <v>No Impact</v>
      </c>
      <c r="V303">
        <f t="shared" si="102"/>
        <v>3.7875822998883903E-2</v>
      </c>
      <c r="W303">
        <f t="shared" si="89"/>
        <v>6.8755734471789134E-2</v>
      </c>
      <c r="X303" t="s">
        <v>1170</v>
      </c>
      <c r="Y303">
        <f t="shared" si="90"/>
        <v>5.5082529866879566E-2</v>
      </c>
      <c r="Z303">
        <f t="shared" si="103"/>
        <v>0.12179299502571947</v>
      </c>
      <c r="AA303" t="s">
        <v>1170</v>
      </c>
      <c r="AB303">
        <f t="shared" si="91"/>
        <v>3.2517067723013562E-2</v>
      </c>
      <c r="AC303">
        <f t="shared" si="104"/>
        <v>9.5367877180509278E-2</v>
      </c>
      <c r="AD303" t="str">
        <f t="shared" si="105"/>
        <v>No Impact</v>
      </c>
      <c r="AE303">
        <f t="shared" si="92"/>
        <v>7.8164877524009319E-3</v>
      </c>
      <c r="AF303">
        <f t="shared" si="106"/>
        <v>5.1509185582055361E-2</v>
      </c>
      <c r="AG303" t="s">
        <v>1170</v>
      </c>
    </row>
    <row r="304" spans="1:33" customFormat="1" x14ac:dyDescent="0.3">
      <c r="A304">
        <v>404419</v>
      </c>
      <c r="B304" t="s">
        <v>224</v>
      </c>
      <c r="C304" t="s">
        <v>854</v>
      </c>
      <c r="D304" t="s">
        <v>1146</v>
      </c>
      <c r="E304" s="21">
        <v>4.5999999999999996</v>
      </c>
      <c r="F304" s="2">
        <f t="shared" si="93"/>
        <v>0.31111111111111101</v>
      </c>
      <c r="G304" s="10">
        <v>47.662199999999999</v>
      </c>
      <c r="H304">
        <f t="shared" si="94"/>
        <v>0.43502904684296306</v>
      </c>
      <c r="I304" s="12">
        <v>39.800000000000004</v>
      </c>
      <c r="J304" s="2">
        <f t="shared" si="95"/>
        <v>9.6461463887542426E-2</v>
      </c>
      <c r="K304" s="10">
        <v>0</v>
      </c>
      <c r="L304" s="2">
        <f t="shared" si="96"/>
        <v>0</v>
      </c>
      <c r="M304">
        <v>45089</v>
      </c>
      <c r="N304">
        <f t="shared" si="97"/>
        <v>0.2122042270514258</v>
      </c>
      <c r="O304" s="10">
        <v>0.876006646</v>
      </c>
      <c r="P304">
        <f t="shared" si="98"/>
        <v>0.86927050369694503</v>
      </c>
      <c r="Q304" s="23">
        <v>0.28860000000000002</v>
      </c>
      <c r="R304" s="13">
        <f t="shared" si="99"/>
        <v>0.6249458640103942</v>
      </c>
      <c r="S304">
        <f t="shared" si="100"/>
        <v>4.3237699111464509E-2</v>
      </c>
      <c r="T304" s="14">
        <f t="shared" si="88"/>
        <v>9.1315699726316715E-2</v>
      </c>
      <c r="U304" t="str">
        <f t="shared" si="101"/>
        <v>No Impact</v>
      </c>
      <c r="V304">
        <f t="shared" si="102"/>
        <v>3.616774894588503E-2</v>
      </c>
      <c r="W304">
        <f t="shared" si="89"/>
        <v>6.5655078783077012E-2</v>
      </c>
      <c r="X304" t="s">
        <v>1170</v>
      </c>
      <c r="Y304">
        <f t="shared" si="90"/>
        <v>5.0307649277043974E-2</v>
      </c>
      <c r="Z304">
        <f t="shared" si="103"/>
        <v>0.11123525540606689</v>
      </c>
      <c r="AA304" t="s">
        <v>1170</v>
      </c>
      <c r="AB304">
        <f t="shared" si="91"/>
        <v>3.204935078351228E-2</v>
      </c>
      <c r="AC304">
        <f t="shared" si="104"/>
        <v>9.3996130748095472E-2</v>
      </c>
      <c r="AD304" t="str">
        <f t="shared" si="105"/>
        <v>No Impact</v>
      </c>
      <c r="AE304">
        <f t="shared" si="92"/>
        <v>1.2280982483826636E-2</v>
      </c>
      <c r="AF304">
        <f t="shared" si="106"/>
        <v>8.092936699032012E-2</v>
      </c>
      <c r="AG304" t="s">
        <v>1170</v>
      </c>
    </row>
    <row r="305" spans="1:33" customFormat="1" x14ac:dyDescent="0.3">
      <c r="A305">
        <v>404433</v>
      </c>
      <c r="B305" t="s">
        <v>245</v>
      </c>
      <c r="C305" t="s">
        <v>854</v>
      </c>
      <c r="D305" t="s">
        <v>1139</v>
      </c>
      <c r="E305" s="21">
        <v>4.5999999999999996</v>
      </c>
      <c r="F305" s="2">
        <f t="shared" si="93"/>
        <v>0.31111111111111101</v>
      </c>
      <c r="G305" s="10">
        <v>48.725640000000006</v>
      </c>
      <c r="H305">
        <f t="shared" si="94"/>
        <v>0.44473542400504712</v>
      </c>
      <c r="I305" s="12">
        <v>27.400000000000002</v>
      </c>
      <c r="J305" s="2">
        <f t="shared" si="95"/>
        <v>6.6408143480368401E-2</v>
      </c>
      <c r="K305" s="10">
        <v>0</v>
      </c>
      <c r="L305" s="2">
        <f t="shared" si="96"/>
        <v>0</v>
      </c>
      <c r="M305">
        <v>31560</v>
      </c>
      <c r="N305">
        <f t="shared" si="97"/>
        <v>0.14819283378991546</v>
      </c>
      <c r="O305" s="10">
        <v>0.90598758099999999</v>
      </c>
      <c r="P305">
        <f t="shared" si="98"/>
        <v>0.90228817175693143</v>
      </c>
      <c r="Q305" s="23">
        <v>0.2792</v>
      </c>
      <c r="R305" s="13">
        <f t="shared" si="99"/>
        <v>0.60459073191857948</v>
      </c>
      <c r="S305">
        <f t="shared" si="100"/>
        <v>4.1934823856741549E-2</v>
      </c>
      <c r="T305" s="14">
        <f t="shared" si="88"/>
        <v>8.8564097120580831E-2</v>
      </c>
      <c r="U305" t="str">
        <f t="shared" si="101"/>
        <v>No Impact</v>
      </c>
      <c r="V305">
        <f t="shared" si="102"/>
        <v>3.3650223367761273E-2</v>
      </c>
      <c r="W305">
        <f t="shared" si="89"/>
        <v>6.1085031019876848E-2</v>
      </c>
      <c r="X305" t="s">
        <v>1170</v>
      </c>
      <c r="Y305">
        <f t="shared" si="90"/>
        <v>5.0219424345721825E-2</v>
      </c>
      <c r="Z305">
        <f t="shared" si="103"/>
        <v>0.11104018123921887</v>
      </c>
      <c r="AA305" t="s">
        <v>1170</v>
      </c>
      <c r="AB305">
        <f t="shared" si="91"/>
        <v>2.9730238828269511E-2</v>
      </c>
      <c r="AC305">
        <f t="shared" si="104"/>
        <v>8.7194509335014811E-2</v>
      </c>
      <c r="AD305" t="str">
        <f t="shared" si="105"/>
        <v>No Impact</v>
      </c>
      <c r="AE305">
        <f t="shared" si="92"/>
        <v>8.2480952738186192E-3</v>
      </c>
      <c r="AF305">
        <f t="shared" si="106"/>
        <v>5.4353398049795214E-2</v>
      </c>
      <c r="AG305" t="s">
        <v>1170</v>
      </c>
    </row>
    <row r="306" spans="1:33" customFormat="1" x14ac:dyDescent="0.3">
      <c r="A306">
        <v>404442</v>
      </c>
      <c r="B306" t="s">
        <v>285</v>
      </c>
      <c r="C306" t="s">
        <v>854</v>
      </c>
      <c r="D306" t="s">
        <v>855</v>
      </c>
      <c r="E306" s="21">
        <v>4.5999999999999996</v>
      </c>
      <c r="F306" s="2">
        <f t="shared" si="93"/>
        <v>0.31111111111111101</v>
      </c>
      <c r="G306" s="10">
        <v>44.846640000000001</v>
      </c>
      <c r="H306">
        <f t="shared" si="94"/>
        <v>0.40933047684138585</v>
      </c>
      <c r="I306" s="12">
        <v>44.6</v>
      </c>
      <c r="J306" s="2">
        <f t="shared" si="95"/>
        <v>0.10809500727096463</v>
      </c>
      <c r="K306" s="10">
        <v>0</v>
      </c>
      <c r="L306" s="2">
        <f t="shared" si="96"/>
        <v>0</v>
      </c>
      <c r="M306">
        <v>23944</v>
      </c>
      <c r="N306">
        <f t="shared" si="97"/>
        <v>0.11215833226876364</v>
      </c>
      <c r="O306" s="10">
        <v>0.72649766500000001</v>
      </c>
      <c r="P306">
        <f t="shared" si="98"/>
        <v>0.70461793676916851</v>
      </c>
      <c r="Q306" s="23">
        <v>0.29010000000000002</v>
      </c>
      <c r="R306" s="13">
        <f t="shared" si="99"/>
        <v>0.62819402338674757</v>
      </c>
      <c r="S306">
        <f t="shared" si="100"/>
        <v>3.7546569791117632E-2</v>
      </c>
      <c r="T306" s="14">
        <f t="shared" si="88"/>
        <v>7.929634007490001E-2</v>
      </c>
      <c r="U306" t="str">
        <f t="shared" si="101"/>
        <v>No Impact</v>
      </c>
      <c r="V306">
        <f t="shared" si="102"/>
        <v>3.5393636081558384E-2</v>
      </c>
      <c r="W306">
        <f t="shared" si="89"/>
        <v>6.4249836749064773E-2</v>
      </c>
      <c r="X306" t="s">
        <v>1170</v>
      </c>
      <c r="Y306">
        <f t="shared" si="90"/>
        <v>3.9699503500676865E-2</v>
      </c>
      <c r="Z306">
        <f t="shared" si="103"/>
        <v>8.7779581730663539E-2</v>
      </c>
      <c r="AA306" t="s">
        <v>1170</v>
      </c>
      <c r="AB306">
        <f t="shared" si="91"/>
        <v>2.6509347870347359E-2</v>
      </c>
      <c r="AC306">
        <f t="shared" si="104"/>
        <v>7.7748099963067127E-2</v>
      </c>
      <c r="AD306" t="str">
        <f t="shared" si="105"/>
        <v>No Impact</v>
      </c>
      <c r="AE306">
        <f t="shared" si="92"/>
        <v>6.3192119759967642E-3</v>
      </c>
      <c r="AF306">
        <f t="shared" si="106"/>
        <v>4.1642419551413422E-2</v>
      </c>
      <c r="AG306" t="s">
        <v>1170</v>
      </c>
    </row>
    <row r="307" spans="1:33" customFormat="1" x14ac:dyDescent="0.3">
      <c r="A307">
        <v>404471</v>
      </c>
      <c r="B307" t="s">
        <v>319</v>
      </c>
      <c r="C307" t="s">
        <v>854</v>
      </c>
      <c r="D307" t="s">
        <v>856</v>
      </c>
      <c r="E307" s="21">
        <v>4.5999999999999996</v>
      </c>
      <c r="F307" s="2">
        <f t="shared" si="93"/>
        <v>0.31111111111111101</v>
      </c>
      <c r="G307" s="10">
        <v>46.886399999999995</v>
      </c>
      <c r="H307">
        <f t="shared" si="94"/>
        <v>0.42794805741023079</v>
      </c>
      <c r="I307" s="12">
        <v>46.099999999999994</v>
      </c>
      <c r="J307" s="2">
        <f t="shared" si="95"/>
        <v>0.11173048957828405</v>
      </c>
      <c r="K307" s="10">
        <v>0</v>
      </c>
      <c r="L307" s="2">
        <f t="shared" si="96"/>
        <v>0</v>
      </c>
      <c r="M307">
        <v>47194</v>
      </c>
      <c r="N307">
        <f t="shared" si="97"/>
        <v>0.22216386803120844</v>
      </c>
      <c r="O307" s="10">
        <v>0.74038319200000002</v>
      </c>
      <c r="P307">
        <f t="shared" si="98"/>
        <v>0.71990991219701883</v>
      </c>
      <c r="Q307" s="23">
        <v>0.29370000000000002</v>
      </c>
      <c r="R307" s="13">
        <f t="shared" si="99"/>
        <v>0.63598960588999576</v>
      </c>
      <c r="S307">
        <f t="shared" si="100"/>
        <v>3.9839715785997487E-2</v>
      </c>
      <c r="T307" s="14">
        <f t="shared" si="88"/>
        <v>8.4139341330753889E-2</v>
      </c>
      <c r="U307" t="str">
        <f t="shared" si="101"/>
        <v>No Impact</v>
      </c>
      <c r="V307">
        <f t="shared" si="102"/>
        <v>3.737392749759786E-2</v>
      </c>
      <c r="W307">
        <f t="shared" si="89"/>
        <v>6.7844646841560607E-2</v>
      </c>
      <c r="X307" t="s">
        <v>1170</v>
      </c>
      <c r="Y307">
        <f t="shared" si="90"/>
        <v>4.2305504074397107E-2</v>
      </c>
      <c r="Z307">
        <f t="shared" si="103"/>
        <v>9.3541710225472835E-2</v>
      </c>
      <c r="AA307" t="s">
        <v>1170</v>
      </c>
      <c r="AB307">
        <f t="shared" si="91"/>
        <v>3.0341936536245461E-2</v>
      </c>
      <c r="AC307">
        <f t="shared" si="104"/>
        <v>8.8988530628163656E-2</v>
      </c>
      <c r="AD307" t="str">
        <f t="shared" si="105"/>
        <v>No Impact</v>
      </c>
      <c r="AE307">
        <f t="shared" si="92"/>
        <v>1.305545911362023E-2</v>
      </c>
      <c r="AF307">
        <f t="shared" si="106"/>
        <v>8.6033022457668543E-2</v>
      </c>
      <c r="AG307" t="s">
        <v>1170</v>
      </c>
    </row>
    <row r="308" spans="1:33" customFormat="1" x14ac:dyDescent="0.3">
      <c r="A308">
        <v>404480</v>
      </c>
      <c r="B308" t="s">
        <v>477</v>
      </c>
      <c r="C308" t="s">
        <v>854</v>
      </c>
      <c r="D308" t="s">
        <v>857</v>
      </c>
      <c r="E308" s="21">
        <v>4.5999999999999996</v>
      </c>
      <c r="F308" s="2">
        <f t="shared" si="93"/>
        <v>0.31111111111111101</v>
      </c>
      <c r="G308" s="10">
        <v>47.662199999999999</v>
      </c>
      <c r="H308">
        <f t="shared" si="94"/>
        <v>0.43502904684296306</v>
      </c>
      <c r="I308" s="12">
        <v>31.6</v>
      </c>
      <c r="J308" s="2">
        <f t="shared" si="95"/>
        <v>7.6587493940862825E-2</v>
      </c>
      <c r="K308" s="10">
        <v>0</v>
      </c>
      <c r="L308" s="2">
        <f t="shared" si="96"/>
        <v>0</v>
      </c>
      <c r="M308">
        <v>21848</v>
      </c>
      <c r="N308">
        <f t="shared" si="97"/>
        <v>0.10224127407701807</v>
      </c>
      <c r="O308" s="10">
        <v>0.95730516700000001</v>
      </c>
      <c r="P308">
        <f t="shared" si="98"/>
        <v>0.95880365468592632</v>
      </c>
      <c r="Q308" s="23">
        <v>0.30819999999999997</v>
      </c>
      <c r="R308" s="13">
        <f t="shared" si="99"/>
        <v>0.66738847986141181</v>
      </c>
      <c r="S308">
        <f t="shared" si="100"/>
        <v>4.5297058813135296E-2</v>
      </c>
      <c r="T308" s="14">
        <f t="shared" si="88"/>
        <v>9.5664956879465843E-2</v>
      </c>
      <c r="U308" t="str">
        <f t="shared" si="101"/>
        <v>No Impact</v>
      </c>
      <c r="V308">
        <f t="shared" si="102"/>
        <v>3.7179782857461999E-2</v>
      </c>
      <c r="W308">
        <f t="shared" si="89"/>
        <v>6.7492217342492139E-2</v>
      </c>
      <c r="X308" t="s">
        <v>1170</v>
      </c>
      <c r="Y308">
        <f t="shared" si="90"/>
        <v>5.341433476880858E-2</v>
      </c>
      <c r="Z308">
        <f t="shared" si="103"/>
        <v>0.11810444844348532</v>
      </c>
      <c r="AA308" t="s">
        <v>1170</v>
      </c>
      <c r="AB308">
        <f t="shared" si="91"/>
        <v>3.1030752891891489E-2</v>
      </c>
      <c r="AC308">
        <f t="shared" si="104"/>
        <v>9.1008729809859384E-2</v>
      </c>
      <c r="AD308" t="str">
        <f t="shared" si="105"/>
        <v>No Impact</v>
      </c>
      <c r="AE308">
        <f t="shared" si="92"/>
        <v>5.6957956032491902E-3</v>
      </c>
      <c r="AF308">
        <f t="shared" si="106"/>
        <v>3.753422279400366E-2</v>
      </c>
      <c r="AG308" t="s">
        <v>1170</v>
      </c>
    </row>
    <row r="309" spans="1:33" customFormat="1" x14ac:dyDescent="0.3">
      <c r="A309">
        <v>404712</v>
      </c>
      <c r="B309" t="s">
        <v>54</v>
      </c>
      <c r="C309" t="s">
        <v>859</v>
      </c>
      <c r="D309" t="s">
        <v>858</v>
      </c>
      <c r="E309" s="21">
        <v>6.9</v>
      </c>
      <c r="F309" s="2">
        <f t="shared" si="93"/>
        <v>0.8222222222222223</v>
      </c>
      <c r="G309" s="10">
        <v>65.265839999999997</v>
      </c>
      <c r="H309">
        <f t="shared" si="94"/>
        <v>0.59570343304768414</v>
      </c>
      <c r="I309" s="12">
        <v>122.2</v>
      </c>
      <c r="J309" s="2">
        <f t="shared" si="95"/>
        <v>0.2961706253029569</v>
      </c>
      <c r="K309" s="10">
        <v>0.1</v>
      </c>
      <c r="L309" s="2">
        <f t="shared" si="96"/>
        <v>5.8823529411764712E-2</v>
      </c>
      <c r="M309">
        <v>34844</v>
      </c>
      <c r="N309">
        <f t="shared" si="97"/>
        <v>0.16373082000255496</v>
      </c>
      <c r="O309" s="10">
        <v>0.86578064499999996</v>
      </c>
      <c r="P309">
        <f t="shared" si="98"/>
        <v>0.85800872328218836</v>
      </c>
      <c r="Q309" s="23">
        <v>0.29849999999999999</v>
      </c>
      <c r="R309" s="13">
        <f t="shared" si="99"/>
        <v>0.64638371589432653</v>
      </c>
      <c r="S309">
        <f t="shared" si="100"/>
        <v>0.2039740556738919</v>
      </c>
      <c r="T309" s="14">
        <f t="shared" si="88"/>
        <v>0.43078225721167979</v>
      </c>
      <c r="U309" t="str">
        <f t="shared" si="101"/>
        <v>Moderate</v>
      </c>
      <c r="V309">
        <f t="shared" si="102"/>
        <v>0.17528073741808622</v>
      </c>
      <c r="W309">
        <f t="shared" si="89"/>
        <v>0.31818597949125643</v>
      </c>
      <c r="X309" t="str">
        <f t="shared" si="108"/>
        <v>Moderate</v>
      </c>
      <c r="Y309">
        <f t="shared" si="90"/>
        <v>0.23266737392969752</v>
      </c>
      <c r="Z309">
        <f t="shared" si="103"/>
        <v>0.51445088640900816</v>
      </c>
      <c r="AA309" t="str">
        <f t="shared" si="107"/>
        <v>Moderate</v>
      </c>
      <c r="AB309">
        <f t="shared" si="91"/>
        <v>0.14668815723957296</v>
      </c>
      <c r="AC309">
        <f t="shared" si="104"/>
        <v>0.4302152421190808</v>
      </c>
      <c r="AD309" t="str">
        <f t="shared" si="105"/>
        <v>Moderate</v>
      </c>
      <c r="AE309">
        <f t="shared" si="92"/>
        <v>4.4399105612381452E-2</v>
      </c>
      <c r="AF309">
        <f t="shared" si="106"/>
        <v>0.29258176346057257</v>
      </c>
      <c r="AG309" t="s">
        <v>1169</v>
      </c>
    </row>
    <row r="310" spans="1:33" customFormat="1" x14ac:dyDescent="0.3">
      <c r="A310">
        <v>404717</v>
      </c>
      <c r="B310" t="s">
        <v>121</v>
      </c>
      <c r="C310" t="s">
        <v>859</v>
      </c>
      <c r="D310" t="s">
        <v>860</v>
      </c>
      <c r="E310" s="21">
        <v>6.9</v>
      </c>
      <c r="F310" s="2">
        <f t="shared" si="93"/>
        <v>0.8222222222222223</v>
      </c>
      <c r="G310" s="10">
        <v>82.432079999999999</v>
      </c>
      <c r="H310">
        <f t="shared" si="94"/>
        <v>0.75238552126596925</v>
      </c>
      <c r="I310" s="12">
        <v>148.19999999999999</v>
      </c>
      <c r="J310" s="2">
        <f t="shared" si="95"/>
        <v>0.35918565196316043</v>
      </c>
      <c r="K310" s="10">
        <v>0.5</v>
      </c>
      <c r="L310" s="2">
        <f t="shared" si="96"/>
        <v>0.29411764705882354</v>
      </c>
      <c r="M310">
        <v>30636</v>
      </c>
      <c r="N310">
        <f t="shared" si="97"/>
        <v>0.1438210008847757</v>
      </c>
      <c r="O310" s="10">
        <v>0.44983552500000001</v>
      </c>
      <c r="P310">
        <f t="shared" si="98"/>
        <v>0.39993301939466058</v>
      </c>
      <c r="Q310" s="23">
        <v>0.40870000000000001</v>
      </c>
      <c r="R310" s="13">
        <f t="shared" si="99"/>
        <v>0.88501515807708964</v>
      </c>
      <c r="S310">
        <f t="shared" si="100"/>
        <v>0.25212899885637707</v>
      </c>
      <c r="T310" s="14">
        <f t="shared" si="88"/>
        <v>0.53248291248137036</v>
      </c>
      <c r="U310" t="str">
        <f t="shared" si="101"/>
        <v>Moderate</v>
      </c>
      <c r="V310">
        <f t="shared" si="102"/>
        <v>0.34731048254060914</v>
      </c>
      <c r="W310">
        <f t="shared" si="89"/>
        <v>0.63047045387065903</v>
      </c>
      <c r="X310" t="str">
        <f t="shared" si="108"/>
        <v>Moderate</v>
      </c>
      <c r="Y310">
        <f t="shared" si="90"/>
        <v>0.15694751517214503</v>
      </c>
      <c r="Z310">
        <f t="shared" si="103"/>
        <v>0.34702668851369817</v>
      </c>
      <c r="AA310" t="str">
        <f t="shared" si="107"/>
        <v>Moderate</v>
      </c>
      <c r="AB310">
        <f t="shared" si="91"/>
        <v>0.18839703642560274</v>
      </c>
      <c r="AC310">
        <f t="shared" si="104"/>
        <v>0.55254137870164932</v>
      </c>
      <c r="AD310" t="str">
        <f t="shared" si="105"/>
        <v>Moderate</v>
      </c>
      <c r="AE310">
        <f t="shared" si="92"/>
        <v>5.6440322813560061E-2</v>
      </c>
      <c r="AF310">
        <f t="shared" si="106"/>
        <v>0.37193112228977743</v>
      </c>
      <c r="AG310" t="str">
        <f t="shared" si="109"/>
        <v>Moderate</v>
      </c>
    </row>
    <row r="311" spans="1:33" customFormat="1" x14ac:dyDescent="0.3">
      <c r="A311">
        <v>404721</v>
      </c>
      <c r="B311" t="s">
        <v>133</v>
      </c>
      <c r="C311" t="s">
        <v>873</v>
      </c>
      <c r="D311" t="s">
        <v>1143</v>
      </c>
      <c r="E311" s="21">
        <v>5.0999999999999996</v>
      </c>
      <c r="F311" s="2">
        <f t="shared" si="93"/>
        <v>0.42222222222222211</v>
      </c>
      <c r="G311" s="10">
        <v>62.948520000000009</v>
      </c>
      <c r="H311">
        <f t="shared" si="94"/>
        <v>0.57455246832448359</v>
      </c>
      <c r="I311" s="12">
        <v>97.600000000000009</v>
      </c>
      <c r="J311" s="2">
        <f t="shared" si="95"/>
        <v>0.23654871546291811</v>
      </c>
      <c r="K311" s="10">
        <v>0</v>
      </c>
      <c r="L311" s="2">
        <f t="shared" si="96"/>
        <v>0</v>
      </c>
      <c r="M311">
        <v>15743</v>
      </c>
      <c r="N311">
        <f t="shared" si="97"/>
        <v>7.3355949525201913E-2</v>
      </c>
      <c r="O311" s="10">
        <v>0.82063181299999999</v>
      </c>
      <c r="P311">
        <f t="shared" si="98"/>
        <v>0.80828682007029418</v>
      </c>
      <c r="Q311" s="23">
        <v>0.24010000000000001</v>
      </c>
      <c r="R311" s="13">
        <f t="shared" si="99"/>
        <v>0.51992204417496757</v>
      </c>
      <c r="S311">
        <f t="shared" si="100"/>
        <v>7.9601370566739701E-2</v>
      </c>
      <c r="T311" s="14">
        <f t="shared" si="88"/>
        <v>0.16811382200835764</v>
      </c>
      <c r="U311" t="str">
        <f t="shared" si="101"/>
        <v>Low</v>
      </c>
      <c r="V311">
        <f t="shared" si="102"/>
        <v>6.2319275858327861E-2</v>
      </c>
      <c r="W311">
        <f t="shared" si="89"/>
        <v>0.11312777503252223</v>
      </c>
      <c r="X311" t="s">
        <v>1170</v>
      </c>
      <c r="Y311">
        <f t="shared" si="90"/>
        <v>9.6883465275151542E-2</v>
      </c>
      <c r="Z311">
        <f t="shared" si="103"/>
        <v>0.21421905335226848</v>
      </c>
      <c r="AA311" t="str">
        <f t="shared" si="107"/>
        <v>Low</v>
      </c>
      <c r="AB311">
        <f t="shared" si="91"/>
        <v>5.3954211675759998E-2</v>
      </c>
      <c r="AC311">
        <f t="shared" si="104"/>
        <v>0.15823993344957776</v>
      </c>
      <c r="AD311" t="str">
        <f t="shared" si="105"/>
        <v>Low</v>
      </c>
      <c r="AE311">
        <f t="shared" si="92"/>
        <v>8.7926444079993761E-3</v>
      </c>
      <c r="AF311">
        <f t="shared" si="106"/>
        <v>5.7941874524084898E-2</v>
      </c>
      <c r="AG311" t="s">
        <v>1170</v>
      </c>
    </row>
    <row r="312" spans="1:33" customFormat="1" x14ac:dyDescent="0.3">
      <c r="A312">
        <v>404730</v>
      </c>
      <c r="B312" t="s">
        <v>159</v>
      </c>
      <c r="C312" t="s">
        <v>859</v>
      </c>
      <c r="D312" t="s">
        <v>861</v>
      </c>
      <c r="E312" s="21">
        <v>6.9</v>
      </c>
      <c r="F312" s="2">
        <f t="shared" si="93"/>
        <v>0.8222222222222223</v>
      </c>
      <c r="G312" s="10">
        <v>65.265839999999997</v>
      </c>
      <c r="H312">
        <f t="shared" si="94"/>
        <v>0.59570343304768414</v>
      </c>
      <c r="I312" s="12">
        <v>111.50000000000001</v>
      </c>
      <c r="J312" s="2">
        <f t="shared" si="95"/>
        <v>0.2702375181774116</v>
      </c>
      <c r="K312" s="10">
        <v>0</v>
      </c>
      <c r="L312" s="2">
        <f t="shared" si="96"/>
        <v>0</v>
      </c>
      <c r="M312">
        <v>69387</v>
      </c>
      <c r="N312">
        <f t="shared" si="97"/>
        <v>0.32716829190974339</v>
      </c>
      <c r="O312" s="10">
        <v>0.70737100200000003</v>
      </c>
      <c r="P312">
        <f t="shared" si="98"/>
        <v>0.68355395694234777</v>
      </c>
      <c r="Q312" s="23">
        <v>0.20699999999999999</v>
      </c>
      <c r="R312" s="13">
        <f t="shared" si="99"/>
        <v>0.44824599393676917</v>
      </c>
      <c r="S312">
        <f t="shared" si="100"/>
        <v>0.14102146047207878</v>
      </c>
      <c r="T312" s="14">
        <f t="shared" si="88"/>
        <v>0.29782975514579396</v>
      </c>
      <c r="U312" t="str">
        <f t="shared" si="101"/>
        <v>Low</v>
      </c>
      <c r="V312">
        <f t="shared" si="102"/>
        <v>0.11170225739384788</v>
      </c>
      <c r="W312">
        <f t="shared" si="89"/>
        <v>0.20277237934861941</v>
      </c>
      <c r="X312" t="s">
        <v>1169</v>
      </c>
      <c r="Y312">
        <f t="shared" si="90"/>
        <v>0.17034066355030969</v>
      </c>
      <c r="Z312">
        <f t="shared" si="103"/>
        <v>0.37664028211120909</v>
      </c>
      <c r="AA312" t="str">
        <f t="shared" si="107"/>
        <v>Moderate</v>
      </c>
      <c r="AB312">
        <f t="shared" si="91"/>
        <v>0.11873344298168491</v>
      </c>
      <c r="AC312">
        <f t="shared" si="104"/>
        <v>0.34822809067382049</v>
      </c>
      <c r="AD312" t="str">
        <f t="shared" si="105"/>
        <v>Moderate</v>
      </c>
      <c r="AE312">
        <f t="shared" si="92"/>
        <v>8.1529868082129281E-2</v>
      </c>
      <c r="AF312">
        <f t="shared" si="106"/>
        <v>0.53726651132191039</v>
      </c>
      <c r="AG312" t="str">
        <f t="shared" si="109"/>
        <v>Moderate</v>
      </c>
    </row>
    <row r="313" spans="1:33" customFormat="1" x14ac:dyDescent="0.3">
      <c r="A313">
        <v>404740</v>
      </c>
      <c r="B313" t="s">
        <v>150</v>
      </c>
      <c r="C313" t="s">
        <v>859</v>
      </c>
      <c r="D313" t="s">
        <v>862</v>
      </c>
      <c r="E313" s="21">
        <v>6.9</v>
      </c>
      <c r="F313" s="2">
        <f t="shared" si="93"/>
        <v>0.8222222222222223</v>
      </c>
      <c r="G313" s="10">
        <v>59.151240000000008</v>
      </c>
      <c r="H313">
        <f t="shared" si="94"/>
        <v>0.53989340728668322</v>
      </c>
      <c r="I313" s="12">
        <v>97.600000000000009</v>
      </c>
      <c r="J313" s="2">
        <f t="shared" si="95"/>
        <v>0.23654871546291811</v>
      </c>
      <c r="K313" s="10">
        <v>0</v>
      </c>
      <c r="L313" s="2">
        <f t="shared" si="96"/>
        <v>0</v>
      </c>
      <c r="M313">
        <v>17988</v>
      </c>
      <c r="N313">
        <f t="shared" si="97"/>
        <v>8.3977989430005728E-2</v>
      </c>
      <c r="O313" s="10">
        <v>0.64461958900000005</v>
      </c>
      <c r="P313">
        <f t="shared" si="98"/>
        <v>0.61444652834717162</v>
      </c>
      <c r="Q313" s="23">
        <v>0.20710000000000001</v>
      </c>
      <c r="R313" s="13">
        <f t="shared" si="99"/>
        <v>0.44846253789519275</v>
      </c>
      <c r="S313">
        <f t="shared" si="100"/>
        <v>0.11874968292550094</v>
      </c>
      <c r="T313" s="14">
        <f t="shared" si="88"/>
        <v>0.25079295641208493</v>
      </c>
      <c r="U313" t="str">
        <f t="shared" si="101"/>
        <v>Low</v>
      </c>
      <c r="V313">
        <f t="shared" si="102"/>
        <v>0.10020572007591934</v>
      </c>
      <c r="W313">
        <f t="shared" si="89"/>
        <v>0.18190279013336189</v>
      </c>
      <c r="X313" t="s">
        <v>1170</v>
      </c>
      <c r="Y313">
        <f t="shared" si="90"/>
        <v>0.13729364577508252</v>
      </c>
      <c r="Z313">
        <f t="shared" si="103"/>
        <v>0.3035700131667679</v>
      </c>
      <c r="AA313" t="str">
        <f t="shared" si="107"/>
        <v>Moderate</v>
      </c>
      <c r="AB313">
        <f t="shared" si="91"/>
        <v>8.282759240954117E-2</v>
      </c>
      <c r="AC313">
        <f t="shared" si="104"/>
        <v>0.24292140138084831</v>
      </c>
      <c r="AD313" t="str">
        <f t="shared" si="105"/>
        <v>Low</v>
      </c>
      <c r="AE313">
        <f t="shared" si="92"/>
        <v>1.876427614412756E-2</v>
      </c>
      <c r="AF313">
        <f t="shared" si="106"/>
        <v>0.12365305401059679</v>
      </c>
      <c r="AG313" t="s">
        <v>1169</v>
      </c>
    </row>
    <row r="314" spans="1:33" customFormat="1" x14ac:dyDescent="0.3">
      <c r="A314">
        <v>404745</v>
      </c>
      <c r="B314" t="s">
        <v>273</v>
      </c>
      <c r="C314" t="s">
        <v>859</v>
      </c>
      <c r="D314" t="s">
        <v>863</v>
      </c>
      <c r="E314" s="21">
        <v>6.9</v>
      </c>
      <c r="F314" s="2">
        <f t="shared" si="93"/>
        <v>0.8222222222222223</v>
      </c>
      <c r="G314" s="10">
        <v>59.151240000000008</v>
      </c>
      <c r="H314">
        <f t="shared" si="94"/>
        <v>0.53989340728668322</v>
      </c>
      <c r="I314" s="12">
        <v>97.600000000000009</v>
      </c>
      <c r="J314" s="2">
        <f t="shared" si="95"/>
        <v>0.23654871546291811</v>
      </c>
      <c r="K314" s="10">
        <v>0</v>
      </c>
      <c r="L314" s="2">
        <f t="shared" si="96"/>
        <v>0</v>
      </c>
      <c r="M314">
        <v>14171</v>
      </c>
      <c r="N314">
        <f t="shared" si="97"/>
        <v>6.5918155881392743E-2</v>
      </c>
      <c r="O314" s="10">
        <v>0.81698253399999998</v>
      </c>
      <c r="P314">
        <f t="shared" si="98"/>
        <v>0.80426790996357866</v>
      </c>
      <c r="Q314" s="23">
        <v>0.17780000000000001</v>
      </c>
      <c r="R314" s="13">
        <f t="shared" si="99"/>
        <v>0.38501515807708969</v>
      </c>
      <c r="S314">
        <f t="shared" si="100"/>
        <v>0.13286836261333926</v>
      </c>
      <c r="T314" s="14">
        <f t="shared" si="88"/>
        <v>0.2806108500882275</v>
      </c>
      <c r="U314" t="str">
        <f t="shared" si="101"/>
        <v>Low</v>
      </c>
      <c r="V314">
        <f t="shared" si="102"/>
        <v>8.6028860596322837E-2</v>
      </c>
      <c r="W314">
        <f t="shared" si="89"/>
        <v>0.15616762957852123</v>
      </c>
      <c r="X314" t="s">
        <v>1170</v>
      </c>
      <c r="Y314">
        <f t="shared" si="90"/>
        <v>0.17970786463035571</v>
      </c>
      <c r="Z314">
        <f t="shared" si="103"/>
        <v>0.39735210267036142</v>
      </c>
      <c r="AA314" t="str">
        <f t="shared" si="107"/>
        <v>Moderate</v>
      </c>
      <c r="AB314">
        <f t="shared" si="91"/>
        <v>8.9177588398484248E-2</v>
      </c>
      <c r="AC314">
        <f t="shared" si="104"/>
        <v>0.26154502521829703</v>
      </c>
      <c r="AD314" t="str">
        <f t="shared" si="105"/>
        <v>Low</v>
      </c>
      <c r="AE314">
        <f t="shared" si="92"/>
        <v>1.4728936573327238E-2</v>
      </c>
      <c r="AF314">
        <f t="shared" si="106"/>
        <v>9.7060924473245491E-2</v>
      </c>
      <c r="AG314" t="s">
        <v>1170</v>
      </c>
    </row>
    <row r="315" spans="1:33" customFormat="1" x14ac:dyDescent="0.3">
      <c r="A315">
        <v>404748</v>
      </c>
      <c r="B315" t="s">
        <v>274</v>
      </c>
      <c r="C315" t="s">
        <v>859</v>
      </c>
      <c r="D315" t="s">
        <v>864</v>
      </c>
      <c r="E315" s="21">
        <v>6</v>
      </c>
      <c r="F315" s="2">
        <f t="shared" si="93"/>
        <v>0.62222222222222223</v>
      </c>
      <c r="G315" s="10">
        <v>59.316120000000005</v>
      </c>
      <c r="H315">
        <f t="shared" si="94"/>
        <v>0.54139832290626155</v>
      </c>
      <c r="I315" s="12">
        <v>90.3</v>
      </c>
      <c r="J315" s="2">
        <f t="shared" si="95"/>
        <v>0.21885603490063016</v>
      </c>
      <c r="K315" s="10">
        <v>0</v>
      </c>
      <c r="L315" s="2">
        <f t="shared" si="96"/>
        <v>0</v>
      </c>
      <c r="M315">
        <v>12622</v>
      </c>
      <c r="N315">
        <f t="shared" si="97"/>
        <v>5.8589184918122761E-2</v>
      </c>
      <c r="O315" s="10">
        <v>0.85546781299999997</v>
      </c>
      <c r="P315">
        <f t="shared" si="98"/>
        <v>0.84665131685925976</v>
      </c>
      <c r="Q315" s="23">
        <v>0.23549999999999999</v>
      </c>
      <c r="R315" s="13">
        <f t="shared" si="99"/>
        <v>0.50996102208748373</v>
      </c>
      <c r="S315">
        <f t="shared" si="100"/>
        <v>0.11230478152089826</v>
      </c>
      <c r="T315" s="14">
        <f t="shared" si="88"/>
        <v>0.23718167057767367</v>
      </c>
      <c r="U315" t="str">
        <f t="shared" si="101"/>
        <v>Low</v>
      </c>
      <c r="V315">
        <f t="shared" si="102"/>
        <v>8.4432463903687277E-2</v>
      </c>
      <c r="W315">
        <f t="shared" si="89"/>
        <v>0.15326970107374055</v>
      </c>
      <c r="X315" t="s">
        <v>1170</v>
      </c>
      <c r="Y315">
        <f t="shared" si="90"/>
        <v>0.14017709913810927</v>
      </c>
      <c r="Z315">
        <f t="shared" si="103"/>
        <v>0.30994561759068839</v>
      </c>
      <c r="AA315" t="str">
        <f t="shared" si="107"/>
        <v>Moderate</v>
      </c>
      <c r="AB315">
        <f t="shared" si="91"/>
        <v>7.4999634401488713E-2</v>
      </c>
      <c r="AC315">
        <f t="shared" si="104"/>
        <v>0.2199631277675797</v>
      </c>
      <c r="AD315" t="str">
        <f t="shared" si="105"/>
        <v>Low</v>
      </c>
      <c r="AE315">
        <f t="shared" si="92"/>
        <v>9.7004065536154468E-3</v>
      </c>
      <c r="AF315">
        <f t="shared" si="106"/>
        <v>6.3923856496555923E-2</v>
      </c>
      <c r="AG315" t="s">
        <v>1170</v>
      </c>
    </row>
    <row r="316" spans="1:33" customFormat="1" x14ac:dyDescent="0.3">
      <c r="A316">
        <v>404751</v>
      </c>
      <c r="B316" t="s">
        <v>280</v>
      </c>
      <c r="C316" t="s">
        <v>859</v>
      </c>
      <c r="D316" t="s">
        <v>865</v>
      </c>
      <c r="E316" s="21">
        <v>6.9</v>
      </c>
      <c r="F316" s="2">
        <f t="shared" si="93"/>
        <v>0.8222222222222223</v>
      </c>
      <c r="G316" s="10">
        <v>59.151240000000008</v>
      </c>
      <c r="H316">
        <f t="shared" si="94"/>
        <v>0.53989340728668322</v>
      </c>
      <c r="I316" s="12">
        <v>97.600000000000009</v>
      </c>
      <c r="J316" s="2">
        <f t="shared" si="95"/>
        <v>0.23654871546291811</v>
      </c>
      <c r="K316" s="10">
        <v>0</v>
      </c>
      <c r="L316" s="2">
        <f t="shared" si="96"/>
        <v>0</v>
      </c>
      <c r="M316">
        <v>21594</v>
      </c>
      <c r="N316">
        <f t="shared" si="97"/>
        <v>0.10103949317019394</v>
      </c>
      <c r="O316" s="10">
        <v>0.93266487300000001</v>
      </c>
      <c r="P316">
        <f t="shared" si="98"/>
        <v>0.93166757476738893</v>
      </c>
      <c r="Q316" s="23">
        <v>0.1883</v>
      </c>
      <c r="R316" s="13">
        <f t="shared" si="99"/>
        <v>0.40775227371156347</v>
      </c>
      <c r="S316">
        <f t="shared" si="100"/>
        <v>0.14964185306396685</v>
      </c>
      <c r="T316" s="14">
        <f t="shared" si="88"/>
        <v>0.31603556159757845</v>
      </c>
      <c r="U316" t="str">
        <f t="shared" si="101"/>
        <v>Moderate</v>
      </c>
      <c r="V316">
        <f t="shared" si="102"/>
        <v>9.1109305119727729E-2</v>
      </c>
      <c r="W316">
        <f t="shared" si="89"/>
        <v>0.16539012738827644</v>
      </c>
      <c r="X316" t="s">
        <v>1170</v>
      </c>
      <c r="Y316">
        <f t="shared" si="90"/>
        <v>0.208174401008206</v>
      </c>
      <c r="Z316">
        <f t="shared" si="103"/>
        <v>0.46029446809631225</v>
      </c>
      <c r="AA316" t="str">
        <f t="shared" si="107"/>
        <v>Moderate</v>
      </c>
      <c r="AB316">
        <f t="shared" si="91"/>
        <v>0.10224236823585309</v>
      </c>
      <c r="AC316">
        <f t="shared" si="104"/>
        <v>0.29986214315568016</v>
      </c>
      <c r="AD316" t="str">
        <f t="shared" si="105"/>
        <v>Low</v>
      </c>
      <c r="AE316">
        <f t="shared" si="92"/>
        <v>2.2576546118533099E-2</v>
      </c>
      <c r="AF316">
        <f t="shared" si="106"/>
        <v>0.14877519682214738</v>
      </c>
      <c r="AG316" t="s">
        <v>1169</v>
      </c>
    </row>
    <row r="317" spans="1:33" customFormat="1" x14ac:dyDescent="0.3">
      <c r="A317">
        <v>404753</v>
      </c>
      <c r="B317" t="s">
        <v>289</v>
      </c>
      <c r="C317" t="s">
        <v>859</v>
      </c>
      <c r="D317" t="s">
        <v>866</v>
      </c>
      <c r="E317" s="21">
        <v>6.9</v>
      </c>
      <c r="F317" s="2">
        <f t="shared" si="93"/>
        <v>0.8222222222222223</v>
      </c>
      <c r="G317" s="10">
        <v>109.56095999999999</v>
      </c>
      <c r="H317">
        <f t="shared" si="94"/>
        <v>1</v>
      </c>
      <c r="I317" s="12">
        <v>404.9</v>
      </c>
      <c r="J317" s="2">
        <f t="shared" si="95"/>
        <v>0.98133785748909363</v>
      </c>
      <c r="K317" s="10">
        <v>0.5</v>
      </c>
      <c r="L317" s="2">
        <f t="shared" si="96"/>
        <v>0.29411764705882354</v>
      </c>
      <c r="M317">
        <v>26404</v>
      </c>
      <c r="N317">
        <f t="shared" si="97"/>
        <v>0.12379762766556425</v>
      </c>
      <c r="O317" s="10">
        <v>0.52404183900000001</v>
      </c>
      <c r="P317">
        <f t="shared" si="98"/>
        <v>0.48165560221628118</v>
      </c>
      <c r="Q317" s="23">
        <v>0.39579999999999999</v>
      </c>
      <c r="R317" s="13">
        <f t="shared" si="99"/>
        <v>0.85708098744045036</v>
      </c>
      <c r="S317">
        <f t="shared" si="100"/>
        <v>0.43022577851849142</v>
      </c>
      <c r="T317" s="14">
        <f t="shared" si="88"/>
        <v>0.90861375172710324</v>
      </c>
      <c r="U317" t="str">
        <f t="shared" si="101"/>
        <v>High</v>
      </c>
      <c r="V317">
        <f t="shared" si="102"/>
        <v>0.55087511303401993</v>
      </c>
      <c r="W317">
        <f t="shared" si="89"/>
        <v>1</v>
      </c>
      <c r="X317" t="str">
        <f t="shared" si="108"/>
        <v>High</v>
      </c>
      <c r="Y317">
        <f t="shared" si="90"/>
        <v>0.30957644400296302</v>
      </c>
      <c r="Z317">
        <f t="shared" si="103"/>
        <v>0.68450454973027453</v>
      </c>
      <c r="AA317" t="str">
        <f t="shared" si="107"/>
        <v>Moderate</v>
      </c>
      <c r="AB317">
        <f t="shared" si="91"/>
        <v>0.31352835440442189</v>
      </c>
      <c r="AC317">
        <f t="shared" si="104"/>
        <v>0.91953351544937589</v>
      </c>
      <c r="AD317" t="str">
        <f t="shared" si="105"/>
        <v>High</v>
      </c>
      <c r="AE317">
        <f t="shared" si="92"/>
        <v>7.9568947547502933E-2</v>
      </c>
      <c r="AF317">
        <f t="shared" si="106"/>
        <v>0.52434441345273552</v>
      </c>
      <c r="AG317" t="str">
        <f t="shared" si="109"/>
        <v>Moderate</v>
      </c>
    </row>
    <row r="318" spans="1:33" customFormat="1" x14ac:dyDescent="0.3">
      <c r="A318">
        <v>404764</v>
      </c>
      <c r="B318" t="s">
        <v>394</v>
      </c>
      <c r="C318" t="s">
        <v>859</v>
      </c>
      <c r="D318" t="s">
        <v>867</v>
      </c>
      <c r="E318" s="21">
        <v>6.9</v>
      </c>
      <c r="F318" s="2">
        <f t="shared" si="93"/>
        <v>0.8222222222222223</v>
      </c>
      <c r="G318" s="10">
        <v>67.489199999999997</v>
      </c>
      <c r="H318">
        <f t="shared" si="94"/>
        <v>0.61599679301824295</v>
      </c>
      <c r="I318" s="12">
        <v>121.59999999999998</v>
      </c>
      <c r="J318" s="2">
        <f t="shared" si="95"/>
        <v>0.29471643238002904</v>
      </c>
      <c r="K318" s="10">
        <v>0</v>
      </c>
      <c r="L318" s="2">
        <f t="shared" si="96"/>
        <v>0</v>
      </c>
      <c r="M318">
        <v>42872</v>
      </c>
      <c r="N318">
        <f t="shared" si="97"/>
        <v>0.20171466693162624</v>
      </c>
      <c r="O318" s="10">
        <v>0.68771253799999998</v>
      </c>
      <c r="P318">
        <f t="shared" si="98"/>
        <v>0.6619043106280752</v>
      </c>
      <c r="Q318" s="23">
        <v>0.30209999999999998</v>
      </c>
      <c r="R318" s="13">
        <f t="shared" si="99"/>
        <v>0.65417929839757472</v>
      </c>
      <c r="S318">
        <f t="shared" si="100"/>
        <v>0.17246158880756274</v>
      </c>
      <c r="T318" s="14">
        <f t="shared" si="88"/>
        <v>0.36422961863156106</v>
      </c>
      <c r="U318" t="str">
        <f t="shared" si="101"/>
        <v>Moderate</v>
      </c>
      <c r="V318">
        <f t="shared" si="102"/>
        <v>0.17144929150844487</v>
      </c>
      <c r="W318">
        <f t="shared" si="89"/>
        <v>0.31123078071936211</v>
      </c>
      <c r="X318" t="str">
        <f t="shared" si="108"/>
        <v>Moderate</v>
      </c>
      <c r="Y318">
        <f t="shared" si="90"/>
        <v>0.17347388610668063</v>
      </c>
      <c r="Z318">
        <f t="shared" si="103"/>
        <v>0.38356815125855581</v>
      </c>
      <c r="AA318" t="str">
        <f t="shared" si="107"/>
        <v>Moderate</v>
      </c>
      <c r="AB318">
        <f t="shared" si="91"/>
        <v>0.1305525146194432</v>
      </c>
      <c r="AC318">
        <f t="shared" si="104"/>
        <v>0.38289172584347136</v>
      </c>
      <c r="AD318" t="str">
        <f t="shared" si="105"/>
        <v>Moderate</v>
      </c>
      <c r="AE318">
        <f t="shared" si="92"/>
        <v>5.2865990741380917E-2</v>
      </c>
      <c r="AF318">
        <f t="shared" si="106"/>
        <v>0.34837694554572557</v>
      </c>
      <c r="AG318" t="str">
        <f t="shared" si="109"/>
        <v>Moderate</v>
      </c>
    </row>
    <row r="319" spans="1:33" customFormat="1" x14ac:dyDescent="0.3">
      <c r="A319">
        <v>404769</v>
      </c>
      <c r="B319" t="s">
        <v>416</v>
      </c>
      <c r="C319" t="s">
        <v>859</v>
      </c>
      <c r="D319" t="s">
        <v>868</v>
      </c>
      <c r="E319" s="21">
        <v>6.9</v>
      </c>
      <c r="F319" s="2">
        <f t="shared" si="93"/>
        <v>0.8222222222222223</v>
      </c>
      <c r="G319" s="10">
        <v>59.316120000000005</v>
      </c>
      <c r="H319">
        <f t="shared" si="94"/>
        <v>0.54139832290626155</v>
      </c>
      <c r="I319" s="12">
        <v>73</v>
      </c>
      <c r="J319" s="2">
        <f t="shared" si="95"/>
        <v>0.17692680562287932</v>
      </c>
      <c r="K319" s="10">
        <v>0</v>
      </c>
      <c r="L319" s="2">
        <f t="shared" si="96"/>
        <v>0</v>
      </c>
      <c r="M319">
        <v>16829</v>
      </c>
      <c r="N319">
        <f t="shared" si="97"/>
        <v>7.849427261500902E-2</v>
      </c>
      <c r="O319" s="10">
        <v>0.88676591400000004</v>
      </c>
      <c r="P319">
        <f t="shared" si="98"/>
        <v>0.8811195650885405</v>
      </c>
      <c r="Q319" s="23">
        <v>0.24709999999999999</v>
      </c>
      <c r="R319" s="13">
        <f t="shared" si="99"/>
        <v>0.53508012126461668</v>
      </c>
      <c r="S319">
        <f t="shared" si="100"/>
        <v>0.14637698990341289</v>
      </c>
      <c r="T319" s="14">
        <f t="shared" si="88"/>
        <v>0.30914034584504529</v>
      </c>
      <c r="U319" t="str">
        <f t="shared" si="101"/>
        <v>Moderate</v>
      </c>
      <c r="V319">
        <f t="shared" si="102"/>
        <v>0.11061069743569518</v>
      </c>
      <c r="W319">
        <f t="shared" si="89"/>
        <v>0.20079087767550735</v>
      </c>
      <c r="X319" t="s">
        <v>1169</v>
      </c>
      <c r="Y319">
        <f t="shared" si="90"/>
        <v>0.18214328237113062</v>
      </c>
      <c r="Z319">
        <f t="shared" si="103"/>
        <v>0.40273705542225202</v>
      </c>
      <c r="AA319" t="str">
        <f t="shared" si="107"/>
        <v>Moderate</v>
      </c>
      <c r="AB319">
        <f t="shared" si="91"/>
        <v>9.9035891733110532E-2</v>
      </c>
      <c r="AC319">
        <f t="shared" si="104"/>
        <v>0.29045800930509569</v>
      </c>
      <c r="AD319" t="str">
        <f t="shared" si="105"/>
        <v>Low</v>
      </c>
      <c r="AE319">
        <f t="shared" si="92"/>
        <v>1.6226179769365828E-2</v>
      </c>
      <c r="AF319">
        <f t="shared" si="106"/>
        <v>0.10692747580540009</v>
      </c>
      <c r="AG319" t="s">
        <v>1169</v>
      </c>
    </row>
    <row r="320" spans="1:33" customFormat="1" x14ac:dyDescent="0.3">
      <c r="A320">
        <v>404775</v>
      </c>
      <c r="B320" t="s">
        <v>451</v>
      </c>
      <c r="C320" t="s">
        <v>859</v>
      </c>
      <c r="D320" t="s">
        <v>869</v>
      </c>
      <c r="E320" s="21">
        <v>6.4</v>
      </c>
      <c r="F320" s="2">
        <f t="shared" si="93"/>
        <v>0.71111111111111114</v>
      </c>
      <c r="G320" s="10">
        <v>59.151240000000008</v>
      </c>
      <c r="H320">
        <f t="shared" si="94"/>
        <v>0.53989340728668322</v>
      </c>
      <c r="I320" s="12">
        <v>101.90000000000002</v>
      </c>
      <c r="J320" s="2">
        <f t="shared" si="95"/>
        <v>0.24697043141056721</v>
      </c>
      <c r="K320" s="10">
        <v>0</v>
      </c>
      <c r="L320" s="2">
        <f t="shared" si="96"/>
        <v>0</v>
      </c>
      <c r="M320">
        <v>27731</v>
      </c>
      <c r="N320">
        <f t="shared" si="97"/>
        <v>0.13007622319058637</v>
      </c>
      <c r="O320" s="10">
        <v>0.65691692300000004</v>
      </c>
      <c r="P320">
        <f t="shared" si="98"/>
        <v>0.62798944460494632</v>
      </c>
      <c r="Q320" s="23">
        <v>0.23480000000000001</v>
      </c>
      <c r="R320" s="13">
        <f t="shared" si="99"/>
        <v>0.50844521437851886</v>
      </c>
      <c r="S320">
        <f t="shared" si="100"/>
        <v>0.11128062875332106</v>
      </c>
      <c r="T320" s="14">
        <f t="shared" si="88"/>
        <v>0.23501871490427248</v>
      </c>
      <c r="U320" t="str">
        <f t="shared" si="101"/>
        <v>Low</v>
      </c>
      <c r="V320">
        <f t="shared" si="102"/>
        <v>9.9574758118111811E-2</v>
      </c>
      <c r="W320">
        <f t="shared" si="89"/>
        <v>0.18075740900635395</v>
      </c>
      <c r="X320" t="s">
        <v>1170</v>
      </c>
      <c r="Y320">
        <f t="shared" si="90"/>
        <v>0.12298649938853036</v>
      </c>
      <c r="Z320">
        <f t="shared" si="103"/>
        <v>0.27193547835326548</v>
      </c>
      <c r="AA320" t="str">
        <f t="shared" si="107"/>
        <v>Low</v>
      </c>
      <c r="AB320">
        <f t="shared" si="91"/>
        <v>8.0663135671402708E-2</v>
      </c>
      <c r="AC320">
        <f t="shared" si="104"/>
        <v>0.23657336144921501</v>
      </c>
      <c r="AD320" t="str">
        <f t="shared" si="105"/>
        <v>Low</v>
      </c>
      <c r="AE320">
        <f t="shared" si="92"/>
        <v>2.5474344324298515E-2</v>
      </c>
      <c r="AF320">
        <f t="shared" si="106"/>
        <v>0.16787114250622651</v>
      </c>
      <c r="AG320" t="s">
        <v>1169</v>
      </c>
    </row>
    <row r="321" spans="1:33" customFormat="1" x14ac:dyDescent="0.3">
      <c r="A321">
        <v>404785</v>
      </c>
      <c r="B321" t="s">
        <v>495</v>
      </c>
      <c r="C321" t="s">
        <v>859</v>
      </c>
      <c r="D321" t="s">
        <v>870</v>
      </c>
      <c r="E321" s="21">
        <v>6.9</v>
      </c>
      <c r="F321" s="2">
        <f t="shared" si="93"/>
        <v>0.8222222222222223</v>
      </c>
      <c r="G321" s="10">
        <v>59.151240000000008</v>
      </c>
      <c r="H321">
        <f t="shared" si="94"/>
        <v>0.53989340728668322</v>
      </c>
      <c r="I321" s="12">
        <v>97.600000000000009</v>
      </c>
      <c r="J321" s="2">
        <f t="shared" si="95"/>
        <v>0.23654871546291811</v>
      </c>
      <c r="K321" s="10">
        <v>0</v>
      </c>
      <c r="L321" s="2">
        <f t="shared" si="96"/>
        <v>0</v>
      </c>
      <c r="M321">
        <v>16022</v>
      </c>
      <c r="N321">
        <f t="shared" si="97"/>
        <v>7.4676015954351249E-2</v>
      </c>
      <c r="O321" s="10">
        <v>0.906944906</v>
      </c>
      <c r="P321">
        <f t="shared" si="98"/>
        <v>0.90334246306157306</v>
      </c>
      <c r="Q321" s="23">
        <v>0.21890000000000001</v>
      </c>
      <c r="R321" s="13">
        <f t="shared" si="99"/>
        <v>0.47401472498917285</v>
      </c>
      <c r="S321">
        <f t="shared" si="100"/>
        <v>0.15388026553805928</v>
      </c>
      <c r="T321" s="14">
        <f t="shared" si="88"/>
        <v>0.3249868612447393</v>
      </c>
      <c r="U321" t="str">
        <f t="shared" si="101"/>
        <v>Moderate</v>
      </c>
      <c r="V321">
        <f t="shared" si="102"/>
        <v>0.1059151720165077</v>
      </c>
      <c r="W321">
        <f t="shared" si="89"/>
        <v>0.19226712100527726</v>
      </c>
      <c r="X321" t="s">
        <v>1169</v>
      </c>
      <c r="Y321">
        <f t="shared" si="90"/>
        <v>0.20184535905961082</v>
      </c>
      <c r="Z321">
        <f t="shared" si="103"/>
        <v>0.44630032192282076</v>
      </c>
      <c r="AA321" t="str">
        <f t="shared" si="107"/>
        <v>Moderate</v>
      </c>
      <c r="AB321">
        <f t="shared" si="91"/>
        <v>0.10346395396140773</v>
      </c>
      <c r="AC321">
        <f t="shared" si="104"/>
        <v>0.30344487818063776</v>
      </c>
      <c r="AD321" t="str">
        <f t="shared" si="105"/>
        <v>Moderate</v>
      </c>
      <c r="AE321">
        <f t="shared" si="92"/>
        <v>1.6685817250705125E-2</v>
      </c>
      <c r="AF321">
        <f t="shared" si="106"/>
        <v>0.10995640044223613</v>
      </c>
      <c r="AG321" t="s">
        <v>1169</v>
      </c>
    </row>
    <row r="322" spans="1:33" customFormat="1" x14ac:dyDescent="0.3">
      <c r="A322">
        <v>404794</v>
      </c>
      <c r="B322" t="s">
        <v>524</v>
      </c>
      <c r="C322" t="s">
        <v>859</v>
      </c>
      <c r="D322" t="s">
        <v>871</v>
      </c>
      <c r="E322" s="21">
        <v>6.9</v>
      </c>
      <c r="F322" s="2">
        <f t="shared" si="93"/>
        <v>0.8222222222222223</v>
      </c>
      <c r="G322" s="10">
        <v>59.151240000000008</v>
      </c>
      <c r="H322">
        <f t="shared" si="94"/>
        <v>0.53989340728668322</v>
      </c>
      <c r="I322" s="12">
        <v>101.90000000000002</v>
      </c>
      <c r="J322" s="2">
        <f t="shared" si="95"/>
        <v>0.24697043141056721</v>
      </c>
      <c r="K322" s="10">
        <v>0</v>
      </c>
      <c r="L322" s="2">
        <f t="shared" si="96"/>
        <v>0</v>
      </c>
      <c r="M322">
        <v>14270</v>
      </c>
      <c r="N322">
        <f t="shared" si="97"/>
        <v>6.6386566549800574E-2</v>
      </c>
      <c r="O322" s="10">
        <v>0.28220447100000001</v>
      </c>
      <c r="P322">
        <f t="shared" si="98"/>
        <v>0.21532281636004341</v>
      </c>
      <c r="Q322" s="23">
        <v>0.21129999999999999</v>
      </c>
      <c r="R322" s="13">
        <f t="shared" si="99"/>
        <v>0.45755738414898223</v>
      </c>
      <c r="S322">
        <f t="shared" si="100"/>
        <v>7.6184144592766692E-2</v>
      </c>
      <c r="T322" s="14">
        <f t="shared" ref="T322:T385" si="110">(S322-$AJ$10)/$AK$10</f>
        <v>0.1608968241720054</v>
      </c>
      <c r="U322" t="str">
        <f t="shared" si="101"/>
        <v>Low</v>
      </c>
      <c r="V322">
        <f t="shared" si="102"/>
        <v>0.10361017574041868</v>
      </c>
      <c r="W322">
        <f t="shared" ref="W322:W385" si="111">(V322-$AJ$13)/$AK$13</f>
        <v>0.18808287629798973</v>
      </c>
      <c r="X322" t="s">
        <v>1169</v>
      </c>
      <c r="Y322">
        <f t="shared" ref="Y322:Y385" si="112">F322*(P322*1)*(H322*0.35+J322*0.35+L322*0.3)</f>
        <v>4.8758113445114687E-2</v>
      </c>
      <c r="Z322">
        <f t="shared" si="103"/>
        <v>0.10780907635571405</v>
      </c>
      <c r="AA322" t="s">
        <v>1170</v>
      </c>
      <c r="AB322">
        <f t="shared" ref="AB322:AB385" si="113">F322*(R322*0.35+P322*0.3+N322*0.35)*(H322*0.35+J322*0.35+L322*0.3)</f>
        <v>5.6152441260440111E-2</v>
      </c>
      <c r="AC322">
        <f t="shared" si="104"/>
        <v>0.16468702427683474</v>
      </c>
      <c r="AD322" t="str">
        <f t="shared" si="105"/>
        <v>Low</v>
      </c>
      <c r="AE322">
        <f t="shared" ref="AE322:AE385" si="114">F322*(N322*1)*(H322*0.35+J322*0.35+L322*0.3)</f>
        <v>1.5032702050740443E-2</v>
      </c>
      <c r="AF322">
        <f t="shared" si="106"/>
        <v>9.9062681892323187E-2</v>
      </c>
      <c r="AG322" t="s">
        <v>1170</v>
      </c>
    </row>
    <row r="323" spans="1:33" customFormat="1" x14ac:dyDescent="0.3">
      <c r="A323">
        <v>405015</v>
      </c>
      <c r="B323" t="s">
        <v>70</v>
      </c>
      <c r="C323" t="s">
        <v>873</v>
      </c>
      <c r="D323" t="s">
        <v>872</v>
      </c>
      <c r="E323" s="21">
        <v>5.6</v>
      </c>
      <c r="F323" s="2">
        <f t="shared" ref="F323:F386" si="115">(E323-$AJ$5)/$AK$5</f>
        <v>0.53333333333333321</v>
      </c>
      <c r="G323" s="10">
        <v>38.152079999999998</v>
      </c>
      <c r="H323">
        <f t="shared" ref="H323:H386" si="116">(G323-$AJ$6)/$AK$6</f>
        <v>0.34822695967614742</v>
      </c>
      <c r="I323" s="12">
        <v>18.700000000000003</v>
      </c>
      <c r="J323" s="2">
        <f t="shared" ref="J323:J386" si="117">(I323-$AJ$7)/$AK$7</f>
        <v>4.5322346097915668E-2</v>
      </c>
      <c r="K323" s="10">
        <v>0</v>
      </c>
      <c r="L323" s="2">
        <f t="shared" ref="L323:L386" si="118">(K323-$AJ$8)/$AK$8</f>
        <v>0</v>
      </c>
      <c r="M323">
        <v>38100</v>
      </c>
      <c r="N323">
        <f t="shared" ref="N323:N386" si="119">(M323-$AJ$9)/$AK$9</f>
        <v>0.17913632643019026</v>
      </c>
      <c r="O323" s="10">
        <v>0.83896420900000002</v>
      </c>
      <c r="P323">
        <f t="shared" ref="P323:P386" si="120">(O323-$AJ$11)/$AK$11</f>
        <v>0.82847608254233596</v>
      </c>
      <c r="Q323" s="23">
        <v>0.29189999999999999</v>
      </c>
      <c r="R323" s="13">
        <f t="shared" ref="R323:R386" si="121">(Q323-$AJ$12)/$AK$12</f>
        <v>0.63209181463837161</v>
      </c>
      <c r="S323">
        <f t="shared" ref="S323:S386" si="122">F323*(R323*0.5+P323*0.5)*(H323*0.35+J323*0.35+L323*0.3)</f>
        <v>5.3648511650659383E-2</v>
      </c>
      <c r="T323" s="14">
        <f t="shared" si="110"/>
        <v>0.11330277700545947</v>
      </c>
      <c r="U323" t="str">
        <f t="shared" ref="U323:U386" si="123">IF(T323&gt;0.7,"High",IF(T323&gt;0.3,"Moderate",IF(T323&gt;0.15,"Low","No Impact")))</f>
        <v>No Impact</v>
      </c>
      <c r="V323">
        <f t="shared" ref="V323:V386" si="124">F323*(R323*1)*(H323*0.35+J323*0.35+L323*0.3)</f>
        <v>4.6435068369461117E-2</v>
      </c>
      <c r="W323">
        <f t="shared" si="111"/>
        <v>8.4293276771414918E-2</v>
      </c>
      <c r="X323" t="s">
        <v>1170</v>
      </c>
      <c r="Y323">
        <f t="shared" si="112"/>
        <v>6.0861954931857636E-2</v>
      </c>
      <c r="Z323">
        <f t="shared" ref="Z323:Z386" si="125">(Y323-$AJ$14)/$AK$14</f>
        <v>0.13457188317576493</v>
      </c>
      <c r="AA323" t="s">
        <v>1170</v>
      </c>
      <c r="AB323">
        <f t="shared" si="113"/>
        <v>3.9116793566695812E-2</v>
      </c>
      <c r="AC323">
        <f t="shared" ref="AC323:AC386" si="126">(AB323-$AJ$15)/$AK$15</f>
        <v>0.11472392272086009</v>
      </c>
      <c r="AD323" t="str">
        <f t="shared" ref="AD323:AD386" si="127">IF(AC323&gt;0.7,"High",IF(AC323&gt;0.3,"Moderate",IF(AC323&gt;0.15,"Low","No Impact")))</f>
        <v>No Impact</v>
      </c>
      <c r="AE323">
        <f t="shared" si="114"/>
        <v>1.3159809022363229E-2</v>
      </c>
      <c r="AF323">
        <f t="shared" ref="AF323:AF386" si="128">(AE323-$AJ$16)/$AK$16</f>
        <v>8.6720668749094343E-2</v>
      </c>
      <c r="AG323" t="s">
        <v>1170</v>
      </c>
    </row>
    <row r="324" spans="1:33" customFormat="1" x14ac:dyDescent="0.3">
      <c r="A324">
        <v>405039</v>
      </c>
      <c r="B324" t="s">
        <v>134</v>
      </c>
      <c r="C324" t="s">
        <v>782</v>
      </c>
      <c r="D324" t="s">
        <v>1143</v>
      </c>
      <c r="E324" s="21">
        <v>5.5</v>
      </c>
      <c r="F324" s="2">
        <f t="shared" si="115"/>
        <v>0.51111111111111107</v>
      </c>
      <c r="G324" s="10">
        <v>36.757080000000002</v>
      </c>
      <c r="H324">
        <f t="shared" si="116"/>
        <v>0.335494322065086</v>
      </c>
      <c r="I324" s="12">
        <v>16.3</v>
      </c>
      <c r="J324" s="2">
        <f t="shared" si="117"/>
        <v>3.9505574406204565E-2</v>
      </c>
      <c r="K324" s="10">
        <v>0</v>
      </c>
      <c r="L324" s="2">
        <f t="shared" si="118"/>
        <v>0</v>
      </c>
      <c r="M324">
        <v>80319</v>
      </c>
      <c r="N324">
        <f t="shared" si="119"/>
        <v>0.37889218511211104</v>
      </c>
      <c r="O324" s="10">
        <v>0.76007428600000004</v>
      </c>
      <c r="P324">
        <f t="shared" si="120"/>
        <v>0.74159549356497789</v>
      </c>
      <c r="Q324" s="23">
        <v>0.24</v>
      </c>
      <c r="R324" s="13">
        <f t="shared" si="121"/>
        <v>0.51970550021654394</v>
      </c>
      <c r="S324">
        <f t="shared" si="122"/>
        <v>4.2306125820022356E-2</v>
      </c>
      <c r="T324" s="14">
        <f t="shared" si="110"/>
        <v>8.9348266937280249E-2</v>
      </c>
      <c r="U324" t="str">
        <f t="shared" si="123"/>
        <v>No Impact</v>
      </c>
      <c r="V324">
        <f t="shared" si="124"/>
        <v>3.4863567681176703E-2</v>
      </c>
      <c r="W324">
        <f t="shared" si="111"/>
        <v>6.3287607038845603E-2</v>
      </c>
      <c r="X324" t="s">
        <v>1170</v>
      </c>
      <c r="Y324">
        <f t="shared" si="112"/>
        <v>4.9748683958868015E-2</v>
      </c>
      <c r="Z324">
        <f t="shared" si="125"/>
        <v>0.10999932705672125</v>
      </c>
      <c r="AA324" t="s">
        <v>1170</v>
      </c>
      <c r="AB324">
        <f t="shared" si="113"/>
        <v>3.6022924183019868E-2</v>
      </c>
      <c r="AC324">
        <f t="shared" si="126"/>
        <v>0.10565004933509586</v>
      </c>
      <c r="AD324" t="str">
        <f t="shared" si="127"/>
        <v>No Impact</v>
      </c>
      <c r="AE324">
        <f t="shared" si="114"/>
        <v>2.5417343734136056E-2</v>
      </c>
      <c r="AF324">
        <f t="shared" si="128"/>
        <v>0.16749551932738088</v>
      </c>
      <c r="AG324" t="s">
        <v>1169</v>
      </c>
    </row>
    <row r="325" spans="1:33" customFormat="1" x14ac:dyDescent="0.3">
      <c r="A325">
        <v>405063</v>
      </c>
      <c r="B325" t="s">
        <v>279</v>
      </c>
      <c r="C325" t="s">
        <v>873</v>
      </c>
      <c r="D325" t="s">
        <v>874</v>
      </c>
      <c r="E325" s="21">
        <v>5.5</v>
      </c>
      <c r="F325" s="2">
        <f t="shared" si="115"/>
        <v>0.51111111111111107</v>
      </c>
      <c r="G325" s="10">
        <v>40.75488</v>
      </c>
      <c r="H325">
        <f t="shared" si="116"/>
        <v>0.37198359707691503</v>
      </c>
      <c r="I325" s="12">
        <v>32.099999999999994</v>
      </c>
      <c r="J325" s="2">
        <f t="shared" si="117"/>
        <v>7.7799321376635963E-2</v>
      </c>
      <c r="K325" s="10">
        <v>0</v>
      </c>
      <c r="L325" s="2">
        <f t="shared" si="118"/>
        <v>0</v>
      </c>
      <c r="M325">
        <v>11398</v>
      </c>
      <c r="N325">
        <f t="shared" si="119"/>
        <v>5.2797925745080507E-2</v>
      </c>
      <c r="O325" s="10">
        <v>0.96298347500000003</v>
      </c>
      <c r="P325">
        <f t="shared" si="120"/>
        <v>0.96505711171407993</v>
      </c>
      <c r="Q325" s="23">
        <v>0.28249999999999997</v>
      </c>
      <c r="R325" s="13">
        <f t="shared" si="121"/>
        <v>0.61173668254655689</v>
      </c>
      <c r="S325">
        <f t="shared" si="122"/>
        <v>6.3435334026500867E-2</v>
      </c>
      <c r="T325" s="14">
        <f t="shared" si="110"/>
        <v>0.1339720205524681</v>
      </c>
      <c r="U325" t="str">
        <f t="shared" si="123"/>
        <v>No Impact</v>
      </c>
      <c r="V325">
        <f t="shared" si="124"/>
        <v>4.9221047082824765E-2</v>
      </c>
      <c r="W325">
        <f t="shared" si="111"/>
        <v>8.9350645760221628E-2</v>
      </c>
      <c r="X325" t="s">
        <v>1170</v>
      </c>
      <c r="Y325">
        <f t="shared" si="112"/>
        <v>7.7649620970176955E-2</v>
      </c>
      <c r="Z325">
        <f t="shared" si="125"/>
        <v>0.17169109558739146</v>
      </c>
      <c r="AA325" t="s">
        <v>1170</v>
      </c>
      <c r="AB325">
        <f t="shared" si="113"/>
        <v>4.2009116713453733E-2</v>
      </c>
      <c r="AC325">
        <f t="shared" si="126"/>
        <v>0.12320669001636056</v>
      </c>
      <c r="AD325" t="str">
        <f t="shared" si="127"/>
        <v>No Impact</v>
      </c>
      <c r="AE325">
        <f t="shared" si="114"/>
        <v>4.2481826954627842E-3</v>
      </c>
      <c r="AF325">
        <f t="shared" si="128"/>
        <v>2.7994725735974616E-2</v>
      </c>
      <c r="AG325" t="s">
        <v>1170</v>
      </c>
    </row>
    <row r="326" spans="1:33" customFormat="1" x14ac:dyDescent="0.3">
      <c r="A326">
        <v>405071</v>
      </c>
      <c r="B326" t="s">
        <v>292</v>
      </c>
      <c r="C326" t="s">
        <v>873</v>
      </c>
      <c r="D326" t="s">
        <v>875</v>
      </c>
      <c r="E326" s="21">
        <v>5.5</v>
      </c>
      <c r="F326" s="2">
        <f t="shared" si="115"/>
        <v>0.51111111111111107</v>
      </c>
      <c r="G326" s="10">
        <v>40.75488</v>
      </c>
      <c r="H326">
        <f t="shared" si="116"/>
        <v>0.37198359707691503</v>
      </c>
      <c r="I326" s="12">
        <v>31.6</v>
      </c>
      <c r="J326" s="2">
        <f t="shared" si="117"/>
        <v>7.6587493940862825E-2</v>
      </c>
      <c r="K326" s="10">
        <v>0</v>
      </c>
      <c r="L326" s="2">
        <f t="shared" si="118"/>
        <v>0</v>
      </c>
      <c r="M326">
        <v>32093</v>
      </c>
      <c r="N326">
        <f t="shared" si="119"/>
        <v>0.15071468112588893</v>
      </c>
      <c r="O326" s="10">
        <v>0.89417902000000005</v>
      </c>
      <c r="P326">
        <f t="shared" si="120"/>
        <v>0.88928353573193419</v>
      </c>
      <c r="Q326" s="23">
        <v>0.27789999999999998</v>
      </c>
      <c r="R326" s="13">
        <f t="shared" si="121"/>
        <v>0.60177566045907316</v>
      </c>
      <c r="S326">
        <f t="shared" si="122"/>
        <v>5.9824563397558914E-2</v>
      </c>
      <c r="T326" s="14">
        <f t="shared" si="110"/>
        <v>0.12634626679339164</v>
      </c>
      <c r="U326" t="str">
        <f t="shared" si="123"/>
        <v>No Impact</v>
      </c>
      <c r="V326">
        <f t="shared" si="124"/>
        <v>4.8289117215745907E-2</v>
      </c>
      <c r="W326">
        <f t="shared" si="111"/>
        <v>8.7658919550362327E-2</v>
      </c>
      <c r="X326" t="s">
        <v>1170</v>
      </c>
      <c r="Y326">
        <f t="shared" si="112"/>
        <v>7.1360009579371927E-2</v>
      </c>
      <c r="Z326">
        <f t="shared" si="125"/>
        <v>0.15778413432970545</v>
      </c>
      <c r="AA326" t="s">
        <v>1170</v>
      </c>
      <c r="AB326">
        <f t="shared" si="113"/>
        <v>4.2542096263825754E-2</v>
      </c>
      <c r="AC326">
        <f t="shared" si="126"/>
        <v>0.12476984228865565</v>
      </c>
      <c r="AD326" t="str">
        <f t="shared" si="127"/>
        <v>No Impact</v>
      </c>
      <c r="AE326">
        <f t="shared" si="114"/>
        <v>1.2094006755723192E-2</v>
      </c>
      <c r="AF326">
        <f t="shared" si="128"/>
        <v>7.9697232074575894E-2</v>
      </c>
      <c r="AG326" t="s">
        <v>1170</v>
      </c>
    </row>
    <row r="327" spans="1:33" customFormat="1" x14ac:dyDescent="0.3">
      <c r="A327">
        <v>405079</v>
      </c>
      <c r="B327" t="s">
        <v>294</v>
      </c>
      <c r="C327" t="s">
        <v>873</v>
      </c>
      <c r="D327" t="s">
        <v>876</v>
      </c>
      <c r="E327" s="21">
        <v>5.5</v>
      </c>
      <c r="F327" s="2">
        <f t="shared" si="115"/>
        <v>0.51111111111111107</v>
      </c>
      <c r="G327" s="10">
        <v>42.740279999999998</v>
      </c>
      <c r="H327">
        <f t="shared" si="116"/>
        <v>0.39010501550917409</v>
      </c>
      <c r="I327" s="12">
        <v>29.5</v>
      </c>
      <c r="J327" s="2">
        <f t="shared" si="117"/>
        <v>7.1497818710615613E-2</v>
      </c>
      <c r="K327" s="10">
        <v>0</v>
      </c>
      <c r="L327" s="2">
        <f t="shared" si="118"/>
        <v>0</v>
      </c>
      <c r="M327">
        <v>55212</v>
      </c>
      <c r="N327">
        <f t="shared" si="119"/>
        <v>0.26010040075134966</v>
      </c>
      <c r="O327" s="10">
        <v>0.93246081400000003</v>
      </c>
      <c r="P327">
        <f t="shared" si="120"/>
        <v>0.93144284687525847</v>
      </c>
      <c r="Q327" s="23">
        <v>0.28720000000000001</v>
      </c>
      <c r="R327" s="13">
        <f t="shared" si="121"/>
        <v>0.62191424859246436</v>
      </c>
      <c r="S327">
        <f t="shared" si="122"/>
        <v>6.4134711160863722E-2</v>
      </c>
      <c r="T327" s="14">
        <f t="shared" si="110"/>
        <v>0.13544906752095484</v>
      </c>
      <c r="U327" t="str">
        <f t="shared" si="123"/>
        <v>No Impact</v>
      </c>
      <c r="V327">
        <f t="shared" si="124"/>
        <v>5.1354953496115928E-2</v>
      </c>
      <c r="W327">
        <f t="shared" si="111"/>
        <v>9.3224312155384015E-2</v>
      </c>
      <c r="X327" t="s">
        <v>1170</v>
      </c>
      <c r="Y327">
        <f t="shared" si="112"/>
        <v>7.6914468825611537E-2</v>
      </c>
      <c r="Z327">
        <f t="shared" si="125"/>
        <v>0.17006560050387604</v>
      </c>
      <c r="AA327" t="s">
        <v>1170</v>
      </c>
      <c r="AB327">
        <f t="shared" si="113"/>
        <v>4.8565857349320084E-2</v>
      </c>
      <c r="AC327">
        <f t="shared" si="126"/>
        <v>0.14243666613204845</v>
      </c>
      <c r="AD327" t="str">
        <f t="shared" si="127"/>
        <v>No Impact</v>
      </c>
      <c r="AE327">
        <f t="shared" si="114"/>
        <v>2.1477951365703005E-2</v>
      </c>
      <c r="AF327">
        <f t="shared" si="128"/>
        <v>0.1415356638252952</v>
      </c>
      <c r="AG327" t="s">
        <v>1169</v>
      </c>
    </row>
    <row r="328" spans="1:33" customFormat="1" x14ac:dyDescent="0.3">
      <c r="A328">
        <v>405094</v>
      </c>
      <c r="B328" t="s">
        <v>338</v>
      </c>
      <c r="C328" t="s">
        <v>873</v>
      </c>
      <c r="D328" t="s">
        <v>1136</v>
      </c>
      <c r="E328" s="21">
        <v>5.2</v>
      </c>
      <c r="F328" s="2">
        <f t="shared" si="115"/>
        <v>0.44444444444444442</v>
      </c>
      <c r="G328" s="10">
        <v>39.91104</v>
      </c>
      <c r="H328">
        <f t="shared" si="116"/>
        <v>0.36428158351295936</v>
      </c>
      <c r="I328" s="12">
        <v>28.499999999999996</v>
      </c>
      <c r="J328" s="2">
        <f t="shared" si="117"/>
        <v>6.9074163839069308E-2</v>
      </c>
      <c r="K328" s="10">
        <v>0</v>
      </c>
      <c r="L328" s="2">
        <f t="shared" si="118"/>
        <v>0</v>
      </c>
      <c r="M328">
        <v>51537</v>
      </c>
      <c r="N328">
        <f t="shared" si="119"/>
        <v>0.24271242896954384</v>
      </c>
      <c r="O328" s="10">
        <v>0.91891067400000004</v>
      </c>
      <c r="P328">
        <f t="shared" si="120"/>
        <v>0.91652022939563871</v>
      </c>
      <c r="Q328" s="23">
        <v>0</v>
      </c>
      <c r="R328" s="13">
        <f t="shared" si="121"/>
        <v>0</v>
      </c>
      <c r="S328">
        <f t="shared" si="122"/>
        <v>3.089172403123331E-2</v>
      </c>
      <c r="T328" s="14">
        <f t="shared" si="110"/>
        <v>6.5241663030963168E-2</v>
      </c>
      <c r="U328" t="str">
        <f t="shared" si="123"/>
        <v>No Impact</v>
      </c>
      <c r="V328">
        <f t="shared" si="124"/>
        <v>0</v>
      </c>
      <c r="W328">
        <f t="shared" si="111"/>
        <v>0</v>
      </c>
      <c r="X328" t="s">
        <v>1170</v>
      </c>
      <c r="Y328">
        <f t="shared" si="112"/>
        <v>6.178344806246662E-2</v>
      </c>
      <c r="Z328">
        <f t="shared" si="125"/>
        <v>0.13660939685830148</v>
      </c>
      <c r="AA328" t="s">
        <v>1170</v>
      </c>
      <c r="AB328">
        <f t="shared" si="113"/>
        <v>2.4261546059116009E-2</v>
      </c>
      <c r="AC328">
        <f t="shared" si="126"/>
        <v>7.1155620933725836E-2</v>
      </c>
      <c r="AD328" t="str">
        <f t="shared" si="127"/>
        <v>No Impact</v>
      </c>
      <c r="AE328">
        <f t="shared" si="114"/>
        <v>1.6361461829645773E-2</v>
      </c>
      <c r="AF328">
        <f t="shared" si="128"/>
        <v>0.10781895916334971</v>
      </c>
      <c r="AG328" t="s">
        <v>1169</v>
      </c>
    </row>
    <row r="329" spans="1:33" customFormat="1" x14ac:dyDescent="0.3">
      <c r="A329">
        <v>405557</v>
      </c>
      <c r="B329" t="s">
        <v>315</v>
      </c>
      <c r="C329" t="s">
        <v>878</v>
      </c>
      <c r="D329" t="s">
        <v>877</v>
      </c>
      <c r="E329" s="21">
        <v>4.9000000000000004</v>
      </c>
      <c r="F329" s="2">
        <f t="shared" si="115"/>
        <v>0.37777777777777782</v>
      </c>
      <c r="G329" s="10">
        <v>49.314239999999998</v>
      </c>
      <c r="H329">
        <f t="shared" si="116"/>
        <v>0.45010777561642396</v>
      </c>
      <c r="I329" s="12">
        <v>60.699999999999996</v>
      </c>
      <c r="J329" s="2">
        <f t="shared" si="117"/>
        <v>0.1471158507028599</v>
      </c>
      <c r="K329" s="10">
        <v>0</v>
      </c>
      <c r="L329" s="2">
        <f t="shared" si="118"/>
        <v>0</v>
      </c>
      <c r="M329">
        <v>51857</v>
      </c>
      <c r="N329">
        <f t="shared" si="119"/>
        <v>0.24422648365530653</v>
      </c>
      <c r="O329" s="10">
        <v>0.91252673500000003</v>
      </c>
      <c r="P329">
        <f t="shared" si="120"/>
        <v>0.90948966884717009</v>
      </c>
      <c r="Q329" s="23">
        <v>0.27639999999999998</v>
      </c>
      <c r="R329" s="13">
        <f t="shared" si="121"/>
        <v>0.59852750108271979</v>
      </c>
      <c r="S329">
        <f t="shared" si="122"/>
        <v>5.9541219139164124E-2</v>
      </c>
      <c r="T329" s="14">
        <f t="shared" si="110"/>
        <v>0.12574785892825402</v>
      </c>
      <c r="U329" t="str">
        <f t="shared" si="123"/>
        <v>No Impact</v>
      </c>
      <c r="V329">
        <f t="shared" si="124"/>
        <v>4.726346332573831E-2</v>
      </c>
      <c r="W329">
        <f t="shared" si="111"/>
        <v>8.5797056732928687E-2</v>
      </c>
      <c r="X329" t="s">
        <v>1170</v>
      </c>
      <c r="Y329">
        <f t="shared" si="112"/>
        <v>7.1818974952589945E-2</v>
      </c>
      <c r="Z329">
        <f t="shared" si="125"/>
        <v>0.15879895277672329</v>
      </c>
      <c r="AA329" t="s">
        <v>1170</v>
      </c>
      <c r="AB329">
        <f t="shared" si="113"/>
        <v>4.4837880718366169E-2</v>
      </c>
      <c r="AC329">
        <f t="shared" si="126"/>
        <v>0.13150304750133163</v>
      </c>
      <c r="AD329" t="str">
        <f t="shared" si="127"/>
        <v>No Impact</v>
      </c>
      <c r="AE329">
        <f t="shared" si="114"/>
        <v>1.9285645910230787E-2</v>
      </c>
      <c r="AF329">
        <f t="shared" si="128"/>
        <v>0.12708878280462388</v>
      </c>
      <c r="AG329" t="s">
        <v>1169</v>
      </c>
    </row>
    <row r="330" spans="1:33" customFormat="1" x14ac:dyDescent="0.3">
      <c r="A330">
        <v>405566</v>
      </c>
      <c r="B330" t="s">
        <v>345</v>
      </c>
      <c r="C330" t="s">
        <v>878</v>
      </c>
      <c r="D330" t="s">
        <v>1137</v>
      </c>
      <c r="E330" s="21">
        <v>4.8</v>
      </c>
      <c r="F330" s="2">
        <f t="shared" si="115"/>
        <v>0.35555555555555546</v>
      </c>
      <c r="G330" s="10">
        <v>49.314239999999998</v>
      </c>
      <c r="H330">
        <f t="shared" si="116"/>
        <v>0.45010777561642396</v>
      </c>
      <c r="I330" s="12">
        <v>75</v>
      </c>
      <c r="J330" s="2">
        <f t="shared" si="117"/>
        <v>0.18177411536597191</v>
      </c>
      <c r="K330" s="10">
        <v>0</v>
      </c>
      <c r="L330" s="2">
        <f t="shared" si="118"/>
        <v>0</v>
      </c>
      <c r="M330">
        <v>16134</v>
      </c>
      <c r="N330">
        <f t="shared" si="119"/>
        <v>7.5205935094368195E-2</v>
      </c>
      <c r="O330" s="10">
        <v>0.964234586</v>
      </c>
      <c r="P330">
        <f t="shared" si="120"/>
        <v>0.96643494625140169</v>
      </c>
      <c r="Q330" s="23">
        <v>0.10100000000000001</v>
      </c>
      <c r="R330" s="13">
        <f t="shared" si="121"/>
        <v>0.2187093980077956</v>
      </c>
      <c r="S330">
        <f t="shared" si="122"/>
        <v>4.6596433292116893E-2</v>
      </c>
      <c r="T330" s="14">
        <f t="shared" si="110"/>
        <v>9.8409166034741216E-2</v>
      </c>
      <c r="U330" t="str">
        <f t="shared" si="123"/>
        <v>No Impact</v>
      </c>
      <c r="V330">
        <f t="shared" si="124"/>
        <v>1.7198036549715748E-2</v>
      </c>
      <c r="W330">
        <f t="shared" si="111"/>
        <v>3.1219483586752018E-2</v>
      </c>
      <c r="X330" t="s">
        <v>1170</v>
      </c>
      <c r="Y330">
        <f t="shared" si="112"/>
        <v>7.5994830034518027E-2</v>
      </c>
      <c r="Z330">
        <f t="shared" si="125"/>
        <v>0.16803218695188779</v>
      </c>
      <c r="AA330" t="s">
        <v>1170</v>
      </c>
      <c r="AB330">
        <f t="shared" si="113"/>
        <v>3.0887577052130057E-2</v>
      </c>
      <c r="AC330">
        <f t="shared" si="126"/>
        <v>9.0588815689130686E-2</v>
      </c>
      <c r="AD330" t="str">
        <f t="shared" si="127"/>
        <v>No Impact</v>
      </c>
      <c r="AE330">
        <f t="shared" si="114"/>
        <v>5.9137578553546807E-3</v>
      </c>
      <c r="AF330">
        <f t="shared" si="128"/>
        <v>3.8970553080600212E-2</v>
      </c>
      <c r="AG330" t="s">
        <v>1170</v>
      </c>
    </row>
    <row r="331" spans="1:33" customFormat="1" x14ac:dyDescent="0.3">
      <c r="A331">
        <v>405585</v>
      </c>
      <c r="B331" t="s">
        <v>479</v>
      </c>
      <c r="C331" t="s">
        <v>878</v>
      </c>
      <c r="D331" t="s">
        <v>879</v>
      </c>
      <c r="E331" s="21">
        <v>4.9000000000000004</v>
      </c>
      <c r="F331" s="2">
        <f t="shared" si="115"/>
        <v>0.37777777777777782</v>
      </c>
      <c r="G331" s="10">
        <v>49.314239999999998</v>
      </c>
      <c r="H331">
        <f t="shared" si="116"/>
        <v>0.45010777561642396</v>
      </c>
      <c r="I331" s="12">
        <v>54.5</v>
      </c>
      <c r="J331" s="2">
        <f t="shared" si="117"/>
        <v>0.13208919049927292</v>
      </c>
      <c r="K331" s="10">
        <v>0</v>
      </c>
      <c r="L331" s="2">
        <f t="shared" si="118"/>
        <v>0</v>
      </c>
      <c r="M331">
        <v>23104</v>
      </c>
      <c r="N331">
        <f t="shared" si="119"/>
        <v>0.10818393871863659</v>
      </c>
      <c r="O331" s="10">
        <v>0.86959026699999997</v>
      </c>
      <c r="P331">
        <f t="shared" si="120"/>
        <v>0.86220421733966268</v>
      </c>
      <c r="Q331" s="23">
        <v>0.2571</v>
      </c>
      <c r="R331" s="13">
        <f t="shared" si="121"/>
        <v>0.55673451710697275</v>
      </c>
      <c r="S331">
        <f t="shared" si="122"/>
        <v>5.461450962753691E-2</v>
      </c>
      <c r="T331" s="14">
        <f t="shared" si="110"/>
        <v>0.11534291288237963</v>
      </c>
      <c r="U331" t="str">
        <f t="shared" si="123"/>
        <v>No Impact</v>
      </c>
      <c r="V331">
        <f t="shared" si="124"/>
        <v>4.2857076075773874E-2</v>
      </c>
      <c r="W331">
        <f t="shared" si="111"/>
        <v>7.7798170695591376E-2</v>
      </c>
      <c r="X331" t="s">
        <v>1170</v>
      </c>
      <c r="Y331">
        <f t="shared" si="112"/>
        <v>6.6371943179299953E-2</v>
      </c>
      <c r="Z331">
        <f t="shared" si="125"/>
        <v>0.14675501951380784</v>
      </c>
      <c r="AA331" t="s">
        <v>1170</v>
      </c>
      <c r="AB331">
        <f t="shared" si="113"/>
        <v>3.7826335837721721E-2</v>
      </c>
      <c r="AC331">
        <f t="shared" si="126"/>
        <v>0.11093919602742763</v>
      </c>
      <c r="AD331" t="str">
        <f t="shared" si="127"/>
        <v>No Impact</v>
      </c>
      <c r="AE331">
        <f t="shared" si="114"/>
        <v>8.3279321640310749E-3</v>
      </c>
      <c r="AF331">
        <f t="shared" si="128"/>
        <v>5.4879508155063969E-2</v>
      </c>
      <c r="AG331" t="s">
        <v>1170</v>
      </c>
    </row>
    <row r="332" spans="1:33" customFormat="1" x14ac:dyDescent="0.3">
      <c r="A332">
        <v>405595</v>
      </c>
      <c r="B332" t="s">
        <v>504</v>
      </c>
      <c r="C332" t="s">
        <v>878</v>
      </c>
      <c r="D332" t="s">
        <v>1140</v>
      </c>
      <c r="E332" s="21">
        <v>3.8</v>
      </c>
      <c r="F332" s="2">
        <f t="shared" si="115"/>
        <v>0.13333333333333325</v>
      </c>
      <c r="G332" s="10">
        <v>44.171280000000003</v>
      </c>
      <c r="H332">
        <f t="shared" si="116"/>
        <v>0.40316623731665008</v>
      </c>
      <c r="I332" s="12">
        <v>56.4</v>
      </c>
      <c r="J332" s="2">
        <f t="shared" si="117"/>
        <v>0.13669413475521086</v>
      </c>
      <c r="K332" s="10">
        <v>0</v>
      </c>
      <c r="L332" s="2">
        <f t="shared" si="118"/>
        <v>0</v>
      </c>
      <c r="M332">
        <v>24428</v>
      </c>
      <c r="N332">
        <f t="shared" si="119"/>
        <v>0.11444833998097968</v>
      </c>
      <c r="O332" s="10">
        <v>0.96127500399999999</v>
      </c>
      <c r="P332">
        <f t="shared" si="120"/>
        <v>0.96317559172919243</v>
      </c>
      <c r="Q332" s="23">
        <v>0.29089999999999999</v>
      </c>
      <c r="R332" s="13">
        <f t="shared" si="121"/>
        <v>0.62992637505413596</v>
      </c>
      <c r="S332">
        <f t="shared" si="122"/>
        <v>2.0067894479174744E-2</v>
      </c>
      <c r="T332" s="14">
        <f t="shared" si="110"/>
        <v>4.2382315989470343E-2</v>
      </c>
      <c r="U332" t="str">
        <f t="shared" si="123"/>
        <v>No Impact</v>
      </c>
      <c r="V332">
        <f t="shared" si="124"/>
        <v>1.587004007001486E-2</v>
      </c>
      <c r="W332">
        <f t="shared" si="111"/>
        <v>2.8808780238062392E-2</v>
      </c>
      <c r="X332" t="s">
        <v>1170</v>
      </c>
      <c r="Y332">
        <f t="shared" si="112"/>
        <v>2.4265748888334628E-2</v>
      </c>
      <c r="Z332">
        <f t="shared" si="125"/>
        <v>5.3654003198377799E-2</v>
      </c>
      <c r="AA332" t="s">
        <v>1170</v>
      </c>
      <c r="AB332">
        <f t="shared" si="113"/>
        <v>1.3843412039956182E-2</v>
      </c>
      <c r="AC332">
        <f t="shared" si="126"/>
        <v>4.0600734064694187E-2</v>
      </c>
      <c r="AD332" t="str">
        <f t="shared" si="127"/>
        <v>No Impact</v>
      </c>
      <c r="AE332">
        <f t="shared" si="114"/>
        <v>2.8833524255731293E-3</v>
      </c>
      <c r="AF332">
        <f t="shared" si="128"/>
        <v>1.9000750706952275E-2</v>
      </c>
      <c r="AG332" t="s">
        <v>1170</v>
      </c>
    </row>
    <row r="333" spans="1:33" customFormat="1" x14ac:dyDescent="0.3">
      <c r="A333">
        <v>405747</v>
      </c>
      <c r="B333" t="s">
        <v>177</v>
      </c>
      <c r="C333" t="s">
        <v>881</v>
      </c>
      <c r="D333" t="s">
        <v>880</v>
      </c>
      <c r="E333" s="21">
        <v>4.9000000000000004</v>
      </c>
      <c r="F333" s="2">
        <f t="shared" si="115"/>
        <v>0.37777777777777782</v>
      </c>
      <c r="G333" s="10">
        <v>39.91104</v>
      </c>
      <c r="H333">
        <f t="shared" si="116"/>
        <v>0.36428158351295936</v>
      </c>
      <c r="I333" s="12">
        <v>25.5</v>
      </c>
      <c r="J333" s="2">
        <f t="shared" si="117"/>
        <v>6.180319922443045E-2</v>
      </c>
      <c r="K333" s="10">
        <v>0</v>
      </c>
      <c r="L333" s="2">
        <f t="shared" si="118"/>
        <v>0</v>
      </c>
      <c r="M333">
        <v>56017</v>
      </c>
      <c r="N333">
        <f t="shared" si="119"/>
        <v>0.26390919457022138</v>
      </c>
      <c r="O333" s="10">
        <v>0.795329485</v>
      </c>
      <c r="P333">
        <f t="shared" si="120"/>
        <v>0.78042164951944581</v>
      </c>
      <c r="Q333" s="23">
        <v>0.28670000000000001</v>
      </c>
      <c r="R333" s="13">
        <f t="shared" si="121"/>
        <v>0.62083152880034653</v>
      </c>
      <c r="S333">
        <f t="shared" si="122"/>
        <v>3.9471814482939668E-2</v>
      </c>
      <c r="T333" s="14">
        <f t="shared" si="110"/>
        <v>8.336235352591391E-2</v>
      </c>
      <c r="U333" t="str">
        <f t="shared" si="123"/>
        <v>No Impact</v>
      </c>
      <c r="V333">
        <f t="shared" si="124"/>
        <v>3.4976330200871833E-2</v>
      </c>
      <c r="W333">
        <f t="shared" si="111"/>
        <v>6.3492304105434924E-2</v>
      </c>
      <c r="X333" t="s">
        <v>1170</v>
      </c>
      <c r="Y333">
        <f t="shared" si="112"/>
        <v>4.3967298765007511E-2</v>
      </c>
      <c r="Z333">
        <f t="shared" si="125"/>
        <v>9.72161048652328E-2</v>
      </c>
      <c r="AA333" t="s">
        <v>1170</v>
      </c>
      <c r="AB333">
        <f t="shared" si="113"/>
        <v>3.0635734493979612E-2</v>
      </c>
      <c r="AC333">
        <f t="shared" si="126"/>
        <v>8.9850197731352208E-2</v>
      </c>
      <c r="AD333" t="str">
        <f t="shared" si="127"/>
        <v>No Impact</v>
      </c>
      <c r="AE333">
        <f t="shared" si="114"/>
        <v>1.4868083697634918E-2</v>
      </c>
      <c r="AF333">
        <f t="shared" si="128"/>
        <v>9.7977877876898184E-2</v>
      </c>
      <c r="AG333" t="s">
        <v>1170</v>
      </c>
    </row>
    <row r="334" spans="1:33" customFormat="1" x14ac:dyDescent="0.3">
      <c r="A334">
        <v>405760</v>
      </c>
      <c r="B334" t="s">
        <v>352</v>
      </c>
      <c r="C334" t="s">
        <v>881</v>
      </c>
      <c r="D334" t="s">
        <v>883</v>
      </c>
      <c r="E334" s="21">
        <v>5.4</v>
      </c>
      <c r="F334" s="2">
        <f t="shared" si="115"/>
        <v>0.48888888888888893</v>
      </c>
      <c r="G334" s="10">
        <v>39.171240000000004</v>
      </c>
      <c r="H334">
        <f t="shared" si="116"/>
        <v>0.35752917827664166</v>
      </c>
      <c r="I334" s="12">
        <v>26.4</v>
      </c>
      <c r="J334" s="2">
        <f t="shared" si="117"/>
        <v>6.398448860882211E-2</v>
      </c>
      <c r="K334" s="10">
        <v>0</v>
      </c>
      <c r="L334" s="2">
        <f t="shared" si="118"/>
        <v>0</v>
      </c>
      <c r="M334">
        <v>60437</v>
      </c>
      <c r="N334">
        <f t="shared" si="119"/>
        <v>0.28482207491731842</v>
      </c>
      <c r="O334" s="10">
        <v>0.50088014400000003</v>
      </c>
      <c r="P334">
        <f t="shared" si="120"/>
        <v>0.45614788682259361</v>
      </c>
      <c r="Q334" s="23">
        <v>0.27650000000000002</v>
      </c>
      <c r="R334" s="13">
        <f t="shared" si="121"/>
        <v>0.59874404504114342</v>
      </c>
      <c r="S334">
        <f t="shared" si="122"/>
        <v>3.8042394678131822E-2</v>
      </c>
      <c r="T334" s="14">
        <f t="shared" si="110"/>
        <v>8.0343495622717254E-2</v>
      </c>
      <c r="U334" t="str">
        <f t="shared" si="123"/>
        <v>No Impact</v>
      </c>
      <c r="V334">
        <f t="shared" si="124"/>
        <v>4.3184816538304062E-2</v>
      </c>
      <c r="W334">
        <f t="shared" si="111"/>
        <v>7.8393115819768627E-2</v>
      </c>
      <c r="X334" t="s">
        <v>1170</v>
      </c>
      <c r="Y334">
        <f t="shared" si="112"/>
        <v>3.2899972817959589E-2</v>
      </c>
      <c r="Z334">
        <f t="shared" si="125"/>
        <v>7.2745137804090004E-2</v>
      </c>
      <c r="AA334" t="s">
        <v>1170</v>
      </c>
      <c r="AB334">
        <f t="shared" si="113"/>
        <v>3.2174721866603993E-2</v>
      </c>
      <c r="AC334">
        <f t="shared" si="126"/>
        <v>9.4363826081393196E-2</v>
      </c>
      <c r="AD334" t="str">
        <f t="shared" si="127"/>
        <v>No Impact</v>
      </c>
      <c r="AE334">
        <f t="shared" si="114"/>
        <v>2.0542983522313416E-2</v>
      </c>
      <c r="AF334">
        <f t="shared" si="128"/>
        <v>0.13537440141640628</v>
      </c>
      <c r="AG334" t="s">
        <v>1169</v>
      </c>
    </row>
    <row r="335" spans="1:33" customFormat="1" x14ac:dyDescent="0.3">
      <c r="A335">
        <v>405787</v>
      </c>
      <c r="B335" t="s">
        <v>335</v>
      </c>
      <c r="C335" t="s">
        <v>881</v>
      </c>
      <c r="D335" t="s">
        <v>882</v>
      </c>
      <c r="E335" s="21">
        <v>5.4</v>
      </c>
      <c r="F335" s="2">
        <f t="shared" si="115"/>
        <v>0.48888888888888893</v>
      </c>
      <c r="G335" s="10">
        <v>39.171240000000004</v>
      </c>
      <c r="H335">
        <f t="shared" si="116"/>
        <v>0.35752917827664166</v>
      </c>
      <c r="I335" s="12">
        <v>25.8</v>
      </c>
      <c r="J335" s="2">
        <f t="shared" si="117"/>
        <v>6.2530295685894341E-2</v>
      </c>
      <c r="K335" s="10">
        <v>0</v>
      </c>
      <c r="L335" s="2">
        <f t="shared" si="118"/>
        <v>0</v>
      </c>
      <c r="M335">
        <v>21638</v>
      </c>
      <c r="N335">
        <f t="shared" si="119"/>
        <v>0.10124767568948631</v>
      </c>
      <c r="O335" s="10">
        <v>0.58731648199999997</v>
      </c>
      <c r="P335">
        <f t="shared" si="120"/>
        <v>0.55133925815256679</v>
      </c>
      <c r="Q335" s="23">
        <v>0.2777</v>
      </c>
      <c r="R335" s="13">
        <f t="shared" si="121"/>
        <v>0.60134257254222612</v>
      </c>
      <c r="S335">
        <f t="shared" si="122"/>
        <v>4.1425565672758589E-2</v>
      </c>
      <c r="T335" s="14">
        <f t="shared" si="110"/>
        <v>8.7488571170601978E-2</v>
      </c>
      <c r="U335" t="str">
        <f t="shared" si="123"/>
        <v>No Impact</v>
      </c>
      <c r="V335">
        <f t="shared" si="124"/>
        <v>4.3222605869753676E-2</v>
      </c>
      <c r="W335">
        <f t="shared" si="111"/>
        <v>7.8461714546695108E-2</v>
      </c>
      <c r="X335" t="s">
        <v>1170</v>
      </c>
      <c r="Y335">
        <f t="shared" si="112"/>
        <v>3.962852547576351E-2</v>
      </c>
      <c r="Z335">
        <f t="shared" si="125"/>
        <v>8.7622642202720646E-2</v>
      </c>
      <c r="AA335" t="s">
        <v>1170</v>
      </c>
      <c r="AB335">
        <f t="shared" si="113"/>
        <v>2.9563546859947248E-2</v>
      </c>
      <c r="AC335">
        <f t="shared" si="126"/>
        <v>8.6705625795534896E-2</v>
      </c>
      <c r="AD335" t="str">
        <f t="shared" si="127"/>
        <v>No Impact</v>
      </c>
      <c r="AE335">
        <f t="shared" si="114"/>
        <v>7.2773633222983107E-3</v>
      </c>
      <c r="AF335">
        <f t="shared" si="128"/>
        <v>4.7956456888346877E-2</v>
      </c>
      <c r="AG335" t="s">
        <v>1170</v>
      </c>
    </row>
    <row r="336" spans="1:33" customFormat="1" x14ac:dyDescent="0.3">
      <c r="A336">
        <v>406528</v>
      </c>
      <c r="B336" t="s">
        <v>242</v>
      </c>
      <c r="C336" t="s">
        <v>885</v>
      </c>
      <c r="D336" t="s">
        <v>884</v>
      </c>
      <c r="E336" s="21">
        <v>5.5</v>
      </c>
      <c r="F336" s="2">
        <f t="shared" si="115"/>
        <v>0.51111111111111107</v>
      </c>
      <c r="G336" s="10">
        <v>59.069520000000004</v>
      </c>
      <c r="H336">
        <f t="shared" si="116"/>
        <v>0.53914752116082232</v>
      </c>
      <c r="I336" s="12">
        <v>109.10000000000001</v>
      </c>
      <c r="J336" s="2">
        <f t="shared" si="117"/>
        <v>0.26442074648570046</v>
      </c>
      <c r="K336" s="10">
        <v>0</v>
      </c>
      <c r="L336" s="2">
        <f t="shared" si="118"/>
        <v>0</v>
      </c>
      <c r="M336">
        <v>44158</v>
      </c>
      <c r="N336">
        <f t="shared" si="119"/>
        <v>0.20779927420003502</v>
      </c>
      <c r="O336" s="10">
        <v>0.91710146999999997</v>
      </c>
      <c r="P336">
        <f t="shared" si="120"/>
        <v>0.91452777328562074</v>
      </c>
      <c r="Q336" s="23">
        <v>0.24199999999999999</v>
      </c>
      <c r="R336" s="13">
        <f t="shared" si="121"/>
        <v>0.52403637938501513</v>
      </c>
      <c r="S336">
        <f t="shared" si="122"/>
        <v>0.10339639175202711</v>
      </c>
      <c r="T336" s="14">
        <f t="shared" si="110"/>
        <v>0.21836762954643996</v>
      </c>
      <c r="U336" t="str">
        <f t="shared" si="123"/>
        <v>Low</v>
      </c>
      <c r="V336">
        <f t="shared" si="124"/>
        <v>7.5329933217948633E-2</v>
      </c>
      <c r="W336">
        <f t="shared" si="111"/>
        <v>0.13674593648469385</v>
      </c>
      <c r="X336" t="s">
        <v>1170</v>
      </c>
      <c r="Y336">
        <f t="shared" si="112"/>
        <v>0.1314628502861056</v>
      </c>
      <c r="Z336">
        <f t="shared" si="125"/>
        <v>0.2906775398598736</v>
      </c>
      <c r="AA336" t="str">
        <f t="shared" ref="AA336:AA345" si="129">IF(Z336&gt;0.7,"High",IF(Z336&gt;0.3,"Moderate",IF(Z336&gt;0.15,"Low","No Impact")))</f>
        <v>Low</v>
      </c>
      <c r="AB336">
        <f t="shared" si="113"/>
        <v>7.6259191569952145E-2</v>
      </c>
      <c r="AC336">
        <f t="shared" si="126"/>
        <v>0.22365722756670878</v>
      </c>
      <c r="AD336" t="str">
        <f t="shared" si="127"/>
        <v>Low</v>
      </c>
      <c r="AE336">
        <f t="shared" si="114"/>
        <v>2.9871028165252698E-2</v>
      </c>
      <c r="AF336">
        <f t="shared" si="128"/>
        <v>0.19684446288784804</v>
      </c>
      <c r="AG336" t="s">
        <v>1169</v>
      </c>
    </row>
    <row r="337" spans="1:33" customFormat="1" x14ac:dyDescent="0.3">
      <c r="A337">
        <v>406552</v>
      </c>
      <c r="B337" t="s">
        <v>307</v>
      </c>
      <c r="C337" t="s">
        <v>885</v>
      </c>
      <c r="D337" t="s">
        <v>1130</v>
      </c>
      <c r="E337" s="21">
        <v>5.4</v>
      </c>
      <c r="F337" s="2">
        <f t="shared" si="115"/>
        <v>0.48888888888888893</v>
      </c>
      <c r="G337" s="10">
        <v>55.2042</v>
      </c>
      <c r="H337">
        <f t="shared" si="116"/>
        <v>0.50386743599179862</v>
      </c>
      <c r="I337" s="12">
        <v>95.7</v>
      </c>
      <c r="J337" s="2">
        <f t="shared" si="117"/>
        <v>0.23194377120698015</v>
      </c>
      <c r="K337" s="10">
        <v>0</v>
      </c>
      <c r="L337" s="2">
        <f t="shared" si="118"/>
        <v>0</v>
      </c>
      <c r="M337">
        <v>38864</v>
      </c>
      <c r="N337">
        <f t="shared" si="119"/>
        <v>0.18275113199244866</v>
      </c>
      <c r="O337" s="10">
        <v>0.921935485</v>
      </c>
      <c r="P337">
        <f t="shared" si="120"/>
        <v>0.91985141988526797</v>
      </c>
      <c r="Q337" s="23">
        <v>0.27360000000000001</v>
      </c>
      <c r="R337" s="13">
        <f t="shared" si="121"/>
        <v>0.5924642702468601</v>
      </c>
      <c r="S337">
        <f t="shared" si="122"/>
        <v>9.5204411320974125E-2</v>
      </c>
      <c r="T337" s="14">
        <f t="shared" si="110"/>
        <v>0.20106660658318173</v>
      </c>
      <c r="U337" t="str">
        <f t="shared" si="123"/>
        <v>Low</v>
      </c>
      <c r="V337">
        <f t="shared" si="124"/>
        <v>7.4594494318358656E-2</v>
      </c>
      <c r="W337">
        <f t="shared" si="111"/>
        <v>0.13541089904664469</v>
      </c>
      <c r="X337" t="s">
        <v>1170</v>
      </c>
      <c r="Y337">
        <f t="shared" si="112"/>
        <v>0.11581432832358959</v>
      </c>
      <c r="Z337">
        <f t="shared" si="125"/>
        <v>0.2560770891880072</v>
      </c>
      <c r="AA337" t="str">
        <f t="shared" si="129"/>
        <v>Low</v>
      </c>
      <c r="AB337">
        <f t="shared" si="113"/>
        <v>6.8905650223506587E-2</v>
      </c>
      <c r="AC337">
        <f t="shared" si="126"/>
        <v>0.20209034970603112</v>
      </c>
      <c r="AD337" t="str">
        <f t="shared" si="127"/>
        <v>Low</v>
      </c>
      <c r="AE337">
        <f t="shared" si="114"/>
        <v>2.3009367757154758E-2</v>
      </c>
      <c r="AF337">
        <f t="shared" si="128"/>
        <v>0.15162741009413061</v>
      </c>
      <c r="AG337" t="s">
        <v>1169</v>
      </c>
    </row>
    <row r="338" spans="1:33" customFormat="1" x14ac:dyDescent="0.3">
      <c r="A338">
        <v>406576</v>
      </c>
      <c r="B338" t="s">
        <v>374</v>
      </c>
      <c r="C338" t="s">
        <v>885</v>
      </c>
      <c r="D338" t="s">
        <v>886</v>
      </c>
      <c r="E338" s="21">
        <v>5.5</v>
      </c>
      <c r="F338" s="2">
        <f t="shared" si="115"/>
        <v>0.51111111111111107</v>
      </c>
      <c r="G338" s="10">
        <v>55.2042</v>
      </c>
      <c r="H338">
        <f t="shared" si="116"/>
        <v>0.50386743599179862</v>
      </c>
      <c r="I338" s="12">
        <v>72.2</v>
      </c>
      <c r="J338" s="2">
        <f t="shared" si="117"/>
        <v>0.17498788172564228</v>
      </c>
      <c r="K338" s="10">
        <v>0</v>
      </c>
      <c r="L338" s="2">
        <f t="shared" si="118"/>
        <v>0</v>
      </c>
      <c r="M338">
        <v>41242</v>
      </c>
      <c r="N338">
        <f t="shared" si="119"/>
        <v>0.19400245087602258</v>
      </c>
      <c r="O338" s="10">
        <v>0.93892811399999998</v>
      </c>
      <c r="P338">
        <f t="shared" si="120"/>
        <v>0.93856521195974796</v>
      </c>
      <c r="Q338" s="23">
        <v>0.254</v>
      </c>
      <c r="R338" s="13">
        <f t="shared" si="121"/>
        <v>0.55002165439584239</v>
      </c>
      <c r="S338">
        <f t="shared" si="122"/>
        <v>9.0386751515379588E-2</v>
      </c>
      <c r="T338" s="14">
        <f t="shared" si="110"/>
        <v>0.1908919676631711</v>
      </c>
      <c r="U338" t="str">
        <f t="shared" si="123"/>
        <v>Low</v>
      </c>
      <c r="V338">
        <f t="shared" si="124"/>
        <v>6.679445012929365E-2</v>
      </c>
      <c r="W338">
        <f t="shared" si="111"/>
        <v>0.12125152970046894</v>
      </c>
      <c r="X338" t="s">
        <v>1170</v>
      </c>
      <c r="Y338">
        <f t="shared" si="112"/>
        <v>0.11397905290146552</v>
      </c>
      <c r="Z338">
        <f t="shared" si="125"/>
        <v>0.25201911126110765</v>
      </c>
      <c r="AA338" t="str">
        <f t="shared" si="129"/>
        <v>Low</v>
      </c>
      <c r="AB338">
        <f t="shared" si="113"/>
        <v>6.5817631418286032E-2</v>
      </c>
      <c r="AC338">
        <f t="shared" si="126"/>
        <v>0.19303363522439446</v>
      </c>
      <c r="AD338" t="str">
        <f t="shared" si="127"/>
        <v>Low</v>
      </c>
      <c r="AE338">
        <f t="shared" si="114"/>
        <v>2.3559594293124583E-2</v>
      </c>
      <c r="AF338">
        <f t="shared" si="128"/>
        <v>0.15525329957943501</v>
      </c>
      <c r="AG338" t="s">
        <v>1169</v>
      </c>
    </row>
    <row r="339" spans="1:33" customFormat="1" x14ac:dyDescent="0.3">
      <c r="A339">
        <v>408704</v>
      </c>
      <c r="B339" t="s">
        <v>14</v>
      </c>
      <c r="C339" t="s">
        <v>888</v>
      </c>
      <c r="D339" t="s">
        <v>887</v>
      </c>
      <c r="E339" s="21">
        <v>6.9</v>
      </c>
      <c r="F339" s="2">
        <f t="shared" si="115"/>
        <v>0.8222222222222223</v>
      </c>
      <c r="G339" s="10">
        <v>67.489199999999997</v>
      </c>
      <c r="H339">
        <f t="shared" si="116"/>
        <v>0.61599679301824295</v>
      </c>
      <c r="I339" s="12">
        <v>147.39999999999998</v>
      </c>
      <c r="J339" s="2">
        <f t="shared" si="117"/>
        <v>0.35724672806592339</v>
      </c>
      <c r="K339" s="10">
        <v>0.1</v>
      </c>
      <c r="L339" s="2">
        <f t="shared" si="118"/>
        <v>5.8823529411764712E-2</v>
      </c>
      <c r="M339">
        <v>39423</v>
      </c>
      <c r="N339">
        <f t="shared" si="119"/>
        <v>0.18539599627164033</v>
      </c>
      <c r="O339" s="10">
        <v>0.80060353900000003</v>
      </c>
      <c r="P339">
        <f t="shared" si="120"/>
        <v>0.78622990614327837</v>
      </c>
      <c r="Q339" s="23">
        <v>0.22420000000000001</v>
      </c>
      <c r="R339" s="13">
        <f t="shared" si="121"/>
        <v>0.4854915547856215</v>
      </c>
      <c r="S339">
        <f t="shared" si="122"/>
        <v>0.18731672572626473</v>
      </c>
      <c r="T339" s="14">
        <f t="shared" si="110"/>
        <v>0.39560287044971421</v>
      </c>
      <c r="U339" t="str">
        <f t="shared" si="123"/>
        <v>Moderate</v>
      </c>
      <c r="V339">
        <f t="shared" si="124"/>
        <v>0.14301982187793003</v>
      </c>
      <c r="W339">
        <f t="shared" si="111"/>
        <v>0.25962294991006007</v>
      </c>
      <c r="X339" t="s">
        <v>1169</v>
      </c>
      <c r="Y339">
        <f t="shared" si="112"/>
        <v>0.23161362957459949</v>
      </c>
      <c r="Z339">
        <f t="shared" si="125"/>
        <v>0.51212095201222219</v>
      </c>
      <c r="AA339" t="str">
        <f t="shared" si="129"/>
        <v>Moderate</v>
      </c>
      <c r="AB339">
        <f t="shared" si="113"/>
        <v>0.13865640708735816</v>
      </c>
      <c r="AC339">
        <f t="shared" si="126"/>
        <v>0.40665927549301101</v>
      </c>
      <c r="AD339" t="str">
        <f t="shared" si="127"/>
        <v>Moderate</v>
      </c>
      <c r="AE339">
        <f t="shared" si="114"/>
        <v>5.461537302200805E-2</v>
      </c>
      <c r="AF339">
        <f t="shared" si="128"/>
        <v>0.35990504606876472</v>
      </c>
      <c r="AG339" t="str">
        <f t="shared" ref="AG339:AG344" si="130">IF(AF339&gt;0.7,"High",IF(AF339&gt;0.3,"Moderate",IF(AF339&gt;0.15,"Low","No Impact")))</f>
        <v>Moderate</v>
      </c>
    </row>
    <row r="340" spans="1:33" customFormat="1" x14ac:dyDescent="0.3">
      <c r="A340">
        <v>408725</v>
      </c>
      <c r="B340" t="s">
        <v>135</v>
      </c>
      <c r="C340" t="s">
        <v>888</v>
      </c>
      <c r="D340" t="s">
        <v>889</v>
      </c>
      <c r="E340" s="21">
        <v>6.7</v>
      </c>
      <c r="F340" s="2">
        <f t="shared" si="115"/>
        <v>0.77777777777777779</v>
      </c>
      <c r="G340" s="10">
        <v>61.828920000000004</v>
      </c>
      <c r="H340">
        <f t="shared" si="116"/>
        <v>0.5643334998159929</v>
      </c>
      <c r="I340" s="12">
        <v>97.600000000000009</v>
      </c>
      <c r="J340" s="2">
        <f t="shared" si="117"/>
        <v>0.23654871546291811</v>
      </c>
      <c r="K340" s="10">
        <v>0</v>
      </c>
      <c r="L340" s="2">
        <f t="shared" si="118"/>
        <v>0</v>
      </c>
      <c r="M340">
        <v>18680</v>
      </c>
      <c r="N340">
        <f t="shared" si="119"/>
        <v>8.7252132687967526E-2</v>
      </c>
      <c r="O340" s="10">
        <v>0.75519396299999997</v>
      </c>
      <c r="P340">
        <f t="shared" si="120"/>
        <v>0.73622084848337788</v>
      </c>
      <c r="Q340" s="23">
        <v>0.2167</v>
      </c>
      <c r="R340" s="13">
        <f t="shared" si="121"/>
        <v>0.46925075790385451</v>
      </c>
      <c r="S340">
        <f t="shared" si="122"/>
        <v>0.13140721599550687</v>
      </c>
      <c r="T340" s="14">
        <f t="shared" si="110"/>
        <v>0.27752498685886967</v>
      </c>
      <c r="U340" t="str">
        <f t="shared" si="123"/>
        <v>Low</v>
      </c>
      <c r="V340">
        <f t="shared" si="124"/>
        <v>0.10230508188364444</v>
      </c>
      <c r="W340">
        <f t="shared" si="111"/>
        <v>0.1857137479313328</v>
      </c>
      <c r="X340" t="s">
        <v>1170</v>
      </c>
      <c r="Y340">
        <f t="shared" si="112"/>
        <v>0.16050935010736928</v>
      </c>
      <c r="Z340">
        <f t="shared" si="125"/>
        <v>0.35490226259492863</v>
      </c>
      <c r="AA340" t="str">
        <f t="shared" si="129"/>
        <v>Moderate</v>
      </c>
      <c r="AB340">
        <f t="shared" si="113"/>
        <v>9.0617469161216185E-2</v>
      </c>
      <c r="AC340">
        <f t="shared" si="126"/>
        <v>0.26576798815285502</v>
      </c>
      <c r="AD340" t="str">
        <f t="shared" si="127"/>
        <v>Low</v>
      </c>
      <c r="AE340">
        <f t="shared" si="114"/>
        <v>1.9022529913513872E-2</v>
      </c>
      <c r="AF340">
        <f t="shared" si="128"/>
        <v>0.12535489782535858</v>
      </c>
      <c r="AG340" t="s">
        <v>1169</v>
      </c>
    </row>
    <row r="341" spans="1:33" customFormat="1" x14ac:dyDescent="0.3">
      <c r="A341">
        <v>408743</v>
      </c>
      <c r="B341" t="s">
        <v>241</v>
      </c>
      <c r="C341" t="s">
        <v>888</v>
      </c>
      <c r="D341" t="s">
        <v>890</v>
      </c>
      <c r="E341" s="21">
        <v>6.5</v>
      </c>
      <c r="F341" s="2">
        <f t="shared" si="115"/>
        <v>0.73333333333333328</v>
      </c>
      <c r="G341" s="10">
        <v>57.662639999999996</v>
      </c>
      <c r="H341">
        <f t="shared" si="116"/>
        <v>0.52630645076494398</v>
      </c>
      <c r="I341" s="12">
        <v>49.999999999999986</v>
      </c>
      <c r="J341" s="2">
        <f t="shared" si="117"/>
        <v>0.12118274357731457</v>
      </c>
      <c r="K341" s="10">
        <v>0</v>
      </c>
      <c r="L341" s="2">
        <f t="shared" si="118"/>
        <v>0</v>
      </c>
      <c r="M341">
        <v>48599</v>
      </c>
      <c r="N341">
        <f t="shared" si="119"/>
        <v>0.22881151438588523</v>
      </c>
      <c r="O341" s="10">
        <v>0.83971533200000004</v>
      </c>
      <c r="P341">
        <f t="shared" si="120"/>
        <v>0.82930328589293933</v>
      </c>
      <c r="Q341" s="23">
        <v>0.27710000000000001</v>
      </c>
      <c r="R341" s="13">
        <f t="shared" si="121"/>
        <v>0.60004330879168477</v>
      </c>
      <c r="S341">
        <f t="shared" si="122"/>
        <v>0.11877076429528539</v>
      </c>
      <c r="T341" s="14">
        <f t="shared" si="110"/>
        <v>0.25083747913352056</v>
      </c>
      <c r="U341" t="str">
        <f t="shared" si="123"/>
        <v>Low</v>
      </c>
      <c r="V341">
        <f t="shared" si="124"/>
        <v>9.9720533368864356E-2</v>
      </c>
      <c r="W341">
        <f t="shared" si="111"/>
        <v>0.1810220338683298</v>
      </c>
      <c r="X341" t="s">
        <v>1170</v>
      </c>
      <c r="Y341">
        <f t="shared" si="112"/>
        <v>0.13782099522170643</v>
      </c>
      <c r="Z341">
        <f t="shared" si="125"/>
        <v>0.30473603565492707</v>
      </c>
      <c r="AA341" t="str">
        <f t="shared" si="129"/>
        <v>Moderate</v>
      </c>
      <c r="AB341">
        <f t="shared" si="113"/>
        <v>8.9557561561298862E-2</v>
      </c>
      <c r="AC341">
        <f t="shared" si="126"/>
        <v>0.26265943178877471</v>
      </c>
      <c r="AD341" t="str">
        <f t="shared" si="127"/>
        <v>Low</v>
      </c>
      <c r="AE341">
        <f t="shared" si="114"/>
        <v>3.8025932330526889E-2</v>
      </c>
      <c r="AF341">
        <f t="shared" si="128"/>
        <v>0.25058374904280428</v>
      </c>
      <c r="AG341" t="s">
        <v>1169</v>
      </c>
    </row>
    <row r="342" spans="1:33" customFormat="1" x14ac:dyDescent="0.3">
      <c r="A342">
        <v>408747</v>
      </c>
      <c r="B342" t="s">
        <v>246</v>
      </c>
      <c r="C342" t="s">
        <v>1032</v>
      </c>
      <c r="D342" t="s">
        <v>1139</v>
      </c>
      <c r="E342" s="21">
        <v>6.9</v>
      </c>
      <c r="F342" s="2">
        <f t="shared" si="115"/>
        <v>0.8222222222222223</v>
      </c>
      <c r="G342" s="10">
        <v>75.725279999999998</v>
      </c>
      <c r="H342">
        <f t="shared" si="116"/>
        <v>0.69117028547394987</v>
      </c>
      <c r="I342" s="12">
        <v>150.4</v>
      </c>
      <c r="J342" s="2">
        <f t="shared" si="117"/>
        <v>0.36451769268056233</v>
      </c>
      <c r="K342" s="10">
        <v>0</v>
      </c>
      <c r="L342" s="2">
        <f t="shared" si="118"/>
        <v>0</v>
      </c>
      <c r="M342">
        <v>39782</v>
      </c>
      <c r="N342">
        <f t="shared" si="119"/>
        <v>0.18709457637223034</v>
      </c>
      <c r="O342" s="10">
        <v>0.86628744899999999</v>
      </c>
      <c r="P342">
        <f t="shared" si="120"/>
        <v>0.8585668608533974</v>
      </c>
      <c r="Q342" s="23">
        <v>0.2792</v>
      </c>
      <c r="R342" s="13">
        <f t="shared" si="121"/>
        <v>0.60459073191857948</v>
      </c>
      <c r="S342">
        <f t="shared" si="122"/>
        <v>0.22225622840901757</v>
      </c>
      <c r="T342" s="14">
        <f t="shared" si="110"/>
        <v>0.4693932247268946</v>
      </c>
      <c r="U342" t="str">
        <f t="shared" si="123"/>
        <v>Moderate</v>
      </c>
      <c r="V342">
        <f t="shared" si="124"/>
        <v>0.18367680483781246</v>
      </c>
      <c r="W342">
        <f t="shared" si="111"/>
        <v>0.33342730592091441</v>
      </c>
      <c r="X342" t="str">
        <f t="shared" ref="X342:X344" si="131">IF(W342&gt;0.7,"High",IF(W342&gt;0.3,"Moderate",IF(W342&gt;0.15,"Low","No Impact")))</f>
        <v>Moderate</v>
      </c>
      <c r="Y342">
        <f t="shared" si="112"/>
        <v>0.26083565198022274</v>
      </c>
      <c r="Z342">
        <f t="shared" si="125"/>
        <v>0.57673377277573512</v>
      </c>
      <c r="AA342" t="str">
        <f t="shared" si="129"/>
        <v>Moderate</v>
      </c>
      <c r="AB342">
        <f t="shared" si="113"/>
        <v>0.16243157542802547</v>
      </c>
      <c r="AC342">
        <f t="shared" si="126"/>
        <v>0.47638842061681863</v>
      </c>
      <c r="AD342" t="str">
        <f t="shared" si="127"/>
        <v>Moderate</v>
      </c>
      <c r="AE342">
        <f t="shared" si="114"/>
        <v>5.6839994687783751E-2</v>
      </c>
      <c r="AF342">
        <f t="shared" si="128"/>
        <v>0.3745648848431688</v>
      </c>
      <c r="AG342" t="str">
        <f t="shared" si="130"/>
        <v>Moderate</v>
      </c>
    </row>
    <row r="343" spans="1:33" customFormat="1" x14ac:dyDescent="0.3">
      <c r="A343">
        <v>408782</v>
      </c>
      <c r="B343" t="s">
        <v>467</v>
      </c>
      <c r="C343" t="s">
        <v>888</v>
      </c>
      <c r="D343" t="s">
        <v>891</v>
      </c>
      <c r="E343" s="21">
        <v>7</v>
      </c>
      <c r="F343" s="2">
        <f t="shared" si="115"/>
        <v>0.84444444444444444</v>
      </c>
      <c r="G343" s="10">
        <v>67.489199999999997</v>
      </c>
      <c r="H343">
        <f t="shared" si="116"/>
        <v>0.61599679301824295</v>
      </c>
      <c r="I343" s="12">
        <v>104.4</v>
      </c>
      <c r="J343" s="2">
        <f t="shared" si="117"/>
        <v>0.25302956858943287</v>
      </c>
      <c r="K343" s="10">
        <v>0</v>
      </c>
      <c r="L343" s="2">
        <f t="shared" si="118"/>
        <v>0</v>
      </c>
      <c r="M343">
        <v>45523</v>
      </c>
      <c r="N343">
        <f t="shared" si="119"/>
        <v>0.21425766371899144</v>
      </c>
      <c r="O343" s="10">
        <v>0.80010126800000003</v>
      </c>
      <c r="P343">
        <f t="shared" si="120"/>
        <v>0.78567676071421966</v>
      </c>
      <c r="Q343" s="23">
        <v>0.21540000000000001</v>
      </c>
      <c r="R343" s="13">
        <f t="shared" si="121"/>
        <v>0.46643568644434824</v>
      </c>
      <c r="S343">
        <f t="shared" si="122"/>
        <v>0.16079976703217758</v>
      </c>
      <c r="T343" s="14">
        <f t="shared" si="110"/>
        <v>0.33960047699389856</v>
      </c>
      <c r="U343" t="str">
        <f t="shared" si="123"/>
        <v>Moderate</v>
      </c>
      <c r="V343">
        <f t="shared" si="124"/>
        <v>0.11980193933212559</v>
      </c>
      <c r="W343">
        <f t="shared" si="111"/>
        <v>0.21747567914676713</v>
      </c>
      <c r="X343" t="s">
        <v>1169</v>
      </c>
      <c r="Y343">
        <f t="shared" si="112"/>
        <v>0.20179759473222958</v>
      </c>
      <c r="Z343">
        <f t="shared" si="125"/>
        <v>0.44619471020706969</v>
      </c>
      <c r="AA343" t="str">
        <f t="shared" si="129"/>
        <v>Moderate</v>
      </c>
      <c r="AB343">
        <f t="shared" si="113"/>
        <v>0.12173085323589561</v>
      </c>
      <c r="AC343">
        <f t="shared" si="126"/>
        <v>0.35701906332295802</v>
      </c>
      <c r="AD343" t="str">
        <f t="shared" si="127"/>
        <v>Moderate</v>
      </c>
      <c r="AE343">
        <f t="shared" si="114"/>
        <v>5.5031131571379364E-2</v>
      </c>
      <c r="AF343">
        <f t="shared" si="128"/>
        <v>0.36264481678871691</v>
      </c>
      <c r="AG343" t="str">
        <f t="shared" si="130"/>
        <v>Moderate</v>
      </c>
    </row>
    <row r="344" spans="1:33" customFormat="1" x14ac:dyDescent="0.3">
      <c r="A344">
        <v>408786</v>
      </c>
      <c r="B344" t="s">
        <v>542</v>
      </c>
      <c r="C344" t="s">
        <v>888</v>
      </c>
      <c r="D344" t="s">
        <v>892</v>
      </c>
      <c r="E344" s="21">
        <v>6.9</v>
      </c>
      <c r="F344" s="2">
        <f t="shared" si="115"/>
        <v>0.8222222222222223</v>
      </c>
      <c r="G344" s="10">
        <v>104.06735999999999</v>
      </c>
      <c r="H344">
        <f t="shared" si="116"/>
        <v>0.94985805162714898</v>
      </c>
      <c r="I344" s="12">
        <v>412.59999999999997</v>
      </c>
      <c r="J344" s="2">
        <f t="shared" si="117"/>
        <v>1</v>
      </c>
      <c r="K344" s="10">
        <v>0.1</v>
      </c>
      <c r="L344" s="2">
        <f t="shared" si="118"/>
        <v>5.8823529411764712E-2</v>
      </c>
      <c r="M344">
        <v>55956</v>
      </c>
      <c r="N344">
        <f t="shared" si="119"/>
        <v>0.26362057789574789</v>
      </c>
      <c r="O344" s="10">
        <v>0.80010126800000003</v>
      </c>
      <c r="P344">
        <f t="shared" si="120"/>
        <v>0.78567676071421966</v>
      </c>
      <c r="Q344" s="23">
        <v>0.3488</v>
      </c>
      <c r="R344" s="13">
        <f t="shared" si="121"/>
        <v>0.7553053269813772</v>
      </c>
      <c r="S344">
        <f t="shared" si="122"/>
        <v>0.44352209050098768</v>
      </c>
      <c r="T344" s="14">
        <f t="shared" si="110"/>
        <v>0.93669484895040844</v>
      </c>
      <c r="U344" t="str">
        <f t="shared" si="123"/>
        <v>High</v>
      </c>
      <c r="V344">
        <f t="shared" si="124"/>
        <v>0.43478065094224089</v>
      </c>
      <c r="W344">
        <f t="shared" si="111"/>
        <v>0.78925448010825372</v>
      </c>
      <c r="X344" t="str">
        <f t="shared" si="131"/>
        <v>High</v>
      </c>
      <c r="Y344">
        <f t="shared" si="112"/>
        <v>0.45226353005973446</v>
      </c>
      <c r="Z344">
        <f t="shared" si="125"/>
        <v>1</v>
      </c>
      <c r="AA344" t="str">
        <f t="shared" si="129"/>
        <v>High</v>
      </c>
      <c r="AB344">
        <f t="shared" si="113"/>
        <v>0.34096457512068024</v>
      </c>
      <c r="AC344">
        <f t="shared" si="126"/>
        <v>1</v>
      </c>
      <c r="AD344" t="str">
        <f t="shared" si="127"/>
        <v>High</v>
      </c>
      <c r="AE344">
        <f t="shared" si="114"/>
        <v>0.15174939506564475</v>
      </c>
      <c r="AF344">
        <f t="shared" si="128"/>
        <v>1</v>
      </c>
      <c r="AG344" t="str">
        <f t="shared" si="130"/>
        <v>High</v>
      </c>
    </row>
    <row r="345" spans="1:33" customFormat="1" x14ac:dyDescent="0.3">
      <c r="A345">
        <v>408790</v>
      </c>
      <c r="B345" t="s">
        <v>513</v>
      </c>
      <c r="C345" t="s">
        <v>888</v>
      </c>
      <c r="D345" t="s">
        <v>893</v>
      </c>
      <c r="E345" s="21">
        <v>7</v>
      </c>
      <c r="F345" s="2">
        <f t="shared" si="115"/>
        <v>0.84444444444444444</v>
      </c>
      <c r="G345" s="10">
        <v>63.890999999999998</v>
      </c>
      <c r="H345">
        <f t="shared" si="116"/>
        <v>0.58315480258661478</v>
      </c>
      <c r="I345" s="12">
        <v>96.300000000000011</v>
      </c>
      <c r="J345" s="2">
        <f t="shared" si="117"/>
        <v>0.23339796412990796</v>
      </c>
      <c r="K345" s="10">
        <v>0</v>
      </c>
      <c r="L345" s="2">
        <f t="shared" si="118"/>
        <v>0</v>
      </c>
      <c r="M345">
        <v>36530</v>
      </c>
      <c r="N345">
        <f t="shared" si="119"/>
        <v>0.1717079956281671</v>
      </c>
      <c r="O345" s="10">
        <v>0.758966645</v>
      </c>
      <c r="P345">
        <f t="shared" si="120"/>
        <v>0.7403756609324188</v>
      </c>
      <c r="Q345" s="23">
        <v>0.2392</v>
      </c>
      <c r="R345" s="13">
        <f t="shared" si="121"/>
        <v>0.51797314854915544</v>
      </c>
      <c r="S345">
        <f t="shared" si="122"/>
        <v>0.15184287872176749</v>
      </c>
      <c r="T345" s="14">
        <f t="shared" si="110"/>
        <v>0.3206840096461091</v>
      </c>
      <c r="U345" t="str">
        <f t="shared" si="123"/>
        <v>Moderate</v>
      </c>
      <c r="V345">
        <f t="shared" si="124"/>
        <v>0.12500593378188135</v>
      </c>
      <c r="W345">
        <f t="shared" si="111"/>
        <v>0.22692245633206062</v>
      </c>
      <c r="X345" t="s">
        <v>1169</v>
      </c>
      <c r="Y345">
        <f t="shared" si="112"/>
        <v>0.17867982366165358</v>
      </c>
      <c r="Z345">
        <f t="shared" si="125"/>
        <v>0.39507900103741228</v>
      </c>
      <c r="AA345" t="str">
        <f t="shared" si="129"/>
        <v>Moderate</v>
      </c>
      <c r="AB345">
        <f t="shared" si="113"/>
        <v>0.11185982867922109</v>
      </c>
      <c r="AC345">
        <f t="shared" si="126"/>
        <v>0.32806876972374527</v>
      </c>
      <c r="AD345" t="str">
        <f t="shared" si="127"/>
        <v>Moderate</v>
      </c>
      <c r="AE345">
        <f t="shared" si="114"/>
        <v>4.1439442163047298E-2</v>
      </c>
      <c r="AF345">
        <f t="shared" si="128"/>
        <v>0.27307813744576148</v>
      </c>
      <c r="AG345" t="s">
        <v>1169</v>
      </c>
    </row>
    <row r="346" spans="1:33" customFormat="1" x14ac:dyDescent="0.3">
      <c r="A346">
        <v>453907</v>
      </c>
      <c r="B346" t="s">
        <v>34</v>
      </c>
      <c r="C346" t="s">
        <v>895</v>
      </c>
      <c r="D346" t="s">
        <v>894</v>
      </c>
      <c r="E346" s="21">
        <v>6.7</v>
      </c>
      <c r="F346" s="2">
        <f t="shared" si="115"/>
        <v>0.77777777777777779</v>
      </c>
      <c r="G346" s="10">
        <v>33.781320000000001</v>
      </c>
      <c r="H346">
        <f t="shared" si="116"/>
        <v>0.3083335523894643</v>
      </c>
      <c r="I346" s="12">
        <v>0</v>
      </c>
      <c r="J346" s="2">
        <f t="shared" si="117"/>
        <v>0</v>
      </c>
      <c r="K346" s="10">
        <v>0</v>
      </c>
      <c r="L346" s="2">
        <f t="shared" si="118"/>
        <v>0</v>
      </c>
      <c r="M346">
        <v>31094</v>
      </c>
      <c r="N346">
        <f t="shared" si="119"/>
        <v>0.14598799165377355</v>
      </c>
      <c r="O346" s="10">
        <v>0.53749289</v>
      </c>
      <c r="P346">
        <f t="shared" si="120"/>
        <v>0.49646909408956491</v>
      </c>
      <c r="Q346" s="23">
        <v>0.29549999999999998</v>
      </c>
      <c r="R346" s="13">
        <f t="shared" si="121"/>
        <v>0.63988739714161968</v>
      </c>
      <c r="S346">
        <f t="shared" si="122"/>
        <v>4.769018014551326E-2</v>
      </c>
      <c r="T346" s="14">
        <f t="shared" si="110"/>
        <v>0.10071910068190805</v>
      </c>
      <c r="U346" t="str">
        <f t="shared" si="123"/>
        <v>No Impact</v>
      </c>
      <c r="V346">
        <f t="shared" si="124"/>
        <v>5.3709105334479187E-2</v>
      </c>
      <c r="W346">
        <f t="shared" si="111"/>
        <v>9.749778863428582E-2</v>
      </c>
      <c r="X346" t="s">
        <v>1170</v>
      </c>
      <c r="Y346">
        <f t="shared" si="112"/>
        <v>4.1671254956547346E-2</v>
      </c>
      <c r="Z346">
        <f t="shared" si="125"/>
        <v>9.2139321848576761E-2</v>
      </c>
      <c r="AA346" t="s">
        <v>1170</v>
      </c>
      <c r="AB346">
        <f t="shared" si="113"/>
        <v>3.5588301590969228E-2</v>
      </c>
      <c r="AC346">
        <f t="shared" si="126"/>
        <v>0.10437536385817554</v>
      </c>
      <c r="AD346" t="str">
        <f t="shared" si="127"/>
        <v>No Impact</v>
      </c>
      <c r="AE346">
        <f t="shared" si="114"/>
        <v>1.2253537819820899E-2</v>
      </c>
      <c r="AF346">
        <f t="shared" si="128"/>
        <v>8.0748511811333301E-2</v>
      </c>
      <c r="AG346" t="s">
        <v>1170</v>
      </c>
    </row>
    <row r="347" spans="1:33" customFormat="1" x14ac:dyDescent="0.3">
      <c r="A347">
        <v>453915</v>
      </c>
      <c r="B347" t="s">
        <v>141</v>
      </c>
      <c r="C347" t="s">
        <v>895</v>
      </c>
      <c r="D347" t="s">
        <v>896</v>
      </c>
      <c r="E347" s="21">
        <v>6.7</v>
      </c>
      <c r="F347" s="2">
        <f t="shared" si="115"/>
        <v>0.77777777777777779</v>
      </c>
      <c r="G347" s="10">
        <v>33.781320000000001</v>
      </c>
      <c r="H347">
        <f t="shared" si="116"/>
        <v>0.3083335523894643</v>
      </c>
      <c r="I347" s="12">
        <v>0</v>
      </c>
      <c r="J347" s="2">
        <f t="shared" si="117"/>
        <v>0</v>
      </c>
      <c r="K347" s="10">
        <v>0</v>
      </c>
      <c r="L347" s="2">
        <f t="shared" si="118"/>
        <v>0</v>
      </c>
      <c r="M347">
        <v>33936</v>
      </c>
      <c r="N347">
        <f t="shared" si="119"/>
        <v>0.15943468983170336</v>
      </c>
      <c r="O347" s="10">
        <v>0.34368002399999997</v>
      </c>
      <c r="P347">
        <f t="shared" si="120"/>
        <v>0.28302515462127847</v>
      </c>
      <c r="Q347" s="23">
        <v>0.27829999999999999</v>
      </c>
      <c r="R347" s="13">
        <f t="shared" si="121"/>
        <v>0.60264183629276746</v>
      </c>
      <c r="S347">
        <f t="shared" si="122"/>
        <v>3.7169337854411511E-2</v>
      </c>
      <c r="T347" s="14">
        <f t="shared" si="110"/>
        <v>7.8499646472619519E-2</v>
      </c>
      <c r="U347" t="str">
        <f t="shared" si="123"/>
        <v>No Impact</v>
      </c>
      <c r="V347">
        <f t="shared" si="124"/>
        <v>5.058289006627939E-2</v>
      </c>
      <c r="W347">
        <f t="shared" si="111"/>
        <v>9.1822790446435695E-2</v>
      </c>
      <c r="X347" t="s">
        <v>1170</v>
      </c>
      <c r="Y347">
        <f t="shared" si="112"/>
        <v>2.3755785642543634E-2</v>
      </c>
      <c r="Z347">
        <f t="shared" si="125"/>
        <v>5.2526423343058411E-2</v>
      </c>
      <c r="AA347" t="s">
        <v>1170</v>
      </c>
      <c r="AB347">
        <f t="shared" si="113"/>
        <v>2.9514513619139503E-2</v>
      </c>
      <c r="AC347">
        <f t="shared" si="126"/>
        <v>8.6561818361022405E-2</v>
      </c>
      <c r="AD347" t="str">
        <f t="shared" si="127"/>
        <v>No Impact</v>
      </c>
      <c r="AE347">
        <f t="shared" si="114"/>
        <v>1.338218972336752E-2</v>
      </c>
      <c r="AF347">
        <f t="shared" si="128"/>
        <v>8.8186115783714089E-2</v>
      </c>
      <c r="AG347" t="s">
        <v>1170</v>
      </c>
    </row>
    <row r="348" spans="1:33" customFormat="1" x14ac:dyDescent="0.3">
      <c r="A348">
        <v>453929</v>
      </c>
      <c r="B348" t="s">
        <v>215</v>
      </c>
      <c r="C348" t="s">
        <v>895</v>
      </c>
      <c r="D348" t="s">
        <v>897</v>
      </c>
      <c r="E348" s="21">
        <v>6.7</v>
      </c>
      <c r="F348" s="2">
        <f t="shared" si="115"/>
        <v>0.77777777777777779</v>
      </c>
      <c r="G348" s="10">
        <v>33.781320000000001</v>
      </c>
      <c r="H348">
        <f t="shared" si="116"/>
        <v>0.3083335523894643</v>
      </c>
      <c r="I348" s="12">
        <v>0</v>
      </c>
      <c r="J348" s="2">
        <f t="shared" si="117"/>
        <v>0</v>
      </c>
      <c r="K348" s="10">
        <v>0</v>
      </c>
      <c r="L348" s="2">
        <f t="shared" si="118"/>
        <v>0</v>
      </c>
      <c r="M348">
        <v>49714</v>
      </c>
      <c r="N348">
        <f t="shared" si="119"/>
        <v>0.23408704868158955</v>
      </c>
      <c r="O348" s="10">
        <v>0.51241040900000001</v>
      </c>
      <c r="P348">
        <f t="shared" si="120"/>
        <v>0.46884603857849039</v>
      </c>
      <c r="Q348" s="23">
        <v>0.2853</v>
      </c>
      <c r="R348" s="13">
        <f t="shared" si="121"/>
        <v>0.61779991338241669</v>
      </c>
      <c r="S348">
        <f t="shared" si="122"/>
        <v>4.5603947003692066E-2</v>
      </c>
      <c r="T348" s="14">
        <f t="shared" si="110"/>
        <v>9.6313088265601615E-2</v>
      </c>
      <c r="U348" t="str">
        <f t="shared" si="123"/>
        <v>No Impact</v>
      </c>
      <c r="V348">
        <f t="shared" si="124"/>
        <v>5.1855186977756054E-2</v>
      </c>
      <c r="W348">
        <f t="shared" si="111"/>
        <v>9.4132382732188657E-2</v>
      </c>
      <c r="X348" t="s">
        <v>1170</v>
      </c>
      <c r="Y348">
        <f t="shared" si="112"/>
        <v>3.9352707029628078E-2</v>
      </c>
      <c r="Z348">
        <f t="shared" si="125"/>
        <v>8.7012779970187776E-2</v>
      </c>
      <c r="AA348" t="s">
        <v>1170</v>
      </c>
      <c r="AB348">
        <f t="shared" si="113"/>
        <v>3.683198135996623E-2</v>
      </c>
      <c r="AC348">
        <f t="shared" si="126"/>
        <v>0.10802289753101184</v>
      </c>
      <c r="AD348" t="str">
        <f t="shared" si="127"/>
        <v>No Impact</v>
      </c>
      <c r="AE348">
        <f t="shared" si="114"/>
        <v>1.9648153739609105E-2</v>
      </c>
      <c r="AF348">
        <f t="shared" si="128"/>
        <v>0.12947764128555225</v>
      </c>
      <c r="AG348" t="s">
        <v>1169</v>
      </c>
    </row>
    <row r="349" spans="1:33" customFormat="1" x14ac:dyDescent="0.3">
      <c r="A349">
        <v>453936</v>
      </c>
      <c r="B349" t="s">
        <v>221</v>
      </c>
      <c r="C349" t="s">
        <v>895</v>
      </c>
      <c r="D349" t="s">
        <v>898</v>
      </c>
      <c r="E349" s="21">
        <v>6.7</v>
      </c>
      <c r="F349" s="2">
        <f t="shared" si="115"/>
        <v>0.77777777777777779</v>
      </c>
      <c r="G349" s="10">
        <v>32.731560000000002</v>
      </c>
      <c r="H349">
        <f t="shared" si="116"/>
        <v>0.29875203722201782</v>
      </c>
      <c r="I349" s="12">
        <v>0.30000000000000016</v>
      </c>
      <c r="J349" s="2">
        <f t="shared" si="117"/>
        <v>7.2709646146388793E-4</v>
      </c>
      <c r="K349" s="10">
        <v>0</v>
      </c>
      <c r="L349" s="2">
        <f t="shared" si="118"/>
        <v>0</v>
      </c>
      <c r="M349">
        <v>72151</v>
      </c>
      <c r="N349">
        <f t="shared" si="119"/>
        <v>0.34024593925801855</v>
      </c>
      <c r="O349" s="10">
        <v>0.72883157200000004</v>
      </c>
      <c r="P349">
        <f t="shared" si="120"/>
        <v>0.70718824241870482</v>
      </c>
      <c r="Q349" s="23">
        <v>0.30719999999999997</v>
      </c>
      <c r="R349" s="13">
        <f t="shared" si="121"/>
        <v>0.66522304027717627</v>
      </c>
      <c r="S349">
        <f t="shared" si="122"/>
        <v>5.5942829327668669E-2</v>
      </c>
      <c r="T349" s="14">
        <f t="shared" si="110"/>
        <v>0.11814825279108029</v>
      </c>
      <c r="U349" t="str">
        <f t="shared" si="123"/>
        <v>No Impact</v>
      </c>
      <c r="V349">
        <f t="shared" si="124"/>
        <v>5.4232225392314058E-2</v>
      </c>
      <c r="W349">
        <f t="shared" si="111"/>
        <v>9.8447405063595395E-2</v>
      </c>
      <c r="X349" t="s">
        <v>1170</v>
      </c>
      <c r="Y349">
        <f t="shared" si="112"/>
        <v>5.7653433263023281E-2</v>
      </c>
      <c r="Z349">
        <f t="shared" si="125"/>
        <v>0.12747752014275499</v>
      </c>
      <c r="AA349" t="s">
        <v>1170</v>
      </c>
      <c r="AB349">
        <f t="shared" si="113"/>
        <v>4.5985786583164587E-2</v>
      </c>
      <c r="AC349">
        <f t="shared" si="126"/>
        <v>0.13486969010457606</v>
      </c>
      <c r="AD349" t="str">
        <f t="shared" si="127"/>
        <v>No Impact</v>
      </c>
      <c r="AE349">
        <f t="shared" si="114"/>
        <v>2.7738507762707684E-2</v>
      </c>
      <c r="AF349">
        <f t="shared" si="128"/>
        <v>0.18279155413244566</v>
      </c>
      <c r="AG349" t="s">
        <v>1169</v>
      </c>
    </row>
    <row r="350" spans="1:33" customFormat="1" x14ac:dyDescent="0.3">
      <c r="A350">
        <v>453958</v>
      </c>
      <c r="B350" t="s">
        <v>310</v>
      </c>
      <c r="C350" t="s">
        <v>895</v>
      </c>
      <c r="D350" t="s">
        <v>899</v>
      </c>
      <c r="E350" s="21">
        <v>5.7</v>
      </c>
      <c r="F350" s="2">
        <f t="shared" si="115"/>
        <v>0.55555555555555558</v>
      </c>
      <c r="G350" s="10">
        <v>32.731560000000002</v>
      </c>
      <c r="H350">
        <f t="shared" si="116"/>
        <v>0.29875203722201782</v>
      </c>
      <c r="I350" s="12">
        <v>0</v>
      </c>
      <c r="J350" s="2">
        <f t="shared" si="117"/>
        <v>0</v>
      </c>
      <c r="K350" s="10">
        <v>0</v>
      </c>
      <c r="L350" s="2">
        <f t="shared" si="118"/>
        <v>0</v>
      </c>
      <c r="M350">
        <v>42481</v>
      </c>
      <c r="N350">
        <f t="shared" si="119"/>
        <v>0.19986468136245997</v>
      </c>
      <c r="O350" s="10">
        <v>0.59314226400000003</v>
      </c>
      <c r="P350">
        <f t="shared" si="120"/>
        <v>0.5577551266458558</v>
      </c>
      <c r="Q350" s="23">
        <v>0.31030000000000002</v>
      </c>
      <c r="R350" s="13">
        <f t="shared" si="121"/>
        <v>0.67193590298830663</v>
      </c>
      <c r="S350">
        <f t="shared" si="122"/>
        <v>3.5716790302748984E-2</v>
      </c>
      <c r="T350" s="14">
        <f t="shared" si="110"/>
        <v>7.5431944009454868E-2</v>
      </c>
      <c r="U350" t="str">
        <f t="shared" si="123"/>
        <v>No Impact</v>
      </c>
      <c r="V350">
        <f t="shared" si="124"/>
        <v>3.9033209425072476E-2</v>
      </c>
      <c r="W350">
        <f t="shared" si="111"/>
        <v>7.0856730503020451E-2</v>
      </c>
      <c r="X350" t="s">
        <v>1170</v>
      </c>
      <c r="Y350">
        <f t="shared" si="112"/>
        <v>3.2400371180425491E-2</v>
      </c>
      <c r="Z350">
        <f t="shared" si="125"/>
        <v>7.1640468503277474E-2</v>
      </c>
      <c r="AA350" t="s">
        <v>1170</v>
      </c>
      <c r="AB350">
        <f t="shared" si="113"/>
        <v>2.7445330563406426E-2</v>
      </c>
      <c r="AC350">
        <f t="shared" si="126"/>
        <v>8.0493202420493348E-2</v>
      </c>
      <c r="AD350" t="str">
        <f t="shared" si="127"/>
        <v>No Impact</v>
      </c>
      <c r="AE350">
        <f t="shared" si="114"/>
        <v>1.1610274030009738E-2</v>
      </c>
      <c r="AF350">
        <f t="shared" si="128"/>
        <v>7.6509524304774257E-2</v>
      </c>
      <c r="AG350" t="s">
        <v>1170</v>
      </c>
    </row>
    <row r="351" spans="1:33" customFormat="1" x14ac:dyDescent="0.3">
      <c r="A351">
        <v>453961</v>
      </c>
      <c r="B351" t="s">
        <v>336</v>
      </c>
      <c r="C351" t="s">
        <v>895</v>
      </c>
      <c r="D351" t="s">
        <v>900</v>
      </c>
      <c r="E351" s="21">
        <v>5.9</v>
      </c>
      <c r="F351" s="2">
        <f t="shared" si="115"/>
        <v>0.60000000000000009</v>
      </c>
      <c r="G351" s="10">
        <v>33.781320000000001</v>
      </c>
      <c r="H351">
        <f t="shared" si="116"/>
        <v>0.3083335523894643</v>
      </c>
      <c r="I351" s="12">
        <v>0.10000000000000005</v>
      </c>
      <c r="J351" s="2">
        <f t="shared" si="117"/>
        <v>2.4236548715462933E-4</v>
      </c>
      <c r="K351" s="10">
        <v>0</v>
      </c>
      <c r="L351" s="2">
        <f t="shared" si="118"/>
        <v>0</v>
      </c>
      <c r="M351">
        <v>49997</v>
      </c>
      <c r="N351">
        <f t="shared" si="119"/>
        <v>0.23542604079431093</v>
      </c>
      <c r="O351" s="10">
        <v>0.764713427</v>
      </c>
      <c r="P351">
        <f t="shared" si="120"/>
        <v>0.7467045276101627</v>
      </c>
      <c r="Q351" s="23">
        <v>0.32500000000000001</v>
      </c>
      <c r="R351" s="13">
        <f t="shared" si="121"/>
        <v>0.70376786487656995</v>
      </c>
      <c r="S351">
        <f t="shared" si="122"/>
        <v>4.699598923596035E-2</v>
      </c>
      <c r="T351" s="14">
        <f t="shared" si="110"/>
        <v>9.9253006741847671E-2</v>
      </c>
      <c r="U351" t="str">
        <f t="shared" si="123"/>
        <v>No Impact</v>
      </c>
      <c r="V351">
        <f t="shared" si="124"/>
        <v>4.5604821124034745E-2</v>
      </c>
      <c r="W351">
        <f t="shared" si="111"/>
        <v>8.2786134361488878E-2</v>
      </c>
      <c r="X351" t="s">
        <v>1170</v>
      </c>
      <c r="Y351">
        <f t="shared" si="112"/>
        <v>4.8387157347885963E-2</v>
      </c>
      <c r="Z351">
        <f t="shared" si="125"/>
        <v>0.10698885523998594</v>
      </c>
      <c r="AA351" t="s">
        <v>1170</v>
      </c>
      <c r="AB351">
        <f t="shared" si="113"/>
        <v>3.5817374885094913E-2</v>
      </c>
      <c r="AC351">
        <f t="shared" si="126"/>
        <v>0.10504720284333877</v>
      </c>
      <c r="AD351" t="str">
        <f t="shared" si="127"/>
        <v>No Impact</v>
      </c>
      <c r="AE351">
        <f t="shared" si="114"/>
        <v>1.5255829392334195E-2</v>
      </c>
      <c r="AF351">
        <f t="shared" si="128"/>
        <v>0.10053304914813485</v>
      </c>
      <c r="AG351" t="s">
        <v>1169</v>
      </c>
    </row>
    <row r="352" spans="1:33" customFormat="1" x14ac:dyDescent="0.3">
      <c r="A352">
        <v>453985</v>
      </c>
      <c r="B352" t="s">
        <v>465</v>
      </c>
      <c r="C352" t="s">
        <v>895</v>
      </c>
      <c r="D352" t="s">
        <v>901</v>
      </c>
      <c r="E352" s="21">
        <v>6.7</v>
      </c>
      <c r="F352" s="2">
        <f t="shared" si="115"/>
        <v>0.77777777777777779</v>
      </c>
      <c r="G352" s="10">
        <v>32.731560000000002</v>
      </c>
      <c r="H352">
        <f t="shared" si="116"/>
        <v>0.29875203722201782</v>
      </c>
      <c r="I352" s="12">
        <v>1.1000000000000001</v>
      </c>
      <c r="J352" s="2">
        <f t="shared" si="117"/>
        <v>2.6660203587009212E-3</v>
      </c>
      <c r="K352" s="10">
        <v>0</v>
      </c>
      <c r="L352" s="2">
        <f t="shared" si="118"/>
        <v>0</v>
      </c>
      <c r="M352">
        <v>35824</v>
      </c>
      <c r="N352">
        <f t="shared" si="119"/>
        <v>0.16836761247770318</v>
      </c>
      <c r="O352" s="10">
        <v>0.654017603</v>
      </c>
      <c r="P352">
        <f t="shared" si="120"/>
        <v>0.62479645594866584</v>
      </c>
      <c r="Q352" s="23">
        <v>0.30470000000000003</v>
      </c>
      <c r="R352" s="13">
        <f t="shared" si="121"/>
        <v>0.65980944131658736</v>
      </c>
      <c r="S352">
        <f t="shared" si="122"/>
        <v>5.2702686947808386E-2</v>
      </c>
      <c r="T352" s="14">
        <f t="shared" si="110"/>
        <v>0.11130524600047652</v>
      </c>
      <c r="U352" t="str">
        <f t="shared" si="123"/>
        <v>No Impact</v>
      </c>
      <c r="V352">
        <f t="shared" si="124"/>
        <v>5.4139141825434355E-2</v>
      </c>
      <c r="W352">
        <f t="shared" si="111"/>
        <v>9.8278431071709943E-2</v>
      </c>
      <c r="X352" t="s">
        <v>1170</v>
      </c>
      <c r="Y352">
        <f t="shared" si="112"/>
        <v>5.126623207018241E-2</v>
      </c>
      <c r="Z352">
        <f t="shared" si="125"/>
        <v>0.11335477805033543</v>
      </c>
      <c r="AA352" t="s">
        <v>1170</v>
      </c>
      <c r="AB352">
        <f t="shared" si="113"/>
        <v>3.9163824892845256E-2</v>
      </c>
      <c r="AC352">
        <f t="shared" si="126"/>
        <v>0.11486185882795508</v>
      </c>
      <c r="AD352" t="str">
        <f t="shared" si="127"/>
        <v>No Impact</v>
      </c>
      <c r="AE352">
        <f t="shared" si="114"/>
        <v>1.3815016093967174E-2</v>
      </c>
      <c r="AF352">
        <f t="shared" si="128"/>
        <v>9.1038360238543184E-2</v>
      </c>
      <c r="AG352" t="s">
        <v>1170</v>
      </c>
    </row>
    <row r="353" spans="1:33" customFormat="1" x14ac:dyDescent="0.3">
      <c r="A353">
        <v>456113</v>
      </c>
      <c r="B353" t="s">
        <v>65</v>
      </c>
      <c r="C353" t="s">
        <v>903</v>
      </c>
      <c r="D353" t="s">
        <v>902</v>
      </c>
      <c r="E353" s="21">
        <v>4.4000000000000004</v>
      </c>
      <c r="F353" s="2">
        <f t="shared" si="115"/>
        <v>0.26666666666666672</v>
      </c>
      <c r="G353" s="10">
        <v>34.517880000000005</v>
      </c>
      <c r="H353">
        <f t="shared" si="116"/>
        <v>0.31505638504810479</v>
      </c>
      <c r="I353" s="12">
        <v>47.2</v>
      </c>
      <c r="J353" s="2">
        <f t="shared" si="117"/>
        <v>0.11439650993698498</v>
      </c>
      <c r="K353" s="10">
        <v>0</v>
      </c>
      <c r="L353" s="2">
        <f t="shared" si="118"/>
        <v>0</v>
      </c>
      <c r="M353">
        <v>67704</v>
      </c>
      <c r="N353">
        <f t="shared" si="119"/>
        <v>0.31920531054681034</v>
      </c>
      <c r="O353" s="10">
        <v>0.31624534500000001</v>
      </c>
      <c r="P353">
        <f t="shared" si="120"/>
        <v>0.2528116497871471</v>
      </c>
      <c r="Q353" s="23">
        <v>0.29110000000000003</v>
      </c>
      <c r="R353" s="13">
        <f t="shared" si="121"/>
        <v>0.63035946297098322</v>
      </c>
      <c r="S353">
        <f t="shared" si="122"/>
        <v>1.7699751586588507E-2</v>
      </c>
      <c r="T353" s="14">
        <f t="shared" si="110"/>
        <v>3.7380925311142656E-2</v>
      </c>
      <c r="U353" t="str">
        <f t="shared" si="123"/>
        <v>No Impact</v>
      </c>
      <c r="V353">
        <f t="shared" si="124"/>
        <v>2.5266238317052627E-2</v>
      </c>
      <c r="W353">
        <f t="shared" si="111"/>
        <v>4.5865637635897849E-2</v>
      </c>
      <c r="X353" t="s">
        <v>1170</v>
      </c>
      <c r="Y353">
        <f t="shared" si="112"/>
        <v>1.0133264856124388E-2</v>
      </c>
      <c r="Z353">
        <f t="shared" si="125"/>
        <v>2.2405664358534496E-2</v>
      </c>
      <c r="AA353" t="s">
        <v>1170</v>
      </c>
      <c r="AB353">
        <f t="shared" si="113"/>
        <v>1.6361228594964517E-2</v>
      </c>
      <c r="AC353">
        <f t="shared" si="126"/>
        <v>4.7985127455465605E-2</v>
      </c>
      <c r="AD353" t="str">
        <f t="shared" si="127"/>
        <v>No Impact</v>
      </c>
      <c r="AE353">
        <f t="shared" si="114"/>
        <v>1.279447350616795E-2</v>
      </c>
      <c r="AF353">
        <f t="shared" si="128"/>
        <v>8.4313176343360274E-2</v>
      </c>
      <c r="AG353" t="s">
        <v>1170</v>
      </c>
    </row>
    <row r="354" spans="1:33" customFormat="1" x14ac:dyDescent="0.3">
      <c r="A354">
        <v>456116</v>
      </c>
      <c r="B354" t="s">
        <v>147</v>
      </c>
      <c r="C354" t="s">
        <v>903</v>
      </c>
      <c r="D354" t="s">
        <v>904</v>
      </c>
      <c r="E354" s="21">
        <v>5.3</v>
      </c>
      <c r="F354" s="2">
        <f t="shared" si="115"/>
        <v>0.46666666666666656</v>
      </c>
      <c r="G354" s="10">
        <v>23.151600000000002</v>
      </c>
      <c r="H354">
        <f t="shared" si="116"/>
        <v>0.21131249671415805</v>
      </c>
      <c r="I354" s="12">
        <v>0.29999999999999993</v>
      </c>
      <c r="J354" s="2">
        <f t="shared" si="117"/>
        <v>7.2709646146388749E-4</v>
      </c>
      <c r="K354" s="10">
        <v>0</v>
      </c>
      <c r="L354" s="2">
        <f t="shared" si="118"/>
        <v>0</v>
      </c>
      <c r="M354">
        <v>30622</v>
      </c>
      <c r="N354">
        <f t="shared" si="119"/>
        <v>0.14375476099227358</v>
      </c>
      <c r="O354" s="10">
        <v>0.42999924699999997</v>
      </c>
      <c r="P354">
        <f t="shared" si="120"/>
        <v>0.37808754851292814</v>
      </c>
      <c r="Q354" s="23">
        <v>0.29110000000000003</v>
      </c>
      <c r="R354" s="13">
        <f t="shared" si="121"/>
        <v>0.63035946297098322</v>
      </c>
      <c r="S354">
        <f t="shared" si="122"/>
        <v>1.746284001442799E-2</v>
      </c>
      <c r="T354" s="14">
        <f t="shared" si="110"/>
        <v>3.6880580787042781E-2</v>
      </c>
      <c r="U354" t="str">
        <f t="shared" si="123"/>
        <v>No Impact</v>
      </c>
      <c r="V354">
        <f t="shared" si="124"/>
        <v>2.183132346685256E-2</v>
      </c>
      <c r="W354">
        <f t="shared" si="111"/>
        <v>3.9630259110115834E-2</v>
      </c>
      <c r="X354" t="s">
        <v>1170</v>
      </c>
      <c r="Y354">
        <f t="shared" si="112"/>
        <v>1.3094356562003416E-2</v>
      </c>
      <c r="Z354">
        <f t="shared" si="125"/>
        <v>2.8952934940993203E-2</v>
      </c>
      <c r="AA354" t="s">
        <v>1170</v>
      </c>
      <c r="AB354">
        <f t="shared" si="113"/>
        <v>1.3311807424663775E-2</v>
      </c>
      <c r="AC354">
        <f t="shared" si="126"/>
        <v>3.9041614278997237E-2</v>
      </c>
      <c r="AD354" t="str">
        <f t="shared" si="127"/>
        <v>No Impact</v>
      </c>
      <c r="AE354">
        <f t="shared" si="114"/>
        <v>4.9786778361838729E-3</v>
      </c>
      <c r="AF354">
        <f t="shared" si="128"/>
        <v>3.2808551454390732E-2</v>
      </c>
      <c r="AG354" t="s">
        <v>1170</v>
      </c>
    </row>
    <row r="355" spans="1:33" customFormat="1" x14ac:dyDescent="0.3">
      <c r="A355">
        <v>456120</v>
      </c>
      <c r="B355" t="s">
        <v>170</v>
      </c>
      <c r="C355" t="s">
        <v>903</v>
      </c>
      <c r="D355" t="s">
        <v>905</v>
      </c>
      <c r="E355" s="21">
        <v>5.4</v>
      </c>
      <c r="F355" s="2">
        <f t="shared" si="115"/>
        <v>0.48888888888888893</v>
      </c>
      <c r="G355" s="10">
        <v>30.068999999999999</v>
      </c>
      <c r="H355">
        <f t="shared" si="116"/>
        <v>0.27444995005520217</v>
      </c>
      <c r="I355" s="12">
        <v>36.4</v>
      </c>
      <c r="J355" s="2">
        <f t="shared" si="117"/>
        <v>8.8221037324285032E-2</v>
      </c>
      <c r="K355" s="10">
        <v>0</v>
      </c>
      <c r="L355" s="2">
        <f t="shared" si="118"/>
        <v>0</v>
      </c>
      <c r="M355">
        <v>47760</v>
      </c>
      <c r="N355">
        <f t="shared" si="119"/>
        <v>0.22484185225665118</v>
      </c>
      <c r="O355" s="10">
        <v>0.481451342</v>
      </c>
      <c r="P355">
        <f t="shared" si="120"/>
        <v>0.43475116469770986</v>
      </c>
      <c r="Q355" s="23">
        <v>0.2959</v>
      </c>
      <c r="R355" s="13">
        <f t="shared" si="121"/>
        <v>0.64075357297531399</v>
      </c>
      <c r="S355">
        <f t="shared" si="122"/>
        <v>3.3371317906695307E-2</v>
      </c>
      <c r="T355" s="14">
        <f t="shared" si="110"/>
        <v>7.0478432202957908E-2</v>
      </c>
      <c r="U355" t="str">
        <f t="shared" si="123"/>
        <v>No Impact</v>
      </c>
      <c r="V355">
        <f t="shared" si="124"/>
        <v>3.9763267300661424E-2</v>
      </c>
      <c r="W355">
        <f t="shared" si="111"/>
        <v>7.2181999803294428E-2</v>
      </c>
      <c r="X355" t="s">
        <v>1170</v>
      </c>
      <c r="Y355">
        <f t="shared" si="112"/>
        <v>2.6979368512729193E-2</v>
      </c>
      <c r="Z355">
        <f t="shared" si="125"/>
        <v>5.9654088201995387E-2</v>
      </c>
      <c r="AA355" t="s">
        <v>1170</v>
      </c>
      <c r="AB355">
        <f t="shared" si="113"/>
        <v>2.6894510700939164E-2</v>
      </c>
      <c r="AC355">
        <f t="shared" si="126"/>
        <v>7.8877727081824209E-2</v>
      </c>
      <c r="AD355" t="str">
        <f t="shared" si="127"/>
        <v>No Impact</v>
      </c>
      <c r="AE355">
        <f t="shared" si="114"/>
        <v>1.395301883396831E-2</v>
      </c>
      <c r="AF355">
        <f t="shared" si="128"/>
        <v>9.194777236464384E-2</v>
      </c>
      <c r="AG355" t="s">
        <v>1170</v>
      </c>
    </row>
    <row r="356" spans="1:33" customFormat="1" x14ac:dyDescent="0.3">
      <c r="A356">
        <v>456122</v>
      </c>
      <c r="B356" t="s">
        <v>174</v>
      </c>
      <c r="C356" t="s">
        <v>903</v>
      </c>
      <c r="D356" t="s">
        <v>906</v>
      </c>
      <c r="E356" s="21">
        <v>5.3</v>
      </c>
      <c r="F356" s="2">
        <f t="shared" si="115"/>
        <v>0.46666666666666656</v>
      </c>
      <c r="G356" s="10">
        <v>38.560319999999997</v>
      </c>
      <c r="H356">
        <f t="shared" si="116"/>
        <v>0.35195310446348771</v>
      </c>
      <c r="I356" s="12">
        <v>59.100000000000009</v>
      </c>
      <c r="J356" s="2">
        <f t="shared" si="117"/>
        <v>0.14323800290838587</v>
      </c>
      <c r="K356" s="10">
        <v>0</v>
      </c>
      <c r="L356" s="2">
        <f t="shared" si="118"/>
        <v>0</v>
      </c>
      <c r="M356">
        <v>46008</v>
      </c>
      <c r="N356">
        <f t="shared" si="119"/>
        <v>0.21655240285210051</v>
      </c>
      <c r="O356" s="10">
        <v>0.48378475300000001</v>
      </c>
      <c r="P356">
        <f t="shared" si="120"/>
        <v>0.43732092410799911</v>
      </c>
      <c r="Q356" s="23">
        <v>0.29139999999999999</v>
      </c>
      <c r="R356" s="13">
        <f t="shared" si="121"/>
        <v>0.63100909484625378</v>
      </c>
      <c r="S356">
        <f t="shared" si="122"/>
        <v>4.3203914551839959E-2</v>
      </c>
      <c r="T356" s="14">
        <f t="shared" si="110"/>
        <v>9.1244348549786525E-2</v>
      </c>
      <c r="U356" t="str">
        <f t="shared" si="123"/>
        <v>No Impact</v>
      </c>
      <c r="V356">
        <f t="shared" si="124"/>
        <v>5.1036781764977848E-2</v>
      </c>
      <c r="W356">
        <f t="shared" si="111"/>
        <v>9.2646737086897607E-2</v>
      </c>
      <c r="X356" t="s">
        <v>1170</v>
      </c>
      <c r="Y356">
        <f t="shared" si="112"/>
        <v>3.5371047338702083E-2</v>
      </c>
      <c r="Z356">
        <f t="shared" si="125"/>
        <v>7.8208931270735707E-2</v>
      </c>
      <c r="AA356" t="s">
        <v>1170</v>
      </c>
      <c r="AB356">
        <f t="shared" si="113"/>
        <v>3.460444526787345E-2</v>
      </c>
      <c r="AC356">
        <f t="shared" si="126"/>
        <v>0.10148985493764456</v>
      </c>
      <c r="AD356" t="str">
        <f t="shared" si="127"/>
        <v>No Impact</v>
      </c>
      <c r="AE356">
        <f t="shared" si="114"/>
        <v>1.7515021281487374E-2</v>
      </c>
      <c r="AF356">
        <f t="shared" si="128"/>
        <v>0.11542069919890363</v>
      </c>
      <c r="AG356" t="s">
        <v>1169</v>
      </c>
    </row>
    <row r="357" spans="1:33" customFormat="1" x14ac:dyDescent="0.3">
      <c r="A357">
        <v>456123</v>
      </c>
      <c r="B357" t="s">
        <v>178</v>
      </c>
      <c r="C357" t="s">
        <v>903</v>
      </c>
      <c r="D357" t="s">
        <v>907</v>
      </c>
      <c r="E357" s="21">
        <v>5.4</v>
      </c>
      <c r="F357" s="2">
        <f t="shared" si="115"/>
        <v>0.48888888888888893</v>
      </c>
      <c r="G357" s="10">
        <v>28.279440000000001</v>
      </c>
      <c r="H357">
        <f t="shared" si="116"/>
        <v>0.25811602965143793</v>
      </c>
      <c r="I357" s="12">
        <v>4.4000000000000004</v>
      </c>
      <c r="J357" s="2">
        <f t="shared" si="117"/>
        <v>1.0664081434803685E-2</v>
      </c>
      <c r="K357" s="10">
        <v>0</v>
      </c>
      <c r="L357" s="2">
        <f t="shared" si="118"/>
        <v>0</v>
      </c>
      <c r="M357">
        <v>52514</v>
      </c>
      <c r="N357">
        <f t="shared" si="119"/>
        <v>0.24733502718201303</v>
      </c>
      <c r="O357" s="10">
        <v>0.41628558100000002</v>
      </c>
      <c r="P357">
        <f t="shared" si="120"/>
        <v>0.36298484168028533</v>
      </c>
      <c r="Q357" s="23">
        <v>0.3009</v>
      </c>
      <c r="R357" s="13">
        <f t="shared" si="121"/>
        <v>0.65158077089649202</v>
      </c>
      <c r="S357">
        <f t="shared" si="122"/>
        <v>2.3330577188950402E-2</v>
      </c>
      <c r="T357" s="14">
        <f t="shared" si="110"/>
        <v>4.9272926746996105E-2</v>
      </c>
      <c r="U357" t="str">
        <f t="shared" si="123"/>
        <v>No Impact</v>
      </c>
      <c r="V357">
        <f t="shared" si="124"/>
        <v>2.9967022894906208E-2</v>
      </c>
      <c r="W357">
        <f t="shared" si="111"/>
        <v>5.439894122255539E-2</v>
      </c>
      <c r="X357" t="s">
        <v>1170</v>
      </c>
      <c r="Y357">
        <f t="shared" si="112"/>
        <v>1.6694131482994593E-2</v>
      </c>
      <c r="Z357">
        <f t="shared" si="125"/>
        <v>3.6912398133870428E-2</v>
      </c>
      <c r="AA357" t="s">
        <v>1170</v>
      </c>
      <c r="AB357">
        <f t="shared" si="113"/>
        <v>1.9478035096774277E-2</v>
      </c>
      <c r="AC357">
        <f t="shared" si="126"/>
        <v>5.7126272105775991E-2</v>
      </c>
      <c r="AD357" t="str">
        <f t="shared" si="127"/>
        <v>No Impact</v>
      </c>
      <c r="AE357">
        <f t="shared" si="114"/>
        <v>1.1375250396167786E-2</v>
      </c>
      <c r="AF357">
        <f t="shared" si="128"/>
        <v>7.4960762718342344E-2</v>
      </c>
      <c r="AG357" t="s">
        <v>1170</v>
      </c>
    </row>
    <row r="358" spans="1:33" customFormat="1" x14ac:dyDescent="0.3">
      <c r="A358">
        <v>456124</v>
      </c>
      <c r="B358" t="s">
        <v>202</v>
      </c>
      <c r="C358" t="s">
        <v>903</v>
      </c>
      <c r="D358" t="s">
        <v>908</v>
      </c>
      <c r="E358" s="21">
        <v>5.4</v>
      </c>
      <c r="F358" s="2">
        <f t="shared" si="115"/>
        <v>0.48888888888888893</v>
      </c>
      <c r="G358" s="10">
        <v>25.596360000000001</v>
      </c>
      <c r="H358">
        <f t="shared" si="116"/>
        <v>0.23362664949266601</v>
      </c>
      <c r="I358" s="12">
        <v>0.29999999999999993</v>
      </c>
      <c r="J358" s="2">
        <f t="shared" si="117"/>
        <v>7.2709646146388749E-4</v>
      </c>
      <c r="K358" s="10">
        <v>0</v>
      </c>
      <c r="L358" s="2">
        <f t="shared" si="118"/>
        <v>0</v>
      </c>
      <c r="M358">
        <v>39702</v>
      </c>
      <c r="N358">
        <f t="shared" si="119"/>
        <v>0.18671606270078966</v>
      </c>
      <c r="O358" s="10">
        <v>0.58278379899999999</v>
      </c>
      <c r="P358">
        <f t="shared" si="120"/>
        <v>0.54634746511091736</v>
      </c>
      <c r="Q358" s="23">
        <v>0.30259999999999998</v>
      </c>
      <c r="R358" s="13">
        <f t="shared" si="121"/>
        <v>0.65526201818969243</v>
      </c>
      <c r="S358">
        <f t="shared" si="122"/>
        <v>2.4092588484537599E-2</v>
      </c>
      <c r="T358" s="14">
        <f t="shared" si="110"/>
        <v>5.0882253702080354E-2</v>
      </c>
      <c r="U358" t="str">
        <f t="shared" si="123"/>
        <v>No Impact</v>
      </c>
      <c r="V358">
        <f t="shared" si="124"/>
        <v>2.6276354128677241E-2</v>
      </c>
      <c r="W358">
        <f t="shared" si="111"/>
        <v>4.7699294280978917E-2</v>
      </c>
      <c r="X358" t="s">
        <v>1170</v>
      </c>
      <c r="Y358">
        <f t="shared" si="112"/>
        <v>2.1908822840397964E-2</v>
      </c>
      <c r="Z358">
        <f t="shared" si="125"/>
        <v>4.8442603447384477E-2</v>
      </c>
      <c r="AA358" t="s">
        <v>1170</v>
      </c>
      <c r="AB358">
        <f t="shared" si="113"/>
        <v>1.8389965364055738E-2</v>
      </c>
      <c r="AC358">
        <f t="shared" si="126"/>
        <v>5.3935120261531085E-2</v>
      </c>
      <c r="AD358" t="str">
        <f t="shared" si="127"/>
        <v>No Impact</v>
      </c>
      <c r="AE358">
        <f t="shared" si="114"/>
        <v>7.487413048283759E-3</v>
      </c>
      <c r="AF358">
        <f t="shared" si="128"/>
        <v>4.9340645114564083E-2</v>
      </c>
      <c r="AG358" t="s">
        <v>1170</v>
      </c>
    </row>
    <row r="359" spans="1:33" customFormat="1" x14ac:dyDescent="0.3">
      <c r="A359">
        <v>456131</v>
      </c>
      <c r="B359" t="s">
        <v>214</v>
      </c>
      <c r="C359" t="s">
        <v>903</v>
      </c>
      <c r="D359" t="s">
        <v>909</v>
      </c>
      <c r="E359" s="21">
        <v>5.4</v>
      </c>
      <c r="F359" s="2">
        <f t="shared" si="115"/>
        <v>0.48888888888888893</v>
      </c>
      <c r="G359" s="10">
        <v>27.21096</v>
      </c>
      <c r="H359">
        <f t="shared" si="116"/>
        <v>0.24836365070185587</v>
      </c>
      <c r="I359" s="12">
        <v>19.400000000000002</v>
      </c>
      <c r="J359" s="2">
        <f t="shared" si="117"/>
        <v>4.7018904507998067E-2</v>
      </c>
      <c r="K359" s="10">
        <v>0</v>
      </c>
      <c r="L359" s="2">
        <f t="shared" si="118"/>
        <v>0</v>
      </c>
      <c r="M359">
        <v>55685</v>
      </c>
      <c r="N359">
        <f t="shared" si="119"/>
        <v>0.26233836283374262</v>
      </c>
      <c r="O359" s="10">
        <v>0.41694930099999999</v>
      </c>
      <c r="P359">
        <f t="shared" si="120"/>
        <v>0.36371578908552044</v>
      </c>
      <c r="Q359" s="23">
        <v>0.3135</v>
      </c>
      <c r="R359" s="13">
        <f t="shared" si="121"/>
        <v>0.67886530965786052</v>
      </c>
      <c r="S359">
        <f t="shared" si="122"/>
        <v>2.6347711899938231E-2</v>
      </c>
      <c r="T359" s="14">
        <f t="shared" si="110"/>
        <v>5.5644953310948021E-2</v>
      </c>
      <c r="U359" t="str">
        <f t="shared" si="123"/>
        <v>No Impact</v>
      </c>
      <c r="V359">
        <f t="shared" si="124"/>
        <v>3.4312050389722681E-2</v>
      </c>
      <c r="W359">
        <f t="shared" si="111"/>
        <v>6.2286441296547916E-2</v>
      </c>
      <c r="X359" t="s">
        <v>1170</v>
      </c>
      <c r="Y359">
        <f t="shared" si="112"/>
        <v>1.8383373410153777E-2</v>
      </c>
      <c r="Z359">
        <f t="shared" si="125"/>
        <v>4.0647481364959326E-2</v>
      </c>
      <c r="AA359" t="s">
        <v>1170</v>
      </c>
      <c r="AB359">
        <f t="shared" si="113"/>
        <v>2.2165030196503843E-2</v>
      </c>
      <c r="AC359">
        <f t="shared" si="126"/>
        <v>6.5006841806538998E-2</v>
      </c>
      <c r="AD359" t="str">
        <f t="shared" si="127"/>
        <v>No Impact</v>
      </c>
      <c r="AE359">
        <f t="shared" si="114"/>
        <v>1.3259430105870783E-2</v>
      </c>
      <c r="AF359">
        <f t="shared" si="128"/>
        <v>8.7377152970757696E-2</v>
      </c>
      <c r="AG359" t="s">
        <v>1170</v>
      </c>
    </row>
    <row r="360" spans="1:33" customFormat="1" x14ac:dyDescent="0.3">
      <c r="A360">
        <v>456152</v>
      </c>
      <c r="B360" t="s">
        <v>358</v>
      </c>
      <c r="C360" t="s">
        <v>903</v>
      </c>
      <c r="D360" t="s">
        <v>910</v>
      </c>
      <c r="E360" s="21">
        <v>5.3</v>
      </c>
      <c r="F360" s="2">
        <f t="shared" si="115"/>
        <v>0.46666666666666656</v>
      </c>
      <c r="G360" s="10">
        <v>28.772639999999999</v>
      </c>
      <c r="H360">
        <f t="shared" si="116"/>
        <v>0.2626176331423164</v>
      </c>
      <c r="I360" s="12">
        <v>2.4000000000000004</v>
      </c>
      <c r="J360" s="2">
        <f t="shared" si="117"/>
        <v>5.8167716917111017E-3</v>
      </c>
      <c r="K360" s="10">
        <v>0</v>
      </c>
      <c r="L360" s="2">
        <f t="shared" si="118"/>
        <v>0</v>
      </c>
      <c r="M360">
        <v>87952</v>
      </c>
      <c r="N360">
        <f t="shared" si="119"/>
        <v>0.41500712078844398</v>
      </c>
      <c r="O360" s="10">
        <v>0.52086661499999998</v>
      </c>
      <c r="P360">
        <f t="shared" si="120"/>
        <v>0.47815876357372039</v>
      </c>
      <c r="Q360" s="23">
        <v>0.28560000000000002</v>
      </c>
      <c r="R360" s="13">
        <f t="shared" si="121"/>
        <v>0.61844954525768736</v>
      </c>
      <c r="S360">
        <f t="shared" si="122"/>
        <v>2.4040004228572005E-2</v>
      </c>
      <c r="T360" s="14">
        <f t="shared" si="110"/>
        <v>5.0771198575957494E-2</v>
      </c>
      <c r="U360" t="str">
        <f t="shared" si="123"/>
        <v>No Impact</v>
      </c>
      <c r="V360">
        <f t="shared" si="124"/>
        <v>2.711547881484996E-2</v>
      </c>
      <c r="W360">
        <f t="shared" si="111"/>
        <v>4.9222551851195014E-2</v>
      </c>
      <c r="X360" t="s">
        <v>1170</v>
      </c>
      <c r="Y360">
        <f t="shared" si="112"/>
        <v>2.0964529642294057E-2</v>
      </c>
      <c r="Z360">
        <f t="shared" si="125"/>
        <v>4.6354676530130749E-2</v>
      </c>
      <c r="AA360" t="s">
        <v>1170</v>
      </c>
      <c r="AB360">
        <f t="shared" si="113"/>
        <v>2.2148268309295727E-2</v>
      </c>
      <c r="AC360">
        <f t="shared" si="126"/>
        <v>6.4957681605065917E-2</v>
      </c>
      <c r="AD360" t="str">
        <f t="shared" si="127"/>
        <v>No Impact</v>
      </c>
      <c r="AE360">
        <f t="shared" si="114"/>
        <v>1.8195690946885782E-2</v>
      </c>
      <c r="AF360">
        <f t="shared" si="128"/>
        <v>0.119906184397075</v>
      </c>
      <c r="AG360" t="s">
        <v>1169</v>
      </c>
    </row>
    <row r="361" spans="1:33" customFormat="1" x14ac:dyDescent="0.3">
      <c r="A361">
        <v>456165</v>
      </c>
      <c r="B361" t="s">
        <v>354</v>
      </c>
      <c r="C361" t="s">
        <v>903</v>
      </c>
      <c r="D361" t="s">
        <v>911</v>
      </c>
      <c r="E361" s="21">
        <v>5.3</v>
      </c>
      <c r="F361" s="2">
        <f t="shared" si="115"/>
        <v>0.46666666666666656</v>
      </c>
      <c r="G361" s="10">
        <v>29.106000000000005</v>
      </c>
      <c r="H361">
        <f t="shared" si="116"/>
        <v>0.26566032280111462</v>
      </c>
      <c r="I361" s="12">
        <v>5.2</v>
      </c>
      <c r="J361" s="2">
        <f t="shared" si="117"/>
        <v>1.2603005332040718E-2</v>
      </c>
      <c r="K361" s="10">
        <v>0</v>
      </c>
      <c r="L361" s="2">
        <f t="shared" si="118"/>
        <v>0</v>
      </c>
      <c r="M361">
        <v>36359</v>
      </c>
      <c r="N361">
        <f t="shared" si="119"/>
        <v>0.17089892265546267</v>
      </c>
      <c r="O361" s="10">
        <v>0.63408611699999995</v>
      </c>
      <c r="P361">
        <f t="shared" si="120"/>
        <v>0.6028461335624471</v>
      </c>
      <c r="Q361" s="23">
        <v>0.29659999999999997</v>
      </c>
      <c r="R361" s="13">
        <f t="shared" si="121"/>
        <v>0.64226938068427886</v>
      </c>
      <c r="S361">
        <f t="shared" si="122"/>
        <v>2.8295048930535718E-2</v>
      </c>
      <c r="T361" s="14">
        <f t="shared" si="110"/>
        <v>5.9757624595642433E-2</v>
      </c>
      <c r="U361" t="str">
        <f t="shared" si="123"/>
        <v>No Impact</v>
      </c>
      <c r="V361">
        <f t="shared" si="124"/>
        <v>2.9190935853113886E-2</v>
      </c>
      <c r="W361">
        <f t="shared" si="111"/>
        <v>5.2990115477064885E-2</v>
      </c>
      <c r="X361" t="s">
        <v>1170</v>
      </c>
      <c r="Y361">
        <f t="shared" si="112"/>
        <v>2.7399162007957556E-2</v>
      </c>
      <c r="Z361">
        <f t="shared" si="125"/>
        <v>6.0582293700176766E-2</v>
      </c>
      <c r="AA361" t="s">
        <v>1170</v>
      </c>
      <c r="AB361">
        <f t="shared" si="113"/>
        <v>2.1155131438713882E-2</v>
      </c>
      <c r="AC361">
        <f t="shared" si="126"/>
        <v>6.2044954175155244E-2</v>
      </c>
      <c r="AD361" t="str">
        <f t="shared" si="127"/>
        <v>No Impact</v>
      </c>
      <c r="AE361">
        <f t="shared" si="114"/>
        <v>7.7673008221050225E-3</v>
      </c>
      <c r="AF361">
        <f t="shared" si="128"/>
        <v>5.1185052953555382E-2</v>
      </c>
      <c r="AG361" t="s">
        <v>1170</v>
      </c>
    </row>
    <row r="362" spans="1:33" customFormat="1" x14ac:dyDescent="0.3">
      <c r="A362">
        <v>456172</v>
      </c>
      <c r="B362" t="s">
        <v>369</v>
      </c>
      <c r="C362" t="s">
        <v>903</v>
      </c>
      <c r="D362" t="s">
        <v>912</v>
      </c>
      <c r="E362" s="21">
        <v>5.4</v>
      </c>
      <c r="F362" s="2">
        <f t="shared" si="115"/>
        <v>0.48888888888888893</v>
      </c>
      <c r="G362" s="10">
        <v>33.000480000000003</v>
      </c>
      <c r="H362">
        <f t="shared" si="116"/>
        <v>0.30120656116923405</v>
      </c>
      <c r="I362" s="12">
        <v>22.5</v>
      </c>
      <c r="J362" s="2">
        <f t="shared" si="117"/>
        <v>5.453223460979157E-2</v>
      </c>
      <c r="K362" s="10">
        <v>0</v>
      </c>
      <c r="L362" s="2">
        <f t="shared" si="118"/>
        <v>0</v>
      </c>
      <c r="M362">
        <v>50033</v>
      </c>
      <c r="N362">
        <f t="shared" si="119"/>
        <v>0.23559637194645924</v>
      </c>
      <c r="O362" s="10">
        <v>0.53515390900000004</v>
      </c>
      <c r="P362">
        <f t="shared" si="120"/>
        <v>0.49389320050063534</v>
      </c>
      <c r="Q362" s="23">
        <v>0.29670000000000002</v>
      </c>
      <c r="R362" s="13">
        <f t="shared" si="121"/>
        <v>0.64248592464270249</v>
      </c>
      <c r="S362">
        <f t="shared" si="122"/>
        <v>3.4586187663969273E-2</v>
      </c>
      <c r="T362" s="14">
        <f t="shared" si="110"/>
        <v>7.3044171921804277E-2</v>
      </c>
      <c r="U362" t="str">
        <f t="shared" si="123"/>
        <v>No Impact</v>
      </c>
      <c r="V362">
        <f t="shared" si="124"/>
        <v>3.9108671163505325E-2</v>
      </c>
      <c r="W362">
        <f t="shared" si="111"/>
        <v>7.0993715704652141E-2</v>
      </c>
      <c r="X362" t="s">
        <v>1170</v>
      </c>
      <c r="Y362">
        <f t="shared" si="112"/>
        <v>3.0063704164433231E-2</v>
      </c>
      <c r="Z362">
        <f t="shared" si="125"/>
        <v>6.6473863502684929E-2</v>
      </c>
      <c r="AA362" t="s">
        <v>1170</v>
      </c>
      <c r="AB362">
        <f t="shared" si="113"/>
        <v>2.772648002758682E-2</v>
      </c>
      <c r="AC362">
        <f t="shared" si="126"/>
        <v>8.1317773313469205E-2</v>
      </c>
      <c r="AD362" t="str">
        <f t="shared" si="127"/>
        <v>No Impact</v>
      </c>
      <c r="AE362">
        <f t="shared" si="114"/>
        <v>1.4340953917228541E-2</v>
      </c>
      <c r="AF362">
        <f t="shared" si="128"/>
        <v>9.4504191670911356E-2</v>
      </c>
      <c r="AG362" t="s">
        <v>1170</v>
      </c>
    </row>
    <row r="363" spans="1:33" customFormat="1" x14ac:dyDescent="0.3">
      <c r="A363">
        <v>456181</v>
      </c>
      <c r="B363" t="s">
        <v>415</v>
      </c>
      <c r="C363" t="s">
        <v>903</v>
      </c>
      <c r="D363" t="s">
        <v>913</v>
      </c>
      <c r="E363" s="21">
        <v>5.4</v>
      </c>
      <c r="F363" s="2">
        <f t="shared" si="115"/>
        <v>0.48888888888888893</v>
      </c>
      <c r="G363" s="10">
        <v>27.66168</v>
      </c>
      <c r="H363">
        <f t="shared" si="116"/>
        <v>0.25247752484096525</v>
      </c>
      <c r="I363" s="12">
        <v>4.2999999999999989</v>
      </c>
      <c r="J363" s="2">
        <f t="shared" si="117"/>
        <v>1.0421715947649053E-2</v>
      </c>
      <c r="K363" s="10">
        <v>0</v>
      </c>
      <c r="L363" s="2">
        <f t="shared" si="118"/>
        <v>0</v>
      </c>
      <c r="M363">
        <v>71423</v>
      </c>
      <c r="N363">
        <f t="shared" si="119"/>
        <v>0.33680146484790846</v>
      </c>
      <c r="O363" s="10">
        <v>0.65571944000000004</v>
      </c>
      <c r="P363">
        <f t="shared" si="120"/>
        <v>0.62667066998362519</v>
      </c>
      <c r="Q363" s="23">
        <v>0.30480000000000002</v>
      </c>
      <c r="R363" s="13">
        <f t="shared" si="121"/>
        <v>0.66002598527501088</v>
      </c>
      <c r="S363">
        <f t="shared" si="122"/>
        <v>2.8941012424490389E-2</v>
      </c>
      <c r="T363" s="14">
        <f t="shared" si="110"/>
        <v>6.1121864822581036E-2</v>
      </c>
      <c r="U363" t="str">
        <f t="shared" si="123"/>
        <v>No Impact</v>
      </c>
      <c r="V363">
        <f t="shared" si="124"/>
        <v>2.9691256540168725E-2</v>
      </c>
      <c r="W363">
        <f t="shared" si="111"/>
        <v>5.3898344357290122E-2</v>
      </c>
      <c r="X363" t="s">
        <v>1170</v>
      </c>
      <c r="Y363">
        <f t="shared" si="112"/>
        <v>2.8190768308812054E-2</v>
      </c>
      <c r="Z363">
        <f t="shared" si="125"/>
        <v>6.2332614582229634E-2</v>
      </c>
      <c r="AA363" t="s">
        <v>1170</v>
      </c>
      <c r="AB363">
        <f t="shared" si="113"/>
        <v>2.4152022929402606E-2</v>
      </c>
      <c r="AC363">
        <f t="shared" si="126"/>
        <v>7.0834405365584663E-2</v>
      </c>
      <c r="AD363" t="str">
        <f t="shared" si="127"/>
        <v>No Impact</v>
      </c>
      <c r="AE363">
        <f t="shared" si="114"/>
        <v>1.5151007564856978E-2</v>
      </c>
      <c r="AF363">
        <f t="shared" si="128"/>
        <v>9.9842293000923371E-2</v>
      </c>
      <c r="AG363" t="s">
        <v>1169</v>
      </c>
    </row>
    <row r="364" spans="1:33" customFormat="1" x14ac:dyDescent="0.3">
      <c r="A364">
        <v>456194</v>
      </c>
      <c r="B364" t="s">
        <v>529</v>
      </c>
      <c r="C364" t="s">
        <v>903</v>
      </c>
      <c r="D364" t="s">
        <v>914</v>
      </c>
      <c r="E364" s="21">
        <v>5.3</v>
      </c>
      <c r="F364" s="2">
        <f t="shared" si="115"/>
        <v>0.46666666666666656</v>
      </c>
      <c r="G364" s="10">
        <v>29.763000000000002</v>
      </c>
      <c r="H364">
        <f t="shared" si="116"/>
        <v>0.27165698438567903</v>
      </c>
      <c r="I364" s="12">
        <v>27.9</v>
      </c>
      <c r="J364" s="2">
        <f t="shared" si="117"/>
        <v>6.7619970916141539E-2</v>
      </c>
      <c r="K364" s="10">
        <v>0</v>
      </c>
      <c r="L364" s="2">
        <f t="shared" si="118"/>
        <v>0</v>
      </c>
      <c r="M364">
        <v>46016</v>
      </c>
      <c r="N364">
        <f t="shared" si="119"/>
        <v>0.21659025421924458</v>
      </c>
      <c r="O364" s="10">
        <v>0.85811759600000004</v>
      </c>
      <c r="P364">
        <f t="shared" si="120"/>
        <v>0.84956949321116471</v>
      </c>
      <c r="Q364" s="23">
        <v>0.26629999999999998</v>
      </c>
      <c r="R364" s="13">
        <f t="shared" si="121"/>
        <v>0.57665656128194021</v>
      </c>
      <c r="S364">
        <f t="shared" si="122"/>
        <v>3.951732672281149E-2</v>
      </c>
      <c r="T364" s="14">
        <f t="shared" si="110"/>
        <v>8.3458472933639408E-2</v>
      </c>
      <c r="U364" t="str">
        <f t="shared" si="123"/>
        <v>No Impact</v>
      </c>
      <c r="V364">
        <f t="shared" si="124"/>
        <v>3.1955559453203872E-2</v>
      </c>
      <c r="W364">
        <f t="shared" si="111"/>
        <v>5.8008718668019439E-2</v>
      </c>
      <c r="X364" t="s">
        <v>1170</v>
      </c>
      <c r="Y364">
        <f t="shared" si="112"/>
        <v>4.7079093992419115E-2</v>
      </c>
      <c r="Z364">
        <f t="shared" si="125"/>
        <v>0.10409659604036824</v>
      </c>
      <c r="AA364" t="s">
        <v>1170</v>
      </c>
      <c r="AB364">
        <f t="shared" si="113"/>
        <v>2.9509014027321513E-2</v>
      </c>
      <c r="AC364">
        <f t="shared" si="126"/>
        <v>8.6545688850160341E-2</v>
      </c>
      <c r="AD364" t="str">
        <f t="shared" si="127"/>
        <v>No Impact</v>
      </c>
      <c r="AE364">
        <f t="shared" si="114"/>
        <v>1.2002400059926919E-2</v>
      </c>
      <c r="AF364">
        <f t="shared" si="128"/>
        <v>7.9093561162038514E-2</v>
      </c>
      <c r="AG364" t="s">
        <v>1170</v>
      </c>
    </row>
    <row r="365" spans="1:33" customFormat="1" x14ac:dyDescent="0.3">
      <c r="A365">
        <v>457204</v>
      </c>
      <c r="B365" t="s">
        <v>16</v>
      </c>
      <c r="C365" t="s">
        <v>916</v>
      </c>
      <c r="D365" t="s">
        <v>915</v>
      </c>
      <c r="E365" s="21">
        <v>5.7</v>
      </c>
      <c r="F365" s="2">
        <f t="shared" si="115"/>
        <v>0.55555555555555558</v>
      </c>
      <c r="G365" s="10">
        <v>29.087280000000003</v>
      </c>
      <c r="H365">
        <f t="shared" si="116"/>
        <v>0.26548945901897908</v>
      </c>
      <c r="I365" s="12">
        <v>4.7</v>
      </c>
      <c r="J365" s="2">
        <f t="shared" si="117"/>
        <v>1.1391177896267573E-2</v>
      </c>
      <c r="K365" s="10">
        <v>0</v>
      </c>
      <c r="L365" s="2">
        <f t="shared" si="118"/>
        <v>0</v>
      </c>
      <c r="M365">
        <v>26281</v>
      </c>
      <c r="N365">
        <f t="shared" si="119"/>
        <v>0.12321566289572422</v>
      </c>
      <c r="O365" s="10">
        <v>0.56833292499999999</v>
      </c>
      <c r="P365">
        <f t="shared" si="120"/>
        <v>0.53043287936138395</v>
      </c>
      <c r="Q365" s="23">
        <v>0.26090000000000002</v>
      </c>
      <c r="R365" s="13">
        <f t="shared" si="121"/>
        <v>0.56496318752706809</v>
      </c>
      <c r="S365">
        <f t="shared" si="122"/>
        <v>2.9486912843357159E-2</v>
      </c>
      <c r="T365" s="14">
        <f t="shared" si="110"/>
        <v>6.2274777205851006E-2</v>
      </c>
      <c r="U365" t="str">
        <f t="shared" si="123"/>
        <v>No Impact</v>
      </c>
      <c r="V365">
        <f t="shared" si="124"/>
        <v>3.0416432510364938E-2</v>
      </c>
      <c r="W365">
        <f t="shared" si="111"/>
        <v>5.5214751566543423E-2</v>
      </c>
      <c r="X365" t="s">
        <v>1170</v>
      </c>
      <c r="Y365">
        <f t="shared" si="112"/>
        <v>2.8557393176349366E-2</v>
      </c>
      <c r="Z365">
        <f t="shared" si="125"/>
        <v>6.3143258914946196E-2</v>
      </c>
      <c r="AA365" t="s">
        <v>1170</v>
      </c>
      <c r="AB365">
        <f t="shared" si="113"/>
        <v>2.1534754789594511E-2</v>
      </c>
      <c r="AC365">
        <f t="shared" si="126"/>
        <v>6.3158334797603383E-2</v>
      </c>
      <c r="AD365" t="str">
        <f t="shared" si="127"/>
        <v>No Impact</v>
      </c>
      <c r="AE365">
        <f t="shared" si="114"/>
        <v>6.6336727373199197E-3</v>
      </c>
      <c r="AF365">
        <f t="shared" si="128"/>
        <v>4.3714656881829954E-2</v>
      </c>
      <c r="AG365" t="s">
        <v>1170</v>
      </c>
    </row>
    <row r="366" spans="1:33" customFormat="1" x14ac:dyDescent="0.3">
      <c r="A366">
        <v>457209</v>
      </c>
      <c r="B366" t="s">
        <v>48</v>
      </c>
      <c r="C366" t="s">
        <v>916</v>
      </c>
      <c r="D366" t="s">
        <v>917</v>
      </c>
      <c r="E366" s="21">
        <v>5.5</v>
      </c>
      <c r="F366" s="2">
        <f t="shared" si="115"/>
        <v>0.51111111111111107</v>
      </c>
      <c r="G366" s="10">
        <v>29.087280000000003</v>
      </c>
      <c r="H366">
        <f t="shared" si="116"/>
        <v>0.26548945901897908</v>
      </c>
      <c r="I366" s="12">
        <v>0.70000000000000007</v>
      </c>
      <c r="J366" s="2">
        <f t="shared" si="117"/>
        <v>1.6965584100824046E-3</v>
      </c>
      <c r="K366" s="10">
        <v>0</v>
      </c>
      <c r="L366" s="2">
        <f t="shared" si="118"/>
        <v>0</v>
      </c>
      <c r="M366">
        <v>31977</v>
      </c>
      <c r="N366">
        <f t="shared" si="119"/>
        <v>0.15016583630229993</v>
      </c>
      <c r="O366" s="10">
        <v>0.75725827700000004</v>
      </c>
      <c r="P366">
        <f t="shared" si="120"/>
        <v>0.73849425438027827</v>
      </c>
      <c r="Q366" s="23">
        <v>0.30059999999999998</v>
      </c>
      <c r="R366" s="13">
        <f t="shared" si="121"/>
        <v>0.65093113902122124</v>
      </c>
      <c r="S366">
        <f t="shared" si="122"/>
        <v>3.3204911676565745E-2</v>
      </c>
      <c r="T366" s="14">
        <f t="shared" si="110"/>
        <v>7.0126991176831008E-2</v>
      </c>
      <c r="U366" t="str">
        <f t="shared" si="123"/>
        <v>No Impact</v>
      </c>
      <c r="V366">
        <f t="shared" si="124"/>
        <v>3.1112301648398333E-2</v>
      </c>
      <c r="W366">
        <f t="shared" si="111"/>
        <v>5.6477958274504511E-2</v>
      </c>
      <c r="X366" t="s">
        <v>1170</v>
      </c>
      <c r="Y366">
        <f t="shared" si="112"/>
        <v>3.5297521704733152E-2</v>
      </c>
      <c r="Z366">
        <f t="shared" si="125"/>
        <v>7.804635872379781E-2</v>
      </c>
      <c r="AA366" t="s">
        <v>1170</v>
      </c>
      <c r="AB366">
        <f t="shared" si="113"/>
        <v>2.3990658346607494E-2</v>
      </c>
      <c r="AC366">
        <f t="shared" si="126"/>
        <v>7.0361146280713452E-2</v>
      </c>
      <c r="AD366" t="str">
        <f t="shared" si="127"/>
        <v>No Impact</v>
      </c>
      <c r="AE366">
        <f t="shared" si="114"/>
        <v>7.1774178807089556E-3</v>
      </c>
      <c r="AF366">
        <f t="shared" si="128"/>
        <v>4.7297835207870849E-2</v>
      </c>
      <c r="AG366" t="s">
        <v>1170</v>
      </c>
    </row>
    <row r="367" spans="1:33" customFormat="1" x14ac:dyDescent="0.3">
      <c r="A367">
        <v>457218</v>
      </c>
      <c r="B367" t="s">
        <v>160</v>
      </c>
      <c r="C367" t="s">
        <v>916</v>
      </c>
      <c r="D367" t="s">
        <v>1147</v>
      </c>
      <c r="E367" s="21">
        <v>5.7</v>
      </c>
      <c r="F367" s="2">
        <f t="shared" si="115"/>
        <v>0.55555555555555558</v>
      </c>
      <c r="G367" s="10">
        <v>27.48132</v>
      </c>
      <c r="H367">
        <f t="shared" si="116"/>
        <v>0.25083131801692865</v>
      </c>
      <c r="I367" s="12">
        <v>0.60000000000000031</v>
      </c>
      <c r="J367" s="2">
        <f t="shared" si="117"/>
        <v>1.4541929229277759E-3</v>
      </c>
      <c r="K367" s="10">
        <v>0</v>
      </c>
      <c r="L367" s="2">
        <f t="shared" si="118"/>
        <v>0</v>
      </c>
      <c r="M367">
        <v>33559</v>
      </c>
      <c r="N367">
        <f t="shared" si="119"/>
        <v>0.15765094415503919</v>
      </c>
      <c r="O367" s="10">
        <v>0.57911826300000002</v>
      </c>
      <c r="P367">
        <f t="shared" si="120"/>
        <v>0.54231065135210932</v>
      </c>
      <c r="Q367" s="23">
        <v>0.29020000000000001</v>
      </c>
      <c r="R367" s="13">
        <f t="shared" si="121"/>
        <v>0.62841056734517109</v>
      </c>
      <c r="S367">
        <f t="shared" si="122"/>
        <v>2.8715166747086435E-2</v>
      </c>
      <c r="T367" s="14">
        <f t="shared" si="110"/>
        <v>6.0644890874241637E-2</v>
      </c>
      <c r="U367" t="str">
        <f t="shared" si="123"/>
        <v>No Impact</v>
      </c>
      <c r="V367">
        <f t="shared" si="124"/>
        <v>3.0827004651076965E-2</v>
      </c>
      <c r="W367">
        <f t="shared" si="111"/>
        <v>5.5960060495913538E-2</v>
      </c>
      <c r="X367" t="s">
        <v>1170</v>
      </c>
      <c r="Y367">
        <f t="shared" si="112"/>
        <v>2.6603328843095908E-2</v>
      </c>
      <c r="Z367">
        <f t="shared" si="125"/>
        <v>5.8822626798101914E-2</v>
      </c>
      <c r="AA367" t="s">
        <v>1170</v>
      </c>
      <c r="AB367">
        <f t="shared" si="113"/>
        <v>2.1477227226387566E-2</v>
      </c>
      <c r="AC367">
        <f t="shared" si="126"/>
        <v>6.2989614738674732E-2</v>
      </c>
      <c r="AD367" t="str">
        <f t="shared" si="127"/>
        <v>No Impact</v>
      </c>
      <c r="AE367">
        <f t="shared" si="114"/>
        <v>7.7336484159481623E-3</v>
      </c>
      <c r="AF367">
        <f t="shared" si="128"/>
        <v>5.096328992021807E-2</v>
      </c>
      <c r="AG367" t="s">
        <v>1170</v>
      </c>
    </row>
    <row r="368" spans="1:33" customFormat="1" x14ac:dyDescent="0.3">
      <c r="A368">
        <v>457238</v>
      </c>
      <c r="B368" t="s">
        <v>272</v>
      </c>
      <c r="C368" t="s">
        <v>916</v>
      </c>
      <c r="D368" t="s">
        <v>918</v>
      </c>
      <c r="E368" s="21">
        <v>5.7</v>
      </c>
      <c r="F368" s="2">
        <f t="shared" si="115"/>
        <v>0.55555555555555558</v>
      </c>
      <c r="G368" s="10">
        <v>29.363039999999998</v>
      </c>
      <c r="H368">
        <f t="shared" si="116"/>
        <v>0.26800641396351399</v>
      </c>
      <c r="I368" s="12">
        <v>18.299999999999997</v>
      </c>
      <c r="J368" s="2">
        <f t="shared" si="117"/>
        <v>4.4352884149297139E-2</v>
      </c>
      <c r="K368" s="10">
        <v>0</v>
      </c>
      <c r="L368" s="2">
        <f t="shared" si="118"/>
        <v>0</v>
      </c>
      <c r="M368">
        <v>1928</v>
      </c>
      <c r="N368">
        <f t="shared" si="119"/>
        <v>7.9913698882911523E-3</v>
      </c>
      <c r="O368" s="10">
        <v>0.80584710100000001</v>
      </c>
      <c r="P368">
        <f t="shared" si="120"/>
        <v>0.79200458226888815</v>
      </c>
      <c r="Q368" s="23">
        <v>0.1091</v>
      </c>
      <c r="R368" s="13">
        <f t="shared" si="121"/>
        <v>0.23624945864010397</v>
      </c>
      <c r="S368">
        <f t="shared" si="122"/>
        <v>3.1226291298610587E-2</v>
      </c>
      <c r="T368" s="14">
        <f t="shared" si="110"/>
        <v>6.5948251141660696E-2</v>
      </c>
      <c r="U368" t="str">
        <f t="shared" si="123"/>
        <v>No Impact</v>
      </c>
      <c r="V368">
        <f t="shared" si="124"/>
        <v>1.4348972376735596E-2</v>
      </c>
      <c r="W368">
        <f t="shared" si="111"/>
        <v>2.6047595974533447E-2</v>
      </c>
      <c r="X368" t="s">
        <v>1170</v>
      </c>
      <c r="Y368">
        <f t="shared" si="112"/>
        <v>4.8103610220485572E-2</v>
      </c>
      <c r="Z368">
        <f t="shared" si="125"/>
        <v>0.10636190411845081</v>
      </c>
      <c r="AA368" t="s">
        <v>1170</v>
      </c>
      <c r="AB368">
        <f t="shared" si="113"/>
        <v>1.96231022254671E-2</v>
      </c>
      <c r="AC368">
        <f t="shared" si="126"/>
        <v>5.7551733104595229E-2</v>
      </c>
      <c r="AD368" t="str">
        <f t="shared" si="127"/>
        <v>No Impact</v>
      </c>
      <c r="AE368">
        <f t="shared" si="114"/>
        <v>4.8536807846848189E-4</v>
      </c>
      <c r="AF368">
        <f t="shared" si="128"/>
        <v>3.1984844371769532E-3</v>
      </c>
      <c r="AG368" t="s">
        <v>1170</v>
      </c>
    </row>
    <row r="369" spans="1:33" customFormat="1" x14ac:dyDescent="0.3">
      <c r="A369">
        <v>457240</v>
      </c>
      <c r="B369" t="s">
        <v>250</v>
      </c>
      <c r="C369" t="s">
        <v>916</v>
      </c>
      <c r="D369" t="s">
        <v>919</v>
      </c>
      <c r="E369" s="21">
        <v>5.7</v>
      </c>
      <c r="F369" s="2">
        <f t="shared" si="115"/>
        <v>0.55555555555555558</v>
      </c>
      <c r="G369" s="10">
        <v>28.512360000000001</v>
      </c>
      <c r="H369">
        <f t="shared" si="116"/>
        <v>0.26024196940223965</v>
      </c>
      <c r="I369" s="12">
        <v>0.19999999999999965</v>
      </c>
      <c r="J369" s="2">
        <f t="shared" si="117"/>
        <v>4.8473097430925757E-4</v>
      </c>
      <c r="K369" s="10">
        <v>0</v>
      </c>
      <c r="L369" s="2">
        <f t="shared" si="118"/>
        <v>0</v>
      </c>
      <c r="M369">
        <v>27627</v>
      </c>
      <c r="N369">
        <f t="shared" si="119"/>
        <v>0.12958415541771348</v>
      </c>
      <c r="O369" s="10">
        <v>0.74739329399999999</v>
      </c>
      <c r="P369">
        <f t="shared" si="120"/>
        <v>0.72763005904709699</v>
      </c>
      <c r="Q369" s="23">
        <v>0.25800000000000001</v>
      </c>
      <c r="R369" s="13">
        <f t="shared" si="121"/>
        <v>0.55868341273278477</v>
      </c>
      <c r="S369">
        <f t="shared" si="122"/>
        <v>3.2606025972631958E-2</v>
      </c>
      <c r="T369" s="14">
        <f t="shared" si="110"/>
        <v>6.8862176715501336E-2</v>
      </c>
      <c r="U369" t="str">
        <f t="shared" si="123"/>
        <v>No Impact</v>
      </c>
      <c r="V369">
        <f t="shared" si="124"/>
        <v>2.8323493869402781E-2</v>
      </c>
      <c r="W369">
        <f t="shared" si="111"/>
        <v>5.1415453701306763E-2</v>
      </c>
      <c r="X369" t="s">
        <v>1170</v>
      </c>
      <c r="Y369">
        <f t="shared" si="112"/>
        <v>3.6888558075861146E-2</v>
      </c>
      <c r="Z369">
        <f t="shared" si="125"/>
        <v>8.1564299626346051E-2</v>
      </c>
      <c r="AA369" t="s">
        <v>1170</v>
      </c>
      <c r="AB369">
        <f t="shared" si="113"/>
        <v>2.3279118629679834E-2</v>
      </c>
      <c r="AC369">
        <f t="shared" si="126"/>
        <v>6.8274302752538069E-2</v>
      </c>
      <c r="AD369" t="str">
        <f t="shared" si="127"/>
        <v>No Impact</v>
      </c>
      <c r="AE369">
        <f t="shared" si="114"/>
        <v>6.5695095789443415E-3</v>
      </c>
      <c r="AF369">
        <f t="shared" si="128"/>
        <v>4.3291833724295639E-2</v>
      </c>
      <c r="AG369" t="s">
        <v>1170</v>
      </c>
    </row>
    <row r="370" spans="1:33" customFormat="1" x14ac:dyDescent="0.3">
      <c r="A370">
        <v>457247</v>
      </c>
      <c r="B370" t="s">
        <v>268</v>
      </c>
      <c r="C370" t="s">
        <v>916</v>
      </c>
      <c r="D370" t="s">
        <v>920</v>
      </c>
      <c r="E370" s="21">
        <v>5.7</v>
      </c>
      <c r="F370" s="2">
        <f t="shared" si="115"/>
        <v>0.55555555555555558</v>
      </c>
      <c r="G370" s="10">
        <v>28.577160000000003</v>
      </c>
      <c r="H370">
        <f t="shared" si="116"/>
        <v>0.26083342095578577</v>
      </c>
      <c r="I370" s="12">
        <v>18.599999999999998</v>
      </c>
      <c r="J370" s="2">
        <f t="shared" si="117"/>
        <v>4.5079980610761024E-2</v>
      </c>
      <c r="K370" s="10">
        <v>0</v>
      </c>
      <c r="L370" s="2">
        <f t="shared" si="118"/>
        <v>0</v>
      </c>
      <c r="M370">
        <v>54514</v>
      </c>
      <c r="N370">
        <f t="shared" si="119"/>
        <v>0.25679786896802981</v>
      </c>
      <c r="O370" s="10">
        <v>0.46322793000000001</v>
      </c>
      <c r="P370">
        <f t="shared" si="120"/>
        <v>0.41468192508472335</v>
      </c>
      <c r="Q370" s="23">
        <v>0.29570000000000002</v>
      </c>
      <c r="R370" s="13">
        <f t="shared" si="121"/>
        <v>0.64032048505846695</v>
      </c>
      <c r="S370">
        <f t="shared" si="122"/>
        <v>3.1377439328259156E-2</v>
      </c>
      <c r="T370" s="14">
        <f t="shared" si="110"/>
        <v>6.6267467667360455E-2</v>
      </c>
      <c r="U370" t="str">
        <f t="shared" si="123"/>
        <v>No Impact</v>
      </c>
      <c r="V370">
        <f t="shared" si="124"/>
        <v>3.8088286770523269E-2</v>
      </c>
      <c r="W370">
        <f t="shared" si="111"/>
        <v>6.9141418570802429E-2</v>
      </c>
      <c r="X370" t="s">
        <v>1170</v>
      </c>
      <c r="Y370">
        <f t="shared" si="112"/>
        <v>2.4666591885995039E-2</v>
      </c>
      <c r="Z370">
        <f t="shared" si="125"/>
        <v>5.454030724683262E-2</v>
      </c>
      <c r="AA370" t="s">
        <v>1170</v>
      </c>
      <c r="AB370">
        <f t="shared" si="113"/>
        <v>2.6077180117344806E-2</v>
      </c>
      <c r="AC370">
        <f t="shared" si="126"/>
        <v>7.6480614175578526E-2</v>
      </c>
      <c r="AD370" t="str">
        <f t="shared" si="127"/>
        <v>No Impact</v>
      </c>
      <c r="AE370">
        <f t="shared" si="114"/>
        <v>1.527514909103757E-2</v>
      </c>
      <c r="AF370">
        <f t="shared" si="128"/>
        <v>0.10066036233244782</v>
      </c>
      <c r="AG370" t="s">
        <v>1169</v>
      </c>
    </row>
    <row r="371" spans="1:33" customFormat="1" x14ac:dyDescent="0.3">
      <c r="A371">
        <v>457256</v>
      </c>
      <c r="B371" t="s">
        <v>309</v>
      </c>
      <c r="C371" t="s">
        <v>916</v>
      </c>
      <c r="D371" t="s">
        <v>921</v>
      </c>
      <c r="E371" s="21">
        <v>5.8</v>
      </c>
      <c r="F371" s="2">
        <f t="shared" si="115"/>
        <v>0.57777777777777772</v>
      </c>
      <c r="G371" s="10">
        <v>29.184480000000001</v>
      </c>
      <c r="H371">
        <f t="shared" si="116"/>
        <v>0.26637663634929815</v>
      </c>
      <c r="I371" s="12">
        <v>17.300000000000004</v>
      </c>
      <c r="J371" s="2">
        <f t="shared" si="117"/>
        <v>4.1929229277750862E-2</v>
      </c>
      <c r="K371" s="10">
        <v>0</v>
      </c>
      <c r="L371" s="2">
        <f t="shared" si="118"/>
        <v>0</v>
      </c>
      <c r="M371">
        <v>20648</v>
      </c>
      <c r="N371">
        <f t="shared" si="119"/>
        <v>9.6563569005408009E-2</v>
      </c>
      <c r="O371" s="10">
        <v>0.59708533500000005</v>
      </c>
      <c r="P371">
        <f t="shared" si="120"/>
        <v>0.56209758659298414</v>
      </c>
      <c r="Q371" s="23">
        <v>0.23019999999999999</v>
      </c>
      <c r="R371" s="13">
        <f t="shared" si="121"/>
        <v>0.49848419229103508</v>
      </c>
      <c r="S371">
        <f t="shared" si="122"/>
        <v>3.3061673433385876E-2</v>
      </c>
      <c r="T371" s="14">
        <f t="shared" si="110"/>
        <v>6.982447969559287E-2</v>
      </c>
      <c r="U371" t="str">
        <f t="shared" si="123"/>
        <v>No Impact</v>
      </c>
      <c r="V371">
        <f t="shared" si="124"/>
        <v>3.1078643637594664E-2</v>
      </c>
      <c r="W371">
        <f t="shared" si="111"/>
        <v>5.6416859107003017E-2</v>
      </c>
      <c r="X371" t="s">
        <v>1170</v>
      </c>
      <c r="Y371">
        <f t="shared" si="112"/>
        <v>3.5044703229177077E-2</v>
      </c>
      <c r="Z371">
        <f t="shared" si="125"/>
        <v>7.7487351731740151E-2</v>
      </c>
      <c r="AA371" t="s">
        <v>1170</v>
      </c>
      <c r="AB371">
        <f t="shared" si="113"/>
        <v>2.3498069584485588E-2</v>
      </c>
      <c r="AC371">
        <f t="shared" si="126"/>
        <v>6.8916454374090719E-2</v>
      </c>
      <c r="AD371" t="str">
        <f t="shared" si="127"/>
        <v>No Impact</v>
      </c>
      <c r="AE371">
        <f t="shared" si="114"/>
        <v>6.0203809787838063E-3</v>
      </c>
      <c r="AF371">
        <f t="shared" si="128"/>
        <v>3.9673179429673973E-2</v>
      </c>
      <c r="AG371" t="s">
        <v>1170</v>
      </c>
    </row>
    <row r="372" spans="1:33" customFormat="1" x14ac:dyDescent="0.3">
      <c r="A372">
        <v>457263</v>
      </c>
      <c r="B372" t="s">
        <v>346</v>
      </c>
      <c r="C372" t="s">
        <v>916</v>
      </c>
      <c r="D372" t="s">
        <v>1148</v>
      </c>
      <c r="E372" s="21">
        <v>5.8</v>
      </c>
      <c r="F372" s="2">
        <f t="shared" si="115"/>
        <v>0.57777777777777772</v>
      </c>
      <c r="G372" s="10">
        <v>29.363039999999998</v>
      </c>
      <c r="H372">
        <f t="shared" si="116"/>
        <v>0.26800641396351399</v>
      </c>
      <c r="I372" s="12">
        <v>4.6999999999999993</v>
      </c>
      <c r="J372" s="2">
        <f t="shared" si="117"/>
        <v>1.1391177896267571E-2</v>
      </c>
      <c r="K372" s="10">
        <v>0</v>
      </c>
      <c r="L372" s="2">
        <f t="shared" si="118"/>
        <v>0</v>
      </c>
      <c r="M372">
        <v>14378</v>
      </c>
      <c r="N372">
        <f t="shared" si="119"/>
        <v>6.6897560006245471E-2</v>
      </c>
      <c r="O372" s="10">
        <v>0.57420229</v>
      </c>
      <c r="P372">
        <f t="shared" si="120"/>
        <v>0.53689674532463361</v>
      </c>
      <c r="Q372" s="23">
        <v>0.24560000000000001</v>
      </c>
      <c r="R372" s="13">
        <f t="shared" si="121"/>
        <v>0.53183196188826332</v>
      </c>
      <c r="S372">
        <f t="shared" si="122"/>
        <v>3.0191800744833092E-2</v>
      </c>
      <c r="T372" s="14">
        <f t="shared" si="110"/>
        <v>6.3763462618688413E-2</v>
      </c>
      <c r="U372" t="str">
        <f t="shared" si="123"/>
        <v>No Impact</v>
      </c>
      <c r="V372">
        <f t="shared" si="124"/>
        <v>3.0048719594963538E-2</v>
      </c>
      <c r="W372">
        <f t="shared" si="111"/>
        <v>5.4547244709360912E-2</v>
      </c>
      <c r="X372" t="s">
        <v>1170</v>
      </c>
      <c r="Y372">
        <f t="shared" si="112"/>
        <v>3.0334881894702643E-2</v>
      </c>
      <c r="Z372">
        <f t="shared" si="125"/>
        <v>6.7073464647251224E-2</v>
      </c>
      <c r="AA372" t="s">
        <v>1170</v>
      </c>
      <c r="AB372">
        <f t="shared" si="113"/>
        <v>2.0940425086137436E-2</v>
      </c>
      <c r="AC372">
        <f t="shared" si="126"/>
        <v>6.1415251360719306E-2</v>
      </c>
      <c r="AD372" t="str">
        <f t="shared" si="127"/>
        <v>No Impact</v>
      </c>
      <c r="AE372">
        <f t="shared" si="114"/>
        <v>3.7797390271125768E-3</v>
      </c>
      <c r="AF372">
        <f t="shared" si="128"/>
        <v>2.4907769981405939E-2</v>
      </c>
      <c r="AG372" t="s">
        <v>1170</v>
      </c>
    </row>
    <row r="373" spans="1:33" customFormat="1" x14ac:dyDescent="0.3">
      <c r="A373">
        <v>457274</v>
      </c>
      <c r="B373" t="s">
        <v>385</v>
      </c>
      <c r="C373" t="s">
        <v>916</v>
      </c>
      <c r="D373" t="s">
        <v>922</v>
      </c>
      <c r="E373" s="21">
        <v>5.8</v>
      </c>
      <c r="F373" s="2">
        <f t="shared" si="115"/>
        <v>0.57777777777777772</v>
      </c>
      <c r="G373" s="10">
        <v>28.577160000000003</v>
      </c>
      <c r="H373">
        <f t="shared" si="116"/>
        <v>0.26083342095578577</v>
      </c>
      <c r="I373" s="12">
        <v>0.70000000000000007</v>
      </c>
      <c r="J373" s="2">
        <f t="shared" si="117"/>
        <v>1.6965584100824046E-3</v>
      </c>
      <c r="K373" s="10">
        <v>0</v>
      </c>
      <c r="L373" s="2">
        <f t="shared" si="118"/>
        <v>0</v>
      </c>
      <c r="M373">
        <v>65362</v>
      </c>
      <c r="N373">
        <f t="shared" si="119"/>
        <v>0.30812432281538471</v>
      </c>
      <c r="O373" s="10">
        <v>0.57605584799999998</v>
      </c>
      <c r="P373">
        <f t="shared" si="120"/>
        <v>0.53893804799828049</v>
      </c>
      <c r="Q373" s="23">
        <v>0.2908</v>
      </c>
      <c r="R373" s="13">
        <f t="shared" si="121"/>
        <v>0.62970983109571244</v>
      </c>
      <c r="S373">
        <f t="shared" si="122"/>
        <v>3.1021404917989499E-2</v>
      </c>
      <c r="T373" s="14">
        <f t="shared" si="110"/>
        <v>6.5515542103129862E-2</v>
      </c>
      <c r="U373" t="str">
        <f t="shared" si="123"/>
        <v>No Impact</v>
      </c>
      <c r="V373">
        <f t="shared" si="124"/>
        <v>3.3430914479395099E-2</v>
      </c>
      <c r="W373">
        <f t="shared" si="111"/>
        <v>6.0686921025111792E-2</v>
      </c>
      <c r="X373" t="s">
        <v>1170</v>
      </c>
      <c r="Y373">
        <f t="shared" si="112"/>
        <v>2.86118953565839E-2</v>
      </c>
      <c r="Z373">
        <f t="shared" si="125"/>
        <v>6.3263768698760367E-2</v>
      </c>
      <c r="AA373" t="s">
        <v>1170</v>
      </c>
      <c r="AB373">
        <f t="shared" si="113"/>
        <v>2.6009735623053264E-2</v>
      </c>
      <c r="AC373">
        <f t="shared" si="126"/>
        <v>7.6282809185814787E-2</v>
      </c>
      <c r="AD373" t="str">
        <f t="shared" si="127"/>
        <v>No Impact</v>
      </c>
      <c r="AE373">
        <f t="shared" si="114"/>
        <v>1.6358134137970885E-2</v>
      </c>
      <c r="AF373">
        <f t="shared" si="128"/>
        <v>0.10779703030048045</v>
      </c>
      <c r="AG373" t="s">
        <v>1169</v>
      </c>
    </row>
    <row r="374" spans="1:33" customFormat="1" x14ac:dyDescent="0.3">
      <c r="A374">
        <v>457283</v>
      </c>
      <c r="B374" t="s">
        <v>422</v>
      </c>
      <c r="C374" t="s">
        <v>916</v>
      </c>
      <c r="D374" t="s">
        <v>923</v>
      </c>
      <c r="E374" s="21">
        <v>5.3</v>
      </c>
      <c r="F374" s="2">
        <f t="shared" si="115"/>
        <v>0.46666666666666656</v>
      </c>
      <c r="G374" s="10">
        <v>28.279440000000001</v>
      </c>
      <c r="H374">
        <f t="shared" si="116"/>
        <v>0.25811602965143793</v>
      </c>
      <c r="I374" s="12">
        <v>0.79999999999999949</v>
      </c>
      <c r="J374" s="2">
        <f t="shared" si="117"/>
        <v>1.9389238972370324E-3</v>
      </c>
      <c r="K374" s="10">
        <v>0</v>
      </c>
      <c r="L374" s="2">
        <f t="shared" si="118"/>
        <v>0</v>
      </c>
      <c r="M374">
        <v>51043</v>
      </c>
      <c r="N374">
        <f t="shared" si="119"/>
        <v>0.24037510704839771</v>
      </c>
      <c r="O374" s="10">
        <v>0.61370435899999998</v>
      </c>
      <c r="P374">
        <f t="shared" si="120"/>
        <v>0.58039993166370807</v>
      </c>
      <c r="Q374" s="23">
        <v>0.29120000000000001</v>
      </c>
      <c r="R374" s="13">
        <f t="shared" si="121"/>
        <v>0.63057600692940674</v>
      </c>
      <c r="S374">
        <f t="shared" si="122"/>
        <v>2.5718490469183956E-2</v>
      </c>
      <c r="T374" s="14">
        <f t="shared" si="110"/>
        <v>5.4316071422853149E-2</v>
      </c>
      <c r="U374" t="str">
        <f t="shared" si="123"/>
        <v>No Impact</v>
      </c>
      <c r="V374">
        <f t="shared" si="124"/>
        <v>2.6784120984519506E-2</v>
      </c>
      <c r="W374">
        <f t="shared" si="111"/>
        <v>4.8621040142841632E-2</v>
      </c>
      <c r="X374" t="s">
        <v>1170</v>
      </c>
      <c r="Y374">
        <f t="shared" si="112"/>
        <v>2.4652859953848413E-2</v>
      </c>
      <c r="Z374">
        <f t="shared" si="125"/>
        <v>5.450994456836325E-2</v>
      </c>
      <c r="AA374" t="s">
        <v>1170</v>
      </c>
      <c r="AB374">
        <f t="shared" si="113"/>
        <v>2.034383081292318E-2</v>
      </c>
      <c r="AC374">
        <f t="shared" si="126"/>
        <v>5.9665526266834995E-2</v>
      </c>
      <c r="AD374" t="str">
        <f t="shared" si="127"/>
        <v>No Impact</v>
      </c>
      <c r="AE374">
        <f t="shared" si="114"/>
        <v>1.0210087091962373E-2</v>
      </c>
      <c r="AF374">
        <f t="shared" si="128"/>
        <v>6.7282555476057257E-2</v>
      </c>
      <c r="AG374" t="s">
        <v>1170</v>
      </c>
    </row>
    <row r="375" spans="1:33" customFormat="1" x14ac:dyDescent="0.3">
      <c r="A375">
        <v>458937</v>
      </c>
      <c r="B375" t="s">
        <v>225</v>
      </c>
      <c r="C375" t="s">
        <v>925</v>
      </c>
      <c r="D375" t="s">
        <v>924</v>
      </c>
      <c r="E375" s="21">
        <v>4.7</v>
      </c>
      <c r="F375" s="2">
        <f t="shared" si="115"/>
        <v>0.33333333333333331</v>
      </c>
      <c r="G375" s="10">
        <v>30.402360000000002</v>
      </c>
      <c r="H375">
        <f t="shared" si="116"/>
        <v>0.27749263971400034</v>
      </c>
      <c r="I375" s="12">
        <v>0.10000000000000005</v>
      </c>
      <c r="J375" s="2">
        <f t="shared" si="117"/>
        <v>2.4236548715462933E-4</v>
      </c>
      <c r="K375" s="10">
        <v>0</v>
      </c>
      <c r="L375" s="2">
        <f t="shared" si="118"/>
        <v>0</v>
      </c>
      <c r="M375">
        <v>16994</v>
      </c>
      <c r="N375">
        <f t="shared" si="119"/>
        <v>7.9274957062355392E-2</v>
      </c>
      <c r="O375" s="10">
        <v>0.82397814199999997</v>
      </c>
      <c r="P375">
        <f t="shared" si="120"/>
        <v>0.81197209473372634</v>
      </c>
      <c r="Q375" s="23">
        <v>0.30470000000000003</v>
      </c>
      <c r="R375" s="13">
        <f t="shared" si="121"/>
        <v>0.65980944131658736</v>
      </c>
      <c r="S375">
        <f t="shared" si="122"/>
        <v>2.3844639733244032E-2</v>
      </c>
      <c r="T375" s="14">
        <f t="shared" si="110"/>
        <v>5.0358599248075536E-2</v>
      </c>
      <c r="U375" t="str">
        <f t="shared" si="123"/>
        <v>No Impact</v>
      </c>
      <c r="V375">
        <f t="shared" si="124"/>
        <v>2.1379420838513911E-2</v>
      </c>
      <c r="W375">
        <f t="shared" si="111"/>
        <v>3.8809923216105789E-2</v>
      </c>
      <c r="X375" t="s">
        <v>1170</v>
      </c>
      <c r="Y375">
        <f t="shared" si="112"/>
        <v>2.6309858627974154E-2</v>
      </c>
      <c r="Z375">
        <f t="shared" si="125"/>
        <v>5.817373473492142E-2</v>
      </c>
      <c r="AA375" t="s">
        <v>1170</v>
      </c>
      <c r="AB375">
        <f t="shared" si="113"/>
        <v>1.6274799965196859E-2</v>
      </c>
      <c r="AC375">
        <f t="shared" si="126"/>
        <v>4.7731644730062042E-2</v>
      </c>
      <c r="AD375" t="str">
        <f t="shared" si="127"/>
        <v>No Impact</v>
      </c>
      <c r="AE375">
        <f t="shared" si="114"/>
        <v>2.5687002380707044E-3</v>
      </c>
      <c r="AF375">
        <f t="shared" si="128"/>
        <v>1.6927251913983046E-2</v>
      </c>
      <c r="AG375" t="s">
        <v>1170</v>
      </c>
    </row>
    <row r="376" spans="1:33" customFormat="1" x14ac:dyDescent="0.3">
      <c r="A376">
        <v>458967</v>
      </c>
      <c r="B376" t="s">
        <v>366</v>
      </c>
      <c r="C376" t="s">
        <v>925</v>
      </c>
      <c r="D376" t="s">
        <v>926</v>
      </c>
      <c r="E376" s="21">
        <v>5.8</v>
      </c>
      <c r="F376" s="2">
        <f t="shared" si="115"/>
        <v>0.57777777777777772</v>
      </c>
      <c r="G376" s="10">
        <v>29.067119999999999</v>
      </c>
      <c r="H376">
        <f t="shared" si="116"/>
        <v>0.26530545186898691</v>
      </c>
      <c r="I376" s="12">
        <v>0.29999999999999993</v>
      </c>
      <c r="J376" s="2">
        <f t="shared" si="117"/>
        <v>7.2709646146388749E-4</v>
      </c>
      <c r="K376" s="10">
        <v>0</v>
      </c>
      <c r="L376" s="2">
        <f t="shared" si="118"/>
        <v>0</v>
      </c>
      <c r="M376">
        <v>17930</v>
      </c>
      <c r="N376">
        <f t="shared" si="119"/>
        <v>8.3703567018211245E-2</v>
      </c>
      <c r="O376" s="10">
        <v>0.73744456999999997</v>
      </c>
      <c r="P376">
        <f t="shared" si="120"/>
        <v>0.7166736406881492</v>
      </c>
      <c r="Q376" s="23">
        <v>0.28889999999999999</v>
      </c>
      <c r="R376" s="13">
        <f t="shared" si="121"/>
        <v>0.62559549588566477</v>
      </c>
      <c r="S376">
        <f t="shared" si="122"/>
        <v>3.610549153808016E-2</v>
      </c>
      <c r="T376" s="14">
        <f t="shared" si="110"/>
        <v>7.6252860154813265E-2</v>
      </c>
      <c r="U376" t="str">
        <f t="shared" si="123"/>
        <v>No Impact</v>
      </c>
      <c r="V376">
        <f t="shared" si="124"/>
        <v>3.3655594496668675E-2</v>
      </c>
      <c r="W376">
        <f t="shared" si="111"/>
        <v>6.1094781195153096E-2</v>
      </c>
      <c r="X376" t="s">
        <v>1170</v>
      </c>
      <c r="Y376">
        <f t="shared" si="112"/>
        <v>3.8555388579491652E-2</v>
      </c>
      <c r="Z376">
        <f t="shared" si="125"/>
        <v>8.524982895348493E-2</v>
      </c>
      <c r="AA376" t="s">
        <v>1170</v>
      </c>
      <c r="AB376">
        <f t="shared" si="113"/>
        <v>2.4922145231318815E-2</v>
      </c>
      <c r="AC376">
        <f t="shared" si="126"/>
        <v>7.3093063179651224E-2</v>
      </c>
      <c r="AD376" t="str">
        <f t="shared" si="127"/>
        <v>No Impact</v>
      </c>
      <c r="AE376">
        <f t="shared" si="114"/>
        <v>4.5030588103922445E-3</v>
      </c>
      <c r="AF376">
        <f t="shared" si="128"/>
        <v>2.9674311442521941E-2</v>
      </c>
      <c r="AG376" t="s">
        <v>1170</v>
      </c>
    </row>
    <row r="377" spans="1:33" customFormat="1" x14ac:dyDescent="0.3">
      <c r="A377">
        <v>458970</v>
      </c>
      <c r="B377" t="s">
        <v>368</v>
      </c>
      <c r="C377" t="s">
        <v>925</v>
      </c>
      <c r="D377" t="s">
        <v>927</v>
      </c>
      <c r="E377" s="21">
        <v>5.8</v>
      </c>
      <c r="F377" s="2">
        <f t="shared" si="115"/>
        <v>0.57777777777777772</v>
      </c>
      <c r="G377" s="10">
        <v>28.745280000000001</v>
      </c>
      <c r="H377">
        <f t="shared" si="116"/>
        <v>0.26236790915304142</v>
      </c>
      <c r="I377" s="12">
        <v>0</v>
      </c>
      <c r="J377" s="2">
        <f t="shared" si="117"/>
        <v>0</v>
      </c>
      <c r="K377" s="10">
        <v>0</v>
      </c>
      <c r="L377" s="2">
        <f t="shared" si="118"/>
        <v>0</v>
      </c>
      <c r="M377">
        <v>28699</v>
      </c>
      <c r="N377">
        <f t="shared" si="119"/>
        <v>0.13465623861501846</v>
      </c>
      <c r="O377" s="10">
        <v>0.83568923399999995</v>
      </c>
      <c r="P377">
        <f t="shared" si="120"/>
        <v>0.82486938924025055</v>
      </c>
      <c r="Q377" s="23">
        <v>0.30330000000000001</v>
      </c>
      <c r="R377" s="13">
        <f t="shared" si="121"/>
        <v>0.65677782589865752</v>
      </c>
      <c r="S377">
        <f t="shared" si="122"/>
        <v>3.9305597840440423E-2</v>
      </c>
      <c r="T377" s="14">
        <f t="shared" si="110"/>
        <v>8.301131289868606E-2</v>
      </c>
      <c r="U377" t="str">
        <f t="shared" si="123"/>
        <v>No Impact</v>
      </c>
      <c r="V377">
        <f t="shared" si="124"/>
        <v>3.4846412602842443E-2</v>
      </c>
      <c r="W377">
        <f t="shared" si="111"/>
        <v>6.3256465537027198E-2</v>
      </c>
      <c r="X377" t="s">
        <v>1170</v>
      </c>
      <c r="Y377">
        <f t="shared" si="112"/>
        <v>4.3764783078038404E-2</v>
      </c>
      <c r="Z377">
        <f t="shared" si="125"/>
        <v>9.6768322381108204E-2</v>
      </c>
      <c r="AA377" t="s">
        <v>1170</v>
      </c>
      <c r="AB377">
        <f t="shared" si="113"/>
        <v>2.7826221120156949E-2</v>
      </c>
      <c r="AC377">
        <f t="shared" si="126"/>
        <v>8.1610299575280501E-2</v>
      </c>
      <c r="AD377" t="str">
        <f t="shared" si="127"/>
        <v>No Impact</v>
      </c>
      <c r="AE377">
        <f t="shared" si="114"/>
        <v>7.1444051021444972E-3</v>
      </c>
      <c r="AF377">
        <f t="shared" si="128"/>
        <v>4.7080287200182404E-2</v>
      </c>
      <c r="AG377" t="s">
        <v>1170</v>
      </c>
    </row>
    <row r="378" spans="1:33" customFormat="1" x14ac:dyDescent="0.3">
      <c r="A378">
        <v>458988</v>
      </c>
      <c r="B378" t="s">
        <v>484</v>
      </c>
      <c r="C378" t="s">
        <v>925</v>
      </c>
      <c r="D378" t="s">
        <v>928</v>
      </c>
      <c r="E378" s="21">
        <v>5.8</v>
      </c>
      <c r="F378" s="2">
        <f t="shared" si="115"/>
        <v>0.57777777777777772</v>
      </c>
      <c r="G378" s="10">
        <v>30.92652</v>
      </c>
      <c r="H378">
        <f t="shared" si="116"/>
        <v>0.2822768256137953</v>
      </c>
      <c r="I378" s="12">
        <v>9.9999999999999825E-2</v>
      </c>
      <c r="J378" s="2">
        <f t="shared" si="117"/>
        <v>2.4236548715462879E-4</v>
      </c>
      <c r="K378" s="10">
        <v>0</v>
      </c>
      <c r="L378" s="2">
        <f t="shared" si="118"/>
        <v>0</v>
      </c>
      <c r="M378">
        <v>54612</v>
      </c>
      <c r="N378">
        <f t="shared" si="119"/>
        <v>0.25726154821554459</v>
      </c>
      <c r="O378" s="10">
        <v>0.73536113199999997</v>
      </c>
      <c r="P378">
        <f t="shared" si="120"/>
        <v>0.71437917374415416</v>
      </c>
      <c r="Q378" s="23">
        <v>0.30759999999999998</v>
      </c>
      <c r="R378" s="13">
        <f t="shared" si="121"/>
        <v>0.66608921611087046</v>
      </c>
      <c r="S378">
        <f t="shared" si="122"/>
        <v>3.9434224409607539E-2</v>
      </c>
      <c r="T378" s="14">
        <f t="shared" si="110"/>
        <v>8.3282965308695459E-2</v>
      </c>
      <c r="U378" t="str">
        <f t="shared" si="123"/>
        <v>No Impact</v>
      </c>
      <c r="V378">
        <f t="shared" si="124"/>
        <v>3.8054781721867804E-2</v>
      </c>
      <c r="W378">
        <f t="shared" si="111"/>
        <v>6.9080597074490976E-2</v>
      </c>
      <c r="X378" t="s">
        <v>1170</v>
      </c>
      <c r="Y378">
        <f t="shared" si="112"/>
        <v>4.081366709734726E-2</v>
      </c>
      <c r="Z378">
        <f t="shared" si="125"/>
        <v>9.0243109127009724E-2</v>
      </c>
      <c r="AA378" t="s">
        <v>1170</v>
      </c>
      <c r="AB378">
        <f t="shared" si="113"/>
        <v>3.0707496366142343E-2</v>
      </c>
      <c r="AC378">
        <f t="shared" si="126"/>
        <v>9.006066496871061E-2</v>
      </c>
      <c r="AD378" t="str">
        <f t="shared" si="127"/>
        <v>No Impact</v>
      </c>
      <c r="AE378">
        <f t="shared" si="114"/>
        <v>1.4697778955098367E-2</v>
      </c>
      <c r="AF378">
        <f t="shared" si="128"/>
        <v>9.6855601623586737E-2</v>
      </c>
      <c r="AG378" t="s">
        <v>1170</v>
      </c>
    </row>
    <row r="379" spans="1:33" customFormat="1" x14ac:dyDescent="0.3">
      <c r="A379">
        <v>458990</v>
      </c>
      <c r="B379" t="s">
        <v>500</v>
      </c>
      <c r="C379" t="s">
        <v>925</v>
      </c>
      <c r="D379" t="s">
        <v>929</v>
      </c>
      <c r="E379" s="21">
        <v>5.8</v>
      </c>
      <c r="F379" s="2">
        <f t="shared" si="115"/>
        <v>0.57777777777777772</v>
      </c>
      <c r="G379" s="10">
        <v>30.92652</v>
      </c>
      <c r="H379">
        <f t="shared" si="116"/>
        <v>0.2822768256137953</v>
      </c>
      <c r="I379" s="12">
        <v>0.10000000000000005</v>
      </c>
      <c r="J379" s="2">
        <f t="shared" si="117"/>
        <v>2.4236548715462933E-4</v>
      </c>
      <c r="K379" s="10">
        <v>0</v>
      </c>
      <c r="L379" s="2">
        <f t="shared" si="118"/>
        <v>0</v>
      </c>
      <c r="M379">
        <v>22103</v>
      </c>
      <c r="N379">
        <f t="shared" si="119"/>
        <v>0.1034477864047352</v>
      </c>
      <c r="O379" s="10">
        <v>0.72199898500000004</v>
      </c>
      <c r="P379">
        <f t="shared" si="120"/>
        <v>0.69966359085073404</v>
      </c>
      <c r="Q379" s="23">
        <v>0.3135</v>
      </c>
      <c r="R379" s="13">
        <f t="shared" si="121"/>
        <v>0.67886530965786052</v>
      </c>
      <c r="S379">
        <f t="shared" si="122"/>
        <v>3.9378821287964744E-2</v>
      </c>
      <c r="T379" s="14">
        <f t="shared" si="110"/>
        <v>8.3165956889565851E-2</v>
      </c>
      <c r="U379" t="str">
        <f t="shared" si="123"/>
        <v>No Impact</v>
      </c>
      <c r="V379">
        <f t="shared" si="124"/>
        <v>3.8784701137209228E-2</v>
      </c>
      <c r="W379">
        <f t="shared" si="111"/>
        <v>7.0405615028780635E-2</v>
      </c>
      <c r="X379" t="s">
        <v>1170</v>
      </c>
      <c r="Y379">
        <f t="shared" si="112"/>
        <v>3.9972941438720259E-2</v>
      </c>
      <c r="Z379">
        <f t="shared" si="125"/>
        <v>8.838418042118204E-2</v>
      </c>
      <c r="AA379" t="s">
        <v>1170</v>
      </c>
      <c r="AB379">
        <f t="shared" si="113"/>
        <v>2.7635078096793865E-2</v>
      </c>
      <c r="AC379">
        <f t="shared" si="126"/>
        <v>8.1049704612312784E-2</v>
      </c>
      <c r="AD379" t="str">
        <f t="shared" si="127"/>
        <v>No Impact</v>
      </c>
      <c r="AE379">
        <f t="shared" si="114"/>
        <v>5.9101436204415927E-3</v>
      </c>
      <c r="AF379">
        <f t="shared" si="128"/>
        <v>3.8946735951632255E-2</v>
      </c>
      <c r="AG379" t="s">
        <v>1170</v>
      </c>
    </row>
    <row r="380" spans="1:33" customFormat="1" x14ac:dyDescent="0.3">
      <c r="A380">
        <v>501006</v>
      </c>
      <c r="B380" t="s">
        <v>2</v>
      </c>
      <c r="C380" t="s">
        <v>1157</v>
      </c>
      <c r="D380" t="s">
        <v>930</v>
      </c>
      <c r="E380" s="21">
        <v>6.2</v>
      </c>
      <c r="F380" s="2">
        <f t="shared" si="115"/>
        <v>0.66666666666666663</v>
      </c>
      <c r="G380" s="10">
        <v>33.679079999999999</v>
      </c>
      <c r="H380">
        <f t="shared" si="116"/>
        <v>0.30740037327164715</v>
      </c>
      <c r="I380" s="12">
        <v>0.29999999999999993</v>
      </c>
      <c r="J380" s="2">
        <f t="shared" si="117"/>
        <v>7.2709646146388749E-4</v>
      </c>
      <c r="K380" s="10">
        <v>0</v>
      </c>
      <c r="L380" s="2">
        <f t="shared" si="118"/>
        <v>0</v>
      </c>
      <c r="M380">
        <v>21874</v>
      </c>
      <c r="N380">
        <f t="shared" si="119"/>
        <v>0.10236429102023628</v>
      </c>
      <c r="O380" s="10">
        <v>0.84573925900000002</v>
      </c>
      <c r="P380">
        <f t="shared" si="120"/>
        <v>0.83593736925636974</v>
      </c>
      <c r="Q380" s="23">
        <v>0.29670000000000002</v>
      </c>
      <c r="R380" s="13">
        <f t="shared" si="121"/>
        <v>0.64248592464270249</v>
      </c>
      <c r="S380">
        <f t="shared" si="122"/>
        <v>5.3146663353421483E-2</v>
      </c>
      <c r="T380" s="14">
        <f t="shared" si="110"/>
        <v>0.11224290033855819</v>
      </c>
      <c r="U380" t="str">
        <f t="shared" si="123"/>
        <v>No Impact</v>
      </c>
      <c r="V380">
        <f t="shared" si="124"/>
        <v>4.6192431203168641E-2</v>
      </c>
      <c r="W380">
        <f t="shared" si="111"/>
        <v>8.385281910587232E-2</v>
      </c>
      <c r="X380" t="s">
        <v>1170</v>
      </c>
      <c r="Y380">
        <f t="shared" si="112"/>
        <v>6.0100895503674319E-2</v>
      </c>
      <c r="Z380">
        <f t="shared" si="125"/>
        <v>0.13288910449121613</v>
      </c>
      <c r="AA380" t="s">
        <v>1170</v>
      </c>
      <c r="AB380">
        <f t="shared" si="113"/>
        <v>3.6773488320830279E-2</v>
      </c>
      <c r="AC380">
        <f t="shared" si="126"/>
        <v>0.10785134587021175</v>
      </c>
      <c r="AD380" t="str">
        <f t="shared" si="127"/>
        <v>No Impact</v>
      </c>
      <c r="AE380">
        <f t="shared" si="114"/>
        <v>7.3596249960541519E-3</v>
      </c>
      <c r="AF380">
        <f t="shared" si="128"/>
        <v>4.8498545861553367E-2</v>
      </c>
      <c r="AG380" t="s">
        <v>1170</v>
      </c>
    </row>
    <row r="381" spans="1:33" customFormat="1" x14ac:dyDescent="0.3">
      <c r="A381">
        <v>501020</v>
      </c>
      <c r="B381" t="s">
        <v>87</v>
      </c>
      <c r="C381" t="s">
        <v>1157</v>
      </c>
      <c r="D381" t="s">
        <v>931</v>
      </c>
      <c r="E381" s="21">
        <v>6.1</v>
      </c>
      <c r="F381" s="2">
        <f t="shared" si="115"/>
        <v>0.64444444444444438</v>
      </c>
      <c r="G381" s="10">
        <v>33.778080000000003</v>
      </c>
      <c r="H381">
        <f t="shared" si="116"/>
        <v>0.30830397981178703</v>
      </c>
      <c r="I381" s="12">
        <v>0</v>
      </c>
      <c r="J381" s="2">
        <f t="shared" si="117"/>
        <v>0</v>
      </c>
      <c r="K381" s="10">
        <v>0</v>
      </c>
      <c r="L381" s="2">
        <f t="shared" si="118"/>
        <v>0</v>
      </c>
      <c r="M381">
        <v>69668</v>
      </c>
      <c r="N381">
        <f t="shared" si="119"/>
        <v>0.32849782118067877</v>
      </c>
      <c r="O381" s="10">
        <v>0.62872481300000005</v>
      </c>
      <c r="P381">
        <f t="shared" si="120"/>
        <v>0.59694178949043353</v>
      </c>
      <c r="Q381" s="23">
        <v>0.27989999999999998</v>
      </c>
      <c r="R381" s="13">
        <f t="shared" si="121"/>
        <v>0.60610653962754435</v>
      </c>
      <c r="S381">
        <f t="shared" si="122"/>
        <v>4.1829795176620894E-2</v>
      </c>
      <c r="T381" s="14">
        <f t="shared" si="110"/>
        <v>8.8342282185613435E-2</v>
      </c>
      <c r="U381" t="str">
        <f t="shared" si="123"/>
        <v>No Impact</v>
      </c>
      <c r="V381">
        <f t="shared" si="124"/>
        <v>4.214845205166208E-2</v>
      </c>
      <c r="W381">
        <f t="shared" si="111"/>
        <v>7.6511810126116839E-2</v>
      </c>
      <c r="X381" t="s">
        <v>1170</v>
      </c>
      <c r="Y381">
        <f t="shared" si="112"/>
        <v>4.1511138301579709E-2</v>
      </c>
      <c r="Z381">
        <f t="shared" si="125"/>
        <v>9.1785287874299668E-2</v>
      </c>
      <c r="AA381" t="s">
        <v>1170</v>
      </c>
      <c r="AB381">
        <f t="shared" si="113"/>
        <v>3.5200570862973707E-2</v>
      </c>
      <c r="AC381">
        <f t="shared" si="126"/>
        <v>0.10323820546611007</v>
      </c>
      <c r="AD381" t="str">
        <f t="shared" si="127"/>
        <v>No Impact</v>
      </c>
      <c r="AE381">
        <f t="shared" si="114"/>
        <v>2.2843631869765905E-2</v>
      </c>
      <c r="AF381">
        <f t="shared" si="128"/>
        <v>0.1505352417377615</v>
      </c>
      <c r="AG381" t="s">
        <v>1169</v>
      </c>
    </row>
    <row r="382" spans="1:33" customFormat="1" x14ac:dyDescent="0.3">
      <c r="A382">
        <v>501027</v>
      </c>
      <c r="B382" t="s">
        <v>148</v>
      </c>
      <c r="C382" t="s">
        <v>1157</v>
      </c>
      <c r="D382" t="s">
        <v>932</v>
      </c>
      <c r="E382" s="21">
        <v>4.8</v>
      </c>
      <c r="F382" s="2">
        <f t="shared" si="115"/>
        <v>0.35555555555555546</v>
      </c>
      <c r="G382" s="10">
        <v>33.778080000000003</v>
      </c>
      <c r="H382">
        <f t="shared" si="116"/>
        <v>0.30830397981178703</v>
      </c>
      <c r="I382" s="12">
        <v>9.9999999999999825E-2</v>
      </c>
      <c r="J382" s="2">
        <f t="shared" si="117"/>
        <v>2.4236548715462879E-4</v>
      </c>
      <c r="K382" s="10">
        <v>0</v>
      </c>
      <c r="L382" s="2">
        <f t="shared" si="118"/>
        <v>0</v>
      </c>
      <c r="M382">
        <v>18408</v>
      </c>
      <c r="N382">
        <f t="shared" si="119"/>
        <v>8.5965186205069238E-2</v>
      </c>
      <c r="O382" s="10">
        <v>0.78677632600000003</v>
      </c>
      <c r="P382">
        <f t="shared" si="120"/>
        <v>0.77100215127076588</v>
      </c>
      <c r="Q382" s="23">
        <v>0.28570000000000001</v>
      </c>
      <c r="R382" s="13">
        <f t="shared" si="121"/>
        <v>0.61866608921611088</v>
      </c>
      <c r="S382">
        <f t="shared" si="122"/>
        <v>2.6679461310770269E-2</v>
      </c>
      <c r="T382" s="14">
        <f t="shared" si="110"/>
        <v>5.6345590259871334E-2</v>
      </c>
      <c r="U382" t="str">
        <f t="shared" si="123"/>
        <v>No Impact</v>
      </c>
      <c r="V382">
        <f t="shared" si="124"/>
        <v>2.3754846675842482E-2</v>
      </c>
      <c r="W382">
        <f t="shared" si="111"/>
        <v>4.312201824658482E-2</v>
      </c>
      <c r="X382" t="s">
        <v>1170</v>
      </c>
      <c r="Y382">
        <f t="shared" si="112"/>
        <v>2.9604075945698055E-2</v>
      </c>
      <c r="Z382">
        <f t="shared" si="125"/>
        <v>6.5457579437784824E-2</v>
      </c>
      <c r="AA382" t="s">
        <v>1170</v>
      </c>
      <c r="AB382">
        <f t="shared" si="113"/>
        <v>1.8350697304520359E-2</v>
      </c>
      <c r="AC382">
        <f t="shared" si="126"/>
        <v>5.3819952697506349E-2</v>
      </c>
      <c r="AD382" t="str">
        <f t="shared" si="127"/>
        <v>No Impact</v>
      </c>
      <c r="AE382">
        <f t="shared" si="114"/>
        <v>3.3007948121887951E-3</v>
      </c>
      <c r="AF382">
        <f t="shared" si="128"/>
        <v>2.1751617597954284E-2</v>
      </c>
      <c r="AG382" t="s">
        <v>1170</v>
      </c>
    </row>
    <row r="383" spans="1:33" customFormat="1" x14ac:dyDescent="0.3">
      <c r="A383">
        <v>501033</v>
      </c>
      <c r="B383" t="s">
        <v>149</v>
      </c>
      <c r="C383" t="s">
        <v>1157</v>
      </c>
      <c r="D383" t="s">
        <v>933</v>
      </c>
      <c r="E383" s="21">
        <v>6.1</v>
      </c>
      <c r="F383" s="2">
        <f t="shared" si="115"/>
        <v>0.64444444444444438</v>
      </c>
      <c r="G383" s="10">
        <v>33.522840000000002</v>
      </c>
      <c r="H383">
        <f t="shared" si="116"/>
        <v>0.30597431785920826</v>
      </c>
      <c r="I383" s="12">
        <v>9.9999999999999825E-2</v>
      </c>
      <c r="J383" s="2">
        <f t="shared" si="117"/>
        <v>2.4236548715462879E-4</v>
      </c>
      <c r="K383" s="10">
        <v>0</v>
      </c>
      <c r="L383" s="2">
        <f t="shared" si="118"/>
        <v>0</v>
      </c>
      <c r="M383">
        <v>19139</v>
      </c>
      <c r="N383">
        <f t="shared" si="119"/>
        <v>8.9423854877858366E-2</v>
      </c>
      <c r="O383" s="10">
        <v>0.836218452</v>
      </c>
      <c r="P383">
        <f t="shared" si="120"/>
        <v>0.82545221109872069</v>
      </c>
      <c r="Q383" s="23">
        <v>0.28749999999999998</v>
      </c>
      <c r="R383" s="13">
        <f t="shared" si="121"/>
        <v>0.62256388046773492</v>
      </c>
      <c r="S383">
        <f t="shared" si="122"/>
        <v>5.0006420585168666E-2</v>
      </c>
      <c r="T383" s="14">
        <f t="shared" si="110"/>
        <v>0.10561087616552631</v>
      </c>
      <c r="U383" t="str">
        <f t="shared" si="123"/>
        <v>No Impact</v>
      </c>
      <c r="V383">
        <f t="shared" si="124"/>
        <v>4.2999786299509409E-2</v>
      </c>
      <c r="W383">
        <f t="shared" si="111"/>
        <v>7.805723163401268E-2</v>
      </c>
      <c r="X383" t="s">
        <v>1170</v>
      </c>
      <c r="Y383">
        <f t="shared" si="112"/>
        <v>5.701305487082791E-2</v>
      </c>
      <c r="Z383">
        <f t="shared" si="125"/>
        <v>0.12606157932588039</v>
      </c>
      <c r="AA383" t="s">
        <v>1170</v>
      </c>
      <c r="AB383">
        <f t="shared" si="113"/>
        <v>3.4315583408029419E-2</v>
      </c>
      <c r="AC383">
        <f t="shared" si="126"/>
        <v>0.10064266469877066</v>
      </c>
      <c r="AD383" t="str">
        <f t="shared" si="127"/>
        <v>No Impact</v>
      </c>
      <c r="AE383">
        <f t="shared" si="114"/>
        <v>6.1764049770078721E-3</v>
      </c>
      <c r="AF383">
        <f t="shared" si="128"/>
        <v>4.0701348261296476E-2</v>
      </c>
      <c r="AG383" t="s">
        <v>1170</v>
      </c>
    </row>
    <row r="384" spans="1:33" customFormat="1" x14ac:dyDescent="0.3">
      <c r="A384">
        <v>501040</v>
      </c>
      <c r="B384" t="s">
        <v>173</v>
      </c>
      <c r="C384" t="s">
        <v>1157</v>
      </c>
      <c r="D384" t="s">
        <v>934</v>
      </c>
      <c r="E384" s="21">
        <v>6.1</v>
      </c>
      <c r="F384" s="2">
        <f t="shared" si="115"/>
        <v>0.64444444444444438</v>
      </c>
      <c r="G384" s="10">
        <v>33.778080000000003</v>
      </c>
      <c r="H384">
        <f t="shared" si="116"/>
        <v>0.30830397981178703</v>
      </c>
      <c r="I384" s="12">
        <v>0.20000000000000009</v>
      </c>
      <c r="J384" s="2">
        <f t="shared" si="117"/>
        <v>4.8473097430925865E-4</v>
      </c>
      <c r="K384" s="10">
        <v>0</v>
      </c>
      <c r="L384" s="2">
        <f t="shared" si="118"/>
        <v>0</v>
      </c>
      <c r="M384">
        <v>26980</v>
      </c>
      <c r="N384">
        <f t="shared" si="119"/>
        <v>0.12652292609993707</v>
      </c>
      <c r="O384" s="10">
        <v>0.717906763</v>
      </c>
      <c r="P384">
        <f t="shared" si="120"/>
        <v>0.69515687257714531</v>
      </c>
      <c r="Q384" s="23">
        <v>0.30130000000000001</v>
      </c>
      <c r="R384" s="13">
        <f t="shared" si="121"/>
        <v>0.65244694673018622</v>
      </c>
      <c r="S384">
        <f t="shared" si="122"/>
        <v>4.6929635411616148E-2</v>
      </c>
      <c r="T384" s="14">
        <f t="shared" si="110"/>
        <v>9.91128710263951E-2</v>
      </c>
      <c r="U384" t="str">
        <f t="shared" si="123"/>
        <v>No Impact</v>
      </c>
      <c r="V384">
        <f t="shared" si="124"/>
        <v>4.5442283402265797E-2</v>
      </c>
      <c r="W384">
        <f t="shared" si="111"/>
        <v>8.2491080695198254E-2</v>
      </c>
      <c r="X384" t="s">
        <v>1170</v>
      </c>
      <c r="Y384">
        <f t="shared" si="112"/>
        <v>4.8416987420966479E-2</v>
      </c>
      <c r="Z384">
        <f t="shared" si="125"/>
        <v>0.10705481252174284</v>
      </c>
      <c r="AA384" t="s">
        <v>1170</v>
      </c>
      <c r="AB384">
        <f t="shared" si="113"/>
        <v>3.3514164172935124E-2</v>
      </c>
      <c r="AC384">
        <f t="shared" si="126"/>
        <v>9.8292217486444733E-2</v>
      </c>
      <c r="AD384" t="str">
        <f t="shared" si="127"/>
        <v>No Impact</v>
      </c>
      <c r="AE384">
        <f t="shared" si="114"/>
        <v>8.8121964452918568E-3</v>
      </c>
      <c r="AF384">
        <f t="shared" si="128"/>
        <v>5.8070718776044007E-2</v>
      </c>
      <c r="AG384" t="s">
        <v>1170</v>
      </c>
    </row>
    <row r="385" spans="1:33" customFormat="1" x14ac:dyDescent="0.3">
      <c r="A385">
        <v>501054</v>
      </c>
      <c r="B385" t="s">
        <v>236</v>
      </c>
      <c r="C385" t="s">
        <v>1157</v>
      </c>
      <c r="D385" t="s">
        <v>935</v>
      </c>
      <c r="E385" s="21">
        <v>5.9</v>
      </c>
      <c r="F385" s="2">
        <f t="shared" si="115"/>
        <v>0.60000000000000009</v>
      </c>
      <c r="G385" s="10">
        <v>33.204599999999999</v>
      </c>
      <c r="H385">
        <f t="shared" si="116"/>
        <v>0.30306963356290417</v>
      </c>
      <c r="I385" s="12">
        <v>0</v>
      </c>
      <c r="J385" s="2">
        <f t="shared" si="117"/>
        <v>0</v>
      </c>
      <c r="K385" s="10">
        <v>0</v>
      </c>
      <c r="L385" s="2">
        <f t="shared" si="118"/>
        <v>0</v>
      </c>
      <c r="M385">
        <v>34433</v>
      </c>
      <c r="N385">
        <f t="shared" si="119"/>
        <v>0.16178620601552851</v>
      </c>
      <c r="O385" s="10">
        <v>0.82462765900000001</v>
      </c>
      <c r="P385">
        <f t="shared" si="120"/>
        <v>0.81268740053407307</v>
      </c>
      <c r="Q385" s="23">
        <v>0.2903</v>
      </c>
      <c r="R385" s="13">
        <f t="shared" si="121"/>
        <v>0.62862711130359461</v>
      </c>
      <c r="S385">
        <f t="shared" si="122"/>
        <v>4.5865959399911498E-2</v>
      </c>
      <c r="T385" s="14">
        <f t="shared" si="110"/>
        <v>9.68664443828193E-2</v>
      </c>
      <c r="U385" t="str">
        <f t="shared" si="123"/>
        <v>No Impact</v>
      </c>
      <c r="V385">
        <f t="shared" si="124"/>
        <v>4.0008735536802356E-2</v>
      </c>
      <c r="W385">
        <f t="shared" si="111"/>
        <v>7.2627596691469287E-2</v>
      </c>
      <c r="X385" t="s">
        <v>1170</v>
      </c>
      <c r="Y385">
        <f t="shared" si="112"/>
        <v>5.1723183263020639E-2</v>
      </c>
      <c r="Z385">
        <f t="shared" si="125"/>
        <v>0.11436514294263148</v>
      </c>
      <c r="AA385" t="s">
        <v>1170</v>
      </c>
      <c r="AB385">
        <f t="shared" si="113"/>
        <v>3.3123900150477434E-2</v>
      </c>
      <c r="AC385">
        <f t="shared" si="126"/>
        <v>9.714762930651559E-2</v>
      </c>
      <c r="AD385" t="str">
        <f t="shared" si="127"/>
        <v>No Impact</v>
      </c>
      <c r="AE385">
        <f t="shared" si="114"/>
        <v>1.0296822096258339E-2</v>
      </c>
      <c r="AF385">
        <f t="shared" si="128"/>
        <v>6.7854122856991106E-2</v>
      </c>
      <c r="AG385" t="s">
        <v>1170</v>
      </c>
    </row>
    <row r="386" spans="1:33" customFormat="1" x14ac:dyDescent="0.3">
      <c r="A386">
        <v>501067</v>
      </c>
      <c r="B386" t="s">
        <v>370</v>
      </c>
      <c r="C386" t="s">
        <v>1157</v>
      </c>
      <c r="D386" t="s">
        <v>936</v>
      </c>
      <c r="E386" s="21">
        <v>6.2</v>
      </c>
      <c r="F386" s="2">
        <f t="shared" si="115"/>
        <v>0.66666666666666663</v>
      </c>
      <c r="G386" s="10">
        <v>32.187239999999996</v>
      </c>
      <c r="H386">
        <f t="shared" si="116"/>
        <v>0.29378384417223069</v>
      </c>
      <c r="I386" s="12">
        <v>0.10000000000000026</v>
      </c>
      <c r="J386" s="2">
        <f t="shared" si="117"/>
        <v>2.4236548715462982E-4</v>
      </c>
      <c r="K386" s="10">
        <v>0</v>
      </c>
      <c r="L386" s="2">
        <f t="shared" si="118"/>
        <v>0</v>
      </c>
      <c r="M386">
        <v>24547</v>
      </c>
      <c r="N386">
        <f t="shared" si="119"/>
        <v>0.11501137906724769</v>
      </c>
      <c r="O386" s="10">
        <v>0.87537805199999996</v>
      </c>
      <c r="P386">
        <f t="shared" si="120"/>
        <v>0.86857824016225205</v>
      </c>
      <c r="Q386" s="23">
        <v>0.30309999999999998</v>
      </c>
      <c r="R386" s="13">
        <f t="shared" si="121"/>
        <v>0.65634473798181026</v>
      </c>
      <c r="S386">
        <f t="shared" si="122"/>
        <v>5.23095210500567E-2</v>
      </c>
      <c r="T386" s="14">
        <f t="shared" ref="T386:T417" si="132">(S386-$AJ$10)/$AK$10</f>
        <v>0.11047490072772816</v>
      </c>
      <c r="U386" t="str">
        <f t="shared" si="123"/>
        <v>No Impact</v>
      </c>
      <c r="V386">
        <f t="shared" si="124"/>
        <v>4.5029262959023951E-2</v>
      </c>
      <c r="W386">
        <f t="shared" ref="W386:W449" si="133">(V386-$AJ$13)/$AK$13</f>
        <v>8.1741327378213061E-2</v>
      </c>
      <c r="X386" t="s">
        <v>1170</v>
      </c>
      <c r="Y386">
        <f t="shared" ref="Y386:Y449" si="134">F386*(P386*1)*(H386*0.35+J386*0.35+L386*0.3)</f>
        <v>5.9589779141089455E-2</v>
      </c>
      <c r="Z386">
        <f t="shared" si="125"/>
        <v>0.13175897497907671</v>
      </c>
      <c r="AA386" t="s">
        <v>1170</v>
      </c>
      <c r="AB386">
        <f t="shared" ref="AB386:AB449" si="135">F386*(R386*0.35+P386*0.3+N386*0.35)*(H386*0.35+J386*0.35+L386*0.3)</f>
        <v>3.6398845166130608E-2</v>
      </c>
      <c r="AC386">
        <f t="shared" si="126"/>
        <v>0.10675257144601513</v>
      </c>
      <c r="AD386" t="str">
        <f t="shared" si="127"/>
        <v>No Impact</v>
      </c>
      <c r="AE386">
        <f t="shared" ref="AE386:AE449" si="136">F386*(N386*1)*(H386*0.35+J386*0.35+L386*0.3)</f>
        <v>7.8904839661297094E-3</v>
      </c>
      <c r="AF386">
        <f t="shared" si="128"/>
        <v>5.1996806726750985E-2</v>
      </c>
      <c r="AG386" t="s">
        <v>1170</v>
      </c>
    </row>
    <row r="387" spans="1:33" customFormat="1" x14ac:dyDescent="0.3">
      <c r="A387">
        <v>501081</v>
      </c>
      <c r="B387" t="s">
        <v>464</v>
      </c>
      <c r="C387" t="s">
        <v>1157</v>
      </c>
      <c r="D387" t="s">
        <v>937</v>
      </c>
      <c r="E387" s="21">
        <v>6.2</v>
      </c>
      <c r="F387" s="2">
        <f t="shared" ref="F387:F417" si="137">(E387-$AJ$5)/$AK$5</f>
        <v>0.66666666666666663</v>
      </c>
      <c r="G387" s="10">
        <v>33.327000000000005</v>
      </c>
      <c r="H387">
        <f t="shared" ref="H387:H417" si="138">(G387-$AJ$6)/$AK$6</f>
        <v>0.3041868198307135</v>
      </c>
      <c r="I387" s="12">
        <v>9.9999999999999936E-2</v>
      </c>
      <c r="J387" s="2">
        <f t="shared" ref="J387:J450" si="139">(I387-$AJ$7)/$AK$7</f>
        <v>2.4236548715462906E-4</v>
      </c>
      <c r="K387" s="10">
        <v>0</v>
      </c>
      <c r="L387" s="2">
        <f t="shared" ref="L387:L417" si="140">(K387-$AJ$8)/$AK$8</f>
        <v>0</v>
      </c>
      <c r="M387">
        <v>19425</v>
      </c>
      <c r="N387">
        <f t="shared" ref="N387:N450" si="141">(M387-$AJ$9)/$AK$9</f>
        <v>9.0777041253258764E-2</v>
      </c>
      <c r="O387" s="10">
        <v>0.441070038</v>
      </c>
      <c r="P387">
        <f t="shared" ref="P387:P450" si="142">(O387-$AJ$11)/$AK$11</f>
        <v>0.3902796866967268</v>
      </c>
      <c r="Q387" s="23">
        <v>0.25109999999999999</v>
      </c>
      <c r="R387" s="13">
        <f t="shared" ref="R387:R450" si="143">(Q387-$AJ$12)/$AK$12</f>
        <v>0.54374187960155906</v>
      </c>
      <c r="S387">
        <f t="shared" ref="S387:S450" si="144">F387*(R387*0.5+P387*0.5)*(H387*0.35+J387*0.35+L387*0.3)</f>
        <v>3.3173399524709067E-2</v>
      </c>
      <c r="T387" s="14">
        <f t="shared" si="132"/>
        <v>7.0060439203534358E-2</v>
      </c>
      <c r="U387" t="str">
        <f t="shared" ref="U387:U450" si="145">IF(T387&gt;0.7,"High",IF(T387&gt;0.3,"Moderate",IF(T387&gt;0.15,"Low","No Impact")))</f>
        <v>No Impact</v>
      </c>
      <c r="V387">
        <f t="shared" ref="V387:V450" si="146">F387*(R387*1)*(H387*0.35+J387*0.35+L387*0.3)</f>
        <v>3.8623876067072092E-2</v>
      </c>
      <c r="W387">
        <f t="shared" si="133"/>
        <v>7.0113670327827698E-2</v>
      </c>
      <c r="X387" t="s">
        <v>1170</v>
      </c>
      <c r="Y387">
        <f t="shared" si="134"/>
        <v>2.7722922982346049E-2</v>
      </c>
      <c r="Z387">
        <f t="shared" ref="Z387:Z450" si="147">(Y387-$AJ$14)/$AK$14</f>
        <v>6.1298161668451215E-2</v>
      </c>
      <c r="AA387" t="s">
        <v>1170</v>
      </c>
      <c r="AB387">
        <f t="shared" si="135"/>
        <v>2.4092106609846557E-2</v>
      </c>
      <c r="AC387">
        <f t="shared" ref="AC387:AC450" si="148">(AB387-$AJ$15)/$AK$15</f>
        <v>7.0658679428264509E-2</v>
      </c>
      <c r="AD387" t="str">
        <f t="shared" ref="AD387:AD450" si="149">IF(AC387&gt;0.7,"High",IF(AC387&gt;0.3,"Moderate",IF(AC387&gt;0.15,"Low","No Impact")))</f>
        <v>No Impact</v>
      </c>
      <c r="AE387">
        <f t="shared" si="136"/>
        <v>6.4482088333357506E-3</v>
      </c>
      <c r="AF387">
        <f t="shared" ref="AF387:AF450" si="150">(AE387-$AJ$16)/$AK$16</f>
        <v>4.2492484602962288E-2</v>
      </c>
      <c r="AG387" t="s">
        <v>1170</v>
      </c>
    </row>
    <row r="388" spans="1:33" customFormat="1" x14ac:dyDescent="0.3">
      <c r="A388">
        <v>501085</v>
      </c>
      <c r="B388" t="s">
        <v>478</v>
      </c>
      <c r="C388" t="s">
        <v>1157</v>
      </c>
      <c r="D388" t="s">
        <v>938</v>
      </c>
      <c r="E388" s="21">
        <v>6.1</v>
      </c>
      <c r="F388" s="2">
        <f t="shared" si="137"/>
        <v>0.64444444444444438</v>
      </c>
      <c r="G388" s="10">
        <v>33.778080000000003</v>
      </c>
      <c r="H388">
        <f t="shared" si="138"/>
        <v>0.30830397981178703</v>
      </c>
      <c r="I388" s="12">
        <v>9.9999999999999825E-2</v>
      </c>
      <c r="J388" s="2">
        <f t="shared" si="139"/>
        <v>2.4236548715462879E-4</v>
      </c>
      <c r="K388" s="10">
        <v>0</v>
      </c>
      <c r="L388" s="2">
        <f t="shared" si="140"/>
        <v>0</v>
      </c>
      <c r="M388">
        <v>37871</v>
      </c>
      <c r="N388">
        <f t="shared" si="141"/>
        <v>0.17805283104569133</v>
      </c>
      <c r="O388" s="10">
        <v>0.72551193199999997</v>
      </c>
      <c r="P388">
        <f t="shared" si="142"/>
        <v>0.70353236005217235</v>
      </c>
      <c r="Q388" s="23">
        <v>0.28179999999999999</v>
      </c>
      <c r="R388" s="13">
        <f t="shared" si="143"/>
        <v>0.61022087483759202</v>
      </c>
      <c r="S388">
        <f t="shared" si="144"/>
        <v>4.5714896182071918E-2</v>
      </c>
      <c r="T388" s="14">
        <f t="shared" si="132"/>
        <v>9.654740697510783E-2</v>
      </c>
      <c r="U388" t="str">
        <f t="shared" si="145"/>
        <v>No Impact</v>
      </c>
      <c r="V388">
        <f t="shared" si="146"/>
        <v>4.2467920459467963E-2</v>
      </c>
      <c r="W388">
        <f t="shared" si="133"/>
        <v>7.7091739043301646E-2</v>
      </c>
      <c r="X388" t="s">
        <v>1170</v>
      </c>
      <c r="Y388">
        <f t="shared" si="134"/>
        <v>4.896187190467588E-2</v>
      </c>
      <c r="Z388">
        <f t="shared" si="147"/>
        <v>0.10825960673461565</v>
      </c>
      <c r="AA388" t="s">
        <v>1170</v>
      </c>
      <c r="AB388">
        <f t="shared" si="135"/>
        <v>3.3889348118942335E-2</v>
      </c>
      <c r="AC388">
        <f t="shared" si="148"/>
        <v>9.9392577973672527E-2</v>
      </c>
      <c r="AD388" t="str">
        <f t="shared" si="149"/>
        <v>No Impact</v>
      </c>
      <c r="AE388">
        <f t="shared" si="136"/>
        <v>1.239146967635937E-2</v>
      </c>
      <c r="AF388">
        <f t="shared" si="150"/>
        <v>8.165745682873389E-2</v>
      </c>
      <c r="AG388" t="s">
        <v>1170</v>
      </c>
    </row>
    <row r="389" spans="1:33" customFormat="1" x14ac:dyDescent="0.3">
      <c r="A389">
        <v>501088</v>
      </c>
      <c r="B389" t="s">
        <v>483</v>
      </c>
      <c r="C389" t="s">
        <v>1157</v>
      </c>
      <c r="D389" t="s">
        <v>925</v>
      </c>
      <c r="E389" s="21">
        <v>6.2</v>
      </c>
      <c r="F389" s="2">
        <f t="shared" si="137"/>
        <v>0.66666666666666663</v>
      </c>
      <c r="G389" s="10">
        <v>32.742000000000004</v>
      </c>
      <c r="H389">
        <f t="shared" si="138"/>
        <v>0.29884732663897801</v>
      </c>
      <c r="I389" s="12">
        <v>9.9999999999999825E-2</v>
      </c>
      <c r="J389" s="2">
        <f t="shared" si="139"/>
        <v>2.4236548715462879E-4</v>
      </c>
      <c r="K389" s="10">
        <v>0</v>
      </c>
      <c r="L389" s="2">
        <f t="shared" si="140"/>
        <v>0</v>
      </c>
      <c r="M389">
        <v>36509</v>
      </c>
      <c r="N389">
        <f t="shared" si="141"/>
        <v>0.17160863578941393</v>
      </c>
      <c r="O389" s="10">
        <v>0.82300812000000001</v>
      </c>
      <c r="P389">
        <f t="shared" si="142"/>
        <v>0.81090382036513564</v>
      </c>
      <c r="Q389" s="23">
        <v>0.27760000000000001</v>
      </c>
      <c r="R389" s="13">
        <f t="shared" si="143"/>
        <v>0.6011260285838026</v>
      </c>
      <c r="S389">
        <f t="shared" si="144"/>
        <v>4.9271083492755545E-2</v>
      </c>
      <c r="T389" s="14">
        <f t="shared" si="132"/>
        <v>0.10405788369579946</v>
      </c>
      <c r="U389" t="str">
        <f t="shared" si="145"/>
        <v>No Impact</v>
      </c>
      <c r="V389">
        <f t="shared" si="146"/>
        <v>4.195113972423134E-2</v>
      </c>
      <c r="W389">
        <f t="shared" si="133"/>
        <v>7.6153630344960963E-2</v>
      </c>
      <c r="X389" t="s">
        <v>1170</v>
      </c>
      <c r="Y389">
        <f t="shared" si="134"/>
        <v>5.6591027261279736E-2</v>
      </c>
      <c r="Z389">
        <f t="shared" si="147"/>
        <v>0.12512843397698961</v>
      </c>
      <c r="AA389" t="s">
        <v>1170</v>
      </c>
      <c r="AB389">
        <f t="shared" si="135"/>
        <v>3.585186096216094E-2</v>
      </c>
      <c r="AC389">
        <f t="shared" si="148"/>
        <v>0.10514834554138539</v>
      </c>
      <c r="AD389" t="str">
        <f t="shared" si="149"/>
        <v>No Impact</v>
      </c>
      <c r="AE389">
        <f t="shared" si="136"/>
        <v>1.1976153943703003E-2</v>
      </c>
      <c r="AF389">
        <f t="shared" si="150"/>
        <v>7.8920604187728588E-2</v>
      </c>
      <c r="AG389" t="s">
        <v>1170</v>
      </c>
    </row>
    <row r="390" spans="1:33" customFormat="1" x14ac:dyDescent="0.3">
      <c r="A390">
        <v>501094</v>
      </c>
      <c r="B390" t="s">
        <v>487</v>
      </c>
      <c r="C390" t="s">
        <v>1157</v>
      </c>
      <c r="D390" t="s">
        <v>1149</v>
      </c>
      <c r="E390" s="21">
        <v>6.1</v>
      </c>
      <c r="F390" s="2">
        <f t="shared" si="137"/>
        <v>0.64444444444444438</v>
      </c>
      <c r="G390" s="10">
        <v>33.204599999999999</v>
      </c>
      <c r="H390">
        <f t="shared" si="138"/>
        <v>0.30306963356290417</v>
      </c>
      <c r="I390" s="12">
        <v>0.20000000000000009</v>
      </c>
      <c r="J390" s="2">
        <f t="shared" si="139"/>
        <v>4.8473097430925865E-4</v>
      </c>
      <c r="K390" s="10">
        <v>0</v>
      </c>
      <c r="L390" s="2">
        <f t="shared" si="140"/>
        <v>0</v>
      </c>
      <c r="M390">
        <v>25068</v>
      </c>
      <c r="N390">
        <f t="shared" si="141"/>
        <v>0.11747644935250505</v>
      </c>
      <c r="O390" s="10">
        <v>0.73727073899999995</v>
      </c>
      <c r="P390">
        <f t="shared" si="142"/>
        <v>0.71648220255399708</v>
      </c>
      <c r="Q390" s="23">
        <v>0.27910000000000001</v>
      </c>
      <c r="R390" s="13">
        <f t="shared" si="143"/>
        <v>0.60437418796015596</v>
      </c>
      <c r="S390">
        <f t="shared" si="144"/>
        <v>4.5218444233494741E-2</v>
      </c>
      <c r="T390" s="14">
        <f t="shared" si="132"/>
        <v>9.5498927106927284E-2</v>
      </c>
      <c r="U390" t="str">
        <f t="shared" si="145"/>
        <v>No Impact</v>
      </c>
      <c r="V390">
        <f t="shared" si="146"/>
        <v>4.1380517534994131E-2</v>
      </c>
      <c r="W390">
        <f t="shared" si="133"/>
        <v>7.5117783606315561E-2</v>
      </c>
      <c r="X390" t="s">
        <v>1170</v>
      </c>
      <c r="Y390">
        <f t="shared" si="134"/>
        <v>4.9056370931995358E-2</v>
      </c>
      <c r="Z390">
        <f t="shared" si="147"/>
        <v>0.10846855355663113</v>
      </c>
      <c r="AA390" t="s">
        <v>1170</v>
      </c>
      <c r="AB390">
        <f t="shared" si="135"/>
        <v>3.2015289904144324E-2</v>
      </c>
      <c r="AC390">
        <f t="shared" si="148"/>
        <v>9.3896235093668914E-2</v>
      </c>
      <c r="AD390" t="str">
        <f t="shared" si="149"/>
        <v>No Impact</v>
      </c>
      <c r="AE390">
        <f t="shared" si="136"/>
        <v>8.0434213922793603E-3</v>
      </c>
      <c r="AF390">
        <f t="shared" si="150"/>
        <v>5.3004635628365333E-2</v>
      </c>
      <c r="AG390" t="s">
        <v>1170</v>
      </c>
    </row>
    <row r="391" spans="1:33" customFormat="1" x14ac:dyDescent="0.3">
      <c r="A391">
        <v>501095</v>
      </c>
      <c r="B391" t="s">
        <v>499</v>
      </c>
      <c r="C391" t="s">
        <v>1157</v>
      </c>
      <c r="D391" t="s">
        <v>939</v>
      </c>
      <c r="E391" s="21">
        <v>6.2</v>
      </c>
      <c r="F391" s="2">
        <f t="shared" si="137"/>
        <v>0.66666666666666663</v>
      </c>
      <c r="G391" s="10">
        <v>32.799600000000005</v>
      </c>
      <c r="H391">
        <f t="shared" si="138"/>
        <v>0.29937306135324121</v>
      </c>
      <c r="I391" s="12">
        <v>0.20000000000000009</v>
      </c>
      <c r="J391" s="2">
        <f t="shared" si="139"/>
        <v>4.8473097430925865E-4</v>
      </c>
      <c r="K391" s="10">
        <v>0</v>
      </c>
      <c r="L391" s="2">
        <f t="shared" si="140"/>
        <v>0</v>
      </c>
      <c r="M391">
        <v>3652</v>
      </c>
      <c r="N391">
        <f t="shared" si="141"/>
        <v>1.6148339507837599E-2</v>
      </c>
      <c r="O391" s="10">
        <v>0.52950887999999996</v>
      </c>
      <c r="P391">
        <f t="shared" si="142"/>
        <v>0.48767639326260226</v>
      </c>
      <c r="Q391" s="23">
        <v>0.28249999999999997</v>
      </c>
      <c r="R391" s="13">
        <f t="shared" si="143"/>
        <v>0.61173668254655689</v>
      </c>
      <c r="S391">
        <f t="shared" si="144"/>
        <v>3.8461217406287232E-2</v>
      </c>
      <c r="T391" s="14">
        <f t="shared" si="132"/>
        <v>8.1228026744139842E-2</v>
      </c>
      <c r="U391" t="str">
        <f t="shared" si="145"/>
        <v>No Impact</v>
      </c>
      <c r="V391">
        <f t="shared" si="146"/>
        <v>4.2801269259977688E-2</v>
      </c>
      <c r="W391">
        <f t="shared" si="133"/>
        <v>7.769686494683678E-2</v>
      </c>
      <c r="X391" t="s">
        <v>1170</v>
      </c>
      <c r="Y391">
        <f t="shared" si="134"/>
        <v>3.4121165552596776E-2</v>
      </c>
      <c r="Z391">
        <f t="shared" si="147"/>
        <v>7.5445317353115091E-2</v>
      </c>
      <c r="AA391" t="s">
        <v>1170</v>
      </c>
      <c r="AB391">
        <f t="shared" si="135"/>
        <v>2.5612240683928259E-2</v>
      </c>
      <c r="AC391">
        <f t="shared" si="148"/>
        <v>7.5117013768550941E-2</v>
      </c>
      <c r="AD391" t="str">
        <f t="shared" si="149"/>
        <v>No Impact</v>
      </c>
      <c r="AE391">
        <f t="shared" si="136"/>
        <v>1.1298479347343871E-3</v>
      </c>
      <c r="AF391">
        <f t="shared" si="150"/>
        <v>7.4454855931757099E-3</v>
      </c>
      <c r="AG391" t="s">
        <v>1170</v>
      </c>
    </row>
    <row r="392" spans="1:33" customFormat="1" x14ac:dyDescent="0.3">
      <c r="A392">
        <v>503813</v>
      </c>
      <c r="B392" t="s">
        <v>7</v>
      </c>
      <c r="C392" t="s">
        <v>941</v>
      </c>
      <c r="D392" t="s">
        <v>940</v>
      </c>
      <c r="E392" s="21">
        <v>4.9000000000000004</v>
      </c>
      <c r="F392" s="2">
        <f t="shared" si="137"/>
        <v>0.37777777777777782</v>
      </c>
      <c r="G392" s="10">
        <v>33.522840000000002</v>
      </c>
      <c r="H392">
        <f t="shared" si="138"/>
        <v>0.30597431785920826</v>
      </c>
      <c r="I392" s="12">
        <v>0.29999999999999993</v>
      </c>
      <c r="J392" s="2">
        <f t="shared" si="139"/>
        <v>7.2709646146388749E-4</v>
      </c>
      <c r="K392" s="10">
        <v>0</v>
      </c>
      <c r="L392" s="2">
        <f t="shared" si="140"/>
        <v>0</v>
      </c>
      <c r="M392">
        <v>9388</v>
      </c>
      <c r="N392">
        <f t="shared" si="141"/>
        <v>4.328776975013366E-2</v>
      </c>
      <c r="O392" s="10">
        <v>0.76331303299999997</v>
      </c>
      <c r="P392">
        <f t="shared" si="142"/>
        <v>0.7451622893762585</v>
      </c>
      <c r="Q392" s="23">
        <v>0.28249999999999997</v>
      </c>
      <c r="R392" s="13">
        <f t="shared" si="143"/>
        <v>0.61173668254655689</v>
      </c>
      <c r="S392">
        <f t="shared" si="144"/>
        <v>2.7512987344277904E-2</v>
      </c>
      <c r="T392" s="14">
        <f t="shared" si="132"/>
        <v>5.81059525028675E-2</v>
      </c>
      <c r="U392" t="str">
        <f t="shared" si="145"/>
        <v>No Impact</v>
      </c>
      <c r="V392">
        <f t="shared" si="146"/>
        <v>2.4807600201927713E-2</v>
      </c>
      <c r="W392">
        <f t="shared" si="133"/>
        <v>4.503307485665211E-2</v>
      </c>
      <c r="X392" t="s">
        <v>1170</v>
      </c>
      <c r="Y392">
        <f t="shared" si="134"/>
        <v>3.0218374486628102E-2</v>
      </c>
      <c r="Z392">
        <f t="shared" si="147"/>
        <v>6.6815855089259329E-2</v>
      </c>
      <c r="AA392" t="s">
        <v>1170</v>
      </c>
      <c r="AB392">
        <f t="shared" si="135"/>
        <v>1.8362575640601626E-2</v>
      </c>
      <c r="AC392">
        <f t="shared" si="148"/>
        <v>5.385479014675474E-2</v>
      </c>
      <c r="AD392" t="str">
        <f t="shared" si="149"/>
        <v>No Impact</v>
      </c>
      <c r="AE392">
        <f t="shared" si="136"/>
        <v>1.7554377826814209E-3</v>
      </c>
      <c r="AF392">
        <f t="shared" si="150"/>
        <v>1.1568005143757193E-2</v>
      </c>
      <c r="AG392" t="s">
        <v>1170</v>
      </c>
    </row>
    <row r="393" spans="1:33" customFormat="1" x14ac:dyDescent="0.3">
      <c r="A393">
        <v>503847</v>
      </c>
      <c r="B393" t="s">
        <v>228</v>
      </c>
      <c r="C393" t="s">
        <v>941</v>
      </c>
      <c r="D393" t="s">
        <v>942</v>
      </c>
      <c r="E393" s="21">
        <v>4.9000000000000004</v>
      </c>
      <c r="F393" s="2">
        <f t="shared" si="137"/>
        <v>0.37777777777777782</v>
      </c>
      <c r="G393" s="10">
        <v>34.06212</v>
      </c>
      <c r="H393">
        <f t="shared" si="138"/>
        <v>0.3108965091214973</v>
      </c>
      <c r="I393" s="12">
        <v>0.29999999999999993</v>
      </c>
      <c r="J393" s="2">
        <f t="shared" si="139"/>
        <v>7.2709646146388749E-4</v>
      </c>
      <c r="K393" s="10">
        <v>0</v>
      </c>
      <c r="L393" s="2">
        <f t="shared" si="140"/>
        <v>0</v>
      </c>
      <c r="M393">
        <v>39555</v>
      </c>
      <c r="N393">
        <f t="shared" si="141"/>
        <v>0.18602054382951744</v>
      </c>
      <c r="O393" s="10">
        <v>0.69842425399999997</v>
      </c>
      <c r="P393">
        <f t="shared" si="142"/>
        <v>0.6737010035344454</v>
      </c>
      <c r="Q393" s="23">
        <v>0.27260000000000001</v>
      </c>
      <c r="R393" s="13">
        <f t="shared" si="143"/>
        <v>0.59029883066262456</v>
      </c>
      <c r="S393">
        <f t="shared" si="144"/>
        <v>2.6040650060478877E-2</v>
      </c>
      <c r="T393" s="14">
        <f t="shared" si="132"/>
        <v>5.4996455187650659E-2</v>
      </c>
      <c r="U393" t="str">
        <f t="shared" si="145"/>
        <v>No Impact</v>
      </c>
      <c r="V393">
        <f t="shared" si="146"/>
        <v>2.4322416608796291E-2</v>
      </c>
      <c r="W393">
        <f t="shared" si="133"/>
        <v>4.4152324244305138E-2</v>
      </c>
      <c r="X393" t="s">
        <v>1170</v>
      </c>
      <c r="Y393">
        <f t="shared" si="134"/>
        <v>2.7758883512161464E-2</v>
      </c>
      <c r="Z393">
        <f t="shared" si="147"/>
        <v>6.1377674004567874E-2</v>
      </c>
      <c r="AA393" t="s">
        <v>1170</v>
      </c>
      <c r="AB393">
        <f t="shared" si="135"/>
        <v>1.9523159256709787E-2</v>
      </c>
      <c r="AC393">
        <f t="shared" si="148"/>
        <v>5.7258614768997053E-2</v>
      </c>
      <c r="AD393" t="str">
        <f t="shared" si="149"/>
        <v>No Impact</v>
      </c>
      <c r="AE393">
        <f t="shared" si="136"/>
        <v>7.664709685664713E-3</v>
      </c>
      <c r="AF393">
        <f t="shared" si="150"/>
        <v>5.0508996641133647E-2</v>
      </c>
      <c r="AG393" t="s">
        <v>1170</v>
      </c>
    </row>
    <row r="394" spans="1:33" customFormat="1" x14ac:dyDescent="0.3">
      <c r="A394">
        <v>503858</v>
      </c>
      <c r="B394" t="s">
        <v>240</v>
      </c>
      <c r="C394" t="s">
        <v>941</v>
      </c>
      <c r="D394" t="s">
        <v>943</v>
      </c>
      <c r="E394" s="21">
        <v>4.8</v>
      </c>
      <c r="F394" s="2">
        <f t="shared" si="137"/>
        <v>0.35555555555555546</v>
      </c>
      <c r="G394" s="10">
        <v>33.50412</v>
      </c>
      <c r="H394">
        <f t="shared" si="138"/>
        <v>0.30580345407707271</v>
      </c>
      <c r="I394" s="12">
        <v>0.10000000000000005</v>
      </c>
      <c r="J394" s="2">
        <f t="shared" si="139"/>
        <v>2.4236548715462933E-4</v>
      </c>
      <c r="K394" s="10">
        <v>0</v>
      </c>
      <c r="L394" s="2">
        <f t="shared" si="140"/>
        <v>0</v>
      </c>
      <c r="M394">
        <v>15941</v>
      </c>
      <c r="N394">
        <f t="shared" si="141"/>
        <v>7.4292770862017576E-2</v>
      </c>
      <c r="O394" s="10">
        <v>0.82147098500000004</v>
      </c>
      <c r="P394">
        <f t="shared" si="142"/>
        <v>0.80921099079883341</v>
      </c>
      <c r="Q394" s="23">
        <v>0.25580000000000003</v>
      </c>
      <c r="R394" s="13">
        <f t="shared" si="143"/>
        <v>0.55391944564746654</v>
      </c>
      <c r="S394">
        <f t="shared" si="144"/>
        <v>2.5957889788142709E-2</v>
      </c>
      <c r="T394" s="14">
        <f t="shared" si="132"/>
        <v>5.4821669934660311E-2</v>
      </c>
      <c r="U394" t="str">
        <f t="shared" si="145"/>
        <v>No Impact</v>
      </c>
      <c r="V394">
        <f t="shared" si="146"/>
        <v>2.1096410933514477E-2</v>
      </c>
      <c r="W394">
        <f t="shared" si="133"/>
        <v>3.8296177181290893E-2</v>
      </c>
      <c r="X394" t="s">
        <v>1170</v>
      </c>
      <c r="Y394">
        <f t="shared" si="134"/>
        <v>3.081936864277094E-2</v>
      </c>
      <c r="Z394">
        <f t="shared" si="147"/>
        <v>6.8144713412333635E-2</v>
      </c>
      <c r="AA394" t="s">
        <v>1170</v>
      </c>
      <c r="AB394">
        <f t="shared" si="135"/>
        <v>1.7619876735438696E-2</v>
      </c>
      <c r="AC394">
        <f t="shared" si="148"/>
        <v>5.167656120640203E-2</v>
      </c>
      <c r="AD394" t="str">
        <f t="shared" si="149"/>
        <v>No Impact</v>
      </c>
      <c r="AE394">
        <f t="shared" si="136"/>
        <v>2.8294923310781257E-3</v>
      </c>
      <c r="AF394">
        <f t="shared" si="150"/>
        <v>1.8645822804460772E-2</v>
      </c>
      <c r="AG394" t="s">
        <v>1170</v>
      </c>
    </row>
    <row r="395" spans="1:33" customFormat="1" x14ac:dyDescent="0.3">
      <c r="A395">
        <v>503861</v>
      </c>
      <c r="B395" t="s">
        <v>276</v>
      </c>
      <c r="C395" t="s">
        <v>941</v>
      </c>
      <c r="D395" t="s">
        <v>944</v>
      </c>
      <c r="E395" s="21">
        <v>4.9000000000000004</v>
      </c>
      <c r="F395" s="2">
        <f t="shared" si="137"/>
        <v>0.37777777777777782</v>
      </c>
      <c r="G395" s="10">
        <v>33.522840000000002</v>
      </c>
      <c r="H395">
        <f t="shared" si="138"/>
        <v>0.30597431785920826</v>
      </c>
      <c r="I395" s="12">
        <v>0.20000000000000009</v>
      </c>
      <c r="J395" s="2">
        <f t="shared" si="139"/>
        <v>4.8473097430925865E-4</v>
      </c>
      <c r="K395" s="10">
        <v>0</v>
      </c>
      <c r="L395" s="2">
        <f t="shared" si="140"/>
        <v>0</v>
      </c>
      <c r="M395">
        <v>16611</v>
      </c>
      <c r="N395">
        <f t="shared" si="141"/>
        <v>7.746282286033318E-2</v>
      </c>
      <c r="O395" s="10">
        <v>0.83870918500000002</v>
      </c>
      <c r="P395">
        <f t="shared" si="142"/>
        <v>0.82819522746629082</v>
      </c>
      <c r="Q395" s="23">
        <v>0.25619999999999998</v>
      </c>
      <c r="R395" s="13">
        <f t="shared" si="143"/>
        <v>0.55478562148116062</v>
      </c>
      <c r="S395">
        <f t="shared" si="144"/>
        <v>2.801967359293632E-2</v>
      </c>
      <c r="T395" s="14">
        <f t="shared" si="132"/>
        <v>5.9176046663490349E-2</v>
      </c>
      <c r="U395" t="str">
        <f t="shared" si="145"/>
        <v>No Impact</v>
      </c>
      <c r="V395">
        <f t="shared" si="146"/>
        <v>2.2480299766677529E-2</v>
      </c>
      <c r="W395">
        <f t="shared" si="133"/>
        <v>4.080834155470231E-2</v>
      </c>
      <c r="X395" t="s">
        <v>1170</v>
      </c>
      <c r="Y395">
        <f t="shared" si="134"/>
        <v>3.3559047419195118E-2</v>
      </c>
      <c r="Z395">
        <f t="shared" si="147"/>
        <v>7.4202417813266253E-2</v>
      </c>
      <c r="AA395" t="s">
        <v>1170</v>
      </c>
      <c r="AB395">
        <f t="shared" si="135"/>
        <v>1.9034415780231385E-2</v>
      </c>
      <c r="AC395">
        <f t="shared" si="148"/>
        <v>5.5825200531446371E-2</v>
      </c>
      <c r="AD395" t="str">
        <f t="shared" si="149"/>
        <v>No Impact</v>
      </c>
      <c r="AE395">
        <f t="shared" si="136"/>
        <v>3.138847531816332E-3</v>
      </c>
      <c r="AF395">
        <f t="shared" si="150"/>
        <v>2.0684415449949627E-2</v>
      </c>
      <c r="AG395" t="s">
        <v>1170</v>
      </c>
    </row>
    <row r="396" spans="1:33" customFormat="1" x14ac:dyDescent="0.3">
      <c r="A396">
        <v>503874</v>
      </c>
      <c r="B396" t="s">
        <v>401</v>
      </c>
      <c r="C396" t="s">
        <v>941</v>
      </c>
      <c r="D396" t="s">
        <v>945</v>
      </c>
      <c r="E396" s="21">
        <v>4.9000000000000004</v>
      </c>
      <c r="F396" s="2">
        <f t="shared" si="137"/>
        <v>0.37777777777777782</v>
      </c>
      <c r="G396" s="10">
        <v>33.52608</v>
      </c>
      <c r="H396">
        <f t="shared" si="138"/>
        <v>0.30600389043688558</v>
      </c>
      <c r="I396" s="12">
        <v>0.10000000000000005</v>
      </c>
      <c r="J396" s="2">
        <f t="shared" si="139"/>
        <v>2.4236548715462933E-4</v>
      </c>
      <c r="K396" s="10">
        <v>0</v>
      </c>
      <c r="L396" s="2">
        <f t="shared" si="140"/>
        <v>0</v>
      </c>
      <c r="M396">
        <v>30322</v>
      </c>
      <c r="N396">
        <f t="shared" si="141"/>
        <v>0.14233533472437107</v>
      </c>
      <c r="O396" s="10">
        <v>0.738491432</v>
      </c>
      <c r="P396">
        <f t="shared" si="142"/>
        <v>0.71782653808846753</v>
      </c>
      <c r="Q396" s="23">
        <v>0.28110000000000002</v>
      </c>
      <c r="R396" s="13">
        <f t="shared" si="143"/>
        <v>0.60870506712862715</v>
      </c>
      <c r="S396">
        <f t="shared" si="144"/>
        <v>2.685733064336358E-2</v>
      </c>
      <c r="T396" s="14">
        <f t="shared" si="132"/>
        <v>5.6721240743116047E-2</v>
      </c>
      <c r="U396" t="str">
        <f t="shared" si="145"/>
        <v>No Impact</v>
      </c>
      <c r="V396">
        <f t="shared" si="146"/>
        <v>2.4648026760717673E-2</v>
      </c>
      <c r="W396">
        <f t="shared" si="133"/>
        <v>4.4743402229527669E-2</v>
      </c>
      <c r="X396" t="s">
        <v>1170</v>
      </c>
      <c r="Y396">
        <f t="shared" si="134"/>
        <v>2.9066634526009483E-2</v>
      </c>
      <c r="Z396">
        <f t="shared" si="147"/>
        <v>6.4269242585557135E-2</v>
      </c>
      <c r="AA396" t="s">
        <v>1170</v>
      </c>
      <c r="AB396">
        <f t="shared" si="135"/>
        <v>1.9364032477743643E-2</v>
      </c>
      <c r="AC396">
        <f t="shared" si="148"/>
        <v>5.679191884051292E-2</v>
      </c>
      <c r="AD396" t="str">
        <f t="shared" si="149"/>
        <v>No Impact</v>
      </c>
      <c r="AE396">
        <f t="shared" si="136"/>
        <v>5.7635221533988978E-3</v>
      </c>
      <c r="AF396">
        <f t="shared" si="150"/>
        <v>3.7980528033773546E-2</v>
      </c>
      <c r="AG396" t="s">
        <v>1170</v>
      </c>
    </row>
    <row r="397" spans="1:33" customFormat="1" x14ac:dyDescent="0.3">
      <c r="A397">
        <v>506403</v>
      </c>
      <c r="B397" t="s">
        <v>17</v>
      </c>
      <c r="C397" t="s">
        <v>947</v>
      </c>
      <c r="D397" t="s">
        <v>946</v>
      </c>
      <c r="E397" s="21">
        <v>6.3</v>
      </c>
      <c r="F397" s="2">
        <f t="shared" si="137"/>
        <v>0.68888888888888877</v>
      </c>
      <c r="G397" s="10">
        <v>33.679079999999999</v>
      </c>
      <c r="H397">
        <f t="shared" si="138"/>
        <v>0.30740037327164715</v>
      </c>
      <c r="I397" s="12">
        <v>0.29999999999999993</v>
      </c>
      <c r="J397" s="2">
        <f t="shared" si="139"/>
        <v>7.2709646146388749E-4</v>
      </c>
      <c r="K397" s="10">
        <v>0</v>
      </c>
      <c r="L397" s="2">
        <f t="shared" si="140"/>
        <v>0</v>
      </c>
      <c r="M397">
        <v>16370</v>
      </c>
      <c r="N397">
        <f t="shared" si="141"/>
        <v>7.6322550425118166E-2</v>
      </c>
      <c r="O397" s="10">
        <v>0.80812170000000005</v>
      </c>
      <c r="P397">
        <f t="shared" si="142"/>
        <v>0.79450957268201494</v>
      </c>
      <c r="Q397" s="23">
        <v>0.22500000000000001</v>
      </c>
      <c r="R397" s="13">
        <f t="shared" si="143"/>
        <v>0.48722390645301</v>
      </c>
      <c r="S397">
        <f t="shared" si="144"/>
        <v>4.7611884863436704E-2</v>
      </c>
      <c r="T397" s="14">
        <f t="shared" si="132"/>
        <v>0.10055374524868625</v>
      </c>
      <c r="U397" t="str">
        <f t="shared" si="145"/>
        <v>No Impact</v>
      </c>
      <c r="V397">
        <f t="shared" si="146"/>
        <v>3.6197304532311111E-2</v>
      </c>
      <c r="W397">
        <f t="shared" si="133"/>
        <v>6.5708730846361002E-2</v>
      </c>
      <c r="X397" t="s">
        <v>1170</v>
      </c>
      <c r="Y397">
        <f t="shared" si="134"/>
        <v>5.902646519456229E-2</v>
      </c>
      <c r="Z397">
        <f t="shared" si="147"/>
        <v>0.13051343137653867</v>
      </c>
      <c r="AA397" t="s">
        <v>1170</v>
      </c>
      <c r="AB397">
        <f t="shared" si="135"/>
        <v>3.236157591865977E-2</v>
      </c>
      <c r="AC397">
        <f t="shared" si="148"/>
        <v>9.4911842109127578E-2</v>
      </c>
      <c r="AD397" t="str">
        <f t="shared" si="149"/>
        <v>No Impact</v>
      </c>
      <c r="AE397">
        <f t="shared" si="136"/>
        <v>5.6702279256634078E-3</v>
      </c>
      <c r="AF397">
        <f t="shared" si="150"/>
        <v>3.736573660284144E-2</v>
      </c>
      <c r="AG397" t="s">
        <v>1170</v>
      </c>
    </row>
    <row r="398" spans="1:33" customFormat="1" x14ac:dyDescent="0.3">
      <c r="A398">
        <v>506406</v>
      </c>
      <c r="B398" t="s">
        <v>21</v>
      </c>
      <c r="C398" t="s">
        <v>947</v>
      </c>
      <c r="D398" t="s">
        <v>948</v>
      </c>
      <c r="E398" s="21">
        <v>6.3</v>
      </c>
      <c r="F398" s="2">
        <f t="shared" si="137"/>
        <v>0.68888888888888877</v>
      </c>
      <c r="G398" s="10">
        <v>34.06212</v>
      </c>
      <c r="H398">
        <f t="shared" si="138"/>
        <v>0.3108965091214973</v>
      </c>
      <c r="I398" s="12">
        <v>0.59999999999999987</v>
      </c>
      <c r="J398" s="2">
        <f t="shared" si="139"/>
        <v>1.454192922927775E-3</v>
      </c>
      <c r="K398" s="10">
        <v>0</v>
      </c>
      <c r="L398" s="2">
        <f t="shared" si="140"/>
        <v>0</v>
      </c>
      <c r="M398">
        <v>16682</v>
      </c>
      <c r="N398">
        <f t="shared" si="141"/>
        <v>7.7798753743736779E-2</v>
      </c>
      <c r="O398" s="10">
        <v>0.62993978299999998</v>
      </c>
      <c r="P398">
        <f t="shared" si="142"/>
        <v>0.59827982234907651</v>
      </c>
      <c r="Q398" s="23">
        <v>0.31459999999999999</v>
      </c>
      <c r="R398" s="13">
        <f t="shared" si="143"/>
        <v>0.68124729320051969</v>
      </c>
      <c r="S398">
        <f t="shared" si="144"/>
        <v>4.818137713523022E-2</v>
      </c>
      <c r="T398" s="14">
        <f t="shared" si="132"/>
        <v>0.10175648235903739</v>
      </c>
      <c r="U398" t="str">
        <f t="shared" si="145"/>
        <v>No Impact</v>
      </c>
      <c r="V398">
        <f t="shared" si="146"/>
        <v>5.1305568060510121E-2</v>
      </c>
      <c r="W398">
        <f t="shared" si="133"/>
        <v>9.313466309621013E-2</v>
      </c>
      <c r="X398" t="s">
        <v>1170</v>
      </c>
      <c r="Y398">
        <f t="shared" si="134"/>
        <v>4.5057186209950334E-2</v>
      </c>
      <c r="Z398">
        <f t="shared" si="147"/>
        <v>9.9625955256660279E-2</v>
      </c>
      <c r="AA398" t="s">
        <v>1170</v>
      </c>
      <c r="AB398">
        <f t="shared" si="135"/>
        <v>3.3524796486202921E-2</v>
      </c>
      <c r="AC398">
        <f t="shared" si="148"/>
        <v>9.8323400530208244E-2</v>
      </c>
      <c r="AD398" t="str">
        <f t="shared" si="149"/>
        <v>No Impact</v>
      </c>
      <c r="AE398">
        <f t="shared" si="136"/>
        <v>5.8591194343979355E-3</v>
      </c>
      <c r="AF398">
        <f t="shared" si="150"/>
        <v>3.8610496152972205E-2</v>
      </c>
      <c r="AG398" t="s">
        <v>1170</v>
      </c>
    </row>
    <row r="399" spans="1:33" customFormat="1" x14ac:dyDescent="0.3">
      <c r="A399">
        <v>506428</v>
      </c>
      <c r="B399" t="s">
        <v>142</v>
      </c>
      <c r="C399" t="s">
        <v>947</v>
      </c>
      <c r="D399" t="s">
        <v>949</v>
      </c>
      <c r="E399" s="21">
        <v>6.3</v>
      </c>
      <c r="F399" s="2">
        <f t="shared" si="137"/>
        <v>0.68888888888888877</v>
      </c>
      <c r="G399" s="10">
        <v>34.06212</v>
      </c>
      <c r="H399">
        <f t="shared" si="138"/>
        <v>0.3108965091214973</v>
      </c>
      <c r="I399" s="12">
        <v>0.29999999999999993</v>
      </c>
      <c r="J399" s="2">
        <f t="shared" si="139"/>
        <v>7.2709646146388749E-4</v>
      </c>
      <c r="K399" s="10">
        <v>0</v>
      </c>
      <c r="L399" s="2">
        <f t="shared" si="140"/>
        <v>0</v>
      </c>
      <c r="M399">
        <v>18479</v>
      </c>
      <c r="N399">
        <f t="shared" si="141"/>
        <v>8.6301117088472837E-2</v>
      </c>
      <c r="O399" s="10">
        <v>0.76893769899999997</v>
      </c>
      <c r="P399">
        <f t="shared" si="142"/>
        <v>0.75135667107036819</v>
      </c>
      <c r="Q399" s="23">
        <v>0.31009999999999999</v>
      </c>
      <c r="R399" s="13">
        <f t="shared" si="143"/>
        <v>0.67150281507145948</v>
      </c>
      <c r="S399">
        <f t="shared" si="144"/>
        <v>5.3453923843415296E-2</v>
      </c>
      <c r="T399" s="14">
        <f t="shared" si="132"/>
        <v>0.1128918180011217</v>
      </c>
      <c r="U399" t="str">
        <f t="shared" si="145"/>
        <v>No Impact</v>
      </c>
      <c r="V399">
        <f t="shared" si="146"/>
        <v>5.0453977623326471E-2</v>
      </c>
      <c r="W399">
        <f t="shared" si="133"/>
        <v>9.1588776529482871E-2</v>
      </c>
      <c r="X399" t="s">
        <v>1170</v>
      </c>
      <c r="Y399">
        <f t="shared" si="134"/>
        <v>5.6453870063504136E-2</v>
      </c>
      <c r="Z399">
        <f t="shared" si="147"/>
        <v>0.12482516566402728</v>
      </c>
      <c r="AA399" t="s">
        <v>1170</v>
      </c>
      <c r="AB399">
        <f t="shared" si="135"/>
        <v>3.6864562839971436E-2</v>
      </c>
      <c r="AC399">
        <f t="shared" si="148"/>
        <v>0.10811845432014067</v>
      </c>
      <c r="AD399" t="str">
        <f t="shared" si="149"/>
        <v>No Impact</v>
      </c>
      <c r="AE399">
        <f t="shared" si="136"/>
        <v>6.4843132935883821E-3</v>
      </c>
      <c r="AF399">
        <f t="shared" si="150"/>
        <v>4.2730406212053471E-2</v>
      </c>
      <c r="AG399" t="s">
        <v>1170</v>
      </c>
    </row>
    <row r="400" spans="1:33" customFormat="1" x14ac:dyDescent="0.3">
      <c r="A400">
        <v>506447</v>
      </c>
      <c r="B400" t="s">
        <v>320</v>
      </c>
      <c r="C400" t="s">
        <v>947</v>
      </c>
      <c r="D400" t="s">
        <v>950</v>
      </c>
      <c r="E400" s="21">
        <v>6.3</v>
      </c>
      <c r="F400" s="2">
        <f t="shared" si="137"/>
        <v>0.68888888888888877</v>
      </c>
      <c r="G400" s="10">
        <v>34.142040000000001</v>
      </c>
      <c r="H400">
        <f t="shared" si="138"/>
        <v>0.31162596603753751</v>
      </c>
      <c r="I400" s="12">
        <v>0.29999999999999993</v>
      </c>
      <c r="J400" s="2">
        <f t="shared" si="139"/>
        <v>7.2709646146388749E-4</v>
      </c>
      <c r="K400" s="10">
        <v>0</v>
      </c>
      <c r="L400" s="2">
        <f t="shared" si="140"/>
        <v>0</v>
      </c>
      <c r="M400">
        <v>23845</v>
      </c>
      <c r="N400">
        <f t="shared" si="141"/>
        <v>0.1116899216003558</v>
      </c>
      <c r="O400" s="10">
        <v>0.73650907399999999</v>
      </c>
      <c r="P400">
        <f t="shared" si="142"/>
        <v>0.71564338941681804</v>
      </c>
      <c r="Q400" s="23">
        <v>0.2601</v>
      </c>
      <c r="R400" s="13">
        <f t="shared" si="143"/>
        <v>0.56323083585967948</v>
      </c>
      <c r="S400">
        <f t="shared" si="144"/>
        <v>4.8157156076169404E-2</v>
      </c>
      <c r="T400" s="14">
        <f t="shared" si="132"/>
        <v>0.1017053287823739</v>
      </c>
      <c r="U400" t="str">
        <f t="shared" si="145"/>
        <v>No Impact</v>
      </c>
      <c r="V400">
        <f t="shared" si="146"/>
        <v>4.2417924661108421E-2</v>
      </c>
      <c r="W400">
        <f t="shared" si="133"/>
        <v>7.7000981996601561E-2</v>
      </c>
      <c r="X400" t="s">
        <v>1170</v>
      </c>
      <c r="Y400">
        <f t="shared" si="134"/>
        <v>5.3896387491230387E-2</v>
      </c>
      <c r="Z400">
        <f t="shared" si="147"/>
        <v>0.11917031533387583</v>
      </c>
      <c r="AA400" t="s">
        <v>1170</v>
      </c>
      <c r="AB400">
        <f t="shared" si="135"/>
        <v>3.3959238805723588E-2</v>
      </c>
      <c r="AC400">
        <f t="shared" si="148"/>
        <v>9.9597557293757369E-2</v>
      </c>
      <c r="AD400" t="str">
        <f t="shared" si="149"/>
        <v>No Impact</v>
      </c>
      <c r="AE400">
        <f t="shared" si="136"/>
        <v>8.4115683627615061E-3</v>
      </c>
      <c r="AF400">
        <f t="shared" si="150"/>
        <v>5.5430654989581836E-2</v>
      </c>
      <c r="AG400" t="s">
        <v>1170</v>
      </c>
    </row>
    <row r="401" spans="1:33" customFormat="1" x14ac:dyDescent="0.3">
      <c r="A401">
        <v>506450</v>
      </c>
      <c r="B401" t="s">
        <v>316</v>
      </c>
      <c r="C401" t="s">
        <v>947</v>
      </c>
      <c r="D401" t="s">
        <v>951</v>
      </c>
      <c r="E401" s="21">
        <v>6.3</v>
      </c>
      <c r="F401" s="2">
        <f t="shared" si="137"/>
        <v>0.68888888888888877</v>
      </c>
      <c r="G401" s="10">
        <v>32.667119999999997</v>
      </c>
      <c r="H401">
        <f t="shared" si="138"/>
        <v>0.29816387151043583</v>
      </c>
      <c r="I401" s="12">
        <v>0.29999999999999993</v>
      </c>
      <c r="J401" s="2">
        <f t="shared" si="139"/>
        <v>7.2709646146388749E-4</v>
      </c>
      <c r="K401" s="10">
        <v>0</v>
      </c>
      <c r="L401" s="2">
        <f t="shared" si="140"/>
        <v>0</v>
      </c>
      <c r="M401">
        <v>24941</v>
      </c>
      <c r="N401">
        <f t="shared" si="141"/>
        <v>0.11687555889909299</v>
      </c>
      <c r="O401" s="10">
        <v>0.80648027099999997</v>
      </c>
      <c r="P401">
        <f t="shared" si="142"/>
        <v>0.79270188530114982</v>
      </c>
      <c r="Q401" s="23">
        <v>0.31919999999999998</v>
      </c>
      <c r="R401" s="13">
        <f t="shared" si="143"/>
        <v>0.69120831528800342</v>
      </c>
      <c r="S401">
        <f t="shared" si="144"/>
        <v>5.3469686835294725E-2</v>
      </c>
      <c r="T401" s="14">
        <f t="shared" si="132"/>
        <v>0.1129251085938875</v>
      </c>
      <c r="U401" t="str">
        <f t="shared" si="145"/>
        <v>No Impact</v>
      </c>
      <c r="V401">
        <f t="shared" si="146"/>
        <v>4.981257240731627E-2</v>
      </c>
      <c r="W401">
        <f t="shared" si="133"/>
        <v>9.0424437823968348E-2</v>
      </c>
      <c r="X401" t="s">
        <v>1170</v>
      </c>
      <c r="Y401">
        <f t="shared" si="134"/>
        <v>5.7126801263273193E-2</v>
      </c>
      <c r="Z401">
        <f t="shared" si="147"/>
        <v>0.12631308400155092</v>
      </c>
      <c r="AA401" t="s">
        <v>1170</v>
      </c>
      <c r="AB401">
        <f t="shared" si="135"/>
        <v>3.7520401906382124E-2</v>
      </c>
      <c r="AC401">
        <f t="shared" si="148"/>
        <v>0.11004193586123202</v>
      </c>
      <c r="AD401" t="str">
        <f t="shared" si="149"/>
        <v>No Impact</v>
      </c>
      <c r="AE401">
        <f t="shared" si="136"/>
        <v>8.4227462423984989E-3</v>
      </c>
      <c r="AF401">
        <f t="shared" si="150"/>
        <v>5.5504315116082885E-2</v>
      </c>
      <c r="AG401" t="s">
        <v>1170</v>
      </c>
    </row>
    <row r="402" spans="1:33" customFormat="1" x14ac:dyDescent="0.3">
      <c r="A402">
        <v>506460</v>
      </c>
      <c r="B402" t="s">
        <v>373</v>
      </c>
      <c r="C402" t="s">
        <v>947</v>
      </c>
      <c r="D402" t="s">
        <v>952</v>
      </c>
      <c r="E402" s="21">
        <v>6.3</v>
      </c>
      <c r="F402" s="2">
        <f t="shared" si="137"/>
        <v>0.68888888888888877</v>
      </c>
      <c r="G402" s="10">
        <v>33.679079999999999</v>
      </c>
      <c r="H402">
        <f t="shared" si="138"/>
        <v>0.30740037327164715</v>
      </c>
      <c r="I402" s="12">
        <v>0.29999999999999993</v>
      </c>
      <c r="J402" s="2">
        <f t="shared" si="139"/>
        <v>7.2709646146388749E-4</v>
      </c>
      <c r="K402" s="10">
        <v>0</v>
      </c>
      <c r="L402" s="2">
        <f t="shared" si="140"/>
        <v>0</v>
      </c>
      <c r="M402">
        <v>27111</v>
      </c>
      <c r="N402">
        <f t="shared" si="141"/>
        <v>0.12714274223692118</v>
      </c>
      <c r="O402" s="10">
        <v>0.78896880000000003</v>
      </c>
      <c r="P402">
        <f t="shared" si="142"/>
        <v>0.77341669834083393</v>
      </c>
      <c r="Q402" s="23">
        <v>0.27110000000000001</v>
      </c>
      <c r="R402" s="13">
        <f t="shared" si="143"/>
        <v>0.5870506712862712</v>
      </c>
      <c r="S402">
        <f t="shared" si="144"/>
        <v>5.0536571617729134E-2</v>
      </c>
      <c r="T402" s="14">
        <f t="shared" si="132"/>
        <v>0.10673052669027064</v>
      </c>
      <c r="U402" t="str">
        <f t="shared" si="145"/>
        <v>No Impact</v>
      </c>
      <c r="V402">
        <f t="shared" si="146"/>
        <v>4.3613730038709081E-2</v>
      </c>
      <c r="W402">
        <f t="shared" si="133"/>
        <v>7.9171719699770979E-2</v>
      </c>
      <c r="X402" t="s">
        <v>1170</v>
      </c>
      <c r="Y402">
        <f t="shared" si="134"/>
        <v>5.7459413196749166E-2</v>
      </c>
      <c r="Z402">
        <f t="shared" si="147"/>
        <v>0.1270485223275907</v>
      </c>
      <c r="AA402" t="s">
        <v>1170</v>
      </c>
      <c r="AB402">
        <f t="shared" si="135"/>
        <v>3.5808663053035983E-2</v>
      </c>
      <c r="AC402">
        <f t="shared" si="148"/>
        <v>0.10502165229441195</v>
      </c>
      <c r="AD402" t="str">
        <f t="shared" si="149"/>
        <v>No Impact</v>
      </c>
      <c r="AE402">
        <f t="shared" si="136"/>
        <v>9.445810229894434E-3</v>
      </c>
      <c r="AF402">
        <f t="shared" si="150"/>
        <v>6.2246114561499921E-2</v>
      </c>
      <c r="AG402" t="s">
        <v>1170</v>
      </c>
    </row>
    <row r="403" spans="1:33" customFormat="1" x14ac:dyDescent="0.3">
      <c r="A403">
        <v>506469</v>
      </c>
      <c r="B403" t="s">
        <v>387</v>
      </c>
      <c r="C403" t="s">
        <v>947</v>
      </c>
      <c r="D403" t="s">
        <v>953</v>
      </c>
      <c r="E403" s="21">
        <v>6.3</v>
      </c>
      <c r="F403" s="2">
        <f t="shared" si="137"/>
        <v>0.68888888888888877</v>
      </c>
      <c r="G403" s="10">
        <v>34.916040000000002</v>
      </c>
      <c r="H403">
        <f t="shared" si="138"/>
        <v>0.31869052626044903</v>
      </c>
      <c r="I403" s="12">
        <v>0.20000000000000051</v>
      </c>
      <c r="J403" s="2">
        <f t="shared" si="139"/>
        <v>4.8473097430925963E-4</v>
      </c>
      <c r="K403" s="10">
        <v>0</v>
      </c>
      <c r="L403" s="2">
        <f t="shared" si="140"/>
        <v>0</v>
      </c>
      <c r="M403">
        <v>14414</v>
      </c>
      <c r="N403">
        <f t="shared" si="141"/>
        <v>6.7067891158393775E-2</v>
      </c>
      <c r="O403" s="10">
        <v>0.8250767</v>
      </c>
      <c r="P403">
        <f t="shared" si="142"/>
        <v>0.8131819243600753</v>
      </c>
      <c r="Q403" s="23">
        <v>0.28239999999999998</v>
      </c>
      <c r="R403" s="13">
        <f t="shared" si="143"/>
        <v>0.61152013858813337</v>
      </c>
      <c r="S403">
        <f t="shared" si="144"/>
        <v>5.4820185272828663E-2</v>
      </c>
      <c r="T403" s="14">
        <f t="shared" si="132"/>
        <v>0.11577728880553087</v>
      </c>
      <c r="U403" t="str">
        <f t="shared" si="145"/>
        <v>No Impact</v>
      </c>
      <c r="V403">
        <f t="shared" si="146"/>
        <v>4.7060572406409151E-2</v>
      </c>
      <c r="W403">
        <f t="shared" si="133"/>
        <v>8.5428750170282008E-2</v>
      </c>
      <c r="X403" t="s">
        <v>1170</v>
      </c>
      <c r="Y403">
        <f t="shared" si="134"/>
        <v>6.2579798139248174E-2</v>
      </c>
      <c r="Z403">
        <f t="shared" si="147"/>
        <v>0.13837020670444664</v>
      </c>
      <c r="AA403" t="s">
        <v>1170</v>
      </c>
      <c r="AB403">
        <f t="shared" si="135"/>
        <v>3.7051603058231568E-2</v>
      </c>
      <c r="AC403">
        <f t="shared" si="148"/>
        <v>0.10866701634654452</v>
      </c>
      <c r="AD403" t="str">
        <f t="shared" si="149"/>
        <v>No Impact</v>
      </c>
      <c r="AE403">
        <f t="shared" si="136"/>
        <v>5.1613236406111802E-3</v>
      </c>
      <c r="AF403">
        <f t="shared" si="150"/>
        <v>3.401215298669534E-2</v>
      </c>
      <c r="AG403" t="s">
        <v>1170</v>
      </c>
    </row>
    <row r="404" spans="1:33" customFormat="1" x14ac:dyDescent="0.3">
      <c r="A404">
        <v>506475</v>
      </c>
      <c r="B404" t="s">
        <v>411</v>
      </c>
      <c r="C404" t="s">
        <v>947</v>
      </c>
      <c r="D404" t="s">
        <v>954</v>
      </c>
      <c r="E404" s="21">
        <v>6.3</v>
      </c>
      <c r="F404" s="2">
        <f t="shared" si="137"/>
        <v>0.68888888888888877</v>
      </c>
      <c r="G404" s="10">
        <v>34.06212</v>
      </c>
      <c r="H404">
        <f t="shared" si="138"/>
        <v>0.3108965091214973</v>
      </c>
      <c r="I404" s="12">
        <v>0.29999999999999993</v>
      </c>
      <c r="J404" s="2">
        <f t="shared" si="139"/>
        <v>7.2709646146388749E-4</v>
      </c>
      <c r="K404" s="10">
        <v>0</v>
      </c>
      <c r="L404" s="2">
        <f t="shared" si="140"/>
        <v>0</v>
      </c>
      <c r="M404">
        <v>24149</v>
      </c>
      <c r="N404">
        <f t="shared" si="141"/>
        <v>0.11312827355183035</v>
      </c>
      <c r="O404" s="10">
        <v>0.644087254</v>
      </c>
      <c r="P404">
        <f t="shared" si="142"/>
        <v>0.61386027377149832</v>
      </c>
      <c r="Q404" s="23">
        <v>0.31480000000000002</v>
      </c>
      <c r="R404" s="13">
        <f t="shared" si="143"/>
        <v>0.68168038111736684</v>
      </c>
      <c r="S404">
        <f t="shared" si="144"/>
        <v>4.867081547894668E-2</v>
      </c>
      <c r="T404" s="14">
        <f t="shared" si="132"/>
        <v>0.10279014987020954</v>
      </c>
      <c r="U404" t="str">
        <f t="shared" si="145"/>
        <v>No Impact</v>
      </c>
      <c r="V404">
        <f t="shared" si="146"/>
        <v>5.1218678348349471E-2</v>
      </c>
      <c r="W404">
        <f t="shared" si="133"/>
        <v>9.2976932768401174E-2</v>
      </c>
      <c r="X404" t="s">
        <v>1170</v>
      </c>
      <c r="Y404">
        <f t="shared" si="134"/>
        <v>4.6122952609543882E-2</v>
      </c>
      <c r="Z404">
        <f t="shared" si="147"/>
        <v>0.10198247159891936</v>
      </c>
      <c r="AA404" t="s">
        <v>1170</v>
      </c>
      <c r="AB404">
        <f t="shared" si="135"/>
        <v>3.473842187788824E-2</v>
      </c>
      <c r="AC404">
        <f t="shared" si="148"/>
        <v>0.10188278904221355</v>
      </c>
      <c r="AD404" t="str">
        <f t="shared" si="149"/>
        <v>No Impact</v>
      </c>
      <c r="AE404">
        <f t="shared" si="136"/>
        <v>8.4999962088650339E-3</v>
      </c>
      <c r="AF404">
        <f t="shared" si="150"/>
        <v>5.6013377879945085E-2</v>
      </c>
      <c r="AG404" t="s">
        <v>1170</v>
      </c>
    </row>
    <row r="405" spans="1:33" customFormat="1" x14ac:dyDescent="0.3">
      <c r="A405">
        <v>506479</v>
      </c>
      <c r="B405" t="s">
        <v>421</v>
      </c>
      <c r="C405" t="s">
        <v>947</v>
      </c>
      <c r="D405" t="s">
        <v>955</v>
      </c>
      <c r="E405" s="21">
        <v>6.3</v>
      </c>
      <c r="F405" s="2">
        <f t="shared" si="137"/>
        <v>0.68888888888888877</v>
      </c>
      <c r="G405" s="10">
        <v>33.413759999999996</v>
      </c>
      <c r="H405">
        <f t="shared" si="138"/>
        <v>0.30497870774407232</v>
      </c>
      <c r="I405" s="12">
        <v>0.70000000000000007</v>
      </c>
      <c r="J405" s="2">
        <f t="shared" si="139"/>
        <v>1.6965584100824046E-3</v>
      </c>
      <c r="K405" s="10">
        <v>0</v>
      </c>
      <c r="L405" s="2">
        <f t="shared" si="140"/>
        <v>0</v>
      </c>
      <c r="M405">
        <v>11888</v>
      </c>
      <c r="N405">
        <f t="shared" si="141"/>
        <v>5.5116321982654613E-2</v>
      </c>
      <c r="O405" s="10">
        <v>0.53616498000000001</v>
      </c>
      <c r="P405">
        <f t="shared" si="142"/>
        <v>0.49500668167335654</v>
      </c>
      <c r="Q405" s="23">
        <v>0.27210000000000001</v>
      </c>
      <c r="R405" s="13">
        <f t="shared" si="143"/>
        <v>0.58921611087050674</v>
      </c>
      <c r="S405">
        <f t="shared" si="144"/>
        <v>4.008524223545136E-2</v>
      </c>
      <c r="T405" s="14">
        <f t="shared" si="132"/>
        <v>8.4657880013291095E-2</v>
      </c>
      <c r="U405" t="str">
        <f t="shared" si="145"/>
        <v>No Impact</v>
      </c>
      <c r="V405">
        <f t="shared" si="146"/>
        <v>4.3568297393672996E-2</v>
      </c>
      <c r="W405">
        <f t="shared" si="133"/>
        <v>7.9089246115539052E-2</v>
      </c>
      <c r="X405" t="s">
        <v>1170</v>
      </c>
      <c r="Y405">
        <f t="shared" si="134"/>
        <v>3.6602187077229731E-2</v>
      </c>
      <c r="Z405">
        <f t="shared" si="147"/>
        <v>8.0931104642453386E-2</v>
      </c>
      <c r="AA405" t="s">
        <v>1170</v>
      </c>
      <c r="AB405">
        <f t="shared" si="135"/>
        <v>2.765596979494107E-2</v>
      </c>
      <c r="AC405">
        <f t="shared" si="148"/>
        <v>8.1110976954578279E-2</v>
      </c>
      <c r="AD405" t="str">
        <f t="shared" si="149"/>
        <v>No Impact</v>
      </c>
      <c r="AE405">
        <f t="shared" si="136"/>
        <v>4.0754559542474506E-3</v>
      </c>
      <c r="AF405">
        <f t="shared" si="150"/>
        <v>2.6856488966459886E-2</v>
      </c>
      <c r="AG405" t="s">
        <v>1170</v>
      </c>
    </row>
    <row r="406" spans="1:33" customFormat="1" x14ac:dyDescent="0.3">
      <c r="A406">
        <v>506485</v>
      </c>
      <c r="B406" t="s">
        <v>441</v>
      </c>
      <c r="C406" t="s">
        <v>947</v>
      </c>
      <c r="D406" t="s">
        <v>956</v>
      </c>
      <c r="E406" s="21">
        <v>6.3</v>
      </c>
      <c r="F406" s="2">
        <f t="shared" si="137"/>
        <v>0.68888888888888877</v>
      </c>
      <c r="G406" s="10">
        <v>33.679079999999999</v>
      </c>
      <c r="H406">
        <f t="shared" si="138"/>
        <v>0.30740037327164715</v>
      </c>
      <c r="I406" s="12">
        <v>0.29999999999999993</v>
      </c>
      <c r="J406" s="2">
        <f t="shared" si="139"/>
        <v>7.2709646146388749E-4</v>
      </c>
      <c r="K406" s="10">
        <v>0</v>
      </c>
      <c r="L406" s="2">
        <f t="shared" si="140"/>
        <v>0</v>
      </c>
      <c r="M406">
        <v>16424</v>
      </c>
      <c r="N406">
        <f t="shared" si="141"/>
        <v>7.6578047153340614E-2</v>
      </c>
      <c r="O406" s="10">
        <v>0.88882503499999999</v>
      </c>
      <c r="P406">
        <f t="shared" si="142"/>
        <v>0.88338725199267965</v>
      </c>
      <c r="Q406" s="23">
        <v>0.30509999999999998</v>
      </c>
      <c r="R406" s="13">
        <f t="shared" si="143"/>
        <v>0.66067561715028145</v>
      </c>
      <c r="S406">
        <f t="shared" si="144"/>
        <v>5.7356497855665219E-2</v>
      </c>
      <c r="T406" s="14">
        <f t="shared" si="132"/>
        <v>0.12113384484310623</v>
      </c>
      <c r="U406" t="str">
        <f t="shared" si="145"/>
        <v>No Impact</v>
      </c>
      <c r="V406">
        <f t="shared" si="146"/>
        <v>4.9083544945813865E-2</v>
      </c>
      <c r="W406">
        <f t="shared" si="133"/>
        <v>8.9101039027665516E-2</v>
      </c>
      <c r="X406" t="s">
        <v>1170</v>
      </c>
      <c r="Y406">
        <f t="shared" si="134"/>
        <v>6.5629450765516587E-2</v>
      </c>
      <c r="Z406">
        <f t="shared" si="147"/>
        <v>0.14511329435926068</v>
      </c>
      <c r="AA406" t="s">
        <v>1170</v>
      </c>
      <c r="AB406">
        <f t="shared" si="135"/>
        <v>3.8859299297240683E-2</v>
      </c>
      <c r="AC406">
        <f t="shared" si="148"/>
        <v>0.11396872910767024</v>
      </c>
      <c r="AD406" t="str">
        <f t="shared" si="149"/>
        <v>No Impact</v>
      </c>
      <c r="AE406">
        <f t="shared" si="136"/>
        <v>5.6892095330024336E-3</v>
      </c>
      <c r="AF406">
        <f t="shared" si="150"/>
        <v>3.7490821828590211E-2</v>
      </c>
      <c r="AG406" t="s">
        <v>1170</v>
      </c>
    </row>
    <row r="407" spans="1:33" customFormat="1" x14ac:dyDescent="0.3">
      <c r="A407">
        <v>506486</v>
      </c>
      <c r="B407" t="s">
        <v>461</v>
      </c>
      <c r="C407" t="s">
        <v>947</v>
      </c>
      <c r="D407" t="s">
        <v>957</v>
      </c>
      <c r="E407" s="21">
        <v>6.2</v>
      </c>
      <c r="F407" s="2">
        <f t="shared" si="137"/>
        <v>0.66666666666666663</v>
      </c>
      <c r="G407" s="10">
        <v>31.161240000000003</v>
      </c>
      <c r="H407">
        <f t="shared" si="138"/>
        <v>0.28441919457441778</v>
      </c>
      <c r="I407" s="12">
        <v>0.5</v>
      </c>
      <c r="J407" s="2">
        <f t="shared" si="139"/>
        <v>1.211827435773146E-3</v>
      </c>
      <c r="K407" s="10">
        <v>0</v>
      </c>
      <c r="L407" s="2">
        <f t="shared" si="140"/>
        <v>0</v>
      </c>
      <c r="M407">
        <v>21186</v>
      </c>
      <c r="N407">
        <f t="shared" si="141"/>
        <v>9.9109073445846518E-2</v>
      </c>
      <c r="O407" s="10">
        <v>0.44236177799999998</v>
      </c>
      <c r="P407">
        <f t="shared" si="142"/>
        <v>0.3917022654968812</v>
      </c>
      <c r="Q407" s="23">
        <v>0.30070000000000002</v>
      </c>
      <c r="R407" s="13">
        <f t="shared" si="143"/>
        <v>0.65114768297964498</v>
      </c>
      <c r="S407">
        <f t="shared" si="144"/>
        <v>3.4751534601772931E-2</v>
      </c>
      <c r="T407" s="14">
        <f t="shared" si="132"/>
        <v>7.3393375779396725E-2</v>
      </c>
      <c r="U407" t="str">
        <f t="shared" si="145"/>
        <v>No Impact</v>
      </c>
      <c r="V407">
        <f t="shared" si="146"/>
        <v>4.3397194906110222E-2</v>
      </c>
      <c r="W407">
        <f t="shared" si="133"/>
        <v>7.8778644885760488E-2</v>
      </c>
      <c r="X407" t="s">
        <v>1170</v>
      </c>
      <c r="Y407">
        <f t="shared" si="134"/>
        <v>2.610587429743564E-2</v>
      </c>
      <c r="Z407">
        <f t="shared" si="147"/>
        <v>5.7722704932647577E-2</v>
      </c>
      <c r="AA407" t="s">
        <v>1170</v>
      </c>
      <c r="AB407">
        <f t="shared" si="135"/>
        <v>2.533265162470625E-2</v>
      </c>
      <c r="AC407">
        <f t="shared" si="148"/>
        <v>7.4297019318620025E-2</v>
      </c>
      <c r="AD407" t="str">
        <f t="shared" si="149"/>
        <v>No Impact</v>
      </c>
      <c r="AE407">
        <f t="shared" si="136"/>
        <v>6.6053460523913836E-3</v>
      </c>
      <c r="AF407">
        <f t="shared" si="150"/>
        <v>4.3527989350692305E-2</v>
      </c>
      <c r="AG407" t="s">
        <v>1170</v>
      </c>
    </row>
    <row r="408" spans="1:33" customFormat="1" x14ac:dyDescent="0.3">
      <c r="A408">
        <v>506909</v>
      </c>
      <c r="B408" t="s">
        <v>24</v>
      </c>
      <c r="C408" t="s">
        <v>959</v>
      </c>
      <c r="D408" t="s">
        <v>958</v>
      </c>
      <c r="E408" s="21">
        <v>5.8</v>
      </c>
      <c r="F408" s="2">
        <f t="shared" si="137"/>
        <v>0.57777777777777772</v>
      </c>
      <c r="G408" s="10">
        <v>33.760800000000003</v>
      </c>
      <c r="H408">
        <f t="shared" si="138"/>
        <v>0.30814625939750806</v>
      </c>
      <c r="I408" s="12">
        <v>0.3999999999999993</v>
      </c>
      <c r="J408" s="2">
        <f t="shared" si="139"/>
        <v>9.6946194861851514E-4</v>
      </c>
      <c r="K408" s="10">
        <v>0</v>
      </c>
      <c r="L408" s="2">
        <f t="shared" si="140"/>
        <v>0</v>
      </c>
      <c r="M408">
        <v>16182</v>
      </c>
      <c r="N408">
        <f t="shared" si="141"/>
        <v>7.5433043297232591E-2</v>
      </c>
      <c r="O408" s="10">
        <v>0.20812118499999999</v>
      </c>
      <c r="P408">
        <f t="shared" si="142"/>
        <v>0.13373572289744662</v>
      </c>
      <c r="Q408" s="23">
        <v>0.313</v>
      </c>
      <c r="R408" s="13">
        <f t="shared" si="143"/>
        <v>0.6777825898657428</v>
      </c>
      <c r="S408">
        <f t="shared" si="144"/>
        <v>2.5364032495355574E-2</v>
      </c>
      <c r="T408" s="14">
        <f t="shared" si="132"/>
        <v>5.3567475207770818E-2</v>
      </c>
      <c r="U408" t="str">
        <f t="shared" si="145"/>
        <v>No Impact</v>
      </c>
      <c r="V408">
        <f t="shared" si="146"/>
        <v>4.2368235845732752E-2</v>
      </c>
      <c r="W408">
        <f t="shared" si="133"/>
        <v>7.6910782214110032E-2</v>
      </c>
      <c r="X408" t="s">
        <v>1170</v>
      </c>
      <c r="Y408">
        <f t="shared" si="134"/>
        <v>8.3598291449784035E-3</v>
      </c>
      <c r="Z408">
        <f t="shared" si="147"/>
        <v>1.8484420231439504E-2</v>
      </c>
      <c r="AA408" t="s">
        <v>1170</v>
      </c>
      <c r="AB408">
        <f t="shared" si="135"/>
        <v>1.8987194925078252E-2</v>
      </c>
      <c r="AC408">
        <f t="shared" si="148"/>
        <v>5.5686708563075699E-2</v>
      </c>
      <c r="AD408" t="str">
        <f t="shared" si="149"/>
        <v>No Impact</v>
      </c>
      <c r="AE408">
        <f t="shared" si="136"/>
        <v>4.7153246730807681E-3</v>
      </c>
      <c r="AF408">
        <f t="shared" si="150"/>
        <v>3.1073103593203664E-2</v>
      </c>
      <c r="AG408" t="s">
        <v>1170</v>
      </c>
    </row>
    <row r="409" spans="1:33" customFormat="1" x14ac:dyDescent="0.3">
      <c r="A409">
        <v>506915</v>
      </c>
      <c r="B409" t="s">
        <v>46</v>
      </c>
      <c r="C409" t="s">
        <v>959</v>
      </c>
      <c r="D409" t="s">
        <v>960</v>
      </c>
      <c r="E409" s="21">
        <v>6.5</v>
      </c>
      <c r="F409" s="2">
        <f t="shared" si="137"/>
        <v>0.73333333333333328</v>
      </c>
      <c r="G409" s="10">
        <v>33.760800000000003</v>
      </c>
      <c r="H409">
        <f t="shared" si="138"/>
        <v>0.30814625939750806</v>
      </c>
      <c r="I409" s="12">
        <v>8.3000000000000007</v>
      </c>
      <c r="J409" s="2">
        <f t="shared" si="139"/>
        <v>2.0116335433834225E-2</v>
      </c>
      <c r="K409" s="10">
        <v>0</v>
      </c>
      <c r="L409" s="2">
        <f t="shared" si="140"/>
        <v>0</v>
      </c>
      <c r="M409">
        <v>28067</v>
      </c>
      <c r="N409">
        <f t="shared" si="141"/>
        <v>0.13166598061063717</v>
      </c>
      <c r="O409" s="10">
        <v>0.28780975199999997</v>
      </c>
      <c r="P409">
        <f t="shared" si="142"/>
        <v>0.22149584957068036</v>
      </c>
      <c r="Q409" s="23">
        <v>0.30259999999999998</v>
      </c>
      <c r="R409" s="13">
        <f t="shared" si="143"/>
        <v>0.65526201818969243</v>
      </c>
      <c r="S409">
        <f t="shared" si="144"/>
        <v>3.6935207631092905E-2</v>
      </c>
      <c r="T409" s="14">
        <f t="shared" si="132"/>
        <v>7.8005176007983984E-2</v>
      </c>
      <c r="U409" t="str">
        <f t="shared" si="145"/>
        <v>No Impact</v>
      </c>
      <c r="V409">
        <f t="shared" si="146"/>
        <v>5.5208489332245127E-2</v>
      </c>
      <c r="W409">
        <f t="shared" si="133"/>
        <v>0.10021961062676589</v>
      </c>
      <c r="X409" t="s">
        <v>1170</v>
      </c>
      <c r="Y409">
        <f t="shared" si="134"/>
        <v>1.8661925929940672E-2</v>
      </c>
      <c r="Z409">
        <f t="shared" si="147"/>
        <v>4.1263388908399992E-2</v>
      </c>
      <c r="AA409" t="s">
        <v>1170</v>
      </c>
      <c r="AB409">
        <f t="shared" si="135"/>
        <v>2.880423702269044E-2</v>
      </c>
      <c r="AC409">
        <f t="shared" si="148"/>
        <v>8.4478679383321667E-2</v>
      </c>
      <c r="AD409" t="str">
        <f t="shared" si="149"/>
        <v>No Impact</v>
      </c>
      <c r="AE409">
        <f t="shared" si="136"/>
        <v>1.1093394221206978E-2</v>
      </c>
      <c r="AF409">
        <f t="shared" si="150"/>
        <v>7.3103383485701043E-2</v>
      </c>
      <c r="AG409" t="s">
        <v>1170</v>
      </c>
    </row>
    <row r="410" spans="1:33" customFormat="1" x14ac:dyDescent="0.3">
      <c r="A410">
        <v>506941</v>
      </c>
      <c r="B410" t="s">
        <v>196</v>
      </c>
      <c r="C410" t="s">
        <v>959</v>
      </c>
      <c r="D410" t="s">
        <v>961</v>
      </c>
      <c r="E410" s="21">
        <v>6.5</v>
      </c>
      <c r="F410" s="2">
        <f t="shared" si="137"/>
        <v>0.73333333333333328</v>
      </c>
      <c r="G410" s="10">
        <v>33.760800000000003</v>
      </c>
      <c r="H410">
        <f t="shared" si="138"/>
        <v>0.30814625939750806</v>
      </c>
      <c r="I410" s="12">
        <v>2.1999999999999988</v>
      </c>
      <c r="J410" s="2">
        <f t="shared" si="139"/>
        <v>5.3320407174018399E-3</v>
      </c>
      <c r="K410" s="10">
        <v>0</v>
      </c>
      <c r="L410" s="2">
        <f t="shared" si="140"/>
        <v>0</v>
      </c>
      <c r="M410">
        <v>24217</v>
      </c>
      <c r="N410">
        <f t="shared" si="141"/>
        <v>0.11345001017255492</v>
      </c>
      <c r="O410" s="10">
        <v>0.44554897799999998</v>
      </c>
      <c r="P410">
        <f t="shared" si="142"/>
        <v>0.39521229317416307</v>
      </c>
      <c r="Q410" s="23">
        <v>0.27</v>
      </c>
      <c r="R410" s="13">
        <f t="shared" si="143"/>
        <v>0.58466868774361203</v>
      </c>
      <c r="S410">
        <f t="shared" si="144"/>
        <v>3.9420332774006105E-2</v>
      </c>
      <c r="T410" s="14">
        <f t="shared" si="132"/>
        <v>8.3253626919943147E-2</v>
      </c>
      <c r="U410" t="str">
        <f t="shared" si="145"/>
        <v>No Impact</v>
      </c>
      <c r="V410">
        <f t="shared" si="146"/>
        <v>4.7042109566832517E-2</v>
      </c>
      <c r="W410">
        <f t="shared" si="133"/>
        <v>8.5395234698009276E-2</v>
      </c>
      <c r="X410" t="s">
        <v>1170</v>
      </c>
      <c r="Y410">
        <f t="shared" si="134"/>
        <v>3.1798555981179692E-2</v>
      </c>
      <c r="Z410">
        <f t="shared" si="147"/>
        <v>7.0309794771600917E-2</v>
      </c>
      <c r="AA410" t="s">
        <v>1170</v>
      </c>
      <c r="AB410">
        <f t="shared" si="135"/>
        <v>2.9199148260344525E-2</v>
      </c>
      <c r="AC410">
        <f t="shared" si="148"/>
        <v>8.5636897176223789E-2</v>
      </c>
      <c r="AD410" t="str">
        <f t="shared" si="149"/>
        <v>No Impact</v>
      </c>
      <c r="AE410">
        <f t="shared" si="136"/>
        <v>9.1281231931406807E-3</v>
      </c>
      <c r="AF410">
        <f t="shared" si="150"/>
        <v>6.0152616682208039E-2</v>
      </c>
      <c r="AG410" t="s">
        <v>1170</v>
      </c>
    </row>
    <row r="411" spans="1:33" customFormat="1" x14ac:dyDescent="0.3">
      <c r="A411">
        <v>506944</v>
      </c>
      <c r="B411" t="s">
        <v>303</v>
      </c>
      <c r="C411" t="s">
        <v>959</v>
      </c>
      <c r="D411" t="s">
        <v>962</v>
      </c>
      <c r="E411" s="21">
        <v>6.5</v>
      </c>
      <c r="F411" s="2">
        <f t="shared" si="137"/>
        <v>0.73333333333333328</v>
      </c>
      <c r="G411" s="10">
        <v>36.757080000000002</v>
      </c>
      <c r="H411">
        <f t="shared" si="138"/>
        <v>0.335494322065086</v>
      </c>
      <c r="I411" s="12">
        <v>17.900000000000002</v>
      </c>
      <c r="J411" s="2">
        <f t="shared" si="139"/>
        <v>4.3383422200678631E-2</v>
      </c>
      <c r="K411" s="10">
        <v>0</v>
      </c>
      <c r="L411" s="2">
        <f t="shared" si="140"/>
        <v>0</v>
      </c>
      <c r="M411">
        <v>32668</v>
      </c>
      <c r="N411">
        <f t="shared" si="141"/>
        <v>0.15343524813936874</v>
      </c>
      <c r="O411" s="10">
        <v>0.16408985400000001</v>
      </c>
      <c r="P411">
        <f t="shared" si="142"/>
        <v>8.5244511025722475E-2</v>
      </c>
      <c r="Q411" s="23">
        <v>0.28670000000000001</v>
      </c>
      <c r="R411" s="13">
        <f t="shared" si="143"/>
        <v>0.62083152880034653</v>
      </c>
      <c r="S411">
        <f t="shared" si="144"/>
        <v>3.433128381367366E-2</v>
      </c>
      <c r="T411" s="14">
        <f t="shared" si="132"/>
        <v>7.2505828672024264E-2</v>
      </c>
      <c r="U411" t="str">
        <f t="shared" si="145"/>
        <v>No Impact</v>
      </c>
      <c r="V411">
        <f t="shared" si="146"/>
        <v>6.0372940628241611E-2</v>
      </c>
      <c r="W411">
        <f t="shared" si="133"/>
        <v>0.10959460538293225</v>
      </c>
      <c r="X411" t="s">
        <v>1170</v>
      </c>
      <c r="Y411">
        <f t="shared" si="134"/>
        <v>8.2896269991057162E-3</v>
      </c>
      <c r="Z411">
        <f t="shared" si="147"/>
        <v>1.8329196249829899E-2</v>
      </c>
      <c r="AA411" t="s">
        <v>1170</v>
      </c>
      <c r="AB411">
        <f t="shared" si="135"/>
        <v>2.8839716516363124E-2</v>
      </c>
      <c r="AC411">
        <f t="shared" si="148"/>
        <v>8.4582735629223832E-2</v>
      </c>
      <c r="AD411" t="str">
        <f t="shared" si="149"/>
        <v>No Impact</v>
      </c>
      <c r="AE411">
        <f t="shared" si="136"/>
        <v>1.4920854847848147E-2</v>
      </c>
      <c r="AF411">
        <f t="shared" si="150"/>
        <v>9.8325629841183787E-2</v>
      </c>
      <c r="AG411" t="s">
        <v>1170</v>
      </c>
    </row>
    <row r="412" spans="1:33" customFormat="1" x14ac:dyDescent="0.3">
      <c r="A412">
        <v>506963</v>
      </c>
      <c r="B412" t="s">
        <v>379</v>
      </c>
      <c r="C412" t="s">
        <v>959</v>
      </c>
      <c r="D412" t="s">
        <v>963</v>
      </c>
      <c r="E412" s="21">
        <v>6.5</v>
      </c>
      <c r="F412" s="2">
        <f t="shared" si="137"/>
        <v>0.73333333333333328</v>
      </c>
      <c r="G412" s="10">
        <v>35.246159999999996</v>
      </c>
      <c r="H412">
        <f t="shared" si="138"/>
        <v>0.32170364334156981</v>
      </c>
      <c r="I412" s="12">
        <v>0.3999999999999993</v>
      </c>
      <c r="J412" s="2">
        <f t="shared" si="139"/>
        <v>9.6946194861851514E-4</v>
      </c>
      <c r="K412" s="10">
        <v>0</v>
      </c>
      <c r="L412" s="2">
        <f t="shared" si="140"/>
        <v>0</v>
      </c>
      <c r="M412">
        <v>46818</v>
      </c>
      <c r="N412">
        <f t="shared" si="141"/>
        <v>0.22038485377543729</v>
      </c>
      <c r="O412" s="10">
        <v>0.41349488000000001</v>
      </c>
      <c r="P412">
        <f t="shared" si="142"/>
        <v>0.35991147391264655</v>
      </c>
      <c r="Q412" s="23">
        <v>0.25600000000000001</v>
      </c>
      <c r="R412" s="13">
        <f t="shared" si="143"/>
        <v>0.55435253356431358</v>
      </c>
      <c r="S412">
        <f t="shared" si="144"/>
        <v>3.7859412147947469E-2</v>
      </c>
      <c r="T412" s="14">
        <f t="shared" si="132"/>
        <v>7.995704634061275E-2</v>
      </c>
      <c r="U412" t="str">
        <f t="shared" si="145"/>
        <v>No Impact</v>
      </c>
      <c r="V412">
        <f t="shared" si="146"/>
        <v>4.5911161047207966E-2</v>
      </c>
      <c r="W412">
        <f t="shared" si="133"/>
        <v>8.334223122614122E-2</v>
      </c>
      <c r="X412" t="s">
        <v>1170</v>
      </c>
      <c r="Y412">
        <f t="shared" si="134"/>
        <v>2.9807663248686982E-2</v>
      </c>
      <c r="Z412">
        <f t="shared" si="147"/>
        <v>6.5907731372348372E-2</v>
      </c>
      <c r="AA412" t="s">
        <v>1170</v>
      </c>
      <c r="AB412">
        <f t="shared" si="135"/>
        <v>3.1399457158339104E-2</v>
      </c>
      <c r="AC412">
        <f t="shared" si="148"/>
        <v>9.2090086330011409E-2</v>
      </c>
      <c r="AD412" t="str">
        <f t="shared" si="149"/>
        <v>No Impact</v>
      </c>
      <c r="AE412">
        <f t="shared" si="136"/>
        <v>1.8252148049172068E-2</v>
      </c>
      <c r="AF412">
        <f t="shared" si="150"/>
        <v>0.1202782260929372</v>
      </c>
      <c r="AG412" t="s">
        <v>1169</v>
      </c>
    </row>
    <row r="413" spans="1:33" customFormat="1" x14ac:dyDescent="0.3">
      <c r="A413">
        <v>506991</v>
      </c>
      <c r="B413" t="s">
        <v>492</v>
      </c>
      <c r="C413" t="s">
        <v>959</v>
      </c>
      <c r="D413" t="s">
        <v>964</v>
      </c>
      <c r="E413" s="21">
        <v>6.5</v>
      </c>
      <c r="F413" s="2">
        <f t="shared" si="137"/>
        <v>0.73333333333333328</v>
      </c>
      <c r="G413" s="10">
        <v>33.019200000000005</v>
      </c>
      <c r="H413">
        <f t="shared" si="138"/>
        <v>0.3013774249513696</v>
      </c>
      <c r="I413" s="12">
        <v>0</v>
      </c>
      <c r="J413" s="2">
        <f t="shared" si="139"/>
        <v>0</v>
      </c>
      <c r="K413" s="10">
        <v>0</v>
      </c>
      <c r="L413" s="2">
        <f t="shared" si="140"/>
        <v>0</v>
      </c>
      <c r="M413">
        <v>38033</v>
      </c>
      <c r="N413">
        <f t="shared" si="141"/>
        <v>0.17881932123035868</v>
      </c>
      <c r="O413" s="10">
        <v>0.77676486499999997</v>
      </c>
      <c r="P413">
        <f t="shared" si="142"/>
        <v>0.75997664135609844</v>
      </c>
      <c r="Q413" s="23">
        <v>0.27300000000000002</v>
      </c>
      <c r="R413" s="13">
        <f t="shared" si="143"/>
        <v>0.59116500649631876</v>
      </c>
      <c r="S413">
        <f t="shared" si="144"/>
        <v>5.2257794123703336E-2</v>
      </c>
      <c r="T413" s="14">
        <f t="shared" si="132"/>
        <v>0.11036565623572889</v>
      </c>
      <c r="U413" t="str">
        <f t="shared" si="145"/>
        <v>No Impact</v>
      </c>
      <c r="V413">
        <f t="shared" si="146"/>
        <v>4.5728705427333184E-2</v>
      </c>
      <c r="W413">
        <f t="shared" si="133"/>
        <v>8.3011020729319374E-2</v>
      </c>
      <c r="X413" t="s">
        <v>1170</v>
      </c>
      <c r="Y413">
        <f t="shared" si="134"/>
        <v>5.8786882820073466E-2</v>
      </c>
      <c r="Z413">
        <f t="shared" si="147"/>
        <v>0.12998369073073163</v>
      </c>
      <c r="AA413" t="s">
        <v>1170</v>
      </c>
      <c r="AB413">
        <f t="shared" si="135"/>
        <v>3.8482419318584149E-2</v>
      </c>
      <c r="AC413">
        <f t="shared" si="148"/>
        <v>0.11286339440091032</v>
      </c>
      <c r="AD413" t="str">
        <f t="shared" si="149"/>
        <v>No Impact</v>
      </c>
      <c r="AE413">
        <f t="shared" si="136"/>
        <v>1.3832307351415697E-2</v>
      </c>
      <c r="AF413">
        <f t="shared" si="150"/>
        <v>9.1152306376127742E-2</v>
      </c>
      <c r="AG413" t="s">
        <v>1170</v>
      </c>
    </row>
    <row r="414" spans="1:33" customFormat="1" x14ac:dyDescent="0.3">
      <c r="A414">
        <v>507018</v>
      </c>
      <c r="B414" t="s">
        <v>72</v>
      </c>
      <c r="C414" t="s">
        <v>728</v>
      </c>
      <c r="D414" t="s">
        <v>965</v>
      </c>
      <c r="E414" s="21">
        <v>5</v>
      </c>
      <c r="F414" s="2">
        <f t="shared" si="137"/>
        <v>0.39999999999999997</v>
      </c>
      <c r="G414" s="10">
        <v>30.448440000000002</v>
      </c>
      <c r="H414">
        <f t="shared" si="138"/>
        <v>0.27791322748541086</v>
      </c>
      <c r="I414" s="12">
        <v>1.8999999999999997</v>
      </c>
      <c r="J414" s="2">
        <f t="shared" si="139"/>
        <v>4.6049442559379537E-3</v>
      </c>
      <c r="K414" s="10">
        <v>0</v>
      </c>
      <c r="L414" s="2">
        <f t="shared" si="140"/>
        <v>0</v>
      </c>
      <c r="M414">
        <v>11807</v>
      </c>
      <c r="N414">
        <f t="shared" si="141"/>
        <v>5.4733076890320934E-2</v>
      </c>
      <c r="O414" s="10">
        <v>0.566798515</v>
      </c>
      <c r="P414">
        <f t="shared" si="142"/>
        <v>0.52874305080707351</v>
      </c>
      <c r="Q414" s="23">
        <v>0.28649999999999998</v>
      </c>
      <c r="R414" s="13">
        <f t="shared" si="143"/>
        <v>0.62039844088349927</v>
      </c>
      <c r="S414">
        <f t="shared" si="144"/>
        <v>2.2725734731318288E-2</v>
      </c>
      <c r="T414" s="14">
        <f t="shared" si="132"/>
        <v>4.7995531941586192E-2</v>
      </c>
      <c r="U414" t="str">
        <f t="shared" si="145"/>
        <v>No Impact</v>
      </c>
      <c r="V414">
        <f t="shared" si="146"/>
        <v>2.4538336657742525E-2</v>
      </c>
      <c r="W414">
        <f t="shared" si="133"/>
        <v>4.4544282500972469E-2</v>
      </c>
      <c r="X414" t="s">
        <v>1170</v>
      </c>
      <c r="Y414">
        <f t="shared" si="134"/>
        <v>2.0913132804894052E-2</v>
      </c>
      <c r="Z414">
        <f t="shared" si="147"/>
        <v>4.6241032970604258E-2</v>
      </c>
      <c r="AA414" t="s">
        <v>1170</v>
      </c>
      <c r="AB414">
        <f t="shared" si="135"/>
        <v>1.5620049023702873E-2</v>
      </c>
      <c r="AC414">
        <f t="shared" si="148"/>
        <v>4.5811354502661598E-2</v>
      </c>
      <c r="AD414" t="str">
        <f t="shared" si="149"/>
        <v>No Impact</v>
      </c>
      <c r="AE414">
        <f t="shared" si="136"/>
        <v>2.1648324343564993E-3</v>
      </c>
      <c r="AF414">
        <f t="shared" si="150"/>
        <v>1.4265838973657997E-2</v>
      </c>
      <c r="AG414" t="s">
        <v>1170</v>
      </c>
    </row>
    <row r="415" spans="1:33" customFormat="1" x14ac:dyDescent="0.3">
      <c r="A415">
        <v>507037</v>
      </c>
      <c r="B415" t="s">
        <v>190</v>
      </c>
      <c r="C415" t="s">
        <v>728</v>
      </c>
      <c r="D415" t="s">
        <v>966</v>
      </c>
      <c r="E415" s="21">
        <v>5.3</v>
      </c>
      <c r="F415" s="2">
        <f t="shared" si="137"/>
        <v>0.46666666666666656</v>
      </c>
      <c r="G415" s="10">
        <v>33.032880000000006</v>
      </c>
      <c r="H415">
        <f t="shared" si="138"/>
        <v>0.30150228694600711</v>
      </c>
      <c r="I415" s="12">
        <v>1.8999999999999997</v>
      </c>
      <c r="J415" s="2">
        <f t="shared" si="139"/>
        <v>4.6049442559379537E-3</v>
      </c>
      <c r="K415" s="10">
        <v>0</v>
      </c>
      <c r="L415" s="2">
        <f t="shared" si="140"/>
        <v>0</v>
      </c>
      <c r="M415">
        <v>29737</v>
      </c>
      <c r="N415">
        <f t="shared" si="141"/>
        <v>0.13956745350196118</v>
      </c>
      <c r="O415" s="10">
        <v>0.58639996000000005</v>
      </c>
      <c r="P415">
        <f t="shared" si="142"/>
        <v>0.55032990273500981</v>
      </c>
      <c r="Q415" s="23">
        <v>0.25309999999999999</v>
      </c>
      <c r="R415" s="13">
        <f t="shared" si="143"/>
        <v>0.54807275877003037</v>
      </c>
      <c r="S415">
        <f t="shared" si="144"/>
        <v>2.7458701459082663E-2</v>
      </c>
      <c r="T415" s="14">
        <f t="shared" si="132"/>
        <v>5.7991303627147113E-2</v>
      </c>
      <c r="U415" t="str">
        <f t="shared" si="145"/>
        <v>No Impact</v>
      </c>
      <c r="V415">
        <f t="shared" si="146"/>
        <v>2.7402275665103237E-2</v>
      </c>
      <c r="W415">
        <f t="shared" si="133"/>
        <v>4.9743172303031553E-2</v>
      </c>
      <c r="X415" t="s">
        <v>1170</v>
      </c>
      <c r="Y415">
        <f t="shared" si="134"/>
        <v>2.7515127253062096E-2</v>
      </c>
      <c r="Z415">
        <f t="shared" si="147"/>
        <v>6.08387044814954E-2</v>
      </c>
      <c r="AA415" t="s">
        <v>1170</v>
      </c>
      <c r="AB415">
        <f t="shared" si="135"/>
        <v>2.0287643678335642E-2</v>
      </c>
      <c r="AC415">
        <f t="shared" si="148"/>
        <v>5.9500737492025613E-2</v>
      </c>
      <c r="AD415" t="str">
        <f t="shared" si="149"/>
        <v>No Impact</v>
      </c>
      <c r="AE415">
        <f t="shared" si="136"/>
        <v>6.9780257703739518E-3</v>
      </c>
      <c r="AF415">
        <f t="shared" si="150"/>
        <v>4.5983878666240166E-2</v>
      </c>
      <c r="AG415" t="s">
        <v>1170</v>
      </c>
    </row>
    <row r="416" spans="1:33" customFormat="1" x14ac:dyDescent="0.3">
      <c r="A416">
        <v>507056</v>
      </c>
      <c r="B416" t="s">
        <v>361</v>
      </c>
      <c r="C416" t="s">
        <v>728</v>
      </c>
      <c r="D416" t="s">
        <v>967</v>
      </c>
      <c r="E416" s="21">
        <v>5</v>
      </c>
      <c r="F416" s="2">
        <f t="shared" si="137"/>
        <v>0.39999999999999997</v>
      </c>
      <c r="G416" s="10">
        <v>34.916040000000002</v>
      </c>
      <c r="H416">
        <f t="shared" si="138"/>
        <v>0.31869052626044903</v>
      </c>
      <c r="I416" s="12">
        <v>0.20000000000000051</v>
      </c>
      <c r="J416" s="2">
        <f t="shared" si="139"/>
        <v>4.8473097430925963E-4</v>
      </c>
      <c r="K416" s="10">
        <v>0</v>
      </c>
      <c r="L416" s="2">
        <f t="shared" si="140"/>
        <v>0</v>
      </c>
      <c r="M416">
        <v>14402</v>
      </c>
      <c r="N416">
        <f t="shared" si="141"/>
        <v>6.7011114107677683E-2</v>
      </c>
      <c r="O416" s="10">
        <v>0.54996922599999998</v>
      </c>
      <c r="P416">
        <f t="shared" si="142"/>
        <v>0.51020914324589905</v>
      </c>
      <c r="Q416" s="23">
        <v>0.3</v>
      </c>
      <c r="R416" s="13">
        <f t="shared" si="143"/>
        <v>0.64963187527067989</v>
      </c>
      <c r="S416">
        <f t="shared" si="144"/>
        <v>2.5913478880551719E-2</v>
      </c>
      <c r="T416" s="14">
        <f t="shared" si="132"/>
        <v>5.4727876481597569E-2</v>
      </c>
      <c r="U416" t="str">
        <f t="shared" si="145"/>
        <v>No Impact</v>
      </c>
      <c r="V416">
        <f t="shared" si="146"/>
        <v>2.9028498925638465E-2</v>
      </c>
      <c r="W416">
        <f t="shared" si="133"/>
        <v>5.2695244781997941E-2</v>
      </c>
      <c r="X416" t="s">
        <v>1170</v>
      </c>
      <c r="Y416">
        <f t="shared" si="134"/>
        <v>2.2798458835464962E-2</v>
      </c>
      <c r="Z416">
        <f t="shared" si="147"/>
        <v>5.0409677809868436E-2</v>
      </c>
      <c r="AA416" t="s">
        <v>1170</v>
      </c>
      <c r="AB416">
        <f t="shared" si="135"/>
        <v>1.8047538464175335E-2</v>
      </c>
      <c r="AC416">
        <f t="shared" si="148"/>
        <v>5.2930831473585287E-2</v>
      </c>
      <c r="AD416" t="str">
        <f t="shared" si="149"/>
        <v>No Impact</v>
      </c>
      <c r="AE416">
        <f t="shared" si="136"/>
        <v>2.9943605416068064E-3</v>
      </c>
      <c r="AF416">
        <f t="shared" si="150"/>
        <v>1.9732273333356528E-2</v>
      </c>
      <c r="AG416" t="s">
        <v>1170</v>
      </c>
    </row>
    <row r="417" spans="1:33" customFormat="1" x14ac:dyDescent="0.3">
      <c r="A417" s="8">
        <v>507066</v>
      </c>
      <c r="B417" s="8" t="s">
        <v>382</v>
      </c>
      <c r="C417" s="8" t="s">
        <v>728</v>
      </c>
      <c r="D417" s="8" t="s">
        <v>1150</v>
      </c>
      <c r="E417" s="21">
        <v>5</v>
      </c>
      <c r="F417" s="2">
        <f t="shared" si="137"/>
        <v>0.39999999999999997</v>
      </c>
      <c r="G417" s="10">
        <v>35.14752</v>
      </c>
      <c r="H417">
        <f t="shared" si="138"/>
        <v>0.32080332264339417</v>
      </c>
      <c r="I417" s="12">
        <v>0.20000000000000051</v>
      </c>
      <c r="J417" s="2">
        <f t="shared" si="139"/>
        <v>4.8473097430925963E-4</v>
      </c>
      <c r="K417" s="10">
        <v>0</v>
      </c>
      <c r="L417" s="2">
        <f t="shared" si="140"/>
        <v>0</v>
      </c>
      <c r="M417" s="8">
        <v>71171</v>
      </c>
      <c r="N417">
        <f t="shared" si="141"/>
        <v>0.33560914678287035</v>
      </c>
      <c r="O417" s="10">
        <v>0.45887888599999999</v>
      </c>
      <c r="P417">
        <f t="shared" si="142"/>
        <v>0.40989237161781927</v>
      </c>
      <c r="Q417" s="23">
        <v>0.26079999999999998</v>
      </c>
      <c r="R417" s="13">
        <f t="shared" si="143"/>
        <v>0.56474664356864435</v>
      </c>
      <c r="S417">
        <f t="shared" si="144"/>
        <v>2.1919791051839391E-2</v>
      </c>
      <c r="T417" s="14">
        <f t="shared" si="132"/>
        <v>4.6293422149807195E-2</v>
      </c>
      <c r="U417" t="str">
        <f t="shared" si="145"/>
        <v>No Impact</v>
      </c>
      <c r="V417">
        <f t="shared" si="146"/>
        <v>2.5402488985902087E-2</v>
      </c>
      <c r="W417">
        <f t="shared" si="133"/>
        <v>4.6112972586462311E-2</v>
      </c>
      <c r="X417" t="s">
        <v>1170</v>
      </c>
      <c r="Y417">
        <f t="shared" si="134"/>
        <v>1.8437093117776693E-2</v>
      </c>
      <c r="Z417">
        <f t="shared" si="147"/>
        <v>4.076626102339391E-2</v>
      </c>
      <c r="AA417" t="s">
        <v>1170</v>
      </c>
      <c r="AB417">
        <f t="shared" si="135"/>
        <v>1.9705532348160897E-2</v>
      </c>
      <c r="AC417">
        <f t="shared" si="148"/>
        <v>5.7793488784535357E-2</v>
      </c>
      <c r="AD417" t="str">
        <f t="shared" si="149"/>
        <v>No Impact</v>
      </c>
      <c r="AE417">
        <f t="shared" si="136"/>
        <v>1.5095809336463317E-2</v>
      </c>
      <c r="AF417">
        <f t="shared" si="150"/>
        <v>9.9478547047473054E-2</v>
      </c>
      <c r="AG417" t="s">
        <v>1169</v>
      </c>
    </row>
    <row r="418" spans="1:33" customFormat="1" x14ac:dyDescent="0.3">
      <c r="A418">
        <v>507088</v>
      </c>
      <c r="B418" t="s">
        <v>488</v>
      </c>
      <c r="C418" t="s">
        <v>728</v>
      </c>
      <c r="D418" t="s">
        <v>1149</v>
      </c>
      <c r="E418" s="21">
        <v>5.2</v>
      </c>
      <c r="F418" s="2">
        <f t="shared" ref="F418:F471" si="151">(E418-$AJ$5)/$AK$5</f>
        <v>0.44444444444444442</v>
      </c>
      <c r="G418" s="10">
        <v>33.032880000000006</v>
      </c>
      <c r="H418">
        <f t="shared" ref="H418:H449" si="152">(G418-$AJ$6)/$AK$6</f>
        <v>0.30150228694600711</v>
      </c>
      <c r="I418" s="12">
        <v>1.0999999999999999</v>
      </c>
      <c r="J418" s="2">
        <f t="shared" si="139"/>
        <v>2.6660203587009208E-3</v>
      </c>
      <c r="K418" s="10">
        <v>0</v>
      </c>
      <c r="L418" s="2">
        <f t="shared" ref="L418:L449" si="153">(K418-$AJ$7)/$AK$7</f>
        <v>0</v>
      </c>
      <c r="M418">
        <v>62302</v>
      </c>
      <c r="N418">
        <f t="shared" si="141"/>
        <v>0.29364617488277905</v>
      </c>
      <c r="O418" s="10">
        <v>0.26146120299999998</v>
      </c>
      <c r="P418">
        <f t="shared" si="142"/>
        <v>0.19247848754563721</v>
      </c>
      <c r="Q418" s="23">
        <v>0.27810000000000001</v>
      </c>
      <c r="R418" s="13">
        <f t="shared" si="143"/>
        <v>0.60220874837592031</v>
      </c>
      <c r="S418">
        <f t="shared" si="144"/>
        <v>1.8800341107871345E-2</v>
      </c>
      <c r="T418" s="4">
        <f t="shared" ref="T418:T449" si="154">(S418-$AJ$9)/$AK$9</f>
        <v>-1.1307206411022893E-3</v>
      </c>
      <c r="U418" t="str">
        <f t="shared" si="145"/>
        <v>No Impact</v>
      </c>
      <c r="V418">
        <f t="shared" si="146"/>
        <v>2.8493549099180747E-2</v>
      </c>
      <c r="W418">
        <f t="shared" si="133"/>
        <v>5.1724153850858559E-2</v>
      </c>
      <c r="X418" t="s">
        <v>1170</v>
      </c>
      <c r="Y418">
        <f t="shared" si="134"/>
        <v>9.1071331165619458E-3</v>
      </c>
      <c r="Z418">
        <f t="shared" si="147"/>
        <v>2.0136784222594923E-2</v>
      </c>
      <c r="AA418" t="s">
        <v>1170</v>
      </c>
      <c r="AB418">
        <f t="shared" si="135"/>
        <v>1.7567743384203242E-2</v>
      </c>
      <c r="AC418">
        <f t="shared" si="148"/>
        <v>5.1523661594420345E-2</v>
      </c>
      <c r="AD418" t="str">
        <f t="shared" si="149"/>
        <v>No Impact</v>
      </c>
      <c r="AE418">
        <f t="shared" si="136"/>
        <v>1.3893889327204005E-2</v>
      </c>
      <c r="AF418">
        <f t="shared" si="150"/>
        <v>9.1558120025412262E-2</v>
      </c>
      <c r="AG418" t="s">
        <v>1170</v>
      </c>
    </row>
    <row r="419" spans="1:33" customFormat="1" x14ac:dyDescent="0.3">
      <c r="A419">
        <v>507605</v>
      </c>
      <c r="B419" t="s">
        <v>15</v>
      </c>
      <c r="C419" t="s">
        <v>969</v>
      </c>
      <c r="D419" t="s">
        <v>968</v>
      </c>
      <c r="E419" s="21">
        <v>5</v>
      </c>
      <c r="F419" s="2">
        <f t="shared" si="151"/>
        <v>0.39999999999999997</v>
      </c>
      <c r="G419" s="10">
        <v>37.847519999999996</v>
      </c>
      <c r="H419">
        <f t="shared" si="152"/>
        <v>0.34544713737448079</v>
      </c>
      <c r="I419" s="12">
        <v>22.9</v>
      </c>
      <c r="J419" s="2">
        <f t="shared" si="139"/>
        <v>5.5501696558410085E-2</v>
      </c>
      <c r="K419" s="10">
        <v>0</v>
      </c>
      <c r="L419" s="2">
        <f t="shared" si="153"/>
        <v>0</v>
      </c>
      <c r="M419">
        <v>10847</v>
      </c>
      <c r="N419">
        <f t="shared" si="141"/>
        <v>5.019091283303289E-2</v>
      </c>
      <c r="O419" s="10">
        <v>0.39954081800000002</v>
      </c>
      <c r="P419">
        <f t="shared" si="142"/>
        <v>0.34454402165658887</v>
      </c>
      <c r="Q419" s="23">
        <v>0.3004</v>
      </c>
      <c r="R419" s="13">
        <f t="shared" si="143"/>
        <v>0.6504980511043742</v>
      </c>
      <c r="S419">
        <f t="shared" si="144"/>
        <v>2.7927267115137239E-2</v>
      </c>
      <c r="T419" s="4">
        <f t="shared" si="154"/>
        <v>-1.1306774577738894E-3</v>
      </c>
      <c r="U419" t="str">
        <f t="shared" si="145"/>
        <v>No Impact</v>
      </c>
      <c r="V419">
        <f t="shared" si="146"/>
        <v>3.6514300909228359E-2</v>
      </c>
      <c r="W419">
        <f t="shared" si="133"/>
        <v>6.628417230199575E-2</v>
      </c>
      <c r="X419" t="s">
        <v>1170</v>
      </c>
      <c r="Y419">
        <f t="shared" si="134"/>
        <v>1.9340233321046119E-2</v>
      </c>
      <c r="Z419">
        <f t="shared" si="147"/>
        <v>4.2763194543879501E-2</v>
      </c>
      <c r="AA419" t="s">
        <v>1170</v>
      </c>
      <c r="AB419">
        <f t="shared" si="135"/>
        <v>1.9568150725290924E-2</v>
      </c>
      <c r="AC419">
        <f t="shared" si="148"/>
        <v>5.7390568267583271E-2</v>
      </c>
      <c r="AD419" t="str">
        <f t="shared" si="149"/>
        <v>No Impact</v>
      </c>
      <c r="AE419">
        <f t="shared" si="136"/>
        <v>2.8173583164204665E-3</v>
      </c>
      <c r="AF419">
        <f t="shared" si="150"/>
        <v>1.8565861927829861E-2</v>
      </c>
      <c r="AG419" t="s">
        <v>1170</v>
      </c>
    </row>
    <row r="420" spans="1:33" customFormat="1" x14ac:dyDescent="0.3">
      <c r="A420">
        <v>507616</v>
      </c>
      <c r="B420" t="s">
        <v>62</v>
      </c>
      <c r="C420" t="s">
        <v>969</v>
      </c>
      <c r="D420" t="s">
        <v>970</v>
      </c>
      <c r="E420" s="21">
        <v>4.9000000000000004</v>
      </c>
      <c r="F420" s="2">
        <f t="shared" si="151"/>
        <v>0.37777777777777782</v>
      </c>
      <c r="G420" s="10">
        <v>40.183200000000006</v>
      </c>
      <c r="H420">
        <f t="shared" si="152"/>
        <v>0.36676568003785298</v>
      </c>
      <c r="I420" s="12">
        <v>32.1</v>
      </c>
      <c r="J420" s="2">
        <f t="shared" si="139"/>
        <v>7.7799321376635977E-2</v>
      </c>
      <c r="K420" s="10">
        <v>0</v>
      </c>
      <c r="L420" s="2">
        <f t="shared" si="153"/>
        <v>0</v>
      </c>
      <c r="M420">
        <v>28096</v>
      </c>
      <c r="N420">
        <f t="shared" si="141"/>
        <v>0.13180319181653441</v>
      </c>
      <c r="O420" s="10">
        <v>0.32577558600000001</v>
      </c>
      <c r="P420">
        <f t="shared" si="142"/>
        <v>0.2633071975033765</v>
      </c>
      <c r="Q420" s="23">
        <v>0.24129999999999999</v>
      </c>
      <c r="R420" s="13">
        <f t="shared" si="143"/>
        <v>0.52252057167605026</v>
      </c>
      <c r="S420">
        <f t="shared" si="144"/>
        <v>2.3096017374832661E-2</v>
      </c>
      <c r="T420" s="4">
        <f t="shared" si="154"/>
        <v>-1.1307003164498502E-3</v>
      </c>
      <c r="U420" t="str">
        <f t="shared" si="145"/>
        <v>No Impact</v>
      </c>
      <c r="V420">
        <f t="shared" si="146"/>
        <v>3.0714476315183651E-2</v>
      </c>
      <c r="W420">
        <f t="shared" si="133"/>
        <v>5.5755788541652349E-2</v>
      </c>
      <c r="X420" t="s">
        <v>1170</v>
      </c>
      <c r="Y420">
        <f t="shared" si="134"/>
        <v>1.5477558434481679E-2</v>
      </c>
      <c r="Z420">
        <f t="shared" si="147"/>
        <v>3.422243317394489E-2</v>
      </c>
      <c r="AA420" t="s">
        <v>1170</v>
      </c>
      <c r="AB420">
        <f t="shared" si="135"/>
        <v>1.8104984616672173E-2</v>
      </c>
      <c r="AC420">
        <f t="shared" si="148"/>
        <v>5.3099312766624322E-2</v>
      </c>
      <c r="AD420" t="str">
        <f t="shared" si="149"/>
        <v>No Impact</v>
      </c>
      <c r="AE420">
        <f t="shared" si="136"/>
        <v>7.7475725028954027E-3</v>
      </c>
      <c r="AF420">
        <f t="shared" si="150"/>
        <v>5.1055047036885431E-2</v>
      </c>
      <c r="AG420" t="s">
        <v>1170</v>
      </c>
    </row>
    <row r="421" spans="1:33" customFormat="1" x14ac:dyDescent="0.3">
      <c r="A421">
        <v>507619</v>
      </c>
      <c r="B421" t="s">
        <v>68</v>
      </c>
      <c r="C421" t="s">
        <v>969</v>
      </c>
      <c r="D421" t="s">
        <v>971</v>
      </c>
      <c r="E421" s="21">
        <v>5.0999999999999996</v>
      </c>
      <c r="F421" s="2">
        <f t="shared" si="151"/>
        <v>0.42222222222222211</v>
      </c>
      <c r="G421" s="10">
        <v>35.773559999999996</v>
      </c>
      <c r="H421">
        <f t="shared" si="152"/>
        <v>0.3265174018190421</v>
      </c>
      <c r="I421" s="12">
        <v>25.1</v>
      </c>
      <c r="J421" s="2">
        <f t="shared" si="139"/>
        <v>6.0833737275811935E-2</v>
      </c>
      <c r="K421" s="10">
        <v>0</v>
      </c>
      <c r="L421" s="2">
        <f t="shared" si="153"/>
        <v>0</v>
      </c>
      <c r="M421">
        <v>13803</v>
      </c>
      <c r="N421">
        <f t="shared" si="141"/>
        <v>6.4176992992765663E-2</v>
      </c>
      <c r="O421" s="10">
        <v>0.68919699300000004</v>
      </c>
      <c r="P421">
        <f t="shared" si="142"/>
        <v>0.66353912430016349</v>
      </c>
      <c r="Q421" s="23">
        <v>0.23419999999999999</v>
      </c>
      <c r="R421" s="13">
        <f t="shared" si="143"/>
        <v>0.50714595062797752</v>
      </c>
      <c r="S421">
        <f t="shared" si="144"/>
        <v>3.3506113466779466E-2</v>
      </c>
      <c r="T421" s="4">
        <f t="shared" si="154"/>
        <v>-1.1306510619037023E-3</v>
      </c>
      <c r="U421" t="str">
        <f t="shared" si="145"/>
        <v>No Impact</v>
      </c>
      <c r="V421">
        <f t="shared" si="146"/>
        <v>2.9029993001323244E-2</v>
      </c>
      <c r="W421">
        <f t="shared" si="133"/>
        <v>5.2697956967844475E-2</v>
      </c>
      <c r="X421" t="s">
        <v>1170</v>
      </c>
      <c r="Y421">
        <f t="shared" si="134"/>
        <v>3.7982233932235702E-2</v>
      </c>
      <c r="Z421">
        <f t="shared" si="147"/>
        <v>8.3982526575200639E-2</v>
      </c>
      <c r="AA421" t="s">
        <v>1170</v>
      </c>
      <c r="AB421">
        <f t="shared" si="135"/>
        <v>2.284093207330104E-2</v>
      </c>
      <c r="AC421">
        <f t="shared" si="148"/>
        <v>6.6989164681453411E-2</v>
      </c>
      <c r="AD421" t="str">
        <f t="shared" si="149"/>
        <v>No Impact</v>
      </c>
      <c r="AE421">
        <f t="shared" si="136"/>
        <v>3.6736124090491341E-3</v>
      </c>
      <c r="AF421">
        <f t="shared" si="150"/>
        <v>2.4208415509399419E-2</v>
      </c>
      <c r="AG421" t="s">
        <v>1170</v>
      </c>
    </row>
    <row r="422" spans="1:33" customFormat="1" x14ac:dyDescent="0.3">
      <c r="A422">
        <v>507622</v>
      </c>
      <c r="B422" t="s">
        <v>104</v>
      </c>
      <c r="C422" t="s">
        <v>969</v>
      </c>
      <c r="D422" t="s">
        <v>972</v>
      </c>
      <c r="E422" s="21">
        <v>5</v>
      </c>
      <c r="F422" s="2">
        <f t="shared" si="151"/>
        <v>0.39999999999999997</v>
      </c>
      <c r="G422" s="10">
        <v>37.847519999999996</v>
      </c>
      <c r="H422">
        <f t="shared" si="152"/>
        <v>0.34544713737448079</v>
      </c>
      <c r="I422" s="12">
        <v>18.2</v>
      </c>
      <c r="J422" s="2">
        <f t="shared" si="139"/>
        <v>4.4110518662142516E-2</v>
      </c>
      <c r="K422" s="10">
        <v>0</v>
      </c>
      <c r="L422" s="2">
        <f t="shared" si="153"/>
        <v>0</v>
      </c>
      <c r="M422">
        <v>30646</v>
      </c>
      <c r="N422">
        <f t="shared" si="141"/>
        <v>0.14386831509370579</v>
      </c>
      <c r="O422" s="10">
        <v>0.42877800300000002</v>
      </c>
      <c r="P422">
        <f t="shared" si="142"/>
        <v>0.37674260616832655</v>
      </c>
      <c r="Q422" s="23">
        <v>0.27210000000000001</v>
      </c>
      <c r="R422" s="13">
        <f t="shared" si="143"/>
        <v>0.58921611087050674</v>
      </c>
      <c r="S422">
        <f t="shared" si="144"/>
        <v>2.6340762954645418E-2</v>
      </c>
      <c r="T422" s="4">
        <f t="shared" si="154"/>
        <v>-1.1306849641928214E-3</v>
      </c>
      <c r="U422" t="str">
        <f t="shared" si="145"/>
        <v>No Impact</v>
      </c>
      <c r="V422">
        <f t="shared" si="146"/>
        <v>3.2134710586962163E-2</v>
      </c>
      <c r="W422">
        <f t="shared" si="133"/>
        <v>5.8333930552745168E-2</v>
      </c>
      <c r="X422" t="s">
        <v>1170</v>
      </c>
      <c r="Y422">
        <f t="shared" si="134"/>
        <v>2.0546815322328677E-2</v>
      </c>
      <c r="Z422">
        <f t="shared" si="147"/>
        <v>4.543106829687301E-2</v>
      </c>
      <c r="AA422" t="s">
        <v>1170</v>
      </c>
      <c r="AB422">
        <f t="shared" si="135"/>
        <v>2.0157398478821632E-2</v>
      </c>
      <c r="AC422">
        <f t="shared" si="148"/>
        <v>5.9118747077133063E-2</v>
      </c>
      <c r="AD422" t="str">
        <f t="shared" si="149"/>
        <v>No Impact</v>
      </c>
      <c r="AE422">
        <f t="shared" si="136"/>
        <v>7.846300504817931E-3</v>
      </c>
      <c r="AF422">
        <f t="shared" si="150"/>
        <v>5.1705646018712144E-2</v>
      </c>
      <c r="AG422" t="s">
        <v>1170</v>
      </c>
    </row>
    <row r="423" spans="1:33" customFormat="1" x14ac:dyDescent="0.3">
      <c r="A423">
        <v>507633</v>
      </c>
      <c r="B423" t="s">
        <v>164</v>
      </c>
      <c r="C423" t="s">
        <v>969</v>
      </c>
      <c r="D423" t="s">
        <v>746</v>
      </c>
      <c r="E423" s="21">
        <v>5</v>
      </c>
      <c r="F423" s="2">
        <f t="shared" si="151"/>
        <v>0.39999999999999997</v>
      </c>
      <c r="G423" s="10">
        <v>37.847519999999996</v>
      </c>
      <c r="H423">
        <f t="shared" si="152"/>
        <v>0.34544713737448079</v>
      </c>
      <c r="I423" s="12">
        <v>29.2</v>
      </c>
      <c r="J423" s="2">
        <f t="shared" si="139"/>
        <v>7.0770722249151721E-2</v>
      </c>
      <c r="K423" s="10">
        <v>0</v>
      </c>
      <c r="L423" s="2">
        <f t="shared" si="153"/>
        <v>0</v>
      </c>
      <c r="M423">
        <v>16518</v>
      </c>
      <c r="N423">
        <f t="shared" si="141"/>
        <v>7.7022800717283402E-2</v>
      </c>
      <c r="O423" s="10">
        <v>0.56107932400000005</v>
      </c>
      <c r="P423">
        <f t="shared" si="142"/>
        <v>0.52244456978873099</v>
      </c>
      <c r="Q423" s="23">
        <v>0.2495</v>
      </c>
      <c r="R423" s="13">
        <f t="shared" si="143"/>
        <v>0.54027717626678218</v>
      </c>
      <c r="S423">
        <f t="shared" si="144"/>
        <v>3.0962663936310059E-2</v>
      </c>
      <c r="T423" s="4">
        <f t="shared" si="154"/>
        <v>-1.1306630960339513E-3</v>
      </c>
      <c r="U423" t="str">
        <f t="shared" si="145"/>
        <v>No Impact</v>
      </c>
      <c r="V423">
        <f t="shared" si="146"/>
        <v>3.1482221387296408E-2</v>
      </c>
      <c r="W423">
        <f t="shared" si="133"/>
        <v>5.7149471163988101E-2</v>
      </c>
      <c r="X423" t="s">
        <v>1170</v>
      </c>
      <c r="Y423">
        <f t="shared" si="134"/>
        <v>3.0443106485323709E-2</v>
      </c>
      <c r="Z423">
        <f t="shared" si="147"/>
        <v>6.7312760065581276E-2</v>
      </c>
      <c r="AA423" t="s">
        <v>1170</v>
      </c>
      <c r="AB423">
        <f t="shared" si="135"/>
        <v>2.1722564428732351E-2</v>
      </c>
      <c r="AC423">
        <f t="shared" si="148"/>
        <v>6.3709153424645115E-2</v>
      </c>
      <c r="AD423" t="str">
        <f t="shared" si="149"/>
        <v>No Impact</v>
      </c>
      <c r="AE423">
        <f t="shared" si="136"/>
        <v>4.4881571359471385E-3</v>
      </c>
      <c r="AF423">
        <f t="shared" si="150"/>
        <v>2.9576112207930858E-2</v>
      </c>
      <c r="AG423" t="s">
        <v>1170</v>
      </c>
    </row>
    <row r="424" spans="1:33" customFormat="1" x14ac:dyDescent="0.3">
      <c r="A424">
        <v>507639</v>
      </c>
      <c r="B424" t="s">
        <v>213</v>
      </c>
      <c r="C424" t="s">
        <v>969</v>
      </c>
      <c r="D424" t="s">
        <v>973</v>
      </c>
      <c r="E424" s="21">
        <v>5.0999999999999996</v>
      </c>
      <c r="F424" s="2">
        <f t="shared" si="151"/>
        <v>0.42222222222222211</v>
      </c>
      <c r="G424" s="10">
        <v>39.174480000000003</v>
      </c>
      <c r="H424">
        <f t="shared" si="152"/>
        <v>0.35755875085431893</v>
      </c>
      <c r="I424" s="12">
        <v>14.499999999999998</v>
      </c>
      <c r="J424" s="2">
        <f t="shared" si="139"/>
        <v>3.514299563742123E-2</v>
      </c>
      <c r="K424" s="10">
        <v>0</v>
      </c>
      <c r="L424" s="2">
        <f t="shared" si="153"/>
        <v>0</v>
      </c>
      <c r="M424">
        <v>58204</v>
      </c>
      <c r="N424">
        <f t="shared" si="141"/>
        <v>0.27425681206323071</v>
      </c>
      <c r="O424" s="10">
        <v>0.222484869</v>
      </c>
      <c r="P424">
        <f t="shared" si="142"/>
        <v>0.14955428727612721</v>
      </c>
      <c r="Q424" s="23">
        <v>0.29930000000000001</v>
      </c>
      <c r="R424" s="13">
        <f t="shared" si="143"/>
        <v>0.64811606756171503</v>
      </c>
      <c r="S424">
        <f t="shared" si="144"/>
        <v>2.31454388974691E-2</v>
      </c>
      <c r="T424" s="4">
        <f t="shared" si="154"/>
        <v>-1.1307000826158253E-3</v>
      </c>
      <c r="U424" t="str">
        <f t="shared" si="145"/>
        <v>No Impact</v>
      </c>
      <c r="V424">
        <f t="shared" si="146"/>
        <v>3.7611854945435848E-2</v>
      </c>
      <c r="W424">
        <f t="shared" si="133"/>
        <v>6.8276554985908552E-2</v>
      </c>
      <c r="X424" t="s">
        <v>1170</v>
      </c>
      <c r="Y424">
        <f t="shared" si="134"/>
        <v>8.6790228495023571E-3</v>
      </c>
      <c r="Z424">
        <f t="shared" si="147"/>
        <v>1.9190189508218894E-2</v>
      </c>
      <c r="AA424" t="s">
        <v>1170</v>
      </c>
      <c r="AB424">
        <f t="shared" si="135"/>
        <v>2.1338397817845359E-2</v>
      </c>
      <c r="AC424">
        <f t="shared" si="148"/>
        <v>6.2582448074826824E-2</v>
      </c>
      <c r="AD424" t="str">
        <f t="shared" si="149"/>
        <v>No Impact</v>
      </c>
      <c r="AE424">
        <f t="shared" si="136"/>
        <v>1.591583352026317E-2</v>
      </c>
      <c r="AF424">
        <f t="shared" si="150"/>
        <v>0.10488235233740599</v>
      </c>
      <c r="AG424" t="s">
        <v>1169</v>
      </c>
    </row>
    <row r="425" spans="1:33" customFormat="1" x14ac:dyDescent="0.3">
      <c r="A425">
        <v>507655</v>
      </c>
      <c r="B425" t="s">
        <v>392</v>
      </c>
      <c r="C425" t="s">
        <v>969</v>
      </c>
      <c r="D425" t="s">
        <v>974</v>
      </c>
      <c r="E425" s="21">
        <v>5.0999999999999996</v>
      </c>
      <c r="F425" s="2">
        <f t="shared" si="151"/>
        <v>0.42222222222222211</v>
      </c>
      <c r="G425" s="10">
        <v>40.75488</v>
      </c>
      <c r="H425">
        <f t="shared" si="152"/>
        <v>0.37198359707691503</v>
      </c>
      <c r="I425" s="12">
        <v>18.899999999999999</v>
      </c>
      <c r="J425" s="2">
        <f t="shared" si="139"/>
        <v>4.5807077072224915E-2</v>
      </c>
      <c r="K425" s="10">
        <v>0</v>
      </c>
      <c r="L425" s="2">
        <f t="shared" si="153"/>
        <v>0</v>
      </c>
      <c r="M425">
        <v>95538</v>
      </c>
      <c r="N425">
        <f t="shared" si="141"/>
        <v>0.45089967968280553</v>
      </c>
      <c r="O425" s="10">
        <v>0.31883085</v>
      </c>
      <c r="P425">
        <f t="shared" si="142"/>
        <v>0.25565903749728469</v>
      </c>
      <c r="Q425" s="23">
        <v>0.28299999999999997</v>
      </c>
      <c r="R425" s="13">
        <f t="shared" si="143"/>
        <v>0.61281940233867471</v>
      </c>
      <c r="S425">
        <f t="shared" si="144"/>
        <v>2.6810006472659329E-2</v>
      </c>
      <c r="T425" s="4">
        <f t="shared" si="154"/>
        <v>-1.1306827440042363E-3</v>
      </c>
      <c r="U425" t="str">
        <f t="shared" si="145"/>
        <v>No Impact</v>
      </c>
      <c r="V425">
        <f t="shared" si="146"/>
        <v>3.783557861580162E-2</v>
      </c>
      <c r="W425">
        <f t="shared" si="133"/>
        <v>6.8682679105645197E-2</v>
      </c>
      <c r="X425" t="s">
        <v>1170</v>
      </c>
      <c r="Y425">
        <f t="shared" si="134"/>
        <v>1.5784434329517035E-2</v>
      </c>
      <c r="Z425">
        <f t="shared" si="147"/>
        <v>3.4900966539203909E-2</v>
      </c>
      <c r="AA425" t="s">
        <v>1170</v>
      </c>
      <c r="AB425">
        <f t="shared" si="135"/>
        <v>2.772130198933441E-2</v>
      </c>
      <c r="AC425">
        <f t="shared" si="148"/>
        <v>8.1302586872911337E-2</v>
      </c>
      <c r="AD425" t="str">
        <f t="shared" si="149"/>
        <v>No Impact</v>
      </c>
      <c r="AE425">
        <f t="shared" si="136"/>
        <v>2.7838626214139219E-2</v>
      </c>
      <c r="AF425">
        <f t="shared" si="150"/>
        <v>0.18345131591527336</v>
      </c>
      <c r="AG425" t="s">
        <v>1169</v>
      </c>
    </row>
    <row r="426" spans="1:33" customFormat="1" x14ac:dyDescent="0.3">
      <c r="A426">
        <v>507672</v>
      </c>
      <c r="B426" t="s">
        <v>460</v>
      </c>
      <c r="C426" t="s">
        <v>969</v>
      </c>
      <c r="D426" t="s">
        <v>975</v>
      </c>
      <c r="E426" s="21">
        <v>5</v>
      </c>
      <c r="F426" s="2">
        <f t="shared" si="151"/>
        <v>0.39999999999999997</v>
      </c>
      <c r="G426" s="10">
        <v>39.875399999999999</v>
      </c>
      <c r="H426">
        <f t="shared" si="152"/>
        <v>0.36395628515850903</v>
      </c>
      <c r="I426" s="12">
        <v>27.599999999999994</v>
      </c>
      <c r="J426" s="2">
        <f t="shared" si="139"/>
        <v>6.6892874454677648E-2</v>
      </c>
      <c r="K426" s="10">
        <v>0</v>
      </c>
      <c r="L426" s="2">
        <f t="shared" si="153"/>
        <v>0</v>
      </c>
      <c r="M426">
        <v>62096</v>
      </c>
      <c r="N426">
        <f t="shared" si="141"/>
        <v>0.29267150217881932</v>
      </c>
      <c r="O426" s="10">
        <v>0.27536482899999998</v>
      </c>
      <c r="P426">
        <f t="shared" si="142"/>
        <v>0.20779039519955783</v>
      </c>
      <c r="Q426" s="23">
        <v>0.2641</v>
      </c>
      <c r="R426" s="13">
        <f t="shared" si="143"/>
        <v>0.57189259419662197</v>
      </c>
      <c r="S426">
        <f t="shared" si="144"/>
        <v>2.3514803252222882E-2</v>
      </c>
      <c r="T426" s="4">
        <f t="shared" si="154"/>
        <v>-1.1306983349976E-3</v>
      </c>
      <c r="U426" t="str">
        <f t="shared" si="145"/>
        <v>No Impact</v>
      </c>
      <c r="V426">
        <f t="shared" si="146"/>
        <v>3.449592210380676E-2</v>
      </c>
      <c r="W426">
        <f t="shared" si="133"/>
        <v>6.2620222419952423E-2</v>
      </c>
      <c r="X426" t="s">
        <v>1170</v>
      </c>
      <c r="Y426">
        <f t="shared" si="134"/>
        <v>1.2533684400638997E-2</v>
      </c>
      <c r="Z426">
        <f t="shared" si="147"/>
        <v>2.7713232590263384E-2</v>
      </c>
      <c r="AA426" t="s">
        <v>1170</v>
      </c>
      <c r="AB426">
        <f t="shared" si="135"/>
        <v>2.2012444323591254E-2</v>
      </c>
      <c r="AC426">
        <f t="shared" si="148"/>
        <v>6.4559329413620803E-2</v>
      </c>
      <c r="AD426" t="str">
        <f t="shared" si="149"/>
        <v>No Impact</v>
      </c>
      <c r="AE426">
        <f t="shared" si="136"/>
        <v>1.7653617905906249E-2</v>
      </c>
      <c r="AF426">
        <f t="shared" si="150"/>
        <v>0.1163340249117272</v>
      </c>
      <c r="AG426" t="s">
        <v>1169</v>
      </c>
    </row>
    <row r="427" spans="1:33" customFormat="1" x14ac:dyDescent="0.3">
      <c r="A427">
        <v>507683</v>
      </c>
      <c r="B427" t="s">
        <v>506</v>
      </c>
      <c r="C427" t="s">
        <v>969</v>
      </c>
      <c r="D427" t="s">
        <v>976</v>
      </c>
      <c r="E427" s="21">
        <v>5</v>
      </c>
      <c r="F427" s="2">
        <f t="shared" si="151"/>
        <v>0.39999999999999997</v>
      </c>
      <c r="G427" s="10">
        <v>40.183200000000006</v>
      </c>
      <c r="H427">
        <f t="shared" si="152"/>
        <v>0.36676568003785298</v>
      </c>
      <c r="I427" s="12">
        <v>25.4</v>
      </c>
      <c r="J427" s="2">
        <f t="shared" si="139"/>
        <v>6.1560833737275812E-2</v>
      </c>
      <c r="K427" s="10">
        <v>0</v>
      </c>
      <c r="L427" s="2">
        <f t="shared" si="153"/>
        <v>0</v>
      </c>
      <c r="M427">
        <v>30851</v>
      </c>
      <c r="N427">
        <f t="shared" si="141"/>
        <v>0.1448382563767725</v>
      </c>
      <c r="O427" s="10">
        <v>0.32225574499999998</v>
      </c>
      <c r="P427">
        <f t="shared" si="142"/>
        <v>0.2594308360169208</v>
      </c>
      <c r="Q427" s="23">
        <v>0.24129999999999999</v>
      </c>
      <c r="R427" s="13">
        <f t="shared" si="143"/>
        <v>0.52252057167605026</v>
      </c>
      <c r="S427">
        <f t="shared" si="144"/>
        <v>2.3445136427907926E-2</v>
      </c>
      <c r="T427" s="4">
        <f t="shared" si="154"/>
        <v>-1.1306986646206683E-3</v>
      </c>
      <c r="U427" t="str">
        <f t="shared" si="145"/>
        <v>No Impact</v>
      </c>
      <c r="V427">
        <f t="shared" si="146"/>
        <v>3.1333318077850586E-2</v>
      </c>
      <c r="W427">
        <f t="shared" si="133"/>
        <v>5.6879167957466906E-2</v>
      </c>
      <c r="X427" t="s">
        <v>1170</v>
      </c>
      <c r="Y427">
        <f t="shared" si="134"/>
        <v>1.555695477796527E-2</v>
      </c>
      <c r="Z427">
        <f t="shared" si="147"/>
        <v>3.439798644810145E-2</v>
      </c>
      <c r="AA427" t="s">
        <v>1170</v>
      </c>
      <c r="AB427">
        <f t="shared" si="135"/>
        <v>1.8673612965978716E-2</v>
      </c>
      <c r="AC427">
        <f t="shared" si="148"/>
        <v>5.4767017832774621E-2</v>
      </c>
      <c r="AD427" t="str">
        <f t="shared" si="149"/>
        <v>No Impact</v>
      </c>
      <c r="AE427">
        <f t="shared" si="136"/>
        <v>8.6853291581183781E-3</v>
      </c>
      <c r="AF427">
        <f t="shared" si="150"/>
        <v>5.7234687191742815E-2</v>
      </c>
      <c r="AG427" t="s">
        <v>1170</v>
      </c>
    </row>
    <row r="428" spans="1:33" customFormat="1" x14ac:dyDescent="0.3">
      <c r="A428">
        <v>508110</v>
      </c>
      <c r="B428" t="s">
        <v>26</v>
      </c>
      <c r="C428" t="s">
        <v>978</v>
      </c>
      <c r="D428" t="s">
        <v>977</v>
      </c>
      <c r="E428" s="21">
        <v>4.3</v>
      </c>
      <c r="F428" s="2">
        <f t="shared" si="151"/>
        <v>0.24444444444444435</v>
      </c>
      <c r="G428" s="10">
        <v>35.132040000000003</v>
      </c>
      <c r="H428">
        <f t="shared" si="152"/>
        <v>0.32066203143893596</v>
      </c>
      <c r="I428" s="12">
        <v>6.0000000000000009</v>
      </c>
      <c r="J428" s="2">
        <f t="shared" si="139"/>
        <v>1.4541929229277753E-2</v>
      </c>
      <c r="K428" s="10">
        <v>0</v>
      </c>
      <c r="L428" s="2">
        <f t="shared" si="153"/>
        <v>0</v>
      </c>
      <c r="M428">
        <v>16015</v>
      </c>
      <c r="N428">
        <f t="shared" si="141"/>
        <v>7.4642896008100187E-2</v>
      </c>
      <c r="O428" s="10">
        <v>0.30964954700000002</v>
      </c>
      <c r="P428">
        <f t="shared" si="142"/>
        <v>0.24554777129387387</v>
      </c>
      <c r="Q428" s="23">
        <v>0.2717</v>
      </c>
      <c r="R428" s="13">
        <f t="shared" si="143"/>
        <v>0.58834993503681243</v>
      </c>
      <c r="S428">
        <f t="shared" si="144"/>
        <v>1.1957493152484577E-2</v>
      </c>
      <c r="T428" s="4">
        <f t="shared" si="154"/>
        <v>-1.1307530174960729E-3</v>
      </c>
      <c r="U428" t="str">
        <f t="shared" si="145"/>
        <v>No Impact</v>
      </c>
      <c r="V428">
        <f t="shared" si="146"/>
        <v>1.6873029548009309E-2</v>
      </c>
      <c r="W428">
        <f t="shared" si="133"/>
        <v>3.0629500496181059E-2</v>
      </c>
      <c r="X428" t="s">
        <v>1170</v>
      </c>
      <c r="Y428">
        <f t="shared" si="134"/>
        <v>7.0419567569598423E-3</v>
      </c>
      <c r="Z428">
        <f t="shared" si="147"/>
        <v>1.5570472277589458E-2</v>
      </c>
      <c r="AA428" t="s">
        <v>1170</v>
      </c>
      <c r="AB428">
        <f t="shared" si="135"/>
        <v>8.7673751672000533E-3</v>
      </c>
      <c r="AC428">
        <f t="shared" si="148"/>
        <v>2.5713448865170078E-2</v>
      </c>
      <c r="AD428" t="str">
        <f t="shared" si="149"/>
        <v>No Impact</v>
      </c>
      <c r="AE428">
        <f t="shared" si="136"/>
        <v>2.140650852310977E-3</v>
      </c>
      <c r="AF428">
        <f t="shared" si="150"/>
        <v>1.4106486891660821E-2</v>
      </c>
      <c r="AG428" t="s">
        <v>1170</v>
      </c>
    </row>
    <row r="429" spans="1:33" customFormat="1" x14ac:dyDescent="0.3">
      <c r="A429">
        <v>508112</v>
      </c>
      <c r="B429" t="s">
        <v>29</v>
      </c>
      <c r="C429" t="s">
        <v>978</v>
      </c>
      <c r="D429" t="s">
        <v>979</v>
      </c>
      <c r="E429" s="21">
        <v>4.5999999999999996</v>
      </c>
      <c r="F429" s="2">
        <f t="shared" si="151"/>
        <v>0.31111111111111101</v>
      </c>
      <c r="G429" s="10">
        <v>34.142040000000001</v>
      </c>
      <c r="H429">
        <f t="shared" si="152"/>
        <v>0.31162596603753751</v>
      </c>
      <c r="I429" s="12">
        <v>0.29999999999999993</v>
      </c>
      <c r="J429" s="2">
        <f t="shared" si="139"/>
        <v>7.2709646146388749E-4</v>
      </c>
      <c r="K429" s="10">
        <v>0</v>
      </c>
      <c r="L429" s="2">
        <f t="shared" si="153"/>
        <v>0</v>
      </c>
      <c r="M429">
        <v>22499</v>
      </c>
      <c r="N429">
        <f t="shared" si="141"/>
        <v>0.10532142907836653</v>
      </c>
      <c r="O429" s="10">
        <v>0.62496790700000004</v>
      </c>
      <c r="P429">
        <f t="shared" si="142"/>
        <v>0.59280435097357043</v>
      </c>
      <c r="Q429" s="23">
        <v>0.2044</v>
      </c>
      <c r="R429" s="13">
        <f t="shared" si="143"/>
        <v>0.44261585101775663</v>
      </c>
      <c r="S429">
        <f t="shared" si="144"/>
        <v>1.7608240980223278E-2</v>
      </c>
      <c r="T429" s="4">
        <f t="shared" si="154"/>
        <v>-1.1307262814297396E-3</v>
      </c>
      <c r="U429" t="str">
        <f t="shared" si="145"/>
        <v>No Impact</v>
      </c>
      <c r="V429">
        <f t="shared" si="146"/>
        <v>1.5054152027164225E-2</v>
      </c>
      <c r="W429">
        <f t="shared" si="133"/>
        <v>2.7327703994924415E-2</v>
      </c>
      <c r="X429" t="s">
        <v>1170</v>
      </c>
      <c r="Y429">
        <f t="shared" si="134"/>
        <v>2.0162329933282333E-2</v>
      </c>
      <c r="Z429">
        <f t="shared" si="147"/>
        <v>4.4580932560755702E-2</v>
      </c>
      <c r="AA429" t="s">
        <v>1170</v>
      </c>
      <c r="AB429">
        <f t="shared" si="135"/>
        <v>1.2571411358975946E-2</v>
      </c>
      <c r="AC429">
        <f t="shared" si="148"/>
        <v>3.6870139235216585E-2</v>
      </c>
      <c r="AD429" t="str">
        <f t="shared" si="149"/>
        <v>No Impact</v>
      </c>
      <c r="AE429">
        <f t="shared" si="136"/>
        <v>3.5821690556679078E-3</v>
      </c>
      <c r="AF429">
        <f t="shared" si="150"/>
        <v>2.3605820992685406E-2</v>
      </c>
      <c r="AG429" t="s">
        <v>1170</v>
      </c>
    </row>
    <row r="430" spans="1:33" customFormat="1" x14ac:dyDescent="0.3">
      <c r="A430">
        <v>508122</v>
      </c>
      <c r="B430" t="s">
        <v>82</v>
      </c>
      <c r="C430" t="s">
        <v>978</v>
      </c>
      <c r="D430" t="s">
        <v>980</v>
      </c>
      <c r="E430" s="21">
        <v>4.5999999999999996</v>
      </c>
      <c r="F430" s="2">
        <f t="shared" si="151"/>
        <v>0.31111111111111101</v>
      </c>
      <c r="G430" s="10">
        <v>33.976800000000004</v>
      </c>
      <c r="H430">
        <f t="shared" si="152"/>
        <v>0.31011776457599499</v>
      </c>
      <c r="I430" s="12">
        <v>9.9999999999999395E-2</v>
      </c>
      <c r="J430" s="2">
        <f t="shared" si="139"/>
        <v>2.4236548715462773E-4</v>
      </c>
      <c r="K430" s="10">
        <v>0</v>
      </c>
      <c r="L430" s="2">
        <f t="shared" si="153"/>
        <v>0</v>
      </c>
      <c r="M430">
        <v>27245</v>
      </c>
      <c r="N430">
        <f t="shared" si="141"/>
        <v>0.12777675263658431</v>
      </c>
      <c r="O430" s="10">
        <v>0.200609544</v>
      </c>
      <c r="P430">
        <f t="shared" si="142"/>
        <v>0.12546323676171456</v>
      </c>
      <c r="Q430" s="23">
        <v>0.21099999999999999</v>
      </c>
      <c r="R430" s="13">
        <f t="shared" si="143"/>
        <v>0.45690775227371155</v>
      </c>
      <c r="S430">
        <f t="shared" si="144"/>
        <v>9.8405467324443902E-3</v>
      </c>
      <c r="T430" s="4">
        <f t="shared" si="154"/>
        <v>-1.1307630336605942E-3</v>
      </c>
      <c r="U430" t="str">
        <f t="shared" si="145"/>
        <v>No Impact</v>
      </c>
      <c r="V430">
        <f t="shared" si="146"/>
        <v>1.5441092270453309E-2</v>
      </c>
      <c r="W430">
        <f t="shared" si="133"/>
        <v>2.8030114095024886E-2</v>
      </c>
      <c r="X430" t="s">
        <v>1170</v>
      </c>
      <c r="Y430">
        <f t="shared" si="134"/>
        <v>4.2400011944354731E-3</v>
      </c>
      <c r="Z430">
        <f t="shared" si="147"/>
        <v>9.3750676599447646E-3</v>
      </c>
      <c r="AA430" t="s">
        <v>1170</v>
      </c>
      <c r="AB430">
        <f t="shared" si="135"/>
        <v>8.18774772872226E-3</v>
      </c>
      <c r="AC430">
        <f t="shared" si="148"/>
        <v>2.401348505434709E-2</v>
      </c>
      <c r="AD430" t="str">
        <f t="shared" si="149"/>
        <v>No Impact</v>
      </c>
      <c r="AE430">
        <f t="shared" si="136"/>
        <v>4.318185930665604E-3</v>
      </c>
      <c r="AF430">
        <f t="shared" si="150"/>
        <v>2.8456033902458818E-2</v>
      </c>
      <c r="AG430" t="s">
        <v>1170</v>
      </c>
    </row>
    <row r="431" spans="1:33" customFormat="1" x14ac:dyDescent="0.3">
      <c r="A431">
        <v>508125</v>
      </c>
      <c r="B431" t="s">
        <v>102</v>
      </c>
      <c r="C431" t="s">
        <v>978</v>
      </c>
      <c r="D431" t="s">
        <v>981</v>
      </c>
      <c r="E431" s="21">
        <v>4.5999999999999996</v>
      </c>
      <c r="F431" s="2">
        <f t="shared" si="151"/>
        <v>0.31111111111111101</v>
      </c>
      <c r="G431" s="10">
        <v>34.215120000000006</v>
      </c>
      <c r="H431">
        <f t="shared" si="152"/>
        <v>0.31229299195625893</v>
      </c>
      <c r="I431" s="12">
        <v>0.10000000000000026</v>
      </c>
      <c r="J431" s="2">
        <f t="shared" si="139"/>
        <v>2.4236548715462982E-4</v>
      </c>
      <c r="K431" s="10">
        <v>0</v>
      </c>
      <c r="L431" s="2">
        <f t="shared" si="153"/>
        <v>0</v>
      </c>
      <c r="M431">
        <v>29401</v>
      </c>
      <c r="N431">
        <f t="shared" si="141"/>
        <v>0.13797769608191035</v>
      </c>
      <c r="O431" s="10">
        <v>0.23603074299999999</v>
      </c>
      <c r="P431">
        <f t="shared" si="142"/>
        <v>0.16447220665770754</v>
      </c>
      <c r="Q431" s="23">
        <v>0.309</v>
      </c>
      <c r="R431" s="13">
        <f t="shared" si="143"/>
        <v>0.66912083152880031</v>
      </c>
      <c r="S431">
        <f t="shared" si="144"/>
        <v>1.4184264010495669E-2</v>
      </c>
      <c r="T431" s="4">
        <f t="shared" si="154"/>
        <v>-1.1307424817059114E-3</v>
      </c>
      <c r="U431" t="str">
        <f t="shared" si="145"/>
        <v>No Impact</v>
      </c>
      <c r="V431">
        <f t="shared" si="146"/>
        <v>2.2771271098843766E-2</v>
      </c>
      <c r="W431">
        <f t="shared" si="133"/>
        <v>4.1336539916330364E-2</v>
      </c>
      <c r="X431" t="s">
        <v>1170</v>
      </c>
      <c r="Y431">
        <f t="shared" si="134"/>
        <v>5.5972569221475693E-3</v>
      </c>
      <c r="Z431">
        <f t="shared" si="147"/>
        <v>1.2376096125655522E-2</v>
      </c>
      <c r="AA431" t="s">
        <v>1170</v>
      </c>
      <c r="AB431">
        <f t="shared" si="135"/>
        <v>1.129258392096328E-2</v>
      </c>
      <c r="AC431">
        <f t="shared" si="148"/>
        <v>3.3119522510414487E-2</v>
      </c>
      <c r="AD431" t="str">
        <f t="shared" si="149"/>
        <v>No Impact</v>
      </c>
      <c r="AE431">
        <f t="shared" si="136"/>
        <v>4.6956055992105495E-3</v>
      </c>
      <c r="AF431">
        <f t="shared" si="150"/>
        <v>3.0943158601583181E-2</v>
      </c>
      <c r="AG431" t="s">
        <v>1170</v>
      </c>
    </row>
    <row r="432" spans="1:33" customFormat="1" x14ac:dyDescent="0.3">
      <c r="A432">
        <v>508131</v>
      </c>
      <c r="B432" t="s">
        <v>161</v>
      </c>
      <c r="C432" t="s">
        <v>978</v>
      </c>
      <c r="D432" t="s">
        <v>1147</v>
      </c>
      <c r="E432" s="21">
        <v>4.5</v>
      </c>
      <c r="F432" s="2">
        <f t="shared" si="151"/>
        <v>0.28888888888888886</v>
      </c>
      <c r="G432" s="10">
        <v>34.142040000000001</v>
      </c>
      <c r="H432">
        <f t="shared" si="152"/>
        <v>0.31162596603753751</v>
      </c>
      <c r="I432" s="12">
        <v>9.9999999999999825E-2</v>
      </c>
      <c r="J432" s="2">
        <f t="shared" si="139"/>
        <v>2.4236548715462879E-4</v>
      </c>
      <c r="K432" s="10">
        <v>0</v>
      </c>
      <c r="L432" s="2">
        <f t="shared" si="153"/>
        <v>0</v>
      </c>
      <c r="M432">
        <v>23168</v>
      </c>
      <c r="N432">
        <f t="shared" si="141"/>
        <v>0.10848674965578912</v>
      </c>
      <c r="O432" s="10">
        <v>0.37719707600000002</v>
      </c>
      <c r="P432">
        <f t="shared" si="142"/>
        <v>0.31993710874430054</v>
      </c>
      <c r="Q432" s="23">
        <v>0.24679999999999999</v>
      </c>
      <c r="R432" s="13">
        <f t="shared" si="143"/>
        <v>0.53443048938934601</v>
      </c>
      <c r="S432">
        <f t="shared" si="144"/>
        <v>1.3470537754345337E-2</v>
      </c>
      <c r="T432" s="4">
        <f t="shared" si="154"/>
        <v>-1.1307458586452316E-3</v>
      </c>
      <c r="U432" t="str">
        <f t="shared" si="145"/>
        <v>No Impact</v>
      </c>
      <c r="V432">
        <f t="shared" si="146"/>
        <v>1.6852385554224421E-2</v>
      </c>
      <c r="W432">
        <f t="shared" si="133"/>
        <v>3.0592025588899098E-2</v>
      </c>
      <c r="X432" t="s">
        <v>1170</v>
      </c>
      <c r="Y432">
        <f t="shared" si="134"/>
        <v>1.0088689954466252E-2</v>
      </c>
      <c r="Z432">
        <f t="shared" si="147"/>
        <v>2.2307104782766256E-2</v>
      </c>
      <c r="AA432" t="s">
        <v>1170</v>
      </c>
      <c r="AB432">
        <f t="shared" si="135"/>
        <v>1.0122274790546044E-2</v>
      </c>
      <c r="AC432">
        <f t="shared" si="148"/>
        <v>2.9687174355175722E-2</v>
      </c>
      <c r="AD432" t="str">
        <f t="shared" si="149"/>
        <v>No Impact</v>
      </c>
      <c r="AE432">
        <f t="shared" si="136"/>
        <v>3.4209510292217788E-3</v>
      </c>
      <c r="AF432">
        <f t="shared" si="150"/>
        <v>2.2543424491029578E-2</v>
      </c>
      <c r="AG432" t="s">
        <v>1170</v>
      </c>
    </row>
    <row r="433" spans="1:33" customFormat="1" x14ac:dyDescent="0.3">
      <c r="A433">
        <v>508134</v>
      </c>
      <c r="B433" t="s">
        <v>188</v>
      </c>
      <c r="C433" t="s">
        <v>978</v>
      </c>
      <c r="D433" t="s">
        <v>982</v>
      </c>
      <c r="E433" s="21">
        <v>4.7</v>
      </c>
      <c r="F433" s="2">
        <f t="shared" si="151"/>
        <v>0.33333333333333331</v>
      </c>
      <c r="G433" s="10">
        <v>34.65936</v>
      </c>
      <c r="H433">
        <f t="shared" si="152"/>
        <v>0.31634772094001368</v>
      </c>
      <c r="I433" s="12">
        <v>9.9999999999999395E-2</v>
      </c>
      <c r="J433" s="2">
        <f t="shared" si="139"/>
        <v>2.4236548715462773E-4</v>
      </c>
      <c r="K433" s="10">
        <v>0</v>
      </c>
      <c r="L433" s="2">
        <f t="shared" si="153"/>
        <v>0</v>
      </c>
      <c r="M433">
        <v>52038</v>
      </c>
      <c r="N433">
        <f t="shared" si="141"/>
        <v>0.24508287083694105</v>
      </c>
      <c r="O433" s="10">
        <v>0.58392417399999996</v>
      </c>
      <c r="P433">
        <f t="shared" si="142"/>
        <v>0.54760334733119853</v>
      </c>
      <c r="Q433" s="23">
        <v>0.26379999999999998</v>
      </c>
      <c r="R433" s="13">
        <f t="shared" si="143"/>
        <v>0.57124296232135119</v>
      </c>
      <c r="S433">
        <f t="shared" si="144"/>
        <v>2.0662579575844438E-2</v>
      </c>
      <c r="T433" s="4">
        <f t="shared" si="154"/>
        <v>-1.130711830068294E-3</v>
      </c>
      <c r="U433" t="str">
        <f t="shared" si="145"/>
        <v>No Impact</v>
      </c>
      <c r="V433">
        <f t="shared" si="146"/>
        <v>2.1099150194759955E-2</v>
      </c>
      <c r="W433">
        <f t="shared" si="133"/>
        <v>3.830114974436493E-2</v>
      </c>
      <c r="X433" t="s">
        <v>1170</v>
      </c>
      <c r="Y433">
        <f t="shared" si="134"/>
        <v>2.0226008956928925E-2</v>
      </c>
      <c r="Z433">
        <f t="shared" si="147"/>
        <v>4.4721733265243598E-2</v>
      </c>
      <c r="AA433" t="s">
        <v>1170</v>
      </c>
      <c r="AB433">
        <f t="shared" si="135"/>
        <v>1.662079655169816E-2</v>
      </c>
      <c r="AC433">
        <f t="shared" si="148"/>
        <v>4.8746402894832792E-2</v>
      </c>
      <c r="AD433" t="str">
        <f t="shared" si="149"/>
        <v>No Impact</v>
      </c>
      <c r="AE433">
        <f t="shared" si="136"/>
        <v>9.0522608470099946E-3</v>
      </c>
      <c r="AF433">
        <f t="shared" si="150"/>
        <v>5.9652698075627307E-2</v>
      </c>
      <c r="AG433" t="s">
        <v>1170</v>
      </c>
    </row>
    <row r="434" spans="1:33" customFormat="1" x14ac:dyDescent="0.3">
      <c r="A434">
        <v>508140</v>
      </c>
      <c r="B434" t="s">
        <v>328</v>
      </c>
      <c r="C434" t="s">
        <v>978</v>
      </c>
      <c r="D434" t="s">
        <v>983</v>
      </c>
      <c r="E434" s="21">
        <v>3.6</v>
      </c>
      <c r="F434" s="2">
        <f t="shared" si="151"/>
        <v>8.8888888888888865E-2</v>
      </c>
      <c r="G434" s="10">
        <v>33.0822</v>
      </c>
      <c r="H434">
        <f t="shared" si="152"/>
        <v>0.30195244729509491</v>
      </c>
      <c r="I434" s="12">
        <v>0.19999999999999965</v>
      </c>
      <c r="J434" s="2">
        <f t="shared" si="139"/>
        <v>4.8473097430925757E-4</v>
      </c>
      <c r="K434" s="10">
        <v>0</v>
      </c>
      <c r="L434" s="2">
        <f t="shared" si="153"/>
        <v>0</v>
      </c>
      <c r="M434">
        <v>7843</v>
      </c>
      <c r="N434">
        <f t="shared" si="141"/>
        <v>3.5977724470435714E-2</v>
      </c>
      <c r="O434" s="10">
        <v>0.21453851199999999</v>
      </c>
      <c r="P434">
        <f t="shared" si="142"/>
        <v>0.14080305327651546</v>
      </c>
      <c r="Q434" s="23">
        <v>0.2442</v>
      </c>
      <c r="R434" s="13">
        <f t="shared" si="143"/>
        <v>0.52880034647033347</v>
      </c>
      <c r="S434">
        <f t="shared" si="144"/>
        <v>3.1502016432294611E-3</v>
      </c>
      <c r="T434" s="4">
        <f t="shared" si="154"/>
        <v>-1.1307946884991308E-3</v>
      </c>
      <c r="U434" t="str">
        <f t="shared" si="145"/>
        <v>No Impact</v>
      </c>
      <c r="V434">
        <f t="shared" si="146"/>
        <v>4.9755653003582048E-3</v>
      </c>
      <c r="W434">
        <f t="shared" si="133"/>
        <v>9.0321112401585898E-3</v>
      </c>
      <c r="X434" t="s">
        <v>1170</v>
      </c>
      <c r="Y434">
        <f t="shared" si="134"/>
        <v>1.3248379861007171E-3</v>
      </c>
      <c r="Z434">
        <f t="shared" si="147"/>
        <v>2.9293495894434246E-3</v>
      </c>
      <c r="AA434" t="s">
        <v>1170</v>
      </c>
      <c r="AB434">
        <f t="shared" si="135"/>
        <v>2.2573812669556405E-3</v>
      </c>
      <c r="AC434">
        <f t="shared" si="148"/>
        <v>6.6205741935409798E-3</v>
      </c>
      <c r="AD434" t="str">
        <f t="shared" si="149"/>
        <v>No Impact</v>
      </c>
      <c r="AE434">
        <f t="shared" si="136"/>
        <v>3.3852004571443856E-4</v>
      </c>
      <c r="AF434">
        <f t="shared" si="150"/>
        <v>2.2307834938518163E-3</v>
      </c>
      <c r="AG434" t="s">
        <v>1170</v>
      </c>
    </row>
    <row r="435" spans="1:33" customFormat="1" x14ac:dyDescent="0.3">
      <c r="A435">
        <v>508153</v>
      </c>
      <c r="B435" t="s">
        <v>347</v>
      </c>
      <c r="C435" t="s">
        <v>978</v>
      </c>
      <c r="D435" t="s">
        <v>984</v>
      </c>
      <c r="E435" s="21">
        <v>3.5</v>
      </c>
      <c r="F435" s="2">
        <f t="shared" si="151"/>
        <v>6.6666666666666624E-2</v>
      </c>
      <c r="G435" s="10">
        <v>34.606439999999999</v>
      </c>
      <c r="H435">
        <f t="shared" si="152"/>
        <v>0.31586470217128437</v>
      </c>
      <c r="I435" s="12">
        <v>9.9999999999999395E-2</v>
      </c>
      <c r="J435" s="2">
        <f t="shared" si="139"/>
        <v>2.4236548715462773E-4</v>
      </c>
      <c r="K435" s="10">
        <v>0</v>
      </c>
      <c r="L435" s="2">
        <f t="shared" si="153"/>
        <v>0</v>
      </c>
      <c r="M435">
        <v>20804</v>
      </c>
      <c r="N435">
        <f t="shared" si="141"/>
        <v>9.7301670664717316E-2</v>
      </c>
      <c r="O435" s="10">
        <v>0.57818366399999999</v>
      </c>
      <c r="P435">
        <f t="shared" si="142"/>
        <v>0.54128138793683567</v>
      </c>
      <c r="Q435" s="23">
        <v>0.2344</v>
      </c>
      <c r="R435" s="13">
        <f t="shared" si="143"/>
        <v>0.50757903854482456</v>
      </c>
      <c r="S435">
        <f t="shared" si="144"/>
        <v>3.8681089276444655E-3</v>
      </c>
      <c r="T435" s="4">
        <f t="shared" si="154"/>
        <v>-1.1307912917776061E-3</v>
      </c>
      <c r="U435" t="str">
        <f t="shared" si="145"/>
        <v>No Impact</v>
      </c>
      <c r="V435">
        <f t="shared" si="146"/>
        <v>3.7438175011835304E-3</v>
      </c>
      <c r="W435">
        <f t="shared" si="133"/>
        <v>6.7961274935147177E-3</v>
      </c>
      <c r="X435" t="s">
        <v>1170</v>
      </c>
      <c r="Y435">
        <f t="shared" si="134"/>
        <v>3.9924003541054022E-3</v>
      </c>
      <c r="Z435">
        <f t="shared" si="147"/>
        <v>8.8275973823891806E-3</v>
      </c>
      <c r="AA435" t="s">
        <v>1170</v>
      </c>
      <c r="AB435">
        <f t="shared" si="135"/>
        <v>2.7592444889479322E-3</v>
      </c>
      <c r="AC435">
        <f t="shared" si="148"/>
        <v>8.0924667554432353E-3</v>
      </c>
      <c r="AD435" t="str">
        <f t="shared" si="149"/>
        <v>No Impact</v>
      </c>
      <c r="AE435">
        <f t="shared" si="136"/>
        <v>7.1768073514878825E-4</v>
      </c>
      <c r="AF435">
        <f t="shared" si="150"/>
        <v>4.7293811935021505E-3</v>
      </c>
      <c r="AG435" t="s">
        <v>1170</v>
      </c>
    </row>
    <row r="436" spans="1:33" customFormat="1" x14ac:dyDescent="0.3">
      <c r="A436">
        <v>508172</v>
      </c>
      <c r="B436" t="s">
        <v>391</v>
      </c>
      <c r="C436" t="s">
        <v>978</v>
      </c>
      <c r="D436" t="s">
        <v>985</v>
      </c>
      <c r="E436" s="21">
        <v>4.5</v>
      </c>
      <c r="F436" s="2">
        <f t="shared" si="151"/>
        <v>0.28888888888888886</v>
      </c>
      <c r="G436" s="10">
        <v>34.606439999999999</v>
      </c>
      <c r="H436">
        <f t="shared" si="152"/>
        <v>0.31586470217128437</v>
      </c>
      <c r="I436" s="12">
        <v>9.9999999999999395E-2</v>
      </c>
      <c r="J436" s="2">
        <f t="shared" si="139"/>
        <v>2.4236548715462773E-4</v>
      </c>
      <c r="K436" s="10">
        <v>0</v>
      </c>
      <c r="L436" s="2">
        <f t="shared" si="153"/>
        <v>0</v>
      </c>
      <c r="M436">
        <v>62600</v>
      </c>
      <c r="N436">
        <f t="shared" si="141"/>
        <v>0.29505613830889554</v>
      </c>
      <c r="O436" s="10">
        <v>0.33175270899999998</v>
      </c>
      <c r="P436">
        <f t="shared" si="142"/>
        <v>0.2698897361456073</v>
      </c>
      <c r="Q436" s="23">
        <v>0.26219999999999999</v>
      </c>
      <c r="R436" s="13">
        <f t="shared" si="143"/>
        <v>0.5677782589865743</v>
      </c>
      <c r="S436">
        <f t="shared" si="144"/>
        <v>1.3386745777079292E-2</v>
      </c>
      <c r="T436" s="4">
        <f t="shared" si="154"/>
        <v>-1.1307462551003436E-3</v>
      </c>
      <c r="U436" t="str">
        <f t="shared" si="145"/>
        <v>No Impact</v>
      </c>
      <c r="V436">
        <f t="shared" si="146"/>
        <v>1.8147292853433149E-2</v>
      </c>
      <c r="W436">
        <f t="shared" si="133"/>
        <v>3.2942662364041926E-2</v>
      </c>
      <c r="X436" t="s">
        <v>1170</v>
      </c>
      <c r="Y436">
        <f t="shared" si="134"/>
        <v>8.6261987007254359E-3</v>
      </c>
      <c r="Z436">
        <f t="shared" si="147"/>
        <v>1.9073390020163901E-2</v>
      </c>
      <c r="AA436" t="s">
        <v>1170</v>
      </c>
      <c r="AB436">
        <f t="shared" si="135"/>
        <v>1.2240110088933689E-2</v>
      </c>
      <c r="AC436">
        <f t="shared" si="148"/>
        <v>3.589848031749765E-2</v>
      </c>
      <c r="AD436" t="str">
        <f t="shared" si="149"/>
        <v>No Impact</v>
      </c>
      <c r="AE436">
        <f t="shared" si="136"/>
        <v>9.4305656571841614E-3</v>
      </c>
      <c r="AF436">
        <f t="shared" si="150"/>
        <v>6.2145655691771461E-2</v>
      </c>
      <c r="AG436" t="s">
        <v>1170</v>
      </c>
    </row>
    <row r="437" spans="1:33" customFormat="1" x14ac:dyDescent="0.3">
      <c r="A437">
        <v>508182</v>
      </c>
      <c r="B437" t="s">
        <v>423</v>
      </c>
      <c r="C437" t="s">
        <v>978</v>
      </c>
      <c r="D437" t="s">
        <v>986</v>
      </c>
      <c r="E437" s="21">
        <v>4.5999999999999996</v>
      </c>
      <c r="F437" s="2">
        <f t="shared" si="151"/>
        <v>0.31111111111111101</v>
      </c>
      <c r="G437" s="10">
        <v>35.246159999999996</v>
      </c>
      <c r="H437">
        <f t="shared" si="152"/>
        <v>0.32170364334156981</v>
      </c>
      <c r="I437" s="12">
        <v>0.19999999999999965</v>
      </c>
      <c r="J437" s="2">
        <f t="shared" si="139"/>
        <v>4.8473097430925757E-4</v>
      </c>
      <c r="K437" s="10">
        <v>0</v>
      </c>
      <c r="L437" s="2">
        <f t="shared" si="153"/>
        <v>0</v>
      </c>
      <c r="M437">
        <v>25708</v>
      </c>
      <c r="N437">
        <f t="shared" si="141"/>
        <v>0.12050455872403042</v>
      </c>
      <c r="O437" s="10">
        <v>0.39659653499999997</v>
      </c>
      <c r="P437">
        <f t="shared" si="142"/>
        <v>0.34130151575179762</v>
      </c>
      <c r="Q437" s="23">
        <v>0.27450000000000002</v>
      </c>
      <c r="R437" s="13">
        <f t="shared" si="143"/>
        <v>0.59441316587267223</v>
      </c>
      <c r="S437">
        <f t="shared" si="144"/>
        <v>1.6413714680787023E-2</v>
      </c>
      <c r="T437" s="4">
        <f t="shared" si="154"/>
        <v>-1.13073193323643E-3</v>
      </c>
      <c r="U437" t="str">
        <f t="shared" si="145"/>
        <v>No Impact</v>
      </c>
      <c r="V437">
        <f t="shared" si="146"/>
        <v>2.0853639039197968E-2</v>
      </c>
      <c r="W437">
        <f t="shared" si="133"/>
        <v>3.7855474944844945E-2</v>
      </c>
      <c r="X437" t="s">
        <v>1170</v>
      </c>
      <c r="Y437">
        <f t="shared" si="134"/>
        <v>1.1973790322376075E-2</v>
      </c>
      <c r="Z437">
        <f t="shared" si="147"/>
        <v>2.6475250659266269E-2</v>
      </c>
      <c r="AA437" t="s">
        <v>1170</v>
      </c>
      <c r="AB437">
        <f t="shared" si="135"/>
        <v>1.2370581047145564E-2</v>
      </c>
      <c r="AC437">
        <f t="shared" si="148"/>
        <v>3.6281132850141833E-2</v>
      </c>
      <c r="AD437" t="str">
        <f t="shared" si="149"/>
        <v>No Impact</v>
      </c>
      <c r="AE437">
        <f t="shared" si="136"/>
        <v>4.2276293906098631E-3</v>
      </c>
      <c r="AF437">
        <f t="shared" si="150"/>
        <v>2.7859283318928865E-2</v>
      </c>
      <c r="AG437" t="s">
        <v>1170</v>
      </c>
    </row>
    <row r="438" spans="1:33" customFormat="1" x14ac:dyDescent="0.3">
      <c r="A438">
        <v>508185</v>
      </c>
      <c r="B438" t="s">
        <v>430</v>
      </c>
      <c r="C438" t="s">
        <v>978</v>
      </c>
      <c r="D438" t="s">
        <v>987</v>
      </c>
      <c r="E438" s="21">
        <v>4.5999999999999996</v>
      </c>
      <c r="F438" s="2">
        <f t="shared" si="151"/>
        <v>0.31111111111111101</v>
      </c>
      <c r="G438" s="10">
        <v>33.976800000000004</v>
      </c>
      <c r="H438">
        <f t="shared" si="152"/>
        <v>0.31011776457599499</v>
      </c>
      <c r="I438" s="12">
        <v>9.9999999999999395E-2</v>
      </c>
      <c r="J438" s="2">
        <f t="shared" si="139"/>
        <v>2.4236548715462773E-4</v>
      </c>
      <c r="K438" s="10">
        <v>0</v>
      </c>
      <c r="L438" s="2">
        <f t="shared" si="153"/>
        <v>0</v>
      </c>
      <c r="M438">
        <v>13822</v>
      </c>
      <c r="N438">
        <f t="shared" si="141"/>
        <v>6.4266889989732817E-2</v>
      </c>
      <c r="O438" s="10">
        <v>0.205075971</v>
      </c>
      <c r="P438">
        <f t="shared" si="142"/>
        <v>0.13038206281234174</v>
      </c>
      <c r="Q438" s="23">
        <v>0.23180000000000001</v>
      </c>
      <c r="R438" s="13">
        <f t="shared" si="143"/>
        <v>0.50194889562581202</v>
      </c>
      <c r="S438">
        <f t="shared" si="144"/>
        <v>1.068473956298583E-2</v>
      </c>
      <c r="T438" s="4">
        <f t="shared" si="154"/>
        <v>-1.1307590394289981E-3</v>
      </c>
      <c r="U438" t="str">
        <f t="shared" si="145"/>
        <v>No Impact</v>
      </c>
      <c r="V438">
        <f t="shared" si="146"/>
        <v>1.6963247337872404E-2</v>
      </c>
      <c r="W438">
        <f t="shared" si="133"/>
        <v>3.0793272261738242E-2</v>
      </c>
      <c r="X438" t="s">
        <v>1170</v>
      </c>
      <c r="Y438">
        <f t="shared" si="134"/>
        <v>4.406231788099256E-3</v>
      </c>
      <c r="Z438">
        <f t="shared" si="147"/>
        <v>9.742620165542169E-3</v>
      </c>
      <c r="AA438" t="s">
        <v>1170</v>
      </c>
      <c r="AB438">
        <f t="shared" si="135"/>
        <v>8.019165766378105E-3</v>
      </c>
      <c r="AC438">
        <f t="shared" si="148"/>
        <v>2.3519058434559717E-2</v>
      </c>
      <c r="AD438" t="str">
        <f t="shared" si="149"/>
        <v>No Impact</v>
      </c>
      <c r="AE438">
        <f t="shared" si="136"/>
        <v>2.1718847476942496E-3</v>
      </c>
      <c r="AF438">
        <f t="shared" si="150"/>
        <v>1.4312312393434725E-2</v>
      </c>
      <c r="AG438" t="s">
        <v>1170</v>
      </c>
    </row>
    <row r="439" spans="1:33" customFormat="1" x14ac:dyDescent="0.3">
      <c r="A439">
        <v>508190</v>
      </c>
      <c r="B439" t="s">
        <v>473</v>
      </c>
      <c r="C439" t="s">
        <v>978</v>
      </c>
      <c r="D439" t="s">
        <v>988</v>
      </c>
      <c r="E439" s="21">
        <v>3.6</v>
      </c>
      <c r="F439" s="2">
        <f t="shared" si="151"/>
        <v>8.8888888888888865E-2</v>
      </c>
      <c r="G439" s="10">
        <v>33.976800000000004</v>
      </c>
      <c r="H439">
        <f t="shared" si="152"/>
        <v>0.31011776457599499</v>
      </c>
      <c r="I439" s="12">
        <v>9.9999999999999395E-2</v>
      </c>
      <c r="J439" s="2">
        <f t="shared" si="139"/>
        <v>2.4236548715462773E-4</v>
      </c>
      <c r="K439" s="10">
        <v>0</v>
      </c>
      <c r="L439" s="2">
        <f t="shared" si="153"/>
        <v>0</v>
      </c>
      <c r="M439">
        <v>6230</v>
      </c>
      <c r="N439">
        <f t="shared" si="141"/>
        <v>2.8345942570013202E-2</v>
      </c>
      <c r="O439" s="10">
        <v>0.158506857</v>
      </c>
      <c r="P439">
        <f t="shared" si="142"/>
        <v>7.9096018934802018E-2</v>
      </c>
      <c r="Q439" s="23">
        <v>0.26140000000000002</v>
      </c>
      <c r="R439" s="13">
        <f t="shared" si="143"/>
        <v>0.5660459073191858</v>
      </c>
      <c r="S439">
        <f t="shared" si="144"/>
        <v>3.1146318333103314E-3</v>
      </c>
      <c r="T439" s="4">
        <f t="shared" si="154"/>
        <v>-1.1307948567948725E-3</v>
      </c>
      <c r="U439" t="str">
        <f t="shared" si="145"/>
        <v>No Impact</v>
      </c>
      <c r="V439">
        <f t="shared" si="146"/>
        <v>5.465540310760319E-3</v>
      </c>
      <c r="W439">
        <f t="shared" si="133"/>
        <v>9.9215596810284436E-3</v>
      </c>
      <c r="X439" t="s">
        <v>1170</v>
      </c>
      <c r="Y439">
        <f t="shared" si="134"/>
        <v>7.6372335586034413E-4</v>
      </c>
      <c r="Z439">
        <f t="shared" si="147"/>
        <v>1.6886688956756527E-3</v>
      </c>
      <c r="AA439" t="s">
        <v>1170</v>
      </c>
      <c r="AB439">
        <f t="shared" si="135"/>
        <v>2.2378505756835039E-3</v>
      </c>
      <c r="AC439">
        <f t="shared" si="148"/>
        <v>6.5632934884553452E-3</v>
      </c>
      <c r="AD439" t="str">
        <f t="shared" si="149"/>
        <v>No Impact</v>
      </c>
      <c r="AE439">
        <f t="shared" si="136"/>
        <v>2.7369845759796907E-4</v>
      </c>
      <c r="AF439">
        <f t="shared" si="150"/>
        <v>1.8036214080429829E-3</v>
      </c>
      <c r="AG439" t="s">
        <v>1170</v>
      </c>
    </row>
    <row r="440" spans="1:33" customFormat="1" x14ac:dyDescent="0.3">
      <c r="A440">
        <v>508194</v>
      </c>
      <c r="B440" t="s">
        <v>515</v>
      </c>
      <c r="C440" t="s">
        <v>978</v>
      </c>
      <c r="D440" t="s">
        <v>989</v>
      </c>
      <c r="E440" s="21">
        <v>4.7</v>
      </c>
      <c r="F440" s="2">
        <f t="shared" si="151"/>
        <v>0.33333333333333331</v>
      </c>
      <c r="G440" s="10">
        <v>34.916040000000002</v>
      </c>
      <c r="H440">
        <f t="shared" si="152"/>
        <v>0.31869052626044903</v>
      </c>
      <c r="I440" s="12">
        <v>9.9999999999999395E-2</v>
      </c>
      <c r="J440" s="2">
        <f t="shared" si="139"/>
        <v>2.4236548715462773E-4</v>
      </c>
      <c r="K440" s="10">
        <v>0</v>
      </c>
      <c r="L440" s="2">
        <f t="shared" si="153"/>
        <v>0</v>
      </c>
      <c r="M440">
        <v>17904</v>
      </c>
      <c r="N440">
        <f t="shared" si="141"/>
        <v>8.3580550074993015E-2</v>
      </c>
      <c r="O440" s="10">
        <v>0.78943712899999996</v>
      </c>
      <c r="P440">
        <f t="shared" si="142"/>
        <v>0.77393246382529479</v>
      </c>
      <c r="Q440" s="23">
        <v>0.26679999999999998</v>
      </c>
      <c r="R440" s="13">
        <f t="shared" si="143"/>
        <v>0.57773928107405803</v>
      </c>
      <c r="S440">
        <f t="shared" si="144"/>
        <v>2.514706706716632E-2</v>
      </c>
      <c r="T440" s="4">
        <f t="shared" si="154"/>
        <v>-1.1306906120704832E-3</v>
      </c>
      <c r="U440" t="str">
        <f t="shared" si="145"/>
        <v>No Impact</v>
      </c>
      <c r="V440">
        <f t="shared" si="146"/>
        <v>2.1497006952065266E-2</v>
      </c>
      <c r="W440">
        <f t="shared" si="133"/>
        <v>3.9023376521163868E-2</v>
      </c>
      <c r="X440" t="s">
        <v>1170</v>
      </c>
      <c r="Y440">
        <f t="shared" si="134"/>
        <v>2.8797127182267367E-2</v>
      </c>
      <c r="Z440">
        <f t="shared" si="147"/>
        <v>6.3673334833042744E-2</v>
      </c>
      <c r="AA440" t="s">
        <v>1170</v>
      </c>
      <c r="AB440">
        <f t="shared" si="135"/>
        <v>1.7251567871181695E-2</v>
      </c>
      <c r="AC440">
        <f t="shared" si="148"/>
        <v>5.0596364343937238E-2</v>
      </c>
      <c r="AD440" t="str">
        <f t="shared" si="149"/>
        <v>No Impact</v>
      </c>
      <c r="AE440">
        <f t="shared" si="136"/>
        <v>3.1099350950818394E-3</v>
      </c>
      <c r="AF440">
        <f t="shared" si="150"/>
        <v>2.0493887924472605E-2</v>
      </c>
      <c r="AG440" t="s">
        <v>1170</v>
      </c>
    </row>
    <row r="441" spans="1:33" customFormat="1" x14ac:dyDescent="0.3">
      <c r="A441">
        <v>508811</v>
      </c>
      <c r="B441" t="s">
        <v>61</v>
      </c>
      <c r="C441" t="s">
        <v>991</v>
      </c>
      <c r="D441" t="s">
        <v>990</v>
      </c>
      <c r="E441" s="21">
        <v>7</v>
      </c>
      <c r="F441" s="2">
        <f t="shared" si="151"/>
        <v>0.84444444444444444</v>
      </c>
      <c r="G441" s="10">
        <v>36.185400000000001</v>
      </c>
      <c r="H441">
        <f t="shared" si="152"/>
        <v>0.3302764050260239</v>
      </c>
      <c r="I441" s="12">
        <v>31.7</v>
      </c>
      <c r="J441" s="2">
        <f t="shared" si="139"/>
        <v>7.6829859428017455E-2</v>
      </c>
      <c r="K441" s="10">
        <v>0</v>
      </c>
      <c r="L441" s="2">
        <f t="shared" si="153"/>
        <v>0</v>
      </c>
      <c r="M441">
        <v>36657</v>
      </c>
      <c r="N441">
        <f t="shared" si="141"/>
        <v>0.17230888608157915</v>
      </c>
      <c r="O441" s="10">
        <v>0.55421536299999996</v>
      </c>
      <c r="P441">
        <f t="shared" si="142"/>
        <v>0.51488536638581195</v>
      </c>
      <c r="Q441" s="23">
        <v>0.26650000000000001</v>
      </c>
      <c r="R441" s="13">
        <f t="shared" si="143"/>
        <v>0.57708964919878736</v>
      </c>
      <c r="S441">
        <f t="shared" si="144"/>
        <v>6.5694591821942261E-2</v>
      </c>
      <c r="T441" s="4">
        <f t="shared" si="154"/>
        <v>-1.1304987646646987E-3</v>
      </c>
      <c r="U441" t="str">
        <f t="shared" si="145"/>
        <v>No Impact</v>
      </c>
      <c r="V441">
        <f t="shared" si="146"/>
        <v>6.9436879796166057E-2</v>
      </c>
      <c r="W441">
        <f t="shared" si="133"/>
        <v>0.12604831504137654</v>
      </c>
      <c r="X441" t="s">
        <v>1170</v>
      </c>
      <c r="Y441">
        <f t="shared" si="134"/>
        <v>6.1952303847718479E-2</v>
      </c>
      <c r="Z441">
        <f t="shared" si="147"/>
        <v>0.13698275392565012</v>
      </c>
      <c r="AA441" t="s">
        <v>1170</v>
      </c>
      <c r="AB441">
        <f t="shared" si="135"/>
        <v>5.0145022759163646E-2</v>
      </c>
      <c r="AC441">
        <f t="shared" si="148"/>
        <v>0.14706813087962417</v>
      </c>
      <c r="AD441" t="str">
        <f t="shared" si="149"/>
        <v>No Impact</v>
      </c>
      <c r="AE441">
        <f t="shared" si="136"/>
        <v>2.0732639074828554E-2</v>
      </c>
      <c r="AF441">
        <f t="shared" si="150"/>
        <v>0.13662419587148861</v>
      </c>
      <c r="AG441" t="s">
        <v>1169</v>
      </c>
    </row>
    <row r="442" spans="1:33" customFormat="1" x14ac:dyDescent="0.3">
      <c r="A442">
        <v>508827</v>
      </c>
      <c r="B442" t="s">
        <v>107</v>
      </c>
      <c r="C442" t="s">
        <v>991</v>
      </c>
      <c r="D442" t="s">
        <v>992</v>
      </c>
      <c r="E442" s="21">
        <v>5.4</v>
      </c>
      <c r="F442" s="2">
        <f t="shared" si="151"/>
        <v>0.48888888888888893</v>
      </c>
      <c r="G442" s="10">
        <v>43.609679999999997</v>
      </c>
      <c r="H442">
        <f t="shared" si="152"/>
        <v>0.39804032385258398</v>
      </c>
      <c r="I442" s="12">
        <v>34.5</v>
      </c>
      <c r="J442" s="2">
        <f t="shared" si="139"/>
        <v>8.361609306834708E-2</v>
      </c>
      <c r="K442" s="10">
        <v>0</v>
      </c>
      <c r="L442" s="2">
        <f t="shared" si="153"/>
        <v>0</v>
      </c>
      <c r="M442">
        <v>9272</v>
      </c>
      <c r="N442">
        <f t="shared" si="141"/>
        <v>4.2738924926544693E-2</v>
      </c>
      <c r="O442" s="10">
        <v>0.53167500700000003</v>
      </c>
      <c r="P442">
        <f t="shared" si="142"/>
        <v>0.49006192467654169</v>
      </c>
      <c r="Q442" s="23">
        <v>0.17560000000000001</v>
      </c>
      <c r="R442" s="13">
        <f t="shared" si="143"/>
        <v>0.38025119099177135</v>
      </c>
      <c r="S442">
        <f t="shared" si="144"/>
        <v>3.586419562299005E-2</v>
      </c>
      <c r="T442" s="4">
        <f t="shared" si="154"/>
        <v>-1.1306399048245212E-3</v>
      </c>
      <c r="U442" t="str">
        <f t="shared" si="145"/>
        <v>No Impact</v>
      </c>
      <c r="V442">
        <f t="shared" si="146"/>
        <v>3.1339072924648922E-2</v>
      </c>
      <c r="W442">
        <f t="shared" si="133"/>
        <v>5.6889614693328039E-2</v>
      </c>
      <c r="X442" t="s">
        <v>1170</v>
      </c>
      <c r="Y442">
        <f t="shared" si="134"/>
        <v>4.038931832133117E-2</v>
      </c>
      <c r="Z442">
        <f t="shared" si="147"/>
        <v>8.9304831446383917E-2</v>
      </c>
      <c r="AA442" t="s">
        <v>1170</v>
      </c>
      <c r="AB442">
        <f t="shared" si="135"/>
        <v>2.4318312391345343E-2</v>
      </c>
      <c r="AC442">
        <f t="shared" si="148"/>
        <v>7.1322108411814258E-2</v>
      </c>
      <c r="AD442" t="str">
        <f t="shared" si="149"/>
        <v>No Impact</v>
      </c>
      <c r="AE442">
        <f t="shared" si="136"/>
        <v>3.5224039180539071E-3</v>
      </c>
      <c r="AF442">
        <f t="shared" si="150"/>
        <v>2.3211979965588412E-2</v>
      </c>
      <c r="AG442" t="s">
        <v>1170</v>
      </c>
    </row>
    <row r="443" spans="1:33" customFormat="1" x14ac:dyDescent="0.3">
      <c r="A443">
        <v>508844</v>
      </c>
      <c r="B443" t="s">
        <v>254</v>
      </c>
      <c r="C443" t="s">
        <v>991</v>
      </c>
      <c r="D443" t="s">
        <v>993</v>
      </c>
      <c r="E443" s="21">
        <v>6.9</v>
      </c>
      <c r="F443" s="2">
        <f t="shared" si="151"/>
        <v>0.8222222222222223</v>
      </c>
      <c r="G443" s="10">
        <v>31.722839999999998</v>
      </c>
      <c r="H443">
        <f t="shared" si="152"/>
        <v>0.28954510803848377</v>
      </c>
      <c r="I443" s="12">
        <v>21.3</v>
      </c>
      <c r="J443" s="2">
        <f t="shared" si="139"/>
        <v>5.1623848763936019E-2</v>
      </c>
      <c r="K443" s="10">
        <v>0</v>
      </c>
      <c r="L443" s="2">
        <f t="shared" si="153"/>
        <v>0</v>
      </c>
      <c r="M443">
        <v>21302</v>
      </c>
      <c r="N443">
        <f t="shared" si="141"/>
        <v>9.96579182694355E-2</v>
      </c>
      <c r="O443" s="10">
        <v>0.731200776</v>
      </c>
      <c r="P443">
        <f t="shared" si="142"/>
        <v>0.7097974202591687</v>
      </c>
      <c r="Q443" s="23">
        <v>0.30969999999999998</v>
      </c>
      <c r="R443" s="13">
        <f t="shared" si="143"/>
        <v>0.67063663923776518</v>
      </c>
      <c r="S443">
        <f t="shared" si="144"/>
        <v>6.7766090686329147E-2</v>
      </c>
      <c r="T443" s="4">
        <f t="shared" si="154"/>
        <v>-1.130488963531692E-3</v>
      </c>
      <c r="U443" t="str">
        <f t="shared" si="145"/>
        <v>No Impact</v>
      </c>
      <c r="V443">
        <f t="shared" si="146"/>
        <v>6.5843671415530367E-2</v>
      </c>
      <c r="W443">
        <f t="shared" si="133"/>
        <v>0.11952558730215157</v>
      </c>
      <c r="X443" t="s">
        <v>1170</v>
      </c>
      <c r="Y443">
        <f t="shared" si="134"/>
        <v>6.9688509957127942E-2</v>
      </c>
      <c r="Z443">
        <f t="shared" si="147"/>
        <v>0.15408828111327827</v>
      </c>
      <c r="AA443" t="s">
        <v>1170</v>
      </c>
      <c r="AB443">
        <f t="shared" si="135"/>
        <v>4.7376412475225206E-2</v>
      </c>
      <c r="AC443">
        <f t="shared" si="148"/>
        <v>0.13894819559614632</v>
      </c>
      <c r="AD443" t="str">
        <f t="shared" si="149"/>
        <v>No Impact</v>
      </c>
      <c r="AE443">
        <f t="shared" si="136"/>
        <v>9.7844985504319856E-3</v>
      </c>
      <c r="AF443">
        <f t="shared" si="150"/>
        <v>6.4478006954817466E-2</v>
      </c>
      <c r="AG443" t="s">
        <v>1170</v>
      </c>
    </row>
    <row r="444" spans="1:33" customFormat="1" x14ac:dyDescent="0.3">
      <c r="A444">
        <v>508850</v>
      </c>
      <c r="B444" t="s">
        <v>267</v>
      </c>
      <c r="C444" t="s">
        <v>991</v>
      </c>
      <c r="D444" t="s">
        <v>994</v>
      </c>
      <c r="E444" s="21">
        <v>6.9</v>
      </c>
      <c r="F444" s="2">
        <f t="shared" si="151"/>
        <v>0.8222222222222223</v>
      </c>
      <c r="G444" s="10">
        <v>32.742000000000004</v>
      </c>
      <c r="H444">
        <f t="shared" si="152"/>
        <v>0.29884732663897801</v>
      </c>
      <c r="I444" s="12">
        <v>0.39999999999999974</v>
      </c>
      <c r="J444" s="2">
        <f t="shared" si="139"/>
        <v>9.6946194861851622E-4</v>
      </c>
      <c r="K444" s="10">
        <v>0</v>
      </c>
      <c r="L444" s="2">
        <f t="shared" si="153"/>
        <v>0</v>
      </c>
      <c r="M444">
        <v>13658</v>
      </c>
      <c r="N444">
        <f t="shared" si="141"/>
        <v>6.349093696327944E-2</v>
      </c>
      <c r="O444" s="10">
        <v>0.45507258</v>
      </c>
      <c r="P444">
        <f t="shared" si="142"/>
        <v>0.4057005294340203</v>
      </c>
      <c r="Q444" s="23">
        <v>0.25590000000000002</v>
      </c>
      <c r="R444" s="13">
        <f t="shared" si="143"/>
        <v>0.55413598960589006</v>
      </c>
      <c r="S444">
        <f t="shared" si="144"/>
        <v>4.1407639778488679E-2</v>
      </c>
      <c r="T444" s="4">
        <f t="shared" si="154"/>
        <v>-1.1306136764570244E-3</v>
      </c>
      <c r="U444" t="str">
        <f t="shared" si="145"/>
        <v>No Impact</v>
      </c>
      <c r="V444">
        <f t="shared" si="146"/>
        <v>4.7811190740791064E-2</v>
      </c>
      <c r="W444">
        <f t="shared" si="133"/>
        <v>8.6791342737311913E-2</v>
      </c>
      <c r="X444" t="s">
        <v>1170</v>
      </c>
      <c r="Y444">
        <f t="shared" si="134"/>
        <v>3.5004088816186302E-2</v>
      </c>
      <c r="Z444">
        <f t="shared" si="147"/>
        <v>7.7397549193416057E-2</v>
      </c>
      <c r="AA444" t="s">
        <v>1170</v>
      </c>
      <c r="AB444">
        <f t="shared" si="135"/>
        <v>2.9152456255203206E-2</v>
      </c>
      <c r="AC444">
        <f t="shared" si="148"/>
        <v>8.5499956248783468E-2</v>
      </c>
      <c r="AD444" t="str">
        <f t="shared" si="149"/>
        <v>No Impact</v>
      </c>
      <c r="AE444">
        <f t="shared" si="136"/>
        <v>5.4780367173441384E-3</v>
      </c>
      <c r="AF444">
        <f t="shared" si="150"/>
        <v>3.6099232652455807E-2</v>
      </c>
      <c r="AG444" t="s">
        <v>1170</v>
      </c>
    </row>
    <row r="445" spans="1:33" customFormat="1" x14ac:dyDescent="0.3">
      <c r="A445">
        <v>508861</v>
      </c>
      <c r="B445" t="s">
        <v>446</v>
      </c>
      <c r="C445" t="s">
        <v>991</v>
      </c>
      <c r="D445" t="s">
        <v>995</v>
      </c>
      <c r="E445" s="21">
        <v>6.8</v>
      </c>
      <c r="F445" s="2">
        <f t="shared" si="151"/>
        <v>0.79999999999999993</v>
      </c>
      <c r="G445" s="10">
        <v>32.742000000000004</v>
      </c>
      <c r="H445">
        <f t="shared" si="152"/>
        <v>0.29884732663897801</v>
      </c>
      <c r="I445" s="12">
        <v>0.5</v>
      </c>
      <c r="J445" s="2">
        <f t="shared" si="139"/>
        <v>1.211827435773146E-3</v>
      </c>
      <c r="K445" s="10">
        <v>0</v>
      </c>
      <c r="L445" s="2">
        <f t="shared" si="153"/>
        <v>0</v>
      </c>
      <c r="M445">
        <v>35856</v>
      </c>
      <c r="N445">
        <f t="shared" si="141"/>
        <v>0.16851901794627944</v>
      </c>
      <c r="O445" s="10">
        <v>0.83644803000000001</v>
      </c>
      <c r="P445">
        <f t="shared" si="142"/>
        <v>0.82570504277984991</v>
      </c>
      <c r="Q445" s="23">
        <v>0.2959</v>
      </c>
      <c r="R445" s="13">
        <f t="shared" si="143"/>
        <v>0.64075357297531399</v>
      </c>
      <c r="S445">
        <f t="shared" si="144"/>
        <v>6.1603406442077506E-2</v>
      </c>
      <c r="T445" s="4">
        <f t="shared" si="154"/>
        <v>-1.130518121784682E-3</v>
      </c>
      <c r="U445" t="str">
        <f t="shared" si="145"/>
        <v>No Impact</v>
      </c>
      <c r="V445">
        <f t="shared" si="146"/>
        <v>5.3833913021657166E-2</v>
      </c>
      <c r="W445">
        <f t="shared" si="133"/>
        <v>9.7724351214850749E-2</v>
      </c>
      <c r="X445" t="s">
        <v>1170</v>
      </c>
      <c r="Y445">
        <f t="shared" si="134"/>
        <v>6.9372899862497825E-2</v>
      </c>
      <c r="Z445">
        <f t="shared" si="147"/>
        <v>0.15339043555719634</v>
      </c>
      <c r="AA445" t="s">
        <v>1170</v>
      </c>
      <c r="AB445">
        <f t="shared" si="135"/>
        <v>4.4609175565435255E-2</v>
      </c>
      <c r="AC445">
        <f t="shared" si="148"/>
        <v>0.13083228822128043</v>
      </c>
      <c r="AD445" t="str">
        <f t="shared" si="149"/>
        <v>No Impact</v>
      </c>
      <c r="AE445">
        <f t="shared" si="136"/>
        <v>1.4158388711731156E-2</v>
      </c>
      <c r="AF445">
        <f t="shared" si="150"/>
        <v>9.3301121270410514E-2</v>
      </c>
      <c r="AG445" t="s">
        <v>1170</v>
      </c>
    </row>
    <row r="446" spans="1:33" customFormat="1" x14ac:dyDescent="0.3">
      <c r="A446">
        <v>508867</v>
      </c>
      <c r="B446" t="s">
        <v>475</v>
      </c>
      <c r="C446" t="s">
        <v>991</v>
      </c>
      <c r="D446" t="s">
        <v>996</v>
      </c>
      <c r="E446" s="21">
        <v>6.9</v>
      </c>
      <c r="F446" s="2">
        <f t="shared" si="151"/>
        <v>0.8222222222222223</v>
      </c>
      <c r="G446" s="10">
        <v>43.609679999999997</v>
      </c>
      <c r="H446">
        <f t="shared" si="152"/>
        <v>0.39804032385258398</v>
      </c>
      <c r="I446" s="12">
        <v>34.5</v>
      </c>
      <c r="J446" s="2">
        <f t="shared" si="139"/>
        <v>8.361609306834708E-2</v>
      </c>
      <c r="K446" s="10">
        <v>0</v>
      </c>
      <c r="L446" s="2">
        <f t="shared" si="153"/>
        <v>0</v>
      </c>
      <c r="M446">
        <v>61653</v>
      </c>
      <c r="N446">
        <f t="shared" si="141"/>
        <v>0.29057548272321659</v>
      </c>
      <c r="O446" s="10">
        <v>0.66117635500000005</v>
      </c>
      <c r="P446">
        <f t="shared" si="142"/>
        <v>0.63268030937951336</v>
      </c>
      <c r="Q446" s="23">
        <v>0.25319999999999998</v>
      </c>
      <c r="R446" s="13">
        <f t="shared" si="143"/>
        <v>0.54828930272845389</v>
      </c>
      <c r="S446">
        <f t="shared" si="144"/>
        <v>8.1847106828805638E-2</v>
      </c>
      <c r="T446" s="4">
        <f t="shared" si="154"/>
        <v>-1.1304223403177205E-3</v>
      </c>
      <c r="U446" t="str">
        <f t="shared" si="145"/>
        <v>No Impact</v>
      </c>
      <c r="V446">
        <f t="shared" si="146"/>
        <v>7.5998387551066734E-2</v>
      </c>
      <c r="W446">
        <f t="shared" si="133"/>
        <v>0.13795937727608573</v>
      </c>
      <c r="X446" t="s">
        <v>1170</v>
      </c>
      <c r="Y446">
        <f t="shared" si="134"/>
        <v>8.7695826106544555E-2</v>
      </c>
      <c r="Z446">
        <f t="shared" si="147"/>
        <v>0.19390426217865012</v>
      </c>
      <c r="AA446" t="str">
        <f t="shared" ref="AA446" si="155">IF(Z446&gt;0.7,"High",IF(Z446&gt;0.3,"Moderate",IF(Z446&gt;0.15,"Low","No Impact")))</f>
        <v>Low</v>
      </c>
      <c r="AB446">
        <f t="shared" si="135"/>
        <v>6.7005018509973258E-2</v>
      </c>
      <c r="AC446">
        <f t="shared" si="148"/>
        <v>0.19651607058081519</v>
      </c>
      <c r="AD446" t="str">
        <f t="shared" si="149"/>
        <v>Low</v>
      </c>
      <c r="AE446">
        <f t="shared" si="136"/>
        <v>4.0276671528961569E-2</v>
      </c>
      <c r="AF446">
        <f t="shared" si="150"/>
        <v>0.265415697449986</v>
      </c>
      <c r="AG446" t="s">
        <v>1169</v>
      </c>
    </row>
    <row r="447" spans="1:33" customFormat="1" x14ac:dyDescent="0.3">
      <c r="A447">
        <v>508878</v>
      </c>
      <c r="B447" t="s">
        <v>493</v>
      </c>
      <c r="C447" t="s">
        <v>991</v>
      </c>
      <c r="D447" t="s">
        <v>997</v>
      </c>
      <c r="E447" s="21">
        <v>7</v>
      </c>
      <c r="F447" s="2">
        <f t="shared" si="151"/>
        <v>0.84444444444444444</v>
      </c>
      <c r="G447" s="10">
        <v>32.742000000000004</v>
      </c>
      <c r="H447">
        <f t="shared" si="152"/>
        <v>0.29884732663897801</v>
      </c>
      <c r="I447" s="12">
        <v>21.3</v>
      </c>
      <c r="J447" s="2">
        <f t="shared" si="139"/>
        <v>5.1623848763936019E-2</v>
      </c>
      <c r="K447" s="10">
        <v>0</v>
      </c>
      <c r="L447" s="2">
        <f t="shared" si="153"/>
        <v>0</v>
      </c>
      <c r="M447">
        <v>46801</v>
      </c>
      <c r="N447">
        <f t="shared" si="141"/>
        <v>0.22030441962025615</v>
      </c>
      <c r="O447" s="10">
        <v>0.57676246600000003</v>
      </c>
      <c r="P447">
        <f t="shared" si="142"/>
        <v>0.53971623849064543</v>
      </c>
      <c r="Q447" s="23">
        <v>0.26729999999999998</v>
      </c>
      <c r="R447" s="13">
        <f t="shared" si="143"/>
        <v>0.57882200086617586</v>
      </c>
      <c r="S447">
        <f t="shared" si="144"/>
        <v>5.7931166363228127E-2</v>
      </c>
      <c r="T447" s="4">
        <f t="shared" si="154"/>
        <v>-1.1305354966981154E-3</v>
      </c>
      <c r="U447" t="str">
        <f t="shared" si="145"/>
        <v>No Impact</v>
      </c>
      <c r="V447">
        <f t="shared" si="146"/>
        <v>5.9956526200045504E-2</v>
      </c>
      <c r="W447">
        <f t="shared" si="133"/>
        <v>0.10883869098719444</v>
      </c>
      <c r="X447" t="s">
        <v>1170</v>
      </c>
      <c r="Y447">
        <f t="shared" si="134"/>
        <v>5.5905806526410765E-2</v>
      </c>
      <c r="Z447">
        <f t="shared" si="147"/>
        <v>0.12361334224545319</v>
      </c>
      <c r="AA447" t="s">
        <v>1170</v>
      </c>
      <c r="AB447">
        <f t="shared" si="135"/>
        <v>4.5743507774306372E-2</v>
      </c>
      <c r="AC447">
        <f t="shared" si="148"/>
        <v>0.13415912124629376</v>
      </c>
      <c r="AD447" t="str">
        <f t="shared" si="149"/>
        <v>No Impact</v>
      </c>
      <c r="AE447">
        <f t="shared" si="136"/>
        <v>2.2819947561049197E-2</v>
      </c>
      <c r="AF447">
        <f t="shared" si="150"/>
        <v>0.15037916659356432</v>
      </c>
      <c r="AG447" t="s">
        <v>1169</v>
      </c>
    </row>
    <row r="448" spans="1:33" customFormat="1" x14ac:dyDescent="0.3">
      <c r="A448">
        <v>508889</v>
      </c>
      <c r="B448" t="s">
        <v>518</v>
      </c>
      <c r="C448" t="s">
        <v>991</v>
      </c>
      <c r="D448" t="s">
        <v>998</v>
      </c>
      <c r="E448" s="21">
        <v>6.9</v>
      </c>
      <c r="F448" s="2">
        <f t="shared" si="151"/>
        <v>0.8222222222222223</v>
      </c>
      <c r="G448" s="10">
        <v>32.559840000000001</v>
      </c>
      <c r="H448">
        <f t="shared" si="152"/>
        <v>0.2971846906051207</v>
      </c>
      <c r="I448" s="12">
        <v>4.5999999999999996</v>
      </c>
      <c r="J448" s="2">
        <f t="shared" si="139"/>
        <v>1.1148812409112942E-2</v>
      </c>
      <c r="K448" s="10">
        <v>0</v>
      </c>
      <c r="L448" s="2">
        <f t="shared" si="153"/>
        <v>0</v>
      </c>
      <c r="M448">
        <v>22985</v>
      </c>
      <c r="N448">
        <f t="shared" si="141"/>
        <v>0.10762089963236859</v>
      </c>
      <c r="O448" s="10">
        <v>0.54104416700000002</v>
      </c>
      <c r="P448">
        <f t="shared" si="142"/>
        <v>0.50038007569087473</v>
      </c>
      <c r="Q448" s="23">
        <v>0.2666</v>
      </c>
      <c r="R448" s="13">
        <f t="shared" si="143"/>
        <v>0.57730619315721099</v>
      </c>
      <c r="S448">
        <f t="shared" si="144"/>
        <v>4.7812375915492103E-2</v>
      </c>
      <c r="T448" s="4">
        <f t="shared" si="154"/>
        <v>-1.1305833729546516E-3</v>
      </c>
      <c r="U448" t="str">
        <f t="shared" si="145"/>
        <v>No Impact</v>
      </c>
      <c r="V448">
        <f t="shared" si="146"/>
        <v>5.1225261977361602E-2</v>
      </c>
      <c r="W448">
        <f t="shared" si="133"/>
        <v>9.2988883987209864E-2</v>
      </c>
      <c r="X448" t="s">
        <v>1170</v>
      </c>
      <c r="Y448">
        <f t="shared" si="134"/>
        <v>4.439948985362261E-2</v>
      </c>
      <c r="Z448">
        <f t="shared" si="147"/>
        <v>9.8171722685130886E-2</v>
      </c>
      <c r="AA448" t="s">
        <v>1170</v>
      </c>
      <c r="AB448">
        <f t="shared" si="135"/>
        <v>3.4590967139435574E-2</v>
      </c>
      <c r="AC448">
        <f t="shared" si="148"/>
        <v>0.101450325527784</v>
      </c>
      <c r="AD448" t="str">
        <f t="shared" si="149"/>
        <v>No Impact</v>
      </c>
      <c r="AE448">
        <f t="shared" si="136"/>
        <v>9.5493671179206537E-3</v>
      </c>
      <c r="AF448">
        <f t="shared" si="150"/>
        <v>6.2928534995409541E-2</v>
      </c>
      <c r="AG448" t="s">
        <v>1170</v>
      </c>
    </row>
    <row r="449" spans="1:33" customFormat="1" x14ac:dyDescent="0.3">
      <c r="A449">
        <v>508894</v>
      </c>
      <c r="B449" t="s">
        <v>534</v>
      </c>
      <c r="C449" t="s">
        <v>991</v>
      </c>
      <c r="D449" t="s">
        <v>999</v>
      </c>
      <c r="E449" s="21">
        <v>6.9</v>
      </c>
      <c r="F449" s="2">
        <f t="shared" si="151"/>
        <v>0.8222222222222223</v>
      </c>
      <c r="G449" s="10">
        <v>35.773559999999996</v>
      </c>
      <c r="H449">
        <f t="shared" si="152"/>
        <v>0.3265174018190421</v>
      </c>
      <c r="I449" s="12">
        <v>26.3</v>
      </c>
      <c r="J449" s="2">
        <f t="shared" si="139"/>
        <v>6.3742123121667479E-2</v>
      </c>
      <c r="K449" s="10">
        <v>0</v>
      </c>
      <c r="L449" s="2">
        <f t="shared" si="153"/>
        <v>0</v>
      </c>
      <c r="M449">
        <v>56867</v>
      </c>
      <c r="N449">
        <f t="shared" si="141"/>
        <v>0.26793090232927852</v>
      </c>
      <c r="O449" s="10">
        <v>0.56567332999999997</v>
      </c>
      <c r="P449">
        <f t="shared" si="142"/>
        <v>0.52750389716373058</v>
      </c>
      <c r="Q449" s="23">
        <v>0.27729999999999999</v>
      </c>
      <c r="R449" s="13">
        <f t="shared" si="143"/>
        <v>0.60047639670853181</v>
      </c>
      <c r="S449">
        <f t="shared" si="144"/>
        <v>6.3340616049960802E-2</v>
      </c>
      <c r="T449" s="4">
        <f t="shared" si="154"/>
        <v>-1.1305099023148479E-3</v>
      </c>
      <c r="U449" t="str">
        <f t="shared" si="145"/>
        <v>No Impact</v>
      </c>
      <c r="V449">
        <f t="shared" si="146"/>
        <v>6.743831447694823E-2</v>
      </c>
      <c r="W449">
        <f t="shared" si="133"/>
        <v>0.12242033245161957</v>
      </c>
      <c r="X449" t="s">
        <v>1170</v>
      </c>
      <c r="Y449">
        <f t="shared" si="134"/>
        <v>5.924291762297336E-2</v>
      </c>
      <c r="Z449">
        <f t="shared" si="147"/>
        <v>0.13099202939301477</v>
      </c>
      <c r="AA449" t="s">
        <v>1170</v>
      </c>
      <c r="AB449">
        <f t="shared" si="135"/>
        <v>5.1908061443518727E-2</v>
      </c>
      <c r="AC449">
        <f t="shared" si="148"/>
        <v>0.1522388694636283</v>
      </c>
      <c r="AD449" t="str">
        <f t="shared" si="149"/>
        <v>Low</v>
      </c>
      <c r="AE449">
        <f t="shared" si="136"/>
        <v>3.0090788827699572E-2</v>
      </c>
      <c r="AF449">
        <f t="shared" si="150"/>
        <v>0.1982926443606757</v>
      </c>
      <c r="AG449" t="s">
        <v>1169</v>
      </c>
    </row>
    <row r="450" spans="1:33" customFormat="1" x14ac:dyDescent="0.3">
      <c r="A450">
        <v>552710</v>
      </c>
      <c r="B450" t="s">
        <v>78</v>
      </c>
      <c r="C450" t="s">
        <v>1001</v>
      </c>
      <c r="D450" t="s">
        <v>1000</v>
      </c>
      <c r="E450" s="21">
        <v>6.4</v>
      </c>
      <c r="F450" s="2">
        <f t="shared" si="151"/>
        <v>0.71111111111111114</v>
      </c>
      <c r="G450" s="10">
        <v>31.736519999999999</v>
      </c>
      <c r="H450">
        <f t="shared" ref="H450:H481" si="156">(G450-$AJ$6)/$AK$6</f>
        <v>0.28966997003312128</v>
      </c>
      <c r="I450" s="12">
        <v>0.29999999999999993</v>
      </c>
      <c r="J450" s="2">
        <f t="shared" si="139"/>
        <v>7.2709646146388749E-4</v>
      </c>
      <c r="K450" s="10">
        <v>0</v>
      </c>
      <c r="L450" s="2">
        <f t="shared" ref="L450:L481" si="157">(K450-$AJ$7)/$AK$7</f>
        <v>0</v>
      </c>
      <c r="M450">
        <v>22770</v>
      </c>
      <c r="N450">
        <f t="shared" si="141"/>
        <v>0.10660364414037179</v>
      </c>
      <c r="O450" s="10">
        <v>0.83916186400000004</v>
      </c>
      <c r="P450">
        <f t="shared" si="142"/>
        <v>0.82869375778096332</v>
      </c>
      <c r="Q450" s="23">
        <v>0.2949</v>
      </c>
      <c r="R450" s="13">
        <f t="shared" si="143"/>
        <v>0.63858813339107845</v>
      </c>
      <c r="S450">
        <f t="shared" si="144"/>
        <v>5.302507552744741E-2</v>
      </c>
      <c r="T450" s="4">
        <f t="shared" ref="T450:T481" si="158">(S450-$AJ$9)/$AK$9</f>
        <v>-1.1305587094787987E-3</v>
      </c>
      <c r="U450" t="str">
        <f t="shared" si="145"/>
        <v>No Impact</v>
      </c>
      <c r="V450">
        <f t="shared" si="146"/>
        <v>4.6154981135827708E-2</v>
      </c>
      <c r="W450">
        <f t="shared" ref="W450:W513" si="159">(V450-$AJ$13)/$AK$13</f>
        <v>8.3784836242869726E-2</v>
      </c>
      <c r="X450" t="s">
        <v>1170</v>
      </c>
      <c r="Y450">
        <f t="shared" ref="Y450:Y513" si="160">F450*(P450*1)*(H450*0.35+J450*0.35+L450*0.3)</f>
        <v>5.9895169919067112E-2</v>
      </c>
      <c r="Z450">
        <f t="shared" si="147"/>
        <v>0.13243422460165255</v>
      </c>
      <c r="AA450" t="s">
        <v>1170</v>
      </c>
      <c r="AB450">
        <f t="shared" ref="AB450:AB513" si="161">F450*(R450*0.35+P450*0.3+N450*0.35)*(H450*0.35+J450*0.35+L450*0.3)</f>
        <v>3.6819526624395534E-2</v>
      </c>
      <c r="AC450">
        <f t="shared" si="148"/>
        <v>0.10798636958506236</v>
      </c>
      <c r="AD450" t="str">
        <f t="shared" si="149"/>
        <v>No Impact</v>
      </c>
      <c r="AE450">
        <f t="shared" ref="AE450:AE513" si="162">F450*(N450*1)*(H450*0.35+J450*0.35+L450*0.3)</f>
        <v>7.7049492889591648E-3</v>
      </c>
      <c r="AF450">
        <f t="shared" si="150"/>
        <v>5.0774168065883273E-2</v>
      </c>
      <c r="AG450" t="s">
        <v>1170</v>
      </c>
    </row>
    <row r="451" spans="1:33" customFormat="1" x14ac:dyDescent="0.3">
      <c r="A451">
        <v>552712</v>
      </c>
      <c r="B451" t="s">
        <v>79</v>
      </c>
      <c r="C451" t="s">
        <v>1001</v>
      </c>
      <c r="D451" t="s">
        <v>1002</v>
      </c>
      <c r="E451" s="21">
        <v>6</v>
      </c>
      <c r="F451" s="2">
        <f t="shared" si="151"/>
        <v>0.62222222222222223</v>
      </c>
      <c r="G451" s="10">
        <v>24.803640000000001</v>
      </c>
      <c r="H451">
        <f t="shared" si="156"/>
        <v>0.22639122548761897</v>
      </c>
      <c r="I451" s="12">
        <v>0</v>
      </c>
      <c r="J451" s="2">
        <f t="shared" ref="J451:J514" si="163">(I451-$AJ$7)/$AK$7</f>
        <v>0</v>
      </c>
      <c r="K451" s="10">
        <v>0</v>
      </c>
      <c r="L451" s="2">
        <f t="shared" si="157"/>
        <v>0</v>
      </c>
      <c r="M451">
        <v>46581</v>
      </c>
      <c r="N451">
        <f t="shared" ref="N451:N514" si="164">(M451-$AJ$9)/$AK$9</f>
        <v>0.21926350702379432</v>
      </c>
      <c r="O451" s="10">
        <v>0.75271250199999995</v>
      </c>
      <c r="P451">
        <f t="shared" ref="P451:P514" si="165">(O451-$AJ$11)/$AK$11</f>
        <v>0.73348804326560191</v>
      </c>
      <c r="Q451" s="23">
        <v>0.2646</v>
      </c>
      <c r="R451" s="13">
        <f t="shared" ref="R451:R514" si="166">(Q451-$AJ$12)/$AK$12</f>
        <v>0.57297531398873969</v>
      </c>
      <c r="S451">
        <f t="shared" ref="S451:S514" si="167">F451*(R451*0.5+P451*0.5)*(H451*0.35+J451*0.35+L451*0.3)</f>
        <v>3.2206267077045526E-2</v>
      </c>
      <c r="T451" s="4">
        <f t="shared" si="158"/>
        <v>-1.1306572120240686E-3</v>
      </c>
      <c r="U451" t="str">
        <f t="shared" ref="U451:U514" si="168">IF(T451&gt;0.7,"High",IF(T451&gt;0.3,"Moderate",IF(T451&gt;0.15,"Low","No Impact")))</f>
        <v>No Impact</v>
      </c>
      <c r="V451">
        <f t="shared" ref="V451:V514" si="169">F451*(R451*1)*(H451*0.35+J451*0.35+L451*0.3)</f>
        <v>2.8249389297311727E-2</v>
      </c>
      <c r="W451">
        <f t="shared" si="159"/>
        <v>5.1280932154884176E-2</v>
      </c>
      <c r="X451" t="s">
        <v>1170</v>
      </c>
      <c r="Y451">
        <f t="shared" si="160"/>
        <v>3.6163144856779329E-2</v>
      </c>
      <c r="Z451">
        <f t="shared" ref="Z451:Z514" si="170">(Y451-$AJ$14)/$AK$14</f>
        <v>7.9960338283307841E-2</v>
      </c>
      <c r="AA451" t="s">
        <v>1170</v>
      </c>
      <c r="AB451">
        <f t="shared" si="161"/>
        <v>2.4519850062764387E-2</v>
      </c>
      <c r="AC451">
        <f t="shared" ref="AC451:AC514" si="171">(AB451-$AJ$15)/$AK$15</f>
        <v>7.191318938070293E-2</v>
      </c>
      <c r="AD451" t="str">
        <f t="shared" ref="AD451:AD514" si="172">IF(AC451&gt;0.7,"High",IF(AC451&gt;0.3,"Moderate",IF(AC451&gt;0.15,"Low","No Impact")))</f>
        <v>No Impact</v>
      </c>
      <c r="AE451">
        <f t="shared" si="162"/>
        <v>1.0810343861918523E-2</v>
      </c>
      <c r="AF451">
        <f t="shared" ref="AF451:AF514" si="173">(AE451-$AJ$16)/$AK$16</f>
        <v>7.1238134802725991E-2</v>
      </c>
      <c r="AG451" t="s">
        <v>1170</v>
      </c>
    </row>
    <row r="452" spans="1:33" customFormat="1" x14ac:dyDescent="0.3">
      <c r="A452">
        <v>552717</v>
      </c>
      <c r="B452" t="s">
        <v>77</v>
      </c>
      <c r="C452" t="s">
        <v>1001</v>
      </c>
      <c r="D452" t="s">
        <v>1003</v>
      </c>
      <c r="E452" s="21">
        <v>6.4</v>
      </c>
      <c r="F452" s="2">
        <f t="shared" si="151"/>
        <v>0.71111111111111114</v>
      </c>
      <c r="G452" s="10">
        <v>25.38036</v>
      </c>
      <c r="H452">
        <f t="shared" si="156"/>
        <v>0.23165514431417908</v>
      </c>
      <c r="I452" s="12">
        <v>0.1</v>
      </c>
      <c r="J452" s="2">
        <f t="shared" si="163"/>
        <v>2.4236548715462922E-4</v>
      </c>
      <c r="K452" s="10">
        <v>0</v>
      </c>
      <c r="L452" s="2">
        <f t="shared" si="157"/>
        <v>0</v>
      </c>
      <c r="M452">
        <v>39215</v>
      </c>
      <c r="N452">
        <f t="shared" si="164"/>
        <v>0.18441186072589461</v>
      </c>
      <c r="O452" s="10">
        <v>0.83980231900000002</v>
      </c>
      <c r="P452">
        <f t="shared" si="165"/>
        <v>0.82939908370216486</v>
      </c>
      <c r="Q452" s="23">
        <v>0.29970000000000002</v>
      </c>
      <c r="R452" s="13">
        <f t="shared" si="166"/>
        <v>0.64898224339540933</v>
      </c>
      <c r="S452">
        <f t="shared" si="167"/>
        <v>4.2663655787289409E-2</v>
      </c>
      <c r="T452" s="4">
        <f t="shared" si="158"/>
        <v>-1.1306077337166385E-3</v>
      </c>
      <c r="U452" t="str">
        <f t="shared" si="168"/>
        <v>No Impact</v>
      </c>
      <c r="V452">
        <f t="shared" si="169"/>
        <v>3.745712224144887E-2</v>
      </c>
      <c r="W452">
        <f t="shared" si="159"/>
        <v>6.7995669717494864E-2</v>
      </c>
      <c r="X452" t="s">
        <v>1170</v>
      </c>
      <c r="Y452">
        <f t="shared" si="160"/>
        <v>4.7870189333129948E-2</v>
      </c>
      <c r="Z452">
        <f t="shared" si="170"/>
        <v>0.10584578713832465</v>
      </c>
      <c r="AA452" t="s">
        <v>1170</v>
      </c>
      <c r="AB452">
        <f t="shared" si="161"/>
        <v>3.1196325873740494E-2</v>
      </c>
      <c r="AC452">
        <f t="shared" si="171"/>
        <v>9.1494331523147052E-2</v>
      </c>
      <c r="AD452" t="str">
        <f t="shared" si="172"/>
        <v>No Impact</v>
      </c>
      <c r="AE452">
        <f t="shared" si="162"/>
        <v>1.0643646540841151E-2</v>
      </c>
      <c r="AF452">
        <f t="shared" si="173"/>
        <v>7.0139630779001469E-2</v>
      </c>
      <c r="AG452" t="s">
        <v>1170</v>
      </c>
    </row>
    <row r="453" spans="1:33" customFormat="1" x14ac:dyDescent="0.3">
      <c r="A453">
        <v>552721</v>
      </c>
      <c r="B453" t="s">
        <v>85</v>
      </c>
      <c r="C453" t="s">
        <v>1001</v>
      </c>
      <c r="D453" t="s">
        <v>1004</v>
      </c>
      <c r="E453" s="21">
        <v>6.4</v>
      </c>
      <c r="F453" s="2">
        <f t="shared" si="151"/>
        <v>0.71111111111111114</v>
      </c>
      <c r="G453" s="10">
        <v>25.38036</v>
      </c>
      <c r="H453">
        <f t="shared" si="156"/>
        <v>0.23165514431417908</v>
      </c>
      <c r="I453" s="12">
        <v>0.2</v>
      </c>
      <c r="J453" s="2">
        <f t="shared" si="163"/>
        <v>4.8473097430925844E-4</v>
      </c>
      <c r="K453" s="10">
        <v>0</v>
      </c>
      <c r="L453" s="2">
        <f t="shared" si="157"/>
        <v>0</v>
      </c>
      <c r="M453">
        <v>24638</v>
      </c>
      <c r="N453">
        <f t="shared" si="164"/>
        <v>0.11544193836851145</v>
      </c>
      <c r="O453" s="10">
        <v>0.79792084600000002</v>
      </c>
      <c r="P453">
        <f t="shared" si="165"/>
        <v>0.78327548637682176</v>
      </c>
      <c r="Q453" s="23">
        <v>0.27010000000000001</v>
      </c>
      <c r="R453" s="13">
        <f t="shared" si="166"/>
        <v>0.58488523170203555</v>
      </c>
      <c r="S453">
        <f t="shared" si="167"/>
        <v>3.9524135276196304E-2</v>
      </c>
      <c r="T453" s="4">
        <f t="shared" si="158"/>
        <v>-1.1306225881095788E-3</v>
      </c>
      <c r="U453" t="str">
        <f t="shared" si="168"/>
        <v>No Impact</v>
      </c>
      <c r="V453">
        <f t="shared" si="169"/>
        <v>3.3792934869963522E-2</v>
      </c>
      <c r="W453">
        <f t="shared" si="159"/>
        <v>6.134409427909044E-2</v>
      </c>
      <c r="X453" t="s">
        <v>1170</v>
      </c>
      <c r="Y453">
        <f t="shared" si="160"/>
        <v>4.5255335682429093E-2</v>
      </c>
      <c r="Z453">
        <f t="shared" si="170"/>
        <v>0.100064083602876</v>
      </c>
      <c r="AA453" t="s">
        <v>1170</v>
      </c>
      <c r="AB453">
        <f t="shared" si="161"/>
        <v>2.7738590454318982E-2</v>
      </c>
      <c r="AC453">
        <f t="shared" si="171"/>
        <v>8.1353291451175674E-2</v>
      </c>
      <c r="AD453" t="str">
        <f t="shared" si="172"/>
        <v>No Impact</v>
      </c>
      <c r="AE453">
        <f t="shared" si="162"/>
        <v>6.6698929860086482E-3</v>
      </c>
      <c r="AF453">
        <f t="shared" si="173"/>
        <v>4.3953341514958541E-2</v>
      </c>
      <c r="AG453" t="s">
        <v>1170</v>
      </c>
    </row>
    <row r="454" spans="1:33" customFormat="1" x14ac:dyDescent="0.3">
      <c r="A454">
        <v>552730</v>
      </c>
      <c r="B454" t="s">
        <v>111</v>
      </c>
      <c r="C454" t="s">
        <v>1001</v>
      </c>
      <c r="D454" t="s">
        <v>1005</v>
      </c>
      <c r="E454" s="21">
        <v>6.4</v>
      </c>
      <c r="F454" s="2">
        <f t="shared" si="151"/>
        <v>0.71111111111111114</v>
      </c>
      <c r="G454" s="10">
        <v>25.54344</v>
      </c>
      <c r="H454">
        <f t="shared" si="156"/>
        <v>0.23314363072393671</v>
      </c>
      <c r="I454" s="12">
        <v>0.3</v>
      </c>
      <c r="J454" s="2">
        <f t="shared" si="163"/>
        <v>7.270964614638876E-4</v>
      </c>
      <c r="K454" s="10">
        <v>0</v>
      </c>
      <c r="L454" s="2">
        <f t="shared" si="157"/>
        <v>0</v>
      </c>
      <c r="M454">
        <v>37811</v>
      </c>
      <c r="N454">
        <f t="shared" si="164"/>
        <v>0.17776894579211083</v>
      </c>
      <c r="O454" s="10">
        <v>0.789014255</v>
      </c>
      <c r="P454">
        <f t="shared" si="165"/>
        <v>0.77346675742343651</v>
      </c>
      <c r="Q454" s="23">
        <v>0.29620000000000002</v>
      </c>
      <c r="R454" s="13">
        <f t="shared" si="166"/>
        <v>0.64140320485058477</v>
      </c>
      <c r="S454">
        <f t="shared" si="167"/>
        <v>4.1178251887086938E-2</v>
      </c>
      <c r="T454" s="4">
        <f t="shared" si="158"/>
        <v>-1.1306147617876866E-3</v>
      </c>
      <c r="U454" t="str">
        <f t="shared" si="168"/>
        <v>No Impact</v>
      </c>
      <c r="V454">
        <f t="shared" si="169"/>
        <v>3.733468577998824E-2</v>
      </c>
      <c r="W454">
        <f t="shared" si="159"/>
        <v>6.777341160751002E-2</v>
      </c>
      <c r="X454" t="s">
        <v>1170</v>
      </c>
      <c r="Y454">
        <f t="shared" si="160"/>
        <v>4.5021817994185628E-2</v>
      </c>
      <c r="Z454">
        <f t="shared" si="170"/>
        <v>9.9547752586283483E-2</v>
      </c>
      <c r="AA454" t="s">
        <v>1170</v>
      </c>
      <c r="AB454">
        <f t="shared" si="161"/>
        <v>3.0195325738666262E-2</v>
      </c>
      <c r="AC454">
        <f t="shared" si="171"/>
        <v>8.8558542270788673E-2</v>
      </c>
      <c r="AD454" t="str">
        <f t="shared" si="172"/>
        <v>No Impact</v>
      </c>
      <c r="AE454">
        <f t="shared" si="162"/>
        <v>1.0347543764041997E-2</v>
      </c>
      <c r="AF454">
        <f t="shared" si="173"/>
        <v>6.8188369117160488E-2</v>
      </c>
      <c r="AG454" t="s">
        <v>1170</v>
      </c>
    </row>
    <row r="455" spans="1:33" customFormat="1" x14ac:dyDescent="0.3">
      <c r="A455">
        <v>552738</v>
      </c>
      <c r="B455" t="s">
        <v>169</v>
      </c>
      <c r="C455" t="s">
        <v>1001</v>
      </c>
      <c r="D455" t="s">
        <v>1006</v>
      </c>
      <c r="E455" s="21">
        <v>6.4</v>
      </c>
      <c r="F455" s="2">
        <f t="shared" si="151"/>
        <v>0.71111111111111114</v>
      </c>
      <c r="G455" s="10">
        <v>29.81052</v>
      </c>
      <c r="H455">
        <f t="shared" si="156"/>
        <v>0.27209071552494613</v>
      </c>
      <c r="I455" s="12">
        <v>0.20000000000000009</v>
      </c>
      <c r="J455" s="2">
        <f t="shared" si="163"/>
        <v>4.8473097430925865E-4</v>
      </c>
      <c r="K455" s="10">
        <v>0</v>
      </c>
      <c r="L455" s="2">
        <f t="shared" si="157"/>
        <v>0</v>
      </c>
      <c r="M455">
        <v>22131</v>
      </c>
      <c r="N455">
        <f t="shared" si="164"/>
        <v>0.10358026618973944</v>
      </c>
      <c r="O455" s="10">
        <v>0.82547400500000001</v>
      </c>
      <c r="P455">
        <f t="shared" si="165"/>
        <v>0.81361947190849482</v>
      </c>
      <c r="Q455" s="23">
        <v>0.29909999999999998</v>
      </c>
      <c r="R455" s="13">
        <f t="shared" si="166"/>
        <v>0.64768297964486787</v>
      </c>
      <c r="S455">
        <f t="shared" si="167"/>
        <v>4.9568109820769778E-2</v>
      </c>
      <c r="T455" s="4">
        <f t="shared" si="158"/>
        <v>-1.1305750658385698E-3</v>
      </c>
      <c r="U455" t="str">
        <f t="shared" si="168"/>
        <v>No Impact</v>
      </c>
      <c r="V455">
        <f t="shared" si="169"/>
        <v>4.3939461033481807E-2</v>
      </c>
      <c r="W455">
        <f t="shared" si="159"/>
        <v>7.9763017050233448E-2</v>
      </c>
      <c r="X455" t="s">
        <v>1170</v>
      </c>
      <c r="Y455">
        <f t="shared" si="160"/>
        <v>5.5196758608057749E-2</v>
      </c>
      <c r="Z455">
        <f t="shared" si="170"/>
        <v>0.12204556622278923</v>
      </c>
      <c r="AA455" t="s">
        <v>1170</v>
      </c>
      <c r="AB455">
        <f t="shared" si="161"/>
        <v>3.4397285038276076E-2</v>
      </c>
      <c r="AC455">
        <f t="shared" si="171"/>
        <v>0.10088228381526608</v>
      </c>
      <c r="AD455" t="str">
        <f t="shared" si="172"/>
        <v>No Impact</v>
      </c>
      <c r="AE455">
        <f t="shared" si="162"/>
        <v>7.0269888404003436E-3</v>
      </c>
      <c r="AF455">
        <f t="shared" si="173"/>
        <v>4.6306536097627027E-2</v>
      </c>
      <c r="AG455" t="s">
        <v>1170</v>
      </c>
    </row>
    <row r="456" spans="1:33" customFormat="1" x14ac:dyDescent="0.3">
      <c r="A456">
        <v>552743</v>
      </c>
      <c r="B456" t="s">
        <v>185</v>
      </c>
      <c r="C456" t="s">
        <v>1001</v>
      </c>
      <c r="D456" t="s">
        <v>1007</v>
      </c>
      <c r="E456" s="21">
        <v>6.4</v>
      </c>
      <c r="F456" s="2">
        <f t="shared" si="151"/>
        <v>0.71111111111111114</v>
      </c>
      <c r="G456" s="10">
        <v>33.027480000000004</v>
      </c>
      <c r="H456">
        <f t="shared" si="156"/>
        <v>0.3014529993165449</v>
      </c>
      <c r="I456" s="12">
        <v>0.10000000000000005</v>
      </c>
      <c r="J456" s="2">
        <f t="shared" si="163"/>
        <v>2.4236548715462933E-4</v>
      </c>
      <c r="K456" s="10">
        <v>0</v>
      </c>
      <c r="L456" s="2">
        <f t="shared" si="157"/>
        <v>0</v>
      </c>
      <c r="M456">
        <v>17312</v>
      </c>
      <c r="N456">
        <f t="shared" si="164"/>
        <v>8.0779548906332058E-2</v>
      </c>
      <c r="O456" s="10">
        <v>0.80166590900000001</v>
      </c>
      <c r="P456">
        <f t="shared" si="165"/>
        <v>0.78739988233037483</v>
      </c>
      <c r="Q456" s="23">
        <v>0.28439999999999999</v>
      </c>
      <c r="R456" s="13">
        <f t="shared" si="166"/>
        <v>0.61585101775660456</v>
      </c>
      <c r="S456">
        <f t="shared" si="167"/>
        <v>5.2684089697600481E-2</v>
      </c>
      <c r="T456" s="4">
        <f t="shared" si="158"/>
        <v>-1.1305603228262784E-3</v>
      </c>
      <c r="U456" t="str">
        <f t="shared" si="168"/>
        <v>No Impact</v>
      </c>
      <c r="V456">
        <f t="shared" si="169"/>
        <v>4.6243405591738999E-2</v>
      </c>
      <c r="W456">
        <f t="shared" si="159"/>
        <v>8.3945352580999943E-2</v>
      </c>
      <c r="X456" t="s">
        <v>1170</v>
      </c>
      <c r="Y456">
        <f t="shared" si="160"/>
        <v>5.9124773803461969E-2</v>
      </c>
      <c r="Z456">
        <f t="shared" si="170"/>
        <v>0.13073080156530162</v>
      </c>
      <c r="AA456" t="s">
        <v>1170</v>
      </c>
      <c r="AB456">
        <f t="shared" si="161"/>
        <v>3.6045592912943208E-2</v>
      </c>
      <c r="AC456">
        <f t="shared" si="171"/>
        <v>0.10571653345566856</v>
      </c>
      <c r="AD456" t="str">
        <f t="shared" si="172"/>
        <v>No Impact</v>
      </c>
      <c r="AE456">
        <f t="shared" si="162"/>
        <v>6.0656251851313415E-3</v>
      </c>
      <c r="AF456">
        <f t="shared" si="173"/>
        <v>3.9971330248186054E-2</v>
      </c>
      <c r="AG456" t="s">
        <v>1170</v>
      </c>
    </row>
    <row r="457" spans="1:33" customFormat="1" x14ac:dyDescent="0.3">
      <c r="A457">
        <v>552747</v>
      </c>
      <c r="B457" t="s">
        <v>200</v>
      </c>
      <c r="C457" t="s">
        <v>1001</v>
      </c>
      <c r="D457" t="s">
        <v>1008</v>
      </c>
      <c r="E457" s="21">
        <v>6.4</v>
      </c>
      <c r="F457" s="2">
        <f t="shared" si="151"/>
        <v>0.71111111111111114</v>
      </c>
      <c r="G457" s="10">
        <v>33.52608</v>
      </c>
      <c r="H457">
        <f t="shared" si="156"/>
        <v>0.30600389043688558</v>
      </c>
      <c r="I457" s="12">
        <v>0.10000000000000005</v>
      </c>
      <c r="J457" s="2">
        <f t="shared" si="163"/>
        <v>2.4236548715462933E-4</v>
      </c>
      <c r="K457" s="10">
        <v>0</v>
      </c>
      <c r="L457" s="2">
        <f t="shared" si="157"/>
        <v>0</v>
      </c>
      <c r="M457">
        <v>12348</v>
      </c>
      <c r="N457">
        <f t="shared" si="164"/>
        <v>5.7292775593438462E-2</v>
      </c>
      <c r="O457" s="10">
        <v>0.87054679000000001</v>
      </c>
      <c r="P457">
        <f t="shared" si="165"/>
        <v>0.86325762541068329</v>
      </c>
      <c r="Q457" s="23">
        <v>0.27939999999999998</v>
      </c>
      <c r="R457" s="13">
        <f t="shared" si="166"/>
        <v>0.60502381983542652</v>
      </c>
      <c r="S457">
        <f t="shared" si="167"/>
        <v>5.5957153186587005E-2</v>
      </c>
      <c r="T457" s="4">
        <f t="shared" si="158"/>
        <v>-1.1305448365853024E-3</v>
      </c>
      <c r="U457" t="str">
        <f t="shared" si="168"/>
        <v>No Impact</v>
      </c>
      <c r="V457">
        <f t="shared" si="169"/>
        <v>4.6115696248399042E-2</v>
      </c>
      <c r="W457">
        <f t="shared" si="159"/>
        <v>8.3713522642928168E-2</v>
      </c>
      <c r="X457" t="s">
        <v>1170</v>
      </c>
      <c r="Y457">
        <f t="shared" si="160"/>
        <v>6.5798610124774962E-2</v>
      </c>
      <c r="Z457">
        <f t="shared" si="170"/>
        <v>0.14548732265916811</v>
      </c>
      <c r="AA457" t="s">
        <v>1170</v>
      </c>
      <c r="AB457">
        <f t="shared" si="161"/>
        <v>3.7408501973851885E-2</v>
      </c>
      <c r="AC457">
        <f t="shared" si="171"/>
        <v>0.10971374947268819</v>
      </c>
      <c r="AD457" t="str">
        <f t="shared" si="172"/>
        <v>No Impact</v>
      </c>
      <c r="AE457">
        <f t="shared" si="162"/>
        <v>4.3669292842278169E-3</v>
      </c>
      <c r="AF457">
        <f t="shared" si="173"/>
        <v>2.877724344363114E-2</v>
      </c>
      <c r="AG457" t="s">
        <v>1170</v>
      </c>
    </row>
    <row r="458" spans="1:33" customFormat="1" x14ac:dyDescent="0.3">
      <c r="A458">
        <v>552756</v>
      </c>
      <c r="B458" t="s">
        <v>237</v>
      </c>
      <c r="C458" t="s">
        <v>1001</v>
      </c>
      <c r="D458" t="s">
        <v>1009</v>
      </c>
      <c r="E458" s="21">
        <v>5</v>
      </c>
      <c r="F458" s="2">
        <f t="shared" si="151"/>
        <v>0.39999999999999997</v>
      </c>
      <c r="G458" s="10">
        <v>25.38036</v>
      </c>
      <c r="H458">
        <f t="shared" si="156"/>
        <v>0.23165514431417908</v>
      </c>
      <c r="I458" s="12">
        <v>0.2</v>
      </c>
      <c r="J458" s="2">
        <f t="shared" si="163"/>
        <v>4.8473097430925844E-4</v>
      </c>
      <c r="K458" s="10">
        <v>0</v>
      </c>
      <c r="L458" s="2">
        <f t="shared" si="157"/>
        <v>0</v>
      </c>
      <c r="M458">
        <v>26833</v>
      </c>
      <c r="N458">
        <f t="shared" si="164"/>
        <v>0.12582740722866484</v>
      </c>
      <c r="O458" s="10">
        <v>0.76015292700000003</v>
      </c>
      <c r="P458">
        <f t="shared" si="165"/>
        <v>0.74168210001784218</v>
      </c>
      <c r="Q458" s="23">
        <v>0.27579999999999999</v>
      </c>
      <c r="R458" s="13">
        <f t="shared" si="166"/>
        <v>0.59722823733217845</v>
      </c>
      <c r="S458">
        <f t="shared" si="167"/>
        <v>2.1757013511443112E-2</v>
      </c>
      <c r="T458" s="4">
        <f t="shared" si="158"/>
        <v>-1.1307066518407053E-3</v>
      </c>
      <c r="U458" t="str">
        <f t="shared" si="168"/>
        <v>No Impact</v>
      </c>
      <c r="V458">
        <f t="shared" si="169"/>
        <v>1.9409668394627787E-2</v>
      </c>
      <c r="W458">
        <f t="shared" si="159"/>
        <v>3.5234244451026998E-2</v>
      </c>
      <c r="X458" t="s">
        <v>1170</v>
      </c>
      <c r="Y458">
        <f t="shared" si="160"/>
        <v>2.4104358628258438E-2</v>
      </c>
      <c r="Z458">
        <f t="shared" si="170"/>
        <v>5.3297153155539116E-2</v>
      </c>
      <c r="AA458" t="s">
        <v>1170</v>
      </c>
      <c r="AB458">
        <f t="shared" si="161"/>
        <v>1.5455959899072122E-2</v>
      </c>
      <c r="AC458">
        <f t="shared" si="171"/>
        <v>4.5330104728919934E-2</v>
      </c>
      <c r="AD458" t="str">
        <f t="shared" si="172"/>
        <v>No Impact</v>
      </c>
      <c r="AE458">
        <f t="shared" si="162"/>
        <v>4.0893382070710518E-3</v>
      </c>
      <c r="AF458">
        <f t="shared" si="173"/>
        <v>2.694797040411304E-2</v>
      </c>
      <c r="AG458" t="s">
        <v>1170</v>
      </c>
    </row>
    <row r="459" spans="1:33" customFormat="1" x14ac:dyDescent="0.3">
      <c r="A459">
        <v>552760</v>
      </c>
      <c r="B459" t="s">
        <v>275</v>
      </c>
      <c r="C459" t="s">
        <v>1001</v>
      </c>
      <c r="D459" t="s">
        <v>1010</v>
      </c>
      <c r="E459" s="21">
        <v>6.3</v>
      </c>
      <c r="F459" s="2">
        <f t="shared" si="151"/>
        <v>0.68888888888888877</v>
      </c>
      <c r="G459" s="10">
        <v>24.589080000000003</v>
      </c>
      <c r="H459">
        <f t="shared" si="156"/>
        <v>0.22443286367698861</v>
      </c>
      <c r="I459" s="12">
        <v>0</v>
      </c>
      <c r="J459" s="2">
        <f t="shared" si="163"/>
        <v>0</v>
      </c>
      <c r="K459" s="10">
        <v>0</v>
      </c>
      <c r="L459" s="2">
        <f t="shared" si="157"/>
        <v>0</v>
      </c>
      <c r="M459">
        <v>15773</v>
      </c>
      <c r="N459">
        <f t="shared" si="164"/>
        <v>7.3497892151992164E-2</v>
      </c>
      <c r="O459" s="10">
        <v>0.53395391199999998</v>
      </c>
      <c r="P459">
        <f t="shared" si="165"/>
        <v>0.49257165723926</v>
      </c>
      <c r="Q459" s="23">
        <v>0.26900000000000002</v>
      </c>
      <c r="R459" s="13">
        <f t="shared" si="166"/>
        <v>0.58250324815937637</v>
      </c>
      <c r="S459">
        <f t="shared" si="167"/>
        <v>2.9087902395464844E-2</v>
      </c>
      <c r="T459" s="4">
        <f t="shared" si="158"/>
        <v>-1.130671966319875E-3</v>
      </c>
      <c r="U459" t="str">
        <f t="shared" si="168"/>
        <v>No Impact</v>
      </c>
      <c r="V459">
        <f t="shared" si="169"/>
        <v>3.152114804729525E-2</v>
      </c>
      <c r="W459">
        <f t="shared" si="159"/>
        <v>5.7220134476012575E-2</v>
      </c>
      <c r="X459" t="s">
        <v>1170</v>
      </c>
      <c r="Y459">
        <f t="shared" si="160"/>
        <v>2.6654656743634438E-2</v>
      </c>
      <c r="Z459">
        <f t="shared" si="170"/>
        <v>5.8936117931317436E-2</v>
      </c>
      <c r="AA459" t="s">
        <v>1170</v>
      </c>
      <c r="AB459">
        <f t="shared" si="161"/>
        <v>2.0420822457456394E-2</v>
      </c>
      <c r="AC459">
        <f t="shared" si="171"/>
        <v>5.9891331673469869E-2</v>
      </c>
      <c r="AD459" t="str">
        <f t="shared" si="172"/>
        <v>No Impact</v>
      </c>
      <c r="AE459">
        <f t="shared" si="162"/>
        <v>3.9772103366077912E-3</v>
      </c>
      <c r="AF459">
        <f t="shared" si="173"/>
        <v>2.6209068806418E-2</v>
      </c>
      <c r="AG459" t="s">
        <v>1170</v>
      </c>
    </row>
    <row r="460" spans="1:33" customFormat="1" x14ac:dyDescent="0.3">
      <c r="A460">
        <v>552764</v>
      </c>
      <c r="B460" t="s">
        <v>153</v>
      </c>
      <c r="C460" t="s">
        <v>1001</v>
      </c>
      <c r="D460" t="s">
        <v>1011</v>
      </c>
      <c r="E460" s="21">
        <v>6.4</v>
      </c>
      <c r="F460" s="2">
        <f t="shared" si="151"/>
        <v>0.71111111111111114</v>
      </c>
      <c r="G460" s="10">
        <v>24.378119999999999</v>
      </c>
      <c r="H460">
        <f t="shared" si="156"/>
        <v>0.22250736028599968</v>
      </c>
      <c r="I460" s="12">
        <v>0.8</v>
      </c>
      <c r="J460" s="2">
        <f t="shared" si="163"/>
        <v>1.9389238972370338E-3</v>
      </c>
      <c r="K460" s="10">
        <v>0</v>
      </c>
      <c r="L460" s="2">
        <f t="shared" si="157"/>
        <v>0</v>
      </c>
      <c r="M460">
        <v>51759</v>
      </c>
      <c r="N460">
        <f t="shared" si="164"/>
        <v>0.24376280440779172</v>
      </c>
      <c r="O460" s="10">
        <v>0.80061995100000005</v>
      </c>
      <c r="P460">
        <f t="shared" si="165"/>
        <v>0.78624798049513567</v>
      </c>
      <c r="Q460" s="23">
        <v>0.29970000000000002</v>
      </c>
      <c r="R460" s="13">
        <f t="shared" si="166"/>
        <v>0.64898224339540933</v>
      </c>
      <c r="S460">
        <f t="shared" si="167"/>
        <v>4.0087549064852519E-2</v>
      </c>
      <c r="T460" s="4">
        <f t="shared" si="158"/>
        <v>-1.1306199223618078E-3</v>
      </c>
      <c r="U460" t="str">
        <f t="shared" si="168"/>
        <v>No Impact</v>
      </c>
      <c r="V460">
        <f t="shared" si="169"/>
        <v>3.6253566976604583E-2</v>
      </c>
      <c r="W460">
        <f t="shared" si="159"/>
        <v>6.5810863694555216E-2</v>
      </c>
      <c r="X460" t="s">
        <v>1170</v>
      </c>
      <c r="Y460">
        <f t="shared" si="160"/>
        <v>4.3921531153100456E-2</v>
      </c>
      <c r="Z460">
        <f t="shared" si="170"/>
        <v>9.7114908087546539E-2</v>
      </c>
      <c r="AA460" t="s">
        <v>1170</v>
      </c>
      <c r="AB460">
        <f t="shared" si="161"/>
        <v>3.0631200904007134E-2</v>
      </c>
      <c r="AC460">
        <f t="shared" si="171"/>
        <v>8.9836901364798952E-2</v>
      </c>
      <c r="AD460" t="str">
        <f t="shared" si="172"/>
        <v>No Impact</v>
      </c>
      <c r="AE460">
        <f t="shared" si="162"/>
        <v>1.3617123189329698E-2</v>
      </c>
      <c r="AF460">
        <f t="shared" si="173"/>
        <v>8.973428318076071E-2</v>
      </c>
      <c r="AG460" t="s">
        <v>1170</v>
      </c>
    </row>
    <row r="461" spans="1:33" customFormat="1" x14ac:dyDescent="0.3">
      <c r="A461">
        <v>552769</v>
      </c>
      <c r="B461" t="s">
        <v>381</v>
      </c>
      <c r="C461" t="s">
        <v>1001</v>
      </c>
      <c r="D461" t="s">
        <v>728</v>
      </c>
      <c r="E461" s="21">
        <v>6.3</v>
      </c>
      <c r="F461" s="2">
        <f t="shared" si="151"/>
        <v>0.68888888888888877</v>
      </c>
      <c r="G461" s="10">
        <v>32.348880000000001</v>
      </c>
      <c r="H461">
        <f t="shared" si="156"/>
        <v>0.2952591872141318</v>
      </c>
      <c r="I461" s="12">
        <v>0.29999999999999993</v>
      </c>
      <c r="J461" s="2">
        <f t="shared" si="163"/>
        <v>7.2709646146388749E-4</v>
      </c>
      <c r="K461" s="10">
        <v>0</v>
      </c>
      <c r="L461" s="2">
        <f t="shared" si="157"/>
        <v>0</v>
      </c>
      <c r="M461">
        <v>37424</v>
      </c>
      <c r="N461">
        <f t="shared" si="164"/>
        <v>0.17593788590651657</v>
      </c>
      <c r="O461" s="10">
        <v>0.78850566799999999</v>
      </c>
      <c r="P461">
        <f t="shared" si="165"/>
        <v>0.77290665625428934</v>
      </c>
      <c r="Q461" s="23">
        <v>0.2606</v>
      </c>
      <c r="R461" s="13">
        <f t="shared" si="166"/>
        <v>0.56431355565179731</v>
      </c>
      <c r="S461">
        <f t="shared" si="167"/>
        <v>4.7715749162344778E-2</v>
      </c>
      <c r="T461" s="4">
        <f t="shared" si="158"/>
        <v>-1.1305838301364905E-3</v>
      </c>
      <c r="U461" t="str">
        <f t="shared" si="168"/>
        <v>No Impact</v>
      </c>
      <c r="V461">
        <f t="shared" si="169"/>
        <v>4.0272565177594123E-2</v>
      </c>
      <c r="W461">
        <f t="shared" si="159"/>
        <v>7.3106524917757626E-2</v>
      </c>
      <c r="X461" t="s">
        <v>1170</v>
      </c>
      <c r="Y461">
        <f t="shared" si="160"/>
        <v>5.5158933147095433E-2</v>
      </c>
      <c r="Z461">
        <f t="shared" si="170"/>
        <v>0.12196193033696549</v>
      </c>
      <c r="AA461" t="s">
        <v>1170</v>
      </c>
      <c r="AB461">
        <f t="shared" si="161"/>
        <v>3.503764610795064E-2</v>
      </c>
      <c r="AC461">
        <f t="shared" si="171"/>
        <v>0.10276037062075875</v>
      </c>
      <c r="AD461" t="str">
        <f t="shared" si="172"/>
        <v>No Impact</v>
      </c>
      <c r="AE461">
        <f t="shared" si="162"/>
        <v>1.2555909576183046E-2</v>
      </c>
      <c r="AF461">
        <f t="shared" si="173"/>
        <v>8.2741084870562601E-2</v>
      </c>
      <c r="AG461" t="s">
        <v>1170</v>
      </c>
    </row>
    <row r="462" spans="1:33" customFormat="1" x14ac:dyDescent="0.3">
      <c r="A462">
        <v>552777</v>
      </c>
      <c r="B462" t="s">
        <v>405</v>
      </c>
      <c r="C462" t="s">
        <v>1001</v>
      </c>
      <c r="D462" t="s">
        <v>1012</v>
      </c>
      <c r="E462" s="21">
        <v>6.4</v>
      </c>
      <c r="F462" s="2">
        <f t="shared" si="151"/>
        <v>0.71111111111111114</v>
      </c>
      <c r="G462" s="10">
        <v>25.54344</v>
      </c>
      <c r="H462">
        <f t="shared" si="156"/>
        <v>0.23314363072393671</v>
      </c>
      <c r="I462" s="12">
        <v>0.5</v>
      </c>
      <c r="J462" s="2">
        <f t="shared" si="163"/>
        <v>1.211827435773146E-3</v>
      </c>
      <c r="K462" s="10">
        <v>0</v>
      </c>
      <c r="L462" s="2">
        <f t="shared" si="157"/>
        <v>0</v>
      </c>
      <c r="M462">
        <v>48158</v>
      </c>
      <c r="N462">
        <f t="shared" si="164"/>
        <v>0.22672495777206852</v>
      </c>
      <c r="O462" s="10">
        <v>0.82996451500000001</v>
      </c>
      <c r="P462">
        <f t="shared" si="165"/>
        <v>0.81856482029739752</v>
      </c>
      <c r="Q462" s="23">
        <v>0.28949999999999998</v>
      </c>
      <c r="R462" s="13">
        <f t="shared" si="166"/>
        <v>0.62689475963620611</v>
      </c>
      <c r="S462">
        <f t="shared" si="167"/>
        <v>4.2155722573275919E-2</v>
      </c>
      <c r="T462" s="4">
        <f t="shared" si="158"/>
        <v>-1.1306101369624596E-3</v>
      </c>
      <c r="U462" t="str">
        <f t="shared" si="168"/>
        <v>No Impact</v>
      </c>
      <c r="V462">
        <f t="shared" si="169"/>
        <v>3.6565811921324444E-2</v>
      </c>
      <c r="W462">
        <f t="shared" si="159"/>
        <v>6.6377679906309869E-2</v>
      </c>
      <c r="X462" t="s">
        <v>1170</v>
      </c>
      <c r="Y462">
        <f t="shared" si="160"/>
        <v>4.7745633225227381E-2</v>
      </c>
      <c r="Z462">
        <f t="shared" si="170"/>
        <v>0.10557038109820881</v>
      </c>
      <c r="AA462" t="s">
        <v>1170</v>
      </c>
      <c r="AB462">
        <f t="shared" si="161"/>
        <v>3.1750306071393168E-2</v>
      </c>
      <c r="AC462">
        <f t="shared" si="171"/>
        <v>9.3119075669827384E-2</v>
      </c>
      <c r="AD462" t="str">
        <f t="shared" si="172"/>
        <v>No Impact</v>
      </c>
      <c r="AE462">
        <f t="shared" si="162"/>
        <v>1.3224519803889705E-2</v>
      </c>
      <c r="AF462">
        <f t="shared" si="173"/>
        <v>8.7147100640295502E-2</v>
      </c>
      <c r="AG462" t="s">
        <v>1170</v>
      </c>
    </row>
    <row r="463" spans="1:33" customFormat="1" x14ac:dyDescent="0.3">
      <c r="A463">
        <v>553221</v>
      </c>
      <c r="B463" t="s">
        <v>171</v>
      </c>
      <c r="C463" t="s">
        <v>1014</v>
      </c>
      <c r="D463" t="s">
        <v>1013</v>
      </c>
      <c r="E463" s="21">
        <v>7</v>
      </c>
      <c r="F463" s="2">
        <f t="shared" si="151"/>
        <v>0.84444444444444444</v>
      </c>
      <c r="G463" s="10">
        <v>34.577640000000002</v>
      </c>
      <c r="H463">
        <f t="shared" si="156"/>
        <v>0.31560183481415283</v>
      </c>
      <c r="I463" s="12">
        <v>0</v>
      </c>
      <c r="J463" s="2">
        <f t="shared" si="163"/>
        <v>0</v>
      </c>
      <c r="K463" s="10">
        <v>0</v>
      </c>
      <c r="L463" s="2">
        <f t="shared" si="157"/>
        <v>0</v>
      </c>
      <c r="M463">
        <v>4647</v>
      </c>
      <c r="N463">
        <f t="shared" si="164"/>
        <v>2.0856103296380935E-2</v>
      </c>
      <c r="O463" s="10">
        <v>0.400477419</v>
      </c>
      <c r="P463">
        <f t="shared" si="165"/>
        <v>0.34557548985204878</v>
      </c>
      <c r="Q463" s="23">
        <v>0.22950000000000001</v>
      </c>
      <c r="R463" s="13">
        <f t="shared" si="166"/>
        <v>0.49696838458207021</v>
      </c>
      <c r="S463">
        <f t="shared" si="167"/>
        <v>3.9295351363129782E-2</v>
      </c>
      <c r="T463" s="4">
        <f t="shared" si="158"/>
        <v>-1.130623670582565E-3</v>
      </c>
      <c r="U463" t="str">
        <f t="shared" si="168"/>
        <v>No Impact</v>
      </c>
      <c r="V463">
        <f t="shared" si="169"/>
        <v>4.6356155165534832E-2</v>
      </c>
      <c r="W463">
        <f t="shared" si="159"/>
        <v>8.4150026146982707E-2</v>
      </c>
      <c r="X463" t="s">
        <v>1170</v>
      </c>
      <c r="Y463">
        <f t="shared" si="160"/>
        <v>3.2234547560724726E-2</v>
      </c>
      <c r="Z463">
        <f t="shared" si="170"/>
        <v>7.1273815857907499E-2</v>
      </c>
      <c r="AA463" t="s">
        <v>1170</v>
      </c>
      <c r="AB463">
        <f t="shared" si="161"/>
        <v>2.6575913129394602E-2</v>
      </c>
      <c r="AC463">
        <f t="shared" si="171"/>
        <v>7.7943326282469028E-2</v>
      </c>
      <c r="AD463" t="str">
        <f t="shared" si="172"/>
        <v>No Impact</v>
      </c>
      <c r="AE463">
        <f t="shared" si="162"/>
        <v>1.9454130092571246E-3</v>
      </c>
      <c r="AF463">
        <f t="shared" si="173"/>
        <v>1.2819906190832359E-2</v>
      </c>
      <c r="AG463" t="s">
        <v>1170</v>
      </c>
    </row>
    <row r="464" spans="1:33" customFormat="1" x14ac:dyDescent="0.3">
      <c r="A464">
        <v>553224</v>
      </c>
      <c r="B464" t="s">
        <v>175</v>
      </c>
      <c r="C464" t="s">
        <v>1014</v>
      </c>
      <c r="D464" t="s">
        <v>1015</v>
      </c>
      <c r="E464" s="21">
        <v>7.1</v>
      </c>
      <c r="F464" s="2">
        <f t="shared" si="151"/>
        <v>0.86666666666666659</v>
      </c>
      <c r="G464" s="10">
        <v>34.577640000000002</v>
      </c>
      <c r="H464">
        <f t="shared" si="156"/>
        <v>0.31560183481415283</v>
      </c>
      <c r="I464" s="12">
        <v>0</v>
      </c>
      <c r="J464" s="2">
        <f t="shared" si="163"/>
        <v>0</v>
      </c>
      <c r="K464" s="10">
        <v>0</v>
      </c>
      <c r="L464" s="2">
        <f t="shared" si="157"/>
        <v>0</v>
      </c>
      <c r="M464">
        <v>17828</v>
      </c>
      <c r="N464">
        <f t="shared" si="164"/>
        <v>8.3220962087124387E-2</v>
      </c>
      <c r="O464" s="10">
        <v>0.68362840199999997</v>
      </c>
      <c r="P464">
        <f t="shared" si="165"/>
        <v>0.65740649737575862</v>
      </c>
      <c r="Q464" s="23">
        <v>0.30170000000000002</v>
      </c>
      <c r="R464" s="13">
        <f t="shared" si="166"/>
        <v>0.65331312256388052</v>
      </c>
      <c r="S464">
        <f t="shared" si="167"/>
        <v>6.273927007527863E-2</v>
      </c>
      <c r="T464" s="4">
        <f t="shared" si="158"/>
        <v>-1.1305127475357564E-3</v>
      </c>
      <c r="U464" t="str">
        <f t="shared" si="168"/>
        <v>No Impact</v>
      </c>
      <c r="V464">
        <f t="shared" si="169"/>
        <v>6.2543335457428337E-2</v>
      </c>
      <c r="W464">
        <f t="shared" si="159"/>
        <v>0.11353450896150014</v>
      </c>
      <c r="X464" t="s">
        <v>1170</v>
      </c>
      <c r="Y464">
        <f t="shared" si="160"/>
        <v>6.2935204693128924E-2</v>
      </c>
      <c r="Z464">
        <f t="shared" si="170"/>
        <v>0.13915604622114128</v>
      </c>
      <c r="AA464" t="s">
        <v>1170</v>
      </c>
      <c r="AB464">
        <f t="shared" si="161"/>
        <v>4.355916322904127E-2</v>
      </c>
      <c r="AC464">
        <f t="shared" si="171"/>
        <v>0.12775275324019816</v>
      </c>
      <c r="AD464" t="str">
        <f t="shared" si="172"/>
        <v>No Impact</v>
      </c>
      <c r="AE464">
        <f t="shared" si="162"/>
        <v>7.9669554600076357E-3</v>
      </c>
      <c r="AF464">
        <f t="shared" si="173"/>
        <v>5.2500739502528086E-2</v>
      </c>
      <c r="AG464" t="s">
        <v>1170</v>
      </c>
    </row>
    <row r="465" spans="1:33" customFormat="1" x14ac:dyDescent="0.3">
      <c r="A465">
        <v>553230</v>
      </c>
      <c r="B465" t="s">
        <v>187</v>
      </c>
      <c r="C465" t="s">
        <v>1014</v>
      </c>
      <c r="D465" t="s">
        <v>1016</v>
      </c>
      <c r="E465" s="21">
        <v>6.7</v>
      </c>
      <c r="F465" s="2">
        <f t="shared" si="151"/>
        <v>0.77777777777777779</v>
      </c>
      <c r="G465" s="10">
        <v>34.577640000000002</v>
      </c>
      <c r="H465">
        <f t="shared" si="156"/>
        <v>0.31560183481415283</v>
      </c>
      <c r="I465" s="12">
        <v>0.20000000000000009</v>
      </c>
      <c r="J465" s="2">
        <f t="shared" si="163"/>
        <v>4.8473097430925865E-4</v>
      </c>
      <c r="K465" s="10">
        <v>0</v>
      </c>
      <c r="L465" s="2">
        <f t="shared" si="157"/>
        <v>0</v>
      </c>
      <c r="M465">
        <v>31462</v>
      </c>
      <c r="N465">
        <f t="shared" si="164"/>
        <v>0.14772915454240063</v>
      </c>
      <c r="O465" s="10">
        <v>0.730715279</v>
      </c>
      <c r="P465">
        <f t="shared" si="165"/>
        <v>0.70926274784851451</v>
      </c>
      <c r="Q465" s="23">
        <v>0.29349999999999998</v>
      </c>
      <c r="R465" s="13">
        <f t="shared" si="166"/>
        <v>0.63555651797314849</v>
      </c>
      <c r="S465">
        <f t="shared" si="167"/>
        <v>5.7858016287907744E-2</v>
      </c>
      <c r="T465" s="4">
        <f t="shared" si="158"/>
        <v>-1.1305358428019101E-3</v>
      </c>
      <c r="U465" t="str">
        <f t="shared" si="168"/>
        <v>No Impact</v>
      </c>
      <c r="V465">
        <f t="shared" si="169"/>
        <v>5.4686960996664827E-2</v>
      </c>
      <c r="W465">
        <f t="shared" si="159"/>
        <v>9.9272883640484172E-2</v>
      </c>
      <c r="X465" t="s">
        <v>1170</v>
      </c>
      <c r="Y465">
        <f t="shared" si="160"/>
        <v>6.1029071579150655E-2</v>
      </c>
      <c r="Z465">
        <f t="shared" si="170"/>
        <v>0.13494139483475487</v>
      </c>
      <c r="AA465" t="s">
        <v>1170</v>
      </c>
      <c r="AB465">
        <f t="shared" si="161"/>
        <v>4.1898172818762923E-2</v>
      </c>
      <c r="AC465">
        <f t="shared" si="171"/>
        <v>0.12288130754913051</v>
      </c>
      <c r="AD465" t="str">
        <f t="shared" si="172"/>
        <v>No Impact</v>
      </c>
      <c r="AE465">
        <f t="shared" si="162"/>
        <v>1.2711471417671552E-2</v>
      </c>
      <c r="AF465">
        <f t="shared" si="173"/>
        <v>8.3766208176136323E-2</v>
      </c>
      <c r="AG465" t="s">
        <v>1170</v>
      </c>
    </row>
    <row r="466" spans="1:33" customFormat="1" x14ac:dyDescent="0.3">
      <c r="A466">
        <v>553267</v>
      </c>
      <c r="B466" t="s">
        <v>397</v>
      </c>
      <c r="C466" t="s">
        <v>1014</v>
      </c>
      <c r="D466" t="s">
        <v>1017</v>
      </c>
      <c r="E466" s="21">
        <v>7</v>
      </c>
      <c r="F466" s="2">
        <f t="shared" si="151"/>
        <v>0.84444444444444444</v>
      </c>
      <c r="G466" s="10">
        <v>34.577640000000002</v>
      </c>
      <c r="H466">
        <f t="shared" si="156"/>
        <v>0.31560183481415283</v>
      </c>
      <c r="I466" s="12">
        <v>0</v>
      </c>
      <c r="J466" s="2">
        <f t="shared" si="163"/>
        <v>0</v>
      </c>
      <c r="K466" s="10">
        <v>0</v>
      </c>
      <c r="L466" s="2">
        <f t="shared" si="157"/>
        <v>0</v>
      </c>
      <c r="M466">
        <v>6784</v>
      </c>
      <c r="N466">
        <f t="shared" si="164"/>
        <v>3.0967149744739842E-2</v>
      </c>
      <c r="O466" s="10">
        <v>0.77436753400000002</v>
      </c>
      <c r="P466">
        <f t="shared" si="165"/>
        <v>0.75733648756543404</v>
      </c>
      <c r="Q466" s="23">
        <v>0.31090000000000001</v>
      </c>
      <c r="R466" s="13">
        <f t="shared" si="166"/>
        <v>0.67323516673884798</v>
      </c>
      <c r="S466">
        <f t="shared" si="167"/>
        <v>6.6720342419884504E-2</v>
      </c>
      <c r="T466" s="4">
        <f t="shared" si="158"/>
        <v>-1.1304939114068885E-3</v>
      </c>
      <c r="U466" t="str">
        <f t="shared" si="168"/>
        <v>No Impact</v>
      </c>
      <c r="V466">
        <f t="shared" si="169"/>
        <v>6.2797946147994665E-2</v>
      </c>
      <c r="W466">
        <f t="shared" si="159"/>
        <v>0.11399670208756826</v>
      </c>
      <c r="X466" t="s">
        <v>1170</v>
      </c>
      <c r="Y466">
        <f t="shared" si="160"/>
        <v>7.0642738691774343E-2</v>
      </c>
      <c r="Z466">
        <f t="shared" si="170"/>
        <v>0.15619817649776874</v>
      </c>
      <c r="AA466" t="s">
        <v>1170</v>
      </c>
      <c r="AB466">
        <f t="shared" si="161"/>
        <v>4.418309523912984E-2</v>
      </c>
      <c r="AC466">
        <f t="shared" si="171"/>
        <v>0.12958265597970631</v>
      </c>
      <c r="AD466" t="str">
        <f t="shared" si="172"/>
        <v>No Impact</v>
      </c>
      <c r="AE466">
        <f t="shared" si="162"/>
        <v>2.8885499422840019E-3</v>
      </c>
      <c r="AF466">
        <f t="shared" si="173"/>
        <v>1.9035001365471368E-2</v>
      </c>
      <c r="AG466" t="s">
        <v>1170</v>
      </c>
    </row>
    <row r="467" spans="1:33" customFormat="1" x14ac:dyDescent="0.3">
      <c r="A467">
        <v>553282</v>
      </c>
      <c r="B467" t="s">
        <v>454</v>
      </c>
      <c r="C467" t="s">
        <v>1014</v>
      </c>
      <c r="D467" t="s">
        <v>1018</v>
      </c>
      <c r="E467" s="21">
        <v>5.9</v>
      </c>
      <c r="F467" s="2">
        <f t="shared" si="151"/>
        <v>0.60000000000000009</v>
      </c>
      <c r="G467" s="10">
        <v>32.87124</v>
      </c>
      <c r="H467">
        <f t="shared" si="156"/>
        <v>0.300026943904106</v>
      </c>
      <c r="I467" s="12">
        <v>9.9999999999999825E-2</v>
      </c>
      <c r="J467" s="2">
        <f t="shared" si="163"/>
        <v>2.4236548715462879E-4</v>
      </c>
      <c r="K467" s="10">
        <v>0</v>
      </c>
      <c r="L467" s="2">
        <f t="shared" si="157"/>
        <v>0</v>
      </c>
      <c r="M467">
        <v>9977</v>
      </c>
      <c r="N467">
        <f t="shared" si="164"/>
        <v>4.6074576656115598E-2</v>
      </c>
      <c r="O467" s="10">
        <v>0.76130952100000004</v>
      </c>
      <c r="P467">
        <f t="shared" si="165"/>
        <v>0.74295584404124149</v>
      </c>
      <c r="Q467" s="23">
        <v>0.32150000000000001</v>
      </c>
      <c r="R467" s="13">
        <f t="shared" si="166"/>
        <v>0.69618882633174539</v>
      </c>
      <c r="S467">
        <f t="shared" si="167"/>
        <v>4.5373752510136076E-2</v>
      </c>
      <c r="T467" s="4">
        <f t="shared" si="158"/>
        <v>-1.1305949111083821E-3</v>
      </c>
      <c r="U467" t="str">
        <f t="shared" si="168"/>
        <v>No Impact</v>
      </c>
      <c r="V467">
        <f t="shared" si="169"/>
        <v>4.3899268998594553E-2</v>
      </c>
      <c r="W467">
        <f t="shared" si="159"/>
        <v>7.9690056711426538E-2</v>
      </c>
      <c r="X467" t="s">
        <v>1170</v>
      </c>
      <c r="Y467">
        <f t="shared" si="160"/>
        <v>4.6848236021677599E-2</v>
      </c>
      <c r="Z467">
        <f t="shared" si="170"/>
        <v>0.10358614592578344</v>
      </c>
      <c r="AA467" t="s">
        <v>1170</v>
      </c>
      <c r="AB467">
        <f t="shared" si="161"/>
        <v>3.0436071382518824E-2</v>
      </c>
      <c r="AC467">
        <f t="shared" si="171"/>
        <v>8.9264614576884851E-2</v>
      </c>
      <c r="AD467" t="str">
        <f t="shared" si="172"/>
        <v>No Impact</v>
      </c>
      <c r="AE467">
        <f t="shared" si="162"/>
        <v>2.9053040757355715E-3</v>
      </c>
      <c r="AF467">
        <f t="shared" si="173"/>
        <v>1.914540795684079E-2</v>
      </c>
      <c r="AG467" t="s">
        <v>1170</v>
      </c>
    </row>
    <row r="468" spans="1:33" customFormat="1" x14ac:dyDescent="0.3">
      <c r="A468">
        <v>553288</v>
      </c>
      <c r="B468" t="s">
        <v>455</v>
      </c>
      <c r="C468" t="s">
        <v>1014</v>
      </c>
      <c r="D468" t="s">
        <v>1019</v>
      </c>
      <c r="E468" s="21">
        <v>7</v>
      </c>
      <c r="F468" s="2">
        <f t="shared" si="151"/>
        <v>0.84444444444444444</v>
      </c>
      <c r="G468" s="10">
        <v>34.577640000000002</v>
      </c>
      <c r="H468">
        <f t="shared" si="156"/>
        <v>0.31560183481415283</v>
      </c>
      <c r="I468" s="12">
        <v>0.20000000000000009</v>
      </c>
      <c r="J468" s="2">
        <f t="shared" si="163"/>
        <v>4.8473097430925865E-4</v>
      </c>
      <c r="K468" s="10">
        <v>0</v>
      </c>
      <c r="L468" s="2">
        <f t="shared" si="157"/>
        <v>0</v>
      </c>
      <c r="M468">
        <v>16704</v>
      </c>
      <c r="N468">
        <f t="shared" si="164"/>
        <v>7.7902845003382973E-2</v>
      </c>
      <c r="O468" s="10">
        <v>0.59559640899999999</v>
      </c>
      <c r="P468">
        <f t="shared" si="165"/>
        <v>0.56045784905865159</v>
      </c>
      <c r="Q468" s="23">
        <v>0.27210000000000001</v>
      </c>
      <c r="R468" s="13">
        <f t="shared" si="166"/>
        <v>0.58921611087050674</v>
      </c>
      <c r="S468">
        <f t="shared" si="167"/>
        <v>5.3701926301630148E-2</v>
      </c>
      <c r="T468" s="4">
        <f t="shared" si="158"/>
        <v>-1.1305555070129042E-3</v>
      </c>
      <c r="U468" t="str">
        <f t="shared" si="168"/>
        <v>No Impact</v>
      </c>
      <c r="V468">
        <f t="shared" si="169"/>
        <v>5.5045241111055243E-2</v>
      </c>
      <c r="W468">
        <f t="shared" si="159"/>
        <v>9.9923267195510174E-2</v>
      </c>
      <c r="X468" t="s">
        <v>1170</v>
      </c>
      <c r="Y468">
        <f t="shared" si="160"/>
        <v>5.2358611492205061E-2</v>
      </c>
      <c r="Z468">
        <f t="shared" si="170"/>
        <v>0.11577013845288298</v>
      </c>
      <c r="AA468" t="s">
        <v>1170</v>
      </c>
      <c r="AB468">
        <f t="shared" si="161"/>
        <v>3.7520638257981243E-2</v>
      </c>
      <c r="AC468">
        <f t="shared" si="171"/>
        <v>0.11004262904643766</v>
      </c>
      <c r="AD468" t="str">
        <f t="shared" si="172"/>
        <v>No Impact</v>
      </c>
      <c r="AE468">
        <f t="shared" si="162"/>
        <v>7.277772632715407E-3</v>
      </c>
      <c r="AF468">
        <f t="shared" si="173"/>
        <v>4.795915416708673E-2</v>
      </c>
      <c r="AG468" t="s">
        <v>1170</v>
      </c>
    </row>
    <row r="469" spans="1:33" customFormat="1" x14ac:dyDescent="0.3">
      <c r="A469">
        <v>553291</v>
      </c>
      <c r="B469" t="s">
        <v>509</v>
      </c>
      <c r="C469" t="s">
        <v>1014</v>
      </c>
      <c r="D469" t="s">
        <v>1020</v>
      </c>
      <c r="E469" s="21">
        <v>7.1</v>
      </c>
      <c r="F469" s="2">
        <f t="shared" si="151"/>
        <v>0.86666666666666659</v>
      </c>
      <c r="G469" s="10">
        <v>32.023800000000001</v>
      </c>
      <c r="H469">
        <f t="shared" si="156"/>
        <v>0.29229207192050893</v>
      </c>
      <c r="I469" s="12">
        <v>9.9999999999999825E-2</v>
      </c>
      <c r="J469" s="2">
        <f t="shared" si="163"/>
        <v>2.4236548715462879E-4</v>
      </c>
      <c r="K469" s="10">
        <v>0</v>
      </c>
      <c r="L469" s="2">
        <f t="shared" si="157"/>
        <v>0</v>
      </c>
      <c r="M469">
        <v>13827</v>
      </c>
      <c r="N469">
        <f t="shared" si="164"/>
        <v>6.4290547094197861E-2</v>
      </c>
      <c r="O469" s="10">
        <v>0.62726754200000001</v>
      </c>
      <c r="P469">
        <f t="shared" si="165"/>
        <v>0.59533691325320326</v>
      </c>
      <c r="Q469" s="23">
        <v>0.28420000000000001</v>
      </c>
      <c r="R469" s="13">
        <f t="shared" si="166"/>
        <v>0.61541792983975752</v>
      </c>
      <c r="S469">
        <f t="shared" si="167"/>
        <v>5.3718435507525156E-2</v>
      </c>
      <c r="T469" s="4">
        <f t="shared" si="158"/>
        <v>-1.1305554289009025E-3</v>
      </c>
      <c r="U469" t="str">
        <f t="shared" si="168"/>
        <v>No Impact</v>
      </c>
      <c r="V469">
        <f t="shared" si="169"/>
        <v>5.4609384489132932E-2</v>
      </c>
      <c r="W469">
        <f t="shared" si="159"/>
        <v>9.9132059512299059E-2</v>
      </c>
      <c r="X469" t="s">
        <v>1170</v>
      </c>
      <c r="Y469">
        <f t="shared" si="160"/>
        <v>5.2827486525917372E-2</v>
      </c>
      <c r="Z469">
        <f t="shared" si="170"/>
        <v>0.11680686815260115</v>
      </c>
      <c r="AA469" t="s">
        <v>1170</v>
      </c>
      <c r="AB469">
        <f t="shared" si="161"/>
        <v>3.6958228158774739E-2</v>
      </c>
      <c r="AC469">
        <f t="shared" si="171"/>
        <v>0.10839316121240404</v>
      </c>
      <c r="AD469" t="str">
        <f t="shared" si="172"/>
        <v>No Impact</v>
      </c>
      <c r="AE469">
        <f t="shared" si="162"/>
        <v>5.7048503708657279E-3</v>
      </c>
      <c r="AF469">
        <f t="shared" si="173"/>
        <v>3.759389201121946E-2</v>
      </c>
      <c r="AG469" t="s">
        <v>1170</v>
      </c>
    </row>
    <row r="470" spans="1:33" customFormat="1" x14ac:dyDescent="0.3">
      <c r="A470">
        <v>554906</v>
      </c>
      <c r="B470" t="s">
        <v>74</v>
      </c>
      <c r="C470" t="s">
        <v>1022</v>
      </c>
      <c r="D470" t="s">
        <v>1021</v>
      </c>
      <c r="E470" s="21">
        <v>7.5</v>
      </c>
      <c r="F470" s="2">
        <f t="shared" si="151"/>
        <v>0.95555555555555549</v>
      </c>
      <c r="G470" s="10">
        <v>0</v>
      </c>
      <c r="H470">
        <f t="shared" si="156"/>
        <v>0</v>
      </c>
      <c r="I470" s="12">
        <v>0</v>
      </c>
      <c r="J470" s="2">
        <f t="shared" si="163"/>
        <v>0</v>
      </c>
      <c r="K470" s="10">
        <v>0</v>
      </c>
      <c r="L470" s="2">
        <f t="shared" si="157"/>
        <v>0</v>
      </c>
      <c r="M470">
        <v>22341</v>
      </c>
      <c r="N470">
        <f t="shared" si="164"/>
        <v>0.10457386457727121</v>
      </c>
      <c r="O470" s="10">
        <v>0.67523175300000005</v>
      </c>
      <c r="P470">
        <f t="shared" si="165"/>
        <v>0.6481593618378505</v>
      </c>
      <c r="Q470" s="23">
        <v>0.29389999999999999</v>
      </c>
      <c r="R470" s="13">
        <f t="shared" si="166"/>
        <v>0.6364226938068428</v>
      </c>
      <c r="S470">
        <f t="shared" si="167"/>
        <v>0</v>
      </c>
      <c r="T470" s="4">
        <f t="shared" si="158"/>
        <v>-1.1308095934290028E-3</v>
      </c>
      <c r="U470" t="str">
        <f t="shared" si="168"/>
        <v>No Impact</v>
      </c>
      <c r="V470">
        <f t="shared" si="169"/>
        <v>0</v>
      </c>
      <c r="W470">
        <f t="shared" si="159"/>
        <v>0</v>
      </c>
      <c r="X470" t="s">
        <v>1170</v>
      </c>
      <c r="Y470">
        <f t="shared" si="160"/>
        <v>0</v>
      </c>
      <c r="Z470">
        <f t="shared" si="170"/>
        <v>0</v>
      </c>
      <c r="AA470" t="s">
        <v>1170</v>
      </c>
      <c r="AB470">
        <f t="shared" si="161"/>
        <v>0</v>
      </c>
      <c r="AC470">
        <f t="shared" si="171"/>
        <v>0</v>
      </c>
      <c r="AD470" t="str">
        <f t="shared" si="172"/>
        <v>No Impact</v>
      </c>
      <c r="AE470">
        <f t="shared" si="162"/>
        <v>0</v>
      </c>
      <c r="AF470">
        <f t="shared" si="173"/>
        <v>0</v>
      </c>
      <c r="AG470" t="s">
        <v>1170</v>
      </c>
    </row>
    <row r="471" spans="1:33" customFormat="1" x14ac:dyDescent="0.3">
      <c r="A471">
        <v>554908</v>
      </c>
      <c r="B471" t="s">
        <v>101</v>
      </c>
      <c r="C471" t="s">
        <v>1022</v>
      </c>
      <c r="D471" t="s">
        <v>1023</v>
      </c>
      <c r="E471" s="21">
        <v>7.4</v>
      </c>
      <c r="F471" s="2">
        <f t="shared" si="151"/>
        <v>0.93333333333333335</v>
      </c>
      <c r="G471" s="10">
        <v>29.956680000000002</v>
      </c>
      <c r="H471">
        <f t="shared" si="156"/>
        <v>0.27342476736238897</v>
      </c>
      <c r="I471" s="12">
        <v>0.90000000000000024</v>
      </c>
      <c r="J471" s="2">
        <f t="shared" si="163"/>
        <v>2.1812893843916633E-3</v>
      </c>
      <c r="K471" s="10">
        <v>0</v>
      </c>
      <c r="L471" s="2">
        <f t="shared" si="157"/>
        <v>0</v>
      </c>
      <c r="M471">
        <v>15830</v>
      </c>
      <c r="N471">
        <f t="shared" si="164"/>
        <v>7.3767583142893639E-2</v>
      </c>
      <c r="O471" s="10">
        <v>0.33490561699999999</v>
      </c>
      <c r="P471">
        <f t="shared" si="165"/>
        <v>0.27336199842720976</v>
      </c>
      <c r="Q471" s="23">
        <v>0.26190000000000002</v>
      </c>
      <c r="R471" s="13">
        <f t="shared" si="166"/>
        <v>0.56712862711130363</v>
      </c>
      <c r="S471">
        <f t="shared" si="167"/>
        <v>3.7835236816093097E-2</v>
      </c>
      <c r="T471" s="4">
        <f t="shared" si="158"/>
        <v>-1.1306305789990391E-3</v>
      </c>
      <c r="U471" t="str">
        <f t="shared" si="168"/>
        <v>No Impact</v>
      </c>
      <c r="V471">
        <f t="shared" si="169"/>
        <v>5.1059334298211509E-2</v>
      </c>
      <c r="W471">
        <f t="shared" si="159"/>
        <v>9.2687676553393841E-2</v>
      </c>
      <c r="X471" t="s">
        <v>1170</v>
      </c>
      <c r="Y471">
        <f t="shared" si="160"/>
        <v>2.4611139333974692E-2</v>
      </c>
      <c r="Z471">
        <f t="shared" si="170"/>
        <v>5.441769609573445E-2</v>
      </c>
      <c r="AA471" t="s">
        <v>1170</v>
      </c>
      <c r="AB471">
        <f t="shared" si="161"/>
        <v>2.7578596103924213E-2</v>
      </c>
      <c r="AC471">
        <f t="shared" si="171"/>
        <v>8.0884051060621492E-2</v>
      </c>
      <c r="AD471" t="str">
        <f t="shared" si="172"/>
        <v>No Impact</v>
      </c>
      <c r="AE471">
        <f t="shared" si="162"/>
        <v>6.6413922838793804E-3</v>
      </c>
      <c r="AF471">
        <f t="shared" si="173"/>
        <v>4.3765527243165639E-2</v>
      </c>
      <c r="AG471" t="s">
        <v>1170</v>
      </c>
    </row>
    <row r="472" spans="1:33" customFormat="1" x14ac:dyDescent="0.3">
      <c r="A472">
        <v>554909</v>
      </c>
      <c r="B472" t="s">
        <v>110</v>
      </c>
      <c r="C472" t="s">
        <v>1022</v>
      </c>
      <c r="D472" t="s">
        <v>1024</v>
      </c>
      <c r="E472" s="21">
        <v>7.5</v>
      </c>
      <c r="F472" s="2">
        <f t="shared" ref="F472:F535" si="174">(E472-$AJ$5)/$AK$5</f>
        <v>0.95555555555555549</v>
      </c>
      <c r="G472" s="10">
        <v>29.956680000000002</v>
      </c>
      <c r="H472">
        <f t="shared" si="156"/>
        <v>0.27342476736238897</v>
      </c>
      <c r="I472" s="12">
        <v>1.5999999999999999</v>
      </c>
      <c r="J472" s="2">
        <f t="shared" si="163"/>
        <v>3.8778477944740671E-3</v>
      </c>
      <c r="K472" s="10">
        <v>0</v>
      </c>
      <c r="L472" s="2">
        <f t="shared" si="157"/>
        <v>0</v>
      </c>
      <c r="M472">
        <v>8414</v>
      </c>
      <c r="N472">
        <f t="shared" si="164"/>
        <v>3.86793658003435E-2</v>
      </c>
      <c r="O472" s="10">
        <v>0.39530975600000001</v>
      </c>
      <c r="P472">
        <f t="shared" si="165"/>
        <v>0.33988440044540175</v>
      </c>
      <c r="Q472" s="23">
        <v>0.26379999999999998</v>
      </c>
      <c r="R472" s="13">
        <f t="shared" si="166"/>
        <v>0.57124296232135119</v>
      </c>
      <c r="S472">
        <f t="shared" si="167"/>
        <v>4.2250032295163949E-2</v>
      </c>
      <c r="T472" s="4">
        <f t="shared" si="158"/>
        <v>-1.130609690743471E-3</v>
      </c>
      <c r="U472" t="str">
        <f t="shared" si="168"/>
        <v>No Impact</v>
      </c>
      <c r="V472">
        <f t="shared" si="169"/>
        <v>5.2978397077600971E-2</v>
      </c>
      <c r="W472">
        <f t="shared" si="159"/>
        <v>9.6171338701099077E-2</v>
      </c>
      <c r="X472" t="s">
        <v>1170</v>
      </c>
      <c r="Y472">
        <f t="shared" si="160"/>
        <v>3.1521667512726934E-2</v>
      </c>
      <c r="Z472">
        <f t="shared" si="170"/>
        <v>6.9697566612465053E-2</v>
      </c>
      <c r="AA472" t="s">
        <v>1170</v>
      </c>
      <c r="AB472">
        <f t="shared" si="161"/>
        <v>2.9254464160534871E-2</v>
      </c>
      <c r="AC472">
        <f t="shared" si="171"/>
        <v>8.5799130746003774E-2</v>
      </c>
      <c r="AD472" t="str">
        <f t="shared" si="172"/>
        <v>No Impact</v>
      </c>
      <c r="AE472">
        <f t="shared" si="162"/>
        <v>3.5872140844469985E-3</v>
      </c>
      <c r="AF472">
        <f t="shared" si="173"/>
        <v>2.363906678438631E-2</v>
      </c>
      <c r="AG472" t="s">
        <v>1170</v>
      </c>
    </row>
    <row r="473" spans="1:33" customFormat="1" x14ac:dyDescent="0.3">
      <c r="A473">
        <v>554918</v>
      </c>
      <c r="B473" t="s">
        <v>414</v>
      </c>
      <c r="C473" t="s">
        <v>1022</v>
      </c>
      <c r="D473" t="s">
        <v>1025</v>
      </c>
      <c r="E473" s="21">
        <v>6.6</v>
      </c>
      <c r="F473" s="2">
        <f t="shared" si="174"/>
        <v>0.75555555555555542</v>
      </c>
      <c r="G473" s="10">
        <v>0</v>
      </c>
      <c r="H473">
        <f t="shared" si="156"/>
        <v>0</v>
      </c>
      <c r="I473" s="12">
        <v>0</v>
      </c>
      <c r="J473" s="2">
        <f t="shared" si="163"/>
        <v>0</v>
      </c>
      <c r="K473" s="10">
        <v>0</v>
      </c>
      <c r="L473" s="2">
        <f t="shared" si="157"/>
        <v>0</v>
      </c>
      <c r="M473">
        <v>21184</v>
      </c>
      <c r="N473">
        <f t="shared" si="164"/>
        <v>9.9099610604060501E-2</v>
      </c>
      <c r="O473" s="10">
        <v>0.73629583600000004</v>
      </c>
      <c r="P473">
        <f t="shared" si="165"/>
        <v>0.71540855279475224</v>
      </c>
      <c r="Q473" s="23">
        <v>0.28389999999999999</v>
      </c>
      <c r="R473" s="13">
        <f t="shared" si="166"/>
        <v>0.61476829796448673</v>
      </c>
      <c r="S473">
        <f t="shared" si="167"/>
        <v>0</v>
      </c>
      <c r="T473" s="4">
        <f t="shared" si="158"/>
        <v>-1.1308095934290028E-3</v>
      </c>
      <c r="U473" t="str">
        <f t="shared" si="168"/>
        <v>No Impact</v>
      </c>
      <c r="V473">
        <f t="shared" si="169"/>
        <v>0</v>
      </c>
      <c r="W473">
        <f t="shared" si="159"/>
        <v>0</v>
      </c>
      <c r="X473" t="s">
        <v>1170</v>
      </c>
      <c r="Y473">
        <f t="shared" si="160"/>
        <v>0</v>
      </c>
      <c r="Z473">
        <f t="shared" si="170"/>
        <v>0</v>
      </c>
      <c r="AA473" t="s">
        <v>1170</v>
      </c>
      <c r="AB473">
        <f t="shared" si="161"/>
        <v>0</v>
      </c>
      <c r="AC473">
        <f t="shared" si="171"/>
        <v>0</v>
      </c>
      <c r="AD473" t="str">
        <f t="shared" si="172"/>
        <v>No Impact</v>
      </c>
      <c r="AE473">
        <f t="shared" si="162"/>
        <v>0</v>
      </c>
      <c r="AF473">
        <f t="shared" si="173"/>
        <v>0</v>
      </c>
      <c r="AG473" t="s">
        <v>1170</v>
      </c>
    </row>
    <row r="474" spans="1:33" customFormat="1" x14ac:dyDescent="0.3">
      <c r="A474">
        <v>554952</v>
      </c>
      <c r="B474" t="s">
        <v>293</v>
      </c>
      <c r="C474" t="s">
        <v>1022</v>
      </c>
      <c r="D474" t="s">
        <v>1026</v>
      </c>
      <c r="E474" s="21">
        <v>7.5</v>
      </c>
      <c r="F474" s="2">
        <f t="shared" si="174"/>
        <v>0.95555555555555549</v>
      </c>
      <c r="G474" s="10">
        <v>29.453040000000001</v>
      </c>
      <c r="H474">
        <f t="shared" si="156"/>
        <v>0.26882787445455025</v>
      </c>
      <c r="I474" s="12">
        <v>0.7</v>
      </c>
      <c r="J474" s="2">
        <f t="shared" si="163"/>
        <v>1.6965584100824044E-3</v>
      </c>
      <c r="K474" s="10">
        <v>0</v>
      </c>
      <c r="L474" s="2">
        <f t="shared" si="157"/>
        <v>0</v>
      </c>
      <c r="M474">
        <v>24931</v>
      </c>
      <c r="N474">
        <f t="shared" si="164"/>
        <v>0.1168282446901629</v>
      </c>
      <c r="O474" s="10">
        <v>0.59991996999999997</v>
      </c>
      <c r="P474">
        <f t="shared" si="165"/>
        <v>0.56521933838295391</v>
      </c>
      <c r="Q474" s="23">
        <v>0.28079999999999999</v>
      </c>
      <c r="R474" s="13">
        <f t="shared" si="166"/>
        <v>0.60805543525335648</v>
      </c>
      <c r="S474">
        <f t="shared" si="167"/>
        <v>5.3076248506908487E-2</v>
      </c>
      <c r="T474" s="4">
        <f t="shared" si="158"/>
        <v>-1.1305584673578946E-3</v>
      </c>
      <c r="U474" t="str">
        <f t="shared" si="168"/>
        <v>No Impact</v>
      </c>
      <c r="V474">
        <f t="shared" si="169"/>
        <v>5.5014054870470737E-2</v>
      </c>
      <c r="W474">
        <f t="shared" si="159"/>
        <v>9.986665501636717E-2</v>
      </c>
      <c r="X474" t="s">
        <v>1170</v>
      </c>
      <c r="Y474">
        <f t="shared" si="160"/>
        <v>5.1138442143346244E-2</v>
      </c>
      <c r="Z474">
        <f t="shared" si="170"/>
        <v>0.11307222171239838</v>
      </c>
      <c r="AA474" t="s">
        <v>1170</v>
      </c>
      <c r="AB474">
        <f t="shared" si="161"/>
        <v>3.8295980347721567E-2</v>
      </c>
      <c r="AC474">
        <f t="shared" si="171"/>
        <v>0.11231659574654397</v>
      </c>
      <c r="AD474" t="str">
        <f t="shared" si="172"/>
        <v>No Impact</v>
      </c>
      <c r="AE474">
        <f t="shared" si="162"/>
        <v>1.0570081428722702E-2</v>
      </c>
      <c r="AF474">
        <f t="shared" si="173"/>
        <v>6.9654850512914576E-2</v>
      </c>
      <c r="AG474" t="s">
        <v>1170</v>
      </c>
    </row>
    <row r="475" spans="1:33" customFormat="1" x14ac:dyDescent="0.3">
      <c r="A475">
        <v>554961</v>
      </c>
      <c r="B475" t="s">
        <v>364</v>
      </c>
      <c r="C475" t="s">
        <v>1022</v>
      </c>
      <c r="D475" t="s">
        <v>1027</v>
      </c>
      <c r="E475" s="21">
        <v>7.5</v>
      </c>
      <c r="F475" s="2">
        <f t="shared" si="174"/>
        <v>0.95555555555555549</v>
      </c>
      <c r="G475" s="10">
        <v>29.453040000000001</v>
      </c>
      <c r="H475">
        <f t="shared" si="156"/>
        <v>0.26882787445455025</v>
      </c>
      <c r="I475" s="12">
        <v>0.6</v>
      </c>
      <c r="J475" s="2">
        <f t="shared" si="163"/>
        <v>1.4541929229277752E-3</v>
      </c>
      <c r="K475" s="10">
        <v>0</v>
      </c>
      <c r="L475" s="2">
        <f t="shared" si="157"/>
        <v>0</v>
      </c>
      <c r="M475">
        <v>39159</v>
      </c>
      <c r="N475">
        <f t="shared" si="164"/>
        <v>0.18414690115588611</v>
      </c>
      <c r="O475" s="10">
        <v>0.669822476</v>
      </c>
      <c r="P475">
        <f t="shared" si="165"/>
        <v>0.64220218563802489</v>
      </c>
      <c r="Q475" s="23">
        <v>0.28120000000000001</v>
      </c>
      <c r="R475" s="13">
        <f t="shared" si="166"/>
        <v>0.60892161108705067</v>
      </c>
      <c r="S475">
        <f t="shared" si="167"/>
        <v>5.6547252346404384E-2</v>
      </c>
      <c r="T475" s="4">
        <f t="shared" si="158"/>
        <v>-1.1305420445778087E-3</v>
      </c>
      <c r="U475" t="str">
        <f t="shared" si="168"/>
        <v>No Impact</v>
      </c>
      <c r="V475">
        <f t="shared" si="169"/>
        <v>5.5043064629494709E-2</v>
      </c>
      <c r="W475">
        <f t="shared" si="159"/>
        <v>9.9919316242727887E-2</v>
      </c>
      <c r="X475" t="s">
        <v>1170</v>
      </c>
      <c r="Y475">
        <f t="shared" si="160"/>
        <v>5.8051440063314072E-2</v>
      </c>
      <c r="Z475">
        <f t="shared" si="170"/>
        <v>0.12835755307452429</v>
      </c>
      <c r="AA475" t="s">
        <v>1170</v>
      </c>
      <c r="AB475">
        <f t="shared" si="161"/>
        <v>4.2506547530523693E-2</v>
      </c>
      <c r="AC475">
        <f t="shared" si="171"/>
        <v>0.12466558297289101</v>
      </c>
      <c r="AD475" t="str">
        <f t="shared" si="172"/>
        <v>No Impact</v>
      </c>
      <c r="AE475">
        <f t="shared" si="162"/>
        <v>1.6645836832018073E-2</v>
      </c>
      <c r="AF475">
        <f t="shared" si="173"/>
        <v>0.10969293699534886</v>
      </c>
      <c r="AG475" t="s">
        <v>1169</v>
      </c>
    </row>
    <row r="476" spans="1:33" customFormat="1" x14ac:dyDescent="0.3">
      <c r="A476">
        <v>554977</v>
      </c>
      <c r="B476" t="s">
        <v>425</v>
      </c>
      <c r="C476" t="s">
        <v>1022</v>
      </c>
      <c r="D476" t="s">
        <v>1028</v>
      </c>
      <c r="E476" s="21">
        <v>7</v>
      </c>
      <c r="F476" s="2">
        <f t="shared" si="174"/>
        <v>0.84444444444444444</v>
      </c>
      <c r="G476" s="10">
        <v>23.808240000000001</v>
      </c>
      <c r="H476">
        <f t="shared" si="156"/>
        <v>0.21730587245675834</v>
      </c>
      <c r="I476" s="12">
        <v>1.9</v>
      </c>
      <c r="J476" s="2">
        <f t="shared" si="163"/>
        <v>4.6049442559379546E-3</v>
      </c>
      <c r="K476" s="10">
        <v>0</v>
      </c>
      <c r="L476" s="2">
        <f t="shared" si="157"/>
        <v>0</v>
      </c>
      <c r="M476">
        <v>11356</v>
      </c>
      <c r="N476">
        <f t="shared" si="164"/>
        <v>5.259920606757415E-2</v>
      </c>
      <c r="O476" s="10">
        <v>0.68355307200000004</v>
      </c>
      <c r="P476">
        <f t="shared" si="165"/>
        <v>0.65732353729012571</v>
      </c>
      <c r="Q476" s="23">
        <v>0.2878</v>
      </c>
      <c r="R476" s="13">
        <f t="shared" si="166"/>
        <v>0.62321351234300559</v>
      </c>
      <c r="S476">
        <f t="shared" si="167"/>
        <v>4.1993275549432184E-2</v>
      </c>
      <c r="T476" s="4">
        <f t="shared" si="158"/>
        <v>-1.1306109055677022E-3</v>
      </c>
      <c r="U476" t="str">
        <f t="shared" si="168"/>
        <v>No Impact</v>
      </c>
      <c r="V476">
        <f t="shared" si="169"/>
        <v>4.0874688877525434E-2</v>
      </c>
      <c r="W476">
        <f t="shared" si="159"/>
        <v>7.4199556143319856E-2</v>
      </c>
      <c r="X476" t="s">
        <v>1170</v>
      </c>
      <c r="Y476">
        <f t="shared" si="160"/>
        <v>4.3111862221338948E-2</v>
      </c>
      <c r="Z476">
        <f t="shared" si="170"/>
        <v>9.5324648917954502E-2</v>
      </c>
      <c r="AA476" t="s">
        <v>1170</v>
      </c>
      <c r="AB476">
        <f t="shared" si="161"/>
        <v>2.8447137753012143E-2</v>
      </c>
      <c r="AC476">
        <f t="shared" si="171"/>
        <v>8.3431358647576878E-2</v>
      </c>
      <c r="AD476" t="str">
        <f t="shared" si="172"/>
        <v>No Impact</v>
      </c>
      <c r="AE476">
        <f t="shared" si="162"/>
        <v>3.4498227985044604E-3</v>
      </c>
      <c r="AF476">
        <f t="shared" si="173"/>
        <v>2.2733684025640521E-2</v>
      </c>
      <c r="AG476" t="s">
        <v>1170</v>
      </c>
    </row>
    <row r="477" spans="1:33" customFormat="1" x14ac:dyDescent="0.3">
      <c r="A477">
        <v>554979</v>
      </c>
      <c r="B477" t="s">
        <v>444</v>
      </c>
      <c r="C477" t="s">
        <v>1022</v>
      </c>
      <c r="D477" t="s">
        <v>1029</v>
      </c>
      <c r="E477" s="21">
        <v>7.4</v>
      </c>
      <c r="F477" s="2">
        <f t="shared" si="174"/>
        <v>0.93333333333333335</v>
      </c>
      <c r="G477" s="10">
        <v>29.635199999999998</v>
      </c>
      <c r="H477">
        <f t="shared" si="156"/>
        <v>0.27049051048840755</v>
      </c>
      <c r="I477" s="12">
        <v>2</v>
      </c>
      <c r="J477" s="2">
        <f t="shared" si="163"/>
        <v>4.8473097430925842E-3</v>
      </c>
      <c r="K477" s="10">
        <v>0</v>
      </c>
      <c r="L477" s="2">
        <f t="shared" si="157"/>
        <v>0</v>
      </c>
      <c r="M477">
        <v>21408</v>
      </c>
      <c r="N477">
        <f t="shared" si="164"/>
        <v>0.10015944888409438</v>
      </c>
      <c r="O477" s="10">
        <v>0.54487443599999996</v>
      </c>
      <c r="P477">
        <f t="shared" si="165"/>
        <v>0.50459830805829264</v>
      </c>
      <c r="Q477" s="23">
        <v>0.27910000000000001</v>
      </c>
      <c r="R477" s="13">
        <f t="shared" si="166"/>
        <v>0.60437418796015596</v>
      </c>
      <c r="S477">
        <f t="shared" si="167"/>
        <v>4.9872538059232911E-2</v>
      </c>
      <c r="T477" s="4">
        <f t="shared" si="158"/>
        <v>-1.1305736254604419E-3</v>
      </c>
      <c r="U477" t="str">
        <f t="shared" si="168"/>
        <v>No Impact</v>
      </c>
      <c r="V477">
        <f t="shared" si="169"/>
        <v>5.4359643362263219E-2</v>
      </c>
      <c r="W477">
        <f t="shared" si="159"/>
        <v>9.8678706073451125E-2</v>
      </c>
      <c r="X477" t="s">
        <v>1170</v>
      </c>
      <c r="Y477">
        <f t="shared" si="160"/>
        <v>4.5385432756202611E-2</v>
      </c>
      <c r="Z477">
        <f t="shared" si="170"/>
        <v>0.10035174127396068</v>
      </c>
      <c r="AA477" t="s">
        <v>1170</v>
      </c>
      <c r="AB477">
        <f t="shared" si="161"/>
        <v>3.5794553578868862E-2</v>
      </c>
      <c r="AC477">
        <f t="shared" si="171"/>
        <v>0.10498027123844117</v>
      </c>
      <c r="AD477" t="str">
        <f t="shared" si="172"/>
        <v>No Impact</v>
      </c>
      <c r="AE477">
        <f t="shared" si="162"/>
        <v>9.0087102149027359E-3</v>
      </c>
      <c r="AF477">
        <f t="shared" si="173"/>
        <v>5.9365707593138604E-2</v>
      </c>
      <c r="AG477" t="s">
        <v>1170</v>
      </c>
    </row>
    <row r="478" spans="1:33" customFormat="1" x14ac:dyDescent="0.3">
      <c r="A478">
        <v>554994</v>
      </c>
      <c r="B478" t="s">
        <v>533</v>
      </c>
      <c r="C478" t="s">
        <v>1022</v>
      </c>
      <c r="D478" t="s">
        <v>1030</v>
      </c>
      <c r="E478" s="21">
        <v>6.7</v>
      </c>
      <c r="F478" s="2">
        <f t="shared" si="174"/>
        <v>0.77777777777777779</v>
      </c>
      <c r="G478" s="10">
        <v>29.453040000000001</v>
      </c>
      <c r="H478">
        <f t="shared" si="156"/>
        <v>0.26882787445455025</v>
      </c>
      <c r="I478" s="12">
        <v>1.7999999999999998</v>
      </c>
      <c r="J478" s="2">
        <f t="shared" si="163"/>
        <v>4.362578768783325E-3</v>
      </c>
      <c r="K478" s="10">
        <v>0</v>
      </c>
      <c r="L478" s="2">
        <f t="shared" si="157"/>
        <v>0</v>
      </c>
      <c r="M478">
        <v>22322</v>
      </c>
      <c r="N478">
        <f t="shared" si="164"/>
        <v>0.10448396758030404</v>
      </c>
      <c r="O478" s="10">
        <v>0.88725491000000001</v>
      </c>
      <c r="P478">
        <f t="shared" si="165"/>
        <v>0.88165809090872127</v>
      </c>
      <c r="Q478" s="23">
        <v>0.26889999999999997</v>
      </c>
      <c r="R478" s="13">
        <f t="shared" si="166"/>
        <v>0.58228670420095274</v>
      </c>
      <c r="S478">
        <f t="shared" si="167"/>
        <v>5.443569822618792E-2</v>
      </c>
      <c r="T478" s="4">
        <f t="shared" si="158"/>
        <v>-1.1305520352290898E-3</v>
      </c>
      <c r="U478" t="str">
        <f t="shared" si="168"/>
        <v>No Impact</v>
      </c>
      <c r="V478">
        <f t="shared" si="169"/>
        <v>4.3303795903902181E-2</v>
      </c>
      <c r="W478">
        <f t="shared" si="159"/>
        <v>7.8609098286180706E-2</v>
      </c>
      <c r="X478" t="s">
        <v>1170</v>
      </c>
      <c r="Y478">
        <f t="shared" si="160"/>
        <v>6.5567600548473659E-2</v>
      </c>
      <c r="Z478">
        <f t="shared" si="170"/>
        <v>0.14497653732949364</v>
      </c>
      <c r="AA478" t="s">
        <v>1170</v>
      </c>
      <c r="AB478">
        <f t="shared" si="161"/>
        <v>3.7546219759529396E-2</v>
      </c>
      <c r="AC478">
        <f t="shared" si="171"/>
        <v>0.11011765590674741</v>
      </c>
      <c r="AD478" t="str">
        <f t="shared" si="172"/>
        <v>No Impact</v>
      </c>
      <c r="AE478">
        <f t="shared" si="162"/>
        <v>7.7703172246329577E-3</v>
      </c>
      <c r="AF478">
        <f t="shared" si="173"/>
        <v>5.1204930479436986E-2</v>
      </c>
      <c r="AG478" t="s">
        <v>1170</v>
      </c>
    </row>
    <row r="479" spans="1:33" customFormat="1" x14ac:dyDescent="0.3">
      <c r="A479">
        <v>555202</v>
      </c>
      <c r="B479" t="s">
        <v>3</v>
      </c>
      <c r="C479" t="s">
        <v>1032</v>
      </c>
      <c r="D479" t="s">
        <v>1031</v>
      </c>
      <c r="E479" s="21">
        <v>6.2</v>
      </c>
      <c r="F479" s="2">
        <f t="shared" si="174"/>
        <v>0.66666666666666663</v>
      </c>
      <c r="G479" s="10">
        <v>24.944760000000002</v>
      </c>
      <c r="H479">
        <f t="shared" si="156"/>
        <v>0.22767927553756379</v>
      </c>
      <c r="I479" s="12">
        <v>0.1</v>
      </c>
      <c r="J479" s="2">
        <f t="shared" si="163"/>
        <v>2.4236548715462922E-4</v>
      </c>
      <c r="K479" s="10">
        <v>0</v>
      </c>
      <c r="L479" s="2">
        <f t="shared" si="157"/>
        <v>0</v>
      </c>
      <c r="M479">
        <v>25242</v>
      </c>
      <c r="N479">
        <f t="shared" si="164"/>
        <v>0.11829971658788851</v>
      </c>
      <c r="O479" s="10">
        <v>0.806422533</v>
      </c>
      <c r="P479">
        <f t="shared" si="165"/>
        <v>0.79263829908816319</v>
      </c>
      <c r="Q479" s="23">
        <v>0.26269999999999999</v>
      </c>
      <c r="R479" s="13">
        <f t="shared" si="166"/>
        <v>0.56886097877869202</v>
      </c>
      <c r="S479">
        <f t="shared" si="167"/>
        <v>3.6203434127627977E-2</v>
      </c>
      <c r="T479" s="4">
        <f t="shared" si="158"/>
        <v>-1.1306382997443726E-3</v>
      </c>
      <c r="U479" t="str">
        <f t="shared" si="168"/>
        <v>No Impact</v>
      </c>
      <c r="V479">
        <f t="shared" si="169"/>
        <v>3.025300315290563E-2</v>
      </c>
      <c r="W479">
        <f t="shared" si="159"/>
        <v>5.4918079319799154E-2</v>
      </c>
      <c r="X479" t="s">
        <v>1170</v>
      </c>
      <c r="Y479">
        <f t="shared" si="160"/>
        <v>4.2153865102350335E-2</v>
      </c>
      <c r="Z479">
        <f t="shared" si="170"/>
        <v>9.3206421257939376E-2</v>
      </c>
      <c r="AA479" t="s">
        <v>1170</v>
      </c>
      <c r="AB479">
        <f t="shared" si="161"/>
        <v>2.5436694319782172E-2</v>
      </c>
      <c r="AC479">
        <f t="shared" si="171"/>
        <v>7.4602161561150931E-2</v>
      </c>
      <c r="AD479" t="str">
        <f t="shared" si="172"/>
        <v>No Impact</v>
      </c>
      <c r="AE479">
        <f t="shared" si="162"/>
        <v>6.2913819587431521E-3</v>
      </c>
      <c r="AF479">
        <f t="shared" si="173"/>
        <v>4.1459024966930408E-2</v>
      </c>
      <c r="AG479" t="s">
        <v>1170</v>
      </c>
    </row>
    <row r="480" spans="1:33" customFormat="1" x14ac:dyDescent="0.3">
      <c r="A480">
        <v>555233</v>
      </c>
      <c r="B480" t="s">
        <v>207</v>
      </c>
      <c r="C480" t="s">
        <v>1032</v>
      </c>
      <c r="D480" t="s">
        <v>1033</v>
      </c>
      <c r="E480" s="21">
        <v>5.9</v>
      </c>
      <c r="F480" s="2">
        <f t="shared" si="174"/>
        <v>0.60000000000000009</v>
      </c>
      <c r="G480" s="10">
        <v>0</v>
      </c>
      <c r="H480">
        <f t="shared" si="156"/>
        <v>0</v>
      </c>
      <c r="I480" s="12">
        <v>0</v>
      </c>
      <c r="J480" s="2">
        <f t="shared" si="163"/>
        <v>0</v>
      </c>
      <c r="K480" s="10">
        <v>0</v>
      </c>
      <c r="L480" s="2">
        <f t="shared" si="157"/>
        <v>0</v>
      </c>
      <c r="M480">
        <v>21858</v>
      </c>
      <c r="N480">
        <f t="shared" si="164"/>
        <v>0.10228858828594815</v>
      </c>
      <c r="O480" s="10">
        <v>0.73880113700000005</v>
      </c>
      <c r="P480">
        <f t="shared" si="165"/>
        <v>0.71816761273762442</v>
      </c>
      <c r="Q480" s="23">
        <v>0.2283</v>
      </c>
      <c r="R480" s="13">
        <f t="shared" si="166"/>
        <v>0.49436985708098746</v>
      </c>
      <c r="S480">
        <f t="shared" si="167"/>
        <v>0</v>
      </c>
      <c r="T480" s="4">
        <f t="shared" si="158"/>
        <v>-1.1308095934290028E-3</v>
      </c>
      <c r="U480" t="str">
        <f t="shared" si="168"/>
        <v>No Impact</v>
      </c>
      <c r="V480">
        <f t="shared" si="169"/>
        <v>0</v>
      </c>
      <c r="W480">
        <f t="shared" si="159"/>
        <v>0</v>
      </c>
      <c r="X480" t="s">
        <v>1170</v>
      </c>
      <c r="Y480">
        <f t="shared" si="160"/>
        <v>0</v>
      </c>
      <c r="Z480">
        <f t="shared" si="170"/>
        <v>0</v>
      </c>
      <c r="AA480" t="s">
        <v>1170</v>
      </c>
      <c r="AB480">
        <f t="shared" si="161"/>
        <v>0</v>
      </c>
      <c r="AC480">
        <f t="shared" si="171"/>
        <v>0</v>
      </c>
      <c r="AD480" t="str">
        <f t="shared" si="172"/>
        <v>No Impact</v>
      </c>
      <c r="AE480">
        <f t="shared" si="162"/>
        <v>0</v>
      </c>
      <c r="AF480">
        <f t="shared" si="173"/>
        <v>0</v>
      </c>
      <c r="AG480" t="s">
        <v>1170</v>
      </c>
    </row>
    <row r="481" spans="1:33" customFormat="1" x14ac:dyDescent="0.3">
      <c r="A481">
        <v>555239</v>
      </c>
      <c r="B481" t="s">
        <v>247</v>
      </c>
      <c r="C481" t="s">
        <v>888</v>
      </c>
      <c r="D481" t="s">
        <v>1139</v>
      </c>
      <c r="E481" s="21">
        <v>6.2</v>
      </c>
      <c r="F481" s="2">
        <f t="shared" si="174"/>
        <v>0.66666666666666663</v>
      </c>
      <c r="G481" s="10">
        <v>0</v>
      </c>
      <c r="H481">
        <f t="shared" si="156"/>
        <v>0</v>
      </c>
      <c r="I481" s="12">
        <v>0</v>
      </c>
      <c r="J481" s="2">
        <f t="shared" si="163"/>
        <v>0</v>
      </c>
      <c r="K481" s="10">
        <v>0</v>
      </c>
      <c r="L481" s="2">
        <f t="shared" si="157"/>
        <v>0</v>
      </c>
      <c r="M481">
        <v>24184</v>
      </c>
      <c r="N481">
        <f t="shared" si="164"/>
        <v>0.11329387328308564</v>
      </c>
      <c r="O481" s="10">
        <v>0.75270867500000005</v>
      </c>
      <c r="P481">
        <f t="shared" si="165"/>
        <v>0.73348382863334771</v>
      </c>
      <c r="Q481" s="23">
        <v>0.26300000000000001</v>
      </c>
      <c r="R481" s="13">
        <f t="shared" si="166"/>
        <v>0.5695106106539628</v>
      </c>
      <c r="S481">
        <f t="shared" si="167"/>
        <v>0</v>
      </c>
      <c r="T481" s="4">
        <f t="shared" si="158"/>
        <v>-1.1308095934290028E-3</v>
      </c>
      <c r="U481" t="str">
        <f t="shared" si="168"/>
        <v>No Impact</v>
      </c>
      <c r="V481">
        <f t="shared" si="169"/>
        <v>0</v>
      </c>
      <c r="W481">
        <f t="shared" si="159"/>
        <v>0</v>
      </c>
      <c r="X481" t="s">
        <v>1170</v>
      </c>
      <c r="Y481">
        <f t="shared" si="160"/>
        <v>0</v>
      </c>
      <c r="Z481">
        <f t="shared" si="170"/>
        <v>0</v>
      </c>
      <c r="AA481" t="s">
        <v>1170</v>
      </c>
      <c r="AB481">
        <f t="shared" si="161"/>
        <v>0</v>
      </c>
      <c r="AC481">
        <f t="shared" si="171"/>
        <v>0</v>
      </c>
      <c r="AD481" t="str">
        <f t="shared" si="172"/>
        <v>No Impact</v>
      </c>
      <c r="AE481">
        <f t="shared" si="162"/>
        <v>0</v>
      </c>
      <c r="AF481">
        <f t="shared" si="173"/>
        <v>0</v>
      </c>
      <c r="AG481" t="s">
        <v>1170</v>
      </c>
    </row>
    <row r="482" spans="1:33" customFormat="1" x14ac:dyDescent="0.3">
      <c r="A482">
        <v>555255</v>
      </c>
      <c r="B482" t="s">
        <v>302</v>
      </c>
      <c r="C482" t="s">
        <v>1032</v>
      </c>
      <c r="D482" t="s">
        <v>1034</v>
      </c>
      <c r="E482" s="21">
        <v>6.2</v>
      </c>
      <c r="F482" s="2">
        <f t="shared" si="174"/>
        <v>0.66666666666666663</v>
      </c>
      <c r="G482" s="10">
        <v>24.944760000000002</v>
      </c>
      <c r="H482">
        <f t="shared" ref="H482:H513" si="175">(G482-$AJ$6)/$AK$6</f>
        <v>0.22767927553756379</v>
      </c>
      <c r="I482" s="12">
        <v>1.2</v>
      </c>
      <c r="J482" s="2">
        <f t="shared" si="163"/>
        <v>2.9083858458555504E-3</v>
      </c>
      <c r="K482" s="10">
        <v>0</v>
      </c>
      <c r="L482" s="2">
        <f t="shared" ref="L482:L513" si="176">(K482-$AJ$7)/$AK$7</f>
        <v>0</v>
      </c>
      <c r="M482">
        <v>29622</v>
      </c>
      <c r="N482">
        <f t="shared" si="164"/>
        <v>0.1390233400992652</v>
      </c>
      <c r="O482" s="10">
        <v>0.54589342600000001</v>
      </c>
      <c r="P482">
        <f t="shared" si="165"/>
        <v>0.50572051033705578</v>
      </c>
      <c r="Q482" s="23">
        <v>0.26419999999999999</v>
      </c>
      <c r="R482" s="13">
        <f t="shared" si="166"/>
        <v>0.57210913815504549</v>
      </c>
      <c r="S482">
        <f t="shared" si="167"/>
        <v>2.8995658768475759E-2</v>
      </c>
      <c r="T482" s="4">
        <f t="shared" ref="T482:T513" si="177">(S482-$AJ$9)/$AK$9</f>
        <v>-1.1306724027632989E-3</v>
      </c>
      <c r="U482" t="str">
        <f t="shared" si="168"/>
        <v>No Impact</v>
      </c>
      <c r="V482">
        <f t="shared" si="169"/>
        <v>3.0781638585426277E-2</v>
      </c>
      <c r="W482">
        <f t="shared" si="159"/>
        <v>5.5877707772805707E-2</v>
      </c>
      <c r="X482" t="s">
        <v>1170</v>
      </c>
      <c r="Y482">
        <f t="shared" si="160"/>
        <v>2.7209678951525235E-2</v>
      </c>
      <c r="Z482">
        <f t="shared" si="170"/>
        <v>6.0163327668563971E-2</v>
      </c>
      <c r="AA482" t="s">
        <v>1170</v>
      </c>
      <c r="AB482">
        <f t="shared" si="161"/>
        <v>2.1554470984838203E-2</v>
      </c>
      <c r="AC482">
        <f t="shared" si="171"/>
        <v>6.321615955912506E-2</v>
      </c>
      <c r="AD482" t="str">
        <f t="shared" si="172"/>
        <v>No Impact</v>
      </c>
      <c r="AE482">
        <f t="shared" si="162"/>
        <v>7.4799822699469698E-3</v>
      </c>
      <c r="AF482">
        <f t="shared" si="173"/>
        <v>4.9291677681556685E-2</v>
      </c>
      <c r="AG482" t="s">
        <v>1170</v>
      </c>
    </row>
    <row r="483" spans="1:33" customFormat="1" x14ac:dyDescent="0.3">
      <c r="A483">
        <v>555270</v>
      </c>
      <c r="B483" t="s">
        <v>408</v>
      </c>
      <c r="C483" t="s">
        <v>1032</v>
      </c>
      <c r="D483" t="s">
        <v>1035</v>
      </c>
      <c r="E483" s="21">
        <v>6.2</v>
      </c>
      <c r="F483" s="2">
        <f t="shared" si="174"/>
        <v>0.66666666666666663</v>
      </c>
      <c r="G483" s="10">
        <v>0</v>
      </c>
      <c r="H483">
        <f t="shared" si="175"/>
        <v>0</v>
      </c>
      <c r="I483" s="12">
        <v>0</v>
      </c>
      <c r="J483" s="2">
        <f t="shared" si="163"/>
        <v>0</v>
      </c>
      <c r="K483" s="10">
        <v>0</v>
      </c>
      <c r="L483" s="2">
        <f t="shared" si="176"/>
        <v>0</v>
      </c>
      <c r="M483">
        <v>23187</v>
      </c>
      <c r="N483">
        <f t="shared" si="164"/>
        <v>0.10857664665275629</v>
      </c>
      <c r="O483" s="10">
        <v>0.83868091</v>
      </c>
      <c r="P483">
        <f t="shared" si="165"/>
        <v>0.82816408852534729</v>
      </c>
      <c r="Q483" s="23">
        <v>0.23169999999999999</v>
      </c>
      <c r="R483" s="13">
        <f t="shared" si="166"/>
        <v>0.5017323516673885</v>
      </c>
      <c r="S483">
        <f t="shared" si="167"/>
        <v>0</v>
      </c>
      <c r="T483" s="4">
        <f t="shared" si="177"/>
        <v>-1.1308095934290028E-3</v>
      </c>
      <c r="U483" t="str">
        <f t="shared" si="168"/>
        <v>No Impact</v>
      </c>
      <c r="V483">
        <f t="shared" si="169"/>
        <v>0</v>
      </c>
      <c r="W483">
        <f t="shared" si="159"/>
        <v>0</v>
      </c>
      <c r="X483" t="s">
        <v>1170</v>
      </c>
      <c r="Y483">
        <f t="shared" si="160"/>
        <v>0</v>
      </c>
      <c r="Z483">
        <f t="shared" si="170"/>
        <v>0</v>
      </c>
      <c r="AA483" t="s">
        <v>1170</v>
      </c>
      <c r="AB483">
        <f t="shared" si="161"/>
        <v>0</v>
      </c>
      <c r="AC483">
        <f t="shared" si="171"/>
        <v>0</v>
      </c>
      <c r="AD483" t="str">
        <f t="shared" si="172"/>
        <v>No Impact</v>
      </c>
      <c r="AE483">
        <f t="shared" si="162"/>
        <v>0</v>
      </c>
      <c r="AF483">
        <f t="shared" si="173"/>
        <v>0</v>
      </c>
      <c r="AG483" t="s">
        <v>1170</v>
      </c>
    </row>
    <row r="484" spans="1:33" customFormat="1" x14ac:dyDescent="0.3">
      <c r="A484">
        <v>557312</v>
      </c>
      <c r="B484" t="s">
        <v>152</v>
      </c>
      <c r="C484" t="s">
        <v>1037</v>
      </c>
      <c r="D484" t="s">
        <v>1036</v>
      </c>
      <c r="E484" s="21">
        <v>5.9</v>
      </c>
      <c r="F484" s="2">
        <f t="shared" si="174"/>
        <v>0.60000000000000009</v>
      </c>
      <c r="G484" s="10">
        <v>0</v>
      </c>
      <c r="H484">
        <f t="shared" si="175"/>
        <v>0</v>
      </c>
      <c r="I484" s="12">
        <v>0</v>
      </c>
      <c r="J484" s="2">
        <f t="shared" si="163"/>
        <v>0</v>
      </c>
      <c r="K484" s="10">
        <v>0</v>
      </c>
      <c r="L484" s="2">
        <f t="shared" si="176"/>
        <v>0</v>
      </c>
      <c r="M484">
        <v>27341</v>
      </c>
      <c r="N484">
        <f t="shared" si="164"/>
        <v>0.1282309690423131</v>
      </c>
      <c r="O484" s="10">
        <v>0.80249892599999995</v>
      </c>
      <c r="P484">
        <f t="shared" si="165"/>
        <v>0.78831727462632306</v>
      </c>
      <c r="Q484" s="23">
        <v>0.23780000000000001</v>
      </c>
      <c r="R484" s="13">
        <f t="shared" si="166"/>
        <v>0.5149415331312257</v>
      </c>
      <c r="S484">
        <f t="shared" si="167"/>
        <v>0</v>
      </c>
      <c r="T484" s="4">
        <f t="shared" si="177"/>
        <v>-1.1308095934290028E-3</v>
      </c>
      <c r="U484" t="str">
        <f t="shared" si="168"/>
        <v>No Impact</v>
      </c>
      <c r="V484">
        <f t="shared" si="169"/>
        <v>0</v>
      </c>
      <c r="W484">
        <f t="shared" si="159"/>
        <v>0</v>
      </c>
      <c r="X484" t="s">
        <v>1170</v>
      </c>
      <c r="Y484">
        <f t="shared" si="160"/>
        <v>0</v>
      </c>
      <c r="Z484">
        <f t="shared" si="170"/>
        <v>0</v>
      </c>
      <c r="AA484" t="s">
        <v>1170</v>
      </c>
      <c r="AB484">
        <f t="shared" si="161"/>
        <v>0</v>
      </c>
      <c r="AC484">
        <f t="shared" si="171"/>
        <v>0</v>
      </c>
      <c r="AD484" t="str">
        <f t="shared" si="172"/>
        <v>No Impact</v>
      </c>
      <c r="AE484">
        <f t="shared" si="162"/>
        <v>0</v>
      </c>
      <c r="AF484">
        <f t="shared" si="173"/>
        <v>0</v>
      </c>
      <c r="AG484" t="s">
        <v>1170</v>
      </c>
    </row>
    <row r="485" spans="1:33" customFormat="1" x14ac:dyDescent="0.3">
      <c r="A485">
        <v>557315</v>
      </c>
      <c r="B485" t="s">
        <v>155</v>
      </c>
      <c r="C485" t="s">
        <v>1037</v>
      </c>
      <c r="D485" t="s">
        <v>1038</v>
      </c>
      <c r="E485" s="21">
        <v>5.9</v>
      </c>
      <c r="F485" s="2">
        <f t="shared" si="174"/>
        <v>0.60000000000000009</v>
      </c>
      <c r="G485" s="10">
        <v>0</v>
      </c>
      <c r="H485">
        <f t="shared" si="175"/>
        <v>0</v>
      </c>
      <c r="I485" s="12">
        <v>0</v>
      </c>
      <c r="J485" s="2">
        <f t="shared" si="163"/>
        <v>0</v>
      </c>
      <c r="K485" s="10">
        <v>0</v>
      </c>
      <c r="L485" s="2">
        <f t="shared" si="176"/>
        <v>0</v>
      </c>
      <c r="M485">
        <v>28057</v>
      </c>
      <c r="N485">
        <f t="shared" si="164"/>
        <v>0.13161866640170711</v>
      </c>
      <c r="O485" s="10">
        <v>0.77375728600000004</v>
      </c>
      <c r="P485">
        <f t="shared" si="165"/>
        <v>0.75666442827514602</v>
      </c>
      <c r="Q485" s="23">
        <v>0.27089999999999997</v>
      </c>
      <c r="R485" s="13">
        <f t="shared" si="166"/>
        <v>0.58661758336942393</v>
      </c>
      <c r="S485">
        <f t="shared" si="167"/>
        <v>0</v>
      </c>
      <c r="T485" s="4">
        <f t="shared" si="177"/>
        <v>-1.1308095934290028E-3</v>
      </c>
      <c r="U485" t="str">
        <f t="shared" si="168"/>
        <v>No Impact</v>
      </c>
      <c r="V485">
        <f t="shared" si="169"/>
        <v>0</v>
      </c>
      <c r="W485">
        <f t="shared" si="159"/>
        <v>0</v>
      </c>
      <c r="X485" t="s">
        <v>1170</v>
      </c>
      <c r="Y485">
        <f t="shared" si="160"/>
        <v>0</v>
      </c>
      <c r="Z485">
        <f t="shared" si="170"/>
        <v>0</v>
      </c>
      <c r="AA485" t="s">
        <v>1170</v>
      </c>
      <c r="AB485">
        <f t="shared" si="161"/>
        <v>0</v>
      </c>
      <c r="AC485">
        <f t="shared" si="171"/>
        <v>0</v>
      </c>
      <c r="AD485" t="str">
        <f t="shared" si="172"/>
        <v>No Impact</v>
      </c>
      <c r="AE485">
        <f t="shared" si="162"/>
        <v>0</v>
      </c>
      <c r="AF485">
        <f t="shared" si="173"/>
        <v>0</v>
      </c>
      <c r="AG485" t="s">
        <v>1170</v>
      </c>
    </row>
    <row r="486" spans="1:33" customFormat="1" x14ac:dyDescent="0.3">
      <c r="A486">
        <v>557336</v>
      </c>
      <c r="B486" t="s">
        <v>219</v>
      </c>
      <c r="C486" t="s">
        <v>1037</v>
      </c>
      <c r="D486" t="s">
        <v>1039</v>
      </c>
      <c r="E486" s="21">
        <v>5.9</v>
      </c>
      <c r="F486" s="2">
        <f t="shared" si="174"/>
        <v>0.60000000000000009</v>
      </c>
      <c r="G486" s="10">
        <v>0</v>
      </c>
      <c r="H486">
        <f t="shared" si="175"/>
        <v>0</v>
      </c>
      <c r="I486" s="12">
        <v>0</v>
      </c>
      <c r="J486" s="2">
        <f t="shared" si="163"/>
        <v>0</v>
      </c>
      <c r="K486" s="10">
        <v>0</v>
      </c>
      <c r="L486" s="2">
        <f t="shared" si="176"/>
        <v>0</v>
      </c>
      <c r="M486">
        <v>28976</v>
      </c>
      <c r="N486">
        <f t="shared" si="164"/>
        <v>0.13596684220238181</v>
      </c>
      <c r="O486" s="10">
        <v>0.64076593500000001</v>
      </c>
      <c r="P486">
        <f t="shared" si="165"/>
        <v>0.61020254234106341</v>
      </c>
      <c r="Q486" s="23">
        <v>0.25779999999999997</v>
      </c>
      <c r="R486" s="13">
        <f t="shared" si="166"/>
        <v>0.55825032481593762</v>
      </c>
      <c r="S486">
        <f t="shared" si="167"/>
        <v>0</v>
      </c>
      <c r="T486" s="4">
        <f t="shared" si="177"/>
        <v>-1.1308095934290028E-3</v>
      </c>
      <c r="U486" t="str">
        <f t="shared" si="168"/>
        <v>No Impact</v>
      </c>
      <c r="V486">
        <f t="shared" si="169"/>
        <v>0</v>
      </c>
      <c r="W486">
        <f t="shared" si="159"/>
        <v>0</v>
      </c>
      <c r="X486" t="s">
        <v>1170</v>
      </c>
      <c r="Y486">
        <f t="shared" si="160"/>
        <v>0</v>
      </c>
      <c r="Z486">
        <f t="shared" si="170"/>
        <v>0</v>
      </c>
      <c r="AA486" t="s">
        <v>1170</v>
      </c>
      <c r="AB486">
        <f t="shared" si="161"/>
        <v>0</v>
      </c>
      <c r="AC486">
        <f t="shared" si="171"/>
        <v>0</v>
      </c>
      <c r="AD486" t="str">
        <f t="shared" si="172"/>
        <v>No Impact</v>
      </c>
      <c r="AE486">
        <f t="shared" si="162"/>
        <v>0</v>
      </c>
      <c r="AF486">
        <f t="shared" si="173"/>
        <v>0</v>
      </c>
      <c r="AG486" t="s">
        <v>1170</v>
      </c>
    </row>
    <row r="487" spans="1:33" customFormat="1" x14ac:dyDescent="0.3">
      <c r="A487">
        <v>557345</v>
      </c>
      <c r="B487" t="s">
        <v>282</v>
      </c>
      <c r="C487" t="s">
        <v>1037</v>
      </c>
      <c r="D487" t="s">
        <v>764</v>
      </c>
      <c r="E487" s="21">
        <v>5.9</v>
      </c>
      <c r="F487" s="2">
        <f t="shared" si="174"/>
        <v>0.60000000000000009</v>
      </c>
      <c r="G487" s="10">
        <v>25.54344</v>
      </c>
      <c r="H487">
        <f t="shared" si="175"/>
        <v>0.23314363072393671</v>
      </c>
      <c r="I487" s="12">
        <v>0.2</v>
      </c>
      <c r="J487" s="2">
        <f t="shared" si="163"/>
        <v>4.8473097430925844E-4</v>
      </c>
      <c r="K487" s="10">
        <v>0</v>
      </c>
      <c r="L487" s="2">
        <f t="shared" si="176"/>
        <v>0</v>
      </c>
      <c r="M487">
        <v>24819</v>
      </c>
      <c r="N487">
        <f t="shared" si="164"/>
        <v>0.11629832555014596</v>
      </c>
      <c r="O487" s="10">
        <v>0.82154650699999998</v>
      </c>
      <c r="P487">
        <f t="shared" si="165"/>
        <v>0.80929416233191676</v>
      </c>
      <c r="Q487" s="23">
        <v>0.27939999999999998</v>
      </c>
      <c r="R487" s="13">
        <f t="shared" si="166"/>
        <v>0.60502381983542652</v>
      </c>
      <c r="S487">
        <f t="shared" si="167"/>
        <v>3.4694603274883176E-2</v>
      </c>
      <c r="T487" s="4">
        <f t="shared" si="177"/>
        <v>-1.1306454386581933E-3</v>
      </c>
      <c r="U487" t="str">
        <f t="shared" si="168"/>
        <v>No Impact</v>
      </c>
      <c r="V487">
        <f t="shared" si="169"/>
        <v>2.9683652001478742E-2</v>
      </c>
      <c r="W487">
        <f t="shared" si="159"/>
        <v>5.3884539887801383E-2</v>
      </c>
      <c r="X487" t="s">
        <v>1170</v>
      </c>
      <c r="Y487">
        <f t="shared" si="160"/>
        <v>3.9705554548287614E-2</v>
      </c>
      <c r="Z487">
        <f t="shared" si="170"/>
        <v>8.7792961203489811E-2</v>
      </c>
      <c r="AA487" t="s">
        <v>1170</v>
      </c>
      <c r="AB487">
        <f t="shared" si="161"/>
        <v>2.4297982729093785E-2</v>
      </c>
      <c r="AC487">
        <f t="shared" si="171"/>
        <v>7.1262484439897633E-2</v>
      </c>
      <c r="AD487" t="str">
        <f t="shared" si="172"/>
        <v>No Impact</v>
      </c>
      <c r="AE487">
        <f t="shared" si="162"/>
        <v>5.7058233259712722E-3</v>
      </c>
      <c r="AF487">
        <f t="shared" si="173"/>
        <v>3.76003036025482E-2</v>
      </c>
      <c r="AG487" t="s">
        <v>1170</v>
      </c>
    </row>
    <row r="488" spans="1:33" customFormat="1" x14ac:dyDescent="0.3">
      <c r="A488">
        <v>557364</v>
      </c>
      <c r="B488" t="s">
        <v>389</v>
      </c>
      <c r="C488" t="s">
        <v>1037</v>
      </c>
      <c r="D488" t="s">
        <v>1040</v>
      </c>
      <c r="E488" s="21">
        <v>5.9</v>
      </c>
      <c r="F488" s="2">
        <f t="shared" si="174"/>
        <v>0.60000000000000009</v>
      </c>
      <c r="G488" s="10">
        <v>25.54344</v>
      </c>
      <c r="H488">
        <f t="shared" si="175"/>
        <v>0.23314363072393671</v>
      </c>
      <c r="I488" s="12">
        <v>0.1</v>
      </c>
      <c r="J488" s="2">
        <f t="shared" si="163"/>
        <v>2.4236548715462922E-4</v>
      </c>
      <c r="K488" s="10">
        <v>0</v>
      </c>
      <c r="L488" s="2">
        <f t="shared" si="176"/>
        <v>0</v>
      </c>
      <c r="M488">
        <v>45805</v>
      </c>
      <c r="N488">
        <f t="shared" si="164"/>
        <v>0.21559192441081981</v>
      </c>
      <c r="O488" s="10">
        <v>0.70370164099999999</v>
      </c>
      <c r="P488">
        <f t="shared" si="165"/>
        <v>0.67951293075386299</v>
      </c>
      <c r="Q488" s="23">
        <v>0.26879999999999998</v>
      </c>
      <c r="R488" s="13">
        <f t="shared" si="166"/>
        <v>0.58207016024252922</v>
      </c>
      <c r="S488">
        <f t="shared" si="167"/>
        <v>3.0915761782002397E-2</v>
      </c>
      <c r="T488" s="4">
        <f t="shared" si="177"/>
        <v>-1.1306633179477841E-3</v>
      </c>
      <c r="U488" t="str">
        <f t="shared" si="168"/>
        <v>No Impact</v>
      </c>
      <c r="V488">
        <f t="shared" si="169"/>
        <v>2.8527875084719982E-2</v>
      </c>
      <c r="W488">
        <f t="shared" si="159"/>
        <v>5.1786465588541136E-2</v>
      </c>
      <c r="X488" t="s">
        <v>1170</v>
      </c>
      <c r="Y488">
        <f t="shared" si="160"/>
        <v>3.3303648479284818E-2</v>
      </c>
      <c r="Z488">
        <f t="shared" si="170"/>
        <v>7.3637705155854841E-2</v>
      </c>
      <c r="AA488" t="s">
        <v>1170</v>
      </c>
      <c r="AB488">
        <f t="shared" si="161"/>
        <v>2.367408682338332E-2</v>
      </c>
      <c r="AC488">
        <f t="shared" si="171"/>
        <v>6.9432687589331438E-2</v>
      </c>
      <c r="AD488" t="str">
        <f t="shared" si="172"/>
        <v>No Impact</v>
      </c>
      <c r="AE488">
        <f t="shared" si="162"/>
        <v>1.0566388571273955E-2</v>
      </c>
      <c r="AF488">
        <f t="shared" si="173"/>
        <v>6.9630515276209684E-2</v>
      </c>
      <c r="AG488" t="s">
        <v>1170</v>
      </c>
    </row>
    <row r="489" spans="1:33" customFormat="1" x14ac:dyDescent="0.3">
      <c r="A489">
        <v>557385</v>
      </c>
      <c r="B489" t="s">
        <v>456</v>
      </c>
      <c r="C489" t="s">
        <v>1037</v>
      </c>
      <c r="D489" t="s">
        <v>1041</v>
      </c>
      <c r="E489" s="21">
        <v>5.9</v>
      </c>
      <c r="F489" s="2">
        <f t="shared" si="174"/>
        <v>0.60000000000000009</v>
      </c>
      <c r="G489" s="10">
        <v>25.54344</v>
      </c>
      <c r="H489">
        <f t="shared" si="175"/>
        <v>0.23314363072393671</v>
      </c>
      <c r="I489" s="12">
        <v>0.2</v>
      </c>
      <c r="J489" s="2">
        <f t="shared" si="163"/>
        <v>4.8473097430925844E-4</v>
      </c>
      <c r="K489" s="10">
        <v>0</v>
      </c>
      <c r="L489" s="2">
        <f t="shared" si="176"/>
        <v>0</v>
      </c>
      <c r="M489">
        <v>25576</v>
      </c>
      <c r="N489">
        <f t="shared" si="164"/>
        <v>0.11988001116615331</v>
      </c>
      <c r="O489" s="10">
        <v>0.75867773400000005</v>
      </c>
      <c r="P489">
        <f t="shared" si="165"/>
        <v>0.74005748648266012</v>
      </c>
      <c r="Q489" s="23">
        <v>0.27839999999999998</v>
      </c>
      <c r="R489" s="13">
        <f t="shared" si="166"/>
        <v>0.60285838025119098</v>
      </c>
      <c r="S489">
        <f t="shared" si="167"/>
        <v>3.2943039553579016E-2</v>
      </c>
      <c r="T489" s="4">
        <f t="shared" si="177"/>
        <v>-1.1306537260433796E-3</v>
      </c>
      <c r="U489" t="str">
        <f t="shared" si="168"/>
        <v>No Impact</v>
      </c>
      <c r="V489">
        <f t="shared" si="169"/>
        <v>2.9577411299970234E-2</v>
      </c>
      <c r="W489">
        <f t="shared" si="159"/>
        <v>5.3691681835232312E-2</v>
      </c>
      <c r="X489" t="s">
        <v>1170</v>
      </c>
      <c r="Y489">
        <f t="shared" si="160"/>
        <v>3.6308667807187806E-2</v>
      </c>
      <c r="Z489">
        <f t="shared" si="170"/>
        <v>8.0282104113927111E-2</v>
      </c>
      <c r="AA489" t="s">
        <v>1170</v>
      </c>
      <c r="AB489">
        <f t="shared" si="161"/>
        <v>2.3303236036915934E-2</v>
      </c>
      <c r="AC489">
        <f t="shared" si="171"/>
        <v>6.834503563505985E-2</v>
      </c>
      <c r="AD489" t="str">
        <f t="shared" si="172"/>
        <v>No Impact</v>
      </c>
      <c r="AE489">
        <f t="shared" si="162"/>
        <v>5.8815478279143256E-3</v>
      </c>
      <c r="AF489">
        <f t="shared" si="173"/>
        <v>3.8758295051983881E-2</v>
      </c>
      <c r="AG489" t="s">
        <v>1170</v>
      </c>
    </row>
    <row r="490" spans="1:33" customFormat="1" x14ac:dyDescent="0.3">
      <c r="A490">
        <v>557704</v>
      </c>
      <c r="B490" t="s">
        <v>18</v>
      </c>
      <c r="C490" t="s">
        <v>1043</v>
      </c>
      <c r="D490" t="s">
        <v>1042</v>
      </c>
      <c r="E490" s="21">
        <v>5.0999999999999996</v>
      </c>
      <c r="F490" s="2">
        <f t="shared" si="174"/>
        <v>0.42222222222222211</v>
      </c>
      <c r="G490" s="10">
        <v>0</v>
      </c>
      <c r="H490">
        <f t="shared" si="175"/>
        <v>0</v>
      </c>
      <c r="I490" s="12">
        <v>0</v>
      </c>
      <c r="J490" s="2">
        <f t="shared" si="163"/>
        <v>0</v>
      </c>
      <c r="K490" s="10">
        <v>0</v>
      </c>
      <c r="L490" s="2">
        <f t="shared" si="176"/>
        <v>0</v>
      </c>
      <c r="M490">
        <v>20430</v>
      </c>
      <c r="N490">
        <f t="shared" si="164"/>
        <v>9.5532119250732184E-2</v>
      </c>
      <c r="O490" s="10">
        <v>0.58595961699999999</v>
      </c>
      <c r="P490">
        <f t="shared" si="165"/>
        <v>0.54984495791902788</v>
      </c>
      <c r="Q490" s="23">
        <v>0.29380000000000001</v>
      </c>
      <c r="R490" s="13">
        <f t="shared" si="166"/>
        <v>0.63620614984841928</v>
      </c>
      <c r="S490">
        <f t="shared" si="167"/>
        <v>0</v>
      </c>
      <c r="T490" s="4">
        <f t="shared" si="177"/>
        <v>-1.1308095934290028E-3</v>
      </c>
      <c r="U490" t="str">
        <f t="shared" si="168"/>
        <v>No Impact</v>
      </c>
      <c r="V490">
        <f t="shared" si="169"/>
        <v>0</v>
      </c>
      <c r="W490">
        <f t="shared" si="159"/>
        <v>0</v>
      </c>
      <c r="X490" t="s">
        <v>1170</v>
      </c>
      <c r="Y490">
        <f t="shared" si="160"/>
        <v>0</v>
      </c>
      <c r="Z490">
        <f t="shared" si="170"/>
        <v>0</v>
      </c>
      <c r="AA490" t="s">
        <v>1170</v>
      </c>
      <c r="AB490">
        <f t="shared" si="161"/>
        <v>0</v>
      </c>
      <c r="AC490">
        <f t="shared" si="171"/>
        <v>0</v>
      </c>
      <c r="AD490" t="str">
        <f t="shared" si="172"/>
        <v>No Impact</v>
      </c>
      <c r="AE490">
        <f t="shared" si="162"/>
        <v>0</v>
      </c>
      <c r="AF490">
        <f t="shared" si="173"/>
        <v>0</v>
      </c>
      <c r="AG490" t="s">
        <v>1170</v>
      </c>
    </row>
    <row r="491" spans="1:33" customFormat="1" x14ac:dyDescent="0.3">
      <c r="A491">
        <v>557725</v>
      </c>
      <c r="B491" t="s">
        <v>86</v>
      </c>
      <c r="C491" t="s">
        <v>1043</v>
      </c>
      <c r="D491" t="s">
        <v>1044</v>
      </c>
      <c r="E491" s="21">
        <v>5.3</v>
      </c>
      <c r="F491" s="2">
        <f t="shared" si="174"/>
        <v>0.46666666666666656</v>
      </c>
      <c r="G491" s="10">
        <v>0</v>
      </c>
      <c r="H491">
        <f t="shared" si="175"/>
        <v>0</v>
      </c>
      <c r="I491" s="12">
        <v>0</v>
      </c>
      <c r="J491" s="2">
        <f t="shared" si="163"/>
        <v>0</v>
      </c>
      <c r="K491" s="10">
        <v>0</v>
      </c>
      <c r="L491" s="2">
        <f t="shared" si="176"/>
        <v>0</v>
      </c>
      <c r="M491">
        <v>33064</v>
      </c>
      <c r="N491">
        <f t="shared" si="164"/>
        <v>0.15530889081300006</v>
      </c>
      <c r="O491" s="10">
        <v>0.74789636199999998</v>
      </c>
      <c r="P491">
        <f t="shared" si="165"/>
        <v>0.72818408220333275</v>
      </c>
      <c r="Q491" s="23">
        <v>0.28799999999999998</v>
      </c>
      <c r="R491" s="13">
        <f t="shared" si="166"/>
        <v>0.62364660025985275</v>
      </c>
      <c r="S491">
        <f t="shared" si="167"/>
        <v>0</v>
      </c>
      <c r="T491" s="4">
        <f t="shared" si="177"/>
        <v>-1.1308095934290028E-3</v>
      </c>
      <c r="U491" t="str">
        <f t="shared" si="168"/>
        <v>No Impact</v>
      </c>
      <c r="V491">
        <f t="shared" si="169"/>
        <v>0</v>
      </c>
      <c r="W491">
        <f t="shared" si="159"/>
        <v>0</v>
      </c>
      <c r="X491" t="s">
        <v>1170</v>
      </c>
      <c r="Y491">
        <f t="shared" si="160"/>
        <v>0</v>
      </c>
      <c r="Z491">
        <f t="shared" si="170"/>
        <v>0</v>
      </c>
      <c r="AA491" t="s">
        <v>1170</v>
      </c>
      <c r="AB491">
        <f t="shared" si="161"/>
        <v>0</v>
      </c>
      <c r="AC491">
        <f t="shared" si="171"/>
        <v>0</v>
      </c>
      <c r="AD491" t="str">
        <f t="shared" si="172"/>
        <v>No Impact</v>
      </c>
      <c r="AE491">
        <f t="shared" si="162"/>
        <v>0</v>
      </c>
      <c r="AF491">
        <f t="shared" si="173"/>
        <v>0</v>
      </c>
      <c r="AG491" t="s">
        <v>1170</v>
      </c>
    </row>
    <row r="492" spans="1:33" customFormat="1" x14ac:dyDescent="0.3">
      <c r="A492">
        <v>557734</v>
      </c>
      <c r="B492" t="s">
        <v>137</v>
      </c>
      <c r="C492" t="s">
        <v>1043</v>
      </c>
      <c r="D492" t="s">
        <v>1045</v>
      </c>
      <c r="E492" s="21">
        <v>5.3</v>
      </c>
      <c r="F492" s="2">
        <f t="shared" si="174"/>
        <v>0.46666666666666656</v>
      </c>
      <c r="G492" s="10">
        <v>0</v>
      </c>
      <c r="H492">
        <f t="shared" si="175"/>
        <v>0</v>
      </c>
      <c r="I492" s="12">
        <v>0</v>
      </c>
      <c r="J492" s="2">
        <f t="shared" si="163"/>
        <v>0</v>
      </c>
      <c r="K492" s="10">
        <v>0</v>
      </c>
      <c r="L492" s="2">
        <f t="shared" si="176"/>
        <v>0</v>
      </c>
      <c r="M492">
        <v>34418</v>
      </c>
      <c r="N492">
        <f t="shared" si="164"/>
        <v>0.16171523470213339</v>
      </c>
      <c r="O492" s="10">
        <v>0.71916983700000003</v>
      </c>
      <c r="P492">
        <f t="shared" si="165"/>
        <v>0.69654788183243377</v>
      </c>
      <c r="Q492" s="23">
        <v>0.27150000000000002</v>
      </c>
      <c r="R492" s="13">
        <f t="shared" si="166"/>
        <v>0.58791684711996539</v>
      </c>
      <c r="S492">
        <f t="shared" si="167"/>
        <v>0</v>
      </c>
      <c r="T492" s="4">
        <f t="shared" si="177"/>
        <v>-1.1308095934290028E-3</v>
      </c>
      <c r="U492" t="str">
        <f t="shared" si="168"/>
        <v>No Impact</v>
      </c>
      <c r="V492">
        <f t="shared" si="169"/>
        <v>0</v>
      </c>
      <c r="W492">
        <f t="shared" si="159"/>
        <v>0</v>
      </c>
      <c r="X492" t="s">
        <v>1170</v>
      </c>
      <c r="Y492">
        <f t="shared" si="160"/>
        <v>0</v>
      </c>
      <c r="Z492">
        <f t="shared" si="170"/>
        <v>0</v>
      </c>
      <c r="AA492" t="s">
        <v>1170</v>
      </c>
      <c r="AB492">
        <f t="shared" si="161"/>
        <v>0</v>
      </c>
      <c r="AC492">
        <f t="shared" si="171"/>
        <v>0</v>
      </c>
      <c r="AD492" t="str">
        <f t="shared" si="172"/>
        <v>No Impact</v>
      </c>
      <c r="AE492">
        <f t="shared" si="162"/>
        <v>0</v>
      </c>
      <c r="AF492">
        <f t="shared" si="173"/>
        <v>0</v>
      </c>
      <c r="AG492" t="s">
        <v>1170</v>
      </c>
    </row>
    <row r="493" spans="1:33" customFormat="1" x14ac:dyDescent="0.3">
      <c r="A493">
        <v>557773</v>
      </c>
      <c r="B493" t="s">
        <v>400</v>
      </c>
      <c r="C493" t="s">
        <v>1043</v>
      </c>
      <c r="D493" t="s">
        <v>1046</v>
      </c>
      <c r="E493" s="21">
        <v>5.5</v>
      </c>
      <c r="F493" s="2">
        <f t="shared" si="174"/>
        <v>0.51111111111111107</v>
      </c>
      <c r="G493" s="10">
        <v>0</v>
      </c>
      <c r="H493">
        <f t="shared" si="175"/>
        <v>0</v>
      </c>
      <c r="I493" s="12">
        <v>0</v>
      </c>
      <c r="J493" s="2">
        <f t="shared" si="163"/>
        <v>0</v>
      </c>
      <c r="K493" s="10">
        <v>0</v>
      </c>
      <c r="L493" s="2">
        <f t="shared" si="176"/>
        <v>0</v>
      </c>
      <c r="M493">
        <v>44101</v>
      </c>
      <c r="N493">
        <f t="shared" si="164"/>
        <v>0.20752958320913353</v>
      </c>
      <c r="O493" s="10">
        <v>0.62526978300000002</v>
      </c>
      <c r="P493">
        <f t="shared" si="165"/>
        <v>0.59313680363267773</v>
      </c>
      <c r="Q493" s="23">
        <v>0.29070000000000001</v>
      </c>
      <c r="R493" s="13">
        <f t="shared" si="166"/>
        <v>0.62949328713728891</v>
      </c>
      <c r="S493">
        <f t="shared" si="167"/>
        <v>0</v>
      </c>
      <c r="T493" s="4">
        <f t="shared" si="177"/>
        <v>-1.1308095934290028E-3</v>
      </c>
      <c r="U493" t="str">
        <f t="shared" si="168"/>
        <v>No Impact</v>
      </c>
      <c r="V493">
        <f t="shared" si="169"/>
        <v>0</v>
      </c>
      <c r="W493">
        <f t="shared" si="159"/>
        <v>0</v>
      </c>
      <c r="X493" t="s">
        <v>1170</v>
      </c>
      <c r="Y493">
        <f t="shared" si="160"/>
        <v>0</v>
      </c>
      <c r="Z493">
        <f t="shared" si="170"/>
        <v>0</v>
      </c>
      <c r="AA493" t="s">
        <v>1170</v>
      </c>
      <c r="AB493">
        <f t="shared" si="161"/>
        <v>0</v>
      </c>
      <c r="AC493">
        <f t="shared" si="171"/>
        <v>0</v>
      </c>
      <c r="AD493" t="str">
        <f t="shared" si="172"/>
        <v>No Impact</v>
      </c>
      <c r="AE493">
        <f t="shared" si="162"/>
        <v>0</v>
      </c>
      <c r="AF493">
        <f t="shared" si="173"/>
        <v>0</v>
      </c>
      <c r="AG493" t="s">
        <v>1170</v>
      </c>
    </row>
    <row r="494" spans="1:33" customFormat="1" x14ac:dyDescent="0.3">
      <c r="A494">
        <v>557790</v>
      </c>
      <c r="B494" t="s">
        <v>523</v>
      </c>
      <c r="C494" t="s">
        <v>1043</v>
      </c>
      <c r="D494" t="s">
        <v>1047</v>
      </c>
      <c r="E494" s="21">
        <v>5.4</v>
      </c>
      <c r="F494" s="2">
        <f t="shared" si="174"/>
        <v>0.48888888888888893</v>
      </c>
      <c r="G494" s="10">
        <v>0</v>
      </c>
      <c r="H494">
        <f t="shared" si="175"/>
        <v>0</v>
      </c>
      <c r="I494" s="12">
        <v>0</v>
      </c>
      <c r="J494" s="2">
        <f t="shared" si="163"/>
        <v>0</v>
      </c>
      <c r="K494" s="10">
        <v>0</v>
      </c>
      <c r="L494" s="2">
        <f t="shared" si="176"/>
        <v>0</v>
      </c>
      <c r="M494">
        <v>24227</v>
      </c>
      <c r="N494">
        <f t="shared" si="164"/>
        <v>0.11349732438148501</v>
      </c>
      <c r="O494" s="10">
        <v>0.86287359799999996</v>
      </c>
      <c r="P494">
        <f t="shared" si="165"/>
        <v>0.85480722496731665</v>
      </c>
      <c r="Q494" s="23">
        <v>0.27829999999999999</v>
      </c>
      <c r="R494" s="13">
        <f t="shared" si="166"/>
        <v>0.60264183629276746</v>
      </c>
      <c r="S494">
        <f t="shared" si="167"/>
        <v>0</v>
      </c>
      <c r="T494" s="4">
        <f t="shared" si="177"/>
        <v>-1.1308095934290028E-3</v>
      </c>
      <c r="U494" t="str">
        <f t="shared" si="168"/>
        <v>No Impact</v>
      </c>
      <c r="V494">
        <f t="shared" si="169"/>
        <v>0</v>
      </c>
      <c r="W494">
        <f t="shared" si="159"/>
        <v>0</v>
      </c>
      <c r="X494" t="s">
        <v>1170</v>
      </c>
      <c r="Y494">
        <f t="shared" si="160"/>
        <v>0</v>
      </c>
      <c r="Z494">
        <f t="shared" si="170"/>
        <v>0</v>
      </c>
      <c r="AA494" t="s">
        <v>1170</v>
      </c>
      <c r="AB494">
        <f t="shared" si="161"/>
        <v>0</v>
      </c>
      <c r="AC494">
        <f t="shared" si="171"/>
        <v>0</v>
      </c>
      <c r="AD494" t="str">
        <f t="shared" si="172"/>
        <v>No Impact</v>
      </c>
      <c r="AE494">
        <f t="shared" si="162"/>
        <v>0</v>
      </c>
      <c r="AF494">
        <f t="shared" si="173"/>
        <v>0</v>
      </c>
      <c r="AG494" t="s">
        <v>1170</v>
      </c>
    </row>
    <row r="495" spans="1:33" customFormat="1" x14ac:dyDescent="0.3">
      <c r="A495">
        <v>558503</v>
      </c>
      <c r="B495" t="s">
        <v>22</v>
      </c>
      <c r="C495" t="s">
        <v>1049</v>
      </c>
      <c r="D495" t="s">
        <v>1048</v>
      </c>
      <c r="E495" s="21">
        <v>6.3</v>
      </c>
      <c r="F495" s="2">
        <f t="shared" si="174"/>
        <v>0.68888888888888877</v>
      </c>
      <c r="G495" s="10">
        <v>25.594560000000001</v>
      </c>
      <c r="H495">
        <f t="shared" si="175"/>
        <v>0.23361022028284531</v>
      </c>
      <c r="I495" s="12">
        <v>0.10000000000000005</v>
      </c>
      <c r="J495" s="2">
        <f t="shared" si="163"/>
        <v>2.4236548715462933E-4</v>
      </c>
      <c r="K495" s="10">
        <v>0</v>
      </c>
      <c r="L495" s="2">
        <f t="shared" si="176"/>
        <v>0</v>
      </c>
      <c r="M495">
        <v>34851</v>
      </c>
      <c r="N495">
        <f t="shared" si="164"/>
        <v>0.16376393994880603</v>
      </c>
      <c r="O495" s="10">
        <v>0.76748575200000002</v>
      </c>
      <c r="P495">
        <f t="shared" si="165"/>
        <v>0.74975765809473238</v>
      </c>
      <c r="Q495" s="23">
        <v>0.28070000000000001</v>
      </c>
      <c r="R495" s="13">
        <f t="shared" si="166"/>
        <v>0.60783889129493285</v>
      </c>
      <c r="S495">
        <f t="shared" si="167"/>
        <v>3.8273671989479431E-2</v>
      </c>
      <c r="T495" s="4">
        <f t="shared" si="177"/>
        <v>-1.1306285045776996E-3</v>
      </c>
      <c r="U495" t="str">
        <f t="shared" si="168"/>
        <v>No Impact</v>
      </c>
      <c r="V495">
        <f t="shared" si="169"/>
        <v>3.4272665702236797E-2</v>
      </c>
      <c r="W495">
        <f t="shared" si="159"/>
        <v>6.2214946530213373E-2</v>
      </c>
      <c r="X495" t="s">
        <v>1170</v>
      </c>
      <c r="Y495">
        <f t="shared" si="160"/>
        <v>4.2274678276722058E-2</v>
      </c>
      <c r="Z495">
        <f t="shared" si="170"/>
        <v>9.3473551296825691E-2</v>
      </c>
      <c r="AA495" t="s">
        <v>1170</v>
      </c>
      <c r="AB495">
        <f t="shared" si="161"/>
        <v>2.7909645757400174E-2</v>
      </c>
      <c r="AC495">
        <f t="shared" si="171"/>
        <v>8.1854972023184217E-2</v>
      </c>
      <c r="AD495" t="str">
        <f t="shared" si="172"/>
        <v>No Impact</v>
      </c>
      <c r="AE495">
        <f t="shared" si="162"/>
        <v>9.2337407960019421E-3</v>
      </c>
      <c r="AF495">
        <f t="shared" si="173"/>
        <v>6.0848616839675372E-2</v>
      </c>
      <c r="AG495" t="s">
        <v>1170</v>
      </c>
    </row>
    <row r="496" spans="1:33" customFormat="1" x14ac:dyDescent="0.3">
      <c r="A496">
        <v>558527</v>
      </c>
      <c r="B496" t="s">
        <v>176</v>
      </c>
      <c r="C496" t="s">
        <v>1049</v>
      </c>
      <c r="D496" t="s">
        <v>1050</v>
      </c>
      <c r="E496" s="21">
        <v>6.3</v>
      </c>
      <c r="F496" s="2">
        <f t="shared" si="174"/>
        <v>0.68888888888888877</v>
      </c>
      <c r="G496" s="10">
        <v>24.99408</v>
      </c>
      <c r="H496">
        <f t="shared" si="175"/>
        <v>0.2281294358866516</v>
      </c>
      <c r="I496" s="12">
        <v>0.1</v>
      </c>
      <c r="J496" s="2">
        <f t="shared" si="163"/>
        <v>2.4236548715462922E-4</v>
      </c>
      <c r="K496" s="10">
        <v>0</v>
      </c>
      <c r="L496" s="2">
        <f t="shared" si="176"/>
        <v>0</v>
      </c>
      <c r="M496">
        <v>23068</v>
      </c>
      <c r="N496">
        <f t="shared" si="164"/>
        <v>0.1080136075664883</v>
      </c>
      <c r="O496" s="10">
        <v>0.67622420800000005</v>
      </c>
      <c r="P496">
        <f t="shared" si="165"/>
        <v>0.64925234141818966</v>
      </c>
      <c r="Q496" s="23">
        <v>0.24979999999999999</v>
      </c>
      <c r="R496" s="13">
        <f t="shared" si="166"/>
        <v>0.54092680814205285</v>
      </c>
      <c r="S496">
        <f t="shared" si="167"/>
        <v>3.2767404625748862E-2</v>
      </c>
      <c r="T496" s="4">
        <f t="shared" si="177"/>
        <v>-1.1306545570461467E-3</v>
      </c>
      <c r="U496" t="str">
        <f t="shared" si="168"/>
        <v>No Impact</v>
      </c>
      <c r="V496">
        <f t="shared" si="169"/>
        <v>2.9785041355924555E-2</v>
      </c>
      <c r="W496">
        <f t="shared" si="159"/>
        <v>5.4068591321687003E-2</v>
      </c>
      <c r="X496" t="s">
        <v>1170</v>
      </c>
      <c r="Y496">
        <f t="shared" si="160"/>
        <v>3.5749767895573166E-2</v>
      </c>
      <c r="Z496">
        <f t="shared" si="170"/>
        <v>7.904632038504493E-2</v>
      </c>
      <c r="AA496" t="s">
        <v>1170</v>
      </c>
      <c r="AB496">
        <f t="shared" si="161"/>
        <v>2.3231337686567068E-2</v>
      </c>
      <c r="AC496">
        <f t="shared" si="171"/>
        <v>6.8134168126834357E-2</v>
      </c>
      <c r="AD496" t="str">
        <f t="shared" si="172"/>
        <v>No Impact</v>
      </c>
      <c r="AE496">
        <f t="shared" si="162"/>
        <v>5.9475509809186469E-3</v>
      </c>
      <c r="AF496">
        <f t="shared" si="173"/>
        <v>3.9193243428389396E-2</v>
      </c>
      <c r="AG496" t="s">
        <v>1170</v>
      </c>
    </row>
    <row r="497" spans="1:33" customFormat="1" x14ac:dyDescent="0.3">
      <c r="A497">
        <v>558542</v>
      </c>
      <c r="B497" t="s">
        <v>264</v>
      </c>
      <c r="C497" t="s">
        <v>1049</v>
      </c>
      <c r="D497" t="s">
        <v>1051</v>
      </c>
      <c r="E497" s="21">
        <v>6.4</v>
      </c>
      <c r="F497" s="2">
        <f t="shared" si="174"/>
        <v>0.71111111111111114</v>
      </c>
      <c r="G497" s="10">
        <v>24.944760000000002</v>
      </c>
      <c r="H497">
        <f t="shared" si="175"/>
        <v>0.22767927553756379</v>
      </c>
      <c r="I497" s="12">
        <v>0.5</v>
      </c>
      <c r="J497" s="2">
        <f t="shared" si="163"/>
        <v>1.211827435773146E-3</v>
      </c>
      <c r="K497" s="10">
        <v>0</v>
      </c>
      <c r="L497" s="2">
        <f t="shared" si="176"/>
        <v>0</v>
      </c>
      <c r="M497">
        <v>14370</v>
      </c>
      <c r="N497">
        <f t="shared" si="164"/>
        <v>6.6859708639101414E-2</v>
      </c>
      <c r="O497" s="10">
        <v>0.62991818499999996</v>
      </c>
      <c r="P497">
        <f t="shared" si="165"/>
        <v>0.59825603671347982</v>
      </c>
      <c r="Q497" s="23">
        <v>0.2681</v>
      </c>
      <c r="R497" s="13">
        <f t="shared" si="166"/>
        <v>0.58055435253356436</v>
      </c>
      <c r="S497">
        <f t="shared" si="167"/>
        <v>3.357750171268075E-2</v>
      </c>
      <c r="T497" s="4">
        <f t="shared" si="177"/>
        <v>-1.1306507241358643E-3</v>
      </c>
      <c r="U497" t="str">
        <f t="shared" si="168"/>
        <v>No Impact</v>
      </c>
      <c r="V497">
        <f t="shared" si="169"/>
        <v>3.3073282937303224E-2</v>
      </c>
      <c r="W497">
        <f t="shared" si="159"/>
        <v>6.0037714819149483E-2</v>
      </c>
      <c r="X497" t="s">
        <v>1170</v>
      </c>
      <c r="Y497">
        <f t="shared" si="160"/>
        <v>3.408172048805827E-2</v>
      </c>
      <c r="Z497">
        <f t="shared" si="170"/>
        <v>7.5358100361434838E-2</v>
      </c>
      <c r="AA497" t="s">
        <v>1170</v>
      </c>
      <c r="AB497">
        <f t="shared" si="161"/>
        <v>2.3133278117209811E-2</v>
      </c>
      <c r="AC497">
        <f t="shared" si="171"/>
        <v>6.7846573530467413E-2</v>
      </c>
      <c r="AD497" t="str">
        <f t="shared" si="172"/>
        <v>No Impact</v>
      </c>
      <c r="AE497">
        <f t="shared" si="162"/>
        <v>3.8088941221034334E-3</v>
      </c>
      <c r="AF497">
        <f t="shared" si="173"/>
        <v>2.509989657919728E-2</v>
      </c>
      <c r="AG497" t="s">
        <v>1170</v>
      </c>
    </row>
    <row r="498" spans="1:33" customFormat="1" x14ac:dyDescent="0.3">
      <c r="A498">
        <v>558549</v>
      </c>
      <c r="B498" t="s">
        <v>439</v>
      </c>
      <c r="C498" t="s">
        <v>1049</v>
      </c>
      <c r="D498" t="s">
        <v>1052</v>
      </c>
      <c r="E498" s="21">
        <v>6.3</v>
      </c>
      <c r="F498" s="2">
        <f t="shared" si="174"/>
        <v>0.68888888888888877</v>
      </c>
      <c r="G498" s="10">
        <v>24.99408</v>
      </c>
      <c r="H498">
        <f t="shared" si="175"/>
        <v>0.2281294358866516</v>
      </c>
      <c r="I498" s="12">
        <v>0.4</v>
      </c>
      <c r="J498" s="2">
        <f t="shared" si="163"/>
        <v>9.6946194861851688E-4</v>
      </c>
      <c r="K498" s="10">
        <v>0</v>
      </c>
      <c r="L498" s="2">
        <f t="shared" si="176"/>
        <v>0</v>
      </c>
      <c r="M498">
        <v>70957</v>
      </c>
      <c r="N498">
        <f t="shared" si="164"/>
        <v>0.33459662271176654</v>
      </c>
      <c r="O498" s="10">
        <v>0.58055679800000004</v>
      </c>
      <c r="P498">
        <f t="shared" si="165"/>
        <v>0.54389489384230094</v>
      </c>
      <c r="Q498" s="23">
        <v>0.26840000000000003</v>
      </c>
      <c r="R498" s="13">
        <f t="shared" si="166"/>
        <v>0.58120398440883503</v>
      </c>
      <c r="S498">
        <f t="shared" si="167"/>
        <v>3.1074268951654646E-2</v>
      </c>
      <c r="T498" s="4">
        <f t="shared" si="177"/>
        <v>-1.1306625679836499E-3</v>
      </c>
      <c r="U498" t="str">
        <f t="shared" si="168"/>
        <v>No Impact</v>
      </c>
      <c r="V498">
        <f t="shared" si="169"/>
        <v>3.2104714130311504E-2</v>
      </c>
      <c r="W498">
        <f t="shared" si="159"/>
        <v>5.8279478180617753E-2</v>
      </c>
      <c r="X498" t="s">
        <v>1170</v>
      </c>
      <c r="Y498">
        <f t="shared" si="160"/>
        <v>3.0043823772997792E-2</v>
      </c>
      <c r="Z498">
        <f t="shared" si="170"/>
        <v>6.6429905964404512E-2</v>
      </c>
      <c r="AA498" t="s">
        <v>1170</v>
      </c>
      <c r="AB498">
        <f t="shared" si="161"/>
        <v>2.6718687902851413E-2</v>
      </c>
      <c r="AC498">
        <f t="shared" si="171"/>
        <v>7.8362064133479736E-2</v>
      </c>
      <c r="AD498" t="str">
        <f t="shared" si="172"/>
        <v>No Impact</v>
      </c>
      <c r="AE498">
        <f t="shared" si="162"/>
        <v>1.8482545215265846E-2</v>
      </c>
      <c r="AF498">
        <f t="shared" si="173"/>
        <v>0.12179650012621497</v>
      </c>
      <c r="AG498" t="s">
        <v>1169</v>
      </c>
    </row>
    <row r="499" spans="1:33" customFormat="1" x14ac:dyDescent="0.3">
      <c r="A499">
        <v>558558</v>
      </c>
      <c r="B499" t="s">
        <v>342</v>
      </c>
      <c r="C499" t="s">
        <v>1049</v>
      </c>
      <c r="D499" t="s">
        <v>1053</v>
      </c>
      <c r="E499" s="21">
        <v>6.3</v>
      </c>
      <c r="F499" s="2">
        <f t="shared" si="174"/>
        <v>0.68888888888888877</v>
      </c>
      <c r="G499" s="10">
        <v>32.023800000000001</v>
      </c>
      <c r="H499">
        <f t="shared" si="175"/>
        <v>0.29229207192050893</v>
      </c>
      <c r="I499" s="12">
        <v>0.29999999999999993</v>
      </c>
      <c r="J499" s="2">
        <f t="shared" si="163"/>
        <v>7.2709646146388749E-4</v>
      </c>
      <c r="K499" s="10">
        <v>0</v>
      </c>
      <c r="L499" s="2">
        <f t="shared" si="176"/>
        <v>0</v>
      </c>
      <c r="M499">
        <v>23688</v>
      </c>
      <c r="N499">
        <f t="shared" si="164"/>
        <v>0.11094708852015349</v>
      </c>
      <c r="O499" s="10">
        <v>0.65306410800000003</v>
      </c>
      <c r="P499">
        <f t="shared" si="165"/>
        <v>0.62374638258014503</v>
      </c>
      <c r="Q499" s="23">
        <v>0.28810000000000002</v>
      </c>
      <c r="R499" s="13">
        <f t="shared" si="166"/>
        <v>0.62386314421827638</v>
      </c>
      <c r="S499">
        <f t="shared" si="167"/>
        <v>4.4071917113174611E-2</v>
      </c>
      <c r="T499" s="4">
        <f t="shared" si="177"/>
        <v>-1.1306010706395786E-3</v>
      </c>
      <c r="U499" t="str">
        <f t="shared" si="168"/>
        <v>No Impact</v>
      </c>
      <c r="V499">
        <f t="shared" si="169"/>
        <v>4.4076041728390504E-2</v>
      </c>
      <c r="W499">
        <f t="shared" si="159"/>
        <v>8.0010951094950877E-2</v>
      </c>
      <c r="X499" t="s">
        <v>1170</v>
      </c>
      <c r="Y499">
        <f t="shared" si="160"/>
        <v>4.4067792497958724E-2</v>
      </c>
      <c r="Z499">
        <f t="shared" si="170"/>
        <v>9.7438306582311202E-2</v>
      </c>
      <c r="AA499" t="s">
        <v>1170</v>
      </c>
      <c r="AB499">
        <f t="shared" si="161"/>
        <v>3.1390403369185603E-2</v>
      </c>
      <c r="AC499">
        <f t="shared" si="171"/>
        <v>9.2063532870167983E-2</v>
      </c>
      <c r="AD499" t="str">
        <f t="shared" si="172"/>
        <v>No Impact</v>
      </c>
      <c r="AE499">
        <f t="shared" si="162"/>
        <v>7.8384314710323328E-3</v>
      </c>
      <c r="AF499">
        <f t="shared" si="173"/>
        <v>5.1653790564644642E-2</v>
      </c>
      <c r="AG499" t="s">
        <v>1170</v>
      </c>
    </row>
    <row r="500" spans="1:33" customFormat="1" x14ac:dyDescent="0.3">
      <c r="A500">
        <v>558573</v>
      </c>
      <c r="B500" t="s">
        <v>417</v>
      </c>
      <c r="C500" t="s">
        <v>1049</v>
      </c>
      <c r="D500" t="s">
        <v>1054</v>
      </c>
      <c r="E500" s="21">
        <v>6.3</v>
      </c>
      <c r="F500" s="2">
        <f t="shared" si="174"/>
        <v>0.68888888888888877</v>
      </c>
      <c r="G500" s="10">
        <v>25.487279999999998</v>
      </c>
      <c r="H500">
        <f t="shared" si="175"/>
        <v>0.2326310393775301</v>
      </c>
      <c r="I500" s="12">
        <v>1.1000000000000001</v>
      </c>
      <c r="J500" s="2">
        <f t="shared" si="163"/>
        <v>2.6660203587009212E-3</v>
      </c>
      <c r="K500" s="10">
        <v>0</v>
      </c>
      <c r="L500" s="2">
        <f t="shared" si="176"/>
        <v>0</v>
      </c>
      <c r="M500">
        <v>13223</v>
      </c>
      <c r="N500">
        <f t="shared" si="164"/>
        <v>6.1432768874820798E-2</v>
      </c>
      <c r="O500" s="10">
        <v>0.72838832799999997</v>
      </c>
      <c r="P500">
        <f t="shared" si="165"/>
        <v>0.70670010276390138</v>
      </c>
      <c r="Q500" s="23">
        <v>0.28960000000000002</v>
      </c>
      <c r="R500" s="13">
        <f t="shared" si="166"/>
        <v>0.62711130359462974</v>
      </c>
      <c r="S500">
        <f t="shared" si="167"/>
        <v>3.7835384871367596E-2</v>
      </c>
      <c r="T500" s="4">
        <f t="shared" si="177"/>
        <v>-1.1306305782985272E-3</v>
      </c>
      <c r="U500" t="str">
        <f t="shared" si="168"/>
        <v>No Impact</v>
      </c>
      <c r="V500">
        <f t="shared" si="169"/>
        <v>3.5577739724786853E-2</v>
      </c>
      <c r="W500">
        <f t="shared" si="159"/>
        <v>6.4584038891932496E-2</v>
      </c>
      <c r="X500" t="s">
        <v>1170</v>
      </c>
      <c r="Y500">
        <f t="shared" si="160"/>
        <v>4.0093030017948339E-2</v>
      </c>
      <c r="Z500">
        <f t="shared" si="170"/>
        <v>8.8649708307572128E-2</v>
      </c>
      <c r="AA500" t="s">
        <v>1170</v>
      </c>
      <c r="AB500">
        <f t="shared" si="161"/>
        <v>2.5699955069027541E-2</v>
      </c>
      <c r="AC500">
        <f t="shared" si="171"/>
        <v>7.5374267429193648E-2</v>
      </c>
      <c r="AD500" t="str">
        <f t="shared" si="172"/>
        <v>No Impact</v>
      </c>
      <c r="AE500">
        <f t="shared" si="162"/>
        <v>3.4852490284789659E-3</v>
      </c>
      <c r="AF500">
        <f t="shared" si="173"/>
        <v>2.2967136224637297E-2</v>
      </c>
      <c r="AG500" t="s">
        <v>1170</v>
      </c>
    </row>
    <row r="501" spans="1:33" customFormat="1" x14ac:dyDescent="0.3">
      <c r="A501">
        <v>558576</v>
      </c>
      <c r="B501" t="s">
        <v>418</v>
      </c>
      <c r="C501" t="s">
        <v>1049</v>
      </c>
      <c r="D501" t="s">
        <v>1151</v>
      </c>
      <c r="E501" s="21">
        <v>6.3</v>
      </c>
      <c r="F501" s="2">
        <f t="shared" si="174"/>
        <v>0.68888888888888877</v>
      </c>
      <c r="G501" s="10">
        <v>32.348880000000001</v>
      </c>
      <c r="H501">
        <f t="shared" si="175"/>
        <v>0.2952591872141318</v>
      </c>
      <c r="I501" s="12">
        <v>0.10000000000000005</v>
      </c>
      <c r="J501" s="2">
        <f t="shared" si="163"/>
        <v>2.4236548715462933E-4</v>
      </c>
      <c r="K501" s="10">
        <v>0</v>
      </c>
      <c r="L501" s="2">
        <f t="shared" si="176"/>
        <v>0</v>
      </c>
      <c r="M501">
        <v>36763</v>
      </c>
      <c r="N501">
        <f t="shared" si="164"/>
        <v>0.17281041669623803</v>
      </c>
      <c r="O501" s="10">
        <v>0.70937620400000001</v>
      </c>
      <c r="P501">
        <f t="shared" si="165"/>
        <v>0.68576226345544422</v>
      </c>
      <c r="Q501" s="23">
        <v>0.30659999999999998</v>
      </c>
      <c r="R501" s="13">
        <f t="shared" si="166"/>
        <v>0.66392377652663492</v>
      </c>
      <c r="S501">
        <f t="shared" si="167"/>
        <v>4.8081693079360117E-2</v>
      </c>
      <c r="T501" s="4">
        <f t="shared" si="177"/>
        <v>-1.1305820987017959E-3</v>
      </c>
      <c r="U501" t="str">
        <f t="shared" si="168"/>
        <v>No Impact</v>
      </c>
      <c r="V501">
        <f t="shared" si="169"/>
        <v>4.7303711093384646E-2</v>
      </c>
      <c r="W501">
        <f t="shared" si="159"/>
        <v>8.5870118243049673E-2</v>
      </c>
      <c r="X501" t="s">
        <v>1170</v>
      </c>
      <c r="Y501">
        <f t="shared" si="160"/>
        <v>4.8859675065335589E-2</v>
      </c>
      <c r="Z501">
        <f t="shared" si="170"/>
        <v>0.10803363927859108</v>
      </c>
      <c r="AA501" t="s">
        <v>1170</v>
      </c>
      <c r="AB501">
        <f t="shared" si="161"/>
        <v>3.5523583006047479E-2</v>
      </c>
      <c r="AC501">
        <f t="shared" si="171"/>
        <v>0.10418555356806303</v>
      </c>
      <c r="AD501" t="str">
        <f t="shared" si="172"/>
        <v>No Impact</v>
      </c>
      <c r="AE501">
        <f t="shared" si="162"/>
        <v>1.2312518867891932E-2</v>
      </c>
      <c r="AF501">
        <f t="shared" si="173"/>
        <v>8.113718583567138E-2</v>
      </c>
      <c r="AG501" t="s">
        <v>1170</v>
      </c>
    </row>
    <row r="502" spans="1:33" customFormat="1" x14ac:dyDescent="0.3">
      <c r="A502">
        <v>558592</v>
      </c>
      <c r="B502" t="s">
        <v>516</v>
      </c>
      <c r="C502" t="s">
        <v>1049</v>
      </c>
      <c r="D502" t="s">
        <v>1055</v>
      </c>
      <c r="E502" s="21">
        <v>6</v>
      </c>
      <c r="F502" s="2">
        <f t="shared" si="174"/>
        <v>0.62222222222222223</v>
      </c>
      <c r="G502" s="10">
        <v>25.54344</v>
      </c>
      <c r="H502">
        <f t="shared" si="175"/>
        <v>0.23314363072393671</v>
      </c>
      <c r="I502" s="12">
        <v>0.4</v>
      </c>
      <c r="J502" s="2">
        <f t="shared" si="163"/>
        <v>9.6946194861851688E-4</v>
      </c>
      <c r="K502" s="10">
        <v>0</v>
      </c>
      <c r="L502" s="2">
        <f t="shared" si="176"/>
        <v>0</v>
      </c>
      <c r="M502">
        <v>16160</v>
      </c>
      <c r="N502">
        <f t="shared" si="164"/>
        <v>7.5328952037586411E-2</v>
      </c>
      <c r="O502" s="10">
        <v>0.77558193399999997</v>
      </c>
      <c r="P502">
        <f t="shared" si="165"/>
        <v>0.75867389268945851</v>
      </c>
      <c r="Q502" s="23">
        <v>0.28789999999999999</v>
      </c>
      <c r="R502" s="13">
        <f t="shared" si="166"/>
        <v>0.62343005630142923</v>
      </c>
      <c r="S502">
        <f t="shared" si="167"/>
        <v>3.5233028588371566E-2</v>
      </c>
      <c r="T502" s="4">
        <f t="shared" si="177"/>
        <v>-1.1306428911414157E-3</v>
      </c>
      <c r="U502" t="str">
        <f t="shared" si="168"/>
        <v>No Impact</v>
      </c>
      <c r="V502">
        <f t="shared" si="169"/>
        <v>3.1785350172186172E-2</v>
      </c>
      <c r="W502">
        <f t="shared" si="159"/>
        <v>5.7699738870256846E-2</v>
      </c>
      <c r="X502" t="s">
        <v>1170</v>
      </c>
      <c r="Y502">
        <f t="shared" si="160"/>
        <v>3.8680707004556961E-2</v>
      </c>
      <c r="Z502">
        <f t="shared" si="170"/>
        <v>8.5526920553262512E-2</v>
      </c>
      <c r="AA502" t="s">
        <v>1170</v>
      </c>
      <c r="AB502">
        <f t="shared" si="161"/>
        <v>2.4073301198910151E-2</v>
      </c>
      <c r="AC502">
        <f t="shared" si="171"/>
        <v>7.0603525865963343E-2</v>
      </c>
      <c r="AD502" t="str">
        <f t="shared" si="172"/>
        <v>No Impact</v>
      </c>
      <c r="AE502">
        <f t="shared" si="162"/>
        <v>3.8406186779368656E-3</v>
      </c>
      <c r="AF502">
        <f t="shared" si="173"/>
        <v>2.5308955441143376E-2</v>
      </c>
      <c r="AG502" t="s">
        <v>1170</v>
      </c>
    </row>
    <row r="503" spans="1:33" customFormat="1" x14ac:dyDescent="0.3">
      <c r="A503">
        <v>559408</v>
      </c>
      <c r="B503" t="s">
        <v>37</v>
      </c>
      <c r="C503" t="s">
        <v>809</v>
      </c>
      <c r="D503" t="s">
        <v>1152</v>
      </c>
      <c r="E503" s="21">
        <v>5.5</v>
      </c>
      <c r="F503" s="2">
        <f t="shared" si="174"/>
        <v>0.51111111111111107</v>
      </c>
      <c r="G503" s="10">
        <v>0</v>
      </c>
      <c r="H503">
        <f t="shared" si="175"/>
        <v>0</v>
      </c>
      <c r="I503" s="12">
        <v>0</v>
      </c>
      <c r="J503" s="2">
        <f t="shared" si="163"/>
        <v>0</v>
      </c>
      <c r="K503" s="10">
        <v>0</v>
      </c>
      <c r="L503" s="2">
        <f t="shared" si="176"/>
        <v>0</v>
      </c>
      <c r="M503">
        <v>24763</v>
      </c>
      <c r="N503">
        <f t="shared" si="164"/>
        <v>0.1160333659801375</v>
      </c>
      <c r="O503" s="10">
        <v>0.95506547600000002</v>
      </c>
      <c r="P503">
        <f t="shared" si="165"/>
        <v>0.95633710806238248</v>
      </c>
      <c r="Q503" s="23">
        <v>0.26050000000000001</v>
      </c>
      <c r="R503" s="13">
        <f t="shared" si="166"/>
        <v>0.56409701169337378</v>
      </c>
      <c r="S503">
        <f t="shared" si="167"/>
        <v>0</v>
      </c>
      <c r="T503" s="4">
        <f t="shared" si="177"/>
        <v>-1.1308095934290028E-3</v>
      </c>
      <c r="U503" t="str">
        <f t="shared" si="168"/>
        <v>No Impact</v>
      </c>
      <c r="V503">
        <f t="shared" si="169"/>
        <v>0</v>
      </c>
      <c r="W503">
        <f t="shared" si="159"/>
        <v>0</v>
      </c>
      <c r="X503" t="s">
        <v>1170</v>
      </c>
      <c r="Y503">
        <f t="shared" si="160"/>
        <v>0</v>
      </c>
      <c r="Z503">
        <f t="shared" si="170"/>
        <v>0</v>
      </c>
      <c r="AA503" t="s">
        <v>1170</v>
      </c>
      <c r="AB503">
        <f t="shared" si="161"/>
        <v>0</v>
      </c>
      <c r="AC503">
        <f t="shared" si="171"/>
        <v>0</v>
      </c>
      <c r="AD503" t="str">
        <f t="shared" si="172"/>
        <v>No Impact</v>
      </c>
      <c r="AE503">
        <f t="shared" si="162"/>
        <v>0</v>
      </c>
      <c r="AF503">
        <f t="shared" si="173"/>
        <v>0</v>
      </c>
      <c r="AG503" t="s">
        <v>1170</v>
      </c>
    </row>
    <row r="504" spans="1:33" customFormat="1" x14ac:dyDescent="0.3">
      <c r="A504">
        <v>559451</v>
      </c>
      <c r="B504" t="s">
        <v>204</v>
      </c>
      <c r="C504" t="s">
        <v>1057</v>
      </c>
      <c r="D504" t="s">
        <v>1058</v>
      </c>
      <c r="E504" s="21">
        <v>5.6</v>
      </c>
      <c r="F504" s="2">
        <f t="shared" si="174"/>
        <v>0.53333333333333321</v>
      </c>
      <c r="G504" s="10">
        <v>27.156600000000001</v>
      </c>
      <c r="H504">
        <f t="shared" si="175"/>
        <v>0.24786748856526999</v>
      </c>
      <c r="I504" s="12">
        <v>0</v>
      </c>
      <c r="J504" s="2">
        <f t="shared" si="163"/>
        <v>0</v>
      </c>
      <c r="K504" s="10">
        <v>0</v>
      </c>
      <c r="L504" s="2">
        <f t="shared" si="176"/>
        <v>0</v>
      </c>
      <c r="M504">
        <v>7570</v>
      </c>
      <c r="N504">
        <f t="shared" si="164"/>
        <v>3.4686046566644431E-2</v>
      </c>
      <c r="O504" s="10">
        <v>0.80998207700000002</v>
      </c>
      <c r="P504">
        <f t="shared" si="165"/>
        <v>0.79655838504401877</v>
      </c>
      <c r="Q504" s="23">
        <v>0.25700000000000001</v>
      </c>
      <c r="R504" s="13">
        <f t="shared" si="166"/>
        <v>0.55651797314854923</v>
      </c>
      <c r="S504">
        <f t="shared" si="167"/>
        <v>3.1302472949275122E-2</v>
      </c>
      <c r="T504" s="4">
        <f t="shared" si="177"/>
        <v>-1.1306614882544877E-3</v>
      </c>
      <c r="U504" t="str">
        <f t="shared" si="168"/>
        <v>No Impact</v>
      </c>
      <c r="V504">
        <f t="shared" si="169"/>
        <v>2.5749306304542838E-2</v>
      </c>
      <c r="W504">
        <f t="shared" si="159"/>
        <v>4.674254780312187E-2</v>
      </c>
      <c r="X504" t="s">
        <v>1170</v>
      </c>
      <c r="Y504">
        <f t="shared" si="160"/>
        <v>3.6855639594007401E-2</v>
      </c>
      <c r="Z504">
        <f t="shared" si="170"/>
        <v>8.1491513563208495E-2</v>
      </c>
      <c r="AA504" t="s">
        <v>1170</v>
      </c>
      <c r="AB504">
        <f t="shared" si="161"/>
        <v>2.0630655243840047E-2</v>
      </c>
      <c r="AC504">
        <f t="shared" si="171"/>
        <v>6.0506741020054877E-2</v>
      </c>
      <c r="AD504" t="str">
        <f t="shared" si="172"/>
        <v>No Impact</v>
      </c>
      <c r="AE504">
        <f t="shared" si="162"/>
        <v>1.6048747401366695E-3</v>
      </c>
      <c r="AF504">
        <f t="shared" si="173"/>
        <v>1.057582298395603E-2</v>
      </c>
      <c r="AG504" t="s">
        <v>1170</v>
      </c>
    </row>
    <row r="505" spans="1:33" customFormat="1" x14ac:dyDescent="0.3">
      <c r="A505">
        <v>559482</v>
      </c>
      <c r="B505" t="s">
        <v>419</v>
      </c>
      <c r="C505" t="s">
        <v>1057</v>
      </c>
      <c r="D505" t="s">
        <v>1151</v>
      </c>
      <c r="E505" s="21">
        <v>5.6</v>
      </c>
      <c r="F505" s="2">
        <f t="shared" si="174"/>
        <v>0.53333333333333321</v>
      </c>
      <c r="G505" s="10">
        <v>27.156600000000001</v>
      </c>
      <c r="H505">
        <f t="shared" si="175"/>
        <v>0.24786748856526999</v>
      </c>
      <c r="I505" s="12">
        <v>0</v>
      </c>
      <c r="J505" s="2">
        <f t="shared" si="163"/>
        <v>0</v>
      </c>
      <c r="K505" s="10">
        <v>0</v>
      </c>
      <c r="L505" s="2">
        <f t="shared" si="176"/>
        <v>0</v>
      </c>
      <c r="M505">
        <v>41019</v>
      </c>
      <c r="N505">
        <f t="shared" si="164"/>
        <v>0.19294734401688171</v>
      </c>
      <c r="O505" s="10">
        <v>0.697872618</v>
      </c>
      <c r="P505">
        <f t="shared" si="165"/>
        <v>0.67309349298355903</v>
      </c>
      <c r="Q505" s="23">
        <v>0.26669999999999999</v>
      </c>
      <c r="R505" s="13">
        <f t="shared" si="166"/>
        <v>0.57752273711563451</v>
      </c>
      <c r="S505">
        <f t="shared" si="167"/>
        <v>2.8932129717274258E-2</v>
      </c>
      <c r="T505" s="4">
        <f t="shared" si="177"/>
        <v>-1.1306727033459792E-3</v>
      </c>
      <c r="U505" t="str">
        <f t="shared" si="168"/>
        <v>No Impact</v>
      </c>
      <c r="V505">
        <f t="shared" si="169"/>
        <v>2.6721167281796014E-2</v>
      </c>
      <c r="W505">
        <f t="shared" si="159"/>
        <v>4.8506760696858379E-2</v>
      </c>
      <c r="X505" t="s">
        <v>1170</v>
      </c>
      <c r="Y505">
        <f t="shared" si="160"/>
        <v>3.1143092152752513E-2</v>
      </c>
      <c r="Z505">
        <f t="shared" si="170"/>
        <v>6.8860498543048931E-2</v>
      </c>
      <c r="AA505" t="s">
        <v>1170</v>
      </c>
      <c r="AB505">
        <f t="shared" si="161"/>
        <v>2.1819927268792196E-2</v>
      </c>
      <c r="AC505">
        <f t="shared" si="171"/>
        <v>6.3994704614311615E-2</v>
      </c>
      <c r="AD505" t="str">
        <f t="shared" si="172"/>
        <v>No Impact</v>
      </c>
      <c r="AE505">
        <f t="shared" si="162"/>
        <v>8.9274030695366772E-3</v>
      </c>
      <c r="AF505">
        <f t="shared" si="173"/>
        <v>5.8829908782666335E-2</v>
      </c>
      <c r="AG505" t="s">
        <v>1170</v>
      </c>
    </row>
    <row r="506" spans="1:33" customFormat="1" x14ac:dyDescent="0.3">
      <c r="A506">
        <v>559486</v>
      </c>
      <c r="B506" t="s">
        <v>442</v>
      </c>
      <c r="C506" t="s">
        <v>1057</v>
      </c>
      <c r="D506" t="s">
        <v>1059</v>
      </c>
      <c r="E506" s="21">
        <v>5.7</v>
      </c>
      <c r="F506" s="2">
        <f t="shared" si="174"/>
        <v>0.55555555555555558</v>
      </c>
      <c r="G506" s="10">
        <v>27.156600000000001</v>
      </c>
      <c r="H506">
        <f t="shared" si="175"/>
        <v>0.24786748856526999</v>
      </c>
      <c r="I506" s="12">
        <v>0</v>
      </c>
      <c r="J506" s="2">
        <f t="shared" si="163"/>
        <v>0</v>
      </c>
      <c r="K506" s="10">
        <v>0</v>
      </c>
      <c r="L506" s="2">
        <f t="shared" si="176"/>
        <v>0</v>
      </c>
      <c r="M506">
        <v>19234</v>
      </c>
      <c r="N506">
        <f t="shared" si="164"/>
        <v>8.9873339862694163E-2</v>
      </c>
      <c r="O506" s="10">
        <v>0.68167785999999997</v>
      </c>
      <c r="P506">
        <f t="shared" si="165"/>
        <v>0.655258387308709</v>
      </c>
      <c r="Q506" s="23">
        <v>0.26400000000000001</v>
      </c>
      <c r="R506" s="13">
        <f t="shared" si="166"/>
        <v>0.57167605023819834</v>
      </c>
      <c r="S506">
        <f t="shared" si="167"/>
        <v>2.9566945884485531E-2</v>
      </c>
      <c r="T506" s="4">
        <f t="shared" si="177"/>
        <v>-1.1306696997635023E-3</v>
      </c>
      <c r="U506" t="str">
        <f t="shared" si="168"/>
        <v>No Impact</v>
      </c>
      <c r="V506">
        <f t="shared" si="169"/>
        <v>2.7552759664394095E-2</v>
      </c>
      <c r="W506">
        <f t="shared" si="159"/>
        <v>5.0016344925519519E-2</v>
      </c>
      <c r="X506" t="s">
        <v>1170</v>
      </c>
      <c r="Y506">
        <f t="shared" si="160"/>
        <v>3.158113210457697E-2</v>
      </c>
      <c r="Z506">
        <f t="shared" si="170"/>
        <v>6.9829048785794795E-2</v>
      </c>
      <c r="AA506" t="s">
        <v>1170</v>
      </c>
      <c r="AB506">
        <f t="shared" si="161"/>
        <v>2.063385728196131E-2</v>
      </c>
      <c r="AC506">
        <f t="shared" si="171"/>
        <v>6.0516132136771712E-2</v>
      </c>
      <c r="AD506" t="str">
        <f t="shared" si="172"/>
        <v>No Impact</v>
      </c>
      <c r="AE506">
        <f t="shared" si="162"/>
        <v>4.3315764801436889E-3</v>
      </c>
      <c r="AF506">
        <f t="shared" si="173"/>
        <v>2.8544275107455334E-2</v>
      </c>
      <c r="AG506" t="s">
        <v>1170</v>
      </c>
    </row>
    <row r="507" spans="1:33" customFormat="1" x14ac:dyDescent="0.3">
      <c r="A507">
        <v>559494</v>
      </c>
      <c r="B507" t="s">
        <v>525</v>
      </c>
      <c r="C507" t="s">
        <v>1057</v>
      </c>
      <c r="D507" t="s">
        <v>1060</v>
      </c>
      <c r="E507" s="21">
        <v>5.7</v>
      </c>
      <c r="F507" s="2">
        <f t="shared" si="174"/>
        <v>0.55555555555555558</v>
      </c>
      <c r="G507" s="10">
        <v>0</v>
      </c>
      <c r="H507">
        <f t="shared" si="175"/>
        <v>0</v>
      </c>
      <c r="I507" s="12">
        <v>0</v>
      </c>
      <c r="J507" s="2">
        <f t="shared" si="163"/>
        <v>0</v>
      </c>
      <c r="K507" s="10">
        <v>0</v>
      </c>
      <c r="L507" s="2">
        <f t="shared" si="176"/>
        <v>0</v>
      </c>
      <c r="M507">
        <v>95551</v>
      </c>
      <c r="N507">
        <f t="shared" si="164"/>
        <v>0.45096118815441466</v>
      </c>
      <c r="O507" s="10">
        <v>0.77834855800000002</v>
      </c>
      <c r="P507">
        <f t="shared" si="165"/>
        <v>0.7617207447265546</v>
      </c>
      <c r="Q507" s="23">
        <v>0.2742</v>
      </c>
      <c r="R507" s="13">
        <f t="shared" si="166"/>
        <v>0.59376353399740145</v>
      </c>
      <c r="S507">
        <f t="shared" si="167"/>
        <v>0</v>
      </c>
      <c r="T507" s="4">
        <f t="shared" si="177"/>
        <v>-1.1308095934290028E-3</v>
      </c>
      <c r="U507" t="str">
        <f t="shared" si="168"/>
        <v>No Impact</v>
      </c>
      <c r="V507">
        <f t="shared" si="169"/>
        <v>0</v>
      </c>
      <c r="W507">
        <f t="shared" si="159"/>
        <v>0</v>
      </c>
      <c r="X507" t="s">
        <v>1170</v>
      </c>
      <c r="Y507">
        <f t="shared" si="160"/>
        <v>0</v>
      </c>
      <c r="Z507">
        <f t="shared" si="170"/>
        <v>0</v>
      </c>
      <c r="AA507" t="s">
        <v>1170</v>
      </c>
      <c r="AB507">
        <f t="shared" si="161"/>
        <v>0</v>
      </c>
      <c r="AC507">
        <f t="shared" si="171"/>
        <v>0</v>
      </c>
      <c r="AD507" t="str">
        <f t="shared" si="172"/>
        <v>No Impact</v>
      </c>
      <c r="AE507">
        <f t="shared" si="162"/>
        <v>0</v>
      </c>
      <c r="AF507">
        <f t="shared" si="173"/>
        <v>0</v>
      </c>
      <c r="AG507" t="s">
        <v>1170</v>
      </c>
    </row>
    <row r="508" spans="1:33" customFormat="1" x14ac:dyDescent="0.3">
      <c r="A508">
        <v>603602</v>
      </c>
      <c r="B508" t="s">
        <v>5</v>
      </c>
      <c r="C508" t="s">
        <v>1062</v>
      </c>
      <c r="D508" t="s">
        <v>1061</v>
      </c>
      <c r="E508" s="21">
        <v>5.7</v>
      </c>
      <c r="F508" s="2">
        <f t="shared" si="174"/>
        <v>0.55555555555555558</v>
      </c>
      <c r="G508" s="10">
        <v>29.341079999999998</v>
      </c>
      <c r="H508">
        <f t="shared" si="175"/>
        <v>0.26780597760370117</v>
      </c>
      <c r="I508" s="12">
        <v>40.800000000000004</v>
      </c>
      <c r="J508" s="2">
        <f t="shared" si="163"/>
        <v>9.888511875908873E-2</v>
      </c>
      <c r="K508" s="10">
        <v>0</v>
      </c>
      <c r="L508" s="2">
        <f t="shared" si="176"/>
        <v>0</v>
      </c>
      <c r="M508">
        <v>7462</v>
      </c>
      <c r="N508">
        <f t="shared" si="164"/>
        <v>3.4175053110199527E-2</v>
      </c>
      <c r="O508" s="10">
        <v>0.75686461000000005</v>
      </c>
      <c r="P508">
        <f t="shared" si="165"/>
        <v>0.73806071332052903</v>
      </c>
      <c r="Q508" s="23">
        <v>0.26629999999999998</v>
      </c>
      <c r="R508" s="13">
        <f t="shared" si="166"/>
        <v>0.57665656128194021</v>
      </c>
      <c r="S508">
        <f t="shared" si="167"/>
        <v>4.6870358775243752E-2</v>
      </c>
      <c r="T508" s="4">
        <f t="shared" si="177"/>
        <v>-1.1305878300342308E-3</v>
      </c>
      <c r="U508" t="str">
        <f t="shared" si="168"/>
        <v>No Impact</v>
      </c>
      <c r="V508">
        <f t="shared" si="169"/>
        <v>4.1116216299136032E-2</v>
      </c>
      <c r="W508">
        <f t="shared" si="159"/>
        <v>7.4637999296578952E-2</v>
      </c>
      <c r="X508" t="s">
        <v>1170</v>
      </c>
      <c r="Y508">
        <f t="shared" si="160"/>
        <v>5.2624501251351478E-2</v>
      </c>
      <c r="Z508">
        <f t="shared" si="170"/>
        <v>0.11635804736322845</v>
      </c>
      <c r="AA508" t="s">
        <v>1170</v>
      </c>
      <c r="AB508">
        <f t="shared" si="161"/>
        <v>3.1030877048114924E-2</v>
      </c>
      <c r="AC508">
        <f t="shared" si="171"/>
        <v>9.1009093942184247E-2</v>
      </c>
      <c r="AD508" t="str">
        <f t="shared" si="172"/>
        <v>No Impact</v>
      </c>
      <c r="AE508">
        <f t="shared" si="162"/>
        <v>2.4367170514624855E-3</v>
      </c>
      <c r="AF508">
        <f t="shared" si="173"/>
        <v>1.6057507513676707E-2</v>
      </c>
      <c r="AG508" t="s">
        <v>1170</v>
      </c>
    </row>
    <row r="509" spans="1:33" customFormat="1" x14ac:dyDescent="0.3">
      <c r="A509">
        <v>603605</v>
      </c>
      <c r="B509" t="s">
        <v>30</v>
      </c>
      <c r="C509" t="s">
        <v>1062</v>
      </c>
      <c r="D509" t="s">
        <v>1063</v>
      </c>
      <c r="E509" s="21">
        <v>5.6</v>
      </c>
      <c r="F509" s="2">
        <f t="shared" si="174"/>
        <v>0.53333333333333321</v>
      </c>
      <c r="G509" s="10">
        <v>28.495440000000002</v>
      </c>
      <c r="H509">
        <f t="shared" si="175"/>
        <v>0.26008753482992486</v>
      </c>
      <c r="I509" s="12">
        <v>45</v>
      </c>
      <c r="J509" s="2">
        <f t="shared" si="163"/>
        <v>0.10906446921958314</v>
      </c>
      <c r="K509" s="10">
        <v>0</v>
      </c>
      <c r="L509" s="2">
        <f t="shared" si="176"/>
        <v>0</v>
      </c>
      <c r="M509">
        <v>12557</v>
      </c>
      <c r="N509">
        <f t="shared" si="164"/>
        <v>5.8281642560077215E-2</v>
      </c>
      <c r="O509" s="10">
        <v>0.62515933000000001</v>
      </c>
      <c r="P509">
        <f t="shared" si="165"/>
        <v>0.59301516298036894</v>
      </c>
      <c r="Q509" s="23">
        <v>0.33179999999999998</v>
      </c>
      <c r="R509" s="13">
        <f t="shared" si="166"/>
        <v>0.71849285404937202</v>
      </c>
      <c r="S509">
        <f t="shared" si="167"/>
        <v>4.5186942529262329E-2</v>
      </c>
      <c r="T509" s="4">
        <f t="shared" si="177"/>
        <v>-1.1305957949850286E-3</v>
      </c>
      <c r="U509" t="str">
        <f t="shared" si="168"/>
        <v>No Impact</v>
      </c>
      <c r="V509">
        <f t="shared" si="169"/>
        <v>4.9510174367280897E-2</v>
      </c>
      <c r="W509">
        <f t="shared" si="159"/>
        <v>8.9875496634068019E-2</v>
      </c>
      <c r="X509" t="s">
        <v>1170</v>
      </c>
      <c r="Y509">
        <f t="shared" si="160"/>
        <v>4.0863710691243761E-2</v>
      </c>
      <c r="Z509">
        <f t="shared" si="170"/>
        <v>9.0353760529500421E-2</v>
      </c>
      <c r="AA509" t="s">
        <v>1170</v>
      </c>
      <c r="AB509">
        <f t="shared" si="161"/>
        <v>3.099330686574428E-2</v>
      </c>
      <c r="AC509">
        <f t="shared" si="171"/>
        <v>9.0898906007389702E-2</v>
      </c>
      <c r="AD509" t="str">
        <f t="shared" si="172"/>
        <v>No Impact</v>
      </c>
      <c r="AE509">
        <f t="shared" si="162"/>
        <v>4.0160932280652569E-3</v>
      </c>
      <c r="AF509">
        <f t="shared" si="173"/>
        <v>2.6465299755086002E-2</v>
      </c>
      <c r="AG509" t="s">
        <v>1170</v>
      </c>
    </row>
    <row r="510" spans="1:33" customFormat="1" x14ac:dyDescent="0.3">
      <c r="A510">
        <v>603611</v>
      </c>
      <c r="B510" t="s">
        <v>44</v>
      </c>
      <c r="C510" t="s">
        <v>1062</v>
      </c>
      <c r="D510" t="s">
        <v>1064</v>
      </c>
      <c r="E510" s="21">
        <v>5.7</v>
      </c>
      <c r="F510" s="2">
        <f t="shared" si="174"/>
        <v>0.55555555555555558</v>
      </c>
      <c r="G510" s="10">
        <v>29.341079999999998</v>
      </c>
      <c r="H510">
        <f t="shared" si="175"/>
        <v>0.26780597760370117</v>
      </c>
      <c r="I510" s="12">
        <v>45.6</v>
      </c>
      <c r="J510" s="2">
        <f t="shared" si="163"/>
        <v>0.11051866214251092</v>
      </c>
      <c r="K510" s="10">
        <v>0</v>
      </c>
      <c r="L510" s="2">
        <f t="shared" si="176"/>
        <v>0</v>
      </c>
      <c r="M510">
        <v>22652</v>
      </c>
      <c r="N510">
        <f t="shared" si="164"/>
        <v>0.10604533647499681</v>
      </c>
      <c r="O510" s="10">
        <v>0.70385863199999998</v>
      </c>
      <c r="P510">
        <f t="shared" si="165"/>
        <v>0.67968582318454951</v>
      </c>
      <c r="Q510" s="23">
        <v>0.24349999999999999</v>
      </c>
      <c r="R510" s="13">
        <f t="shared" si="166"/>
        <v>0.5272845387613686</v>
      </c>
      <c r="S510">
        <f t="shared" si="167"/>
        <v>4.439425543851129E-2</v>
      </c>
      <c r="T510" s="4">
        <f t="shared" si="177"/>
        <v>-1.1305995455212915E-3</v>
      </c>
      <c r="U510" t="str">
        <f t="shared" si="168"/>
        <v>No Impact</v>
      </c>
      <c r="V510">
        <f t="shared" si="169"/>
        <v>3.8788698116513795E-2</v>
      </c>
      <c r="W510">
        <f t="shared" si="159"/>
        <v>7.0412870719244777E-2</v>
      </c>
      <c r="X510" t="s">
        <v>1170</v>
      </c>
      <c r="Y510">
        <f t="shared" si="160"/>
        <v>4.9999812760508779E-2</v>
      </c>
      <c r="Z510">
        <f t="shared" si="170"/>
        <v>0.11055459801037873</v>
      </c>
      <c r="AA510" t="s">
        <v>1170</v>
      </c>
      <c r="AB510">
        <f t="shared" si="161"/>
        <v>3.1306347366452991E-2</v>
      </c>
      <c r="AC510">
        <f t="shared" si="171"/>
        <v>9.1817008718200394E-2</v>
      </c>
      <c r="AD510" t="str">
        <f t="shared" si="172"/>
        <v>No Impact</v>
      </c>
      <c r="AE510">
        <f t="shared" si="162"/>
        <v>7.801026278630086E-3</v>
      </c>
      <c r="AF510">
        <f t="shared" si="173"/>
        <v>5.1407297375093107E-2</v>
      </c>
      <c r="AG510" t="s">
        <v>1170</v>
      </c>
    </row>
    <row r="511" spans="1:33" customFormat="1" x14ac:dyDescent="0.3">
      <c r="A511">
        <v>603626</v>
      </c>
      <c r="B511" t="s">
        <v>115</v>
      </c>
      <c r="C511" t="s">
        <v>1062</v>
      </c>
      <c r="D511" t="s">
        <v>1065</v>
      </c>
      <c r="E511" s="21">
        <v>5.2</v>
      </c>
      <c r="F511" s="2">
        <f t="shared" si="174"/>
        <v>0.44444444444444442</v>
      </c>
      <c r="G511" s="10">
        <v>37.735199999999999</v>
      </c>
      <c r="H511">
        <f t="shared" si="175"/>
        <v>0.34442195468166764</v>
      </c>
      <c r="I511" s="12">
        <v>56.800000000000004</v>
      </c>
      <c r="J511" s="2">
        <f t="shared" si="163"/>
        <v>0.13766359670382938</v>
      </c>
      <c r="K511" s="10">
        <v>0</v>
      </c>
      <c r="L511" s="2">
        <f t="shared" si="176"/>
        <v>0</v>
      </c>
      <c r="M511">
        <v>8086</v>
      </c>
      <c r="N511">
        <f t="shared" si="164"/>
        <v>3.7127459747436753E-2</v>
      </c>
      <c r="O511" s="10">
        <v>0.565529163</v>
      </c>
      <c r="P511">
        <f t="shared" si="165"/>
        <v>0.52734512766067132</v>
      </c>
      <c r="Q511" s="23">
        <v>0.39050000000000001</v>
      </c>
      <c r="R511" s="13">
        <f t="shared" si="166"/>
        <v>0.84560415764400176</v>
      </c>
      <c r="S511">
        <f t="shared" si="167"/>
        <v>5.1479478806811009E-2</v>
      </c>
      <c r="T511" s="4">
        <f t="shared" si="177"/>
        <v>-1.1305660223474149E-3</v>
      </c>
      <c r="U511" t="str">
        <f t="shared" si="168"/>
        <v>No Impact</v>
      </c>
      <c r="V511">
        <f t="shared" si="169"/>
        <v>6.3412773914260909E-2</v>
      </c>
      <c r="W511">
        <f t="shared" si="159"/>
        <v>0.11511279492189508</v>
      </c>
      <c r="X511" t="s">
        <v>1170</v>
      </c>
      <c r="Y511">
        <f t="shared" si="160"/>
        <v>3.9546183699361116E-2</v>
      </c>
      <c r="Z511">
        <f t="shared" si="170"/>
        <v>8.7440576281129501E-2</v>
      </c>
      <c r="AA511" t="s">
        <v>1170</v>
      </c>
      <c r="AB511">
        <f t="shared" si="161"/>
        <v>3.503280596123344E-2</v>
      </c>
      <c r="AC511">
        <f t="shared" si="171"/>
        <v>0.10274617516741734</v>
      </c>
      <c r="AD511" t="str">
        <f t="shared" si="172"/>
        <v>No Impact</v>
      </c>
      <c r="AE511">
        <f t="shared" si="162"/>
        <v>2.7842285183822496E-3</v>
      </c>
      <c r="AF511">
        <f t="shared" si="173"/>
        <v>1.8347542783797126E-2</v>
      </c>
      <c r="AG511" t="s">
        <v>1170</v>
      </c>
    </row>
    <row r="512" spans="1:33" customFormat="1" x14ac:dyDescent="0.3">
      <c r="A512">
        <v>603644</v>
      </c>
      <c r="B512" t="s">
        <v>197</v>
      </c>
      <c r="C512" t="s">
        <v>1062</v>
      </c>
      <c r="D512" t="s">
        <v>1066</v>
      </c>
      <c r="E512" s="21">
        <v>5.7</v>
      </c>
      <c r="F512" s="2">
        <f t="shared" si="174"/>
        <v>0.55555555555555558</v>
      </c>
      <c r="G512" s="10">
        <v>28.248840000000001</v>
      </c>
      <c r="H512">
        <f t="shared" si="175"/>
        <v>0.25783673308448557</v>
      </c>
      <c r="I512" s="12">
        <v>45.699999999999996</v>
      </c>
      <c r="J512" s="2">
        <f t="shared" si="163"/>
        <v>0.11076102762966554</v>
      </c>
      <c r="K512" s="10">
        <v>0</v>
      </c>
      <c r="L512" s="2">
        <f t="shared" si="176"/>
        <v>0</v>
      </c>
      <c r="M512">
        <v>33136</v>
      </c>
      <c r="N512">
        <f t="shared" si="164"/>
        <v>0.15564955311729667</v>
      </c>
      <c r="O512" s="10">
        <v>0.66296292999999995</v>
      </c>
      <c r="P512">
        <f t="shared" si="165"/>
        <v>0.63464784442517708</v>
      </c>
      <c r="Q512" s="23">
        <v>0.30669999999999997</v>
      </c>
      <c r="R512" s="13">
        <f t="shared" si="166"/>
        <v>0.66414032048505844</v>
      </c>
      <c r="S512">
        <f t="shared" si="167"/>
        <v>4.6543234230495563E-2</v>
      </c>
      <c r="T512" s="4">
        <f t="shared" si="177"/>
        <v>-1.1305893777981363E-3</v>
      </c>
      <c r="U512" t="str">
        <f t="shared" si="168"/>
        <v>No Impact</v>
      </c>
      <c r="V512">
        <f t="shared" si="169"/>
        <v>4.7600123458761065E-2</v>
      </c>
      <c r="W512">
        <f t="shared" si="159"/>
        <v>8.6408193676778905E-2</v>
      </c>
      <c r="X512" t="s">
        <v>1170</v>
      </c>
      <c r="Y512">
        <f t="shared" si="160"/>
        <v>4.5486345002230068E-2</v>
      </c>
      <c r="Z512">
        <f t="shared" si="170"/>
        <v>0.10057486836540254</v>
      </c>
      <c r="AA512" t="s">
        <v>1170</v>
      </c>
      <c r="AB512">
        <f t="shared" si="161"/>
        <v>3.4210435266824976E-2</v>
      </c>
      <c r="AC512">
        <f t="shared" si="171"/>
        <v>0.10033428034192882</v>
      </c>
      <c r="AD512" t="str">
        <f t="shared" si="172"/>
        <v>No Impact</v>
      </c>
      <c r="AE512">
        <f t="shared" si="162"/>
        <v>1.1155681587398807E-2</v>
      </c>
      <c r="AF512">
        <f t="shared" si="173"/>
        <v>7.3513845525202973E-2</v>
      </c>
      <c r="AG512" t="s">
        <v>1170</v>
      </c>
    </row>
    <row r="513" spans="1:33" customFormat="1" x14ac:dyDescent="0.3">
      <c r="A513">
        <v>603668</v>
      </c>
      <c r="B513" t="s">
        <v>296</v>
      </c>
      <c r="C513" t="s">
        <v>1062</v>
      </c>
      <c r="D513" t="s">
        <v>1067</v>
      </c>
      <c r="E513" s="21">
        <v>5.6</v>
      </c>
      <c r="F513" s="2">
        <f t="shared" si="174"/>
        <v>0.53333333333333321</v>
      </c>
      <c r="G513" s="10">
        <v>37.735199999999999</v>
      </c>
      <c r="H513">
        <f t="shared" si="175"/>
        <v>0.34442195468166764</v>
      </c>
      <c r="I513" s="12">
        <v>53.699999999999996</v>
      </c>
      <c r="J513" s="2">
        <f t="shared" si="163"/>
        <v>0.13015026660203588</v>
      </c>
      <c r="K513" s="10">
        <v>0</v>
      </c>
      <c r="L513" s="2">
        <f t="shared" si="176"/>
        <v>0</v>
      </c>
      <c r="M513">
        <v>9664</v>
      </c>
      <c r="N513">
        <f t="shared" si="164"/>
        <v>4.4593641916603977E-2</v>
      </c>
      <c r="O513" s="10">
        <v>0.57147596499999997</v>
      </c>
      <c r="P513">
        <f t="shared" si="165"/>
        <v>0.53389427412506485</v>
      </c>
      <c r="Q513" s="23">
        <v>0.26369999999999999</v>
      </c>
      <c r="R513" s="13">
        <f t="shared" si="166"/>
        <v>0.57102641836292767</v>
      </c>
      <c r="S513">
        <f t="shared" si="167"/>
        <v>4.8940702288459745E-2</v>
      </c>
      <c r="T513" s="4">
        <f t="shared" si="177"/>
        <v>-1.1305780343676766E-3</v>
      </c>
      <c r="U513" t="str">
        <f t="shared" si="168"/>
        <v>No Impact</v>
      </c>
      <c r="V513">
        <f t="shared" si="169"/>
        <v>5.0585411477845427E-2</v>
      </c>
      <c r="W513">
        <f t="shared" si="159"/>
        <v>9.182736754840741E-2</v>
      </c>
      <c r="X513" t="s">
        <v>1170</v>
      </c>
      <c r="Y513">
        <f t="shared" si="160"/>
        <v>4.7295993099074063E-2</v>
      </c>
      <c r="Z513">
        <f t="shared" si="170"/>
        <v>0.10457618170721672</v>
      </c>
      <c r="AA513" t="s">
        <v>1170</v>
      </c>
      <c r="AB513">
        <f t="shared" si="161"/>
        <v>3.3276334988668312E-2</v>
      </c>
      <c r="AC513">
        <f t="shared" si="171"/>
        <v>9.7594698736343979E-2</v>
      </c>
      <c r="AD513" t="str">
        <f t="shared" si="172"/>
        <v>No Impact</v>
      </c>
      <c r="AE513">
        <f t="shared" si="162"/>
        <v>3.9504086905719918E-3</v>
      </c>
      <c r="AF513">
        <f t="shared" si="173"/>
        <v>2.6032450995030973E-2</v>
      </c>
      <c r="AG513" t="s">
        <v>1170</v>
      </c>
    </row>
    <row r="514" spans="1:33" customFormat="1" x14ac:dyDescent="0.3">
      <c r="A514">
        <v>603671</v>
      </c>
      <c r="B514" t="s">
        <v>312</v>
      </c>
      <c r="C514" t="s">
        <v>1062</v>
      </c>
      <c r="D514" t="s">
        <v>1068</v>
      </c>
      <c r="E514" s="21">
        <v>5.5</v>
      </c>
      <c r="F514" s="2">
        <f t="shared" si="174"/>
        <v>0.51111111111111107</v>
      </c>
      <c r="G514" s="10">
        <v>41.221080000000001</v>
      </c>
      <c r="H514">
        <f t="shared" ref="H514:H545" si="178">(G514-$AJ$6)/$AK$6</f>
        <v>0.37623876242048265</v>
      </c>
      <c r="I514" s="12">
        <v>58.6</v>
      </c>
      <c r="J514" s="2">
        <f t="shared" si="163"/>
        <v>0.1420261754726127</v>
      </c>
      <c r="K514" s="10">
        <v>0</v>
      </c>
      <c r="L514" s="2">
        <f t="shared" ref="L514:L545" si="179">(K514-$AJ$7)/$AK$7</f>
        <v>0</v>
      </c>
      <c r="M514">
        <v>31830</v>
      </c>
      <c r="N514">
        <f t="shared" si="164"/>
        <v>0.1494703174310277</v>
      </c>
      <c r="O514" s="10">
        <v>0.58537915799999996</v>
      </c>
      <c r="P514">
        <f t="shared" si="165"/>
        <v>0.54920570492093324</v>
      </c>
      <c r="Q514" s="23">
        <v>0.3417</v>
      </c>
      <c r="R514" s="13">
        <f t="shared" si="166"/>
        <v>0.73993070593330446</v>
      </c>
      <c r="S514">
        <f t="shared" si="167"/>
        <v>5.975910361502388E-2</v>
      </c>
      <c r="T514" s="4">
        <f t="shared" ref="T514:T545" si="180">(S514-$AJ$9)/$AK$9</f>
        <v>-1.130526847957611E-3</v>
      </c>
      <c r="U514" t="str">
        <f t="shared" si="168"/>
        <v>No Impact</v>
      </c>
      <c r="V514">
        <f t="shared" si="169"/>
        <v>6.8600336398078471E-2</v>
      </c>
      <c r="W514">
        <f t="shared" ref="W514:W545" si="181">(V514-$AJ$13)/$AK$13</f>
        <v>0.12452974326658678</v>
      </c>
      <c r="X514" t="s">
        <v>1170</v>
      </c>
      <c r="Y514">
        <f t="shared" ref="Y514:Y545" si="182">F514*(P514*1)*(H514*0.35+J514*0.35+L514*0.3)</f>
        <v>5.0917870831969275E-2</v>
      </c>
      <c r="Z514">
        <f t="shared" si="170"/>
        <v>0.11258451643280655</v>
      </c>
      <c r="AA514" t="s">
        <v>1170</v>
      </c>
      <c r="AB514">
        <f t="shared" ref="AB514:AB545" si="183">F514*(R514*0.35+P514*0.3+N514*0.35)*(H514*0.35+J514*0.35+L514*0.3)</f>
        <v>4.4135662784881853E-2</v>
      </c>
      <c r="AC514">
        <f t="shared" si="171"/>
        <v>0.12944354342166067</v>
      </c>
      <c r="AD514" t="str">
        <f t="shared" si="172"/>
        <v>No Impact</v>
      </c>
      <c r="AE514">
        <f t="shared" ref="AE514:AE545" si="184">F514*(N514*1)*(H514*0.35+J514*0.35+L514*0.3)</f>
        <v>1.3857667988467447E-2</v>
      </c>
      <c r="AF514">
        <f t="shared" si="173"/>
        <v>9.1319428209073295E-2</v>
      </c>
      <c r="AG514" t="s">
        <v>1170</v>
      </c>
    </row>
    <row r="515" spans="1:33" customFormat="1" x14ac:dyDescent="0.3">
      <c r="A515">
        <v>603677</v>
      </c>
      <c r="B515" t="s">
        <v>359</v>
      </c>
      <c r="C515" t="s">
        <v>1062</v>
      </c>
      <c r="D515" t="s">
        <v>1069</v>
      </c>
      <c r="E515" s="21">
        <v>5.8</v>
      </c>
      <c r="F515" s="2">
        <f t="shared" si="174"/>
        <v>0.57777777777777772</v>
      </c>
      <c r="G515" s="10">
        <v>29.575800000000001</v>
      </c>
      <c r="H515">
        <f t="shared" si="178"/>
        <v>0.26994834656432365</v>
      </c>
      <c r="I515" s="12">
        <v>44.399999999999991</v>
      </c>
      <c r="J515" s="2">
        <f t="shared" ref="J515:J545" si="185">(I515-$AJ$7)/$AK$7</f>
        <v>0.10761027629665534</v>
      </c>
      <c r="K515" s="10">
        <v>0</v>
      </c>
      <c r="L515" s="2">
        <f t="shared" si="179"/>
        <v>0</v>
      </c>
      <c r="M515">
        <v>22206</v>
      </c>
      <c r="N515">
        <f t="shared" ref="N515:N545" si="186">(M515-$AJ$9)/$AK$9</f>
        <v>0.10393512275671507</v>
      </c>
      <c r="O515" s="10">
        <v>0.72290107299999995</v>
      </c>
      <c r="P515">
        <f t="shared" ref="P515:P545" si="187">(O515-$AJ$11)/$AK$11</f>
        <v>0.7006570502656887</v>
      </c>
      <c r="Q515" s="23">
        <v>0.28000000000000003</v>
      </c>
      <c r="R515" s="13">
        <f t="shared" ref="R515:R545" si="188">(Q515-$AJ$12)/$AK$12</f>
        <v>0.60632308358596798</v>
      </c>
      <c r="S515">
        <f t="shared" ref="S515:S545" si="189">F515*(R515*0.5+P515*0.5)*(H515*0.35+J515*0.35+L515*0.3)</f>
        <v>4.9894452632639703E-2</v>
      </c>
      <c r="T515" s="4">
        <f t="shared" si="180"/>
        <v>-1.1305735217733714E-3</v>
      </c>
      <c r="U515" t="str">
        <f t="shared" ref="U515:U545" si="190">IF(T515&gt;0.7,"High",IF(T515&gt;0.3,"Moderate",IF(T515&gt;0.15,"Low","No Impact")))</f>
        <v>No Impact</v>
      </c>
      <c r="V515">
        <f t="shared" ref="V515:V545" si="191">F515*(R515*1)*(H515*0.35+J515*0.35+L515*0.3)</f>
        <v>4.6293218374947043E-2</v>
      </c>
      <c r="W515">
        <f t="shared" si="181"/>
        <v>8.4035777401489098E-2</v>
      </c>
      <c r="X515" t="s">
        <v>1170</v>
      </c>
      <c r="Y515">
        <f t="shared" si="182"/>
        <v>5.3495686890332371E-2</v>
      </c>
      <c r="Z515">
        <f t="shared" ref="Z515:Z545" si="192">(Y515-$AJ$14)/$AK$14</f>
        <v>0.11828432613893657</v>
      </c>
      <c r="AA515" t="s">
        <v>1170</v>
      </c>
      <c r="AB515">
        <f t="shared" si="183"/>
        <v>3.5028765871231063E-2</v>
      </c>
      <c r="AC515">
        <f t="shared" ref="AC515:AC545" si="193">(AB515-$AJ$15)/$AK$15</f>
        <v>0.1027343261652125</v>
      </c>
      <c r="AD515" t="str">
        <f t="shared" ref="AD515:AD545" si="194">IF(AC515&gt;0.7,"High",IF(AC515&gt;0.3,"Moderate",IF(AC515&gt;0.15,"Low","No Impact")))</f>
        <v>No Impact</v>
      </c>
      <c r="AE515">
        <f t="shared" si="184"/>
        <v>7.9355239225711201E-3</v>
      </c>
      <c r="AF515">
        <f t="shared" ref="AF515:AF545" si="195">(AE515-$AJ$16)/$AK$16</f>
        <v>5.2293611576759956E-2</v>
      </c>
      <c r="AG515" t="s">
        <v>1170</v>
      </c>
    </row>
    <row r="516" spans="1:33" customFormat="1" x14ac:dyDescent="0.3">
      <c r="A516">
        <v>605814</v>
      </c>
      <c r="B516" t="s">
        <v>51</v>
      </c>
      <c r="C516" t="s">
        <v>1071</v>
      </c>
      <c r="D516" t="s">
        <v>1070</v>
      </c>
      <c r="E516" s="21">
        <v>5.4</v>
      </c>
      <c r="F516" s="2">
        <f t="shared" si="174"/>
        <v>0.48888888888888893</v>
      </c>
      <c r="G516" s="10">
        <v>26.811</v>
      </c>
      <c r="H516">
        <f t="shared" si="178"/>
        <v>0.24471308027969088</v>
      </c>
      <c r="I516" s="12">
        <v>23.2</v>
      </c>
      <c r="J516" s="2">
        <f t="shared" si="185"/>
        <v>5.622879301987397E-2</v>
      </c>
      <c r="K516" s="10">
        <v>0</v>
      </c>
      <c r="L516" s="2">
        <f t="shared" si="179"/>
        <v>0</v>
      </c>
      <c r="M516">
        <v>18472</v>
      </c>
      <c r="N516">
        <f t="shared" si="186"/>
        <v>8.6267997142221775E-2</v>
      </c>
      <c r="O516" s="10">
        <v>0.52065890699999995</v>
      </c>
      <c r="P516">
        <f t="shared" si="187"/>
        <v>0.47793001707874266</v>
      </c>
      <c r="Q516" s="23">
        <v>0.3745</v>
      </c>
      <c r="R516" s="13">
        <f t="shared" si="188"/>
        <v>0.81095712429623212</v>
      </c>
      <c r="S516">
        <f t="shared" si="189"/>
        <v>3.318529836819685E-2</v>
      </c>
      <c r="T516" s="4">
        <f t="shared" si="180"/>
        <v>-1.1306525798149625E-3</v>
      </c>
      <c r="U516" t="str">
        <f t="shared" si="190"/>
        <v>No Impact</v>
      </c>
      <c r="V516">
        <f t="shared" si="191"/>
        <v>4.1759830274784186E-2</v>
      </c>
      <c r="W516">
        <f t="shared" si="181"/>
        <v>7.5806347549059197E-2</v>
      </c>
      <c r="X516" t="s">
        <v>1170</v>
      </c>
      <c r="Y516">
        <f t="shared" si="182"/>
        <v>2.4610766461609507E-2</v>
      </c>
      <c r="Z516">
        <f t="shared" si="192"/>
        <v>5.4416871637558185E-2</v>
      </c>
      <c r="AA516" t="s">
        <v>1170</v>
      </c>
      <c r="AB516">
        <f t="shared" si="183"/>
        <v>2.3553985066530246E-2</v>
      </c>
      <c r="AC516">
        <f t="shared" si="193"/>
        <v>6.9080446431109749E-2</v>
      </c>
      <c r="AD516" t="str">
        <f t="shared" si="194"/>
        <v>No Impact</v>
      </c>
      <c r="AE516">
        <f t="shared" si="184"/>
        <v>4.4423272339226515E-3</v>
      </c>
      <c r="AF516">
        <f t="shared" si="195"/>
        <v>2.9274101764958999E-2</v>
      </c>
      <c r="AG516" t="s">
        <v>1170</v>
      </c>
    </row>
    <row r="517" spans="1:33" customFormat="1" x14ac:dyDescent="0.3">
      <c r="A517">
        <v>605835</v>
      </c>
      <c r="B517" t="s">
        <v>230</v>
      </c>
      <c r="C517" t="s">
        <v>1071</v>
      </c>
      <c r="D517" t="s">
        <v>1072</v>
      </c>
      <c r="E517" s="21">
        <v>5.4</v>
      </c>
      <c r="F517" s="2">
        <f t="shared" si="174"/>
        <v>0.48888888888888893</v>
      </c>
      <c r="G517" s="10">
        <v>26.811</v>
      </c>
      <c r="H517">
        <f t="shared" si="178"/>
        <v>0.24471308027969088</v>
      </c>
      <c r="I517" s="12">
        <v>33</v>
      </c>
      <c r="J517" s="2">
        <f t="shared" si="185"/>
        <v>7.9980610761027637E-2</v>
      </c>
      <c r="K517" s="10">
        <v>0</v>
      </c>
      <c r="L517" s="2">
        <f t="shared" si="179"/>
        <v>0</v>
      </c>
      <c r="M517">
        <v>9958</v>
      </c>
      <c r="N517">
        <f t="shared" si="186"/>
        <v>4.5984679659148438E-2</v>
      </c>
      <c r="O517" s="10">
        <v>0.34759056999999999</v>
      </c>
      <c r="P517">
        <f t="shared" si="187"/>
        <v>0.28733179515004476</v>
      </c>
      <c r="Q517" s="23">
        <v>0.37530000000000002</v>
      </c>
      <c r="R517" s="13">
        <f t="shared" si="188"/>
        <v>0.81268947596362073</v>
      </c>
      <c r="S517">
        <f t="shared" si="189"/>
        <v>3.0557874932302578E-2</v>
      </c>
      <c r="T517" s="4">
        <f t="shared" si="180"/>
        <v>-1.130665011261102E-3</v>
      </c>
      <c r="U517" t="str">
        <f t="shared" si="190"/>
        <v>No Impact</v>
      </c>
      <c r="V517">
        <f t="shared" si="191"/>
        <v>4.5151969361742893E-2</v>
      </c>
      <c r="W517">
        <f t="shared" si="181"/>
        <v>8.1964075510803633E-2</v>
      </c>
      <c r="X517" t="s">
        <v>1170</v>
      </c>
      <c r="Y517">
        <f t="shared" si="182"/>
        <v>1.596378050286227E-2</v>
      </c>
      <c r="Z517">
        <f t="shared" si="192"/>
        <v>3.529751890618682E-2</v>
      </c>
      <c r="AA517" t="s">
        <v>1170</v>
      </c>
      <c r="AB517">
        <f t="shared" si="183"/>
        <v>2.1486520556841054E-2</v>
      </c>
      <c r="AC517">
        <f t="shared" si="193"/>
        <v>6.3016870738657124E-2</v>
      </c>
      <c r="AD517" t="str">
        <f t="shared" si="194"/>
        <v>No Impact</v>
      </c>
      <c r="AE517">
        <f t="shared" si="184"/>
        <v>2.5548489410638997E-3</v>
      </c>
      <c r="AF517">
        <f t="shared" si="195"/>
        <v>1.6835974469346031E-2</v>
      </c>
      <c r="AG517" t="s">
        <v>1170</v>
      </c>
    </row>
    <row r="518" spans="1:33" customFormat="1" x14ac:dyDescent="0.3">
      <c r="A518">
        <v>605856</v>
      </c>
      <c r="B518" t="s">
        <v>252</v>
      </c>
      <c r="C518" t="s">
        <v>1071</v>
      </c>
      <c r="D518" t="s">
        <v>1073</v>
      </c>
      <c r="E518" s="21">
        <v>5.4</v>
      </c>
      <c r="F518" s="2">
        <f t="shared" si="174"/>
        <v>0.48888888888888893</v>
      </c>
      <c r="G518" s="10">
        <v>31.128840000000004</v>
      </c>
      <c r="H518">
        <f t="shared" si="178"/>
        <v>0.28412346879764477</v>
      </c>
      <c r="I518" s="12">
        <v>46.900000000000006</v>
      </c>
      <c r="J518" s="2">
        <f t="shared" si="185"/>
        <v>0.11366941347552111</v>
      </c>
      <c r="K518" s="10">
        <v>0</v>
      </c>
      <c r="L518" s="2">
        <f t="shared" si="179"/>
        <v>0</v>
      </c>
      <c r="M518">
        <v>24711</v>
      </c>
      <c r="N518">
        <f t="shared" si="186"/>
        <v>0.11578733209370105</v>
      </c>
      <c r="O518" s="10">
        <v>0.53289375100000003</v>
      </c>
      <c r="P518">
        <f t="shared" si="187"/>
        <v>0.49140411379913246</v>
      </c>
      <c r="Q518" s="23">
        <v>0.39929999999999999</v>
      </c>
      <c r="R518" s="13">
        <f t="shared" si="188"/>
        <v>0.86466002598527503</v>
      </c>
      <c r="S518">
        <f t="shared" si="189"/>
        <v>4.6151461143148109E-2</v>
      </c>
      <c r="T518" s="4">
        <f t="shared" si="180"/>
        <v>-1.130591231441507E-3</v>
      </c>
      <c r="U518" t="str">
        <f t="shared" si="190"/>
        <v>No Impact</v>
      </c>
      <c r="V518">
        <f t="shared" si="191"/>
        <v>5.8854625560170286E-2</v>
      </c>
      <c r="W518">
        <f t="shared" si="181"/>
        <v>0.10683841794199124</v>
      </c>
      <c r="X518" t="s">
        <v>1170</v>
      </c>
      <c r="Y518">
        <f t="shared" si="182"/>
        <v>3.344829672612594E-2</v>
      </c>
      <c r="Z518">
        <f t="shared" si="192"/>
        <v>7.3957536929206133E-2</v>
      </c>
      <c r="AA518" t="s">
        <v>1170</v>
      </c>
      <c r="AB518">
        <f t="shared" si="183"/>
        <v>3.3392052849246651E-2</v>
      </c>
      <c r="AC518">
        <f t="shared" si="193"/>
        <v>9.7934082558072025E-2</v>
      </c>
      <c r="AD518" t="str">
        <f t="shared" si="194"/>
        <v>No Impact</v>
      </c>
      <c r="AE518">
        <f t="shared" si="184"/>
        <v>7.881271100997924E-3</v>
      </c>
      <c r="AF518">
        <f t="shared" si="195"/>
        <v>5.1936095676615987E-2</v>
      </c>
      <c r="AG518" t="s">
        <v>1170</v>
      </c>
    </row>
    <row r="519" spans="1:33" customFormat="1" x14ac:dyDescent="0.3">
      <c r="A519">
        <v>605865</v>
      </c>
      <c r="B519" t="s">
        <v>290</v>
      </c>
      <c r="C519" t="s">
        <v>1071</v>
      </c>
      <c r="D519" t="s">
        <v>1074</v>
      </c>
      <c r="E519" s="21">
        <v>5.3</v>
      </c>
      <c r="F519" s="2">
        <f t="shared" si="174"/>
        <v>0.46666666666666656</v>
      </c>
      <c r="G519" s="10">
        <v>29.158920000000002</v>
      </c>
      <c r="H519">
        <f t="shared" si="178"/>
        <v>0.26614334156984387</v>
      </c>
      <c r="I519" s="12">
        <v>39</v>
      </c>
      <c r="J519" s="2">
        <f t="shared" si="185"/>
        <v>9.4522539990305382E-2</v>
      </c>
      <c r="K519" s="10">
        <v>0</v>
      </c>
      <c r="L519" s="2">
        <f t="shared" si="179"/>
        <v>0</v>
      </c>
      <c r="M519">
        <v>33224</v>
      </c>
      <c r="N519">
        <f t="shared" si="186"/>
        <v>0.15606591815588139</v>
      </c>
      <c r="O519" s="10">
        <v>0.52490398299999996</v>
      </c>
      <c r="P519">
        <f t="shared" si="187"/>
        <v>0.48260507175123418</v>
      </c>
      <c r="Q519" s="23">
        <v>0.37619999999999998</v>
      </c>
      <c r="R519" s="13">
        <f t="shared" si="188"/>
        <v>0.81463837158943264</v>
      </c>
      <c r="S519">
        <f t="shared" si="189"/>
        <v>3.8209501757397776E-2</v>
      </c>
      <c r="T519" s="4">
        <f t="shared" si="180"/>
        <v>-1.1306288081940764E-3</v>
      </c>
      <c r="U519" t="str">
        <f t="shared" si="190"/>
        <v>No Impact</v>
      </c>
      <c r="V519">
        <f t="shared" si="191"/>
        <v>4.7989336852197764E-2</v>
      </c>
      <c r="W519">
        <f t="shared" si="181"/>
        <v>8.7114730211517333E-2</v>
      </c>
      <c r="X519" t="s">
        <v>1170</v>
      </c>
      <c r="Y519">
        <f t="shared" si="182"/>
        <v>2.8429666662597795E-2</v>
      </c>
      <c r="Z519">
        <f t="shared" si="192"/>
        <v>6.2860842789695726E-2</v>
      </c>
      <c r="AA519" t="s">
        <v>1170</v>
      </c>
      <c r="AB519">
        <f t="shared" si="183"/>
        <v>2.8542945333705629E-2</v>
      </c>
      <c r="AC519">
        <f t="shared" si="193"/>
        <v>8.3712348485478885E-2</v>
      </c>
      <c r="AD519" t="str">
        <f t="shared" si="194"/>
        <v>No Impact</v>
      </c>
      <c r="AE519">
        <f t="shared" si="184"/>
        <v>9.1936498190202248E-3</v>
      </c>
      <c r="AF519">
        <f t="shared" si="195"/>
        <v>6.0584424834400005E-2</v>
      </c>
      <c r="AG519" t="s">
        <v>1170</v>
      </c>
    </row>
    <row r="520" spans="1:33" customFormat="1" x14ac:dyDescent="0.3">
      <c r="A520">
        <v>605874</v>
      </c>
      <c r="B520" t="s">
        <v>332</v>
      </c>
      <c r="C520" t="s">
        <v>1071</v>
      </c>
      <c r="D520" t="s">
        <v>1075</v>
      </c>
      <c r="E520" s="21">
        <v>5.3</v>
      </c>
      <c r="F520" s="2">
        <f t="shared" si="174"/>
        <v>0.46666666666666656</v>
      </c>
      <c r="G520" s="10">
        <v>31.263480000000001</v>
      </c>
      <c r="H520">
        <f t="shared" si="178"/>
        <v>0.28535237369223493</v>
      </c>
      <c r="I520" s="12">
        <v>43.8</v>
      </c>
      <c r="J520" s="2">
        <f t="shared" si="185"/>
        <v>0.10615608337372759</v>
      </c>
      <c r="K520" s="10">
        <v>0</v>
      </c>
      <c r="L520" s="2">
        <f t="shared" si="179"/>
        <v>0</v>
      </c>
      <c r="M520">
        <v>39868</v>
      </c>
      <c r="N520">
        <f t="shared" si="186"/>
        <v>0.18750147856902907</v>
      </c>
      <c r="O520" s="10">
        <v>0.63099400999999999</v>
      </c>
      <c r="P520">
        <f t="shared" si="187"/>
        <v>0.59944083074143906</v>
      </c>
      <c r="Q520" s="23">
        <v>0.32219999999999999</v>
      </c>
      <c r="R520" s="13">
        <f t="shared" si="188"/>
        <v>0.69770463404071026</v>
      </c>
      <c r="S520">
        <f t="shared" si="189"/>
        <v>4.1473879259735877E-2</v>
      </c>
      <c r="T520" s="4">
        <f t="shared" si="180"/>
        <v>-1.1306133630501591E-3</v>
      </c>
      <c r="U520" t="str">
        <f t="shared" si="190"/>
        <v>No Impact</v>
      </c>
      <c r="V520">
        <f t="shared" si="191"/>
        <v>4.4615686577638237E-2</v>
      </c>
      <c r="W520">
        <f t="shared" si="181"/>
        <v>8.0990564870341022E-2</v>
      </c>
      <c r="X520" t="s">
        <v>1170</v>
      </c>
      <c r="Y520">
        <f t="shared" si="182"/>
        <v>3.8332071941833523E-2</v>
      </c>
      <c r="Z520">
        <f t="shared" si="192"/>
        <v>8.4756053482293092E-2</v>
      </c>
      <c r="AA520" t="s">
        <v>1170</v>
      </c>
      <c r="AB520">
        <f t="shared" si="183"/>
        <v>3.1311626251097853E-2</v>
      </c>
      <c r="AC520">
        <f t="shared" si="193"/>
        <v>9.1832490926705465E-2</v>
      </c>
      <c r="AD520" t="str">
        <f t="shared" si="194"/>
        <v>No Impact</v>
      </c>
      <c r="AE520">
        <f t="shared" si="184"/>
        <v>1.1990041046784042E-2</v>
      </c>
      <c r="AF520">
        <f t="shared" si="195"/>
        <v>7.9012117587666894E-2</v>
      </c>
      <c r="AG520" t="s">
        <v>1170</v>
      </c>
    </row>
    <row r="521" spans="1:33" customFormat="1" x14ac:dyDescent="0.3">
      <c r="A521">
        <v>605880</v>
      </c>
      <c r="B521" t="s">
        <v>428</v>
      </c>
      <c r="C521" t="s">
        <v>1071</v>
      </c>
      <c r="D521" t="s">
        <v>1076</v>
      </c>
      <c r="E521" s="21">
        <v>5.2</v>
      </c>
      <c r="F521" s="2">
        <f t="shared" si="174"/>
        <v>0.44444444444444442</v>
      </c>
      <c r="G521" s="10">
        <v>31.263480000000001</v>
      </c>
      <c r="H521">
        <f t="shared" si="178"/>
        <v>0.28535237369223493</v>
      </c>
      <c r="I521" s="12">
        <v>43</v>
      </c>
      <c r="J521" s="2">
        <f t="shared" si="185"/>
        <v>0.10421715947649056</v>
      </c>
      <c r="K521" s="10">
        <v>0</v>
      </c>
      <c r="L521" s="2">
        <f t="shared" si="179"/>
        <v>0</v>
      </c>
      <c r="M521">
        <v>16043</v>
      </c>
      <c r="N521">
        <f t="shared" si="186"/>
        <v>7.4775375793104421E-2</v>
      </c>
      <c r="O521" s="10">
        <v>0.69975964800000001</v>
      </c>
      <c r="P521">
        <f t="shared" si="187"/>
        <v>0.67517165799606571</v>
      </c>
      <c r="Q521" s="23">
        <v>0.33250000000000002</v>
      </c>
      <c r="R521" s="13">
        <f t="shared" si="188"/>
        <v>0.720008661758337</v>
      </c>
      <c r="S521">
        <f t="shared" si="189"/>
        <v>4.2273758010782335E-2</v>
      </c>
      <c r="T521" s="4">
        <f t="shared" si="180"/>
        <v>-1.1306095784871244E-3</v>
      </c>
      <c r="U521" t="str">
        <f t="shared" si="190"/>
        <v>No Impact</v>
      </c>
      <c r="V521">
        <f t="shared" si="191"/>
        <v>4.3632312614898631E-2</v>
      </c>
      <c r="W521">
        <f t="shared" si="181"/>
        <v>7.9205452529136244E-2</v>
      </c>
      <c r="X521" t="s">
        <v>1170</v>
      </c>
      <c r="Y521">
        <f t="shared" si="182"/>
        <v>4.0915203406666031E-2</v>
      </c>
      <c r="Z521">
        <f t="shared" si="192"/>
        <v>9.0467616084944982E-2</v>
      </c>
      <c r="AA521" t="s">
        <v>1170</v>
      </c>
      <c r="AB521">
        <f t="shared" si="183"/>
        <v>2.9131848441404942E-2</v>
      </c>
      <c r="AC521">
        <f t="shared" si="193"/>
        <v>8.5439516498434134E-2</v>
      </c>
      <c r="AD521" t="str">
        <f t="shared" si="194"/>
        <v>No Impact</v>
      </c>
      <c r="AE521">
        <f t="shared" si="184"/>
        <v>4.5313657262588871E-3</v>
      </c>
      <c r="AF521">
        <f t="shared" si="195"/>
        <v>2.9860848699256291E-2</v>
      </c>
      <c r="AG521" t="s">
        <v>1170</v>
      </c>
    </row>
    <row r="522" spans="1:33" customFormat="1" x14ac:dyDescent="0.3">
      <c r="A522">
        <v>605883</v>
      </c>
      <c r="B522" t="s">
        <v>501</v>
      </c>
      <c r="C522" t="s">
        <v>1071</v>
      </c>
      <c r="D522" t="s">
        <v>1077</v>
      </c>
      <c r="E522" s="21">
        <v>5.4</v>
      </c>
      <c r="F522" s="2">
        <f t="shared" si="174"/>
        <v>0.48888888888888893</v>
      </c>
      <c r="G522" s="10">
        <v>31.606920000000002</v>
      </c>
      <c r="H522">
        <f t="shared" si="178"/>
        <v>0.28848706692602916</v>
      </c>
      <c r="I522" s="12">
        <v>50.9</v>
      </c>
      <c r="J522" s="2">
        <f t="shared" si="185"/>
        <v>0.12336403296170625</v>
      </c>
      <c r="K522" s="10">
        <v>0</v>
      </c>
      <c r="L522" s="2">
        <f t="shared" si="179"/>
        <v>0</v>
      </c>
      <c r="M522">
        <v>37332</v>
      </c>
      <c r="N522">
        <f t="shared" si="186"/>
        <v>0.17550259518435982</v>
      </c>
      <c r="O522" s="10">
        <v>0.57027192800000004</v>
      </c>
      <c r="P522">
        <f t="shared" si="187"/>
        <v>0.53256828165692005</v>
      </c>
      <c r="Q522" s="23">
        <v>0.37559999999999999</v>
      </c>
      <c r="R522" s="13">
        <f t="shared" si="188"/>
        <v>0.8133391078388913</v>
      </c>
      <c r="S522">
        <f t="shared" si="189"/>
        <v>4.7424594200819785E-2</v>
      </c>
      <c r="T522" s="4">
        <f t="shared" si="180"/>
        <v>-1.1305852077131584E-3</v>
      </c>
      <c r="U522" t="str">
        <f t="shared" si="190"/>
        <v>No Impact</v>
      </c>
      <c r="V522">
        <f t="shared" si="191"/>
        <v>5.7317877051504609E-2</v>
      </c>
      <c r="W522">
        <f t="shared" si="181"/>
        <v>0.10404876839655829</v>
      </c>
      <c r="X522" t="s">
        <v>1170</v>
      </c>
      <c r="Y522">
        <f t="shared" si="182"/>
        <v>3.7531311350134954E-2</v>
      </c>
      <c r="Z522">
        <f t="shared" si="192"/>
        <v>8.2985491545554999E-2</v>
      </c>
      <c r="AA522" t="s">
        <v>1170</v>
      </c>
      <c r="AB522">
        <f t="shared" si="183"/>
        <v>3.5649475369450283E-2</v>
      </c>
      <c r="AC522">
        <f t="shared" si="193"/>
        <v>0.1045547777414489</v>
      </c>
      <c r="AD522" t="str">
        <f t="shared" si="194"/>
        <v>No Impact</v>
      </c>
      <c r="AE522">
        <f t="shared" si="184"/>
        <v>1.2368071418237675E-2</v>
      </c>
      <c r="AF522">
        <f t="shared" si="195"/>
        <v>8.1503266704209348E-2</v>
      </c>
      <c r="AG522" t="s">
        <v>1170</v>
      </c>
    </row>
    <row r="523" spans="1:33" customFormat="1" x14ac:dyDescent="0.3">
      <c r="A523">
        <v>609018</v>
      </c>
      <c r="B523" t="s">
        <v>80</v>
      </c>
      <c r="C523" t="s">
        <v>1079</v>
      </c>
      <c r="D523" t="s">
        <v>1078</v>
      </c>
      <c r="E523" s="21">
        <v>6.2</v>
      </c>
      <c r="F523" s="2">
        <f t="shared" si="174"/>
        <v>0.66666666666666663</v>
      </c>
      <c r="G523" s="10">
        <v>20.606400000000001</v>
      </c>
      <c r="H523">
        <f t="shared" si="178"/>
        <v>0.18808159402765368</v>
      </c>
      <c r="I523" s="12">
        <v>0.5</v>
      </c>
      <c r="J523" s="2">
        <f t="shared" si="185"/>
        <v>1.211827435773146E-3</v>
      </c>
      <c r="K523" s="10">
        <v>0</v>
      </c>
      <c r="L523" s="2">
        <f t="shared" si="179"/>
        <v>0</v>
      </c>
      <c r="M523">
        <v>14050</v>
      </c>
      <c r="N523">
        <f t="shared" si="186"/>
        <v>6.5345653953338731E-2</v>
      </c>
      <c r="O523" s="10">
        <v>0.53592805099999996</v>
      </c>
      <c r="P523">
        <f t="shared" si="187"/>
        <v>0.49474575441822638</v>
      </c>
      <c r="Q523" s="23">
        <v>0.29430000000000001</v>
      </c>
      <c r="R523" s="13">
        <f t="shared" si="188"/>
        <v>0.6372888696405371</v>
      </c>
      <c r="S523">
        <f t="shared" si="189"/>
        <v>2.5000115840367206E-2</v>
      </c>
      <c r="T523" s="4">
        <f t="shared" si="180"/>
        <v>-1.1306913073585879E-3</v>
      </c>
      <c r="U523" t="str">
        <f t="shared" si="190"/>
        <v>No Impact</v>
      </c>
      <c r="V523">
        <f t="shared" si="191"/>
        <v>2.8148071138790649E-2</v>
      </c>
      <c r="W523">
        <f t="shared" si="181"/>
        <v>5.1097009962496408E-2</v>
      </c>
      <c r="X523" t="s">
        <v>1170</v>
      </c>
      <c r="Y523">
        <f t="shared" si="182"/>
        <v>2.1852160541943756E-2</v>
      </c>
      <c r="Z523">
        <f t="shared" si="192"/>
        <v>4.8317317425655676E-2</v>
      </c>
      <c r="AA523" t="s">
        <v>1170</v>
      </c>
      <c r="AB523">
        <f t="shared" si="183"/>
        <v>1.7417649091684913E-2</v>
      </c>
      <c r="AC523">
        <f t="shared" si="193"/>
        <v>5.1083456648011456E-2</v>
      </c>
      <c r="AD523" t="str">
        <f t="shared" si="194"/>
        <v>No Impact</v>
      </c>
      <c r="AE523">
        <f t="shared" si="184"/>
        <v>2.8862172300716045E-3</v>
      </c>
      <c r="AF523">
        <f t="shared" si="195"/>
        <v>1.9019629230304778E-2</v>
      </c>
      <c r="AG523" t="s">
        <v>1170</v>
      </c>
    </row>
    <row r="524" spans="1:33" customFormat="1" x14ac:dyDescent="0.3">
      <c r="A524">
        <v>609023</v>
      </c>
      <c r="B524" t="s">
        <v>109</v>
      </c>
      <c r="C524" t="s">
        <v>1079</v>
      </c>
      <c r="D524" t="s">
        <v>1080</v>
      </c>
      <c r="E524" s="21">
        <v>6.5</v>
      </c>
      <c r="F524" s="2">
        <f t="shared" si="174"/>
        <v>0.73333333333333328</v>
      </c>
      <c r="G524" s="10">
        <v>28.609200000000001</v>
      </c>
      <c r="H524">
        <f t="shared" si="178"/>
        <v>0.26112586089059464</v>
      </c>
      <c r="I524" s="12">
        <v>5.2</v>
      </c>
      <c r="J524" s="2">
        <f t="shared" si="185"/>
        <v>1.2603005332040718E-2</v>
      </c>
      <c r="K524" s="10">
        <v>0</v>
      </c>
      <c r="L524" s="2">
        <f t="shared" si="179"/>
        <v>0</v>
      </c>
      <c r="M524">
        <v>23393</v>
      </c>
      <c r="N524">
        <f t="shared" si="186"/>
        <v>0.10955131935671601</v>
      </c>
      <c r="O524" s="10">
        <v>0.63452906200000003</v>
      </c>
      <c r="P524">
        <f t="shared" si="187"/>
        <v>0.6033339439318981</v>
      </c>
      <c r="Q524" s="23">
        <v>0.27379999999999999</v>
      </c>
      <c r="R524" s="13">
        <f t="shared" si="188"/>
        <v>0.59289735816370726</v>
      </c>
      <c r="S524">
        <f t="shared" si="189"/>
        <v>4.2021856551374297E-2</v>
      </c>
      <c r="T524" s="4">
        <f t="shared" si="180"/>
        <v>-1.1306107703389526E-3</v>
      </c>
      <c r="U524" t="str">
        <f t="shared" si="190"/>
        <v>No Impact</v>
      </c>
      <c r="V524">
        <f t="shared" si="191"/>
        <v>4.165523455338048E-2</v>
      </c>
      <c r="W524">
        <f t="shared" si="181"/>
        <v>7.5616475618146162E-2</v>
      </c>
      <c r="X524" t="s">
        <v>1170</v>
      </c>
      <c r="Y524">
        <f t="shared" si="182"/>
        <v>4.2388478549368107E-2</v>
      </c>
      <c r="Z524">
        <f t="shared" si="192"/>
        <v>9.372517510702108E-2</v>
      </c>
      <c r="AA524" t="s">
        <v>1170</v>
      </c>
      <c r="AB524">
        <f t="shared" si="183"/>
        <v>2.9989740025083842E-2</v>
      </c>
      <c r="AC524">
        <f t="shared" si="193"/>
        <v>8.7955588977152069E-2</v>
      </c>
      <c r="AD524" t="str">
        <f t="shared" si="194"/>
        <v>No Impact</v>
      </c>
      <c r="AE524">
        <f t="shared" si="184"/>
        <v>7.6967553331149805E-3</v>
      </c>
      <c r="AF524">
        <f t="shared" si="195"/>
        <v>5.0720171436502051E-2</v>
      </c>
      <c r="AG524" t="s">
        <v>1170</v>
      </c>
    </row>
    <row r="525" spans="1:33" customFormat="1" x14ac:dyDescent="0.3">
      <c r="A525">
        <v>609027</v>
      </c>
      <c r="B525" t="s">
        <v>123</v>
      </c>
      <c r="C525" t="s">
        <v>1079</v>
      </c>
      <c r="D525" t="s">
        <v>1081</v>
      </c>
      <c r="E525" s="21">
        <v>6.3</v>
      </c>
      <c r="F525" s="2">
        <f t="shared" si="174"/>
        <v>0.68888888888888877</v>
      </c>
      <c r="G525" s="10">
        <v>28.941119999999998</v>
      </c>
      <c r="H525">
        <f t="shared" si="178"/>
        <v>0.26415540718153618</v>
      </c>
      <c r="I525" s="12">
        <v>6.7</v>
      </c>
      <c r="J525" s="2">
        <f t="shared" si="185"/>
        <v>1.6238487639360158E-2</v>
      </c>
      <c r="K525" s="10">
        <v>0</v>
      </c>
      <c r="L525" s="2">
        <f t="shared" si="179"/>
        <v>0</v>
      </c>
      <c r="M525">
        <v>9097</v>
      </c>
      <c r="N525">
        <f t="shared" si="186"/>
        <v>4.1910926270268226E-2</v>
      </c>
      <c r="O525" s="10">
        <v>0.74545498899999996</v>
      </c>
      <c r="P525">
        <f t="shared" si="187"/>
        <v>0.72549542545114631</v>
      </c>
      <c r="Q525" s="23">
        <v>0.17280000000000001</v>
      </c>
      <c r="R525" s="13">
        <f t="shared" si="188"/>
        <v>0.37418796015591166</v>
      </c>
      <c r="S525">
        <f t="shared" si="189"/>
        <v>3.7172643411423213E-2</v>
      </c>
      <c r="T525" s="4">
        <f t="shared" si="180"/>
        <v>-1.1306337140073175E-3</v>
      </c>
      <c r="U525" t="str">
        <f t="shared" si="190"/>
        <v>No Impact</v>
      </c>
      <c r="V525">
        <f t="shared" si="191"/>
        <v>2.529738248986103E-2</v>
      </c>
      <c r="W525">
        <f t="shared" si="181"/>
        <v>4.5922173449681254E-2</v>
      </c>
      <c r="X525" t="s">
        <v>1170</v>
      </c>
      <c r="Y525">
        <f t="shared" si="182"/>
        <v>4.9047904332985393E-2</v>
      </c>
      <c r="Z525">
        <f t="shared" si="192"/>
        <v>0.10844983305752555</v>
      </c>
      <c r="AA525" t="s">
        <v>1170</v>
      </c>
      <c r="AB525">
        <f t="shared" si="183"/>
        <v>2.4560156925119467E-2</v>
      </c>
      <c r="AC525">
        <f t="shared" si="193"/>
        <v>7.2031403603810454E-2</v>
      </c>
      <c r="AD525" t="str">
        <f t="shared" si="194"/>
        <v>No Impact</v>
      </c>
      <c r="AE525">
        <f t="shared" si="184"/>
        <v>2.83343358220712E-3</v>
      </c>
      <c r="AF525">
        <f t="shared" si="195"/>
        <v>1.8671794908845699E-2</v>
      </c>
      <c r="AG525" t="s">
        <v>1170</v>
      </c>
    </row>
    <row r="526" spans="1:33" customFormat="1" x14ac:dyDescent="0.3">
      <c r="A526">
        <v>609029</v>
      </c>
      <c r="B526" t="s">
        <v>140</v>
      </c>
      <c r="C526" t="s">
        <v>1079</v>
      </c>
      <c r="D526" t="s">
        <v>1082</v>
      </c>
      <c r="E526" s="21">
        <v>6.5</v>
      </c>
      <c r="F526" s="2">
        <f t="shared" si="174"/>
        <v>0.73333333333333328</v>
      </c>
      <c r="G526" s="10">
        <v>29.363039999999998</v>
      </c>
      <c r="H526">
        <f t="shared" si="178"/>
        <v>0.26800641396351399</v>
      </c>
      <c r="I526" s="12">
        <v>16.400000000000002</v>
      </c>
      <c r="J526" s="2">
        <f t="shared" si="185"/>
        <v>3.9747939893359195E-2</v>
      </c>
      <c r="K526" s="10">
        <v>0</v>
      </c>
      <c r="L526" s="2">
        <f t="shared" si="179"/>
        <v>0</v>
      </c>
      <c r="M526">
        <v>10856</v>
      </c>
      <c r="N526">
        <f t="shared" si="186"/>
        <v>5.0233495621069962E-2</v>
      </c>
      <c r="O526" s="10">
        <v>0.85093448500000002</v>
      </c>
      <c r="P526">
        <f t="shared" si="187"/>
        <v>0.84165881348633165</v>
      </c>
      <c r="Q526" s="23">
        <v>0.1512</v>
      </c>
      <c r="R526" s="13">
        <f t="shared" si="188"/>
        <v>0.32741446513642269</v>
      </c>
      <c r="S526">
        <f t="shared" si="189"/>
        <v>4.6172715239148183E-2</v>
      </c>
      <c r="T526" s="4">
        <f t="shared" si="180"/>
        <v>-1.1305911308794332E-3</v>
      </c>
      <c r="U526" t="str">
        <f t="shared" si="190"/>
        <v>No Impact</v>
      </c>
      <c r="V526">
        <f t="shared" si="191"/>
        <v>2.5862561638106397E-2</v>
      </c>
      <c r="W526">
        <f t="shared" si="181"/>
        <v>4.694813947151253E-2</v>
      </c>
      <c r="X526" t="s">
        <v>1170</v>
      </c>
      <c r="Y526">
        <f t="shared" si="182"/>
        <v>6.6482868840189988E-2</v>
      </c>
      <c r="Z526">
        <f t="shared" si="192"/>
        <v>0.14700028726925871</v>
      </c>
      <c r="AA526" t="s">
        <v>1170</v>
      </c>
      <c r="AB526">
        <f t="shared" si="183"/>
        <v>3.0385542558044858E-2</v>
      </c>
      <c r="AC526">
        <f t="shared" si="193"/>
        <v>8.9116420810843089E-2</v>
      </c>
      <c r="AD526" t="str">
        <f t="shared" si="194"/>
        <v>No Impact</v>
      </c>
      <c r="AE526">
        <f t="shared" si="184"/>
        <v>3.9679580932875094E-3</v>
      </c>
      <c r="AF526">
        <f t="shared" si="195"/>
        <v>2.6148098261419915E-2</v>
      </c>
      <c r="AG526" t="s">
        <v>1170</v>
      </c>
    </row>
    <row r="527" spans="1:33" customFormat="1" x14ac:dyDescent="0.3">
      <c r="A527">
        <v>609032</v>
      </c>
      <c r="B527" t="s">
        <v>146</v>
      </c>
      <c r="C527" t="s">
        <v>1079</v>
      </c>
      <c r="D527" t="s">
        <v>1083</v>
      </c>
      <c r="E527" s="21">
        <v>6.4</v>
      </c>
      <c r="F527" s="2">
        <f t="shared" si="174"/>
        <v>0.71111111111111114</v>
      </c>
      <c r="G527" s="10">
        <v>29.363039999999998</v>
      </c>
      <c r="H527">
        <f t="shared" si="178"/>
        <v>0.26800641396351399</v>
      </c>
      <c r="I527" s="12">
        <v>1.0999999999999999</v>
      </c>
      <c r="J527" s="2">
        <f t="shared" si="185"/>
        <v>2.6660203587009208E-3</v>
      </c>
      <c r="K527" s="10">
        <v>0</v>
      </c>
      <c r="L527" s="2">
        <f t="shared" si="179"/>
        <v>0</v>
      </c>
      <c r="M527">
        <v>11765</v>
      </c>
      <c r="N527">
        <f t="shared" si="186"/>
        <v>5.4534357212814577E-2</v>
      </c>
      <c r="O527" s="10">
        <v>0.72317944700000003</v>
      </c>
      <c r="P527">
        <f t="shared" si="187"/>
        <v>0.7009636204353159</v>
      </c>
      <c r="Q527" s="23">
        <v>0.1913</v>
      </c>
      <c r="R527" s="13">
        <f t="shared" si="188"/>
        <v>0.41424859246427026</v>
      </c>
      <c r="S527">
        <f t="shared" si="189"/>
        <v>3.756445210950695E-2</v>
      </c>
      <c r="T527" s="4">
        <f t="shared" si="180"/>
        <v>-1.1306318601954574E-3</v>
      </c>
      <c r="U527" t="str">
        <f t="shared" si="190"/>
        <v>No Impact</v>
      </c>
      <c r="V527">
        <f t="shared" si="191"/>
        <v>2.7906834650950622E-2</v>
      </c>
      <c r="W527">
        <f t="shared" si="181"/>
        <v>5.0659094939413611E-2</v>
      </c>
      <c r="X527" t="s">
        <v>1170</v>
      </c>
      <c r="Y527">
        <f t="shared" si="182"/>
        <v>4.7222069568063296E-2</v>
      </c>
      <c r="Z527">
        <f t="shared" si="192"/>
        <v>0.10441272937003401</v>
      </c>
      <c r="AA527" t="s">
        <v>1170</v>
      </c>
      <c r="AB527">
        <f t="shared" si="183"/>
        <v>2.5219855511724589E-2</v>
      </c>
      <c r="AC527">
        <f t="shared" si="193"/>
        <v>7.3966204561861981E-2</v>
      </c>
      <c r="AD527" t="str">
        <f t="shared" si="194"/>
        <v>No Impact</v>
      </c>
      <c r="AE527">
        <f t="shared" si="184"/>
        <v>3.673835752779674E-3</v>
      </c>
      <c r="AF527">
        <f t="shared" si="195"/>
        <v>2.4209887302617725E-2</v>
      </c>
      <c r="AG527" t="s">
        <v>1170</v>
      </c>
    </row>
    <row r="528" spans="1:33" customFormat="1" x14ac:dyDescent="0.3">
      <c r="A528">
        <v>609033</v>
      </c>
      <c r="B528" t="s">
        <v>157</v>
      </c>
      <c r="C528" t="s">
        <v>1079</v>
      </c>
      <c r="D528" t="s">
        <v>1084</v>
      </c>
      <c r="E528" s="21">
        <v>5.9</v>
      </c>
      <c r="F528" s="2">
        <f t="shared" si="174"/>
        <v>0.60000000000000009</v>
      </c>
      <c r="G528" s="10">
        <v>24.46848</v>
      </c>
      <c r="H528">
        <f t="shared" si="178"/>
        <v>0.22333210661900005</v>
      </c>
      <c r="I528" s="12">
        <v>1</v>
      </c>
      <c r="J528" s="2">
        <f t="shared" si="185"/>
        <v>2.4236548715462921E-3</v>
      </c>
      <c r="K528" s="10">
        <v>0</v>
      </c>
      <c r="L528" s="2">
        <f t="shared" si="179"/>
        <v>0</v>
      </c>
      <c r="M528">
        <v>20104</v>
      </c>
      <c r="N528">
        <f t="shared" si="186"/>
        <v>9.3989676039611461E-2</v>
      </c>
      <c r="O528" s="10">
        <v>0.52899560700000003</v>
      </c>
      <c r="P528">
        <f t="shared" si="187"/>
        <v>0.48711113145411794</v>
      </c>
      <c r="Q528" s="23">
        <v>0.28339999999999999</v>
      </c>
      <c r="R528" s="13">
        <f t="shared" si="188"/>
        <v>0.61368557817236902</v>
      </c>
      <c r="S528">
        <f t="shared" si="189"/>
        <v>2.6093675939941618E-2</v>
      </c>
      <c r="T528" s="4">
        <f t="shared" si="180"/>
        <v>-1.1306861332654851E-3</v>
      </c>
      <c r="U528" t="str">
        <f t="shared" si="190"/>
        <v>No Impact</v>
      </c>
      <c r="V528">
        <f t="shared" si="191"/>
        <v>2.9094041553374566E-2</v>
      </c>
      <c r="W528">
        <f t="shared" si="181"/>
        <v>5.2814223886672167E-2</v>
      </c>
      <c r="X528" t="s">
        <v>1170</v>
      </c>
      <c r="Y528">
        <f t="shared" si="182"/>
        <v>2.3093310326508666E-2</v>
      </c>
      <c r="Z528">
        <f t="shared" si="192"/>
        <v>5.1061624012571888E-2</v>
      </c>
      <c r="AA528" t="s">
        <v>1170</v>
      </c>
      <c r="AB528">
        <f t="shared" si="183"/>
        <v>1.8670482891796757E-2</v>
      </c>
      <c r="AC528">
        <f t="shared" si="193"/>
        <v>5.4757837775928977E-2</v>
      </c>
      <c r="AD528" t="str">
        <f t="shared" si="194"/>
        <v>No Impact</v>
      </c>
      <c r="AE528">
        <f t="shared" si="184"/>
        <v>4.4559292861801715E-3</v>
      </c>
      <c r="AF528">
        <f t="shared" si="195"/>
        <v>2.9363736733530939E-2</v>
      </c>
      <c r="AG528" t="s">
        <v>1170</v>
      </c>
    </row>
    <row r="529" spans="1:33" customFormat="1" x14ac:dyDescent="0.3">
      <c r="A529">
        <v>609047</v>
      </c>
      <c r="B529" t="s">
        <v>217</v>
      </c>
      <c r="C529" t="s">
        <v>1079</v>
      </c>
      <c r="D529" t="s">
        <v>1085</v>
      </c>
      <c r="E529" s="21">
        <v>6.5</v>
      </c>
      <c r="F529" s="2">
        <f t="shared" si="174"/>
        <v>0.73333333333333328</v>
      </c>
      <c r="G529" s="10">
        <v>28.765799999999999</v>
      </c>
      <c r="H529">
        <f t="shared" si="178"/>
        <v>0.26255520214499761</v>
      </c>
      <c r="I529" s="12">
        <v>16.7</v>
      </c>
      <c r="J529" s="2">
        <f t="shared" si="185"/>
        <v>4.0475036354823073E-2</v>
      </c>
      <c r="K529" s="10">
        <v>0</v>
      </c>
      <c r="L529" s="2">
        <f t="shared" si="179"/>
        <v>0</v>
      </c>
      <c r="M529">
        <v>19694</v>
      </c>
      <c r="N529">
        <f t="shared" si="186"/>
        <v>9.2049793473478025E-2</v>
      </c>
      <c r="O529" s="10">
        <v>0.85585733399999997</v>
      </c>
      <c r="P529">
        <f t="shared" si="187"/>
        <v>0.84708029197562607</v>
      </c>
      <c r="Q529" s="23">
        <v>0.2427</v>
      </c>
      <c r="R529" s="13">
        <f t="shared" si="188"/>
        <v>0.52555218709398011</v>
      </c>
      <c r="S529">
        <f t="shared" si="189"/>
        <v>5.3380140596483057E-2</v>
      </c>
      <c r="T529" s="4">
        <f t="shared" si="180"/>
        <v>-1.1305570295165126E-3</v>
      </c>
      <c r="U529" t="str">
        <f t="shared" si="190"/>
        <v>No Impact</v>
      </c>
      <c r="V529">
        <f t="shared" si="191"/>
        <v>4.0876272513792396E-2</v>
      </c>
      <c r="W529">
        <f t="shared" si="181"/>
        <v>7.4202430907907138E-2</v>
      </c>
      <c r="X529" t="s">
        <v>1170</v>
      </c>
      <c r="Y529">
        <f t="shared" si="182"/>
        <v>6.5884008679173725E-2</v>
      </c>
      <c r="Z529">
        <f t="shared" si="192"/>
        <v>0.14567614742332161</v>
      </c>
      <c r="AA529" t="s">
        <v>1170</v>
      </c>
      <c r="AB529">
        <f t="shared" si="183"/>
        <v>3.6577697383412551E-2</v>
      </c>
      <c r="AC529">
        <f t="shared" si="193"/>
        <v>0.10727711924462043</v>
      </c>
      <c r="AD529" t="str">
        <f t="shared" si="194"/>
        <v>No Impact</v>
      </c>
      <c r="AE529">
        <f t="shared" si="184"/>
        <v>7.1594268566660011E-3</v>
      </c>
      <c r="AF529">
        <f t="shared" si="195"/>
        <v>4.717927773991408E-2</v>
      </c>
      <c r="AG529" t="s">
        <v>1170</v>
      </c>
    </row>
    <row r="530" spans="1:33" customFormat="1" x14ac:dyDescent="0.3">
      <c r="A530">
        <v>609050</v>
      </c>
      <c r="B530" t="s">
        <v>220</v>
      </c>
      <c r="C530" t="s">
        <v>1079</v>
      </c>
      <c r="D530" t="s">
        <v>1086</v>
      </c>
      <c r="E530" s="21">
        <v>6.4</v>
      </c>
      <c r="F530" s="2">
        <f t="shared" si="174"/>
        <v>0.71111111111111114</v>
      </c>
      <c r="G530" s="10">
        <v>29.363039999999998</v>
      </c>
      <c r="H530">
        <f t="shared" si="178"/>
        <v>0.26800641396351399</v>
      </c>
      <c r="I530" s="12">
        <v>1.8</v>
      </c>
      <c r="J530" s="2">
        <f t="shared" si="185"/>
        <v>4.3625787687833258E-3</v>
      </c>
      <c r="K530" s="10">
        <v>0</v>
      </c>
      <c r="L530" s="2">
        <f t="shared" si="179"/>
        <v>0</v>
      </c>
      <c r="M530">
        <v>10210</v>
      </c>
      <c r="N530">
        <f t="shared" si="186"/>
        <v>4.7176997724186549E-2</v>
      </c>
      <c r="O530" s="10">
        <v>0.68110752500000005</v>
      </c>
      <c r="P530">
        <f t="shared" si="187"/>
        <v>0.65463028375846988</v>
      </c>
      <c r="Q530" s="23">
        <v>0.17899999999999999</v>
      </c>
      <c r="R530" s="13">
        <f t="shared" si="188"/>
        <v>0.38761368557817238</v>
      </c>
      <c r="S530">
        <f t="shared" si="189"/>
        <v>3.5326659213630728E-2</v>
      </c>
      <c r="T530" s="4">
        <f t="shared" si="180"/>
        <v>-1.130642448135519E-3</v>
      </c>
      <c r="U530" t="str">
        <f t="shared" si="190"/>
        <v>No Impact</v>
      </c>
      <c r="V530">
        <f t="shared" si="191"/>
        <v>2.6276182889644849E-2</v>
      </c>
      <c r="W530">
        <f t="shared" si="181"/>
        <v>4.7698983431880199E-2</v>
      </c>
      <c r="X530" t="s">
        <v>1170</v>
      </c>
      <c r="Y530">
        <f t="shared" si="182"/>
        <v>4.4377135537616595E-2</v>
      </c>
      <c r="Z530">
        <f t="shared" si="192"/>
        <v>9.8122295051637956E-2</v>
      </c>
      <c r="AA530" t="s">
        <v>1170</v>
      </c>
      <c r="AB530">
        <f t="shared" si="183"/>
        <v>2.3629143368062027E-2</v>
      </c>
      <c r="AC530">
        <f t="shared" si="193"/>
        <v>6.9300874906722446E-2</v>
      </c>
      <c r="AD530" t="str">
        <f t="shared" si="194"/>
        <v>No Impact</v>
      </c>
      <c r="AE530">
        <f t="shared" si="184"/>
        <v>3.1981105582895644E-3</v>
      </c>
      <c r="AF530">
        <f t="shared" si="195"/>
        <v>2.1074947658974882E-2</v>
      </c>
      <c r="AG530" t="s">
        <v>1170</v>
      </c>
    </row>
    <row r="531" spans="1:33" customFormat="1" x14ac:dyDescent="0.3">
      <c r="A531">
        <v>609086</v>
      </c>
      <c r="B531" t="s">
        <v>507</v>
      </c>
      <c r="C531" t="s">
        <v>1079</v>
      </c>
      <c r="D531" t="s">
        <v>1087</v>
      </c>
      <c r="E531" s="21">
        <v>6.5</v>
      </c>
      <c r="F531" s="2">
        <f t="shared" si="174"/>
        <v>0.73333333333333328</v>
      </c>
      <c r="G531" s="10">
        <v>29.363039999999998</v>
      </c>
      <c r="H531">
        <f t="shared" si="178"/>
        <v>0.26800641396351399</v>
      </c>
      <c r="I531" s="12">
        <v>30.399999999999995</v>
      </c>
      <c r="J531" s="2">
        <f t="shared" si="185"/>
        <v>7.3679108095007259E-2</v>
      </c>
      <c r="K531" s="10">
        <v>0</v>
      </c>
      <c r="L531" s="2">
        <f t="shared" si="179"/>
        <v>0</v>
      </c>
      <c r="M531">
        <v>7371</v>
      </c>
      <c r="N531">
        <f t="shared" si="186"/>
        <v>3.3744493808935759E-2</v>
      </c>
      <c r="O531" s="10">
        <v>0.82080018700000001</v>
      </c>
      <c r="P531">
        <f t="shared" si="187"/>
        <v>0.80847224847144084</v>
      </c>
      <c r="Q531" s="23">
        <v>0.1681</v>
      </c>
      <c r="R531" s="13">
        <f t="shared" si="188"/>
        <v>0.36401039411000435</v>
      </c>
      <c r="S531">
        <f t="shared" si="189"/>
        <v>5.1412944125491106E-2</v>
      </c>
      <c r="T531" s="4">
        <f t="shared" si="180"/>
        <v>-1.1305663371509961E-3</v>
      </c>
      <c r="U531" t="str">
        <f t="shared" si="190"/>
        <v>No Impact</v>
      </c>
      <c r="V531">
        <f t="shared" si="191"/>
        <v>3.1923450930192589E-2</v>
      </c>
      <c r="W531">
        <f t="shared" si="181"/>
        <v>5.7950432275602037E-2</v>
      </c>
      <c r="X531" t="s">
        <v>1170</v>
      </c>
      <c r="Y531">
        <f t="shared" si="182"/>
        <v>7.0902437320789616E-2</v>
      </c>
      <c r="Z531">
        <f t="shared" si="192"/>
        <v>0.15677239619879343</v>
      </c>
      <c r="AA531" t="s">
        <v>1170</v>
      </c>
      <c r="AB531">
        <f t="shared" si="183"/>
        <v>3.3479717802840613E-2</v>
      </c>
      <c r="AC531">
        <f t="shared" si="193"/>
        <v>9.8191191243227768E-2</v>
      </c>
      <c r="AD531" t="str">
        <f t="shared" si="194"/>
        <v>No Impact</v>
      </c>
      <c r="AE531">
        <f t="shared" si="184"/>
        <v>2.9593679458180663E-3</v>
      </c>
      <c r="AF531">
        <f t="shared" si="195"/>
        <v>1.9501678702164734E-2</v>
      </c>
      <c r="AG531" t="s">
        <v>1170</v>
      </c>
    </row>
    <row r="532" spans="1:33" customFormat="1" x14ac:dyDescent="0.3">
      <c r="A532">
        <v>609089</v>
      </c>
      <c r="B532" t="s">
        <v>508</v>
      </c>
      <c r="C532" t="s">
        <v>1079</v>
      </c>
      <c r="D532" t="s">
        <v>1088</v>
      </c>
      <c r="E532" s="21">
        <v>6.5</v>
      </c>
      <c r="F532" s="2">
        <f t="shared" si="174"/>
        <v>0.73333333333333328</v>
      </c>
      <c r="G532" s="10">
        <v>25.59132</v>
      </c>
      <c r="H532">
        <f t="shared" si="178"/>
        <v>0.23358064770516798</v>
      </c>
      <c r="I532" s="12">
        <v>2</v>
      </c>
      <c r="J532" s="2">
        <f t="shared" si="185"/>
        <v>4.8473097430925842E-3</v>
      </c>
      <c r="K532" s="10">
        <v>0</v>
      </c>
      <c r="L532" s="2">
        <f t="shared" si="179"/>
        <v>0</v>
      </c>
      <c r="M532">
        <v>23247</v>
      </c>
      <c r="N532">
        <f t="shared" si="186"/>
        <v>0.10886053190633679</v>
      </c>
      <c r="O532" s="10">
        <v>0.63690659999999999</v>
      </c>
      <c r="P532">
        <f t="shared" si="187"/>
        <v>0.60595229991325761</v>
      </c>
      <c r="Q532" s="23">
        <v>0.245</v>
      </c>
      <c r="R532" s="13">
        <f t="shared" si="188"/>
        <v>0.53053269813772197</v>
      </c>
      <c r="S532">
        <f t="shared" si="189"/>
        <v>3.4774457250338627E-2</v>
      </c>
      <c r="T532" s="4">
        <f t="shared" si="180"/>
        <v>-1.1306450608354255E-3</v>
      </c>
      <c r="U532" t="str">
        <f t="shared" si="190"/>
        <v>No Impact</v>
      </c>
      <c r="V532">
        <f t="shared" si="191"/>
        <v>3.2466749077966178E-2</v>
      </c>
      <c r="W532">
        <f t="shared" si="181"/>
        <v>5.8936677859980136E-2</v>
      </c>
      <c r="X532" t="s">
        <v>1170</v>
      </c>
      <c r="Y532">
        <f t="shared" si="182"/>
        <v>3.7082165422711068E-2</v>
      </c>
      <c r="Z532">
        <f t="shared" si="192"/>
        <v>8.199238487749233E-2</v>
      </c>
      <c r="AA532" t="s">
        <v>1170</v>
      </c>
      <c r="AB532">
        <f t="shared" si="183"/>
        <v>2.4819671389280939E-2</v>
      </c>
      <c r="AC532">
        <f t="shared" si="193"/>
        <v>7.2792522157166389E-2</v>
      </c>
      <c r="AD532" t="str">
        <f t="shared" si="194"/>
        <v>No Impact</v>
      </c>
      <c r="AE532">
        <f t="shared" si="184"/>
        <v>6.6618845290841635E-3</v>
      </c>
      <c r="AF532">
        <f t="shared" si="195"/>
        <v>4.3900567288603171E-2</v>
      </c>
      <c r="AG532" t="s">
        <v>1170</v>
      </c>
    </row>
    <row r="533" spans="1:33" customFormat="1" x14ac:dyDescent="0.3">
      <c r="A533">
        <v>609092</v>
      </c>
      <c r="B533" t="s">
        <v>512</v>
      </c>
      <c r="C533" t="s">
        <v>1079</v>
      </c>
      <c r="D533" t="s">
        <v>1089</v>
      </c>
      <c r="E533" s="21">
        <v>6.4</v>
      </c>
      <c r="F533" s="2">
        <f t="shared" si="174"/>
        <v>0.71111111111111114</v>
      </c>
      <c r="G533" s="10">
        <v>21.5046</v>
      </c>
      <c r="H533">
        <f t="shared" si="178"/>
        <v>0.19627976972819516</v>
      </c>
      <c r="I533" s="12">
        <v>0.5</v>
      </c>
      <c r="J533" s="2">
        <f t="shared" si="185"/>
        <v>1.211827435773146E-3</v>
      </c>
      <c r="K533" s="10">
        <v>0</v>
      </c>
      <c r="L533" s="2">
        <f t="shared" si="179"/>
        <v>0</v>
      </c>
      <c r="M533">
        <v>18280</v>
      </c>
      <c r="N533">
        <f t="shared" si="186"/>
        <v>8.5359564330764165E-2</v>
      </c>
      <c r="O533" s="10">
        <v>0.52975439300000005</v>
      </c>
      <c r="P533">
        <f t="shared" si="187"/>
        <v>0.48794677398082914</v>
      </c>
      <c r="Q533" s="23">
        <v>0.2722</v>
      </c>
      <c r="R533" s="13">
        <f t="shared" si="188"/>
        <v>0.58943265482893026</v>
      </c>
      <c r="S533">
        <f t="shared" si="189"/>
        <v>2.6478465582768052E-2</v>
      </c>
      <c r="T533" s="4">
        <f t="shared" si="180"/>
        <v>-1.1306843126637296E-3</v>
      </c>
      <c r="U533" t="str">
        <f t="shared" si="190"/>
        <v>No Impact</v>
      </c>
      <c r="V533">
        <f t="shared" si="191"/>
        <v>2.8972656887443354E-2</v>
      </c>
      <c r="W533">
        <f t="shared" si="181"/>
        <v>5.2593875094252285E-2</v>
      </c>
      <c r="X533" t="s">
        <v>1170</v>
      </c>
      <c r="Y533">
        <f t="shared" si="182"/>
        <v>2.398427427809275E-2</v>
      </c>
      <c r="Z533">
        <f t="shared" si="192"/>
        <v>5.3031634620029904E-2</v>
      </c>
      <c r="AA533" t="s">
        <v>1170</v>
      </c>
      <c r="AB533">
        <f t="shared" si="183"/>
        <v>1.8804213594837003E-2</v>
      </c>
      <c r="AC533">
        <f t="shared" si="193"/>
        <v>5.5150050670752182E-2</v>
      </c>
      <c r="AD533" t="str">
        <f t="shared" si="194"/>
        <v>No Impact</v>
      </c>
      <c r="AE533">
        <f t="shared" si="184"/>
        <v>4.1957182880114421E-3</v>
      </c>
      <c r="AF533">
        <f t="shared" si="195"/>
        <v>2.7648995148853349E-2</v>
      </c>
      <c r="AG533" t="s">
        <v>1170</v>
      </c>
    </row>
    <row r="534" spans="1:33" customFormat="1" x14ac:dyDescent="0.3">
      <c r="A534">
        <v>609108</v>
      </c>
      <c r="B534" t="s">
        <v>35</v>
      </c>
      <c r="C534" t="s">
        <v>1091</v>
      </c>
      <c r="D534" t="s">
        <v>1090</v>
      </c>
      <c r="E534" s="21">
        <v>7</v>
      </c>
      <c r="F534" s="2">
        <f t="shared" si="174"/>
        <v>0.84444444444444444</v>
      </c>
      <c r="G534" s="10">
        <v>31.263480000000001</v>
      </c>
      <c r="H534">
        <f t="shared" si="178"/>
        <v>0.28535237369223493</v>
      </c>
      <c r="I534" s="12">
        <v>28.6</v>
      </c>
      <c r="J534" s="2">
        <f t="shared" si="185"/>
        <v>6.9316529326223952E-2</v>
      </c>
      <c r="K534" s="10">
        <v>0</v>
      </c>
      <c r="L534" s="2">
        <f t="shared" si="179"/>
        <v>0</v>
      </c>
      <c r="M534">
        <v>33148</v>
      </c>
      <c r="N534">
        <f t="shared" si="186"/>
        <v>0.15570633016801275</v>
      </c>
      <c r="O534" s="10">
        <v>0.84004630300000005</v>
      </c>
      <c r="P534">
        <f t="shared" si="187"/>
        <v>0.82966778054980983</v>
      </c>
      <c r="Q534" s="23">
        <v>0.28139999999999998</v>
      </c>
      <c r="R534" s="13">
        <f t="shared" si="188"/>
        <v>0.60935469900389783</v>
      </c>
      <c r="S534">
        <f t="shared" si="189"/>
        <v>7.5422308582460837E-2</v>
      </c>
      <c r="T534" s="4">
        <f t="shared" si="180"/>
        <v>-1.1304527387423766E-3</v>
      </c>
      <c r="U534" t="str">
        <f t="shared" si="190"/>
        <v>No Impact</v>
      </c>
      <c r="V534">
        <f t="shared" si="191"/>
        <v>6.3875219181701776E-2</v>
      </c>
      <c r="W534">
        <f t="shared" si="181"/>
        <v>0.11595226879991052</v>
      </c>
      <c r="X534" t="s">
        <v>1170</v>
      </c>
      <c r="Y534">
        <f t="shared" si="182"/>
        <v>8.6969397983219884E-2</v>
      </c>
      <c r="Z534">
        <f t="shared" si="192"/>
        <v>0.19229805678059661</v>
      </c>
      <c r="AA534" t="str">
        <f t="shared" ref="AA534" si="196">IF(Z534&gt;0.7,"High",IF(Z534&gt;0.3,"Moderate",IF(Z534&gt;0.15,"Low","No Impact")))</f>
        <v>Low</v>
      </c>
      <c r="AB534">
        <f t="shared" si="183"/>
        <v>5.4159782105791858E-2</v>
      </c>
      <c r="AC534">
        <f t="shared" si="193"/>
        <v>0.15884284191876141</v>
      </c>
      <c r="AD534" t="str">
        <f t="shared" si="194"/>
        <v>Low</v>
      </c>
      <c r="AE534">
        <f t="shared" si="184"/>
        <v>1.6321817134943632E-2</v>
      </c>
      <c r="AF534">
        <f t="shared" si="195"/>
        <v>0.10755770807444097</v>
      </c>
      <c r="AG534" t="s">
        <v>1169</v>
      </c>
    </row>
    <row r="535" spans="1:33" customFormat="1" x14ac:dyDescent="0.3">
      <c r="A535">
        <v>609117</v>
      </c>
      <c r="B535" t="s">
        <v>57</v>
      </c>
      <c r="C535" t="s">
        <v>1091</v>
      </c>
      <c r="D535" t="s">
        <v>1092</v>
      </c>
      <c r="E535" s="21">
        <v>6.1</v>
      </c>
      <c r="F535" s="2">
        <f t="shared" si="174"/>
        <v>0.64444444444444438</v>
      </c>
      <c r="G535" s="10">
        <v>22.503239999999998</v>
      </c>
      <c r="H535">
        <f t="shared" si="178"/>
        <v>0.20539469533673307</v>
      </c>
      <c r="I535" s="12">
        <v>13.399999999999999</v>
      </c>
      <c r="J535" s="2">
        <f t="shared" si="185"/>
        <v>3.2476975278720309E-2</v>
      </c>
      <c r="K535" s="10">
        <v>0</v>
      </c>
      <c r="L535" s="2">
        <f t="shared" si="179"/>
        <v>0</v>
      </c>
      <c r="M535">
        <v>29012</v>
      </c>
      <c r="N535">
        <f t="shared" si="186"/>
        <v>0.1361371733545301</v>
      </c>
      <c r="O535" s="10">
        <v>0.70535434100000005</v>
      </c>
      <c r="P535">
        <f t="shared" si="187"/>
        <v>0.68133303076084206</v>
      </c>
      <c r="Q535" s="23">
        <v>0.32329999999999998</v>
      </c>
      <c r="R535" s="13">
        <f t="shared" si="188"/>
        <v>0.70008661758336943</v>
      </c>
      <c r="S535">
        <f t="shared" si="189"/>
        <v>3.7058845396248818E-2</v>
      </c>
      <c r="T535" s="4">
        <f t="shared" si="180"/>
        <v>-1.1306342524336241E-3</v>
      </c>
      <c r="U535" t="str">
        <f t="shared" si="190"/>
        <v>No Impact</v>
      </c>
      <c r="V535">
        <f t="shared" si="191"/>
        <v>3.7561941088795389E-2</v>
      </c>
      <c r="W535">
        <f t="shared" si="181"/>
        <v>6.8185946687476712E-2</v>
      </c>
      <c r="X535" t="s">
        <v>1170</v>
      </c>
      <c r="Y535">
        <f t="shared" si="182"/>
        <v>3.6555749703702248E-2</v>
      </c>
      <c r="Z535">
        <f t="shared" si="192"/>
        <v>8.0828426954687255E-2</v>
      </c>
      <c r="AA535" t="s">
        <v>1170</v>
      </c>
      <c r="AB535">
        <f t="shared" si="183"/>
        <v>2.6669876198645921E-2</v>
      </c>
      <c r="AC535">
        <f t="shared" si="193"/>
        <v>7.8218906433920432E-2</v>
      </c>
      <c r="AD535" t="str">
        <f t="shared" si="194"/>
        <v>No Impact</v>
      </c>
      <c r="AE535">
        <f t="shared" si="184"/>
        <v>7.3042054470196151E-3</v>
      </c>
      <c r="AF535">
        <f t="shared" si="195"/>
        <v>4.8133341446665499E-2</v>
      </c>
      <c r="AG535" t="s">
        <v>1170</v>
      </c>
    </row>
    <row r="536" spans="1:33" customFormat="1" x14ac:dyDescent="0.3">
      <c r="A536">
        <v>609120</v>
      </c>
      <c r="B536" t="s">
        <v>81</v>
      </c>
      <c r="C536" t="s">
        <v>1091</v>
      </c>
      <c r="D536" t="s">
        <v>1093</v>
      </c>
      <c r="E536" s="21">
        <v>7</v>
      </c>
      <c r="F536" s="2">
        <f t="shared" ref="F536:F545" si="197">(E536-$AJ$5)/$AK$5</f>
        <v>0.84444444444444444</v>
      </c>
      <c r="G536" s="10">
        <v>27.34524</v>
      </c>
      <c r="H536">
        <f t="shared" si="178"/>
        <v>0.2495892697544819</v>
      </c>
      <c r="I536" s="12">
        <v>13.5</v>
      </c>
      <c r="J536" s="2">
        <f t="shared" si="185"/>
        <v>3.2719340765874939E-2</v>
      </c>
      <c r="K536" s="10">
        <v>0</v>
      </c>
      <c r="L536" s="2">
        <f t="shared" si="179"/>
        <v>0</v>
      </c>
      <c r="M536">
        <v>16977</v>
      </c>
      <c r="N536">
        <f t="shared" si="186"/>
        <v>7.9194522907174256E-2</v>
      </c>
      <c r="O536" s="10">
        <v>0.63327610999999995</v>
      </c>
      <c r="P536">
        <f t="shared" si="187"/>
        <v>0.60195408192188737</v>
      </c>
      <c r="Q536" s="23">
        <v>0.31209999999999999</v>
      </c>
      <c r="R536" s="13">
        <f t="shared" si="188"/>
        <v>0.67583369423993067</v>
      </c>
      <c r="S536">
        <f t="shared" si="189"/>
        <v>5.3307950429491734E-2</v>
      </c>
      <c r="T536" s="4">
        <f t="shared" si="180"/>
        <v>-1.1305573710785771E-3</v>
      </c>
      <c r="U536" t="str">
        <f t="shared" si="190"/>
        <v>No Impact</v>
      </c>
      <c r="V536">
        <f t="shared" si="191"/>
        <v>5.6390129477275626E-2</v>
      </c>
      <c r="W536">
        <f t="shared" si="181"/>
        <v>0.10236463427563335</v>
      </c>
      <c r="X536" t="s">
        <v>1170</v>
      </c>
      <c r="Y536">
        <f t="shared" si="182"/>
        <v>5.0225771381707855E-2</v>
      </c>
      <c r="Z536">
        <f t="shared" si="192"/>
        <v>0.11105421517201286</v>
      </c>
      <c r="AA536" t="s">
        <v>1170</v>
      </c>
      <c r="AB536">
        <f t="shared" si="183"/>
        <v>3.711701476687853E-2</v>
      </c>
      <c r="AC536">
        <f t="shared" si="193"/>
        <v>0.10885885946873342</v>
      </c>
      <c r="AD536" t="str">
        <f t="shared" si="194"/>
        <v>No Impact</v>
      </c>
      <c r="AE536">
        <f t="shared" si="184"/>
        <v>6.607822958056315E-3</v>
      </c>
      <c r="AF536">
        <f t="shared" si="195"/>
        <v>4.354431169361736E-2</v>
      </c>
      <c r="AG536" t="s">
        <v>1170</v>
      </c>
    </row>
    <row r="537" spans="1:33" customFormat="1" x14ac:dyDescent="0.3">
      <c r="A537">
        <v>609127</v>
      </c>
      <c r="B537" t="s">
        <v>119</v>
      </c>
      <c r="C537" t="s">
        <v>1091</v>
      </c>
      <c r="D537" t="s">
        <v>1131</v>
      </c>
      <c r="E537" s="21">
        <v>6.9</v>
      </c>
      <c r="F537" s="2">
        <f t="shared" si="197"/>
        <v>0.8222222222222223</v>
      </c>
      <c r="G537" s="10">
        <v>22.358879999999999</v>
      </c>
      <c r="H537">
        <f t="shared" si="178"/>
        <v>0.20407707270911099</v>
      </c>
      <c r="I537" s="12">
        <v>1.5999999999999999</v>
      </c>
      <c r="J537" s="2">
        <f t="shared" si="185"/>
        <v>3.8778477944740671E-3</v>
      </c>
      <c r="K537" s="10">
        <v>0</v>
      </c>
      <c r="L537" s="2">
        <f t="shared" si="179"/>
        <v>0</v>
      </c>
      <c r="M537">
        <v>8775</v>
      </c>
      <c r="N537">
        <f t="shared" si="186"/>
        <v>4.0387408742719524E-2</v>
      </c>
      <c r="O537" s="10">
        <v>0.50451622399999996</v>
      </c>
      <c r="P537">
        <f t="shared" si="187"/>
        <v>0.46015226101838008</v>
      </c>
      <c r="Q537" s="23">
        <v>0.2712</v>
      </c>
      <c r="R537" s="13">
        <f t="shared" si="188"/>
        <v>0.58726721524469472</v>
      </c>
      <c r="S537">
        <f t="shared" si="189"/>
        <v>3.1341307102961305E-2</v>
      </c>
      <c r="T537" s="4">
        <f t="shared" si="180"/>
        <v>-1.1306613045137615E-3</v>
      </c>
      <c r="U537" t="str">
        <f t="shared" si="190"/>
        <v>No Impact</v>
      </c>
      <c r="V537">
        <f t="shared" si="191"/>
        <v>3.5144891920764684E-2</v>
      </c>
      <c r="W537">
        <f t="shared" si="181"/>
        <v>6.3798293096232639E-2</v>
      </c>
      <c r="X537" t="s">
        <v>1170</v>
      </c>
      <c r="Y537">
        <f t="shared" si="182"/>
        <v>2.7537722285157929E-2</v>
      </c>
      <c r="Z537">
        <f t="shared" si="192"/>
        <v>6.0888664362392382E-2</v>
      </c>
      <c r="AA537" t="s">
        <v>1170</v>
      </c>
      <c r="AB537">
        <f t="shared" si="183"/>
        <v>2.1407970666640356E-2</v>
      </c>
      <c r="AC537">
        <f t="shared" si="193"/>
        <v>6.2786495221866578E-2</v>
      </c>
      <c r="AD537" t="str">
        <f t="shared" si="194"/>
        <v>No Impact</v>
      </c>
      <c r="AE537">
        <f t="shared" si="184"/>
        <v>2.4169765966438341E-3</v>
      </c>
      <c r="AF537">
        <f t="shared" si="195"/>
        <v>1.5927421625623498E-2</v>
      </c>
      <c r="AG537" t="s">
        <v>1170</v>
      </c>
    </row>
    <row r="538" spans="1:33" customFormat="1" x14ac:dyDescent="0.3">
      <c r="A538">
        <v>609131</v>
      </c>
      <c r="B538" t="s">
        <v>124</v>
      </c>
      <c r="C538" t="s">
        <v>1091</v>
      </c>
      <c r="D538" t="s">
        <v>1094</v>
      </c>
      <c r="E538" s="21">
        <v>7</v>
      </c>
      <c r="F538" s="2">
        <f t="shared" si="197"/>
        <v>0.84444444444444444</v>
      </c>
      <c r="G538" s="10">
        <v>25.238879999999998</v>
      </c>
      <c r="H538">
        <f t="shared" si="178"/>
        <v>0.23036380842227011</v>
      </c>
      <c r="I538" s="12">
        <v>13.999999999999998</v>
      </c>
      <c r="J538" s="2">
        <f t="shared" si="185"/>
        <v>3.3931168201648085E-2</v>
      </c>
      <c r="K538" s="10">
        <v>0</v>
      </c>
      <c r="L538" s="2">
        <f t="shared" si="179"/>
        <v>0</v>
      </c>
      <c r="M538">
        <v>13160</v>
      </c>
      <c r="N538">
        <f t="shared" si="186"/>
        <v>6.113468935856127E-2</v>
      </c>
      <c r="O538" s="10">
        <v>0.66942065399999995</v>
      </c>
      <c r="P538">
        <f t="shared" si="187"/>
        <v>0.64175966356807601</v>
      </c>
      <c r="Q538" s="23">
        <v>0.313</v>
      </c>
      <c r="R538" s="13">
        <f t="shared" si="188"/>
        <v>0.6777825898657428</v>
      </c>
      <c r="S538">
        <f t="shared" si="189"/>
        <v>5.1537261933777709E-2</v>
      </c>
      <c r="T538" s="4">
        <f t="shared" si="180"/>
        <v>-1.1305657489511208E-3</v>
      </c>
      <c r="U538" t="str">
        <f t="shared" si="190"/>
        <v>No Impact</v>
      </c>
      <c r="V538">
        <f t="shared" si="191"/>
        <v>5.294420664008994E-2</v>
      </c>
      <c r="W538">
        <f t="shared" si="181"/>
        <v>9.6109273022868091E-2</v>
      </c>
      <c r="X538" t="s">
        <v>1170</v>
      </c>
      <c r="Y538">
        <f t="shared" si="182"/>
        <v>5.0130317227465478E-2</v>
      </c>
      <c r="Z538">
        <f t="shared" si="192"/>
        <v>0.11084315646862863</v>
      </c>
      <c r="AA538" t="s">
        <v>1170</v>
      </c>
      <c r="AB538">
        <f t="shared" si="183"/>
        <v>3.5240980547335703E-2</v>
      </c>
      <c r="AC538">
        <f t="shared" si="193"/>
        <v>0.10335672125135753</v>
      </c>
      <c r="AD538" t="str">
        <f t="shared" si="194"/>
        <v>No Impact</v>
      </c>
      <c r="AE538">
        <f t="shared" si="184"/>
        <v>4.775465871613073E-3</v>
      </c>
      <c r="AF538">
        <f t="shared" si="195"/>
        <v>3.1469422791091002E-2</v>
      </c>
      <c r="AG538" t="s">
        <v>1170</v>
      </c>
    </row>
    <row r="539" spans="1:33" customFormat="1" x14ac:dyDescent="0.3">
      <c r="A539">
        <v>609135</v>
      </c>
      <c r="B539" t="s">
        <v>167</v>
      </c>
      <c r="C539" t="s">
        <v>1091</v>
      </c>
      <c r="D539" t="s">
        <v>1095</v>
      </c>
      <c r="E539" s="21">
        <v>7</v>
      </c>
      <c r="F539" s="2">
        <f t="shared" si="197"/>
        <v>0.84444444444444444</v>
      </c>
      <c r="G539" s="10">
        <v>23.716440000000002</v>
      </c>
      <c r="H539">
        <f t="shared" si="178"/>
        <v>0.2164679827559014</v>
      </c>
      <c r="I539" s="12">
        <v>17.100000000000001</v>
      </c>
      <c r="J539" s="2">
        <f t="shared" si="185"/>
        <v>4.1444498303441595E-2</v>
      </c>
      <c r="K539" s="10">
        <v>0</v>
      </c>
      <c r="L539" s="2">
        <f t="shared" si="179"/>
        <v>0</v>
      </c>
      <c r="M539">
        <v>11651</v>
      </c>
      <c r="N539">
        <f t="shared" si="186"/>
        <v>5.3994975231011627E-2</v>
      </c>
      <c r="O539" s="10">
        <v>0.82015491200000001</v>
      </c>
      <c r="P539">
        <f t="shared" si="187"/>
        <v>0.80776161433820226</v>
      </c>
      <c r="Q539" s="23">
        <v>0.30640000000000001</v>
      </c>
      <c r="R539" s="13">
        <f t="shared" si="188"/>
        <v>0.66349068860978777</v>
      </c>
      <c r="S539">
        <f t="shared" si="189"/>
        <v>5.6074917909376923E-2</v>
      </c>
      <c r="T539" s="4">
        <f t="shared" si="180"/>
        <v>-1.1305442793908326E-3</v>
      </c>
      <c r="U539" t="str">
        <f t="shared" si="190"/>
        <v>No Impact</v>
      </c>
      <c r="V539">
        <f t="shared" si="191"/>
        <v>5.0576214321473932E-2</v>
      </c>
      <c r="W539">
        <f t="shared" si="181"/>
        <v>9.181067201042814E-2</v>
      </c>
      <c r="X539" t="s">
        <v>1170</v>
      </c>
      <c r="Y539">
        <f t="shared" si="182"/>
        <v>6.1573621497279921E-2</v>
      </c>
      <c r="Z539">
        <f t="shared" si="192"/>
        <v>0.13614544928959305</v>
      </c>
      <c r="AA539" t="s">
        <v>1170</v>
      </c>
      <c r="AB539">
        <f t="shared" si="183"/>
        <v>3.7614326522003715E-2</v>
      </c>
      <c r="AC539">
        <f t="shared" si="193"/>
        <v>0.11031740323372474</v>
      </c>
      <c r="AD539" t="str">
        <f t="shared" si="194"/>
        <v>No Impact</v>
      </c>
      <c r="AE539">
        <f t="shared" si="184"/>
        <v>4.1159001722967581E-3</v>
      </c>
      <c r="AF539">
        <f t="shared" si="195"/>
        <v>2.7123008763997213E-2</v>
      </c>
      <c r="AG539" t="s">
        <v>1170</v>
      </c>
    </row>
    <row r="540" spans="1:33" customFormat="1" x14ac:dyDescent="0.3">
      <c r="A540">
        <v>609138</v>
      </c>
      <c r="B540" t="s">
        <v>189</v>
      </c>
      <c r="C540" t="s">
        <v>1091</v>
      </c>
      <c r="D540" t="s">
        <v>1096</v>
      </c>
      <c r="E540" s="21">
        <v>6.5</v>
      </c>
      <c r="F540" s="2">
        <f t="shared" si="197"/>
        <v>0.73333333333333328</v>
      </c>
      <c r="G540" s="10">
        <v>23.731560000000002</v>
      </c>
      <c r="H540">
        <f t="shared" si="178"/>
        <v>0.21660598811839549</v>
      </c>
      <c r="I540" s="12">
        <v>16.7</v>
      </c>
      <c r="J540" s="2">
        <f t="shared" si="185"/>
        <v>4.0475036354823073E-2</v>
      </c>
      <c r="K540" s="10">
        <v>0</v>
      </c>
      <c r="L540" s="2">
        <f t="shared" si="179"/>
        <v>0</v>
      </c>
      <c r="M540">
        <v>29178</v>
      </c>
      <c r="N540">
        <f t="shared" si="186"/>
        <v>0.13692258922276948</v>
      </c>
      <c r="O540" s="10">
        <v>0.70556847600000006</v>
      </c>
      <c r="P540">
        <f t="shared" si="187"/>
        <v>0.68156885523896549</v>
      </c>
      <c r="Q540" s="23">
        <v>0.32540000000000002</v>
      </c>
      <c r="R540" s="13">
        <f t="shared" si="188"/>
        <v>0.70463404071026425</v>
      </c>
      <c r="S540">
        <f t="shared" si="189"/>
        <v>4.5733695779357528E-2</v>
      </c>
      <c r="T540" s="4">
        <f t="shared" si="180"/>
        <v>-1.1305932080652777E-3</v>
      </c>
      <c r="U540" t="str">
        <f t="shared" si="190"/>
        <v>No Impact</v>
      </c>
      <c r="V540">
        <f t="shared" si="191"/>
        <v>4.649466387322123E-2</v>
      </c>
      <c r="W540">
        <f t="shared" si="181"/>
        <v>8.4401460100721415E-2</v>
      </c>
      <c r="X540" t="s">
        <v>1170</v>
      </c>
      <c r="Y540">
        <f t="shared" si="182"/>
        <v>4.4972727685493818E-2</v>
      </c>
      <c r="Z540">
        <f t="shared" si="192"/>
        <v>9.9439208992937969E-2</v>
      </c>
      <c r="AA540" t="s">
        <v>1170</v>
      </c>
      <c r="AB540">
        <f t="shared" si="183"/>
        <v>3.2927101917339455E-2</v>
      </c>
      <c r="AC540">
        <f t="shared" si="193"/>
        <v>9.6570448427627159E-2</v>
      </c>
      <c r="AD540" t="str">
        <f t="shared" si="194"/>
        <v>No Impact</v>
      </c>
      <c r="AE540">
        <f t="shared" si="184"/>
        <v>9.0347178744682455E-3</v>
      </c>
      <c r="AF540">
        <f t="shared" si="195"/>
        <v>5.9537093182875277E-2</v>
      </c>
      <c r="AG540" t="s">
        <v>1170</v>
      </c>
    </row>
    <row r="541" spans="1:33" customFormat="1" x14ac:dyDescent="0.3">
      <c r="A541">
        <v>609141</v>
      </c>
      <c r="B541" t="s">
        <v>194</v>
      </c>
      <c r="C541" t="s">
        <v>1091</v>
      </c>
      <c r="D541" t="s">
        <v>1097</v>
      </c>
      <c r="E541" s="21">
        <v>6.9</v>
      </c>
      <c r="F541" s="2">
        <f t="shared" si="197"/>
        <v>0.8222222222222223</v>
      </c>
      <c r="G541" s="10">
        <v>23.731560000000002</v>
      </c>
      <c r="H541">
        <f t="shared" si="178"/>
        <v>0.21660598811839549</v>
      </c>
      <c r="I541" s="12">
        <v>3.7</v>
      </c>
      <c r="J541" s="2">
        <f t="shared" si="185"/>
        <v>8.9675230247212804E-3</v>
      </c>
      <c r="K541" s="10">
        <v>0</v>
      </c>
      <c r="L541" s="2">
        <f t="shared" si="179"/>
        <v>0</v>
      </c>
      <c r="M541">
        <v>28466</v>
      </c>
      <c r="N541">
        <f t="shared" si="186"/>
        <v>0.13355381754694753</v>
      </c>
      <c r="O541" s="10">
        <v>0.45570841400000001</v>
      </c>
      <c r="P541">
        <f t="shared" si="187"/>
        <v>0.40640076629965688</v>
      </c>
      <c r="Q541" s="23">
        <v>0.28100000000000003</v>
      </c>
      <c r="R541" s="13">
        <f t="shared" si="188"/>
        <v>0.60848852317020363</v>
      </c>
      <c r="S541">
        <f t="shared" si="189"/>
        <v>3.294079131991122E-2</v>
      </c>
      <c r="T541" s="4">
        <f t="shared" si="180"/>
        <v>-1.1306537366807194E-3</v>
      </c>
      <c r="U541" t="str">
        <f t="shared" si="190"/>
        <v>No Impact</v>
      </c>
      <c r="V541">
        <f t="shared" si="191"/>
        <v>3.9500059110449209E-2</v>
      </c>
      <c r="W541">
        <f t="shared" si="181"/>
        <v>7.170419969219019E-2</v>
      </c>
      <c r="X541" t="s">
        <v>1170</v>
      </c>
      <c r="Y541">
        <f t="shared" si="182"/>
        <v>2.6381523529373237E-2</v>
      </c>
      <c r="Z541">
        <f t="shared" si="192"/>
        <v>5.8332193015626962E-2</v>
      </c>
      <c r="AA541" t="s">
        <v>1170</v>
      </c>
      <c r="AB541">
        <f t="shared" si="183"/>
        <v>2.4773855916207864E-2</v>
      </c>
      <c r="AC541">
        <f t="shared" si="193"/>
        <v>7.2658151972061796E-2</v>
      </c>
      <c r="AD541" t="str">
        <f t="shared" si="194"/>
        <v>No Impact</v>
      </c>
      <c r="AE541">
        <f t="shared" si="184"/>
        <v>8.6696519106819192E-3</v>
      </c>
      <c r="AF541">
        <f t="shared" si="195"/>
        <v>5.7131377076867718E-2</v>
      </c>
      <c r="AG541" t="s">
        <v>1170</v>
      </c>
    </row>
    <row r="542" spans="1:33" customFormat="1" x14ac:dyDescent="0.3">
      <c r="A542">
        <v>609153</v>
      </c>
      <c r="B542" t="s">
        <v>218</v>
      </c>
      <c r="C542" t="s">
        <v>1091</v>
      </c>
      <c r="D542" t="s">
        <v>1098</v>
      </c>
      <c r="E542" s="21">
        <v>7</v>
      </c>
      <c r="F542" s="2">
        <f t="shared" si="197"/>
        <v>0.84444444444444444</v>
      </c>
      <c r="G542" s="10">
        <v>28.493640000000003</v>
      </c>
      <c r="H542">
        <f t="shared" si="178"/>
        <v>0.26007110562010416</v>
      </c>
      <c r="I542" s="12">
        <v>7.3999999999999986</v>
      </c>
      <c r="J542" s="2">
        <f t="shared" si="185"/>
        <v>1.7935046049442557E-2</v>
      </c>
      <c r="K542" s="10">
        <v>0</v>
      </c>
      <c r="L542" s="2">
        <f t="shared" si="179"/>
        <v>0</v>
      </c>
      <c r="M542">
        <v>17294</v>
      </c>
      <c r="N542">
        <f t="shared" si="186"/>
        <v>8.0694383330257913E-2</v>
      </c>
      <c r="O542" s="10">
        <v>0.40542265500000002</v>
      </c>
      <c r="P542">
        <f t="shared" si="187"/>
        <v>0.35102162289380662</v>
      </c>
      <c r="Q542" s="23">
        <v>0.30580000000000002</v>
      </c>
      <c r="R542" s="13">
        <f t="shared" si="188"/>
        <v>0.66219142485924642</v>
      </c>
      <c r="S542">
        <f t="shared" si="189"/>
        <v>4.1625964678019392E-2</v>
      </c>
      <c r="T542" s="4">
        <f t="shared" si="180"/>
        <v>-1.1306126434700334E-3</v>
      </c>
      <c r="U542" t="str">
        <f t="shared" si="190"/>
        <v>No Impact</v>
      </c>
      <c r="V542">
        <f t="shared" si="191"/>
        <v>5.4409794509469235E-2</v>
      </c>
      <c r="W542">
        <f t="shared" si="181"/>
        <v>9.8769745123899064E-2</v>
      </c>
      <c r="X542" t="s">
        <v>1170</v>
      </c>
      <c r="Y542">
        <f t="shared" si="182"/>
        <v>2.8842134846569556E-2</v>
      </c>
      <c r="Z542">
        <f t="shared" si="192"/>
        <v>6.3772851290397253E-2</v>
      </c>
      <c r="AA542" t="s">
        <v>1170</v>
      </c>
      <c r="AB542">
        <f t="shared" si="183"/>
        <v>3.0016693094284404E-2</v>
      </c>
      <c r="AC542">
        <f t="shared" si="193"/>
        <v>8.8034638447880884E-2</v>
      </c>
      <c r="AD542" t="str">
        <f t="shared" si="194"/>
        <v>No Impact</v>
      </c>
      <c r="AE542">
        <f t="shared" si="184"/>
        <v>6.6303558914265898E-3</v>
      </c>
      <c r="AF542">
        <f t="shared" si="195"/>
        <v>4.3692799490623255E-2</v>
      </c>
      <c r="AG542" t="s">
        <v>1170</v>
      </c>
    </row>
    <row r="543" spans="1:33" customFormat="1" x14ac:dyDescent="0.3">
      <c r="A543">
        <v>609159</v>
      </c>
      <c r="B543" t="s">
        <v>256</v>
      </c>
      <c r="C543" t="s">
        <v>1091</v>
      </c>
      <c r="D543" t="s">
        <v>1099</v>
      </c>
      <c r="E543" s="21">
        <v>7</v>
      </c>
      <c r="F543" s="2">
        <f t="shared" si="197"/>
        <v>0.84444444444444444</v>
      </c>
      <c r="G543" s="10">
        <v>21.470760000000002</v>
      </c>
      <c r="H543">
        <f t="shared" si="178"/>
        <v>0.19597090058356556</v>
      </c>
      <c r="I543" s="12">
        <v>10.199999999999999</v>
      </c>
      <c r="J543" s="2">
        <f t="shared" si="185"/>
        <v>2.4721279689772176E-2</v>
      </c>
      <c r="K543" s="10">
        <v>0</v>
      </c>
      <c r="L543" s="2">
        <f t="shared" si="179"/>
        <v>0</v>
      </c>
      <c r="M543">
        <v>16637</v>
      </c>
      <c r="N543">
        <f t="shared" si="186"/>
        <v>7.758583980355141E-2</v>
      </c>
      <c r="O543" s="10">
        <v>0.57596453800000003</v>
      </c>
      <c r="P543">
        <f t="shared" si="187"/>
        <v>0.53883748931755371</v>
      </c>
      <c r="Q543" s="23">
        <v>0.30570000000000003</v>
      </c>
      <c r="R543" s="13">
        <f t="shared" si="188"/>
        <v>0.6619748809008229</v>
      </c>
      <c r="S543">
        <f t="shared" si="189"/>
        <v>3.9162574123330546E-2</v>
      </c>
      <c r="T543" s="4">
        <f t="shared" si="180"/>
        <v>-1.1306242988075716E-3</v>
      </c>
      <c r="U543" t="str">
        <f t="shared" si="190"/>
        <v>No Impact</v>
      </c>
      <c r="V543">
        <f t="shared" si="191"/>
        <v>4.3178503126757098E-2</v>
      </c>
      <c r="W543">
        <f t="shared" si="181"/>
        <v>7.838165512496216E-2</v>
      </c>
      <c r="X543" t="s">
        <v>1170</v>
      </c>
      <c r="Y543">
        <f t="shared" si="182"/>
        <v>3.5146645119904001E-2</v>
      </c>
      <c r="Z543">
        <f t="shared" si="192"/>
        <v>7.7712755470824429E-2</v>
      </c>
      <c r="AA543" t="s">
        <v>1170</v>
      </c>
      <c r="AB543">
        <f t="shared" si="183"/>
        <v>2.7427706248403672E-2</v>
      </c>
      <c r="AC543">
        <f t="shared" si="193"/>
        <v>8.044151284248803E-2</v>
      </c>
      <c r="AD543" t="str">
        <f t="shared" si="194"/>
        <v>No Impact</v>
      </c>
      <c r="AE543">
        <f t="shared" si="184"/>
        <v>5.0606760516213956E-3</v>
      </c>
      <c r="AF543">
        <f t="shared" si="195"/>
        <v>3.3348904286782922E-2</v>
      </c>
      <c r="AG543" t="s">
        <v>1170</v>
      </c>
    </row>
    <row r="544" spans="1:33" customFormat="1" x14ac:dyDescent="0.3">
      <c r="A544">
        <v>609162</v>
      </c>
      <c r="B544" t="s">
        <v>511</v>
      </c>
      <c r="C544" t="s">
        <v>1091</v>
      </c>
      <c r="D544" t="s">
        <v>1100</v>
      </c>
      <c r="E544" s="21">
        <v>7</v>
      </c>
      <c r="F544" s="2">
        <f t="shared" si="197"/>
        <v>0.84444444444444444</v>
      </c>
      <c r="G544" s="10">
        <v>25.238879999999998</v>
      </c>
      <c r="H544">
        <f t="shared" si="178"/>
        <v>0.23036380842227011</v>
      </c>
      <c r="I544" s="12">
        <v>7.5</v>
      </c>
      <c r="J544" s="2">
        <f t="shared" si="185"/>
        <v>1.8177411536597191E-2</v>
      </c>
      <c r="K544" s="10">
        <v>0</v>
      </c>
      <c r="L544" s="2">
        <f t="shared" si="179"/>
        <v>0</v>
      </c>
      <c r="M544">
        <v>11227</v>
      </c>
      <c r="N544">
        <f t="shared" si="186"/>
        <v>5.1988852772376075E-2</v>
      </c>
      <c r="O544" s="10">
        <v>0.38565521200000002</v>
      </c>
      <c r="P544">
        <f t="shared" si="187"/>
        <v>0.32925195922692296</v>
      </c>
      <c r="Q544" s="23">
        <v>0.30199999999999999</v>
      </c>
      <c r="R544" s="13">
        <f t="shared" si="188"/>
        <v>0.65396275443915119</v>
      </c>
      <c r="S544">
        <f t="shared" si="189"/>
        <v>3.6112364585931006E-2</v>
      </c>
      <c r="T544" s="4">
        <f t="shared" si="180"/>
        <v>-1.1306387306327049E-3</v>
      </c>
      <c r="U544" t="str">
        <f t="shared" si="190"/>
        <v>No Impact</v>
      </c>
      <c r="V544">
        <f t="shared" si="191"/>
        <v>4.8038624901919375E-2</v>
      </c>
      <c r="W544">
        <f t="shared" si="181"/>
        <v>8.7204202486730775E-2</v>
      </c>
      <c r="X544" t="s">
        <v>1170</v>
      </c>
      <c r="Y544">
        <f t="shared" si="182"/>
        <v>2.4186104269942638E-2</v>
      </c>
      <c r="Z544">
        <f t="shared" si="192"/>
        <v>5.3477900963511613E-2</v>
      </c>
      <c r="AA544" t="s">
        <v>1170</v>
      </c>
      <c r="AB544">
        <f t="shared" si="183"/>
        <v>2.5405994236958905E-2</v>
      </c>
      <c r="AC544">
        <f t="shared" si="193"/>
        <v>7.4512122639035935E-2</v>
      </c>
      <c r="AD544" t="str">
        <f t="shared" si="194"/>
        <v>No Impact</v>
      </c>
      <c r="AE544">
        <f t="shared" si="184"/>
        <v>3.8189835437266719E-3</v>
      </c>
      <c r="AF544">
        <f t="shared" si="195"/>
        <v>2.5166383971907309E-2</v>
      </c>
      <c r="AG544" t="s">
        <v>1170</v>
      </c>
    </row>
    <row r="545" spans="1:33" customFormat="1" x14ac:dyDescent="0.3">
      <c r="A545" s="7">
        <v>609194</v>
      </c>
      <c r="B545" s="7" t="s">
        <v>538</v>
      </c>
      <c r="C545" t="s">
        <v>1091</v>
      </c>
      <c r="D545" t="s">
        <v>1101</v>
      </c>
      <c r="E545" s="21">
        <v>7</v>
      </c>
      <c r="F545" s="6">
        <f t="shared" si="197"/>
        <v>0.84444444444444444</v>
      </c>
      <c r="G545" s="10">
        <v>18.963000000000001</v>
      </c>
      <c r="H545">
        <f t="shared" si="178"/>
        <v>0.17308172546133224</v>
      </c>
      <c r="I545" s="12">
        <v>13.299999999999999</v>
      </c>
      <c r="J545" s="2">
        <f t="shared" si="185"/>
        <v>3.2234609791565678E-2</v>
      </c>
      <c r="K545" s="10">
        <v>0</v>
      </c>
      <c r="L545" s="2">
        <f t="shared" si="179"/>
        <v>0</v>
      </c>
      <c r="M545">
        <v>13447</v>
      </c>
      <c r="N545">
        <f t="shared" si="186"/>
        <v>6.2492607154854676E-2</v>
      </c>
      <c r="O545" s="10">
        <v>0.59413714100000004</v>
      </c>
      <c r="P545">
        <f t="shared" si="187"/>
        <v>0.55885077354767909</v>
      </c>
      <c r="Q545" s="23">
        <v>0.32250000000000001</v>
      </c>
      <c r="R545" s="13">
        <f t="shared" si="188"/>
        <v>0.69835426591598093</v>
      </c>
      <c r="S545">
        <f t="shared" si="189"/>
        <v>3.8145099190480466E-2</v>
      </c>
      <c r="T545" s="4">
        <f t="shared" si="180"/>
        <v>-1.1306291129097269E-3</v>
      </c>
      <c r="U545" t="str">
        <f t="shared" si="190"/>
        <v>No Impact</v>
      </c>
      <c r="V545">
        <f t="shared" si="191"/>
        <v>4.2377801404335315E-2</v>
      </c>
      <c r="W545">
        <f t="shared" si="181"/>
        <v>7.6928146510256715E-2</v>
      </c>
      <c r="X545" t="s">
        <v>1170</v>
      </c>
      <c r="Y545">
        <f t="shared" si="182"/>
        <v>3.3912396976625618E-2</v>
      </c>
      <c r="Z545">
        <f t="shared" si="192"/>
        <v>7.4983709104615409E-2</v>
      </c>
      <c r="AA545" t="s">
        <v>1170</v>
      </c>
      <c r="AB545">
        <f t="shared" si="183"/>
        <v>2.6333219708817808E-2</v>
      </c>
      <c r="AC545">
        <f t="shared" si="193"/>
        <v>7.7231541427720124E-2</v>
      </c>
      <c r="AD545" t="str">
        <f t="shared" si="194"/>
        <v>No Impact</v>
      </c>
      <c r="AE545">
        <f t="shared" si="184"/>
        <v>3.7922003551793199E-3</v>
      </c>
      <c r="AF545">
        <f t="shared" si="195"/>
        <v>2.4989887791901016E-2</v>
      </c>
      <c r="AG545" t="s">
        <v>1170</v>
      </c>
    </row>
    <row r="546" spans="1:33" x14ac:dyDescent="0.3">
      <c r="I546" s="16"/>
    </row>
    <row r="547" spans="1:33" x14ac:dyDescent="0.3">
      <c r="I547" s="16"/>
    </row>
    <row r="548" spans="1:33" x14ac:dyDescent="0.3">
      <c r="I548" s="16"/>
    </row>
    <row r="549" spans="1:33" x14ac:dyDescent="0.3">
      <c r="I549" s="16"/>
    </row>
    <row r="550" spans="1:33" x14ac:dyDescent="0.3">
      <c r="I550" s="16"/>
    </row>
    <row r="551" spans="1:33" x14ac:dyDescent="0.3">
      <c r="I551" s="16"/>
    </row>
    <row r="552" spans="1:33" x14ac:dyDescent="0.3">
      <c r="I552" s="16"/>
    </row>
    <row r="553" spans="1:33" x14ac:dyDescent="0.3">
      <c r="I553" s="16"/>
    </row>
    <row r="554" spans="1:33" x14ac:dyDescent="0.3">
      <c r="I554" s="16"/>
    </row>
    <row r="555" spans="1:33" x14ac:dyDescent="0.3">
      <c r="I555" s="16"/>
    </row>
    <row r="556" spans="1:33" x14ac:dyDescent="0.3">
      <c r="I556" s="16"/>
    </row>
    <row r="557" spans="1:33" x14ac:dyDescent="0.3">
      <c r="I557" s="16"/>
    </row>
    <row r="558" spans="1:33" x14ac:dyDescent="0.3">
      <c r="I558" s="16"/>
    </row>
    <row r="559" spans="1:33" x14ac:dyDescent="0.3">
      <c r="I559" s="16"/>
    </row>
    <row r="560" spans="1:33" x14ac:dyDescent="0.3">
      <c r="I560" s="16"/>
    </row>
    <row r="561" spans="9:9" x14ac:dyDescent="0.3">
      <c r="I561" s="16"/>
    </row>
    <row r="562" spans="9:9" x14ac:dyDescent="0.3">
      <c r="I562" s="16"/>
    </row>
    <row r="563" spans="9:9" x14ac:dyDescent="0.3">
      <c r="I563" s="16"/>
    </row>
    <row r="564" spans="9:9" x14ac:dyDescent="0.3">
      <c r="I564" s="16"/>
    </row>
    <row r="565" spans="9:9" x14ac:dyDescent="0.3">
      <c r="I565" s="16"/>
    </row>
    <row r="566" spans="9:9" x14ac:dyDescent="0.3">
      <c r="I566" s="16"/>
    </row>
    <row r="567" spans="9:9" x14ac:dyDescent="0.3">
      <c r="I567" s="16"/>
    </row>
    <row r="568" spans="9:9" x14ac:dyDescent="0.3">
      <c r="I568" s="16"/>
    </row>
    <row r="569" spans="9:9" x14ac:dyDescent="0.3">
      <c r="I569" s="16"/>
    </row>
    <row r="570" spans="9:9" x14ac:dyDescent="0.3">
      <c r="I570" s="16"/>
    </row>
    <row r="571" spans="9:9" x14ac:dyDescent="0.3">
      <c r="I571" s="16"/>
    </row>
    <row r="572" spans="9:9" x14ac:dyDescent="0.3">
      <c r="I572" s="16"/>
    </row>
    <row r="573" spans="9:9" x14ac:dyDescent="0.3">
      <c r="I573" s="16"/>
    </row>
    <row r="574" spans="9:9" x14ac:dyDescent="0.3">
      <c r="I574" s="16"/>
    </row>
    <row r="575" spans="9:9" x14ac:dyDescent="0.3">
      <c r="I575" s="16"/>
    </row>
    <row r="576" spans="9:9" x14ac:dyDescent="0.3">
      <c r="I576" s="16"/>
    </row>
    <row r="577" spans="9:9" x14ac:dyDescent="0.3">
      <c r="I577" s="16"/>
    </row>
    <row r="578" spans="9:9" x14ac:dyDescent="0.3">
      <c r="I578" s="16"/>
    </row>
    <row r="579" spans="9:9" x14ac:dyDescent="0.3">
      <c r="I579" s="16"/>
    </row>
    <row r="580" spans="9:9" x14ac:dyDescent="0.3">
      <c r="I580" s="16"/>
    </row>
    <row r="581" spans="9:9" x14ac:dyDescent="0.3">
      <c r="I581" s="16"/>
    </row>
    <row r="582" spans="9:9" x14ac:dyDescent="0.3">
      <c r="I582" s="16"/>
    </row>
    <row r="583" spans="9:9" x14ac:dyDescent="0.3">
      <c r="I583" s="16"/>
    </row>
    <row r="584" spans="9:9" x14ac:dyDescent="0.3">
      <c r="I584" s="16"/>
    </row>
    <row r="585" spans="9:9" x14ac:dyDescent="0.3">
      <c r="I585" s="16"/>
    </row>
    <row r="586" spans="9:9" x14ac:dyDescent="0.3">
      <c r="I586" s="16"/>
    </row>
    <row r="587" spans="9:9" x14ac:dyDescent="0.3">
      <c r="I587" s="16"/>
    </row>
    <row r="588" spans="9:9" x14ac:dyDescent="0.3">
      <c r="I588" s="16"/>
    </row>
    <row r="589" spans="9:9" x14ac:dyDescent="0.3">
      <c r="I589" s="16"/>
    </row>
    <row r="590" spans="9:9" x14ac:dyDescent="0.3">
      <c r="I590" s="16"/>
    </row>
    <row r="591" spans="9:9" x14ac:dyDescent="0.3">
      <c r="I591" s="16"/>
    </row>
    <row r="592" spans="9:9" x14ac:dyDescent="0.3">
      <c r="I592" s="16"/>
    </row>
    <row r="593" spans="9:9" x14ac:dyDescent="0.3">
      <c r="I593" s="16"/>
    </row>
    <row r="594" spans="9:9" x14ac:dyDescent="0.3">
      <c r="I594" s="16"/>
    </row>
    <row r="595" spans="9:9" x14ac:dyDescent="0.3">
      <c r="I595" s="16"/>
    </row>
    <row r="596" spans="9:9" x14ac:dyDescent="0.3">
      <c r="I596" s="16"/>
    </row>
    <row r="597" spans="9:9" x14ac:dyDescent="0.3">
      <c r="I597" s="16"/>
    </row>
    <row r="598" spans="9:9" x14ac:dyDescent="0.3">
      <c r="I598" s="16"/>
    </row>
    <row r="599" spans="9:9" x14ac:dyDescent="0.3">
      <c r="I599" s="16"/>
    </row>
    <row r="600" spans="9:9" x14ac:dyDescent="0.3">
      <c r="I600" s="16"/>
    </row>
    <row r="601" spans="9:9" x14ac:dyDescent="0.3">
      <c r="I601" s="16"/>
    </row>
    <row r="602" spans="9:9" x14ac:dyDescent="0.3">
      <c r="I602" s="16"/>
    </row>
    <row r="603" spans="9:9" x14ac:dyDescent="0.3">
      <c r="I603" s="16"/>
    </row>
    <row r="604" spans="9:9" x14ac:dyDescent="0.3">
      <c r="I604" s="16"/>
    </row>
    <row r="605" spans="9:9" x14ac:dyDescent="0.3">
      <c r="I605" s="16"/>
    </row>
    <row r="606" spans="9:9" x14ac:dyDescent="0.3">
      <c r="I606" s="16"/>
    </row>
    <row r="607" spans="9:9" x14ac:dyDescent="0.3">
      <c r="I607" s="16"/>
    </row>
    <row r="608" spans="9:9" x14ac:dyDescent="0.3">
      <c r="I608" s="16"/>
    </row>
    <row r="609" spans="9:9" x14ac:dyDescent="0.3">
      <c r="I609" s="16"/>
    </row>
    <row r="610" spans="9:9" x14ac:dyDescent="0.3">
      <c r="I610" s="16"/>
    </row>
    <row r="611" spans="9:9" x14ac:dyDescent="0.3">
      <c r="I611" s="16"/>
    </row>
    <row r="612" spans="9:9" x14ac:dyDescent="0.3">
      <c r="I612" s="16"/>
    </row>
    <row r="613" spans="9:9" x14ac:dyDescent="0.3">
      <c r="I613" s="16"/>
    </row>
    <row r="614" spans="9:9" x14ac:dyDescent="0.3">
      <c r="I614" s="16"/>
    </row>
    <row r="615" spans="9:9" x14ac:dyDescent="0.3">
      <c r="I615" s="16"/>
    </row>
    <row r="616" spans="9:9" x14ac:dyDescent="0.3">
      <c r="I616" s="16"/>
    </row>
    <row r="617" spans="9:9" x14ac:dyDescent="0.3">
      <c r="I617" s="16"/>
    </row>
    <row r="618" spans="9:9" x14ac:dyDescent="0.3">
      <c r="I618" s="16"/>
    </row>
    <row r="619" spans="9:9" x14ac:dyDescent="0.3">
      <c r="I619" s="16"/>
    </row>
    <row r="620" spans="9:9" x14ac:dyDescent="0.3">
      <c r="I620" s="16"/>
    </row>
    <row r="621" spans="9:9" x14ac:dyDescent="0.3">
      <c r="I621" s="16"/>
    </row>
    <row r="622" spans="9:9" x14ac:dyDescent="0.3">
      <c r="I622" s="16"/>
    </row>
    <row r="623" spans="9:9" x14ac:dyDescent="0.3">
      <c r="I623" s="16"/>
    </row>
    <row r="624" spans="9:9" x14ac:dyDescent="0.3">
      <c r="I624" s="16"/>
    </row>
    <row r="625" spans="9:9" x14ac:dyDescent="0.3">
      <c r="I625" s="16"/>
    </row>
    <row r="626" spans="9:9" x14ac:dyDescent="0.3">
      <c r="I626" s="16"/>
    </row>
    <row r="627" spans="9:9" x14ac:dyDescent="0.3">
      <c r="I627" s="16"/>
    </row>
    <row r="628" spans="9:9" x14ac:dyDescent="0.3">
      <c r="I628" s="16"/>
    </row>
    <row r="629" spans="9:9" x14ac:dyDescent="0.3">
      <c r="I629" s="16"/>
    </row>
    <row r="630" spans="9:9" x14ac:dyDescent="0.3">
      <c r="I630" s="16"/>
    </row>
    <row r="631" spans="9:9" x14ac:dyDescent="0.3">
      <c r="I631" s="16"/>
    </row>
    <row r="632" spans="9:9" x14ac:dyDescent="0.3">
      <c r="I632" s="16"/>
    </row>
    <row r="633" spans="9:9" x14ac:dyDescent="0.3">
      <c r="I633" s="16"/>
    </row>
    <row r="634" spans="9:9" x14ac:dyDescent="0.3">
      <c r="I634" s="16"/>
    </row>
    <row r="635" spans="9:9" x14ac:dyDescent="0.3">
      <c r="I635" s="16"/>
    </row>
    <row r="636" spans="9:9" x14ac:dyDescent="0.3">
      <c r="I636" s="16"/>
    </row>
    <row r="637" spans="9:9" x14ac:dyDescent="0.3">
      <c r="I637" s="16"/>
    </row>
    <row r="638" spans="9:9" x14ac:dyDescent="0.3">
      <c r="I638" s="16"/>
    </row>
    <row r="639" spans="9:9" x14ac:dyDescent="0.3">
      <c r="I639" s="16"/>
    </row>
    <row r="640" spans="9:9" x14ac:dyDescent="0.3">
      <c r="I640" s="16"/>
    </row>
    <row r="641" spans="9:9" x14ac:dyDescent="0.3">
      <c r="I641" s="16"/>
    </row>
    <row r="642" spans="9:9" x14ac:dyDescent="0.3">
      <c r="I642" s="16"/>
    </row>
    <row r="643" spans="9:9" x14ac:dyDescent="0.3">
      <c r="I643" s="16"/>
    </row>
    <row r="644" spans="9:9" x14ac:dyDescent="0.3">
      <c r="I644" s="16"/>
    </row>
    <row r="645" spans="9:9" x14ac:dyDescent="0.3">
      <c r="I645" s="16"/>
    </row>
    <row r="646" spans="9:9" x14ac:dyDescent="0.3">
      <c r="I646" s="16"/>
    </row>
    <row r="647" spans="9:9" x14ac:dyDescent="0.3">
      <c r="I647" s="16"/>
    </row>
    <row r="648" spans="9:9" x14ac:dyDescent="0.3">
      <c r="I648" s="16"/>
    </row>
    <row r="649" spans="9:9" x14ac:dyDescent="0.3">
      <c r="I649" s="16"/>
    </row>
    <row r="650" spans="9:9" x14ac:dyDescent="0.3">
      <c r="I650" s="16"/>
    </row>
    <row r="651" spans="9:9" x14ac:dyDescent="0.3">
      <c r="I651" s="16"/>
    </row>
    <row r="652" spans="9:9" x14ac:dyDescent="0.3">
      <c r="I652" s="16"/>
    </row>
    <row r="653" spans="9:9" x14ac:dyDescent="0.3">
      <c r="I653" s="16"/>
    </row>
    <row r="654" spans="9:9" x14ac:dyDescent="0.3">
      <c r="I654" s="16"/>
    </row>
    <row r="655" spans="9:9" x14ac:dyDescent="0.3">
      <c r="I655" s="16"/>
    </row>
    <row r="656" spans="9:9" x14ac:dyDescent="0.3">
      <c r="I656" s="16"/>
    </row>
    <row r="657" spans="9:9" x14ac:dyDescent="0.3">
      <c r="I657" s="16"/>
    </row>
    <row r="658" spans="9:9" x14ac:dyDescent="0.3">
      <c r="I658" s="16"/>
    </row>
    <row r="659" spans="9:9" x14ac:dyDescent="0.3">
      <c r="I659" s="16"/>
    </row>
    <row r="660" spans="9:9" x14ac:dyDescent="0.3">
      <c r="I660" s="16"/>
    </row>
    <row r="661" spans="9:9" x14ac:dyDescent="0.3">
      <c r="I661" s="16"/>
    </row>
    <row r="662" spans="9:9" x14ac:dyDescent="0.3">
      <c r="I662" s="16"/>
    </row>
    <row r="663" spans="9:9" x14ac:dyDescent="0.3">
      <c r="I663" s="16"/>
    </row>
    <row r="664" spans="9:9" x14ac:dyDescent="0.3">
      <c r="I664" s="16"/>
    </row>
    <row r="665" spans="9:9" x14ac:dyDescent="0.3">
      <c r="I665" s="16"/>
    </row>
    <row r="666" spans="9:9" x14ac:dyDescent="0.3">
      <c r="I666" s="16"/>
    </row>
    <row r="667" spans="9:9" x14ac:dyDescent="0.3">
      <c r="I667" s="16"/>
    </row>
    <row r="668" spans="9:9" x14ac:dyDescent="0.3">
      <c r="I668" s="16"/>
    </row>
    <row r="669" spans="9:9" x14ac:dyDescent="0.3">
      <c r="I669" s="16"/>
    </row>
    <row r="670" spans="9:9" x14ac:dyDescent="0.3">
      <c r="I670" s="16"/>
    </row>
    <row r="671" spans="9:9" x14ac:dyDescent="0.3">
      <c r="I671" s="16"/>
    </row>
    <row r="672" spans="9:9" x14ac:dyDescent="0.3">
      <c r="I672" s="16"/>
    </row>
    <row r="673" spans="9:9" x14ac:dyDescent="0.3">
      <c r="I673" s="16"/>
    </row>
    <row r="674" spans="9:9" x14ac:dyDescent="0.3">
      <c r="I674" s="16"/>
    </row>
    <row r="675" spans="9:9" x14ac:dyDescent="0.3">
      <c r="I675" s="16"/>
    </row>
    <row r="676" spans="9:9" x14ac:dyDescent="0.3">
      <c r="I676" s="16"/>
    </row>
    <row r="677" spans="9:9" x14ac:dyDescent="0.3">
      <c r="I677" s="16"/>
    </row>
    <row r="678" spans="9:9" x14ac:dyDescent="0.3">
      <c r="I678" s="16"/>
    </row>
    <row r="679" spans="9:9" x14ac:dyDescent="0.3">
      <c r="I679" s="16"/>
    </row>
    <row r="680" spans="9:9" x14ac:dyDescent="0.3">
      <c r="I680" s="16"/>
    </row>
    <row r="681" spans="9:9" x14ac:dyDescent="0.3">
      <c r="I681" s="16"/>
    </row>
    <row r="682" spans="9:9" x14ac:dyDescent="0.3">
      <c r="I682" s="16"/>
    </row>
    <row r="683" spans="9:9" x14ac:dyDescent="0.3">
      <c r="I683" s="16"/>
    </row>
    <row r="684" spans="9:9" x14ac:dyDescent="0.3">
      <c r="I684" s="16"/>
    </row>
    <row r="685" spans="9:9" x14ac:dyDescent="0.3">
      <c r="I685" s="16"/>
    </row>
    <row r="686" spans="9:9" x14ac:dyDescent="0.3">
      <c r="I686" s="16"/>
    </row>
    <row r="687" spans="9:9" x14ac:dyDescent="0.3">
      <c r="I687" s="16"/>
    </row>
    <row r="688" spans="9:9" x14ac:dyDescent="0.3">
      <c r="I688" s="16"/>
    </row>
    <row r="689" spans="9:9" x14ac:dyDescent="0.3">
      <c r="I689" s="16"/>
    </row>
    <row r="690" spans="9:9" x14ac:dyDescent="0.3">
      <c r="I690" s="16"/>
    </row>
    <row r="691" spans="9:9" x14ac:dyDescent="0.3">
      <c r="I691" s="16"/>
    </row>
    <row r="692" spans="9:9" x14ac:dyDescent="0.3">
      <c r="I692" s="16"/>
    </row>
    <row r="693" spans="9:9" x14ac:dyDescent="0.3">
      <c r="I693" s="16"/>
    </row>
    <row r="694" spans="9:9" x14ac:dyDescent="0.3">
      <c r="I694" s="16"/>
    </row>
    <row r="695" spans="9:9" x14ac:dyDescent="0.3">
      <c r="I695" s="16"/>
    </row>
    <row r="696" spans="9:9" x14ac:dyDescent="0.3">
      <c r="I696" s="16"/>
    </row>
    <row r="697" spans="9:9" x14ac:dyDescent="0.3">
      <c r="I697" s="16"/>
    </row>
    <row r="698" spans="9:9" x14ac:dyDescent="0.3">
      <c r="I698" s="16"/>
    </row>
    <row r="699" spans="9:9" x14ac:dyDescent="0.3">
      <c r="I699" s="16"/>
    </row>
    <row r="700" spans="9:9" x14ac:dyDescent="0.3">
      <c r="I700" s="16"/>
    </row>
    <row r="701" spans="9:9" x14ac:dyDescent="0.3">
      <c r="I701" s="16"/>
    </row>
    <row r="702" spans="9:9" x14ac:dyDescent="0.3">
      <c r="I702" s="16"/>
    </row>
    <row r="703" spans="9:9" x14ac:dyDescent="0.3">
      <c r="I703" s="16"/>
    </row>
    <row r="704" spans="9:9" x14ac:dyDescent="0.3">
      <c r="I704" s="16"/>
    </row>
    <row r="705" spans="9:9" x14ac:dyDescent="0.3">
      <c r="I705" s="16"/>
    </row>
    <row r="706" spans="9:9" x14ac:dyDescent="0.3">
      <c r="I706" s="16"/>
    </row>
    <row r="707" spans="9:9" x14ac:dyDescent="0.3">
      <c r="I707" s="16"/>
    </row>
    <row r="708" spans="9:9" x14ac:dyDescent="0.3">
      <c r="I708" s="16"/>
    </row>
    <row r="709" spans="9:9" x14ac:dyDescent="0.3">
      <c r="I709" s="16"/>
    </row>
    <row r="710" spans="9:9" x14ac:dyDescent="0.3">
      <c r="I710" s="16"/>
    </row>
    <row r="711" spans="9:9" x14ac:dyDescent="0.3">
      <c r="I711" s="16"/>
    </row>
    <row r="712" spans="9:9" x14ac:dyDescent="0.3">
      <c r="I712" s="16"/>
    </row>
    <row r="713" spans="9:9" x14ac:dyDescent="0.3">
      <c r="I713" s="16"/>
    </row>
    <row r="714" spans="9:9" x14ac:dyDescent="0.3">
      <c r="I714" s="16"/>
    </row>
    <row r="715" spans="9:9" x14ac:dyDescent="0.3">
      <c r="I715" s="16"/>
    </row>
    <row r="716" spans="9:9" x14ac:dyDescent="0.3">
      <c r="I716" s="16"/>
    </row>
    <row r="717" spans="9:9" x14ac:dyDescent="0.3">
      <c r="I717" s="16"/>
    </row>
    <row r="718" spans="9:9" x14ac:dyDescent="0.3">
      <c r="I718" s="16"/>
    </row>
    <row r="719" spans="9:9" x14ac:dyDescent="0.3">
      <c r="I719" s="16"/>
    </row>
    <row r="720" spans="9:9" x14ac:dyDescent="0.3">
      <c r="I720" s="16"/>
    </row>
    <row r="721" spans="9:9" x14ac:dyDescent="0.3">
      <c r="I721" s="16"/>
    </row>
    <row r="722" spans="9:9" x14ac:dyDescent="0.3">
      <c r="I722" s="16"/>
    </row>
    <row r="723" spans="9:9" x14ac:dyDescent="0.3">
      <c r="I723" s="16"/>
    </row>
    <row r="724" spans="9:9" x14ac:dyDescent="0.3">
      <c r="I724" s="16"/>
    </row>
    <row r="725" spans="9:9" x14ac:dyDescent="0.3">
      <c r="I725" s="16"/>
    </row>
    <row r="726" spans="9:9" x14ac:dyDescent="0.3">
      <c r="I726" s="16"/>
    </row>
    <row r="727" spans="9:9" x14ac:dyDescent="0.3">
      <c r="I727" s="16"/>
    </row>
    <row r="728" spans="9:9" x14ac:dyDescent="0.3">
      <c r="I728" s="16"/>
    </row>
    <row r="729" spans="9:9" x14ac:dyDescent="0.3">
      <c r="I729" s="16"/>
    </row>
    <row r="730" spans="9:9" x14ac:dyDescent="0.3">
      <c r="I730" s="16"/>
    </row>
    <row r="731" spans="9:9" x14ac:dyDescent="0.3">
      <c r="I731" s="16"/>
    </row>
    <row r="732" spans="9:9" x14ac:dyDescent="0.3">
      <c r="I732" s="16"/>
    </row>
    <row r="733" spans="9:9" x14ac:dyDescent="0.3">
      <c r="I733" s="16"/>
    </row>
    <row r="734" spans="9:9" x14ac:dyDescent="0.3">
      <c r="I734" s="16"/>
    </row>
    <row r="735" spans="9:9" x14ac:dyDescent="0.3">
      <c r="I735" s="16"/>
    </row>
    <row r="736" spans="9:9" x14ac:dyDescent="0.3">
      <c r="I736" s="16"/>
    </row>
    <row r="737" spans="9:9" x14ac:dyDescent="0.3">
      <c r="I737" s="16"/>
    </row>
    <row r="738" spans="9:9" x14ac:dyDescent="0.3">
      <c r="I738" s="16"/>
    </row>
    <row r="739" spans="9:9" x14ac:dyDescent="0.3">
      <c r="I739" s="16"/>
    </row>
    <row r="740" spans="9:9" x14ac:dyDescent="0.3">
      <c r="I740" s="16"/>
    </row>
    <row r="741" spans="9:9" x14ac:dyDescent="0.3">
      <c r="I741" s="16"/>
    </row>
    <row r="742" spans="9:9" x14ac:dyDescent="0.3">
      <c r="I742" s="16"/>
    </row>
    <row r="743" spans="9:9" x14ac:dyDescent="0.3">
      <c r="I743" s="16"/>
    </row>
    <row r="744" spans="9:9" x14ac:dyDescent="0.3">
      <c r="I744" s="16"/>
    </row>
    <row r="745" spans="9:9" x14ac:dyDescent="0.3">
      <c r="I745" s="16"/>
    </row>
    <row r="746" spans="9:9" x14ac:dyDescent="0.3">
      <c r="I746" s="16"/>
    </row>
    <row r="747" spans="9:9" x14ac:dyDescent="0.3">
      <c r="I747" s="16"/>
    </row>
    <row r="748" spans="9:9" x14ac:dyDescent="0.3">
      <c r="I748" s="16"/>
    </row>
    <row r="749" spans="9:9" x14ac:dyDescent="0.3">
      <c r="I749" s="16"/>
    </row>
    <row r="750" spans="9:9" x14ac:dyDescent="0.3">
      <c r="I750" s="16"/>
    </row>
    <row r="751" spans="9:9" x14ac:dyDescent="0.3">
      <c r="I751" s="16"/>
    </row>
    <row r="752" spans="9:9" x14ac:dyDescent="0.3">
      <c r="I752" s="16"/>
    </row>
    <row r="753" spans="9:9" x14ac:dyDescent="0.3">
      <c r="I753" s="16"/>
    </row>
    <row r="754" spans="9:9" x14ac:dyDescent="0.3">
      <c r="I754" s="16"/>
    </row>
    <row r="755" spans="9:9" x14ac:dyDescent="0.3">
      <c r="I755" s="16"/>
    </row>
    <row r="756" spans="9:9" x14ac:dyDescent="0.3">
      <c r="I756" s="16"/>
    </row>
    <row r="757" spans="9:9" x14ac:dyDescent="0.3">
      <c r="I757" s="16"/>
    </row>
    <row r="758" spans="9:9" x14ac:dyDescent="0.3">
      <c r="I758" s="16"/>
    </row>
    <row r="759" spans="9:9" x14ac:dyDescent="0.3">
      <c r="I759" s="16"/>
    </row>
    <row r="760" spans="9:9" x14ac:dyDescent="0.3">
      <c r="I760" s="16"/>
    </row>
    <row r="761" spans="9:9" x14ac:dyDescent="0.3">
      <c r="I761" s="16"/>
    </row>
    <row r="762" spans="9:9" x14ac:dyDescent="0.3">
      <c r="I762" s="16"/>
    </row>
    <row r="763" spans="9:9" x14ac:dyDescent="0.3">
      <c r="I763" s="16"/>
    </row>
    <row r="764" spans="9:9" x14ac:dyDescent="0.3">
      <c r="I764" s="16"/>
    </row>
    <row r="765" spans="9:9" x14ac:dyDescent="0.3">
      <c r="I765" s="16"/>
    </row>
    <row r="766" spans="9:9" x14ac:dyDescent="0.3">
      <c r="I766" s="16"/>
    </row>
    <row r="767" spans="9:9" x14ac:dyDescent="0.3">
      <c r="I767" s="16"/>
    </row>
    <row r="768" spans="9:9" x14ac:dyDescent="0.3">
      <c r="I768" s="16"/>
    </row>
    <row r="769" spans="9:9" x14ac:dyDescent="0.3">
      <c r="I769" s="16"/>
    </row>
    <row r="770" spans="9:9" x14ac:dyDescent="0.3">
      <c r="I770" s="16"/>
    </row>
    <row r="771" spans="9:9" x14ac:dyDescent="0.3">
      <c r="I771" s="16"/>
    </row>
    <row r="772" spans="9:9" x14ac:dyDescent="0.3">
      <c r="I772" s="16"/>
    </row>
    <row r="773" spans="9:9" x14ac:dyDescent="0.3">
      <c r="I773" s="16"/>
    </row>
    <row r="774" spans="9:9" x14ac:dyDescent="0.3">
      <c r="I774" s="16"/>
    </row>
    <row r="775" spans="9:9" x14ac:dyDescent="0.3">
      <c r="I775" s="16"/>
    </row>
    <row r="776" spans="9:9" x14ac:dyDescent="0.3">
      <c r="I776" s="16"/>
    </row>
    <row r="777" spans="9:9" x14ac:dyDescent="0.3">
      <c r="I777" s="16"/>
    </row>
    <row r="778" spans="9:9" x14ac:dyDescent="0.3">
      <c r="I778" s="16"/>
    </row>
    <row r="779" spans="9:9" x14ac:dyDescent="0.3">
      <c r="I779" s="16"/>
    </row>
    <row r="780" spans="9:9" x14ac:dyDescent="0.3">
      <c r="I780" s="16"/>
    </row>
    <row r="781" spans="9:9" x14ac:dyDescent="0.3">
      <c r="I781" s="16"/>
    </row>
    <row r="782" spans="9:9" x14ac:dyDescent="0.3">
      <c r="I782" s="16"/>
    </row>
    <row r="783" spans="9:9" x14ac:dyDescent="0.3">
      <c r="I783" s="16"/>
    </row>
    <row r="784" spans="9:9" x14ac:dyDescent="0.3">
      <c r="I784" s="16"/>
    </row>
    <row r="785" spans="9:9" x14ac:dyDescent="0.3">
      <c r="I785" s="16"/>
    </row>
    <row r="786" spans="9:9" x14ac:dyDescent="0.3">
      <c r="I786" s="16"/>
    </row>
    <row r="787" spans="9:9" x14ac:dyDescent="0.3">
      <c r="I787" s="16"/>
    </row>
    <row r="788" spans="9:9" x14ac:dyDescent="0.3">
      <c r="I788" s="16"/>
    </row>
    <row r="789" spans="9:9" x14ac:dyDescent="0.3">
      <c r="I789" s="16"/>
    </row>
    <row r="790" spans="9:9" x14ac:dyDescent="0.3">
      <c r="I790" s="16"/>
    </row>
    <row r="791" spans="9:9" x14ac:dyDescent="0.3">
      <c r="I791" s="16"/>
    </row>
    <row r="792" spans="9:9" x14ac:dyDescent="0.3">
      <c r="I792" s="16"/>
    </row>
    <row r="793" spans="9:9" x14ac:dyDescent="0.3">
      <c r="I793" s="16"/>
    </row>
    <row r="794" spans="9:9" x14ac:dyDescent="0.3">
      <c r="I794" s="16"/>
    </row>
    <row r="795" spans="9:9" x14ac:dyDescent="0.3">
      <c r="I795" s="16"/>
    </row>
    <row r="796" spans="9:9" x14ac:dyDescent="0.3">
      <c r="I796" s="16"/>
    </row>
    <row r="797" spans="9:9" x14ac:dyDescent="0.3">
      <c r="I797" s="16"/>
    </row>
    <row r="798" spans="9:9" x14ac:dyDescent="0.3">
      <c r="I798" s="16"/>
    </row>
    <row r="799" spans="9:9" x14ac:dyDescent="0.3">
      <c r="I799" s="16"/>
    </row>
    <row r="800" spans="9:9" x14ac:dyDescent="0.3">
      <c r="I800" s="16"/>
    </row>
    <row r="801" spans="9:9" x14ac:dyDescent="0.3">
      <c r="I801" s="16"/>
    </row>
    <row r="802" spans="9:9" x14ac:dyDescent="0.3">
      <c r="I802" s="16"/>
    </row>
    <row r="803" spans="9:9" x14ac:dyDescent="0.3">
      <c r="I803" s="16"/>
    </row>
    <row r="804" spans="9:9" x14ac:dyDescent="0.3">
      <c r="I804" s="16"/>
    </row>
    <row r="805" spans="9:9" x14ac:dyDescent="0.3">
      <c r="I805" s="16"/>
    </row>
    <row r="806" spans="9:9" x14ac:dyDescent="0.3">
      <c r="I806" s="16"/>
    </row>
    <row r="807" spans="9:9" x14ac:dyDescent="0.3">
      <c r="I807" s="16"/>
    </row>
    <row r="808" spans="9:9" x14ac:dyDescent="0.3">
      <c r="I808" s="16"/>
    </row>
    <row r="809" spans="9:9" x14ac:dyDescent="0.3">
      <c r="I809" s="16"/>
    </row>
    <row r="810" spans="9:9" x14ac:dyDescent="0.3">
      <c r="I810" s="16"/>
    </row>
    <row r="811" spans="9:9" x14ac:dyDescent="0.3">
      <c r="I811" s="16"/>
    </row>
    <row r="812" spans="9:9" x14ac:dyDescent="0.3">
      <c r="I812" s="16"/>
    </row>
    <row r="813" spans="9:9" x14ac:dyDescent="0.3">
      <c r="I813" s="16"/>
    </row>
    <row r="814" spans="9:9" x14ac:dyDescent="0.3">
      <c r="I814" s="16"/>
    </row>
    <row r="815" spans="9:9" x14ac:dyDescent="0.3">
      <c r="I815" s="16"/>
    </row>
    <row r="816" spans="9:9" x14ac:dyDescent="0.3">
      <c r="I816" s="16"/>
    </row>
    <row r="817" spans="9:9" x14ac:dyDescent="0.3">
      <c r="I817" s="16"/>
    </row>
    <row r="818" spans="9:9" x14ac:dyDescent="0.3">
      <c r="I818" s="16"/>
    </row>
    <row r="819" spans="9:9" x14ac:dyDescent="0.3">
      <c r="I819" s="16"/>
    </row>
    <row r="820" spans="9:9" x14ac:dyDescent="0.3">
      <c r="I820" s="16"/>
    </row>
    <row r="821" spans="9:9" x14ac:dyDescent="0.3">
      <c r="I821" s="16"/>
    </row>
    <row r="822" spans="9:9" x14ac:dyDescent="0.3">
      <c r="I822" s="16"/>
    </row>
    <row r="823" spans="9:9" x14ac:dyDescent="0.3">
      <c r="I823" s="16"/>
    </row>
    <row r="824" spans="9:9" x14ac:dyDescent="0.3">
      <c r="I824" s="16"/>
    </row>
    <row r="825" spans="9:9" x14ac:dyDescent="0.3">
      <c r="I825" s="16"/>
    </row>
    <row r="826" spans="9:9" x14ac:dyDescent="0.3">
      <c r="I826" s="16"/>
    </row>
    <row r="827" spans="9:9" x14ac:dyDescent="0.3">
      <c r="I827" s="16"/>
    </row>
    <row r="828" spans="9:9" x14ac:dyDescent="0.3">
      <c r="I828" s="16"/>
    </row>
    <row r="829" spans="9:9" x14ac:dyDescent="0.3">
      <c r="I829" s="16"/>
    </row>
    <row r="830" spans="9:9" x14ac:dyDescent="0.3">
      <c r="I830" s="16"/>
    </row>
    <row r="831" spans="9:9" x14ac:dyDescent="0.3">
      <c r="I831" s="16"/>
    </row>
    <row r="832" spans="9:9" x14ac:dyDescent="0.3">
      <c r="I832" s="16"/>
    </row>
    <row r="833" spans="9:9" x14ac:dyDescent="0.3">
      <c r="I833" s="16"/>
    </row>
    <row r="834" spans="9:9" x14ac:dyDescent="0.3">
      <c r="I834" s="16"/>
    </row>
    <row r="835" spans="9:9" x14ac:dyDescent="0.3">
      <c r="I835" s="16"/>
    </row>
    <row r="836" spans="9:9" x14ac:dyDescent="0.3">
      <c r="I836" s="16"/>
    </row>
    <row r="837" spans="9:9" x14ac:dyDescent="0.3">
      <c r="I837" s="16"/>
    </row>
    <row r="838" spans="9:9" x14ac:dyDescent="0.3">
      <c r="I838" s="16"/>
    </row>
    <row r="839" spans="9:9" x14ac:dyDescent="0.3">
      <c r="I839" s="16"/>
    </row>
    <row r="840" spans="9:9" x14ac:dyDescent="0.3">
      <c r="I840" s="16"/>
    </row>
    <row r="841" spans="9:9" x14ac:dyDescent="0.3">
      <c r="I841" s="16"/>
    </row>
    <row r="842" spans="9:9" x14ac:dyDescent="0.3">
      <c r="I842" s="16"/>
    </row>
    <row r="843" spans="9:9" x14ac:dyDescent="0.3">
      <c r="I843" s="16"/>
    </row>
    <row r="844" spans="9:9" x14ac:dyDescent="0.3">
      <c r="I844" s="16"/>
    </row>
    <row r="845" spans="9:9" x14ac:dyDescent="0.3">
      <c r="I845" s="16"/>
    </row>
    <row r="846" spans="9:9" x14ac:dyDescent="0.3">
      <c r="I846" s="16"/>
    </row>
    <row r="847" spans="9:9" x14ac:dyDescent="0.3">
      <c r="I847" s="16"/>
    </row>
    <row r="848" spans="9:9" x14ac:dyDescent="0.3">
      <c r="I848" s="16"/>
    </row>
    <row r="849" spans="9:9" x14ac:dyDescent="0.3">
      <c r="I849" s="16"/>
    </row>
    <row r="850" spans="9:9" x14ac:dyDescent="0.3">
      <c r="I850" s="16"/>
    </row>
    <row r="851" spans="9:9" x14ac:dyDescent="0.3">
      <c r="I851" s="16"/>
    </row>
    <row r="852" spans="9:9" x14ac:dyDescent="0.3">
      <c r="I852" s="16"/>
    </row>
    <row r="853" spans="9:9" x14ac:dyDescent="0.3">
      <c r="I853" s="16"/>
    </row>
    <row r="854" spans="9:9" x14ac:dyDescent="0.3">
      <c r="I854" s="16"/>
    </row>
    <row r="855" spans="9:9" x14ac:dyDescent="0.3">
      <c r="I855" s="16"/>
    </row>
    <row r="856" spans="9:9" x14ac:dyDescent="0.3">
      <c r="I856" s="16"/>
    </row>
    <row r="857" spans="9:9" x14ac:dyDescent="0.3">
      <c r="I857" s="16"/>
    </row>
    <row r="858" spans="9:9" x14ac:dyDescent="0.3">
      <c r="I858" s="16"/>
    </row>
    <row r="859" spans="9:9" x14ac:dyDescent="0.3">
      <c r="I859" s="16"/>
    </row>
    <row r="860" spans="9:9" x14ac:dyDescent="0.3">
      <c r="I860" s="16"/>
    </row>
    <row r="861" spans="9:9" x14ac:dyDescent="0.3">
      <c r="I861" s="16"/>
    </row>
    <row r="862" spans="9:9" x14ac:dyDescent="0.3">
      <c r="I862" s="16"/>
    </row>
    <row r="863" spans="9:9" x14ac:dyDescent="0.3">
      <c r="I863" s="16"/>
    </row>
    <row r="864" spans="9:9" x14ac:dyDescent="0.3">
      <c r="I864" s="16"/>
    </row>
    <row r="865" spans="9:9" x14ac:dyDescent="0.3">
      <c r="I865" s="16"/>
    </row>
    <row r="866" spans="9:9" x14ac:dyDescent="0.3">
      <c r="I866" s="16"/>
    </row>
    <row r="867" spans="9:9" x14ac:dyDescent="0.3">
      <c r="I867" s="16"/>
    </row>
    <row r="868" spans="9:9" x14ac:dyDescent="0.3">
      <c r="I868" s="16"/>
    </row>
    <row r="869" spans="9:9" x14ac:dyDescent="0.3">
      <c r="I869" s="16"/>
    </row>
    <row r="870" spans="9:9" x14ac:dyDescent="0.3">
      <c r="I870" s="16"/>
    </row>
    <row r="871" spans="9:9" x14ac:dyDescent="0.3">
      <c r="I871" s="16"/>
    </row>
    <row r="872" spans="9:9" x14ac:dyDescent="0.3">
      <c r="I872" s="16"/>
    </row>
    <row r="873" spans="9:9" x14ac:dyDescent="0.3">
      <c r="I873" s="16"/>
    </row>
    <row r="874" spans="9:9" x14ac:dyDescent="0.3">
      <c r="I874" s="16"/>
    </row>
    <row r="875" spans="9:9" x14ac:dyDescent="0.3">
      <c r="I875" s="16"/>
    </row>
    <row r="876" spans="9:9" x14ac:dyDescent="0.3">
      <c r="I876" s="16"/>
    </row>
    <row r="877" spans="9:9" x14ac:dyDescent="0.3">
      <c r="I877" s="16"/>
    </row>
    <row r="878" spans="9:9" x14ac:dyDescent="0.3">
      <c r="I878" s="16"/>
    </row>
    <row r="879" spans="9:9" x14ac:dyDescent="0.3">
      <c r="I879" s="16"/>
    </row>
    <row r="880" spans="9:9" x14ac:dyDescent="0.3">
      <c r="I880" s="16"/>
    </row>
    <row r="881" spans="9:9" x14ac:dyDescent="0.3">
      <c r="I881" s="16"/>
    </row>
    <row r="882" spans="9:9" x14ac:dyDescent="0.3">
      <c r="I882" s="16"/>
    </row>
    <row r="883" spans="9:9" x14ac:dyDescent="0.3">
      <c r="I883" s="16"/>
    </row>
    <row r="884" spans="9:9" x14ac:dyDescent="0.3">
      <c r="I884" s="16"/>
    </row>
    <row r="885" spans="9:9" x14ac:dyDescent="0.3">
      <c r="I885" s="16"/>
    </row>
    <row r="886" spans="9:9" x14ac:dyDescent="0.3">
      <c r="I886" s="16"/>
    </row>
    <row r="887" spans="9:9" x14ac:dyDescent="0.3">
      <c r="I887" s="16"/>
    </row>
    <row r="888" spans="9:9" x14ac:dyDescent="0.3">
      <c r="I888" s="16"/>
    </row>
    <row r="889" spans="9:9" x14ac:dyDescent="0.3">
      <c r="I889" s="16"/>
    </row>
    <row r="890" spans="9:9" x14ac:dyDescent="0.3">
      <c r="I890" s="16"/>
    </row>
    <row r="891" spans="9:9" x14ac:dyDescent="0.3">
      <c r="I891" s="16"/>
    </row>
    <row r="892" spans="9:9" x14ac:dyDescent="0.3">
      <c r="I892" s="16"/>
    </row>
    <row r="893" spans="9:9" x14ac:dyDescent="0.3">
      <c r="I893" s="16"/>
    </row>
    <row r="894" spans="9:9" x14ac:dyDescent="0.3">
      <c r="I894" s="16"/>
    </row>
    <row r="895" spans="9:9" x14ac:dyDescent="0.3">
      <c r="I895" s="16"/>
    </row>
    <row r="896" spans="9:9" x14ac:dyDescent="0.3">
      <c r="I896" s="16"/>
    </row>
    <row r="897" spans="9:9" x14ac:dyDescent="0.3">
      <c r="I897" s="16"/>
    </row>
    <row r="898" spans="9:9" x14ac:dyDescent="0.3">
      <c r="I898" s="16"/>
    </row>
    <row r="899" spans="9:9" x14ac:dyDescent="0.3">
      <c r="I899" s="16"/>
    </row>
    <row r="900" spans="9:9" x14ac:dyDescent="0.3">
      <c r="I900" s="16"/>
    </row>
    <row r="901" spans="9:9" x14ac:dyDescent="0.3">
      <c r="I901" s="16"/>
    </row>
    <row r="902" spans="9:9" x14ac:dyDescent="0.3">
      <c r="I902" s="16"/>
    </row>
    <row r="903" spans="9:9" x14ac:dyDescent="0.3">
      <c r="I903" s="16"/>
    </row>
    <row r="904" spans="9:9" x14ac:dyDescent="0.3">
      <c r="I904" s="16"/>
    </row>
    <row r="905" spans="9:9" x14ac:dyDescent="0.3">
      <c r="I905" s="16"/>
    </row>
    <row r="906" spans="9:9" x14ac:dyDescent="0.3">
      <c r="I906" s="16"/>
    </row>
    <row r="907" spans="9:9" x14ac:dyDescent="0.3">
      <c r="I907" s="16"/>
    </row>
    <row r="908" spans="9:9" x14ac:dyDescent="0.3">
      <c r="I908" s="16"/>
    </row>
    <row r="909" spans="9:9" x14ac:dyDescent="0.3">
      <c r="I909" s="16"/>
    </row>
    <row r="910" spans="9:9" x14ac:dyDescent="0.3">
      <c r="I910" s="16"/>
    </row>
    <row r="911" spans="9:9" x14ac:dyDescent="0.3">
      <c r="I911" s="16"/>
    </row>
    <row r="912" spans="9:9" x14ac:dyDescent="0.3">
      <c r="I912" s="16"/>
    </row>
    <row r="913" spans="9:9" x14ac:dyDescent="0.3">
      <c r="I913" s="16"/>
    </row>
    <row r="914" spans="9:9" x14ac:dyDescent="0.3">
      <c r="I914" s="16"/>
    </row>
    <row r="915" spans="9:9" x14ac:dyDescent="0.3">
      <c r="I915" s="16"/>
    </row>
    <row r="916" spans="9:9" x14ac:dyDescent="0.3">
      <c r="I916" s="16"/>
    </row>
    <row r="917" spans="9:9" x14ac:dyDescent="0.3">
      <c r="I917" s="16"/>
    </row>
    <row r="918" spans="9:9" x14ac:dyDescent="0.3">
      <c r="I918" s="16"/>
    </row>
    <row r="919" spans="9:9" x14ac:dyDescent="0.3">
      <c r="I919" s="16"/>
    </row>
    <row r="920" spans="9:9" x14ac:dyDescent="0.3">
      <c r="I920" s="16"/>
    </row>
    <row r="921" spans="9:9" x14ac:dyDescent="0.3">
      <c r="I921" s="16"/>
    </row>
    <row r="922" spans="9:9" x14ac:dyDescent="0.3">
      <c r="I922" s="16"/>
    </row>
    <row r="923" spans="9:9" x14ac:dyDescent="0.3">
      <c r="I923" s="16"/>
    </row>
    <row r="924" spans="9:9" x14ac:dyDescent="0.3">
      <c r="I924" s="16"/>
    </row>
    <row r="925" spans="9:9" x14ac:dyDescent="0.3">
      <c r="I925" s="16"/>
    </row>
    <row r="926" spans="9:9" x14ac:dyDescent="0.3">
      <c r="I926" s="16"/>
    </row>
    <row r="927" spans="9:9" x14ac:dyDescent="0.3">
      <c r="I927" s="16"/>
    </row>
    <row r="928" spans="9:9" x14ac:dyDescent="0.3">
      <c r="I928" s="16"/>
    </row>
    <row r="929" spans="9:9" x14ac:dyDescent="0.3">
      <c r="I929" s="16"/>
    </row>
    <row r="930" spans="9:9" x14ac:dyDescent="0.3">
      <c r="I930" s="16"/>
    </row>
    <row r="931" spans="9:9" x14ac:dyDescent="0.3">
      <c r="I931" s="16"/>
    </row>
    <row r="932" spans="9:9" x14ac:dyDescent="0.3">
      <c r="I932" s="16"/>
    </row>
    <row r="933" spans="9:9" x14ac:dyDescent="0.3">
      <c r="I933" s="16"/>
    </row>
    <row r="934" spans="9:9" x14ac:dyDescent="0.3">
      <c r="I934" s="16"/>
    </row>
    <row r="935" spans="9:9" x14ac:dyDescent="0.3">
      <c r="I935" s="16"/>
    </row>
    <row r="936" spans="9:9" x14ac:dyDescent="0.3">
      <c r="I936" s="16"/>
    </row>
    <row r="937" spans="9:9" x14ac:dyDescent="0.3">
      <c r="I937" s="16"/>
    </row>
    <row r="938" spans="9:9" x14ac:dyDescent="0.3">
      <c r="I938" s="16"/>
    </row>
    <row r="939" spans="9:9" x14ac:dyDescent="0.3">
      <c r="I939" s="16"/>
    </row>
    <row r="940" spans="9:9" x14ac:dyDescent="0.3">
      <c r="I940" s="16"/>
    </row>
    <row r="941" spans="9:9" x14ac:dyDescent="0.3">
      <c r="I941" s="16"/>
    </row>
    <row r="942" spans="9:9" x14ac:dyDescent="0.3">
      <c r="I942" s="16"/>
    </row>
    <row r="943" spans="9:9" x14ac:dyDescent="0.3">
      <c r="I943" s="16"/>
    </row>
    <row r="944" spans="9:9" x14ac:dyDescent="0.3">
      <c r="I944" s="16"/>
    </row>
    <row r="945" spans="9:9" x14ac:dyDescent="0.3">
      <c r="I945" s="16"/>
    </row>
    <row r="946" spans="9:9" x14ac:dyDescent="0.3">
      <c r="I946" s="16"/>
    </row>
    <row r="947" spans="9:9" x14ac:dyDescent="0.3">
      <c r="I947" s="16"/>
    </row>
    <row r="948" spans="9:9" x14ac:dyDescent="0.3">
      <c r="I948" s="16"/>
    </row>
    <row r="949" spans="9:9" x14ac:dyDescent="0.3">
      <c r="I949" s="16"/>
    </row>
    <row r="950" spans="9:9" x14ac:dyDescent="0.3">
      <c r="I950" s="16"/>
    </row>
    <row r="951" spans="9:9" x14ac:dyDescent="0.3">
      <c r="I951" s="16"/>
    </row>
    <row r="952" spans="9:9" x14ac:dyDescent="0.3">
      <c r="I952" s="16"/>
    </row>
    <row r="953" spans="9:9" x14ac:dyDescent="0.3">
      <c r="I953" s="16"/>
    </row>
    <row r="954" spans="9:9" x14ac:dyDescent="0.3">
      <c r="I954" s="16"/>
    </row>
    <row r="955" spans="9:9" x14ac:dyDescent="0.3">
      <c r="I955" s="16"/>
    </row>
    <row r="956" spans="9:9" x14ac:dyDescent="0.3">
      <c r="I956" s="16"/>
    </row>
    <row r="957" spans="9:9" x14ac:dyDescent="0.3">
      <c r="I957" s="16"/>
    </row>
    <row r="958" spans="9:9" x14ac:dyDescent="0.3">
      <c r="I958" s="16"/>
    </row>
    <row r="959" spans="9:9" x14ac:dyDescent="0.3">
      <c r="I959" s="16"/>
    </row>
    <row r="960" spans="9:9" x14ac:dyDescent="0.3">
      <c r="I960" s="16"/>
    </row>
    <row r="961" spans="9:9" x14ac:dyDescent="0.3">
      <c r="I961" s="16"/>
    </row>
    <row r="962" spans="9:9" x14ac:dyDescent="0.3">
      <c r="I962" s="16"/>
    </row>
    <row r="963" spans="9:9" x14ac:dyDescent="0.3">
      <c r="I963" s="16"/>
    </row>
    <row r="964" spans="9:9" x14ac:dyDescent="0.3">
      <c r="I964" s="16"/>
    </row>
    <row r="965" spans="9:9" x14ac:dyDescent="0.3">
      <c r="I965" s="16"/>
    </row>
    <row r="966" spans="9:9" x14ac:dyDescent="0.3">
      <c r="I966" s="16"/>
    </row>
    <row r="967" spans="9:9" x14ac:dyDescent="0.3">
      <c r="I967" s="16"/>
    </row>
    <row r="968" spans="9:9" x14ac:dyDescent="0.3">
      <c r="I968" s="16"/>
    </row>
    <row r="969" spans="9:9" x14ac:dyDescent="0.3">
      <c r="I969" s="16"/>
    </row>
    <row r="970" spans="9:9" x14ac:dyDescent="0.3">
      <c r="I970" s="16"/>
    </row>
    <row r="971" spans="9:9" x14ac:dyDescent="0.3">
      <c r="I971" s="16"/>
    </row>
    <row r="972" spans="9:9" x14ac:dyDescent="0.3">
      <c r="I972" s="16"/>
    </row>
    <row r="973" spans="9:9" x14ac:dyDescent="0.3">
      <c r="I973" s="16"/>
    </row>
    <row r="974" spans="9:9" x14ac:dyDescent="0.3">
      <c r="I974" s="16"/>
    </row>
    <row r="975" spans="9:9" x14ac:dyDescent="0.3">
      <c r="I975" s="16"/>
    </row>
    <row r="976" spans="9:9" x14ac:dyDescent="0.3">
      <c r="I976" s="16"/>
    </row>
    <row r="977" spans="9:9" x14ac:dyDescent="0.3">
      <c r="I977" s="16"/>
    </row>
    <row r="978" spans="9:9" x14ac:dyDescent="0.3">
      <c r="I978" s="16"/>
    </row>
    <row r="979" spans="9:9" x14ac:dyDescent="0.3">
      <c r="I979" s="16"/>
    </row>
    <row r="980" spans="9:9" x14ac:dyDescent="0.3">
      <c r="I980" s="16"/>
    </row>
    <row r="981" spans="9:9" x14ac:dyDescent="0.3">
      <c r="I981" s="16"/>
    </row>
    <row r="982" spans="9:9" x14ac:dyDescent="0.3">
      <c r="I982" s="16"/>
    </row>
    <row r="983" spans="9:9" x14ac:dyDescent="0.3">
      <c r="I983" s="16"/>
    </row>
    <row r="984" spans="9:9" x14ac:dyDescent="0.3">
      <c r="I984" s="16"/>
    </row>
    <row r="985" spans="9:9" x14ac:dyDescent="0.3">
      <c r="I985" s="16"/>
    </row>
    <row r="986" spans="9:9" x14ac:dyDescent="0.3">
      <c r="I986" s="16"/>
    </row>
    <row r="987" spans="9:9" x14ac:dyDescent="0.3">
      <c r="I987" s="16"/>
    </row>
    <row r="988" spans="9:9" x14ac:dyDescent="0.3">
      <c r="I988" s="16"/>
    </row>
    <row r="989" spans="9:9" x14ac:dyDescent="0.3">
      <c r="I989" s="16"/>
    </row>
    <row r="990" spans="9:9" x14ac:dyDescent="0.3">
      <c r="I990" s="16"/>
    </row>
    <row r="991" spans="9:9" x14ac:dyDescent="0.3">
      <c r="I991" s="16"/>
    </row>
    <row r="992" spans="9:9" x14ac:dyDescent="0.3">
      <c r="I992" s="16"/>
    </row>
    <row r="993" spans="9:9" x14ac:dyDescent="0.3">
      <c r="I993" s="16"/>
    </row>
    <row r="994" spans="9:9" x14ac:dyDescent="0.3">
      <c r="I994" s="16"/>
    </row>
    <row r="995" spans="9:9" x14ac:dyDescent="0.3">
      <c r="I995" s="16"/>
    </row>
    <row r="996" spans="9:9" x14ac:dyDescent="0.3">
      <c r="I996" s="16"/>
    </row>
    <row r="997" spans="9:9" x14ac:dyDescent="0.3">
      <c r="I997" s="16"/>
    </row>
    <row r="998" spans="9:9" x14ac:dyDescent="0.3">
      <c r="I998" s="16"/>
    </row>
    <row r="999" spans="9:9" x14ac:dyDescent="0.3">
      <c r="I999" s="16"/>
    </row>
    <row r="1000" spans="9:9" x14ac:dyDescent="0.3">
      <c r="I1000" s="1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Midhili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Raisa Ahmed</dc:creator>
  <cp:lastModifiedBy>Ibrahim Abdullah</cp:lastModifiedBy>
  <dcterms:created xsi:type="dcterms:W3CDTF">2025-08-14T04:47:09Z</dcterms:created>
  <dcterms:modified xsi:type="dcterms:W3CDTF">2026-08-08T21:08:20Z</dcterms:modified>
</cp:coreProperties>
</file>