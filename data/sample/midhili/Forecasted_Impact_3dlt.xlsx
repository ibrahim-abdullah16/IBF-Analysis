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brahim\IBF-Analysis\data\sample\midhili\"/>
    </mc:Choice>
  </mc:AlternateContent>
  <xr:revisionPtr revIDLastSave="0" documentId="13_ncr:1_{8D288426-CFEC-4358-85B1-62447395B308}" xr6:coauthVersionLast="47" xr6:coauthVersionMax="47" xr10:uidLastSave="{00000000-0000-0000-0000-000000000000}"/>
  <bookViews>
    <workbookView xWindow="-108" yWindow="-108" windowWidth="23256" windowHeight="12456" xr2:uid="{F777613E-AB6C-4744-9284-054562D026F2}"/>
  </bookViews>
  <sheets>
    <sheet name="Midhili" sheetId="3" r:id="rId1"/>
  </sheets>
  <definedNames>
    <definedName name="_xlnm._FilterDatabase" localSheetId="0" hidden="1">Midhili!$A$1:$AK$547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" i="3" l="1"/>
  <c r="AJ12" i="3"/>
  <c r="AJ11" i="3"/>
  <c r="AJ9" i="3"/>
  <c r="AJ8" i="3"/>
  <c r="AJ7" i="3"/>
  <c r="AJ6" i="3"/>
  <c r="AJ5" i="3"/>
  <c r="AI12" i="3"/>
  <c r="AI11" i="3"/>
  <c r="AI9" i="3"/>
  <c r="AI7" i="3"/>
  <c r="AI6" i="3"/>
  <c r="AI5" i="3"/>
  <c r="AK5" i="3" l="1"/>
  <c r="AK9" i="3"/>
  <c r="AK7" i="3"/>
  <c r="AK6" i="3"/>
  <c r="AK12" i="3"/>
  <c r="AK11" i="3"/>
  <c r="AK8" i="3"/>
  <c r="H113" i="3" l="1"/>
  <c r="H125" i="3"/>
  <c r="H137" i="3"/>
  <c r="H149" i="3"/>
  <c r="H161" i="3"/>
  <c r="H173" i="3"/>
  <c r="H185" i="3"/>
  <c r="H197" i="3"/>
  <c r="H209" i="3"/>
  <c r="H221" i="3"/>
  <c r="H233" i="3"/>
  <c r="H246" i="3"/>
  <c r="H258" i="3"/>
  <c r="H270" i="3"/>
  <c r="H282" i="3"/>
  <c r="H294" i="3"/>
  <c r="H306" i="3"/>
  <c r="H317" i="3"/>
  <c r="H329" i="3"/>
  <c r="H341" i="3"/>
  <c r="H353" i="3"/>
  <c r="H365" i="3"/>
  <c r="H377" i="3"/>
  <c r="H389" i="3"/>
  <c r="H401" i="3"/>
  <c r="H413" i="3"/>
  <c r="H425" i="3"/>
  <c r="H437" i="3"/>
  <c r="H449" i="3"/>
  <c r="H461" i="3"/>
  <c r="H473" i="3"/>
  <c r="H485" i="3"/>
  <c r="H497" i="3"/>
  <c r="H509" i="3"/>
  <c r="H115" i="3"/>
  <c r="H127" i="3"/>
  <c r="H139" i="3"/>
  <c r="H151" i="3"/>
  <c r="H163" i="3"/>
  <c r="H175" i="3"/>
  <c r="H187" i="3"/>
  <c r="H199" i="3"/>
  <c r="H211" i="3"/>
  <c r="H223" i="3"/>
  <c r="H235" i="3"/>
  <c r="H248" i="3"/>
  <c r="H260" i="3"/>
  <c r="H272" i="3"/>
  <c r="H284" i="3"/>
  <c r="H296" i="3"/>
  <c r="H308" i="3"/>
  <c r="H319" i="3"/>
  <c r="H331" i="3"/>
  <c r="H343" i="3"/>
  <c r="H355" i="3"/>
  <c r="H367" i="3"/>
  <c r="H379" i="3"/>
  <c r="H391" i="3"/>
  <c r="H403" i="3"/>
  <c r="H415" i="3"/>
  <c r="H427" i="3"/>
  <c r="H439" i="3"/>
  <c r="H451" i="3"/>
  <c r="H463" i="3"/>
  <c r="H475" i="3"/>
  <c r="H487" i="3"/>
  <c r="H499" i="3"/>
  <c r="H511" i="3"/>
  <c r="H105" i="3"/>
  <c r="H117" i="3"/>
  <c r="H129" i="3"/>
  <c r="H141" i="3"/>
  <c r="H153" i="3"/>
  <c r="H165" i="3"/>
  <c r="H177" i="3"/>
  <c r="H189" i="3"/>
  <c r="H201" i="3"/>
  <c r="H213" i="3"/>
  <c r="H225" i="3"/>
  <c r="H237" i="3"/>
  <c r="H250" i="3"/>
  <c r="H262" i="3"/>
  <c r="H274" i="3"/>
  <c r="H286" i="3"/>
  <c r="H298" i="3"/>
  <c r="H310" i="3"/>
  <c r="H321" i="3"/>
  <c r="H333" i="3"/>
  <c r="H345" i="3"/>
  <c r="H357" i="3"/>
  <c r="H369" i="3"/>
  <c r="H381" i="3"/>
  <c r="H393" i="3"/>
  <c r="H405" i="3"/>
  <c r="H417" i="3"/>
  <c r="H429" i="3"/>
  <c r="H441" i="3"/>
  <c r="H453" i="3"/>
  <c r="H465" i="3"/>
  <c r="H477" i="3"/>
  <c r="H489" i="3"/>
  <c r="H501" i="3"/>
  <c r="H513" i="3"/>
  <c r="H114" i="3"/>
  <c r="H131" i="3"/>
  <c r="H146" i="3"/>
  <c r="H162" i="3"/>
  <c r="H179" i="3"/>
  <c r="H194" i="3"/>
  <c r="H210" i="3"/>
  <c r="H227" i="3"/>
  <c r="H243" i="3"/>
  <c r="H259" i="3"/>
  <c r="H276" i="3"/>
  <c r="H291" i="3"/>
  <c r="H307" i="3"/>
  <c r="H323" i="3"/>
  <c r="H338" i="3"/>
  <c r="H354" i="3"/>
  <c r="H371" i="3"/>
  <c r="H386" i="3"/>
  <c r="H402" i="3"/>
  <c r="H419" i="3"/>
  <c r="H434" i="3"/>
  <c r="H450" i="3"/>
  <c r="H467" i="3"/>
  <c r="H482" i="3"/>
  <c r="H498" i="3"/>
  <c r="H515" i="3"/>
  <c r="H527" i="3"/>
  <c r="H539" i="3"/>
  <c r="H84" i="3"/>
  <c r="H96" i="3"/>
  <c r="H39" i="3"/>
  <c r="H51" i="3"/>
  <c r="H63" i="3"/>
  <c r="H75" i="3"/>
  <c r="H20" i="3"/>
  <c r="H32" i="3"/>
  <c r="H138" i="3"/>
  <c r="H218" i="3"/>
  <c r="H300" i="3"/>
  <c r="H378" i="3"/>
  <c r="H458" i="3"/>
  <c r="H533" i="3"/>
  <c r="H57" i="3"/>
  <c r="H140" i="3"/>
  <c r="H188" i="3"/>
  <c r="H253" i="3"/>
  <c r="H285" i="3"/>
  <c r="H332" i="3"/>
  <c r="H411" i="3"/>
  <c r="H492" i="3"/>
  <c r="H103" i="3"/>
  <c r="H27" i="3"/>
  <c r="H157" i="3"/>
  <c r="H238" i="3"/>
  <c r="H302" i="3"/>
  <c r="H397" i="3"/>
  <c r="H493" i="3"/>
  <c r="H92" i="3"/>
  <c r="H116" i="3"/>
  <c r="H132" i="3"/>
  <c r="H147" i="3"/>
  <c r="H164" i="3"/>
  <c r="H180" i="3"/>
  <c r="H195" i="3"/>
  <c r="H212" i="3"/>
  <c r="H228" i="3"/>
  <c r="H244" i="3"/>
  <c r="H261" i="3"/>
  <c r="H277" i="3"/>
  <c r="H292" i="3"/>
  <c r="H309" i="3"/>
  <c r="H324" i="3"/>
  <c r="H339" i="3"/>
  <c r="H356" i="3"/>
  <c r="H372" i="3"/>
  <c r="H387" i="3"/>
  <c r="H404" i="3"/>
  <c r="H420" i="3"/>
  <c r="H435" i="3"/>
  <c r="H452" i="3"/>
  <c r="H468" i="3"/>
  <c r="H483" i="3"/>
  <c r="H500" i="3"/>
  <c r="H516" i="3"/>
  <c r="H528" i="3"/>
  <c r="H540" i="3"/>
  <c r="H85" i="3"/>
  <c r="H97" i="3"/>
  <c r="H40" i="3"/>
  <c r="H52" i="3"/>
  <c r="H64" i="3"/>
  <c r="H76" i="3"/>
  <c r="H21" i="3"/>
  <c r="H33" i="3"/>
  <c r="H86" i="3"/>
  <c r="H53" i="3"/>
  <c r="H77" i="3"/>
  <c r="H22" i="3"/>
  <c r="H119" i="3"/>
  <c r="H167" i="3"/>
  <c r="H215" i="3"/>
  <c r="H247" i="3"/>
  <c r="H295" i="3"/>
  <c r="H342" i="3"/>
  <c r="H390" i="3"/>
  <c r="H438" i="3"/>
  <c r="H486" i="3"/>
  <c r="H518" i="3"/>
  <c r="H99" i="3"/>
  <c r="H66" i="3"/>
  <c r="H23" i="3"/>
  <c r="H154" i="3"/>
  <c r="H232" i="3"/>
  <c r="H299" i="3"/>
  <c r="H361" i="3"/>
  <c r="H424" i="3"/>
  <c r="H490" i="3"/>
  <c r="H544" i="3"/>
  <c r="H56" i="3"/>
  <c r="H170" i="3"/>
  <c r="H252" i="3"/>
  <c r="H315" i="3"/>
  <c r="H395" i="3"/>
  <c r="H474" i="3"/>
  <c r="H90" i="3"/>
  <c r="H26" i="3"/>
  <c r="H156" i="3"/>
  <c r="H301" i="3"/>
  <c r="H396" i="3"/>
  <c r="H476" i="3"/>
  <c r="H534" i="3"/>
  <c r="H58" i="3"/>
  <c r="H109" i="3"/>
  <c r="H205" i="3"/>
  <c r="H287" i="3"/>
  <c r="H382" i="3"/>
  <c r="H478" i="3"/>
  <c r="H104" i="3"/>
  <c r="H118" i="3"/>
  <c r="H133" i="3"/>
  <c r="H148" i="3"/>
  <c r="H166" i="3"/>
  <c r="H181" i="3"/>
  <c r="H196" i="3"/>
  <c r="H214" i="3"/>
  <c r="H229" i="3"/>
  <c r="H245" i="3"/>
  <c r="H263" i="3"/>
  <c r="H278" i="3"/>
  <c r="H293" i="3"/>
  <c r="H311" i="3"/>
  <c r="H325" i="3"/>
  <c r="H340" i="3"/>
  <c r="H358" i="3"/>
  <c r="H373" i="3"/>
  <c r="H388" i="3"/>
  <c r="H406" i="3"/>
  <c r="H421" i="3"/>
  <c r="H436" i="3"/>
  <c r="H454" i="3"/>
  <c r="H469" i="3"/>
  <c r="H484" i="3"/>
  <c r="H502" i="3"/>
  <c r="H517" i="3"/>
  <c r="H529" i="3"/>
  <c r="H541" i="3"/>
  <c r="H98" i="3"/>
  <c r="H41" i="3"/>
  <c r="H65" i="3"/>
  <c r="H34" i="3"/>
  <c r="H150" i="3"/>
  <c r="H182" i="3"/>
  <c r="H230" i="3"/>
  <c r="H279" i="3"/>
  <c r="H240" i="3"/>
  <c r="H359" i="3"/>
  <c r="H407" i="3"/>
  <c r="H455" i="3"/>
  <c r="H503" i="3"/>
  <c r="H542" i="3"/>
  <c r="H42" i="3"/>
  <c r="H78" i="3"/>
  <c r="H106" i="3"/>
  <c r="H184" i="3"/>
  <c r="H251" i="3"/>
  <c r="H314" i="3"/>
  <c r="H376" i="3"/>
  <c r="H442" i="3"/>
  <c r="H505" i="3"/>
  <c r="H89" i="3"/>
  <c r="H68" i="3"/>
  <c r="H107" i="3"/>
  <c r="H186" i="3"/>
  <c r="H283" i="3"/>
  <c r="H362" i="3"/>
  <c r="H443" i="3"/>
  <c r="H521" i="3"/>
  <c r="H45" i="3"/>
  <c r="H108" i="3"/>
  <c r="H219" i="3"/>
  <c r="H363" i="3"/>
  <c r="H459" i="3"/>
  <c r="H546" i="3"/>
  <c r="H15" i="3"/>
  <c r="H124" i="3"/>
  <c r="H172" i="3"/>
  <c r="H269" i="3"/>
  <c r="H349" i="3"/>
  <c r="H430" i="3"/>
  <c r="H535" i="3"/>
  <c r="H59" i="3"/>
  <c r="H28" i="3"/>
  <c r="H134" i="3"/>
  <c r="H198" i="3"/>
  <c r="H264" i="3"/>
  <c r="H312" i="3"/>
  <c r="H374" i="3"/>
  <c r="H422" i="3"/>
  <c r="H470" i="3"/>
  <c r="H530" i="3"/>
  <c r="H87" i="3"/>
  <c r="H54" i="3"/>
  <c r="H35" i="3"/>
  <c r="H136" i="3"/>
  <c r="H217" i="3"/>
  <c r="H281" i="3"/>
  <c r="H346" i="3"/>
  <c r="H409" i="3"/>
  <c r="H472" i="3"/>
  <c r="H532" i="3"/>
  <c r="H44" i="3"/>
  <c r="H36" i="3"/>
  <c r="H155" i="3"/>
  <c r="H234" i="3"/>
  <c r="H330" i="3"/>
  <c r="H410" i="3"/>
  <c r="H491" i="3"/>
  <c r="H545" i="3"/>
  <c r="H69" i="3"/>
  <c r="H123" i="3"/>
  <c r="H171" i="3"/>
  <c r="H236" i="3"/>
  <c r="H268" i="3"/>
  <c r="H326" i="3"/>
  <c r="H380" i="3"/>
  <c r="H444" i="3"/>
  <c r="H507" i="3"/>
  <c r="H91" i="3"/>
  <c r="H70" i="3"/>
  <c r="H190" i="3"/>
  <c r="H254" i="3"/>
  <c r="H316" i="3"/>
  <c r="H364" i="3"/>
  <c r="H445" i="3"/>
  <c r="H523" i="3"/>
  <c r="H47" i="3"/>
  <c r="H16" i="3"/>
  <c r="H120" i="3"/>
  <c r="H135" i="3"/>
  <c r="H152" i="3"/>
  <c r="H168" i="3"/>
  <c r="H183" i="3"/>
  <c r="H200" i="3"/>
  <c r="H216" i="3"/>
  <c r="H231" i="3"/>
  <c r="H249" i="3"/>
  <c r="H265" i="3"/>
  <c r="H280" i="3"/>
  <c r="H297" i="3"/>
  <c r="H313" i="3"/>
  <c r="H327" i="3"/>
  <c r="H344" i="3"/>
  <c r="H360" i="3"/>
  <c r="H375" i="3"/>
  <c r="H392" i="3"/>
  <c r="H408" i="3"/>
  <c r="H423" i="3"/>
  <c r="H440" i="3"/>
  <c r="H456" i="3"/>
  <c r="H471" i="3"/>
  <c r="H488" i="3"/>
  <c r="H504" i="3"/>
  <c r="H519" i="3"/>
  <c r="H531" i="3"/>
  <c r="H543" i="3"/>
  <c r="H88" i="3"/>
  <c r="H100" i="3"/>
  <c r="H43" i="3"/>
  <c r="H55" i="3"/>
  <c r="H67" i="3"/>
  <c r="H79" i="3"/>
  <c r="H24" i="3"/>
  <c r="H121" i="3"/>
  <c r="H169" i="3"/>
  <c r="H202" i="3"/>
  <c r="H266" i="3"/>
  <c r="H328" i="3"/>
  <c r="H394" i="3"/>
  <c r="H457" i="3"/>
  <c r="H520" i="3"/>
  <c r="H101" i="3"/>
  <c r="H25" i="3"/>
  <c r="H122" i="3"/>
  <c r="H203" i="3"/>
  <c r="H267" i="3"/>
  <c r="H347" i="3"/>
  <c r="H426" i="3"/>
  <c r="H506" i="3"/>
  <c r="H102" i="3"/>
  <c r="H14" i="3"/>
  <c r="H204" i="3"/>
  <c r="H348" i="3"/>
  <c r="H428" i="3"/>
  <c r="H522" i="3"/>
  <c r="H46" i="3"/>
  <c r="H142" i="3"/>
  <c r="H220" i="3"/>
  <c r="H334" i="3"/>
  <c r="H412" i="3"/>
  <c r="H460" i="3"/>
  <c r="H508" i="3"/>
  <c r="H547" i="3"/>
  <c r="H71" i="3"/>
  <c r="H128" i="3"/>
  <c r="H192" i="3"/>
  <c r="H256" i="3"/>
  <c r="H320" i="3"/>
  <c r="H384" i="3"/>
  <c r="H447" i="3"/>
  <c r="H512" i="3"/>
  <c r="H94" i="3"/>
  <c r="H73" i="3"/>
  <c r="H130" i="3"/>
  <c r="H257" i="3"/>
  <c r="H322" i="3"/>
  <c r="H448" i="3"/>
  <c r="H95" i="3"/>
  <c r="H74" i="3"/>
  <c r="H398" i="3"/>
  <c r="H17" i="3"/>
  <c r="H337" i="3"/>
  <c r="H19" i="3"/>
  <c r="H158" i="3"/>
  <c r="H414" i="3"/>
  <c r="H416" i="3"/>
  <c r="H30" i="3"/>
  <c r="H418" i="3"/>
  <c r="H31" i="3"/>
  <c r="H110" i="3"/>
  <c r="H366" i="3"/>
  <c r="H111" i="3"/>
  <c r="H368" i="3"/>
  <c r="H178" i="3"/>
  <c r="H191" i="3"/>
  <c r="H383" i="3"/>
  <c r="H72" i="3"/>
  <c r="H193" i="3"/>
  <c r="H385" i="3"/>
  <c r="H514" i="3"/>
  <c r="H80" i="3"/>
  <c r="H400" i="3"/>
  <c r="H222" i="3"/>
  <c r="H48" i="3"/>
  <c r="H351" i="3"/>
  <c r="H226" i="3"/>
  <c r="H50" i="3"/>
  <c r="H431" i="3"/>
  <c r="H176" i="3"/>
  <c r="H82" i="3"/>
  <c r="H112" i="3"/>
  <c r="H496" i="3"/>
  <c r="H255" i="3"/>
  <c r="H143" i="3"/>
  <c r="H206" i="3"/>
  <c r="H271" i="3"/>
  <c r="H335" i="3"/>
  <c r="H462" i="3"/>
  <c r="H524" i="3"/>
  <c r="H145" i="3"/>
  <c r="H526" i="3"/>
  <c r="H479" i="3"/>
  <c r="H224" i="3"/>
  <c r="H537" i="3"/>
  <c r="H160" i="3"/>
  <c r="H481" i="3"/>
  <c r="H239" i="3"/>
  <c r="H81" i="3"/>
  <c r="H432" i="3"/>
  <c r="H370" i="3"/>
  <c r="H62" i="3"/>
  <c r="H510" i="3"/>
  <c r="H144" i="3"/>
  <c r="H207" i="3"/>
  <c r="H273" i="3"/>
  <c r="H336" i="3"/>
  <c r="H399" i="3"/>
  <c r="H464" i="3"/>
  <c r="H525" i="3"/>
  <c r="H37" i="3"/>
  <c r="H18" i="3"/>
  <c r="H208" i="3"/>
  <c r="H38" i="3"/>
  <c r="H288" i="3"/>
  <c r="H536" i="3"/>
  <c r="H159" i="3"/>
  <c r="H480" i="3"/>
  <c r="H290" i="3"/>
  <c r="H538" i="3"/>
  <c r="H174" i="3"/>
  <c r="H494" i="3"/>
  <c r="H241" i="3"/>
  <c r="H495" i="3"/>
  <c r="H305" i="3"/>
  <c r="H83" i="3"/>
  <c r="H446" i="3"/>
  <c r="H275" i="3"/>
  <c r="H466" i="3"/>
  <c r="H350" i="3"/>
  <c r="H29" i="3"/>
  <c r="H289" i="3"/>
  <c r="H49" i="3"/>
  <c r="H352" i="3"/>
  <c r="H303" i="3"/>
  <c r="H60" i="3"/>
  <c r="H304" i="3"/>
  <c r="H61" i="3"/>
  <c r="H242" i="3"/>
  <c r="H433" i="3"/>
  <c r="H126" i="3"/>
  <c r="H318" i="3"/>
  <c r="H93" i="3"/>
  <c r="P18" i="3"/>
  <c r="P30" i="3"/>
  <c r="P42" i="3"/>
  <c r="P54" i="3"/>
  <c r="P66" i="3"/>
  <c r="P78" i="3"/>
  <c r="P90" i="3"/>
  <c r="P102" i="3"/>
  <c r="P114" i="3"/>
  <c r="P126" i="3"/>
  <c r="P138" i="3"/>
  <c r="P150" i="3"/>
  <c r="P162" i="3"/>
  <c r="P174" i="3"/>
  <c r="P186" i="3"/>
  <c r="P198" i="3"/>
  <c r="P210" i="3"/>
  <c r="P222" i="3"/>
  <c r="P234" i="3"/>
  <c r="P247" i="3"/>
  <c r="P8" i="3"/>
  <c r="P20" i="3"/>
  <c r="P32" i="3"/>
  <c r="P44" i="3"/>
  <c r="P56" i="3"/>
  <c r="P68" i="3"/>
  <c r="P80" i="3"/>
  <c r="P92" i="3"/>
  <c r="P104" i="3"/>
  <c r="P116" i="3"/>
  <c r="P14" i="3"/>
  <c r="P28" i="3"/>
  <c r="P43" i="3"/>
  <c r="P58" i="3"/>
  <c r="P72" i="3"/>
  <c r="P86" i="3"/>
  <c r="P100" i="3"/>
  <c r="P115" i="3"/>
  <c r="P129" i="3"/>
  <c r="P142" i="3"/>
  <c r="P155" i="3"/>
  <c r="P168" i="3"/>
  <c r="P181" i="3"/>
  <c r="P194" i="3"/>
  <c r="P207" i="3"/>
  <c r="P220" i="3"/>
  <c r="P233" i="3"/>
  <c r="P248" i="3"/>
  <c r="P260" i="3"/>
  <c r="P272" i="3"/>
  <c r="P284" i="3"/>
  <c r="P296" i="3"/>
  <c r="P308" i="3"/>
  <c r="P319" i="3"/>
  <c r="P331" i="3"/>
  <c r="P343" i="3"/>
  <c r="P355" i="3"/>
  <c r="P367" i="3"/>
  <c r="P379" i="3"/>
  <c r="P391" i="3"/>
  <c r="P403" i="3"/>
  <c r="P415" i="3"/>
  <c r="P427" i="3"/>
  <c r="P439" i="3"/>
  <c r="P451" i="3"/>
  <c r="P463" i="3"/>
  <c r="P475" i="3"/>
  <c r="P487" i="3"/>
  <c r="P499" i="3"/>
  <c r="P511" i="3"/>
  <c r="P523" i="3"/>
  <c r="P535" i="3"/>
  <c r="P547" i="3"/>
  <c r="P15" i="3"/>
  <c r="P29" i="3"/>
  <c r="P45" i="3"/>
  <c r="P59" i="3"/>
  <c r="P73" i="3"/>
  <c r="P87" i="3"/>
  <c r="P101" i="3"/>
  <c r="P117" i="3"/>
  <c r="P130" i="3"/>
  <c r="P143" i="3"/>
  <c r="P156" i="3"/>
  <c r="P169" i="3"/>
  <c r="P182" i="3"/>
  <c r="P195" i="3"/>
  <c r="P208" i="3"/>
  <c r="P221" i="3"/>
  <c r="P235" i="3"/>
  <c r="P249" i="3"/>
  <c r="P261" i="3"/>
  <c r="P273" i="3"/>
  <c r="P285" i="3"/>
  <c r="P297" i="3"/>
  <c r="P309" i="3"/>
  <c r="P320" i="3"/>
  <c r="P332" i="3"/>
  <c r="P344" i="3"/>
  <c r="P356" i="3"/>
  <c r="P368" i="3"/>
  <c r="P380" i="3"/>
  <c r="P392" i="3"/>
  <c r="P404" i="3"/>
  <c r="P416" i="3"/>
  <c r="P428" i="3"/>
  <c r="P440" i="3"/>
  <c r="P452" i="3"/>
  <c r="P464" i="3"/>
  <c r="P476" i="3"/>
  <c r="P488" i="3"/>
  <c r="P500" i="3"/>
  <c r="P512" i="3"/>
  <c r="P524" i="3"/>
  <c r="P536" i="3"/>
  <c r="P16" i="3"/>
  <c r="P31" i="3"/>
  <c r="P46" i="3"/>
  <c r="P60" i="3"/>
  <c r="P74" i="3"/>
  <c r="P88" i="3"/>
  <c r="P103" i="3"/>
  <c r="P118" i="3"/>
  <c r="P131" i="3"/>
  <c r="P144" i="3"/>
  <c r="P157" i="3"/>
  <c r="P170" i="3"/>
  <c r="P183" i="3"/>
  <c r="P196" i="3"/>
  <c r="P209" i="3"/>
  <c r="P223" i="3"/>
  <c r="P236" i="3"/>
  <c r="P250" i="3"/>
  <c r="P262" i="3"/>
  <c r="P274" i="3"/>
  <c r="P286" i="3"/>
  <c r="P298" i="3"/>
  <c r="P310" i="3"/>
  <c r="P321" i="3"/>
  <c r="P333" i="3"/>
  <c r="P345" i="3"/>
  <c r="P357" i="3"/>
  <c r="P369" i="3"/>
  <c r="P381" i="3"/>
  <c r="P393" i="3"/>
  <c r="P405" i="3"/>
  <c r="P417" i="3"/>
  <c r="P429" i="3"/>
  <c r="P441" i="3"/>
  <c r="P453" i="3"/>
  <c r="P465" i="3"/>
  <c r="P477" i="3"/>
  <c r="P489" i="3"/>
  <c r="P501" i="3"/>
  <c r="P513" i="3"/>
  <c r="P525" i="3"/>
  <c r="P537" i="3"/>
  <c r="P17" i="3"/>
  <c r="P33" i="3"/>
  <c r="P47" i="3"/>
  <c r="P61" i="3"/>
  <c r="P75" i="3"/>
  <c r="P89" i="3"/>
  <c r="P105" i="3"/>
  <c r="P119" i="3"/>
  <c r="P132" i="3"/>
  <c r="P145" i="3"/>
  <c r="P158" i="3"/>
  <c r="P171" i="3"/>
  <c r="P184" i="3"/>
  <c r="P197" i="3"/>
  <c r="P211" i="3"/>
  <c r="P224" i="3"/>
  <c r="P237" i="3"/>
  <c r="P251" i="3"/>
  <c r="P263" i="3"/>
  <c r="P275" i="3"/>
  <c r="P287" i="3"/>
  <c r="P299" i="3"/>
  <c r="P311" i="3"/>
  <c r="P322" i="3"/>
  <c r="P334" i="3"/>
  <c r="P346" i="3"/>
  <c r="P358" i="3"/>
  <c r="P370" i="3"/>
  <c r="P382" i="3"/>
  <c r="P394" i="3"/>
  <c r="P406" i="3"/>
  <c r="P418" i="3"/>
  <c r="P430" i="3"/>
  <c r="P442" i="3"/>
  <c r="P454" i="3"/>
  <c r="P466" i="3"/>
  <c r="P478" i="3"/>
  <c r="P490" i="3"/>
  <c r="P502" i="3"/>
  <c r="P514" i="3"/>
  <c r="P526" i="3"/>
  <c r="P538" i="3"/>
  <c r="P19" i="3"/>
  <c r="P34" i="3"/>
  <c r="P48" i="3"/>
  <c r="P62" i="3"/>
  <c r="P76" i="3"/>
  <c r="P91" i="3"/>
  <c r="P106" i="3"/>
  <c r="P120" i="3"/>
  <c r="P133" i="3"/>
  <c r="P146" i="3"/>
  <c r="P159" i="3"/>
  <c r="P172" i="3"/>
  <c r="P185" i="3"/>
  <c r="P199" i="3"/>
  <c r="P212" i="3"/>
  <c r="P225" i="3"/>
  <c r="P238" i="3"/>
  <c r="P252" i="3"/>
  <c r="P264" i="3"/>
  <c r="P276" i="3"/>
  <c r="P288" i="3"/>
  <c r="P300" i="3"/>
  <c r="P312" i="3"/>
  <c r="P323" i="3"/>
  <c r="P335" i="3"/>
  <c r="P347" i="3"/>
  <c r="P359" i="3"/>
  <c r="P371" i="3"/>
  <c r="P383" i="3"/>
  <c r="P395" i="3"/>
  <c r="P407" i="3"/>
  <c r="P419" i="3"/>
  <c r="P431" i="3"/>
  <c r="P443" i="3"/>
  <c r="P455" i="3"/>
  <c r="P467" i="3"/>
  <c r="P479" i="3"/>
  <c r="P491" i="3"/>
  <c r="P503" i="3"/>
  <c r="P515" i="3"/>
  <c r="P527" i="3"/>
  <c r="P539" i="3"/>
  <c r="P7" i="3"/>
  <c r="P27" i="3"/>
  <c r="P53" i="3"/>
  <c r="P81" i="3"/>
  <c r="P107" i="3"/>
  <c r="P127" i="3"/>
  <c r="P151" i="3"/>
  <c r="P175" i="3"/>
  <c r="P193" i="3"/>
  <c r="P217" i="3"/>
  <c r="P242" i="3"/>
  <c r="P265" i="3"/>
  <c r="P282" i="3"/>
  <c r="P304" i="3"/>
  <c r="P325" i="3"/>
  <c r="P342" i="3"/>
  <c r="P364" i="3"/>
  <c r="P386" i="3"/>
  <c r="P408" i="3"/>
  <c r="P425" i="3"/>
  <c r="P447" i="3"/>
  <c r="P469" i="3"/>
  <c r="P486" i="3"/>
  <c r="P508" i="3"/>
  <c r="P530" i="3"/>
  <c r="P10" i="3"/>
  <c r="P36" i="3"/>
  <c r="P57" i="3"/>
  <c r="P83" i="3"/>
  <c r="P109" i="3"/>
  <c r="P134" i="3"/>
  <c r="P153" i="3"/>
  <c r="P177" i="3"/>
  <c r="P201" i="3"/>
  <c r="P219" i="3"/>
  <c r="P244" i="3"/>
  <c r="P267" i="3"/>
  <c r="P289" i="3"/>
  <c r="P306" i="3"/>
  <c r="P327" i="3"/>
  <c r="P349" i="3"/>
  <c r="P366" i="3"/>
  <c r="P388" i="3"/>
  <c r="P410" i="3"/>
  <c r="P432" i="3"/>
  <c r="P449" i="3"/>
  <c r="P471" i="3"/>
  <c r="P493" i="3"/>
  <c r="P510" i="3"/>
  <c r="P532" i="3"/>
  <c r="P11" i="3"/>
  <c r="P37" i="3"/>
  <c r="P63" i="3"/>
  <c r="P84" i="3"/>
  <c r="P110" i="3"/>
  <c r="P135" i="3"/>
  <c r="P154" i="3"/>
  <c r="P178" i="3"/>
  <c r="P202" i="3"/>
  <c r="P226" i="3"/>
  <c r="P245" i="3"/>
  <c r="P268" i="3"/>
  <c r="P290" i="3"/>
  <c r="P307" i="3"/>
  <c r="P328" i="3"/>
  <c r="P350" i="3"/>
  <c r="P372" i="3"/>
  <c r="P389" i="3"/>
  <c r="P411" i="3"/>
  <c r="P433" i="3"/>
  <c r="P450" i="3"/>
  <c r="P472" i="3"/>
  <c r="P494" i="3"/>
  <c r="P516" i="3"/>
  <c r="P533" i="3"/>
  <c r="P38" i="3"/>
  <c r="P69" i="3"/>
  <c r="P98" i="3"/>
  <c r="P136" i="3"/>
  <c r="P164" i="3"/>
  <c r="P191" i="3"/>
  <c r="P227" i="3"/>
  <c r="P255" i="3"/>
  <c r="P280" i="3"/>
  <c r="P313" i="3"/>
  <c r="P337" i="3"/>
  <c r="P362" i="3"/>
  <c r="P390" i="3"/>
  <c r="P420" i="3"/>
  <c r="P445" i="3"/>
  <c r="P473" i="3"/>
  <c r="P498" i="3"/>
  <c r="P528" i="3"/>
  <c r="P9" i="3"/>
  <c r="P40" i="3"/>
  <c r="P71" i="3"/>
  <c r="P108" i="3"/>
  <c r="P139" i="3"/>
  <c r="P166" i="3"/>
  <c r="P200" i="3"/>
  <c r="P229" i="3"/>
  <c r="P257" i="3"/>
  <c r="P283" i="3"/>
  <c r="P315" i="3"/>
  <c r="P339" i="3"/>
  <c r="P365" i="3"/>
  <c r="P397" i="3"/>
  <c r="P422" i="3"/>
  <c r="P448" i="3"/>
  <c r="P480" i="3"/>
  <c r="P505" i="3"/>
  <c r="P531" i="3"/>
  <c r="P13" i="3"/>
  <c r="P49" i="3"/>
  <c r="P79" i="3"/>
  <c r="P112" i="3"/>
  <c r="P141" i="3"/>
  <c r="P173" i="3"/>
  <c r="P204" i="3"/>
  <c r="P231" i="3"/>
  <c r="P259" i="3"/>
  <c r="P292" i="3"/>
  <c r="P316" i="3"/>
  <c r="P341" i="3"/>
  <c r="P374" i="3"/>
  <c r="P399" i="3"/>
  <c r="P424" i="3"/>
  <c r="P457" i="3"/>
  <c r="P482" i="3"/>
  <c r="P507" i="3"/>
  <c r="P540" i="3"/>
  <c r="P25" i="3"/>
  <c r="P70" i="3"/>
  <c r="P121" i="3"/>
  <c r="P160" i="3"/>
  <c r="P192" i="3"/>
  <c r="P239" i="3"/>
  <c r="P277" i="3"/>
  <c r="P314" i="3"/>
  <c r="P351" i="3"/>
  <c r="P384" i="3"/>
  <c r="P421" i="3"/>
  <c r="P459" i="3"/>
  <c r="P495" i="3"/>
  <c r="P529" i="3"/>
  <c r="P52" i="3"/>
  <c r="P140" i="3"/>
  <c r="P258" i="3"/>
  <c r="P330" i="3"/>
  <c r="P402" i="3"/>
  <c r="P481" i="3"/>
  <c r="P519" i="3"/>
  <c r="P22" i="3"/>
  <c r="P148" i="3"/>
  <c r="P228" i="3"/>
  <c r="P302" i="3"/>
  <c r="P376" i="3"/>
  <c r="P446" i="3"/>
  <c r="P26" i="3"/>
  <c r="P77" i="3"/>
  <c r="P122" i="3"/>
  <c r="P161" i="3"/>
  <c r="P203" i="3"/>
  <c r="P241" i="3"/>
  <c r="P278" i="3"/>
  <c r="P326" i="3"/>
  <c r="P352" i="3"/>
  <c r="P385" i="3"/>
  <c r="P423" i="3"/>
  <c r="P460" i="3"/>
  <c r="P496" i="3"/>
  <c r="P534" i="3"/>
  <c r="P354" i="3"/>
  <c r="P51" i="3"/>
  <c r="P137" i="3"/>
  <c r="P294" i="3"/>
  <c r="P401" i="3"/>
  <c r="P474" i="3"/>
  <c r="P180" i="3"/>
  <c r="P266" i="3"/>
  <c r="P99" i="3"/>
  <c r="P35" i="3"/>
  <c r="P82" i="3"/>
  <c r="P123" i="3"/>
  <c r="P163" i="3"/>
  <c r="P205" i="3"/>
  <c r="P243" i="3"/>
  <c r="P279" i="3"/>
  <c r="P317" i="3"/>
  <c r="P353" i="3"/>
  <c r="P387" i="3"/>
  <c r="P426" i="3"/>
  <c r="P461" i="3"/>
  <c r="P497" i="3"/>
  <c r="P541" i="3"/>
  <c r="P39" i="3"/>
  <c r="P85" i="3"/>
  <c r="P124" i="3"/>
  <c r="P165" i="3"/>
  <c r="P206" i="3"/>
  <c r="P246" i="3"/>
  <c r="P318" i="3"/>
  <c r="P396" i="3"/>
  <c r="P434" i="3"/>
  <c r="P462" i="3"/>
  <c r="P542" i="3"/>
  <c r="P256" i="3"/>
  <c r="P437" i="3"/>
  <c r="P21" i="3"/>
  <c r="P97" i="3"/>
  <c r="P187" i="3"/>
  <c r="P301" i="3"/>
  <c r="P375" i="3"/>
  <c r="P444" i="3"/>
  <c r="P520" i="3"/>
  <c r="P281" i="3"/>
  <c r="P504" i="3"/>
  <c r="P95" i="3"/>
  <c r="P179" i="3"/>
  <c r="P329" i="3"/>
  <c r="P517" i="3"/>
  <c r="P12" i="3"/>
  <c r="P96" i="3"/>
  <c r="P216" i="3"/>
  <c r="P295" i="3"/>
  <c r="P373" i="3"/>
  <c r="P438" i="3"/>
  <c r="P518" i="3"/>
  <c r="P64" i="3"/>
  <c r="P188" i="3"/>
  <c r="P269" i="3"/>
  <c r="P338" i="3"/>
  <c r="P412" i="3"/>
  <c r="P484" i="3"/>
  <c r="P41" i="3"/>
  <c r="P93" i="3"/>
  <c r="P125" i="3"/>
  <c r="P167" i="3"/>
  <c r="P213" i="3"/>
  <c r="P253" i="3"/>
  <c r="P291" i="3"/>
  <c r="P324" i="3"/>
  <c r="P360" i="3"/>
  <c r="P398" i="3"/>
  <c r="P435" i="3"/>
  <c r="P468" i="3"/>
  <c r="P506" i="3"/>
  <c r="P543" i="3"/>
  <c r="P50" i="3"/>
  <c r="P94" i="3"/>
  <c r="P128" i="3"/>
  <c r="P176" i="3"/>
  <c r="P214" i="3"/>
  <c r="P254" i="3"/>
  <c r="P293" i="3"/>
  <c r="P240" i="3"/>
  <c r="P361" i="3"/>
  <c r="P400" i="3"/>
  <c r="P436" i="3"/>
  <c r="P470" i="3"/>
  <c r="P509" i="3"/>
  <c r="P544" i="3"/>
  <c r="P215" i="3"/>
  <c r="P363" i="3"/>
  <c r="P545" i="3"/>
  <c r="P546" i="3"/>
  <c r="P55" i="3"/>
  <c r="P147" i="3"/>
  <c r="P218" i="3"/>
  <c r="P336" i="3"/>
  <c r="P409" i="3"/>
  <c r="P483" i="3"/>
  <c r="P230" i="3"/>
  <c r="P456" i="3"/>
  <c r="P305" i="3"/>
  <c r="P522" i="3"/>
  <c r="P149" i="3"/>
  <c r="P232" i="3"/>
  <c r="P458" i="3"/>
  <c r="P67" i="3"/>
  <c r="P340" i="3"/>
  <c r="P348" i="3"/>
  <c r="P377" i="3"/>
  <c r="P378" i="3"/>
  <c r="P413" i="3"/>
  <c r="P414" i="3"/>
  <c r="P23" i="3"/>
  <c r="P270" i="3"/>
  <c r="P485" i="3"/>
  <c r="P24" i="3"/>
  <c r="P271" i="3"/>
  <c r="P492" i="3"/>
  <c r="P111" i="3"/>
  <c r="P190" i="3"/>
  <c r="P65" i="3"/>
  <c r="P303" i="3"/>
  <c r="P521" i="3"/>
  <c r="P113" i="3"/>
  <c r="P152" i="3"/>
  <c r="P189" i="3"/>
  <c r="J9" i="3"/>
  <c r="J10" i="3"/>
  <c r="J22" i="3"/>
  <c r="J34" i="3"/>
  <c r="J46" i="3"/>
  <c r="J58" i="3"/>
  <c r="J70" i="3"/>
  <c r="J82" i="3"/>
  <c r="J94" i="3"/>
  <c r="J106" i="3"/>
  <c r="J118" i="3"/>
  <c r="J130" i="3"/>
  <c r="J142" i="3"/>
  <c r="J154" i="3"/>
  <c r="J166" i="3"/>
  <c r="J178" i="3"/>
  <c r="J190" i="3"/>
  <c r="J202" i="3"/>
  <c r="J214" i="3"/>
  <c r="J226" i="3"/>
  <c r="J238" i="3"/>
  <c r="J251" i="3"/>
  <c r="J11" i="3"/>
  <c r="J17" i="3"/>
  <c r="J30" i="3"/>
  <c r="J43" i="3"/>
  <c r="J56" i="3"/>
  <c r="J69" i="3"/>
  <c r="J83" i="3"/>
  <c r="J96" i="3"/>
  <c r="J109" i="3"/>
  <c r="J122" i="3"/>
  <c r="J135" i="3"/>
  <c r="J148" i="3"/>
  <c r="J161" i="3"/>
  <c r="J174" i="3"/>
  <c r="J187" i="3"/>
  <c r="J200" i="3"/>
  <c r="J213" i="3"/>
  <c r="J227" i="3"/>
  <c r="J241" i="3"/>
  <c r="J254" i="3"/>
  <c r="J266" i="3"/>
  <c r="J278" i="3"/>
  <c r="J290" i="3"/>
  <c r="J302" i="3"/>
  <c r="J314" i="3"/>
  <c r="J325" i="3"/>
  <c r="J337" i="3"/>
  <c r="J349" i="3"/>
  <c r="J361" i="3"/>
  <c r="J373" i="3"/>
  <c r="J385" i="3"/>
  <c r="J397" i="3"/>
  <c r="J409" i="3"/>
  <c r="J421" i="3"/>
  <c r="J433" i="3"/>
  <c r="J445" i="3"/>
  <c r="J457" i="3"/>
  <c r="J469" i="3"/>
  <c r="J481" i="3"/>
  <c r="J493" i="3"/>
  <c r="J505" i="3"/>
  <c r="J517" i="3"/>
  <c r="J529" i="3"/>
  <c r="J541" i="3"/>
  <c r="J4" i="3"/>
  <c r="J19" i="3"/>
  <c r="J32" i="3"/>
  <c r="J45" i="3"/>
  <c r="J59" i="3"/>
  <c r="J72" i="3"/>
  <c r="J85" i="3"/>
  <c r="J98" i="3"/>
  <c r="J111" i="3"/>
  <c r="J124" i="3"/>
  <c r="J137" i="3"/>
  <c r="J150" i="3"/>
  <c r="J163" i="3"/>
  <c r="J176" i="3"/>
  <c r="J189" i="3"/>
  <c r="J203" i="3"/>
  <c r="J216" i="3"/>
  <c r="J229" i="3"/>
  <c r="J243" i="3"/>
  <c r="J256" i="3"/>
  <c r="J268" i="3"/>
  <c r="J280" i="3"/>
  <c r="J292" i="3"/>
  <c r="J304" i="3"/>
  <c r="J326" i="3"/>
  <c r="J327" i="3"/>
  <c r="J339" i="3"/>
  <c r="J351" i="3"/>
  <c r="J363" i="3"/>
  <c r="J375" i="3"/>
  <c r="J387" i="3"/>
  <c r="J399" i="3"/>
  <c r="J411" i="3"/>
  <c r="J423" i="3"/>
  <c r="J435" i="3"/>
  <c r="J447" i="3"/>
  <c r="J459" i="3"/>
  <c r="J471" i="3"/>
  <c r="J483" i="3"/>
  <c r="J495" i="3"/>
  <c r="J507" i="3"/>
  <c r="J519" i="3"/>
  <c r="J531" i="3"/>
  <c r="J543" i="3"/>
  <c r="J5" i="3"/>
  <c r="J20" i="3"/>
  <c r="J33" i="3"/>
  <c r="J47" i="3"/>
  <c r="J60" i="3"/>
  <c r="J73" i="3"/>
  <c r="J86" i="3"/>
  <c r="J99" i="3"/>
  <c r="J112" i="3"/>
  <c r="J125" i="3"/>
  <c r="J138" i="3"/>
  <c r="J151" i="3"/>
  <c r="J164" i="3"/>
  <c r="J177" i="3"/>
  <c r="J191" i="3"/>
  <c r="J204" i="3"/>
  <c r="J217" i="3"/>
  <c r="J230" i="3"/>
  <c r="J244" i="3"/>
  <c r="J257" i="3"/>
  <c r="J269" i="3"/>
  <c r="J281" i="3"/>
  <c r="J293" i="3"/>
  <c r="J305" i="3"/>
  <c r="J316" i="3"/>
  <c r="J328" i="3"/>
  <c r="J340" i="3"/>
  <c r="J352" i="3"/>
  <c r="J364" i="3"/>
  <c r="J376" i="3"/>
  <c r="J388" i="3"/>
  <c r="J400" i="3"/>
  <c r="J412" i="3"/>
  <c r="J424" i="3"/>
  <c r="J436" i="3"/>
  <c r="J448" i="3"/>
  <c r="J460" i="3"/>
  <c r="J472" i="3"/>
  <c r="J484" i="3"/>
  <c r="J496" i="3"/>
  <c r="J508" i="3"/>
  <c r="J520" i="3"/>
  <c r="J532" i="3"/>
  <c r="J544" i="3"/>
  <c r="J12" i="3"/>
  <c r="J28" i="3"/>
  <c r="J48" i="3"/>
  <c r="J64" i="3"/>
  <c r="J80" i="3"/>
  <c r="J100" i="3"/>
  <c r="J116" i="3"/>
  <c r="J133" i="3"/>
  <c r="J152" i="3"/>
  <c r="J169" i="3"/>
  <c r="J185" i="3"/>
  <c r="J205" i="3"/>
  <c r="J221" i="3"/>
  <c r="J237" i="3"/>
  <c r="J258" i="3"/>
  <c r="J273" i="3"/>
  <c r="J288" i="3"/>
  <c r="J306" i="3"/>
  <c r="J320" i="3"/>
  <c r="J335" i="3"/>
  <c r="J353" i="3"/>
  <c r="J368" i="3"/>
  <c r="J383" i="3"/>
  <c r="J401" i="3"/>
  <c r="J416" i="3"/>
  <c r="J431" i="3"/>
  <c r="J449" i="3"/>
  <c r="J464" i="3"/>
  <c r="J479" i="3"/>
  <c r="J497" i="3"/>
  <c r="J512" i="3"/>
  <c r="J527" i="3"/>
  <c r="J545" i="3"/>
  <c r="J14" i="3"/>
  <c r="J31" i="3"/>
  <c r="J50" i="3"/>
  <c r="J66" i="3"/>
  <c r="J84" i="3"/>
  <c r="J102" i="3"/>
  <c r="J119" i="3"/>
  <c r="J136" i="3"/>
  <c r="J155" i="3"/>
  <c r="J171" i="3"/>
  <c r="J188" i="3"/>
  <c r="J207" i="3"/>
  <c r="J223" i="3"/>
  <c r="J242" i="3"/>
  <c r="J260" i="3"/>
  <c r="J275" i="3"/>
  <c r="J291" i="3"/>
  <c r="J308" i="3"/>
  <c r="J322" i="3"/>
  <c r="J338" i="3"/>
  <c r="J355" i="3"/>
  <c r="J370" i="3"/>
  <c r="J386" i="3"/>
  <c r="J403" i="3"/>
  <c r="J418" i="3"/>
  <c r="J434" i="3"/>
  <c r="J451" i="3"/>
  <c r="J466" i="3"/>
  <c r="J482" i="3"/>
  <c r="J499" i="3"/>
  <c r="J514" i="3"/>
  <c r="J530" i="3"/>
  <c r="J547" i="3"/>
  <c r="J16" i="3"/>
  <c r="J36" i="3"/>
  <c r="J52" i="3"/>
  <c r="J68" i="3"/>
  <c r="J88" i="3"/>
  <c r="J104" i="3"/>
  <c r="J121" i="3"/>
  <c r="J140" i="3"/>
  <c r="J157" i="3"/>
  <c r="J173" i="3"/>
  <c r="J193" i="3"/>
  <c r="J209" i="3"/>
  <c r="J225" i="3"/>
  <c r="J246" i="3"/>
  <c r="J262" i="3"/>
  <c r="J277" i="3"/>
  <c r="J295" i="3"/>
  <c r="J310" i="3"/>
  <c r="J324" i="3"/>
  <c r="J342" i="3"/>
  <c r="J357" i="3"/>
  <c r="J372" i="3"/>
  <c r="J390" i="3"/>
  <c r="J405" i="3"/>
  <c r="J420" i="3"/>
  <c r="J438" i="3"/>
  <c r="J453" i="3"/>
  <c r="J468" i="3"/>
  <c r="J486" i="3"/>
  <c r="J501" i="3"/>
  <c r="J516" i="3"/>
  <c r="J534" i="3"/>
  <c r="J6" i="3"/>
  <c r="J29" i="3"/>
  <c r="J54" i="3"/>
  <c r="J77" i="3"/>
  <c r="J101" i="3"/>
  <c r="J126" i="3"/>
  <c r="J146" i="3"/>
  <c r="J170" i="3"/>
  <c r="J195" i="3"/>
  <c r="J218" i="3"/>
  <c r="J239" i="3"/>
  <c r="J264" i="3"/>
  <c r="J285" i="3"/>
  <c r="J307" i="3"/>
  <c r="J329" i="3"/>
  <c r="J347" i="3"/>
  <c r="J369" i="3"/>
  <c r="J392" i="3"/>
  <c r="J413" i="3"/>
  <c r="J432" i="3"/>
  <c r="J455" i="3"/>
  <c r="J476" i="3"/>
  <c r="J498" i="3"/>
  <c r="J521" i="3"/>
  <c r="J539" i="3"/>
  <c r="J159" i="3"/>
  <c r="J528" i="3"/>
  <c r="J23" i="3"/>
  <c r="J67" i="3"/>
  <c r="J114" i="3"/>
  <c r="J160" i="3"/>
  <c r="J253" i="3"/>
  <c r="J298" i="3"/>
  <c r="J360" i="3"/>
  <c r="J404" i="3"/>
  <c r="J444" i="3"/>
  <c r="J489" i="3"/>
  <c r="J533" i="3"/>
  <c r="J162" i="3"/>
  <c r="J74" i="3"/>
  <c r="J165" i="3"/>
  <c r="J211" i="3"/>
  <c r="J259" i="3"/>
  <c r="J300" i="3"/>
  <c r="J344" i="3"/>
  <c r="J407" i="3"/>
  <c r="J450" i="3"/>
  <c r="J491" i="3"/>
  <c r="J7" i="3"/>
  <c r="J35" i="3"/>
  <c r="J55" i="3"/>
  <c r="J78" i="3"/>
  <c r="J103" i="3"/>
  <c r="J127" i="3"/>
  <c r="J147" i="3"/>
  <c r="J172" i="3"/>
  <c r="J196" i="3"/>
  <c r="J219" i="3"/>
  <c r="J245" i="3"/>
  <c r="J265" i="3"/>
  <c r="J286" i="3"/>
  <c r="J309" i="3"/>
  <c r="J330" i="3"/>
  <c r="J348" i="3"/>
  <c r="J371" i="3"/>
  <c r="J393" i="3"/>
  <c r="J414" i="3"/>
  <c r="J437" i="3"/>
  <c r="J456" i="3"/>
  <c r="J477" i="3"/>
  <c r="J500" i="3"/>
  <c r="J522" i="3"/>
  <c r="J540" i="3"/>
  <c r="J129" i="3"/>
  <c r="J222" i="3"/>
  <c r="J289" i="3"/>
  <c r="J354" i="3"/>
  <c r="J480" i="3"/>
  <c r="J134" i="3"/>
  <c r="J443" i="3"/>
  <c r="J318" i="3"/>
  <c r="J210" i="3"/>
  <c r="J511" i="3"/>
  <c r="J49" i="3"/>
  <c r="J384" i="3"/>
  <c r="J8" i="3"/>
  <c r="J37" i="3"/>
  <c r="J57" i="3"/>
  <c r="J79" i="3"/>
  <c r="J105" i="3"/>
  <c r="J128" i="3"/>
  <c r="J149" i="3"/>
  <c r="J175" i="3"/>
  <c r="J197" i="3"/>
  <c r="J220" i="3"/>
  <c r="J247" i="3"/>
  <c r="J267" i="3"/>
  <c r="J287" i="3"/>
  <c r="J311" i="3"/>
  <c r="J331" i="3"/>
  <c r="J350" i="3"/>
  <c r="J374" i="3"/>
  <c r="J394" i="3"/>
  <c r="J415" i="3"/>
  <c r="J439" i="3"/>
  <c r="J458" i="3"/>
  <c r="J478" i="3"/>
  <c r="J502" i="3"/>
  <c r="J523" i="3"/>
  <c r="J542" i="3"/>
  <c r="J13" i="3"/>
  <c r="J61" i="3"/>
  <c r="J107" i="3"/>
  <c r="J153" i="3"/>
  <c r="J198" i="3"/>
  <c r="J248" i="3"/>
  <c r="J312" i="3"/>
  <c r="J332" i="3"/>
  <c r="J395" i="3"/>
  <c r="J417" i="3"/>
  <c r="J440" i="3"/>
  <c r="J503" i="3"/>
  <c r="J524" i="3"/>
  <c r="J41" i="3"/>
  <c r="J90" i="3"/>
  <c r="J206" i="3"/>
  <c r="J274" i="3"/>
  <c r="J317" i="3"/>
  <c r="J359" i="3"/>
  <c r="J402" i="3"/>
  <c r="J488" i="3"/>
  <c r="J232" i="3"/>
  <c r="J24" i="3"/>
  <c r="J71" i="3"/>
  <c r="J115" i="3"/>
  <c r="J184" i="3"/>
  <c r="J255" i="3"/>
  <c r="J319" i="3"/>
  <c r="J362" i="3"/>
  <c r="J406" i="3"/>
  <c r="J446" i="3"/>
  <c r="J490" i="3"/>
  <c r="J93" i="3"/>
  <c r="J536" i="3"/>
  <c r="J38" i="3"/>
  <c r="J81" i="3"/>
  <c r="J179" i="3"/>
  <c r="J270" i="3"/>
  <c r="J377" i="3"/>
  <c r="J461" i="3"/>
  <c r="J546" i="3"/>
  <c r="J231" i="3"/>
  <c r="J42" i="3"/>
  <c r="J91" i="3"/>
  <c r="J139" i="3"/>
  <c r="J208" i="3"/>
  <c r="J276" i="3"/>
  <c r="J341" i="3"/>
  <c r="J381" i="3"/>
  <c r="J426" i="3"/>
  <c r="J467" i="3"/>
  <c r="J510" i="3"/>
  <c r="J279" i="3"/>
  <c r="J25" i="3"/>
  <c r="J117" i="3"/>
  <c r="J186" i="3"/>
  <c r="J234" i="3"/>
  <c r="J282" i="3"/>
  <c r="J321" i="3"/>
  <c r="J365" i="3"/>
  <c r="J428" i="3"/>
  <c r="J473" i="3"/>
  <c r="J513" i="3"/>
  <c r="J15" i="3"/>
  <c r="J39" i="3"/>
  <c r="J62" i="3"/>
  <c r="J87" i="3"/>
  <c r="J108" i="3"/>
  <c r="J131" i="3"/>
  <c r="J156" i="3"/>
  <c r="J180" i="3"/>
  <c r="J199" i="3"/>
  <c r="J224" i="3"/>
  <c r="J249" i="3"/>
  <c r="J271" i="3"/>
  <c r="J294" i="3"/>
  <c r="J313" i="3"/>
  <c r="J333" i="3"/>
  <c r="J356" i="3"/>
  <c r="J378" i="3"/>
  <c r="J396" i="3"/>
  <c r="J419" i="3"/>
  <c r="J441" i="3"/>
  <c r="J462" i="3"/>
  <c r="J485" i="3"/>
  <c r="J504" i="3"/>
  <c r="J525" i="3"/>
  <c r="J18" i="3"/>
  <c r="J40" i="3"/>
  <c r="J63" i="3"/>
  <c r="J89" i="3"/>
  <c r="J110" i="3"/>
  <c r="J132" i="3"/>
  <c r="J158" i="3"/>
  <c r="J181" i="3"/>
  <c r="J201" i="3"/>
  <c r="J228" i="3"/>
  <c r="J250" i="3"/>
  <c r="J272" i="3"/>
  <c r="J296" i="3"/>
  <c r="J315" i="3"/>
  <c r="J334" i="3"/>
  <c r="J358" i="3"/>
  <c r="J379" i="3"/>
  <c r="J398" i="3"/>
  <c r="J422" i="3"/>
  <c r="J442" i="3"/>
  <c r="J463" i="3"/>
  <c r="J487" i="3"/>
  <c r="J506" i="3"/>
  <c r="J526" i="3"/>
  <c r="J21" i="3"/>
  <c r="J65" i="3"/>
  <c r="J113" i="3"/>
  <c r="J182" i="3"/>
  <c r="J252" i="3"/>
  <c r="J297" i="3"/>
  <c r="J336" i="3"/>
  <c r="J380" i="3"/>
  <c r="J425" i="3"/>
  <c r="J465" i="3"/>
  <c r="J509" i="3"/>
  <c r="J183" i="3"/>
  <c r="J44" i="3"/>
  <c r="J92" i="3"/>
  <c r="J141" i="3"/>
  <c r="J233" i="3"/>
  <c r="J299" i="3"/>
  <c r="J343" i="3"/>
  <c r="J382" i="3"/>
  <c r="J427" i="3"/>
  <c r="J470" i="3"/>
  <c r="J535" i="3"/>
  <c r="J143" i="3"/>
  <c r="J120" i="3"/>
  <c r="J261" i="3"/>
  <c r="J389" i="3"/>
  <c r="J515" i="3"/>
  <c r="J518" i="3"/>
  <c r="J303" i="3"/>
  <c r="J212" i="3"/>
  <c r="J215" i="3"/>
  <c r="J366" i="3"/>
  <c r="J494" i="3"/>
  <c r="J123" i="3"/>
  <c r="J263" i="3"/>
  <c r="J391" i="3"/>
  <c r="J323" i="3"/>
  <c r="J53" i="3"/>
  <c r="J474" i="3"/>
  <c r="J475" i="3"/>
  <c r="J144" i="3"/>
  <c r="J283" i="3"/>
  <c r="J408" i="3"/>
  <c r="J537" i="3"/>
  <c r="J430" i="3"/>
  <c r="J192" i="3"/>
  <c r="J194" i="3"/>
  <c r="J75" i="3"/>
  <c r="J346" i="3"/>
  <c r="J235" i="3"/>
  <c r="J367" i="3"/>
  <c r="J3" i="3"/>
  <c r="J145" i="3"/>
  <c r="J284" i="3"/>
  <c r="J410" i="3"/>
  <c r="J538" i="3"/>
  <c r="J27" i="3"/>
  <c r="J51" i="3"/>
  <c r="J240" i="3"/>
  <c r="J95" i="3"/>
  <c r="J236" i="3"/>
  <c r="J26" i="3"/>
  <c r="J167" i="3"/>
  <c r="J301" i="3"/>
  <c r="J429" i="3"/>
  <c r="J168" i="3"/>
  <c r="J452" i="3"/>
  <c r="J454" i="3"/>
  <c r="J345" i="3"/>
  <c r="J76" i="3"/>
  <c r="J492" i="3"/>
  <c r="J97" i="3"/>
  <c r="F8" i="3"/>
  <c r="F20" i="3"/>
  <c r="F32" i="3"/>
  <c r="F44" i="3"/>
  <c r="F56" i="3"/>
  <c r="F68" i="3"/>
  <c r="F80" i="3"/>
  <c r="F92" i="3"/>
  <c r="F104" i="3"/>
  <c r="F116" i="3"/>
  <c r="F128" i="3"/>
  <c r="F140" i="3"/>
  <c r="F152" i="3"/>
  <c r="F164" i="3"/>
  <c r="F176" i="3"/>
  <c r="F188" i="3"/>
  <c r="F200" i="3"/>
  <c r="F212" i="3"/>
  <c r="F224" i="3"/>
  <c r="F236" i="3"/>
  <c r="F249" i="3"/>
  <c r="F261" i="3"/>
  <c r="F273" i="3"/>
  <c r="F285" i="3"/>
  <c r="F297" i="3"/>
  <c r="F309" i="3"/>
  <c r="F320" i="3"/>
  <c r="F332" i="3"/>
  <c r="F344" i="3"/>
  <c r="F356" i="3"/>
  <c r="F368" i="3"/>
  <c r="F380" i="3"/>
  <c r="F392" i="3"/>
  <c r="F404" i="3"/>
  <c r="F416" i="3"/>
  <c r="F428" i="3"/>
  <c r="F440" i="3"/>
  <c r="F452" i="3"/>
  <c r="F10" i="3"/>
  <c r="F22" i="3"/>
  <c r="F34" i="3"/>
  <c r="F46" i="3"/>
  <c r="F58" i="3"/>
  <c r="F70" i="3"/>
  <c r="F82" i="3"/>
  <c r="F94" i="3"/>
  <c r="F106" i="3"/>
  <c r="F118" i="3"/>
  <c r="F130" i="3"/>
  <c r="F142" i="3"/>
  <c r="F154" i="3"/>
  <c r="F166" i="3"/>
  <c r="F178" i="3"/>
  <c r="F190" i="3"/>
  <c r="F202" i="3"/>
  <c r="F214" i="3"/>
  <c r="F226" i="3"/>
  <c r="F238" i="3"/>
  <c r="F251" i="3"/>
  <c r="F263" i="3"/>
  <c r="F275" i="3"/>
  <c r="F287" i="3"/>
  <c r="F299" i="3"/>
  <c r="F311" i="3"/>
  <c r="F322" i="3"/>
  <c r="F334" i="3"/>
  <c r="F346" i="3"/>
  <c r="F358" i="3"/>
  <c r="F370" i="3"/>
  <c r="F382" i="3"/>
  <c r="F394" i="3"/>
  <c r="F406" i="3"/>
  <c r="F418" i="3"/>
  <c r="F430" i="3"/>
  <c r="F442" i="3"/>
  <c r="F11" i="3"/>
  <c r="F23" i="3"/>
  <c r="F35" i="3"/>
  <c r="F47" i="3"/>
  <c r="F59" i="3"/>
  <c r="F71" i="3"/>
  <c r="F83" i="3"/>
  <c r="F95" i="3"/>
  <c r="F107" i="3"/>
  <c r="F119" i="3"/>
  <c r="F131" i="3"/>
  <c r="F143" i="3"/>
  <c r="F155" i="3"/>
  <c r="F167" i="3"/>
  <c r="F179" i="3"/>
  <c r="F191" i="3"/>
  <c r="F203" i="3"/>
  <c r="F215" i="3"/>
  <c r="F227" i="3"/>
  <c r="F239" i="3"/>
  <c r="F252" i="3"/>
  <c r="F264" i="3"/>
  <c r="F276" i="3"/>
  <c r="F288" i="3"/>
  <c r="F300" i="3"/>
  <c r="F312" i="3"/>
  <c r="F323" i="3"/>
  <c r="F335" i="3"/>
  <c r="F347" i="3"/>
  <c r="F359" i="3"/>
  <c r="F371" i="3"/>
  <c r="F383" i="3"/>
  <c r="F395" i="3"/>
  <c r="F407" i="3"/>
  <c r="F419" i="3"/>
  <c r="F431" i="3"/>
  <c r="F443" i="3"/>
  <c r="F15" i="3"/>
  <c r="F30" i="3"/>
  <c r="F48" i="3"/>
  <c r="F63" i="3"/>
  <c r="F78" i="3"/>
  <c r="F96" i="3"/>
  <c r="F111" i="3"/>
  <c r="F126" i="3"/>
  <c r="F144" i="3"/>
  <c r="F159" i="3"/>
  <c r="F174" i="3"/>
  <c r="F192" i="3"/>
  <c r="F207" i="3"/>
  <c r="F222" i="3"/>
  <c r="F241" i="3"/>
  <c r="F256" i="3"/>
  <c r="F271" i="3"/>
  <c r="F289" i="3"/>
  <c r="F304" i="3"/>
  <c r="F318" i="3"/>
  <c r="F336" i="3"/>
  <c r="F351" i="3"/>
  <c r="F366" i="3"/>
  <c r="F384" i="3"/>
  <c r="F399" i="3"/>
  <c r="F414" i="3"/>
  <c r="F432" i="3"/>
  <c r="F447" i="3"/>
  <c r="F460" i="3"/>
  <c r="F472" i="3"/>
  <c r="F484" i="3"/>
  <c r="F496" i="3"/>
  <c r="F508" i="3"/>
  <c r="F520" i="3"/>
  <c r="F532" i="3"/>
  <c r="F544" i="3"/>
  <c r="F17" i="3"/>
  <c r="F33" i="3"/>
  <c r="F50" i="3"/>
  <c r="F65" i="3"/>
  <c r="F81" i="3"/>
  <c r="F98" i="3"/>
  <c r="F113" i="3"/>
  <c r="F129" i="3"/>
  <c r="F146" i="3"/>
  <c r="F161" i="3"/>
  <c r="F177" i="3"/>
  <c r="F194" i="3"/>
  <c r="F209" i="3"/>
  <c r="F225" i="3"/>
  <c r="F243" i="3"/>
  <c r="F258" i="3"/>
  <c r="F274" i="3"/>
  <c r="F291" i="3"/>
  <c r="F306" i="3"/>
  <c r="F321" i="3"/>
  <c r="F338" i="3"/>
  <c r="F353" i="3"/>
  <c r="F369" i="3"/>
  <c r="F386" i="3"/>
  <c r="F401" i="3"/>
  <c r="F417" i="3"/>
  <c r="F434" i="3"/>
  <c r="F449" i="3"/>
  <c r="F462" i="3"/>
  <c r="F474" i="3"/>
  <c r="F486" i="3"/>
  <c r="F498" i="3"/>
  <c r="F510" i="3"/>
  <c r="F522" i="3"/>
  <c r="F534" i="3"/>
  <c r="F546" i="3"/>
  <c r="F4" i="3"/>
  <c r="F19" i="3"/>
  <c r="F37" i="3"/>
  <c r="F52" i="3"/>
  <c r="F67" i="3"/>
  <c r="F85" i="3"/>
  <c r="F100" i="3"/>
  <c r="F115" i="3"/>
  <c r="F133" i="3"/>
  <c r="F148" i="3"/>
  <c r="F163" i="3"/>
  <c r="F181" i="3"/>
  <c r="F196" i="3"/>
  <c r="F211" i="3"/>
  <c r="F229" i="3"/>
  <c r="F245" i="3"/>
  <c r="F260" i="3"/>
  <c r="F278" i="3"/>
  <c r="F293" i="3"/>
  <c r="F308" i="3"/>
  <c r="F325" i="3"/>
  <c r="F340" i="3"/>
  <c r="F355" i="3"/>
  <c r="F373" i="3"/>
  <c r="F388" i="3"/>
  <c r="F403" i="3"/>
  <c r="F421" i="3"/>
  <c r="F436" i="3"/>
  <c r="F451" i="3"/>
  <c r="F464" i="3"/>
  <c r="F476" i="3"/>
  <c r="F488" i="3"/>
  <c r="F500" i="3"/>
  <c r="F512" i="3"/>
  <c r="F524" i="3"/>
  <c r="F536" i="3"/>
  <c r="F16" i="3"/>
  <c r="F39" i="3"/>
  <c r="F60" i="3"/>
  <c r="F79" i="3"/>
  <c r="F102" i="3"/>
  <c r="F123" i="3"/>
  <c r="F145" i="3"/>
  <c r="F168" i="3"/>
  <c r="F186" i="3"/>
  <c r="F208" i="3"/>
  <c r="F231" i="3"/>
  <c r="F253" i="3"/>
  <c r="F272" i="3"/>
  <c r="F295" i="3"/>
  <c r="F326" i="3"/>
  <c r="F337" i="3"/>
  <c r="F360" i="3"/>
  <c r="F378" i="3"/>
  <c r="F400" i="3"/>
  <c r="F423" i="3"/>
  <c r="F444" i="3"/>
  <c r="F461" i="3"/>
  <c r="F478" i="3"/>
  <c r="F493" i="3"/>
  <c r="F509" i="3"/>
  <c r="F526" i="3"/>
  <c r="F541" i="3"/>
  <c r="F348" i="3"/>
  <c r="F502" i="3"/>
  <c r="F28" i="3"/>
  <c r="F91" i="3"/>
  <c r="F157" i="3"/>
  <c r="F220" i="3"/>
  <c r="F266" i="3"/>
  <c r="F307" i="3"/>
  <c r="F349" i="3"/>
  <c r="F435" i="3"/>
  <c r="F487" i="3"/>
  <c r="F518" i="3"/>
  <c r="F182" i="3"/>
  <c r="F489" i="3"/>
  <c r="F12" i="3"/>
  <c r="F75" i="3"/>
  <c r="F138" i="3"/>
  <c r="F183" i="3"/>
  <c r="F247" i="3"/>
  <c r="F352" i="3"/>
  <c r="F18" i="3"/>
  <c r="F40" i="3"/>
  <c r="F61" i="3"/>
  <c r="F84" i="3"/>
  <c r="F103" i="3"/>
  <c r="F124" i="3"/>
  <c r="F147" i="3"/>
  <c r="F169" i="3"/>
  <c r="F187" i="3"/>
  <c r="F210" i="3"/>
  <c r="F232" i="3"/>
  <c r="F254" i="3"/>
  <c r="F277" i="3"/>
  <c r="F296" i="3"/>
  <c r="F316" i="3"/>
  <c r="F339" i="3"/>
  <c r="F361" i="3"/>
  <c r="F379" i="3"/>
  <c r="F402" i="3"/>
  <c r="F424" i="3"/>
  <c r="F445" i="3"/>
  <c r="F463" i="3"/>
  <c r="F479" i="3"/>
  <c r="F494" i="3"/>
  <c r="F511" i="3"/>
  <c r="F527" i="3"/>
  <c r="F542" i="3"/>
  <c r="F24" i="3"/>
  <c r="F87" i="3"/>
  <c r="F127" i="3"/>
  <c r="F171" i="3"/>
  <c r="F234" i="3"/>
  <c r="F301" i="3"/>
  <c r="F342" i="3"/>
  <c r="F385" i="3"/>
  <c r="F426" i="3"/>
  <c r="F466" i="3"/>
  <c r="F514" i="3"/>
  <c r="F389" i="3"/>
  <c r="F531" i="3"/>
  <c r="F156" i="3"/>
  <c r="F305" i="3"/>
  <c r="F433" i="3"/>
  <c r="F485" i="3"/>
  <c r="F180" i="3"/>
  <c r="F455" i="3"/>
  <c r="F117" i="3"/>
  <c r="F221" i="3"/>
  <c r="F329" i="3"/>
  <c r="F393" i="3"/>
  <c r="F413" i="3"/>
  <c r="F471" i="3"/>
  <c r="F97" i="3"/>
  <c r="F223" i="3"/>
  <c r="F313" i="3"/>
  <c r="F375" i="3"/>
  <c r="F21" i="3"/>
  <c r="F41" i="3"/>
  <c r="F62" i="3"/>
  <c r="F86" i="3"/>
  <c r="F105" i="3"/>
  <c r="F125" i="3"/>
  <c r="F149" i="3"/>
  <c r="F170" i="3"/>
  <c r="F189" i="3"/>
  <c r="F213" i="3"/>
  <c r="F233" i="3"/>
  <c r="F255" i="3"/>
  <c r="F279" i="3"/>
  <c r="F298" i="3"/>
  <c r="F317" i="3"/>
  <c r="F341" i="3"/>
  <c r="F362" i="3"/>
  <c r="F381" i="3"/>
  <c r="F405" i="3"/>
  <c r="F425" i="3"/>
  <c r="F446" i="3"/>
  <c r="F465" i="3"/>
  <c r="F480" i="3"/>
  <c r="F495" i="3"/>
  <c r="F513" i="3"/>
  <c r="F528" i="3"/>
  <c r="F543" i="3"/>
  <c r="F42" i="3"/>
  <c r="F108" i="3"/>
  <c r="F150" i="3"/>
  <c r="F216" i="3"/>
  <c r="F280" i="3"/>
  <c r="F363" i="3"/>
  <c r="F448" i="3"/>
  <c r="F497" i="3"/>
  <c r="F545" i="3"/>
  <c r="F345" i="3"/>
  <c r="F6" i="3"/>
  <c r="F72" i="3"/>
  <c r="F112" i="3"/>
  <c r="F175" i="3"/>
  <c r="F219" i="3"/>
  <c r="F265" i="3"/>
  <c r="F327" i="3"/>
  <c r="F411" i="3"/>
  <c r="F469" i="3"/>
  <c r="F114" i="3"/>
  <c r="F391" i="3"/>
  <c r="F9" i="3"/>
  <c r="F53" i="3"/>
  <c r="F93" i="3"/>
  <c r="F158" i="3"/>
  <c r="F246" i="3"/>
  <c r="F286" i="3"/>
  <c r="F374" i="3"/>
  <c r="F456" i="3"/>
  <c r="F519" i="3"/>
  <c r="F290" i="3"/>
  <c r="F64" i="3"/>
  <c r="F193" i="3"/>
  <c r="F257" i="3"/>
  <c r="F319" i="3"/>
  <c r="F408" i="3"/>
  <c r="F481" i="3"/>
  <c r="F529" i="3"/>
  <c r="F410" i="3"/>
  <c r="F516" i="3"/>
  <c r="F49" i="3"/>
  <c r="F390" i="3"/>
  <c r="F533" i="3"/>
  <c r="F7" i="3"/>
  <c r="F51" i="3"/>
  <c r="F136" i="3"/>
  <c r="F199" i="3"/>
  <c r="F244" i="3"/>
  <c r="F284" i="3"/>
  <c r="F328" i="3"/>
  <c r="F412" i="3"/>
  <c r="F470" i="3"/>
  <c r="F503" i="3"/>
  <c r="F310" i="3"/>
  <c r="F537" i="3"/>
  <c r="F31" i="3"/>
  <c r="F120" i="3"/>
  <c r="F160" i="3"/>
  <c r="F204" i="3"/>
  <c r="F268" i="3"/>
  <c r="F3" i="3"/>
  <c r="F25" i="3"/>
  <c r="F43" i="3"/>
  <c r="F66" i="3"/>
  <c r="F88" i="3"/>
  <c r="F109" i="3"/>
  <c r="F132" i="3"/>
  <c r="F151" i="3"/>
  <c r="F172" i="3"/>
  <c r="F195" i="3"/>
  <c r="F217" i="3"/>
  <c r="F235" i="3"/>
  <c r="F259" i="3"/>
  <c r="F281" i="3"/>
  <c r="F302" i="3"/>
  <c r="F324" i="3"/>
  <c r="F343" i="3"/>
  <c r="F364" i="3"/>
  <c r="F387" i="3"/>
  <c r="F409" i="3"/>
  <c r="F427" i="3"/>
  <c r="F450" i="3"/>
  <c r="F467" i="3"/>
  <c r="F482" i="3"/>
  <c r="F499" i="3"/>
  <c r="F515" i="3"/>
  <c r="F530" i="3"/>
  <c r="F547" i="3"/>
  <c r="F5" i="3"/>
  <c r="F26" i="3"/>
  <c r="F45" i="3"/>
  <c r="F69" i="3"/>
  <c r="F89" i="3"/>
  <c r="F110" i="3"/>
  <c r="F134" i="3"/>
  <c r="F153" i="3"/>
  <c r="F173" i="3"/>
  <c r="F197" i="3"/>
  <c r="F218" i="3"/>
  <c r="F237" i="3"/>
  <c r="F262" i="3"/>
  <c r="F282" i="3"/>
  <c r="F303" i="3"/>
  <c r="F240" i="3"/>
  <c r="F365" i="3"/>
  <c r="F429" i="3"/>
  <c r="F453" i="3"/>
  <c r="F468" i="3"/>
  <c r="F483" i="3"/>
  <c r="F501" i="3"/>
  <c r="F27" i="3"/>
  <c r="F90" i="3"/>
  <c r="F135" i="3"/>
  <c r="F198" i="3"/>
  <c r="F242" i="3"/>
  <c r="F283" i="3"/>
  <c r="F367" i="3"/>
  <c r="F454" i="3"/>
  <c r="F517" i="3"/>
  <c r="F73" i="3"/>
  <c r="F372" i="3"/>
  <c r="F535" i="3"/>
  <c r="F29" i="3"/>
  <c r="F74" i="3"/>
  <c r="F137" i="3"/>
  <c r="F201" i="3"/>
  <c r="F267" i="3"/>
  <c r="F350" i="3"/>
  <c r="F437" i="3"/>
  <c r="F504" i="3"/>
  <c r="F54" i="3"/>
  <c r="F99" i="3"/>
  <c r="F228" i="3"/>
  <c r="F333" i="3"/>
  <c r="F439" i="3"/>
  <c r="F506" i="3"/>
  <c r="F230" i="3"/>
  <c r="F441" i="3"/>
  <c r="F525" i="3"/>
  <c r="F270" i="3"/>
  <c r="F36" i="3"/>
  <c r="F539" i="3"/>
  <c r="F38" i="3"/>
  <c r="F540" i="3"/>
  <c r="F184" i="3"/>
  <c r="F315" i="3"/>
  <c r="F330" i="3"/>
  <c r="F331" i="3"/>
  <c r="F101" i="3"/>
  <c r="F354" i="3"/>
  <c r="F507" i="3"/>
  <c r="F377" i="3"/>
  <c r="F14" i="3"/>
  <c r="F475" i="3"/>
  <c r="F165" i="3"/>
  <c r="F490" i="3"/>
  <c r="F76" i="3"/>
  <c r="F77" i="3"/>
  <c r="F121" i="3"/>
  <c r="F248" i="3"/>
  <c r="F357" i="3"/>
  <c r="F457" i="3"/>
  <c r="F521" i="3"/>
  <c r="F269" i="3"/>
  <c r="F538" i="3"/>
  <c r="F292" i="3"/>
  <c r="F294" i="3"/>
  <c r="F314" i="3"/>
  <c r="F491" i="3"/>
  <c r="F492" i="3"/>
  <c r="F505" i="3"/>
  <c r="F122" i="3"/>
  <c r="F250" i="3"/>
  <c r="F376" i="3"/>
  <c r="F458" i="3"/>
  <c r="F523" i="3"/>
  <c r="F139" i="3"/>
  <c r="F396" i="3"/>
  <c r="F162" i="3"/>
  <c r="F398" i="3"/>
  <c r="F55" i="3"/>
  <c r="F57" i="3"/>
  <c r="F205" i="3"/>
  <c r="F438" i="3"/>
  <c r="F13" i="3"/>
  <c r="F459" i="3"/>
  <c r="F141" i="3"/>
  <c r="F473" i="3"/>
  <c r="F397" i="3"/>
  <c r="F477" i="3"/>
  <c r="F415" i="3"/>
  <c r="F185" i="3"/>
  <c r="F420" i="3"/>
  <c r="F422" i="3"/>
  <c r="F206" i="3"/>
  <c r="R13" i="3"/>
  <c r="R25" i="3"/>
  <c r="R37" i="3"/>
  <c r="R49" i="3"/>
  <c r="R61" i="3"/>
  <c r="R73" i="3"/>
  <c r="R85" i="3"/>
  <c r="R97" i="3"/>
  <c r="R109" i="3"/>
  <c r="R121" i="3"/>
  <c r="R133" i="3"/>
  <c r="R145" i="3"/>
  <c r="R157" i="3"/>
  <c r="R169" i="3"/>
  <c r="R181" i="3"/>
  <c r="R193" i="3"/>
  <c r="R205" i="3"/>
  <c r="R217" i="3"/>
  <c r="R229" i="3"/>
  <c r="R242" i="3"/>
  <c r="R254" i="3"/>
  <c r="R266" i="3"/>
  <c r="R278" i="3"/>
  <c r="R290" i="3"/>
  <c r="R302" i="3"/>
  <c r="R314" i="3"/>
  <c r="R325" i="3"/>
  <c r="R337" i="3"/>
  <c r="R349" i="3"/>
  <c r="R361" i="3"/>
  <c r="R373" i="3"/>
  <c r="R385" i="3"/>
  <c r="R397" i="3"/>
  <c r="R409" i="3"/>
  <c r="R421" i="3"/>
  <c r="R433" i="3"/>
  <c r="R445" i="3"/>
  <c r="R457" i="3"/>
  <c r="R469" i="3"/>
  <c r="R481" i="3"/>
  <c r="R493" i="3"/>
  <c r="R505" i="3"/>
  <c r="R517" i="3"/>
  <c r="R529" i="3"/>
  <c r="R14" i="3"/>
  <c r="R26" i="3"/>
  <c r="R38" i="3"/>
  <c r="R50" i="3"/>
  <c r="R62" i="3"/>
  <c r="R74" i="3"/>
  <c r="R86" i="3"/>
  <c r="R98" i="3"/>
  <c r="R110" i="3"/>
  <c r="R15" i="3"/>
  <c r="R27" i="3"/>
  <c r="R39" i="3"/>
  <c r="R51" i="3"/>
  <c r="R63" i="3"/>
  <c r="R75" i="3"/>
  <c r="R87" i="3"/>
  <c r="R99" i="3"/>
  <c r="R111" i="3"/>
  <c r="R123" i="3"/>
  <c r="R135" i="3"/>
  <c r="R147" i="3"/>
  <c r="R159" i="3"/>
  <c r="R171" i="3"/>
  <c r="R183" i="3"/>
  <c r="R195" i="3"/>
  <c r="R207" i="3"/>
  <c r="R219" i="3"/>
  <c r="R231" i="3"/>
  <c r="R244" i="3"/>
  <c r="R256" i="3"/>
  <c r="R268" i="3"/>
  <c r="R280" i="3"/>
  <c r="R16" i="3"/>
  <c r="R28" i="3"/>
  <c r="R40" i="3"/>
  <c r="R52" i="3"/>
  <c r="R11" i="3"/>
  <c r="R31" i="3"/>
  <c r="R47" i="3"/>
  <c r="R66" i="3"/>
  <c r="R81" i="3"/>
  <c r="R96" i="3"/>
  <c r="R114" i="3"/>
  <c r="R128" i="3"/>
  <c r="R142" i="3"/>
  <c r="R156" i="3"/>
  <c r="R172" i="3"/>
  <c r="R186" i="3"/>
  <c r="R200" i="3"/>
  <c r="R214" i="3"/>
  <c r="R228" i="3"/>
  <c r="R245" i="3"/>
  <c r="R259" i="3"/>
  <c r="R273" i="3"/>
  <c r="R287" i="3"/>
  <c r="R300" i="3"/>
  <c r="R313" i="3"/>
  <c r="R240" i="3"/>
  <c r="R339" i="3"/>
  <c r="R352" i="3"/>
  <c r="R365" i="3"/>
  <c r="R378" i="3"/>
  <c r="R391" i="3"/>
  <c r="R404" i="3"/>
  <c r="R417" i="3"/>
  <c r="R430" i="3"/>
  <c r="R443" i="3"/>
  <c r="R456" i="3"/>
  <c r="R470" i="3"/>
  <c r="R483" i="3"/>
  <c r="R496" i="3"/>
  <c r="R509" i="3"/>
  <c r="R522" i="3"/>
  <c r="R535" i="3"/>
  <c r="R547" i="3"/>
  <c r="R17" i="3"/>
  <c r="R33" i="3"/>
  <c r="R53" i="3"/>
  <c r="R68" i="3"/>
  <c r="R83" i="3"/>
  <c r="R101" i="3"/>
  <c r="R116" i="3"/>
  <c r="R130" i="3"/>
  <c r="R144" i="3"/>
  <c r="R160" i="3"/>
  <c r="R174" i="3"/>
  <c r="R188" i="3"/>
  <c r="R202" i="3"/>
  <c r="R216" i="3"/>
  <c r="R232" i="3"/>
  <c r="R247" i="3"/>
  <c r="R261" i="3"/>
  <c r="R275" i="3"/>
  <c r="R289" i="3"/>
  <c r="R303" i="3"/>
  <c r="R326" i="3"/>
  <c r="R328" i="3"/>
  <c r="R341" i="3"/>
  <c r="R354" i="3"/>
  <c r="R367" i="3"/>
  <c r="R380" i="3"/>
  <c r="R393" i="3"/>
  <c r="R406" i="3"/>
  <c r="R419" i="3"/>
  <c r="R432" i="3"/>
  <c r="R446" i="3"/>
  <c r="R459" i="3"/>
  <c r="R472" i="3"/>
  <c r="R485" i="3"/>
  <c r="R498" i="3"/>
  <c r="R511" i="3"/>
  <c r="R524" i="3"/>
  <c r="R537" i="3"/>
  <c r="R19" i="3"/>
  <c r="R41" i="3"/>
  <c r="R59" i="3"/>
  <c r="R79" i="3"/>
  <c r="R100" i="3"/>
  <c r="R118" i="3"/>
  <c r="R136" i="3"/>
  <c r="R152" i="3"/>
  <c r="R168" i="3"/>
  <c r="R187" i="3"/>
  <c r="R204" i="3"/>
  <c r="R222" i="3"/>
  <c r="R238" i="3"/>
  <c r="R257" i="3"/>
  <c r="R274" i="3"/>
  <c r="R292" i="3"/>
  <c r="R307" i="3"/>
  <c r="R321" i="3"/>
  <c r="R336" i="3"/>
  <c r="R353" i="3"/>
  <c r="R369" i="3"/>
  <c r="R384" i="3"/>
  <c r="R400" i="3"/>
  <c r="R415" i="3"/>
  <c r="R431" i="3"/>
  <c r="R448" i="3"/>
  <c r="R463" i="3"/>
  <c r="R478" i="3"/>
  <c r="R494" i="3"/>
  <c r="R510" i="3"/>
  <c r="R526" i="3"/>
  <c r="R541" i="3"/>
  <c r="R20" i="3"/>
  <c r="R42" i="3"/>
  <c r="R60" i="3"/>
  <c r="R80" i="3"/>
  <c r="R102" i="3"/>
  <c r="R119" i="3"/>
  <c r="R137" i="3"/>
  <c r="R153" i="3"/>
  <c r="R170" i="3"/>
  <c r="R189" i="3"/>
  <c r="R206" i="3"/>
  <c r="R223" i="3"/>
  <c r="R239" i="3"/>
  <c r="R258" i="3"/>
  <c r="R276" i="3"/>
  <c r="R293" i="3"/>
  <c r="R308" i="3"/>
  <c r="R322" i="3"/>
  <c r="R338" i="3"/>
  <c r="R355" i="3"/>
  <c r="R370" i="3"/>
  <c r="R386" i="3"/>
  <c r="R401" i="3"/>
  <c r="R416" i="3"/>
  <c r="R434" i="3"/>
  <c r="R449" i="3"/>
  <c r="R464" i="3"/>
  <c r="R479" i="3"/>
  <c r="R495" i="3"/>
  <c r="R512" i="3"/>
  <c r="R527" i="3"/>
  <c r="R542" i="3"/>
  <c r="R21" i="3"/>
  <c r="R43" i="3"/>
  <c r="R64" i="3"/>
  <c r="R82" i="3"/>
  <c r="R103" i="3"/>
  <c r="R120" i="3"/>
  <c r="R138" i="3"/>
  <c r="R154" i="3"/>
  <c r="R173" i="3"/>
  <c r="R190" i="3"/>
  <c r="R208" i="3"/>
  <c r="R224" i="3"/>
  <c r="R241" i="3"/>
  <c r="R260" i="3"/>
  <c r="R277" i="3"/>
  <c r="R294" i="3"/>
  <c r="R309" i="3"/>
  <c r="R323" i="3"/>
  <c r="R340" i="3"/>
  <c r="R356" i="3"/>
  <c r="R371" i="3"/>
  <c r="R387" i="3"/>
  <c r="R402" i="3"/>
  <c r="R418" i="3"/>
  <c r="R435" i="3"/>
  <c r="R450" i="3"/>
  <c r="R465" i="3"/>
  <c r="R480" i="3"/>
  <c r="R497" i="3"/>
  <c r="R513" i="3"/>
  <c r="R528" i="3"/>
  <c r="R543" i="3"/>
  <c r="R22" i="3"/>
  <c r="R44" i="3"/>
  <c r="R65" i="3"/>
  <c r="R84" i="3"/>
  <c r="R104" i="3"/>
  <c r="R122" i="3"/>
  <c r="R139" i="3"/>
  <c r="R155" i="3"/>
  <c r="R175" i="3"/>
  <c r="R191" i="3"/>
  <c r="R209" i="3"/>
  <c r="R225" i="3"/>
  <c r="R243" i="3"/>
  <c r="R262" i="3"/>
  <c r="R279" i="3"/>
  <c r="R295" i="3"/>
  <c r="R310" i="3"/>
  <c r="R324" i="3"/>
  <c r="R342" i="3"/>
  <c r="R357" i="3"/>
  <c r="R372" i="3"/>
  <c r="R388" i="3"/>
  <c r="R403" i="3"/>
  <c r="R420" i="3"/>
  <c r="R436" i="3"/>
  <c r="R451" i="3"/>
  <c r="R466" i="3"/>
  <c r="R482" i="3"/>
  <c r="R499" i="3"/>
  <c r="R514" i="3"/>
  <c r="R530" i="3"/>
  <c r="R544" i="3"/>
  <c r="R23" i="3"/>
  <c r="R45" i="3"/>
  <c r="R67" i="3"/>
  <c r="R88" i="3"/>
  <c r="R105" i="3"/>
  <c r="R124" i="3"/>
  <c r="R140" i="3"/>
  <c r="R158" i="3"/>
  <c r="R176" i="3"/>
  <c r="R192" i="3"/>
  <c r="R210" i="3"/>
  <c r="R226" i="3"/>
  <c r="R246" i="3"/>
  <c r="R263" i="3"/>
  <c r="R281" i="3"/>
  <c r="R296" i="3"/>
  <c r="R311" i="3"/>
  <c r="R327" i="3"/>
  <c r="R343" i="3"/>
  <c r="R358" i="3"/>
  <c r="R374" i="3"/>
  <c r="R389" i="3"/>
  <c r="R405" i="3"/>
  <c r="R422" i="3"/>
  <c r="R437" i="3"/>
  <c r="R452" i="3"/>
  <c r="R467" i="3"/>
  <c r="R484" i="3"/>
  <c r="R500" i="3"/>
  <c r="R515" i="3"/>
  <c r="R531" i="3"/>
  <c r="R545" i="3"/>
  <c r="R30" i="3"/>
  <c r="R69" i="3"/>
  <c r="R94" i="3"/>
  <c r="R129" i="3"/>
  <c r="R162" i="3"/>
  <c r="R185" i="3"/>
  <c r="R218" i="3"/>
  <c r="R250" i="3"/>
  <c r="R282" i="3"/>
  <c r="R305" i="3"/>
  <c r="R332" i="3"/>
  <c r="R360" i="3"/>
  <c r="R383" i="3"/>
  <c r="R412" i="3"/>
  <c r="R440" i="3"/>
  <c r="R468" i="3"/>
  <c r="R491" i="3"/>
  <c r="R520" i="3"/>
  <c r="R34" i="3"/>
  <c r="R71" i="3"/>
  <c r="R106" i="3"/>
  <c r="R132" i="3"/>
  <c r="R164" i="3"/>
  <c r="R196" i="3"/>
  <c r="R221" i="3"/>
  <c r="R252" i="3"/>
  <c r="R284" i="3"/>
  <c r="R312" i="3"/>
  <c r="R334" i="3"/>
  <c r="R363" i="3"/>
  <c r="R392" i="3"/>
  <c r="R414" i="3"/>
  <c r="R442" i="3"/>
  <c r="R473" i="3"/>
  <c r="R501" i="3"/>
  <c r="R523" i="3"/>
  <c r="R35" i="3"/>
  <c r="R72" i="3"/>
  <c r="R107" i="3"/>
  <c r="R134" i="3"/>
  <c r="R165" i="3"/>
  <c r="R197" i="3"/>
  <c r="R227" i="3"/>
  <c r="R253" i="3"/>
  <c r="R285" i="3"/>
  <c r="R315" i="3"/>
  <c r="R335" i="3"/>
  <c r="R364" i="3"/>
  <c r="R394" i="3"/>
  <c r="R423" i="3"/>
  <c r="R444" i="3"/>
  <c r="R474" i="3"/>
  <c r="R502" i="3"/>
  <c r="R525" i="3"/>
  <c r="R7" i="3"/>
  <c r="R54" i="3"/>
  <c r="R92" i="3"/>
  <c r="R141" i="3"/>
  <c r="R178" i="3"/>
  <c r="R213" i="3"/>
  <c r="R255" i="3"/>
  <c r="R297" i="3"/>
  <c r="R330" i="3"/>
  <c r="R366" i="3"/>
  <c r="R399" i="3"/>
  <c r="R438" i="3"/>
  <c r="R475" i="3"/>
  <c r="R507" i="3"/>
  <c r="R540" i="3"/>
  <c r="R9" i="3"/>
  <c r="R56" i="3"/>
  <c r="R95" i="3"/>
  <c r="R146" i="3"/>
  <c r="R180" i="3"/>
  <c r="R220" i="3"/>
  <c r="R265" i="3"/>
  <c r="R299" i="3"/>
  <c r="R333" i="3"/>
  <c r="R375" i="3"/>
  <c r="R408" i="3"/>
  <c r="R441" i="3"/>
  <c r="R477" i="3"/>
  <c r="R516" i="3"/>
  <c r="R12" i="3"/>
  <c r="R58" i="3"/>
  <c r="R112" i="3"/>
  <c r="R149" i="3"/>
  <c r="R184" i="3"/>
  <c r="R233" i="3"/>
  <c r="R269" i="3"/>
  <c r="R304" i="3"/>
  <c r="R345" i="3"/>
  <c r="R377" i="3"/>
  <c r="R411" i="3"/>
  <c r="R453" i="3"/>
  <c r="R487" i="3"/>
  <c r="R519" i="3"/>
  <c r="R8" i="3"/>
  <c r="R76" i="3"/>
  <c r="R126" i="3"/>
  <c r="R179" i="3"/>
  <c r="R235" i="3"/>
  <c r="R286" i="3"/>
  <c r="R331" i="3"/>
  <c r="R381" i="3"/>
  <c r="R427" i="3"/>
  <c r="R476" i="3"/>
  <c r="R532" i="3"/>
  <c r="R203" i="3"/>
  <c r="R46" i="3"/>
  <c r="R161" i="3"/>
  <c r="R211" i="3"/>
  <c r="R317" i="3"/>
  <c r="R410" i="3"/>
  <c r="R504" i="3"/>
  <c r="R115" i="3"/>
  <c r="R215" i="3"/>
  <c r="R319" i="3"/>
  <c r="R368" i="3"/>
  <c r="R461" i="3"/>
  <c r="R10" i="3"/>
  <c r="R77" i="3"/>
  <c r="R127" i="3"/>
  <c r="R182" i="3"/>
  <c r="R236" i="3"/>
  <c r="R288" i="3"/>
  <c r="R344" i="3"/>
  <c r="R382" i="3"/>
  <c r="R428" i="3"/>
  <c r="R486" i="3"/>
  <c r="R533" i="3"/>
  <c r="R351" i="3"/>
  <c r="R113" i="3"/>
  <c r="R506" i="3"/>
  <c r="R18" i="3"/>
  <c r="R78" i="3"/>
  <c r="R131" i="3"/>
  <c r="R194" i="3"/>
  <c r="R237" i="3"/>
  <c r="R291" i="3"/>
  <c r="R346" i="3"/>
  <c r="R390" i="3"/>
  <c r="R429" i="3"/>
  <c r="R488" i="3"/>
  <c r="R534" i="3"/>
  <c r="R24" i="3"/>
  <c r="R89" i="3"/>
  <c r="R143" i="3"/>
  <c r="R248" i="3"/>
  <c r="R298" i="3"/>
  <c r="R347" i="3"/>
  <c r="R395" i="3"/>
  <c r="R439" i="3"/>
  <c r="R489" i="3"/>
  <c r="R503" i="3"/>
  <c r="R48" i="3"/>
  <c r="R212" i="3"/>
  <c r="R318" i="3"/>
  <c r="R413" i="3"/>
  <c r="R198" i="3"/>
  <c r="R536" i="3"/>
  <c r="R36" i="3"/>
  <c r="R93" i="3"/>
  <c r="R151" i="3"/>
  <c r="R264" i="3"/>
  <c r="R316" i="3"/>
  <c r="R407" i="3"/>
  <c r="R546" i="3"/>
  <c r="R108" i="3"/>
  <c r="R267" i="3"/>
  <c r="R359" i="3"/>
  <c r="R458" i="3"/>
  <c r="R55" i="3"/>
  <c r="R166" i="3"/>
  <c r="R271" i="3"/>
  <c r="R424" i="3"/>
  <c r="R508" i="3"/>
  <c r="R29" i="3"/>
  <c r="R90" i="3"/>
  <c r="R148" i="3"/>
  <c r="R199" i="3"/>
  <c r="R249" i="3"/>
  <c r="R301" i="3"/>
  <c r="R348" i="3"/>
  <c r="R396" i="3"/>
  <c r="R447" i="3"/>
  <c r="R490" i="3"/>
  <c r="R538" i="3"/>
  <c r="R32" i="3"/>
  <c r="R91" i="3"/>
  <c r="R150" i="3"/>
  <c r="R201" i="3"/>
  <c r="R251" i="3"/>
  <c r="R306" i="3"/>
  <c r="R350" i="3"/>
  <c r="R398" i="3"/>
  <c r="R454" i="3"/>
  <c r="R492" i="3"/>
  <c r="R539" i="3"/>
  <c r="R455" i="3"/>
  <c r="R163" i="3"/>
  <c r="R270" i="3"/>
  <c r="R362" i="3"/>
  <c r="R460" i="3"/>
  <c r="R230" i="3"/>
  <c r="R518" i="3"/>
  <c r="R379" i="3"/>
  <c r="R177" i="3"/>
  <c r="R234" i="3"/>
  <c r="R521" i="3"/>
  <c r="R272" i="3"/>
  <c r="R376" i="3"/>
  <c r="R117" i="3"/>
  <c r="R426" i="3"/>
  <c r="R462" i="3"/>
  <c r="R471" i="3"/>
  <c r="R283" i="3"/>
  <c r="R329" i="3"/>
  <c r="R70" i="3"/>
  <c r="R425" i="3"/>
  <c r="R125" i="3"/>
  <c r="R167" i="3"/>
  <c r="R320" i="3"/>
  <c r="R57" i="3"/>
  <c r="N14" i="3"/>
  <c r="N26" i="3"/>
  <c r="N38" i="3"/>
  <c r="N50" i="3"/>
  <c r="N62" i="3"/>
  <c r="N74" i="3"/>
  <c r="N86" i="3"/>
  <c r="N98" i="3"/>
  <c r="N110" i="3"/>
  <c r="N122" i="3"/>
  <c r="N134" i="3"/>
  <c r="N146" i="3"/>
  <c r="N158" i="3"/>
  <c r="N170" i="3"/>
  <c r="N182" i="3"/>
  <c r="N194" i="3"/>
  <c r="N206" i="3"/>
  <c r="N218" i="3"/>
  <c r="N230" i="3"/>
  <c r="N243" i="3"/>
  <c r="N255" i="3"/>
  <c r="N267" i="3"/>
  <c r="N279" i="3"/>
  <c r="N291" i="3"/>
  <c r="N303" i="3"/>
  <c r="N315" i="3"/>
  <c r="N240" i="3"/>
  <c r="N338" i="3"/>
  <c r="N350" i="3"/>
  <c r="N362" i="3"/>
  <c r="N374" i="3"/>
  <c r="N386" i="3"/>
  <c r="N398" i="3"/>
  <c r="N410" i="3"/>
  <c r="N422" i="3"/>
  <c r="N434" i="3"/>
  <c r="N446" i="3"/>
  <c r="N458" i="3"/>
  <c r="N470" i="3"/>
  <c r="N482" i="3"/>
  <c r="N494" i="3"/>
  <c r="N506" i="3"/>
  <c r="N518" i="3"/>
  <c r="N530" i="3"/>
  <c r="N542" i="3"/>
  <c r="N3" i="3"/>
  <c r="N15" i="3"/>
  <c r="N27" i="3"/>
  <c r="N39" i="3"/>
  <c r="N51" i="3"/>
  <c r="N63" i="3"/>
  <c r="N75" i="3"/>
  <c r="N87" i="3"/>
  <c r="N99" i="3"/>
  <c r="N111" i="3"/>
  <c r="N123" i="3"/>
  <c r="N135" i="3"/>
  <c r="N147" i="3"/>
  <c r="N159" i="3"/>
  <c r="N171" i="3"/>
  <c r="N183" i="3"/>
  <c r="N195" i="3"/>
  <c r="N207" i="3"/>
  <c r="N219" i="3"/>
  <c r="N231" i="3"/>
  <c r="N244" i="3"/>
  <c r="N256" i="3"/>
  <c r="N268" i="3"/>
  <c r="N280" i="3"/>
  <c r="N292" i="3"/>
  <c r="N304" i="3"/>
  <c r="N326" i="3"/>
  <c r="N327" i="3"/>
  <c r="N339" i="3"/>
  <c r="N351" i="3"/>
  <c r="N363" i="3"/>
  <c r="N375" i="3"/>
  <c r="N387" i="3"/>
  <c r="N399" i="3"/>
  <c r="N411" i="3"/>
  <c r="N423" i="3"/>
  <c r="N435" i="3"/>
  <c r="N447" i="3"/>
  <c r="N459" i="3"/>
  <c r="N471" i="3"/>
  <c r="N483" i="3"/>
  <c r="N495" i="3"/>
  <c r="N507" i="3"/>
  <c r="N519" i="3"/>
  <c r="N531" i="3"/>
  <c r="N543" i="3"/>
  <c r="N4" i="3"/>
  <c r="N16" i="3"/>
  <c r="N28" i="3"/>
  <c r="N40" i="3"/>
  <c r="N52" i="3"/>
  <c r="N64" i="3"/>
  <c r="N76" i="3"/>
  <c r="N88" i="3"/>
  <c r="N100" i="3"/>
  <c r="N112" i="3"/>
  <c r="N124" i="3"/>
  <c r="N136" i="3"/>
  <c r="N148" i="3"/>
  <c r="N160" i="3"/>
  <c r="N172" i="3"/>
  <c r="N184" i="3"/>
  <c r="N196" i="3"/>
  <c r="N208" i="3"/>
  <c r="N220" i="3"/>
  <c r="N232" i="3"/>
  <c r="N245" i="3"/>
  <c r="N257" i="3"/>
  <c r="N269" i="3"/>
  <c r="N281" i="3"/>
  <c r="N293" i="3"/>
  <c r="N305" i="3"/>
  <c r="N316" i="3"/>
  <c r="N328" i="3"/>
  <c r="N340" i="3"/>
  <c r="N352" i="3"/>
  <c r="N364" i="3"/>
  <c r="N376" i="3"/>
  <c r="N388" i="3"/>
  <c r="N400" i="3"/>
  <c r="N412" i="3"/>
  <c r="N424" i="3"/>
  <c r="N436" i="3"/>
  <c r="N448" i="3"/>
  <c r="N460" i="3"/>
  <c r="N472" i="3"/>
  <c r="N484" i="3"/>
  <c r="N496" i="3"/>
  <c r="N508" i="3"/>
  <c r="N520" i="3"/>
  <c r="N532" i="3"/>
  <c r="N544" i="3"/>
  <c r="N5" i="3"/>
  <c r="N17" i="3"/>
  <c r="N29" i="3"/>
  <c r="N41" i="3"/>
  <c r="N53" i="3"/>
  <c r="N65" i="3"/>
  <c r="N77" i="3"/>
  <c r="N89" i="3"/>
  <c r="N101" i="3"/>
  <c r="N113" i="3"/>
  <c r="N125" i="3"/>
  <c r="N137" i="3"/>
  <c r="N149" i="3"/>
  <c r="N161" i="3"/>
  <c r="N173" i="3"/>
  <c r="N185" i="3"/>
  <c r="N197" i="3"/>
  <c r="N209" i="3"/>
  <c r="N221" i="3"/>
  <c r="N233" i="3"/>
  <c r="N246" i="3"/>
  <c r="N258" i="3"/>
  <c r="N270" i="3"/>
  <c r="N282" i="3"/>
  <c r="N294" i="3"/>
  <c r="N306" i="3"/>
  <c r="N317" i="3"/>
  <c r="N329" i="3"/>
  <c r="N6" i="3"/>
  <c r="N18" i="3"/>
  <c r="N30" i="3"/>
  <c r="N42" i="3"/>
  <c r="N54" i="3"/>
  <c r="N66" i="3"/>
  <c r="N78" i="3"/>
  <c r="N90" i="3"/>
  <c r="N102" i="3"/>
  <c r="N114" i="3"/>
  <c r="N126" i="3"/>
  <c r="N138" i="3"/>
  <c r="N150" i="3"/>
  <c r="N162" i="3"/>
  <c r="N174" i="3"/>
  <c r="N186" i="3"/>
  <c r="N198" i="3"/>
  <c r="N210" i="3"/>
  <c r="N222" i="3"/>
  <c r="N234" i="3"/>
  <c r="N247" i="3"/>
  <c r="N259" i="3"/>
  <c r="N271" i="3"/>
  <c r="N283" i="3"/>
  <c r="N295" i="3"/>
  <c r="N307" i="3"/>
  <c r="N318" i="3"/>
  <c r="N330" i="3"/>
  <c r="N342" i="3"/>
  <c r="N354" i="3"/>
  <c r="N366" i="3"/>
  <c r="N7" i="3"/>
  <c r="N24" i="3"/>
  <c r="N46" i="3"/>
  <c r="N68" i="3"/>
  <c r="N85" i="3"/>
  <c r="N107" i="3"/>
  <c r="N129" i="3"/>
  <c r="N151" i="3"/>
  <c r="N168" i="3"/>
  <c r="N190" i="3"/>
  <c r="N212" i="3"/>
  <c r="N229" i="3"/>
  <c r="N252" i="3"/>
  <c r="N274" i="3"/>
  <c r="N296" i="3"/>
  <c r="N313" i="3"/>
  <c r="N334" i="3"/>
  <c r="N353" i="3"/>
  <c r="N370" i="3"/>
  <c r="N385" i="3"/>
  <c r="N403" i="3"/>
  <c r="N418" i="3"/>
  <c r="N433" i="3"/>
  <c r="N451" i="3"/>
  <c r="N466" i="3"/>
  <c r="N481" i="3"/>
  <c r="N499" i="3"/>
  <c r="N514" i="3"/>
  <c r="N529" i="3"/>
  <c r="N547" i="3"/>
  <c r="N9" i="3"/>
  <c r="N31" i="3"/>
  <c r="N48" i="3"/>
  <c r="N70" i="3"/>
  <c r="N92" i="3"/>
  <c r="N109" i="3"/>
  <c r="N131" i="3"/>
  <c r="N153" i="3"/>
  <c r="N175" i="3"/>
  <c r="N192" i="3"/>
  <c r="N214" i="3"/>
  <c r="N236" i="3"/>
  <c r="N254" i="3"/>
  <c r="N276" i="3"/>
  <c r="N298" i="3"/>
  <c r="N319" i="3"/>
  <c r="N336" i="3"/>
  <c r="N356" i="3"/>
  <c r="N372" i="3"/>
  <c r="N390" i="3"/>
  <c r="N405" i="3"/>
  <c r="N420" i="3"/>
  <c r="N438" i="3"/>
  <c r="N453" i="3"/>
  <c r="N468" i="3"/>
  <c r="N486" i="3"/>
  <c r="N501" i="3"/>
  <c r="N516" i="3"/>
  <c r="N534" i="3"/>
  <c r="N10" i="3"/>
  <c r="N32" i="3"/>
  <c r="N49" i="3"/>
  <c r="N71" i="3"/>
  <c r="N93" i="3"/>
  <c r="N115" i="3"/>
  <c r="N132" i="3"/>
  <c r="N154" i="3"/>
  <c r="N176" i="3"/>
  <c r="N193" i="3"/>
  <c r="N215" i="3"/>
  <c r="N237" i="3"/>
  <c r="N260" i="3"/>
  <c r="N277" i="3"/>
  <c r="N299" i="3"/>
  <c r="N320" i="3"/>
  <c r="N337" i="3"/>
  <c r="N357" i="3"/>
  <c r="N373" i="3"/>
  <c r="N391" i="3"/>
  <c r="N406" i="3"/>
  <c r="N421" i="3"/>
  <c r="N439" i="3"/>
  <c r="N454" i="3"/>
  <c r="N469" i="3"/>
  <c r="N487" i="3"/>
  <c r="N502" i="3"/>
  <c r="N517" i="3"/>
  <c r="N535" i="3"/>
  <c r="N11" i="3"/>
  <c r="N36" i="3"/>
  <c r="N61" i="3"/>
  <c r="N94" i="3"/>
  <c r="N119" i="3"/>
  <c r="N144" i="3"/>
  <c r="N177" i="3"/>
  <c r="N202" i="3"/>
  <c r="N227" i="3"/>
  <c r="N261" i="3"/>
  <c r="N286" i="3"/>
  <c r="N311" i="3"/>
  <c r="N341" i="3"/>
  <c r="N361" i="3"/>
  <c r="N383" i="3"/>
  <c r="N407" i="3"/>
  <c r="N428" i="3"/>
  <c r="N449" i="3"/>
  <c r="N473" i="3"/>
  <c r="N491" i="3"/>
  <c r="N512" i="3"/>
  <c r="N536" i="3"/>
  <c r="N13" i="3"/>
  <c r="N43" i="3"/>
  <c r="N69" i="3"/>
  <c r="N96" i="3"/>
  <c r="N121" i="3"/>
  <c r="N152" i="3"/>
  <c r="N179" i="3"/>
  <c r="N204" i="3"/>
  <c r="N235" i="3"/>
  <c r="N263" i="3"/>
  <c r="N288" i="3"/>
  <c r="N314" i="3"/>
  <c r="N344" i="3"/>
  <c r="N367" i="3"/>
  <c r="N389" i="3"/>
  <c r="N409" i="3"/>
  <c r="N430" i="3"/>
  <c r="N452" i="3"/>
  <c r="N475" i="3"/>
  <c r="N493" i="3"/>
  <c r="N515" i="3"/>
  <c r="N538" i="3"/>
  <c r="N20" i="3"/>
  <c r="N45" i="3"/>
  <c r="N73" i="3"/>
  <c r="N103" i="3"/>
  <c r="N128" i="3"/>
  <c r="N156" i="3"/>
  <c r="N181" i="3"/>
  <c r="N211" i="3"/>
  <c r="N239" i="3"/>
  <c r="N265" i="3"/>
  <c r="N290" i="3"/>
  <c r="N322" i="3"/>
  <c r="N346" i="3"/>
  <c r="N369" i="3"/>
  <c r="N393" i="3"/>
  <c r="N414" i="3"/>
  <c r="N432" i="3"/>
  <c r="N456" i="3"/>
  <c r="N477" i="3"/>
  <c r="N498" i="3"/>
  <c r="N522" i="3"/>
  <c r="N540" i="3"/>
  <c r="N22" i="3"/>
  <c r="N58" i="3"/>
  <c r="N95" i="3"/>
  <c r="N133" i="3"/>
  <c r="N166" i="3"/>
  <c r="N203" i="3"/>
  <c r="N242" i="3"/>
  <c r="N278" i="3"/>
  <c r="N312" i="3"/>
  <c r="N348" i="3"/>
  <c r="N380" i="3"/>
  <c r="N408" i="3"/>
  <c r="N440" i="3"/>
  <c r="N464" i="3"/>
  <c r="N492" i="3"/>
  <c r="N524" i="3"/>
  <c r="N44" i="3"/>
  <c r="N155" i="3"/>
  <c r="N225" i="3"/>
  <c r="N333" i="3"/>
  <c r="N396" i="3"/>
  <c r="N455" i="3"/>
  <c r="N510" i="3"/>
  <c r="N12" i="3"/>
  <c r="N163" i="3"/>
  <c r="N228" i="3"/>
  <c r="N308" i="3"/>
  <c r="N377" i="3"/>
  <c r="N429" i="3"/>
  <c r="N488" i="3"/>
  <c r="N545" i="3"/>
  <c r="N23" i="3"/>
  <c r="N59" i="3"/>
  <c r="N97" i="3"/>
  <c r="N139" i="3"/>
  <c r="N167" i="3"/>
  <c r="N205" i="3"/>
  <c r="N248" i="3"/>
  <c r="N284" i="3"/>
  <c r="N321" i="3"/>
  <c r="N349" i="3"/>
  <c r="N381" i="3"/>
  <c r="N413" i="3"/>
  <c r="N441" i="3"/>
  <c r="N465" i="3"/>
  <c r="N497" i="3"/>
  <c r="N525" i="3"/>
  <c r="N416" i="3"/>
  <c r="N80" i="3"/>
  <c r="N224" i="3"/>
  <c r="N332" i="3"/>
  <c r="N479" i="3"/>
  <c r="N301" i="3"/>
  <c r="N157" i="3"/>
  <c r="N485" i="3"/>
  <c r="N120" i="3"/>
  <c r="N25" i="3"/>
  <c r="N60" i="3"/>
  <c r="N104" i="3"/>
  <c r="N140" i="3"/>
  <c r="N169" i="3"/>
  <c r="N213" i="3"/>
  <c r="N249" i="3"/>
  <c r="N285" i="3"/>
  <c r="N323" i="3"/>
  <c r="N355" i="3"/>
  <c r="N382" i="3"/>
  <c r="N415" i="3"/>
  <c r="N442" i="3"/>
  <c r="N467" i="3"/>
  <c r="N500" i="3"/>
  <c r="N526" i="3"/>
  <c r="N33" i="3"/>
  <c r="N67" i="3"/>
  <c r="N141" i="3"/>
  <c r="N178" i="3"/>
  <c r="N250" i="3"/>
  <c r="N287" i="3"/>
  <c r="N324" i="3"/>
  <c r="N384" i="3"/>
  <c r="N443" i="3"/>
  <c r="N503" i="3"/>
  <c r="N527" i="3"/>
  <c r="N37" i="3"/>
  <c r="N188" i="3"/>
  <c r="N300" i="3"/>
  <c r="N425" i="3"/>
  <c r="N537" i="3"/>
  <c r="N117" i="3"/>
  <c r="N8" i="3"/>
  <c r="N82" i="3"/>
  <c r="N226" i="3"/>
  <c r="N302" i="3"/>
  <c r="N371" i="3"/>
  <c r="N427" i="3"/>
  <c r="N511" i="3"/>
  <c r="N105" i="3"/>
  <c r="N216" i="3"/>
  <c r="N358" i="3"/>
  <c r="N474" i="3"/>
  <c r="N145" i="3"/>
  <c r="N365" i="3"/>
  <c r="N509" i="3"/>
  <c r="N81" i="3"/>
  <c r="N189" i="3"/>
  <c r="N264" i="3"/>
  <c r="N368" i="3"/>
  <c r="N426" i="3"/>
  <c r="N480" i="3"/>
  <c r="N539" i="3"/>
  <c r="N118" i="3"/>
  <c r="N55" i="3"/>
  <c r="N199" i="3"/>
  <c r="N272" i="3"/>
  <c r="N343" i="3"/>
  <c r="N401" i="3"/>
  <c r="N461" i="3"/>
  <c r="N513" i="3"/>
  <c r="N34" i="3"/>
  <c r="N72" i="3"/>
  <c r="N106" i="3"/>
  <c r="N142" i="3"/>
  <c r="N180" i="3"/>
  <c r="N217" i="3"/>
  <c r="N251" i="3"/>
  <c r="N289" i="3"/>
  <c r="N325" i="3"/>
  <c r="N359" i="3"/>
  <c r="N392" i="3"/>
  <c r="N417" i="3"/>
  <c r="N444" i="3"/>
  <c r="N476" i="3"/>
  <c r="N504" i="3"/>
  <c r="N528" i="3"/>
  <c r="N35" i="3"/>
  <c r="N79" i="3"/>
  <c r="N108" i="3"/>
  <c r="N143" i="3"/>
  <c r="N187" i="3"/>
  <c r="N223" i="3"/>
  <c r="N253" i="3"/>
  <c r="N297" i="3"/>
  <c r="N331" i="3"/>
  <c r="N360" i="3"/>
  <c r="N394" i="3"/>
  <c r="N419" i="3"/>
  <c r="N445" i="3"/>
  <c r="N478" i="3"/>
  <c r="N505" i="3"/>
  <c r="N533" i="3"/>
  <c r="N116" i="3"/>
  <c r="N262" i="3"/>
  <c r="N395" i="3"/>
  <c r="N450" i="3"/>
  <c r="N47" i="3"/>
  <c r="N191" i="3"/>
  <c r="N266" i="3"/>
  <c r="N335" i="3"/>
  <c r="N397" i="3"/>
  <c r="N457" i="3"/>
  <c r="N541" i="3"/>
  <c r="N83" i="3"/>
  <c r="N127" i="3"/>
  <c r="N345" i="3"/>
  <c r="N521" i="3"/>
  <c r="N523" i="3"/>
  <c r="N404" i="3"/>
  <c r="N238" i="3"/>
  <c r="N437" i="3"/>
  <c r="N56" i="3"/>
  <c r="N275" i="3"/>
  <c r="N309" i="3"/>
  <c r="N91" i="3"/>
  <c r="N490" i="3"/>
  <c r="N130" i="3"/>
  <c r="N347" i="3"/>
  <c r="N164" i="3"/>
  <c r="N378" i="3"/>
  <c r="N546" i="3"/>
  <c r="N84" i="3"/>
  <c r="N165" i="3"/>
  <c r="N379" i="3"/>
  <c r="N21" i="3"/>
  <c r="N462" i="3"/>
  <c r="N200" i="3"/>
  <c r="N402" i="3"/>
  <c r="N201" i="3"/>
  <c r="N19" i="3"/>
  <c r="N431" i="3"/>
  <c r="N241" i="3"/>
  <c r="N273" i="3"/>
  <c r="N57" i="3"/>
  <c r="N463" i="3"/>
  <c r="N489" i="3"/>
  <c r="N310" i="3"/>
  <c r="H8" i="3"/>
  <c r="H7" i="3"/>
  <c r="F2" i="3"/>
  <c r="H6" i="3"/>
  <c r="H5" i="3"/>
  <c r="H4" i="3"/>
  <c r="H13" i="3"/>
  <c r="H10" i="3"/>
  <c r="H2" i="3"/>
  <c r="H9" i="3"/>
  <c r="H11" i="3"/>
  <c r="R3" i="3"/>
  <c r="R5" i="3"/>
  <c r="R4" i="3"/>
  <c r="R6" i="3"/>
  <c r="R2" i="3"/>
  <c r="N2" i="3"/>
  <c r="P3" i="3"/>
  <c r="P4" i="3"/>
  <c r="P2" i="3"/>
  <c r="P6" i="3"/>
  <c r="P5" i="3"/>
  <c r="J2" i="3"/>
  <c r="H3" i="3"/>
  <c r="H12" i="3"/>
  <c r="S9" i="3" l="1"/>
  <c r="AE9" i="3"/>
  <c r="V9" i="3"/>
  <c r="S21" i="3"/>
  <c r="AE21" i="3"/>
  <c r="V21" i="3"/>
  <c r="S445" i="3"/>
  <c r="AE445" i="3"/>
  <c r="V445" i="3"/>
  <c r="S157" i="3"/>
  <c r="V157" i="3"/>
  <c r="AE157" i="3"/>
  <c r="S168" i="3"/>
  <c r="AE168" i="3"/>
  <c r="V168" i="3"/>
  <c r="S115" i="3"/>
  <c r="AE115" i="3"/>
  <c r="V115" i="3"/>
  <c r="S129" i="3"/>
  <c r="V129" i="3"/>
  <c r="AE129" i="3"/>
  <c r="AE318" i="3"/>
  <c r="V318" i="3"/>
  <c r="AE252" i="3"/>
  <c r="V252" i="3"/>
  <c r="S263" i="3"/>
  <c r="V263" i="3"/>
  <c r="AE263" i="3"/>
  <c r="S285" i="3"/>
  <c r="AE285" i="3"/>
  <c r="V285" i="3"/>
  <c r="S139" i="3"/>
  <c r="AE139" i="3"/>
  <c r="V139" i="3"/>
  <c r="S36" i="3"/>
  <c r="AE36" i="3"/>
  <c r="V36" i="3"/>
  <c r="S367" i="3"/>
  <c r="AE367" i="3"/>
  <c r="V367" i="3"/>
  <c r="S89" i="3"/>
  <c r="AE89" i="3"/>
  <c r="V89" i="3"/>
  <c r="AE172" i="3"/>
  <c r="V172" i="3"/>
  <c r="S51" i="3"/>
  <c r="AE51" i="3"/>
  <c r="V51" i="3"/>
  <c r="S545" i="3"/>
  <c r="AE545" i="3"/>
  <c r="V545" i="3"/>
  <c r="AE255" i="3"/>
  <c r="V255" i="3"/>
  <c r="S485" i="3"/>
  <c r="V485" i="3"/>
  <c r="AE485" i="3"/>
  <c r="S424" i="3"/>
  <c r="AE424" i="3"/>
  <c r="V424" i="3"/>
  <c r="AE75" i="3"/>
  <c r="V75" i="3"/>
  <c r="S400" i="3"/>
  <c r="V400" i="3"/>
  <c r="AE400" i="3"/>
  <c r="S476" i="3"/>
  <c r="AE476" i="3"/>
  <c r="V476" i="3"/>
  <c r="AE100" i="3"/>
  <c r="V100" i="3"/>
  <c r="V306" i="3"/>
  <c r="AE306" i="3"/>
  <c r="V484" i="3"/>
  <c r="AE484" i="3"/>
  <c r="AE383" i="3"/>
  <c r="V383" i="3"/>
  <c r="AE95" i="3"/>
  <c r="V95" i="3"/>
  <c r="V251" i="3"/>
  <c r="AE251" i="3"/>
  <c r="S416" i="3"/>
  <c r="V416" i="3"/>
  <c r="AE416" i="3"/>
  <c r="S128" i="3"/>
  <c r="V128" i="3"/>
  <c r="AE128" i="3"/>
  <c r="V227" i="3"/>
  <c r="AE227" i="3"/>
  <c r="AE458" i="3"/>
  <c r="V458" i="3"/>
  <c r="AE525" i="3"/>
  <c r="V525" i="3"/>
  <c r="S242" i="3"/>
  <c r="AE242" i="3"/>
  <c r="V242" i="3"/>
  <c r="V387" i="3"/>
  <c r="AE387" i="3"/>
  <c r="S537" i="3"/>
  <c r="AE537" i="3"/>
  <c r="V537" i="3"/>
  <c r="AE469" i="3"/>
  <c r="V469" i="3"/>
  <c r="V465" i="3"/>
  <c r="AE465" i="3"/>
  <c r="V305" i="3"/>
  <c r="AE305" i="3"/>
  <c r="S379" i="3"/>
  <c r="AE379" i="3"/>
  <c r="V379" i="3"/>
  <c r="S489" i="3"/>
  <c r="AE489" i="3"/>
  <c r="V489" i="3"/>
  <c r="S102" i="3"/>
  <c r="AE102" i="3"/>
  <c r="V102" i="3"/>
  <c r="AE260" i="3"/>
  <c r="V260" i="3"/>
  <c r="V462" i="3"/>
  <c r="AE462" i="3"/>
  <c r="V81" i="3"/>
  <c r="AE81" i="3"/>
  <c r="V78" i="3"/>
  <c r="AE78" i="3"/>
  <c r="S71" i="3"/>
  <c r="AE71" i="3"/>
  <c r="V71" i="3"/>
  <c r="V226" i="3"/>
  <c r="AE226" i="3"/>
  <c r="AE249" i="3"/>
  <c r="V249" i="3"/>
  <c r="V459" i="3"/>
  <c r="AE459" i="3"/>
  <c r="AE354" i="3"/>
  <c r="V354" i="3"/>
  <c r="V201" i="3"/>
  <c r="AE201" i="3"/>
  <c r="AE26" i="3"/>
  <c r="V26" i="3"/>
  <c r="S109" i="3"/>
  <c r="V109" i="3"/>
  <c r="AE109" i="3"/>
  <c r="V519" i="3"/>
  <c r="AE519" i="3"/>
  <c r="S363" i="3"/>
  <c r="AE363" i="3"/>
  <c r="V363" i="3"/>
  <c r="V97" i="3"/>
  <c r="AE97" i="3"/>
  <c r="AE87" i="3"/>
  <c r="V87" i="3"/>
  <c r="AE103" i="3"/>
  <c r="V103" i="3"/>
  <c r="AE337" i="3"/>
  <c r="V337" i="3"/>
  <c r="V436" i="3"/>
  <c r="AE436" i="3"/>
  <c r="V52" i="3"/>
  <c r="AE52" i="3"/>
  <c r="AE65" i="3"/>
  <c r="V65" i="3"/>
  <c r="AE256" i="3"/>
  <c r="V256" i="3"/>
  <c r="AE203" i="3"/>
  <c r="V203" i="3"/>
  <c r="V358" i="3"/>
  <c r="AE358" i="3"/>
  <c r="AE380" i="3"/>
  <c r="V380" i="3"/>
  <c r="AE92" i="3"/>
  <c r="V92" i="3"/>
  <c r="V357" i="3"/>
  <c r="AE357" i="3"/>
  <c r="AE230" i="3"/>
  <c r="V230" i="3"/>
  <c r="AE135" i="3"/>
  <c r="V135" i="3"/>
  <c r="V343" i="3"/>
  <c r="AE343" i="3"/>
  <c r="AE503" i="3"/>
  <c r="V503" i="3"/>
  <c r="AE456" i="3"/>
  <c r="V456" i="3"/>
  <c r="AE280" i="3"/>
  <c r="V280" i="3"/>
  <c r="V170" i="3"/>
  <c r="AE170" i="3"/>
  <c r="AE531" i="3"/>
  <c r="V531" i="3"/>
  <c r="AE84" i="3"/>
  <c r="V84" i="3"/>
  <c r="AE541" i="3"/>
  <c r="V541" i="3"/>
  <c r="AE60" i="3"/>
  <c r="V60" i="3"/>
  <c r="AE37" i="3"/>
  <c r="V37" i="3"/>
  <c r="S50" i="3"/>
  <c r="AE50" i="3"/>
  <c r="V50" i="3"/>
  <c r="AE241" i="3"/>
  <c r="V241" i="3"/>
  <c r="AE191" i="3"/>
  <c r="V191" i="3"/>
  <c r="AE346" i="3"/>
  <c r="V346" i="3"/>
  <c r="V58" i="3"/>
  <c r="AE58" i="3"/>
  <c r="AE80" i="3"/>
  <c r="V80" i="3"/>
  <c r="S438" i="3"/>
  <c r="V438" i="3"/>
  <c r="AE438" i="3"/>
  <c r="AE248" i="3"/>
  <c r="V248" i="3"/>
  <c r="AE74" i="3"/>
  <c r="V74" i="3"/>
  <c r="V237" i="3"/>
  <c r="AE237" i="3"/>
  <c r="AE66" i="3"/>
  <c r="V66" i="3"/>
  <c r="AE374" i="3"/>
  <c r="V374" i="3"/>
  <c r="AE216" i="3"/>
  <c r="V216" i="3"/>
  <c r="AE149" i="3"/>
  <c r="V149" i="3"/>
  <c r="AE542" i="3"/>
  <c r="V542" i="3"/>
  <c r="AE61" i="3"/>
  <c r="V61" i="3"/>
  <c r="AE526" i="3"/>
  <c r="V526" i="3"/>
  <c r="V39" i="3"/>
  <c r="AE39" i="3"/>
  <c r="AE19" i="3"/>
  <c r="V19" i="3"/>
  <c r="V225" i="3"/>
  <c r="AE225" i="3"/>
  <c r="V414" i="3"/>
  <c r="AE414" i="3"/>
  <c r="AE323" i="3"/>
  <c r="V323" i="3"/>
  <c r="V35" i="3"/>
  <c r="AE35" i="3"/>
  <c r="AE190" i="3"/>
  <c r="V190" i="3"/>
  <c r="AE356" i="3"/>
  <c r="V356" i="3"/>
  <c r="AE68" i="3"/>
  <c r="V68" i="3"/>
  <c r="AE205" i="3"/>
  <c r="V205" i="3"/>
  <c r="AE330" i="3"/>
  <c r="V330" i="3"/>
  <c r="AE29" i="3"/>
  <c r="V29" i="3"/>
  <c r="AE530" i="3"/>
  <c r="V530" i="3"/>
  <c r="AE43" i="3"/>
  <c r="V43" i="3"/>
  <c r="V286" i="3"/>
  <c r="AE286" i="3"/>
  <c r="AE150" i="3"/>
  <c r="V150" i="3"/>
  <c r="V393" i="3"/>
  <c r="AE393" i="3"/>
  <c r="AE296" i="3"/>
  <c r="V296" i="3"/>
  <c r="AE435" i="3"/>
  <c r="V435" i="3"/>
  <c r="AE16" i="3"/>
  <c r="V16" i="3"/>
  <c r="V196" i="3"/>
  <c r="AE196" i="3"/>
  <c r="AE209" i="3"/>
  <c r="V209" i="3"/>
  <c r="V399" i="3"/>
  <c r="AE399" i="3"/>
  <c r="AE312" i="3"/>
  <c r="V312" i="3"/>
  <c r="V23" i="3"/>
  <c r="AE23" i="3"/>
  <c r="AE34" i="3"/>
  <c r="V34" i="3"/>
  <c r="AE200" i="3"/>
  <c r="V200" i="3"/>
  <c r="AE422" i="3"/>
  <c r="V422" i="3"/>
  <c r="AE492" i="3"/>
  <c r="V492" i="3"/>
  <c r="V315" i="3"/>
  <c r="AE315" i="3"/>
  <c r="V501" i="3"/>
  <c r="AE501" i="3"/>
  <c r="V515" i="3"/>
  <c r="AE515" i="3"/>
  <c r="AE25" i="3"/>
  <c r="V25" i="3"/>
  <c r="AE529" i="3"/>
  <c r="V529" i="3"/>
  <c r="V175" i="3"/>
  <c r="AE175" i="3"/>
  <c r="AE362" i="3"/>
  <c r="V362" i="3"/>
  <c r="AE329" i="3"/>
  <c r="V329" i="3"/>
  <c r="AE277" i="3"/>
  <c r="V277" i="3"/>
  <c r="AE349" i="3"/>
  <c r="V349" i="3"/>
  <c r="V253" i="3"/>
  <c r="AE253" i="3"/>
  <c r="AE373" i="3"/>
  <c r="V373" i="3"/>
  <c r="AE546" i="3"/>
  <c r="V546" i="3"/>
  <c r="V194" i="3"/>
  <c r="AE194" i="3"/>
  <c r="AE384" i="3"/>
  <c r="V384" i="3"/>
  <c r="AE443" i="3"/>
  <c r="V443" i="3"/>
  <c r="AE155" i="3"/>
  <c r="V155" i="3"/>
  <c r="AE166" i="3"/>
  <c r="V166" i="3"/>
  <c r="AE332" i="3"/>
  <c r="V332" i="3"/>
  <c r="V44" i="3"/>
  <c r="AE44" i="3"/>
  <c r="AE420" i="3"/>
  <c r="V420" i="3"/>
  <c r="AE55" i="3"/>
  <c r="V55" i="3"/>
  <c r="AE491" i="3"/>
  <c r="V491" i="3"/>
  <c r="V76" i="3"/>
  <c r="AE76" i="3"/>
  <c r="AE184" i="3"/>
  <c r="V184" i="3"/>
  <c r="V228" i="3"/>
  <c r="AE228" i="3"/>
  <c r="AE372" i="3"/>
  <c r="V372" i="3"/>
  <c r="V483" i="3"/>
  <c r="AE483" i="3"/>
  <c r="AE173" i="3"/>
  <c r="V173" i="3"/>
  <c r="AE499" i="3"/>
  <c r="V499" i="3"/>
  <c r="V259" i="3"/>
  <c r="AE259" i="3"/>
  <c r="AE284" i="3"/>
  <c r="V284" i="3"/>
  <c r="AE481" i="3"/>
  <c r="V481" i="3"/>
  <c r="AE158" i="3"/>
  <c r="V158" i="3"/>
  <c r="AE112" i="3"/>
  <c r="V112" i="3"/>
  <c r="AE42" i="3"/>
  <c r="V42" i="3"/>
  <c r="V341" i="3"/>
  <c r="AE341" i="3"/>
  <c r="AE86" i="3"/>
  <c r="V86" i="3"/>
  <c r="V221" i="3"/>
  <c r="AE221" i="3"/>
  <c r="AE426" i="3"/>
  <c r="V426" i="3"/>
  <c r="AE494" i="3"/>
  <c r="V494" i="3"/>
  <c r="AE254" i="3"/>
  <c r="V254" i="3"/>
  <c r="AE352" i="3"/>
  <c r="V352" i="3"/>
  <c r="AE307" i="3"/>
  <c r="V307" i="3"/>
  <c r="V478" i="3"/>
  <c r="AE478" i="3"/>
  <c r="AE231" i="3"/>
  <c r="V231" i="3"/>
  <c r="AE524" i="3"/>
  <c r="V524" i="3"/>
  <c r="V355" i="3"/>
  <c r="AE355" i="3"/>
  <c r="AE163" i="3"/>
  <c r="V163" i="3"/>
  <c r="AE534" i="3"/>
  <c r="V534" i="3"/>
  <c r="V369" i="3"/>
  <c r="AE369" i="3"/>
  <c r="AE177" i="3"/>
  <c r="V177" i="3"/>
  <c r="V532" i="3"/>
  <c r="AE532" i="3"/>
  <c r="V366" i="3"/>
  <c r="AE366" i="3"/>
  <c r="V174" i="3"/>
  <c r="AE174" i="3"/>
  <c r="AE431" i="3"/>
  <c r="V431" i="3"/>
  <c r="V288" i="3"/>
  <c r="AE288" i="3"/>
  <c r="AE143" i="3"/>
  <c r="V143" i="3"/>
  <c r="AE442" i="3"/>
  <c r="V442" i="3"/>
  <c r="V299" i="3"/>
  <c r="AE299" i="3"/>
  <c r="AE154" i="3"/>
  <c r="V154" i="3"/>
  <c r="AE10" i="3"/>
  <c r="V10" i="3"/>
  <c r="AE320" i="3"/>
  <c r="V320" i="3"/>
  <c r="AE176" i="3"/>
  <c r="V176" i="3"/>
  <c r="V32" i="3"/>
  <c r="AE32" i="3"/>
  <c r="S292" i="3"/>
  <c r="AE292" i="3"/>
  <c r="V292" i="3"/>
  <c r="S539" i="3"/>
  <c r="AE539" i="3"/>
  <c r="V539" i="3"/>
  <c r="S454" i="3"/>
  <c r="V454" i="3"/>
  <c r="AE454" i="3"/>
  <c r="S110" i="3"/>
  <c r="AE110" i="3"/>
  <c r="V110" i="3"/>
  <c r="S195" i="3"/>
  <c r="V195" i="3"/>
  <c r="AE195" i="3"/>
  <c r="S136" i="3"/>
  <c r="AE136" i="3"/>
  <c r="V136" i="3"/>
  <c r="S345" i="3"/>
  <c r="AE345" i="3"/>
  <c r="V345" i="3"/>
  <c r="S279" i="3"/>
  <c r="AE279" i="3"/>
  <c r="V279" i="3"/>
  <c r="S301" i="3"/>
  <c r="V301" i="3"/>
  <c r="AE301" i="3"/>
  <c r="S187" i="3"/>
  <c r="AE187" i="3"/>
  <c r="V187" i="3"/>
  <c r="V423" i="3"/>
  <c r="AE423" i="3"/>
  <c r="S488" i="3"/>
  <c r="AE488" i="3"/>
  <c r="V488" i="3"/>
  <c r="S498" i="3"/>
  <c r="V498" i="3"/>
  <c r="AE498" i="3"/>
  <c r="V496" i="3"/>
  <c r="AE496" i="3"/>
  <c r="S395" i="3"/>
  <c r="AE395" i="3"/>
  <c r="V395" i="3"/>
  <c r="S406" i="3"/>
  <c r="V406" i="3"/>
  <c r="AE406" i="3"/>
  <c r="S428" i="3"/>
  <c r="AE428" i="3"/>
  <c r="V428" i="3"/>
  <c r="S140" i="3"/>
  <c r="V140" i="3"/>
  <c r="AE140" i="3"/>
  <c r="S397" i="3"/>
  <c r="AE397" i="3"/>
  <c r="V397" i="3"/>
  <c r="S538" i="3"/>
  <c r="AE538" i="3"/>
  <c r="V538" i="3"/>
  <c r="S14" i="3"/>
  <c r="AE14" i="3"/>
  <c r="V14" i="3"/>
  <c r="S437" i="3"/>
  <c r="V437" i="3"/>
  <c r="AE437" i="3"/>
  <c r="S365" i="3"/>
  <c r="AE365" i="3"/>
  <c r="V365" i="3"/>
  <c r="S427" i="3"/>
  <c r="AE427" i="3"/>
  <c r="V427" i="3"/>
  <c r="AE120" i="3"/>
  <c r="V120" i="3"/>
  <c r="AE391" i="3"/>
  <c r="V391" i="3"/>
  <c r="S495" i="3"/>
  <c r="V495" i="3"/>
  <c r="AE495" i="3"/>
  <c r="S375" i="3"/>
  <c r="AE375" i="3"/>
  <c r="V375" i="3"/>
  <c r="S234" i="3"/>
  <c r="AE234" i="3"/>
  <c r="V234" i="3"/>
  <c r="S169" i="3"/>
  <c r="V169" i="3"/>
  <c r="AE169" i="3"/>
  <c r="S91" i="3"/>
  <c r="AE91" i="3"/>
  <c r="V91" i="3"/>
  <c r="S145" i="3"/>
  <c r="V145" i="3"/>
  <c r="AE145" i="3"/>
  <c r="S293" i="3"/>
  <c r="AE293" i="3"/>
  <c r="V293" i="3"/>
  <c r="S486" i="3"/>
  <c r="AE486" i="3"/>
  <c r="V486" i="3"/>
  <c r="AE113" i="3"/>
  <c r="V113" i="3"/>
  <c r="AE304" i="3"/>
  <c r="V304" i="3"/>
  <c r="AE239" i="3"/>
  <c r="V239" i="3"/>
  <c r="AE394" i="3"/>
  <c r="V394" i="3"/>
  <c r="S106" i="3"/>
  <c r="V106" i="3"/>
  <c r="AE106" i="3"/>
  <c r="S273" i="3"/>
  <c r="AE273" i="3"/>
  <c r="V273" i="3"/>
  <c r="V473" i="3"/>
  <c r="AE473" i="3"/>
  <c r="S269" i="3"/>
  <c r="AE269" i="3"/>
  <c r="V269" i="3"/>
  <c r="AE270" i="3"/>
  <c r="V270" i="3"/>
  <c r="AE283" i="3"/>
  <c r="V283" i="3"/>
  <c r="S409" i="3"/>
  <c r="AE409" i="3"/>
  <c r="V409" i="3"/>
  <c r="S31" i="3"/>
  <c r="AE31" i="3"/>
  <c r="V31" i="3"/>
  <c r="S64" i="3"/>
  <c r="AE64" i="3"/>
  <c r="V64" i="3"/>
  <c r="V497" i="3"/>
  <c r="AE497" i="3"/>
  <c r="V233" i="3"/>
  <c r="AE233" i="3"/>
  <c r="AE171" i="3"/>
  <c r="V171" i="3"/>
  <c r="AE12" i="3"/>
  <c r="V12" i="3"/>
  <c r="V378" i="3"/>
  <c r="AE378" i="3"/>
  <c r="S464" i="3"/>
  <c r="AE464" i="3"/>
  <c r="V464" i="3"/>
  <c r="AE85" i="3"/>
  <c r="V85" i="3"/>
  <c r="S291" i="3"/>
  <c r="AE291" i="3"/>
  <c r="V291" i="3"/>
  <c r="S98" i="3"/>
  <c r="AE98" i="3"/>
  <c r="V98" i="3"/>
  <c r="AE289" i="3"/>
  <c r="V289" i="3"/>
  <c r="V371" i="3"/>
  <c r="AE371" i="3"/>
  <c r="V382" i="3"/>
  <c r="AE382" i="3"/>
  <c r="S94" i="3"/>
  <c r="V94" i="3"/>
  <c r="AE94" i="3"/>
  <c r="S261" i="3"/>
  <c r="AE261" i="3"/>
  <c r="V261" i="3"/>
  <c r="V141" i="3"/>
  <c r="AE141" i="3"/>
  <c r="S507" i="3"/>
  <c r="AE507" i="3"/>
  <c r="V507" i="3"/>
  <c r="AE267" i="3"/>
  <c r="V267" i="3"/>
  <c r="V303" i="3"/>
  <c r="AE303" i="3"/>
  <c r="S132" i="3"/>
  <c r="AE132" i="3"/>
  <c r="V132" i="3"/>
  <c r="V533" i="3"/>
  <c r="AE533" i="3"/>
  <c r="S448" i="3"/>
  <c r="AE448" i="3"/>
  <c r="V448" i="3"/>
  <c r="V213" i="3"/>
  <c r="AE213" i="3"/>
  <c r="V127" i="3"/>
  <c r="AE127" i="3"/>
  <c r="AE124" i="3"/>
  <c r="V124" i="3"/>
  <c r="AE360" i="3"/>
  <c r="V360" i="3"/>
  <c r="AE451" i="3"/>
  <c r="V451" i="3"/>
  <c r="V274" i="3"/>
  <c r="AE274" i="3"/>
  <c r="AE460" i="3"/>
  <c r="V460" i="3"/>
  <c r="S359" i="3"/>
  <c r="V359" i="3"/>
  <c r="AE359" i="3"/>
  <c r="V370" i="3"/>
  <c r="AE370" i="3"/>
  <c r="V82" i="3"/>
  <c r="AE82" i="3"/>
  <c r="AE104" i="3"/>
  <c r="V104" i="3"/>
  <c r="S457" i="3"/>
  <c r="AE457" i="3"/>
  <c r="V457" i="3"/>
  <c r="V441" i="3"/>
  <c r="AE441" i="3"/>
  <c r="S282" i="3"/>
  <c r="AE282" i="3"/>
  <c r="V282" i="3"/>
  <c r="AE364" i="3"/>
  <c r="V364" i="3"/>
  <c r="AE390" i="3"/>
  <c r="V390" i="3"/>
  <c r="AE411" i="3"/>
  <c r="V411" i="3"/>
  <c r="AE446" i="3"/>
  <c r="V446" i="3"/>
  <c r="V156" i="3"/>
  <c r="AE156" i="3"/>
  <c r="AE361" i="3"/>
  <c r="V361" i="3"/>
  <c r="AE348" i="3"/>
  <c r="V348" i="3"/>
  <c r="V79" i="3"/>
  <c r="AE79" i="3"/>
  <c r="AE245" i="3"/>
  <c r="V245" i="3"/>
  <c r="AE258" i="3"/>
  <c r="V258" i="3"/>
  <c r="V447" i="3"/>
  <c r="AE447" i="3"/>
  <c r="AE63" i="3"/>
  <c r="V63" i="3"/>
  <c r="AE59" i="3"/>
  <c r="V59" i="3"/>
  <c r="S214" i="3"/>
  <c r="V214" i="3"/>
  <c r="AE214" i="3"/>
  <c r="AE236" i="3"/>
  <c r="V236" i="3"/>
  <c r="AE13" i="3"/>
  <c r="V13" i="3"/>
  <c r="V101" i="3"/>
  <c r="AE101" i="3"/>
  <c r="V137" i="3"/>
  <c r="AE137" i="3"/>
  <c r="S88" i="3"/>
  <c r="AE88" i="3"/>
  <c r="V88" i="3"/>
  <c r="AE49" i="3"/>
  <c r="V49" i="3"/>
  <c r="AE425" i="3"/>
  <c r="V425" i="3"/>
  <c r="AE471" i="3"/>
  <c r="V471" i="3"/>
  <c r="AE339" i="3"/>
  <c r="V339" i="3"/>
  <c r="AE518" i="3"/>
  <c r="V518" i="3"/>
  <c r="V326" i="3"/>
  <c r="AE326" i="3"/>
  <c r="AE229" i="3"/>
  <c r="V229" i="3"/>
  <c r="S434" i="3"/>
  <c r="AE434" i="3"/>
  <c r="V434" i="3"/>
  <c r="AE243" i="3"/>
  <c r="V243" i="3"/>
  <c r="AE432" i="3"/>
  <c r="V432" i="3"/>
  <c r="AE335" i="3"/>
  <c r="V335" i="3"/>
  <c r="AE47" i="3"/>
  <c r="V47" i="3"/>
  <c r="S202" i="3"/>
  <c r="V202" i="3"/>
  <c r="AE202" i="3"/>
  <c r="V368" i="3"/>
  <c r="AE368" i="3"/>
  <c r="AE122" i="3"/>
  <c r="V122" i="3"/>
  <c r="AE331" i="3"/>
  <c r="V331" i="3"/>
  <c r="AE90" i="3"/>
  <c r="V90" i="3"/>
  <c r="AE547" i="3"/>
  <c r="V547" i="3"/>
  <c r="V324" i="3"/>
  <c r="AE324" i="3"/>
  <c r="AE516" i="3"/>
  <c r="V516" i="3"/>
  <c r="V265" i="3"/>
  <c r="AE265" i="3"/>
  <c r="V405" i="3"/>
  <c r="AE405" i="3"/>
  <c r="S413" i="3"/>
  <c r="AE413" i="3"/>
  <c r="V413" i="3"/>
  <c r="V316" i="3"/>
  <c r="AE316" i="3"/>
  <c r="AE487" i="3"/>
  <c r="V487" i="3"/>
  <c r="AE295" i="3"/>
  <c r="V295" i="3"/>
  <c r="V211" i="3"/>
  <c r="AE211" i="3"/>
  <c r="V417" i="3"/>
  <c r="AE417" i="3"/>
  <c r="AE33" i="3"/>
  <c r="V33" i="3"/>
  <c r="AE222" i="3"/>
  <c r="V222" i="3"/>
  <c r="AE179" i="3"/>
  <c r="V179" i="3"/>
  <c r="AE334" i="3"/>
  <c r="V334" i="3"/>
  <c r="AE212" i="3"/>
  <c r="V212" i="3"/>
  <c r="AE206" i="3"/>
  <c r="V206" i="3"/>
  <c r="AE121" i="3"/>
  <c r="V121" i="3"/>
  <c r="V439" i="3"/>
  <c r="AE439" i="3"/>
  <c r="AE218" i="3"/>
  <c r="V218" i="3"/>
  <c r="V302" i="3"/>
  <c r="AE302" i="3"/>
  <c r="AE410" i="3"/>
  <c r="V410" i="3"/>
  <c r="V219" i="3"/>
  <c r="AE219" i="3"/>
  <c r="AE125" i="3"/>
  <c r="V125" i="3"/>
  <c r="V514" i="3"/>
  <c r="AE514" i="3"/>
  <c r="AE40" i="3"/>
  <c r="V40" i="3"/>
  <c r="AE272" i="3"/>
  <c r="V272" i="3"/>
  <c r="V388" i="3"/>
  <c r="AE388" i="3"/>
  <c r="V401" i="3"/>
  <c r="AE401" i="3"/>
  <c r="V17" i="3"/>
  <c r="AE17" i="3"/>
  <c r="AE15" i="3"/>
  <c r="V15" i="3"/>
  <c r="AE167" i="3"/>
  <c r="V167" i="3"/>
  <c r="AE178" i="3"/>
  <c r="V178" i="3"/>
  <c r="AE344" i="3"/>
  <c r="V344" i="3"/>
  <c r="AE57" i="3"/>
  <c r="V57" i="3"/>
  <c r="AE77" i="3"/>
  <c r="V77" i="3"/>
  <c r="V333" i="3"/>
  <c r="AE333" i="3"/>
  <c r="V535" i="3"/>
  <c r="AE535" i="3"/>
  <c r="V197" i="3"/>
  <c r="AE197" i="3"/>
  <c r="V281" i="3"/>
  <c r="AE281" i="3"/>
  <c r="AE328" i="3"/>
  <c r="V328" i="3"/>
  <c r="V246" i="3"/>
  <c r="AE246" i="3"/>
  <c r="V108" i="3"/>
  <c r="AE108" i="3"/>
  <c r="AE105" i="3"/>
  <c r="V105" i="3"/>
  <c r="AE511" i="3"/>
  <c r="V511" i="3"/>
  <c r="AE18" i="3"/>
  <c r="V18" i="3"/>
  <c r="AE493" i="3"/>
  <c r="V493" i="3"/>
  <c r="V536" i="3"/>
  <c r="AE536" i="3"/>
  <c r="V181" i="3"/>
  <c r="AE181" i="3"/>
  <c r="AE386" i="3"/>
  <c r="V386" i="3"/>
  <c r="AE544" i="3"/>
  <c r="V544" i="3"/>
  <c r="AE192" i="3"/>
  <c r="V192" i="3"/>
  <c r="V300" i="3"/>
  <c r="AE300" i="3"/>
  <c r="AE11" i="3"/>
  <c r="V11" i="3"/>
  <c r="AE311" i="3"/>
  <c r="V311" i="3"/>
  <c r="V22" i="3"/>
  <c r="AE22" i="3"/>
  <c r="AE188" i="3"/>
  <c r="V188" i="3"/>
  <c r="AE185" i="3"/>
  <c r="V185" i="3"/>
  <c r="AE398" i="3"/>
  <c r="V398" i="3"/>
  <c r="AE314" i="3"/>
  <c r="V314" i="3"/>
  <c r="AE490" i="3"/>
  <c r="V490" i="3"/>
  <c r="AE540" i="3"/>
  <c r="V540" i="3"/>
  <c r="AE99" i="3"/>
  <c r="V99" i="3"/>
  <c r="AE73" i="3"/>
  <c r="V73" i="3"/>
  <c r="AE468" i="3"/>
  <c r="V468" i="3"/>
  <c r="V153" i="3"/>
  <c r="AE153" i="3"/>
  <c r="AE482" i="3"/>
  <c r="V482" i="3"/>
  <c r="AE235" i="3"/>
  <c r="V235" i="3"/>
  <c r="AE268" i="3"/>
  <c r="V268" i="3"/>
  <c r="AE244" i="3"/>
  <c r="V244" i="3"/>
  <c r="AE408" i="3"/>
  <c r="V408" i="3"/>
  <c r="V93" i="3"/>
  <c r="AE93" i="3"/>
  <c r="AE72" i="3"/>
  <c r="V72" i="3"/>
  <c r="V543" i="3"/>
  <c r="AE543" i="3"/>
  <c r="V317" i="3"/>
  <c r="AE317" i="3"/>
  <c r="AE62" i="3"/>
  <c r="V62" i="3"/>
  <c r="V117" i="3"/>
  <c r="AE117" i="3"/>
  <c r="AE385" i="3"/>
  <c r="V385" i="3"/>
  <c r="V479" i="3"/>
  <c r="AE479" i="3"/>
  <c r="AE232" i="3"/>
  <c r="V232" i="3"/>
  <c r="V247" i="3"/>
  <c r="AE247" i="3"/>
  <c r="AE266" i="3"/>
  <c r="V266" i="3"/>
  <c r="AE461" i="3"/>
  <c r="V461" i="3"/>
  <c r="AE208" i="3"/>
  <c r="V208" i="3"/>
  <c r="V512" i="3"/>
  <c r="AE512" i="3"/>
  <c r="AE340" i="3"/>
  <c r="V340" i="3"/>
  <c r="AE148" i="3"/>
  <c r="V148" i="3"/>
  <c r="AE522" i="3"/>
  <c r="V522" i="3"/>
  <c r="AE353" i="3"/>
  <c r="V353" i="3"/>
  <c r="AE161" i="3"/>
  <c r="V161" i="3"/>
  <c r="AE520" i="3"/>
  <c r="V520" i="3"/>
  <c r="V351" i="3"/>
  <c r="AE351" i="3"/>
  <c r="V159" i="3"/>
  <c r="AE159" i="3"/>
  <c r="V419" i="3"/>
  <c r="AE419" i="3"/>
  <c r="AE276" i="3"/>
  <c r="V276" i="3"/>
  <c r="AE131" i="3"/>
  <c r="V131" i="3"/>
  <c r="V430" i="3"/>
  <c r="AE430" i="3"/>
  <c r="V287" i="3"/>
  <c r="AE287" i="3"/>
  <c r="V142" i="3"/>
  <c r="AE142" i="3"/>
  <c r="AE452" i="3"/>
  <c r="V452" i="3"/>
  <c r="AE309" i="3"/>
  <c r="V309" i="3"/>
  <c r="AE164" i="3"/>
  <c r="V164" i="3"/>
  <c r="AE20" i="3"/>
  <c r="V20" i="3"/>
  <c r="S477" i="3"/>
  <c r="V477" i="3"/>
  <c r="AE477" i="3"/>
  <c r="S396" i="3"/>
  <c r="AE396" i="3"/>
  <c r="V396" i="3"/>
  <c r="S475" i="3"/>
  <c r="AE475" i="3"/>
  <c r="V475" i="3"/>
  <c r="S504" i="3"/>
  <c r="AE504" i="3"/>
  <c r="V504" i="3"/>
  <c r="S429" i="3"/>
  <c r="V429" i="3"/>
  <c r="AE429" i="3"/>
  <c r="AE450" i="3"/>
  <c r="V450" i="3"/>
  <c r="S160" i="3"/>
  <c r="V160" i="3"/>
  <c r="AE160" i="3"/>
  <c r="S257" i="3"/>
  <c r="AE257" i="3"/>
  <c r="V257" i="3"/>
  <c r="S513" i="3"/>
  <c r="AE513" i="3"/>
  <c r="V513" i="3"/>
  <c r="AE180" i="3"/>
  <c r="V180" i="3"/>
  <c r="S138" i="3"/>
  <c r="AE138" i="3"/>
  <c r="V138" i="3"/>
  <c r="S308" i="3"/>
  <c r="AE308" i="3"/>
  <c r="V308" i="3"/>
  <c r="AE321" i="3"/>
  <c r="V321" i="3"/>
  <c r="S126" i="3"/>
  <c r="AE126" i="3"/>
  <c r="V126" i="3"/>
  <c r="S107" i="3"/>
  <c r="AE107" i="3"/>
  <c r="V107" i="3"/>
  <c r="AE118" i="3"/>
  <c r="V118" i="3"/>
  <c r="S193" i="3"/>
  <c r="AE193" i="3"/>
  <c r="V193" i="3"/>
  <c r="AE111" i="3"/>
  <c r="V111" i="3"/>
  <c r="AE523" i="3"/>
  <c r="V523" i="3"/>
  <c r="V377" i="3"/>
  <c r="AE377" i="3"/>
  <c r="V350" i="3"/>
  <c r="AE350" i="3"/>
  <c r="AE240" i="3"/>
  <c r="V240" i="3"/>
  <c r="V69" i="3"/>
  <c r="AE69" i="3"/>
  <c r="S151" i="3"/>
  <c r="AE151" i="3"/>
  <c r="V151" i="3"/>
  <c r="S7" i="3"/>
  <c r="AE7" i="3"/>
  <c r="V7" i="3"/>
  <c r="S114" i="3"/>
  <c r="AE114" i="3"/>
  <c r="V114" i="3"/>
  <c r="S480" i="3"/>
  <c r="AE480" i="3"/>
  <c r="V480" i="3"/>
  <c r="AE313" i="3"/>
  <c r="V313" i="3"/>
  <c r="S433" i="3"/>
  <c r="AE433" i="3"/>
  <c r="V433" i="3"/>
  <c r="S402" i="3"/>
  <c r="V402" i="3"/>
  <c r="AE402" i="3"/>
  <c r="AE147" i="3"/>
  <c r="V147" i="3"/>
  <c r="AE28" i="3"/>
  <c r="V28" i="3"/>
  <c r="V123" i="3"/>
  <c r="AE123" i="3"/>
  <c r="AE278" i="3"/>
  <c r="V278" i="3"/>
  <c r="V474" i="3"/>
  <c r="AE474" i="3"/>
  <c r="AE472" i="3"/>
  <c r="V472" i="3"/>
  <c r="S96" i="3"/>
  <c r="V96" i="3"/>
  <c r="AE96" i="3"/>
  <c r="V83" i="3"/>
  <c r="AE83" i="3"/>
  <c r="S238" i="3"/>
  <c r="V238" i="3"/>
  <c r="AE238" i="3"/>
  <c r="V404" i="3"/>
  <c r="AE404" i="3"/>
  <c r="AE116" i="3"/>
  <c r="V116" i="3"/>
  <c r="V521" i="3"/>
  <c r="AE521" i="3"/>
  <c r="V45" i="3"/>
  <c r="AE45" i="3"/>
  <c r="AE290" i="3"/>
  <c r="V290" i="3"/>
  <c r="S223" i="3"/>
  <c r="AE223" i="3"/>
  <c r="V223" i="3"/>
  <c r="V502" i="3"/>
  <c r="AE502" i="3"/>
  <c r="V67" i="3"/>
  <c r="AE67" i="3"/>
  <c r="AE271" i="3"/>
  <c r="V271" i="3"/>
  <c r="V215" i="3"/>
  <c r="AE215" i="3"/>
  <c r="S392" i="3"/>
  <c r="AE392" i="3"/>
  <c r="V392" i="3"/>
  <c r="S376" i="3"/>
  <c r="AE376" i="3"/>
  <c r="V376" i="3"/>
  <c r="V198" i="3"/>
  <c r="AE198" i="3"/>
  <c r="AE310" i="3"/>
  <c r="V310" i="3"/>
  <c r="V189" i="3"/>
  <c r="AE189" i="3"/>
  <c r="V182" i="3"/>
  <c r="AE182" i="3"/>
  <c r="S449" i="3"/>
  <c r="AE449" i="3"/>
  <c r="V449" i="3"/>
  <c r="AE347" i="3"/>
  <c r="V347" i="3"/>
  <c r="S70" i="3"/>
  <c r="AE70" i="3"/>
  <c r="V70" i="3"/>
  <c r="V250" i="3"/>
  <c r="AE250" i="3"/>
  <c r="V262" i="3"/>
  <c r="AE262" i="3"/>
  <c r="V327" i="3"/>
  <c r="AE327" i="3"/>
  <c r="AE24" i="3"/>
  <c r="V24" i="3"/>
  <c r="AE421" i="3"/>
  <c r="V421" i="3"/>
  <c r="AE48" i="3"/>
  <c r="V48" i="3"/>
  <c r="AE224" i="3"/>
  <c r="V224" i="3"/>
  <c r="AE506" i="3"/>
  <c r="V506" i="3"/>
  <c r="AE470" i="3"/>
  <c r="V470" i="3"/>
  <c r="AE389" i="3"/>
  <c r="V389" i="3"/>
  <c r="AE403" i="3"/>
  <c r="V403" i="3"/>
  <c r="AE30" i="3"/>
  <c r="V30" i="3"/>
  <c r="AE46" i="3"/>
  <c r="V46" i="3"/>
  <c r="AE505" i="3"/>
  <c r="V505" i="3"/>
  <c r="AE27" i="3"/>
  <c r="V27" i="3"/>
  <c r="AE412" i="3"/>
  <c r="V412" i="3"/>
  <c r="V381" i="3"/>
  <c r="AE381" i="3"/>
  <c r="AE527" i="3"/>
  <c r="V527" i="3"/>
  <c r="AE509" i="3"/>
  <c r="V509" i="3"/>
  <c r="AE207" i="3"/>
  <c r="V207" i="3"/>
  <c r="AE322" i="3"/>
  <c r="V322" i="3"/>
  <c r="AE56" i="3"/>
  <c r="V56" i="3"/>
  <c r="AE466" i="3"/>
  <c r="V466" i="3"/>
  <c r="AE415" i="3"/>
  <c r="V415" i="3"/>
  <c r="AE162" i="3"/>
  <c r="V162" i="3"/>
  <c r="AE294" i="3"/>
  <c r="V294" i="3"/>
  <c r="AE165" i="3"/>
  <c r="V165" i="3"/>
  <c r="AE38" i="3"/>
  <c r="V38" i="3"/>
  <c r="V54" i="3"/>
  <c r="AE54" i="3"/>
  <c r="AE517" i="3"/>
  <c r="V517" i="3"/>
  <c r="V453" i="3"/>
  <c r="AE453" i="3"/>
  <c r="AE134" i="3"/>
  <c r="V134" i="3"/>
  <c r="AE467" i="3"/>
  <c r="V467" i="3"/>
  <c r="AE217" i="3"/>
  <c r="V217" i="3"/>
  <c r="AE204" i="3"/>
  <c r="V204" i="3"/>
  <c r="V199" i="3"/>
  <c r="AE199" i="3"/>
  <c r="V319" i="3"/>
  <c r="AE319" i="3"/>
  <c r="V53" i="3"/>
  <c r="AE53" i="3"/>
  <c r="AE528" i="3"/>
  <c r="V528" i="3"/>
  <c r="AE298" i="3"/>
  <c r="V298" i="3"/>
  <c r="AE41" i="3"/>
  <c r="V41" i="3"/>
  <c r="V455" i="3"/>
  <c r="AE455" i="3"/>
  <c r="V342" i="3"/>
  <c r="AE342" i="3"/>
  <c r="V463" i="3"/>
  <c r="AE463" i="3"/>
  <c r="AE210" i="3"/>
  <c r="V210" i="3"/>
  <c r="AE183" i="3"/>
  <c r="V183" i="3"/>
  <c r="V220" i="3"/>
  <c r="AE220" i="3"/>
  <c r="AE444" i="3"/>
  <c r="V444" i="3"/>
  <c r="AE186" i="3"/>
  <c r="V186" i="3"/>
  <c r="V500" i="3"/>
  <c r="AE500" i="3"/>
  <c r="AE325" i="3"/>
  <c r="V325" i="3"/>
  <c r="AE133" i="3"/>
  <c r="V133" i="3"/>
  <c r="AE510" i="3"/>
  <c r="V510" i="3"/>
  <c r="V338" i="3"/>
  <c r="AE338" i="3"/>
  <c r="AE146" i="3"/>
  <c r="V146" i="3"/>
  <c r="AE508" i="3"/>
  <c r="V508" i="3"/>
  <c r="AE336" i="3"/>
  <c r="V336" i="3"/>
  <c r="AE144" i="3"/>
  <c r="V144" i="3"/>
  <c r="AE407" i="3"/>
  <c r="V407" i="3"/>
  <c r="V264" i="3"/>
  <c r="AE264" i="3"/>
  <c r="AE119" i="3"/>
  <c r="V119" i="3"/>
  <c r="V418" i="3"/>
  <c r="AE418" i="3"/>
  <c r="V275" i="3"/>
  <c r="AE275" i="3"/>
  <c r="V130" i="3"/>
  <c r="AE130" i="3"/>
  <c r="V440" i="3"/>
  <c r="AE440" i="3"/>
  <c r="AE297" i="3"/>
  <c r="V297" i="3"/>
  <c r="AE152" i="3"/>
  <c r="V152" i="3"/>
  <c r="AE8" i="3"/>
  <c r="V8" i="3"/>
  <c r="AB111" i="3"/>
  <c r="Y111" i="3"/>
  <c r="AB412" i="3"/>
  <c r="Y412" i="3"/>
  <c r="AB354" i="3"/>
  <c r="Y354" i="3"/>
  <c r="Y13" i="3"/>
  <c r="AB13" i="3"/>
  <c r="AB63" i="3"/>
  <c r="Y63" i="3"/>
  <c r="AB455" i="3"/>
  <c r="Y455" i="3"/>
  <c r="AB237" i="3"/>
  <c r="Y237" i="3"/>
  <c r="AB524" i="3"/>
  <c r="Y524" i="3"/>
  <c r="Y319" i="3"/>
  <c r="AB319" i="3"/>
  <c r="AB240" i="3"/>
  <c r="Y240" i="3"/>
  <c r="AB437" i="3"/>
  <c r="Y437" i="3"/>
  <c r="AB258" i="3"/>
  <c r="Y258" i="3"/>
  <c r="AB200" i="3"/>
  <c r="Y200" i="3"/>
  <c r="Y37" i="3"/>
  <c r="AB37" i="3"/>
  <c r="AB81" i="3"/>
  <c r="Y81" i="3"/>
  <c r="AB514" i="3"/>
  <c r="Y514" i="3"/>
  <c r="AB441" i="3"/>
  <c r="Y441" i="3"/>
  <c r="AB59" i="3"/>
  <c r="Y59" i="3"/>
  <c r="AB210" i="3"/>
  <c r="Y210" i="3"/>
  <c r="AB458" i="3"/>
  <c r="Y458" i="3"/>
  <c r="AB82" i="3"/>
  <c r="Y82" i="3"/>
  <c r="AB166" i="3"/>
  <c r="Y166" i="3"/>
  <c r="AB306" i="3"/>
  <c r="Y306" i="3"/>
  <c r="AB288" i="3"/>
  <c r="Y288" i="3"/>
  <c r="AB47" i="3"/>
  <c r="Y47" i="3"/>
  <c r="AB356" i="3"/>
  <c r="Y356" i="3"/>
  <c r="AB54" i="3"/>
  <c r="Y54" i="3"/>
  <c r="AB254" i="3"/>
  <c r="Y254" i="3"/>
  <c r="Y497" i="3"/>
  <c r="AB497" i="3"/>
  <c r="AB121" i="3"/>
  <c r="Y121" i="3"/>
  <c r="AB516" i="3"/>
  <c r="Y516" i="3"/>
  <c r="AB10" i="3"/>
  <c r="Y10" i="3"/>
  <c r="AB276" i="3"/>
  <c r="Y276" i="3"/>
  <c r="AB33" i="3"/>
  <c r="Y33" i="3"/>
  <c r="AB344" i="3"/>
  <c r="Y344" i="3"/>
  <c r="AB129" i="3"/>
  <c r="Y129" i="3"/>
  <c r="AB545" i="3"/>
  <c r="Y545" i="3"/>
  <c r="AB504" i="3"/>
  <c r="Y504" i="3"/>
  <c r="AB423" i="3"/>
  <c r="Y423" i="3"/>
  <c r="AB448" i="3"/>
  <c r="Y448" i="3"/>
  <c r="AB245" i="3"/>
  <c r="Y245" i="3"/>
  <c r="AB282" i="3"/>
  <c r="Y282" i="3"/>
  <c r="AB478" i="3"/>
  <c r="Y478" i="3"/>
  <c r="AB262" i="3"/>
  <c r="Y262" i="3"/>
  <c r="AB415" i="3"/>
  <c r="Y415" i="3"/>
  <c r="AB174" i="3"/>
  <c r="Y174" i="3"/>
  <c r="AB522" i="3"/>
  <c r="Y522" i="3"/>
  <c r="AB281" i="3"/>
  <c r="Y281" i="3"/>
  <c r="AB302" i="3"/>
  <c r="Y302" i="3"/>
  <c r="AB422" i="3"/>
  <c r="Y422" i="3"/>
  <c r="AB226" i="3"/>
  <c r="Y226" i="3"/>
  <c r="AB265" i="3"/>
  <c r="Y265" i="3"/>
  <c r="AB466" i="3"/>
  <c r="Y466" i="3"/>
  <c r="AB393" i="3"/>
  <c r="Y393" i="3"/>
  <c r="AB320" i="3"/>
  <c r="Y320" i="3"/>
  <c r="Y403" i="3"/>
  <c r="AB403" i="3"/>
  <c r="AB18" i="3"/>
  <c r="Y18" i="3"/>
  <c r="AB23" i="3"/>
  <c r="Y23" i="3"/>
  <c r="AB215" i="3"/>
  <c r="Y215" i="3"/>
  <c r="AB128" i="3"/>
  <c r="Y128" i="3"/>
  <c r="AB438" i="3"/>
  <c r="Y438" i="3"/>
  <c r="AB387" i="3"/>
  <c r="Y387" i="3"/>
  <c r="AB180" i="3"/>
  <c r="Y180" i="3"/>
  <c r="AB352" i="3"/>
  <c r="Y352" i="3"/>
  <c r="AB228" i="3"/>
  <c r="Y228" i="3"/>
  <c r="AB459" i="3"/>
  <c r="Y459" i="3"/>
  <c r="AB540" i="3"/>
  <c r="Y540" i="3"/>
  <c r="AB204" i="3"/>
  <c r="Y204" i="3"/>
  <c r="Y255" i="3"/>
  <c r="AB255" i="3"/>
  <c r="AB450" i="3"/>
  <c r="Y450" i="3"/>
  <c r="AB202" i="3"/>
  <c r="Y202" i="3"/>
  <c r="AB471" i="3"/>
  <c r="Y471" i="3"/>
  <c r="AB219" i="3"/>
  <c r="Y219" i="3"/>
  <c r="AB486" i="3"/>
  <c r="Y486" i="3"/>
  <c r="AB242" i="3"/>
  <c r="Y242" i="3"/>
  <c r="AB527" i="3"/>
  <c r="Y527" i="3"/>
  <c r="AB383" i="3"/>
  <c r="Y383" i="3"/>
  <c r="AB238" i="3"/>
  <c r="Y238" i="3"/>
  <c r="AB76" i="3"/>
  <c r="Y76" i="3"/>
  <c r="AB454" i="3"/>
  <c r="Y454" i="3"/>
  <c r="AB311" i="3"/>
  <c r="Y311" i="3"/>
  <c r="AB158" i="3"/>
  <c r="Y158" i="3"/>
  <c r="AB525" i="3"/>
  <c r="Y525" i="3"/>
  <c r="AB381" i="3"/>
  <c r="Y381" i="3"/>
  <c r="AB236" i="3"/>
  <c r="Y236" i="3"/>
  <c r="AB74" i="3"/>
  <c r="Y74" i="3"/>
  <c r="Y452" i="3"/>
  <c r="AB452" i="3"/>
  <c r="AB309" i="3"/>
  <c r="Y309" i="3"/>
  <c r="AB156" i="3"/>
  <c r="Y156" i="3"/>
  <c r="AB535" i="3"/>
  <c r="Y535" i="3"/>
  <c r="AB391" i="3"/>
  <c r="Y391" i="3"/>
  <c r="AB248" i="3"/>
  <c r="Y248" i="3"/>
  <c r="AB86" i="3"/>
  <c r="Y86" i="3"/>
  <c r="AB150" i="3"/>
  <c r="Y150" i="3"/>
  <c r="AB435" i="3"/>
  <c r="Y435" i="3"/>
  <c r="Y163" i="3"/>
  <c r="AB163" i="3"/>
  <c r="Y374" i="3"/>
  <c r="AB374" i="3"/>
  <c r="AB328" i="3"/>
  <c r="Y328" i="3"/>
  <c r="AB107" i="3"/>
  <c r="Y107" i="3"/>
  <c r="AB382" i="3"/>
  <c r="Y382" i="3"/>
  <c r="AB157" i="3"/>
  <c r="Y157" i="3"/>
  <c r="AB463" i="3"/>
  <c r="Y463" i="3"/>
  <c r="AB116" i="3"/>
  <c r="Y116" i="3"/>
  <c r="Y147" i="3"/>
  <c r="AB147" i="3"/>
  <c r="AB39" i="3"/>
  <c r="Y39" i="3"/>
  <c r="AB531" i="3"/>
  <c r="Y531" i="3"/>
  <c r="AB327" i="3"/>
  <c r="Y327" i="3"/>
  <c r="AB146" i="3"/>
  <c r="Y146" i="3"/>
  <c r="AB144" i="3"/>
  <c r="Y144" i="3"/>
  <c r="AB155" i="3"/>
  <c r="Y155" i="3"/>
  <c r="AB269" i="3"/>
  <c r="Y269" i="3"/>
  <c r="AB140" i="3"/>
  <c r="Y140" i="3"/>
  <c r="AB362" i="3"/>
  <c r="Y362" i="3"/>
  <c r="AB36" i="3"/>
  <c r="Y36" i="3"/>
  <c r="AB133" i="3"/>
  <c r="Y133" i="3"/>
  <c r="AB429" i="3"/>
  <c r="Y429" i="3"/>
  <c r="AB500" i="3"/>
  <c r="Y500" i="3"/>
  <c r="AB296" i="3"/>
  <c r="Y296" i="3"/>
  <c r="AB232" i="3"/>
  <c r="Y232" i="3"/>
  <c r="AB95" i="3"/>
  <c r="Y95" i="3"/>
  <c r="AB446" i="3"/>
  <c r="Y446" i="3"/>
  <c r="AB139" i="3"/>
  <c r="Y139" i="3"/>
  <c r="AB289" i="3"/>
  <c r="Y289" i="3"/>
  <c r="AB419" i="3"/>
  <c r="Y419" i="3"/>
  <c r="AB346" i="3"/>
  <c r="Y346" i="3"/>
  <c r="AB118" i="3"/>
  <c r="Y118" i="3"/>
  <c r="AB427" i="3"/>
  <c r="Y427" i="3"/>
  <c r="AB186" i="3"/>
  <c r="Y186" i="3"/>
  <c r="AB149" i="3"/>
  <c r="Y149" i="3"/>
  <c r="AB462" i="3"/>
  <c r="Y462" i="3"/>
  <c r="AB259" i="3"/>
  <c r="Y259" i="3"/>
  <c r="Y7" i="3"/>
  <c r="AB7" i="3"/>
  <c r="AB15" i="3"/>
  <c r="Y15" i="3"/>
  <c r="AB266" i="3"/>
  <c r="Y266" i="3"/>
  <c r="Y252" i="3"/>
  <c r="AB252" i="3"/>
  <c r="AB152" i="3"/>
  <c r="Y152" i="3"/>
  <c r="AB40" i="3"/>
  <c r="Y40" i="3"/>
  <c r="AB113" i="3"/>
  <c r="Y113" i="3"/>
  <c r="AB414" i="3"/>
  <c r="Y414" i="3"/>
  <c r="AB456" i="3"/>
  <c r="Y456" i="3"/>
  <c r="AB544" i="3"/>
  <c r="Y544" i="3"/>
  <c r="AB94" i="3"/>
  <c r="Y94" i="3"/>
  <c r="AB167" i="3"/>
  <c r="Y167" i="3"/>
  <c r="Y373" i="3"/>
  <c r="AB373" i="3"/>
  <c r="AB444" i="3"/>
  <c r="Y444" i="3"/>
  <c r="AB318" i="3"/>
  <c r="Y318" i="3"/>
  <c r="Y353" i="3"/>
  <c r="AB353" i="3"/>
  <c r="Y474" i="3"/>
  <c r="AB474" i="3"/>
  <c r="AB326" i="3"/>
  <c r="Y326" i="3"/>
  <c r="AB148" i="3"/>
  <c r="Y148" i="3"/>
  <c r="AB421" i="3"/>
  <c r="Y421" i="3"/>
  <c r="AB507" i="3"/>
  <c r="Y507" i="3"/>
  <c r="AB173" i="3"/>
  <c r="Y173" i="3"/>
  <c r="AB365" i="3"/>
  <c r="Y365" i="3"/>
  <c r="AB9" i="3"/>
  <c r="Y9" i="3"/>
  <c r="AB227" i="3"/>
  <c r="Y227" i="3"/>
  <c r="AB433" i="3"/>
  <c r="Y433" i="3"/>
  <c r="AB178" i="3"/>
  <c r="Y178" i="3"/>
  <c r="AB449" i="3"/>
  <c r="Y449" i="3"/>
  <c r="AB201" i="3"/>
  <c r="Y201" i="3"/>
  <c r="Y469" i="3"/>
  <c r="AB469" i="3"/>
  <c r="AB217" i="3"/>
  <c r="Y217" i="3"/>
  <c r="AB515" i="3"/>
  <c r="Y515" i="3"/>
  <c r="AB371" i="3"/>
  <c r="Y371" i="3"/>
  <c r="AB225" i="3"/>
  <c r="Y225" i="3"/>
  <c r="AB62" i="3"/>
  <c r="Y62" i="3"/>
  <c r="AB442" i="3"/>
  <c r="Y442" i="3"/>
  <c r="AB299" i="3"/>
  <c r="Y299" i="3"/>
  <c r="Y145" i="3"/>
  <c r="AB145" i="3"/>
  <c r="AB513" i="3"/>
  <c r="Y513" i="3"/>
  <c r="AB369" i="3"/>
  <c r="Y369" i="3"/>
  <c r="Y223" i="3"/>
  <c r="AB223" i="3"/>
  <c r="AB60" i="3"/>
  <c r="Y60" i="3"/>
  <c r="AB440" i="3"/>
  <c r="Y440" i="3"/>
  <c r="AB297" i="3"/>
  <c r="Y297" i="3"/>
  <c r="Y143" i="3"/>
  <c r="AB143" i="3"/>
  <c r="AB523" i="3"/>
  <c r="Y523" i="3"/>
  <c r="AB379" i="3"/>
  <c r="Y379" i="3"/>
  <c r="AB233" i="3"/>
  <c r="Y233" i="3"/>
  <c r="AB72" i="3"/>
  <c r="Y72" i="3"/>
  <c r="AB32" i="3"/>
  <c r="Y32" i="3"/>
  <c r="AB138" i="3"/>
  <c r="Y138" i="3"/>
  <c r="AB361" i="3"/>
  <c r="Y361" i="3"/>
  <c r="AB85" i="3"/>
  <c r="Y85" i="3"/>
  <c r="AB239" i="3"/>
  <c r="Y239" i="3"/>
  <c r="AB69" i="3"/>
  <c r="Y69" i="3"/>
  <c r="AB364" i="3"/>
  <c r="Y364" i="3"/>
  <c r="AB159" i="3"/>
  <c r="Y159" i="3"/>
  <c r="AB75" i="3"/>
  <c r="Y75" i="3"/>
  <c r="AB380" i="3"/>
  <c r="Y380" i="3"/>
  <c r="Y78" i="3"/>
  <c r="AB78" i="3"/>
  <c r="AB492" i="3"/>
  <c r="Y492" i="3"/>
  <c r="AB338" i="3"/>
  <c r="Y338" i="3"/>
  <c r="Y534" i="3"/>
  <c r="AB534" i="3"/>
  <c r="AB341" i="3"/>
  <c r="Y341" i="3"/>
  <c r="AB307" i="3"/>
  <c r="Y307" i="3"/>
  <c r="AB443" i="3"/>
  <c r="Y443" i="3"/>
  <c r="AB61" i="3"/>
  <c r="Y61" i="3"/>
  <c r="AB368" i="3"/>
  <c r="Y368" i="3"/>
  <c r="AB308" i="3"/>
  <c r="Y308" i="3"/>
  <c r="AB293" i="3"/>
  <c r="Y293" i="3"/>
  <c r="AB179" i="3"/>
  <c r="Y179" i="3"/>
  <c r="Y496" i="3"/>
  <c r="AB496" i="3"/>
  <c r="AB160" i="3"/>
  <c r="Y160" i="3"/>
  <c r="AB533" i="3"/>
  <c r="Y533" i="3"/>
  <c r="AB325" i="3"/>
  <c r="Y325" i="3"/>
  <c r="AB502" i="3"/>
  <c r="Y502" i="3"/>
  <c r="AB286" i="3"/>
  <c r="Y286" i="3"/>
  <c r="AB45" i="3"/>
  <c r="Y45" i="3"/>
  <c r="AB142" i="3"/>
  <c r="Y142" i="3"/>
  <c r="AB324" i="3"/>
  <c r="Y324" i="3"/>
  <c r="AB35" i="3"/>
  <c r="Y35" i="3"/>
  <c r="AB292" i="3"/>
  <c r="Y292" i="3"/>
  <c r="AB268" i="3"/>
  <c r="Y268" i="3"/>
  <c r="AB27" i="3"/>
  <c r="Y27" i="3"/>
  <c r="AB197" i="3"/>
  <c r="Y197" i="3"/>
  <c r="AB488" i="3"/>
  <c r="Y488" i="3"/>
  <c r="AB284" i="3"/>
  <c r="Y284" i="3"/>
  <c r="AB485" i="3"/>
  <c r="Y485" i="3"/>
  <c r="AB64" i="3"/>
  <c r="Y64" i="3"/>
  <c r="AB99" i="3"/>
  <c r="Y99" i="3"/>
  <c r="AB70" i="3"/>
  <c r="Y70" i="3"/>
  <c r="AB494" i="3"/>
  <c r="Y494" i="3"/>
  <c r="AB267" i="3"/>
  <c r="Y267" i="3"/>
  <c r="AB264" i="3"/>
  <c r="Y264" i="3"/>
  <c r="AB334" i="3"/>
  <c r="Y334" i="3"/>
  <c r="AB405" i="3"/>
  <c r="Y405" i="3"/>
  <c r="AB332" i="3"/>
  <c r="Y332" i="3"/>
  <c r="AB68" i="3"/>
  <c r="Y68" i="3"/>
  <c r="AB363" i="3"/>
  <c r="Y363" i="3"/>
  <c r="AB434" i="3"/>
  <c r="Y434" i="3"/>
  <c r="Y495" i="3"/>
  <c r="AB495" i="3"/>
  <c r="AB71" i="3"/>
  <c r="Y71" i="3"/>
  <c r="AB493" i="3"/>
  <c r="Y493" i="3"/>
  <c r="AB539" i="3"/>
  <c r="Y539" i="3"/>
  <c r="AB322" i="3"/>
  <c r="Y322" i="3"/>
  <c r="AB250" i="3"/>
  <c r="Y250" i="3"/>
  <c r="AB547" i="3"/>
  <c r="Y547" i="3"/>
  <c r="AB162" i="3"/>
  <c r="Y162" i="3"/>
  <c r="Y305" i="3"/>
  <c r="AB305" i="3"/>
  <c r="AB397" i="3"/>
  <c r="Y397" i="3"/>
  <c r="AB521" i="3"/>
  <c r="Y521" i="3"/>
  <c r="AB413" i="3"/>
  <c r="Y413" i="3"/>
  <c r="AB230" i="3"/>
  <c r="Y230" i="3"/>
  <c r="AB509" i="3"/>
  <c r="Y509" i="3"/>
  <c r="AB50" i="3"/>
  <c r="Y50" i="3"/>
  <c r="AB125" i="3"/>
  <c r="Y125" i="3"/>
  <c r="AB295" i="3"/>
  <c r="Y295" i="3"/>
  <c r="Y375" i="3"/>
  <c r="AB375" i="3"/>
  <c r="AB246" i="3"/>
  <c r="Y246" i="3"/>
  <c r="AB317" i="3"/>
  <c r="Y317" i="3"/>
  <c r="AB401" i="3"/>
  <c r="Y401" i="3"/>
  <c r="AB278" i="3"/>
  <c r="Y278" i="3"/>
  <c r="AB22" i="3"/>
  <c r="Y22" i="3"/>
  <c r="AB384" i="3"/>
  <c r="Y384" i="3"/>
  <c r="AB482" i="3"/>
  <c r="Y482" i="3"/>
  <c r="AB141" i="3"/>
  <c r="Y141" i="3"/>
  <c r="AB339" i="3"/>
  <c r="Y339" i="3"/>
  <c r="AB528" i="3"/>
  <c r="Y528" i="3"/>
  <c r="AB191" i="3"/>
  <c r="Y191" i="3"/>
  <c r="AB411" i="3"/>
  <c r="Y411" i="3"/>
  <c r="AB154" i="3"/>
  <c r="Y154" i="3"/>
  <c r="AB432" i="3"/>
  <c r="Y432" i="3"/>
  <c r="AB177" i="3"/>
  <c r="Y177" i="3"/>
  <c r="AB447" i="3"/>
  <c r="Y447" i="3"/>
  <c r="AB193" i="3"/>
  <c r="Y193" i="3"/>
  <c r="AB503" i="3"/>
  <c r="Y503" i="3"/>
  <c r="AB359" i="3"/>
  <c r="Y359" i="3"/>
  <c r="AB212" i="3"/>
  <c r="Y212" i="3"/>
  <c r="AB48" i="3"/>
  <c r="Y48" i="3"/>
  <c r="AB430" i="3"/>
  <c r="Y430" i="3"/>
  <c r="AB287" i="3"/>
  <c r="Y287" i="3"/>
  <c r="AB132" i="3"/>
  <c r="Y132" i="3"/>
  <c r="AB501" i="3"/>
  <c r="Y501" i="3"/>
  <c r="AB357" i="3"/>
  <c r="Y357" i="3"/>
  <c r="AB209" i="3"/>
  <c r="Y209" i="3"/>
  <c r="AB46" i="3"/>
  <c r="Y46" i="3"/>
  <c r="AB428" i="3"/>
  <c r="Y428" i="3"/>
  <c r="AB285" i="3"/>
  <c r="Y285" i="3"/>
  <c r="AB130" i="3"/>
  <c r="Y130" i="3"/>
  <c r="AB511" i="3"/>
  <c r="Y511" i="3"/>
  <c r="AB367" i="3"/>
  <c r="Y367" i="3"/>
  <c r="AB220" i="3"/>
  <c r="Y220" i="3"/>
  <c r="AB58" i="3"/>
  <c r="Y58" i="3"/>
  <c r="AB20" i="3"/>
  <c r="Y20" i="3"/>
  <c r="AB126" i="3"/>
  <c r="Y126" i="3"/>
  <c r="AB253" i="3"/>
  <c r="Y253" i="3"/>
  <c r="AB396" i="3"/>
  <c r="Y396" i="3"/>
  <c r="Y303" i="3"/>
  <c r="AB303" i="3"/>
  <c r="AB378" i="3"/>
  <c r="Y378" i="3"/>
  <c r="AB483" i="3"/>
  <c r="Y483" i="3"/>
  <c r="Y470" i="3"/>
  <c r="AB470" i="3"/>
  <c r="AB543" i="3"/>
  <c r="Y543" i="3"/>
  <c r="AB93" i="3"/>
  <c r="Y93" i="3"/>
  <c r="AB216" i="3"/>
  <c r="Y216" i="3"/>
  <c r="AB301" i="3"/>
  <c r="Y301" i="3"/>
  <c r="AB206" i="3"/>
  <c r="Y206" i="3"/>
  <c r="AB279" i="3"/>
  <c r="Y279" i="3"/>
  <c r="AB294" i="3"/>
  <c r="Y294" i="3"/>
  <c r="AB241" i="3"/>
  <c r="Y241" i="3"/>
  <c r="AB519" i="3"/>
  <c r="Y519" i="3"/>
  <c r="AB351" i="3"/>
  <c r="Y351" i="3"/>
  <c r="AB457" i="3"/>
  <c r="Y457" i="3"/>
  <c r="AB112" i="3"/>
  <c r="Y112" i="3"/>
  <c r="AB315" i="3"/>
  <c r="Y315" i="3"/>
  <c r="Y498" i="3"/>
  <c r="AB498" i="3"/>
  <c r="Y164" i="3"/>
  <c r="AB164" i="3"/>
  <c r="AB389" i="3"/>
  <c r="Y389" i="3"/>
  <c r="AB135" i="3"/>
  <c r="Y135" i="3"/>
  <c r="AB410" i="3"/>
  <c r="Y410" i="3"/>
  <c r="AB153" i="3"/>
  <c r="Y153" i="3"/>
  <c r="Y425" i="3"/>
  <c r="AB425" i="3"/>
  <c r="AB175" i="3"/>
  <c r="Y175" i="3"/>
  <c r="AB491" i="3"/>
  <c r="Y491" i="3"/>
  <c r="AB347" i="3"/>
  <c r="Y347" i="3"/>
  <c r="AB199" i="3"/>
  <c r="Y199" i="3"/>
  <c r="AB34" i="3"/>
  <c r="Y34" i="3"/>
  <c r="AB418" i="3"/>
  <c r="Y418" i="3"/>
  <c r="AB275" i="3"/>
  <c r="Y275" i="3"/>
  <c r="AB119" i="3"/>
  <c r="Y119" i="3"/>
  <c r="AB489" i="3"/>
  <c r="Y489" i="3"/>
  <c r="AB345" i="3"/>
  <c r="Y345" i="3"/>
  <c r="AB196" i="3"/>
  <c r="Y196" i="3"/>
  <c r="AB31" i="3"/>
  <c r="Y31" i="3"/>
  <c r="AB416" i="3"/>
  <c r="Y416" i="3"/>
  <c r="AB273" i="3"/>
  <c r="Y273" i="3"/>
  <c r="AB117" i="3"/>
  <c r="Y117" i="3"/>
  <c r="AB499" i="3"/>
  <c r="Y499" i="3"/>
  <c r="AB355" i="3"/>
  <c r="Y355" i="3"/>
  <c r="AB207" i="3"/>
  <c r="Y207" i="3"/>
  <c r="AB43" i="3"/>
  <c r="Y43" i="3"/>
  <c r="Y8" i="3"/>
  <c r="AB8" i="3"/>
  <c r="AB114" i="3"/>
  <c r="Y114" i="3"/>
  <c r="AB218" i="3"/>
  <c r="Y218" i="3"/>
  <c r="AB21" i="3"/>
  <c r="Y21" i="3"/>
  <c r="AB330" i="3"/>
  <c r="Y330" i="3"/>
  <c r="AB420" i="3"/>
  <c r="Y420" i="3"/>
  <c r="AB83" i="3"/>
  <c r="Y83" i="3"/>
  <c r="AB526" i="3"/>
  <c r="Y526" i="3"/>
  <c r="AB453" i="3"/>
  <c r="Y453" i="3"/>
  <c r="AB73" i="3"/>
  <c r="Y73" i="3"/>
  <c r="AB222" i="3"/>
  <c r="Y222" i="3"/>
  <c r="AB398" i="3"/>
  <c r="Y398" i="3"/>
  <c r="AB123" i="3"/>
  <c r="Y123" i="3"/>
  <c r="AB192" i="3"/>
  <c r="Y192" i="3"/>
  <c r="Y38" i="3"/>
  <c r="AB38" i="3"/>
  <c r="AB342" i="3"/>
  <c r="Y342" i="3"/>
  <c r="Y224" i="3"/>
  <c r="AB224" i="3"/>
  <c r="Y512" i="3"/>
  <c r="AB512" i="3"/>
  <c r="AB451" i="3"/>
  <c r="Y451" i="3"/>
  <c r="AB66" i="3"/>
  <c r="Y66" i="3"/>
  <c r="AB55" i="3"/>
  <c r="Y55" i="3"/>
  <c r="AB360" i="3"/>
  <c r="Y360" i="3"/>
  <c r="Y256" i="3"/>
  <c r="AB256" i="3"/>
  <c r="AB26" i="3"/>
  <c r="Y26" i="3"/>
  <c r="AB316" i="3"/>
  <c r="Y316" i="3"/>
  <c r="AB290" i="3"/>
  <c r="Y290" i="3"/>
  <c r="AB53" i="3"/>
  <c r="Y53" i="3"/>
  <c r="AB358" i="3"/>
  <c r="Y358" i="3"/>
  <c r="AB131" i="3"/>
  <c r="Y131" i="3"/>
  <c r="AB439" i="3"/>
  <c r="Y439" i="3"/>
  <c r="AB92" i="3"/>
  <c r="Y92" i="3"/>
  <c r="AB24" i="3"/>
  <c r="Y24" i="3"/>
  <c r="AB188" i="3"/>
  <c r="Y188" i="3"/>
  <c r="AB460" i="3"/>
  <c r="Y460" i="3"/>
  <c r="AB480" i="3"/>
  <c r="Y480" i="3"/>
  <c r="AB532" i="3"/>
  <c r="Y532" i="3"/>
  <c r="AB120" i="3"/>
  <c r="Y120" i="3"/>
  <c r="AB417" i="3"/>
  <c r="Y417" i="3"/>
  <c r="AB29" i="3"/>
  <c r="Y29" i="3"/>
  <c r="Y42" i="3"/>
  <c r="AB42" i="3"/>
  <c r="AB214" i="3"/>
  <c r="Y214" i="3"/>
  <c r="AB461" i="3"/>
  <c r="Y461" i="3"/>
  <c r="AB529" i="3"/>
  <c r="Y529" i="3"/>
  <c r="AB313" i="3"/>
  <c r="Y313" i="3"/>
  <c r="AB530" i="3"/>
  <c r="Y530" i="3"/>
  <c r="AB106" i="3"/>
  <c r="Y106" i="3"/>
  <c r="AB17" i="3"/>
  <c r="Y17" i="3"/>
  <c r="AB103" i="3"/>
  <c r="Y103" i="3"/>
  <c r="AB182" i="3"/>
  <c r="Y182" i="3"/>
  <c r="AB115" i="3"/>
  <c r="Y115" i="3"/>
  <c r="AB189" i="3"/>
  <c r="Y189" i="3"/>
  <c r="AB176" i="3"/>
  <c r="Y176" i="3"/>
  <c r="AB426" i="3"/>
  <c r="Y426" i="3"/>
  <c r="AB25" i="3"/>
  <c r="Y25" i="3"/>
  <c r="AB280" i="3"/>
  <c r="Y280" i="3"/>
  <c r="AB244" i="3"/>
  <c r="Y244" i="3"/>
  <c r="AB395" i="3"/>
  <c r="Y395" i="3"/>
  <c r="AB171" i="3"/>
  <c r="Y171" i="3"/>
  <c r="AB88" i="3"/>
  <c r="Y88" i="3"/>
  <c r="AB169" i="3"/>
  <c r="Y169" i="3"/>
  <c r="AB100" i="3"/>
  <c r="Y100" i="3"/>
  <c r="AB520" i="3"/>
  <c r="Y520" i="3"/>
  <c r="AB65" i="3"/>
  <c r="Y65" i="3"/>
  <c r="AB377" i="3"/>
  <c r="Y377" i="3"/>
  <c r="AB409" i="3"/>
  <c r="Y409" i="3"/>
  <c r="AB436" i="3"/>
  <c r="Y436" i="3"/>
  <c r="AB506" i="3"/>
  <c r="Y506" i="3"/>
  <c r="AB41" i="3"/>
  <c r="Y41" i="3"/>
  <c r="AB96" i="3"/>
  <c r="Y96" i="3"/>
  <c r="AB187" i="3"/>
  <c r="Y187" i="3"/>
  <c r="AB165" i="3"/>
  <c r="Y165" i="3"/>
  <c r="AB243" i="3"/>
  <c r="Y243" i="3"/>
  <c r="AB137" i="3"/>
  <c r="Y137" i="3"/>
  <c r="Y203" i="3"/>
  <c r="AB203" i="3"/>
  <c r="AB481" i="3"/>
  <c r="Y481" i="3"/>
  <c r="AB314" i="3"/>
  <c r="Y314" i="3"/>
  <c r="AB424" i="3"/>
  <c r="Y424" i="3"/>
  <c r="AB79" i="3"/>
  <c r="Y79" i="3"/>
  <c r="AB283" i="3"/>
  <c r="Y283" i="3"/>
  <c r="AB473" i="3"/>
  <c r="Y473" i="3"/>
  <c r="AB136" i="3"/>
  <c r="Y136" i="3"/>
  <c r="AB372" i="3"/>
  <c r="Y372" i="3"/>
  <c r="AB110" i="3"/>
  <c r="Y110" i="3"/>
  <c r="AB388" i="3"/>
  <c r="Y388" i="3"/>
  <c r="AB134" i="3"/>
  <c r="Y134" i="3"/>
  <c r="AB408" i="3"/>
  <c r="Y408" i="3"/>
  <c r="AB151" i="3"/>
  <c r="Y151" i="3"/>
  <c r="AB479" i="3"/>
  <c r="Y479" i="3"/>
  <c r="AB335" i="3"/>
  <c r="Y335" i="3"/>
  <c r="AB185" i="3"/>
  <c r="Y185" i="3"/>
  <c r="AB19" i="3"/>
  <c r="Y19" i="3"/>
  <c r="AB406" i="3"/>
  <c r="Y406" i="3"/>
  <c r="AB263" i="3"/>
  <c r="Y263" i="3"/>
  <c r="AB105" i="3"/>
  <c r="Y105" i="3"/>
  <c r="AB477" i="3"/>
  <c r="Y477" i="3"/>
  <c r="AB333" i="3"/>
  <c r="Y333" i="3"/>
  <c r="AB183" i="3"/>
  <c r="Y183" i="3"/>
  <c r="AB16" i="3"/>
  <c r="Y16" i="3"/>
  <c r="AB404" i="3"/>
  <c r="Y404" i="3"/>
  <c r="AB261" i="3"/>
  <c r="Y261" i="3"/>
  <c r="AB101" i="3"/>
  <c r="Y101" i="3"/>
  <c r="AB487" i="3"/>
  <c r="Y487" i="3"/>
  <c r="AB343" i="3"/>
  <c r="Y343" i="3"/>
  <c r="AB194" i="3"/>
  <c r="Y194" i="3"/>
  <c r="AB28" i="3"/>
  <c r="Y28" i="3"/>
  <c r="AB247" i="3"/>
  <c r="Y247" i="3"/>
  <c r="AB102" i="3"/>
  <c r="Y102" i="3"/>
  <c r="AB340" i="3"/>
  <c r="Y340" i="3"/>
  <c r="AB517" i="3"/>
  <c r="Y517" i="3"/>
  <c r="AB122" i="3"/>
  <c r="Y122" i="3"/>
  <c r="AB229" i="3"/>
  <c r="Y229" i="3"/>
  <c r="AB349" i="3"/>
  <c r="Y349" i="3"/>
  <c r="AB312" i="3"/>
  <c r="Y312" i="3"/>
  <c r="AB310" i="3"/>
  <c r="Y310" i="3"/>
  <c r="AB235" i="3"/>
  <c r="Y235" i="3"/>
  <c r="AB168" i="3"/>
  <c r="Y168" i="3"/>
  <c r="AB67" i="3"/>
  <c r="Y67" i="3"/>
  <c r="AB329" i="3"/>
  <c r="Y329" i="3"/>
  <c r="Y77" i="3"/>
  <c r="AB77" i="3"/>
  <c r="AB390" i="3"/>
  <c r="Y390" i="3"/>
  <c r="AB57" i="3"/>
  <c r="Y57" i="3"/>
  <c r="AB300" i="3"/>
  <c r="Y300" i="3"/>
  <c r="AB370" i="3"/>
  <c r="Y370" i="3"/>
  <c r="AB298" i="3"/>
  <c r="Y298" i="3"/>
  <c r="AB221" i="3"/>
  <c r="Y221" i="3"/>
  <c r="AB104" i="3"/>
  <c r="Y104" i="3"/>
  <c r="AB271" i="3"/>
  <c r="Y271" i="3"/>
  <c r="AB541" i="3"/>
  <c r="Y541" i="3"/>
  <c r="AB505" i="3"/>
  <c r="Y505" i="3"/>
  <c r="AB11" i="3"/>
  <c r="Y11" i="3"/>
  <c r="AB431" i="3"/>
  <c r="Y431" i="3"/>
  <c r="AB211" i="3"/>
  <c r="Y211" i="3"/>
  <c r="AB208" i="3"/>
  <c r="Y208" i="3"/>
  <c r="Y198" i="3"/>
  <c r="AB198" i="3"/>
  <c r="AB546" i="3"/>
  <c r="Y546" i="3"/>
  <c r="AB542" i="3"/>
  <c r="Y542" i="3"/>
  <c r="AB52" i="3"/>
  <c r="Y52" i="3"/>
  <c r="AB337" i="3"/>
  <c r="Y337" i="3"/>
  <c r="Y304" i="3"/>
  <c r="AB304" i="3"/>
  <c r="AB490" i="3"/>
  <c r="Y490" i="3"/>
  <c r="AB274" i="3"/>
  <c r="Y274" i="3"/>
  <c r="AB195" i="3"/>
  <c r="Y195" i="3"/>
  <c r="AB80" i="3"/>
  <c r="Y80" i="3"/>
  <c r="AB291" i="3"/>
  <c r="Y291" i="3"/>
  <c r="AB376" i="3"/>
  <c r="Y376" i="3"/>
  <c r="AB108" i="3"/>
  <c r="Y108" i="3"/>
  <c r="Y510" i="3"/>
  <c r="AB510" i="3"/>
  <c r="AB407" i="3"/>
  <c r="Y407" i="3"/>
  <c r="AB184" i="3"/>
  <c r="Y184" i="3"/>
  <c r="AB476" i="3"/>
  <c r="Y476" i="3"/>
  <c r="AB272" i="3"/>
  <c r="Y272" i="3"/>
  <c r="AB30" i="3"/>
  <c r="Y30" i="3"/>
  <c r="AB270" i="3"/>
  <c r="Y270" i="3"/>
  <c r="AB518" i="3"/>
  <c r="Y518" i="3"/>
  <c r="AB385" i="3"/>
  <c r="Y385" i="3"/>
  <c r="AB231" i="3"/>
  <c r="Y231" i="3"/>
  <c r="AB472" i="3"/>
  <c r="Y472" i="3"/>
  <c r="AB508" i="3"/>
  <c r="Y508" i="3"/>
  <c r="AB91" i="3"/>
  <c r="Y91" i="3"/>
  <c r="AB537" i="3"/>
  <c r="Y537" i="3"/>
  <c r="AB464" i="3"/>
  <c r="Y464" i="3"/>
  <c r="AB260" i="3"/>
  <c r="Y260" i="3"/>
  <c r="AB56" i="3"/>
  <c r="Y56" i="3"/>
  <c r="AB213" i="3"/>
  <c r="Y213" i="3"/>
  <c r="AB44" i="3"/>
  <c r="Y44" i="3"/>
  <c r="AB190" i="3"/>
  <c r="Y190" i="3"/>
  <c r="AB348" i="3"/>
  <c r="Y348" i="3"/>
  <c r="AB336" i="3"/>
  <c r="Y336" i="3"/>
  <c r="AB400" i="3"/>
  <c r="Y400" i="3"/>
  <c r="AB468" i="3"/>
  <c r="Y468" i="3"/>
  <c r="AB484" i="3"/>
  <c r="Y484" i="3"/>
  <c r="Y12" i="3"/>
  <c r="AB12" i="3"/>
  <c r="AB97" i="3"/>
  <c r="Y97" i="3"/>
  <c r="AB124" i="3"/>
  <c r="Y124" i="3"/>
  <c r="AB205" i="3"/>
  <c r="Y205" i="3"/>
  <c r="AB51" i="3"/>
  <c r="Y51" i="3"/>
  <c r="AB161" i="3"/>
  <c r="Y161" i="3"/>
  <c r="Y402" i="3"/>
  <c r="AB402" i="3"/>
  <c r="AB277" i="3"/>
  <c r="Y277" i="3"/>
  <c r="AB399" i="3"/>
  <c r="Y399" i="3"/>
  <c r="AB49" i="3"/>
  <c r="Y49" i="3"/>
  <c r="AB257" i="3"/>
  <c r="Y257" i="3"/>
  <c r="AB445" i="3"/>
  <c r="Y445" i="3"/>
  <c r="AB98" i="3"/>
  <c r="Y98" i="3"/>
  <c r="AB350" i="3"/>
  <c r="Y350" i="3"/>
  <c r="Y84" i="3"/>
  <c r="AB84" i="3"/>
  <c r="AB366" i="3"/>
  <c r="Y366" i="3"/>
  <c r="Y109" i="3"/>
  <c r="AB109" i="3"/>
  <c r="AB386" i="3"/>
  <c r="Y386" i="3"/>
  <c r="AB127" i="3"/>
  <c r="Y127" i="3"/>
  <c r="AB467" i="3"/>
  <c r="Y467" i="3"/>
  <c r="AB323" i="3"/>
  <c r="Y323" i="3"/>
  <c r="AB172" i="3"/>
  <c r="Y172" i="3"/>
  <c r="AB538" i="3"/>
  <c r="Y538" i="3"/>
  <c r="AB394" i="3"/>
  <c r="Y394" i="3"/>
  <c r="AB251" i="3"/>
  <c r="Y251" i="3"/>
  <c r="AB89" i="3"/>
  <c r="Y89" i="3"/>
  <c r="AB465" i="3"/>
  <c r="Y465" i="3"/>
  <c r="AB321" i="3"/>
  <c r="Y321" i="3"/>
  <c r="AB170" i="3"/>
  <c r="Y170" i="3"/>
  <c r="Y536" i="3"/>
  <c r="AB536" i="3"/>
  <c r="AB392" i="3"/>
  <c r="Y392" i="3"/>
  <c r="AB249" i="3"/>
  <c r="Y249" i="3"/>
  <c r="AB87" i="3"/>
  <c r="Y87" i="3"/>
  <c r="AB475" i="3"/>
  <c r="Y475" i="3"/>
  <c r="Y331" i="3"/>
  <c r="AB331" i="3"/>
  <c r="AB181" i="3"/>
  <c r="Y181" i="3"/>
  <c r="AB14" i="3"/>
  <c r="Y14" i="3"/>
  <c r="AB234" i="3"/>
  <c r="Y234" i="3"/>
  <c r="AB90" i="3"/>
  <c r="Y90" i="3"/>
  <c r="S423" i="3"/>
  <c r="S391" i="3"/>
  <c r="S100" i="3"/>
  <c r="S304" i="3"/>
  <c r="S394" i="3"/>
  <c r="S240" i="3"/>
  <c r="S233" i="3"/>
  <c r="S12" i="3"/>
  <c r="S278" i="3"/>
  <c r="S472" i="3"/>
  <c r="S83" i="3"/>
  <c r="S404" i="3"/>
  <c r="S267" i="3"/>
  <c r="S127" i="3"/>
  <c r="S274" i="3"/>
  <c r="S370" i="3"/>
  <c r="S249" i="3"/>
  <c r="S354" i="3"/>
  <c r="S26" i="3"/>
  <c r="S519" i="3"/>
  <c r="S97" i="3"/>
  <c r="S182" i="3"/>
  <c r="S245" i="3"/>
  <c r="S65" i="3"/>
  <c r="S59" i="3"/>
  <c r="S236" i="3"/>
  <c r="S137" i="3"/>
  <c r="S343" i="3"/>
  <c r="S327" i="3"/>
  <c r="S531" i="3"/>
  <c r="S541" i="3"/>
  <c r="S48" i="3"/>
  <c r="S346" i="3"/>
  <c r="S58" i="3"/>
  <c r="S122" i="3"/>
  <c r="S74" i="3"/>
  <c r="S66" i="3"/>
  <c r="S526" i="3"/>
  <c r="S19" i="3"/>
  <c r="S323" i="3"/>
  <c r="S190" i="3"/>
  <c r="S68" i="3"/>
  <c r="S206" i="3"/>
  <c r="S205" i="3"/>
  <c r="S505" i="3"/>
  <c r="S121" i="3"/>
  <c r="S330" i="3"/>
  <c r="S439" i="3"/>
  <c r="S29" i="3"/>
  <c r="S27" i="3"/>
  <c r="S218" i="3"/>
  <c r="S530" i="3"/>
  <c r="S302" i="3"/>
  <c r="S43" i="3"/>
  <c r="S412" i="3"/>
  <c r="S410" i="3"/>
  <c r="S286" i="3"/>
  <c r="S219" i="3"/>
  <c r="S150" i="3"/>
  <c r="S381" i="3"/>
  <c r="S125" i="3"/>
  <c r="S393" i="3"/>
  <c r="S514" i="3"/>
  <c r="S527" i="3"/>
  <c r="S296" i="3"/>
  <c r="S40" i="3"/>
  <c r="S435" i="3"/>
  <c r="S509" i="3"/>
  <c r="S272" i="3"/>
  <c r="S16" i="3"/>
  <c r="S388" i="3"/>
  <c r="S196" i="3"/>
  <c r="S401" i="3"/>
  <c r="S209" i="3"/>
  <c r="S17" i="3"/>
  <c r="S399" i="3"/>
  <c r="S207" i="3"/>
  <c r="S15" i="3"/>
  <c r="S312" i="3"/>
  <c r="S167" i="3"/>
  <c r="S23" i="3"/>
  <c r="S322" i="3"/>
  <c r="S178" i="3"/>
  <c r="S34" i="3"/>
  <c r="S344" i="3"/>
  <c r="S200" i="3"/>
  <c r="S56" i="3"/>
  <c r="S180" i="3"/>
  <c r="S255" i="3"/>
  <c r="S484" i="3"/>
  <c r="S95" i="3"/>
  <c r="S251" i="3"/>
  <c r="S523" i="3"/>
  <c r="S283" i="3"/>
  <c r="S497" i="3"/>
  <c r="S171" i="3"/>
  <c r="S371" i="3"/>
  <c r="S521" i="3"/>
  <c r="S303" i="3"/>
  <c r="S533" i="3"/>
  <c r="S260" i="3"/>
  <c r="S460" i="3"/>
  <c r="S82" i="3"/>
  <c r="S459" i="3"/>
  <c r="S201" i="3"/>
  <c r="S364" i="3"/>
  <c r="S87" i="3"/>
  <c r="S337" i="3"/>
  <c r="S63" i="3"/>
  <c r="S101" i="3"/>
  <c r="S425" i="3"/>
  <c r="S339" i="3"/>
  <c r="S60" i="3"/>
  <c r="S243" i="3"/>
  <c r="S191" i="3"/>
  <c r="S368" i="3"/>
  <c r="S248" i="3"/>
  <c r="S237" i="3"/>
  <c r="S516" i="3"/>
  <c r="S405" i="3"/>
  <c r="S316" i="3"/>
  <c r="S39" i="3"/>
  <c r="S225" i="3"/>
  <c r="S222" i="3"/>
  <c r="S35" i="3"/>
  <c r="S356" i="3"/>
  <c r="S422" i="3"/>
  <c r="S57" i="3"/>
  <c r="S492" i="3"/>
  <c r="S77" i="3"/>
  <c r="S315" i="3"/>
  <c r="S333" i="3"/>
  <c r="S535" i="3"/>
  <c r="S501" i="3"/>
  <c r="S197" i="3"/>
  <c r="S515" i="3"/>
  <c r="S281" i="3"/>
  <c r="S25" i="3"/>
  <c r="S328" i="3"/>
  <c r="S529" i="3"/>
  <c r="S246" i="3"/>
  <c r="S175" i="3"/>
  <c r="S108" i="3"/>
  <c r="S362" i="3"/>
  <c r="S105" i="3"/>
  <c r="S329" i="3"/>
  <c r="S466" i="3"/>
  <c r="S511" i="3"/>
  <c r="S277" i="3"/>
  <c r="S18" i="3"/>
  <c r="S349" i="3"/>
  <c r="S493" i="3"/>
  <c r="S253" i="3"/>
  <c r="S536" i="3"/>
  <c r="S373" i="3"/>
  <c r="S181" i="3"/>
  <c r="S546" i="3"/>
  <c r="S386" i="3"/>
  <c r="S194" i="3"/>
  <c r="S544" i="3"/>
  <c r="S384" i="3"/>
  <c r="S192" i="3"/>
  <c r="S443" i="3"/>
  <c r="S300" i="3"/>
  <c r="S155" i="3"/>
  <c r="S11" i="3"/>
  <c r="S311" i="3"/>
  <c r="S166" i="3"/>
  <c r="S22" i="3"/>
  <c r="S332" i="3"/>
  <c r="S188" i="3"/>
  <c r="S44" i="3"/>
  <c r="S450" i="3"/>
  <c r="S318" i="3"/>
  <c r="S252" i="3"/>
  <c r="S118" i="3"/>
  <c r="S120" i="3"/>
  <c r="S306" i="3"/>
  <c r="S239" i="3"/>
  <c r="S377" i="3"/>
  <c r="S69" i="3"/>
  <c r="S313" i="3"/>
  <c r="S147" i="3"/>
  <c r="S123" i="3"/>
  <c r="S289" i="3"/>
  <c r="S382" i="3"/>
  <c r="S116" i="3"/>
  <c r="S141" i="3"/>
  <c r="S465" i="3"/>
  <c r="S360" i="3"/>
  <c r="S462" i="3"/>
  <c r="S78" i="3"/>
  <c r="S226" i="3"/>
  <c r="S390" i="3"/>
  <c r="S446" i="3"/>
  <c r="S361" i="3"/>
  <c r="S79" i="3"/>
  <c r="S258" i="3"/>
  <c r="S347" i="3"/>
  <c r="S250" i="3"/>
  <c r="S230" i="3"/>
  <c r="S456" i="3"/>
  <c r="S471" i="3"/>
  <c r="S518" i="3"/>
  <c r="S229" i="3"/>
  <c r="S432" i="3"/>
  <c r="S335" i="3"/>
  <c r="S80" i="3"/>
  <c r="S90" i="3"/>
  <c r="S470" i="3"/>
  <c r="S216" i="3"/>
  <c r="S542" i="3"/>
  <c r="S295" i="3"/>
  <c r="S417" i="3"/>
  <c r="S30" i="3"/>
  <c r="S46" i="3"/>
  <c r="S420" i="3"/>
  <c r="S55" i="3"/>
  <c r="S491" i="3"/>
  <c r="S76" i="3"/>
  <c r="S184" i="3"/>
  <c r="S228" i="3"/>
  <c r="S372" i="3"/>
  <c r="S483" i="3"/>
  <c r="S173" i="3"/>
  <c r="S499" i="3"/>
  <c r="S259" i="3"/>
  <c r="S284" i="3"/>
  <c r="S481" i="3"/>
  <c r="S158" i="3"/>
  <c r="S112" i="3"/>
  <c r="S42" i="3"/>
  <c r="S341" i="3"/>
  <c r="S86" i="3"/>
  <c r="S221" i="3"/>
  <c r="S426" i="3"/>
  <c r="S494" i="3"/>
  <c r="S254" i="3"/>
  <c r="S352" i="3"/>
  <c r="S307" i="3"/>
  <c r="S478" i="3"/>
  <c r="S231" i="3"/>
  <c r="S524" i="3"/>
  <c r="S355" i="3"/>
  <c r="S163" i="3"/>
  <c r="S534" i="3"/>
  <c r="S369" i="3"/>
  <c r="S177" i="3"/>
  <c r="S532" i="3"/>
  <c r="S366" i="3"/>
  <c r="S174" i="3"/>
  <c r="S431" i="3"/>
  <c r="S288" i="3"/>
  <c r="S143" i="3"/>
  <c r="S442" i="3"/>
  <c r="S299" i="3"/>
  <c r="S154" i="3"/>
  <c r="S10" i="3"/>
  <c r="S320" i="3"/>
  <c r="S176" i="3"/>
  <c r="S32" i="3"/>
  <c r="S496" i="3"/>
  <c r="S172" i="3"/>
  <c r="S111" i="3"/>
  <c r="S270" i="3"/>
  <c r="S28" i="3"/>
  <c r="S474" i="3"/>
  <c r="S227" i="3"/>
  <c r="S387" i="3"/>
  <c r="S469" i="3"/>
  <c r="S305" i="3"/>
  <c r="S502" i="3"/>
  <c r="S67" i="3"/>
  <c r="S271" i="3"/>
  <c r="S441" i="3"/>
  <c r="S411" i="3"/>
  <c r="S156" i="3"/>
  <c r="S348" i="3"/>
  <c r="S52" i="3"/>
  <c r="S256" i="3"/>
  <c r="S358" i="3"/>
  <c r="S92" i="3"/>
  <c r="S13" i="3"/>
  <c r="S135" i="3"/>
  <c r="S503" i="3"/>
  <c r="S280" i="3"/>
  <c r="S24" i="3"/>
  <c r="S326" i="3"/>
  <c r="S37" i="3"/>
  <c r="S241" i="3"/>
  <c r="S47" i="3"/>
  <c r="S224" i="3"/>
  <c r="S331" i="3"/>
  <c r="S547" i="3"/>
  <c r="S374" i="3"/>
  <c r="S149" i="3"/>
  <c r="S61" i="3"/>
  <c r="S403" i="3"/>
  <c r="S33" i="3"/>
  <c r="S179" i="3"/>
  <c r="S212" i="3"/>
  <c r="S185" i="3"/>
  <c r="S398" i="3"/>
  <c r="S314" i="3"/>
  <c r="S490" i="3"/>
  <c r="S540" i="3"/>
  <c r="S99" i="3"/>
  <c r="S73" i="3"/>
  <c r="S468" i="3"/>
  <c r="S153" i="3"/>
  <c r="S482" i="3"/>
  <c r="S235" i="3"/>
  <c r="S268" i="3"/>
  <c r="S244" i="3"/>
  <c r="S408" i="3"/>
  <c r="S93" i="3"/>
  <c r="S72" i="3"/>
  <c r="S543" i="3"/>
  <c r="S317" i="3"/>
  <c r="S62" i="3"/>
  <c r="S117" i="3"/>
  <c r="S385" i="3"/>
  <c r="S479" i="3"/>
  <c r="S232" i="3"/>
  <c r="S247" i="3"/>
  <c r="S266" i="3"/>
  <c r="S461" i="3"/>
  <c r="S208" i="3"/>
  <c r="S512" i="3"/>
  <c r="S340" i="3"/>
  <c r="S148" i="3"/>
  <c r="S522" i="3"/>
  <c r="S353" i="3"/>
  <c r="S161" i="3"/>
  <c r="S520" i="3"/>
  <c r="S351" i="3"/>
  <c r="S159" i="3"/>
  <c r="S419" i="3"/>
  <c r="S276" i="3"/>
  <c r="S131" i="3"/>
  <c r="S430" i="3"/>
  <c r="S287" i="3"/>
  <c r="S142" i="3"/>
  <c r="S452" i="3"/>
  <c r="S309" i="3"/>
  <c r="S164" i="3"/>
  <c r="S20" i="3"/>
  <c r="S321" i="3"/>
  <c r="S75" i="3"/>
  <c r="S113" i="3"/>
  <c r="S383" i="3"/>
  <c r="S473" i="3"/>
  <c r="S350" i="3"/>
  <c r="S378" i="3"/>
  <c r="S85" i="3"/>
  <c r="S458" i="3"/>
  <c r="S525" i="3"/>
  <c r="S45" i="3"/>
  <c r="S290" i="3"/>
  <c r="S213" i="3"/>
  <c r="S124" i="3"/>
  <c r="S451" i="3"/>
  <c r="S81" i="3"/>
  <c r="S215" i="3"/>
  <c r="S104" i="3"/>
  <c r="S198" i="3"/>
  <c r="S310" i="3"/>
  <c r="S189" i="3"/>
  <c r="S103" i="3"/>
  <c r="S436" i="3"/>
  <c r="S447" i="3"/>
  <c r="S203" i="3"/>
  <c r="S380" i="3"/>
  <c r="S357" i="3"/>
  <c r="S262" i="3"/>
  <c r="S49" i="3"/>
  <c r="S170" i="3"/>
  <c r="S84" i="3"/>
  <c r="S421" i="3"/>
  <c r="S506" i="3"/>
  <c r="S324" i="3"/>
  <c r="S265" i="3"/>
  <c r="S389" i="3"/>
  <c r="S487" i="3"/>
  <c r="S211" i="3"/>
  <c r="S414" i="3"/>
  <c r="S334" i="3"/>
  <c r="S415" i="3"/>
  <c r="S162" i="3"/>
  <c r="S294" i="3"/>
  <c r="S165" i="3"/>
  <c r="S38" i="3"/>
  <c r="S54" i="3"/>
  <c r="S517" i="3"/>
  <c r="S453" i="3"/>
  <c r="S134" i="3"/>
  <c r="S467" i="3"/>
  <c r="S217" i="3"/>
  <c r="S204" i="3"/>
  <c r="S199" i="3"/>
  <c r="S319" i="3"/>
  <c r="S53" i="3"/>
  <c r="S528" i="3"/>
  <c r="S298" i="3"/>
  <c r="S41" i="3"/>
  <c r="S455" i="3"/>
  <c r="S342" i="3"/>
  <c r="S463" i="3"/>
  <c r="S210" i="3"/>
  <c r="S183" i="3"/>
  <c r="S220" i="3"/>
  <c r="S444" i="3"/>
  <c r="S186" i="3"/>
  <c r="S500" i="3"/>
  <c r="S325" i="3"/>
  <c r="S133" i="3"/>
  <c r="S510" i="3"/>
  <c r="S338" i="3"/>
  <c r="S146" i="3"/>
  <c r="S508" i="3"/>
  <c r="S336" i="3"/>
  <c r="S144" i="3"/>
  <c r="S407" i="3"/>
  <c r="S264" i="3"/>
  <c r="S119" i="3"/>
  <c r="S418" i="3"/>
  <c r="S275" i="3"/>
  <c r="S130" i="3"/>
  <c r="S440" i="3"/>
  <c r="S297" i="3"/>
  <c r="S152" i="3"/>
  <c r="S8" i="3"/>
  <c r="V6" i="3"/>
  <c r="V4" i="3"/>
  <c r="AE2" i="3"/>
  <c r="V2" i="3"/>
  <c r="Y6" i="3"/>
  <c r="AE6" i="3"/>
  <c r="AE4" i="3"/>
  <c r="Y2" i="3"/>
  <c r="AE5" i="3"/>
  <c r="Y5" i="3"/>
  <c r="AE3" i="3"/>
  <c r="AB6" i="3"/>
  <c r="AB5" i="3"/>
  <c r="AB4" i="3"/>
  <c r="S4" i="3"/>
  <c r="V3" i="3"/>
  <c r="Y4" i="3"/>
  <c r="AB2" i="3"/>
  <c r="AB3" i="3"/>
  <c r="S3" i="3"/>
  <c r="S2" i="3"/>
  <c r="Y3" i="3"/>
  <c r="V5" i="3"/>
  <c r="S6" i="3"/>
  <c r="S5" i="3"/>
  <c r="AI16" i="3" l="1"/>
  <c r="AJ16" i="3"/>
  <c r="AI13" i="3"/>
  <c r="AJ13" i="3"/>
  <c r="AK16" i="3" l="1"/>
  <c r="AF239" i="3" s="1"/>
  <c r="AK13" i="3"/>
  <c r="W61" i="3" s="1"/>
  <c r="W246" i="3" l="1"/>
  <c r="W237" i="3"/>
  <c r="W146" i="3"/>
  <c r="X146" i="3" s="1"/>
  <c r="W117" i="3"/>
  <c r="X117" i="3" s="1"/>
  <c r="W539" i="3"/>
  <c r="W456" i="3"/>
  <c r="W252" i="3"/>
  <c r="W498" i="3"/>
  <c r="W209" i="3"/>
  <c r="W290" i="3"/>
  <c r="W489" i="3"/>
  <c r="W190" i="3"/>
  <c r="W301" i="3"/>
  <c r="W462" i="3"/>
  <c r="W178" i="3"/>
  <c r="W86" i="3"/>
  <c r="W320" i="3"/>
  <c r="X320" i="3" s="1"/>
  <c r="W386" i="3"/>
  <c r="W516" i="3"/>
  <c r="W486" i="3"/>
  <c r="W232" i="3"/>
  <c r="W421" i="3"/>
  <c r="W21" i="3"/>
  <c r="X21" i="3" s="1"/>
  <c r="W26" i="3"/>
  <c r="X26" i="3" s="1"/>
  <c r="W230" i="3"/>
  <c r="W448" i="3"/>
  <c r="W239" i="3"/>
  <c r="W323" i="3"/>
  <c r="W173" i="3"/>
  <c r="W454" i="3"/>
  <c r="W526" i="3"/>
  <c r="W210" i="3"/>
  <c r="W39" i="3"/>
  <c r="X39" i="3" s="1"/>
  <c r="W104" i="3"/>
  <c r="W258" i="3"/>
  <c r="W291" i="3"/>
  <c r="W256" i="3"/>
  <c r="W527" i="3"/>
  <c r="AF290" i="3"/>
  <c r="AF448" i="3"/>
  <c r="AF277" i="3"/>
  <c r="AF395" i="3"/>
  <c r="AF257" i="3"/>
  <c r="AF401" i="3"/>
  <c r="AF541" i="3"/>
  <c r="AF470" i="3"/>
  <c r="AF234" i="3"/>
  <c r="AF371" i="3"/>
  <c r="AF466" i="3"/>
  <c r="AF103" i="3"/>
  <c r="AF148" i="3"/>
  <c r="AF33" i="3"/>
  <c r="AG33" i="3" s="1"/>
  <c r="AF31" i="3"/>
  <c r="AF319" i="3"/>
  <c r="W282" i="3"/>
  <c r="W98" i="3"/>
  <c r="W123" i="3"/>
  <c r="W410" i="3"/>
  <c r="W49" i="3"/>
  <c r="X49" i="3" s="1"/>
  <c r="W195" i="3"/>
  <c r="W163" i="3"/>
  <c r="W279" i="3"/>
  <c r="W124" i="3"/>
  <c r="W32" i="3"/>
  <c r="X32" i="3" s="1"/>
  <c r="W418" i="3"/>
  <c r="W233" i="3"/>
  <c r="W142" i="3"/>
  <c r="X142" i="3" s="1"/>
  <c r="W72" i="3"/>
  <c r="X72" i="3" s="1"/>
  <c r="W419" i="3"/>
  <c r="W58" i="3"/>
  <c r="W174" i="3"/>
  <c r="W298" i="3"/>
  <c r="W299" i="3"/>
  <c r="AF49" i="3"/>
  <c r="AF226" i="3"/>
  <c r="AF265" i="3"/>
  <c r="AF116" i="3"/>
  <c r="AF415" i="3"/>
  <c r="W511" i="3"/>
  <c r="AF173" i="3"/>
  <c r="AF152" i="3"/>
  <c r="AF42" i="3"/>
  <c r="W283" i="3"/>
  <c r="W507" i="3"/>
  <c r="W533" i="3"/>
  <c r="W73" i="3"/>
  <c r="X73" i="3" s="1"/>
  <c r="W508" i="3"/>
  <c r="W164" i="3"/>
  <c r="W43" i="3"/>
  <c r="X43" i="3" s="1"/>
  <c r="W338" i="3"/>
  <c r="W455" i="3"/>
  <c r="W16" i="3"/>
  <c r="W356" i="3"/>
  <c r="W136" i="3"/>
  <c r="W450" i="3"/>
  <c r="W11" i="3"/>
  <c r="W502" i="3"/>
  <c r="AF382" i="3"/>
  <c r="AF189" i="3"/>
  <c r="AF468" i="3"/>
  <c r="AF83" i="3"/>
  <c r="AF543" i="3"/>
  <c r="AF313" i="3"/>
  <c r="AF512" i="3"/>
  <c r="AF124" i="3"/>
  <c r="AF494" i="3"/>
  <c r="AF516" i="3"/>
  <c r="W111" i="3"/>
  <c r="X111" i="3" s="1"/>
  <c r="W51" i="3"/>
  <c r="W238" i="3"/>
  <c r="W388" i="3"/>
  <c r="W296" i="3"/>
  <c r="W145" i="3"/>
  <c r="W481" i="3"/>
  <c r="AF63" i="3"/>
  <c r="W121" i="3"/>
  <c r="AF30" i="3"/>
  <c r="AF487" i="3"/>
  <c r="AF237" i="3"/>
  <c r="AF271" i="3"/>
  <c r="AF140" i="3"/>
  <c r="AF153" i="3"/>
  <c r="AF400" i="3"/>
  <c r="AF352" i="3"/>
  <c r="AF499" i="3"/>
  <c r="AF285" i="3"/>
  <c r="AF308" i="3"/>
  <c r="AF454" i="3"/>
  <c r="AF214" i="3"/>
  <c r="AF386" i="3"/>
  <c r="W193" i="3"/>
  <c r="W430" i="3"/>
  <c r="W172" i="3"/>
  <c r="W494" i="3"/>
  <c r="W531" i="3"/>
  <c r="W129" i="3"/>
  <c r="X129" i="3" s="1"/>
  <c r="W474" i="3"/>
  <c r="W528" i="3"/>
  <c r="W77" i="3"/>
  <c r="X77" i="3" s="1"/>
  <c r="W80" i="3"/>
  <c r="W47" i="3"/>
  <c r="X47" i="3" s="1"/>
  <c r="W179" i="3"/>
  <c r="W131" i="3"/>
  <c r="X131" i="3" s="1"/>
  <c r="W160" i="3"/>
  <c r="W56" i="3"/>
  <c r="W85" i="3"/>
  <c r="W521" i="3"/>
  <c r="W217" i="3"/>
  <c r="W245" i="3"/>
  <c r="W207" i="3"/>
  <c r="AF118" i="3"/>
  <c r="AG118" i="3" s="1"/>
  <c r="AF380" i="3"/>
  <c r="AF68" i="3"/>
  <c r="AF245" i="3"/>
  <c r="AF536" i="3"/>
  <c r="AF370" i="3"/>
  <c r="W441" i="3"/>
  <c r="W353" i="3"/>
  <c r="AF233" i="3"/>
  <c r="AF185" i="3"/>
  <c r="AF35" i="3"/>
  <c r="AG35" i="3" s="1"/>
  <c r="W154" i="3"/>
  <c r="X154" i="3" s="1"/>
  <c r="AF120" i="3"/>
  <c r="AF291" i="3"/>
  <c r="AF440" i="3"/>
  <c r="AF110" i="3"/>
  <c r="AF315" i="3"/>
  <c r="AG315" i="3" s="1"/>
  <c r="AF436" i="3"/>
  <c r="AF90" i="3"/>
  <c r="AF526" i="3"/>
  <c r="AF131" i="3"/>
  <c r="AF101" i="3"/>
  <c r="AF254" i="3"/>
  <c r="AF212" i="3"/>
  <c r="AF224" i="3"/>
  <c r="AF13" i="3"/>
  <c r="W318" i="3"/>
  <c r="W83" i="3"/>
  <c r="W465" i="3"/>
  <c r="W331" i="3"/>
  <c r="W211" i="3"/>
  <c r="W294" i="3"/>
  <c r="W416" i="3"/>
  <c r="W244" i="3"/>
  <c r="W342" i="3"/>
  <c r="W473" i="3"/>
  <c r="W166" i="3"/>
  <c r="W340" i="3"/>
  <c r="W227" i="3"/>
  <c r="W453" i="3"/>
  <c r="W499" i="3"/>
  <c r="W308" i="3"/>
  <c r="W191" i="3"/>
  <c r="W348" i="3"/>
  <c r="W274" i="3"/>
  <c r="W495" i="3"/>
  <c r="AF104" i="3"/>
  <c r="AF129" i="3"/>
  <c r="AF517" i="3"/>
  <c r="W268" i="3"/>
  <c r="AF307" i="3"/>
  <c r="AG307" i="3" s="1"/>
  <c r="W75" i="3"/>
  <c r="AF29" i="3"/>
  <c r="AG29" i="3" s="1"/>
  <c r="AF171" i="3"/>
  <c r="AF300" i="3"/>
  <c r="AF97" i="3"/>
  <c r="AF456" i="3"/>
  <c r="AF394" i="3"/>
  <c r="AF147" i="3"/>
  <c r="AG147" i="3" s="1"/>
  <c r="AF155" i="3"/>
  <c r="AF540" i="3"/>
  <c r="AF11" i="3"/>
  <c r="AF275" i="3"/>
  <c r="AF542" i="3"/>
  <c r="AF184" i="3"/>
  <c r="W475" i="3"/>
  <c r="W428" i="3"/>
  <c r="W68" i="3"/>
  <c r="W355" i="3"/>
  <c r="W325" i="3"/>
  <c r="W105" i="3"/>
  <c r="W176" i="3"/>
  <c r="W472" i="3"/>
  <c r="W259" i="3"/>
  <c r="W392" i="3"/>
  <c r="W24" i="3"/>
  <c r="W8" i="3"/>
  <c r="W182" i="3"/>
  <c r="W444" i="3"/>
  <c r="W361" i="3"/>
  <c r="W229" i="3"/>
  <c r="W35" i="3"/>
  <c r="X35" i="3" s="1"/>
  <c r="W477" i="3"/>
  <c r="W45" i="3"/>
  <c r="X45" i="3" s="1"/>
  <c r="W518" i="3"/>
  <c r="AF451" i="3"/>
  <c r="AF272" i="3"/>
  <c r="AF437" i="3"/>
  <c r="AF192" i="3"/>
  <c r="AF402" i="3"/>
  <c r="AF347" i="3"/>
  <c r="AG347" i="3" s="1"/>
  <c r="AF353" i="3"/>
  <c r="AF434" i="3"/>
  <c r="AF132" i="3"/>
  <c r="AF420" i="3"/>
  <c r="AF37" i="3"/>
  <c r="W203" i="3"/>
  <c r="W479" i="3"/>
  <c r="W433" i="3"/>
  <c r="W93" i="3"/>
  <c r="X93" i="3" s="1"/>
  <c r="W17" i="3"/>
  <c r="W280" i="3"/>
  <c r="W276" i="3"/>
  <c r="W89" i="3"/>
  <c r="W425" i="3"/>
  <c r="W255" i="3"/>
  <c r="W519" i="3"/>
  <c r="W226" i="3"/>
  <c r="W295" i="3"/>
  <c r="X295" i="3" s="1"/>
  <c r="W514" i="3"/>
  <c r="W359" i="3"/>
  <c r="W393" i="3"/>
  <c r="W262" i="3"/>
  <c r="W505" i="3"/>
  <c r="W439" i="3"/>
  <c r="W515" i="3"/>
  <c r="AF537" i="3"/>
  <c r="AF441" i="3"/>
  <c r="AF538" i="3"/>
  <c r="AF77" i="3"/>
  <c r="AG77" i="3" s="1"/>
  <c r="AF356" i="3"/>
  <c r="AF515" i="3"/>
  <c r="AF284" i="3"/>
  <c r="W189" i="3"/>
  <c r="W330" i="3"/>
  <c r="W414" i="3"/>
  <c r="W333" i="3"/>
  <c r="W512" i="3"/>
  <c r="W379" i="3"/>
  <c r="W119" i="3"/>
  <c r="X119" i="3" s="1"/>
  <c r="AF407" i="3"/>
  <c r="AF531" i="3"/>
  <c r="AF418" i="3"/>
  <c r="W446" i="3"/>
  <c r="AF421" i="3"/>
  <c r="AF249" i="3"/>
  <c r="AF461" i="3"/>
  <c r="AF32" i="3"/>
  <c r="AG32" i="3" s="1"/>
  <c r="AF457" i="3"/>
  <c r="AF2" i="3"/>
  <c r="AG2" i="3" s="1"/>
  <c r="AF530" i="3"/>
  <c r="AF74" i="3"/>
  <c r="AF479" i="3"/>
  <c r="AF172" i="3"/>
  <c r="AF197" i="3"/>
  <c r="AF460" i="3"/>
  <c r="AF351" i="3"/>
  <c r="AF358" i="3"/>
  <c r="AF86" i="3"/>
  <c r="AF273" i="3"/>
  <c r="AF209" i="3"/>
  <c r="AF508" i="3"/>
  <c r="AF263" i="3"/>
  <c r="AF168" i="3"/>
  <c r="W27" i="3"/>
  <c r="W84" i="3"/>
  <c r="X84" i="3" s="1"/>
  <c r="W134" i="3"/>
  <c r="X134" i="3" s="1"/>
  <c r="W108" i="3"/>
  <c r="W15" i="3"/>
  <c r="X15" i="3" s="1"/>
  <c r="W417" i="3"/>
  <c r="W437" i="3"/>
  <c r="W107" i="3"/>
  <c r="W22" i="3"/>
  <c r="X22" i="3" s="1"/>
  <c r="W544" i="3"/>
  <c r="W427" i="3"/>
  <c r="W423" i="3"/>
  <c r="W269" i="3"/>
  <c r="W96" i="3"/>
  <c r="W40" i="3"/>
  <c r="W270" i="3"/>
  <c r="W36" i="3"/>
  <c r="X36" i="3" s="1"/>
  <c r="W87" i="3"/>
  <c r="W422" i="3"/>
  <c r="W94" i="3"/>
  <c r="AF201" i="3"/>
  <c r="AF48" i="3"/>
  <c r="AF334" i="3"/>
  <c r="AF311" i="3"/>
  <c r="W224" i="3"/>
  <c r="W88" i="3"/>
  <c r="AF379" i="3"/>
  <c r="AF287" i="3"/>
  <c r="AF93" i="3"/>
  <c r="AG93" i="3" s="1"/>
  <c r="W461" i="3"/>
  <c r="W2" i="3"/>
  <c r="X2" i="3" s="1"/>
  <c r="AF489" i="3"/>
  <c r="AF464" i="3"/>
  <c r="AF293" i="3"/>
  <c r="AG293" i="3" s="1"/>
  <c r="AF5" i="3"/>
  <c r="AF458" i="3"/>
  <c r="AF390" i="3"/>
  <c r="AF316" i="3"/>
  <c r="AG316" i="3" s="1"/>
  <c r="AF27" i="3"/>
  <c r="AF324" i="3"/>
  <c r="AF318" i="3"/>
  <c r="AF127" i="3"/>
  <c r="AF55" i="3"/>
  <c r="AF374" i="3"/>
  <c r="AF66" i="3"/>
  <c r="AF270" i="3"/>
  <c r="AF123" i="3"/>
  <c r="AF231" i="3"/>
  <c r="AF519" i="3"/>
  <c r="W235" i="3"/>
  <c r="W409" i="3"/>
  <c r="W113" i="3"/>
  <c r="X113" i="3" s="1"/>
  <c r="W536" i="3"/>
  <c r="AF157" i="3"/>
  <c r="W351" i="3"/>
  <c r="W313" i="3"/>
  <c r="W219" i="3"/>
  <c r="W29" i="3"/>
  <c r="X29" i="3" s="1"/>
  <c r="W478" i="3"/>
  <c r="W118" i="3"/>
  <c r="X118" i="3" s="1"/>
  <c r="W38" i="3"/>
  <c r="X38" i="3" s="1"/>
  <c r="W381" i="3"/>
  <c r="W424" i="3"/>
  <c r="W506" i="3"/>
  <c r="W431" i="3"/>
  <c r="W42" i="3"/>
  <c r="X42" i="3" s="1"/>
  <c r="W188" i="3"/>
  <c r="W415" i="3"/>
  <c r="W206" i="3"/>
  <c r="AF178" i="3"/>
  <c r="AF58" i="3"/>
  <c r="AF267" i="3"/>
  <c r="AF242" i="3"/>
  <c r="AF225" i="3"/>
  <c r="AF235" i="3"/>
  <c r="AF477" i="3"/>
  <c r="AF163" i="3"/>
  <c r="AF391" i="3"/>
  <c r="AF496" i="3"/>
  <c r="AF389" i="3"/>
  <c r="AF255" i="3"/>
  <c r="AF383" i="3"/>
  <c r="AF493" i="3"/>
  <c r="AF113" i="3"/>
  <c r="AF438" i="3"/>
  <c r="AF335" i="3"/>
  <c r="W171" i="3"/>
  <c r="W66" i="3"/>
  <c r="W37" i="3"/>
  <c r="X37" i="3" s="1"/>
  <c r="W390" i="3"/>
  <c r="W130" i="3"/>
  <c r="X130" i="3" s="1"/>
  <c r="W470" i="3"/>
  <c r="W500" i="3"/>
  <c r="W55" i="3"/>
  <c r="W487" i="3"/>
  <c r="W376" i="3"/>
  <c r="W341" i="3"/>
  <c r="W326" i="3"/>
  <c r="W220" i="3"/>
  <c r="W532" i="3"/>
  <c r="W458" i="3"/>
  <c r="W432" i="3"/>
  <c r="W222" i="3"/>
  <c r="W7" i="3"/>
  <c r="X7" i="3" s="1"/>
  <c r="W346" i="3"/>
  <c r="X346" i="3" s="1"/>
  <c r="W368" i="3"/>
  <c r="W383" i="3"/>
  <c r="W322" i="3"/>
  <c r="W463" i="3"/>
  <c r="W140" i="3"/>
  <c r="W436" i="3"/>
  <c r="W476" i="3"/>
  <c r="W504" i="3"/>
  <c r="W92" i="3"/>
  <c r="W18" i="3"/>
  <c r="X18" i="3" s="1"/>
  <c r="W335" i="3"/>
  <c r="W310" i="3"/>
  <c r="W529" i="3"/>
  <c r="W10" i="3"/>
  <c r="X10" i="3" s="1"/>
  <c r="W400" i="3"/>
  <c r="W225" i="3"/>
  <c r="W535" i="3"/>
  <c r="W357" i="3"/>
  <c r="W485" i="3"/>
  <c r="W20" i="3"/>
  <c r="X20" i="3" s="1"/>
  <c r="W545" i="3"/>
  <c r="W285" i="3"/>
  <c r="W385" i="3"/>
  <c r="W150" i="3"/>
  <c r="X150" i="3" s="1"/>
  <c r="W503" i="3"/>
  <c r="W483" i="3"/>
  <c r="W471" i="3"/>
  <c r="W300" i="3"/>
  <c r="W63" i="3"/>
  <c r="W200" i="3"/>
  <c r="W54" i="3"/>
  <c r="W334" i="3"/>
  <c r="W464" i="3"/>
  <c r="W459" i="3"/>
  <c r="W434" i="3"/>
  <c r="W288" i="3"/>
  <c r="W366" i="3"/>
  <c r="W215" i="3"/>
  <c r="W542" i="3"/>
  <c r="W307" i="3"/>
  <c r="W67" i="3"/>
  <c r="W221" i="3"/>
  <c r="W363" i="3"/>
  <c r="W128" i="3"/>
  <c r="W352" i="3"/>
  <c r="W395" i="3"/>
  <c r="W125" i="3"/>
  <c r="W364" i="3"/>
  <c r="W278" i="3"/>
  <c r="W194" i="3"/>
  <c r="W151" i="3"/>
  <c r="X151" i="3" s="1"/>
  <c r="W149" i="3"/>
  <c r="X149" i="3" s="1"/>
  <c r="W496" i="3"/>
  <c r="W79" i="3"/>
  <c r="X79" i="3" s="1"/>
  <c r="W236" i="3"/>
  <c r="W382" i="3"/>
  <c r="W399" i="3"/>
  <c r="W306" i="3"/>
  <c r="W187" i="3"/>
  <c r="W501" i="3"/>
  <c r="W95" i="3"/>
  <c r="W344" i="3"/>
  <c r="X344" i="3" s="1"/>
  <c r="W53" i="3"/>
  <c r="W69" i="3"/>
  <c r="W155" i="3"/>
  <c r="X155" i="3" s="1"/>
  <c r="W242" i="3"/>
  <c r="W449" i="3"/>
  <c r="W31" i="3"/>
  <c r="X31" i="3" s="1"/>
  <c r="W343" i="3"/>
  <c r="W404" i="3"/>
  <c r="W358" i="3"/>
  <c r="W120" i="3"/>
  <c r="W110" i="3"/>
  <c r="W413" i="3"/>
  <c r="W241" i="3"/>
  <c r="W530" i="3"/>
  <c r="W263" i="3"/>
  <c r="W180" i="3"/>
  <c r="W201" i="3"/>
  <c r="W260" i="3"/>
  <c r="W373" i="3"/>
  <c r="W309" i="3"/>
  <c r="W168" i="3"/>
  <c r="W12" i="3"/>
  <c r="W429" i="3"/>
  <c r="W204" i="3"/>
  <c r="W523" i="3"/>
  <c r="W28" i="3"/>
  <c r="X28" i="3" s="1"/>
  <c r="W447" i="3"/>
  <c r="W133" i="3"/>
  <c r="X133" i="3" s="1"/>
  <c r="W311" i="3"/>
  <c r="W101" i="3"/>
  <c r="W184" i="3"/>
  <c r="W292" i="3"/>
  <c r="X292" i="3" s="1"/>
  <c r="W59" i="3"/>
  <c r="W97" i="3"/>
  <c r="W112" i="3"/>
  <c r="X112" i="3" s="1"/>
  <c r="W13" i="3"/>
  <c r="W126" i="3"/>
  <c r="W231" i="3"/>
  <c r="W81" i="3"/>
  <c r="W156" i="3"/>
  <c r="X156" i="3" s="1"/>
  <c r="W387" i="3"/>
  <c r="W407" i="3"/>
  <c r="W23" i="3"/>
  <c r="W102" i="3"/>
  <c r="W196" i="3"/>
  <c r="W370" i="3"/>
  <c r="W281" i="3"/>
  <c r="W408" i="3"/>
  <c r="W249" i="3"/>
  <c r="W375" i="3"/>
  <c r="W354" i="3"/>
  <c r="W534" i="3"/>
  <c r="W401" i="3"/>
  <c r="W513" i="3"/>
  <c r="W100" i="3"/>
  <c r="W510" i="3"/>
  <c r="W162" i="3"/>
  <c r="W78" i="3"/>
  <c r="W48" i="3"/>
  <c r="X48" i="3" s="1"/>
  <c r="W509" i="3"/>
  <c r="W181" i="3"/>
  <c r="W305" i="3"/>
  <c r="W177" i="3"/>
  <c r="W520" i="3"/>
  <c r="W82" i="3"/>
  <c r="W490" i="3"/>
  <c r="W442" i="3"/>
  <c r="W365" i="3"/>
  <c r="W369" i="3"/>
  <c r="W332" i="3"/>
  <c r="W457" i="3"/>
  <c r="W546" i="3"/>
  <c r="W460" i="3"/>
  <c r="W254" i="3"/>
  <c r="W147" i="3"/>
  <c r="X147" i="3" s="1"/>
  <c r="W443" i="3"/>
  <c r="W139" i="3"/>
  <c r="W34" i="3"/>
  <c r="X34" i="3" s="1"/>
  <c r="W52" i="3"/>
  <c r="W185" i="3"/>
  <c r="W141" i="3"/>
  <c r="X141" i="3" s="1"/>
  <c r="W25" i="3"/>
  <c r="W74" i="3"/>
  <c r="W321" i="3"/>
  <c r="X321" i="3" s="1"/>
  <c r="W394" i="3"/>
  <c r="W452" i="3"/>
  <c r="W482" i="3"/>
  <c r="W384" i="3"/>
  <c r="W41" i="3"/>
  <c r="X41" i="3" s="1"/>
  <c r="W391" i="3"/>
  <c r="W412" i="3"/>
  <c r="W99" i="3"/>
  <c r="W493" i="3"/>
  <c r="W71" i="3"/>
  <c r="AF322" i="3"/>
  <c r="AF177" i="3"/>
  <c r="AF85" i="3"/>
  <c r="AF41" i="3"/>
  <c r="AF442" i="3"/>
  <c r="AF525" i="3"/>
  <c r="AF524" i="3"/>
  <c r="AF241" i="3"/>
  <c r="AF182" i="3"/>
  <c r="AF28" i="3"/>
  <c r="AF392" i="3"/>
  <c r="AF545" i="3"/>
  <c r="AF302" i="3"/>
  <c r="AF227" i="3"/>
  <c r="AF472" i="3"/>
  <c r="W522" i="3"/>
  <c r="W438" i="3"/>
  <c r="W350" i="3"/>
  <c r="W127" i="3"/>
  <c r="W44" i="3"/>
  <c r="X44" i="3" s="1"/>
  <c r="W223" i="3"/>
  <c r="W70" i="3"/>
  <c r="W169" i="3"/>
  <c r="W328" i="3"/>
  <c r="W329" i="3"/>
  <c r="W525" i="3"/>
  <c r="W170" i="3"/>
  <c r="W62" i="3"/>
  <c r="W345" i="3"/>
  <c r="W106" i="3"/>
  <c r="W284" i="3"/>
  <c r="W396" i="3"/>
  <c r="W402" i="3"/>
  <c r="W480" i="3"/>
  <c r="W312" i="3"/>
  <c r="W264" i="3"/>
  <c r="W202" i="3"/>
  <c r="W543" i="3"/>
  <c r="W289" i="3"/>
  <c r="W484" i="3"/>
  <c r="W148" i="3"/>
  <c r="W9" i="3"/>
  <c r="W197" i="3"/>
  <c r="W293" i="3"/>
  <c r="X293" i="3" s="1"/>
  <c r="W234" i="3"/>
  <c r="AF96" i="3"/>
  <c r="AF429" i="3"/>
  <c r="AF19" i="3"/>
  <c r="AF485" i="3"/>
  <c r="AF38" i="3"/>
  <c r="AF413" i="3"/>
  <c r="AF534" i="3"/>
  <c r="AF141" i="3"/>
  <c r="AG141" i="3" s="1"/>
  <c r="AF76" i="3"/>
  <c r="AF219" i="3"/>
  <c r="AF244" i="3"/>
  <c r="AF8" i="3"/>
  <c r="AF17" i="3"/>
  <c r="AF317" i="3"/>
  <c r="AG317" i="3" s="1"/>
  <c r="AF303" i="3"/>
  <c r="AG303" i="3" s="1"/>
  <c r="AF349" i="3"/>
  <c r="AF146" i="3"/>
  <c r="AG146" i="3" s="1"/>
  <c r="AF94" i="3"/>
  <c r="AF112" i="3"/>
  <c r="AF223" i="3"/>
  <c r="AF350" i="3"/>
  <c r="AF452" i="3"/>
  <c r="W317" i="3"/>
  <c r="W304" i="3"/>
  <c r="W426" i="3"/>
  <c r="W420" i="3"/>
  <c r="W315" i="3"/>
  <c r="X315" i="3" s="1"/>
  <c r="W138" i="3"/>
  <c r="X138" i="3" s="1"/>
  <c r="W273" i="3"/>
  <c r="W57" i="3"/>
  <c r="W90" i="3"/>
  <c r="W445" i="3"/>
  <c r="W251" i="3"/>
  <c r="W192" i="3"/>
  <c r="W228" i="3"/>
  <c r="W380" i="3"/>
  <c r="W116" i="3"/>
  <c r="W198" i="3"/>
  <c r="W175" i="3"/>
  <c r="W272" i="3"/>
  <c r="W406" i="3"/>
  <c r="W302" i="3"/>
  <c r="W30" i="3"/>
  <c r="X30" i="3" s="1"/>
  <c r="W218" i="3"/>
  <c r="W208" i="3"/>
  <c r="W186" i="3"/>
  <c r="W469" i="3"/>
  <c r="W374" i="3"/>
  <c r="W541" i="3"/>
  <c r="W405" i="3"/>
  <c r="W137" i="3"/>
  <c r="W65" i="3"/>
  <c r="W435" i="3"/>
  <c r="W491" i="3"/>
  <c r="W336" i="3"/>
  <c r="W314" i="3"/>
  <c r="AF520" i="3"/>
  <c r="AF156" i="3"/>
  <c r="AF506" i="3"/>
  <c r="AF133" i="3"/>
  <c r="AF216" i="3"/>
  <c r="AF306" i="3"/>
  <c r="AG306" i="3" s="1"/>
  <c r="AF190" i="3"/>
  <c r="AF266" i="3"/>
  <c r="AF193" i="3"/>
  <c r="AG193" i="3" s="1"/>
  <c r="AF130" i="3"/>
  <c r="AF115" i="3"/>
  <c r="AF202" i="3"/>
  <c r="AF208" i="3"/>
  <c r="AF102" i="3"/>
  <c r="AF406" i="3"/>
  <c r="AF59" i="3"/>
  <c r="AF75" i="3"/>
  <c r="AF174" i="3"/>
  <c r="AF373" i="3"/>
  <c r="AF295" i="3"/>
  <c r="AF158" i="3"/>
  <c r="W91" i="3"/>
  <c r="X91" i="3" s="1"/>
  <c r="W46" i="3"/>
  <c r="X46" i="3" s="1"/>
  <c r="W286" i="3"/>
  <c r="W115" i="3"/>
  <c r="W468" i="3"/>
  <c r="W257" i="3"/>
  <c r="W398" i="3"/>
  <c r="W287" i="3"/>
  <c r="W497" i="3"/>
  <c r="W266" i="3"/>
  <c r="W135" i="3"/>
  <c r="X135" i="3" s="1"/>
  <c r="W158" i="3"/>
  <c r="W247" i="3"/>
  <c r="W297" i="3"/>
  <c r="W143" i="3"/>
  <c r="X143" i="3" s="1"/>
  <c r="W371" i="3"/>
  <c r="W319" i="3"/>
  <c r="W261" i="3"/>
  <c r="W347" i="3"/>
  <c r="W159" i="3"/>
  <c r="W547" i="3"/>
  <c r="W265" i="3"/>
  <c r="W214" i="3"/>
  <c r="W60" i="3"/>
  <c r="W372" i="3"/>
  <c r="W377" i="3"/>
  <c r="W271" i="3"/>
  <c r="W183" i="3"/>
  <c r="W277" i="3"/>
  <c r="W362" i="3"/>
  <c r="W165" i="3"/>
  <c r="W199" i="3"/>
  <c r="W337" i="3"/>
  <c r="W517" i="3"/>
  <c r="W466" i="3"/>
  <c r="W349" i="3"/>
  <c r="W243" i="3"/>
  <c r="W213" i="3"/>
  <c r="W303" i="3"/>
  <c r="W339" i="3"/>
  <c r="W103" i="3"/>
  <c r="W153" i="3"/>
  <c r="W19" i="3"/>
  <c r="X19" i="3" s="1"/>
  <c r="W253" i="3"/>
  <c r="W240" i="3"/>
  <c r="W248" i="3"/>
  <c r="W205" i="3"/>
  <c r="W152" i="3"/>
  <c r="X152" i="3" s="1"/>
  <c r="W451" i="3"/>
  <c r="W76" i="3"/>
  <c r="W161" i="3"/>
  <c r="AF162" i="3"/>
  <c r="AF283" i="3"/>
  <c r="AF310" i="3"/>
  <c r="AF492" i="3"/>
  <c r="AF121" i="3"/>
  <c r="AF286" i="3"/>
  <c r="AF16" i="3"/>
  <c r="AF336" i="3"/>
  <c r="AF230" i="3"/>
  <c r="AF443" i="3"/>
  <c r="AF500" i="3"/>
  <c r="AF475" i="3"/>
  <c r="AF309" i="3"/>
  <c r="AF388" i="3"/>
  <c r="AF397" i="3"/>
  <c r="AF151" i="3"/>
  <c r="AF332" i="3"/>
  <c r="AF9" i="3"/>
  <c r="AF82" i="3"/>
  <c r="AF502" i="3"/>
  <c r="AF221" i="3"/>
  <c r="AF18" i="3"/>
  <c r="AG18" i="3" s="1"/>
  <c r="AF476" i="3"/>
  <c r="AF181" i="3"/>
  <c r="AF213" i="3"/>
  <c r="AG213" i="3" s="1"/>
  <c r="AF484" i="3"/>
  <c r="AF410" i="3"/>
  <c r="AF108" i="3"/>
  <c r="AF399" i="3"/>
  <c r="AF428" i="3"/>
  <c r="AF164" i="3"/>
  <c r="AF444" i="3"/>
  <c r="AF61" i="3"/>
  <c r="AF385" i="3"/>
  <c r="AF252" i="3"/>
  <c r="AF326" i="3"/>
  <c r="AF325" i="3"/>
  <c r="AF268" i="3"/>
  <c r="AF495" i="3"/>
  <c r="AF256" i="3"/>
  <c r="AF465" i="3"/>
  <c r="AF449" i="3"/>
  <c r="AF463" i="3"/>
  <c r="AF117" i="3"/>
  <c r="AG117" i="3" s="1"/>
  <c r="AF331" i="3"/>
  <c r="AF546" i="3"/>
  <c r="AF529" i="3"/>
  <c r="AF160" i="3"/>
  <c r="AF533" i="3"/>
  <c r="AF228" i="3"/>
  <c r="AF253" i="3"/>
  <c r="AF125" i="3"/>
  <c r="AF507" i="3"/>
  <c r="AF528" i="3"/>
  <c r="AF188" i="3"/>
  <c r="AF26" i="3"/>
  <c r="AF337" i="3"/>
  <c r="AF57" i="3"/>
  <c r="AF320" i="3"/>
  <c r="AG320" i="3" s="1"/>
  <c r="AF501" i="3"/>
  <c r="AF150" i="3"/>
  <c r="AF427" i="3"/>
  <c r="AF419" i="3"/>
  <c r="AF432" i="3"/>
  <c r="AF330" i="3"/>
  <c r="AF365" i="3"/>
  <c r="AF149" i="3"/>
  <c r="AF411" i="3"/>
  <c r="AF236" i="3"/>
  <c r="AF527" i="3"/>
  <c r="AF92" i="3"/>
  <c r="AF199" i="3"/>
  <c r="AF203" i="3"/>
  <c r="AF210" i="3"/>
  <c r="AF99" i="3"/>
  <c r="AF187" i="3"/>
  <c r="AF87" i="3"/>
  <c r="AG87" i="3" s="1"/>
  <c r="AF248" i="3"/>
  <c r="AF183" i="3"/>
  <c r="AF53" i="3"/>
  <c r="AF22" i="3"/>
  <c r="AF80" i="3"/>
  <c r="AF398" i="3"/>
  <c r="AF348" i="3"/>
  <c r="AF513" i="3"/>
  <c r="AF362" i="3"/>
  <c r="AF422" i="3"/>
  <c r="AF196" i="3"/>
  <c r="AF64" i="3"/>
  <c r="AF138" i="3"/>
  <c r="AF23" i="3"/>
  <c r="AF250" i="3"/>
  <c r="AF333" i="3"/>
  <c r="AF498" i="3"/>
  <c r="AF393" i="3"/>
  <c r="AF81" i="3"/>
  <c r="AF166" i="3"/>
  <c r="AF521" i="3"/>
  <c r="AF36" i="3"/>
  <c r="AG36" i="3" s="1"/>
  <c r="AF518" i="3"/>
  <c r="AF136" i="3"/>
  <c r="AF56" i="3"/>
  <c r="AF305" i="3"/>
  <c r="AG305" i="3" s="1"/>
  <c r="AF79" i="3"/>
  <c r="AG79" i="3" s="1"/>
  <c r="AF25" i="3"/>
  <c r="AF425" i="3"/>
  <c r="AF486" i="3"/>
  <c r="AF532" i="3"/>
  <c r="AF282" i="3"/>
  <c r="AF368" i="3"/>
  <c r="AF276" i="3"/>
  <c r="AF84" i="3"/>
  <c r="AG84" i="3" s="1"/>
  <c r="AF354" i="3"/>
  <c r="AF243" i="3"/>
  <c r="AF65" i="3"/>
  <c r="AF355" i="3"/>
  <c r="AF119" i="3"/>
  <c r="AG119" i="3" s="1"/>
  <c r="AF396" i="3"/>
  <c r="AF105" i="3"/>
  <c r="AF299" i="3"/>
  <c r="AF381" i="3"/>
  <c r="AF327" i="3"/>
  <c r="AF462" i="3"/>
  <c r="AF366" i="3"/>
  <c r="AF229" i="3"/>
  <c r="AF176" i="3"/>
  <c r="AF98" i="3"/>
  <c r="AF329" i="3"/>
  <c r="AF211" i="3"/>
  <c r="AF259" i="3"/>
  <c r="AF412" i="3"/>
  <c r="AF134" i="3"/>
  <c r="AF416" i="3"/>
  <c r="AF342" i="3"/>
  <c r="AF15" i="3"/>
  <c r="AF323" i="3"/>
  <c r="AF47" i="3"/>
  <c r="AF161" i="3"/>
  <c r="AF338" i="3"/>
  <c r="AF480" i="3"/>
  <c r="AF89" i="3"/>
  <c r="AF467" i="3"/>
  <c r="AF544" i="3"/>
  <c r="AF539" i="3"/>
  <c r="AF71" i="3"/>
  <c r="AF191" i="3"/>
  <c r="AF24" i="3"/>
  <c r="AF450" i="3"/>
  <c r="AF91" i="3"/>
  <c r="AG91" i="3" s="1"/>
  <c r="AF417" i="3"/>
  <c r="AF269" i="3"/>
  <c r="AF372" i="3"/>
  <c r="AF39" i="3"/>
  <c r="AG39" i="3" s="1"/>
  <c r="AF312" i="3"/>
  <c r="AF205" i="3"/>
  <c r="AF143" i="3"/>
  <c r="AF260" i="3"/>
  <c r="AF111" i="3"/>
  <c r="AG111" i="3" s="1"/>
  <c r="AF514" i="3"/>
  <c r="AF375" i="3"/>
  <c r="AF439" i="3"/>
  <c r="AF292" i="3"/>
  <c r="AG292" i="3" s="1"/>
  <c r="AF509" i="3"/>
  <c r="AF321" i="3"/>
  <c r="AG321" i="3" s="1"/>
  <c r="AF360" i="3"/>
  <c r="AF298" i="3"/>
  <c r="AF364" i="3"/>
  <c r="AF339" i="3"/>
  <c r="AF52" i="3"/>
  <c r="AF198" i="3"/>
  <c r="AF343" i="3"/>
  <c r="AG343" i="3" s="1"/>
  <c r="AF301" i="3"/>
  <c r="AF289" i="3"/>
  <c r="AF430" i="3"/>
  <c r="AF497" i="3"/>
  <c r="AF69" i="3"/>
  <c r="AF72" i="3"/>
  <c r="AF264" i="3"/>
  <c r="AF297" i="3"/>
  <c r="AF314" i="3"/>
  <c r="AG314" i="3" s="1"/>
  <c r="AF204" i="3"/>
  <c r="AF145" i="3"/>
  <c r="AF165" i="3"/>
  <c r="AF511" i="3"/>
  <c r="AF10" i="3"/>
  <c r="AF469" i="3"/>
  <c r="AF247" i="3"/>
  <c r="AF535" i="3"/>
  <c r="AF357" i="3"/>
  <c r="AF88" i="3"/>
  <c r="AF423" i="3"/>
  <c r="AF170" i="3"/>
  <c r="AF340" i="3"/>
  <c r="AF296" i="3"/>
  <c r="AF510" i="3"/>
  <c r="AF200" i="3"/>
  <c r="AF251" i="3"/>
  <c r="AF547" i="3"/>
  <c r="AF186" i="3"/>
  <c r="AF45" i="3"/>
  <c r="AF503" i="3"/>
  <c r="AF238" i="3"/>
  <c r="AF220" i="3"/>
  <c r="AF278" i="3"/>
  <c r="AF144" i="3"/>
  <c r="AF280" i="3"/>
  <c r="AF281" i="3"/>
  <c r="AF60" i="3"/>
  <c r="AF217" i="3"/>
  <c r="AF341" i="3"/>
  <c r="AG341" i="3" s="1"/>
  <c r="AF403" i="3"/>
  <c r="AF21" i="3"/>
  <c r="AF491" i="3"/>
  <c r="AF20" i="3"/>
  <c r="AG20" i="3" s="1"/>
  <c r="AF433" i="3"/>
  <c r="AF408" i="3"/>
  <c r="AF523" i="3"/>
  <c r="AF471" i="3"/>
  <c r="AF167" i="3"/>
  <c r="AF488" i="3"/>
  <c r="AF361" i="3"/>
  <c r="AF258" i="3"/>
  <c r="AF240" i="3"/>
  <c r="AF261" i="3"/>
  <c r="AF504" i="3"/>
  <c r="AF78" i="3"/>
  <c r="AF459" i="3"/>
  <c r="AF128" i="3"/>
  <c r="AF40" i="3"/>
  <c r="AF522" i="3"/>
  <c r="AF180" i="3"/>
  <c r="AF114" i="3"/>
  <c r="AF447" i="3"/>
  <c r="AF414" i="3"/>
  <c r="AF481" i="3"/>
  <c r="AF246" i="3"/>
  <c r="AF62" i="3"/>
  <c r="AF50" i="3"/>
  <c r="AF159" i="3"/>
  <c r="AF100" i="3"/>
  <c r="AF175" i="3"/>
  <c r="AF44" i="3"/>
  <c r="AF139" i="3"/>
  <c r="AF288" i="3"/>
  <c r="AF46" i="3"/>
  <c r="AF107" i="3"/>
  <c r="AF445" i="3"/>
  <c r="AF483" i="3"/>
  <c r="AF376" i="3"/>
  <c r="AF446" i="3"/>
  <c r="AF404" i="3"/>
  <c r="AF34" i="3"/>
  <c r="AF377" i="3"/>
  <c r="AF367" i="3"/>
  <c r="AF482" i="3"/>
  <c r="AF490" i="3"/>
  <c r="AF126" i="3"/>
  <c r="AF294" i="3"/>
  <c r="AF424" i="3"/>
  <c r="AF453" i="3"/>
  <c r="AF455" i="3"/>
  <c r="AF346" i="3"/>
  <c r="AG346" i="3" s="1"/>
  <c r="AF207" i="3"/>
  <c r="AF345" i="3"/>
  <c r="AG345" i="3" s="1"/>
  <c r="AF405" i="3"/>
  <c r="AF505" i="3"/>
  <c r="AF137" i="3"/>
  <c r="AF222" i="3"/>
  <c r="AF218" i="3"/>
  <c r="AF14" i="3"/>
  <c r="AG14" i="3" s="1"/>
  <c r="AF378" i="3"/>
  <c r="AF179" i="3"/>
  <c r="AF73" i="3"/>
  <c r="AF195" i="3"/>
  <c r="AF384" i="3"/>
  <c r="AF387" i="3"/>
  <c r="AF206" i="3"/>
  <c r="AF54" i="3"/>
  <c r="AF154" i="3"/>
  <c r="AF435" i="3"/>
  <c r="AF194" i="3"/>
  <c r="AF7" i="3"/>
  <c r="AF109" i="3"/>
  <c r="AF369" i="3"/>
  <c r="AF426" i="3"/>
  <c r="AF359" i="3"/>
  <c r="AF169" i="3"/>
  <c r="AF478" i="3"/>
  <c r="AF328" i="3"/>
  <c r="AF363" i="3"/>
  <c r="AF431" i="3"/>
  <c r="AF232" i="3"/>
  <c r="AF43" i="3"/>
  <c r="AF215" i="3"/>
  <c r="AF279" i="3"/>
  <c r="AF95" i="3"/>
  <c r="AF135" i="3"/>
  <c r="AF106" i="3"/>
  <c r="AF142" i="3"/>
  <c r="AG142" i="3" s="1"/>
  <c r="AF262" i="3"/>
  <c r="AF409" i="3"/>
  <c r="AF51" i="3"/>
  <c r="AF12" i="3"/>
  <c r="AF344" i="3"/>
  <c r="AG344" i="3" s="1"/>
  <c r="AF474" i="3"/>
  <c r="AF70" i="3"/>
  <c r="AG70" i="3" s="1"/>
  <c r="AF67" i="3"/>
  <c r="AF274" i="3"/>
  <c r="AF304" i="3"/>
  <c r="AF473" i="3"/>
  <c r="AF122" i="3"/>
  <c r="W538" i="3"/>
  <c r="W492" i="3"/>
  <c r="W540" i="3"/>
  <c r="W267" i="3"/>
  <c r="W109" i="3"/>
  <c r="W524" i="3"/>
  <c r="W397" i="3"/>
  <c r="W467" i="3"/>
  <c r="W440" i="3"/>
  <c r="W378" i="3"/>
  <c r="W360" i="3"/>
  <c r="W114" i="3"/>
  <c r="W275" i="3"/>
  <c r="W250" i="3"/>
  <c r="W537" i="3"/>
  <c r="W367" i="3"/>
  <c r="W33" i="3"/>
  <c r="X33" i="3" s="1"/>
  <c r="W216" i="3"/>
  <c r="W403" i="3"/>
  <c r="W327" i="3"/>
  <c r="W14" i="3"/>
  <c r="X14" i="3" s="1"/>
  <c r="W50" i="3"/>
  <c r="X50" i="3" s="1"/>
  <c r="W488" i="3"/>
  <c r="W324" i="3"/>
  <c r="W389" i="3"/>
  <c r="W132" i="3"/>
  <c r="W157" i="3"/>
  <c r="X157" i="3" s="1"/>
  <c r="W64" i="3"/>
  <c r="W212" i="3"/>
  <c r="W167" i="3"/>
  <c r="W122" i="3"/>
  <c r="W411" i="3"/>
  <c r="W144" i="3"/>
  <c r="W316" i="3"/>
  <c r="W3" i="3"/>
  <c r="X3" i="3" s="1"/>
  <c r="AF3" i="3"/>
  <c r="AF6" i="3"/>
  <c r="AG6" i="3" s="1"/>
  <c r="W5" i="3"/>
  <c r="X5" i="3" s="1"/>
  <c r="W4" i="3"/>
  <c r="X4" i="3" s="1"/>
  <c r="AF4" i="3"/>
  <c r="AG4" i="3" s="1"/>
  <c r="W6" i="3"/>
  <c r="X6" i="3" s="1"/>
  <c r="AJ10" i="3"/>
  <c r="AI10" i="3" l="1"/>
  <c r="AI15" i="3"/>
  <c r="AJ15" i="3"/>
  <c r="AI14" i="3"/>
  <c r="AJ14" i="3"/>
  <c r="AK10" i="3" l="1"/>
  <c r="AK15" i="3"/>
  <c r="AC224" i="3" s="1"/>
  <c r="AD224" i="3" s="1"/>
  <c r="AK14" i="3"/>
  <c r="Z455" i="3" s="1"/>
  <c r="AA455" i="3" s="1"/>
  <c r="Z89" i="3" l="1"/>
  <c r="AA89" i="3" s="1"/>
  <c r="Z118" i="3"/>
  <c r="AA118" i="3" s="1"/>
  <c r="Z429" i="3"/>
  <c r="AA429" i="3" s="1"/>
  <c r="Z278" i="3"/>
  <c r="AA278" i="3" s="1"/>
  <c r="Z272" i="3"/>
  <c r="AA272" i="3" s="1"/>
  <c r="Z375" i="3"/>
  <c r="AA375" i="3" s="1"/>
  <c r="Z470" i="3"/>
  <c r="AA470" i="3" s="1"/>
  <c r="Z345" i="3"/>
  <c r="AA345" i="3" s="1"/>
  <c r="Z243" i="3"/>
  <c r="AA243" i="3" s="1"/>
  <c r="Z31" i="3"/>
  <c r="AA31" i="3" s="1"/>
  <c r="Z160" i="3"/>
  <c r="AA160" i="3" s="1"/>
  <c r="Z225" i="3"/>
  <c r="AA225" i="3" s="1"/>
  <c r="Z284" i="3"/>
  <c r="AA284" i="3" s="1"/>
  <c r="Z289" i="3"/>
  <c r="AA289" i="3" s="1"/>
  <c r="Z57" i="3"/>
  <c r="AA57" i="3" s="1"/>
  <c r="Z413" i="3"/>
  <c r="AA413" i="3" s="1"/>
  <c r="Z21" i="3"/>
  <c r="AA21" i="3" s="1"/>
  <c r="Z532" i="3"/>
  <c r="AA532" i="3" s="1"/>
  <c r="Z288" i="3"/>
  <c r="AA288" i="3" s="1"/>
  <c r="Z17" i="3"/>
  <c r="AA17" i="3" s="1"/>
  <c r="Z12" i="3"/>
  <c r="AA12" i="3" s="1"/>
  <c r="Z530" i="3"/>
  <c r="AA530" i="3" s="1"/>
  <c r="Z271" i="3"/>
  <c r="AA271" i="3" s="1"/>
  <c r="Z286" i="3"/>
  <c r="AA286" i="3" s="1"/>
  <c r="Z431" i="3"/>
  <c r="AA431" i="3" s="1"/>
  <c r="Z309" i="3"/>
  <c r="AA309" i="3" s="1"/>
  <c r="Z72" i="3"/>
  <c r="AA72" i="3" s="1"/>
  <c r="Z474" i="3"/>
  <c r="AA474" i="3" s="1"/>
  <c r="Z26" i="3"/>
  <c r="AA26" i="3" s="1"/>
  <c r="Z116" i="3"/>
  <c r="AA116" i="3" s="1"/>
  <c r="Z18" i="3"/>
  <c r="AA18" i="3" s="1"/>
  <c r="AC406" i="3"/>
  <c r="AD406" i="3" s="1"/>
  <c r="AC220" i="3"/>
  <c r="AD220" i="3" s="1"/>
  <c r="AC37" i="3"/>
  <c r="AD37" i="3" s="1"/>
  <c r="AC167" i="3"/>
  <c r="AD167" i="3" s="1"/>
  <c r="AC152" i="3"/>
  <c r="AD152" i="3" s="1"/>
  <c r="AC446" i="3"/>
  <c r="AD446" i="3" s="1"/>
  <c r="AC116" i="3"/>
  <c r="AD116" i="3" s="1"/>
  <c r="AC371" i="3"/>
  <c r="AD371" i="3" s="1"/>
  <c r="AC299" i="3"/>
  <c r="AD299" i="3" s="1"/>
  <c r="AC528" i="3"/>
  <c r="AD528" i="3" s="1"/>
  <c r="AC40" i="3"/>
  <c r="AD40" i="3" s="1"/>
  <c r="AC227" i="3"/>
  <c r="AD227" i="3" s="1"/>
  <c r="AC499" i="3"/>
  <c r="AD499" i="3" s="1"/>
  <c r="AC90" i="3"/>
  <c r="AD90" i="3" s="1"/>
  <c r="AC302" i="3"/>
  <c r="AD302" i="3" s="1"/>
  <c r="AC488" i="3"/>
  <c r="AD488" i="3" s="1"/>
  <c r="AC346" i="3"/>
  <c r="AD346" i="3" s="1"/>
  <c r="AC516" i="3"/>
  <c r="AD516" i="3" s="1"/>
  <c r="AC213" i="3"/>
  <c r="AD213" i="3" s="1"/>
  <c r="AC376" i="3"/>
  <c r="AD376" i="3" s="1"/>
  <c r="AC311" i="3"/>
  <c r="AD311" i="3" s="1"/>
  <c r="AC170" i="3"/>
  <c r="AD170" i="3" s="1"/>
  <c r="AC291" i="3"/>
  <c r="AD291" i="3" s="1"/>
  <c r="AC73" i="3"/>
  <c r="AD73" i="3" s="1"/>
  <c r="AC201" i="3"/>
  <c r="AD201" i="3" s="1"/>
  <c r="AC537" i="3"/>
  <c r="AD537" i="3" s="1"/>
  <c r="AC141" i="3"/>
  <c r="AD141" i="3" s="1"/>
  <c r="AC303" i="3"/>
  <c r="AD303" i="3" s="1"/>
  <c r="AC130" i="3"/>
  <c r="AD130" i="3" s="1"/>
  <c r="AC487" i="3"/>
  <c r="AD487" i="3" s="1"/>
  <c r="AC26" i="3"/>
  <c r="AD26" i="3" s="1"/>
  <c r="AC57" i="3"/>
  <c r="AD57" i="3" s="1"/>
  <c r="AC21" i="3"/>
  <c r="AD21" i="3" s="1"/>
  <c r="AC38" i="3"/>
  <c r="AD38" i="3" s="1"/>
  <c r="AC45" i="3"/>
  <c r="AD45" i="3" s="1"/>
  <c r="AC463" i="3"/>
  <c r="AD463" i="3" s="1"/>
  <c r="AC321" i="3"/>
  <c r="AD321" i="3" s="1"/>
  <c r="AC379" i="3"/>
  <c r="AD379" i="3" s="1"/>
  <c r="AC275" i="3"/>
  <c r="AD275" i="3" s="1"/>
  <c r="AC211" i="3"/>
  <c r="AD211" i="3" s="1"/>
  <c r="AC238" i="3"/>
  <c r="AD238" i="3" s="1"/>
  <c r="AC543" i="3"/>
  <c r="AD543" i="3" s="1"/>
  <c r="AC34" i="3"/>
  <c r="AD34" i="3" s="1"/>
  <c r="AC204" i="3"/>
  <c r="AD204" i="3" s="1"/>
  <c r="AC380" i="3"/>
  <c r="AD380" i="3" s="1"/>
  <c r="AC112" i="3"/>
  <c r="AD112" i="3" s="1"/>
  <c r="AC181" i="3"/>
  <c r="AD181" i="3" s="1"/>
  <c r="AC259" i="3"/>
  <c r="AD259" i="3" s="1"/>
  <c r="AC457" i="3"/>
  <c r="AD457" i="3" s="1"/>
  <c r="AC517" i="3"/>
  <c r="AD517" i="3" s="1"/>
  <c r="AC230" i="3"/>
  <c r="AD230" i="3" s="1"/>
  <c r="AC472" i="3"/>
  <c r="AD472" i="3" s="1"/>
  <c r="AC114" i="3"/>
  <c r="AD114" i="3" s="1"/>
  <c r="AC357" i="3"/>
  <c r="AD357" i="3" s="1"/>
  <c r="AC169" i="3"/>
  <c r="AD169" i="3" s="1"/>
  <c r="Z24" i="3"/>
  <c r="AA24" i="3" s="1"/>
  <c r="Z99" i="3"/>
  <c r="AA99" i="3" s="1"/>
  <c r="Z129" i="3"/>
  <c r="AA129" i="3" s="1"/>
  <c r="AC461" i="3"/>
  <c r="AD461" i="3" s="1"/>
  <c r="AC208" i="3"/>
  <c r="AD208" i="3" s="1"/>
  <c r="AC363" i="3"/>
  <c r="AD363" i="3" s="1"/>
  <c r="AC440" i="3"/>
  <c r="AD440" i="3" s="1"/>
  <c r="AC29" i="3"/>
  <c r="AD29" i="3" s="1"/>
  <c r="Z158" i="3"/>
  <c r="AA158" i="3" s="1"/>
  <c r="Z444" i="3"/>
  <c r="AA444" i="3" s="1"/>
  <c r="Z234" i="3"/>
  <c r="AA234" i="3" s="1"/>
  <c r="Z150" i="3"/>
  <c r="AA150" i="3" s="1"/>
  <c r="Z541" i="3"/>
  <c r="AA541" i="3" s="1"/>
  <c r="Z424" i="3"/>
  <c r="AA424" i="3" s="1"/>
  <c r="Z149" i="3"/>
  <c r="AA149" i="3" s="1"/>
  <c r="Z84" i="3"/>
  <c r="AA84" i="3" s="1"/>
  <c r="Z438" i="3"/>
  <c r="AA438" i="3" s="1"/>
  <c r="Z125" i="3"/>
  <c r="AA125" i="3" s="1"/>
  <c r="Z319" i="3"/>
  <c r="AA319" i="3" s="1"/>
  <c r="AC423" i="3"/>
  <c r="AD423" i="3" s="1"/>
  <c r="AC75" i="3"/>
  <c r="AD75" i="3" s="1"/>
  <c r="AC12" i="3"/>
  <c r="AD12" i="3" s="1"/>
  <c r="AC214" i="3"/>
  <c r="AD214" i="3" s="1"/>
  <c r="AC128" i="3"/>
  <c r="AD128" i="3" s="1"/>
  <c r="AC173" i="3"/>
  <c r="AD173" i="3" s="1"/>
  <c r="Z441" i="3"/>
  <c r="AA441" i="3" s="1"/>
  <c r="Z322" i="3"/>
  <c r="AA322" i="3" s="1"/>
  <c r="Z504" i="3"/>
  <c r="AA504" i="3" s="1"/>
  <c r="Z61" i="3"/>
  <c r="AA61" i="3" s="1"/>
  <c r="Z35" i="3"/>
  <c r="AA35" i="3" s="1"/>
  <c r="AC478" i="3"/>
  <c r="AD478" i="3" s="1"/>
  <c r="AC426" i="3"/>
  <c r="AD426" i="3" s="1"/>
  <c r="AC71" i="3"/>
  <c r="AD71" i="3" s="1"/>
  <c r="AC143" i="3"/>
  <c r="AD143" i="3" s="1"/>
  <c r="AC476" i="3"/>
  <c r="AD476" i="3" s="1"/>
  <c r="AC101" i="3"/>
  <c r="AD101" i="3" s="1"/>
  <c r="AC264" i="3"/>
  <c r="AD264" i="3" s="1"/>
  <c r="Z216" i="3"/>
  <c r="AA216" i="3" s="1"/>
  <c r="Z65" i="3"/>
  <c r="AA65" i="3" s="1"/>
  <c r="Z222" i="3"/>
  <c r="AA222" i="3" s="1"/>
  <c r="Z119" i="3"/>
  <c r="AA119" i="3" s="1"/>
  <c r="Z477" i="3"/>
  <c r="AA477" i="3" s="1"/>
  <c r="Z90" i="3"/>
  <c r="AA90" i="3" s="1"/>
  <c r="Z325" i="3"/>
  <c r="AA325" i="3" s="1"/>
  <c r="AC32" i="3"/>
  <c r="AD32" i="3" s="1"/>
  <c r="AC234" i="3"/>
  <c r="AD234" i="3" s="1"/>
  <c r="AC493" i="3"/>
  <c r="AD493" i="3" s="1"/>
  <c r="AC241" i="3"/>
  <c r="AD241" i="3" s="1"/>
  <c r="AC338" i="3"/>
  <c r="AD338" i="3" s="1"/>
  <c r="AC61" i="3"/>
  <c r="AD61" i="3" s="1"/>
  <c r="AC150" i="3"/>
  <c r="AD150" i="3" s="1"/>
  <c r="Z142" i="3"/>
  <c r="AA142" i="3" s="1"/>
  <c r="Z354" i="3"/>
  <c r="AA354" i="3" s="1"/>
  <c r="Z74" i="3"/>
  <c r="AA74" i="3" s="1"/>
  <c r="Z459" i="3"/>
  <c r="AA459" i="3" s="1"/>
  <c r="Z143" i="3"/>
  <c r="AA143" i="3" s="1"/>
  <c r="AC123" i="3"/>
  <c r="AD123" i="3" s="1"/>
  <c r="AC274" i="3"/>
  <c r="AD274" i="3" s="1"/>
  <c r="AC300" i="3"/>
  <c r="AD300" i="3" s="1"/>
  <c r="Z425" i="3"/>
  <c r="AA425" i="3" s="1"/>
  <c r="Z449" i="3"/>
  <c r="AA449" i="3" s="1"/>
  <c r="Z491" i="3"/>
  <c r="AA491" i="3" s="1"/>
  <c r="Z306" i="3"/>
  <c r="AA306" i="3" s="1"/>
  <c r="Z175" i="3"/>
  <c r="AA175" i="3" s="1"/>
  <c r="Z358" i="3"/>
  <c r="AA358" i="3" s="1"/>
  <c r="Z473" i="3"/>
  <c r="AA473" i="3" s="1"/>
  <c r="Z379" i="3"/>
  <c r="AA379" i="3" s="1"/>
  <c r="Z446" i="3"/>
  <c r="AA446" i="3" s="1"/>
  <c r="Z183" i="3"/>
  <c r="AA183" i="3" s="1"/>
  <c r="AC433" i="3"/>
  <c r="AD433" i="3" s="1"/>
  <c r="AC277" i="3"/>
  <c r="AD277" i="3" s="1"/>
  <c r="AC365" i="3"/>
  <c r="AD365" i="3" s="1"/>
  <c r="AC47" i="3"/>
  <c r="AD47" i="3" s="1"/>
  <c r="AC391" i="3"/>
  <c r="AD391" i="3" s="1"/>
  <c r="AC518" i="3"/>
  <c r="AD518" i="3" s="1"/>
  <c r="AC437" i="3"/>
  <c r="AD437" i="3" s="1"/>
  <c r="AC296" i="3"/>
  <c r="AD296" i="3" s="1"/>
  <c r="AC547" i="3"/>
  <c r="AD547" i="3" s="1"/>
  <c r="AC46" i="3"/>
  <c r="AD46" i="3" s="1"/>
  <c r="AC79" i="3"/>
  <c r="AD79" i="3" s="1"/>
  <c r="AC228" i="3"/>
  <c r="AD228" i="3" s="1"/>
  <c r="Z492" i="3"/>
  <c r="AA492" i="3" s="1"/>
  <c r="Z290" i="3"/>
  <c r="AA290" i="3" s="1"/>
  <c r="Z170" i="3"/>
  <c r="AA170" i="3" s="1"/>
  <c r="Z219" i="3"/>
  <c r="AA219" i="3" s="1"/>
  <c r="Z466" i="3"/>
  <c r="AA466" i="3" s="1"/>
  <c r="Z349" i="3"/>
  <c r="AA349" i="3" s="1"/>
  <c r="Z517" i="3"/>
  <c r="AA517" i="3" s="1"/>
  <c r="Z515" i="3"/>
  <c r="AA515" i="3" s="1"/>
  <c r="Z179" i="3"/>
  <c r="AA179" i="3" s="1"/>
  <c r="Z127" i="3"/>
  <c r="AA127" i="3" s="1"/>
  <c r="Z465" i="3"/>
  <c r="AA465" i="3" s="1"/>
  <c r="Z511" i="3"/>
  <c r="AA511" i="3" s="1"/>
  <c r="Z221" i="3"/>
  <c r="AA221" i="3" s="1"/>
  <c r="Z404" i="3"/>
  <c r="AA404" i="3" s="1"/>
  <c r="Z39" i="3"/>
  <c r="AA39" i="3" s="1"/>
  <c r="Z381" i="3"/>
  <c r="AA381" i="3" s="1"/>
  <c r="Z27" i="3"/>
  <c r="AA27" i="3" s="1"/>
  <c r="Z365" i="3"/>
  <c r="AA365" i="3" s="1"/>
  <c r="Z462" i="3"/>
  <c r="AA462" i="3" s="1"/>
  <c r="Z308" i="3"/>
  <c r="AA308" i="3" s="1"/>
  <c r="Z85" i="3"/>
  <c r="AA85" i="3" s="1"/>
  <c r="Z338" i="3"/>
  <c r="AA338" i="3" s="1"/>
  <c r="Z508" i="3"/>
  <c r="AA508" i="3" s="1"/>
  <c r="Z305" i="3"/>
  <c r="AA305" i="3" s="1"/>
  <c r="Z430" i="3"/>
  <c r="AA430" i="3" s="1"/>
  <c r="Z495" i="3"/>
  <c r="AA495" i="3" s="1"/>
  <c r="Z217" i="3"/>
  <c r="AA217" i="3" s="1"/>
  <c r="AC482" i="3"/>
  <c r="AD482" i="3" s="1"/>
  <c r="AC531" i="3"/>
  <c r="AD531" i="3" s="1"/>
  <c r="AC372" i="3"/>
  <c r="AD372" i="3" s="1"/>
  <c r="AC55" i="3"/>
  <c r="AD55" i="3" s="1"/>
  <c r="AC310" i="3"/>
  <c r="AD310" i="3" s="1"/>
  <c r="AC520" i="3"/>
  <c r="AD520" i="3" s="1"/>
  <c r="AC412" i="3"/>
  <c r="AD412" i="3" s="1"/>
  <c r="AC390" i="3"/>
  <c r="AD390" i="3" s="1"/>
  <c r="AC52" i="3"/>
  <c r="AD52" i="3" s="1"/>
  <c r="AC229" i="3"/>
  <c r="AD229" i="3" s="1"/>
  <c r="AC251" i="3"/>
  <c r="AD251" i="3" s="1"/>
  <c r="AC465" i="3"/>
  <c r="AD465" i="3" s="1"/>
  <c r="AC240" i="3"/>
  <c r="AD240" i="3" s="1"/>
  <c r="AC131" i="3"/>
  <c r="AD131" i="3" s="1"/>
  <c r="AC289" i="3"/>
  <c r="AD289" i="3" s="1"/>
  <c r="AC392" i="3"/>
  <c r="AD392" i="3" s="1"/>
  <c r="AC149" i="3"/>
  <c r="AD149" i="3" s="1"/>
  <c r="AC99" i="3"/>
  <c r="AD99" i="3" s="1"/>
  <c r="AC28" i="3"/>
  <c r="AD28" i="3" s="1"/>
  <c r="AC464" i="3"/>
  <c r="AD464" i="3" s="1"/>
  <c r="AC317" i="3"/>
  <c r="AD317" i="3" s="1"/>
  <c r="AC544" i="3"/>
  <c r="AD544" i="3" s="1"/>
  <c r="AC260" i="3"/>
  <c r="AD260" i="3" s="1"/>
  <c r="AC242" i="3"/>
  <c r="AD242" i="3" s="1"/>
  <c r="AC185" i="3"/>
  <c r="AD185" i="3" s="1"/>
  <c r="AC295" i="3"/>
  <c r="AD295" i="3" s="1"/>
  <c r="AC288" i="3"/>
  <c r="AD288" i="3" s="1"/>
  <c r="AC49" i="3"/>
  <c r="AD49" i="3" s="1"/>
  <c r="AC247" i="3"/>
  <c r="AD247" i="3" s="1"/>
  <c r="AC235" i="3"/>
  <c r="AD235" i="3" s="1"/>
  <c r="AC158" i="3"/>
  <c r="AD158" i="3" s="1"/>
  <c r="Z203" i="3"/>
  <c r="AA203" i="3" s="1"/>
  <c r="Z356" i="3"/>
  <c r="AA356" i="3" s="1"/>
  <c r="Z311" i="3"/>
  <c r="AA311" i="3" s="1"/>
  <c r="Z115" i="3"/>
  <c r="AA115" i="3" s="1"/>
  <c r="Z159" i="3"/>
  <c r="AA159" i="3" s="1"/>
  <c r="Z291" i="3"/>
  <c r="AA291" i="3" s="1"/>
  <c r="Z447" i="3"/>
  <c r="AA447" i="3" s="1"/>
  <c r="Z173" i="3"/>
  <c r="AA173" i="3" s="1"/>
  <c r="Z340" i="3"/>
  <c r="AA340" i="3" s="1"/>
  <c r="Z167" i="3"/>
  <c r="AA167" i="3" s="1"/>
  <c r="Z353" i="3"/>
  <c r="AA353" i="3" s="1"/>
  <c r="Z503" i="3"/>
  <c r="AA503" i="3" s="1"/>
  <c r="AC402" i="3"/>
  <c r="AD402" i="3" s="1"/>
  <c r="AC527" i="3"/>
  <c r="AD527" i="3" s="1"/>
  <c r="AC182" i="3"/>
  <c r="AD182" i="3" s="1"/>
  <c r="AC237" i="3"/>
  <c r="AD237" i="3" s="1"/>
  <c r="Z501" i="3"/>
  <c r="AA501" i="3" s="1"/>
  <c r="Z257" i="3"/>
  <c r="AA257" i="3" s="1"/>
  <c r="Z327" i="3"/>
  <c r="AA327" i="3" s="1"/>
  <c r="Z137" i="3"/>
  <c r="AA137" i="3" s="1"/>
  <c r="Z187" i="3"/>
  <c r="AA187" i="3" s="1"/>
  <c r="AC193" i="3"/>
  <c r="AD193" i="3" s="1"/>
  <c r="AC107" i="3"/>
  <c r="AD107" i="3" s="1"/>
  <c r="AC255" i="3"/>
  <c r="AD255" i="3" s="1"/>
  <c r="AC164" i="3"/>
  <c r="AD164" i="3" s="1"/>
  <c r="AC94" i="3"/>
  <c r="AD94" i="3" s="1"/>
  <c r="AC168" i="3"/>
  <c r="AD168" i="3" s="1"/>
  <c r="Z235" i="3"/>
  <c r="AA235" i="3" s="1"/>
  <c r="Z91" i="3"/>
  <c r="AA91" i="3" s="1"/>
  <c r="Z230" i="3"/>
  <c r="AA230" i="3" s="1"/>
  <c r="Z22" i="3"/>
  <c r="AA22" i="3" s="1"/>
  <c r="Z36" i="3"/>
  <c r="AA36" i="3" s="1"/>
  <c r="Z58" i="3"/>
  <c r="AA58" i="3" s="1"/>
  <c r="AC396" i="3"/>
  <c r="AD396" i="3" s="1"/>
  <c r="AC134" i="3"/>
  <c r="AD134" i="3" s="1"/>
  <c r="AC253" i="3"/>
  <c r="AD253" i="3" s="1"/>
  <c r="AC399" i="3"/>
  <c r="AD399" i="3" s="1"/>
  <c r="Z405" i="3"/>
  <c r="AA405" i="3" s="1"/>
  <c r="Z46" i="3"/>
  <c r="AA46" i="3" s="1"/>
  <c r="Z45" i="3"/>
  <c r="AA45" i="3" s="1"/>
  <c r="Z176" i="3"/>
  <c r="AA176" i="3" s="1"/>
  <c r="Z255" i="3"/>
  <c r="AA255" i="3" s="1"/>
  <c r="Z372" i="3"/>
  <c r="AA372" i="3" s="1"/>
  <c r="Z95" i="3"/>
  <c r="AA95" i="3" s="1"/>
  <c r="AC509" i="3"/>
  <c r="AD509" i="3" s="1"/>
  <c r="AC67" i="3"/>
  <c r="AD67" i="3" s="1"/>
  <c r="AC325" i="3"/>
  <c r="AD325" i="3" s="1"/>
  <c r="AC154" i="3"/>
  <c r="AD154" i="3" s="1"/>
  <c r="AC315" i="3"/>
  <c r="AD315" i="3" s="1"/>
  <c r="AC96" i="3"/>
  <c r="AD96" i="3" s="1"/>
  <c r="Z371" i="3"/>
  <c r="AA371" i="3" s="1"/>
  <c r="Z351" i="3"/>
  <c r="AA351" i="3" s="1"/>
  <c r="Z475" i="3"/>
  <c r="AA475" i="3" s="1"/>
  <c r="Z7" i="3"/>
  <c r="AA7" i="3" s="1"/>
  <c r="Z368" i="3"/>
  <c r="AA368" i="3" s="1"/>
  <c r="AC120" i="3"/>
  <c r="AD120" i="3" s="1"/>
  <c r="AC441" i="3"/>
  <c r="AD441" i="3" s="1"/>
  <c r="Z359" i="3"/>
  <c r="AA359" i="3" s="1"/>
  <c r="Z544" i="3"/>
  <c r="AA544" i="3" s="1"/>
  <c r="Z248" i="3"/>
  <c r="AA248" i="3" s="1"/>
  <c r="Z73" i="3"/>
  <c r="AA73" i="3" s="1"/>
  <c r="Z236" i="3"/>
  <c r="AA236" i="3" s="1"/>
  <c r="Z299" i="3"/>
  <c r="AA299" i="3" s="1"/>
  <c r="Z202" i="3"/>
  <c r="AA202" i="3" s="1"/>
  <c r="Z434" i="3"/>
  <c r="AA434" i="3" s="1"/>
  <c r="Z435" i="3"/>
  <c r="AA435" i="3" s="1"/>
  <c r="Z542" i="3"/>
  <c r="AA542" i="3" s="1"/>
  <c r="Z124" i="3"/>
  <c r="AA124" i="3" s="1"/>
  <c r="Z256" i="3"/>
  <c r="AA256" i="3" s="1"/>
  <c r="Z499" i="3"/>
  <c r="AA499" i="3" s="1"/>
  <c r="Z253" i="3"/>
  <c r="AA253" i="3" s="1"/>
  <c r="Z212" i="3"/>
  <c r="AA212" i="3" s="1"/>
  <c r="Z178" i="3"/>
  <c r="AA178" i="3" s="1"/>
  <c r="Z152" i="3"/>
  <c r="AA152" i="3" s="1"/>
  <c r="Z246" i="3"/>
  <c r="AA246" i="3" s="1"/>
  <c r="Z294" i="3"/>
  <c r="AA294" i="3" s="1"/>
  <c r="Z418" i="3"/>
  <c r="AA418" i="3" s="1"/>
  <c r="Z136" i="3"/>
  <c r="AA136" i="3" s="1"/>
  <c r="Z103" i="3"/>
  <c r="AA103" i="3" s="1"/>
  <c r="Z162" i="3"/>
  <c r="AA162" i="3" s="1"/>
  <c r="Z88" i="3"/>
  <c r="AA88" i="3" s="1"/>
  <c r="Z481" i="3"/>
  <c r="AA481" i="3" s="1"/>
  <c r="Z252" i="3"/>
  <c r="AA252" i="3" s="1"/>
  <c r="Z396" i="3"/>
  <c r="AA396" i="3" s="1"/>
  <c r="Z296" i="3"/>
  <c r="AA296" i="3" s="1"/>
  <c r="Z523" i="3"/>
  <c r="AA523" i="3" s="1"/>
  <c r="Z314" i="3"/>
  <c r="AA314" i="3" s="1"/>
  <c r="Z139" i="3"/>
  <c r="AA139" i="3" s="1"/>
  <c r="Z497" i="3"/>
  <c r="AA497" i="3" s="1"/>
  <c r="Z484" i="3"/>
  <c r="AA484" i="3" s="1"/>
  <c r="Z123" i="3"/>
  <c r="AA123" i="3" s="1"/>
  <c r="Z315" i="3"/>
  <c r="AA315" i="3" s="1"/>
  <c r="Z420" i="3"/>
  <c r="AA420" i="3" s="1"/>
  <c r="Z452" i="3"/>
  <c r="AA452" i="3" s="1"/>
  <c r="Z163" i="3"/>
  <c r="AA163" i="3" s="1"/>
  <c r="Z398" i="3"/>
  <c r="AA398" i="3" s="1"/>
  <c r="Z189" i="3"/>
  <c r="AA189" i="3" s="1"/>
  <c r="Z329" i="3"/>
  <c r="AA329" i="3" s="1"/>
  <c r="AC386" i="3"/>
  <c r="AD386" i="3" s="1"/>
  <c r="AC318" i="3"/>
  <c r="AD318" i="3" s="1"/>
  <c r="AC117" i="3"/>
  <c r="AD117" i="3" s="1"/>
  <c r="AC252" i="3"/>
  <c r="AD252" i="3" s="1"/>
  <c r="AC343" i="3"/>
  <c r="AD343" i="3" s="1"/>
  <c r="AC17" i="3"/>
  <c r="AD17" i="3" s="1"/>
  <c r="AC308" i="3"/>
  <c r="AD308" i="3" s="1"/>
  <c r="AC523" i="3"/>
  <c r="AD523" i="3" s="1"/>
  <c r="AC364" i="3"/>
  <c r="AD364" i="3" s="1"/>
  <c r="AC269" i="3"/>
  <c r="AD269" i="3" s="1"/>
  <c r="AC175" i="3"/>
  <c r="AD175" i="3" s="1"/>
  <c r="AC512" i="3"/>
  <c r="AD512" i="3" s="1"/>
  <c r="AC223" i="3"/>
  <c r="AD223" i="3" s="1"/>
  <c r="AC133" i="3"/>
  <c r="AD133" i="3" s="1"/>
  <c r="AC489" i="3"/>
  <c r="AD489" i="3" s="1"/>
  <c r="AC524" i="3"/>
  <c r="AD524" i="3" s="1"/>
  <c r="AC132" i="3"/>
  <c r="AD132" i="3" s="1"/>
  <c r="AC374" i="3"/>
  <c r="AD374" i="3" s="1"/>
  <c r="AC495" i="3"/>
  <c r="AD495" i="3" s="1"/>
  <c r="AC102" i="3"/>
  <c r="AD102" i="3" s="1"/>
  <c r="AC199" i="3"/>
  <c r="AD199" i="3" s="1"/>
  <c r="AC497" i="3"/>
  <c r="AD497" i="3" s="1"/>
  <c r="AC511" i="3"/>
  <c r="AD511" i="3" s="1"/>
  <c r="AC485" i="3"/>
  <c r="AD485" i="3" s="1"/>
  <c r="AC359" i="3"/>
  <c r="AD359" i="3" s="1"/>
  <c r="AC119" i="3"/>
  <c r="AD119" i="3" s="1"/>
  <c r="AC89" i="3"/>
  <c r="AD89" i="3" s="1"/>
  <c r="AC453" i="3"/>
  <c r="AD453" i="3" s="1"/>
  <c r="AC77" i="3"/>
  <c r="AD77" i="3" s="1"/>
  <c r="AC140" i="3"/>
  <c r="AD140" i="3" s="1"/>
  <c r="AC404" i="3"/>
  <c r="AD404" i="3" s="1"/>
  <c r="Z122" i="3"/>
  <c r="AA122" i="3" s="1"/>
  <c r="Z48" i="3"/>
  <c r="AA48" i="3" s="1"/>
  <c r="Z23" i="3"/>
  <c r="AA23" i="3" s="1"/>
  <c r="Z297" i="3"/>
  <c r="AA297" i="3" s="1"/>
  <c r="Z98" i="3"/>
  <c r="AA98" i="3" s="1"/>
  <c r="Z341" i="3"/>
  <c r="AA341" i="3" s="1"/>
  <c r="Z53" i="3"/>
  <c r="AA53" i="3" s="1"/>
  <c r="Z301" i="3"/>
  <c r="AA301" i="3" s="1"/>
  <c r="Z263" i="3"/>
  <c r="AA263" i="3" s="1"/>
  <c r="Z146" i="3"/>
  <c r="AA146" i="3" s="1"/>
  <c r="Z387" i="3"/>
  <c r="AA387" i="3" s="1"/>
  <c r="AC226" i="3"/>
  <c r="AD226" i="3" s="1"/>
  <c r="AC221" i="3"/>
  <c r="AD221" i="3" s="1"/>
  <c r="AC443" i="3"/>
  <c r="AD443" i="3" s="1"/>
  <c r="AC202" i="3"/>
  <c r="AD202" i="3" s="1"/>
  <c r="Z66" i="3"/>
  <c r="AA66" i="3" s="1"/>
  <c r="Z240" i="3"/>
  <c r="AA240" i="3" s="1"/>
  <c r="Z335" i="3"/>
  <c r="AA335" i="3" s="1"/>
  <c r="Z275" i="3"/>
  <c r="AA275" i="3" s="1"/>
  <c r="Z346" i="3"/>
  <c r="AA346" i="3" s="1"/>
  <c r="Z132" i="3"/>
  <c r="AA132" i="3" s="1"/>
  <c r="AC545" i="3"/>
  <c r="AD545" i="3" s="1"/>
  <c r="AC362" i="3"/>
  <c r="AD362" i="3" s="1"/>
  <c r="AC176" i="3"/>
  <c r="AD176" i="3" s="1"/>
  <c r="AC64" i="3"/>
  <c r="AD64" i="3" s="1"/>
  <c r="AC536" i="3"/>
  <c r="AD536" i="3" s="1"/>
  <c r="AC19" i="3"/>
  <c r="AD19" i="3" s="1"/>
  <c r="Z395" i="3"/>
  <c r="AA395" i="3" s="1"/>
  <c r="Z531" i="3"/>
  <c r="AA531" i="3" s="1"/>
  <c r="Z81" i="3"/>
  <c r="AA81" i="3" s="1"/>
  <c r="Z47" i="3"/>
  <c r="AA47" i="3" s="1"/>
  <c r="Z464" i="3"/>
  <c r="AA464" i="3" s="1"/>
  <c r="Z147" i="3"/>
  <c r="AA147" i="3" s="1"/>
  <c r="Z320" i="3"/>
  <c r="AA320" i="3" s="1"/>
  <c r="AC186" i="3"/>
  <c r="AD186" i="3" s="1"/>
  <c r="AC160" i="3"/>
  <c r="AD160" i="3" s="1"/>
  <c r="AC172" i="3"/>
  <c r="AD172" i="3" s="1"/>
  <c r="AC501" i="3"/>
  <c r="AD501" i="3" s="1"/>
  <c r="AC510" i="3"/>
  <c r="AD510" i="3" s="1"/>
  <c r="AC352" i="3"/>
  <c r="AD352" i="3" s="1"/>
  <c r="Z188" i="3"/>
  <c r="AA188" i="3" s="1"/>
  <c r="Z51" i="3"/>
  <c r="AA51" i="3" s="1"/>
  <c r="Z29" i="3"/>
  <c r="AA29" i="3" s="1"/>
  <c r="Z211" i="3"/>
  <c r="AA211" i="3" s="1"/>
  <c r="Z428" i="3"/>
  <c r="AA428" i="3" s="1"/>
  <c r="AC452" i="3"/>
  <c r="AD452" i="3" s="1"/>
  <c r="AC276" i="3"/>
  <c r="AD276" i="3" s="1"/>
  <c r="AC53" i="3"/>
  <c r="AD53" i="3" s="1"/>
  <c r="Z333" i="3"/>
  <c r="AA333" i="3" s="1"/>
  <c r="Z112" i="3"/>
  <c r="AA112" i="3" s="1"/>
  <c r="Z206" i="3"/>
  <c r="AA206" i="3" s="1"/>
  <c r="Z280" i="3"/>
  <c r="AA280" i="3" s="1"/>
  <c r="Z521" i="3"/>
  <c r="AA521" i="3" s="1"/>
  <c r="Z244" i="3"/>
  <c r="AA244" i="3" s="1"/>
  <c r="Z94" i="3"/>
  <c r="AA94" i="3" s="1"/>
  <c r="Z512" i="3"/>
  <c r="AA512" i="3" s="1"/>
  <c r="Z408" i="3"/>
  <c r="AA408" i="3" s="1"/>
  <c r="Z479" i="3"/>
  <c r="AA479" i="3" s="1"/>
  <c r="AC189" i="3"/>
  <c r="AD189" i="3" s="1"/>
  <c r="AC378" i="3"/>
  <c r="AD378" i="3" s="1"/>
  <c r="AC525" i="3"/>
  <c r="AD525" i="3" s="1"/>
  <c r="AC287" i="3"/>
  <c r="AD287" i="3" s="1"/>
  <c r="AC405" i="3"/>
  <c r="AD405" i="3" s="1"/>
  <c r="AC265" i="3"/>
  <c r="AD265" i="3" s="1"/>
  <c r="AC233" i="3"/>
  <c r="AD233" i="3" s="1"/>
  <c r="AC420" i="3"/>
  <c r="AD420" i="3" s="1"/>
  <c r="AC78" i="3"/>
  <c r="AD78" i="3" s="1"/>
  <c r="AC329" i="3"/>
  <c r="AD329" i="3" s="1"/>
  <c r="AC354" i="3"/>
  <c r="AD354" i="3" s="1"/>
  <c r="AC10" i="3"/>
  <c r="AD10" i="3" s="1"/>
  <c r="AC137" i="3"/>
  <c r="AD137" i="3" s="1"/>
  <c r="Z377" i="3"/>
  <c r="AA377" i="3" s="1"/>
  <c r="Z463" i="3"/>
  <c r="AA463" i="3" s="1"/>
  <c r="Z241" i="3"/>
  <c r="AA241" i="3" s="1"/>
  <c r="Z228" i="3"/>
  <c r="AA228" i="3" s="1"/>
  <c r="Z328" i="3"/>
  <c r="AA328" i="3" s="1"/>
  <c r="Z374" i="3"/>
  <c r="AA374" i="3" s="1"/>
  <c r="Z367" i="3"/>
  <c r="AA367" i="3" s="1"/>
  <c r="Z259" i="3"/>
  <c r="AA259" i="3" s="1"/>
  <c r="Z390" i="3"/>
  <c r="AA390" i="3" s="1"/>
  <c r="Z538" i="3"/>
  <c r="AA538" i="3" s="1"/>
  <c r="Z121" i="3"/>
  <c r="AA121" i="3" s="1"/>
  <c r="Z344" i="3"/>
  <c r="AA344" i="3" s="1"/>
  <c r="Z54" i="3"/>
  <c r="AA54" i="3" s="1"/>
  <c r="Z393" i="3"/>
  <c r="AA393" i="3" s="1"/>
  <c r="Z44" i="3"/>
  <c r="AA44" i="3" s="1"/>
  <c r="Z489" i="3"/>
  <c r="AA489" i="3" s="1"/>
  <c r="Z382" i="3"/>
  <c r="AA382" i="3" s="1"/>
  <c r="Z193" i="3"/>
  <c r="AA193" i="3" s="1"/>
  <c r="Z432" i="3"/>
  <c r="AA432" i="3" s="1"/>
  <c r="Z9" i="3"/>
  <c r="AA9" i="3" s="1"/>
  <c r="Z134" i="3"/>
  <c r="AA134" i="3" s="1"/>
  <c r="Z350" i="3"/>
  <c r="AA350" i="3" s="1"/>
  <c r="Z79" i="3"/>
  <c r="AA79" i="3" s="1"/>
  <c r="Z109" i="3"/>
  <c r="AA109" i="3" s="1"/>
  <c r="Z535" i="3"/>
  <c r="AA535" i="3" s="1"/>
  <c r="Z388" i="3"/>
  <c r="AA388" i="3" s="1"/>
  <c r="Z496" i="3"/>
  <c r="AA496" i="3" s="1"/>
  <c r="Z209" i="3"/>
  <c r="AA209" i="3" s="1"/>
  <c r="AC54" i="3"/>
  <c r="AD54" i="3" s="1"/>
  <c r="AC451" i="3"/>
  <c r="AD451" i="3" s="1"/>
  <c r="AC377" i="3"/>
  <c r="AD377" i="3" s="1"/>
  <c r="AC281" i="3"/>
  <c r="AD281" i="3" s="1"/>
  <c r="AC369" i="3"/>
  <c r="AD369" i="3" s="1"/>
  <c r="AC219" i="3"/>
  <c r="AD219" i="3" s="1"/>
  <c r="AC92" i="3"/>
  <c r="AD92" i="3" s="1"/>
  <c r="AC381" i="3"/>
  <c r="AD381" i="3" s="1"/>
  <c r="AC63" i="3"/>
  <c r="AD63" i="3" s="1"/>
  <c r="AC503" i="3"/>
  <c r="AD503" i="3" s="1"/>
  <c r="AC58" i="3"/>
  <c r="AD58" i="3" s="1"/>
  <c r="AC200" i="3"/>
  <c r="AD200" i="3" s="1"/>
  <c r="AC500" i="3"/>
  <c r="AD500" i="3" s="1"/>
  <c r="AC278" i="3"/>
  <c r="AD278" i="3" s="1"/>
  <c r="AC108" i="3"/>
  <c r="AD108" i="3" s="1"/>
  <c r="AC454" i="3"/>
  <c r="AD454" i="3" s="1"/>
  <c r="AC192" i="3"/>
  <c r="AD192" i="3" s="1"/>
  <c r="AC145" i="3"/>
  <c r="AD145" i="3" s="1"/>
  <c r="AC522" i="3"/>
  <c r="AD522" i="3" s="1"/>
  <c r="AC222" i="3"/>
  <c r="AD222" i="3" s="1"/>
  <c r="AC162" i="3"/>
  <c r="AD162" i="3" s="1"/>
  <c r="AC375" i="3"/>
  <c r="AD375" i="3" s="1"/>
  <c r="AC448" i="3"/>
  <c r="AD448" i="3" s="1"/>
  <c r="AC483" i="3"/>
  <c r="AD483" i="3" s="1"/>
  <c r="AC540" i="3"/>
  <c r="AD540" i="3" s="1"/>
  <c r="AC403" i="3"/>
  <c r="AD403" i="3" s="1"/>
  <c r="AC118" i="3"/>
  <c r="AD118" i="3" s="1"/>
  <c r="AC245" i="3"/>
  <c r="AD245" i="3" s="1"/>
  <c r="AC93" i="3"/>
  <c r="AD93" i="3" s="1"/>
  <c r="AC151" i="3"/>
  <c r="AD151" i="3" s="1"/>
  <c r="AC435" i="3"/>
  <c r="AD435" i="3" s="1"/>
  <c r="Z220" i="3"/>
  <c r="AA220" i="3" s="1"/>
  <c r="Z68" i="3"/>
  <c r="AA68" i="3" s="1"/>
  <c r="Z336" i="3"/>
  <c r="AA336" i="3" s="1"/>
  <c r="Z505" i="3"/>
  <c r="AA505" i="3" s="1"/>
  <c r="Z101" i="3"/>
  <c r="AA101" i="3" s="1"/>
  <c r="Z402" i="3"/>
  <c r="AA402" i="3" s="1"/>
  <c r="Z204" i="3"/>
  <c r="AA204" i="3" s="1"/>
  <c r="Z70" i="3"/>
  <c r="AA70" i="3" s="1"/>
  <c r="Z507" i="3"/>
  <c r="AA507" i="3" s="1"/>
  <c r="Z440" i="3"/>
  <c r="AA440" i="3" s="1"/>
  <c r="Z96" i="3"/>
  <c r="AA96" i="3" s="1"/>
  <c r="Z214" i="3"/>
  <c r="AA214" i="3" s="1"/>
  <c r="Z456" i="3"/>
  <c r="AA456" i="3" s="1"/>
  <c r="AC50" i="3"/>
  <c r="AD50" i="3" s="1"/>
  <c r="AC326" i="3"/>
  <c r="AD326" i="3" s="1"/>
  <c r="AC166" i="3"/>
  <c r="AD166" i="3" s="1"/>
  <c r="AC313" i="3"/>
  <c r="AD313" i="3" s="1"/>
  <c r="Z386" i="3"/>
  <c r="AA386" i="3" s="1"/>
  <c r="Z165" i="3"/>
  <c r="AA165" i="3" s="1"/>
  <c r="Z67" i="3"/>
  <c r="AA67" i="3" s="1"/>
  <c r="Z337" i="3"/>
  <c r="AA337" i="3" s="1"/>
  <c r="Z526" i="3"/>
  <c r="AA526" i="3" s="1"/>
  <c r="AC477" i="3"/>
  <c r="AD477" i="3" s="1"/>
  <c r="AC87" i="3"/>
  <c r="AD87" i="3" s="1"/>
  <c r="AC366" i="3"/>
  <c r="AD366" i="3" s="1"/>
  <c r="AC109" i="3"/>
  <c r="AD109" i="3" s="1"/>
  <c r="AC261" i="3"/>
  <c r="AD261" i="3" s="1"/>
  <c r="Z15" i="3"/>
  <c r="AA15" i="3" s="1"/>
  <c r="Z164" i="3"/>
  <c r="AA164" i="3" s="1"/>
  <c r="Z254" i="3"/>
  <c r="AA254" i="3" s="1"/>
  <c r="Z169" i="3"/>
  <c r="AA169" i="3" s="1"/>
  <c r="Z75" i="3"/>
  <c r="AA75" i="3" s="1"/>
  <c r="AC30" i="3"/>
  <c r="AD30" i="3" s="1"/>
  <c r="AC341" i="3"/>
  <c r="AD341" i="3" s="1"/>
  <c r="AC183" i="3"/>
  <c r="AD183" i="3" s="1"/>
  <c r="AC505" i="3"/>
  <c r="AD505" i="3" s="1"/>
  <c r="AC82" i="3"/>
  <c r="AD82" i="3" s="1"/>
  <c r="Z366" i="3"/>
  <c r="AA366" i="3" s="1"/>
  <c r="Z363" i="3"/>
  <c r="AA363" i="3" s="1"/>
  <c r="Z417" i="3"/>
  <c r="AA417" i="3" s="1"/>
  <c r="Z397" i="3"/>
  <c r="AA397" i="3" s="1"/>
  <c r="Z38" i="3"/>
  <c r="AA38" i="3" s="1"/>
  <c r="Z114" i="3"/>
  <c r="AA114" i="3" s="1"/>
  <c r="Z316" i="3"/>
  <c r="AA316" i="3" s="1"/>
  <c r="AC473" i="3"/>
  <c r="AD473" i="3" s="1"/>
  <c r="AC416" i="3"/>
  <c r="AD416" i="3" s="1"/>
  <c r="AC179" i="3"/>
  <c r="AD179" i="3" s="1"/>
  <c r="AC136" i="3"/>
  <c r="AD136" i="3" s="1"/>
  <c r="AC231" i="3"/>
  <c r="AD231" i="3" s="1"/>
  <c r="AC344" i="3"/>
  <c r="AD344" i="3" s="1"/>
  <c r="Z300" i="3"/>
  <c r="AA300" i="3" s="1"/>
  <c r="Z360" i="3"/>
  <c r="AA360" i="3" s="1"/>
  <c r="Z276" i="3"/>
  <c r="AA276" i="3" s="1"/>
  <c r="Z247" i="3"/>
  <c r="AA247" i="3" s="1"/>
  <c r="AC456" i="3"/>
  <c r="AD456" i="3" s="1"/>
  <c r="AC538" i="3"/>
  <c r="AD538" i="3" s="1"/>
  <c r="Z519" i="3"/>
  <c r="AA519" i="3" s="1"/>
  <c r="Z546" i="3"/>
  <c r="AA546" i="3" s="1"/>
  <c r="Z355" i="3"/>
  <c r="AA355" i="3" s="1"/>
  <c r="Z205" i="3"/>
  <c r="AA205" i="3" s="1"/>
  <c r="Z421" i="3"/>
  <c r="AA421" i="3" s="1"/>
  <c r="Z49" i="3"/>
  <c r="AA49" i="3" s="1"/>
  <c r="Z130" i="3"/>
  <c r="AA130" i="3" s="1"/>
  <c r="Z120" i="3"/>
  <c r="AA120" i="3" s="1"/>
  <c r="Z102" i="3"/>
  <c r="AA102" i="3" s="1"/>
  <c r="Z534" i="3"/>
  <c r="AA534" i="3" s="1"/>
  <c r="Z264" i="3"/>
  <c r="AA264" i="3" s="1"/>
  <c r="Z41" i="3"/>
  <c r="AA41" i="3" s="1"/>
  <c r="Z111" i="3"/>
  <c r="AA111" i="3" s="1"/>
  <c r="Z166" i="3"/>
  <c r="AA166" i="3" s="1"/>
  <c r="Z483" i="3"/>
  <c r="AA483" i="3" s="1"/>
  <c r="Z198" i="3"/>
  <c r="AA198" i="3" s="1"/>
  <c r="Z190" i="3"/>
  <c r="AA190" i="3" s="1"/>
  <c r="Z200" i="3"/>
  <c r="AA200" i="3" s="1"/>
  <c r="Z197" i="3"/>
  <c r="AA197" i="3" s="1"/>
  <c r="Z313" i="3"/>
  <c r="AA313" i="3" s="1"/>
  <c r="Z323" i="3"/>
  <c r="AA323" i="3" s="1"/>
  <c r="Z82" i="3"/>
  <c r="AA82" i="3" s="1"/>
  <c r="Z339" i="3"/>
  <c r="AA339" i="3" s="1"/>
  <c r="Z37" i="3"/>
  <c r="AA37" i="3" s="1"/>
  <c r="Z107" i="3"/>
  <c r="AA107" i="3" s="1"/>
  <c r="Z229" i="3"/>
  <c r="AA229" i="3" s="1"/>
  <c r="Z233" i="3"/>
  <c r="AA233" i="3" s="1"/>
  <c r="Z419" i="3"/>
  <c r="AA419" i="3" s="1"/>
  <c r="Z545" i="3"/>
  <c r="AA545" i="3" s="1"/>
  <c r="Z83" i="3"/>
  <c r="AA83" i="3" s="1"/>
  <c r="Z251" i="3"/>
  <c r="AA251" i="3" s="1"/>
  <c r="Z364" i="3"/>
  <c r="AA364" i="3" s="1"/>
  <c r="Z472" i="3"/>
  <c r="AA472" i="3" s="1"/>
  <c r="Z238" i="3"/>
  <c r="AA238" i="3" s="1"/>
  <c r="Z161" i="3"/>
  <c r="AA161" i="3" s="1"/>
  <c r="Z239" i="3"/>
  <c r="AA239" i="3" s="1"/>
  <c r="Z195" i="3"/>
  <c r="AA195" i="3" s="1"/>
  <c r="Z181" i="3"/>
  <c r="AA181" i="3" s="1"/>
  <c r="Z437" i="3"/>
  <c r="AA437" i="3" s="1"/>
  <c r="Z373" i="3"/>
  <c r="AA373" i="3" s="1"/>
  <c r="AC244" i="3"/>
  <c r="AD244" i="3" s="1"/>
  <c r="AC419" i="3"/>
  <c r="AD419" i="3" s="1"/>
  <c r="AC349" i="3"/>
  <c r="AD349" i="3" s="1"/>
  <c r="AC68" i="3"/>
  <c r="AD68" i="3" s="1"/>
  <c r="AC91" i="3"/>
  <c r="AD91" i="3" s="1"/>
  <c r="AC432" i="3"/>
  <c r="AD432" i="3" s="1"/>
  <c r="AC39" i="3"/>
  <c r="AD39" i="3" s="1"/>
  <c r="AC428" i="3"/>
  <c r="AD428" i="3" s="1"/>
  <c r="AC334" i="3"/>
  <c r="AD334" i="3" s="1"/>
  <c r="AC9" i="3"/>
  <c r="AD9" i="3" s="1"/>
  <c r="AC345" i="3"/>
  <c r="AD345" i="3" s="1"/>
  <c r="AC144" i="3"/>
  <c r="AD144" i="3" s="1"/>
  <c r="AC546" i="3"/>
  <c r="AD546" i="3" s="1"/>
  <c r="AC436" i="3"/>
  <c r="AD436" i="3" s="1"/>
  <c r="AC44" i="3"/>
  <c r="AD44" i="3" s="1"/>
  <c r="AC301" i="3"/>
  <c r="AD301" i="3" s="1"/>
  <c r="AC408" i="3"/>
  <c r="AD408" i="3" s="1"/>
  <c r="AC475" i="3"/>
  <c r="AD475" i="3" s="1"/>
  <c r="AC502" i="3"/>
  <c r="AD502" i="3" s="1"/>
  <c r="AC36" i="3"/>
  <c r="AD36" i="3" s="1"/>
  <c r="AC458" i="3"/>
  <c r="AD458" i="3" s="1"/>
  <c r="AC203" i="3"/>
  <c r="AD203" i="3" s="1"/>
  <c r="AC491" i="3"/>
  <c r="AD491" i="3" s="1"/>
  <c r="AC24" i="3"/>
  <c r="AD24" i="3" s="1"/>
  <c r="AC414" i="3"/>
  <c r="AD414" i="3" s="1"/>
  <c r="AC85" i="3"/>
  <c r="AD85" i="3" s="1"/>
  <c r="AC142" i="3"/>
  <c r="AD142" i="3" s="1"/>
  <c r="AC314" i="3"/>
  <c r="AD314" i="3" s="1"/>
  <c r="AC177" i="3"/>
  <c r="AD177" i="3" s="1"/>
  <c r="AC83" i="3"/>
  <c r="AD83" i="3" s="1"/>
  <c r="AC542" i="3"/>
  <c r="AD542" i="3" s="1"/>
  <c r="Z453" i="3"/>
  <c r="AA453" i="3" s="1"/>
  <c r="Z412" i="3"/>
  <c r="AA412" i="3" s="1"/>
  <c r="Z403" i="3"/>
  <c r="AA403" i="3" s="1"/>
  <c r="Z448" i="3"/>
  <c r="AA448" i="3" s="1"/>
  <c r="Z416" i="3"/>
  <c r="AA416" i="3" s="1"/>
  <c r="Z543" i="3"/>
  <c r="AA543" i="3" s="1"/>
  <c r="Z357" i="3"/>
  <c r="AA357" i="3" s="1"/>
  <c r="Z537" i="3"/>
  <c r="AA537" i="3" s="1"/>
  <c r="Z182" i="3"/>
  <c r="AA182" i="3" s="1"/>
  <c r="Z237" i="3"/>
  <c r="AA237" i="3" s="1"/>
  <c r="Z454" i="3"/>
  <c r="AA454" i="3" s="1"/>
  <c r="Z385" i="3"/>
  <c r="AA385" i="3" s="1"/>
  <c r="Z352" i="3"/>
  <c r="AA352" i="3" s="1"/>
  <c r="Z105" i="3"/>
  <c r="AA105" i="3" s="1"/>
  <c r="Z191" i="3"/>
  <c r="AA191" i="3" s="1"/>
  <c r="Z436" i="3"/>
  <c r="AA436" i="3" s="1"/>
  <c r="Z62" i="3"/>
  <c r="AA62" i="3" s="1"/>
  <c r="Z148" i="3"/>
  <c r="AA148" i="3" s="1"/>
  <c r="Z42" i="3"/>
  <c r="AA42" i="3" s="1"/>
  <c r="Z293" i="3"/>
  <c r="AA293" i="3" s="1"/>
  <c r="AC370" i="3"/>
  <c r="AD370" i="3" s="1"/>
  <c r="AC355" i="3"/>
  <c r="AD355" i="3" s="1"/>
  <c r="AC103" i="3"/>
  <c r="AD103" i="3" s="1"/>
  <c r="AC84" i="3"/>
  <c r="AD84" i="3" s="1"/>
  <c r="AC23" i="3"/>
  <c r="AD23" i="3" s="1"/>
  <c r="AC394" i="3"/>
  <c r="AD394" i="3" s="1"/>
  <c r="AC147" i="3"/>
  <c r="AD147" i="3" s="1"/>
  <c r="AC447" i="3"/>
  <c r="AD447" i="3" s="1"/>
  <c r="AC8" i="3"/>
  <c r="AD8" i="3" s="1"/>
  <c r="AC474" i="3"/>
  <c r="AD474" i="3" s="1"/>
  <c r="AC467" i="3"/>
  <c r="AD467" i="3" s="1"/>
  <c r="AC450" i="3"/>
  <c r="AD450" i="3" s="1"/>
  <c r="AC496" i="3"/>
  <c r="AD496" i="3" s="1"/>
  <c r="Z457" i="3"/>
  <c r="AA457" i="3" s="1"/>
  <c r="Z414" i="3"/>
  <c r="AA414" i="3" s="1"/>
  <c r="Z533" i="3"/>
  <c r="AA533" i="3" s="1"/>
  <c r="Z20" i="3"/>
  <c r="AA20" i="3" s="1"/>
  <c r="Z488" i="3"/>
  <c r="AA488" i="3" s="1"/>
  <c r="Z215" i="3"/>
  <c r="AA215" i="3" s="1"/>
  <c r="Z426" i="3"/>
  <c r="AA426" i="3" s="1"/>
  <c r="Z298" i="3"/>
  <c r="AA298" i="3" s="1"/>
  <c r="Z383" i="3"/>
  <c r="AA383" i="3" s="1"/>
  <c r="Z362" i="3"/>
  <c r="AA362" i="3" s="1"/>
  <c r="Z266" i="3"/>
  <c r="AA266" i="3" s="1"/>
  <c r="Z141" i="3"/>
  <c r="AA141" i="3" s="1"/>
  <c r="AC353" i="3"/>
  <c r="AD353" i="3" s="1"/>
  <c r="AC7" i="3"/>
  <c r="AD7" i="3" s="1"/>
  <c r="AC35" i="3"/>
  <c r="AD35" i="3" s="1"/>
  <c r="AC312" i="3"/>
  <c r="AD312" i="3" s="1"/>
  <c r="AC373" i="3"/>
  <c r="AD373" i="3" s="1"/>
  <c r="AC530" i="3"/>
  <c r="AD530" i="3" s="1"/>
  <c r="AC340" i="3"/>
  <c r="AD340" i="3" s="1"/>
  <c r="Z151" i="3"/>
  <c r="AA151" i="3" s="1"/>
  <c r="Z78" i="3"/>
  <c r="AA78" i="3" s="1"/>
  <c r="Z461" i="3"/>
  <c r="AA461" i="3" s="1"/>
  <c r="Z326" i="3"/>
  <c r="AA326" i="3" s="1"/>
  <c r="Z154" i="3"/>
  <c r="AA154" i="3" s="1"/>
  <c r="Z361" i="3"/>
  <c r="AA361" i="3" s="1"/>
  <c r="Z394" i="3"/>
  <c r="AA394" i="3" s="1"/>
  <c r="Z342" i="3"/>
  <c r="AA342" i="3" s="1"/>
  <c r="Z482" i="3"/>
  <c r="AA482" i="3" s="1"/>
  <c r="AC165" i="3"/>
  <c r="AD165" i="3" s="1"/>
  <c r="AC384" i="3"/>
  <c r="AD384" i="3" s="1"/>
  <c r="AC466" i="3"/>
  <c r="AD466" i="3" s="1"/>
  <c r="AC422" i="3"/>
  <c r="AD422" i="3" s="1"/>
  <c r="AC335" i="3"/>
  <c r="AD335" i="3" s="1"/>
  <c r="AC382" i="3"/>
  <c r="AD382" i="3" s="1"/>
  <c r="AC398" i="3"/>
  <c r="AD398" i="3" s="1"/>
  <c r="AC342" i="3"/>
  <c r="AD342" i="3" s="1"/>
  <c r="AC188" i="3"/>
  <c r="AD188" i="3" s="1"/>
  <c r="Z480" i="3"/>
  <c r="AA480" i="3" s="1"/>
  <c r="Z331" i="3"/>
  <c r="AA331" i="3" s="1"/>
  <c r="Z494" i="3"/>
  <c r="AA494" i="3" s="1"/>
  <c r="Z208" i="3"/>
  <c r="AA208" i="3" s="1"/>
  <c r="Z506" i="3"/>
  <c r="AA506" i="3" s="1"/>
  <c r="Z207" i="3"/>
  <c r="AA207" i="3" s="1"/>
  <c r="Z117" i="3"/>
  <c r="AA117" i="3" s="1"/>
  <c r="Z302" i="3"/>
  <c r="AA302" i="3" s="1"/>
  <c r="Z427" i="3"/>
  <c r="AA427" i="3" s="1"/>
  <c r="Z471" i="3"/>
  <c r="AA471" i="3" s="1"/>
  <c r="AC431" i="3"/>
  <c r="AD431" i="3" s="1"/>
  <c r="AC69" i="3"/>
  <c r="AD69" i="3" s="1"/>
  <c r="AC498" i="3"/>
  <c r="AD498" i="3" s="1"/>
  <c r="AC519" i="3"/>
  <c r="AD519" i="3" s="1"/>
  <c r="AC11" i="3"/>
  <c r="AD11" i="3" s="1"/>
  <c r="AC129" i="3"/>
  <c r="AD129" i="3" s="1"/>
  <c r="AC304" i="3"/>
  <c r="AD304" i="3" s="1"/>
  <c r="AC383" i="3"/>
  <c r="AD383" i="3" s="1"/>
  <c r="AC307" i="3"/>
  <c r="AD307" i="3" s="1"/>
  <c r="AC407" i="3"/>
  <c r="AD407" i="3" s="1"/>
  <c r="AC72" i="3"/>
  <c r="AD72" i="3" s="1"/>
  <c r="AC294" i="3"/>
  <c r="AD294" i="3" s="1"/>
  <c r="AC65" i="3"/>
  <c r="AD65" i="3" s="1"/>
  <c r="Z401" i="3"/>
  <c r="AA401" i="3" s="1"/>
  <c r="Z171" i="3"/>
  <c r="AA171" i="3" s="1"/>
  <c r="Z330" i="3"/>
  <c r="AA330" i="3" s="1"/>
  <c r="Z87" i="3"/>
  <c r="AA87" i="3" s="1"/>
  <c r="Z451" i="3"/>
  <c r="AA451" i="3" s="1"/>
  <c r="AC297" i="3"/>
  <c r="AD297" i="3" s="1"/>
  <c r="AC187" i="3"/>
  <c r="AD187" i="3" s="1"/>
  <c r="Z318" i="3"/>
  <c r="AA318" i="3" s="1"/>
  <c r="Z265" i="3"/>
  <c r="AA265" i="3" s="1"/>
  <c r="Z76" i="3"/>
  <c r="AA76" i="3" s="1"/>
  <c r="Z458" i="3"/>
  <c r="AA458" i="3" s="1"/>
  <c r="Z409" i="3"/>
  <c r="AA409" i="3" s="1"/>
  <c r="Z126" i="3"/>
  <c r="AA126" i="3" s="1"/>
  <c r="Z433" i="3"/>
  <c r="AA433" i="3" s="1"/>
  <c r="Z194" i="3"/>
  <c r="AA194" i="3" s="1"/>
  <c r="Z199" i="3"/>
  <c r="AA199" i="3" s="1"/>
  <c r="Z502" i="3"/>
  <c r="AA502" i="3" s="1"/>
  <c r="Z279" i="3"/>
  <c r="AA279" i="3" s="1"/>
  <c r="Z324" i="3"/>
  <c r="AA324" i="3" s="1"/>
  <c r="Z312" i="3"/>
  <c r="AA312" i="3" s="1"/>
  <c r="Z131" i="3"/>
  <c r="AA131" i="3" s="1"/>
  <c r="Z174" i="3"/>
  <c r="AA174" i="3" s="1"/>
  <c r="Z86" i="3"/>
  <c r="AA86" i="3" s="1"/>
  <c r="Z281" i="3"/>
  <c r="AA281" i="3" s="1"/>
  <c r="Z304" i="3"/>
  <c r="AA304" i="3" s="1"/>
  <c r="Z369" i="3"/>
  <c r="AA369" i="3" s="1"/>
  <c r="Z516" i="3"/>
  <c r="AA516" i="3" s="1"/>
  <c r="Z262" i="3"/>
  <c r="AA262" i="3" s="1"/>
  <c r="Z445" i="3"/>
  <c r="AA445" i="3" s="1"/>
  <c r="Z32" i="3"/>
  <c r="AA32" i="3" s="1"/>
  <c r="Z283" i="3"/>
  <c r="AA283" i="3" s="1"/>
  <c r="Z184" i="3"/>
  <c r="AA184" i="3" s="1"/>
  <c r="Z43" i="3"/>
  <c r="AA43" i="3" s="1"/>
  <c r="Z490" i="3"/>
  <c r="AA490" i="3" s="1"/>
  <c r="Z106" i="3"/>
  <c r="AA106" i="3" s="1"/>
  <c r="Z8" i="3"/>
  <c r="AA8" i="3" s="1"/>
  <c r="Z226" i="3"/>
  <c r="AA226" i="3" s="1"/>
  <c r="Z93" i="3"/>
  <c r="AA93" i="3" s="1"/>
  <c r="Z547" i="3"/>
  <c r="AA547" i="3" s="1"/>
  <c r="Z71" i="3"/>
  <c r="AA71" i="3" s="1"/>
  <c r="Z113" i="3"/>
  <c r="AA113" i="3" s="1"/>
  <c r="AC207" i="3"/>
  <c r="AD207" i="3" s="1"/>
  <c r="AC157" i="3"/>
  <c r="AD157" i="3" s="1"/>
  <c r="AC127" i="3"/>
  <c r="AD127" i="3" s="1"/>
  <c r="AC316" i="3"/>
  <c r="AD316" i="3" s="1"/>
  <c r="AC205" i="3"/>
  <c r="AD205" i="3" s="1"/>
  <c r="AC413" i="3"/>
  <c r="AD413" i="3" s="1"/>
  <c r="AC541" i="3"/>
  <c r="AD541" i="3" s="1"/>
  <c r="AC361" i="3"/>
  <c r="AD361" i="3" s="1"/>
  <c r="AC111" i="3"/>
  <c r="AD111" i="3" s="1"/>
  <c r="AC444" i="3"/>
  <c r="AD444" i="3" s="1"/>
  <c r="AC121" i="3"/>
  <c r="AD121" i="3" s="1"/>
  <c r="AC125" i="3"/>
  <c r="AD125" i="3" s="1"/>
  <c r="AC425" i="3"/>
  <c r="AD425" i="3" s="1"/>
  <c r="AC263" i="3"/>
  <c r="AD263" i="3" s="1"/>
  <c r="AC27" i="3"/>
  <c r="AD27" i="3" s="1"/>
  <c r="AC271" i="3"/>
  <c r="AD271" i="3" s="1"/>
  <c r="AC508" i="3"/>
  <c r="AD508" i="3" s="1"/>
  <c r="AC126" i="3"/>
  <c r="AD126" i="3" s="1"/>
  <c r="AC66" i="3"/>
  <c r="AD66" i="3" s="1"/>
  <c r="AC163" i="3"/>
  <c r="AD163" i="3" s="1"/>
  <c r="AC248" i="3"/>
  <c r="AD248" i="3" s="1"/>
  <c r="AC331" i="3"/>
  <c r="AD331" i="3" s="1"/>
  <c r="AC100" i="3"/>
  <c r="AD100" i="3" s="1"/>
  <c r="AC194" i="3"/>
  <c r="AD194" i="3" s="1"/>
  <c r="AC324" i="3"/>
  <c r="AD324" i="3" s="1"/>
  <c r="AC445" i="3"/>
  <c r="AD445" i="3" s="1"/>
  <c r="AC124" i="3"/>
  <c r="AD124" i="3" s="1"/>
  <c r="AC286" i="3"/>
  <c r="AD286" i="3" s="1"/>
  <c r="AC455" i="3"/>
  <c r="AD455" i="3" s="1"/>
  <c r="AC283" i="3"/>
  <c r="AD283" i="3" s="1"/>
  <c r="AC146" i="3"/>
  <c r="AD146" i="3" s="1"/>
  <c r="Z177" i="3"/>
  <c r="AA177" i="3" s="1"/>
  <c r="Z260" i="3"/>
  <c r="AA260" i="3" s="1"/>
  <c r="Z399" i="3"/>
  <c r="AA399" i="3" s="1"/>
  <c r="Z332" i="3"/>
  <c r="AA332" i="3" s="1"/>
  <c r="Z33" i="3"/>
  <c r="AA33" i="3" s="1"/>
  <c r="Z439" i="3"/>
  <c r="AA439" i="3" s="1"/>
  <c r="Z153" i="3"/>
  <c r="AA153" i="3" s="1"/>
  <c r="Z443" i="3"/>
  <c r="AA443" i="3" s="1"/>
  <c r="Z108" i="3"/>
  <c r="AA108" i="3" s="1"/>
  <c r="Z343" i="3"/>
  <c r="AA343" i="3" s="1"/>
  <c r="Z28" i="3"/>
  <c r="AA28" i="3" s="1"/>
  <c r="Z180" i="3"/>
  <c r="AA180" i="3" s="1"/>
  <c r="Z210" i="3"/>
  <c r="AA210" i="3" s="1"/>
  <c r="Z10" i="3"/>
  <c r="AA10" i="3" s="1"/>
  <c r="Z250" i="3"/>
  <c r="AA250" i="3" s="1"/>
  <c r="Z467" i="3"/>
  <c r="AA467" i="3" s="1"/>
  <c r="Z25" i="3"/>
  <c r="AA25" i="3" s="1"/>
  <c r="Z155" i="3"/>
  <c r="AA155" i="3" s="1"/>
  <c r="Z347" i="3"/>
  <c r="AA347" i="3" s="1"/>
  <c r="Z97" i="3"/>
  <c r="AA97" i="3" s="1"/>
  <c r="Z13" i="3"/>
  <c r="AA13" i="3" s="1"/>
  <c r="Z376" i="3"/>
  <c r="AA376" i="3" s="1"/>
  <c r="Z407" i="3"/>
  <c r="AA407" i="3" s="1"/>
  <c r="Z274" i="3"/>
  <c r="AA274" i="3" s="1"/>
  <c r="Z370" i="3"/>
  <c r="AA370" i="3" s="1"/>
  <c r="Z423" i="3"/>
  <c r="AA423" i="3" s="1"/>
  <c r="Z277" i="3"/>
  <c r="AA277" i="3" s="1"/>
  <c r="Z478" i="3"/>
  <c r="AA478" i="3" s="1"/>
  <c r="Z317" i="3"/>
  <c r="AA317" i="3" s="1"/>
  <c r="Z415" i="3"/>
  <c r="AA415" i="3" s="1"/>
  <c r="Z59" i="3"/>
  <c r="AA59" i="3" s="1"/>
  <c r="Z476" i="3"/>
  <c r="AA476" i="3" s="1"/>
  <c r="Z19" i="3"/>
  <c r="AA19" i="3" s="1"/>
  <c r="Z406" i="3"/>
  <c r="AA406" i="3" s="1"/>
  <c r="Z303" i="3"/>
  <c r="AA303" i="3" s="1"/>
  <c r="Z231" i="3"/>
  <c r="AA231" i="3" s="1"/>
  <c r="Z400" i="3"/>
  <c r="AA400" i="3" s="1"/>
  <c r="Z192" i="3"/>
  <c r="AA192" i="3" s="1"/>
  <c r="Z348" i="3"/>
  <c r="AA348" i="3" s="1"/>
  <c r="AC298" i="3"/>
  <c r="AD298" i="3" s="1"/>
  <c r="AC415" i="3"/>
  <c r="AD415" i="3" s="1"/>
  <c r="AC462" i="3"/>
  <c r="AD462" i="3" s="1"/>
  <c r="AC190" i="3"/>
  <c r="AD190" i="3" s="1"/>
  <c r="AC31" i="3"/>
  <c r="AD31" i="3" s="1"/>
  <c r="AC110" i="3"/>
  <c r="AD110" i="3" s="1"/>
  <c r="AC105" i="3"/>
  <c r="AD105" i="3" s="1"/>
  <c r="AC48" i="3"/>
  <c r="AD48" i="3" s="1"/>
  <c r="AC481" i="3"/>
  <c r="AD481" i="3" s="1"/>
  <c r="AC442" i="3"/>
  <c r="AD442" i="3" s="1"/>
  <c r="AC337" i="3"/>
  <c r="AD337" i="3" s="1"/>
  <c r="AC397" i="3"/>
  <c r="AD397" i="3" s="1"/>
  <c r="AC319" i="3"/>
  <c r="AD319" i="3" s="1"/>
  <c r="AC104" i="3"/>
  <c r="AD104" i="3" s="1"/>
  <c r="AC197" i="3"/>
  <c r="AD197" i="3" s="1"/>
  <c r="AC395" i="3"/>
  <c r="AD395" i="3" s="1"/>
  <c r="AC347" i="3"/>
  <c r="AD347" i="3" s="1"/>
  <c r="AC418" i="3"/>
  <c r="AD418" i="3" s="1"/>
  <c r="AC387" i="3"/>
  <c r="AD387" i="3" s="1"/>
  <c r="AC256" i="3"/>
  <c r="AD256" i="3" s="1"/>
  <c r="AC507" i="3"/>
  <c r="AD507" i="3" s="1"/>
  <c r="AC171" i="3"/>
  <c r="AD171" i="3" s="1"/>
  <c r="AC393" i="3"/>
  <c r="AD393" i="3" s="1"/>
  <c r="AC74" i="3"/>
  <c r="AD74" i="3" s="1"/>
  <c r="AC479" i="3"/>
  <c r="AD479" i="3" s="1"/>
  <c r="AC424" i="3"/>
  <c r="AD424" i="3" s="1"/>
  <c r="AC427" i="3"/>
  <c r="AD427" i="3" s="1"/>
  <c r="AC322" i="3"/>
  <c r="AD322" i="3" s="1"/>
  <c r="AC292" i="3"/>
  <c r="AD292" i="3" s="1"/>
  <c r="AC249" i="3"/>
  <c r="AD249" i="3" s="1"/>
  <c r="AC212" i="3"/>
  <c r="AD212" i="3" s="1"/>
  <c r="AC534" i="3"/>
  <c r="AD534" i="3" s="1"/>
  <c r="AC51" i="3"/>
  <c r="AD51" i="3" s="1"/>
  <c r="AC320" i="3"/>
  <c r="AD320" i="3" s="1"/>
  <c r="AC333" i="3"/>
  <c r="AD333" i="3" s="1"/>
  <c r="AC506" i="3"/>
  <c r="AD506" i="3" s="1"/>
  <c r="AC206" i="3"/>
  <c r="AD206" i="3" s="1"/>
  <c r="AC59" i="3"/>
  <c r="AD59" i="3" s="1"/>
  <c r="AC196" i="3"/>
  <c r="AD196" i="3" s="1"/>
  <c r="AC60" i="3"/>
  <c r="AD60" i="3" s="1"/>
  <c r="AC471" i="3"/>
  <c r="AD471" i="3" s="1"/>
  <c r="AC76" i="3"/>
  <c r="AD76" i="3" s="1"/>
  <c r="AC360" i="3"/>
  <c r="AD360" i="3" s="1"/>
  <c r="AC86" i="3"/>
  <c r="AD86" i="3" s="1"/>
  <c r="AC492" i="3"/>
  <c r="AD492" i="3" s="1"/>
  <c r="Z285" i="3"/>
  <c r="AA285" i="3" s="1"/>
  <c r="Z128" i="3"/>
  <c r="AA128" i="3" s="1"/>
  <c r="Z63" i="3"/>
  <c r="AA63" i="3" s="1"/>
  <c r="Z529" i="3"/>
  <c r="AA529" i="3" s="1"/>
  <c r="Z80" i="3"/>
  <c r="AA80" i="3" s="1"/>
  <c r="Z224" i="3"/>
  <c r="AA224" i="3" s="1"/>
  <c r="Z513" i="3"/>
  <c r="AA513" i="3" s="1"/>
  <c r="Z540" i="3"/>
  <c r="AA540" i="3" s="1"/>
  <c r="Z392" i="3"/>
  <c r="AA392" i="3" s="1"/>
  <c r="Z321" i="3"/>
  <c r="AA321" i="3" s="1"/>
  <c r="Z378" i="3"/>
  <c r="AA378" i="3" s="1"/>
  <c r="Z145" i="3"/>
  <c r="AA145" i="3" s="1"/>
  <c r="Z509" i="3"/>
  <c r="AA509" i="3" s="1"/>
  <c r="Z469" i="3"/>
  <c r="AA469" i="3" s="1"/>
  <c r="Z69" i="3"/>
  <c r="AA69" i="3" s="1"/>
  <c r="Z14" i="3"/>
  <c r="AA14" i="3" s="1"/>
  <c r="Z510" i="3"/>
  <c r="AA510" i="3" s="1"/>
  <c r="Z261" i="3"/>
  <c r="AA261" i="3" s="1"/>
  <c r="Z242" i="3"/>
  <c r="AA242" i="3" s="1"/>
  <c r="Z30" i="3"/>
  <c r="AA30" i="3" s="1"/>
  <c r="Z157" i="3"/>
  <c r="AA157" i="3" s="1"/>
  <c r="Z268" i="3"/>
  <c r="AA268" i="3" s="1"/>
  <c r="Z485" i="3"/>
  <c r="AA485" i="3" s="1"/>
  <c r="Z391" i="3"/>
  <c r="AA391" i="3" s="1"/>
  <c r="Z295" i="3"/>
  <c r="AA295" i="3" s="1"/>
  <c r="Z135" i="3"/>
  <c r="AA135" i="3" s="1"/>
  <c r="Z110" i="3"/>
  <c r="AA110" i="3" s="1"/>
  <c r="Z104" i="3"/>
  <c r="AA104" i="3" s="1"/>
  <c r="Z138" i="3"/>
  <c r="AA138" i="3" s="1"/>
  <c r="Z520" i="3"/>
  <c r="AA520" i="3" s="1"/>
  <c r="Z450" i="3"/>
  <c r="AA450" i="3" s="1"/>
  <c r="Z140" i="3"/>
  <c r="AA140" i="3" s="1"/>
  <c r="Z168" i="3"/>
  <c r="AA168" i="3" s="1"/>
  <c r="Z77" i="3"/>
  <c r="AA77" i="3" s="1"/>
  <c r="Z232" i="3"/>
  <c r="AA232" i="3" s="1"/>
  <c r="Z525" i="3"/>
  <c r="AA525" i="3" s="1"/>
  <c r="Z269" i="3"/>
  <c r="AA269" i="3" s="1"/>
  <c r="Z227" i="3"/>
  <c r="AA227" i="3" s="1"/>
  <c r="Z133" i="3"/>
  <c r="AA133" i="3" s="1"/>
  <c r="Z186" i="3"/>
  <c r="AA186" i="3" s="1"/>
  <c r="Z500" i="3"/>
  <c r="AA500" i="3" s="1"/>
  <c r="Z460" i="3"/>
  <c r="AA460" i="3" s="1"/>
  <c r="Z307" i="3"/>
  <c r="AA307" i="3" s="1"/>
  <c r="Z56" i="3"/>
  <c r="AA56" i="3" s="1"/>
  <c r="Z334" i="3"/>
  <c r="AA334" i="3" s="1"/>
  <c r="Z201" i="3"/>
  <c r="AA201" i="3" s="1"/>
  <c r="Z64" i="3"/>
  <c r="AA64" i="3" s="1"/>
  <c r="Z213" i="3"/>
  <c r="AA213" i="3" s="1"/>
  <c r="Z16" i="3"/>
  <c r="AA16" i="3" s="1"/>
  <c r="Z498" i="3"/>
  <c r="AA498" i="3" s="1"/>
  <c r="AC514" i="3"/>
  <c r="AD514" i="3" s="1"/>
  <c r="AC41" i="3"/>
  <c r="AD41" i="3" s="1"/>
  <c r="AC469" i="3"/>
  <c r="AD469" i="3" s="1"/>
  <c r="AC515" i="3"/>
  <c r="AD515" i="3" s="1"/>
  <c r="AC236" i="3"/>
  <c r="AD236" i="3" s="1"/>
  <c r="AC348" i="3"/>
  <c r="AD348" i="3" s="1"/>
  <c r="AC195" i="3"/>
  <c r="AD195" i="3" s="1"/>
  <c r="AC323" i="3"/>
  <c r="AD323" i="3" s="1"/>
  <c r="AC358" i="3"/>
  <c r="AD358" i="3" s="1"/>
  <c r="AC13" i="3"/>
  <c r="AD13" i="3" s="1"/>
  <c r="AC266" i="3"/>
  <c r="AD266" i="3" s="1"/>
  <c r="AC25" i="3"/>
  <c r="AD25" i="3" s="1"/>
  <c r="AC268" i="3"/>
  <c r="AD268" i="3" s="1"/>
  <c r="AC139" i="3"/>
  <c r="AD139" i="3" s="1"/>
  <c r="AC98" i="3"/>
  <c r="AD98" i="3" s="1"/>
  <c r="AC232" i="3"/>
  <c r="AD232" i="3" s="1"/>
  <c r="AC490" i="3"/>
  <c r="AD490" i="3" s="1"/>
  <c r="AC309" i="3"/>
  <c r="AD309" i="3" s="1"/>
  <c r="AC284" i="3"/>
  <c r="AD284" i="3" s="1"/>
  <c r="AC243" i="3"/>
  <c r="AD243" i="3" s="1"/>
  <c r="AC267" i="3"/>
  <c r="AD267" i="3" s="1"/>
  <c r="AC18" i="3"/>
  <c r="AD18" i="3" s="1"/>
  <c r="AC409" i="3"/>
  <c r="AD409" i="3" s="1"/>
  <c r="AC178" i="3"/>
  <c r="AD178" i="3" s="1"/>
  <c r="AC180" i="3"/>
  <c r="AD180" i="3" s="1"/>
  <c r="AC282" i="3"/>
  <c r="AD282" i="3" s="1"/>
  <c r="AC430" i="3"/>
  <c r="AD430" i="3" s="1"/>
  <c r="AC389" i="3"/>
  <c r="AD389" i="3" s="1"/>
  <c r="AC20" i="3"/>
  <c r="AD20" i="3" s="1"/>
  <c r="AC113" i="3"/>
  <c r="AD113" i="3" s="1"/>
  <c r="AC356" i="3"/>
  <c r="AD356" i="3" s="1"/>
  <c r="AC62" i="3"/>
  <c r="AD62" i="3" s="1"/>
  <c r="AC254" i="3"/>
  <c r="AD254" i="3" s="1"/>
  <c r="AC368" i="3"/>
  <c r="AD368" i="3" s="1"/>
  <c r="AC336" i="3"/>
  <c r="AD336" i="3" s="1"/>
  <c r="AC400" i="3"/>
  <c r="AD400" i="3" s="1"/>
  <c r="AC417" i="3"/>
  <c r="AD417" i="3" s="1"/>
  <c r="AC80" i="3"/>
  <c r="AD80" i="3" s="1"/>
  <c r="AC504" i="3"/>
  <c r="AD504" i="3" s="1"/>
  <c r="AC14" i="3"/>
  <c r="AD14" i="3" s="1"/>
  <c r="AC42" i="3"/>
  <c r="AD42" i="3" s="1"/>
  <c r="AC421" i="3"/>
  <c r="AD421" i="3" s="1"/>
  <c r="AC262" i="3"/>
  <c r="AD262" i="3" s="1"/>
  <c r="AC225" i="3"/>
  <c r="AD225" i="3" s="1"/>
  <c r="AC367" i="3"/>
  <c r="AD367" i="3" s="1"/>
  <c r="AC280" i="3"/>
  <c r="AD280" i="3" s="1"/>
  <c r="AC290" i="3"/>
  <c r="AD290" i="3" s="1"/>
  <c r="AC184" i="3"/>
  <c r="AD184" i="3" s="1"/>
  <c r="AC270" i="3"/>
  <c r="AD270" i="3" s="1"/>
  <c r="AC218" i="3"/>
  <c r="AD218" i="3" s="1"/>
  <c r="AC438" i="3"/>
  <c r="AD438" i="3" s="1"/>
  <c r="AC279" i="3"/>
  <c r="AD279" i="3" s="1"/>
  <c r="AC410" i="3"/>
  <c r="AD410" i="3" s="1"/>
  <c r="AC122" i="3"/>
  <c r="AD122" i="3" s="1"/>
  <c r="AC401" i="3"/>
  <c r="AD401" i="3" s="1"/>
  <c r="AC155" i="3"/>
  <c r="AD155" i="3" s="1"/>
  <c r="AC81" i="3"/>
  <c r="AD81" i="3" s="1"/>
  <c r="AC217" i="3"/>
  <c r="AD217" i="3" s="1"/>
  <c r="AC494" i="3"/>
  <c r="AD494" i="3" s="1"/>
  <c r="AC429" i="3"/>
  <c r="AD429" i="3" s="1"/>
  <c r="AC250" i="3"/>
  <c r="AD250" i="3" s="1"/>
  <c r="AC328" i="3"/>
  <c r="AD328" i="3" s="1"/>
  <c r="AC258" i="3"/>
  <c r="AD258" i="3" s="1"/>
  <c r="Z185" i="3"/>
  <c r="AA185" i="3" s="1"/>
  <c r="Z389" i="3"/>
  <c r="AA389" i="3" s="1"/>
  <c r="Z172" i="3"/>
  <c r="AA172" i="3" s="1"/>
  <c r="Z536" i="3"/>
  <c r="AA536" i="3" s="1"/>
  <c r="Z223" i="3"/>
  <c r="AA223" i="3" s="1"/>
  <c r="Z196" i="3"/>
  <c r="AA196" i="3" s="1"/>
  <c r="Z518" i="3"/>
  <c r="AA518" i="3" s="1"/>
  <c r="Z410" i="3"/>
  <c r="AA410" i="3" s="1"/>
  <c r="Z92" i="3"/>
  <c r="AA92" i="3" s="1"/>
  <c r="Z267" i="3"/>
  <c r="AA267" i="3" s="1"/>
  <c r="Z442" i="3"/>
  <c r="AA442" i="3" s="1"/>
  <c r="Z310" i="3"/>
  <c r="AA310" i="3" s="1"/>
  <c r="Z486" i="3"/>
  <c r="AA486" i="3" s="1"/>
  <c r="Z493" i="3"/>
  <c r="AA493" i="3" s="1"/>
  <c r="Z487" i="3"/>
  <c r="AA487" i="3" s="1"/>
  <c r="Z524" i="3"/>
  <c r="AA524" i="3" s="1"/>
  <c r="Z292" i="3"/>
  <c r="AA292" i="3" s="1"/>
  <c r="Z218" i="3"/>
  <c r="AA218" i="3" s="1"/>
  <c r="Z11" i="3"/>
  <c r="AA11" i="3" s="1"/>
  <c r="Z539" i="3"/>
  <c r="AA539" i="3" s="1"/>
  <c r="Z100" i="3"/>
  <c r="AA100" i="3" s="1"/>
  <c r="Z468" i="3"/>
  <c r="AA468" i="3" s="1"/>
  <c r="Z258" i="3"/>
  <c r="AA258" i="3" s="1"/>
  <c r="Z527" i="3"/>
  <c r="AA527" i="3" s="1"/>
  <c r="Z273" i="3"/>
  <c r="AA273" i="3" s="1"/>
  <c r="Z270" i="3"/>
  <c r="AA270" i="3" s="1"/>
  <c r="Z156" i="3"/>
  <c r="AA156" i="3" s="1"/>
  <c r="Z522" i="3"/>
  <c r="AA522" i="3" s="1"/>
  <c r="Z34" i="3"/>
  <c r="AA34" i="3" s="1"/>
  <c r="Z52" i="3"/>
  <c r="AA52" i="3" s="1"/>
  <c r="Z144" i="3"/>
  <c r="AA144" i="3" s="1"/>
  <c r="Z422" i="3"/>
  <c r="AA422" i="3" s="1"/>
  <c r="Z384" i="3"/>
  <c r="AA384" i="3" s="1"/>
  <c r="Z249" i="3"/>
  <c r="AA249" i="3" s="1"/>
  <c r="Z528" i="3"/>
  <c r="AA528" i="3" s="1"/>
  <c r="Z287" i="3"/>
  <c r="AA287" i="3" s="1"/>
  <c r="Z411" i="3"/>
  <c r="AA411" i="3" s="1"/>
  <c r="Z50" i="3"/>
  <c r="AA50" i="3" s="1"/>
  <c r="Z40" i="3"/>
  <c r="AA40" i="3" s="1"/>
  <c r="Z55" i="3"/>
  <c r="AA55" i="3" s="1"/>
  <c r="Z282" i="3"/>
  <c r="AA282" i="3" s="1"/>
  <c r="Z380" i="3"/>
  <c r="AA380" i="3" s="1"/>
  <c r="Z60" i="3"/>
  <c r="AA60" i="3" s="1"/>
  <c r="Z514" i="3"/>
  <c r="AA514" i="3" s="1"/>
  <c r="Z245" i="3"/>
  <c r="AA245" i="3" s="1"/>
  <c r="AC198" i="3"/>
  <c r="AD198" i="3" s="1"/>
  <c r="AC339" i="3"/>
  <c r="AD339" i="3" s="1"/>
  <c r="AC480" i="3"/>
  <c r="AD480" i="3" s="1"/>
  <c r="AC526" i="3"/>
  <c r="AD526" i="3" s="1"/>
  <c r="AC215" i="3"/>
  <c r="AD215" i="3" s="1"/>
  <c r="AC56" i="3"/>
  <c r="AD56" i="3" s="1"/>
  <c r="AC209" i="3"/>
  <c r="AD209" i="3" s="1"/>
  <c r="AC539" i="3"/>
  <c r="AD539" i="3" s="1"/>
  <c r="AC411" i="3"/>
  <c r="AD411" i="3" s="1"/>
  <c r="AC486" i="3"/>
  <c r="AD486" i="3" s="1"/>
  <c r="AC332" i="3"/>
  <c r="AD332" i="3" s="1"/>
  <c r="AC156" i="3"/>
  <c r="AD156" i="3" s="1"/>
  <c r="AC97" i="3"/>
  <c r="AD97" i="3" s="1"/>
  <c r="AC95" i="3"/>
  <c r="AD95" i="3" s="1"/>
  <c r="AC43" i="3"/>
  <c r="AD43" i="3" s="1"/>
  <c r="AC484" i="3"/>
  <c r="AD484" i="3" s="1"/>
  <c r="AC239" i="3"/>
  <c r="AD239" i="3" s="1"/>
  <c r="AC210" i="3"/>
  <c r="AD210" i="3" s="1"/>
  <c r="AC161" i="3"/>
  <c r="AD161" i="3" s="1"/>
  <c r="AC33" i="3"/>
  <c r="AD33" i="3" s="1"/>
  <c r="AC529" i="3"/>
  <c r="AD529" i="3" s="1"/>
  <c r="AC293" i="3"/>
  <c r="AD293" i="3" s="1"/>
  <c r="AC459" i="3"/>
  <c r="AD459" i="3" s="1"/>
  <c r="AC351" i="3"/>
  <c r="AD351" i="3" s="1"/>
  <c r="AC285" i="3"/>
  <c r="AD285" i="3" s="1"/>
  <c r="AC535" i="3"/>
  <c r="AD535" i="3" s="1"/>
  <c r="AC388" i="3"/>
  <c r="AD388" i="3" s="1"/>
  <c r="AC272" i="3"/>
  <c r="AD272" i="3" s="1"/>
  <c r="AC16" i="3"/>
  <c r="AD16" i="3" s="1"/>
  <c r="AC88" i="3"/>
  <c r="AD88" i="3" s="1"/>
  <c r="AC513" i="3"/>
  <c r="AD513" i="3" s="1"/>
  <c r="AC470" i="3"/>
  <c r="AD470" i="3" s="1"/>
  <c r="AC460" i="3"/>
  <c r="AD460" i="3" s="1"/>
  <c r="AC15" i="3"/>
  <c r="AD15" i="3" s="1"/>
  <c r="AC153" i="3"/>
  <c r="AD153" i="3" s="1"/>
  <c r="AC306" i="3"/>
  <c r="AD306" i="3" s="1"/>
  <c r="AC257" i="3"/>
  <c r="AD257" i="3" s="1"/>
  <c r="AC70" i="3"/>
  <c r="AD70" i="3" s="1"/>
  <c r="AC138" i="3"/>
  <c r="AD138" i="3" s="1"/>
  <c r="AC449" i="3"/>
  <c r="AD449" i="3" s="1"/>
  <c r="AC305" i="3"/>
  <c r="AD305" i="3" s="1"/>
  <c r="AC216" i="3"/>
  <c r="AD216" i="3" s="1"/>
  <c r="AC159" i="3"/>
  <c r="AD159" i="3" s="1"/>
  <c r="AC135" i="3"/>
  <c r="AD135" i="3" s="1"/>
  <c r="AC330" i="3"/>
  <c r="AD330" i="3" s="1"/>
  <c r="AC246" i="3"/>
  <c r="AD246" i="3" s="1"/>
  <c r="AC468" i="3"/>
  <c r="AD468" i="3" s="1"/>
  <c r="AC148" i="3"/>
  <c r="AD148" i="3" s="1"/>
  <c r="AC521" i="3"/>
  <c r="AD521" i="3" s="1"/>
  <c r="AC327" i="3"/>
  <c r="AD327" i="3" s="1"/>
  <c r="AC385" i="3"/>
  <c r="AD385" i="3" s="1"/>
  <c r="AC533" i="3"/>
  <c r="AD533" i="3" s="1"/>
  <c r="AC273" i="3"/>
  <c r="AD273" i="3" s="1"/>
  <c r="AC106" i="3"/>
  <c r="AD106" i="3" s="1"/>
  <c r="AC174" i="3"/>
  <c r="AD174" i="3" s="1"/>
  <c r="AC439" i="3"/>
  <c r="AD439" i="3" s="1"/>
  <c r="AC22" i="3"/>
  <c r="AD22" i="3" s="1"/>
  <c r="AC434" i="3"/>
  <c r="AD434" i="3" s="1"/>
  <c r="AC350" i="3"/>
  <c r="AD350" i="3" s="1"/>
  <c r="AC532" i="3"/>
  <c r="AD532" i="3" s="1"/>
  <c r="AC191" i="3"/>
  <c r="AD191" i="3" s="1"/>
  <c r="AC115" i="3"/>
  <c r="AD115" i="3" s="1"/>
  <c r="T539" i="3"/>
  <c r="U539" i="3" s="1"/>
  <c r="T50" i="3"/>
  <c r="U50" i="3" s="1"/>
  <c r="T434" i="3"/>
  <c r="U434" i="3" s="1"/>
  <c r="T106" i="3"/>
  <c r="U106" i="3" s="1"/>
  <c r="T363" i="3"/>
  <c r="U363" i="3" s="1"/>
  <c r="T7" i="3"/>
  <c r="U7" i="3" s="1"/>
  <c r="T397" i="3"/>
  <c r="U397" i="3" s="1"/>
  <c r="T115" i="3"/>
  <c r="U115" i="3" s="1"/>
  <c r="T91" i="3"/>
  <c r="U91" i="3" s="1"/>
  <c r="T14" i="3"/>
  <c r="U14" i="3" s="1"/>
  <c r="T231" i="3"/>
  <c r="U231" i="3" s="1"/>
  <c r="T460" i="3"/>
  <c r="U460" i="3" s="1"/>
  <c r="T277" i="3"/>
  <c r="U277" i="3" s="1"/>
  <c r="T466" i="3"/>
  <c r="U466" i="3" s="1"/>
  <c r="T529" i="3"/>
  <c r="U529" i="3" s="1"/>
  <c r="T330" i="3"/>
  <c r="U330" i="3" s="1"/>
  <c r="T56" i="3"/>
  <c r="U56" i="3" s="1"/>
  <c r="T57" i="3"/>
  <c r="U57" i="3" s="1"/>
  <c r="T127" i="3"/>
  <c r="U127" i="3" s="1"/>
  <c r="T512" i="3"/>
  <c r="U512" i="3" s="1"/>
  <c r="T318" i="3"/>
  <c r="U318" i="3" s="1"/>
  <c r="T333" i="3"/>
  <c r="U333" i="3" s="1"/>
  <c r="T295" i="3"/>
  <c r="U295" i="3" s="1"/>
  <c r="T469" i="3"/>
  <c r="U469" i="3" s="1"/>
  <c r="T391" i="3"/>
  <c r="U391" i="3" s="1"/>
  <c r="T25" i="3"/>
  <c r="U25" i="3" s="1"/>
  <c r="T390" i="3"/>
  <c r="U390" i="3" s="1"/>
  <c r="T325" i="3"/>
  <c r="U325" i="3" s="1"/>
  <c r="T254" i="3"/>
  <c r="U254" i="3" s="1"/>
  <c r="T436" i="3"/>
  <c r="U436" i="3" s="1"/>
  <c r="T230" i="3"/>
  <c r="U230" i="3" s="1"/>
  <c r="T311" i="3"/>
  <c r="U311" i="3" s="1"/>
  <c r="T530" i="3"/>
  <c r="U530" i="3" s="1"/>
  <c r="T68" i="3"/>
  <c r="U68" i="3" s="1"/>
  <c r="T54" i="3"/>
  <c r="U54" i="3" s="1"/>
  <c r="T87" i="3"/>
  <c r="U87" i="3" s="1"/>
  <c r="T210" i="3"/>
  <c r="U210" i="3" s="1"/>
  <c r="T373" i="3"/>
  <c r="U373" i="3" s="1"/>
  <c r="T243" i="3"/>
  <c r="U243" i="3" s="1"/>
  <c r="T67" i="3"/>
  <c r="U67" i="3" s="1"/>
  <c r="T266" i="3"/>
  <c r="U266" i="3" s="1"/>
  <c r="T317" i="3"/>
  <c r="U317" i="3" s="1"/>
  <c r="T435" i="3"/>
  <c r="U435" i="3" s="1"/>
  <c r="T370" i="3"/>
  <c r="U370" i="3" s="1"/>
  <c r="T323" i="3"/>
  <c r="U323" i="3" s="1"/>
  <c r="T133" i="3"/>
  <c r="U133" i="3" s="1"/>
  <c r="T76" i="3"/>
  <c r="U76" i="3" s="1"/>
  <c r="T474" i="3"/>
  <c r="U474" i="3" s="1"/>
  <c r="T440" i="3"/>
  <c r="U440" i="3" s="1"/>
  <c r="T306" i="3"/>
  <c r="U306" i="3" s="1"/>
  <c r="T350" i="3"/>
  <c r="U350" i="3" s="1"/>
  <c r="T412" i="3"/>
  <c r="U412" i="3" s="1"/>
  <c r="T384" i="3"/>
  <c r="U384" i="3" s="1"/>
  <c r="T249" i="3"/>
  <c r="U249" i="3" s="1"/>
  <c r="T166" i="3"/>
  <c r="U166" i="3" s="1"/>
  <c r="T385" i="3"/>
  <c r="U385" i="3" s="1"/>
  <c r="T19" i="3"/>
  <c r="U19" i="3" s="1"/>
  <c r="T528" i="3"/>
  <c r="U528" i="3" s="1"/>
  <c r="T399" i="3"/>
  <c r="U399" i="3" s="1"/>
  <c r="T298" i="3"/>
  <c r="U298" i="3" s="1"/>
  <c r="T395" i="3"/>
  <c r="U395" i="3" s="1"/>
  <c r="T413" i="3"/>
  <c r="U413" i="3" s="1"/>
  <c r="T498" i="3"/>
  <c r="U498" i="3" s="1"/>
  <c r="T404" i="3"/>
  <c r="U404" i="3" s="1"/>
  <c r="T179" i="3"/>
  <c r="U179" i="3" s="1"/>
  <c r="T326" i="3"/>
  <c r="U326" i="3" s="1"/>
  <c r="T78" i="3"/>
  <c r="U78" i="3" s="1"/>
  <c r="T271" i="3"/>
  <c r="U271" i="3" s="1"/>
  <c r="T380" i="3"/>
  <c r="U380" i="3" s="1"/>
  <c r="T165" i="3"/>
  <c r="U165" i="3" s="1"/>
  <c r="T312" i="3"/>
  <c r="U312" i="3" s="1"/>
  <c r="T123" i="3"/>
  <c r="U123" i="3" s="1"/>
  <c r="T229" i="3"/>
  <c r="U229" i="3" s="1"/>
  <c r="T535" i="3"/>
  <c r="U535" i="3" s="1"/>
  <c r="T211" i="3"/>
  <c r="U211" i="3" s="1"/>
  <c r="T112" i="3"/>
  <c r="U112" i="3" s="1"/>
  <c r="T400" i="3"/>
  <c r="U400" i="3" s="1"/>
  <c r="T202" i="3"/>
  <c r="U202" i="3" s="1"/>
  <c r="T195" i="3"/>
  <c r="U195" i="3" s="1"/>
  <c r="T538" i="3"/>
  <c r="U538" i="3" s="1"/>
  <c r="T424" i="3"/>
  <c r="U424" i="3" s="1"/>
  <c r="T31" i="3"/>
  <c r="U31" i="3" s="1"/>
  <c r="T445" i="3"/>
  <c r="U445" i="3" s="1"/>
  <c r="T242" i="3"/>
  <c r="U242" i="3" s="1"/>
  <c r="T507" i="3"/>
  <c r="U507" i="3" s="1"/>
  <c r="T146" i="3"/>
  <c r="U146" i="3" s="1"/>
  <c r="T247" i="3"/>
  <c r="U247" i="3" s="1"/>
  <c r="T196" i="3"/>
  <c r="U196" i="3" s="1"/>
  <c r="T83" i="3"/>
  <c r="U83" i="3" s="1"/>
  <c r="T543" i="3"/>
  <c r="U543" i="3" s="1"/>
  <c r="T182" i="3"/>
  <c r="U182" i="3" s="1"/>
  <c r="T482" i="3"/>
  <c r="U482" i="3" s="1"/>
  <c r="T496" i="3"/>
  <c r="U496" i="3" s="1"/>
  <c r="T394" i="3"/>
  <c r="U394" i="3" s="1"/>
  <c r="T33" i="3"/>
  <c r="U33" i="3" s="1"/>
  <c r="T15" i="3"/>
  <c r="U15" i="3" s="1"/>
  <c r="T377" i="3"/>
  <c r="U377" i="3" s="1"/>
  <c r="T300" i="3"/>
  <c r="U300" i="3" s="1"/>
  <c r="T260" i="3"/>
  <c r="U260" i="3" s="1"/>
  <c r="T478" i="3"/>
  <c r="U478" i="3" s="1"/>
  <c r="T546" i="3"/>
  <c r="U546" i="3" s="1"/>
  <c r="T342" i="3"/>
  <c r="U342" i="3" s="1"/>
  <c r="T338" i="3"/>
  <c r="U338" i="3" s="1"/>
  <c r="T11" i="3"/>
  <c r="U11" i="3" s="1"/>
  <c r="T147" i="3"/>
  <c r="U147" i="3" s="1"/>
  <c r="T204" i="3"/>
  <c r="U204" i="3" s="1"/>
  <c r="T118" i="3"/>
  <c r="U118" i="3" s="1"/>
  <c r="T40" i="3"/>
  <c r="U40" i="3" s="1"/>
  <c r="T122" i="3"/>
  <c r="U122" i="3" s="1"/>
  <c r="T316" i="3"/>
  <c r="U316" i="3" s="1"/>
  <c r="T309" i="3"/>
  <c r="U309" i="3" s="1"/>
  <c r="T198" i="3"/>
  <c r="U198" i="3" s="1"/>
  <c r="T414" i="3"/>
  <c r="U414" i="3" s="1"/>
  <c r="T421" i="3"/>
  <c r="U421" i="3" s="1"/>
  <c r="T283" i="3"/>
  <c r="U283" i="3" s="1"/>
  <c r="T120" i="3"/>
  <c r="U120" i="3" s="1"/>
  <c r="T49" i="3"/>
  <c r="U49" i="3" s="1"/>
  <c r="T84" i="3"/>
  <c r="U84" i="3" s="1"/>
  <c r="T371" i="3"/>
  <c r="U371" i="3" s="1"/>
  <c r="T259" i="3"/>
  <c r="U259" i="3" s="1"/>
  <c r="T43" i="3"/>
  <c r="U43" i="3" s="1"/>
  <c r="T437" i="3"/>
  <c r="U437" i="3" s="1"/>
  <c r="T464" i="3"/>
  <c r="U464" i="3" s="1"/>
  <c r="T282" i="3"/>
  <c r="U282" i="3" s="1"/>
  <c r="T461" i="3"/>
  <c r="U461" i="3" s="1"/>
  <c r="T113" i="3"/>
  <c r="U113" i="3" s="1"/>
  <c r="T284" i="3"/>
  <c r="U284" i="3" s="1"/>
  <c r="T162" i="3"/>
  <c r="U162" i="3" s="1"/>
  <c r="T250" i="3"/>
  <c r="U250" i="3" s="1"/>
  <c r="T303" i="3"/>
  <c r="U303" i="3" s="1"/>
  <c r="T332" i="3"/>
  <c r="U332" i="3" s="1"/>
  <c r="T291" i="3"/>
  <c r="U291" i="3" s="1"/>
  <c r="T375" i="3"/>
  <c r="U375" i="3" s="1"/>
  <c r="T429" i="3"/>
  <c r="U429" i="3" s="1"/>
  <c r="T157" i="3"/>
  <c r="U157" i="3" s="1"/>
  <c r="T361" i="3"/>
  <c r="U361" i="3" s="1"/>
  <c r="T258" i="3"/>
  <c r="U258" i="3" s="1"/>
  <c r="T349" i="3"/>
  <c r="U349" i="3" s="1"/>
  <c r="T533" i="3"/>
  <c r="U533" i="3" s="1"/>
  <c r="T524" i="3"/>
  <c r="U524" i="3" s="1"/>
  <c r="T455" i="3"/>
  <c r="U455" i="3" s="1"/>
  <c r="T425" i="3"/>
  <c r="U425" i="3" s="1"/>
  <c r="T366" i="3"/>
  <c r="U366" i="3" s="1"/>
  <c r="T41" i="3"/>
  <c r="U41" i="3" s="1"/>
  <c r="T343" i="3"/>
  <c r="U343" i="3" s="1"/>
  <c r="T23" i="3"/>
  <c r="U23" i="3" s="1"/>
  <c r="T108" i="3"/>
  <c r="U108" i="3" s="1"/>
  <c r="T240" i="3"/>
  <c r="U240" i="3" s="1"/>
  <c r="T155" i="3"/>
  <c r="U155" i="3" s="1"/>
  <c r="T451" i="3"/>
  <c r="U451" i="3" s="1"/>
  <c r="T402" i="3"/>
  <c r="U402" i="3" s="1"/>
  <c r="T114" i="3"/>
  <c r="U114" i="3" s="1"/>
  <c r="T269" i="3"/>
  <c r="U269" i="3" s="1"/>
  <c r="T71" i="3"/>
  <c r="U71" i="3" s="1"/>
  <c r="T234" i="3"/>
  <c r="U234" i="3" s="1"/>
  <c r="T431" i="3"/>
  <c r="U431" i="3" s="1"/>
  <c r="T473" i="3"/>
  <c r="U473" i="3" s="1"/>
  <c r="T267" i="3"/>
  <c r="U267" i="3" s="1"/>
  <c r="T304" i="3"/>
  <c r="U304" i="3" s="1"/>
  <c r="T378" i="3"/>
  <c r="U378" i="3" s="1"/>
  <c r="T177" i="3"/>
  <c r="U177" i="3" s="1"/>
  <c r="T175" i="3"/>
  <c r="U175" i="3" s="1"/>
  <c r="T245" i="3"/>
  <c r="U245" i="3" s="1"/>
  <c r="T472" i="3"/>
  <c r="U472" i="3" s="1"/>
  <c r="T217" i="3"/>
  <c r="U217" i="3" s="1"/>
  <c r="T499" i="3"/>
  <c r="U499" i="3" s="1"/>
  <c r="T367" i="3"/>
  <c r="U367" i="3" s="1"/>
  <c r="T107" i="3"/>
  <c r="U107" i="3" s="1"/>
  <c r="T261" i="3"/>
  <c r="U261" i="3" s="1"/>
  <c r="T486" i="3"/>
  <c r="U486" i="3" s="1"/>
  <c r="T443" i="3"/>
  <c r="U443" i="3" s="1"/>
  <c r="T86" i="3"/>
  <c r="U86" i="3" s="1"/>
  <c r="T99" i="3"/>
  <c r="U99" i="3" s="1"/>
  <c r="T383" i="3"/>
  <c r="U383" i="3" s="1"/>
  <c r="T280" i="3"/>
  <c r="U280" i="3" s="1"/>
  <c r="T60" i="3"/>
  <c r="U60" i="3" s="1"/>
  <c r="T262" i="3"/>
  <c r="U262" i="3" s="1"/>
  <c r="T92" i="3"/>
  <c r="U92" i="3" s="1"/>
  <c r="T514" i="3"/>
  <c r="U514" i="3" s="1"/>
  <c r="T521" i="3"/>
  <c r="U521" i="3" s="1"/>
  <c r="T53" i="3"/>
  <c r="U53" i="3" s="1"/>
  <c r="T149" i="3"/>
  <c r="U149" i="3" s="1"/>
  <c r="T223" i="3"/>
  <c r="U223" i="3" s="1"/>
  <c r="T168" i="3"/>
  <c r="U168" i="3" s="1"/>
  <c r="T97" i="3"/>
  <c r="U97" i="3" s="1"/>
  <c r="T101" i="3"/>
  <c r="U101" i="3" s="1"/>
  <c r="T275" i="3"/>
  <c r="U275" i="3" s="1"/>
  <c r="T509" i="3"/>
  <c r="U509" i="3" s="1"/>
  <c r="T310" i="3"/>
  <c r="U310" i="3" s="1"/>
  <c r="T66" i="3"/>
  <c r="U66" i="3" s="1"/>
  <c r="T525" i="3"/>
  <c r="U525" i="3" s="1"/>
  <c r="T339" i="3"/>
  <c r="U339" i="3" s="1"/>
  <c r="T518" i="3"/>
  <c r="U518" i="3" s="1"/>
  <c r="T72" i="3"/>
  <c r="U72" i="3" s="1"/>
  <c r="T426" i="3"/>
  <c r="U426" i="3" s="1"/>
  <c r="T12" i="3"/>
  <c r="U12" i="3" s="1"/>
  <c r="T30" i="3"/>
  <c r="U30" i="3" s="1"/>
  <c r="T197" i="3"/>
  <c r="U197" i="3" s="1"/>
  <c r="T449" i="3"/>
  <c r="U449" i="3" s="1"/>
  <c r="T416" i="3"/>
  <c r="U416" i="3" s="1"/>
  <c r="T96" i="3"/>
  <c r="U96" i="3" s="1"/>
  <c r="T285" i="3"/>
  <c r="U285" i="3" s="1"/>
  <c r="T73" i="3"/>
  <c r="U73" i="3" s="1"/>
  <c r="T26" i="3"/>
  <c r="U26" i="3" s="1"/>
  <c r="T281" i="3"/>
  <c r="U281" i="3" s="1"/>
  <c r="T401" i="3"/>
  <c r="U401" i="3" s="1"/>
  <c r="T471" i="3"/>
  <c r="U471" i="3" s="1"/>
  <c r="T203" i="3"/>
  <c r="U203" i="3" s="1"/>
  <c r="T336" i="3"/>
  <c r="U336" i="3" s="1"/>
  <c r="T172" i="3"/>
  <c r="U172" i="3" s="1"/>
  <c r="T2" i="3"/>
  <c r="U2" i="3" s="1"/>
  <c r="T201" i="3"/>
  <c r="U201" i="3" s="1"/>
  <c r="T335" i="3"/>
  <c r="U335" i="3" s="1"/>
  <c r="T382" i="3"/>
  <c r="U382" i="3" s="1"/>
  <c r="T126" i="3"/>
  <c r="U126" i="3" s="1"/>
  <c r="T187" i="3"/>
  <c r="U187" i="3" s="1"/>
  <c r="T457" i="3"/>
  <c r="U457" i="3" s="1"/>
  <c r="T365" i="3"/>
  <c r="U365" i="3" s="1"/>
  <c r="T200" i="3"/>
  <c r="U200" i="3" s="1"/>
  <c r="T389" i="3"/>
  <c r="U389" i="3" s="1"/>
  <c r="T503" i="3"/>
  <c r="U503" i="3" s="1"/>
  <c r="T439" i="3"/>
  <c r="U439" i="3" s="1"/>
  <c r="T63" i="3"/>
  <c r="U63" i="3" s="1"/>
  <c r="T465" i="3"/>
  <c r="U465" i="3" s="1"/>
  <c r="T446" i="3"/>
  <c r="U446" i="3" s="1"/>
  <c r="T331" i="3"/>
  <c r="U331" i="3" s="1"/>
  <c r="T502" i="3"/>
  <c r="U502" i="3" s="1"/>
  <c r="T252" i="3"/>
  <c r="U252" i="3" s="1"/>
  <c r="T500" i="3"/>
  <c r="U500" i="3" s="1"/>
  <c r="T459" i="3"/>
  <c r="U459" i="3" s="1"/>
  <c r="T536" i="3"/>
  <c r="U536" i="3" s="1"/>
  <c r="T362" i="3"/>
  <c r="U362" i="3" s="1"/>
  <c r="T351" i="3"/>
  <c r="U351" i="3" s="1"/>
  <c r="T454" i="3"/>
  <c r="U454" i="3" s="1"/>
  <c r="T36" i="3"/>
  <c r="U36" i="3" s="1"/>
  <c r="T293" i="3"/>
  <c r="U293" i="3" s="1"/>
  <c r="T88" i="3"/>
  <c r="U88" i="3" s="1"/>
  <c r="T376" i="3"/>
  <c r="U376" i="3" s="1"/>
  <c r="T537" i="3"/>
  <c r="U537" i="3" s="1"/>
  <c r="T132" i="3"/>
  <c r="U132" i="3" s="1"/>
  <c r="T263" i="3"/>
  <c r="U263" i="3" s="1"/>
  <c r="T136" i="3"/>
  <c r="U136" i="3" s="1"/>
  <c r="T360" i="3"/>
  <c r="U360" i="3" s="1"/>
  <c r="T493" i="3"/>
  <c r="U493" i="3" s="1"/>
  <c r="T150" i="3"/>
  <c r="U150" i="3" s="1"/>
  <c r="T410" i="3"/>
  <c r="U410" i="3" s="1"/>
  <c r="T189" i="3"/>
  <c r="U189" i="3" s="1"/>
  <c r="T188" i="3"/>
  <c r="U188" i="3" s="1"/>
  <c r="T192" i="3"/>
  <c r="U192" i="3" s="1"/>
  <c r="T208" i="3"/>
  <c r="U208" i="3" s="1"/>
  <c r="T82" i="3"/>
  <c r="U82" i="3" s="1"/>
  <c r="T18" i="3"/>
  <c r="U18" i="3" s="1"/>
  <c r="T358" i="3"/>
  <c r="U358" i="3" s="1"/>
  <c r="T322" i="3"/>
  <c r="U322" i="3" s="1"/>
  <c r="T48" i="3"/>
  <c r="U48" i="3" s="1"/>
  <c r="T541" i="3"/>
  <c r="U541" i="3" s="1"/>
  <c r="T415" i="3"/>
  <c r="U415" i="3" s="1"/>
  <c r="T144" i="3"/>
  <c r="U144" i="3" s="1"/>
  <c r="T17" i="3"/>
  <c r="U17" i="3" s="1"/>
  <c r="T442" i="3"/>
  <c r="U442" i="3" s="1"/>
  <c r="T483" i="3"/>
  <c r="U483" i="3" s="1"/>
  <c r="T506" i="3"/>
  <c r="U506" i="3" s="1"/>
  <c r="T180" i="3"/>
  <c r="U180" i="3" s="1"/>
  <c r="T186" i="3"/>
  <c r="U186" i="3" s="1"/>
  <c r="T184" i="3"/>
  <c r="U184" i="3" s="1"/>
  <c r="T173" i="3"/>
  <c r="U173" i="3" s="1"/>
  <c r="T534" i="3"/>
  <c r="U534" i="3" s="1"/>
  <c r="T55" i="3"/>
  <c r="U55" i="3" s="1"/>
  <c r="T324" i="3"/>
  <c r="U324" i="3" s="1"/>
  <c r="T356" i="3"/>
  <c r="U356" i="3" s="1"/>
  <c r="T272" i="3"/>
  <c r="U272" i="3" s="1"/>
  <c r="T119" i="3"/>
  <c r="U119" i="3" s="1"/>
  <c r="T484" i="3"/>
  <c r="U484" i="3" s="1"/>
  <c r="T62" i="3"/>
  <c r="U62" i="3" s="1"/>
  <c r="T161" i="3"/>
  <c r="U161" i="3" s="1"/>
  <c r="T80" i="3"/>
  <c r="U80" i="3" s="1"/>
  <c r="T374" i="3"/>
  <c r="U374" i="3" s="1"/>
  <c r="T171" i="3"/>
  <c r="U171" i="3" s="1"/>
  <c r="T495" i="3"/>
  <c r="U495" i="3" s="1"/>
  <c r="T475" i="3"/>
  <c r="U475" i="3" s="1"/>
  <c r="T51" i="3"/>
  <c r="U51" i="3" s="1"/>
  <c r="T547" i="3"/>
  <c r="U547" i="3" s="1"/>
  <c r="T307" i="3"/>
  <c r="U307" i="3" s="1"/>
  <c r="T540" i="3"/>
  <c r="U540" i="3" s="1"/>
  <c r="T299" i="3"/>
  <c r="U299" i="3" s="1"/>
  <c r="T355" i="3"/>
  <c r="U355" i="3" s="1"/>
  <c r="T511" i="3"/>
  <c r="U511" i="3" s="1"/>
  <c r="T432" i="3"/>
  <c r="U432" i="3" s="1"/>
  <c r="T239" i="3"/>
  <c r="U239" i="3" s="1"/>
  <c r="T39" i="3"/>
  <c r="U39" i="3" s="1"/>
  <c r="T205" i="3"/>
  <c r="U205" i="3" s="1"/>
  <c r="T227" i="3"/>
  <c r="U227" i="3" s="1"/>
  <c r="T527" i="3"/>
  <c r="U527" i="3" s="1"/>
  <c r="T77" i="3"/>
  <c r="U77" i="3" s="1"/>
  <c r="T348" i="3"/>
  <c r="U348" i="3" s="1"/>
  <c r="T89" i="3"/>
  <c r="U89" i="3" s="1"/>
  <c r="T256" i="3"/>
  <c r="U256" i="3" s="1"/>
  <c r="T430" i="3"/>
  <c r="U430" i="3" s="1"/>
  <c r="T364" i="3"/>
  <c r="U364" i="3" s="1"/>
  <c r="T109" i="3"/>
  <c r="U109" i="3" s="1"/>
  <c r="T128" i="3"/>
  <c r="U128" i="3" s="1"/>
  <c r="T235" i="3"/>
  <c r="U235" i="3" s="1"/>
  <c r="T320" i="3"/>
  <c r="U320" i="3" s="1"/>
  <c r="T462" i="3"/>
  <c r="U462" i="3" s="1"/>
  <c r="T253" i="3"/>
  <c r="U253" i="3" s="1"/>
  <c r="T519" i="3"/>
  <c r="U519" i="3" s="1"/>
  <c r="T27" i="3"/>
  <c r="U27" i="3" s="1"/>
  <c r="T124" i="3"/>
  <c r="U124" i="3" s="1"/>
  <c r="T167" i="3"/>
  <c r="U167" i="3" s="1"/>
  <c r="T329" i="3"/>
  <c r="U329" i="3" s="1"/>
  <c r="T141" i="3"/>
  <c r="U141" i="3" s="1"/>
  <c r="T447" i="3"/>
  <c r="U447" i="3" s="1"/>
  <c r="T190" i="3"/>
  <c r="U190" i="3" s="1"/>
  <c r="T151" i="3"/>
  <c r="U151" i="3" s="1"/>
  <c r="T418" i="3"/>
  <c r="U418" i="3" s="1"/>
  <c r="T134" i="3"/>
  <c r="U134" i="3" s="1"/>
  <c r="T59" i="3"/>
  <c r="U59" i="3" s="1"/>
  <c r="T542" i="3"/>
  <c r="U542" i="3" s="1"/>
  <c r="T388" i="3"/>
  <c r="U388" i="3" s="1"/>
  <c r="T286" i="3"/>
  <c r="U286" i="3" s="1"/>
  <c r="T321" i="3"/>
  <c r="U321" i="3" s="1"/>
  <c r="T433" i="3"/>
  <c r="U433" i="3" s="1"/>
  <c r="T169" i="3"/>
  <c r="U169" i="3" s="1"/>
  <c r="T427" i="3"/>
  <c r="U427" i="3" s="1"/>
  <c r="T94" i="3"/>
  <c r="U94" i="3" s="1"/>
  <c r="T64" i="3"/>
  <c r="U64" i="3" s="1"/>
  <c r="T292" i="3"/>
  <c r="U292" i="3" s="1"/>
  <c r="T308" i="3"/>
  <c r="U308" i="3" s="1"/>
  <c r="T9" i="3"/>
  <c r="U9" i="3" s="1"/>
  <c r="T214" i="3"/>
  <c r="U214" i="3" s="1"/>
  <c r="T476" i="3"/>
  <c r="U476" i="3" s="1"/>
  <c r="T290" i="3"/>
  <c r="U290" i="3" s="1"/>
  <c r="T346" i="3"/>
  <c r="U346" i="3" s="1"/>
  <c r="T479" i="3"/>
  <c r="U479" i="3" s="1"/>
  <c r="T20" i="3"/>
  <c r="U20" i="3" s="1"/>
  <c r="T398" i="3"/>
  <c r="U398" i="3" s="1"/>
  <c r="T270" i="3"/>
  <c r="U270" i="3" s="1"/>
  <c r="T100" i="3"/>
  <c r="U100" i="3" s="1"/>
  <c r="T52" i="3"/>
  <c r="U52" i="3" s="1"/>
  <c r="T42" i="3"/>
  <c r="U42" i="3" s="1"/>
  <c r="T152" i="3"/>
  <c r="U152" i="3" s="1"/>
  <c r="T104" i="3"/>
  <c r="U104" i="3" s="1"/>
  <c r="T241" i="3"/>
  <c r="U241" i="3" s="1"/>
  <c r="T456" i="3"/>
  <c r="U456" i="3" s="1"/>
  <c r="T121" i="3"/>
  <c r="U121" i="3" s="1"/>
  <c r="T46" i="3"/>
  <c r="U46" i="3" s="1"/>
  <c r="T411" i="3"/>
  <c r="U411" i="3" s="1"/>
  <c r="T69" i="3"/>
  <c r="U69" i="3" s="1"/>
  <c r="T174" i="3"/>
  <c r="U174" i="3" s="1"/>
  <c r="T13" i="3"/>
  <c r="U13" i="3" s="1"/>
  <c r="T314" i="3"/>
  <c r="U314" i="3" s="1"/>
  <c r="T341" i="3"/>
  <c r="U341" i="3" s="1"/>
  <c r="T244" i="3"/>
  <c r="U244" i="3" s="1"/>
  <c r="T458" i="3"/>
  <c r="U458" i="3" s="1"/>
  <c r="T354" i="3"/>
  <c r="U354" i="3" s="1"/>
  <c r="T492" i="3"/>
  <c r="U492" i="3" s="1"/>
  <c r="T420" i="3"/>
  <c r="U420" i="3" s="1"/>
  <c r="T497" i="3"/>
  <c r="U497" i="3" s="1"/>
  <c r="T117" i="3"/>
  <c r="U117" i="3" s="1"/>
  <c r="T501" i="3"/>
  <c r="U501" i="3" s="1"/>
  <c r="T81" i="3"/>
  <c r="U81" i="3" s="1"/>
  <c r="T181" i="3"/>
  <c r="U181" i="3" s="1"/>
  <c r="T296" i="3"/>
  <c r="U296" i="3" s="1"/>
  <c r="T215" i="3"/>
  <c r="U215" i="3" s="1"/>
  <c r="T287" i="3"/>
  <c r="U287" i="3" s="1"/>
  <c r="T544" i="3"/>
  <c r="U544" i="3" s="1"/>
  <c r="T139" i="3"/>
  <c r="U139" i="3" s="1"/>
  <c r="T438" i="3"/>
  <c r="U438" i="3" s="1"/>
  <c r="T98" i="3"/>
  <c r="U98" i="3" s="1"/>
  <c r="T264" i="3"/>
  <c r="U264" i="3" s="1"/>
  <c r="T135" i="3"/>
  <c r="U135" i="3" s="1"/>
  <c r="T337" i="3"/>
  <c r="U337" i="3" s="1"/>
  <c r="T131" i="3"/>
  <c r="U131" i="3" s="1"/>
  <c r="T328" i="3"/>
  <c r="U328" i="3" s="1"/>
  <c r="T294" i="3"/>
  <c r="U294" i="3" s="1"/>
  <c r="T154" i="3"/>
  <c r="U154" i="3" s="1"/>
  <c r="T487" i="3"/>
  <c r="U487" i="3" s="1"/>
  <c r="T116" i="3"/>
  <c r="U116" i="3" s="1"/>
  <c r="T334" i="3"/>
  <c r="U334" i="3" s="1"/>
  <c r="T232" i="3"/>
  <c r="U232" i="3" s="1"/>
  <c r="T191" i="3"/>
  <c r="U191" i="3" s="1"/>
  <c r="T148" i="3"/>
  <c r="U148" i="3" s="1"/>
  <c r="T491" i="3"/>
  <c r="U491" i="3" s="1"/>
  <c r="T153" i="3"/>
  <c r="U153" i="3" s="1"/>
  <c r="T302" i="3"/>
  <c r="U302" i="3" s="1"/>
  <c r="T129" i="3"/>
  <c r="U129" i="3" s="1"/>
  <c r="T379" i="3"/>
  <c r="U379" i="3" s="1"/>
  <c r="T448" i="3"/>
  <c r="U448" i="3" s="1"/>
  <c r="T248" i="3"/>
  <c r="U248" i="3" s="1"/>
  <c r="T34" i="3"/>
  <c r="U34" i="3" s="1"/>
  <c r="T463" i="3"/>
  <c r="U463" i="3" s="1"/>
  <c r="T194" i="3"/>
  <c r="U194" i="3" s="1"/>
  <c r="T219" i="3"/>
  <c r="U219" i="3" s="1"/>
  <c r="T125" i="3"/>
  <c r="U125" i="3" s="1"/>
  <c r="T79" i="3"/>
  <c r="U79" i="3" s="1"/>
  <c r="T386" i="3"/>
  <c r="U386" i="3" s="1"/>
  <c r="T347" i="3"/>
  <c r="U347" i="3" s="1"/>
  <c r="T357" i="3"/>
  <c r="U357" i="3" s="1"/>
  <c r="T319" i="3"/>
  <c r="U319" i="3" s="1"/>
  <c r="T452" i="3"/>
  <c r="U452" i="3" s="1"/>
  <c r="T392" i="3"/>
  <c r="U392" i="3" s="1"/>
  <c r="T428" i="3"/>
  <c r="U428" i="3" s="1"/>
  <c r="T279" i="3"/>
  <c r="U279" i="3" s="1"/>
  <c r="T387" i="3"/>
  <c r="U387" i="3" s="1"/>
  <c r="T209" i="3"/>
  <c r="U209" i="3" s="1"/>
  <c r="T393" i="3"/>
  <c r="U393" i="3" s="1"/>
  <c r="T405" i="3"/>
  <c r="U405" i="3" s="1"/>
  <c r="T221" i="3"/>
  <c r="U221" i="3" s="1"/>
  <c r="T142" i="3"/>
  <c r="U142" i="3" s="1"/>
  <c r="T352" i="3"/>
  <c r="U352" i="3" s="1"/>
  <c r="T417" i="3"/>
  <c r="U417" i="3" s="1"/>
  <c r="T38" i="3"/>
  <c r="U38" i="3" s="1"/>
  <c r="T526" i="3"/>
  <c r="U526" i="3" s="1"/>
  <c r="T218" i="3"/>
  <c r="U218" i="3" s="1"/>
  <c r="T207" i="3"/>
  <c r="U207" i="3" s="1"/>
  <c r="T185" i="3"/>
  <c r="U185" i="3" s="1"/>
  <c r="T450" i="3"/>
  <c r="U450" i="3" s="1"/>
  <c r="T480" i="3"/>
  <c r="U480" i="3" s="1"/>
  <c r="T513" i="3"/>
  <c r="U513" i="3" s="1"/>
  <c r="T485" i="3"/>
  <c r="U485" i="3" s="1"/>
  <c r="T301" i="3"/>
  <c r="U301" i="3" s="1"/>
  <c r="T510" i="3"/>
  <c r="U510" i="3" s="1"/>
  <c r="T508" i="3"/>
  <c r="U508" i="3" s="1"/>
  <c r="T516" i="3"/>
  <c r="U516" i="3" s="1"/>
  <c r="T178" i="3"/>
  <c r="U178" i="3" s="1"/>
  <c r="T35" i="3"/>
  <c r="U35" i="3" s="1"/>
  <c r="T265" i="3"/>
  <c r="U265" i="3" s="1"/>
  <c r="T368" i="3"/>
  <c r="U368" i="3" s="1"/>
  <c r="T233" i="3"/>
  <c r="U233" i="3" s="1"/>
  <c r="T216" i="3"/>
  <c r="U216" i="3" s="1"/>
  <c r="T255" i="3"/>
  <c r="U255" i="3" s="1"/>
  <c r="T297" i="3"/>
  <c r="U297" i="3" s="1"/>
  <c r="T289" i="3"/>
  <c r="U289" i="3" s="1"/>
  <c r="T47" i="3"/>
  <c r="U47" i="3" s="1"/>
  <c r="T29" i="3"/>
  <c r="U29" i="3" s="1"/>
  <c r="T137" i="3"/>
  <c r="U137" i="3" s="1"/>
  <c r="T531" i="3"/>
  <c r="U531" i="3" s="1"/>
  <c r="T222" i="3"/>
  <c r="U222" i="3" s="1"/>
  <c r="T105" i="3"/>
  <c r="U105" i="3" s="1"/>
  <c r="T160" i="3"/>
  <c r="U160" i="3" s="1"/>
  <c r="T345" i="3"/>
  <c r="U345" i="3" s="1"/>
  <c r="T396" i="3"/>
  <c r="U396" i="3" s="1"/>
  <c r="T257" i="3"/>
  <c r="U257" i="3" s="1"/>
  <c r="T22" i="3"/>
  <c r="U22" i="3" s="1"/>
  <c r="T441" i="3"/>
  <c r="U441" i="3" s="1"/>
  <c r="T268" i="3"/>
  <c r="U268" i="3" s="1"/>
  <c r="T212" i="3"/>
  <c r="U212" i="3" s="1"/>
  <c r="T164" i="3"/>
  <c r="U164" i="3" s="1"/>
  <c r="T90" i="3"/>
  <c r="U90" i="3" s="1"/>
  <c r="T453" i="3"/>
  <c r="U453" i="3" s="1"/>
  <c r="T369" i="3"/>
  <c r="U369" i="3" s="1"/>
  <c r="T505" i="3"/>
  <c r="U505" i="3" s="1"/>
  <c r="T85" i="3"/>
  <c r="U85" i="3" s="1"/>
  <c r="T156" i="3"/>
  <c r="U156" i="3" s="1"/>
  <c r="T467" i="3"/>
  <c r="U467" i="3" s="1"/>
  <c r="T532" i="3"/>
  <c r="U532" i="3" s="1"/>
  <c r="T170" i="3"/>
  <c r="U170" i="3" s="1"/>
  <c r="T520" i="3"/>
  <c r="U520" i="3" s="1"/>
  <c r="T477" i="3"/>
  <c r="U477" i="3" s="1"/>
  <c r="T409" i="3"/>
  <c r="U409" i="3" s="1"/>
  <c r="T504" i="3"/>
  <c r="U504" i="3" s="1"/>
  <c r="T406" i="3"/>
  <c r="U406" i="3" s="1"/>
  <c r="T545" i="3"/>
  <c r="U545" i="3" s="1"/>
  <c r="T488" i="3"/>
  <c r="U488" i="3" s="1"/>
  <c r="T145" i="3"/>
  <c r="U145" i="3" s="1"/>
  <c r="T359" i="3"/>
  <c r="U359" i="3" s="1"/>
  <c r="T238" i="3"/>
  <c r="U238" i="3" s="1"/>
  <c r="T236" i="3"/>
  <c r="U236" i="3" s="1"/>
  <c r="T228" i="3"/>
  <c r="U228" i="3" s="1"/>
  <c r="T226" i="3"/>
  <c r="U226" i="3" s="1"/>
  <c r="T403" i="3"/>
  <c r="U403" i="3" s="1"/>
  <c r="T444" i="3"/>
  <c r="U444" i="3" s="1"/>
  <c r="T315" i="3"/>
  <c r="U315" i="3" s="1"/>
  <c r="T470" i="3"/>
  <c r="U470" i="3" s="1"/>
  <c r="T199" i="3"/>
  <c r="U199" i="3" s="1"/>
  <c r="T74" i="3"/>
  <c r="U74" i="3" s="1"/>
  <c r="T225" i="3"/>
  <c r="U225" i="3" s="1"/>
  <c r="T494" i="3"/>
  <c r="U494" i="3" s="1"/>
  <c r="T246" i="3"/>
  <c r="U246" i="3" s="1"/>
  <c r="T8" i="3"/>
  <c r="U8" i="3" s="1"/>
  <c r="T278" i="3"/>
  <c r="U278" i="3" s="1"/>
  <c r="T251" i="3"/>
  <c r="U251" i="3" s="1"/>
  <c r="T422" i="3"/>
  <c r="U422" i="3" s="1"/>
  <c r="T158" i="3"/>
  <c r="U158" i="3" s="1"/>
  <c r="T61" i="3"/>
  <c r="U61" i="3" s="1"/>
  <c r="T103" i="3"/>
  <c r="U103" i="3" s="1"/>
  <c r="T32" i="3"/>
  <c r="U32" i="3" s="1"/>
  <c r="T58" i="3"/>
  <c r="U58" i="3" s="1"/>
  <c r="T276" i="3"/>
  <c r="U276" i="3" s="1"/>
  <c r="T111" i="3"/>
  <c r="U111" i="3" s="1"/>
  <c r="T183" i="3"/>
  <c r="U183" i="3" s="1"/>
  <c r="T407" i="3"/>
  <c r="U407" i="3" s="1"/>
  <c r="T517" i="3"/>
  <c r="U517" i="3" s="1"/>
  <c r="T70" i="3"/>
  <c r="U70" i="3" s="1"/>
  <c r="T75" i="3"/>
  <c r="U75" i="3" s="1"/>
  <c r="T523" i="3"/>
  <c r="U523" i="3" s="1"/>
  <c r="T16" i="3"/>
  <c r="U16" i="3" s="1"/>
  <c r="T140" i="3"/>
  <c r="U140" i="3" s="1"/>
  <c r="T21" i="3"/>
  <c r="U21" i="3" s="1"/>
  <c r="T143" i="3"/>
  <c r="U143" i="3" s="1"/>
  <c r="T288" i="3"/>
  <c r="U288" i="3" s="1"/>
  <c r="T481" i="3"/>
  <c r="U481" i="3" s="1"/>
  <c r="T224" i="3"/>
  <c r="U224" i="3" s="1"/>
  <c r="T45" i="3"/>
  <c r="U45" i="3" s="1"/>
  <c r="T372" i="3"/>
  <c r="U372" i="3" s="1"/>
  <c r="T490" i="3"/>
  <c r="U490" i="3" s="1"/>
  <c r="T423" i="3"/>
  <c r="U423" i="3" s="1"/>
  <c r="T353" i="3"/>
  <c r="U353" i="3" s="1"/>
  <c r="T419" i="3"/>
  <c r="U419" i="3" s="1"/>
  <c r="T10" i="3"/>
  <c r="U10" i="3" s="1"/>
  <c r="T159" i="3"/>
  <c r="U159" i="3" s="1"/>
  <c r="T193" i="3"/>
  <c r="U193" i="3" s="1"/>
  <c r="T213" i="3"/>
  <c r="U213" i="3" s="1"/>
  <c r="T206" i="3"/>
  <c r="U206" i="3" s="1"/>
  <c r="T130" i="3"/>
  <c r="U130" i="3" s="1"/>
  <c r="T93" i="3"/>
  <c r="U93" i="3" s="1"/>
  <c r="T515" i="3"/>
  <c r="U515" i="3" s="1"/>
  <c r="T102" i="3"/>
  <c r="U102" i="3" s="1"/>
  <c r="T489" i="3"/>
  <c r="U489" i="3" s="1"/>
  <c r="T110" i="3"/>
  <c r="U110" i="3" s="1"/>
  <c r="T468" i="3"/>
  <c r="U468" i="3" s="1"/>
  <c r="T274" i="3"/>
  <c r="U274" i="3" s="1"/>
  <c r="T28" i="3"/>
  <c r="U28" i="3" s="1"/>
  <c r="T176" i="3"/>
  <c r="U176" i="3" s="1"/>
  <c r="T37" i="3"/>
  <c r="U37" i="3" s="1"/>
  <c r="T163" i="3"/>
  <c r="U163" i="3" s="1"/>
  <c r="T522" i="3"/>
  <c r="U522" i="3" s="1"/>
  <c r="T340" i="3"/>
  <c r="U340" i="3" s="1"/>
  <c r="T138" i="3"/>
  <c r="U138" i="3" s="1"/>
  <c r="T344" i="3"/>
  <c r="U344" i="3" s="1"/>
  <c r="T327" i="3"/>
  <c r="U327" i="3" s="1"/>
  <c r="T305" i="3"/>
  <c r="U305" i="3" s="1"/>
  <c r="T65" i="3"/>
  <c r="U65" i="3" s="1"/>
  <c r="T220" i="3"/>
  <c r="U220" i="3" s="1"/>
  <c r="T313" i="3"/>
  <c r="U313" i="3" s="1"/>
  <c r="T273" i="3"/>
  <c r="U273" i="3" s="1"/>
  <c r="T381" i="3"/>
  <c r="U381" i="3" s="1"/>
  <c r="T408" i="3"/>
  <c r="U408" i="3" s="1"/>
  <c r="T24" i="3"/>
  <c r="U24" i="3" s="1"/>
  <c r="T237" i="3"/>
  <c r="U237" i="3" s="1"/>
  <c r="T44" i="3"/>
  <c r="U44" i="3" s="1"/>
  <c r="T95" i="3"/>
  <c r="U95" i="3" s="1"/>
  <c r="AC5" i="3"/>
  <c r="AD5" i="3" s="1"/>
  <c r="Z6" i="3"/>
  <c r="AA6" i="3" s="1"/>
  <c r="Z3" i="3"/>
  <c r="AA3" i="3" s="1"/>
  <c r="AC3" i="3"/>
  <c r="AD3" i="3" s="1"/>
  <c r="AC6" i="3"/>
  <c r="AD6" i="3" s="1"/>
  <c r="Z5" i="3"/>
  <c r="AA5" i="3" s="1"/>
  <c r="AC4" i="3"/>
  <c r="AD4" i="3" s="1"/>
  <c r="Z4" i="3"/>
  <c r="AA4" i="3" s="1"/>
  <c r="AC2" i="3"/>
  <c r="AD2" i="3" s="1"/>
  <c r="Z2" i="3"/>
  <c r="AA2" i="3" s="1"/>
  <c r="T3" i="3"/>
  <c r="U3" i="3" s="1"/>
  <c r="T6" i="3"/>
  <c r="U6" i="3" s="1"/>
  <c r="T4" i="3"/>
  <c r="U4" i="3" s="1"/>
  <c r="T5" i="3"/>
  <c r="U5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Raisa Ahmed</author>
  </authors>
  <commentList>
    <comment ref="F2" authorId="0" shapeId="0" xr:uid="{BFE43839-71BC-4A53-893D-90C2CF12E771}">
      <text>
        <r>
          <rPr>
            <b/>
            <sz val="9"/>
            <color indexed="81"/>
            <rFont val="Tahoma"/>
            <family val="2"/>
          </rPr>
          <t>Raisa Ahmed:</t>
        </r>
        <r>
          <rPr>
            <sz val="9"/>
            <color indexed="81"/>
            <rFont val="Tahoma"/>
            <family val="2"/>
          </rPr>
          <t xml:space="preserve">
blue is from field </t>
        </r>
      </text>
    </comment>
  </commentList>
</comments>
</file>

<file path=xl/sharedStrings.xml><?xml version="1.0" encoding="utf-8"?>
<sst xmlns="http://schemas.openxmlformats.org/spreadsheetml/2006/main" count="2653" uniqueCount="1177">
  <si>
    <t>BD404104</t>
  </si>
  <si>
    <t>BD302602</t>
  </si>
  <si>
    <t>BD501006</t>
  </si>
  <si>
    <t>BD555202</t>
  </si>
  <si>
    <t>BD100602</t>
  </si>
  <si>
    <t>BD603602</t>
  </si>
  <si>
    <t>BD201202</t>
  </si>
  <si>
    <t>BD503813</t>
  </si>
  <si>
    <t>BD401807</t>
  </si>
  <si>
    <t>BD302903</t>
  </si>
  <si>
    <t>BD200304</t>
  </si>
  <si>
    <t>BD201504</t>
  </si>
  <si>
    <t>BD306702</t>
  </si>
  <si>
    <t>BD201233</t>
  </si>
  <si>
    <t>BD408704</t>
  </si>
  <si>
    <t>BD507605</t>
  </si>
  <si>
    <t>BD457204</t>
  </si>
  <si>
    <t>BD506403</t>
  </si>
  <si>
    <t>BD557704</t>
  </si>
  <si>
    <t>BD304802</t>
  </si>
  <si>
    <t>BD100603</t>
  </si>
  <si>
    <t>BD506406</t>
  </si>
  <si>
    <t>BD558503</t>
  </si>
  <si>
    <t>BD302604</t>
  </si>
  <si>
    <t>BD506909</t>
  </si>
  <si>
    <t>BD400108</t>
  </si>
  <si>
    <t>BD508110</t>
  </si>
  <si>
    <t>BD208407</t>
  </si>
  <si>
    <t>BD404109</t>
  </si>
  <si>
    <t>BD508112</t>
  </si>
  <si>
    <t>BD603605</t>
  </si>
  <si>
    <t>BD304806</t>
  </si>
  <si>
    <t>BD201510</t>
  </si>
  <si>
    <t>BD100607</t>
  </si>
  <si>
    <t>BD453907</t>
  </si>
  <si>
    <t>BD609108</t>
  </si>
  <si>
    <t>BD308207</t>
  </si>
  <si>
    <t>BD559408</t>
  </si>
  <si>
    <t>BD100419</t>
  </si>
  <si>
    <t>BD100610</t>
  </si>
  <si>
    <t>BD201204</t>
  </si>
  <si>
    <t>BD306706</t>
  </si>
  <si>
    <t>BD200314</t>
  </si>
  <si>
    <t>BD302605</t>
  </si>
  <si>
    <t>BD603611</t>
  </si>
  <si>
    <t>BD201508</t>
  </si>
  <si>
    <t>BD506915</t>
  </si>
  <si>
    <t>BD100428</t>
  </si>
  <si>
    <t>BD457209</t>
  </si>
  <si>
    <t>BD100651</t>
  </si>
  <si>
    <t>BD208421</t>
  </si>
  <si>
    <t>BD605814</t>
  </si>
  <si>
    <t>BD201909</t>
  </si>
  <si>
    <t>BD309309</t>
  </si>
  <si>
    <t>BD404712</t>
  </si>
  <si>
    <t>BD107838</t>
  </si>
  <si>
    <t>BD201506</t>
  </si>
  <si>
    <t>BD609117</t>
  </si>
  <si>
    <t>BD207507</t>
  </si>
  <si>
    <t>BD306807</t>
  </si>
  <si>
    <t>BD208429</t>
  </si>
  <si>
    <t>BD508811</t>
  </si>
  <si>
    <t>BD507616</t>
  </si>
  <si>
    <t>BD100447</t>
  </si>
  <si>
    <t>BD304811</t>
  </si>
  <si>
    <t>BD456113</t>
  </si>
  <si>
    <t>BD107914</t>
  </si>
  <si>
    <t>BD302910</t>
  </si>
  <si>
    <t>BD507619</t>
  </si>
  <si>
    <t>BD308614</t>
  </si>
  <si>
    <t>BD405015</t>
  </si>
  <si>
    <t>BD100918</t>
  </si>
  <si>
    <t>BD507018</t>
  </si>
  <si>
    <t>BD309319</t>
  </si>
  <si>
    <t>BD554906</t>
  </si>
  <si>
    <t>BD201207</t>
  </si>
  <si>
    <t>BD302606</t>
  </si>
  <si>
    <t>BD552717</t>
  </si>
  <si>
    <t>BD552710</t>
  </si>
  <si>
    <t>BD552712</t>
  </si>
  <si>
    <t>BD609018</t>
  </si>
  <si>
    <t>BD609120</t>
  </si>
  <si>
    <t>BD508122</t>
  </si>
  <si>
    <t>BD201512</t>
  </si>
  <si>
    <t>BD302918</t>
  </si>
  <si>
    <t>BD552721</t>
  </si>
  <si>
    <t>BD557725</t>
  </si>
  <si>
    <t>BD501020</t>
  </si>
  <si>
    <t>BD201915</t>
  </si>
  <si>
    <t>BD201213</t>
  </si>
  <si>
    <t>BD100921</t>
  </si>
  <si>
    <t>BD201918</t>
  </si>
  <si>
    <t>BD302608</t>
  </si>
  <si>
    <t>BD302609</t>
  </si>
  <si>
    <t>BD202216</t>
  </si>
  <si>
    <t>BD201518</t>
  </si>
  <si>
    <t>BD201519</t>
  </si>
  <si>
    <t>BD201927</t>
  </si>
  <si>
    <t>BD201322</t>
  </si>
  <si>
    <t>BD302921</t>
  </si>
  <si>
    <t>BD100925</t>
  </si>
  <si>
    <t>BD554908</t>
  </si>
  <si>
    <t>BD508125</t>
  </si>
  <si>
    <t>BD207510</t>
  </si>
  <si>
    <t>BD507622</t>
  </si>
  <si>
    <t>BD201931</t>
  </si>
  <si>
    <t>BD404111</t>
  </si>
  <si>
    <t>BD508827</t>
  </si>
  <si>
    <t>BD203014</t>
  </si>
  <si>
    <t>BD609023</t>
  </si>
  <si>
    <t>BD554909</t>
  </si>
  <si>
    <t>BD552730</t>
  </si>
  <si>
    <t>BD400114</t>
  </si>
  <si>
    <t>BD201520</t>
  </si>
  <si>
    <t>BD401823</t>
  </si>
  <si>
    <t>BD603626</t>
  </si>
  <si>
    <t>BD201967</t>
  </si>
  <si>
    <t>BD201933</t>
  </si>
  <si>
    <t>BD207521</t>
  </si>
  <si>
    <t>BD609127</t>
  </si>
  <si>
    <t>BD202224</t>
  </si>
  <si>
    <t>BD404717</t>
  </si>
  <si>
    <t>BD203025</t>
  </si>
  <si>
    <t>BD609027</t>
  </si>
  <si>
    <t>BD609131</t>
  </si>
  <si>
    <t>BD302610</t>
  </si>
  <si>
    <t>BD308625</t>
  </si>
  <si>
    <t>BD401831</t>
  </si>
  <si>
    <t>BD302611</t>
  </si>
  <si>
    <t>BD107852</t>
  </si>
  <si>
    <t>BD201936</t>
  </si>
  <si>
    <t>BD100929</t>
  </si>
  <si>
    <t>BD405039</t>
  </si>
  <si>
    <t>BD408725</t>
  </si>
  <si>
    <t>BD201940</t>
  </si>
  <si>
    <t>BD557734</t>
  </si>
  <si>
    <t>BD309323</t>
  </si>
  <si>
    <t>BD302612</t>
  </si>
  <si>
    <t>BD609029</t>
  </si>
  <si>
    <t>BD453915</t>
  </si>
  <si>
    <t>BD506428</t>
  </si>
  <si>
    <t>BD302614</t>
  </si>
  <si>
    <t>BD309325</t>
  </si>
  <si>
    <t>BD302616</t>
  </si>
  <si>
    <t>BD609032</t>
  </si>
  <si>
    <t>BD456116</t>
  </si>
  <si>
    <t>BD501027</t>
  </si>
  <si>
    <t>BD501033</t>
  </si>
  <si>
    <t>BD404740</t>
  </si>
  <si>
    <t>BD204643</t>
  </si>
  <si>
    <t>BD557312</t>
  </si>
  <si>
    <t>BD552764</t>
  </si>
  <si>
    <t>BD302618</t>
  </si>
  <si>
    <t>BD557315</t>
  </si>
  <si>
    <t>BD201528</t>
  </si>
  <si>
    <t>BD609033</t>
  </si>
  <si>
    <t>BD107855</t>
  </si>
  <si>
    <t>BD404730</t>
  </si>
  <si>
    <t>BD457218</t>
  </si>
  <si>
    <t>BD508131</t>
  </si>
  <si>
    <t>BD400134</t>
  </si>
  <si>
    <t>BD201345</t>
  </si>
  <si>
    <t>BD507633</t>
  </si>
  <si>
    <t>BD302947</t>
  </si>
  <si>
    <t>BD201533</t>
  </si>
  <si>
    <t>BD609135</t>
  </si>
  <si>
    <t>BD203029</t>
  </si>
  <si>
    <t>BD552738</t>
  </si>
  <si>
    <t>BD456120</t>
  </si>
  <si>
    <t>BD553221</t>
  </si>
  <si>
    <t>BD203041</t>
  </si>
  <si>
    <t>BD501040</t>
  </si>
  <si>
    <t>BD456122</t>
  </si>
  <si>
    <t>BD553224</t>
  </si>
  <si>
    <t>BD558527</t>
  </si>
  <si>
    <t>BD405747</t>
  </si>
  <si>
    <t>BD456123</t>
  </si>
  <si>
    <t>BD100632</t>
  </si>
  <si>
    <t>BD305924</t>
  </si>
  <si>
    <t>BD303330</t>
  </si>
  <si>
    <t>BD302624</t>
  </si>
  <si>
    <t>BD309328</t>
  </si>
  <si>
    <t>BD305622</t>
  </si>
  <si>
    <t>BD552743</t>
  </si>
  <si>
    <t>BD308229</t>
  </si>
  <si>
    <t>BD553230</t>
  </si>
  <si>
    <t>BD508134</t>
  </si>
  <si>
    <t>BD609138</t>
  </si>
  <si>
    <t>BD507037</t>
  </si>
  <si>
    <t>BD303532</t>
  </si>
  <si>
    <t>BD309338</t>
  </si>
  <si>
    <t>BD308636</t>
  </si>
  <si>
    <t>BD609141</t>
  </si>
  <si>
    <t>BD302626</t>
  </si>
  <si>
    <t>BD506941</t>
  </si>
  <si>
    <t>BD603644</t>
  </si>
  <si>
    <t>BD201347</t>
  </si>
  <si>
    <t>BD201349</t>
  </si>
  <si>
    <t>BD552747</t>
  </si>
  <si>
    <t>BD201535</t>
  </si>
  <si>
    <t>BD456124</t>
  </si>
  <si>
    <t>BD404414</t>
  </si>
  <si>
    <t>BD559451</t>
  </si>
  <si>
    <t>BD305628</t>
  </si>
  <si>
    <t>BD201537</t>
  </si>
  <si>
    <t>BD555233</t>
  </si>
  <si>
    <t>BD207536</t>
  </si>
  <si>
    <t>BD302628</t>
  </si>
  <si>
    <t>BD100636</t>
  </si>
  <si>
    <t>BD201954</t>
  </si>
  <si>
    <t>BD304827</t>
  </si>
  <si>
    <t>BD507639</t>
  </si>
  <si>
    <t>BD456131</t>
  </si>
  <si>
    <t>BD453929</t>
  </si>
  <si>
    <t>BD304833</t>
  </si>
  <si>
    <t>BD609047</t>
  </si>
  <si>
    <t>BD609153</t>
  </si>
  <si>
    <t>BD557336</t>
  </si>
  <si>
    <t>BD609050</t>
  </si>
  <si>
    <t>BD453936</t>
  </si>
  <si>
    <t>BD302629</t>
  </si>
  <si>
    <t>BD104240</t>
  </si>
  <si>
    <t>BD404419</t>
  </si>
  <si>
    <t>BD458937</t>
  </si>
  <si>
    <t>BD404123</t>
  </si>
  <si>
    <t>BD401855</t>
  </si>
  <si>
    <t>BD503847</t>
  </si>
  <si>
    <t>BD208447</t>
  </si>
  <si>
    <t>BD605835</t>
  </si>
  <si>
    <t>BD207547</t>
  </si>
  <si>
    <t>BD201358</t>
  </si>
  <si>
    <t>BD400138</t>
  </si>
  <si>
    <t>BD302632</t>
  </si>
  <si>
    <t>BD302630</t>
  </si>
  <si>
    <t>BD501054</t>
  </si>
  <si>
    <t>BD552756</t>
  </si>
  <si>
    <t>BD107866</t>
  </si>
  <si>
    <t>BD302633</t>
  </si>
  <si>
    <t>BD503858</t>
  </si>
  <si>
    <t>BD408743</t>
  </si>
  <si>
    <t>BD406528</t>
  </si>
  <si>
    <t>BD303332</t>
  </si>
  <si>
    <t>BD303334</t>
  </si>
  <si>
    <t>BD404433</t>
  </si>
  <si>
    <t>BD408747</t>
  </si>
  <si>
    <t>BD555239</t>
  </si>
  <si>
    <t>BD309347</t>
  </si>
  <si>
    <t>BD305440</t>
  </si>
  <si>
    <t>BD457240</t>
  </si>
  <si>
    <t>BD308247</t>
  </si>
  <si>
    <t>BD605856</t>
  </si>
  <si>
    <t>BD205133</t>
  </si>
  <si>
    <t>BD508844</t>
  </si>
  <si>
    <t>BD302634</t>
  </si>
  <si>
    <t>BD609159</t>
  </si>
  <si>
    <t>BD104243</t>
  </si>
  <si>
    <t>BD303336</t>
  </si>
  <si>
    <t>BD208436</t>
  </si>
  <si>
    <t>BD304842</t>
  </si>
  <si>
    <t>BD201263</t>
  </si>
  <si>
    <t>BD303543</t>
  </si>
  <si>
    <t>BD304845</t>
  </si>
  <si>
    <t>BD558542</t>
  </si>
  <si>
    <t>BD107947</t>
  </si>
  <si>
    <t>BD208425</t>
  </si>
  <si>
    <t>BD508850</t>
  </si>
  <si>
    <t>BD457247</t>
  </si>
  <si>
    <t>BD302638</t>
  </si>
  <si>
    <t>BD404138</t>
  </si>
  <si>
    <t>BD204649</t>
  </si>
  <si>
    <t>BD457238</t>
  </si>
  <si>
    <t>BD404748</t>
  </si>
  <si>
    <t>BD552760</t>
  </si>
  <si>
    <t>BD503861</t>
  </si>
  <si>
    <t>BD302636</t>
  </si>
  <si>
    <t>BD302637</t>
  </si>
  <si>
    <t>BD405063</t>
  </si>
  <si>
    <t>BD201543</t>
  </si>
  <si>
    <t>BD557345</t>
  </si>
  <si>
    <t>BD304849</t>
  </si>
  <si>
    <t>BD303551</t>
  </si>
  <si>
    <t>BD404442</t>
  </si>
  <si>
    <t>BD201541</t>
  </si>
  <si>
    <t>BD302640</t>
  </si>
  <si>
    <t>BD404147</t>
  </si>
  <si>
    <t>BD404753</t>
  </si>
  <si>
    <t>BD605865</t>
  </si>
  <si>
    <t>BD304854</t>
  </si>
  <si>
    <t>BD405071</t>
  </si>
  <si>
    <t>BD554952</t>
  </si>
  <si>
    <t>BD405079</t>
  </si>
  <si>
    <t>BD202245</t>
  </si>
  <si>
    <t>BD603668</t>
  </si>
  <si>
    <t>BD201972</t>
  </si>
  <si>
    <t>BD204661</t>
  </si>
  <si>
    <t>BD205143</t>
  </si>
  <si>
    <t>BD302642</t>
  </si>
  <si>
    <t>BD100954</t>
  </si>
  <si>
    <t>BD555255</t>
  </si>
  <si>
    <t>BD506944</t>
  </si>
  <si>
    <t>BD200351</t>
  </si>
  <si>
    <t>BD208458</t>
  </si>
  <si>
    <t>BD201547</t>
  </si>
  <si>
    <t>BD406552</t>
  </si>
  <si>
    <t>BD305944</t>
  </si>
  <si>
    <t>BD457256</t>
  </si>
  <si>
    <t>BD453958</t>
  </si>
  <si>
    <t>BD305454</t>
  </si>
  <si>
    <t>BD603671</t>
  </si>
  <si>
    <t>BD302956</t>
  </si>
  <si>
    <t>BD309357</t>
  </si>
  <si>
    <t>BD405557</t>
  </si>
  <si>
    <t>BD506450</t>
  </si>
  <si>
    <t>BD204665</t>
  </si>
  <si>
    <t>BD202249</t>
  </si>
  <si>
    <t>BD404471</t>
  </si>
  <si>
    <t>BD506447</t>
  </si>
  <si>
    <t>BD204667</t>
  </si>
  <si>
    <t>BD305646</t>
  </si>
  <si>
    <t>BD404161</t>
  </si>
  <si>
    <t>BD306852</t>
  </si>
  <si>
    <t>BD201974</t>
  </si>
  <si>
    <t>BD100965</t>
  </si>
  <si>
    <t>BD107958</t>
  </si>
  <si>
    <t>BD508140</t>
  </si>
  <si>
    <t>BD204670</t>
  </si>
  <si>
    <t>BD201376</t>
  </si>
  <si>
    <t>BD201379</t>
  </si>
  <si>
    <t>BD605874</t>
  </si>
  <si>
    <t>BD201975</t>
  </si>
  <si>
    <t>BD100662</t>
  </si>
  <si>
    <t>BD405787</t>
  </si>
  <si>
    <t>BD453961</t>
  </si>
  <si>
    <t>BD302648</t>
  </si>
  <si>
    <t>BD405094</t>
  </si>
  <si>
    <t>BD201553</t>
  </si>
  <si>
    <t>BD107876</t>
  </si>
  <si>
    <t>BD309366</t>
  </si>
  <si>
    <t>BD558558</t>
  </si>
  <si>
    <t>BD304859</t>
  </si>
  <si>
    <t>BD302650</t>
  </si>
  <si>
    <t>BD405566</t>
  </si>
  <si>
    <t>BD457263</t>
  </si>
  <si>
    <t>BD508153</t>
  </si>
  <si>
    <t>BD400156</t>
  </si>
  <si>
    <t>BD400158</t>
  </si>
  <si>
    <t>BD400160</t>
  </si>
  <si>
    <t>BD302654</t>
  </si>
  <si>
    <t>BD405760</t>
  </si>
  <si>
    <t>BD303558</t>
  </si>
  <si>
    <t>BD456165</t>
  </si>
  <si>
    <t>BD100669</t>
  </si>
  <si>
    <t>BD305956</t>
  </si>
  <si>
    <t>BD201981</t>
  </si>
  <si>
    <t>BD456152</t>
  </si>
  <si>
    <t>BD603677</t>
  </si>
  <si>
    <t>BD201285</t>
  </si>
  <si>
    <t>BD507056</t>
  </si>
  <si>
    <t>BD302962</t>
  </si>
  <si>
    <t>BD309376</t>
  </si>
  <si>
    <t>BD554961</t>
  </si>
  <si>
    <t>BD200373</t>
  </si>
  <si>
    <t>BD458967</t>
  </si>
  <si>
    <t>BD104273</t>
  </si>
  <si>
    <t>BD458970</t>
  </si>
  <si>
    <t>BD456172</t>
  </si>
  <si>
    <t>BD501067</t>
  </si>
  <si>
    <t>BD201987</t>
  </si>
  <si>
    <t>BD208475</t>
  </si>
  <si>
    <t>BD506460</t>
  </si>
  <si>
    <t>BD406576</t>
  </si>
  <si>
    <t>BD306758</t>
  </si>
  <si>
    <t>BD308665</t>
  </si>
  <si>
    <t>BD306860</t>
  </si>
  <si>
    <t>BD201290</t>
  </si>
  <si>
    <t>BD506963</t>
  </si>
  <si>
    <t>BD302662</t>
  </si>
  <si>
    <t>BD552769</t>
  </si>
  <si>
    <t>BD507066</t>
  </si>
  <si>
    <t>BD107976</t>
  </si>
  <si>
    <t>BD107987</t>
  </si>
  <si>
    <t>BD457274</t>
  </si>
  <si>
    <t>BD302663</t>
  </si>
  <si>
    <t>BD506469</t>
  </si>
  <si>
    <t>BD304876</t>
  </si>
  <si>
    <t>BD557364</t>
  </si>
  <si>
    <t>BD207587</t>
  </si>
  <si>
    <t>BD508172</t>
  </si>
  <si>
    <t>BD507655</t>
  </si>
  <si>
    <t>BD201555</t>
  </si>
  <si>
    <t>BD404764</t>
  </si>
  <si>
    <t>BD304879</t>
  </si>
  <si>
    <t>BD306863</t>
  </si>
  <si>
    <t>BD553267</t>
  </si>
  <si>
    <t>BD302664</t>
  </si>
  <si>
    <t>BD302665</t>
  </si>
  <si>
    <t>BD557773</t>
  </si>
  <si>
    <t>BD503874</t>
  </si>
  <si>
    <t>BD204677</t>
  </si>
  <si>
    <t>BD201557</t>
  </si>
  <si>
    <t>BD308273</t>
  </si>
  <si>
    <t>BD552777</t>
  </si>
  <si>
    <t>BD203051</t>
  </si>
  <si>
    <t>BD201565</t>
  </si>
  <si>
    <t>BD555270</t>
  </si>
  <si>
    <t>BD100485</t>
  </si>
  <si>
    <t>BD201561</t>
  </si>
  <si>
    <t>BD506475</t>
  </si>
  <si>
    <t>BD107895</t>
  </si>
  <si>
    <t>BD202256</t>
  </si>
  <si>
    <t>BD554918</t>
  </si>
  <si>
    <t>BD456181</t>
  </si>
  <si>
    <t>BD404769</t>
  </si>
  <si>
    <t>BD558573</t>
  </si>
  <si>
    <t>BD558576</t>
  </si>
  <si>
    <t>BD559482</t>
  </si>
  <si>
    <t>BD107980</t>
  </si>
  <si>
    <t>BD506479</t>
  </si>
  <si>
    <t>BD457283</t>
  </si>
  <si>
    <t>BD508182</t>
  </si>
  <si>
    <t>BD104284</t>
  </si>
  <si>
    <t>BD554977</t>
  </si>
  <si>
    <t>BD208478</t>
  </si>
  <si>
    <t>BD308276</t>
  </si>
  <si>
    <t>BD605880</t>
  </si>
  <si>
    <t>BD305480</t>
  </si>
  <si>
    <t>BD508185</t>
  </si>
  <si>
    <t>BD205165</t>
  </si>
  <si>
    <t>BD204680</t>
  </si>
  <si>
    <t>BD205173</t>
  </si>
  <si>
    <t>BD302666</t>
  </si>
  <si>
    <t>BD400173</t>
  </si>
  <si>
    <t>BD302667</t>
  </si>
  <si>
    <t>BD202266</t>
  </si>
  <si>
    <t>BD208487</t>
  </si>
  <si>
    <t>BD558549</t>
  </si>
  <si>
    <t>BD201570</t>
  </si>
  <si>
    <t>BD506485</t>
  </si>
  <si>
    <t>BD559486</t>
  </si>
  <si>
    <t>BD201574</t>
  </si>
  <si>
    <t>BD554979</t>
  </si>
  <si>
    <t>BD200389</t>
  </si>
  <si>
    <t>BD508861</t>
  </si>
  <si>
    <t>BD205158</t>
  </si>
  <si>
    <t>BD306864</t>
  </si>
  <si>
    <t>BD200391</t>
  </si>
  <si>
    <t>BD306768</t>
  </si>
  <si>
    <t>BD404775</t>
  </si>
  <si>
    <t>BD302668</t>
  </si>
  <si>
    <t>BD302984</t>
  </si>
  <si>
    <t>BD553282</t>
  </si>
  <si>
    <t>BD553288</t>
  </si>
  <si>
    <t>BD557385</t>
  </si>
  <si>
    <t>BD309385</t>
  </si>
  <si>
    <t>BD302990</t>
  </si>
  <si>
    <t>BD201578</t>
  </si>
  <si>
    <t>BD507672</t>
  </si>
  <si>
    <t>BD506486</t>
  </si>
  <si>
    <t>BD201294</t>
  </si>
  <si>
    <t>BD400177</t>
  </si>
  <si>
    <t>BD501081</t>
  </si>
  <si>
    <t>BD453985</t>
  </si>
  <si>
    <t>BD201582</t>
  </si>
  <si>
    <t>BD408782</t>
  </si>
  <si>
    <t>BD305670</t>
  </si>
  <si>
    <t>BD302672</t>
  </si>
  <si>
    <t>BD207580</t>
  </si>
  <si>
    <t>BD305974</t>
  </si>
  <si>
    <t>BD302674</t>
  </si>
  <si>
    <t>BD508190</t>
  </si>
  <si>
    <t>BD302675</t>
  </si>
  <si>
    <t>BD508867</t>
  </si>
  <si>
    <t>BD201395</t>
  </si>
  <si>
    <t>BD404480</t>
  </si>
  <si>
    <t>BD501085</t>
  </si>
  <si>
    <t>BD405585</t>
  </si>
  <si>
    <t>BD308669</t>
  </si>
  <si>
    <t>BD404190</t>
  </si>
  <si>
    <t>BD302680</t>
  </si>
  <si>
    <t>BD501088</t>
  </si>
  <si>
    <t>BD458988</t>
  </si>
  <si>
    <t>BD305487</t>
  </si>
  <si>
    <t>BD305678</t>
  </si>
  <si>
    <t>BD501094</t>
  </si>
  <si>
    <t>BD507088</t>
  </si>
  <si>
    <t>BD306876</t>
  </si>
  <si>
    <t>BD302676</t>
  </si>
  <si>
    <t>BD305682</t>
  </si>
  <si>
    <t>BD506991</t>
  </si>
  <si>
    <t>BD508878</t>
  </si>
  <si>
    <t>BD201586</t>
  </si>
  <si>
    <t>BD203094</t>
  </si>
  <si>
    <t>BD207583</t>
  </si>
  <si>
    <t>BD306704</t>
  </si>
  <si>
    <t>BD501095</t>
  </si>
  <si>
    <t>BD458990</t>
  </si>
  <si>
    <t>BD605883</t>
  </si>
  <si>
    <t>BD305984</t>
  </si>
  <si>
    <t>BD303386</t>
  </si>
  <si>
    <t>BD405595</t>
  </si>
  <si>
    <t>BD207585</t>
  </si>
  <si>
    <t>BD507683</t>
  </si>
  <si>
    <t>BD609086</t>
  </si>
  <si>
    <t>BD609089</t>
  </si>
  <si>
    <t>BD553291</t>
  </si>
  <si>
    <t>BD302688</t>
  </si>
  <si>
    <t>BD609162</t>
  </si>
  <si>
    <t>BD609092</t>
  </si>
  <si>
    <t>BD408790</t>
  </si>
  <si>
    <t>BD309395</t>
  </si>
  <si>
    <t>BD508194</t>
  </si>
  <si>
    <t>BD558592</t>
  </si>
  <si>
    <t>BD304892</t>
  </si>
  <si>
    <t>BD508889</t>
  </si>
  <si>
    <t>BD100991</t>
  </si>
  <si>
    <t>BD302690</t>
  </si>
  <si>
    <t>BD302692</t>
  </si>
  <si>
    <t>BD202290</t>
  </si>
  <si>
    <t>BD557790</t>
  </si>
  <si>
    <t>BD404794</t>
  </si>
  <si>
    <t>BD559494</t>
  </si>
  <si>
    <t>BD200395</t>
  </si>
  <si>
    <t>BD201994</t>
  </si>
  <si>
    <t>BD305994</t>
  </si>
  <si>
    <t>BD456194</t>
  </si>
  <si>
    <t>BD303591</t>
  </si>
  <si>
    <t>BD302693</t>
  </si>
  <si>
    <t>BD202294</t>
  </si>
  <si>
    <t>BD554994</t>
  </si>
  <si>
    <t>BD508894</t>
  </si>
  <si>
    <t>BD302696</t>
  </si>
  <si>
    <t>BD302695</t>
  </si>
  <si>
    <t>BD100694</t>
  </si>
  <si>
    <t>BD609194</t>
  </si>
  <si>
    <t>BD308694</t>
  </si>
  <si>
    <t>BD107990</t>
  </si>
  <si>
    <t>BD100409</t>
  </si>
  <si>
    <t>BD408786</t>
  </si>
  <si>
    <t>BD107857</t>
  </si>
  <si>
    <t>ADM3_PCODE</t>
  </si>
  <si>
    <t>District</t>
  </si>
  <si>
    <t>P Code</t>
  </si>
  <si>
    <t>Wind Gust</t>
  </si>
  <si>
    <t>Rainfall</t>
  </si>
  <si>
    <t>Storm Surge</t>
  </si>
  <si>
    <t>Amtali</t>
  </si>
  <si>
    <t>Barguna</t>
  </si>
  <si>
    <t>Bamna</t>
  </si>
  <si>
    <t>Barguna Sadar</t>
  </si>
  <si>
    <t>Betagi</t>
  </si>
  <si>
    <t>Patharghata</t>
  </si>
  <si>
    <t>Agailjhara</t>
  </si>
  <si>
    <t>Barisal</t>
  </si>
  <si>
    <t>Babuganj</t>
  </si>
  <si>
    <t>Bakerganj</t>
  </si>
  <si>
    <t>Banari Para</t>
  </si>
  <si>
    <t>Gaurnadi</t>
  </si>
  <si>
    <t>Hizla</t>
  </si>
  <si>
    <t>Mehendiganj</t>
  </si>
  <si>
    <t>Muladi</t>
  </si>
  <si>
    <t>Wazirpur</t>
  </si>
  <si>
    <t>Bhola Sadar</t>
  </si>
  <si>
    <t>Bhola</t>
  </si>
  <si>
    <t>Burhanuddin</t>
  </si>
  <si>
    <t>Char Fasson</t>
  </si>
  <si>
    <t>Lalmohan</t>
  </si>
  <si>
    <t>Manpura</t>
  </si>
  <si>
    <t>Tazumuddin</t>
  </si>
  <si>
    <t>Jhalokati Sadar</t>
  </si>
  <si>
    <t>Jhalokati</t>
  </si>
  <si>
    <t>Kanthalia</t>
  </si>
  <si>
    <t>Nalchity</t>
  </si>
  <si>
    <t>Rajapur</t>
  </si>
  <si>
    <t>Bauphal</t>
  </si>
  <si>
    <t>Patuakhali</t>
  </si>
  <si>
    <t>Dashmina</t>
  </si>
  <si>
    <t>Dumki</t>
  </si>
  <si>
    <t>Galachipa</t>
  </si>
  <si>
    <t>Kala Para</t>
  </si>
  <si>
    <t>Mirzaganj</t>
  </si>
  <si>
    <t>Patuakhali Sadar</t>
  </si>
  <si>
    <t>Bhandaria</t>
  </si>
  <si>
    <t>Pirojpur</t>
  </si>
  <si>
    <t>Kawkhali</t>
  </si>
  <si>
    <t>Mathbaria</t>
  </si>
  <si>
    <t>Nazirpur</t>
  </si>
  <si>
    <t>Pirojpur Sadar</t>
  </si>
  <si>
    <t>Alikadam</t>
  </si>
  <si>
    <t>Bandarban</t>
  </si>
  <si>
    <t>Bandarban Sadar</t>
  </si>
  <si>
    <t>Lama</t>
  </si>
  <si>
    <t>Naikhongchhari</t>
  </si>
  <si>
    <t>Rowangchhari</t>
  </si>
  <si>
    <t>Ruma</t>
  </si>
  <si>
    <t>Thanchi</t>
  </si>
  <si>
    <t>Akhaura</t>
  </si>
  <si>
    <t>Banchharampur</t>
  </si>
  <si>
    <t>Brahmanbaria Sadar</t>
  </si>
  <si>
    <t>Ashuganj</t>
  </si>
  <si>
    <t>Kasba</t>
  </si>
  <si>
    <t>Nabinagar</t>
  </si>
  <si>
    <t>Nasirnagar</t>
  </si>
  <si>
    <t>Sarail</t>
  </si>
  <si>
    <t>Chandpur Sadar</t>
  </si>
  <si>
    <t>Chandpur</t>
  </si>
  <si>
    <t>Faridganj</t>
  </si>
  <si>
    <t>Haim Char</t>
  </si>
  <si>
    <t>Hajiganj</t>
  </si>
  <si>
    <t>Matlab Dakshin</t>
  </si>
  <si>
    <t>Shahrasti</t>
  </si>
  <si>
    <t>Anowara</t>
  </si>
  <si>
    <t>Bayejid Bostami</t>
  </si>
  <si>
    <t>Banshkhali</t>
  </si>
  <si>
    <t>Bakalia</t>
  </si>
  <si>
    <t>Boalkhali</t>
  </si>
  <si>
    <t>Chandanaish</t>
  </si>
  <si>
    <t>Chandgaon</t>
  </si>
  <si>
    <t>Chittagong Port</t>
  </si>
  <si>
    <t>Double Mooring</t>
  </si>
  <si>
    <t>Fatikchhari</t>
  </si>
  <si>
    <t>Halishahar</t>
  </si>
  <si>
    <t>Hathazari</t>
  </si>
  <si>
    <t>Khulshi</t>
  </si>
  <si>
    <t>Mirsharai</t>
  </si>
  <si>
    <t>Pahartali</t>
  </si>
  <si>
    <t>Panchlaish</t>
  </si>
  <si>
    <t>Patiya</t>
  </si>
  <si>
    <t>Patenga</t>
  </si>
  <si>
    <t>Rangunia</t>
  </si>
  <si>
    <t>Raozan</t>
  </si>
  <si>
    <t>Sandwip</t>
  </si>
  <si>
    <t>Satkania</t>
  </si>
  <si>
    <t>Sitakunda</t>
  </si>
  <si>
    <t>Barura</t>
  </si>
  <si>
    <t>Brahman Para</t>
  </si>
  <si>
    <t>Burichang</t>
  </si>
  <si>
    <t>Chandina</t>
  </si>
  <si>
    <t>Chauddagram</t>
  </si>
  <si>
    <t>Comilla Sadar Dakshin</t>
  </si>
  <si>
    <t>Daudkandi</t>
  </si>
  <si>
    <t>Debidwar</t>
  </si>
  <si>
    <t>Homna</t>
  </si>
  <si>
    <t>Comilla Adarsha Sadar</t>
  </si>
  <si>
    <t>Laksam</t>
  </si>
  <si>
    <t>Manoharganj</t>
  </si>
  <si>
    <t>Meghna</t>
  </si>
  <si>
    <t>Muradnagar</t>
  </si>
  <si>
    <t>Nangalkot</t>
  </si>
  <si>
    <t>Titas</t>
  </si>
  <si>
    <t>Chakaria</t>
  </si>
  <si>
    <t>Cox's Bazar</t>
  </si>
  <si>
    <t>Cox's Bazar Sadar</t>
  </si>
  <si>
    <t>Kutubdia</t>
  </si>
  <si>
    <t>Maheshkhali</t>
  </si>
  <si>
    <t>Pekua</t>
  </si>
  <si>
    <t>Ramu</t>
  </si>
  <si>
    <t>Teknaf</t>
  </si>
  <si>
    <t>Ukhia</t>
  </si>
  <si>
    <t>Chhagalnaiya</t>
  </si>
  <si>
    <t>Feni</t>
  </si>
  <si>
    <t>Daganbhuiyan</t>
  </si>
  <si>
    <t>Feni Sadar</t>
  </si>
  <si>
    <t>Fulgazi</t>
  </si>
  <si>
    <t>Parshuram</t>
  </si>
  <si>
    <t>Sonagazi</t>
  </si>
  <si>
    <t>Dighinala</t>
  </si>
  <si>
    <t>Khagrachhari</t>
  </si>
  <si>
    <t>Khagrachhari Sadar</t>
  </si>
  <si>
    <t>Lakshmichhari</t>
  </si>
  <si>
    <t>Mahalchhari</t>
  </si>
  <si>
    <t>Manikchhari</t>
  </si>
  <si>
    <t>Matiranga</t>
  </si>
  <si>
    <t>Panchhari</t>
  </si>
  <si>
    <t>Ramgarh</t>
  </si>
  <si>
    <t>Kamalnagar</t>
  </si>
  <si>
    <t>Lakshmipur</t>
  </si>
  <si>
    <t>Lakshmipur Sadar</t>
  </si>
  <si>
    <t>Roypur</t>
  </si>
  <si>
    <t>Ramganj</t>
  </si>
  <si>
    <t>Ramgati</t>
  </si>
  <si>
    <t>Begumganj</t>
  </si>
  <si>
    <t>Noakhali</t>
  </si>
  <si>
    <t>Chatkhil</t>
  </si>
  <si>
    <t>Hatiya</t>
  </si>
  <si>
    <t>Kabirhat</t>
  </si>
  <si>
    <t>Senbagh</t>
  </si>
  <si>
    <t>Sonaimuri</t>
  </si>
  <si>
    <t>Subarnachar</t>
  </si>
  <si>
    <t>Baghai Chhari</t>
  </si>
  <si>
    <t>Rangamati</t>
  </si>
  <si>
    <t>Barkal</t>
  </si>
  <si>
    <t>Belai Chhari</t>
  </si>
  <si>
    <t>Kaptai</t>
  </si>
  <si>
    <t>Jurai Chhari</t>
  </si>
  <si>
    <t>Langadu</t>
  </si>
  <si>
    <t>Naniarchar</t>
  </si>
  <si>
    <t>Rajasthali</t>
  </si>
  <si>
    <t>Rangamati Sadar</t>
  </si>
  <si>
    <t>Adabor</t>
  </si>
  <si>
    <t>Dhaka</t>
  </si>
  <si>
    <t>Badda</t>
  </si>
  <si>
    <t>Bangshal</t>
  </si>
  <si>
    <t>Cantonment</t>
  </si>
  <si>
    <t>Dakshinkhan</t>
  </si>
  <si>
    <t>Darus Salam</t>
  </si>
  <si>
    <t>Demra</t>
  </si>
  <si>
    <t>Dhamrai</t>
  </si>
  <si>
    <t>Dhanmondi</t>
  </si>
  <si>
    <t>Dohar</t>
  </si>
  <si>
    <t>Gendaria</t>
  </si>
  <si>
    <t>Gulshan</t>
  </si>
  <si>
    <t>Hazaribagh</t>
  </si>
  <si>
    <t>Jatrabari</t>
  </si>
  <si>
    <t>Kafrul</t>
  </si>
  <si>
    <t>Kadamtali</t>
  </si>
  <si>
    <t>Kalabagan</t>
  </si>
  <si>
    <t>Kamrangir Char</t>
  </si>
  <si>
    <t>Khilgaon</t>
  </si>
  <si>
    <t>Khilkhet</t>
  </si>
  <si>
    <t>Keraniganj</t>
  </si>
  <si>
    <t>Lalbagh</t>
  </si>
  <si>
    <t>Motijheel</t>
  </si>
  <si>
    <t>Nawabganj</t>
  </si>
  <si>
    <t>New Market</t>
  </si>
  <si>
    <t>Pallabi</t>
  </si>
  <si>
    <t>Paltan</t>
  </si>
  <si>
    <t>Ramna</t>
  </si>
  <si>
    <t>Rampura</t>
  </si>
  <si>
    <t>Sabujbagh</t>
  </si>
  <si>
    <t>Savar</t>
  </si>
  <si>
    <t>Shah Ali</t>
  </si>
  <si>
    <t>Shahbagh</t>
  </si>
  <si>
    <t>Shyampur</t>
  </si>
  <si>
    <t>Sutrapur</t>
  </si>
  <si>
    <t>Tejgaon</t>
  </si>
  <si>
    <t>Tejgaon Ind. Area</t>
  </si>
  <si>
    <t>Turag</t>
  </si>
  <si>
    <t>Uttara</t>
  </si>
  <si>
    <t>Uttar Khan</t>
  </si>
  <si>
    <t>Alfadanga</t>
  </si>
  <si>
    <t>Faridpur</t>
  </si>
  <si>
    <t>Bhanga</t>
  </si>
  <si>
    <t>Boalmari</t>
  </si>
  <si>
    <t>Char Bhadrasan</t>
  </si>
  <si>
    <t>Faridpur Sadar</t>
  </si>
  <si>
    <t>Madhukhali</t>
  </si>
  <si>
    <t>Nagarkanda</t>
  </si>
  <si>
    <t>Sadarpur</t>
  </si>
  <si>
    <t>Saltha</t>
  </si>
  <si>
    <t>Gazipur Sadar</t>
  </si>
  <si>
    <t>Gazipur</t>
  </si>
  <si>
    <t>Kaliakair</t>
  </si>
  <si>
    <t>Kapasia</t>
  </si>
  <si>
    <t>Gopalganj Sadar</t>
  </si>
  <si>
    <t>Gopalganj</t>
  </si>
  <si>
    <t>Kashiani</t>
  </si>
  <si>
    <t>Muksudpur</t>
  </si>
  <si>
    <t>Austagram</t>
  </si>
  <si>
    <t>Kishoreganj</t>
  </si>
  <si>
    <t>Bajitpur</t>
  </si>
  <si>
    <t>Bhairab</t>
  </si>
  <si>
    <t>Hossainpur</t>
  </si>
  <si>
    <t>Itna</t>
  </si>
  <si>
    <t>Karimganj</t>
  </si>
  <si>
    <t>Katiadi</t>
  </si>
  <si>
    <t>Kishoreganj Sadar</t>
  </si>
  <si>
    <t>Kuliar Char</t>
  </si>
  <si>
    <t>Mithamain</t>
  </si>
  <si>
    <t>Nikli</t>
  </si>
  <si>
    <t>Pakundia</t>
  </si>
  <si>
    <t>Tarail</t>
  </si>
  <si>
    <t>Kalkini</t>
  </si>
  <si>
    <t>Madaripur</t>
  </si>
  <si>
    <t>Madaripur Sadar</t>
  </si>
  <si>
    <t>Rajoir</t>
  </si>
  <si>
    <t>Shib Char</t>
  </si>
  <si>
    <t>Manikganj</t>
  </si>
  <si>
    <t>Ghior</t>
  </si>
  <si>
    <t>Harirampur</t>
  </si>
  <si>
    <t>Manikganj Sadar</t>
  </si>
  <si>
    <t>Saturia</t>
  </si>
  <si>
    <t>Shibalaya</t>
  </si>
  <si>
    <t>Singair</t>
  </si>
  <si>
    <t>Gazaria</t>
  </si>
  <si>
    <t>Munshiganj</t>
  </si>
  <si>
    <t>Lohajang</t>
  </si>
  <si>
    <t>Munshiganj Sadar</t>
  </si>
  <si>
    <t>Serajdikhan</t>
  </si>
  <si>
    <t>Sreenagar</t>
  </si>
  <si>
    <t>Tongibari</t>
  </si>
  <si>
    <t>Araihazar</t>
  </si>
  <si>
    <t>Narayanganj</t>
  </si>
  <si>
    <t>Sonargaon</t>
  </si>
  <si>
    <t>Bandar</t>
  </si>
  <si>
    <t>Narayanganj Sadar</t>
  </si>
  <si>
    <t>Rupganj</t>
  </si>
  <si>
    <t>Belabo</t>
  </si>
  <si>
    <t>Narsingdi</t>
  </si>
  <si>
    <t>Manohardi</t>
  </si>
  <si>
    <t>Narsingdi Sadar</t>
  </si>
  <si>
    <t>Palash</t>
  </si>
  <si>
    <t>Roypura</t>
  </si>
  <si>
    <t>Shibpur</t>
  </si>
  <si>
    <t>Rajbari</t>
  </si>
  <si>
    <t>Kalukhali</t>
  </si>
  <si>
    <t>Pangsha</t>
  </si>
  <si>
    <t>Rajbari Sadar</t>
  </si>
  <si>
    <t>Bhedarganj</t>
  </si>
  <si>
    <t>Shariatpur</t>
  </si>
  <si>
    <t>Damudya</t>
  </si>
  <si>
    <t>Gosairhat</t>
  </si>
  <si>
    <t>Naria</t>
  </si>
  <si>
    <t>Shariatpur Sadar</t>
  </si>
  <si>
    <t>Zanjira</t>
  </si>
  <si>
    <t>Basail</t>
  </si>
  <si>
    <t>Tangail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</si>
  <si>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</si>
  <si>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</si>
  <si>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</si>
  <si>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</si>
  <si>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</si>
  <si>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</si>
  <si>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</si>
  <si>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</si>
  <si>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</si>
  <si>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Tangail Sadar</t>
  </si>
  <si>
    <t>Bagerhat Sadar</t>
  </si>
  <si>
    <t>Bagerhat</t>
  </si>
  <si>
    <t>Chitalmari</t>
  </si>
  <si>
    <t>Fakirhat</t>
  </si>
  <si>
    <t>Mollahat</t>
  </si>
  <si>
    <t>Mongla</t>
  </si>
  <si>
    <t>Morrelganj</t>
  </si>
  <si>
    <t>Rampal</t>
  </si>
  <si>
    <t>Sarankhola</t>
  </si>
  <si>
    <t>Alamdanga</t>
  </si>
  <si>
    <t>Chuadanga</t>
  </si>
  <si>
    <t>Chuadanga Sadar</t>
  </si>
  <si>
    <t>Damurhuda</t>
  </si>
  <si>
    <t>Jiban Nagar</t>
  </si>
  <si>
    <t>Abhaynagar</t>
  </si>
  <si>
    <t>Bagher Para</t>
  </si>
  <si>
    <t>Chaugachha</t>
  </si>
  <si>
    <t>Jhikargachha</t>
  </si>
  <si>
    <t>Keshabpur</t>
  </si>
  <si>
    <t>Manirampur</t>
  </si>
  <si>
    <t>Sharsha</t>
  </si>
  <si>
    <t>Harinakunda</t>
  </si>
  <si>
    <t>Jhenaidah</t>
  </si>
  <si>
    <t>Kotchandpur</t>
  </si>
  <si>
    <t>Maheshpur</t>
  </si>
  <si>
    <t>Shailkupa</t>
  </si>
  <si>
    <t>Batiaghata</t>
  </si>
  <si>
    <t>Khulna</t>
  </si>
  <si>
    <t>Dacope</t>
  </si>
  <si>
    <t>Dumuria</t>
  </si>
  <si>
    <t>Dighalia</t>
  </si>
  <si>
    <t>Khan Jahan Ali</t>
  </si>
  <si>
    <t>Koyra</t>
  </si>
  <si>
    <t>Paikgachha</t>
  </si>
  <si>
    <t>Phultala</t>
  </si>
  <si>
    <t>Rupsa</t>
  </si>
  <si>
    <t>Terokhada</t>
  </si>
  <si>
    <t>Bheramara</t>
  </si>
  <si>
    <t>Kushtia</t>
  </si>
  <si>
    <t>Khoksa</t>
  </si>
  <si>
    <t>Kumarkhali</t>
  </si>
  <si>
    <t>Kushtia Sadar</t>
  </si>
  <si>
    <t>Magura Sadar</t>
  </si>
  <si>
    <t>Magura</t>
  </si>
  <si>
    <t>Shalikha</t>
  </si>
  <si>
    <t>Gangni</t>
  </si>
  <si>
    <t>Meherpur</t>
  </si>
  <si>
    <t>Mujib Nagar</t>
  </si>
  <si>
    <t>Meherpur Sadar</t>
  </si>
  <si>
    <t>Kalia</t>
  </si>
  <si>
    <t>Narail</t>
  </si>
  <si>
    <t>Narail Sadar</t>
  </si>
  <si>
    <t>Assasuni</t>
  </si>
  <si>
    <t>Satkhira</t>
  </si>
  <si>
    <t>Debhata</t>
  </si>
  <si>
    <t>Kalaroa</t>
  </si>
  <si>
    <t>Satkhira Sadar</t>
  </si>
  <si>
    <t>Shyamnagar</t>
  </si>
  <si>
    <t>Tala</t>
  </si>
  <si>
    <t>Bakshiganj</t>
  </si>
  <si>
    <t>Jamalpur</t>
  </si>
  <si>
    <t>Dewanganj</t>
  </si>
  <si>
    <t>Islampur</t>
  </si>
  <si>
    <t>Jamalpur Sadar</t>
  </si>
  <si>
    <t>Madarganj</t>
  </si>
  <si>
    <t>Melandaha</t>
  </si>
  <si>
    <t>Sarishabari</t>
  </si>
  <si>
    <t>Bhaluka</t>
  </si>
  <si>
    <t>Mymensingh</t>
  </si>
  <si>
    <t>Dhobaura</t>
  </si>
  <si>
    <t>Fulbaria</t>
  </si>
  <si>
    <t>Gaffargaon</t>
  </si>
  <si>
    <t>Gauripur</t>
  </si>
  <si>
    <t>Haluaghat</t>
  </si>
  <si>
    <t>Ishwarganj</t>
  </si>
  <si>
    <t>Mymensingh Sadar</t>
  </si>
  <si>
    <t>Muktagachha</t>
  </si>
  <si>
    <t>Nandail</t>
  </si>
  <si>
    <t>Phulpur</t>
  </si>
  <si>
    <t>Trishal</t>
  </si>
  <si>
    <t>Atpara</t>
  </si>
  <si>
    <t>Netrakona</t>
  </si>
  <si>
    <t>Barhatta</t>
  </si>
  <si>
    <t>Khaliajuri</t>
  </si>
  <si>
    <t>Kalmakanda</t>
  </si>
  <si>
    <t>Kendua</t>
  </si>
  <si>
    <t>Madan</t>
  </si>
  <si>
    <t>Netrokona Sadar</t>
  </si>
  <si>
    <t>Purbadhala</t>
  </si>
  <si>
    <t>Jhenaigati</t>
  </si>
  <si>
    <t>Sherpur</t>
  </si>
  <si>
    <t>Nakla</t>
  </si>
  <si>
    <t>Nalitabari</t>
  </si>
  <si>
    <t>Sherpur Sadar</t>
  </si>
  <si>
    <t>Sreebardi</t>
  </si>
  <si>
    <t>Adamdighi</t>
  </si>
  <si>
    <t>Bogra Sadar</t>
  </si>
  <si>
    <t>Dhunat</t>
  </si>
  <si>
    <t>Dhupchanchia</t>
  </si>
  <si>
    <t>Gabtali</t>
  </si>
  <si>
    <t>Kahaloo</t>
  </si>
  <si>
    <t>Nandigram</t>
  </si>
  <si>
    <t>Sariakandi</t>
  </si>
  <si>
    <t>Shajahanpur</t>
  </si>
  <si>
    <t>Sonatola</t>
  </si>
  <si>
    <t>Akkelpur</t>
  </si>
  <si>
    <t>Joypurhat</t>
  </si>
  <si>
    <t>Joypurhat Sadar</t>
  </si>
  <si>
    <t>Kalai</t>
  </si>
  <si>
    <t>Khetlal</t>
  </si>
  <si>
    <t>Panchbibi</t>
  </si>
  <si>
    <t>Atrai</t>
  </si>
  <si>
    <t>Naogaon</t>
  </si>
  <si>
    <t>Badalgachhi</t>
  </si>
  <si>
    <t>Dhamoirhat</t>
  </si>
  <si>
    <t>Manda</t>
  </si>
  <si>
    <t>Mahadebpur</t>
  </si>
  <si>
    <t>Naogaon Sadar</t>
  </si>
  <si>
    <t>Niamatpur</t>
  </si>
  <si>
    <t>Patnitala</t>
  </si>
  <si>
    <t>Porsha</t>
  </si>
  <si>
    <t>Raninagar</t>
  </si>
  <si>
    <t>Sapahar</t>
  </si>
  <si>
    <t>Bagati Para</t>
  </si>
  <si>
    <t>Natore</t>
  </si>
  <si>
    <t>Baraigram</t>
  </si>
  <si>
    <t>Gurudaspur</t>
  </si>
  <si>
    <t>Lalpur</t>
  </si>
  <si>
    <t>Natore Sadar</t>
  </si>
  <si>
    <t>Singra</t>
  </si>
  <si>
    <t>Bholahat</t>
  </si>
  <si>
    <t>Gomastapur</t>
  </si>
  <si>
    <t>Nachole</t>
  </si>
  <si>
    <t>Atgharia</t>
  </si>
  <si>
    <t>Pabna</t>
  </si>
  <si>
    <t>Bera</t>
  </si>
  <si>
    <t>Bhangura</t>
  </si>
  <si>
    <t>Chatmohar</t>
  </si>
  <si>
    <t>Ishwardi</t>
  </si>
  <si>
    <t>Pabna Sadar</t>
  </si>
  <si>
    <t>Santhia</t>
  </si>
  <si>
    <t>Sujanagar</t>
  </si>
  <si>
    <t>Bagha</t>
  </si>
  <si>
    <t>Rajshahi</t>
  </si>
  <si>
    <t>Baghmara</t>
  </si>
  <si>
    <t>Boalia</t>
  </si>
  <si>
    <t>Charghat</t>
  </si>
  <si>
    <t>Godagari</t>
  </si>
  <si>
    <t>Matihar</t>
  </si>
  <si>
    <t>Mohanpur</t>
  </si>
  <si>
    <t>Paba</t>
  </si>
  <si>
    <t>Puthia</t>
  </si>
  <si>
    <t>Rajpara</t>
  </si>
  <si>
    <t>Shah Makhdum</t>
  </si>
  <si>
    <t>Tanore</t>
  </si>
  <si>
    <t>Belkuchi</t>
  </si>
  <si>
    <t>Sirajganj</t>
  </si>
  <si>
    <t>Chauhali</t>
  </si>
  <si>
    <t>Kamarkhanda</t>
  </si>
  <si>
    <t>Kazipur</t>
  </si>
  <si>
    <t>Royganj</t>
  </si>
  <si>
    <t>Shahjadpur</t>
  </si>
  <si>
    <t>Sirajganj Sadar</t>
  </si>
  <si>
    <t>Tarash</t>
  </si>
  <si>
    <t>Ullah Para</t>
  </si>
  <si>
    <t>Birampur</t>
  </si>
  <si>
    <t>Dinajpur</t>
  </si>
  <si>
    <t>Birganj</t>
  </si>
  <si>
    <t>Biral</t>
  </si>
  <si>
    <t>Bochaganj</t>
  </si>
  <si>
    <t>Chirirbandar</t>
  </si>
  <si>
    <t>Fulbari</t>
  </si>
  <si>
    <t>Ghoraghat</t>
  </si>
  <si>
    <t>Hakimpur</t>
  </si>
  <si>
    <t>Kaharole</t>
  </si>
  <si>
    <t>Khansama</t>
  </si>
  <si>
    <t>Dinajpur Sadar</t>
  </si>
  <si>
    <t>Parbatipur</t>
  </si>
  <si>
    <t>Fulchhari</t>
  </si>
  <si>
    <t>Gaibandha</t>
  </si>
  <si>
    <t>Gaibandha Sadar</t>
  </si>
  <si>
    <t>Gobindaganj</t>
  </si>
  <si>
    <t>Palashbari</t>
  </si>
  <si>
    <t>Sadullapur</t>
  </si>
  <si>
    <t>Saghatta</t>
  </si>
  <si>
    <t>Sundarganj</t>
  </si>
  <si>
    <t>Bhurungamari</t>
  </si>
  <si>
    <t>Kurigram</t>
  </si>
  <si>
    <t>Char Rajibpur</t>
  </si>
  <si>
    <t>Chilmari</t>
  </si>
  <si>
    <t>Phulbari</t>
  </si>
  <si>
    <t>Kurigram Sadar</t>
  </si>
  <si>
    <t>Nageshwari</t>
  </si>
  <si>
    <t>Rajarhat</t>
  </si>
  <si>
    <t>Raumari</t>
  </si>
  <si>
    <t>Ulipur</t>
  </si>
  <si>
    <t>Aditmari</t>
  </si>
  <si>
    <t>Lalmonirhat</t>
  </si>
  <si>
    <t>Hatibandha</t>
  </si>
  <si>
    <t>Lalmonirhat Sadar</t>
  </si>
  <si>
    <t>Patgram</t>
  </si>
  <si>
    <t>Dimla</t>
  </si>
  <si>
    <t>Nilphamari</t>
  </si>
  <si>
    <t>Domar</t>
  </si>
  <si>
    <t>Jaldhaka</t>
  </si>
  <si>
    <t>Nilphamari Sadar</t>
  </si>
  <si>
    <t>Saidpur</t>
  </si>
  <si>
    <t>Atwari</t>
  </si>
  <si>
    <t>Panchagarh</t>
  </si>
  <si>
    <t>Boda</t>
  </si>
  <si>
    <t>Debiganj</t>
  </si>
  <si>
    <t>Panchagarh Sadar</t>
  </si>
  <si>
    <t>Tentulia</t>
  </si>
  <si>
    <t>Badarganj</t>
  </si>
  <si>
    <t>Rangpur</t>
  </si>
  <si>
    <t>Gangachara</t>
  </si>
  <si>
    <t>Kaunia</t>
  </si>
  <si>
    <t>Rangpur Sadar</t>
  </si>
  <si>
    <t>Mitha Pukur</t>
  </si>
  <si>
    <t>Pirgachha</t>
  </si>
  <si>
    <t>Taraganj</t>
  </si>
  <si>
    <t>Baliadangi</t>
  </si>
  <si>
    <t>Thakurgaon</t>
  </si>
  <si>
    <t>Haripur</t>
  </si>
  <si>
    <t>Ranisankail</t>
  </si>
  <si>
    <t>Thakurgaon Sadar</t>
  </si>
  <si>
    <t>Ajmiriganj</t>
  </si>
  <si>
    <t>Habiganj</t>
  </si>
  <si>
    <t>Bahubal</t>
  </si>
  <si>
    <t>Baniachong</t>
  </si>
  <si>
    <t>Chunarughat</t>
  </si>
  <si>
    <t>Habiganj Sadar</t>
  </si>
  <si>
    <t>Lakhai</t>
  </si>
  <si>
    <t>Madhabpur</t>
  </si>
  <si>
    <t>Nabiganj</t>
  </si>
  <si>
    <t>Barlekha</t>
  </si>
  <si>
    <t>Maulvibazar</t>
  </si>
  <si>
    <t>Juri</t>
  </si>
  <si>
    <t>Kamalganj</t>
  </si>
  <si>
    <t>Kulaura</t>
  </si>
  <si>
    <t>Maulvi Bazar Sadar</t>
  </si>
  <si>
    <t>Rajnagar</t>
  </si>
  <si>
    <t>Sreemangal</t>
  </si>
  <si>
    <t>Bishwambarpur</t>
  </si>
  <si>
    <t>Sunamganj</t>
  </si>
  <si>
    <t>Chhatak</t>
  </si>
  <si>
    <t>Dakshin Sunamganj</t>
  </si>
  <si>
    <t>Derai</t>
  </si>
  <si>
    <t>Dharampasha</t>
  </si>
  <si>
    <t>Dowarabazar</t>
  </si>
  <si>
    <t>Jagannathpur</t>
  </si>
  <si>
    <t>Jamalganj</t>
  </si>
  <si>
    <t>Sulla</t>
  </si>
  <si>
    <t>Sunamganj Sadar</t>
  </si>
  <si>
    <t>Tahirpur</t>
  </si>
  <si>
    <t>Balaganj</t>
  </si>
  <si>
    <t>Sylhet</t>
  </si>
  <si>
    <t>Beani Bazar</t>
  </si>
  <si>
    <t>Bishwanath</t>
  </si>
  <si>
    <t>Dakshin Surma</t>
  </si>
  <si>
    <t>Fenchuganj</t>
  </si>
  <si>
    <t>Golabganj</t>
  </si>
  <si>
    <t>Gowainghat</t>
  </si>
  <si>
    <t>Jaintiapur</t>
  </si>
  <si>
    <t>Kanaighat</t>
  </si>
  <si>
    <t>Sylhet Sadar</t>
  </si>
  <si>
    <t>Zakiganj</t>
  </si>
  <si>
    <t>Vul_INFORM</t>
  </si>
  <si>
    <t>Norm_Vul</t>
  </si>
  <si>
    <t>Max</t>
  </si>
  <si>
    <t>Min</t>
  </si>
  <si>
    <t>Change</t>
  </si>
  <si>
    <t>Norm_Wind Gust</t>
  </si>
  <si>
    <t>Norm_Rainfall</t>
  </si>
  <si>
    <t>Norm_Storm Surge</t>
  </si>
  <si>
    <t>VCI</t>
  </si>
  <si>
    <t>fAPAR</t>
  </si>
  <si>
    <t>Norm_VCI</t>
  </si>
  <si>
    <t>Norm_fAPAR</t>
  </si>
  <si>
    <t>Classification</t>
  </si>
  <si>
    <t>Impact_fAPAR</t>
  </si>
  <si>
    <t>Impact(VCI+fAPAR)</t>
  </si>
  <si>
    <t>Norm_Impact_VCI</t>
  </si>
  <si>
    <t>Norm_Impact_VCI+F</t>
  </si>
  <si>
    <t>Impact_VCI+F</t>
  </si>
  <si>
    <t>Norm_Impact_fAPAR</t>
  </si>
  <si>
    <t>Impact_VCI</t>
  </si>
  <si>
    <t>Impact(VCI)</t>
  </si>
  <si>
    <t>Barisal Sadar (Kotwali)</t>
  </si>
  <si>
    <t>Daulatkhan</t>
  </si>
  <si>
    <t>Nesarabad (Swarupkati)</t>
  </si>
  <si>
    <t>Bijoynagar</t>
  </si>
  <si>
    <t>Kachua</t>
  </si>
  <si>
    <t>Matlab Uttar</t>
  </si>
  <si>
    <t>Kotwali</t>
  </si>
  <si>
    <t>Lohagara</t>
  </si>
  <si>
    <t>Companiganj</t>
  </si>
  <si>
    <t>Noakhali Sadar (Sudharam)</t>
  </si>
  <si>
    <t>Kawkhali (Betbunia)</t>
  </si>
  <si>
    <t>Biman Bandar</t>
  </si>
  <si>
    <t>Chak Bazar</t>
  </si>
  <si>
    <t>Mirpur</t>
  </si>
  <si>
    <t>Mohammadpur</t>
  </si>
  <si>
    <t>Sher-e-bangla Nagar</t>
  </si>
  <si>
    <t>Kaliganj</t>
  </si>
  <si>
    <t>Sreepur</t>
  </si>
  <si>
    <t>Kotali Para</t>
  </si>
  <si>
    <t>Tungi Para</t>
  </si>
  <si>
    <t>Daulatpur</t>
  </si>
  <si>
    <t>Goalandaghat</t>
  </si>
  <si>
    <t>Sakhipur</t>
  </si>
  <si>
    <t>Jhenaidah Sadar</t>
  </si>
  <si>
    <t>Durgapur</t>
  </si>
  <si>
    <t>Mohanganj</t>
  </si>
  <si>
    <t>Shibganj</t>
  </si>
  <si>
    <t>Nawabganj Sadar</t>
  </si>
  <si>
    <t>Pirganj</t>
  </si>
  <si>
    <t>Balia Kandi</t>
  </si>
  <si>
    <t>Brahamanbaria</t>
  </si>
  <si>
    <t>Chittagong</t>
  </si>
  <si>
    <t>Comilla</t>
  </si>
  <si>
    <t>Jessore</t>
  </si>
  <si>
    <t>Bogra</t>
  </si>
  <si>
    <t>Vulnerability</t>
  </si>
  <si>
    <t>House</t>
  </si>
  <si>
    <t>Impact_vci+fapar+house</t>
  </si>
  <si>
    <t>Impact_house</t>
  </si>
  <si>
    <t>Total Number of House</t>
  </si>
  <si>
    <t>Norm_House</t>
  </si>
  <si>
    <t>Impact_House</t>
  </si>
  <si>
    <t>Norm_Impact_House</t>
  </si>
  <si>
    <t>Upazila</t>
  </si>
  <si>
    <t>Impact_VCI_fAPAR_house</t>
  </si>
  <si>
    <t>Norm_VCI_fAPAR_house</t>
  </si>
  <si>
    <t>BD100490</t>
  </si>
  <si>
    <t>Taltoli</t>
  </si>
  <si>
    <t>BD107897</t>
  </si>
  <si>
    <t>Rangabali</t>
  </si>
  <si>
    <t>Indurkani</t>
  </si>
  <si>
    <t>BD201539</t>
  </si>
  <si>
    <t>Karnaphuli</t>
  </si>
  <si>
    <t>BD201973</t>
  </si>
  <si>
    <t>Lalmai</t>
  </si>
  <si>
    <t>BD202232</t>
  </si>
  <si>
    <t>Eidgaon</t>
  </si>
  <si>
    <t>Sadar</t>
  </si>
  <si>
    <t>BD404733</t>
  </si>
  <si>
    <t>City Corporation</t>
  </si>
  <si>
    <t>BD305610</t>
  </si>
  <si>
    <t>Low</t>
  </si>
  <si>
    <t>No 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</si>
</sst>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0" borderId="0" xfId="0" applyFill="1"/>
    <xf numFmtId="165" fontId="4" fillId="0" borderId="0" xfId="0" applyNumberFormat="1" applyFont="1" applyAlignment="1">
      <alignment horizontal="center"/>
    </xf>
    <xf numFmtId="2" fontId="0" fillId="0" borderId="0" xfId="0" applyNumberFormat="1" applyFill="1"/>
    <xf numFmtId="0" fontId="0" fillId="0" borderId="0" xfId="0" applyFill="1" applyAlignment="1">
      <alignment wrapText="1"/>
    </xf>
    <xf numFmtId="166" fontId="1" fillId="0" borderId="0" xfId="0" applyNumberFormat="1" applyFont="1" applyAlignment="1">
      <alignment wrapText="1"/>
    </xf>
    <xf numFmtId="165" fontId="1" fillId="0" borderId="0" xfId="0" applyNumberFormat="1" applyFont="1"/>
    <xf numFmtId="165" fontId="1" fillId="5" borderId="0" xfId="0" applyNumberFormat="1" applyFont="1" applyFill="1"/>
    <xf numFmtId="164" fontId="1" fillId="6" borderId="0" xfId="0" applyNumberFormat="1" applyFont="1" applyFill="1"/>
    <xf numFmtId="164" fontId="0" fillId="0" borderId="0" xfId="0" applyNumberFormat="1" applyFill="1"/>
    <xf numFmtId="0" fontId="1" fillId="6" borderId="0" xfId="0" applyFont="1" applyFill="1"/>
    <xf numFmtId="0" fontId="0" fillId="4" borderId="0" xfId="0" applyFill="1"/>
    <xf numFmtId="0" fontId="1" fillId="0" borderId="0" xfId="0" applyFont="1" applyFill="1"/>
    <xf numFmtId="0" fontId="0" fillId="0" borderId="0" xfId="0" applyFill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F27D7-F803-47EC-95B8-B9C22A017237}">
  <dimension ref="A1:AK1002"/>
  <sheetViews>
    <sheetView tabSelected="1" topLeftCell="I1" zoomScale="79" workbookViewId="0">
      <selection activeCell="X51" sqref="X51:X547"/>
    </sheetView>
  </sheetViews>
  <sheetFormatPr defaultColWidth="8.77734375" defaultRowHeight="14.4" x14ac:dyDescent="0.3"/>
  <cols>
    <col min="1" max="1" width="7.6640625" style="10" bestFit="1" customWidth="1"/>
    <col min="2" max="2" width="13.44140625" style="10" bestFit="1" customWidth="1"/>
    <col min="3" max="3" width="12.44140625" style="10" bestFit="1" customWidth="1"/>
    <col min="4" max="4" width="23.109375" style="10" customWidth="1"/>
    <col min="5" max="5" width="11.44140625" style="10" customWidth="1"/>
    <col min="6" max="6" width="9.6640625" style="12" customWidth="1"/>
    <col min="7" max="7" width="9.6640625" style="10" customWidth="1"/>
    <col min="8" max="8" width="15.44140625" style="10" customWidth="1"/>
    <col min="9" max="9" width="7.77734375" style="10" customWidth="1"/>
    <col min="10" max="10" width="12.77734375" style="12" customWidth="1"/>
    <col min="11" max="11" width="11" style="10" customWidth="1"/>
    <col min="12" max="12" width="16.77734375" style="12" customWidth="1"/>
    <col min="13" max="13" width="20.21875" style="10" customWidth="1"/>
    <col min="14" max="14" width="12" style="10" customWidth="1"/>
    <col min="15" max="15" width="16.77734375" style="10" customWidth="1"/>
    <col min="16" max="16" width="12.21875" style="10" customWidth="1"/>
    <col min="17" max="17" width="9.6640625" style="10" bestFit="1" customWidth="1"/>
    <col min="18" max="18" width="14.6640625" style="10" bestFit="1" customWidth="1"/>
    <col min="19" max="19" width="19.77734375" style="10" bestFit="1" customWidth="1"/>
    <col min="20" max="20" width="20.77734375" style="10" bestFit="1" customWidth="1"/>
    <col min="21" max="21" width="8.77734375" style="10"/>
    <col min="22" max="22" width="15.6640625" style="10" bestFit="1" customWidth="1"/>
    <col min="23" max="23" width="21.21875" style="10" bestFit="1" customWidth="1"/>
    <col min="24" max="24" width="8.77734375" style="10"/>
    <col min="25" max="25" width="13.6640625" style="10" bestFit="1" customWidth="1"/>
    <col min="26" max="26" width="18.88671875" style="10" bestFit="1" customWidth="1"/>
    <col min="27" max="27" width="8.77734375" style="10"/>
    <col min="28" max="28" width="24.109375" style="10" bestFit="1" customWidth="1"/>
    <col min="29" max="29" width="20.6640625" style="10" bestFit="1" customWidth="1"/>
    <col min="30" max="30" width="11.77734375" style="10" bestFit="1" customWidth="1"/>
    <col min="31" max="31" width="14.5546875" style="10" bestFit="1" customWidth="1"/>
    <col min="32" max="32" width="19.77734375" style="10" bestFit="1" customWidth="1"/>
    <col min="33" max="33" width="14.77734375" style="10" bestFit="1" customWidth="1"/>
    <col min="34" max="34" width="20.33203125" style="10" bestFit="1" customWidth="1"/>
    <col min="35" max="16384" width="8.77734375" style="10"/>
  </cols>
  <sheetData>
    <row r="1" spans="1:37" customFormat="1" x14ac:dyDescent="0.3">
      <c r="A1" s="1" t="s">
        <v>541</v>
      </c>
      <c r="B1" s="1" t="s">
        <v>539</v>
      </c>
      <c r="C1" s="1" t="s">
        <v>540</v>
      </c>
      <c r="D1" s="19" t="s">
        <v>1157</v>
      </c>
      <c r="E1" s="17" t="s">
        <v>1093</v>
      </c>
      <c r="F1" s="14" t="s">
        <v>1094</v>
      </c>
      <c r="G1" s="9" t="s">
        <v>542</v>
      </c>
      <c r="H1" s="1" t="s">
        <v>1098</v>
      </c>
      <c r="I1" s="9" t="s">
        <v>543</v>
      </c>
      <c r="J1" s="15" t="s">
        <v>1099</v>
      </c>
      <c r="K1" s="1" t="s">
        <v>544</v>
      </c>
      <c r="L1" s="1" t="s">
        <v>1100</v>
      </c>
      <c r="M1" s="7" t="s">
        <v>1153</v>
      </c>
      <c r="N1" s="7" t="s">
        <v>1154</v>
      </c>
      <c r="O1" s="9" t="s">
        <v>1101</v>
      </c>
      <c r="P1" s="9" t="s">
        <v>1103</v>
      </c>
      <c r="Q1" s="7" t="s">
        <v>1102</v>
      </c>
      <c r="R1" s="21" t="s">
        <v>1104</v>
      </c>
      <c r="S1" s="9" t="s">
        <v>1107</v>
      </c>
      <c r="T1" s="16" t="s">
        <v>1109</v>
      </c>
      <c r="U1" s="9" t="s">
        <v>1105</v>
      </c>
      <c r="V1" s="9" t="s">
        <v>1106</v>
      </c>
      <c r="W1" s="9" t="s">
        <v>1111</v>
      </c>
      <c r="X1" s="9" t="s">
        <v>1105</v>
      </c>
      <c r="Y1" s="9" t="s">
        <v>1113</v>
      </c>
      <c r="Z1" s="9" t="s">
        <v>1108</v>
      </c>
      <c r="AA1" s="9" t="s">
        <v>1105</v>
      </c>
      <c r="AB1" s="9" t="s">
        <v>1158</v>
      </c>
      <c r="AC1" s="9" t="s">
        <v>1159</v>
      </c>
      <c r="AD1" s="9" t="s">
        <v>1105</v>
      </c>
      <c r="AE1" s="9" t="s">
        <v>1155</v>
      </c>
      <c r="AF1" s="9" t="s">
        <v>1156</v>
      </c>
      <c r="AG1" s="9" t="s">
        <v>1105</v>
      </c>
    </row>
    <row r="2" spans="1:37" customFormat="1" x14ac:dyDescent="0.3">
      <c r="A2">
        <v>100409</v>
      </c>
      <c r="B2" t="s">
        <v>536</v>
      </c>
      <c r="C2" t="s">
        <v>546</v>
      </c>
      <c r="D2" t="s">
        <v>545</v>
      </c>
      <c r="E2" s="18">
        <v>7.5</v>
      </c>
      <c r="F2" s="2">
        <f t="shared" ref="F2:F65" si="0">(E2-$AJ$5)/$AK$5</f>
        <v>0.95555555555555549</v>
      </c>
      <c r="G2" s="10">
        <v>42.722639999999998</v>
      </c>
      <c r="H2">
        <f t="shared" ref="H2:H65" si="1">(G2-$AJ$6)/$AK$6</f>
        <v>0.57242220925240817</v>
      </c>
      <c r="I2" s="10">
        <v>154.4</v>
      </c>
      <c r="J2" s="2">
        <f t="shared" ref="J2:J65" si="2">(I2-$AJ$7)/$AK$7</f>
        <v>0.79220112878399196</v>
      </c>
      <c r="K2" s="8">
        <v>0</v>
      </c>
      <c r="L2" s="2">
        <v>0</v>
      </c>
      <c r="M2">
        <v>27600</v>
      </c>
      <c r="N2">
        <f t="shared" ref="N2:N65" si="3">(M2-$AJ$9)/$AK$9</f>
        <v>0.12945640705360226</v>
      </c>
      <c r="O2" s="8">
        <v>0.58931245600000004</v>
      </c>
      <c r="P2">
        <f t="shared" ref="P2:P65" si="4">(O2-$AJ$11)/$AK$11</f>
        <v>0.5535374019725765</v>
      </c>
      <c r="Q2" s="20">
        <v>0.38740000000000002</v>
      </c>
      <c r="R2" s="10">
        <f t="shared" ref="R2:R65" si="5">(Q2-$AJ$12)/$AK$12</f>
        <v>0.8388912949328714</v>
      </c>
      <c r="S2">
        <f t="shared" ref="S2:S65" si="6">F2*(R2*0.5+P2*0.5)*(H2*0.5+J2*0.5)</f>
        <v>0.45392249968332127</v>
      </c>
      <c r="T2" s="11">
        <f t="shared" ref="T2:T65" si="7">(S2-$AJ$10)/$AK$10</f>
        <v>0.83324376021757196</v>
      </c>
      <c r="U2" t="str">
        <f t="shared" ref="U2:U65" si="8">IF(T2&gt;0.7,"High",IF(T2&gt;0.3,"Moderate",IF(T2&gt;0.15,"Low","No Impact")))</f>
        <v>High</v>
      </c>
      <c r="V2">
        <f t="shared" ref="V2:V65" si="9">F2*(R2*1)*(H2*0.5+J2*0.5)</f>
        <v>0.54694597203402051</v>
      </c>
      <c r="W2">
        <f t="shared" ref="W2:W65" si="10">(V2-$AJ$13)/$AK$13</f>
        <v>0.72043026753454298</v>
      </c>
      <c r="X2" t="str">
        <f t="shared" ref="X2:X65" si="11">IF(W2&gt;0.7,"High",IF(W2&gt;0.3,"Moderate",IF(W2&gt;0.15,"Low","No Impact")))</f>
        <v>High</v>
      </c>
      <c r="Y2">
        <f t="shared" ref="Y2:Y65" si="12">F2*(P2*1)*(H2*0.5+J2*0.5)</f>
        <v>0.36089902733262219</v>
      </c>
      <c r="Z2">
        <f t="shared" ref="Z2:Z65" si="13">(Y2-$AJ$14)/$AK$14</f>
        <v>0.65974733135262775</v>
      </c>
      <c r="AA2" t="str">
        <f t="shared" ref="AA2:AA65" si="14">IF(Z2&gt;0.7,"High",IF(Z2&gt;0.3,"Moderate",IF(Z2&gt;0.15,"Low","No Impact")))</f>
        <v>Moderate</v>
      </c>
      <c r="AB2">
        <f t="shared" ref="AB2:AB65" si="15">F2*(R2*0.35+P2*0.3+N2*0.35)*(H2*0.5+J2*0.5)</f>
        <v>0.32924214815137676</v>
      </c>
      <c r="AC2">
        <f t="shared" ref="AC2:AC65" si="16">(AB2-$AJ$15)/$AK$15</f>
        <v>0.80172908739552828</v>
      </c>
      <c r="AD2" t="str">
        <f t="shared" ref="AD2:AD65" si="17">IF(AC2&gt;0.7,"High",IF(AC2&gt;0.3,"Moderate",IF(AC2&gt;0.15,"Low","No Impact")))</f>
        <v>High</v>
      </c>
      <c r="AE2">
        <f t="shared" ref="AE2:AE65" si="18">F2*(N2*1)*(H2*0.5+J2*0.5)</f>
        <v>8.4403856399094271E-2</v>
      </c>
      <c r="AF2">
        <f t="shared" ref="AF2:AF65" si="19">(AE2-$AJ$16)/$AK$16</f>
        <v>0.46180304812706302</v>
      </c>
      <c r="AG2" t="str">
        <f t="shared" ref="AG2:AG65" si="20">IF(AF2&gt;0.7,"High",IF(AF2&gt;0.3,"Moderate",IF(AF2&gt;0.15,"Low","No Impact")))</f>
        <v>Moderate</v>
      </c>
    </row>
    <row r="3" spans="1:37" customFormat="1" x14ac:dyDescent="0.3">
      <c r="A3">
        <v>100419</v>
      </c>
      <c r="B3" t="s">
        <v>38</v>
      </c>
      <c r="C3" t="s">
        <v>546</v>
      </c>
      <c r="D3" t="s">
        <v>547</v>
      </c>
      <c r="E3" s="18">
        <v>5.6</v>
      </c>
      <c r="F3" s="2">
        <f t="shared" si="0"/>
        <v>0.53333333333333321</v>
      </c>
      <c r="G3" s="10">
        <v>45.433440000000004</v>
      </c>
      <c r="H3">
        <f t="shared" si="1"/>
        <v>0.60874304815284663</v>
      </c>
      <c r="I3" s="22">
        <v>150.89999999999998</v>
      </c>
      <c r="J3" s="2">
        <f t="shared" si="2"/>
        <v>0.77424320164186755</v>
      </c>
      <c r="K3" s="8">
        <v>0</v>
      </c>
      <c r="L3" s="2">
        <v>0</v>
      </c>
      <c r="M3">
        <v>10180</v>
      </c>
      <c r="N3">
        <f t="shared" si="3"/>
        <v>4.7035055097396299E-2</v>
      </c>
      <c r="O3" s="8">
        <v>0.73532441199999998</v>
      </c>
      <c r="P3">
        <f t="shared" si="4"/>
        <v>0.71433873441925777</v>
      </c>
      <c r="Q3" s="20">
        <v>0.40060000000000001</v>
      </c>
      <c r="R3" s="10">
        <f t="shared" si="5"/>
        <v>0.86747509744478135</v>
      </c>
      <c r="S3">
        <f t="shared" si="6"/>
        <v>0.29168357056040711</v>
      </c>
      <c r="T3" s="11">
        <f t="shared" si="7"/>
        <v>0.53542953983774821</v>
      </c>
      <c r="U3" t="str">
        <f t="shared" si="8"/>
        <v>Moderate</v>
      </c>
      <c r="V3">
        <f t="shared" si="9"/>
        <v>0.31992163514812322</v>
      </c>
      <c r="W3">
        <f t="shared" si="10"/>
        <v>0.4213967027542434</v>
      </c>
      <c r="X3" t="str">
        <f t="shared" si="11"/>
        <v>Moderate</v>
      </c>
      <c r="Y3">
        <f t="shared" si="12"/>
        <v>0.26344550597269101</v>
      </c>
      <c r="Z3">
        <f t="shared" si="13"/>
        <v>0.48159583805731948</v>
      </c>
      <c r="AA3" t="str">
        <f t="shared" si="14"/>
        <v>Moderate</v>
      </c>
      <c r="AB3">
        <f t="shared" si="15"/>
        <v>0.19707744864306712</v>
      </c>
      <c r="AC3">
        <f t="shared" si="16"/>
        <v>0.47989822668208282</v>
      </c>
      <c r="AD3" t="str">
        <f t="shared" si="17"/>
        <v>Moderate</v>
      </c>
      <c r="AE3">
        <f t="shared" si="18"/>
        <v>1.7346355855476225E-2</v>
      </c>
      <c r="AF3">
        <f t="shared" si="19"/>
        <v>9.4907985839869868E-2</v>
      </c>
      <c r="AG3" t="s">
        <v>1176</v>
      </c>
    </row>
    <row r="4" spans="1:37" customFormat="1" x14ac:dyDescent="0.3">
      <c r="A4">
        <v>100428</v>
      </c>
      <c r="B4" t="s">
        <v>47</v>
      </c>
      <c r="C4" t="s">
        <v>546</v>
      </c>
      <c r="D4" t="s">
        <v>548</v>
      </c>
      <c r="E4" s="18">
        <v>7.5</v>
      </c>
      <c r="F4" s="2">
        <f t="shared" si="0"/>
        <v>0.95555555555555549</v>
      </c>
      <c r="G4" s="10">
        <v>42.722639999999998</v>
      </c>
      <c r="H4">
        <f t="shared" si="1"/>
        <v>0.57242220925240817</v>
      </c>
      <c r="I4" s="22">
        <v>147.50000000000003</v>
      </c>
      <c r="J4" s="2">
        <f t="shared" si="2"/>
        <v>0.75679835813237584</v>
      </c>
      <c r="K4" s="8">
        <v>0</v>
      </c>
      <c r="L4" s="2">
        <v>0</v>
      </c>
      <c r="M4">
        <v>41704</v>
      </c>
      <c r="N4">
        <f t="shared" si="3"/>
        <v>0.19618836732859246</v>
      </c>
      <c r="O4" s="8">
        <v>0.39440944999999999</v>
      </c>
      <c r="P4">
        <f t="shared" si="4"/>
        <v>0.33889290352709633</v>
      </c>
      <c r="Q4" s="20">
        <v>0.38929999999999998</v>
      </c>
      <c r="R4" s="10">
        <f t="shared" si="5"/>
        <v>0.84300563014291896</v>
      </c>
      <c r="S4">
        <f t="shared" si="6"/>
        <v>0.3752953616621798</v>
      </c>
      <c r="T4" s="11">
        <f t="shared" si="7"/>
        <v>0.68891169431295429</v>
      </c>
      <c r="U4" t="str">
        <f t="shared" si="8"/>
        <v>Moderate</v>
      </c>
      <c r="V4">
        <f t="shared" si="9"/>
        <v>0.53536931273674371</v>
      </c>
      <c r="W4">
        <f t="shared" si="10"/>
        <v>0.70518163936807654</v>
      </c>
      <c r="X4" t="str">
        <f t="shared" si="11"/>
        <v>High</v>
      </c>
      <c r="Y4">
        <f t="shared" si="12"/>
        <v>0.21522141058761604</v>
      </c>
      <c r="Z4">
        <f t="shared" si="13"/>
        <v>0.39343899687006173</v>
      </c>
      <c r="AA4" t="str">
        <f t="shared" si="14"/>
        <v>Moderate</v>
      </c>
      <c r="AB4">
        <f t="shared" si="15"/>
        <v>0.29555349457490993</v>
      </c>
      <c r="AC4">
        <f t="shared" si="16"/>
        <v>0.71969471348837366</v>
      </c>
      <c r="AD4" t="str">
        <f t="shared" si="17"/>
        <v>High</v>
      </c>
      <c r="AE4">
        <f t="shared" si="18"/>
        <v>0.12459374840218511</v>
      </c>
      <c r="AF4">
        <f t="shared" si="19"/>
        <v>0.68169601774644628</v>
      </c>
      <c r="AG4" t="str">
        <f t="shared" si="20"/>
        <v>Moderate</v>
      </c>
      <c r="AI4" s="1" t="s">
        <v>1095</v>
      </c>
      <c r="AJ4" s="1" t="s">
        <v>1096</v>
      </c>
      <c r="AK4" s="1" t="s">
        <v>1097</v>
      </c>
    </row>
    <row r="5" spans="1:37" customFormat="1" x14ac:dyDescent="0.3">
      <c r="A5">
        <v>100447</v>
      </c>
      <c r="B5" t="s">
        <v>63</v>
      </c>
      <c r="C5" t="s">
        <v>546</v>
      </c>
      <c r="D5" t="s">
        <v>549</v>
      </c>
      <c r="E5" s="18">
        <v>5.6</v>
      </c>
      <c r="F5" s="2">
        <f t="shared" si="0"/>
        <v>0.53333333333333321</v>
      </c>
      <c r="G5" s="10">
        <v>42.722639999999998</v>
      </c>
      <c r="H5">
        <f t="shared" si="1"/>
        <v>0.57242220925240817</v>
      </c>
      <c r="I5" s="22">
        <v>150.29999999999998</v>
      </c>
      <c r="J5" s="2">
        <f t="shared" si="2"/>
        <v>0.77116469984607494</v>
      </c>
      <c r="K5" s="8">
        <v>0</v>
      </c>
      <c r="L5" s="2">
        <v>0</v>
      </c>
      <c r="M5">
        <v>7682</v>
      </c>
      <c r="N5">
        <f t="shared" si="3"/>
        <v>3.521596570666137E-2</v>
      </c>
      <c r="O5" s="8">
        <v>0.69492346299999996</v>
      </c>
      <c r="P5">
        <f t="shared" si="4"/>
        <v>0.66984562159971295</v>
      </c>
      <c r="Q5" s="20">
        <v>0.3906</v>
      </c>
      <c r="R5" s="10">
        <f t="shared" si="5"/>
        <v>0.84582070160242528</v>
      </c>
      <c r="S5">
        <f t="shared" si="6"/>
        <v>0.27152392405544307</v>
      </c>
      <c r="T5" s="11">
        <f t="shared" si="7"/>
        <v>0.49842344370862413</v>
      </c>
      <c r="U5" t="str">
        <f t="shared" si="8"/>
        <v>Moderate</v>
      </c>
      <c r="V5">
        <f t="shared" si="9"/>
        <v>0.3030489658980034</v>
      </c>
      <c r="W5">
        <f t="shared" si="10"/>
        <v>0.39917223773682925</v>
      </c>
      <c r="X5" t="str">
        <f t="shared" si="11"/>
        <v>Moderate</v>
      </c>
      <c r="Y5">
        <f t="shared" si="12"/>
        <v>0.23999888221288274</v>
      </c>
      <c r="Z5">
        <f t="shared" si="13"/>
        <v>0.43873385649673807</v>
      </c>
      <c r="AA5" t="str">
        <f t="shared" si="14"/>
        <v>Moderate</v>
      </c>
      <c r="AB5">
        <f t="shared" si="15"/>
        <v>0.18248293570954091</v>
      </c>
      <c r="AC5">
        <f t="shared" si="16"/>
        <v>0.44435950358458176</v>
      </c>
      <c r="AD5" t="str">
        <f t="shared" si="17"/>
        <v>Moderate</v>
      </c>
      <c r="AE5">
        <f t="shared" si="18"/>
        <v>1.2617522803928352E-2</v>
      </c>
      <c r="AF5">
        <f t="shared" si="19"/>
        <v>6.9034884651661091E-2</v>
      </c>
      <c r="AG5" t="s">
        <v>1176</v>
      </c>
      <c r="AH5" s="1" t="s">
        <v>1149</v>
      </c>
      <c r="AI5" s="3">
        <f>MAX(E2:E557)</f>
        <v>7.7</v>
      </c>
      <c r="AJ5">
        <f>MIN((E2:E557))</f>
        <v>3.2</v>
      </c>
      <c r="AK5" s="3">
        <f t="shared" ref="AK5:AK16" si="21">AI5-AJ5</f>
        <v>4.5</v>
      </c>
    </row>
    <row r="6" spans="1:37" customFormat="1" x14ac:dyDescent="0.3">
      <c r="A6">
        <v>100485</v>
      </c>
      <c r="B6" t="s">
        <v>405</v>
      </c>
      <c r="C6" t="s">
        <v>546</v>
      </c>
      <c r="D6" t="s">
        <v>550</v>
      </c>
      <c r="E6" s="18">
        <v>7.5</v>
      </c>
      <c r="F6" s="2">
        <f t="shared" si="0"/>
        <v>0.95555555555555549</v>
      </c>
      <c r="G6" s="10">
        <v>45.775440000000003</v>
      </c>
      <c r="H6">
        <f t="shared" si="1"/>
        <v>0.61332535850549164</v>
      </c>
      <c r="I6" s="22">
        <v>134.9</v>
      </c>
      <c r="J6" s="2">
        <f t="shared" si="2"/>
        <v>0.6921498204207287</v>
      </c>
      <c r="K6" s="8">
        <v>0</v>
      </c>
      <c r="L6" s="2">
        <v>0</v>
      </c>
      <c r="M6">
        <v>28660</v>
      </c>
      <c r="N6">
        <f t="shared" si="3"/>
        <v>0.13447171320019116</v>
      </c>
      <c r="O6" s="8">
        <v>0.703602862</v>
      </c>
      <c r="P6">
        <f t="shared" si="4"/>
        <v>0.67940414654705628</v>
      </c>
      <c r="Q6" s="20">
        <v>0.38590000000000002</v>
      </c>
      <c r="R6" s="10">
        <f t="shared" si="5"/>
        <v>0.83564313555651804</v>
      </c>
      <c r="S6">
        <f t="shared" si="6"/>
        <v>0.47248797073606358</v>
      </c>
      <c r="T6" s="11">
        <f t="shared" si="7"/>
        <v>0.86732350493388333</v>
      </c>
      <c r="U6" t="str">
        <f t="shared" si="8"/>
        <v>High</v>
      </c>
      <c r="V6">
        <f t="shared" si="9"/>
        <v>0.52121321102324292</v>
      </c>
      <c r="W6">
        <f t="shared" si="10"/>
        <v>0.68653540250709966</v>
      </c>
      <c r="X6" t="str">
        <f t="shared" si="11"/>
        <v>Moderate</v>
      </c>
      <c r="Y6">
        <f t="shared" si="12"/>
        <v>0.42376273044888418</v>
      </c>
      <c r="Z6">
        <f t="shared" si="13"/>
        <v>0.77466634533953194</v>
      </c>
      <c r="AA6" t="str">
        <f t="shared" si="14"/>
        <v>High</v>
      </c>
      <c r="AB6">
        <f t="shared" si="15"/>
        <v>0.33890921779225086</v>
      </c>
      <c r="AC6">
        <f t="shared" si="16"/>
        <v>0.8252691200568496</v>
      </c>
      <c r="AD6" t="str">
        <f t="shared" si="17"/>
        <v>High</v>
      </c>
      <c r="AE6">
        <f t="shared" si="18"/>
        <v>8.3873642284144484E-2</v>
      </c>
      <c r="AF6">
        <f t="shared" si="19"/>
        <v>0.45890206107635251</v>
      </c>
      <c r="AG6" t="str">
        <f t="shared" si="20"/>
        <v>Moderate</v>
      </c>
      <c r="AH6" s="1" t="s">
        <v>542</v>
      </c>
      <c r="AI6">
        <f>MAX(G1:G557)</f>
        <v>74.634839999999997</v>
      </c>
      <c r="AJ6">
        <f>MIN(G1:G557)</f>
        <v>0</v>
      </c>
      <c r="AK6">
        <f t="shared" si="21"/>
        <v>74.634839999999997</v>
      </c>
    </row>
    <row r="7" spans="1:37" customFormat="1" x14ac:dyDescent="0.3">
      <c r="A7" s="8">
        <v>100490</v>
      </c>
      <c r="B7" s="8" t="s">
        <v>1160</v>
      </c>
      <c r="C7" s="8" t="s">
        <v>546</v>
      </c>
      <c r="D7" s="8" t="s">
        <v>1161</v>
      </c>
      <c r="E7" s="3">
        <v>7.5</v>
      </c>
      <c r="F7" s="2">
        <f t="shared" si="0"/>
        <v>0.95555555555555549</v>
      </c>
      <c r="G7" s="10">
        <v>42.722639999999998</v>
      </c>
      <c r="H7">
        <f t="shared" si="1"/>
        <v>0.57242220925240817</v>
      </c>
      <c r="I7" s="10">
        <v>154.4</v>
      </c>
      <c r="J7" s="2">
        <f t="shared" si="2"/>
        <v>0.79220112878399196</v>
      </c>
      <c r="K7" s="8">
        <v>0</v>
      </c>
      <c r="L7" s="2">
        <v>0</v>
      </c>
      <c r="M7">
        <v>15422</v>
      </c>
      <c r="N7">
        <f t="shared" si="3"/>
        <v>7.1837163418546221E-2</v>
      </c>
      <c r="O7" s="8">
        <v>0.58931245600000004</v>
      </c>
      <c r="P7">
        <f t="shared" si="4"/>
        <v>0.5535374019725765</v>
      </c>
      <c r="Q7" s="20">
        <v>0.38740000000000002</v>
      </c>
      <c r="R7" s="10">
        <f t="shared" si="5"/>
        <v>0.8388912949328714</v>
      </c>
      <c r="S7">
        <f t="shared" si="6"/>
        <v>0.45392249968332127</v>
      </c>
      <c r="T7" s="11">
        <f t="shared" si="7"/>
        <v>0.83324376021757196</v>
      </c>
      <c r="U7" t="str">
        <f t="shared" si="8"/>
        <v>High</v>
      </c>
      <c r="V7">
        <f t="shared" si="9"/>
        <v>0.54694597203402051</v>
      </c>
      <c r="W7">
        <f t="shared" si="10"/>
        <v>0.72043026753454298</v>
      </c>
      <c r="X7" t="str">
        <f t="shared" si="11"/>
        <v>High</v>
      </c>
      <c r="Y7">
        <f t="shared" si="12"/>
        <v>0.36089902733262219</v>
      </c>
      <c r="Z7">
        <f t="shared" si="13"/>
        <v>0.65974733135262775</v>
      </c>
      <c r="AA7" t="str">
        <f t="shared" si="14"/>
        <v>Moderate</v>
      </c>
      <c r="AB7">
        <f t="shared" si="15"/>
        <v>0.31609370485142946</v>
      </c>
      <c r="AC7">
        <f t="shared" si="16"/>
        <v>0.76971165127221675</v>
      </c>
      <c r="AD7" t="str">
        <f t="shared" si="17"/>
        <v>High</v>
      </c>
      <c r="AE7">
        <f t="shared" si="18"/>
        <v>4.6836875542101829E-2</v>
      </c>
      <c r="AF7">
        <f t="shared" si="19"/>
        <v>0.2562609436684769</v>
      </c>
      <c r="AG7" t="s">
        <v>1175</v>
      </c>
      <c r="AH7" s="1" t="s">
        <v>543</v>
      </c>
      <c r="AI7">
        <f>MAX(I1:I557)</f>
        <v>194.89999999999998</v>
      </c>
      <c r="AJ7">
        <f>MIN(K1:K557)</f>
        <v>0</v>
      </c>
      <c r="AK7">
        <f t="shared" si="21"/>
        <v>194.89999999999998</v>
      </c>
    </row>
    <row r="8" spans="1:37" customFormat="1" x14ac:dyDescent="0.3">
      <c r="A8">
        <v>100602</v>
      </c>
      <c r="B8" t="s">
        <v>4</v>
      </c>
      <c r="C8" t="s">
        <v>552</v>
      </c>
      <c r="D8" t="s">
        <v>551</v>
      </c>
      <c r="E8" s="18">
        <v>6.7</v>
      </c>
      <c r="F8" s="2">
        <f t="shared" si="0"/>
        <v>0.77777777777777779</v>
      </c>
      <c r="G8" s="10">
        <v>30.525480000000002</v>
      </c>
      <c r="H8">
        <f t="shared" si="1"/>
        <v>0.40899772813876206</v>
      </c>
      <c r="I8" s="22">
        <v>42</v>
      </c>
      <c r="J8" s="2">
        <f t="shared" si="2"/>
        <v>0.21549512570549001</v>
      </c>
      <c r="K8" s="8">
        <v>0</v>
      </c>
      <c r="L8" s="2">
        <v>0</v>
      </c>
      <c r="M8">
        <v>14078</v>
      </c>
      <c r="N8">
        <f t="shared" si="3"/>
        <v>6.5478133738342964E-2</v>
      </c>
      <c r="O8" s="8">
        <v>0.75035458200000005</v>
      </c>
      <c r="P8">
        <f t="shared" si="4"/>
        <v>0.73089129236800654</v>
      </c>
      <c r="Q8" s="20">
        <v>0.29409999999999997</v>
      </c>
      <c r="R8" s="10">
        <f t="shared" si="5"/>
        <v>0.63685578172368984</v>
      </c>
      <c r="S8">
        <f t="shared" si="6"/>
        <v>0.16608438654045957</v>
      </c>
      <c r="T8" s="11">
        <f t="shared" si="7"/>
        <v>0.30487314211335209</v>
      </c>
      <c r="U8" t="str">
        <f t="shared" si="8"/>
        <v>Moderate</v>
      </c>
      <c r="V8">
        <f t="shared" si="9"/>
        <v>0.15466573290615965</v>
      </c>
      <c r="W8">
        <f t="shared" si="10"/>
        <v>0.20372373329971244</v>
      </c>
      <c r="X8" t="s">
        <v>1175</v>
      </c>
      <c r="Y8">
        <f t="shared" si="12"/>
        <v>0.17750304017475943</v>
      </c>
      <c r="Z8">
        <f t="shared" si="13"/>
        <v>0.32448731693129257</v>
      </c>
      <c r="AA8" t="str">
        <f t="shared" si="14"/>
        <v>Moderate</v>
      </c>
      <c r="AB8">
        <f t="shared" si="15"/>
        <v>0.11294958719050043</v>
      </c>
      <c r="AC8">
        <f t="shared" si="16"/>
        <v>0.27504063488951236</v>
      </c>
      <c r="AD8" t="str">
        <f t="shared" si="17"/>
        <v>Low</v>
      </c>
      <c r="AE8">
        <f t="shared" si="18"/>
        <v>1.5901910345476323E-2</v>
      </c>
      <c r="AF8">
        <f t="shared" si="19"/>
        <v>8.7004918754672533E-2</v>
      </c>
      <c r="AG8" t="s">
        <v>1176</v>
      </c>
      <c r="AH8" s="1" t="s">
        <v>544</v>
      </c>
      <c r="AI8">
        <f>MAX(K1:K547)</f>
        <v>0</v>
      </c>
      <c r="AJ8">
        <f>MIN(K1:K557)</f>
        <v>0</v>
      </c>
      <c r="AK8">
        <f t="shared" si="21"/>
        <v>0</v>
      </c>
    </row>
    <row r="9" spans="1:37" customFormat="1" x14ac:dyDescent="0.3">
      <c r="A9">
        <v>100603</v>
      </c>
      <c r="B9" t="s">
        <v>20</v>
      </c>
      <c r="C9" t="s">
        <v>552</v>
      </c>
      <c r="D9" t="s">
        <v>553</v>
      </c>
      <c r="E9" s="18">
        <v>6.7</v>
      </c>
      <c r="F9" s="2">
        <f t="shared" si="0"/>
        <v>0.77777777777777779</v>
      </c>
      <c r="G9" s="10">
        <v>32.525280000000002</v>
      </c>
      <c r="H9">
        <f t="shared" si="1"/>
        <v>0.43579218499028072</v>
      </c>
      <c r="I9" s="22">
        <v>59.399999999999991</v>
      </c>
      <c r="J9" s="2">
        <f t="shared" si="2"/>
        <v>0.30477167778347869</v>
      </c>
      <c r="K9" s="8">
        <v>0</v>
      </c>
      <c r="L9" s="2">
        <v>0</v>
      </c>
      <c r="M9">
        <v>12897</v>
      </c>
      <c r="N9">
        <f t="shared" si="3"/>
        <v>5.9890325663700068E-2</v>
      </c>
      <c r="O9" s="8">
        <v>0.68775487000000002</v>
      </c>
      <c r="P9">
        <f t="shared" si="4"/>
        <v>0.66195093038574182</v>
      </c>
      <c r="Q9" s="20">
        <v>0.35470000000000002</v>
      </c>
      <c r="R9" s="10">
        <f t="shared" si="5"/>
        <v>0.76808142052836736</v>
      </c>
      <c r="S9">
        <f t="shared" si="6"/>
        <v>0.20592255477196528</v>
      </c>
      <c r="T9" s="11">
        <f t="shared" si="7"/>
        <v>0.3780021566930622</v>
      </c>
      <c r="U9" t="str">
        <f t="shared" si="8"/>
        <v>Moderate</v>
      </c>
      <c r="V9">
        <f t="shared" si="9"/>
        <v>0.22120518922103935</v>
      </c>
      <c r="W9">
        <f t="shared" si="10"/>
        <v>0.29136865759865233</v>
      </c>
      <c r="X9" t="s">
        <v>1175</v>
      </c>
      <c r="Y9">
        <f t="shared" si="12"/>
        <v>0.1906399203228912</v>
      </c>
      <c r="Z9">
        <f t="shared" si="13"/>
        <v>0.34850240415412764</v>
      </c>
      <c r="AA9" t="str">
        <f t="shared" si="14"/>
        <v>Moderate</v>
      </c>
      <c r="AB9">
        <f t="shared" si="15"/>
        <v>0.14065067547672591</v>
      </c>
      <c r="AC9">
        <f t="shared" si="16"/>
        <v>0.34249484254875628</v>
      </c>
      <c r="AD9" t="str">
        <f t="shared" si="17"/>
        <v>Moderate</v>
      </c>
      <c r="AE9">
        <f t="shared" si="18"/>
        <v>1.7248237578556497E-2</v>
      </c>
      <c r="AF9">
        <f t="shared" si="19"/>
        <v>9.4371146395659453E-2</v>
      </c>
      <c r="AG9" t="s">
        <v>1176</v>
      </c>
      <c r="AH9" s="1" t="s">
        <v>1150</v>
      </c>
      <c r="AI9" s="4">
        <f>MAX(M1:M557)</f>
        <v>211592</v>
      </c>
      <c r="AJ9" s="4">
        <f>MIN(M1:M557)</f>
        <v>239</v>
      </c>
      <c r="AK9" s="4">
        <f t="shared" si="21"/>
        <v>211353</v>
      </c>
    </row>
    <row r="10" spans="1:37" customFormat="1" x14ac:dyDescent="0.3">
      <c r="A10">
        <v>100607</v>
      </c>
      <c r="B10" t="s">
        <v>33</v>
      </c>
      <c r="C10" t="s">
        <v>552</v>
      </c>
      <c r="D10" t="s">
        <v>554</v>
      </c>
      <c r="E10" s="18">
        <v>6.7</v>
      </c>
      <c r="F10" s="2">
        <f t="shared" si="0"/>
        <v>0.77777777777777779</v>
      </c>
      <c r="G10" s="10">
        <v>40.521599999999999</v>
      </c>
      <c r="H10">
        <f t="shared" si="1"/>
        <v>0.54293142451970156</v>
      </c>
      <c r="I10" s="22">
        <v>98.399999999999991</v>
      </c>
      <c r="J10" s="2">
        <f t="shared" si="2"/>
        <v>0.50487429451000509</v>
      </c>
      <c r="K10" s="8">
        <v>0</v>
      </c>
      <c r="L10" s="2">
        <v>0</v>
      </c>
      <c r="M10">
        <v>24771</v>
      </c>
      <c r="N10">
        <f t="shared" si="3"/>
        <v>0.11607121734728157</v>
      </c>
      <c r="O10" s="8">
        <v>0.90452841500000003</v>
      </c>
      <c r="P10">
        <f t="shared" si="4"/>
        <v>0.90068120857741696</v>
      </c>
      <c r="Q10" s="20">
        <v>0.3705</v>
      </c>
      <c r="R10" s="10">
        <f t="shared" si="5"/>
        <v>0.80229536595928974</v>
      </c>
      <c r="S10">
        <f t="shared" si="6"/>
        <v>0.34696444886700745</v>
      </c>
      <c r="T10" s="11">
        <f t="shared" si="7"/>
        <v>0.63690599659073377</v>
      </c>
      <c r="U10" t="str">
        <f t="shared" si="8"/>
        <v>Moderate</v>
      </c>
      <c r="V10">
        <f t="shared" si="9"/>
        <v>0.32691931720123485</v>
      </c>
      <c r="W10">
        <f t="shared" si="10"/>
        <v>0.43061396042029182</v>
      </c>
      <c r="X10" t="str">
        <f t="shared" si="11"/>
        <v>Moderate</v>
      </c>
      <c r="Y10">
        <f t="shared" si="12"/>
        <v>0.36700958053277999</v>
      </c>
      <c r="Z10">
        <f t="shared" si="13"/>
        <v>0.67091782742375405</v>
      </c>
      <c r="AA10" t="str">
        <f t="shared" si="14"/>
        <v>Moderate</v>
      </c>
      <c r="AB10">
        <f t="shared" si="15"/>
        <v>0.24107848013084912</v>
      </c>
      <c r="AC10">
        <f t="shared" si="16"/>
        <v>0.58704400682363989</v>
      </c>
      <c r="AD10" t="str">
        <f t="shared" si="17"/>
        <v>Moderate</v>
      </c>
      <c r="AE10">
        <f t="shared" si="18"/>
        <v>4.7296699858808453E-2</v>
      </c>
      <c r="AF10">
        <f t="shared" si="19"/>
        <v>0.25877680348954951</v>
      </c>
      <c r="AG10" t="s">
        <v>1175</v>
      </c>
      <c r="AH10" s="1" t="s">
        <v>1110</v>
      </c>
      <c r="AI10" s="2">
        <f>MAX(S2:S547)</f>
        <v>0.54476555523775605</v>
      </c>
      <c r="AJ10" s="2">
        <f>MIN(S2:S547)</f>
        <v>0</v>
      </c>
      <c r="AK10" s="2">
        <f t="shared" si="21"/>
        <v>0.54476555523775605</v>
      </c>
    </row>
    <row r="11" spans="1:37" customFormat="1" x14ac:dyDescent="0.3">
      <c r="A11">
        <v>100610</v>
      </c>
      <c r="B11" t="s">
        <v>39</v>
      </c>
      <c r="C11" t="s">
        <v>552</v>
      </c>
      <c r="D11" t="s">
        <v>555</v>
      </c>
      <c r="E11" s="18">
        <v>6.7</v>
      </c>
      <c r="F11" s="2">
        <f t="shared" si="0"/>
        <v>0.77777777777777779</v>
      </c>
      <c r="G11" s="10">
        <v>34.305840000000003</v>
      </c>
      <c r="H11">
        <f t="shared" si="1"/>
        <v>0.45964913973152494</v>
      </c>
      <c r="I11" s="22">
        <v>46.699999999999996</v>
      </c>
      <c r="J11" s="2">
        <f t="shared" si="2"/>
        <v>0.23961005643919961</v>
      </c>
      <c r="K11" s="8">
        <v>0</v>
      </c>
      <c r="L11" s="2">
        <v>0</v>
      </c>
      <c r="M11">
        <v>9050</v>
      </c>
      <c r="N11">
        <f t="shared" si="3"/>
        <v>4.1688549488296832E-2</v>
      </c>
      <c r="O11" s="8">
        <v>0.70393524799999996</v>
      </c>
      <c r="P11">
        <f t="shared" si="4"/>
        <v>0.67977019952758488</v>
      </c>
      <c r="Q11" s="20">
        <v>0.32950000000000002</v>
      </c>
      <c r="R11" s="10">
        <f t="shared" si="5"/>
        <v>0.71351234300563016</v>
      </c>
      <c r="S11">
        <f t="shared" si="6"/>
        <v>0.18944053930870428</v>
      </c>
      <c r="T11" s="11">
        <f t="shared" si="7"/>
        <v>0.34774691146914627</v>
      </c>
      <c r="U11" t="str">
        <f t="shared" si="8"/>
        <v>Moderate</v>
      </c>
      <c r="V11">
        <f t="shared" si="9"/>
        <v>0.19402835955533615</v>
      </c>
      <c r="W11">
        <f t="shared" si="10"/>
        <v>0.2555716837330409</v>
      </c>
      <c r="X11" t="s">
        <v>1175</v>
      </c>
      <c r="Y11">
        <f t="shared" si="12"/>
        <v>0.18485271906207246</v>
      </c>
      <c r="Z11">
        <f t="shared" si="13"/>
        <v>0.33792301685002502</v>
      </c>
      <c r="AA11" t="str">
        <f t="shared" si="14"/>
        <v>Moderate</v>
      </c>
      <c r="AB11">
        <f t="shared" si="15"/>
        <v>0.12733353039251935</v>
      </c>
      <c r="AC11">
        <f t="shared" si="16"/>
        <v>0.31006660504932809</v>
      </c>
      <c r="AD11" t="str">
        <f t="shared" si="17"/>
        <v>Moderate</v>
      </c>
      <c r="AE11">
        <f t="shared" si="18"/>
        <v>1.1336539512942743E-2</v>
      </c>
      <c r="AF11">
        <f t="shared" si="19"/>
        <v>6.2026176594770242E-2</v>
      </c>
      <c r="AG11" t="s">
        <v>1176</v>
      </c>
      <c r="AH11" s="1" t="s">
        <v>1101</v>
      </c>
      <c r="AI11">
        <f>MAX(O1:O557)</f>
        <v>0.99471256200000002</v>
      </c>
      <c r="AJ11">
        <f>MIN(O1:O557)</f>
        <v>8.6685533999999995E-2</v>
      </c>
      <c r="AK11">
        <f t="shared" si="21"/>
        <v>0.90802702800000001</v>
      </c>
    </row>
    <row r="12" spans="1:37" customFormat="1" x14ac:dyDescent="0.3">
      <c r="A12">
        <v>100632</v>
      </c>
      <c r="B12" t="s">
        <v>177</v>
      </c>
      <c r="C12" t="s">
        <v>552</v>
      </c>
      <c r="D12" t="s">
        <v>556</v>
      </c>
      <c r="E12" s="18">
        <v>6.7</v>
      </c>
      <c r="F12" s="2">
        <f t="shared" si="0"/>
        <v>0.77777777777777779</v>
      </c>
      <c r="G12" s="10">
        <v>30.525480000000002</v>
      </c>
      <c r="H12">
        <f t="shared" si="1"/>
        <v>0.40899772813876206</v>
      </c>
      <c r="I12" s="22">
        <v>41.2</v>
      </c>
      <c r="J12" s="2">
        <f t="shared" si="2"/>
        <v>0.21139045664443309</v>
      </c>
      <c r="K12" s="8">
        <v>0</v>
      </c>
      <c r="L12" s="2">
        <v>0</v>
      </c>
      <c r="M12">
        <v>26617</v>
      </c>
      <c r="N12">
        <f t="shared" si="3"/>
        <v>0.12480542031577503</v>
      </c>
      <c r="O12" s="8">
        <v>0.755505117</v>
      </c>
      <c r="P12">
        <f t="shared" si="4"/>
        <v>0.73656351890001226</v>
      </c>
      <c r="Q12" s="20">
        <v>0.32450000000000001</v>
      </c>
      <c r="R12" s="10">
        <f t="shared" si="5"/>
        <v>0.70268514508445223</v>
      </c>
      <c r="S12">
        <f t="shared" si="6"/>
        <v>0.17361805729740901</v>
      </c>
      <c r="T12" s="11">
        <f t="shared" si="7"/>
        <v>0.31870234016839705</v>
      </c>
      <c r="U12" t="str">
        <f t="shared" si="8"/>
        <v>Moderate</v>
      </c>
      <c r="V12">
        <f t="shared" si="9"/>
        <v>0.169531273968412</v>
      </c>
      <c r="W12">
        <f t="shared" si="10"/>
        <v>0.22330443463424579</v>
      </c>
      <c r="X12" t="s">
        <v>1175</v>
      </c>
      <c r="Y12">
        <f t="shared" si="12"/>
        <v>0.17770484062640604</v>
      </c>
      <c r="Z12">
        <f t="shared" si="13"/>
        <v>0.32485622152608634</v>
      </c>
      <c r="AA12" t="str">
        <f t="shared" si="14"/>
        <v>Moderate</v>
      </c>
      <c r="AB12">
        <f t="shared" si="15"/>
        <v>0.12318618307653145</v>
      </c>
      <c r="AC12">
        <f t="shared" si="16"/>
        <v>0.29996750626313473</v>
      </c>
      <c r="AD12" t="str">
        <f t="shared" si="17"/>
        <v>Low</v>
      </c>
      <c r="AE12">
        <f t="shared" si="18"/>
        <v>3.0110814284758425E-2</v>
      </c>
      <c r="AF12">
        <f t="shared" si="19"/>
        <v>0.16474680673996511</v>
      </c>
      <c r="AG12" t="s">
        <v>1175</v>
      </c>
      <c r="AH12" s="1" t="s">
        <v>1102</v>
      </c>
      <c r="AI12">
        <f>MAX(Q1:Q557)</f>
        <v>0.46179999999999999</v>
      </c>
      <c r="AJ12">
        <f>MIN(Q1:Q557)</f>
        <v>0</v>
      </c>
      <c r="AK12">
        <f t="shared" si="21"/>
        <v>0.46179999999999999</v>
      </c>
    </row>
    <row r="13" spans="1:37" customFormat="1" x14ac:dyDescent="0.3">
      <c r="A13">
        <v>100636</v>
      </c>
      <c r="B13" t="s">
        <v>208</v>
      </c>
      <c r="C13" t="s">
        <v>552</v>
      </c>
      <c r="D13" t="s">
        <v>557</v>
      </c>
      <c r="E13" s="18">
        <v>6.7</v>
      </c>
      <c r="F13" s="2">
        <f t="shared" si="0"/>
        <v>0.77777777777777779</v>
      </c>
      <c r="G13" s="10">
        <v>31.0806</v>
      </c>
      <c r="H13">
        <f t="shared" si="1"/>
        <v>0.41643554136379207</v>
      </c>
      <c r="I13" s="22">
        <v>68.900000000000006</v>
      </c>
      <c r="J13" s="2">
        <f t="shared" si="2"/>
        <v>0.35351462288353008</v>
      </c>
      <c r="K13" s="8">
        <v>0</v>
      </c>
      <c r="L13" s="2">
        <v>0</v>
      </c>
      <c r="M13">
        <v>4786</v>
      </c>
      <c r="N13">
        <f t="shared" si="3"/>
        <v>2.1513770800509101E-2</v>
      </c>
      <c r="O13" s="8">
        <v>0.79455427199999995</v>
      </c>
      <c r="P13">
        <f t="shared" si="4"/>
        <v>0.77956791612154519</v>
      </c>
      <c r="Q13" s="20">
        <v>0.32219999999999999</v>
      </c>
      <c r="R13" s="10">
        <f t="shared" si="5"/>
        <v>0.69770463404071026</v>
      </c>
      <c r="S13">
        <f t="shared" si="6"/>
        <v>0.22116621384578955</v>
      </c>
      <c r="T13" s="11">
        <f t="shared" si="7"/>
        <v>0.40598421049081262</v>
      </c>
      <c r="U13" t="str">
        <f t="shared" si="8"/>
        <v>Moderate</v>
      </c>
      <c r="V13">
        <f t="shared" si="9"/>
        <v>0.20891025461279658</v>
      </c>
      <c r="W13">
        <f t="shared" si="10"/>
        <v>0.27517392634175025</v>
      </c>
      <c r="X13" t="s">
        <v>1175</v>
      </c>
      <c r="Y13">
        <f t="shared" si="12"/>
        <v>0.23342217307878249</v>
      </c>
      <c r="Z13">
        <f t="shared" si="13"/>
        <v>0.42671119649575645</v>
      </c>
      <c r="AA13" t="str">
        <f t="shared" si="14"/>
        <v>Moderate</v>
      </c>
      <c r="AB13">
        <f t="shared" si="15"/>
        <v>0.1453998578067528</v>
      </c>
      <c r="AC13">
        <f t="shared" si="16"/>
        <v>0.35405945429942687</v>
      </c>
      <c r="AD13" t="str">
        <f t="shared" si="17"/>
        <v>Moderate</v>
      </c>
      <c r="AE13">
        <f t="shared" si="18"/>
        <v>6.4417621961121432E-3</v>
      </c>
      <c r="AF13">
        <f t="shared" si="19"/>
        <v>3.5245136234156642E-2</v>
      </c>
      <c r="AG13" t="s">
        <v>1176</v>
      </c>
      <c r="AH13" s="1" t="s">
        <v>1106</v>
      </c>
      <c r="AI13">
        <f>MAX(V1:V547)</f>
        <v>0.75919349405707148</v>
      </c>
      <c r="AJ13">
        <f>MIN(V1:V557)</f>
        <v>0</v>
      </c>
      <c r="AK13">
        <f t="shared" si="21"/>
        <v>0.75919349405707148</v>
      </c>
    </row>
    <row r="14" spans="1:37" customFormat="1" x14ac:dyDescent="0.3">
      <c r="A14">
        <v>100651</v>
      </c>
      <c r="B14" t="s">
        <v>49</v>
      </c>
      <c r="C14" t="s">
        <v>552</v>
      </c>
      <c r="D14" t="s">
        <v>1114</v>
      </c>
      <c r="E14" s="18">
        <v>6.8</v>
      </c>
      <c r="F14" s="2">
        <f t="shared" si="0"/>
        <v>0.79999999999999993</v>
      </c>
      <c r="G14" s="10">
        <v>33.145200000000003</v>
      </c>
      <c r="H14">
        <f t="shared" si="1"/>
        <v>0.44409822544002242</v>
      </c>
      <c r="I14" s="22">
        <v>99.6</v>
      </c>
      <c r="J14" s="2">
        <f t="shared" si="2"/>
        <v>0.51103129810159054</v>
      </c>
      <c r="K14" s="8">
        <v>0</v>
      </c>
      <c r="L14" s="2">
        <v>0</v>
      </c>
      <c r="M14">
        <v>47691</v>
      </c>
      <c r="N14">
        <f t="shared" si="3"/>
        <v>0.22451538421503361</v>
      </c>
      <c r="O14" s="8">
        <v>0.78589732800000001</v>
      </c>
      <c r="P14">
        <f t="shared" si="4"/>
        <v>0.77003412061430399</v>
      </c>
      <c r="Q14" s="20">
        <v>0.33860000000000001</v>
      </c>
      <c r="R14" s="10">
        <f t="shared" si="5"/>
        <v>0.73321784322217409</v>
      </c>
      <c r="S14">
        <f t="shared" si="6"/>
        <v>0.28716006639642583</v>
      </c>
      <c r="T14" s="11">
        <f t="shared" si="7"/>
        <v>0.52712596021438696</v>
      </c>
      <c r="U14" t="str">
        <f t="shared" si="8"/>
        <v>Moderate</v>
      </c>
      <c r="V14">
        <f t="shared" si="9"/>
        <v>0.28012720369960165</v>
      </c>
      <c r="W14">
        <f t="shared" si="10"/>
        <v>0.36897998453941361</v>
      </c>
      <c r="X14" t="str">
        <f t="shared" si="11"/>
        <v>Moderate</v>
      </c>
      <c r="Y14">
        <f t="shared" si="12"/>
        <v>0.29419292909325001</v>
      </c>
      <c r="Z14">
        <f t="shared" si="13"/>
        <v>0.53780416452383217</v>
      </c>
      <c r="AA14" t="str">
        <f t="shared" si="14"/>
        <v>Moderate</v>
      </c>
      <c r="AB14">
        <f t="shared" si="15"/>
        <v>0.216324178096265</v>
      </c>
      <c r="AC14">
        <f t="shared" si="16"/>
        <v>0.52676544257926006</v>
      </c>
      <c r="AD14" t="str">
        <f t="shared" si="17"/>
        <v>Moderate</v>
      </c>
      <c r="AE14">
        <f t="shared" si="18"/>
        <v>8.577650878122689E-2</v>
      </c>
      <c r="AF14">
        <f t="shared" si="19"/>
        <v>0.46931330987494357</v>
      </c>
      <c r="AG14" t="str">
        <f t="shared" si="20"/>
        <v>Moderate</v>
      </c>
      <c r="AH14" s="1" t="s">
        <v>1112</v>
      </c>
      <c r="AI14">
        <f>MAX(Y1:Y547)</f>
        <v>0.54702612679417661</v>
      </c>
      <c r="AJ14">
        <f>MIN(Y1:Y557)</f>
        <v>0</v>
      </c>
      <c r="AK14">
        <f t="shared" si="21"/>
        <v>0.54702612679417661</v>
      </c>
    </row>
    <row r="15" spans="1:37" customFormat="1" x14ac:dyDescent="0.3">
      <c r="A15">
        <v>100662</v>
      </c>
      <c r="B15" t="s">
        <v>330</v>
      </c>
      <c r="C15" t="s">
        <v>552</v>
      </c>
      <c r="D15" t="s">
        <v>558</v>
      </c>
      <c r="E15" s="18">
        <v>6.7</v>
      </c>
      <c r="F15" s="2">
        <f t="shared" si="0"/>
        <v>0.77777777777777779</v>
      </c>
      <c r="G15" s="10">
        <v>33.145200000000003</v>
      </c>
      <c r="H15">
        <f t="shared" si="1"/>
        <v>0.44409822544002242</v>
      </c>
      <c r="I15" s="22">
        <v>76.399999999999991</v>
      </c>
      <c r="J15" s="2">
        <f t="shared" si="2"/>
        <v>0.39199589533093893</v>
      </c>
      <c r="K15" s="8">
        <v>0</v>
      </c>
      <c r="L15" s="2">
        <v>0</v>
      </c>
      <c r="M15">
        <v>15037</v>
      </c>
      <c r="N15">
        <f t="shared" si="3"/>
        <v>7.0015566374737992E-2</v>
      </c>
      <c r="O15" s="8">
        <v>0.76204103400000001</v>
      </c>
      <c r="P15">
        <f t="shared" si="4"/>
        <v>0.74376145111839109</v>
      </c>
      <c r="Q15" s="20">
        <v>0.34320000000000001</v>
      </c>
      <c r="R15" s="10">
        <f t="shared" si="5"/>
        <v>0.74317886530965793</v>
      </c>
      <c r="S15">
        <f t="shared" si="6"/>
        <v>0.24173762209776758</v>
      </c>
      <c r="T15" s="11">
        <f t="shared" si="7"/>
        <v>0.44374615790872507</v>
      </c>
      <c r="U15" t="str">
        <f t="shared" si="8"/>
        <v>Moderate</v>
      </c>
      <c r="V15">
        <f t="shared" si="9"/>
        <v>0.24164290887591522</v>
      </c>
      <c r="W15">
        <f t="shared" si="10"/>
        <v>0.31828896159870146</v>
      </c>
      <c r="X15" t="str">
        <f t="shared" si="11"/>
        <v>Moderate</v>
      </c>
      <c r="Y15">
        <f t="shared" si="12"/>
        <v>0.24183233531961995</v>
      </c>
      <c r="Z15">
        <f t="shared" si="13"/>
        <v>0.44208553024124841</v>
      </c>
      <c r="AA15" t="str">
        <f t="shared" si="14"/>
        <v>Moderate</v>
      </c>
      <c r="AB15">
        <f t="shared" si="15"/>
        <v>0.165092609166373</v>
      </c>
      <c r="AC15">
        <f t="shared" si="16"/>
        <v>0.40201276666998137</v>
      </c>
      <c r="AD15" t="str">
        <f t="shared" si="17"/>
        <v>Moderate</v>
      </c>
      <c r="AE15">
        <f t="shared" si="18"/>
        <v>2.2765401325476227E-2</v>
      </c>
      <c r="AF15">
        <f t="shared" si="19"/>
        <v>0.12455748081261389</v>
      </c>
      <c r="AG15" t="s">
        <v>1175</v>
      </c>
      <c r="AH15" s="1" t="s">
        <v>1151</v>
      </c>
      <c r="AI15">
        <f>MAX(AB1:AB547)</f>
        <v>0.41066509039972887</v>
      </c>
      <c r="AJ15">
        <f>MIN(AB1:AB557)</f>
        <v>0</v>
      </c>
      <c r="AK15">
        <f t="shared" si="21"/>
        <v>0.41066509039972887</v>
      </c>
    </row>
    <row r="16" spans="1:37" customFormat="1" x14ac:dyDescent="0.3">
      <c r="A16">
        <v>100669</v>
      </c>
      <c r="B16" t="s">
        <v>351</v>
      </c>
      <c r="C16" t="s">
        <v>552</v>
      </c>
      <c r="D16" t="s">
        <v>559</v>
      </c>
      <c r="E16" s="18">
        <v>6.7</v>
      </c>
      <c r="F16" s="2">
        <f t="shared" si="0"/>
        <v>0.77777777777777779</v>
      </c>
      <c r="G16" s="10">
        <v>31.103640000000002</v>
      </c>
      <c r="H16">
        <f t="shared" si="1"/>
        <v>0.4167442443770229</v>
      </c>
      <c r="I16" s="22">
        <v>60.4</v>
      </c>
      <c r="J16" s="2">
        <f t="shared" si="2"/>
        <v>0.30990251410979991</v>
      </c>
      <c r="K16" s="8">
        <v>0</v>
      </c>
      <c r="L16" s="2">
        <v>0</v>
      </c>
      <c r="M16">
        <v>4807</v>
      </c>
      <c r="N16">
        <f t="shared" si="3"/>
        <v>2.1613130639262276E-2</v>
      </c>
      <c r="O16" s="8">
        <v>0.72722841299999996</v>
      </c>
      <c r="P16">
        <f t="shared" si="4"/>
        <v>0.70542270136038276</v>
      </c>
      <c r="Q16" s="20">
        <v>0.32900000000000001</v>
      </c>
      <c r="R16" s="10">
        <f t="shared" si="5"/>
        <v>0.71242962321351244</v>
      </c>
      <c r="S16">
        <f t="shared" si="6"/>
        <v>0.20033179360145534</v>
      </c>
      <c r="T16" s="11">
        <f t="shared" si="7"/>
        <v>0.36773946457393597</v>
      </c>
      <c r="U16" t="str">
        <f t="shared" si="8"/>
        <v>Moderate</v>
      </c>
      <c r="V16">
        <f t="shared" si="9"/>
        <v>0.20132181858370063</v>
      </c>
      <c r="W16">
        <f t="shared" si="10"/>
        <v>0.26517853506337674</v>
      </c>
      <c r="X16" t="s">
        <v>1175</v>
      </c>
      <c r="Y16">
        <f t="shared" si="12"/>
        <v>0.19934176861921005</v>
      </c>
      <c r="Z16">
        <f t="shared" si="13"/>
        <v>0.36440995933310172</v>
      </c>
      <c r="AA16" t="str">
        <f t="shared" si="14"/>
        <v>Moderate</v>
      </c>
      <c r="AB16">
        <f t="shared" si="15"/>
        <v>0.13240280724191611</v>
      </c>
      <c r="AC16">
        <f t="shared" si="16"/>
        <v>0.32241067073181034</v>
      </c>
      <c r="AD16" t="str">
        <f t="shared" si="17"/>
        <v>Moderate</v>
      </c>
      <c r="AE16">
        <f t="shared" si="18"/>
        <v>6.107543291022509E-3</v>
      </c>
      <c r="AF16">
        <f t="shared" si="19"/>
        <v>3.34165075944617E-2</v>
      </c>
      <c r="AG16" t="s">
        <v>1176</v>
      </c>
      <c r="AH16" s="1" t="s">
        <v>1152</v>
      </c>
      <c r="AI16">
        <f>MAX(AE1:AE547)</f>
        <v>0.18277024532733471</v>
      </c>
      <c r="AJ16">
        <f>MIN(AE1:AE557)</f>
        <v>0</v>
      </c>
      <c r="AK16">
        <f t="shared" si="21"/>
        <v>0.18277024532733471</v>
      </c>
    </row>
    <row r="17" spans="1:37" customFormat="1" x14ac:dyDescent="0.3">
      <c r="A17">
        <v>100694</v>
      </c>
      <c r="B17" t="s">
        <v>532</v>
      </c>
      <c r="C17" t="s">
        <v>552</v>
      </c>
      <c r="D17" t="s">
        <v>560</v>
      </c>
      <c r="E17" s="18">
        <v>6.7</v>
      </c>
      <c r="F17" s="2">
        <f t="shared" si="0"/>
        <v>0.77777777777777779</v>
      </c>
      <c r="G17" s="10">
        <v>34.305840000000003</v>
      </c>
      <c r="H17">
        <f t="shared" si="1"/>
        <v>0.45964913973152494</v>
      </c>
      <c r="I17" s="22">
        <v>53.2</v>
      </c>
      <c r="J17" s="2">
        <f t="shared" si="2"/>
        <v>0.27296049256028737</v>
      </c>
      <c r="K17" s="8">
        <v>0</v>
      </c>
      <c r="L17" s="2">
        <v>0</v>
      </c>
      <c r="M17">
        <v>26434</v>
      </c>
      <c r="N17">
        <f t="shared" si="3"/>
        <v>0.1239395702923545</v>
      </c>
      <c r="O17" s="8">
        <v>0.83544914100000001</v>
      </c>
      <c r="P17">
        <f t="shared" si="4"/>
        <v>0.82460497750734352</v>
      </c>
      <c r="Q17" s="20">
        <v>0.28420000000000001</v>
      </c>
      <c r="R17" s="10">
        <f t="shared" si="5"/>
        <v>0.61541792983975752</v>
      </c>
      <c r="S17">
        <f t="shared" si="6"/>
        <v>0.2051339602362062</v>
      </c>
      <c r="T17" s="11">
        <f t="shared" si="7"/>
        <v>0.37655457152880761</v>
      </c>
      <c r="U17" t="str">
        <f t="shared" si="8"/>
        <v>Moderate</v>
      </c>
      <c r="V17">
        <f t="shared" si="9"/>
        <v>0.17533487349999177</v>
      </c>
      <c r="W17">
        <f t="shared" si="10"/>
        <v>0.23094886201278639</v>
      </c>
      <c r="X17" t="s">
        <v>1175</v>
      </c>
      <c r="Y17">
        <f t="shared" si="12"/>
        <v>0.23493304697242068</v>
      </c>
      <c r="Z17">
        <f t="shared" si="13"/>
        <v>0.42947317406800262</v>
      </c>
      <c r="AA17" t="str">
        <f t="shared" si="14"/>
        <v>Moderate</v>
      </c>
      <c r="AB17">
        <f t="shared" si="15"/>
        <v>0.14420591656087905</v>
      </c>
      <c r="AC17">
        <f t="shared" si="16"/>
        <v>0.35115211867780971</v>
      </c>
      <c r="AD17" t="str">
        <f t="shared" si="17"/>
        <v>Moderate</v>
      </c>
      <c r="AE17">
        <f t="shared" si="18"/>
        <v>3.5310847840444963E-2</v>
      </c>
      <c r="AF17">
        <f t="shared" si="19"/>
        <v>0.19319801085348737</v>
      </c>
      <c r="AG17" t="s">
        <v>1175</v>
      </c>
      <c r="AH17" s="10"/>
      <c r="AI17" s="10"/>
      <c r="AJ17" s="10"/>
      <c r="AK17" s="10"/>
    </row>
    <row r="18" spans="1:37" customFormat="1" x14ac:dyDescent="0.3">
      <c r="A18">
        <v>100918</v>
      </c>
      <c r="B18" t="s">
        <v>71</v>
      </c>
      <c r="C18" t="s">
        <v>562</v>
      </c>
      <c r="D18" t="s">
        <v>561</v>
      </c>
      <c r="E18" s="18">
        <v>7.2</v>
      </c>
      <c r="F18" s="2">
        <f t="shared" si="0"/>
        <v>0.88888888888888884</v>
      </c>
      <c r="G18" s="10">
        <v>39.763800000000003</v>
      </c>
      <c r="H18">
        <f t="shared" si="1"/>
        <v>0.53277798947515675</v>
      </c>
      <c r="I18" s="22">
        <v>99.6</v>
      </c>
      <c r="J18" s="2">
        <f t="shared" si="2"/>
        <v>0.51103129810159054</v>
      </c>
      <c r="K18" s="8">
        <v>0</v>
      </c>
      <c r="L18" s="2">
        <v>0</v>
      </c>
      <c r="M18">
        <v>36805</v>
      </c>
      <c r="N18">
        <f t="shared" si="3"/>
        <v>0.1730091363737444</v>
      </c>
      <c r="O18" s="8">
        <v>0.90781101099999995</v>
      </c>
      <c r="P18">
        <f t="shared" si="4"/>
        <v>0.90429629480148022</v>
      </c>
      <c r="Q18" s="20">
        <v>0.38429999999999997</v>
      </c>
      <c r="R18" s="10">
        <f t="shared" si="5"/>
        <v>0.83217843222174093</v>
      </c>
      <c r="S18">
        <f t="shared" si="6"/>
        <v>0.40278854393536334</v>
      </c>
      <c r="T18" s="11">
        <f t="shared" si="7"/>
        <v>0.73937961029781218</v>
      </c>
      <c r="U18" t="str">
        <f t="shared" si="8"/>
        <v>High</v>
      </c>
      <c r="V18">
        <f t="shared" si="9"/>
        <v>0.38606025621071549</v>
      </c>
      <c r="W18">
        <f t="shared" si="10"/>
        <v>0.50851365196458576</v>
      </c>
      <c r="X18" t="str">
        <f t="shared" si="11"/>
        <v>Moderate</v>
      </c>
      <c r="Y18">
        <f t="shared" si="12"/>
        <v>0.41951683166001119</v>
      </c>
      <c r="Z18">
        <f t="shared" si="13"/>
        <v>0.7669045610647004</v>
      </c>
      <c r="AA18" t="str">
        <f t="shared" si="14"/>
        <v>High</v>
      </c>
      <c r="AB18">
        <f t="shared" si="15"/>
        <v>0.2890676903645944</v>
      </c>
      <c r="AC18">
        <f t="shared" si="16"/>
        <v>0.70390129846007787</v>
      </c>
      <c r="AD18" t="str">
        <f t="shared" si="17"/>
        <v>High</v>
      </c>
      <c r="AE18">
        <f t="shared" si="18"/>
        <v>8.0261574836687305E-2</v>
      </c>
      <c r="AF18">
        <f t="shared" si="19"/>
        <v>0.43913917548746412</v>
      </c>
      <c r="AG18" t="str">
        <f t="shared" si="20"/>
        <v>Moderate</v>
      </c>
    </row>
    <row r="19" spans="1:37" customFormat="1" x14ac:dyDescent="0.3">
      <c r="A19">
        <v>100921</v>
      </c>
      <c r="B19" t="s">
        <v>90</v>
      </c>
      <c r="C19" t="s">
        <v>562</v>
      </c>
      <c r="D19" t="s">
        <v>563</v>
      </c>
      <c r="E19" s="18">
        <v>7.2</v>
      </c>
      <c r="F19" s="2">
        <f t="shared" si="0"/>
        <v>0.88888888888888884</v>
      </c>
      <c r="G19" s="10">
        <v>39.763800000000003</v>
      </c>
      <c r="H19">
        <f t="shared" si="1"/>
        <v>0.53277798947515675</v>
      </c>
      <c r="I19" s="22">
        <v>99.999999999999986</v>
      </c>
      <c r="J19" s="2">
        <f t="shared" si="2"/>
        <v>0.51308363263211898</v>
      </c>
      <c r="K19" s="8">
        <v>0</v>
      </c>
      <c r="L19" s="2">
        <v>0</v>
      </c>
      <c r="M19">
        <v>23768</v>
      </c>
      <c r="N19">
        <f t="shared" si="3"/>
        <v>0.11132560219159415</v>
      </c>
      <c r="O19" s="8">
        <v>0.83327052400000001</v>
      </c>
      <c r="P19">
        <f t="shared" si="4"/>
        <v>0.82220569099623764</v>
      </c>
      <c r="Q19" s="20">
        <v>0.38890000000000002</v>
      </c>
      <c r="R19" s="10">
        <f t="shared" si="5"/>
        <v>0.84213945430922488</v>
      </c>
      <c r="S19">
        <f t="shared" si="6"/>
        <v>0.38681660298123122</v>
      </c>
      <c r="T19" s="11">
        <f t="shared" si="7"/>
        <v>0.71006068438451475</v>
      </c>
      <c r="U19" t="str">
        <f t="shared" si="8"/>
        <v>High</v>
      </c>
      <c r="V19">
        <f t="shared" si="9"/>
        <v>0.39144948254416978</v>
      </c>
      <c r="W19">
        <f t="shared" si="10"/>
        <v>0.51561227224471318</v>
      </c>
      <c r="X19" t="str">
        <f t="shared" si="11"/>
        <v>Moderate</v>
      </c>
      <c r="Y19">
        <f t="shared" si="12"/>
        <v>0.38218372341829276</v>
      </c>
      <c r="Z19">
        <f t="shared" si="13"/>
        <v>0.69865716589820714</v>
      </c>
      <c r="AA19" t="str">
        <f t="shared" si="14"/>
        <v>Moderate</v>
      </c>
      <c r="AB19">
        <f t="shared" si="15"/>
        <v>0.26977395200997362</v>
      </c>
      <c r="AC19">
        <f t="shared" si="16"/>
        <v>0.65691961239603758</v>
      </c>
      <c r="AD19" t="str">
        <f t="shared" si="17"/>
        <v>Moderate</v>
      </c>
      <c r="AE19">
        <f t="shared" si="18"/>
        <v>5.1747188840075536E-2</v>
      </c>
      <c r="AF19">
        <f t="shared" si="19"/>
        <v>0.28312698682106729</v>
      </c>
      <c r="AG19" t="s">
        <v>1175</v>
      </c>
    </row>
    <row r="20" spans="1:37" customFormat="1" x14ac:dyDescent="0.3">
      <c r="A20">
        <v>100925</v>
      </c>
      <c r="B20" t="s">
        <v>100</v>
      </c>
      <c r="C20" t="s">
        <v>562</v>
      </c>
      <c r="D20" t="s">
        <v>564</v>
      </c>
      <c r="E20" s="18">
        <v>7.2</v>
      </c>
      <c r="F20" s="2">
        <f t="shared" si="0"/>
        <v>0.88888888888888884</v>
      </c>
      <c r="G20" s="10">
        <v>55.616399999999999</v>
      </c>
      <c r="H20">
        <f t="shared" si="1"/>
        <v>0.74518013303170483</v>
      </c>
      <c r="I20" s="22">
        <v>123.3</v>
      </c>
      <c r="J20" s="2">
        <f t="shared" si="2"/>
        <v>0.63263211903540284</v>
      </c>
      <c r="K20" s="8">
        <v>0</v>
      </c>
      <c r="L20" s="2">
        <v>0</v>
      </c>
      <c r="M20">
        <v>19441</v>
      </c>
      <c r="N20">
        <f t="shared" si="3"/>
        <v>9.0852743987546905E-2</v>
      </c>
      <c r="O20" s="8">
        <v>0.82435042199999997</v>
      </c>
      <c r="P20">
        <f t="shared" si="4"/>
        <v>0.81238208252981647</v>
      </c>
      <c r="Q20" s="20">
        <v>0.37219999999999998</v>
      </c>
      <c r="R20" s="10">
        <f t="shared" si="5"/>
        <v>0.80597661325249026</v>
      </c>
      <c r="S20">
        <f t="shared" si="6"/>
        <v>0.49550987539737934</v>
      </c>
      <c r="T20" s="11">
        <f t="shared" si="7"/>
        <v>0.9095837110720415</v>
      </c>
      <c r="U20" t="str">
        <f t="shared" si="8"/>
        <v>High</v>
      </c>
      <c r="V20">
        <f t="shared" si="9"/>
        <v>0.49354864560837053</v>
      </c>
      <c r="W20">
        <f t="shared" si="10"/>
        <v>0.65009598932530976</v>
      </c>
      <c r="X20" t="str">
        <f t="shared" si="11"/>
        <v>Moderate</v>
      </c>
      <c r="Y20">
        <f t="shared" si="12"/>
        <v>0.49747110518638815</v>
      </c>
      <c r="Z20">
        <f t="shared" si="13"/>
        <v>0.90941013750439392</v>
      </c>
      <c r="AA20" t="str">
        <f t="shared" si="14"/>
        <v>High</v>
      </c>
      <c r="AB20">
        <f t="shared" si="15"/>
        <v>0.34145549455439517</v>
      </c>
      <c r="AC20">
        <f t="shared" si="16"/>
        <v>0.83146949311428642</v>
      </c>
      <c r="AD20" t="str">
        <f t="shared" si="17"/>
        <v>High</v>
      </c>
      <c r="AE20">
        <f t="shared" si="18"/>
        <v>5.5634677244425938E-2</v>
      </c>
      <c r="AF20">
        <f t="shared" si="19"/>
        <v>0.30439679688992211</v>
      </c>
      <c r="AG20" t="str">
        <f t="shared" si="20"/>
        <v>Moderate</v>
      </c>
    </row>
    <row r="21" spans="1:37" customFormat="1" x14ac:dyDescent="0.3">
      <c r="A21">
        <v>100929</v>
      </c>
      <c r="B21" t="s">
        <v>131</v>
      </c>
      <c r="C21" t="s">
        <v>562</v>
      </c>
      <c r="D21" t="s">
        <v>1115</v>
      </c>
      <c r="E21" s="18">
        <v>7.2</v>
      </c>
      <c r="F21" s="2">
        <f t="shared" si="0"/>
        <v>0.88888888888888884</v>
      </c>
      <c r="G21" s="10">
        <v>39.763800000000003</v>
      </c>
      <c r="H21">
        <f t="shared" si="1"/>
        <v>0.53277798947515675</v>
      </c>
      <c r="I21" s="22">
        <v>93.199999999999989</v>
      </c>
      <c r="J21" s="2">
        <f t="shared" si="2"/>
        <v>0.47819394561313494</v>
      </c>
      <c r="K21" s="8">
        <v>0</v>
      </c>
      <c r="L21" s="2">
        <v>0</v>
      </c>
      <c r="M21">
        <v>11391</v>
      </c>
      <c r="N21">
        <f t="shared" si="3"/>
        <v>5.2764805798829445E-2</v>
      </c>
      <c r="O21" s="8">
        <v>0.88380282600000004</v>
      </c>
      <c r="P21">
        <f t="shared" si="4"/>
        <v>0.87785634944778324</v>
      </c>
      <c r="Q21" s="20">
        <v>0.40139999999999998</v>
      </c>
      <c r="R21" s="10">
        <f t="shared" si="5"/>
        <v>0.86920744911216974</v>
      </c>
      <c r="S21">
        <f t="shared" si="6"/>
        <v>0.39249610425619053</v>
      </c>
      <c r="T21" s="11">
        <f t="shared" si="7"/>
        <v>0.72048627245694807</v>
      </c>
      <c r="U21" t="str">
        <f t="shared" si="8"/>
        <v>High</v>
      </c>
      <c r="V21">
        <f t="shared" si="9"/>
        <v>0.39055303858759471</v>
      </c>
      <c r="W21">
        <f t="shared" si="10"/>
        <v>0.51443148768373848</v>
      </c>
      <c r="X21" t="str">
        <f t="shared" si="11"/>
        <v>Moderate</v>
      </c>
      <c r="Y21">
        <f t="shared" si="12"/>
        <v>0.39443916992478623</v>
      </c>
      <c r="Z21">
        <f t="shared" si="13"/>
        <v>0.72106093402956861</v>
      </c>
      <c r="AA21" t="str">
        <f t="shared" si="14"/>
        <v>High</v>
      </c>
      <c r="AB21">
        <f t="shared" si="15"/>
        <v>0.26332322925556068</v>
      </c>
      <c r="AC21">
        <f t="shared" si="16"/>
        <v>0.64121162331877268</v>
      </c>
      <c r="AD21" t="str">
        <f t="shared" si="17"/>
        <v>Moderate</v>
      </c>
      <c r="AE21">
        <f t="shared" si="18"/>
        <v>2.3708327921333563E-2</v>
      </c>
      <c r="AF21">
        <f t="shared" si="19"/>
        <v>0.12971656233689915</v>
      </c>
      <c r="AG21" t="s">
        <v>1175</v>
      </c>
    </row>
    <row r="22" spans="1:37" customFormat="1" x14ac:dyDescent="0.3">
      <c r="A22">
        <v>100954</v>
      </c>
      <c r="B22" t="s">
        <v>297</v>
      </c>
      <c r="C22" t="s">
        <v>562</v>
      </c>
      <c r="D22" t="s">
        <v>565</v>
      </c>
      <c r="E22" s="18">
        <v>7.2</v>
      </c>
      <c r="F22" s="2">
        <f t="shared" si="0"/>
        <v>0.88888888888888884</v>
      </c>
      <c r="G22" s="10">
        <v>39.327840000000002</v>
      </c>
      <c r="H22">
        <f t="shared" si="1"/>
        <v>0.5269367496466798</v>
      </c>
      <c r="I22" s="22">
        <v>96.8</v>
      </c>
      <c r="J22" s="2">
        <f t="shared" si="2"/>
        <v>0.49666495638789127</v>
      </c>
      <c r="K22" s="8">
        <v>0</v>
      </c>
      <c r="L22" s="2">
        <v>0</v>
      </c>
      <c r="M22">
        <v>17773</v>
      </c>
      <c r="N22">
        <f t="shared" si="3"/>
        <v>8.2960733938008929E-2</v>
      </c>
      <c r="O22" s="8">
        <v>0.92547457700000002</v>
      </c>
      <c r="P22">
        <f t="shared" si="4"/>
        <v>0.92374898228249658</v>
      </c>
      <c r="Q22" s="20">
        <v>0.3896</v>
      </c>
      <c r="R22" s="10">
        <f t="shared" si="5"/>
        <v>0.84365526201818974</v>
      </c>
      <c r="S22">
        <f t="shared" si="6"/>
        <v>0.40202622215976092</v>
      </c>
      <c r="T22" s="11">
        <f t="shared" si="7"/>
        <v>0.73798025277920087</v>
      </c>
      <c r="U22" t="str">
        <f t="shared" si="8"/>
        <v>High</v>
      </c>
      <c r="V22">
        <f t="shared" si="9"/>
        <v>0.38380754022527197</v>
      </c>
      <c r="W22">
        <f t="shared" si="10"/>
        <v>0.50554640316295929</v>
      </c>
      <c r="X22" t="str">
        <f t="shared" si="11"/>
        <v>Moderate</v>
      </c>
      <c r="Y22">
        <f t="shared" si="12"/>
        <v>0.42024490409424986</v>
      </c>
      <c r="Z22">
        <f t="shared" si="13"/>
        <v>0.7682355257089406</v>
      </c>
      <c r="AA22" t="str">
        <f t="shared" si="14"/>
        <v>High</v>
      </c>
      <c r="AB22">
        <f t="shared" si="15"/>
        <v>0.27361569345267084</v>
      </c>
      <c r="AC22">
        <f t="shared" si="16"/>
        <v>0.66627453817986249</v>
      </c>
      <c r="AD22" t="str">
        <f t="shared" si="17"/>
        <v>Moderate</v>
      </c>
      <c r="AE22">
        <f t="shared" si="18"/>
        <v>3.7741666130144923E-2</v>
      </c>
      <c r="AF22">
        <f t="shared" si="19"/>
        <v>0.20649786874527087</v>
      </c>
      <c r="AG22" t="s">
        <v>1175</v>
      </c>
    </row>
    <row r="23" spans="1:37" customFormat="1" x14ac:dyDescent="0.3">
      <c r="A23">
        <v>100965</v>
      </c>
      <c r="B23" t="s">
        <v>322</v>
      </c>
      <c r="C23" t="s">
        <v>562</v>
      </c>
      <c r="D23" t="s">
        <v>566</v>
      </c>
      <c r="E23" s="18">
        <v>5.3</v>
      </c>
      <c r="F23" s="2">
        <f t="shared" si="0"/>
        <v>0.46666666666666656</v>
      </c>
      <c r="G23" s="10">
        <v>47.586600000000004</v>
      </c>
      <c r="H23">
        <f t="shared" si="1"/>
        <v>0.63759230943618295</v>
      </c>
      <c r="I23" s="22">
        <v>121</v>
      </c>
      <c r="J23" s="2">
        <f t="shared" si="2"/>
        <v>0.6208311954848641</v>
      </c>
      <c r="K23" s="8">
        <v>0</v>
      </c>
      <c r="L23" s="2">
        <v>0</v>
      </c>
      <c r="M23">
        <v>12816</v>
      </c>
      <c r="N23">
        <f t="shared" si="3"/>
        <v>5.9507080571366389E-2</v>
      </c>
      <c r="O23" s="8">
        <v>0.68064322799999999</v>
      </c>
      <c r="P23">
        <f t="shared" si="4"/>
        <v>0.6541189586704681</v>
      </c>
      <c r="Q23" s="20">
        <v>0.35170000000000001</v>
      </c>
      <c r="R23" s="10">
        <f t="shared" si="5"/>
        <v>0.76158510177566052</v>
      </c>
      <c r="S23">
        <f t="shared" si="6"/>
        <v>0.20784811432905034</v>
      </c>
      <c r="T23" s="11">
        <f t="shared" si="7"/>
        <v>0.38153681401229134</v>
      </c>
      <c r="U23" t="str">
        <f t="shared" si="8"/>
        <v>Moderate</v>
      </c>
      <c r="V23">
        <f t="shared" si="9"/>
        <v>0.22362587171684173</v>
      </c>
      <c r="W23">
        <f t="shared" si="10"/>
        <v>0.29455714974821812</v>
      </c>
      <c r="X23" t="s">
        <v>1175</v>
      </c>
      <c r="Y23">
        <f t="shared" si="12"/>
        <v>0.19207035694125901</v>
      </c>
      <c r="Z23">
        <f t="shared" si="13"/>
        <v>0.35111733705824838</v>
      </c>
      <c r="AA23" t="str">
        <f t="shared" si="14"/>
        <v>Moderate</v>
      </c>
      <c r="AB23">
        <f t="shared" si="15"/>
        <v>0.14200577941012504</v>
      </c>
      <c r="AC23">
        <f t="shared" si="16"/>
        <v>0.34579462128592658</v>
      </c>
      <c r="AD23" t="str">
        <f t="shared" si="17"/>
        <v>Moderate</v>
      </c>
      <c r="AE23">
        <f t="shared" si="18"/>
        <v>1.7473192076722203E-2</v>
      </c>
      <c r="AF23">
        <f t="shared" si="19"/>
        <v>9.5601951211633854E-2</v>
      </c>
      <c r="AG23" t="s">
        <v>1176</v>
      </c>
    </row>
    <row r="24" spans="1:37" customFormat="1" x14ac:dyDescent="0.3">
      <c r="A24">
        <v>100991</v>
      </c>
      <c r="B24" t="s">
        <v>514</v>
      </c>
      <c r="C24" t="s">
        <v>562</v>
      </c>
      <c r="D24" t="s">
        <v>567</v>
      </c>
      <c r="E24" s="18">
        <v>5.3</v>
      </c>
      <c r="F24" s="2">
        <f t="shared" si="0"/>
        <v>0.46666666666666656</v>
      </c>
      <c r="G24" s="10">
        <v>42.929639999999999</v>
      </c>
      <c r="H24">
        <f t="shared" si="1"/>
        <v>0.57519571288690374</v>
      </c>
      <c r="I24" s="22">
        <v>93.600000000000023</v>
      </c>
      <c r="J24" s="2">
        <f t="shared" si="2"/>
        <v>0.48024628014366361</v>
      </c>
      <c r="K24" s="8">
        <v>0</v>
      </c>
      <c r="L24" s="2">
        <v>0</v>
      </c>
      <c r="M24">
        <v>7108</v>
      </c>
      <c r="N24">
        <f t="shared" si="3"/>
        <v>3.2500130114074557E-2</v>
      </c>
      <c r="O24" s="8">
        <v>0.82798430499999998</v>
      </c>
      <c r="P24">
        <f t="shared" si="4"/>
        <v>0.81638403719409991</v>
      </c>
      <c r="Q24" s="20">
        <v>0.33700000000000002</v>
      </c>
      <c r="R24" s="10">
        <f t="shared" si="5"/>
        <v>0.72975313988739721</v>
      </c>
      <c r="S24">
        <f t="shared" si="6"/>
        <v>0.1903834454290475</v>
      </c>
      <c r="T24" s="11">
        <f t="shared" si="7"/>
        <v>0.34947775900764699</v>
      </c>
      <c r="U24" t="str">
        <f t="shared" si="8"/>
        <v>Moderate</v>
      </c>
      <c r="V24">
        <f t="shared" si="9"/>
        <v>0.17971615862271606</v>
      </c>
      <c r="W24">
        <f t="shared" si="10"/>
        <v>0.23671983496898369</v>
      </c>
      <c r="X24" t="s">
        <v>1175</v>
      </c>
      <c r="Y24">
        <f t="shared" si="12"/>
        <v>0.201050732235379</v>
      </c>
      <c r="Z24">
        <f t="shared" si="13"/>
        <v>0.36753405804148381</v>
      </c>
      <c r="AA24" t="str">
        <f t="shared" si="14"/>
        <v>Moderate</v>
      </c>
      <c r="AB24">
        <f t="shared" si="15"/>
        <v>0.12601720536017472</v>
      </c>
      <c r="AC24">
        <f t="shared" si="16"/>
        <v>0.30686125581678592</v>
      </c>
      <c r="AD24" t="str">
        <f t="shared" si="17"/>
        <v>Moderate</v>
      </c>
      <c r="AE24">
        <f t="shared" si="18"/>
        <v>8.0038004903153735E-3</v>
      </c>
      <c r="AF24">
        <f t="shared" si="19"/>
        <v>4.3791594610932787E-2</v>
      </c>
      <c r="AG24" t="s">
        <v>1176</v>
      </c>
    </row>
    <row r="25" spans="1:37" customFormat="1" x14ac:dyDescent="0.3">
      <c r="A25">
        <v>104240</v>
      </c>
      <c r="B25" t="s">
        <v>221</v>
      </c>
      <c r="C25" t="s">
        <v>569</v>
      </c>
      <c r="D25" t="s">
        <v>568</v>
      </c>
      <c r="E25" s="18">
        <v>5.9</v>
      </c>
      <c r="F25" s="2">
        <f t="shared" si="0"/>
        <v>0.60000000000000009</v>
      </c>
      <c r="G25" s="10">
        <v>36.544319999999999</v>
      </c>
      <c r="H25">
        <f t="shared" si="1"/>
        <v>0.48964156686073151</v>
      </c>
      <c r="I25" s="22">
        <v>69.400000000000006</v>
      </c>
      <c r="J25" s="2">
        <f t="shared" si="2"/>
        <v>0.35608004104669067</v>
      </c>
      <c r="K25" s="8">
        <v>0</v>
      </c>
      <c r="L25" s="2">
        <v>0</v>
      </c>
      <c r="M25">
        <v>18852</v>
      </c>
      <c r="N25">
        <f t="shared" si="3"/>
        <v>8.806593708156496E-2</v>
      </c>
      <c r="O25" s="8">
        <v>0.79860103800000004</v>
      </c>
      <c r="P25">
        <f t="shared" si="4"/>
        <v>0.78402457421124261</v>
      </c>
      <c r="Q25" s="20">
        <v>0.37219999999999998</v>
      </c>
      <c r="R25" s="10">
        <f t="shared" si="5"/>
        <v>0.80597661325249026</v>
      </c>
      <c r="S25">
        <f t="shared" si="6"/>
        <v>0.20170475412548083</v>
      </c>
      <c r="T25" s="11">
        <f t="shared" si="7"/>
        <v>0.37025974235366138</v>
      </c>
      <c r="U25" t="str">
        <f t="shared" si="8"/>
        <v>Moderate</v>
      </c>
      <c r="V25">
        <f t="shared" si="9"/>
        <v>0.20448955118870241</v>
      </c>
      <c r="W25">
        <f t="shared" si="10"/>
        <v>0.26935103210108668</v>
      </c>
      <c r="X25" t="s">
        <v>1175</v>
      </c>
      <c r="Y25">
        <f t="shared" si="12"/>
        <v>0.19891995706225926</v>
      </c>
      <c r="Z25">
        <f t="shared" si="13"/>
        <v>0.36363885986218103</v>
      </c>
      <c r="AA25" t="str">
        <f t="shared" si="14"/>
        <v>Moderate</v>
      </c>
      <c r="AB25">
        <f t="shared" si="15"/>
        <v>0.13906765295532558</v>
      </c>
      <c r="AC25">
        <f t="shared" si="16"/>
        <v>0.33864006511963646</v>
      </c>
      <c r="AD25" t="str">
        <f t="shared" si="17"/>
        <v>Moderate</v>
      </c>
      <c r="AE25">
        <f t="shared" si="18"/>
        <v>2.2343779773148501E-2</v>
      </c>
      <c r="AF25">
        <f t="shared" si="19"/>
        <v>0.12225064169023586</v>
      </c>
      <c r="AG25" t="s">
        <v>1176</v>
      </c>
    </row>
    <row r="26" spans="1:37" customFormat="1" x14ac:dyDescent="0.3">
      <c r="A26">
        <v>104243</v>
      </c>
      <c r="B26" t="s">
        <v>255</v>
      </c>
      <c r="C26" t="s">
        <v>569</v>
      </c>
      <c r="D26" t="s">
        <v>570</v>
      </c>
      <c r="E26" s="18">
        <v>5.8</v>
      </c>
      <c r="F26" s="2">
        <f t="shared" si="0"/>
        <v>0.57777777777777772</v>
      </c>
      <c r="G26" s="10">
        <v>40.521599999999999</v>
      </c>
      <c r="H26">
        <f t="shared" si="1"/>
        <v>0.54293142451970156</v>
      </c>
      <c r="I26" s="22">
        <v>73.5</v>
      </c>
      <c r="J26" s="2">
        <f t="shared" si="2"/>
        <v>0.37711646998460752</v>
      </c>
      <c r="K26" s="8">
        <v>0</v>
      </c>
      <c r="L26" s="2">
        <v>0</v>
      </c>
      <c r="M26">
        <v>10294</v>
      </c>
      <c r="N26">
        <f t="shared" si="3"/>
        <v>4.7574437079199255E-2</v>
      </c>
      <c r="O26" s="8">
        <v>0.80922643100000002</v>
      </c>
      <c r="P26">
        <f t="shared" si="4"/>
        <v>0.79572620056415322</v>
      </c>
      <c r="Q26" s="20">
        <v>0.39860000000000001</v>
      </c>
      <c r="R26" s="10">
        <f t="shared" si="5"/>
        <v>0.86314421827631016</v>
      </c>
      <c r="S26">
        <f t="shared" si="6"/>
        <v>0.22045692299361605</v>
      </c>
      <c r="T26" s="11">
        <f t="shared" si="7"/>
        <v>0.40468219929470467</v>
      </c>
      <c r="U26" t="str">
        <f t="shared" si="8"/>
        <v>Moderate</v>
      </c>
      <c r="V26">
        <f t="shared" si="9"/>
        <v>0.22941649486273177</v>
      </c>
      <c r="W26">
        <f t="shared" si="10"/>
        <v>0.30218448479681737</v>
      </c>
      <c r="X26" t="str">
        <f t="shared" si="11"/>
        <v>Moderate</v>
      </c>
      <c r="Y26">
        <f t="shared" si="12"/>
        <v>0.21149735112450033</v>
      </c>
      <c r="Z26">
        <f t="shared" si="13"/>
        <v>0.38663116945432124</v>
      </c>
      <c r="AA26" t="str">
        <f t="shared" si="14"/>
        <v>Moderate</v>
      </c>
      <c r="AB26">
        <f t="shared" si="15"/>
        <v>0.14817068878451956</v>
      </c>
      <c r="AC26">
        <f t="shared" si="16"/>
        <v>0.36080663355215981</v>
      </c>
      <c r="AD26" t="str">
        <f t="shared" si="17"/>
        <v>Moderate</v>
      </c>
      <c r="AE26">
        <f t="shared" si="18"/>
        <v>1.2644886414895223E-2</v>
      </c>
      <c r="AF26">
        <f t="shared" si="19"/>
        <v>6.9184600547253755E-2</v>
      </c>
      <c r="AG26" t="s">
        <v>1176</v>
      </c>
    </row>
    <row r="27" spans="1:37" customFormat="1" x14ac:dyDescent="0.3">
      <c r="A27">
        <v>104273</v>
      </c>
      <c r="B27" t="s">
        <v>363</v>
      </c>
      <c r="C27" t="s">
        <v>569</v>
      </c>
      <c r="D27" t="s">
        <v>571</v>
      </c>
      <c r="E27" s="18">
        <v>5.9</v>
      </c>
      <c r="F27" s="2">
        <f t="shared" si="0"/>
        <v>0.60000000000000009</v>
      </c>
      <c r="G27" s="10">
        <v>40.521599999999999</v>
      </c>
      <c r="H27">
        <f t="shared" si="1"/>
        <v>0.54293142451970156</v>
      </c>
      <c r="I27" s="22">
        <v>81.3</v>
      </c>
      <c r="J27" s="2">
        <f t="shared" si="2"/>
        <v>0.41713699332991283</v>
      </c>
      <c r="K27" s="8">
        <v>0</v>
      </c>
      <c r="L27" s="2">
        <v>0</v>
      </c>
      <c r="M27">
        <v>19028</v>
      </c>
      <c r="N27">
        <f t="shared" si="3"/>
        <v>8.8898667158734443E-2</v>
      </c>
      <c r="O27" s="8">
        <v>0.90292693000000002</v>
      </c>
      <c r="P27">
        <f t="shared" si="4"/>
        <v>0.8989175110765536</v>
      </c>
      <c r="Q27" s="20">
        <v>0.36380000000000001</v>
      </c>
      <c r="R27" s="10">
        <f t="shared" si="5"/>
        <v>0.7877869207449113</v>
      </c>
      <c r="S27">
        <f t="shared" si="6"/>
        <v>0.24290274828581504</v>
      </c>
      <c r="T27" s="11">
        <f t="shared" si="7"/>
        <v>0.44588492416669628</v>
      </c>
      <c r="U27" t="str">
        <f t="shared" si="8"/>
        <v>Moderate</v>
      </c>
      <c r="V27">
        <f t="shared" si="9"/>
        <v>0.22689880278065599</v>
      </c>
      <c r="W27">
        <f t="shared" si="10"/>
        <v>0.29886821285589038</v>
      </c>
      <c r="X27" t="s">
        <v>1175</v>
      </c>
      <c r="Y27">
        <f t="shared" si="12"/>
        <v>0.25890669379097403</v>
      </c>
      <c r="Z27">
        <f t="shared" si="13"/>
        <v>0.47329858869499652</v>
      </c>
      <c r="AA27" t="str">
        <f t="shared" si="14"/>
        <v>Moderate</v>
      </c>
      <c r="AB27">
        <f t="shared" si="15"/>
        <v>0.16604821339696452</v>
      </c>
      <c r="AC27">
        <f t="shared" si="16"/>
        <v>0.40433973395532175</v>
      </c>
      <c r="AD27" t="str">
        <f t="shared" si="17"/>
        <v>Moderate</v>
      </c>
      <c r="AE27">
        <f t="shared" si="18"/>
        <v>2.5604640818407701E-2</v>
      </c>
      <c r="AF27">
        <f t="shared" si="19"/>
        <v>0.14009195409543135</v>
      </c>
      <c r="AG27" t="s">
        <v>1175</v>
      </c>
    </row>
    <row r="28" spans="1:37" customFormat="1" x14ac:dyDescent="0.3">
      <c r="A28">
        <v>104284</v>
      </c>
      <c r="B28" t="s">
        <v>420</v>
      </c>
      <c r="C28" t="s">
        <v>569</v>
      </c>
      <c r="D28" t="s">
        <v>572</v>
      </c>
      <c r="E28" s="18">
        <v>5.8</v>
      </c>
      <c r="F28" s="2">
        <f t="shared" si="0"/>
        <v>0.57777777777777772</v>
      </c>
      <c r="G28" s="10">
        <v>40.521599999999999</v>
      </c>
      <c r="H28">
        <f t="shared" si="1"/>
        <v>0.54293142451970156</v>
      </c>
      <c r="I28" s="22">
        <v>82.1</v>
      </c>
      <c r="J28" s="2">
        <f t="shared" si="2"/>
        <v>0.42124166239096977</v>
      </c>
      <c r="K28" s="8">
        <v>0</v>
      </c>
      <c r="L28" s="2">
        <v>0</v>
      </c>
      <c r="M28">
        <v>10861</v>
      </c>
      <c r="N28">
        <f t="shared" si="3"/>
        <v>5.0257152725535006E-2</v>
      </c>
      <c r="O28" s="8">
        <v>0.90539121899999997</v>
      </c>
      <c r="P28">
        <f t="shared" si="4"/>
        <v>0.90163140496298089</v>
      </c>
      <c r="Q28" s="20">
        <v>0.39779999999999999</v>
      </c>
      <c r="R28" s="10">
        <f t="shared" si="5"/>
        <v>0.86141186660892155</v>
      </c>
      <c r="S28">
        <f t="shared" si="6"/>
        <v>0.24553805950679344</v>
      </c>
      <c r="T28" s="11">
        <f t="shared" si="7"/>
        <v>0.45072243857200456</v>
      </c>
      <c r="U28" t="str">
        <f t="shared" si="8"/>
        <v>Moderate</v>
      </c>
      <c r="V28">
        <f t="shared" si="9"/>
        <v>0.23993670668638875</v>
      </c>
      <c r="W28">
        <f t="shared" si="10"/>
        <v>0.31604157380773312</v>
      </c>
      <c r="X28" t="str">
        <f t="shared" si="11"/>
        <v>Moderate</v>
      </c>
      <c r="Y28">
        <f t="shared" si="12"/>
        <v>0.25113941232719816</v>
      </c>
      <c r="Z28">
        <f t="shared" si="13"/>
        <v>0.45909948360051839</v>
      </c>
      <c r="AA28" t="str">
        <f t="shared" si="14"/>
        <v>Moderate</v>
      </c>
      <c r="AB28">
        <f t="shared" si="15"/>
        <v>0.16421917110675943</v>
      </c>
      <c r="AC28">
        <f t="shared" si="16"/>
        <v>0.39988588011441029</v>
      </c>
      <c r="AD28" t="str">
        <f t="shared" si="17"/>
        <v>Moderate</v>
      </c>
      <c r="AE28">
        <f t="shared" si="18"/>
        <v>1.399857162389693E-2</v>
      </c>
      <c r="AF28">
        <f t="shared" si="19"/>
        <v>7.6591086250532792E-2</v>
      </c>
      <c r="AG28" t="s">
        <v>1176</v>
      </c>
    </row>
    <row r="29" spans="1:37" customFormat="1" x14ac:dyDescent="0.3">
      <c r="A29">
        <v>107838</v>
      </c>
      <c r="B29" t="s">
        <v>55</v>
      </c>
      <c r="C29" t="s">
        <v>574</v>
      </c>
      <c r="D29" t="s">
        <v>573</v>
      </c>
      <c r="E29" s="18">
        <v>7.4</v>
      </c>
      <c r="F29" s="2">
        <f t="shared" si="0"/>
        <v>0.93333333333333335</v>
      </c>
      <c r="G29" s="10">
        <v>39.624839999999999</v>
      </c>
      <c r="H29">
        <f t="shared" si="1"/>
        <v>0.53091612442660829</v>
      </c>
      <c r="I29" s="22">
        <v>108.60000000000001</v>
      </c>
      <c r="J29" s="2">
        <f t="shared" si="2"/>
        <v>0.55720882503848135</v>
      </c>
      <c r="K29" s="8">
        <v>0</v>
      </c>
      <c r="L29" s="2">
        <v>0</v>
      </c>
      <c r="M29">
        <v>30925</v>
      </c>
      <c r="N29">
        <f t="shared" si="3"/>
        <v>0.14518838152285513</v>
      </c>
      <c r="O29" s="8">
        <v>0.87585950400000001</v>
      </c>
      <c r="P29">
        <f t="shared" si="4"/>
        <v>0.86910845785969271</v>
      </c>
      <c r="Q29" s="20">
        <v>0.37719999999999998</v>
      </c>
      <c r="R29" s="10">
        <f t="shared" si="5"/>
        <v>0.81680381117366818</v>
      </c>
      <c r="S29">
        <f t="shared" si="6"/>
        <v>0.42804608059371685</v>
      </c>
      <c r="T29" s="11">
        <f t="shared" si="7"/>
        <v>0.78574365886055619</v>
      </c>
      <c r="U29" t="str">
        <f t="shared" si="8"/>
        <v>High</v>
      </c>
      <c r="V29">
        <f t="shared" si="9"/>
        <v>0.41476614935291217</v>
      </c>
      <c r="W29">
        <f t="shared" si="10"/>
        <v>0.54632468876469664</v>
      </c>
      <c r="X29" t="str">
        <f t="shared" si="11"/>
        <v>Moderate</v>
      </c>
      <c r="Y29">
        <f t="shared" si="12"/>
        <v>0.44132601183452141</v>
      </c>
      <c r="Z29">
        <f t="shared" si="13"/>
        <v>0.80677318727149971</v>
      </c>
      <c r="AA29" t="str">
        <f t="shared" si="14"/>
        <v>High</v>
      </c>
      <c r="AB29">
        <f t="shared" si="15"/>
        <v>0.30336986220742995</v>
      </c>
      <c r="AC29">
        <f t="shared" si="16"/>
        <v>0.73872814928617136</v>
      </c>
      <c r="AD29" t="str">
        <f t="shared" si="17"/>
        <v>High</v>
      </c>
      <c r="AE29">
        <f t="shared" si="18"/>
        <v>7.3725446810154957E-2</v>
      </c>
      <c r="AF29">
        <f t="shared" si="19"/>
        <v>0.40337773075762645</v>
      </c>
      <c r="AG29" t="str">
        <f t="shared" si="20"/>
        <v>Moderate</v>
      </c>
    </row>
    <row r="30" spans="1:37" customFormat="1" x14ac:dyDescent="0.3">
      <c r="A30">
        <v>107852</v>
      </c>
      <c r="B30" t="s">
        <v>129</v>
      </c>
      <c r="C30" t="s">
        <v>574</v>
      </c>
      <c r="D30" t="s">
        <v>575</v>
      </c>
      <c r="E30" s="18">
        <v>6.4</v>
      </c>
      <c r="F30" s="2">
        <f t="shared" si="0"/>
        <v>0.71111111111111114</v>
      </c>
      <c r="G30" s="10">
        <v>41.553360000000005</v>
      </c>
      <c r="H30">
        <f t="shared" si="1"/>
        <v>0.55675553133094424</v>
      </c>
      <c r="I30" s="22">
        <v>123.1</v>
      </c>
      <c r="J30" s="2">
        <f t="shared" si="2"/>
        <v>0.63160595177013856</v>
      </c>
      <c r="K30" s="8">
        <v>0</v>
      </c>
      <c r="L30" s="2">
        <v>0</v>
      </c>
      <c r="M30">
        <v>16302</v>
      </c>
      <c r="N30">
        <f t="shared" si="3"/>
        <v>7.6000813804393594E-2</v>
      </c>
      <c r="O30" s="8">
        <v>0.84050282600000004</v>
      </c>
      <c r="P30">
        <f t="shared" si="4"/>
        <v>0.83017054421864633</v>
      </c>
      <c r="Q30" s="20">
        <v>0.37109999999999999</v>
      </c>
      <c r="R30" s="10">
        <f t="shared" si="5"/>
        <v>0.80359462970983109</v>
      </c>
      <c r="S30">
        <f t="shared" si="6"/>
        <v>0.34515619646729667</v>
      </c>
      <c r="T30" s="11">
        <f t="shared" si="7"/>
        <v>0.63358667439364369</v>
      </c>
      <c r="U30" t="str">
        <f t="shared" si="8"/>
        <v>Moderate</v>
      </c>
      <c r="V30">
        <f t="shared" si="9"/>
        <v>0.33954165545743653</v>
      </c>
      <c r="W30">
        <f t="shared" si="10"/>
        <v>0.44723994359191899</v>
      </c>
      <c r="X30" t="str">
        <f t="shared" si="11"/>
        <v>Moderate</v>
      </c>
      <c r="Y30">
        <f t="shared" si="12"/>
        <v>0.35077073747715681</v>
      </c>
      <c r="Z30">
        <f t="shared" si="13"/>
        <v>0.64123214650246019</v>
      </c>
      <c r="AA30" t="str">
        <f t="shared" si="14"/>
        <v>Moderate</v>
      </c>
      <c r="AB30">
        <f t="shared" si="15"/>
        <v>0.23531017982954047</v>
      </c>
      <c r="AC30">
        <f t="shared" si="16"/>
        <v>0.57299776711114336</v>
      </c>
      <c r="AD30" t="str">
        <f t="shared" si="17"/>
        <v>Moderate</v>
      </c>
      <c r="AE30">
        <f t="shared" si="18"/>
        <v>3.2112511932258996E-2</v>
      </c>
      <c r="AF30">
        <f t="shared" si="19"/>
        <v>0.17569879536325336</v>
      </c>
      <c r="AG30" t="s">
        <v>1175</v>
      </c>
    </row>
    <row r="31" spans="1:37" customFormat="1" x14ac:dyDescent="0.3">
      <c r="A31">
        <v>107855</v>
      </c>
      <c r="B31" t="s">
        <v>156</v>
      </c>
      <c r="C31" t="s">
        <v>574</v>
      </c>
      <c r="D31" t="s">
        <v>576</v>
      </c>
      <c r="E31" s="18">
        <v>7.4</v>
      </c>
      <c r="F31" s="2">
        <f t="shared" si="0"/>
        <v>0.93333333333333335</v>
      </c>
      <c r="G31" s="10">
        <v>37.935359999999996</v>
      </c>
      <c r="H31">
        <f t="shared" si="1"/>
        <v>0.50827951128454218</v>
      </c>
      <c r="I31" s="22">
        <v>98.399999999999991</v>
      </c>
      <c r="J31" s="2">
        <f t="shared" si="2"/>
        <v>0.50487429451000509</v>
      </c>
      <c r="K31" s="8">
        <v>0</v>
      </c>
      <c r="L31" s="2">
        <v>0</v>
      </c>
      <c r="M31">
        <v>9856</v>
      </c>
      <c r="N31">
        <f t="shared" si="3"/>
        <v>4.5502074728061587E-2</v>
      </c>
      <c r="O31" s="8">
        <v>0.87768363699999996</v>
      </c>
      <c r="P31">
        <f t="shared" si="4"/>
        <v>0.871117355110271</v>
      </c>
      <c r="Q31" s="20">
        <v>0.37409999999999999</v>
      </c>
      <c r="R31" s="10">
        <f t="shared" si="5"/>
        <v>0.81009094846253793</v>
      </c>
      <c r="S31">
        <f t="shared" si="6"/>
        <v>0.39744193792291005</v>
      </c>
      <c r="T31" s="11">
        <f t="shared" si="7"/>
        <v>0.72956510209139702</v>
      </c>
      <c r="U31" t="str">
        <f t="shared" si="8"/>
        <v>High</v>
      </c>
      <c r="V31">
        <f t="shared" si="9"/>
        <v>0.38301513948811622</v>
      </c>
      <c r="W31">
        <f t="shared" si="10"/>
        <v>0.50450266300533331</v>
      </c>
      <c r="X31" t="str">
        <f t="shared" si="11"/>
        <v>Moderate</v>
      </c>
      <c r="Y31">
        <f t="shared" si="12"/>
        <v>0.41186873635770394</v>
      </c>
      <c r="Z31">
        <f t="shared" si="13"/>
        <v>0.75292333616941332</v>
      </c>
      <c r="AA31" t="str">
        <f t="shared" si="14"/>
        <v>High</v>
      </c>
      <c r="AB31">
        <f t="shared" si="15"/>
        <v>0.26514568442459147</v>
      </c>
      <c r="AC31">
        <f t="shared" si="16"/>
        <v>0.64564943703032251</v>
      </c>
      <c r="AD31" t="str">
        <f t="shared" si="17"/>
        <v>Moderate</v>
      </c>
      <c r="AE31">
        <f t="shared" si="18"/>
        <v>2.1513613418398959E-2</v>
      </c>
      <c r="AF31">
        <f t="shared" si="19"/>
        <v>0.11770851092238169</v>
      </c>
      <c r="AG31" t="s">
        <v>1176</v>
      </c>
    </row>
    <row r="32" spans="1:37" customFormat="1" x14ac:dyDescent="0.3">
      <c r="A32">
        <v>107857</v>
      </c>
      <c r="B32" t="s">
        <v>538</v>
      </c>
      <c r="C32" t="s">
        <v>574</v>
      </c>
      <c r="D32" t="s">
        <v>577</v>
      </c>
      <c r="E32" s="18">
        <v>7.4</v>
      </c>
      <c r="F32" s="2">
        <f t="shared" si="0"/>
        <v>0.93333333333333335</v>
      </c>
      <c r="G32" s="10">
        <v>46.107360000000007</v>
      </c>
      <c r="H32">
        <f t="shared" si="1"/>
        <v>0.61777261128984817</v>
      </c>
      <c r="I32" s="22">
        <v>137.30000000000001</v>
      </c>
      <c r="J32" s="2">
        <f t="shared" si="2"/>
        <v>0.70446382760389958</v>
      </c>
      <c r="K32" s="8">
        <v>0</v>
      </c>
      <c r="L32" s="2">
        <v>0</v>
      </c>
      <c r="M32">
        <v>35512</v>
      </c>
      <c r="N32">
        <f t="shared" si="3"/>
        <v>0.16689140915908457</v>
      </c>
      <c r="O32" s="8">
        <v>0.80030565200000003</v>
      </c>
      <c r="P32">
        <f t="shared" si="4"/>
        <v>0.78590184652521156</v>
      </c>
      <c r="Q32" s="20">
        <v>0.3518</v>
      </c>
      <c r="R32" s="10">
        <f t="shared" si="5"/>
        <v>0.76180164573408404</v>
      </c>
      <c r="S32">
        <f t="shared" si="6"/>
        <v>0.47750032261594788</v>
      </c>
      <c r="T32" s="11">
        <f t="shared" si="7"/>
        <v>0.87652443886168407</v>
      </c>
      <c r="U32" t="str">
        <f t="shared" si="8"/>
        <v>High</v>
      </c>
      <c r="V32">
        <f t="shared" si="9"/>
        <v>0.47006488442612149</v>
      </c>
      <c r="W32">
        <f t="shared" si="10"/>
        <v>0.61916347822493978</v>
      </c>
      <c r="X32" t="str">
        <f t="shared" si="11"/>
        <v>Moderate</v>
      </c>
      <c r="Y32">
        <f t="shared" si="12"/>
        <v>0.48493576080577433</v>
      </c>
      <c r="Z32">
        <f t="shared" si="13"/>
        <v>0.8864946975160396</v>
      </c>
      <c r="AA32" t="str">
        <f t="shared" si="14"/>
        <v>High</v>
      </c>
      <c r="AB32">
        <f t="shared" si="15"/>
        <v>0.3460461885371911</v>
      </c>
      <c r="AC32">
        <f t="shared" si="16"/>
        <v>0.84264817396667513</v>
      </c>
      <c r="AD32" t="str">
        <f t="shared" si="17"/>
        <v>High</v>
      </c>
      <c r="AE32">
        <f t="shared" si="18"/>
        <v>0.10297928784661813</v>
      </c>
      <c r="AF32">
        <f t="shared" si="19"/>
        <v>0.56343573683006254</v>
      </c>
      <c r="AG32" t="str">
        <f t="shared" si="20"/>
        <v>Moderate</v>
      </c>
    </row>
    <row r="33" spans="1:33" customFormat="1" x14ac:dyDescent="0.3">
      <c r="A33">
        <v>107866</v>
      </c>
      <c r="B33" t="s">
        <v>236</v>
      </c>
      <c r="C33" t="s">
        <v>574</v>
      </c>
      <c r="D33" t="s">
        <v>578</v>
      </c>
      <c r="E33" s="18">
        <v>7.4</v>
      </c>
      <c r="F33" s="2">
        <f t="shared" si="0"/>
        <v>0.93333333333333335</v>
      </c>
      <c r="G33" s="10">
        <v>54.185040000000001</v>
      </c>
      <c r="H33">
        <f t="shared" si="1"/>
        <v>0.72600195833474024</v>
      </c>
      <c r="I33" s="22">
        <v>165.70000000000002</v>
      </c>
      <c r="J33" s="2">
        <f t="shared" si="2"/>
        <v>0.8501795792714214</v>
      </c>
      <c r="K33" s="8">
        <v>0</v>
      </c>
      <c r="L33" s="2">
        <v>0</v>
      </c>
      <c r="M33">
        <v>36052</v>
      </c>
      <c r="N33">
        <f t="shared" si="3"/>
        <v>0.16944637644130908</v>
      </c>
      <c r="O33" s="8">
        <v>0.76198099100000005</v>
      </c>
      <c r="P33">
        <f t="shared" si="4"/>
        <v>0.74369532643471048</v>
      </c>
      <c r="Q33" s="20">
        <v>0.34060000000000001</v>
      </c>
      <c r="R33" s="10">
        <f t="shared" si="5"/>
        <v>0.73754872239064539</v>
      </c>
      <c r="S33">
        <f t="shared" si="6"/>
        <v>0.54476555523775605</v>
      </c>
      <c r="T33" s="11">
        <f t="shared" si="7"/>
        <v>1</v>
      </c>
      <c r="U33" t="str">
        <f t="shared" si="8"/>
        <v>High</v>
      </c>
      <c r="V33">
        <f t="shared" si="9"/>
        <v>0.54250498368133548</v>
      </c>
      <c r="W33">
        <f t="shared" si="10"/>
        <v>0.71458065424432271</v>
      </c>
      <c r="X33" t="str">
        <f t="shared" si="11"/>
        <v>High</v>
      </c>
      <c r="Y33">
        <f t="shared" si="12"/>
        <v>0.54702612679417661</v>
      </c>
      <c r="Z33">
        <f t="shared" si="13"/>
        <v>1</v>
      </c>
      <c r="AA33" t="str">
        <f t="shared" si="14"/>
        <v>High</v>
      </c>
      <c r="AB33">
        <f t="shared" si="15"/>
        <v>0.39760736318635936</v>
      </c>
      <c r="AC33">
        <f t="shared" si="16"/>
        <v>0.96820346428604509</v>
      </c>
      <c r="AD33" t="str">
        <f t="shared" si="17"/>
        <v>High</v>
      </c>
      <c r="AE33">
        <f t="shared" si="18"/>
        <v>0.12463651674182567</v>
      </c>
      <c r="AF33">
        <f t="shared" si="19"/>
        <v>0.68193001830580413</v>
      </c>
      <c r="AG33" t="str">
        <f t="shared" si="20"/>
        <v>Moderate</v>
      </c>
    </row>
    <row r="34" spans="1:33" customFormat="1" x14ac:dyDescent="0.3">
      <c r="A34">
        <v>107876</v>
      </c>
      <c r="B34" t="s">
        <v>336</v>
      </c>
      <c r="C34" t="s">
        <v>574</v>
      </c>
      <c r="D34" t="s">
        <v>579</v>
      </c>
      <c r="E34" s="18">
        <v>7.4</v>
      </c>
      <c r="F34" s="2">
        <f t="shared" si="0"/>
        <v>0.93333333333333335</v>
      </c>
      <c r="G34" s="10">
        <v>42.722639999999998</v>
      </c>
      <c r="H34">
        <f t="shared" si="1"/>
        <v>0.57242220925240817</v>
      </c>
      <c r="I34" s="22">
        <v>127.7</v>
      </c>
      <c r="J34" s="2">
        <f t="shared" si="2"/>
        <v>0.65520779887121605</v>
      </c>
      <c r="K34" s="8">
        <v>0</v>
      </c>
      <c r="L34" s="2">
        <v>0</v>
      </c>
      <c r="M34">
        <v>16333</v>
      </c>
      <c r="N34">
        <f t="shared" si="3"/>
        <v>7.6147487852076853E-2</v>
      </c>
      <c r="O34" s="8">
        <v>0.68257780599999995</v>
      </c>
      <c r="P34">
        <f t="shared" si="4"/>
        <v>0.65624948776304481</v>
      </c>
      <c r="Q34" s="20">
        <v>0.3846</v>
      </c>
      <c r="R34" s="10">
        <f t="shared" si="5"/>
        <v>0.83282806409701171</v>
      </c>
      <c r="S34">
        <f t="shared" si="6"/>
        <v>0.42654180032022243</v>
      </c>
      <c r="T34" s="11">
        <f t="shared" si="7"/>
        <v>0.78298232371549936</v>
      </c>
      <c r="U34" t="str">
        <f t="shared" si="8"/>
        <v>High</v>
      </c>
      <c r="V34">
        <f t="shared" si="9"/>
        <v>0.47712220411006512</v>
      </c>
      <c r="W34">
        <f t="shared" si="10"/>
        <v>0.62845928981867438</v>
      </c>
      <c r="X34" t="str">
        <f t="shared" si="11"/>
        <v>Moderate</v>
      </c>
      <c r="Y34">
        <f t="shared" si="12"/>
        <v>0.37596139653037974</v>
      </c>
      <c r="Z34">
        <f t="shared" si="13"/>
        <v>0.68728234012091072</v>
      </c>
      <c r="AA34" t="str">
        <f t="shared" si="14"/>
        <v>Moderate</v>
      </c>
      <c r="AB34">
        <f t="shared" si="15"/>
        <v>0.29504974411560841</v>
      </c>
      <c r="AC34">
        <f t="shared" si="16"/>
        <v>0.71846804370056383</v>
      </c>
      <c r="AD34" t="str">
        <f t="shared" si="17"/>
        <v>High</v>
      </c>
      <c r="AE34">
        <f t="shared" si="18"/>
        <v>4.3624439194204716E-2</v>
      </c>
      <c r="AF34">
        <f t="shared" si="19"/>
        <v>0.23868457973602306</v>
      </c>
      <c r="AG34" t="s">
        <v>1175</v>
      </c>
    </row>
    <row r="35" spans="1:33" customFormat="1" x14ac:dyDescent="0.3">
      <c r="A35">
        <v>107895</v>
      </c>
      <c r="B35" t="s">
        <v>408</v>
      </c>
      <c r="C35" t="s">
        <v>574</v>
      </c>
      <c r="D35" t="s">
        <v>580</v>
      </c>
      <c r="E35" s="18">
        <v>7.4</v>
      </c>
      <c r="F35" s="2">
        <f t="shared" si="0"/>
        <v>0.93333333333333335</v>
      </c>
      <c r="G35" s="10">
        <v>42.722639999999998</v>
      </c>
      <c r="H35">
        <f t="shared" si="1"/>
        <v>0.57242220925240817</v>
      </c>
      <c r="I35" s="22">
        <v>125.4</v>
      </c>
      <c r="J35" s="2">
        <f t="shared" si="2"/>
        <v>0.64340687532067742</v>
      </c>
      <c r="K35" s="8">
        <v>0</v>
      </c>
      <c r="L35" s="2">
        <v>0</v>
      </c>
      <c r="M35">
        <v>53541</v>
      </c>
      <c r="N35">
        <f t="shared" si="3"/>
        <v>0.25219419643913266</v>
      </c>
      <c r="O35" s="8">
        <v>0.81383022800000004</v>
      </c>
      <c r="P35">
        <f t="shared" si="4"/>
        <v>0.80079631065783652</v>
      </c>
      <c r="Q35" s="20">
        <v>0.38329999999999997</v>
      </c>
      <c r="R35" s="10">
        <f t="shared" si="5"/>
        <v>0.83001299263750539</v>
      </c>
      <c r="S35">
        <f t="shared" si="6"/>
        <v>0.46264992254573101</v>
      </c>
      <c r="T35" s="11">
        <f t="shared" si="7"/>
        <v>0.84926427175413699</v>
      </c>
      <c r="U35" t="str">
        <f t="shared" si="8"/>
        <v>High</v>
      </c>
      <c r="V35">
        <f t="shared" si="9"/>
        <v>0.47093850394370529</v>
      </c>
      <c r="W35">
        <f t="shared" si="10"/>
        <v>0.62031419872560578</v>
      </c>
      <c r="X35" t="str">
        <f t="shared" si="11"/>
        <v>Moderate</v>
      </c>
      <c r="Y35">
        <f t="shared" si="12"/>
        <v>0.45436134114775678</v>
      </c>
      <c r="Z35">
        <f t="shared" si="13"/>
        <v>0.83060263284044977</v>
      </c>
      <c r="AA35" t="str">
        <f t="shared" si="14"/>
        <v>High</v>
      </c>
      <c r="AB35">
        <f t="shared" si="15"/>
        <v>0.35121896842652572</v>
      </c>
      <c r="AC35">
        <f t="shared" si="16"/>
        <v>0.85524427723978169</v>
      </c>
      <c r="AD35" t="str">
        <f t="shared" si="17"/>
        <v>High</v>
      </c>
      <c r="AE35">
        <f t="shared" si="18"/>
        <v>0.14309168486257662</v>
      </c>
      <c r="AF35">
        <f t="shared" si="19"/>
        <v>0.78290470424387038</v>
      </c>
      <c r="AG35" t="str">
        <f t="shared" si="20"/>
        <v>High</v>
      </c>
    </row>
    <row r="36" spans="1:33" customFormat="1" x14ac:dyDescent="0.3">
      <c r="A36" s="8">
        <v>107897</v>
      </c>
      <c r="B36" s="8" t="s">
        <v>1162</v>
      </c>
      <c r="C36" s="8" t="s">
        <v>574</v>
      </c>
      <c r="D36" s="8" t="s">
        <v>1163</v>
      </c>
      <c r="E36" s="3">
        <v>7.4</v>
      </c>
      <c r="F36" s="2">
        <f t="shared" si="0"/>
        <v>0.93333333333333335</v>
      </c>
      <c r="G36" s="10">
        <v>42.722639999999998</v>
      </c>
      <c r="H36">
        <f t="shared" si="1"/>
        <v>0.57242220925240817</v>
      </c>
      <c r="I36" s="22">
        <v>125.4</v>
      </c>
      <c r="J36" s="2">
        <f t="shared" si="2"/>
        <v>0.64340687532067742</v>
      </c>
      <c r="K36" s="8">
        <v>0</v>
      </c>
      <c r="L36" s="2">
        <v>0</v>
      </c>
      <c r="M36">
        <v>35512</v>
      </c>
      <c r="N36">
        <f t="shared" si="3"/>
        <v>0.16689140915908457</v>
      </c>
      <c r="O36" s="8">
        <v>0.80030565200000003</v>
      </c>
      <c r="P36">
        <f t="shared" si="4"/>
        <v>0.78590184652521156</v>
      </c>
      <c r="Q36" s="20">
        <v>0.3518</v>
      </c>
      <c r="R36" s="10">
        <f t="shared" si="5"/>
        <v>0.76180164573408404</v>
      </c>
      <c r="S36">
        <f t="shared" si="6"/>
        <v>0.43907334804297699</v>
      </c>
      <c r="T36" s="11">
        <f t="shared" si="7"/>
        <v>0.80598588479286093</v>
      </c>
      <c r="U36" t="str">
        <f t="shared" si="8"/>
        <v>High</v>
      </c>
      <c r="V36">
        <f t="shared" si="9"/>
        <v>0.43223627886093274</v>
      </c>
      <c r="W36">
        <f t="shared" si="10"/>
        <v>0.56933612082355367</v>
      </c>
      <c r="X36" t="str">
        <f t="shared" si="11"/>
        <v>Moderate</v>
      </c>
      <c r="Y36">
        <f t="shared" si="12"/>
        <v>0.44591041722502128</v>
      </c>
      <c r="Z36">
        <f t="shared" si="13"/>
        <v>0.81515378404000616</v>
      </c>
      <c r="AA36" t="str">
        <f t="shared" si="14"/>
        <v>High</v>
      </c>
      <c r="AB36">
        <f t="shared" si="15"/>
        <v>0.31819802287492982</v>
      </c>
      <c r="AC36">
        <f t="shared" si="16"/>
        <v>0.77483582197163525</v>
      </c>
      <c r="AD36" t="str">
        <f t="shared" si="17"/>
        <v>High</v>
      </c>
      <c r="AE36">
        <f t="shared" si="18"/>
        <v>9.4692000303134308E-2</v>
      </c>
      <c r="AF36">
        <f t="shared" si="19"/>
        <v>0.51809308530250342</v>
      </c>
      <c r="AG36" t="str">
        <f t="shared" si="20"/>
        <v>Moderate</v>
      </c>
    </row>
    <row r="37" spans="1:33" customFormat="1" x14ac:dyDescent="0.3">
      <c r="A37">
        <v>107914</v>
      </c>
      <c r="B37" t="s">
        <v>66</v>
      </c>
      <c r="C37" t="s">
        <v>582</v>
      </c>
      <c r="D37" t="s">
        <v>581</v>
      </c>
      <c r="E37" s="18">
        <v>7.1</v>
      </c>
      <c r="F37" s="2">
        <f t="shared" si="0"/>
        <v>0.86666666666666659</v>
      </c>
      <c r="G37" s="10">
        <v>41.6736</v>
      </c>
      <c r="H37">
        <f t="shared" si="1"/>
        <v>0.55836657518124244</v>
      </c>
      <c r="I37" s="22">
        <v>87.500000000000014</v>
      </c>
      <c r="J37" s="2">
        <f t="shared" si="2"/>
        <v>0.44894817855310426</v>
      </c>
      <c r="K37" s="8">
        <v>0</v>
      </c>
      <c r="L37" s="2">
        <v>0</v>
      </c>
      <c r="M37">
        <v>20310</v>
      </c>
      <c r="N37">
        <f t="shared" si="3"/>
        <v>9.4964348743571181E-2</v>
      </c>
      <c r="O37" s="8">
        <v>0.82599811999999995</v>
      </c>
      <c r="P37">
        <f t="shared" si="4"/>
        <v>0.81419667389019601</v>
      </c>
      <c r="Q37" s="20">
        <v>0.3906</v>
      </c>
      <c r="R37" s="10">
        <f t="shared" si="5"/>
        <v>0.84582070160242528</v>
      </c>
      <c r="S37">
        <f t="shared" si="6"/>
        <v>0.36230133198763537</v>
      </c>
      <c r="T37" s="11">
        <f t="shared" si="7"/>
        <v>0.66505917729969821</v>
      </c>
      <c r="U37" t="str">
        <f t="shared" si="8"/>
        <v>Moderate</v>
      </c>
      <c r="V37">
        <f t="shared" si="9"/>
        <v>0.36920332441982567</v>
      </c>
      <c r="W37">
        <f t="shared" si="10"/>
        <v>0.4863099161280105</v>
      </c>
      <c r="X37" t="str">
        <f t="shared" si="11"/>
        <v>Moderate</v>
      </c>
      <c r="Y37">
        <f t="shared" si="12"/>
        <v>0.355399339555445</v>
      </c>
      <c r="Z37">
        <f t="shared" si="13"/>
        <v>0.6496935377442532</v>
      </c>
      <c r="AA37" t="str">
        <f t="shared" si="14"/>
        <v>Moderate</v>
      </c>
      <c r="AB37">
        <f t="shared" si="15"/>
        <v>0.25034924549807869</v>
      </c>
      <c r="AC37">
        <f t="shared" si="16"/>
        <v>0.60961900914050515</v>
      </c>
      <c r="AD37" t="str">
        <f t="shared" si="17"/>
        <v>Moderate</v>
      </c>
      <c r="AE37">
        <f t="shared" si="18"/>
        <v>4.1452228812874969E-2</v>
      </c>
      <c r="AF37">
        <f t="shared" si="19"/>
        <v>0.22679965624949275</v>
      </c>
      <c r="AG37" t="s">
        <v>1175</v>
      </c>
    </row>
    <row r="38" spans="1:33" customFormat="1" x14ac:dyDescent="0.3">
      <c r="A38">
        <v>107947</v>
      </c>
      <c r="B38" t="s">
        <v>263</v>
      </c>
      <c r="C38" t="s">
        <v>582</v>
      </c>
      <c r="D38" t="s">
        <v>583</v>
      </c>
      <c r="E38" s="18">
        <v>7.2</v>
      </c>
      <c r="F38" s="2">
        <f t="shared" si="0"/>
        <v>0.88888888888888884</v>
      </c>
      <c r="G38" s="10">
        <v>36.544319999999999</v>
      </c>
      <c r="H38">
        <f t="shared" si="1"/>
        <v>0.48964156686073151</v>
      </c>
      <c r="I38" s="22">
        <v>63</v>
      </c>
      <c r="J38" s="2">
        <f t="shared" si="2"/>
        <v>0.32324268855823501</v>
      </c>
      <c r="K38" s="8">
        <v>0</v>
      </c>
      <c r="L38" s="2">
        <v>0</v>
      </c>
      <c r="M38">
        <v>9387</v>
      </c>
      <c r="N38">
        <f t="shared" si="3"/>
        <v>4.3283038329240651E-2</v>
      </c>
      <c r="O38" s="8">
        <v>0.88411509899999996</v>
      </c>
      <c r="P38">
        <f t="shared" si="4"/>
        <v>0.87820025220658948</v>
      </c>
      <c r="Q38" s="20">
        <v>0.38159999999999999</v>
      </c>
      <c r="R38" s="10">
        <f t="shared" si="5"/>
        <v>0.82633174534430487</v>
      </c>
      <c r="S38">
        <f t="shared" si="6"/>
        <v>0.30790827192599168</v>
      </c>
      <c r="T38" s="11">
        <f t="shared" si="7"/>
        <v>0.56521244591466324</v>
      </c>
      <c r="U38" t="str">
        <f t="shared" si="8"/>
        <v>Moderate</v>
      </c>
      <c r="V38">
        <f t="shared" si="9"/>
        <v>0.29853869579700459</v>
      </c>
      <c r="W38">
        <f t="shared" si="10"/>
        <v>0.39323136741021952</v>
      </c>
      <c r="X38" t="str">
        <f t="shared" si="11"/>
        <v>Moderate</v>
      </c>
      <c r="Y38">
        <f t="shared" si="12"/>
        <v>0.31727784805497872</v>
      </c>
      <c r="Z38">
        <f t="shared" si="13"/>
        <v>0.58000492575075357</v>
      </c>
      <c r="AA38" t="str">
        <f t="shared" si="14"/>
        <v>Moderate</v>
      </c>
      <c r="AB38">
        <f t="shared" si="15"/>
        <v>0.20514498022748404</v>
      </c>
      <c r="AC38">
        <f t="shared" si="16"/>
        <v>0.49954326535961985</v>
      </c>
      <c r="AD38" t="str">
        <f t="shared" si="17"/>
        <v>Moderate</v>
      </c>
      <c r="AE38">
        <f t="shared" si="18"/>
        <v>1.5637377948682391E-2</v>
      </c>
      <c r="AF38">
        <f t="shared" si="19"/>
        <v>8.5557569399091343E-2</v>
      </c>
      <c r="AG38" t="s">
        <v>1176</v>
      </c>
    </row>
    <row r="39" spans="1:33" customFormat="1" x14ac:dyDescent="0.3">
      <c r="A39">
        <v>107958</v>
      </c>
      <c r="B39" t="s">
        <v>323</v>
      </c>
      <c r="C39" t="s">
        <v>582</v>
      </c>
      <c r="D39" t="s">
        <v>584</v>
      </c>
      <c r="E39" s="18">
        <v>7.1</v>
      </c>
      <c r="F39" s="2">
        <f t="shared" si="0"/>
        <v>0.86666666666666659</v>
      </c>
      <c r="G39" s="10">
        <v>48.48048</v>
      </c>
      <c r="H39">
        <f t="shared" si="1"/>
        <v>0.64956902165262231</v>
      </c>
      <c r="I39" s="22">
        <v>148.79999999999998</v>
      </c>
      <c r="J39" s="2">
        <f t="shared" si="2"/>
        <v>0.76346844535659308</v>
      </c>
      <c r="K39" s="8">
        <v>0</v>
      </c>
      <c r="L39" s="2">
        <v>0</v>
      </c>
      <c r="M39">
        <v>34224</v>
      </c>
      <c r="N39">
        <f t="shared" si="3"/>
        <v>0.16079733904888976</v>
      </c>
      <c r="O39" s="8">
        <v>0.80954014299999999</v>
      </c>
      <c r="P39">
        <f t="shared" si="4"/>
        <v>0.79607168807754913</v>
      </c>
      <c r="Q39" s="20">
        <v>0.39229999999999998</v>
      </c>
      <c r="R39" s="10">
        <f t="shared" si="5"/>
        <v>0.8495019488956258</v>
      </c>
      <c r="S39">
        <f t="shared" si="6"/>
        <v>0.50380572748257202</v>
      </c>
      <c r="T39" s="11">
        <f t="shared" si="7"/>
        <v>0.92481200883321701</v>
      </c>
      <c r="U39" t="str">
        <f t="shared" si="8"/>
        <v>High</v>
      </c>
      <c r="V39">
        <f t="shared" si="9"/>
        <v>0.52016383557097567</v>
      </c>
      <c r="W39">
        <f t="shared" si="10"/>
        <v>0.68515317852799329</v>
      </c>
      <c r="X39" t="str">
        <f t="shared" si="11"/>
        <v>Moderate</v>
      </c>
      <c r="Y39">
        <f t="shared" si="12"/>
        <v>0.48744761939416836</v>
      </c>
      <c r="Z39">
        <f t="shared" si="13"/>
        <v>0.8910865414250585</v>
      </c>
      <c r="AA39" t="str">
        <f t="shared" si="14"/>
        <v>High</v>
      </c>
      <c r="AB39">
        <f t="shared" si="15"/>
        <v>0.36275221574326422</v>
      </c>
      <c r="AC39">
        <f t="shared" si="16"/>
        <v>0.8833285911645723</v>
      </c>
      <c r="AD39" t="str">
        <f t="shared" si="17"/>
        <v>High</v>
      </c>
      <c r="AE39">
        <f t="shared" si="18"/>
        <v>9.845882135763491E-2</v>
      </c>
      <c r="AF39">
        <f t="shared" si="19"/>
        <v>0.53870268205472294</v>
      </c>
      <c r="AG39" t="str">
        <f t="shared" si="20"/>
        <v>Moderate</v>
      </c>
    </row>
    <row r="40" spans="1:33" customFormat="1" x14ac:dyDescent="0.3">
      <c r="A40">
        <v>107976</v>
      </c>
      <c r="B40" t="s">
        <v>379</v>
      </c>
      <c r="C40" t="s">
        <v>582</v>
      </c>
      <c r="D40" t="s">
        <v>585</v>
      </c>
      <c r="E40" s="18">
        <v>7</v>
      </c>
      <c r="F40" s="2">
        <f t="shared" si="0"/>
        <v>0.84444444444444444</v>
      </c>
      <c r="G40" s="10">
        <v>36.537120000000002</v>
      </c>
      <c r="H40">
        <f t="shared" si="1"/>
        <v>0.48954509716909694</v>
      </c>
      <c r="I40" s="22">
        <v>44.2</v>
      </c>
      <c r="J40" s="2">
        <f t="shared" si="2"/>
        <v>0.22678296562339664</v>
      </c>
      <c r="K40" s="8">
        <v>0</v>
      </c>
      <c r="L40" s="2">
        <v>0</v>
      </c>
      <c r="M40">
        <v>7339</v>
      </c>
      <c r="N40">
        <f t="shared" si="3"/>
        <v>3.3593088340359491E-2</v>
      </c>
      <c r="O40" s="8">
        <v>0.74950483999999995</v>
      </c>
      <c r="P40">
        <f t="shared" si="4"/>
        <v>0.72995548101680507</v>
      </c>
      <c r="Q40" s="20">
        <v>0.30149999999999999</v>
      </c>
      <c r="R40" s="10">
        <f t="shared" si="5"/>
        <v>0.65288003464703337</v>
      </c>
      <c r="S40">
        <f t="shared" si="6"/>
        <v>0.20911904262029543</v>
      </c>
      <c r="T40" s="11">
        <f t="shared" si="7"/>
        <v>0.38386979611629091</v>
      </c>
      <c r="U40" t="str">
        <f t="shared" si="8"/>
        <v>Moderate</v>
      </c>
      <c r="V40">
        <f t="shared" si="9"/>
        <v>0.19746332263638899</v>
      </c>
      <c r="W40">
        <f t="shared" si="10"/>
        <v>0.26009617334990615</v>
      </c>
      <c r="X40" t="s">
        <v>1175</v>
      </c>
      <c r="Y40">
        <f t="shared" si="12"/>
        <v>0.22077476260420192</v>
      </c>
      <c r="Z40">
        <f t="shared" si="13"/>
        <v>0.40359089226330569</v>
      </c>
      <c r="AA40" t="str">
        <f t="shared" si="14"/>
        <v>Moderate</v>
      </c>
      <c r="AB40">
        <f t="shared" si="15"/>
        <v>0.1389006676616755</v>
      </c>
      <c r="AC40">
        <f t="shared" si="16"/>
        <v>0.33823344352565693</v>
      </c>
      <c r="AD40" t="str">
        <f t="shared" si="17"/>
        <v>Moderate</v>
      </c>
      <c r="AE40">
        <f t="shared" si="18"/>
        <v>1.0160217021939323E-2</v>
      </c>
      <c r="AF40">
        <f t="shared" si="19"/>
        <v>5.5590104416300107E-2</v>
      </c>
      <c r="AG40" t="s">
        <v>1176</v>
      </c>
    </row>
    <row r="41" spans="1:33" customFormat="1" x14ac:dyDescent="0.3">
      <c r="A41">
        <v>107980</v>
      </c>
      <c r="B41" t="s">
        <v>416</v>
      </c>
      <c r="C41" t="s">
        <v>582</v>
      </c>
      <c r="D41" t="s">
        <v>586</v>
      </c>
      <c r="E41" s="18">
        <v>7.1</v>
      </c>
      <c r="F41" s="2">
        <f t="shared" si="0"/>
        <v>0.86666666666666659</v>
      </c>
      <c r="G41" s="10">
        <v>36.544319999999999</v>
      </c>
      <c r="H41">
        <f t="shared" si="1"/>
        <v>0.48964156686073151</v>
      </c>
      <c r="I41" s="22">
        <v>63</v>
      </c>
      <c r="J41" s="2">
        <f t="shared" si="2"/>
        <v>0.32324268855823501</v>
      </c>
      <c r="K41" s="8">
        <v>0</v>
      </c>
      <c r="L41" s="2">
        <v>0</v>
      </c>
      <c r="M41">
        <v>16497</v>
      </c>
      <c r="N41">
        <f t="shared" si="3"/>
        <v>7.692344087853023E-2</v>
      </c>
      <c r="O41" s="8">
        <v>0.77471300799999998</v>
      </c>
      <c r="P41">
        <f t="shared" si="4"/>
        <v>0.75771695421383423</v>
      </c>
      <c r="Q41" s="20">
        <v>0.38500000000000001</v>
      </c>
      <c r="R41" s="10">
        <f t="shared" si="5"/>
        <v>0.83369423993070602</v>
      </c>
      <c r="S41">
        <f t="shared" si="6"/>
        <v>0.28028717245047846</v>
      </c>
      <c r="T41" s="11">
        <f t="shared" si="7"/>
        <v>0.51450971845705384</v>
      </c>
      <c r="U41" t="str">
        <f t="shared" si="8"/>
        <v>Moderate</v>
      </c>
      <c r="V41">
        <f t="shared" si="9"/>
        <v>0.29366866597169972</v>
      </c>
      <c r="W41">
        <f t="shared" si="10"/>
        <v>0.38681662615726198</v>
      </c>
      <c r="X41" t="str">
        <f t="shared" si="11"/>
        <v>Moderate</v>
      </c>
      <c r="Y41">
        <f t="shared" si="12"/>
        <v>0.26690567892925721</v>
      </c>
      <c r="Z41">
        <f t="shared" si="13"/>
        <v>0.48792126345673215</v>
      </c>
      <c r="AA41" t="str">
        <f t="shared" si="14"/>
        <v>Moderate</v>
      </c>
      <c r="AB41">
        <f t="shared" si="15"/>
        <v>0.19233943128656478</v>
      </c>
      <c r="AC41">
        <f t="shared" si="16"/>
        <v>0.46836080247129708</v>
      </c>
      <c r="AD41" t="str">
        <f t="shared" si="17"/>
        <v>Moderate</v>
      </c>
      <c r="AE41">
        <f t="shared" si="18"/>
        <v>2.7096270050550542E-2</v>
      </c>
      <c r="AF41">
        <f t="shared" si="19"/>
        <v>0.14825317984348124</v>
      </c>
      <c r="AG41" t="s">
        <v>1175</v>
      </c>
    </row>
    <row r="42" spans="1:33" customFormat="1" x14ac:dyDescent="0.3">
      <c r="A42">
        <v>107987</v>
      </c>
      <c r="B42" t="s">
        <v>380</v>
      </c>
      <c r="C42" t="s">
        <v>582</v>
      </c>
      <c r="D42" t="s">
        <v>1116</v>
      </c>
      <c r="E42" s="18">
        <v>7.1</v>
      </c>
      <c r="F42" s="2">
        <f t="shared" si="0"/>
        <v>0.86666666666666659</v>
      </c>
      <c r="G42" s="10">
        <v>36.537120000000002</v>
      </c>
      <c r="H42">
        <f t="shared" si="1"/>
        <v>0.48954509716909694</v>
      </c>
      <c r="I42" s="22">
        <v>57.1</v>
      </c>
      <c r="J42" s="2">
        <f t="shared" si="2"/>
        <v>0.29297075423294</v>
      </c>
      <c r="K42" s="8">
        <v>0</v>
      </c>
      <c r="L42" s="2">
        <v>0</v>
      </c>
      <c r="M42">
        <v>14296</v>
      </c>
      <c r="N42">
        <f t="shared" si="3"/>
        <v>6.650958349301879E-2</v>
      </c>
      <c r="O42" s="8">
        <v>0.78418434400000003</v>
      </c>
      <c r="P42">
        <f t="shared" si="4"/>
        <v>0.76814763051304236</v>
      </c>
      <c r="Q42" s="20">
        <v>0.37390000000000001</v>
      </c>
      <c r="R42" s="10">
        <f t="shared" si="5"/>
        <v>0.80965786054569078</v>
      </c>
      <c r="S42">
        <f t="shared" si="6"/>
        <v>0.26750919155623726</v>
      </c>
      <c r="T42" s="11">
        <f t="shared" si="7"/>
        <v>0.49105379182699288</v>
      </c>
      <c r="U42" t="str">
        <f t="shared" si="8"/>
        <v>Moderate</v>
      </c>
      <c r="V42">
        <f t="shared" si="9"/>
        <v>0.27454704770534727</v>
      </c>
      <c r="W42">
        <f t="shared" si="10"/>
        <v>0.36162987414208336</v>
      </c>
      <c r="X42" t="str">
        <f t="shared" si="11"/>
        <v>Moderate</v>
      </c>
      <c r="Y42">
        <f t="shared" si="12"/>
        <v>0.26047133540712725</v>
      </c>
      <c r="Z42">
        <f t="shared" si="13"/>
        <v>0.47615885722608614</v>
      </c>
      <c r="AA42" t="str">
        <f t="shared" si="14"/>
        <v>Moderate</v>
      </c>
      <c r="AB42">
        <f t="shared" si="15"/>
        <v>0.18212632916094723</v>
      </c>
      <c r="AC42">
        <f t="shared" si="16"/>
        <v>0.44349114014943664</v>
      </c>
      <c r="AD42" t="str">
        <f t="shared" si="17"/>
        <v>Moderate</v>
      </c>
      <c r="AE42">
        <f t="shared" si="18"/>
        <v>2.2552748119821598E-2</v>
      </c>
      <c r="AF42">
        <f t="shared" si="19"/>
        <v>0.12339398067464682</v>
      </c>
      <c r="AG42" t="s">
        <v>1175</v>
      </c>
    </row>
    <row r="43" spans="1:33" customFormat="1" x14ac:dyDescent="0.3">
      <c r="A43">
        <v>107990</v>
      </c>
      <c r="B43" t="s">
        <v>535</v>
      </c>
      <c r="C43" t="s">
        <v>582</v>
      </c>
      <c r="D43" s="8" t="s">
        <v>1164</v>
      </c>
      <c r="E43" s="18">
        <v>7.1</v>
      </c>
      <c r="F43" s="2">
        <f t="shared" si="0"/>
        <v>0.86666666666666659</v>
      </c>
      <c r="G43" s="10">
        <v>36.621359999999996</v>
      </c>
      <c r="H43">
        <f t="shared" si="1"/>
        <v>0.49067379256122207</v>
      </c>
      <c r="I43" s="22">
        <v>72.7</v>
      </c>
      <c r="J43" s="2">
        <f t="shared" si="2"/>
        <v>0.37301180092355057</v>
      </c>
      <c r="K43" s="8">
        <v>0</v>
      </c>
      <c r="L43" s="2">
        <v>0</v>
      </c>
      <c r="M43">
        <v>6600</v>
      </c>
      <c r="N43">
        <f t="shared" si="3"/>
        <v>3.0096568300426303E-2</v>
      </c>
      <c r="O43" s="8">
        <v>0.68800640999999996</v>
      </c>
      <c r="P43">
        <f t="shared" si="4"/>
        <v>0.66222794857159251</v>
      </c>
      <c r="Q43" s="20">
        <v>0.39489999999999997</v>
      </c>
      <c r="R43" s="10">
        <f t="shared" si="5"/>
        <v>0.85513209181463834</v>
      </c>
      <c r="S43">
        <f t="shared" si="6"/>
        <v>0.2839464348523964</v>
      </c>
      <c r="T43" s="11">
        <f t="shared" si="7"/>
        <v>0.52122685093126264</v>
      </c>
      <c r="U43" t="str">
        <f t="shared" si="8"/>
        <v>Moderate</v>
      </c>
      <c r="V43">
        <f t="shared" si="9"/>
        <v>0.32004494956494711</v>
      </c>
      <c r="W43">
        <f t="shared" si="10"/>
        <v>0.42155913093334296</v>
      </c>
      <c r="X43" t="str">
        <f t="shared" si="11"/>
        <v>Moderate</v>
      </c>
      <c r="Y43">
        <f t="shared" si="12"/>
        <v>0.24784792013984572</v>
      </c>
      <c r="Z43">
        <f t="shared" si="13"/>
        <v>0.45308241782224906</v>
      </c>
      <c r="AA43" t="str">
        <f t="shared" si="14"/>
        <v>Moderate</v>
      </c>
      <c r="AB43">
        <f t="shared" si="15"/>
        <v>0.1903125275452705</v>
      </c>
      <c r="AC43">
        <f t="shared" si="16"/>
        <v>0.46342514129951023</v>
      </c>
      <c r="AD43" t="str">
        <f t="shared" si="17"/>
        <v>Moderate</v>
      </c>
      <c r="AE43">
        <f t="shared" si="18"/>
        <v>1.1264054730243764E-2</v>
      </c>
      <c r="AF43">
        <f t="shared" si="19"/>
        <v>6.162958697172103E-2</v>
      </c>
      <c r="AG43" t="s">
        <v>1176</v>
      </c>
    </row>
    <row r="44" spans="1:33" customFormat="1" x14ac:dyDescent="0.3">
      <c r="A44">
        <v>200304</v>
      </c>
      <c r="B44" t="s">
        <v>10</v>
      </c>
      <c r="C44" t="s">
        <v>588</v>
      </c>
      <c r="D44" t="s">
        <v>587</v>
      </c>
      <c r="E44" s="18">
        <v>6</v>
      </c>
      <c r="F44" s="2">
        <f t="shared" si="0"/>
        <v>0.62222222222222223</v>
      </c>
      <c r="G44" s="10">
        <v>35.996760000000002</v>
      </c>
      <c r="H44">
        <f t="shared" si="1"/>
        <v>0.48230504681191794</v>
      </c>
      <c r="I44" s="22">
        <v>59.6</v>
      </c>
      <c r="J44" s="2">
        <f t="shared" si="2"/>
        <v>0.30579784504874297</v>
      </c>
      <c r="K44" s="8">
        <v>0</v>
      </c>
      <c r="L44" s="2">
        <v>0</v>
      </c>
      <c r="M44">
        <v>7538</v>
      </c>
      <c r="N44">
        <f t="shared" si="3"/>
        <v>3.4534641098068163E-2</v>
      </c>
      <c r="O44" s="8">
        <v>0.89268930899999999</v>
      </c>
      <c r="P44">
        <f t="shared" si="4"/>
        <v>0.8876429336858902</v>
      </c>
      <c r="Q44" s="20">
        <v>0.45639999999999997</v>
      </c>
      <c r="R44" s="10">
        <f t="shared" si="5"/>
        <v>0.98830662624512777</v>
      </c>
      <c r="S44">
        <f t="shared" si="6"/>
        <v>0.22997975360365749</v>
      </c>
      <c r="T44" s="11">
        <f t="shared" si="7"/>
        <v>0.42216280268176232</v>
      </c>
      <c r="U44" t="str">
        <f t="shared" si="8"/>
        <v>Moderate</v>
      </c>
      <c r="V44">
        <f t="shared" si="9"/>
        <v>0.24232049650319426</v>
      </c>
      <c r="W44">
        <f t="shared" si="10"/>
        <v>0.31918147139045172</v>
      </c>
      <c r="X44" t="str">
        <f t="shared" si="11"/>
        <v>Moderate</v>
      </c>
      <c r="Y44">
        <f t="shared" si="12"/>
        <v>0.21763901070412076</v>
      </c>
      <c r="Z44">
        <f t="shared" si="13"/>
        <v>0.39785853004788807</v>
      </c>
      <c r="AA44" t="str">
        <f t="shared" si="14"/>
        <v>Moderate</v>
      </c>
      <c r="AB44">
        <f t="shared" si="15"/>
        <v>0.1530674895993967</v>
      </c>
      <c r="AC44">
        <f t="shared" si="16"/>
        <v>0.37273070727878399</v>
      </c>
      <c r="AD44" t="str">
        <f t="shared" si="17"/>
        <v>Moderate</v>
      </c>
      <c r="AE44">
        <f t="shared" si="18"/>
        <v>8.4674646058356829E-3</v>
      </c>
      <c r="AF44">
        <f t="shared" si="19"/>
        <v>4.6328463315627601E-2</v>
      </c>
      <c r="AG44" t="s">
        <v>1176</v>
      </c>
    </row>
    <row r="45" spans="1:33" customFormat="1" x14ac:dyDescent="0.3">
      <c r="A45">
        <v>200314</v>
      </c>
      <c r="B45" t="s">
        <v>42</v>
      </c>
      <c r="C45" t="s">
        <v>588</v>
      </c>
      <c r="D45" t="s">
        <v>589</v>
      </c>
      <c r="E45" s="18">
        <v>7.6</v>
      </c>
      <c r="F45" s="2">
        <f t="shared" si="0"/>
        <v>0.97777777777777763</v>
      </c>
      <c r="G45" s="10">
        <v>30.62556</v>
      </c>
      <c r="H45">
        <f t="shared" si="1"/>
        <v>0.41033865685248339</v>
      </c>
      <c r="I45" s="22">
        <v>73.599999999999994</v>
      </c>
      <c r="J45" s="2">
        <f t="shared" si="2"/>
        <v>0.3776295536172396</v>
      </c>
      <c r="K45" s="8">
        <v>0</v>
      </c>
      <c r="L45" s="2">
        <v>0</v>
      </c>
      <c r="M45">
        <v>10534</v>
      </c>
      <c r="N45">
        <f t="shared" si="3"/>
        <v>4.8709978093521268E-2</v>
      </c>
      <c r="O45" s="8">
        <v>0.93405031299999997</v>
      </c>
      <c r="P45">
        <f t="shared" si="4"/>
        <v>0.93319334432851264</v>
      </c>
      <c r="Q45" s="20">
        <v>0.44669999999999999</v>
      </c>
      <c r="R45" s="10">
        <f t="shared" si="5"/>
        <v>0.96730186227804249</v>
      </c>
      <c r="S45">
        <f t="shared" si="6"/>
        <v>0.36606284170036862</v>
      </c>
      <c r="T45" s="11">
        <f t="shared" si="7"/>
        <v>0.67196400025806535</v>
      </c>
      <c r="U45" t="str">
        <f t="shared" si="8"/>
        <v>Moderate</v>
      </c>
      <c r="V45">
        <f t="shared" si="9"/>
        <v>0.37263263517492684</v>
      </c>
      <c r="W45">
        <f t="shared" si="10"/>
        <v>0.49082696057312974</v>
      </c>
      <c r="X45" t="str">
        <f t="shared" si="11"/>
        <v>Moderate</v>
      </c>
      <c r="Y45">
        <f t="shared" si="12"/>
        <v>0.35949304822581041</v>
      </c>
      <c r="Z45">
        <f t="shared" si="13"/>
        <v>0.65717710839992993</v>
      </c>
      <c r="AA45" t="str">
        <f t="shared" si="14"/>
        <v>Moderate</v>
      </c>
      <c r="AB45">
        <f t="shared" si="15"/>
        <v>0.24483690877634215</v>
      </c>
      <c r="AC45">
        <f t="shared" si="16"/>
        <v>0.59619605975766132</v>
      </c>
      <c r="AD45" t="str">
        <f t="shared" si="17"/>
        <v>Moderate</v>
      </c>
      <c r="AE45">
        <f t="shared" si="18"/>
        <v>1.876449142107044E-2</v>
      </c>
      <c r="AF45">
        <f t="shared" si="19"/>
        <v>0.10266710200811918</v>
      </c>
      <c r="AG45" t="s">
        <v>1176</v>
      </c>
    </row>
    <row r="46" spans="1:33" customFormat="1" x14ac:dyDescent="0.3">
      <c r="A46">
        <v>200351</v>
      </c>
      <c r="B46" t="s">
        <v>300</v>
      </c>
      <c r="C46" t="s">
        <v>588</v>
      </c>
      <c r="D46" t="s">
        <v>590</v>
      </c>
      <c r="E46" s="18">
        <v>7.7</v>
      </c>
      <c r="F46" s="2">
        <f t="shared" si="0"/>
        <v>1</v>
      </c>
      <c r="G46" s="10">
        <v>30.23856</v>
      </c>
      <c r="H46">
        <f t="shared" si="1"/>
        <v>0.40515341092712198</v>
      </c>
      <c r="I46" s="22">
        <v>63.2</v>
      </c>
      <c r="J46" s="2">
        <f t="shared" si="2"/>
        <v>0.32426885582349929</v>
      </c>
      <c r="K46" s="8">
        <v>0</v>
      </c>
      <c r="L46" s="2">
        <v>0</v>
      </c>
      <c r="M46">
        <v>14751</v>
      </c>
      <c r="N46">
        <f t="shared" si="3"/>
        <v>6.8662379999337594E-2</v>
      </c>
      <c r="O46" s="8">
        <v>0.816387109</v>
      </c>
      <c r="P46">
        <f t="shared" si="4"/>
        <v>0.80361217507723792</v>
      </c>
      <c r="Q46" s="20">
        <v>0.43519999999999998</v>
      </c>
      <c r="R46" s="10">
        <f t="shared" si="5"/>
        <v>0.94239930705933306</v>
      </c>
      <c r="S46">
        <f t="shared" si="6"/>
        <v>0.31839491326816738</v>
      </c>
      <c r="T46" s="11">
        <f t="shared" si="7"/>
        <v>0.58446227043339394</v>
      </c>
      <c r="U46" t="str">
        <f t="shared" si="8"/>
        <v>Moderate</v>
      </c>
      <c r="V46">
        <f t="shared" si="9"/>
        <v>0.34370351936971671</v>
      </c>
      <c r="W46">
        <f t="shared" si="10"/>
        <v>0.45272189772463883</v>
      </c>
      <c r="X46" t="str">
        <f t="shared" si="11"/>
        <v>Moderate</v>
      </c>
      <c r="Y46">
        <f t="shared" si="12"/>
        <v>0.29308630716661799</v>
      </c>
      <c r="Z46">
        <f t="shared" si="13"/>
        <v>0.53578118632877347</v>
      </c>
      <c r="AA46" t="str">
        <f t="shared" si="14"/>
        <v>Moderate</v>
      </c>
      <c r="AB46">
        <f t="shared" si="15"/>
        <v>0.21698680097981793</v>
      </c>
      <c r="AC46">
        <f t="shared" si="16"/>
        <v>0.52837897852142635</v>
      </c>
      <c r="AD46" t="str">
        <f t="shared" si="17"/>
        <v>Moderate</v>
      </c>
      <c r="AE46">
        <f t="shared" si="18"/>
        <v>2.5041934429804676E-2</v>
      </c>
      <c r="AF46">
        <f t="shared" si="19"/>
        <v>0.1370131904400276</v>
      </c>
      <c r="AG46" t="s">
        <v>1175</v>
      </c>
    </row>
    <row r="47" spans="1:33" customFormat="1" x14ac:dyDescent="0.3">
      <c r="A47">
        <v>200373</v>
      </c>
      <c r="B47" t="s">
        <v>361</v>
      </c>
      <c r="C47" t="s">
        <v>588</v>
      </c>
      <c r="D47" t="s">
        <v>591</v>
      </c>
      <c r="E47" s="18">
        <v>7.7</v>
      </c>
      <c r="F47" s="2">
        <f t="shared" si="0"/>
        <v>1</v>
      </c>
      <c r="G47" s="10">
        <v>34.282800000000002</v>
      </c>
      <c r="H47">
        <f t="shared" si="1"/>
        <v>0.45934043671829405</v>
      </c>
      <c r="I47" s="22">
        <v>65.599999999999994</v>
      </c>
      <c r="J47" s="2">
        <f t="shared" si="2"/>
        <v>0.33658286300667012</v>
      </c>
      <c r="K47" s="8">
        <v>0</v>
      </c>
      <c r="L47" s="2">
        <v>0</v>
      </c>
      <c r="M47">
        <v>12144</v>
      </c>
      <c r="N47">
        <f t="shared" si="3"/>
        <v>5.6327565731264753E-2</v>
      </c>
      <c r="O47" s="8">
        <v>0.91274416700000005</v>
      </c>
      <c r="P47">
        <f t="shared" si="4"/>
        <v>0.90972912427448138</v>
      </c>
      <c r="Q47" s="20">
        <v>0.443</v>
      </c>
      <c r="R47" s="10">
        <f t="shared" si="5"/>
        <v>0.95928973581637078</v>
      </c>
      <c r="S47">
        <f t="shared" si="6"/>
        <v>0.37189891459292551</v>
      </c>
      <c r="T47" s="11">
        <f t="shared" si="7"/>
        <v>0.68267699933894488</v>
      </c>
      <c r="U47" t="str">
        <f t="shared" si="8"/>
        <v>Moderate</v>
      </c>
      <c r="V47">
        <f t="shared" si="9"/>
        <v>0.38176052596162746</v>
      </c>
      <c r="W47">
        <f t="shared" si="10"/>
        <v>0.50285010204912139</v>
      </c>
      <c r="X47" t="str">
        <f t="shared" si="11"/>
        <v>Moderate</v>
      </c>
      <c r="Y47">
        <f t="shared" si="12"/>
        <v>0.36203730322422356</v>
      </c>
      <c r="Z47">
        <f t="shared" si="13"/>
        <v>0.66182817509271052</v>
      </c>
      <c r="AA47" t="str">
        <f t="shared" si="14"/>
        <v>Moderate</v>
      </c>
      <c r="AB47">
        <f t="shared" si="15"/>
        <v>0.25007304890073973</v>
      </c>
      <c r="AC47">
        <f t="shared" si="16"/>
        <v>0.60894644990964841</v>
      </c>
      <c r="AD47" t="str">
        <f t="shared" si="17"/>
        <v>Moderate</v>
      </c>
      <c r="AE47">
        <f t="shared" si="18"/>
        <v>2.2416210991151528E-2</v>
      </c>
      <c r="AF47">
        <f t="shared" si="19"/>
        <v>0.12264693824208053</v>
      </c>
      <c r="AG47" t="s">
        <v>1175</v>
      </c>
    </row>
    <row r="48" spans="1:33" customFormat="1" x14ac:dyDescent="0.3">
      <c r="A48">
        <v>200389</v>
      </c>
      <c r="B48" t="s">
        <v>441</v>
      </c>
      <c r="C48" t="s">
        <v>588</v>
      </c>
      <c r="D48" t="s">
        <v>592</v>
      </c>
      <c r="E48" s="18">
        <v>5.9</v>
      </c>
      <c r="F48" s="2">
        <f t="shared" si="0"/>
        <v>0.60000000000000009</v>
      </c>
      <c r="G48" s="10">
        <v>31.786199999999997</v>
      </c>
      <c r="H48">
        <f t="shared" si="1"/>
        <v>0.42588957114398585</v>
      </c>
      <c r="I48" s="22">
        <v>70.8</v>
      </c>
      <c r="J48" s="2">
        <f t="shared" si="2"/>
        <v>0.36326321190354033</v>
      </c>
      <c r="K48" s="8">
        <v>0</v>
      </c>
      <c r="L48" s="2">
        <v>0</v>
      </c>
      <c r="M48">
        <v>5632</v>
      </c>
      <c r="N48">
        <f t="shared" si="3"/>
        <v>2.5516552875994188E-2</v>
      </c>
      <c r="O48" s="8">
        <v>0.88670519800000003</v>
      </c>
      <c r="P48">
        <f t="shared" si="4"/>
        <v>0.88105269923749452</v>
      </c>
      <c r="Q48" s="20">
        <v>0.46079999999999999</v>
      </c>
      <c r="R48" s="10">
        <f t="shared" si="5"/>
        <v>0.99783456041576435</v>
      </c>
      <c r="S48">
        <f t="shared" si="6"/>
        <v>0.22240936649818641</v>
      </c>
      <c r="T48" s="11">
        <f t="shared" si="7"/>
        <v>0.40826620618684056</v>
      </c>
      <c r="U48" t="str">
        <f t="shared" si="8"/>
        <v>Moderate</v>
      </c>
      <c r="V48">
        <f t="shared" si="9"/>
        <v>0.23623317611193168</v>
      </c>
      <c r="W48">
        <f t="shared" si="10"/>
        <v>0.31116333050948553</v>
      </c>
      <c r="X48" t="str">
        <f t="shared" si="11"/>
        <v>Moderate</v>
      </c>
      <c r="Y48">
        <f t="shared" si="12"/>
        <v>0.20858555688444122</v>
      </c>
      <c r="Z48">
        <f t="shared" si="13"/>
        <v>0.38130821667851228</v>
      </c>
      <c r="AA48" t="str">
        <f t="shared" si="14"/>
        <v>Moderate</v>
      </c>
      <c r="AB48">
        <f t="shared" si="15"/>
        <v>0.14737160686967479</v>
      </c>
      <c r="AC48">
        <f t="shared" si="16"/>
        <v>0.3588608097323972</v>
      </c>
      <c r="AD48" t="str">
        <f t="shared" si="17"/>
        <v>Moderate</v>
      </c>
      <c r="AE48">
        <f t="shared" si="18"/>
        <v>6.0409376147610534E-3</v>
      </c>
      <c r="AF48">
        <f t="shared" si="19"/>
        <v>3.3052084621005784E-2</v>
      </c>
      <c r="AG48" t="s">
        <v>1176</v>
      </c>
    </row>
    <row r="49" spans="1:33" customFormat="1" x14ac:dyDescent="0.3">
      <c r="A49">
        <v>200391</v>
      </c>
      <c r="B49" t="s">
        <v>445</v>
      </c>
      <c r="C49" t="s">
        <v>588</v>
      </c>
      <c r="D49" t="s">
        <v>593</v>
      </c>
      <c r="E49" s="18">
        <v>7.7</v>
      </c>
      <c r="F49" s="2">
        <f t="shared" si="0"/>
        <v>1</v>
      </c>
      <c r="G49" s="10">
        <v>34.089840000000002</v>
      </c>
      <c r="H49">
        <f t="shared" si="1"/>
        <v>0.45675504898248598</v>
      </c>
      <c r="I49" s="22">
        <v>67.5</v>
      </c>
      <c r="J49" s="2">
        <f t="shared" si="2"/>
        <v>0.34633145202668036</v>
      </c>
      <c r="K49" s="8">
        <v>0</v>
      </c>
      <c r="L49" s="2">
        <v>0</v>
      </c>
      <c r="M49">
        <v>2880</v>
      </c>
      <c r="N49">
        <f t="shared" si="3"/>
        <v>1.2495682578435131E-2</v>
      </c>
      <c r="O49" s="8">
        <v>0.85408552900000001</v>
      </c>
      <c r="P49">
        <f t="shared" si="4"/>
        <v>0.84512902296560277</v>
      </c>
      <c r="Q49" s="20">
        <v>0.46179999999999999</v>
      </c>
      <c r="R49" s="10">
        <f t="shared" si="5"/>
        <v>1</v>
      </c>
      <c r="S49">
        <f t="shared" si="6"/>
        <v>0.37044955274097691</v>
      </c>
      <c r="T49" s="11">
        <f t="shared" si="7"/>
        <v>0.6800164753061505</v>
      </c>
      <c r="U49" t="str">
        <f t="shared" si="8"/>
        <v>Moderate</v>
      </c>
      <c r="V49">
        <f t="shared" si="9"/>
        <v>0.40154325050458317</v>
      </c>
      <c r="W49">
        <f t="shared" si="10"/>
        <v>0.52890765483087454</v>
      </c>
      <c r="X49" t="str">
        <f t="shared" si="11"/>
        <v>Moderate</v>
      </c>
      <c r="Y49">
        <f t="shared" si="12"/>
        <v>0.33935585497737064</v>
      </c>
      <c r="Z49">
        <f t="shared" si="13"/>
        <v>0.62036498506232451</v>
      </c>
      <c r="AA49" t="str">
        <f t="shared" si="14"/>
        <v>Moderate</v>
      </c>
      <c r="AB49">
        <f t="shared" si="15"/>
        <v>0.2441030391197517</v>
      </c>
      <c r="AC49">
        <f t="shared" si="16"/>
        <v>0.59440903263082145</v>
      </c>
      <c r="AD49" t="str">
        <f t="shared" si="17"/>
        <v>Moderate</v>
      </c>
      <c r="AE49">
        <f t="shared" si="18"/>
        <v>5.0175569998183334E-3</v>
      </c>
      <c r="AF49">
        <f t="shared" si="19"/>
        <v>2.7452810991373762E-2</v>
      </c>
      <c r="AG49" t="s">
        <v>1176</v>
      </c>
    </row>
    <row r="50" spans="1:33" customFormat="1" x14ac:dyDescent="0.3">
      <c r="A50">
        <v>200395</v>
      </c>
      <c r="B50" t="s">
        <v>521</v>
      </c>
      <c r="C50" t="s">
        <v>588</v>
      </c>
      <c r="D50" t="s">
        <v>594</v>
      </c>
      <c r="E50" s="18">
        <v>7.7</v>
      </c>
      <c r="F50" s="2">
        <f t="shared" si="0"/>
        <v>1</v>
      </c>
      <c r="G50" s="10">
        <v>35.996760000000002</v>
      </c>
      <c r="H50">
        <f t="shared" si="1"/>
        <v>0.48230504681191794</v>
      </c>
      <c r="I50" s="22">
        <v>63.2</v>
      </c>
      <c r="J50" s="2">
        <f t="shared" si="2"/>
        <v>0.32426885582349929</v>
      </c>
      <c r="K50" s="8">
        <v>0</v>
      </c>
      <c r="L50" s="2">
        <v>0</v>
      </c>
      <c r="M50">
        <v>2642</v>
      </c>
      <c r="N50">
        <f t="shared" si="3"/>
        <v>1.1369604405899136E-2</v>
      </c>
      <c r="O50" s="8">
        <v>0.60021188400000003</v>
      </c>
      <c r="P50">
        <f t="shared" si="4"/>
        <v>0.56554082000299222</v>
      </c>
      <c r="Q50" s="20">
        <v>0.45600000000000002</v>
      </c>
      <c r="R50" s="10">
        <f t="shared" si="5"/>
        <v>0.98744045041143358</v>
      </c>
      <c r="S50">
        <f t="shared" si="6"/>
        <v>0.31314854099946793</v>
      </c>
      <c r="T50" s="11">
        <f t="shared" si="7"/>
        <v>0.57483175650266327</v>
      </c>
      <c r="U50" t="str">
        <f t="shared" si="8"/>
        <v>Moderate</v>
      </c>
      <c r="V50">
        <f t="shared" si="9"/>
        <v>0.39822184885421213</v>
      </c>
      <c r="W50">
        <f t="shared" si="10"/>
        <v>0.52453274688399298</v>
      </c>
      <c r="X50" t="str">
        <f t="shared" si="11"/>
        <v>Moderate</v>
      </c>
      <c r="Y50">
        <f t="shared" si="12"/>
        <v>0.22807523314472375</v>
      </c>
      <c r="Z50">
        <f t="shared" si="13"/>
        <v>0.41693663606407427</v>
      </c>
      <c r="AA50" t="str">
        <f t="shared" si="14"/>
        <v>Moderate</v>
      </c>
      <c r="AB50">
        <f t="shared" si="15"/>
        <v>0.20940504162688156</v>
      </c>
      <c r="AC50">
        <f t="shared" si="16"/>
        <v>0.50991683131150267</v>
      </c>
      <c r="AD50" t="str">
        <f t="shared" si="17"/>
        <v>Moderate</v>
      </c>
      <c r="AE50">
        <f t="shared" si="18"/>
        <v>4.5852130985434506E-3</v>
      </c>
      <c r="AF50">
        <f t="shared" si="19"/>
        <v>2.5087306144014332E-2</v>
      </c>
      <c r="AG50" t="s">
        <v>1176</v>
      </c>
    </row>
    <row r="51" spans="1:33" customFormat="1" x14ac:dyDescent="0.3">
      <c r="A51">
        <v>201202</v>
      </c>
      <c r="B51" t="s">
        <v>6</v>
      </c>
      <c r="C51" t="s">
        <v>1144</v>
      </c>
      <c r="D51" t="s">
        <v>595</v>
      </c>
      <c r="E51" s="18">
        <v>6</v>
      </c>
      <c r="F51" s="2">
        <f t="shared" si="0"/>
        <v>0.62222222222222223</v>
      </c>
      <c r="G51" s="10">
        <v>17.607240000000001</v>
      </c>
      <c r="H51">
        <f t="shared" si="1"/>
        <v>0.23591180740790765</v>
      </c>
      <c r="I51" s="22">
        <v>0.5</v>
      </c>
      <c r="J51" s="2">
        <f t="shared" si="2"/>
        <v>2.5654181631605956E-3</v>
      </c>
      <c r="K51" s="8">
        <v>0</v>
      </c>
      <c r="L51" s="2">
        <v>0</v>
      </c>
      <c r="M51">
        <v>17023</v>
      </c>
      <c r="N51">
        <f t="shared" si="3"/>
        <v>7.9412168268252634E-2</v>
      </c>
      <c r="O51" s="8">
        <v>0.90624782100000001</v>
      </c>
      <c r="P51">
        <f t="shared" si="4"/>
        <v>0.90257477115538021</v>
      </c>
      <c r="Q51" s="20">
        <v>0.29530000000000001</v>
      </c>
      <c r="R51" s="10">
        <f t="shared" si="5"/>
        <v>0.63945430922477264</v>
      </c>
      <c r="S51">
        <f t="shared" si="6"/>
        <v>5.7203815952727832E-2</v>
      </c>
      <c r="T51" s="11">
        <f t="shared" si="7"/>
        <v>0.10500630115603023</v>
      </c>
      <c r="U51" t="str">
        <f t="shared" si="8"/>
        <v>No Impact</v>
      </c>
      <c r="V51">
        <f t="shared" si="9"/>
        <v>4.7442978969053959E-2</v>
      </c>
      <c r="W51">
        <f t="shared" si="10"/>
        <v>6.2491287584041766E-2</v>
      </c>
      <c r="X51" t="s">
        <v>1176</v>
      </c>
      <c r="Y51">
        <f t="shared" si="12"/>
        <v>6.6964652936401692E-2</v>
      </c>
      <c r="Z51">
        <f t="shared" si="13"/>
        <v>0.12241582194409104</v>
      </c>
      <c r="AA51" t="str">
        <f t="shared" si="14"/>
        <v>No Impact</v>
      </c>
      <c r="AB51">
        <f t="shared" si="15"/>
        <v>3.8756575597188481E-2</v>
      </c>
      <c r="AC51">
        <f t="shared" si="16"/>
        <v>9.4375140481174111E-2</v>
      </c>
      <c r="AD51" t="str">
        <f t="shared" si="17"/>
        <v>No Impact</v>
      </c>
      <c r="AE51">
        <f t="shared" si="18"/>
        <v>5.8918202202831102E-3</v>
      </c>
      <c r="AF51">
        <f t="shared" si="19"/>
        <v>3.2236211149856912E-2</v>
      </c>
      <c r="AG51" t="s">
        <v>1176</v>
      </c>
    </row>
    <row r="52" spans="1:33" customFormat="1" x14ac:dyDescent="0.3">
      <c r="A52">
        <v>201204</v>
      </c>
      <c r="B52" t="s">
        <v>40</v>
      </c>
      <c r="C52" t="s">
        <v>1144</v>
      </c>
      <c r="D52" t="s">
        <v>596</v>
      </c>
      <c r="E52" s="18">
        <v>6</v>
      </c>
      <c r="F52" s="2">
        <f t="shared" si="0"/>
        <v>0.62222222222222223</v>
      </c>
      <c r="G52" s="10">
        <v>18.753119999999999</v>
      </c>
      <c r="H52">
        <f t="shared" si="1"/>
        <v>0.25126495883155908</v>
      </c>
      <c r="I52" s="22">
        <v>0.39999999999999974</v>
      </c>
      <c r="J52" s="2">
        <f t="shared" si="2"/>
        <v>2.0523345305284752E-3</v>
      </c>
      <c r="K52" s="8">
        <v>0</v>
      </c>
      <c r="L52" s="2">
        <v>0</v>
      </c>
      <c r="M52">
        <v>40696</v>
      </c>
      <c r="N52">
        <f t="shared" si="3"/>
        <v>0.19141909506844001</v>
      </c>
      <c r="O52" s="8">
        <v>0.69973283900000005</v>
      </c>
      <c r="P52">
        <f t="shared" si="4"/>
        <v>0.67514213354450947</v>
      </c>
      <c r="Q52" s="20">
        <v>0.27539999999999998</v>
      </c>
      <c r="R52" s="10">
        <f t="shared" si="5"/>
        <v>0.59636206149848414</v>
      </c>
      <c r="S52">
        <f t="shared" si="6"/>
        <v>5.0103511295729271E-2</v>
      </c>
      <c r="T52" s="11">
        <f t="shared" si="7"/>
        <v>9.1972612464204392E-2</v>
      </c>
      <c r="U52" t="str">
        <f t="shared" si="8"/>
        <v>No Impact</v>
      </c>
      <c r="V52">
        <f t="shared" si="9"/>
        <v>4.6999189465707365E-2</v>
      </c>
      <c r="W52">
        <f t="shared" si="10"/>
        <v>6.1906733703087101E-2</v>
      </c>
      <c r="X52" t="s">
        <v>1176</v>
      </c>
      <c r="Y52">
        <f t="shared" si="12"/>
        <v>5.3207833125751183E-2</v>
      </c>
      <c r="Z52">
        <f t="shared" si="13"/>
        <v>9.7267443947464505E-2</v>
      </c>
      <c r="AA52" t="str">
        <f t="shared" si="14"/>
        <v>No Impact</v>
      </c>
      <c r="AB52">
        <f t="shared" si="15"/>
        <v>3.7692063108428063E-2</v>
      </c>
      <c r="AC52">
        <f t="shared" si="16"/>
        <v>9.1782973497308379E-2</v>
      </c>
      <c r="AD52" t="str">
        <f t="shared" si="17"/>
        <v>No Impact</v>
      </c>
      <c r="AE52">
        <f t="shared" si="18"/>
        <v>1.5085705307728953E-2</v>
      </c>
      <c r="AF52">
        <f t="shared" si="19"/>
        <v>8.2539175239990603E-2</v>
      </c>
      <c r="AG52" t="s">
        <v>1176</v>
      </c>
    </row>
    <row r="53" spans="1:33" customFormat="1" x14ac:dyDescent="0.3">
      <c r="A53">
        <v>201207</v>
      </c>
      <c r="B53" t="s">
        <v>75</v>
      </c>
      <c r="C53" t="s">
        <v>1144</v>
      </c>
      <c r="D53" t="s">
        <v>1117</v>
      </c>
      <c r="E53" s="18">
        <v>5.2</v>
      </c>
      <c r="F53" s="2">
        <f t="shared" si="0"/>
        <v>0.44444444444444442</v>
      </c>
      <c r="G53" s="10">
        <v>15.361200000000002</v>
      </c>
      <c r="H53">
        <f t="shared" si="1"/>
        <v>0.20581808710248461</v>
      </c>
      <c r="I53" s="22">
        <v>0.70000000000000051</v>
      </c>
      <c r="J53" s="2">
        <f t="shared" si="2"/>
        <v>3.5915854284248364E-3</v>
      </c>
      <c r="K53" s="8">
        <v>0</v>
      </c>
      <c r="L53" s="2">
        <v>0</v>
      </c>
      <c r="M53">
        <v>16310</v>
      </c>
      <c r="N53">
        <f t="shared" si="3"/>
        <v>7.6038665171537664E-2</v>
      </c>
      <c r="O53" s="8">
        <v>0.791599575</v>
      </c>
      <c r="P53">
        <f t="shared" si="4"/>
        <v>0.77631394139514531</v>
      </c>
      <c r="Q53" s="20">
        <v>0.26979999999999998</v>
      </c>
      <c r="R53" s="10">
        <f t="shared" si="5"/>
        <v>0.58423559982676476</v>
      </c>
      <c r="S53">
        <f t="shared" si="6"/>
        <v>3.1656914876595478E-2</v>
      </c>
      <c r="T53" s="11">
        <f t="shared" si="7"/>
        <v>5.8111080210971153E-2</v>
      </c>
      <c r="U53" t="str">
        <f t="shared" si="8"/>
        <v>No Impact</v>
      </c>
      <c r="V53">
        <f t="shared" si="9"/>
        <v>2.7187685697916058E-2</v>
      </c>
      <c r="W53">
        <f t="shared" si="10"/>
        <v>3.5811273292961403E-2</v>
      </c>
      <c r="X53" t="s">
        <v>1176</v>
      </c>
      <c r="Y53">
        <f t="shared" si="12"/>
        <v>3.6126144055274888E-2</v>
      </c>
      <c r="Z53">
        <f t="shared" si="13"/>
        <v>6.6040984672872241E-2</v>
      </c>
      <c r="AA53" t="str">
        <f t="shared" si="14"/>
        <v>No Impact</v>
      </c>
      <c r="AB53">
        <f t="shared" si="15"/>
        <v>2.1592006808773243E-2</v>
      </c>
      <c r="AC53">
        <f t="shared" si="16"/>
        <v>5.2578140469052875E-2</v>
      </c>
      <c r="AD53" t="str">
        <f t="shared" si="17"/>
        <v>No Impact</v>
      </c>
      <c r="AE53">
        <f t="shared" si="18"/>
        <v>3.5384959940575936E-3</v>
      </c>
      <c r="AF53">
        <f t="shared" si="19"/>
        <v>1.9360350409993041E-2</v>
      </c>
      <c r="AG53" t="s">
        <v>1176</v>
      </c>
    </row>
    <row r="54" spans="1:33" customFormat="1" x14ac:dyDescent="0.3">
      <c r="A54">
        <v>201213</v>
      </c>
      <c r="B54" t="s">
        <v>89</v>
      </c>
      <c r="C54" t="s">
        <v>1144</v>
      </c>
      <c r="D54" t="s">
        <v>597</v>
      </c>
      <c r="E54" s="18">
        <v>6</v>
      </c>
      <c r="F54" s="2">
        <f t="shared" si="0"/>
        <v>0.62222222222222223</v>
      </c>
      <c r="G54" s="10">
        <v>15.361200000000002</v>
      </c>
      <c r="H54">
        <f t="shared" si="1"/>
        <v>0.20581808710248461</v>
      </c>
      <c r="I54" s="22">
        <v>0.70000000000000051</v>
      </c>
      <c r="J54" s="2">
        <f t="shared" si="2"/>
        <v>3.5915854284248364E-3</v>
      </c>
      <c r="K54" s="8">
        <v>0</v>
      </c>
      <c r="L54" s="2">
        <v>0</v>
      </c>
      <c r="M54">
        <v>60378</v>
      </c>
      <c r="N54">
        <f t="shared" si="3"/>
        <v>0.28454292108463092</v>
      </c>
      <c r="O54" s="8">
        <v>0.83918392200000003</v>
      </c>
      <c r="P54">
        <f t="shared" si="4"/>
        <v>0.82871805000941012</v>
      </c>
      <c r="Q54" s="20">
        <v>0.29239999999999999</v>
      </c>
      <c r="R54" s="10">
        <f t="shared" si="5"/>
        <v>0.63317453443048943</v>
      </c>
      <c r="S54">
        <f t="shared" si="6"/>
        <v>4.7620914037343774E-2</v>
      </c>
      <c r="T54" s="11">
        <f t="shared" si="7"/>
        <v>8.7415427755083056E-2</v>
      </c>
      <c r="U54" t="str">
        <f t="shared" si="8"/>
        <v>No Impact</v>
      </c>
      <c r="V54">
        <f t="shared" si="9"/>
        <v>4.1251115705333283E-2</v>
      </c>
      <c r="W54">
        <f t="shared" si="10"/>
        <v>5.4335444163108537E-2</v>
      </c>
      <c r="X54" t="s">
        <v>1176</v>
      </c>
      <c r="Y54">
        <f t="shared" si="12"/>
        <v>5.3990712369354259E-2</v>
      </c>
      <c r="Z54">
        <f t="shared" si="13"/>
        <v>9.8698599070147774E-2</v>
      </c>
      <c r="AA54" t="str">
        <f t="shared" si="14"/>
        <v>No Impact</v>
      </c>
      <c r="AB54">
        <f t="shared" si="15"/>
        <v>3.7123361888430094E-2</v>
      </c>
      <c r="AC54">
        <f t="shared" si="16"/>
        <v>9.0398143782553675E-2</v>
      </c>
      <c r="AD54" t="str">
        <f t="shared" si="17"/>
        <v>No Impact</v>
      </c>
      <c r="AE54">
        <f t="shared" si="18"/>
        <v>1.8537879087877632E-2</v>
      </c>
      <c r="AF54">
        <f t="shared" si="19"/>
        <v>0.1014272265963039</v>
      </c>
      <c r="AG54" t="s">
        <v>1176</v>
      </c>
    </row>
    <row r="55" spans="1:33" customFormat="1" x14ac:dyDescent="0.3">
      <c r="A55">
        <v>201233</v>
      </c>
      <c r="B55" t="s">
        <v>13</v>
      </c>
      <c r="C55" t="s">
        <v>1144</v>
      </c>
      <c r="D55" t="s">
        <v>598</v>
      </c>
      <c r="E55" s="18">
        <v>6</v>
      </c>
      <c r="F55" s="2">
        <f t="shared" si="0"/>
        <v>0.62222222222222223</v>
      </c>
      <c r="G55" s="10">
        <v>16.16112</v>
      </c>
      <c r="H55">
        <f t="shared" si="1"/>
        <v>0.21653586984309206</v>
      </c>
      <c r="I55" s="22">
        <v>0.70000000000000051</v>
      </c>
      <c r="J55" s="2">
        <f t="shared" si="2"/>
        <v>3.5915854284248364E-3</v>
      </c>
      <c r="K55" s="8">
        <v>0</v>
      </c>
      <c r="L55" s="2">
        <v>0</v>
      </c>
      <c r="M55">
        <v>21752</v>
      </c>
      <c r="N55">
        <f t="shared" si="3"/>
        <v>0.10178705767128926</v>
      </c>
      <c r="O55" s="8">
        <v>0.87803279599999995</v>
      </c>
      <c r="P55">
        <f t="shared" si="4"/>
        <v>0.87150188000791529</v>
      </c>
      <c r="Q55" s="20">
        <v>0.32090000000000002</v>
      </c>
      <c r="R55" s="10">
        <f t="shared" si="5"/>
        <v>0.69488956258120405</v>
      </c>
      <c r="S55">
        <f t="shared" si="6"/>
        <v>5.3636451900301384E-2</v>
      </c>
      <c r="T55" s="11">
        <f t="shared" si="7"/>
        <v>9.845786207406676E-2</v>
      </c>
      <c r="U55" t="str">
        <f t="shared" si="8"/>
        <v>No Impact</v>
      </c>
      <c r="V55">
        <f t="shared" si="9"/>
        <v>4.7588884344007355E-2</v>
      </c>
      <c r="W55">
        <f t="shared" si="10"/>
        <v>6.2683472285432834E-2</v>
      </c>
      <c r="X55" t="s">
        <v>1176</v>
      </c>
      <c r="Y55">
        <f t="shared" si="12"/>
        <v>5.9684019456595412E-2</v>
      </c>
      <c r="Z55">
        <f t="shared" si="13"/>
        <v>0.1091063416045063</v>
      </c>
      <c r="AA55" t="str">
        <f t="shared" si="14"/>
        <v>No Impact</v>
      </c>
      <c r="AB55">
        <f t="shared" si="15"/>
        <v>3.7001093520165736E-2</v>
      </c>
      <c r="AC55">
        <f t="shared" si="16"/>
        <v>9.0100411223534974E-2</v>
      </c>
      <c r="AD55" t="str">
        <f t="shared" si="17"/>
        <v>No Impact</v>
      </c>
      <c r="AE55">
        <f t="shared" si="18"/>
        <v>6.9707947508129897E-3</v>
      </c>
      <c r="AF55">
        <f t="shared" si="19"/>
        <v>3.81396585550813E-2</v>
      </c>
      <c r="AG55" t="s">
        <v>1176</v>
      </c>
    </row>
    <row r="56" spans="1:33" customFormat="1" x14ac:dyDescent="0.3">
      <c r="A56">
        <v>201263</v>
      </c>
      <c r="B56" t="s">
        <v>259</v>
      </c>
      <c r="C56" t="s">
        <v>1144</v>
      </c>
      <c r="D56" t="s">
        <v>599</v>
      </c>
      <c r="E56" s="18">
        <v>5.9</v>
      </c>
      <c r="F56" s="2">
        <f t="shared" si="0"/>
        <v>0.60000000000000009</v>
      </c>
      <c r="G56" s="10">
        <v>17.063639999999999</v>
      </c>
      <c r="H56">
        <f t="shared" si="1"/>
        <v>0.228628345689493</v>
      </c>
      <c r="I56" s="22">
        <v>1.5</v>
      </c>
      <c r="J56" s="2">
        <f t="shared" si="2"/>
        <v>7.6962544894817863E-3</v>
      </c>
      <c r="K56" s="8">
        <v>0</v>
      </c>
      <c r="L56" s="2">
        <v>0</v>
      </c>
      <c r="M56">
        <v>28839</v>
      </c>
      <c r="N56">
        <f t="shared" si="3"/>
        <v>0.13531863754003964</v>
      </c>
      <c r="O56" s="8">
        <v>0.94135772799999995</v>
      </c>
      <c r="P56">
        <f t="shared" si="4"/>
        <v>0.94124091865688375</v>
      </c>
      <c r="Q56" s="20">
        <v>0.32390000000000002</v>
      </c>
      <c r="R56" s="10">
        <f t="shared" si="5"/>
        <v>0.70138588133391089</v>
      </c>
      <c r="S56">
        <f t="shared" si="6"/>
        <v>5.8228968262664008E-2</v>
      </c>
      <c r="T56" s="11">
        <f t="shared" si="7"/>
        <v>0.10688812407981763</v>
      </c>
      <c r="U56" t="str">
        <f t="shared" si="8"/>
        <v>No Impact</v>
      </c>
      <c r="V56">
        <f t="shared" si="9"/>
        <v>4.9726421393224307E-2</v>
      </c>
      <c r="W56">
        <f t="shared" si="10"/>
        <v>6.5499008859375416E-2</v>
      </c>
      <c r="X56" t="s">
        <v>1176</v>
      </c>
      <c r="Y56">
        <f t="shared" si="12"/>
        <v>6.6731515132103708E-2</v>
      </c>
      <c r="Z56">
        <f t="shared" si="13"/>
        <v>0.12198963059256587</v>
      </c>
      <c r="AA56" t="str">
        <f t="shared" si="14"/>
        <v>No Impact</v>
      </c>
      <c r="AB56">
        <f t="shared" si="15"/>
        <v>4.0781509933168029E-2</v>
      </c>
      <c r="AC56">
        <f t="shared" si="16"/>
        <v>9.9306006004728942E-2</v>
      </c>
      <c r="AD56" t="str">
        <f t="shared" si="17"/>
        <v>No Impact</v>
      </c>
      <c r="AE56">
        <f t="shared" si="18"/>
        <v>9.5937368740240444E-3</v>
      </c>
      <c r="AF56">
        <f t="shared" si="19"/>
        <v>5.2490693202506884E-2</v>
      </c>
      <c r="AG56" t="s">
        <v>1176</v>
      </c>
    </row>
    <row r="57" spans="1:33" customFormat="1" x14ac:dyDescent="0.3">
      <c r="A57">
        <v>201285</v>
      </c>
      <c r="B57" t="s">
        <v>356</v>
      </c>
      <c r="C57" t="s">
        <v>1144</v>
      </c>
      <c r="D57" t="s">
        <v>600</v>
      </c>
      <c r="E57" s="18">
        <v>6</v>
      </c>
      <c r="F57" s="2">
        <f t="shared" si="0"/>
        <v>0.62222222222222223</v>
      </c>
      <c r="G57" s="10">
        <v>17.307000000000002</v>
      </c>
      <c r="H57">
        <f t="shared" si="1"/>
        <v>0.23188902126674357</v>
      </c>
      <c r="I57" s="22">
        <v>0.70000000000000051</v>
      </c>
      <c r="J57" s="2">
        <f t="shared" si="2"/>
        <v>3.5915854284248364E-3</v>
      </c>
      <c r="K57" s="8">
        <v>0</v>
      </c>
      <c r="L57" s="2">
        <v>0</v>
      </c>
      <c r="M57">
        <v>31740</v>
      </c>
      <c r="N57">
        <f t="shared" si="3"/>
        <v>0.14904448955065697</v>
      </c>
      <c r="O57" s="8">
        <v>0.80501187699999999</v>
      </c>
      <c r="P57">
        <f t="shared" si="4"/>
        <v>0.79108475942854861</v>
      </c>
      <c r="Q57" s="20">
        <v>0.28299999999999997</v>
      </c>
      <c r="R57" s="10">
        <f t="shared" si="5"/>
        <v>0.61281940233867471</v>
      </c>
      <c r="S57">
        <f t="shared" si="6"/>
        <v>5.1425453917416077E-2</v>
      </c>
      <c r="T57" s="11">
        <f t="shared" si="7"/>
        <v>9.4399239127686926E-2</v>
      </c>
      <c r="U57" t="str">
        <f t="shared" si="8"/>
        <v>No Impact</v>
      </c>
      <c r="V57">
        <f t="shared" si="9"/>
        <v>4.4895537448932064E-2</v>
      </c>
      <c r="W57">
        <f t="shared" si="10"/>
        <v>5.9135830062259587E-2</v>
      </c>
      <c r="X57" t="s">
        <v>1176</v>
      </c>
      <c r="Y57">
        <f t="shared" si="12"/>
        <v>5.7955370385900082E-2</v>
      </c>
      <c r="Z57">
        <f t="shared" si="13"/>
        <v>0.10594625658109799</v>
      </c>
      <c r="AA57" t="str">
        <f t="shared" si="14"/>
        <v>No Impact</v>
      </c>
      <c r="AB57">
        <f t="shared" si="15"/>
        <v>3.6921732010394157E-2</v>
      </c>
      <c r="AC57">
        <f t="shared" si="16"/>
        <v>8.990716005213803E-2</v>
      </c>
      <c r="AD57" t="str">
        <f t="shared" si="17"/>
        <v>No Impact</v>
      </c>
      <c r="AE57">
        <f t="shared" si="18"/>
        <v>1.0919093678565455E-2</v>
      </c>
      <c r="AF57">
        <f t="shared" si="19"/>
        <v>5.9742184287216796E-2</v>
      </c>
      <c r="AG57" t="s">
        <v>1176</v>
      </c>
    </row>
    <row r="58" spans="1:33" customFormat="1" x14ac:dyDescent="0.3">
      <c r="A58">
        <v>201290</v>
      </c>
      <c r="B58" t="s">
        <v>374</v>
      </c>
      <c r="C58" t="s">
        <v>1144</v>
      </c>
      <c r="D58" t="s">
        <v>601</v>
      </c>
      <c r="E58" s="18">
        <v>5.8</v>
      </c>
      <c r="F58" s="2">
        <f t="shared" si="0"/>
        <v>0.57777777777777772</v>
      </c>
      <c r="G58" s="10">
        <v>19.226880000000001</v>
      </c>
      <c r="H58">
        <f t="shared" si="1"/>
        <v>0.25761266454111781</v>
      </c>
      <c r="I58" s="22">
        <v>1.4</v>
      </c>
      <c r="J58" s="2">
        <f t="shared" si="2"/>
        <v>7.1831708568496667E-3</v>
      </c>
      <c r="K58" s="8">
        <v>0</v>
      </c>
      <c r="L58" s="2">
        <v>0</v>
      </c>
      <c r="M58">
        <v>31073</v>
      </c>
      <c r="N58">
        <f t="shared" si="3"/>
        <v>0.14588863181502038</v>
      </c>
      <c r="O58" s="8">
        <v>0.67167999700000003</v>
      </c>
      <c r="P58">
        <f t="shared" si="4"/>
        <v>0.64424785271920348</v>
      </c>
      <c r="Q58" s="20">
        <v>0.28899999999999998</v>
      </c>
      <c r="R58" s="10">
        <f t="shared" si="5"/>
        <v>0.62581203984408829</v>
      </c>
      <c r="S58">
        <f t="shared" si="6"/>
        <v>4.8577615703752727E-2</v>
      </c>
      <c r="T58" s="11">
        <f t="shared" si="7"/>
        <v>8.917159911579145E-2</v>
      </c>
      <c r="U58" t="str">
        <f t="shared" si="8"/>
        <v>No Impact</v>
      </c>
      <c r="V58">
        <f t="shared" si="9"/>
        <v>4.7872477435646196E-2</v>
      </c>
      <c r="W58">
        <f t="shared" si="10"/>
        <v>6.3057017493418396E-2</v>
      </c>
      <c r="X58" t="s">
        <v>1176</v>
      </c>
      <c r="Y58">
        <f t="shared" si="12"/>
        <v>4.9282753971859251E-2</v>
      </c>
      <c r="Z58">
        <f t="shared" si="13"/>
        <v>9.0092139219526385E-2</v>
      </c>
      <c r="AA58" t="str">
        <f t="shared" si="14"/>
        <v>No Impact</v>
      </c>
      <c r="AB58">
        <f t="shared" si="15"/>
        <v>3.5446186510060339E-2</v>
      </c>
      <c r="AC58">
        <f t="shared" si="16"/>
        <v>8.6314097152884614E-2</v>
      </c>
      <c r="AD58" t="str">
        <f t="shared" si="17"/>
        <v>No Impact</v>
      </c>
      <c r="AE58">
        <f t="shared" si="18"/>
        <v>1.115998061721828E-2</v>
      </c>
      <c r="AF58">
        <f t="shared" si="19"/>
        <v>6.1060161063039388E-2</v>
      </c>
      <c r="AG58" t="s">
        <v>1176</v>
      </c>
    </row>
    <row r="59" spans="1:33" customFormat="1" x14ac:dyDescent="0.3">
      <c r="A59">
        <v>201294</v>
      </c>
      <c r="B59" t="s">
        <v>458</v>
      </c>
      <c r="C59" t="s">
        <v>1144</v>
      </c>
      <c r="D59" t="s">
        <v>602</v>
      </c>
      <c r="E59" s="18">
        <v>5.5</v>
      </c>
      <c r="F59" s="2">
        <f t="shared" si="0"/>
        <v>0.51111111111111107</v>
      </c>
      <c r="G59" s="10">
        <v>18.081</v>
      </c>
      <c r="H59">
        <f t="shared" si="1"/>
        <v>0.24225951311746632</v>
      </c>
      <c r="I59" s="22">
        <v>1.0999999999999999</v>
      </c>
      <c r="J59" s="2">
        <f t="shared" si="2"/>
        <v>5.643919958953309E-3</v>
      </c>
      <c r="K59" s="8">
        <v>0</v>
      </c>
      <c r="L59" s="2">
        <v>0</v>
      </c>
      <c r="M59">
        <v>26913</v>
      </c>
      <c r="N59">
        <f t="shared" si="3"/>
        <v>0.12620592090010552</v>
      </c>
      <c r="O59" s="8">
        <v>0.64343845700000002</v>
      </c>
      <c r="P59">
        <f t="shared" si="4"/>
        <v>0.61314576089909079</v>
      </c>
      <c r="Q59" s="20">
        <v>0.2959</v>
      </c>
      <c r="R59" s="10">
        <f t="shared" si="5"/>
        <v>0.64075357297531399</v>
      </c>
      <c r="S59">
        <f t="shared" si="6"/>
        <v>3.9719204671072851E-2</v>
      </c>
      <c r="T59" s="11">
        <f t="shared" si="7"/>
        <v>7.291063887792594E-2</v>
      </c>
      <c r="U59" t="str">
        <f t="shared" si="8"/>
        <v>No Impact</v>
      </c>
      <c r="V59">
        <f t="shared" si="9"/>
        <v>4.0593724904677081E-2</v>
      </c>
      <c r="W59">
        <f t="shared" si="10"/>
        <v>5.3469537374124937E-2</v>
      </c>
      <c r="X59" t="s">
        <v>1176</v>
      </c>
      <c r="Y59">
        <f t="shared" si="12"/>
        <v>3.8844684437468635E-2</v>
      </c>
      <c r="Z59">
        <f t="shared" si="13"/>
        <v>7.1010656593527371E-2</v>
      </c>
      <c r="AA59" t="str">
        <f t="shared" si="14"/>
        <v>No Impact</v>
      </c>
      <c r="AB59">
        <f t="shared" si="15"/>
        <v>2.8659646743199155E-2</v>
      </c>
      <c r="AC59">
        <f t="shared" si="16"/>
        <v>6.978836870526961E-2</v>
      </c>
      <c r="AD59" t="str">
        <f t="shared" si="17"/>
        <v>No Impact</v>
      </c>
      <c r="AE59">
        <f t="shared" si="18"/>
        <v>7.9955362723473991E-3</v>
      </c>
      <c r="AF59">
        <f t="shared" si="19"/>
        <v>4.3746378181129489E-2</v>
      </c>
      <c r="AG59" t="s">
        <v>1176</v>
      </c>
    </row>
    <row r="60" spans="1:33" customFormat="1" x14ac:dyDescent="0.3">
      <c r="A60">
        <v>201322</v>
      </c>
      <c r="B60" t="s">
        <v>98</v>
      </c>
      <c r="C60" t="s">
        <v>604</v>
      </c>
      <c r="D60" t="s">
        <v>603</v>
      </c>
      <c r="E60" s="18">
        <v>6</v>
      </c>
      <c r="F60" s="2">
        <f t="shared" si="0"/>
        <v>0.62222222222222223</v>
      </c>
      <c r="G60" s="10">
        <v>21.115080000000003</v>
      </c>
      <c r="H60">
        <f t="shared" si="1"/>
        <v>0.28291184117229973</v>
      </c>
      <c r="I60" s="22">
        <v>47.099999999999994</v>
      </c>
      <c r="J60" s="2">
        <f t="shared" si="2"/>
        <v>0.24166239096972805</v>
      </c>
      <c r="K60" s="8">
        <v>0</v>
      </c>
      <c r="L60" s="2">
        <v>0</v>
      </c>
      <c r="M60">
        <v>31606</v>
      </c>
      <c r="N60">
        <f t="shared" si="3"/>
        <v>0.14841047915099384</v>
      </c>
      <c r="O60" s="8">
        <v>0.85805156400000004</v>
      </c>
      <c r="P60">
        <f t="shared" si="4"/>
        <v>0.84949677290883463</v>
      </c>
      <c r="Q60" s="20">
        <v>0.32750000000000001</v>
      </c>
      <c r="R60" s="10">
        <f t="shared" si="5"/>
        <v>0.70918146383715897</v>
      </c>
      <c r="S60">
        <f t="shared" si="6"/>
        <v>0.12718882387516967</v>
      </c>
      <c r="T60" s="11">
        <f t="shared" si="7"/>
        <v>0.23347442335934715</v>
      </c>
      <c r="U60" t="str">
        <f t="shared" si="8"/>
        <v>Low</v>
      </c>
      <c r="V60">
        <f t="shared" si="9"/>
        <v>0.11573903346187371</v>
      </c>
      <c r="W60">
        <f t="shared" si="10"/>
        <v>0.15244998062795986</v>
      </c>
      <c r="X60" t="s">
        <v>1176</v>
      </c>
      <c r="Y60">
        <f t="shared" si="12"/>
        <v>0.13863861428846569</v>
      </c>
      <c r="Z60">
        <f t="shared" si="13"/>
        <v>0.25344057166145134</v>
      </c>
      <c r="AA60" t="str">
        <f t="shared" si="14"/>
        <v>Low</v>
      </c>
      <c r="AB60">
        <f t="shared" si="15"/>
        <v>9.057749787370814E-2</v>
      </c>
      <c r="AC60">
        <f t="shared" si="16"/>
        <v>0.22056293556762463</v>
      </c>
      <c r="AD60" t="str">
        <f t="shared" si="17"/>
        <v>Low</v>
      </c>
      <c r="AE60">
        <f t="shared" si="18"/>
        <v>2.422071964432183E-2</v>
      </c>
      <c r="AF60">
        <f t="shared" si="19"/>
        <v>0.13252003684157354</v>
      </c>
      <c r="AG60" t="s">
        <v>1175</v>
      </c>
    </row>
    <row r="61" spans="1:33" customFormat="1" x14ac:dyDescent="0.3">
      <c r="A61">
        <v>201345</v>
      </c>
      <c r="B61" t="s">
        <v>161</v>
      </c>
      <c r="C61" t="s">
        <v>604</v>
      </c>
      <c r="D61" t="s">
        <v>605</v>
      </c>
      <c r="E61" s="18">
        <v>6</v>
      </c>
      <c r="F61" s="2">
        <f t="shared" si="0"/>
        <v>0.62222222222222223</v>
      </c>
      <c r="G61" s="10">
        <v>21.25404</v>
      </c>
      <c r="H61">
        <f t="shared" si="1"/>
        <v>0.28477370622084808</v>
      </c>
      <c r="I61" s="22">
        <v>39.300000000000004</v>
      </c>
      <c r="J61" s="2">
        <f t="shared" si="2"/>
        <v>0.20164186762442282</v>
      </c>
      <c r="K61" s="8">
        <v>0</v>
      </c>
      <c r="L61" s="2">
        <v>0</v>
      </c>
      <c r="M61">
        <v>25019</v>
      </c>
      <c r="N61">
        <f t="shared" si="3"/>
        <v>0.11724460972874765</v>
      </c>
      <c r="O61" s="8">
        <v>0.846689413</v>
      </c>
      <c r="P61">
        <f t="shared" si="4"/>
        <v>0.83698376321899526</v>
      </c>
      <c r="Q61" s="20">
        <v>0.3659</v>
      </c>
      <c r="R61" s="10">
        <f t="shared" si="5"/>
        <v>0.79233434387180601</v>
      </c>
      <c r="S61">
        <f t="shared" si="6"/>
        <v>0.12328177587243197</v>
      </c>
      <c r="T61" s="11">
        <f t="shared" si="7"/>
        <v>0.22630244274278169</v>
      </c>
      <c r="U61" t="str">
        <f t="shared" si="8"/>
        <v>Low</v>
      </c>
      <c r="V61">
        <f t="shared" si="9"/>
        <v>0.11990339341609089</v>
      </c>
      <c r="W61">
        <f t="shared" si="10"/>
        <v>0.15793522251532532</v>
      </c>
      <c r="X61" t="s">
        <v>1176</v>
      </c>
      <c r="Y61">
        <f t="shared" si="12"/>
        <v>0.12666015832877306</v>
      </c>
      <c r="Z61">
        <f t="shared" si="13"/>
        <v>0.23154316060013355</v>
      </c>
      <c r="AA61" t="str">
        <f t="shared" si="14"/>
        <v>Low</v>
      </c>
      <c r="AB61">
        <f t="shared" si="15"/>
        <v>8.6174125420824199E-2</v>
      </c>
      <c r="AC61">
        <f t="shared" si="16"/>
        <v>0.20984039655512216</v>
      </c>
      <c r="AD61" t="str">
        <f t="shared" si="17"/>
        <v>Low</v>
      </c>
      <c r="AE61">
        <f t="shared" si="18"/>
        <v>1.7742543504458461E-2</v>
      </c>
      <c r="AF61">
        <f t="shared" si="19"/>
        <v>9.7075667172641947E-2</v>
      </c>
      <c r="AG61" t="s">
        <v>1176</v>
      </c>
    </row>
    <row r="62" spans="1:33" customFormat="1" x14ac:dyDescent="0.3">
      <c r="A62">
        <v>201347</v>
      </c>
      <c r="B62" t="s">
        <v>196</v>
      </c>
      <c r="C62" t="s">
        <v>604</v>
      </c>
      <c r="D62" t="s">
        <v>606</v>
      </c>
      <c r="E62" s="18">
        <v>6</v>
      </c>
      <c r="F62" s="2">
        <f t="shared" si="0"/>
        <v>0.62222222222222223</v>
      </c>
      <c r="G62" s="10">
        <v>23.973480000000002</v>
      </c>
      <c r="H62">
        <f t="shared" si="1"/>
        <v>0.32121030875124812</v>
      </c>
      <c r="I62" s="22">
        <v>56.7</v>
      </c>
      <c r="J62" s="2">
        <f t="shared" si="2"/>
        <v>0.29091841970241156</v>
      </c>
      <c r="K62" s="8">
        <v>0</v>
      </c>
      <c r="L62" s="2">
        <v>0</v>
      </c>
      <c r="M62">
        <v>5413</v>
      </c>
      <c r="N62">
        <f t="shared" si="3"/>
        <v>2.4480371700425354E-2</v>
      </c>
      <c r="O62" s="8">
        <v>0.769642139</v>
      </c>
      <c r="P62">
        <f t="shared" si="4"/>
        <v>0.75213246295571723</v>
      </c>
      <c r="Q62" s="20">
        <v>0.28320000000000001</v>
      </c>
      <c r="R62" s="10">
        <f t="shared" si="5"/>
        <v>0.61325249025552186</v>
      </c>
      <c r="S62">
        <f t="shared" si="6"/>
        <v>0.13001198859583749</v>
      </c>
      <c r="T62" s="11">
        <f t="shared" si="7"/>
        <v>0.23865677142361799</v>
      </c>
      <c r="U62" t="str">
        <f t="shared" si="8"/>
        <v>Low</v>
      </c>
      <c r="V62">
        <f t="shared" si="9"/>
        <v>0.11678783420302535</v>
      </c>
      <c r="W62">
        <f t="shared" si="10"/>
        <v>0.15383144760490527</v>
      </c>
      <c r="X62" t="s">
        <v>1176</v>
      </c>
      <c r="Y62">
        <f t="shared" si="12"/>
        <v>0.14323614298864965</v>
      </c>
      <c r="Z62">
        <f t="shared" si="13"/>
        <v>0.26184515870947334</v>
      </c>
      <c r="AA62" t="str">
        <f t="shared" si="14"/>
        <v>Low</v>
      </c>
      <c r="AB62">
        <f t="shared" si="15"/>
        <v>8.5478299981546338E-2</v>
      </c>
      <c r="AC62">
        <f t="shared" si="16"/>
        <v>0.20814600992342536</v>
      </c>
      <c r="AD62" t="str">
        <f t="shared" si="17"/>
        <v>Low</v>
      </c>
      <c r="AE62">
        <f t="shared" si="18"/>
        <v>4.6620431825502347E-3</v>
      </c>
      <c r="AF62">
        <f t="shared" si="19"/>
        <v>2.5507670431807371E-2</v>
      </c>
      <c r="AG62" t="s">
        <v>1176</v>
      </c>
    </row>
    <row r="63" spans="1:33" customFormat="1" x14ac:dyDescent="0.3">
      <c r="A63">
        <v>201349</v>
      </c>
      <c r="B63" t="s">
        <v>197</v>
      </c>
      <c r="C63" t="s">
        <v>604</v>
      </c>
      <c r="D63" t="s">
        <v>607</v>
      </c>
      <c r="E63" s="18">
        <v>4.5999999999999996</v>
      </c>
      <c r="F63" s="2">
        <f t="shared" si="0"/>
        <v>0.31111111111111101</v>
      </c>
      <c r="G63" s="10">
        <v>20.409120000000001</v>
      </c>
      <c r="H63">
        <f t="shared" si="1"/>
        <v>0.2734529879075242</v>
      </c>
      <c r="I63" s="22">
        <v>17.5</v>
      </c>
      <c r="J63" s="2">
        <f t="shared" si="2"/>
        <v>8.9789635710620846E-2</v>
      </c>
      <c r="K63" s="8">
        <v>0</v>
      </c>
      <c r="L63" s="2">
        <v>0</v>
      </c>
      <c r="M63">
        <v>29282</v>
      </c>
      <c r="N63">
        <f t="shared" si="3"/>
        <v>0.13741465699564237</v>
      </c>
      <c r="O63" s="8">
        <v>0.92798871100000002</v>
      </c>
      <c r="P63">
        <f t="shared" si="4"/>
        <v>0.92651776990937762</v>
      </c>
      <c r="Q63" s="20">
        <v>0.28999999999999998</v>
      </c>
      <c r="R63" s="10">
        <f t="shared" si="5"/>
        <v>0.62797747942832394</v>
      </c>
      <c r="S63">
        <f t="shared" si="6"/>
        <v>4.3917916993328705E-2</v>
      </c>
      <c r="T63" s="11">
        <f t="shared" si="7"/>
        <v>8.0618013696114252E-2</v>
      </c>
      <c r="U63" t="str">
        <f t="shared" si="8"/>
        <v>No Impact</v>
      </c>
      <c r="V63">
        <f t="shared" si="9"/>
        <v>3.5483495786768404E-2</v>
      </c>
      <c r="W63">
        <f t="shared" si="10"/>
        <v>4.6738408672533982E-2</v>
      </c>
      <c r="X63" t="s">
        <v>1176</v>
      </c>
      <c r="Y63">
        <f t="shared" si="12"/>
        <v>5.2352338199889013E-2</v>
      </c>
      <c r="Z63">
        <f t="shared" si="13"/>
        <v>9.5703542546857256E-2</v>
      </c>
      <c r="AA63" t="str">
        <f t="shared" si="14"/>
        <v>No Impact</v>
      </c>
      <c r="AB63">
        <f t="shared" si="15"/>
        <v>3.0842511836450696E-2</v>
      </c>
      <c r="AC63">
        <f t="shared" si="16"/>
        <v>7.5103807354137492E-2</v>
      </c>
      <c r="AD63" t="str">
        <f t="shared" si="17"/>
        <v>No Impact</v>
      </c>
      <c r="AE63">
        <f t="shared" si="18"/>
        <v>7.7645338603287168E-3</v>
      </c>
      <c r="AF63">
        <f t="shared" si="19"/>
        <v>4.2482483111092428E-2</v>
      </c>
      <c r="AG63" t="s">
        <v>1176</v>
      </c>
    </row>
    <row r="64" spans="1:33" customFormat="1" x14ac:dyDescent="0.3">
      <c r="A64">
        <v>201358</v>
      </c>
      <c r="B64" t="s">
        <v>230</v>
      </c>
      <c r="C64" t="s">
        <v>604</v>
      </c>
      <c r="D64" t="s">
        <v>1118</v>
      </c>
      <c r="E64" s="18">
        <v>5.6</v>
      </c>
      <c r="F64" s="2">
        <f t="shared" si="0"/>
        <v>0.53333333333333321</v>
      </c>
      <c r="G64" s="10">
        <v>20.018160000000002</v>
      </c>
      <c r="H64">
        <f t="shared" si="1"/>
        <v>0.26821468365176376</v>
      </c>
      <c r="I64" s="22">
        <v>11.2</v>
      </c>
      <c r="J64" s="2">
        <f t="shared" si="2"/>
        <v>5.7465366854797334E-2</v>
      </c>
      <c r="K64" s="8">
        <v>0</v>
      </c>
      <c r="L64" s="2">
        <v>0</v>
      </c>
      <c r="M64">
        <v>41920</v>
      </c>
      <c r="N64">
        <f t="shared" si="3"/>
        <v>0.19721035424148226</v>
      </c>
      <c r="O64" s="8">
        <v>0.96081656400000004</v>
      </c>
      <c r="P64">
        <f t="shared" si="4"/>
        <v>0.96267071688971795</v>
      </c>
      <c r="Q64" s="20">
        <v>0.3014</v>
      </c>
      <c r="R64" s="10">
        <f t="shared" si="5"/>
        <v>0.65266349068860985</v>
      </c>
      <c r="S64">
        <f t="shared" si="6"/>
        <v>7.0144283507878075E-2</v>
      </c>
      <c r="T64" s="11">
        <f t="shared" si="7"/>
        <v>0.12876049675582826</v>
      </c>
      <c r="U64" t="str">
        <f t="shared" si="8"/>
        <v>No Impact</v>
      </c>
      <c r="V64">
        <f t="shared" si="9"/>
        <v>5.6682527629667967E-2</v>
      </c>
      <c r="W64">
        <f t="shared" si="10"/>
        <v>7.4661503389288689E-2</v>
      </c>
      <c r="X64" t="s">
        <v>1176</v>
      </c>
      <c r="Y64">
        <f t="shared" si="12"/>
        <v>8.3606039386088182E-2</v>
      </c>
      <c r="Z64">
        <f t="shared" si="13"/>
        <v>0.15283737885804069</v>
      </c>
      <c r="AA64" t="str">
        <f t="shared" si="14"/>
        <v>Low</v>
      </c>
      <c r="AB64">
        <f t="shared" si="15"/>
        <v>5.0915261111656632E-2</v>
      </c>
      <c r="AC64">
        <f t="shared" si="16"/>
        <v>0.12398244287601186</v>
      </c>
      <c r="AD64" t="str">
        <f t="shared" si="17"/>
        <v>No Impact</v>
      </c>
      <c r="AE64">
        <f t="shared" si="18"/>
        <v>1.7127327501275397E-2</v>
      </c>
      <c r="AF64">
        <f t="shared" si="19"/>
        <v>9.3709605032268745E-2</v>
      </c>
      <c r="AG64" t="s">
        <v>1176</v>
      </c>
    </row>
    <row r="65" spans="1:33" customFormat="1" x14ac:dyDescent="0.3">
      <c r="A65">
        <v>201376</v>
      </c>
      <c r="B65" t="s">
        <v>326</v>
      </c>
      <c r="C65" t="s">
        <v>604</v>
      </c>
      <c r="D65" t="s">
        <v>608</v>
      </c>
      <c r="E65" s="18">
        <v>6</v>
      </c>
      <c r="F65" s="2">
        <f t="shared" si="0"/>
        <v>0.62222222222222223</v>
      </c>
      <c r="G65" s="10">
        <v>19.71828</v>
      </c>
      <c r="H65">
        <f t="shared" si="1"/>
        <v>0.26419672099518138</v>
      </c>
      <c r="I65" s="22">
        <v>18.199999999999996</v>
      </c>
      <c r="J65" s="2">
        <f t="shared" si="2"/>
        <v>9.338122113904565E-2</v>
      </c>
      <c r="K65" s="8">
        <v>0</v>
      </c>
      <c r="L65" s="2">
        <v>0</v>
      </c>
      <c r="M65">
        <v>14716</v>
      </c>
      <c r="N65">
        <f t="shared" si="3"/>
        <v>6.8496780268082313E-2</v>
      </c>
      <c r="O65" s="8">
        <v>0.86178397799999995</v>
      </c>
      <c r="P65">
        <f t="shared" si="4"/>
        <v>0.85360723866030108</v>
      </c>
      <c r="Q65" s="20">
        <v>0.28999999999999998</v>
      </c>
      <c r="R65" s="10">
        <f t="shared" si="5"/>
        <v>0.62797747942832394</v>
      </c>
      <c r="S65">
        <f t="shared" si="6"/>
        <v>8.2410535603145457E-2</v>
      </c>
      <c r="T65" s="11">
        <f t="shared" si="7"/>
        <v>0.15127706737475063</v>
      </c>
      <c r="U65" t="str">
        <f t="shared" si="8"/>
        <v>Low</v>
      </c>
      <c r="V65">
        <f t="shared" si="9"/>
        <v>6.9860278382414778E-2</v>
      </c>
      <c r="W65">
        <f t="shared" si="10"/>
        <v>9.2019068826692446E-2</v>
      </c>
      <c r="X65" t="s">
        <v>1176</v>
      </c>
      <c r="Y65">
        <f t="shared" si="12"/>
        <v>9.4960792823876136E-2</v>
      </c>
      <c r="Z65">
        <f t="shared" si="13"/>
        <v>0.17359462038932186</v>
      </c>
      <c r="AA65" t="str">
        <f t="shared" si="14"/>
        <v>Low</v>
      </c>
      <c r="AB65">
        <f t="shared" si="15"/>
        <v>5.5606344056170189E-2</v>
      </c>
      <c r="AC65">
        <f t="shared" si="16"/>
        <v>0.13540557830723979</v>
      </c>
      <c r="AD65" t="str">
        <f t="shared" si="17"/>
        <v>No Impact</v>
      </c>
      <c r="AE65">
        <f t="shared" si="18"/>
        <v>7.6200250718919281E-3</v>
      </c>
      <c r="AF65">
        <f t="shared" si="19"/>
        <v>4.1691824937066461E-2</v>
      </c>
      <c r="AG65" t="s">
        <v>1176</v>
      </c>
    </row>
    <row r="66" spans="1:33" customFormat="1" x14ac:dyDescent="0.3">
      <c r="A66">
        <v>201379</v>
      </c>
      <c r="B66" t="s">
        <v>327</v>
      </c>
      <c r="C66" t="s">
        <v>604</v>
      </c>
      <c r="D66" t="s">
        <v>1119</v>
      </c>
      <c r="E66" s="18">
        <v>5.3</v>
      </c>
      <c r="F66" s="2">
        <f t="shared" ref="F66:F129" si="22">(E66-$AJ$5)/$AK$5</f>
        <v>0.46666666666666656</v>
      </c>
      <c r="G66" s="10">
        <v>21.115080000000003</v>
      </c>
      <c r="H66">
        <f t="shared" ref="H66:H129" si="23">(G66-$AJ$6)/$AK$6</f>
        <v>0.28291184117229973</v>
      </c>
      <c r="I66" s="22">
        <v>17.899999999999999</v>
      </c>
      <c r="J66" s="2">
        <f t="shared" ref="J66:J129" si="24">(I66-$AJ$7)/$AK$7</f>
        <v>9.1841970241149304E-2</v>
      </c>
      <c r="K66" s="8">
        <v>0</v>
      </c>
      <c r="L66" s="2">
        <v>0</v>
      </c>
      <c r="M66">
        <v>26290</v>
      </c>
      <c r="N66">
        <f t="shared" ref="N66:N129" si="25">(M66-$AJ$9)/$AK$9</f>
        <v>0.12325824568376129</v>
      </c>
      <c r="O66" s="8">
        <v>0.66952665899999997</v>
      </c>
      <c r="P66">
        <f t="shared" ref="P66:P129" si="26">(O66-$AJ$11)/$AK$11</f>
        <v>0.64187640568778304</v>
      </c>
      <c r="Q66" s="20">
        <v>0.30840000000000001</v>
      </c>
      <c r="R66" s="10">
        <f t="shared" ref="R66:R129" si="27">(Q66-$AJ$12)/$AK$12</f>
        <v>0.66782156777825907</v>
      </c>
      <c r="S66">
        <f t="shared" ref="S66:S129" si="28">F66*(R66*0.5+P66*0.5)*(H66*0.5+J66*0.5)</f>
        <v>5.7261669191634765E-2</v>
      </c>
      <c r="T66" s="11">
        <f t="shared" ref="T66:T129" si="29">(S66-$AJ$10)/$AK$10</f>
        <v>0.10511249957175364</v>
      </c>
      <c r="U66" t="str">
        <f t="shared" ref="U66:U129" si="30">IF(T66&gt;0.7,"High",IF(T66&gt;0.3,"Moderate",IF(T66&gt;0.15,"Low","No Impact")))</f>
        <v>No Impact</v>
      </c>
      <c r="V66">
        <f t="shared" ref="V66:V129" si="31">F66*(R66*1)*(H66*0.5+J66*0.5)</f>
        <v>5.8396024836101755E-2</v>
      </c>
      <c r="W66">
        <f t="shared" ref="W66:W129" si="32">(V66-$AJ$13)/$AK$13</f>
        <v>7.6918500083605693E-2</v>
      </c>
      <c r="X66" t="s">
        <v>1176</v>
      </c>
      <c r="Y66">
        <f t="shared" ref="Y66:Y129" si="33">F66*(P66*1)*(H66*0.5+J66*0.5)</f>
        <v>5.6127313547167781E-2</v>
      </c>
      <c r="Z66">
        <f t="shared" ref="Z66:Z129" si="34">(Y66-$AJ$14)/$AK$14</f>
        <v>0.10260444757200085</v>
      </c>
      <c r="AA66" t="str">
        <f t="shared" ref="AA66:AA129" si="35">IF(Z66&gt;0.7,"High",IF(Z66&gt;0.3,"Moderate",IF(Z66&gt;0.15,"Low","No Impact")))</f>
        <v>No Impact</v>
      </c>
      <c r="AB66">
        <f t="shared" ref="AB66:AB129" si="36">F66*(R66*0.35+P66*0.3+N66*0.35)*(H66*0.5+J66*0.5)</f>
        <v>4.1049108374366136E-2</v>
      </c>
      <c r="AC66">
        <f t="shared" ref="AC66:AC129" si="37">(AB66-$AJ$15)/$AK$15</f>
        <v>9.9957628086697572E-2</v>
      </c>
      <c r="AD66" t="str">
        <f t="shared" ref="AD66:AD129" si="38">IF(AC66&gt;0.7,"High",IF(AC66&gt;0.3,"Moderate",IF(AC66&gt;0.15,"Low","No Impact")))</f>
        <v>No Impact</v>
      </c>
      <c r="AE66">
        <f t="shared" ref="AE66:AE129" si="39">F66*(N66*1)*(H66*0.5+J66*0.5)</f>
        <v>1.077801605022913E-2</v>
      </c>
      <c r="AF66">
        <f t="shared" ref="AF66:AF129" si="40">(AE66-$AJ$16)/$AK$16</f>
        <v>5.8970299191348698E-2</v>
      </c>
      <c r="AG66" t="s">
        <v>1176</v>
      </c>
    </row>
    <row r="67" spans="1:33" customFormat="1" x14ac:dyDescent="0.3">
      <c r="A67">
        <v>201395</v>
      </c>
      <c r="B67" t="s">
        <v>472</v>
      </c>
      <c r="C67" t="s">
        <v>604</v>
      </c>
      <c r="D67" t="s">
        <v>609</v>
      </c>
      <c r="E67" s="18">
        <v>6</v>
      </c>
      <c r="F67" s="2">
        <f t="shared" si="22"/>
        <v>0.62222222222222223</v>
      </c>
      <c r="G67" s="10">
        <v>20.606400000000001</v>
      </c>
      <c r="H67">
        <f t="shared" si="23"/>
        <v>0.27609625745831307</v>
      </c>
      <c r="I67" s="22">
        <v>17.100000000000001</v>
      </c>
      <c r="J67" s="2">
        <f t="shared" si="24"/>
        <v>8.7737301180092375E-2</v>
      </c>
      <c r="K67" s="8">
        <v>0</v>
      </c>
      <c r="L67" s="2">
        <v>0</v>
      </c>
      <c r="M67">
        <v>14024</v>
      </c>
      <c r="N67">
        <f t="shared" si="25"/>
        <v>6.5222637010120516E-2</v>
      </c>
      <c r="O67" s="8">
        <v>0.96913159999999998</v>
      </c>
      <c r="P67">
        <f t="shared" si="26"/>
        <v>0.97182797294443524</v>
      </c>
      <c r="Q67" s="20">
        <v>0.29509999999999997</v>
      </c>
      <c r="R67" s="10">
        <f t="shared" si="27"/>
        <v>0.63902122130792549</v>
      </c>
      <c r="S67">
        <f t="shared" si="28"/>
        <v>9.1168154742722468E-2</v>
      </c>
      <c r="T67" s="11">
        <f t="shared" si="29"/>
        <v>0.16735300876894332</v>
      </c>
      <c r="U67" t="str">
        <f t="shared" si="30"/>
        <v>Low</v>
      </c>
      <c r="V67">
        <f t="shared" si="31"/>
        <v>7.2332513553664796E-2</v>
      </c>
      <c r="W67">
        <f t="shared" si="32"/>
        <v>9.5275465503695797E-2</v>
      </c>
      <c r="X67" t="s">
        <v>1176</v>
      </c>
      <c r="Y67">
        <f t="shared" si="33"/>
        <v>0.11000379593178014</v>
      </c>
      <c r="Z67">
        <f t="shared" si="34"/>
        <v>0.20109422666235838</v>
      </c>
      <c r="AA67" t="str">
        <f t="shared" si="35"/>
        <v>Low</v>
      </c>
      <c r="AB67">
        <f t="shared" si="36"/>
        <v>6.0901471906053342E-2</v>
      </c>
      <c r="AC67">
        <f t="shared" si="37"/>
        <v>0.14829960795248923</v>
      </c>
      <c r="AD67" t="str">
        <f t="shared" si="38"/>
        <v>No Impact</v>
      </c>
      <c r="AE67">
        <f t="shared" si="39"/>
        <v>7.3827239506760803E-3</v>
      </c>
      <c r="AF67">
        <f t="shared" si="40"/>
        <v>4.0393467423835296E-2</v>
      </c>
      <c r="AG67" t="s">
        <v>1176</v>
      </c>
    </row>
    <row r="68" spans="1:33" customFormat="1" x14ac:dyDescent="0.3">
      <c r="A68">
        <v>201504</v>
      </c>
      <c r="B68" t="s">
        <v>11</v>
      </c>
      <c r="C68" t="s">
        <v>1145</v>
      </c>
      <c r="D68" t="s">
        <v>610</v>
      </c>
      <c r="E68" s="18">
        <v>5.2</v>
      </c>
      <c r="F68" s="2">
        <f t="shared" si="22"/>
        <v>0.44444444444444442</v>
      </c>
      <c r="G68" s="10">
        <v>29.673719999999999</v>
      </c>
      <c r="H68">
        <f t="shared" si="23"/>
        <v>0.3975853636183852</v>
      </c>
      <c r="I68" s="22">
        <v>106.50000000000001</v>
      </c>
      <c r="J68" s="2">
        <f t="shared" si="24"/>
        <v>0.54643406875320688</v>
      </c>
      <c r="K68" s="8">
        <v>0</v>
      </c>
      <c r="L68" s="2">
        <v>0</v>
      </c>
      <c r="M68">
        <v>33279</v>
      </c>
      <c r="N68">
        <f t="shared" si="25"/>
        <v>0.15632614630499686</v>
      </c>
      <c r="O68" s="8">
        <v>0.81444864400000005</v>
      </c>
      <c r="P68">
        <f t="shared" si="26"/>
        <v>0.80147736527507862</v>
      </c>
      <c r="Q68" s="20">
        <v>0.3594</v>
      </c>
      <c r="R68" s="10">
        <f t="shared" si="27"/>
        <v>0.77825898657427461</v>
      </c>
      <c r="S68">
        <f t="shared" si="28"/>
        <v>0.16570020157439955</v>
      </c>
      <c r="T68" s="11">
        <f t="shared" si="29"/>
        <v>0.30416791219863704</v>
      </c>
      <c r="U68" t="str">
        <f t="shared" si="30"/>
        <v>Moderate</v>
      </c>
      <c r="V68">
        <f t="shared" si="31"/>
        <v>0.16326480149865269</v>
      </c>
      <c r="W68">
        <f t="shared" si="32"/>
        <v>0.21505031691746748</v>
      </c>
      <c r="X68" t="s">
        <v>1175</v>
      </c>
      <c r="Y68">
        <f t="shared" si="33"/>
        <v>0.1681356016501464</v>
      </c>
      <c r="Z68">
        <f t="shared" si="34"/>
        <v>0.30736301871996125</v>
      </c>
      <c r="AA68" t="str">
        <f t="shared" si="35"/>
        <v>Moderate</v>
      </c>
      <c r="AB68">
        <f t="shared" si="36"/>
        <v>0.11906141034510315</v>
      </c>
      <c r="AC68">
        <f t="shared" si="37"/>
        <v>0.28992337826722109</v>
      </c>
      <c r="AD68" t="str">
        <f t="shared" si="38"/>
        <v>Low</v>
      </c>
      <c r="AE68">
        <f t="shared" si="39"/>
        <v>3.2794426644373688E-2</v>
      </c>
      <c r="AF68">
        <f t="shared" si="40"/>
        <v>0.17942978949139171</v>
      </c>
      <c r="AG68" t="s">
        <v>1175</v>
      </c>
    </row>
    <row r="69" spans="1:33" customFormat="1" x14ac:dyDescent="0.3">
      <c r="A69">
        <v>201506</v>
      </c>
      <c r="B69" t="s">
        <v>56</v>
      </c>
      <c r="C69" t="s">
        <v>1145</v>
      </c>
      <c r="D69" t="s">
        <v>611</v>
      </c>
      <c r="E69" s="18">
        <v>5.3</v>
      </c>
      <c r="F69" s="2">
        <f t="shared" si="22"/>
        <v>0.46666666666666656</v>
      </c>
      <c r="G69" s="10">
        <v>22.871160000000003</v>
      </c>
      <c r="H69">
        <f t="shared" si="23"/>
        <v>0.30644079896198617</v>
      </c>
      <c r="I69" s="22">
        <v>121.10000000000001</v>
      </c>
      <c r="J69" s="2">
        <f t="shared" si="24"/>
        <v>0.62134427911749623</v>
      </c>
      <c r="K69" s="8">
        <v>0</v>
      </c>
      <c r="L69" s="2">
        <v>0</v>
      </c>
      <c r="M69">
        <v>20965</v>
      </c>
      <c r="N69">
        <f t="shared" si="25"/>
        <v>9.8063429428491666E-2</v>
      </c>
      <c r="O69" s="8">
        <v>0.88726144200000001</v>
      </c>
      <c r="P69">
        <f t="shared" si="26"/>
        <v>0.8816652845271914</v>
      </c>
      <c r="Q69" s="20">
        <v>0.36270000000000002</v>
      </c>
      <c r="R69" s="10">
        <f t="shared" si="27"/>
        <v>0.78540493720225213</v>
      </c>
      <c r="S69">
        <f t="shared" si="28"/>
        <v>0.18044633551364367</v>
      </c>
      <c r="T69" s="11">
        <f t="shared" si="29"/>
        <v>0.33123668297069581</v>
      </c>
      <c r="U69" t="str">
        <f t="shared" si="30"/>
        <v>Moderate</v>
      </c>
      <c r="V69">
        <f t="shared" si="31"/>
        <v>0.17002696223011388</v>
      </c>
      <c r="W69">
        <f t="shared" si="32"/>
        <v>0.22395734889863572</v>
      </c>
      <c r="X69" t="s">
        <v>1175</v>
      </c>
      <c r="Y69">
        <f t="shared" si="33"/>
        <v>0.19086570879717346</v>
      </c>
      <c r="Z69">
        <f t="shared" si="34"/>
        <v>0.34891516044349441</v>
      </c>
      <c r="AA69" t="str">
        <f t="shared" si="35"/>
        <v>Moderate</v>
      </c>
      <c r="AB69">
        <f t="shared" si="36"/>
        <v>0.12419932865289807</v>
      </c>
      <c r="AC69">
        <f t="shared" si="37"/>
        <v>0.30243459099970299</v>
      </c>
      <c r="AD69" t="str">
        <f t="shared" si="38"/>
        <v>Moderate</v>
      </c>
      <c r="AE69">
        <f t="shared" si="39"/>
        <v>2.1229083523446154E-2</v>
      </c>
      <c r="AF69">
        <f t="shared" si="40"/>
        <v>0.11615174825325454</v>
      </c>
      <c r="AG69" t="s">
        <v>1176</v>
      </c>
    </row>
    <row r="70" spans="1:33" customFormat="1" x14ac:dyDescent="0.3">
      <c r="A70">
        <v>201508</v>
      </c>
      <c r="B70" t="s">
        <v>45</v>
      </c>
      <c r="C70" t="s">
        <v>1145</v>
      </c>
      <c r="D70" t="s">
        <v>612</v>
      </c>
      <c r="E70" s="18">
        <v>5.7</v>
      </c>
      <c r="F70" s="2">
        <f t="shared" si="22"/>
        <v>0.55555555555555558</v>
      </c>
      <c r="G70" s="10">
        <v>29.673719999999999</v>
      </c>
      <c r="H70">
        <f t="shared" si="23"/>
        <v>0.3975853636183852</v>
      </c>
      <c r="I70" s="22">
        <v>96.300000000000011</v>
      </c>
      <c r="J70" s="2">
        <f t="shared" si="24"/>
        <v>0.49409953822473074</v>
      </c>
      <c r="K70" s="8">
        <v>0</v>
      </c>
      <c r="L70" s="2">
        <v>0</v>
      </c>
      <c r="M70">
        <v>56891</v>
      </c>
      <c r="N70">
        <f t="shared" si="25"/>
        <v>0.26804445643071073</v>
      </c>
      <c r="O70" s="8">
        <v>0.84354453600000001</v>
      </c>
      <c r="P70">
        <f t="shared" si="26"/>
        <v>0.83352034538778064</v>
      </c>
      <c r="Q70" s="20">
        <v>0.36940000000000001</v>
      </c>
      <c r="R70" s="10">
        <f t="shared" si="27"/>
        <v>0.79991338241663057</v>
      </c>
      <c r="S70">
        <f t="shared" si="28"/>
        <v>0.20229280461729324</v>
      </c>
      <c r="T70" s="11">
        <f t="shared" si="29"/>
        <v>0.3713391984355639</v>
      </c>
      <c r="U70" t="str">
        <f t="shared" si="30"/>
        <v>Moderate</v>
      </c>
      <c r="V70">
        <f t="shared" si="31"/>
        <v>0.1981307460786578</v>
      </c>
      <c r="W70">
        <f t="shared" si="32"/>
        <v>0.26097529500662919</v>
      </c>
      <c r="X70" t="s">
        <v>1175</v>
      </c>
      <c r="Y70">
        <f t="shared" si="33"/>
        <v>0.2064548631559287</v>
      </c>
      <c r="Z70">
        <f t="shared" si="34"/>
        <v>0.37741316738534714</v>
      </c>
      <c r="AA70" t="str">
        <f t="shared" si="35"/>
        <v>Moderate</v>
      </c>
      <c r="AB70">
        <f t="shared" si="36"/>
        <v>0.15451941957089307</v>
      </c>
      <c r="AC70">
        <f t="shared" si="37"/>
        <v>0.37626626461111801</v>
      </c>
      <c r="AD70" t="str">
        <f t="shared" si="38"/>
        <v>Moderate</v>
      </c>
      <c r="AE70">
        <f t="shared" si="39"/>
        <v>6.6391998561669344E-2</v>
      </c>
      <c r="AF70">
        <f t="shared" si="40"/>
        <v>0.36325386795188541</v>
      </c>
      <c r="AG70" t="str">
        <f t="shared" ref="AG66:AG129" si="41">IF(AF70&gt;0.7,"High",IF(AF70&gt;0.3,"Moderate",IF(AF70&gt;0.15,"Low","No Impact")))</f>
        <v>Moderate</v>
      </c>
    </row>
    <row r="71" spans="1:33" customFormat="1" x14ac:dyDescent="0.3">
      <c r="A71">
        <v>201510</v>
      </c>
      <c r="B71" t="s">
        <v>32</v>
      </c>
      <c r="C71" t="s">
        <v>1145</v>
      </c>
      <c r="D71" t="s">
        <v>613</v>
      </c>
      <c r="E71" s="18">
        <v>5.6</v>
      </c>
      <c r="F71" s="2">
        <f t="shared" si="22"/>
        <v>0.53333333333333321</v>
      </c>
      <c r="G71" s="10">
        <v>25.94556</v>
      </c>
      <c r="H71">
        <f t="shared" si="23"/>
        <v>0.34763335728997347</v>
      </c>
      <c r="I71" s="22">
        <v>110.00000000000001</v>
      </c>
      <c r="J71" s="2">
        <f t="shared" si="24"/>
        <v>0.56439199589533107</v>
      </c>
      <c r="K71" s="8">
        <v>0</v>
      </c>
      <c r="L71" s="2">
        <v>0</v>
      </c>
      <c r="M71">
        <v>9263</v>
      </c>
      <c r="N71">
        <f t="shared" si="25"/>
        <v>4.2696342138507613E-2</v>
      </c>
      <c r="O71" s="8">
        <v>0.68256633</v>
      </c>
      <c r="P71">
        <f t="shared" si="26"/>
        <v>0.65623684937272597</v>
      </c>
      <c r="Q71" s="20">
        <v>0.18</v>
      </c>
      <c r="R71" s="10">
        <f t="shared" si="27"/>
        <v>0.38977912516240798</v>
      </c>
      <c r="S71">
        <f t="shared" si="28"/>
        <v>0.1271990784817168</v>
      </c>
      <c r="T71" s="11">
        <f t="shared" si="29"/>
        <v>0.2334932472487222</v>
      </c>
      <c r="U71" t="str">
        <f t="shared" si="30"/>
        <v>Low</v>
      </c>
      <c r="V71">
        <f t="shared" si="31"/>
        <v>9.4796918477467754E-2</v>
      </c>
      <c r="W71">
        <f t="shared" si="32"/>
        <v>0.12486529352468542</v>
      </c>
      <c r="X71" t="s">
        <v>1176</v>
      </c>
      <c r="Y71">
        <f t="shared" si="33"/>
        <v>0.1596012384859658</v>
      </c>
      <c r="Z71">
        <f t="shared" si="34"/>
        <v>0.29176163745834605</v>
      </c>
      <c r="AA71" t="str">
        <f t="shared" si="35"/>
        <v>Low</v>
      </c>
      <c r="AB71">
        <f t="shared" si="36"/>
        <v>8.4693706687972117E-2</v>
      </c>
      <c r="AC71">
        <f t="shared" si="37"/>
        <v>0.20623546697269507</v>
      </c>
      <c r="AD71" t="str">
        <f t="shared" si="38"/>
        <v>Low</v>
      </c>
      <c r="AE71">
        <f t="shared" si="39"/>
        <v>1.0384039071624801E-2</v>
      </c>
      <c r="AF71">
        <f t="shared" si="40"/>
        <v>5.6814713210169267E-2</v>
      </c>
      <c r="AG71" t="s">
        <v>1176</v>
      </c>
    </row>
    <row r="72" spans="1:33" customFormat="1" x14ac:dyDescent="0.3">
      <c r="A72">
        <v>201512</v>
      </c>
      <c r="B72" t="s">
        <v>83</v>
      </c>
      <c r="C72" t="s">
        <v>1145</v>
      </c>
      <c r="D72" t="s">
        <v>614</v>
      </c>
      <c r="E72" s="18">
        <v>5.8</v>
      </c>
      <c r="F72" s="2">
        <f t="shared" si="22"/>
        <v>0.57777777777777772</v>
      </c>
      <c r="G72" s="10">
        <v>33.327719999999999</v>
      </c>
      <c r="H72">
        <f t="shared" si="23"/>
        <v>0.44654373212296028</v>
      </c>
      <c r="I72" s="22">
        <v>110.00000000000001</v>
      </c>
      <c r="J72" s="2">
        <f t="shared" si="24"/>
        <v>0.56439199589533107</v>
      </c>
      <c r="K72" s="8">
        <v>0</v>
      </c>
      <c r="L72" s="2">
        <v>0</v>
      </c>
      <c r="M72">
        <v>21163</v>
      </c>
      <c r="N72">
        <f t="shared" si="25"/>
        <v>9.9000250765307329E-2</v>
      </c>
      <c r="O72" s="8">
        <v>0.73354032800000002</v>
      </c>
      <c r="P72">
        <f t="shared" si="26"/>
        <v>0.71237394268400567</v>
      </c>
      <c r="Q72" s="20">
        <v>0.3957</v>
      </c>
      <c r="R72" s="10">
        <f t="shared" si="27"/>
        <v>0.85686444348202684</v>
      </c>
      <c r="S72">
        <f t="shared" si="28"/>
        <v>0.22914654393987871</v>
      </c>
      <c r="T72" s="11">
        <f t="shared" si="29"/>
        <v>0.42063331966697232</v>
      </c>
      <c r="U72" t="str">
        <f t="shared" si="30"/>
        <v>Moderate</v>
      </c>
      <c r="V72">
        <f t="shared" si="31"/>
        <v>0.25024563199551958</v>
      </c>
      <c r="W72">
        <f t="shared" si="32"/>
        <v>0.32962035891301733</v>
      </c>
      <c r="X72" t="str">
        <f t="shared" ref="X66:X129" si="42">IF(W72&gt;0.7,"High",IF(W72&gt;0.3,"Moderate",IF(W72&gt;0.15,"Low","No Impact")))</f>
        <v>Moderate</v>
      </c>
      <c r="Y72">
        <f t="shared" si="33"/>
        <v>0.2080474558842379</v>
      </c>
      <c r="Z72">
        <f t="shared" si="34"/>
        <v>0.38032453240120573</v>
      </c>
      <c r="AA72" t="str">
        <f t="shared" si="35"/>
        <v>Moderate</v>
      </c>
      <c r="AB72">
        <f t="shared" si="36"/>
        <v>0.16011970023360228</v>
      </c>
      <c r="AC72">
        <f t="shared" si="37"/>
        <v>0.38990336402285047</v>
      </c>
      <c r="AD72" t="str">
        <f t="shared" si="38"/>
        <v>Moderate</v>
      </c>
      <c r="AE72">
        <f t="shared" si="39"/>
        <v>2.8912835056854481E-2</v>
      </c>
      <c r="AF72">
        <f t="shared" si="40"/>
        <v>0.15819224297189441</v>
      </c>
      <c r="AG72" t="s">
        <v>1175</v>
      </c>
    </row>
    <row r="73" spans="1:33" customFormat="1" x14ac:dyDescent="0.3">
      <c r="A73">
        <v>201518</v>
      </c>
      <c r="B73" t="s">
        <v>95</v>
      </c>
      <c r="C73" t="s">
        <v>1145</v>
      </c>
      <c r="D73" t="s">
        <v>615</v>
      </c>
      <c r="E73" s="18">
        <v>5.7</v>
      </c>
      <c r="F73" s="2">
        <f t="shared" si="22"/>
        <v>0.55555555555555558</v>
      </c>
      <c r="G73" s="10">
        <v>33.327719999999999</v>
      </c>
      <c r="H73">
        <f t="shared" si="23"/>
        <v>0.44654373212296028</v>
      </c>
      <c r="I73" s="22">
        <v>100.6</v>
      </c>
      <c r="J73" s="2">
        <f t="shared" si="24"/>
        <v>0.51616213442791181</v>
      </c>
      <c r="K73" s="8">
        <v>0</v>
      </c>
      <c r="L73" s="2">
        <v>0</v>
      </c>
      <c r="M73">
        <v>25017</v>
      </c>
      <c r="N73">
        <f t="shared" si="25"/>
        <v>0.11723514688696163</v>
      </c>
      <c r="O73" s="8">
        <v>0.76349621999999995</v>
      </c>
      <c r="P73">
        <f t="shared" si="26"/>
        <v>0.74536403116846417</v>
      </c>
      <c r="Q73" s="20">
        <v>0.3952</v>
      </c>
      <c r="R73" s="10">
        <f t="shared" si="27"/>
        <v>0.85578172368990901</v>
      </c>
      <c r="S73">
        <f t="shared" si="28"/>
        <v>0.21408783491738617</v>
      </c>
      <c r="T73" s="11">
        <f t="shared" si="29"/>
        <v>0.39299076980729858</v>
      </c>
      <c r="U73" t="str">
        <f t="shared" si="30"/>
        <v>Moderate</v>
      </c>
      <c r="V73">
        <f t="shared" si="31"/>
        <v>0.22885169052313692</v>
      </c>
      <c r="W73">
        <f t="shared" si="32"/>
        <v>0.30144053171500607</v>
      </c>
      <c r="X73" t="str">
        <f t="shared" si="42"/>
        <v>Moderate</v>
      </c>
      <c r="Y73">
        <f t="shared" si="33"/>
        <v>0.19932397931163545</v>
      </c>
      <c r="Z73">
        <f t="shared" si="34"/>
        <v>0.36437743930032224</v>
      </c>
      <c r="AA73" t="str">
        <f t="shared" si="35"/>
        <v>Moderate</v>
      </c>
      <c r="AB73">
        <f t="shared" si="36"/>
        <v>0.15086807361156379</v>
      </c>
      <c r="AC73">
        <f t="shared" si="37"/>
        <v>0.36737496597218283</v>
      </c>
      <c r="AD73" t="str">
        <f t="shared" si="38"/>
        <v>Moderate</v>
      </c>
      <c r="AE73">
        <f t="shared" si="39"/>
        <v>3.1350823242786437E-2</v>
      </c>
      <c r="AF73">
        <f t="shared" si="40"/>
        <v>0.17153132987614192</v>
      </c>
      <c r="AG73" t="s">
        <v>1175</v>
      </c>
    </row>
    <row r="74" spans="1:33" customFormat="1" x14ac:dyDescent="0.3">
      <c r="A74">
        <v>201519</v>
      </c>
      <c r="B74" t="s">
        <v>96</v>
      </c>
      <c r="C74" t="s">
        <v>1145</v>
      </c>
      <c r="D74" t="s">
        <v>616</v>
      </c>
      <c r="E74" s="18">
        <v>5.7</v>
      </c>
      <c r="F74" s="2">
        <f t="shared" si="22"/>
        <v>0.55555555555555558</v>
      </c>
      <c r="G74" s="10">
        <v>26.574480000000001</v>
      </c>
      <c r="H74">
        <f t="shared" si="23"/>
        <v>0.35605998485425844</v>
      </c>
      <c r="I74" s="22">
        <v>120.30000000000001</v>
      </c>
      <c r="J74" s="2">
        <f t="shared" si="24"/>
        <v>0.61723961005643935</v>
      </c>
      <c r="K74" s="8">
        <v>0</v>
      </c>
      <c r="L74" s="2">
        <v>0</v>
      </c>
      <c r="M74">
        <v>16713</v>
      </c>
      <c r="N74">
        <f t="shared" si="25"/>
        <v>7.7945427791420038E-2</v>
      </c>
      <c r="O74" s="8">
        <v>0.72230756799999996</v>
      </c>
      <c r="P74">
        <f t="shared" si="26"/>
        <v>0.70000342985385222</v>
      </c>
      <c r="Q74" s="20">
        <v>0.2442</v>
      </c>
      <c r="R74" s="10">
        <f t="shared" si="27"/>
        <v>0.52880034647033347</v>
      </c>
      <c r="S74">
        <f t="shared" si="28"/>
        <v>0.16611030801681467</v>
      </c>
      <c r="T74" s="11">
        <f t="shared" si="29"/>
        <v>0.30492072492417022</v>
      </c>
      <c r="U74" t="str">
        <f t="shared" si="30"/>
        <v>Moderate</v>
      </c>
      <c r="V74">
        <f t="shared" si="31"/>
        <v>0.14296698972450339</v>
      </c>
      <c r="W74">
        <f t="shared" si="32"/>
        <v>0.18831429779580805</v>
      </c>
      <c r="X74" t="s">
        <v>1176</v>
      </c>
      <c r="Y74">
        <f t="shared" si="33"/>
        <v>0.18925362630912596</v>
      </c>
      <c r="Z74">
        <f t="shared" si="34"/>
        <v>0.34596816685564691</v>
      </c>
      <c r="AA74" t="str">
        <f t="shared" si="35"/>
        <v>Moderate</v>
      </c>
      <c r="AB74">
        <f t="shared" si="36"/>
        <v>0.11419022558883773</v>
      </c>
      <c r="AC74">
        <f t="shared" si="37"/>
        <v>0.27806168154611938</v>
      </c>
      <c r="AD74" t="str">
        <f t="shared" si="38"/>
        <v>Low</v>
      </c>
      <c r="AE74">
        <f t="shared" si="39"/>
        <v>2.1073403692925048E-2</v>
      </c>
      <c r="AF74">
        <f t="shared" si="40"/>
        <v>0.11529996939700642</v>
      </c>
      <c r="AG74" t="s">
        <v>1176</v>
      </c>
    </row>
    <row r="75" spans="1:33" customFormat="1" x14ac:dyDescent="0.3">
      <c r="A75">
        <v>201520</v>
      </c>
      <c r="B75" t="s">
        <v>113</v>
      </c>
      <c r="C75" t="s">
        <v>1145</v>
      </c>
      <c r="D75" t="s">
        <v>617</v>
      </c>
      <c r="E75" s="18">
        <v>5.5</v>
      </c>
      <c r="F75" s="2">
        <f t="shared" si="22"/>
        <v>0.51111111111111107</v>
      </c>
      <c r="G75" s="10">
        <v>25.94556</v>
      </c>
      <c r="H75">
        <f t="shared" si="23"/>
        <v>0.34763335728997347</v>
      </c>
      <c r="I75" s="22">
        <v>110.00000000000001</v>
      </c>
      <c r="J75" s="2">
        <f t="shared" si="24"/>
        <v>0.56439199589533107</v>
      </c>
      <c r="K75" s="8">
        <v>0</v>
      </c>
      <c r="L75" s="2">
        <v>0</v>
      </c>
      <c r="M75">
        <v>10040</v>
      </c>
      <c r="N75">
        <f t="shared" si="25"/>
        <v>4.6372656172375126E-2</v>
      </c>
      <c r="O75" s="8">
        <v>0.53431662000000002</v>
      </c>
      <c r="P75">
        <f t="shared" si="26"/>
        <v>0.49297110349891482</v>
      </c>
      <c r="Q75" s="20">
        <v>0.14399999999999999</v>
      </c>
      <c r="R75" s="10">
        <f t="shared" si="27"/>
        <v>0.31182330012992637</v>
      </c>
      <c r="S75">
        <f t="shared" si="28"/>
        <v>9.3787981693647007E-2</v>
      </c>
      <c r="T75" s="11">
        <f t="shared" si="29"/>
        <v>0.17216209944241873</v>
      </c>
      <c r="U75" t="str">
        <f t="shared" si="30"/>
        <v>Low</v>
      </c>
      <c r="V75">
        <f t="shared" si="31"/>
        <v>7.2677637499391948E-2</v>
      </c>
      <c r="W75">
        <f t="shared" si="32"/>
        <v>9.5730058368925494E-2</v>
      </c>
      <c r="X75" t="s">
        <v>1176</v>
      </c>
      <c r="Y75">
        <f t="shared" si="33"/>
        <v>0.11489832588790204</v>
      </c>
      <c r="Z75">
        <f t="shared" si="34"/>
        <v>0.21004175168242659</v>
      </c>
      <c r="AA75" t="str">
        <f t="shared" si="35"/>
        <v>Low</v>
      </c>
      <c r="AB75">
        <f t="shared" si="36"/>
        <v>6.36895481900044E-2</v>
      </c>
      <c r="AC75">
        <f t="shared" si="37"/>
        <v>0.15508878080679062</v>
      </c>
      <c r="AD75" t="str">
        <f t="shared" si="38"/>
        <v>Low</v>
      </c>
      <c r="AE75">
        <f t="shared" si="39"/>
        <v>1.0808220853847507E-2</v>
      </c>
      <c r="AF75">
        <f t="shared" si="40"/>
        <v>5.9135560246638533E-2</v>
      </c>
      <c r="AG75" t="s">
        <v>1176</v>
      </c>
    </row>
    <row r="76" spans="1:33" customFormat="1" x14ac:dyDescent="0.3">
      <c r="A76">
        <v>201528</v>
      </c>
      <c r="B76" t="s">
        <v>154</v>
      </c>
      <c r="C76" t="s">
        <v>1145</v>
      </c>
      <c r="D76" t="s">
        <v>618</v>
      </c>
      <c r="E76" s="18">
        <v>5.7</v>
      </c>
      <c r="F76" s="2">
        <f t="shared" si="22"/>
        <v>0.55555555555555558</v>
      </c>
      <c r="G76" s="10">
        <v>25.94556</v>
      </c>
      <c r="H76">
        <f t="shared" si="23"/>
        <v>0.34763335728997347</v>
      </c>
      <c r="I76" s="22">
        <v>110.00000000000001</v>
      </c>
      <c r="J76" s="2">
        <f t="shared" si="24"/>
        <v>0.56439199589533107</v>
      </c>
      <c r="K76" s="8">
        <v>0</v>
      </c>
      <c r="L76" s="2">
        <v>0</v>
      </c>
      <c r="M76">
        <v>11215</v>
      </c>
      <c r="N76">
        <f t="shared" si="25"/>
        <v>5.1932075721659969E-2</v>
      </c>
      <c r="O76" s="8">
        <v>0.71414856299999996</v>
      </c>
      <c r="P76">
        <f t="shared" si="26"/>
        <v>0.69101800899256927</v>
      </c>
      <c r="Q76" s="20">
        <v>0.1386</v>
      </c>
      <c r="R76" s="10">
        <f t="shared" si="27"/>
        <v>0.30012992637505415</v>
      </c>
      <c r="S76">
        <f t="shared" si="28"/>
        <v>0.12554889525174195</v>
      </c>
      <c r="T76" s="11">
        <f t="shared" si="29"/>
        <v>0.23046408504470831</v>
      </c>
      <c r="U76" t="str">
        <f t="shared" si="30"/>
        <v>Low</v>
      </c>
      <c r="V76">
        <f t="shared" si="31"/>
        <v>7.6035028362135618E-2</v>
      </c>
      <c r="W76">
        <f t="shared" si="32"/>
        <v>0.1001523708479248</v>
      </c>
      <c r="X76" t="s">
        <v>1176</v>
      </c>
      <c r="Y76">
        <f t="shared" si="33"/>
        <v>0.17506276214134833</v>
      </c>
      <c r="Z76">
        <f t="shared" si="34"/>
        <v>0.32002632701896017</v>
      </c>
      <c r="AA76" t="str">
        <f t="shared" si="35"/>
        <v>Moderate</v>
      </c>
      <c r="AB76">
        <f t="shared" si="36"/>
        <v>8.3735860623483219E-2</v>
      </c>
      <c r="AC76">
        <f t="shared" si="37"/>
        <v>0.20390304065528747</v>
      </c>
      <c r="AD76" t="str">
        <f t="shared" si="38"/>
        <v>Low</v>
      </c>
      <c r="AE76">
        <f t="shared" si="39"/>
        <v>1.3156491583803586E-2</v>
      </c>
      <c r="AF76">
        <f t="shared" si="40"/>
        <v>7.1983771539184616E-2</v>
      </c>
      <c r="AG76" t="s">
        <v>1176</v>
      </c>
    </row>
    <row r="77" spans="1:33" customFormat="1" x14ac:dyDescent="0.3">
      <c r="A77">
        <v>201533</v>
      </c>
      <c r="B77" t="s">
        <v>164</v>
      </c>
      <c r="C77" t="s">
        <v>1145</v>
      </c>
      <c r="D77" t="s">
        <v>619</v>
      </c>
      <c r="E77" s="18">
        <v>5.6</v>
      </c>
      <c r="F77" s="2">
        <f t="shared" si="22"/>
        <v>0.53333333333333321</v>
      </c>
      <c r="G77" s="10">
        <v>25.000920000000001</v>
      </c>
      <c r="H77">
        <f t="shared" si="23"/>
        <v>0.33497653374750991</v>
      </c>
      <c r="I77" s="22">
        <v>143</v>
      </c>
      <c r="J77" s="2">
        <f t="shared" si="24"/>
        <v>0.73370959466393026</v>
      </c>
      <c r="K77" s="8">
        <v>0</v>
      </c>
      <c r="L77" s="2">
        <v>0</v>
      </c>
      <c r="M77">
        <v>78242</v>
      </c>
      <c r="N77">
        <f t="shared" si="25"/>
        <v>0.36906502391733259</v>
      </c>
      <c r="O77" s="8">
        <v>0.91133705799999998</v>
      </c>
      <c r="P77">
        <f t="shared" si="26"/>
        <v>0.90817949088625582</v>
      </c>
      <c r="Q77" s="20">
        <v>0.39119999999999999</v>
      </c>
      <c r="R77" s="10">
        <f t="shared" si="27"/>
        <v>0.84711996535296663</v>
      </c>
      <c r="S77">
        <f t="shared" si="28"/>
        <v>0.25011522401213337</v>
      </c>
      <c r="T77" s="11">
        <f t="shared" si="29"/>
        <v>0.45912451991017261</v>
      </c>
      <c r="U77" t="str">
        <f t="shared" si="30"/>
        <v>Moderate</v>
      </c>
      <c r="V77">
        <f t="shared" si="31"/>
        <v>0.24141476161949199</v>
      </c>
      <c r="W77">
        <f t="shared" si="32"/>
        <v>0.31798844893861</v>
      </c>
      <c r="X77" t="str">
        <f t="shared" si="42"/>
        <v>Moderate</v>
      </c>
      <c r="Y77">
        <f t="shared" si="33"/>
        <v>0.25881568640477476</v>
      </c>
      <c r="Z77">
        <f t="shared" si="34"/>
        <v>0.4731322211638283</v>
      </c>
      <c r="AA77" t="str">
        <f t="shared" si="35"/>
        <v>Moderate</v>
      </c>
      <c r="AB77">
        <f t="shared" si="36"/>
        <v>0.19895190849886832</v>
      </c>
      <c r="AC77">
        <f t="shared" si="37"/>
        <v>0.4844626756689121</v>
      </c>
      <c r="AD77" t="str">
        <f t="shared" si="38"/>
        <v>Moderate</v>
      </c>
      <c r="AE77">
        <f t="shared" si="39"/>
        <v>0.10517724574461058</v>
      </c>
      <c r="AF77">
        <f t="shared" si="40"/>
        <v>0.57546153399445321</v>
      </c>
      <c r="AG77" t="str">
        <f t="shared" si="41"/>
        <v>Moderate</v>
      </c>
    </row>
    <row r="78" spans="1:33" customFormat="1" x14ac:dyDescent="0.3">
      <c r="A78">
        <v>201535</v>
      </c>
      <c r="B78" t="s">
        <v>199</v>
      </c>
      <c r="C78" t="s">
        <v>1145</v>
      </c>
      <c r="D78" t="s">
        <v>620</v>
      </c>
      <c r="E78" s="18">
        <v>5.7</v>
      </c>
      <c r="F78" s="2">
        <f t="shared" si="22"/>
        <v>0.55555555555555558</v>
      </c>
      <c r="G78" s="10">
        <v>25.94556</v>
      </c>
      <c r="H78">
        <f t="shared" si="23"/>
        <v>0.34763335728997347</v>
      </c>
      <c r="I78" s="22">
        <v>110.00000000000001</v>
      </c>
      <c r="J78" s="2">
        <f t="shared" si="24"/>
        <v>0.56439199589533107</v>
      </c>
      <c r="K78" s="8">
        <v>0</v>
      </c>
      <c r="L78" s="2">
        <v>0</v>
      </c>
      <c r="M78">
        <v>11544</v>
      </c>
      <c r="N78">
        <f t="shared" si="25"/>
        <v>5.3488713195459732E-2</v>
      </c>
      <c r="O78" s="8">
        <v>0.68375518400000002</v>
      </c>
      <c r="P78">
        <f t="shared" si="26"/>
        <v>0.65754612097295417</v>
      </c>
      <c r="Q78" s="20">
        <v>0.1956</v>
      </c>
      <c r="R78" s="10">
        <f t="shared" si="27"/>
        <v>0.42355998267648332</v>
      </c>
      <c r="S78">
        <f t="shared" si="28"/>
        <v>0.13694391333495373</v>
      </c>
      <c r="T78" s="11">
        <f t="shared" si="29"/>
        <v>0.25138137317655168</v>
      </c>
      <c r="U78" t="str">
        <f t="shared" si="30"/>
        <v>Low</v>
      </c>
      <c r="V78">
        <f t="shared" si="31"/>
        <v>0.10730484522102254</v>
      </c>
      <c r="W78">
        <f t="shared" si="32"/>
        <v>0.14134057530919256</v>
      </c>
      <c r="X78" t="s">
        <v>1176</v>
      </c>
      <c r="Y78">
        <f t="shared" si="33"/>
        <v>0.16658298144888486</v>
      </c>
      <c r="Z78">
        <f t="shared" si="34"/>
        <v>0.30452472613170661</v>
      </c>
      <c r="AA78" t="str">
        <f t="shared" si="35"/>
        <v>Moderate</v>
      </c>
      <c r="AB78">
        <f t="shared" si="36"/>
        <v>9.2274388009309691E-2</v>
      </c>
      <c r="AC78">
        <f t="shared" si="37"/>
        <v>0.22469498909559762</v>
      </c>
      <c r="AD78" t="str">
        <f t="shared" si="38"/>
        <v>Low</v>
      </c>
      <c r="AE78">
        <f t="shared" si="39"/>
        <v>1.3550850706532397E-2</v>
      </c>
      <c r="AF78">
        <f t="shared" si="40"/>
        <v>7.414144836465765E-2</v>
      </c>
      <c r="AG78" t="s">
        <v>1176</v>
      </c>
    </row>
    <row r="79" spans="1:33" customFormat="1" x14ac:dyDescent="0.3">
      <c r="A79">
        <v>201537</v>
      </c>
      <c r="B79" t="s">
        <v>204</v>
      </c>
      <c r="C79" t="s">
        <v>1145</v>
      </c>
      <c r="D79" t="s">
        <v>621</v>
      </c>
      <c r="E79" s="18">
        <v>5.8</v>
      </c>
      <c r="F79" s="2">
        <f t="shared" si="22"/>
        <v>0.57777777777777772</v>
      </c>
      <c r="G79" s="10">
        <v>26.574480000000001</v>
      </c>
      <c r="H79">
        <f t="shared" si="23"/>
        <v>0.35605998485425844</v>
      </c>
      <c r="I79" s="22">
        <v>141.9</v>
      </c>
      <c r="J79" s="2">
        <f t="shared" si="24"/>
        <v>0.72806567470497707</v>
      </c>
      <c r="K79" s="8">
        <v>0</v>
      </c>
      <c r="L79" s="2">
        <v>0</v>
      </c>
      <c r="M79">
        <v>46431</v>
      </c>
      <c r="N79">
        <f t="shared" si="25"/>
        <v>0.21855379388984306</v>
      </c>
      <c r="O79" s="8">
        <v>0.91627187200000004</v>
      </c>
      <c r="P79">
        <f t="shared" si="26"/>
        <v>0.91361414629609461</v>
      </c>
      <c r="Q79" s="20">
        <v>0.38469999999999999</v>
      </c>
      <c r="R79" s="10">
        <f t="shared" si="27"/>
        <v>0.83304460805543523</v>
      </c>
      <c r="S79">
        <f t="shared" si="28"/>
        <v>0.27351964959023822</v>
      </c>
      <c r="T79" s="11">
        <f t="shared" si="29"/>
        <v>0.50208690134761558</v>
      </c>
      <c r="U79" t="str">
        <f t="shared" si="30"/>
        <v>Moderate</v>
      </c>
      <c r="V79">
        <f t="shared" si="31"/>
        <v>0.26090278793232718</v>
      </c>
      <c r="W79">
        <f t="shared" si="32"/>
        <v>0.3436578289654233</v>
      </c>
      <c r="X79" t="str">
        <f t="shared" si="42"/>
        <v>Moderate</v>
      </c>
      <c r="Y79">
        <f t="shared" si="33"/>
        <v>0.28613651124814926</v>
      </c>
      <c r="Z79">
        <f t="shared" si="34"/>
        <v>0.52307649896914454</v>
      </c>
      <c r="AA79" t="str">
        <f t="shared" si="35"/>
        <v>Moderate</v>
      </c>
      <c r="AB79">
        <f t="shared" si="36"/>
        <v>0.20111417316348143</v>
      </c>
      <c r="AC79">
        <f t="shared" si="37"/>
        <v>0.48972795074381176</v>
      </c>
      <c r="AD79" t="str">
        <f t="shared" si="38"/>
        <v>Moderate</v>
      </c>
      <c r="AE79">
        <f t="shared" si="39"/>
        <v>6.8449268607777572E-2</v>
      </c>
      <c r="AF79">
        <f t="shared" si="40"/>
        <v>0.37450991262383809</v>
      </c>
      <c r="AG79" t="str">
        <f t="shared" si="41"/>
        <v>Moderate</v>
      </c>
    </row>
    <row r="80" spans="1:33" customFormat="1" x14ac:dyDescent="0.3">
      <c r="A80">
        <v>201539</v>
      </c>
      <c r="B80" t="s">
        <v>1165</v>
      </c>
      <c r="C80" t="s">
        <v>1145</v>
      </c>
      <c r="D80" s="8" t="s">
        <v>1166</v>
      </c>
      <c r="E80" s="3">
        <v>5.6</v>
      </c>
      <c r="F80" s="2">
        <f t="shared" si="22"/>
        <v>0.53333333333333321</v>
      </c>
      <c r="G80" s="10">
        <v>25.94556</v>
      </c>
      <c r="H80">
        <f t="shared" si="23"/>
        <v>0.34763335728997347</v>
      </c>
      <c r="I80" s="22">
        <v>110.00000000000001</v>
      </c>
      <c r="J80" s="2">
        <f t="shared" si="24"/>
        <v>0.56439199589533107</v>
      </c>
      <c r="K80" s="8">
        <v>0</v>
      </c>
      <c r="L80" s="2">
        <v>0</v>
      </c>
      <c r="M80">
        <v>12037</v>
      </c>
      <c r="N80">
        <f t="shared" si="25"/>
        <v>5.5821303695712858E-2</v>
      </c>
      <c r="O80" s="8">
        <v>0.80364287999999995</v>
      </c>
      <c r="P80">
        <f t="shared" si="26"/>
        <v>0.78957709835923506</v>
      </c>
      <c r="Q80" s="20">
        <v>0.29720000000000002</v>
      </c>
      <c r="R80" s="10">
        <f t="shared" si="27"/>
        <v>0.64356864443482031</v>
      </c>
      <c r="S80">
        <f t="shared" si="28"/>
        <v>0.17427536696503512</v>
      </c>
      <c r="T80" s="11">
        <f t="shared" si="29"/>
        <v>0.31990893199731552</v>
      </c>
      <c r="U80" t="str">
        <f t="shared" si="30"/>
        <v>Moderate</v>
      </c>
      <c r="V80">
        <f t="shared" si="31"/>
        <v>0.15652024539724121</v>
      </c>
      <c r="W80">
        <f t="shared" si="32"/>
        <v>0.2061664735307584</v>
      </c>
      <c r="X80" t="s">
        <v>1175</v>
      </c>
      <c r="Y80">
        <f t="shared" si="33"/>
        <v>0.19203048853282909</v>
      </c>
      <c r="Z80">
        <f t="shared" si="34"/>
        <v>0.35104445496637537</v>
      </c>
      <c r="AA80" t="str">
        <f t="shared" si="35"/>
        <v>Moderate</v>
      </c>
      <c r="AB80">
        <f t="shared" si="36"/>
        <v>0.11714287390926216</v>
      </c>
      <c r="AC80">
        <f t="shared" si="37"/>
        <v>0.28525159953391427</v>
      </c>
      <c r="AD80" t="str">
        <f t="shared" si="38"/>
        <v>Low</v>
      </c>
      <c r="AE80">
        <f t="shared" si="39"/>
        <v>1.3576118458225773E-2</v>
      </c>
      <c r="AF80">
        <f t="shared" si="40"/>
        <v>7.4279697080405244E-2</v>
      </c>
      <c r="AG80" t="s">
        <v>1176</v>
      </c>
    </row>
    <row r="81" spans="1:33" customFormat="1" x14ac:dyDescent="0.3">
      <c r="A81">
        <v>201541</v>
      </c>
      <c r="B81" t="s">
        <v>282</v>
      </c>
      <c r="C81" t="s">
        <v>1145</v>
      </c>
      <c r="D81" t="s">
        <v>1120</v>
      </c>
      <c r="E81" s="18">
        <v>5.7</v>
      </c>
      <c r="F81" s="2">
        <f t="shared" si="22"/>
        <v>0.55555555555555558</v>
      </c>
      <c r="G81" s="10">
        <v>25.94556</v>
      </c>
      <c r="H81">
        <f t="shared" si="23"/>
        <v>0.34763335728997347</v>
      </c>
      <c r="I81" s="22">
        <v>110.00000000000001</v>
      </c>
      <c r="J81" s="2">
        <f t="shared" si="24"/>
        <v>0.56439199589533107</v>
      </c>
      <c r="K81" s="8">
        <v>0</v>
      </c>
      <c r="L81" s="2">
        <v>0</v>
      </c>
      <c r="M81">
        <v>9508</v>
      </c>
      <c r="N81">
        <f t="shared" si="25"/>
        <v>4.385554025729467E-2</v>
      </c>
      <c r="O81" s="8">
        <v>0.80364287999999995</v>
      </c>
      <c r="P81">
        <f t="shared" si="26"/>
        <v>0.78957709835923506</v>
      </c>
      <c r="Q81" s="20">
        <v>0.29720000000000002</v>
      </c>
      <c r="R81" s="10">
        <f t="shared" si="27"/>
        <v>0.64356864443482031</v>
      </c>
      <c r="S81">
        <f t="shared" si="28"/>
        <v>0.18153684058857833</v>
      </c>
      <c r="T81" s="11">
        <f t="shared" si="29"/>
        <v>0.33323847083053715</v>
      </c>
      <c r="U81" t="str">
        <f t="shared" si="30"/>
        <v>Moderate</v>
      </c>
      <c r="V81">
        <f t="shared" si="31"/>
        <v>0.16304192228879297</v>
      </c>
      <c r="W81">
        <f t="shared" si="32"/>
        <v>0.21475674326120672</v>
      </c>
      <c r="X81" t="s">
        <v>1175</v>
      </c>
      <c r="Y81">
        <f t="shared" si="33"/>
        <v>0.20003175888836369</v>
      </c>
      <c r="Z81">
        <f t="shared" si="34"/>
        <v>0.36567130725664115</v>
      </c>
      <c r="AA81" t="str">
        <f t="shared" si="35"/>
        <v>Moderate</v>
      </c>
      <c r="AB81">
        <f t="shared" si="36"/>
        <v>0.12096283313628164</v>
      </c>
      <c r="AC81">
        <f t="shared" si="37"/>
        <v>0.29455348400454517</v>
      </c>
      <c r="AD81" t="str">
        <f t="shared" si="38"/>
        <v>Low</v>
      </c>
      <c r="AE81">
        <f t="shared" si="39"/>
        <v>1.111037905341431E-2</v>
      </c>
      <c r="AF81">
        <f t="shared" si="40"/>
        <v>6.0788773541973609E-2</v>
      </c>
      <c r="AG81" t="s">
        <v>1176</v>
      </c>
    </row>
    <row r="82" spans="1:33" customFormat="1" x14ac:dyDescent="0.3">
      <c r="A82">
        <v>201543</v>
      </c>
      <c r="B82" t="s">
        <v>277</v>
      </c>
      <c r="C82" t="s">
        <v>1145</v>
      </c>
      <c r="D82" t="s">
        <v>622</v>
      </c>
      <c r="E82" s="18">
        <v>5.3</v>
      </c>
      <c r="F82" s="2">
        <f t="shared" si="22"/>
        <v>0.46666666666666656</v>
      </c>
      <c r="G82" s="10">
        <v>25.94556</v>
      </c>
      <c r="H82">
        <f t="shared" si="23"/>
        <v>0.34763335728997347</v>
      </c>
      <c r="I82" s="22">
        <v>120.30000000000001</v>
      </c>
      <c r="J82" s="2">
        <f t="shared" si="24"/>
        <v>0.61723961005643935</v>
      </c>
      <c r="K82" s="8">
        <v>0</v>
      </c>
      <c r="L82" s="2">
        <v>0</v>
      </c>
      <c r="M82">
        <v>12037</v>
      </c>
      <c r="N82">
        <f t="shared" si="25"/>
        <v>5.5821303695712858E-2</v>
      </c>
      <c r="O82" s="8">
        <v>0.823781761</v>
      </c>
      <c r="P82">
        <f t="shared" si="26"/>
        <v>0.81175582253703571</v>
      </c>
      <c r="Q82" s="20">
        <v>0.33500000000000002</v>
      </c>
      <c r="R82" s="10">
        <f t="shared" si="27"/>
        <v>0.72542226071892602</v>
      </c>
      <c r="S82">
        <f t="shared" si="28"/>
        <v>0.17303785082862258</v>
      </c>
      <c r="T82" s="11">
        <f t="shared" si="29"/>
        <v>0.31763728298332372</v>
      </c>
      <c r="U82" t="str">
        <f t="shared" si="30"/>
        <v>Moderate</v>
      </c>
      <c r="V82">
        <f t="shared" si="31"/>
        <v>0.16331941016510307</v>
      </c>
      <c r="W82">
        <f t="shared" si="32"/>
        <v>0.21512224675732761</v>
      </c>
      <c r="X82" t="s">
        <v>1175</v>
      </c>
      <c r="Y82">
        <f t="shared" si="33"/>
        <v>0.18275629149214209</v>
      </c>
      <c r="Z82">
        <f t="shared" si="34"/>
        <v>0.33409060836486471</v>
      </c>
      <c r="AA82" t="str">
        <f t="shared" si="35"/>
        <v>Moderate</v>
      </c>
      <c r="AB82">
        <f t="shared" si="36"/>
        <v>0.11638728580536761</v>
      </c>
      <c r="AC82">
        <f t="shared" si="37"/>
        <v>0.28341168637460706</v>
      </c>
      <c r="AD82" t="str">
        <f t="shared" si="38"/>
        <v>Low</v>
      </c>
      <c r="AE82">
        <f t="shared" si="39"/>
        <v>1.2567442285539803E-2</v>
      </c>
      <c r="AF82">
        <f t="shared" si="40"/>
        <v>6.8760876602381213E-2</v>
      </c>
      <c r="AG82" t="s">
        <v>1176</v>
      </c>
    </row>
    <row r="83" spans="1:33" customFormat="1" x14ac:dyDescent="0.3">
      <c r="A83">
        <v>201547</v>
      </c>
      <c r="B83" t="s">
        <v>302</v>
      </c>
      <c r="C83" t="s">
        <v>1145</v>
      </c>
      <c r="D83" t="s">
        <v>1121</v>
      </c>
      <c r="E83" s="18">
        <v>5.7</v>
      </c>
      <c r="F83" s="2">
        <f t="shared" si="22"/>
        <v>0.55555555555555558</v>
      </c>
      <c r="G83" s="10">
        <v>28.633320000000001</v>
      </c>
      <c r="H83">
        <f t="shared" si="23"/>
        <v>0.38364549317718111</v>
      </c>
      <c r="I83" s="22">
        <v>82</v>
      </c>
      <c r="J83" s="2">
        <f t="shared" si="24"/>
        <v>0.42072857875833763</v>
      </c>
      <c r="K83" s="8">
        <v>0</v>
      </c>
      <c r="L83" s="2">
        <v>0</v>
      </c>
      <c r="M83">
        <v>21502</v>
      </c>
      <c r="N83">
        <f t="shared" si="25"/>
        <v>0.10060420244803717</v>
      </c>
      <c r="O83" s="8">
        <v>0.96594195500000002</v>
      </c>
      <c r="P83">
        <f t="shared" si="26"/>
        <v>0.9683152526160268</v>
      </c>
      <c r="Q83" s="20">
        <v>0.38100000000000001</v>
      </c>
      <c r="R83" s="10">
        <f t="shared" si="27"/>
        <v>0.82503248159376352</v>
      </c>
      <c r="S83">
        <f t="shared" si="28"/>
        <v>0.20035033602259245</v>
      </c>
      <c r="T83" s="11">
        <f t="shared" si="29"/>
        <v>0.36777350200702774</v>
      </c>
      <c r="U83" t="str">
        <f t="shared" si="30"/>
        <v>Moderate</v>
      </c>
      <c r="V83">
        <f t="shared" si="31"/>
        <v>0.18434298241628932</v>
      </c>
      <c r="W83">
        <f t="shared" si="32"/>
        <v>0.24281422833482758</v>
      </c>
      <c r="X83" t="s">
        <v>1175</v>
      </c>
      <c r="Y83">
        <f t="shared" si="33"/>
        <v>0.21635768962889557</v>
      </c>
      <c r="Z83">
        <f t="shared" si="34"/>
        <v>0.39551619023546575</v>
      </c>
      <c r="AA83" t="str">
        <f t="shared" si="35"/>
        <v>Moderate</v>
      </c>
      <c r="AB83">
        <f t="shared" si="36"/>
        <v>0.13729490467657368</v>
      </c>
      <c r="AC83">
        <f t="shared" si="37"/>
        <v>0.33432329137822503</v>
      </c>
      <c r="AD83" t="str">
        <f t="shared" si="38"/>
        <v>Moderate</v>
      </c>
      <c r="AE83">
        <f t="shared" si="39"/>
        <v>2.2478725549153599E-2</v>
      </c>
      <c r="AF83">
        <f t="shared" si="40"/>
        <v>0.12298897727523994</v>
      </c>
      <c r="AG83" t="s">
        <v>1175</v>
      </c>
    </row>
    <row r="84" spans="1:33" customFormat="1" x14ac:dyDescent="0.3">
      <c r="A84">
        <v>201553</v>
      </c>
      <c r="B84" t="s">
        <v>335</v>
      </c>
      <c r="C84" t="s">
        <v>1145</v>
      </c>
      <c r="D84" t="s">
        <v>623</v>
      </c>
      <c r="E84" s="18">
        <v>5.8</v>
      </c>
      <c r="F84" s="2">
        <f t="shared" si="22"/>
        <v>0.57777777777777772</v>
      </c>
      <c r="G84" s="10">
        <v>27.300240000000002</v>
      </c>
      <c r="H84">
        <f t="shared" si="23"/>
        <v>0.36578412977102925</v>
      </c>
      <c r="I84" s="22">
        <v>151.29999999999998</v>
      </c>
      <c r="J84" s="2">
        <f t="shared" si="24"/>
        <v>0.77629553617239611</v>
      </c>
      <c r="K84" s="8">
        <v>0</v>
      </c>
      <c r="L84" s="2">
        <v>0</v>
      </c>
      <c r="M84">
        <v>64375</v>
      </c>
      <c r="N84">
        <f t="shared" si="25"/>
        <v>0.30345441039398541</v>
      </c>
      <c r="O84" s="8">
        <v>0.89663636999999996</v>
      </c>
      <c r="P84">
        <f t="shared" si="26"/>
        <v>0.89198978777534799</v>
      </c>
      <c r="Q84" s="20">
        <v>0.37080000000000002</v>
      </c>
      <c r="R84" s="10">
        <f t="shared" si="27"/>
        <v>0.80294499783456053</v>
      </c>
      <c r="S84">
        <f t="shared" si="28"/>
        <v>0.27960841331875913</v>
      </c>
      <c r="T84" s="11">
        <f t="shared" si="29"/>
        <v>0.51326375287572568</v>
      </c>
      <c r="U84" t="str">
        <f t="shared" si="30"/>
        <v>Moderate</v>
      </c>
      <c r="V84">
        <f t="shared" si="31"/>
        <v>0.26491895585937575</v>
      </c>
      <c r="W84">
        <f t="shared" si="32"/>
        <v>0.34894787420222645</v>
      </c>
      <c r="X84" t="str">
        <f t="shared" si="42"/>
        <v>Moderate</v>
      </c>
      <c r="Y84">
        <f t="shared" si="33"/>
        <v>0.29429787077814246</v>
      </c>
      <c r="Z84">
        <f t="shared" si="34"/>
        <v>0.53799600487615218</v>
      </c>
      <c r="AA84" t="str">
        <f t="shared" si="35"/>
        <v>Moderate</v>
      </c>
      <c r="AB84">
        <f t="shared" si="36"/>
        <v>0.21605298374013068</v>
      </c>
      <c r="AC84">
        <f t="shared" si="37"/>
        <v>0.52610506417731129</v>
      </c>
      <c r="AD84" t="str">
        <f t="shared" si="38"/>
        <v>Moderate</v>
      </c>
      <c r="AE84">
        <f t="shared" si="39"/>
        <v>0.10011996558830412</v>
      </c>
      <c r="AF84">
        <f t="shared" si="40"/>
        <v>0.54779138370686642</v>
      </c>
      <c r="AG84" t="str">
        <f t="shared" si="41"/>
        <v>Moderate</v>
      </c>
    </row>
    <row r="85" spans="1:33" customFormat="1" x14ac:dyDescent="0.3">
      <c r="A85">
        <v>201555</v>
      </c>
      <c r="B85" t="s">
        <v>389</v>
      </c>
      <c r="C85" t="s">
        <v>1145</v>
      </c>
      <c r="D85" t="s">
        <v>624</v>
      </c>
      <c r="E85" s="18">
        <v>5.8</v>
      </c>
      <c r="F85" s="2">
        <f t="shared" si="22"/>
        <v>0.57777777777777772</v>
      </c>
      <c r="G85" s="10">
        <v>33.642360000000004</v>
      </c>
      <c r="H85">
        <f t="shared" si="23"/>
        <v>0.45075945764739372</v>
      </c>
      <c r="I85" s="22">
        <v>125.1</v>
      </c>
      <c r="J85" s="2">
        <f t="shared" si="24"/>
        <v>0.641867624422781</v>
      </c>
      <c r="K85" s="8">
        <v>0</v>
      </c>
      <c r="L85" s="2">
        <v>0</v>
      </c>
      <c r="M85">
        <v>9603</v>
      </c>
      <c r="N85">
        <f t="shared" si="25"/>
        <v>4.4305025242130466E-2</v>
      </c>
      <c r="O85" s="8">
        <v>0.70779540699999999</v>
      </c>
      <c r="P85">
        <f t="shared" si="26"/>
        <v>0.68402134941736559</v>
      </c>
      <c r="Q85" s="20">
        <v>0.26750000000000002</v>
      </c>
      <c r="R85" s="10">
        <f t="shared" si="27"/>
        <v>0.57925508878302301</v>
      </c>
      <c r="S85">
        <f t="shared" si="28"/>
        <v>0.19937522923050691</v>
      </c>
      <c r="T85" s="11">
        <f t="shared" si="29"/>
        <v>0.36598354523991905</v>
      </c>
      <c r="U85" t="str">
        <f t="shared" si="30"/>
        <v>Moderate</v>
      </c>
      <c r="V85">
        <f t="shared" si="31"/>
        <v>0.18284060814681838</v>
      </c>
      <c r="W85">
        <f t="shared" si="32"/>
        <v>0.24083532008385936</v>
      </c>
      <c r="X85" t="s">
        <v>1175</v>
      </c>
      <c r="Y85">
        <f t="shared" si="33"/>
        <v>0.21590985031419541</v>
      </c>
      <c r="Z85">
        <f t="shared" si="34"/>
        <v>0.39469751029905265</v>
      </c>
      <c r="AA85" t="str">
        <f t="shared" si="35"/>
        <v>Moderate</v>
      </c>
      <c r="AB85">
        <f t="shared" si="36"/>
        <v>0.13366184262461533</v>
      </c>
      <c r="AC85">
        <f t="shared" si="37"/>
        <v>0.32547651541189676</v>
      </c>
      <c r="AD85" t="str">
        <f t="shared" si="38"/>
        <v>Moderate</v>
      </c>
      <c r="AE85">
        <f t="shared" si="39"/>
        <v>1.3984784797057949E-2</v>
      </c>
      <c r="AF85">
        <f t="shared" si="40"/>
        <v>7.6515653694132324E-2</v>
      </c>
      <c r="AG85" t="s">
        <v>1176</v>
      </c>
    </row>
    <row r="86" spans="1:33" customFormat="1" x14ac:dyDescent="0.3">
      <c r="A86">
        <v>201557</v>
      </c>
      <c r="B86" t="s">
        <v>399</v>
      </c>
      <c r="C86" t="s">
        <v>1145</v>
      </c>
      <c r="D86" t="s">
        <v>625</v>
      </c>
      <c r="E86" s="18">
        <v>5.7</v>
      </c>
      <c r="F86" s="2">
        <f t="shared" si="22"/>
        <v>0.55555555555555558</v>
      </c>
      <c r="G86" s="10">
        <v>25.94556</v>
      </c>
      <c r="H86">
        <f t="shared" si="23"/>
        <v>0.34763335728997347</v>
      </c>
      <c r="I86" s="22">
        <v>120.30000000000001</v>
      </c>
      <c r="J86" s="2">
        <f t="shared" si="24"/>
        <v>0.61723961005643935</v>
      </c>
      <c r="K86" s="8">
        <v>0</v>
      </c>
      <c r="L86" s="2">
        <v>0</v>
      </c>
      <c r="M86">
        <v>8383</v>
      </c>
      <c r="N86">
        <f t="shared" si="25"/>
        <v>3.8532691752660241E-2</v>
      </c>
      <c r="O86" s="8">
        <v>0.81107052199999996</v>
      </c>
      <c r="P86">
        <f t="shared" si="26"/>
        <v>0.7977570773366891</v>
      </c>
      <c r="Q86" s="20">
        <v>0.26750000000000002</v>
      </c>
      <c r="R86" s="10">
        <f t="shared" si="27"/>
        <v>0.57925508878302301</v>
      </c>
      <c r="S86">
        <f t="shared" si="28"/>
        <v>0.18453358538833864</v>
      </c>
      <c r="T86" s="11">
        <f t="shared" si="29"/>
        <v>0.33873945152020724</v>
      </c>
      <c r="U86" t="str">
        <f t="shared" si="30"/>
        <v>Moderate</v>
      </c>
      <c r="V86">
        <f t="shared" si="31"/>
        <v>0.15525210454571811</v>
      </c>
      <c r="W86">
        <f t="shared" si="32"/>
        <v>0.20449609455431822</v>
      </c>
      <c r="X86" t="s">
        <v>1175</v>
      </c>
      <c r="Y86">
        <f t="shared" si="33"/>
        <v>0.21381506623095914</v>
      </c>
      <c r="Z86">
        <f t="shared" si="34"/>
        <v>0.39086810621644941</v>
      </c>
      <c r="AA86" t="str">
        <f t="shared" si="35"/>
        <v>Moderate</v>
      </c>
      <c r="AB86">
        <f t="shared" si="36"/>
        <v>0.12209739629943681</v>
      </c>
      <c r="AC86">
        <f t="shared" si="37"/>
        <v>0.29731622958404114</v>
      </c>
      <c r="AD86" t="str">
        <f t="shared" si="38"/>
        <v>Low</v>
      </c>
      <c r="AE86">
        <f t="shared" si="39"/>
        <v>1.0327542397564983E-2</v>
      </c>
      <c r="AF86">
        <f t="shared" si="40"/>
        <v>5.650560012691748E-2</v>
      </c>
      <c r="AG86" t="s">
        <v>1176</v>
      </c>
    </row>
    <row r="87" spans="1:33" customFormat="1" x14ac:dyDescent="0.3">
      <c r="A87">
        <v>201561</v>
      </c>
      <c r="B87" t="s">
        <v>406</v>
      </c>
      <c r="C87" t="s">
        <v>1145</v>
      </c>
      <c r="D87" t="s">
        <v>626</v>
      </c>
      <c r="E87" s="18">
        <v>5.0999999999999996</v>
      </c>
      <c r="F87" s="2">
        <f t="shared" si="22"/>
        <v>0.42222222222222211</v>
      </c>
      <c r="G87" s="10">
        <v>33.327719999999999</v>
      </c>
      <c r="H87">
        <f t="shared" si="23"/>
        <v>0.44654373212296028</v>
      </c>
      <c r="I87" s="22">
        <v>108.2</v>
      </c>
      <c r="J87" s="2">
        <f t="shared" si="24"/>
        <v>0.5551564905079529</v>
      </c>
      <c r="K87" s="8">
        <v>0</v>
      </c>
      <c r="L87" s="2">
        <v>0</v>
      </c>
      <c r="M87">
        <v>61378</v>
      </c>
      <c r="N87">
        <f t="shared" si="25"/>
        <v>0.28927434197763929</v>
      </c>
      <c r="O87" s="8">
        <v>0.78106483400000004</v>
      </c>
      <c r="P87">
        <f t="shared" si="26"/>
        <v>0.76471214907492824</v>
      </c>
      <c r="Q87" s="20">
        <v>0.38279999999999997</v>
      </c>
      <c r="R87" s="10">
        <f t="shared" si="27"/>
        <v>0.82893027284538756</v>
      </c>
      <c r="S87">
        <f t="shared" si="28"/>
        <v>0.16850381893222949</v>
      </c>
      <c r="T87" s="11">
        <f t="shared" si="29"/>
        <v>0.30931437810653817</v>
      </c>
      <c r="U87" t="str">
        <f t="shared" si="30"/>
        <v>Moderate</v>
      </c>
      <c r="V87">
        <f t="shared" si="31"/>
        <v>0.17529392375822039</v>
      </c>
      <c r="W87">
        <f t="shared" si="32"/>
        <v>0.23089492353453028</v>
      </c>
      <c r="X87" t="s">
        <v>1175</v>
      </c>
      <c r="Y87">
        <f t="shared" si="33"/>
        <v>0.16171371410623858</v>
      </c>
      <c r="Z87">
        <f t="shared" si="34"/>
        <v>0.29562338284270795</v>
      </c>
      <c r="AA87" t="str">
        <f t="shared" si="35"/>
        <v>Low</v>
      </c>
      <c r="AB87">
        <f t="shared" si="36"/>
        <v>0.1312774880901014</v>
      </c>
      <c r="AC87">
        <f t="shared" si="37"/>
        <v>0.3196704350065887</v>
      </c>
      <c r="AD87" t="str">
        <f t="shared" si="38"/>
        <v>Moderate</v>
      </c>
      <c r="AE87">
        <f t="shared" si="39"/>
        <v>6.1172858693864789E-2</v>
      </c>
      <c r="AF87">
        <f t="shared" si="40"/>
        <v>0.33469812651565067</v>
      </c>
      <c r="AG87" t="str">
        <f t="shared" si="41"/>
        <v>Moderate</v>
      </c>
    </row>
    <row r="88" spans="1:33" customFormat="1" x14ac:dyDescent="0.3">
      <c r="A88">
        <v>201565</v>
      </c>
      <c r="B88" t="s">
        <v>403</v>
      </c>
      <c r="C88" t="s">
        <v>1145</v>
      </c>
      <c r="D88" t="s">
        <v>627</v>
      </c>
      <c r="E88" s="18">
        <v>4.0999999999999996</v>
      </c>
      <c r="F88" s="2">
        <f t="shared" si="22"/>
        <v>0.19999999999999987</v>
      </c>
      <c r="G88" s="10">
        <v>29.673719999999999</v>
      </c>
      <c r="H88">
        <f t="shared" si="23"/>
        <v>0.3975853636183852</v>
      </c>
      <c r="I88" s="22">
        <v>108.2</v>
      </c>
      <c r="J88" s="2">
        <f t="shared" si="24"/>
        <v>0.5551564905079529</v>
      </c>
      <c r="K88" s="8">
        <v>0</v>
      </c>
      <c r="L88" s="2">
        <v>0</v>
      </c>
      <c r="M88">
        <v>13802</v>
      </c>
      <c r="N88">
        <f t="shared" si="25"/>
        <v>6.4172261571872655E-2</v>
      </c>
      <c r="O88" s="8">
        <v>0.66219155200000002</v>
      </c>
      <c r="P88">
        <f t="shared" si="26"/>
        <v>0.63379833446984135</v>
      </c>
      <c r="Q88" s="20">
        <v>0.18890000000000001</v>
      </c>
      <c r="R88" s="10">
        <f t="shared" si="27"/>
        <v>0.40905153746210482</v>
      </c>
      <c r="S88">
        <f t="shared" si="28"/>
        <v>4.9678336027992799E-2</v>
      </c>
      <c r="T88" s="11">
        <f t="shared" si="29"/>
        <v>9.1192138618806984E-2</v>
      </c>
      <c r="U88" t="str">
        <f t="shared" si="30"/>
        <v>No Impact</v>
      </c>
      <c r="V88">
        <f t="shared" si="31"/>
        <v>3.8972052023487476E-2</v>
      </c>
      <c r="W88">
        <f t="shared" si="32"/>
        <v>5.1333490511389704E-2</v>
      </c>
      <c r="X88" t="s">
        <v>1176</v>
      </c>
      <c r="Y88">
        <f t="shared" si="33"/>
        <v>6.0384620032498136E-2</v>
      </c>
      <c r="Z88">
        <f t="shared" si="34"/>
        <v>0.11038708587171081</v>
      </c>
      <c r="AA88" t="str">
        <f t="shared" si="35"/>
        <v>No Impact</v>
      </c>
      <c r="AB88">
        <f t="shared" si="36"/>
        <v>3.389549019954137E-2</v>
      </c>
      <c r="AC88">
        <f t="shared" si="37"/>
        <v>8.2538036448504867E-2</v>
      </c>
      <c r="AD88" t="str">
        <f t="shared" si="38"/>
        <v>No Impact</v>
      </c>
      <c r="AE88">
        <f t="shared" si="39"/>
        <v>6.1139599473466269E-3</v>
      </c>
      <c r="AF88">
        <f t="shared" si="40"/>
        <v>3.3451615367680619E-2</v>
      </c>
      <c r="AG88" t="s">
        <v>1176</v>
      </c>
    </row>
    <row r="89" spans="1:33" customFormat="1" x14ac:dyDescent="0.3">
      <c r="A89">
        <v>201570</v>
      </c>
      <c r="B89" t="s">
        <v>436</v>
      </c>
      <c r="C89" t="s">
        <v>1145</v>
      </c>
      <c r="D89" t="s">
        <v>628</v>
      </c>
      <c r="E89" s="18">
        <v>5.7</v>
      </c>
      <c r="F89" s="2">
        <f t="shared" si="22"/>
        <v>0.55555555555555558</v>
      </c>
      <c r="G89" s="10">
        <v>33.327719999999999</v>
      </c>
      <c r="H89">
        <f t="shared" si="23"/>
        <v>0.44654373212296028</v>
      </c>
      <c r="I89" s="22">
        <v>103.8</v>
      </c>
      <c r="J89" s="2">
        <f t="shared" si="24"/>
        <v>0.53258081067213958</v>
      </c>
      <c r="K89" s="8">
        <v>0</v>
      </c>
      <c r="L89" s="2">
        <v>0</v>
      </c>
      <c r="M89">
        <v>39341</v>
      </c>
      <c r="N89">
        <f t="shared" si="25"/>
        <v>0.18500801975841366</v>
      </c>
      <c r="O89" s="8">
        <v>0.90397899299999995</v>
      </c>
      <c r="P89">
        <f t="shared" si="26"/>
        <v>0.90007613627994332</v>
      </c>
      <c r="Q89" s="20">
        <v>0.37219999999999998</v>
      </c>
      <c r="R89" s="10">
        <f t="shared" si="27"/>
        <v>0.80597661325249026</v>
      </c>
      <c r="S89">
        <f t="shared" si="28"/>
        <v>0.23200529421809266</v>
      </c>
      <c r="T89" s="11">
        <f t="shared" si="29"/>
        <v>0.42588099043236477</v>
      </c>
      <c r="U89" t="str">
        <f t="shared" si="30"/>
        <v>Moderate</v>
      </c>
      <c r="V89">
        <f t="shared" si="31"/>
        <v>0.21920874526510767</v>
      </c>
      <c r="W89">
        <f t="shared" si="32"/>
        <v>0.28873896704998492</v>
      </c>
      <c r="X89" t="s">
        <v>1175</v>
      </c>
      <c r="Y89">
        <f t="shared" si="33"/>
        <v>0.24480184317107767</v>
      </c>
      <c r="Z89">
        <f t="shared" si="34"/>
        <v>0.44751398732219333</v>
      </c>
      <c r="AA89" t="str">
        <f t="shared" si="35"/>
        <v>Moderate</v>
      </c>
      <c r="AB89">
        <f t="shared" si="36"/>
        <v>0.16777502003460662</v>
      </c>
      <c r="AC89">
        <f t="shared" si="37"/>
        <v>0.40854463638801031</v>
      </c>
      <c r="AD89" t="str">
        <f t="shared" si="38"/>
        <v>Moderate</v>
      </c>
      <c r="AE89">
        <f t="shared" si="39"/>
        <v>5.0318303544273218E-2</v>
      </c>
      <c r="AF89">
        <f t="shared" si="40"/>
        <v>0.27530905511537179</v>
      </c>
      <c r="AG89" t="s">
        <v>1175</v>
      </c>
    </row>
    <row r="90" spans="1:33" customFormat="1" x14ac:dyDescent="0.3">
      <c r="A90">
        <v>201574</v>
      </c>
      <c r="B90" t="s">
        <v>439</v>
      </c>
      <c r="C90" t="s">
        <v>1145</v>
      </c>
      <c r="D90" t="s">
        <v>629</v>
      </c>
      <c r="E90" s="18">
        <v>5.5</v>
      </c>
      <c r="F90" s="2">
        <f t="shared" si="22"/>
        <v>0.51111111111111107</v>
      </c>
      <c r="G90" s="10">
        <v>26.574480000000001</v>
      </c>
      <c r="H90">
        <f t="shared" si="23"/>
        <v>0.35605998485425844</v>
      </c>
      <c r="I90" s="22">
        <v>126.2</v>
      </c>
      <c r="J90" s="2">
        <f t="shared" si="24"/>
        <v>0.64751154438173431</v>
      </c>
      <c r="K90" s="8">
        <v>0</v>
      </c>
      <c r="L90" s="2">
        <v>0</v>
      </c>
      <c r="M90">
        <v>34140</v>
      </c>
      <c r="N90">
        <f t="shared" si="25"/>
        <v>0.16039989969387708</v>
      </c>
      <c r="O90" s="8">
        <v>0.88721162600000003</v>
      </c>
      <c r="P90">
        <f t="shared" si="26"/>
        <v>0.88161042272411305</v>
      </c>
      <c r="Q90" s="20">
        <v>0.37519999999999998</v>
      </c>
      <c r="R90" s="10">
        <f t="shared" si="27"/>
        <v>0.81247293200519699</v>
      </c>
      <c r="S90">
        <f t="shared" si="28"/>
        <v>0.2172393218225305</v>
      </c>
      <c r="T90" s="11">
        <f t="shared" si="29"/>
        <v>0.39877580315759709</v>
      </c>
      <c r="U90" t="str">
        <f t="shared" si="30"/>
        <v>Moderate</v>
      </c>
      <c r="V90">
        <f t="shared" si="31"/>
        <v>0.20837353516902274</v>
      </c>
      <c r="W90">
        <f t="shared" si="32"/>
        <v>0.27446696632697765</v>
      </c>
      <c r="X90" t="s">
        <v>1175</v>
      </c>
      <c r="Y90">
        <f t="shared" si="33"/>
        <v>0.22610510847603829</v>
      </c>
      <c r="Z90">
        <f t="shared" si="34"/>
        <v>0.41333511764989667</v>
      </c>
      <c r="AA90" t="str">
        <f t="shared" si="35"/>
        <v>Moderate</v>
      </c>
      <c r="AB90">
        <f t="shared" si="36"/>
        <v>0.15516039007010196</v>
      </c>
      <c r="AC90">
        <f t="shared" si="37"/>
        <v>0.37782707538903187</v>
      </c>
      <c r="AD90" t="str">
        <f t="shared" si="38"/>
        <v>Moderate</v>
      </c>
      <c r="AE90">
        <f t="shared" si="39"/>
        <v>4.1137486337521484E-2</v>
      </c>
      <c r="AF90">
        <f t="shared" si="40"/>
        <v>0.22507758997557711</v>
      </c>
      <c r="AG90" t="s">
        <v>1175</v>
      </c>
    </row>
    <row r="91" spans="1:33" customFormat="1" x14ac:dyDescent="0.3">
      <c r="A91">
        <v>201578</v>
      </c>
      <c r="B91" t="s">
        <v>455</v>
      </c>
      <c r="C91" t="s">
        <v>1145</v>
      </c>
      <c r="D91" t="s">
        <v>630</v>
      </c>
      <c r="E91" s="18">
        <v>5.8</v>
      </c>
      <c r="F91" s="2">
        <f t="shared" si="22"/>
        <v>0.57777777777777772</v>
      </c>
      <c r="G91" s="10">
        <v>40.718880000000006</v>
      </c>
      <c r="H91">
        <f t="shared" si="23"/>
        <v>0.54557469407049053</v>
      </c>
      <c r="I91" s="22">
        <v>132</v>
      </c>
      <c r="J91" s="2">
        <f t="shared" si="24"/>
        <v>0.67727039507439724</v>
      </c>
      <c r="K91" s="8">
        <v>0</v>
      </c>
      <c r="L91" s="2">
        <v>0</v>
      </c>
      <c r="M91">
        <v>39476</v>
      </c>
      <c r="N91">
        <f t="shared" si="25"/>
        <v>0.18564676157896978</v>
      </c>
      <c r="O91" s="8">
        <v>0.88188322299999999</v>
      </c>
      <c r="P91">
        <f t="shared" si="26"/>
        <v>0.87574231215505183</v>
      </c>
      <c r="Q91" s="20">
        <v>0.31380000000000002</v>
      </c>
      <c r="R91" s="10">
        <f t="shared" si="27"/>
        <v>0.6795149415331313</v>
      </c>
      <c r="S91">
        <f t="shared" si="28"/>
        <v>0.27471003372649189</v>
      </c>
      <c r="T91" s="11">
        <f t="shared" si="29"/>
        <v>0.50427203240960816</v>
      </c>
      <c r="U91" t="str">
        <f t="shared" si="30"/>
        <v>Moderate</v>
      </c>
      <c r="V91">
        <f t="shared" si="31"/>
        <v>0.24004976934014993</v>
      </c>
      <c r="W91">
        <f t="shared" si="32"/>
        <v>0.31619049849511022</v>
      </c>
      <c r="X91" t="str">
        <f t="shared" si="42"/>
        <v>Moderate</v>
      </c>
      <c r="Y91">
        <f t="shared" si="33"/>
        <v>0.30937029811283395</v>
      </c>
      <c r="Z91">
        <f t="shared" si="34"/>
        <v>0.56554940058509717</v>
      </c>
      <c r="AA91" t="str">
        <f t="shared" si="35"/>
        <v>Moderate</v>
      </c>
      <c r="AB91">
        <f t="shared" si="36"/>
        <v>0.19978247314161043</v>
      </c>
      <c r="AC91">
        <f t="shared" si="37"/>
        <v>0.48648516226969346</v>
      </c>
      <c r="AD91" t="str">
        <f t="shared" si="38"/>
        <v>Moderate</v>
      </c>
      <c r="AE91">
        <f t="shared" si="39"/>
        <v>6.5582755539165233E-2</v>
      </c>
      <c r="AF91">
        <f t="shared" si="40"/>
        <v>0.35882621605999904</v>
      </c>
      <c r="AG91" t="str">
        <f t="shared" si="41"/>
        <v>Moderate</v>
      </c>
    </row>
    <row r="92" spans="1:33" customFormat="1" x14ac:dyDescent="0.3">
      <c r="A92">
        <v>201582</v>
      </c>
      <c r="B92" t="s">
        <v>462</v>
      </c>
      <c r="C92" t="s">
        <v>1145</v>
      </c>
      <c r="D92" t="s">
        <v>631</v>
      </c>
      <c r="E92" s="18">
        <v>5.7</v>
      </c>
      <c r="F92" s="2">
        <f t="shared" si="22"/>
        <v>0.55555555555555558</v>
      </c>
      <c r="G92" s="10">
        <v>28.66968</v>
      </c>
      <c r="H92">
        <f t="shared" si="23"/>
        <v>0.38413266511993593</v>
      </c>
      <c r="I92" s="22">
        <v>98.1</v>
      </c>
      <c r="J92" s="2">
        <f t="shared" si="24"/>
        <v>0.50333504361210879</v>
      </c>
      <c r="K92" s="8">
        <v>0</v>
      </c>
      <c r="L92" s="2">
        <v>0</v>
      </c>
      <c r="M92">
        <v>40219</v>
      </c>
      <c r="N92">
        <f t="shared" si="25"/>
        <v>0.18916220730247502</v>
      </c>
      <c r="O92" s="8">
        <v>0.88565957200000001</v>
      </c>
      <c r="P92">
        <f t="shared" si="26"/>
        <v>0.87990116303013832</v>
      </c>
      <c r="Q92" s="20">
        <v>0.38100000000000001</v>
      </c>
      <c r="R92" s="10">
        <f t="shared" si="27"/>
        <v>0.82503248159376352</v>
      </c>
      <c r="S92">
        <f t="shared" si="28"/>
        <v>0.2101491048797984</v>
      </c>
      <c r="T92" s="11">
        <f t="shared" si="29"/>
        <v>0.38576063199899169</v>
      </c>
      <c r="U92" t="str">
        <f t="shared" si="30"/>
        <v>Moderate</v>
      </c>
      <c r="V92">
        <f t="shared" si="31"/>
        <v>0.20338602390820285</v>
      </c>
      <c r="W92">
        <f t="shared" si="32"/>
        <v>0.26789748002360192</v>
      </c>
      <c r="X92" t="s">
        <v>1175</v>
      </c>
      <c r="Y92">
        <f t="shared" si="33"/>
        <v>0.21691218585139396</v>
      </c>
      <c r="Z92">
        <f t="shared" si="34"/>
        <v>0.39652984606530334</v>
      </c>
      <c r="AA92" t="str">
        <f t="shared" si="35"/>
        <v>Moderate</v>
      </c>
      <c r="AB92">
        <f t="shared" si="36"/>
        <v>0.15257997877403867</v>
      </c>
      <c r="AC92">
        <f t="shared" si="37"/>
        <v>0.37154358220593325</v>
      </c>
      <c r="AD92" t="str">
        <f t="shared" si="38"/>
        <v>Moderate</v>
      </c>
      <c r="AE92">
        <f t="shared" si="39"/>
        <v>4.6632041859284323E-2</v>
      </c>
      <c r="AF92">
        <f t="shared" si="40"/>
        <v>0.2551402268775646</v>
      </c>
      <c r="AG92" t="s">
        <v>1175</v>
      </c>
    </row>
    <row r="93" spans="1:33" customFormat="1" x14ac:dyDescent="0.3">
      <c r="A93">
        <v>201586</v>
      </c>
      <c r="B93" t="s">
        <v>490</v>
      </c>
      <c r="C93" t="s">
        <v>1145</v>
      </c>
      <c r="D93" t="s">
        <v>632</v>
      </c>
      <c r="E93" s="18">
        <v>5.8</v>
      </c>
      <c r="F93" s="2">
        <f t="shared" si="22"/>
        <v>0.57777777777777772</v>
      </c>
      <c r="G93" s="10">
        <v>33.642360000000004</v>
      </c>
      <c r="H93">
        <f t="shared" si="23"/>
        <v>0.45075945764739372</v>
      </c>
      <c r="I93" s="22">
        <v>138.29999999999998</v>
      </c>
      <c r="J93" s="2">
        <f t="shared" si="24"/>
        <v>0.70959466393022064</v>
      </c>
      <c r="K93" s="8">
        <v>0</v>
      </c>
      <c r="L93" s="2">
        <v>0</v>
      </c>
      <c r="M93">
        <v>54977</v>
      </c>
      <c r="N93">
        <f t="shared" si="25"/>
        <v>0.25898851684149266</v>
      </c>
      <c r="O93" s="8">
        <v>0.75093842799999999</v>
      </c>
      <c r="P93">
        <f t="shared" si="26"/>
        <v>0.73153427543128147</v>
      </c>
      <c r="Q93" s="20">
        <v>0.3886</v>
      </c>
      <c r="R93" s="10">
        <f t="shared" si="27"/>
        <v>0.84148982243395409</v>
      </c>
      <c r="S93">
        <f t="shared" si="28"/>
        <v>0.26364938820983169</v>
      </c>
      <c r="T93" s="11">
        <f t="shared" si="29"/>
        <v>0.48396853595996031</v>
      </c>
      <c r="U93" t="str">
        <f t="shared" si="30"/>
        <v>Moderate</v>
      </c>
      <c r="V93">
        <f t="shared" si="31"/>
        <v>0.28207867529886876</v>
      </c>
      <c r="W93">
        <f t="shared" si="32"/>
        <v>0.37155043807272647</v>
      </c>
      <c r="X93" t="str">
        <f t="shared" si="42"/>
        <v>Moderate</v>
      </c>
      <c r="Y93">
        <f t="shared" si="33"/>
        <v>0.24522010112079451</v>
      </c>
      <c r="Z93">
        <f t="shared" si="34"/>
        <v>0.44827859056366559</v>
      </c>
      <c r="AA93" t="str">
        <f t="shared" si="35"/>
        <v>Moderate</v>
      </c>
      <c r="AB93">
        <f t="shared" si="36"/>
        <v>0.20267931531218156</v>
      </c>
      <c r="AC93">
        <f t="shared" si="37"/>
        <v>0.49353918813722319</v>
      </c>
      <c r="AD93" t="str">
        <f t="shared" si="38"/>
        <v>Moderate</v>
      </c>
      <c r="AE93">
        <f t="shared" si="39"/>
        <v>8.6816424632397596E-2</v>
      </c>
      <c r="AF93">
        <f t="shared" si="40"/>
        <v>0.47500305357096068</v>
      </c>
      <c r="AG93" t="str">
        <f t="shared" si="41"/>
        <v>Moderate</v>
      </c>
    </row>
    <row r="94" spans="1:33" customFormat="1" x14ac:dyDescent="0.3">
      <c r="A94">
        <v>201909</v>
      </c>
      <c r="B94" t="s">
        <v>52</v>
      </c>
      <c r="C94" t="s">
        <v>1146</v>
      </c>
      <c r="D94" t="s">
        <v>633</v>
      </c>
      <c r="E94" s="18">
        <v>4.4000000000000004</v>
      </c>
      <c r="F94" s="2">
        <f t="shared" si="22"/>
        <v>0.26666666666666672</v>
      </c>
      <c r="G94" s="10">
        <v>20.606400000000001</v>
      </c>
      <c r="H94">
        <f t="shared" si="23"/>
        <v>0.27609625745831307</v>
      </c>
      <c r="I94" s="22">
        <v>16.899999999999999</v>
      </c>
      <c r="J94" s="2">
        <f t="shared" si="24"/>
        <v>8.6711133914828126E-2</v>
      </c>
      <c r="K94" s="8">
        <v>0</v>
      </c>
      <c r="L94" s="2">
        <v>0</v>
      </c>
      <c r="M94">
        <v>52813</v>
      </c>
      <c r="N94">
        <f t="shared" si="25"/>
        <v>0.24874972202902254</v>
      </c>
      <c r="O94" s="8">
        <v>0.95209893899999998</v>
      </c>
      <c r="P94">
        <f t="shared" si="26"/>
        <v>0.95307009407653887</v>
      </c>
      <c r="Q94" s="20">
        <v>0.35060000000000002</v>
      </c>
      <c r="R94" s="10">
        <f t="shared" si="27"/>
        <v>0.75920311823300135</v>
      </c>
      <c r="S94">
        <f t="shared" si="28"/>
        <v>4.1415025165075545E-2</v>
      </c>
      <c r="T94" s="11">
        <f t="shared" si="29"/>
        <v>7.6023575218518505E-2</v>
      </c>
      <c r="U94" t="str">
        <f t="shared" si="30"/>
        <v>No Impact</v>
      </c>
      <c r="V94">
        <f t="shared" si="31"/>
        <v>3.6725933713129308E-2</v>
      </c>
      <c r="W94">
        <f t="shared" si="32"/>
        <v>4.8374932083346436E-2</v>
      </c>
      <c r="X94" t="s">
        <v>1176</v>
      </c>
      <c r="Y94">
        <f t="shared" si="33"/>
        <v>4.6104116617021788E-2</v>
      </c>
      <c r="Z94">
        <f t="shared" si="34"/>
        <v>8.4281379551673349E-2</v>
      </c>
      <c r="AA94" t="str">
        <f t="shared" si="35"/>
        <v>No Impact</v>
      </c>
      <c r="AB94">
        <f t="shared" si="36"/>
        <v>3.0896896213228497E-2</v>
      </c>
      <c r="AC94">
        <f t="shared" si="37"/>
        <v>7.5236237351352167E-2</v>
      </c>
      <c r="AD94" t="str">
        <f t="shared" si="38"/>
        <v>No Impact</v>
      </c>
      <c r="AE94">
        <f t="shared" si="39"/>
        <v>1.2033098367219159E-2</v>
      </c>
      <c r="AF94">
        <f t="shared" si="40"/>
        <v>6.5837293951585649E-2</v>
      </c>
      <c r="AG94" t="s">
        <v>1176</v>
      </c>
    </row>
    <row r="95" spans="1:33" customFormat="1" x14ac:dyDescent="0.3">
      <c r="A95">
        <v>201915</v>
      </c>
      <c r="B95" t="s">
        <v>88</v>
      </c>
      <c r="C95" t="s">
        <v>1146</v>
      </c>
      <c r="D95" t="s">
        <v>634</v>
      </c>
      <c r="E95" s="18">
        <v>4.4000000000000004</v>
      </c>
      <c r="F95" s="2">
        <f t="shared" si="22"/>
        <v>0.26666666666666672</v>
      </c>
      <c r="G95" s="10">
        <v>18.3474</v>
      </c>
      <c r="H95">
        <f t="shared" si="23"/>
        <v>0.24582889170794767</v>
      </c>
      <c r="I95" s="22">
        <v>1.5</v>
      </c>
      <c r="J95" s="2">
        <f t="shared" si="24"/>
        <v>7.6962544894817863E-3</v>
      </c>
      <c r="K95" s="8">
        <v>0</v>
      </c>
      <c r="L95" s="2">
        <v>0</v>
      </c>
      <c r="M95">
        <v>14956</v>
      </c>
      <c r="N95">
        <f t="shared" si="25"/>
        <v>6.9632321282404319E-2</v>
      </c>
      <c r="O95" s="8">
        <v>0.85900518000000003</v>
      </c>
      <c r="P95">
        <f t="shared" si="26"/>
        <v>0.85054697953330083</v>
      </c>
      <c r="Q95" s="20">
        <v>0.32940000000000003</v>
      </c>
      <c r="R95" s="10">
        <f t="shared" si="27"/>
        <v>0.71329579904720664</v>
      </c>
      <c r="S95">
        <f t="shared" si="28"/>
        <v>2.6431564604627832E-2</v>
      </c>
      <c r="T95" s="11">
        <f t="shared" si="29"/>
        <v>4.8519155351318254E-2</v>
      </c>
      <c r="U95" t="str">
        <f t="shared" si="30"/>
        <v>No Impact</v>
      </c>
      <c r="V95">
        <f t="shared" si="31"/>
        <v>2.4111789564727381E-2</v>
      </c>
      <c r="W95">
        <f t="shared" si="32"/>
        <v>3.1759742086139117E-2</v>
      </c>
      <c r="X95" t="s">
        <v>1176</v>
      </c>
      <c r="Y95">
        <f t="shared" si="33"/>
        <v>2.8751339644528289E-2</v>
      </c>
      <c r="Z95">
        <f t="shared" si="34"/>
        <v>5.2559353632749307E-2</v>
      </c>
      <c r="AA95" t="str">
        <f t="shared" si="35"/>
        <v>No Impact</v>
      </c>
      <c r="AB95">
        <f t="shared" si="36"/>
        <v>1.7888360314561834E-2</v>
      </c>
      <c r="AC95">
        <f t="shared" si="37"/>
        <v>4.3559486142710234E-2</v>
      </c>
      <c r="AD95" t="str">
        <f t="shared" si="38"/>
        <v>No Impact</v>
      </c>
      <c r="AE95">
        <f t="shared" si="39"/>
        <v>2.3538059244250582E-3</v>
      </c>
      <c r="AF95">
        <f t="shared" si="40"/>
        <v>1.2878496279355972E-2</v>
      </c>
      <c r="AG95" t="s">
        <v>1176</v>
      </c>
    </row>
    <row r="96" spans="1:33" customFormat="1" x14ac:dyDescent="0.3">
      <c r="A96">
        <v>201918</v>
      </c>
      <c r="B96" t="s">
        <v>91</v>
      </c>
      <c r="C96" t="s">
        <v>1146</v>
      </c>
      <c r="D96" t="s">
        <v>635</v>
      </c>
      <c r="E96" s="18">
        <v>4.3</v>
      </c>
      <c r="F96" s="2">
        <f t="shared" si="22"/>
        <v>0.24444444444444435</v>
      </c>
      <c r="G96" s="10">
        <v>18.91404</v>
      </c>
      <c r="H96">
        <f t="shared" si="23"/>
        <v>0.25342105643959312</v>
      </c>
      <c r="I96" s="22">
        <v>3.4999999999999996</v>
      </c>
      <c r="J96" s="2">
        <f t="shared" si="24"/>
        <v>1.7957927142124165E-2</v>
      </c>
      <c r="K96" s="8">
        <v>0</v>
      </c>
      <c r="L96" s="2">
        <v>0</v>
      </c>
      <c r="M96">
        <v>36049</v>
      </c>
      <c r="N96">
        <f t="shared" si="25"/>
        <v>0.16943218217863007</v>
      </c>
      <c r="O96" s="8">
        <v>0.842859162</v>
      </c>
      <c r="P96">
        <f t="shared" si="26"/>
        <v>0.83276555067477576</v>
      </c>
      <c r="Q96" s="20">
        <v>0.32790000000000002</v>
      </c>
      <c r="R96" s="10">
        <f t="shared" si="27"/>
        <v>0.71004763967085327</v>
      </c>
      <c r="S96">
        <f t="shared" si="28"/>
        <v>2.558643238876164E-2</v>
      </c>
      <c r="T96" s="11">
        <f t="shared" si="29"/>
        <v>4.696778667952816E-2</v>
      </c>
      <c r="U96" t="str">
        <f t="shared" si="30"/>
        <v>No Impact</v>
      </c>
      <c r="V96">
        <f t="shared" si="31"/>
        <v>2.3551245269257878E-2</v>
      </c>
      <c r="W96">
        <f t="shared" si="32"/>
        <v>3.1021400280186597E-2</v>
      </c>
      <c r="X96" t="s">
        <v>1176</v>
      </c>
      <c r="Y96">
        <f t="shared" si="33"/>
        <v>2.7621619508265402E-2</v>
      </c>
      <c r="Z96">
        <f t="shared" si="34"/>
        <v>5.0494150380240028E-2</v>
      </c>
      <c r="AA96" t="str">
        <f t="shared" si="35"/>
        <v>No Impact</v>
      </c>
      <c r="AB96">
        <f t="shared" si="36"/>
        <v>1.849635818044016E-2</v>
      </c>
      <c r="AC96">
        <f t="shared" si="37"/>
        <v>4.5040006109202925E-2</v>
      </c>
      <c r="AD96" t="str">
        <f t="shared" si="38"/>
        <v>No Impact</v>
      </c>
      <c r="AE96">
        <f t="shared" si="39"/>
        <v>5.6198185249150961E-3</v>
      </c>
      <c r="AF96">
        <f t="shared" si="40"/>
        <v>3.074799464677749E-2</v>
      </c>
      <c r="AG96" t="s">
        <v>1176</v>
      </c>
    </row>
    <row r="97" spans="1:33" customFormat="1" x14ac:dyDescent="0.3">
      <c r="A97">
        <v>201927</v>
      </c>
      <c r="B97" t="s">
        <v>97</v>
      </c>
      <c r="C97" t="s">
        <v>1146</v>
      </c>
      <c r="D97" t="s">
        <v>636</v>
      </c>
      <c r="E97" s="18">
        <v>3.8</v>
      </c>
      <c r="F97" s="2">
        <f t="shared" si="22"/>
        <v>0.13333333333333325</v>
      </c>
      <c r="G97" s="10">
        <v>19.957320000000003</v>
      </c>
      <c r="H97">
        <f t="shared" si="23"/>
        <v>0.26739951475745111</v>
      </c>
      <c r="I97" s="22">
        <v>9.0000000000000018</v>
      </c>
      <c r="J97" s="2">
        <f t="shared" si="24"/>
        <v>4.6177526936890728E-2</v>
      </c>
      <c r="K97" s="8">
        <v>0</v>
      </c>
      <c r="L97" s="2">
        <v>0</v>
      </c>
      <c r="M97">
        <v>52969</v>
      </c>
      <c r="N97">
        <f t="shared" si="25"/>
        <v>0.24948782368833183</v>
      </c>
      <c r="O97" s="8">
        <v>0.86641621099999999</v>
      </c>
      <c r="P97">
        <f t="shared" si="26"/>
        <v>0.85870866500242538</v>
      </c>
      <c r="Q97" s="20">
        <v>0.31480000000000002</v>
      </c>
      <c r="R97" s="10">
        <f t="shared" si="27"/>
        <v>0.68168038111736684</v>
      </c>
      <c r="S97">
        <f t="shared" si="28"/>
        <v>1.6101021338020442E-2</v>
      </c>
      <c r="T97" s="11">
        <f t="shared" si="29"/>
        <v>2.9555872582644024E-2</v>
      </c>
      <c r="U97" t="str">
        <f t="shared" si="30"/>
        <v>No Impact</v>
      </c>
      <c r="V97">
        <f t="shared" si="31"/>
        <v>1.425062115279035E-2</v>
      </c>
      <c r="W97">
        <f t="shared" si="32"/>
        <v>1.8770736662449685E-2</v>
      </c>
      <c r="X97" t="s">
        <v>1176</v>
      </c>
      <c r="Y97">
        <f t="shared" si="33"/>
        <v>1.7951421523250535E-2</v>
      </c>
      <c r="Z97">
        <f t="shared" si="34"/>
        <v>3.2816387817624137E-2</v>
      </c>
      <c r="AA97" t="str">
        <f t="shared" si="35"/>
        <v>No Impact</v>
      </c>
      <c r="AB97">
        <f t="shared" si="36"/>
        <v>1.2198595779907203E-2</v>
      </c>
      <c r="AC97">
        <f t="shared" si="37"/>
        <v>2.970448685578183E-2</v>
      </c>
      <c r="AD97" t="str">
        <f t="shared" si="38"/>
        <v>No Impact</v>
      </c>
      <c r="AE97">
        <f t="shared" si="39"/>
        <v>5.2155769127297733E-3</v>
      </c>
      <c r="AF97">
        <f t="shared" si="40"/>
        <v>2.8536247261630957E-2</v>
      </c>
      <c r="AG97" t="s">
        <v>1176</v>
      </c>
    </row>
    <row r="98" spans="1:33" customFormat="1" x14ac:dyDescent="0.3">
      <c r="A98">
        <v>201931</v>
      </c>
      <c r="B98" t="s">
        <v>105</v>
      </c>
      <c r="C98" t="s">
        <v>1146</v>
      </c>
      <c r="D98" t="s">
        <v>637</v>
      </c>
      <c r="E98" s="18">
        <v>4.5</v>
      </c>
      <c r="F98" s="2">
        <f t="shared" si="22"/>
        <v>0.28888888888888886</v>
      </c>
      <c r="G98" s="10">
        <v>20.449800000000003</v>
      </c>
      <c r="H98">
        <f t="shared" si="23"/>
        <v>0.27399804166525987</v>
      </c>
      <c r="I98" s="22">
        <v>37.400000000000006</v>
      </c>
      <c r="J98" s="2">
        <f t="shared" si="24"/>
        <v>0.19189327860441258</v>
      </c>
      <c r="K98" s="8">
        <v>0</v>
      </c>
      <c r="L98" s="2">
        <v>0</v>
      </c>
      <c r="M98">
        <v>58877</v>
      </c>
      <c r="N98">
        <f t="shared" si="25"/>
        <v>0.27744105832422533</v>
      </c>
      <c r="O98" s="8">
        <v>0.98834520400000003</v>
      </c>
      <c r="P98">
        <f t="shared" si="26"/>
        <v>0.99298769992119662</v>
      </c>
      <c r="Q98" s="20">
        <v>0.33629999999999999</v>
      </c>
      <c r="R98" s="10">
        <f t="shared" si="27"/>
        <v>0.72823733217843223</v>
      </c>
      <c r="S98">
        <f t="shared" si="28"/>
        <v>5.7915274638440942E-2</v>
      </c>
      <c r="T98" s="11">
        <f t="shared" si="29"/>
        <v>0.10631229174018639</v>
      </c>
      <c r="U98" t="str">
        <f t="shared" si="30"/>
        <v>No Impact</v>
      </c>
      <c r="V98">
        <f t="shared" si="31"/>
        <v>4.9007031978417326E-2</v>
      </c>
      <c r="W98">
        <f t="shared" si="32"/>
        <v>6.4551438285551585E-2</v>
      </c>
      <c r="X98" t="s">
        <v>1176</v>
      </c>
      <c r="Y98">
        <f t="shared" si="33"/>
        <v>6.6823517298464571E-2</v>
      </c>
      <c r="Z98">
        <f t="shared" si="34"/>
        <v>0.12215781664777321</v>
      </c>
      <c r="AA98" t="str">
        <f t="shared" si="35"/>
        <v>No Impact</v>
      </c>
      <c r="AB98">
        <f t="shared" si="36"/>
        <v>4.3734195086058567E-2</v>
      </c>
      <c r="AC98">
        <f t="shared" si="37"/>
        <v>0.10649601368231479</v>
      </c>
      <c r="AD98" t="str">
        <f t="shared" si="38"/>
        <v>No Impact</v>
      </c>
      <c r="AE98">
        <f t="shared" si="39"/>
        <v>1.8670510583066117E-2</v>
      </c>
      <c r="AF98">
        <f t="shared" si="40"/>
        <v>0.10215289994073121</v>
      </c>
      <c r="AG98" t="s">
        <v>1176</v>
      </c>
    </row>
    <row r="99" spans="1:33" customFormat="1" x14ac:dyDescent="0.3">
      <c r="A99">
        <v>201933</v>
      </c>
      <c r="B99" t="s">
        <v>117</v>
      </c>
      <c r="C99" t="s">
        <v>1146</v>
      </c>
      <c r="D99" t="s">
        <v>638</v>
      </c>
      <c r="E99" s="18">
        <v>4.4000000000000004</v>
      </c>
      <c r="F99" s="2">
        <f t="shared" si="22"/>
        <v>0.26666666666666672</v>
      </c>
      <c r="G99" s="10">
        <v>20.449800000000003</v>
      </c>
      <c r="H99">
        <f t="shared" si="23"/>
        <v>0.27399804166525987</v>
      </c>
      <c r="I99" s="22">
        <v>22.7</v>
      </c>
      <c r="J99" s="2">
        <f t="shared" si="24"/>
        <v>0.11646998460749103</v>
      </c>
      <c r="K99" s="8">
        <v>0</v>
      </c>
      <c r="L99" s="2">
        <v>0</v>
      </c>
      <c r="M99">
        <v>63237</v>
      </c>
      <c r="N99">
        <f t="shared" si="25"/>
        <v>0.2980700534177419</v>
      </c>
      <c r="O99" s="8">
        <v>0.98278746500000003</v>
      </c>
      <c r="P99">
        <f t="shared" si="26"/>
        <v>0.98686702418289696</v>
      </c>
      <c r="Q99" s="20">
        <v>0.35449999999999998</v>
      </c>
      <c r="R99" s="10">
        <f t="shared" si="27"/>
        <v>0.7676483326115201</v>
      </c>
      <c r="S99">
        <f t="shared" si="28"/>
        <v>4.5672143228849833E-2</v>
      </c>
      <c r="T99" s="11">
        <f t="shared" si="29"/>
        <v>8.3838162654973306E-2</v>
      </c>
      <c r="U99" t="str">
        <f t="shared" si="30"/>
        <v>No Impact</v>
      </c>
      <c r="V99">
        <f t="shared" si="31"/>
        <v>3.9965617240851799E-2</v>
      </c>
      <c r="W99">
        <f t="shared" si="32"/>
        <v>5.2642201959975474E-2</v>
      </c>
      <c r="X99" t="s">
        <v>1176</v>
      </c>
      <c r="Y99">
        <f t="shared" si="33"/>
        <v>5.1378669216847868E-2</v>
      </c>
      <c r="Z99">
        <f t="shared" si="34"/>
        <v>9.3923611140751859E-2</v>
      </c>
      <c r="AA99" t="str">
        <f t="shared" si="35"/>
        <v>No Impact</v>
      </c>
      <c r="AB99">
        <f t="shared" si="36"/>
        <v>3.4832951986974316E-2</v>
      </c>
      <c r="AC99">
        <f t="shared" si="37"/>
        <v>8.4820825537103683E-2</v>
      </c>
      <c r="AD99" t="str">
        <f t="shared" si="38"/>
        <v>No Impact</v>
      </c>
      <c r="AE99">
        <f t="shared" si="39"/>
        <v>1.5518243393205218E-2</v>
      </c>
      <c r="AF99">
        <f t="shared" si="40"/>
        <v>8.4905742537099635E-2</v>
      </c>
      <c r="AG99" t="s">
        <v>1176</v>
      </c>
    </row>
    <row r="100" spans="1:33" customFormat="1" x14ac:dyDescent="0.3">
      <c r="A100">
        <v>201936</v>
      </c>
      <c r="B100" t="s">
        <v>130</v>
      </c>
      <c r="C100" t="s">
        <v>1146</v>
      </c>
      <c r="D100" t="s">
        <v>639</v>
      </c>
      <c r="E100" s="18">
        <v>4.3</v>
      </c>
      <c r="F100" s="2">
        <f t="shared" si="22"/>
        <v>0.24444444444444435</v>
      </c>
      <c r="G100" s="10">
        <v>19.684799999999999</v>
      </c>
      <c r="H100">
        <f t="shared" si="23"/>
        <v>0.26374813692908028</v>
      </c>
      <c r="I100" s="22">
        <v>3.9</v>
      </c>
      <c r="J100" s="2">
        <f t="shared" si="24"/>
        <v>2.0010261672652643E-2</v>
      </c>
      <c r="K100" s="8">
        <v>0</v>
      </c>
      <c r="L100" s="2">
        <v>0</v>
      </c>
      <c r="M100">
        <v>46512</v>
      </c>
      <c r="N100">
        <f t="shared" si="25"/>
        <v>0.21893703898217673</v>
      </c>
      <c r="O100" s="8">
        <v>0.57750674800000001</v>
      </c>
      <c r="P100">
        <f t="shared" si="26"/>
        <v>0.54053590792453809</v>
      </c>
      <c r="Q100" s="20">
        <v>0.2457</v>
      </c>
      <c r="R100" s="10">
        <f t="shared" si="27"/>
        <v>0.53204850584668695</v>
      </c>
      <c r="S100">
        <f t="shared" si="28"/>
        <v>1.8599462176588404E-2</v>
      </c>
      <c r="T100" s="11">
        <f t="shared" si="29"/>
        <v>3.4142140591966949E-2</v>
      </c>
      <c r="U100" t="str">
        <f t="shared" si="30"/>
        <v>No Impact</v>
      </c>
      <c r="V100">
        <f t="shared" si="31"/>
        <v>1.8452283910805622E-2</v>
      </c>
      <c r="W100">
        <f t="shared" si="32"/>
        <v>2.4305113327826401E-2</v>
      </c>
      <c r="X100" t="s">
        <v>1176</v>
      </c>
      <c r="Y100">
        <f t="shared" si="33"/>
        <v>1.8746640442371187E-2</v>
      </c>
      <c r="Z100">
        <f t="shared" si="34"/>
        <v>3.4270100684651167E-2</v>
      </c>
      <c r="AA100" t="str">
        <f t="shared" si="35"/>
        <v>No Impact</v>
      </c>
      <c r="AB100">
        <f t="shared" si="36"/>
        <v>1.4739870510030237E-2</v>
      </c>
      <c r="AC100">
        <f t="shared" si="37"/>
        <v>3.5892679593687637E-2</v>
      </c>
      <c r="AD100" t="str">
        <f t="shared" si="38"/>
        <v>No Impact</v>
      </c>
      <c r="AE100">
        <f t="shared" si="39"/>
        <v>7.5930828815340421E-3</v>
      </c>
      <c r="AF100">
        <f t="shared" si="40"/>
        <v>4.1544414781164808E-2</v>
      </c>
      <c r="AG100" t="s">
        <v>1176</v>
      </c>
    </row>
    <row r="101" spans="1:33" customFormat="1" x14ac:dyDescent="0.3">
      <c r="A101">
        <v>201940</v>
      </c>
      <c r="B101" t="s">
        <v>134</v>
      </c>
      <c r="C101" t="s">
        <v>1146</v>
      </c>
      <c r="D101" t="s">
        <v>640</v>
      </c>
      <c r="E101" s="18">
        <v>4.4000000000000004</v>
      </c>
      <c r="F101" s="2">
        <f t="shared" si="22"/>
        <v>0.26666666666666672</v>
      </c>
      <c r="G101" s="10">
        <v>18.848880000000001</v>
      </c>
      <c r="H101">
        <f t="shared" si="23"/>
        <v>0.25254800573029973</v>
      </c>
      <c r="I101" s="22">
        <v>4</v>
      </c>
      <c r="J101" s="2">
        <f t="shared" si="24"/>
        <v>2.0523345305284765E-2</v>
      </c>
      <c r="K101" s="8">
        <v>0</v>
      </c>
      <c r="L101" s="2">
        <v>0</v>
      </c>
      <c r="M101">
        <v>53195</v>
      </c>
      <c r="N101">
        <f t="shared" si="25"/>
        <v>0.25055712481015174</v>
      </c>
      <c r="O101" s="8">
        <v>0.80615409500000001</v>
      </c>
      <c r="P101">
        <f t="shared" si="26"/>
        <v>0.7923426713240963</v>
      </c>
      <c r="Q101" s="20">
        <v>0.32319999999999999</v>
      </c>
      <c r="R101" s="10">
        <f t="shared" si="27"/>
        <v>0.69987007362494591</v>
      </c>
      <c r="S101">
        <f t="shared" si="28"/>
        <v>2.7165370019716875E-2</v>
      </c>
      <c r="T101" s="11">
        <f t="shared" si="29"/>
        <v>4.9866166754726063E-2</v>
      </c>
      <c r="U101" t="str">
        <f t="shared" si="30"/>
        <v>No Impact</v>
      </c>
      <c r="V101">
        <f t="shared" si="31"/>
        <v>2.5481928873885066E-2</v>
      </c>
      <c r="W101">
        <f t="shared" si="32"/>
        <v>3.3564472131750768E-2</v>
      </c>
      <c r="X101" t="s">
        <v>1176</v>
      </c>
      <c r="Y101">
        <f t="shared" si="33"/>
        <v>2.8848811165548681E-2</v>
      </c>
      <c r="Z101">
        <f t="shared" si="34"/>
        <v>5.2737538030616406E-2</v>
      </c>
      <c r="AA101" t="str">
        <f t="shared" si="35"/>
        <v>No Impact</v>
      </c>
      <c r="AB101">
        <f t="shared" si="36"/>
        <v>2.076625050942103E-2</v>
      </c>
      <c r="AC101">
        <f t="shared" si="37"/>
        <v>5.056736254159757E-2</v>
      </c>
      <c r="AD101" t="str">
        <f t="shared" si="38"/>
        <v>No Impact</v>
      </c>
      <c r="AE101">
        <f t="shared" si="39"/>
        <v>9.122663011133297E-3</v>
      </c>
      <c r="AF101">
        <f t="shared" si="40"/>
        <v>4.9913283175797823E-2</v>
      </c>
      <c r="AG101" t="s">
        <v>1176</v>
      </c>
    </row>
    <row r="102" spans="1:33" customFormat="1" x14ac:dyDescent="0.3">
      <c r="A102">
        <v>201954</v>
      </c>
      <c r="B102" t="s">
        <v>209</v>
      </c>
      <c r="C102" t="s">
        <v>1146</v>
      </c>
      <c r="D102" t="s">
        <v>641</v>
      </c>
      <c r="E102" s="18">
        <v>4.4000000000000004</v>
      </c>
      <c r="F102" s="2">
        <f t="shared" si="22"/>
        <v>0.26666666666666672</v>
      </c>
      <c r="G102" s="10">
        <v>18.753119999999999</v>
      </c>
      <c r="H102">
        <f t="shared" si="23"/>
        <v>0.25126495883155908</v>
      </c>
      <c r="I102" s="22">
        <v>0.60000000000000009</v>
      </c>
      <c r="J102" s="2">
        <f t="shared" si="24"/>
        <v>3.0785017957927151E-3</v>
      </c>
      <c r="K102" s="8">
        <v>0</v>
      </c>
      <c r="L102" s="2">
        <v>0</v>
      </c>
      <c r="M102">
        <v>23236</v>
      </c>
      <c r="N102">
        <f t="shared" si="25"/>
        <v>0.1088084862765137</v>
      </c>
      <c r="O102" s="8">
        <v>0.643845801</v>
      </c>
      <c r="P102">
        <f t="shared" si="26"/>
        <v>0.61359436428581726</v>
      </c>
      <c r="Q102" s="20">
        <v>0.25950000000000001</v>
      </c>
      <c r="R102" s="10">
        <f t="shared" si="27"/>
        <v>0.56193157210913813</v>
      </c>
      <c r="S102">
        <f t="shared" si="28"/>
        <v>1.9932488981326747E-2</v>
      </c>
      <c r="T102" s="11">
        <f t="shared" si="29"/>
        <v>3.6589113958622924E-2</v>
      </c>
      <c r="U102" t="str">
        <f t="shared" si="30"/>
        <v>No Impact</v>
      </c>
      <c r="V102">
        <f t="shared" si="31"/>
        <v>1.9056482758134201E-2</v>
      </c>
      <c r="W102">
        <f t="shared" si="32"/>
        <v>2.5100956353429515E-2</v>
      </c>
      <c r="X102" t="s">
        <v>1176</v>
      </c>
      <c r="Y102">
        <f t="shared" si="33"/>
        <v>2.0808495204519301E-2</v>
      </c>
      <c r="Z102">
        <f t="shared" si="34"/>
        <v>3.8039307786753448E-2</v>
      </c>
      <c r="AA102" t="str">
        <f t="shared" si="35"/>
        <v>No Impact</v>
      </c>
      <c r="AB102">
        <f t="shared" si="36"/>
        <v>1.4203804784145065E-2</v>
      </c>
      <c r="AC102">
        <f t="shared" si="37"/>
        <v>3.4587319731315645E-2</v>
      </c>
      <c r="AD102" t="str">
        <f t="shared" si="38"/>
        <v>No Impact</v>
      </c>
      <c r="AE102">
        <f t="shared" si="39"/>
        <v>3.6899635926922955E-3</v>
      </c>
      <c r="AF102">
        <f t="shared" si="40"/>
        <v>2.018908267088939E-2</v>
      </c>
      <c r="AG102" t="s">
        <v>1176</v>
      </c>
    </row>
    <row r="103" spans="1:33" customFormat="1" x14ac:dyDescent="0.3">
      <c r="A103">
        <v>201967</v>
      </c>
      <c r="B103" t="s">
        <v>116</v>
      </c>
      <c r="C103" t="s">
        <v>1146</v>
      </c>
      <c r="D103" t="s">
        <v>642</v>
      </c>
      <c r="E103" s="18">
        <v>4.4000000000000004</v>
      </c>
      <c r="F103" s="2">
        <f t="shared" si="22"/>
        <v>0.26666666666666672</v>
      </c>
      <c r="G103" s="10">
        <v>18.91404</v>
      </c>
      <c r="H103">
        <f t="shared" si="23"/>
        <v>0.25342105643959312</v>
      </c>
      <c r="I103" s="22">
        <v>3.8</v>
      </c>
      <c r="J103" s="2">
        <f t="shared" si="24"/>
        <v>1.9497178040020526E-2</v>
      </c>
      <c r="K103" s="8">
        <v>0</v>
      </c>
      <c r="L103" s="2">
        <v>0</v>
      </c>
      <c r="M103">
        <v>64652</v>
      </c>
      <c r="N103">
        <f t="shared" si="25"/>
        <v>0.30476501398134875</v>
      </c>
      <c r="O103" s="8">
        <v>0.944552842</v>
      </c>
      <c r="P103">
        <f t="shared" si="26"/>
        <v>0.94475966193376348</v>
      </c>
      <c r="Q103" s="20">
        <v>0.31680000000000003</v>
      </c>
      <c r="R103" s="10">
        <f t="shared" si="27"/>
        <v>0.68601126028583814</v>
      </c>
      <c r="S103">
        <f t="shared" si="28"/>
        <v>2.9671141395524341E-2</v>
      </c>
      <c r="T103" s="11">
        <f t="shared" si="29"/>
        <v>5.446589107964938E-2</v>
      </c>
      <c r="U103" t="str">
        <f t="shared" si="30"/>
        <v>No Impact</v>
      </c>
      <c r="V103">
        <f t="shared" si="31"/>
        <v>2.4963330932046092E-2</v>
      </c>
      <c r="W103">
        <f t="shared" si="32"/>
        <v>3.2881381528500696E-2</v>
      </c>
      <c r="X103" t="s">
        <v>1176</v>
      </c>
      <c r="Y103">
        <f t="shared" si="33"/>
        <v>3.4378951859002596E-2</v>
      </c>
      <c r="Z103">
        <f t="shared" si="34"/>
        <v>6.2847001587436016E-2</v>
      </c>
      <c r="AA103" t="str">
        <f t="shared" si="35"/>
        <v>No Impact</v>
      </c>
      <c r="AB103">
        <f t="shared" si="36"/>
        <v>2.2932394762774318E-2</v>
      </c>
      <c r="AC103">
        <f t="shared" si="37"/>
        <v>5.5842084703261782E-2</v>
      </c>
      <c r="AD103" t="str">
        <f t="shared" si="38"/>
        <v>No Impact</v>
      </c>
      <c r="AE103">
        <f t="shared" si="39"/>
        <v>1.1090123939592599E-2</v>
      </c>
      <c r="AF103">
        <f t="shared" si="40"/>
        <v>6.067795072294508E-2</v>
      </c>
      <c r="AG103" t="s">
        <v>1176</v>
      </c>
    </row>
    <row r="104" spans="1:33" customFormat="1" x14ac:dyDescent="0.3">
      <c r="A104">
        <v>201972</v>
      </c>
      <c r="B104" t="s">
        <v>293</v>
      </c>
      <c r="C104" t="s">
        <v>1146</v>
      </c>
      <c r="D104" t="s">
        <v>643</v>
      </c>
      <c r="E104" s="18">
        <v>4.4000000000000004</v>
      </c>
      <c r="F104" s="2">
        <f t="shared" si="22"/>
        <v>0.26666666666666672</v>
      </c>
      <c r="G104" s="10">
        <v>20.606400000000001</v>
      </c>
      <c r="H104">
        <f t="shared" si="23"/>
        <v>0.27609625745831307</v>
      </c>
      <c r="I104" s="22">
        <v>22.7</v>
      </c>
      <c r="J104" s="2">
        <f t="shared" si="24"/>
        <v>0.11646998460749103</v>
      </c>
      <c r="K104" s="8">
        <v>0</v>
      </c>
      <c r="L104" s="2">
        <v>0</v>
      </c>
      <c r="M104">
        <v>22886</v>
      </c>
      <c r="N104">
        <f t="shared" si="25"/>
        <v>0.10715248896396076</v>
      </c>
      <c r="O104" s="8">
        <v>0.96014469499999999</v>
      </c>
      <c r="P104">
        <f t="shared" si="26"/>
        <v>0.96193079508201595</v>
      </c>
      <c r="Q104" s="20">
        <v>0.30080000000000001</v>
      </c>
      <c r="R104" s="10">
        <f t="shared" si="27"/>
        <v>0.6513642269380685</v>
      </c>
      <c r="S104">
        <f t="shared" si="28"/>
        <v>4.222167760919289E-2</v>
      </c>
      <c r="T104" s="11">
        <f t="shared" si="29"/>
        <v>7.7504308418996443E-2</v>
      </c>
      <c r="U104" t="str">
        <f t="shared" si="30"/>
        <v>No Impact</v>
      </c>
      <c r="V104">
        <f t="shared" si="31"/>
        <v>3.4093814238023358E-2</v>
      </c>
      <c r="W104">
        <f t="shared" si="32"/>
        <v>4.4907937837860866E-2</v>
      </c>
      <c r="X104" t="s">
        <v>1176</v>
      </c>
      <c r="Y104">
        <f t="shared" si="33"/>
        <v>5.0349540980362414E-2</v>
      </c>
      <c r="Z104">
        <f t="shared" si="34"/>
        <v>9.2042296545201158E-2</v>
      </c>
      <c r="AA104" t="str">
        <f t="shared" si="35"/>
        <v>No Impact</v>
      </c>
      <c r="AB104">
        <f t="shared" si="36"/>
        <v>2.9000704940377282E-2</v>
      </c>
      <c r="AC104">
        <f t="shared" si="37"/>
        <v>7.0618870749760781E-2</v>
      </c>
      <c r="AD104" t="str">
        <f t="shared" si="38"/>
        <v>No Impact</v>
      </c>
      <c r="AE104">
        <f t="shared" si="39"/>
        <v>5.6085933227439507E-3</v>
      </c>
      <c r="AF104">
        <f t="shared" si="40"/>
        <v>3.0686577635758865E-2</v>
      </c>
      <c r="AG104" t="s">
        <v>1176</v>
      </c>
    </row>
    <row r="105" spans="1:33" customFormat="1" x14ac:dyDescent="0.3">
      <c r="A105">
        <v>201973</v>
      </c>
      <c r="B105" t="s">
        <v>1167</v>
      </c>
      <c r="C105" t="s">
        <v>1146</v>
      </c>
      <c r="D105" s="8" t="s">
        <v>1168</v>
      </c>
      <c r="E105" s="3">
        <v>4.4000000000000004</v>
      </c>
      <c r="F105" s="2">
        <f t="shared" si="22"/>
        <v>0.26666666666666672</v>
      </c>
      <c r="G105" s="10">
        <v>20.606400000000001</v>
      </c>
      <c r="H105">
        <f t="shared" si="23"/>
        <v>0.27609625745831307</v>
      </c>
      <c r="I105" s="22">
        <v>22.7</v>
      </c>
      <c r="J105" s="2">
        <f t="shared" si="24"/>
        <v>0.11646998460749103</v>
      </c>
      <c r="K105" s="8">
        <v>0</v>
      </c>
      <c r="L105" s="2">
        <v>0</v>
      </c>
      <c r="M105">
        <v>22886</v>
      </c>
      <c r="N105">
        <f t="shared" si="25"/>
        <v>0.10715248896396076</v>
      </c>
      <c r="O105" s="8">
        <v>0.96014469499999999</v>
      </c>
      <c r="P105">
        <f t="shared" si="26"/>
        <v>0.96193079508201595</v>
      </c>
      <c r="Q105" s="20">
        <v>0.30080000000000001</v>
      </c>
      <c r="R105" s="10">
        <f t="shared" si="27"/>
        <v>0.6513642269380685</v>
      </c>
      <c r="S105">
        <f t="shared" si="28"/>
        <v>4.222167760919289E-2</v>
      </c>
      <c r="T105" s="11">
        <f t="shared" si="29"/>
        <v>7.7504308418996443E-2</v>
      </c>
      <c r="U105" t="str">
        <f t="shared" si="30"/>
        <v>No Impact</v>
      </c>
      <c r="V105">
        <f t="shared" si="31"/>
        <v>3.4093814238023358E-2</v>
      </c>
      <c r="W105">
        <f t="shared" si="32"/>
        <v>4.4907937837860866E-2</v>
      </c>
      <c r="X105" t="s">
        <v>1176</v>
      </c>
      <c r="Y105">
        <f t="shared" si="33"/>
        <v>5.0349540980362414E-2</v>
      </c>
      <c r="Z105">
        <f t="shared" si="34"/>
        <v>9.2042296545201158E-2</v>
      </c>
      <c r="AA105" t="str">
        <f t="shared" si="35"/>
        <v>No Impact</v>
      </c>
      <c r="AB105">
        <f t="shared" si="36"/>
        <v>2.9000704940377282E-2</v>
      </c>
      <c r="AC105">
        <f t="shared" si="37"/>
        <v>7.0618870749760781E-2</v>
      </c>
      <c r="AD105" t="str">
        <f t="shared" si="38"/>
        <v>No Impact</v>
      </c>
      <c r="AE105">
        <f t="shared" si="39"/>
        <v>5.6085933227439507E-3</v>
      </c>
      <c r="AF105">
        <f t="shared" si="40"/>
        <v>3.0686577635758865E-2</v>
      </c>
      <c r="AG105" t="s">
        <v>1176</v>
      </c>
    </row>
    <row r="106" spans="1:33" customFormat="1" x14ac:dyDescent="0.3">
      <c r="A106">
        <v>201974</v>
      </c>
      <c r="B106" t="s">
        <v>321</v>
      </c>
      <c r="C106" t="s">
        <v>1146</v>
      </c>
      <c r="D106" t="s">
        <v>644</v>
      </c>
      <c r="E106" s="18">
        <v>4.4000000000000004</v>
      </c>
      <c r="F106" s="2">
        <f t="shared" si="22"/>
        <v>0.26666666666666672</v>
      </c>
      <c r="G106" s="10">
        <v>21.481560000000002</v>
      </c>
      <c r="H106">
        <f t="shared" si="23"/>
        <v>0.28782214847650245</v>
      </c>
      <c r="I106" s="22">
        <v>41.4</v>
      </c>
      <c r="J106" s="2">
        <f t="shared" si="24"/>
        <v>0.21241662390969729</v>
      </c>
      <c r="K106" s="8">
        <v>0</v>
      </c>
      <c r="L106" s="2">
        <v>0</v>
      </c>
      <c r="M106">
        <v>12259</v>
      </c>
      <c r="N106">
        <f t="shared" si="25"/>
        <v>5.6871679133960719E-2</v>
      </c>
      <c r="O106" s="8">
        <v>0.98073687799999998</v>
      </c>
      <c r="P106">
        <f t="shared" si="26"/>
        <v>0.98460873567741414</v>
      </c>
      <c r="Q106" s="20">
        <v>0.26600000000000001</v>
      </c>
      <c r="R106" s="10">
        <f t="shared" si="27"/>
        <v>0.57600692940666964</v>
      </c>
      <c r="S106">
        <f t="shared" si="28"/>
        <v>5.2045364297888988E-2</v>
      </c>
      <c r="T106" s="11">
        <f t="shared" si="29"/>
        <v>9.5537178879039897E-2</v>
      </c>
      <c r="U106" t="str">
        <f t="shared" si="30"/>
        <v>No Impact</v>
      </c>
      <c r="V106">
        <f t="shared" si="31"/>
        <v>3.8418799900311586E-2</v>
      </c>
      <c r="W106">
        <f t="shared" si="32"/>
        <v>5.0604753861896896E-2</v>
      </c>
      <c r="X106" t="s">
        <v>1176</v>
      </c>
      <c r="Y106">
        <f t="shared" si="33"/>
        <v>6.5671928695466397E-2</v>
      </c>
      <c r="Z106">
        <f t="shared" si="34"/>
        <v>0.12005263638929634</v>
      </c>
      <c r="AA106" t="str">
        <f t="shared" si="35"/>
        <v>No Impact</v>
      </c>
      <c r="AB106">
        <f t="shared" si="36"/>
        <v>3.4475798124912978E-2</v>
      </c>
      <c r="AC106">
        <f t="shared" si="37"/>
        <v>8.3951129353009496E-2</v>
      </c>
      <c r="AD106" t="str">
        <f t="shared" si="38"/>
        <v>No Impact</v>
      </c>
      <c r="AE106">
        <f t="shared" si="39"/>
        <v>3.793255860468582E-3</v>
      </c>
      <c r="AF106">
        <f t="shared" si="40"/>
        <v>2.0754230830488857E-2</v>
      </c>
      <c r="AG106" t="s">
        <v>1176</v>
      </c>
    </row>
    <row r="107" spans="1:33" customFormat="1" x14ac:dyDescent="0.3">
      <c r="A107">
        <v>201975</v>
      </c>
      <c r="B107" t="s">
        <v>329</v>
      </c>
      <c r="C107" t="s">
        <v>1146</v>
      </c>
      <c r="D107" t="s">
        <v>645</v>
      </c>
      <c r="E107" s="18">
        <v>3.2</v>
      </c>
      <c r="F107" s="2">
        <f t="shared" si="22"/>
        <v>0</v>
      </c>
      <c r="G107" s="10">
        <v>18.753119999999999</v>
      </c>
      <c r="H107">
        <f t="shared" si="23"/>
        <v>0.25126495883155908</v>
      </c>
      <c r="I107" s="22">
        <v>0.60000000000000009</v>
      </c>
      <c r="J107" s="2">
        <f t="shared" si="24"/>
        <v>3.0785017957927151E-3</v>
      </c>
      <c r="K107" s="8">
        <v>0</v>
      </c>
      <c r="L107" s="2">
        <v>0</v>
      </c>
      <c r="M107">
        <v>18727</v>
      </c>
      <c r="N107">
        <f t="shared" si="25"/>
        <v>8.7474509469938913E-2</v>
      </c>
      <c r="O107" s="8">
        <v>0.57778389299999999</v>
      </c>
      <c r="P107">
        <f t="shared" si="26"/>
        <v>0.54084112461022471</v>
      </c>
      <c r="Q107" s="20">
        <v>0.24129999999999999</v>
      </c>
      <c r="R107" s="10">
        <f t="shared" si="27"/>
        <v>0.52252057167605026</v>
      </c>
      <c r="S107">
        <f t="shared" si="28"/>
        <v>0</v>
      </c>
      <c r="T107" s="11">
        <f t="shared" si="29"/>
        <v>0</v>
      </c>
      <c r="U107" t="str">
        <f t="shared" si="30"/>
        <v>No Impact</v>
      </c>
      <c r="V107">
        <f t="shared" si="31"/>
        <v>0</v>
      </c>
      <c r="W107">
        <f t="shared" si="32"/>
        <v>0</v>
      </c>
      <c r="X107" t="s">
        <v>1176</v>
      </c>
      <c r="Y107">
        <f t="shared" si="33"/>
        <v>0</v>
      </c>
      <c r="Z107">
        <f t="shared" si="34"/>
        <v>0</v>
      </c>
      <c r="AA107" t="str">
        <f t="shared" si="35"/>
        <v>No Impact</v>
      </c>
      <c r="AB107">
        <f t="shared" si="36"/>
        <v>0</v>
      </c>
      <c r="AC107">
        <f t="shared" si="37"/>
        <v>0</v>
      </c>
      <c r="AD107" t="str">
        <f t="shared" si="38"/>
        <v>No Impact</v>
      </c>
      <c r="AE107">
        <f t="shared" si="39"/>
        <v>0</v>
      </c>
      <c r="AF107">
        <f t="shared" si="40"/>
        <v>0</v>
      </c>
      <c r="AG107" t="s">
        <v>1176</v>
      </c>
    </row>
    <row r="108" spans="1:33" customFormat="1" x14ac:dyDescent="0.3">
      <c r="A108">
        <v>201981</v>
      </c>
      <c r="B108" t="s">
        <v>353</v>
      </c>
      <c r="C108" t="s">
        <v>1146</v>
      </c>
      <c r="D108" t="s">
        <v>646</v>
      </c>
      <c r="E108" s="18">
        <v>4.4000000000000004</v>
      </c>
      <c r="F108" s="2">
        <f t="shared" si="22"/>
        <v>0.26666666666666672</v>
      </c>
      <c r="G108" s="10">
        <v>18.753119999999999</v>
      </c>
      <c r="H108">
        <f t="shared" si="23"/>
        <v>0.25126495883155908</v>
      </c>
      <c r="I108" s="22">
        <v>0.69999999999999984</v>
      </c>
      <c r="J108" s="2">
        <f t="shared" si="24"/>
        <v>3.5915854284248329E-3</v>
      </c>
      <c r="K108" s="8">
        <v>0</v>
      </c>
      <c r="L108" s="2">
        <v>0</v>
      </c>
      <c r="M108">
        <v>60123</v>
      </c>
      <c r="N108">
        <f t="shared" si="25"/>
        <v>0.28333640875691379</v>
      </c>
      <c r="O108" s="8">
        <v>0.79839812700000001</v>
      </c>
      <c r="P108">
        <f t="shared" si="26"/>
        <v>0.78380111059865942</v>
      </c>
      <c r="Q108" s="20">
        <v>0.27929999999999999</v>
      </c>
      <c r="R108" s="10">
        <f t="shared" si="27"/>
        <v>0.604807275877003</v>
      </c>
      <c r="S108">
        <f t="shared" si="28"/>
        <v>2.3593062313841309E-2</v>
      </c>
      <c r="T108" s="11">
        <f t="shared" si="29"/>
        <v>4.3308652845249027E-2</v>
      </c>
      <c r="U108" t="str">
        <f t="shared" si="30"/>
        <v>No Impact</v>
      </c>
      <c r="V108">
        <f t="shared" si="31"/>
        <v>2.0551878969774368E-2</v>
      </c>
      <c r="W108">
        <f t="shared" si="32"/>
        <v>2.7070673195507395E-2</v>
      </c>
      <c r="X108" t="s">
        <v>1176</v>
      </c>
      <c r="Y108">
        <f t="shared" si="33"/>
        <v>2.6634245657908246E-2</v>
      </c>
      <c r="Z108">
        <f t="shared" si="34"/>
        <v>4.8689165568740041E-2</v>
      </c>
      <c r="AA108" t="str">
        <f t="shared" si="35"/>
        <v>No Impact</v>
      </c>
      <c r="AB108">
        <f t="shared" si="36"/>
        <v>1.8553237776738497E-2</v>
      </c>
      <c r="AC108">
        <f t="shared" si="37"/>
        <v>4.5178512151299109E-2</v>
      </c>
      <c r="AD108" t="str">
        <f t="shared" si="38"/>
        <v>No Impact</v>
      </c>
      <c r="AE108">
        <f t="shared" si="39"/>
        <v>9.6280183998428415E-3</v>
      </c>
      <c r="AF108">
        <f t="shared" si="40"/>
        <v>5.2678259432214575E-2</v>
      </c>
      <c r="AG108" t="s">
        <v>1176</v>
      </c>
    </row>
    <row r="109" spans="1:33" customFormat="1" x14ac:dyDescent="0.3">
      <c r="A109">
        <v>201987</v>
      </c>
      <c r="B109" t="s">
        <v>367</v>
      </c>
      <c r="C109" t="s">
        <v>1146</v>
      </c>
      <c r="D109" t="s">
        <v>647</v>
      </c>
      <c r="E109" s="18">
        <v>4.4000000000000004</v>
      </c>
      <c r="F109" s="2">
        <f t="shared" si="22"/>
        <v>0.26666666666666672</v>
      </c>
      <c r="G109" s="10">
        <v>20.606400000000001</v>
      </c>
      <c r="H109">
        <f t="shared" si="23"/>
        <v>0.27609625745831307</v>
      </c>
      <c r="I109" s="22">
        <v>40.999999999999993</v>
      </c>
      <c r="J109" s="2">
        <f t="shared" si="24"/>
        <v>0.21036428937916879</v>
      </c>
      <c r="K109" s="8">
        <v>0</v>
      </c>
      <c r="L109" s="2">
        <v>0</v>
      </c>
      <c r="M109">
        <v>33417</v>
      </c>
      <c r="N109">
        <f t="shared" si="25"/>
        <v>0.15697908238823202</v>
      </c>
      <c r="O109" s="8">
        <v>0.95925769699999996</v>
      </c>
      <c r="P109">
        <f t="shared" si="26"/>
        <v>0.96095395411511908</v>
      </c>
      <c r="Q109" s="20">
        <v>0.32940000000000003</v>
      </c>
      <c r="R109" s="10">
        <f t="shared" si="27"/>
        <v>0.71329579904720664</v>
      </c>
      <c r="S109">
        <f t="shared" si="28"/>
        <v>5.4297096697724277E-2</v>
      </c>
      <c r="T109" s="11">
        <f t="shared" si="29"/>
        <v>9.9670576040783262E-2</v>
      </c>
      <c r="U109" t="str">
        <f t="shared" si="30"/>
        <v>No Impact</v>
      </c>
      <c r="V109">
        <f t="shared" si="31"/>
        <v>4.6265368594851038E-2</v>
      </c>
      <c r="W109">
        <f t="shared" si="32"/>
        <v>6.0940154199178496E-2</v>
      </c>
      <c r="X109" t="s">
        <v>1176</v>
      </c>
      <c r="Y109">
        <f t="shared" si="33"/>
        <v>6.2328824800597517E-2</v>
      </c>
      <c r="Z109">
        <f t="shared" si="34"/>
        <v>0.11394122099043595</v>
      </c>
      <c r="AA109" t="str">
        <f t="shared" si="35"/>
        <v>No Impact</v>
      </c>
      <c r="AB109">
        <f t="shared" si="36"/>
        <v>3.8455185860539642E-2</v>
      </c>
      <c r="AC109">
        <f t="shared" si="37"/>
        <v>9.364123408471009E-2</v>
      </c>
      <c r="AD109" t="str">
        <f t="shared" si="38"/>
        <v>No Impact</v>
      </c>
      <c r="AE109">
        <f t="shared" si="39"/>
        <v>1.0181884034750064E-2</v>
      </c>
      <c r="AF109">
        <f t="shared" si="40"/>
        <v>5.5708652229003078E-2</v>
      </c>
      <c r="AG109" t="s">
        <v>1176</v>
      </c>
    </row>
    <row r="110" spans="1:33" customFormat="1" x14ac:dyDescent="0.3">
      <c r="A110">
        <v>201994</v>
      </c>
      <c r="B110" t="s">
        <v>522</v>
      </c>
      <c r="C110" t="s">
        <v>1146</v>
      </c>
      <c r="D110" t="s">
        <v>648</v>
      </c>
      <c r="E110" s="18">
        <v>4.3</v>
      </c>
      <c r="F110" s="2">
        <f t="shared" si="22"/>
        <v>0.24444444444444435</v>
      </c>
      <c r="G110" s="10">
        <v>18.753119999999999</v>
      </c>
      <c r="H110">
        <f t="shared" si="23"/>
        <v>0.25126495883155908</v>
      </c>
      <c r="I110" s="22">
        <v>0.60000000000000009</v>
      </c>
      <c r="J110" s="2">
        <f t="shared" si="24"/>
        <v>3.0785017957927151E-3</v>
      </c>
      <c r="K110" s="8">
        <v>0</v>
      </c>
      <c r="L110" s="2">
        <v>0</v>
      </c>
      <c r="M110">
        <v>27825</v>
      </c>
      <c r="N110">
        <f t="shared" si="25"/>
        <v>0.13052097675452914</v>
      </c>
      <c r="O110" s="8">
        <v>0.88093243300000001</v>
      </c>
      <c r="P110">
        <f t="shared" si="26"/>
        <v>0.87469521777274672</v>
      </c>
      <c r="Q110" s="20">
        <v>0.25969999999999999</v>
      </c>
      <c r="R110" s="10">
        <f t="shared" si="27"/>
        <v>0.56236466002598529</v>
      </c>
      <c r="S110">
        <f t="shared" si="28"/>
        <v>2.2336525594047418E-2</v>
      </c>
      <c r="T110" s="11">
        <f t="shared" si="29"/>
        <v>4.100208865866882E-2</v>
      </c>
      <c r="U110" t="str">
        <f t="shared" si="30"/>
        <v>No Impact</v>
      </c>
      <c r="V110">
        <f t="shared" si="31"/>
        <v>1.7481905682454061E-2</v>
      </c>
      <c r="W110">
        <f t="shared" si="32"/>
        <v>2.3026943485819545E-2</v>
      </c>
      <c r="X110" t="s">
        <v>1176</v>
      </c>
      <c r="Y110">
        <f t="shared" si="33"/>
        <v>2.7191145505640776E-2</v>
      </c>
      <c r="Z110">
        <f t="shared" si="34"/>
        <v>4.9707215384744652E-2</v>
      </c>
      <c r="AA110" t="str">
        <f t="shared" si="35"/>
        <v>No Impact</v>
      </c>
      <c r="AB110">
        <f t="shared" si="36"/>
        <v>1.5696111241795652E-2</v>
      </c>
      <c r="AC110">
        <f t="shared" si="37"/>
        <v>3.8221196806666802E-2</v>
      </c>
      <c r="AD110" t="str">
        <f t="shared" si="38"/>
        <v>No Impact</v>
      </c>
      <c r="AE110">
        <f t="shared" si="39"/>
        <v>4.0574302892699976E-3</v>
      </c>
      <c r="AF110">
        <f t="shared" si="40"/>
        <v>2.2199621617858479E-2</v>
      </c>
      <c r="AG110" t="s">
        <v>1176</v>
      </c>
    </row>
    <row r="111" spans="1:33" customFormat="1" x14ac:dyDescent="0.3">
      <c r="A111">
        <v>202216</v>
      </c>
      <c r="B111" t="s">
        <v>94</v>
      </c>
      <c r="C111" t="s">
        <v>650</v>
      </c>
      <c r="D111" t="s">
        <v>649</v>
      </c>
      <c r="E111" s="18">
        <v>7.1</v>
      </c>
      <c r="F111" s="2">
        <f t="shared" si="22"/>
        <v>0.86666666666666659</v>
      </c>
      <c r="G111" s="10">
        <v>29.060639999999999</v>
      </c>
      <c r="H111">
        <f t="shared" si="23"/>
        <v>0.38937096937569637</v>
      </c>
      <c r="I111" s="22">
        <v>68.2</v>
      </c>
      <c r="J111" s="2">
        <f t="shared" si="24"/>
        <v>0.34992303745510522</v>
      </c>
      <c r="K111" s="8">
        <v>0</v>
      </c>
      <c r="L111" s="2">
        <v>0</v>
      </c>
      <c r="M111">
        <v>58413</v>
      </c>
      <c r="N111">
        <f t="shared" si="25"/>
        <v>0.27524567902986946</v>
      </c>
      <c r="O111" s="8">
        <v>0.70760314599999996</v>
      </c>
      <c r="P111">
        <f t="shared" si="26"/>
        <v>0.68380961453054889</v>
      </c>
      <c r="Q111" s="20">
        <v>0.34789999999999999</v>
      </c>
      <c r="R111" s="10">
        <f t="shared" si="27"/>
        <v>0.75335643135556518</v>
      </c>
      <c r="S111">
        <f t="shared" si="28"/>
        <v>0.23020578631793706</v>
      </c>
      <c r="T111" s="11">
        <f t="shared" si="29"/>
        <v>0.42257772009367711</v>
      </c>
      <c r="U111" t="str">
        <f t="shared" si="30"/>
        <v>Moderate</v>
      </c>
      <c r="V111">
        <f t="shared" si="31"/>
        <v>0.24134582104039742</v>
      </c>
      <c r="W111">
        <f t="shared" si="32"/>
        <v>0.31789764128597042</v>
      </c>
      <c r="X111" t="str">
        <f t="shared" si="42"/>
        <v>Moderate</v>
      </c>
      <c r="Y111">
        <f t="shared" si="33"/>
        <v>0.21906575159547667</v>
      </c>
      <c r="Z111">
        <f t="shared" si="34"/>
        <v>0.40046670691819092</v>
      </c>
      <c r="AA111" t="str">
        <f t="shared" si="35"/>
        <v>Moderate</v>
      </c>
      <c r="AB111">
        <f t="shared" si="36"/>
        <v>0.18105303078123205</v>
      </c>
      <c r="AC111">
        <f t="shared" si="37"/>
        <v>0.44087757886846568</v>
      </c>
      <c r="AD111" t="str">
        <f t="shared" si="38"/>
        <v>Moderate</v>
      </c>
      <c r="AE111">
        <f t="shared" si="39"/>
        <v>8.8177908395571325E-2</v>
      </c>
      <c r="AF111">
        <f t="shared" si="40"/>
        <v>0.48245220789438659</v>
      </c>
      <c r="AG111" t="str">
        <f t="shared" si="41"/>
        <v>Moderate</v>
      </c>
    </row>
    <row r="112" spans="1:33" customFormat="1" x14ac:dyDescent="0.3">
      <c r="A112">
        <v>202224</v>
      </c>
      <c r="B112" t="s">
        <v>120</v>
      </c>
      <c r="C112" t="s">
        <v>650</v>
      </c>
      <c r="D112" t="s">
        <v>651</v>
      </c>
      <c r="E112" s="18">
        <v>7.1</v>
      </c>
      <c r="F112" s="2">
        <f t="shared" si="22"/>
        <v>0.86666666666666659</v>
      </c>
      <c r="G112" s="10">
        <v>33.700320000000005</v>
      </c>
      <c r="H112">
        <f t="shared" si="23"/>
        <v>0.45153603866505249</v>
      </c>
      <c r="I112" s="22">
        <v>65.8</v>
      </c>
      <c r="J112" s="2">
        <f t="shared" si="24"/>
        <v>0.33760903027193434</v>
      </c>
      <c r="K112" s="8">
        <v>0</v>
      </c>
      <c r="L112" s="2">
        <v>0</v>
      </c>
      <c r="M112">
        <v>22156.5</v>
      </c>
      <c r="N112">
        <f t="shared" si="25"/>
        <v>0.10370091742251115</v>
      </c>
      <c r="O112" s="8">
        <v>0.72987790200000002</v>
      </c>
      <c r="P112">
        <f t="shared" si="26"/>
        <v>0.70834055393337914</v>
      </c>
      <c r="Q112" s="20">
        <v>0.33069999999999999</v>
      </c>
      <c r="R112" s="10">
        <f t="shared" si="27"/>
        <v>0.71611087050671285</v>
      </c>
      <c r="S112">
        <f t="shared" si="28"/>
        <v>0.24355474379971911</v>
      </c>
      <c r="T112" s="11">
        <f t="shared" si="29"/>
        <v>0.44708176105852127</v>
      </c>
      <c r="U112" t="str">
        <f t="shared" si="30"/>
        <v>Moderate</v>
      </c>
      <c r="V112">
        <f t="shared" si="31"/>
        <v>0.24488332365143636</v>
      </c>
      <c r="W112">
        <f t="shared" si="32"/>
        <v>0.3225571946656165</v>
      </c>
      <c r="X112" t="str">
        <f t="shared" si="42"/>
        <v>Moderate</v>
      </c>
      <c r="Y112">
        <f t="shared" si="33"/>
        <v>0.24222616394800192</v>
      </c>
      <c r="Z112">
        <f t="shared" si="34"/>
        <v>0.4428054750648896</v>
      </c>
      <c r="AA112" t="str">
        <f t="shared" si="35"/>
        <v>Moderate</v>
      </c>
      <c r="AB112">
        <f t="shared" si="36"/>
        <v>0.17078866438601614</v>
      </c>
      <c r="AC112">
        <f t="shared" si="37"/>
        <v>0.41588308424213916</v>
      </c>
      <c r="AD112" t="str">
        <f t="shared" si="38"/>
        <v>Moderate</v>
      </c>
      <c r="AE112">
        <f t="shared" si="39"/>
        <v>3.5461862638893747E-2</v>
      </c>
      <c r="AF112">
        <f t="shared" si="40"/>
        <v>0.19402426568604134</v>
      </c>
      <c r="AG112" t="s">
        <v>1175</v>
      </c>
    </row>
    <row r="113" spans="1:33" customFormat="1" x14ac:dyDescent="0.3">
      <c r="A113">
        <v>202232</v>
      </c>
      <c r="B113" t="s">
        <v>1169</v>
      </c>
      <c r="C113" t="s">
        <v>650</v>
      </c>
      <c r="D113" s="8" t="s">
        <v>1170</v>
      </c>
      <c r="E113" s="3">
        <v>7.1</v>
      </c>
      <c r="F113" s="2">
        <f t="shared" si="22"/>
        <v>0.86666666666666659</v>
      </c>
      <c r="G113" s="10">
        <v>33.700320000000005</v>
      </c>
      <c r="H113">
        <f t="shared" si="23"/>
        <v>0.45153603866505249</v>
      </c>
      <c r="I113" s="22">
        <v>65.8</v>
      </c>
      <c r="J113" s="2">
        <f t="shared" si="24"/>
        <v>0.33760903027193434</v>
      </c>
      <c r="K113" s="8">
        <v>0</v>
      </c>
      <c r="L113" s="2">
        <v>0</v>
      </c>
      <c r="M113">
        <v>22156.5</v>
      </c>
      <c r="N113">
        <f t="shared" si="25"/>
        <v>0.10370091742251115</v>
      </c>
      <c r="O113" s="8">
        <v>0.72987790200000002</v>
      </c>
      <c r="P113">
        <f t="shared" si="26"/>
        <v>0.70834055393337914</v>
      </c>
      <c r="Q113" s="20">
        <v>0.33069999999999999</v>
      </c>
      <c r="R113" s="10">
        <f t="shared" si="27"/>
        <v>0.71611087050671285</v>
      </c>
      <c r="S113">
        <f t="shared" si="28"/>
        <v>0.24355474379971911</v>
      </c>
      <c r="T113" s="11">
        <f t="shared" si="29"/>
        <v>0.44708176105852127</v>
      </c>
      <c r="U113" t="str">
        <f t="shared" si="30"/>
        <v>Moderate</v>
      </c>
      <c r="V113">
        <f t="shared" si="31"/>
        <v>0.24488332365143636</v>
      </c>
      <c r="W113">
        <f t="shared" si="32"/>
        <v>0.3225571946656165</v>
      </c>
      <c r="X113" t="str">
        <f t="shared" si="42"/>
        <v>Moderate</v>
      </c>
      <c r="Y113">
        <f t="shared" si="33"/>
        <v>0.24222616394800192</v>
      </c>
      <c r="Z113">
        <f t="shared" si="34"/>
        <v>0.4428054750648896</v>
      </c>
      <c r="AA113" t="str">
        <f t="shared" si="35"/>
        <v>Moderate</v>
      </c>
      <c r="AB113">
        <f t="shared" si="36"/>
        <v>0.17078866438601614</v>
      </c>
      <c r="AC113">
        <f t="shared" si="37"/>
        <v>0.41588308424213916</v>
      </c>
      <c r="AD113" t="str">
        <f t="shared" si="38"/>
        <v>Moderate</v>
      </c>
      <c r="AE113">
        <f t="shared" si="39"/>
        <v>3.5461862638893747E-2</v>
      </c>
      <c r="AF113">
        <f t="shared" si="40"/>
        <v>0.19402426568604134</v>
      </c>
      <c r="AG113" t="s">
        <v>1175</v>
      </c>
    </row>
    <row r="114" spans="1:33" customFormat="1" x14ac:dyDescent="0.3">
      <c r="A114">
        <v>202245</v>
      </c>
      <c r="B114" t="s">
        <v>291</v>
      </c>
      <c r="C114" t="s">
        <v>650</v>
      </c>
      <c r="D114" t="s">
        <v>652</v>
      </c>
      <c r="E114" s="18">
        <v>6.2</v>
      </c>
      <c r="F114" s="2">
        <f t="shared" si="22"/>
        <v>0.66666666666666663</v>
      </c>
      <c r="G114" s="10">
        <v>37.106639999999999</v>
      </c>
      <c r="H114">
        <f t="shared" si="23"/>
        <v>0.49717584977739621</v>
      </c>
      <c r="I114" s="22">
        <v>94.500000000000014</v>
      </c>
      <c r="J114" s="2">
        <f t="shared" si="24"/>
        <v>0.48486403283735263</v>
      </c>
      <c r="K114" s="8">
        <v>0</v>
      </c>
      <c r="L114" s="2">
        <v>0</v>
      </c>
      <c r="M114">
        <v>10526</v>
      </c>
      <c r="N114">
        <f t="shared" si="25"/>
        <v>4.8672126726377198E-2</v>
      </c>
      <c r="O114" s="8">
        <v>0.58076928000000005</v>
      </c>
      <c r="P114">
        <f t="shared" si="26"/>
        <v>0.54412889789003072</v>
      </c>
      <c r="Q114" s="20">
        <v>0.22789999999999999</v>
      </c>
      <c r="R114" s="10">
        <f t="shared" si="27"/>
        <v>0.49350368124729321</v>
      </c>
      <c r="S114">
        <f t="shared" si="28"/>
        <v>0.16983276270220943</v>
      </c>
      <c r="T114" s="11">
        <f t="shared" si="29"/>
        <v>0.31175385644213144</v>
      </c>
      <c r="U114" t="str">
        <f t="shared" si="30"/>
        <v>Moderate</v>
      </c>
      <c r="V114">
        <f t="shared" si="31"/>
        <v>0.16154676573401275</v>
      </c>
      <c r="W114">
        <f t="shared" si="32"/>
        <v>0.21278734209209207</v>
      </c>
      <c r="X114" t="s">
        <v>1175</v>
      </c>
      <c r="Y114">
        <f t="shared" si="33"/>
        <v>0.17811875967040613</v>
      </c>
      <c r="Z114">
        <f t="shared" si="34"/>
        <v>0.32561289296045798</v>
      </c>
      <c r="AA114" t="str">
        <f t="shared" si="35"/>
        <v>Moderate</v>
      </c>
      <c r="AB114">
        <f t="shared" si="36"/>
        <v>0.11555342569667416</v>
      </c>
      <c r="AC114">
        <f t="shared" si="37"/>
        <v>0.2813811750694416</v>
      </c>
      <c r="AD114" t="str">
        <f t="shared" si="38"/>
        <v>Low</v>
      </c>
      <c r="AE114">
        <f t="shared" si="39"/>
        <v>1.5932656538993877E-2</v>
      </c>
      <c r="AF114">
        <f t="shared" si="40"/>
        <v>8.7173141943641216E-2</v>
      </c>
      <c r="AG114" t="s">
        <v>1176</v>
      </c>
    </row>
    <row r="115" spans="1:33" customFormat="1" x14ac:dyDescent="0.3">
      <c r="A115">
        <v>202249</v>
      </c>
      <c r="B115" t="s">
        <v>314</v>
      </c>
      <c r="C115" t="s">
        <v>650</v>
      </c>
      <c r="D115" t="s">
        <v>653</v>
      </c>
      <c r="E115" s="18">
        <v>6.2</v>
      </c>
      <c r="F115" s="2">
        <f t="shared" si="22"/>
        <v>0.66666666666666663</v>
      </c>
      <c r="G115" s="10">
        <v>37.106639999999999</v>
      </c>
      <c r="H115">
        <f t="shared" si="23"/>
        <v>0.49717584977739621</v>
      </c>
      <c r="I115" s="22">
        <v>76.099999999999994</v>
      </c>
      <c r="J115" s="2">
        <f t="shared" si="24"/>
        <v>0.39045664443304262</v>
      </c>
      <c r="K115" s="8">
        <v>0</v>
      </c>
      <c r="L115" s="2">
        <v>0</v>
      </c>
      <c r="M115">
        <v>24265</v>
      </c>
      <c r="N115">
        <f t="shared" si="25"/>
        <v>0.11367711837541933</v>
      </c>
      <c r="O115" s="8">
        <v>0.53547143699999999</v>
      </c>
      <c r="P115">
        <f t="shared" si="26"/>
        <v>0.49424289053210868</v>
      </c>
      <c r="Q115" s="20">
        <v>0.33729999999999999</v>
      </c>
      <c r="R115" s="10">
        <f t="shared" si="27"/>
        <v>0.73040277176266777</v>
      </c>
      <c r="S115">
        <f t="shared" si="28"/>
        <v>0.18117254729111787</v>
      </c>
      <c r="T115" s="11">
        <f t="shared" si="29"/>
        <v>0.33256975509776382</v>
      </c>
      <c r="U115" t="str">
        <f t="shared" si="30"/>
        <v>Moderate</v>
      </c>
      <c r="V115">
        <f t="shared" si="31"/>
        <v>0.21610974469263819</v>
      </c>
      <c r="W115">
        <f t="shared" si="32"/>
        <v>0.28465700297003915</v>
      </c>
      <c r="X115" t="s">
        <v>1175</v>
      </c>
      <c r="Y115">
        <f t="shared" si="33"/>
        <v>0.14623534988959747</v>
      </c>
      <c r="Z115">
        <f t="shared" si="34"/>
        <v>0.26732790762043401</v>
      </c>
      <c r="AA115" t="str">
        <f t="shared" si="35"/>
        <v>Low</v>
      </c>
      <c r="AB115">
        <f t="shared" si="36"/>
        <v>0.13128109108976263</v>
      </c>
      <c r="AC115">
        <f t="shared" si="37"/>
        <v>0.31967920857840054</v>
      </c>
      <c r="AD115" t="str">
        <f t="shared" si="38"/>
        <v>Moderate</v>
      </c>
      <c r="AE115">
        <f t="shared" si="39"/>
        <v>3.3634501372742917E-2</v>
      </c>
      <c r="AF115">
        <f t="shared" si="40"/>
        <v>0.18402613244023816</v>
      </c>
      <c r="AG115" t="s">
        <v>1175</v>
      </c>
    </row>
    <row r="116" spans="1:33" customFormat="1" x14ac:dyDescent="0.3">
      <c r="A116">
        <v>202256</v>
      </c>
      <c r="B116" t="s">
        <v>409</v>
      </c>
      <c r="C116" t="s">
        <v>650</v>
      </c>
      <c r="D116" t="s">
        <v>654</v>
      </c>
      <c r="E116" s="18">
        <v>7</v>
      </c>
      <c r="F116" s="2">
        <f t="shared" si="22"/>
        <v>0.84444444444444444</v>
      </c>
      <c r="G116" s="10">
        <v>27.1584</v>
      </c>
      <c r="H116">
        <f t="shared" si="23"/>
        <v>0.36388367684582701</v>
      </c>
      <c r="I116" s="22">
        <v>72.8</v>
      </c>
      <c r="J116" s="2">
        <f t="shared" si="24"/>
        <v>0.37352488455618271</v>
      </c>
      <c r="K116" s="8">
        <v>0</v>
      </c>
      <c r="L116" s="2">
        <v>0</v>
      </c>
      <c r="M116">
        <v>24564</v>
      </c>
      <c r="N116">
        <f t="shared" si="25"/>
        <v>0.11509181322242883</v>
      </c>
      <c r="O116" s="8">
        <v>0.72713207499999999</v>
      </c>
      <c r="P116">
        <f t="shared" si="26"/>
        <v>0.70531660539954766</v>
      </c>
      <c r="Q116" s="20">
        <v>0.3095</v>
      </c>
      <c r="R116" s="10">
        <f t="shared" si="27"/>
        <v>0.67020355132091813</v>
      </c>
      <c r="S116">
        <f t="shared" si="28"/>
        <v>0.21413429398874897</v>
      </c>
      <c r="T116" s="11">
        <f t="shared" si="29"/>
        <v>0.39307605249618394</v>
      </c>
      <c r="U116" t="str">
        <f t="shared" si="30"/>
        <v>Moderate</v>
      </c>
      <c r="V116">
        <f t="shared" si="31"/>
        <v>0.20866806435323221</v>
      </c>
      <c r="W116">
        <f t="shared" si="32"/>
        <v>0.27485491641679666</v>
      </c>
      <c r="X116" t="s">
        <v>1175</v>
      </c>
      <c r="Y116">
        <f t="shared" si="33"/>
        <v>0.21960052362426574</v>
      </c>
      <c r="Z116">
        <f t="shared" si="34"/>
        <v>0.40144430561520944</v>
      </c>
      <c r="AA116" t="str">
        <f t="shared" si="35"/>
        <v>Moderate</v>
      </c>
      <c r="AB116">
        <f t="shared" si="36"/>
        <v>0.15145583356594153</v>
      </c>
      <c r="AC116">
        <f t="shared" si="37"/>
        <v>0.36880620512086637</v>
      </c>
      <c r="AD116" t="str">
        <f t="shared" si="38"/>
        <v>Moderate</v>
      </c>
      <c r="AE116">
        <f t="shared" si="39"/>
        <v>3.5833868442944464E-2</v>
      </c>
      <c r="AF116">
        <f t="shared" si="40"/>
        <v>0.19605963967913562</v>
      </c>
      <c r="AG116" t="s">
        <v>1175</v>
      </c>
    </row>
    <row r="117" spans="1:33" customFormat="1" x14ac:dyDescent="0.3">
      <c r="A117">
        <v>202266</v>
      </c>
      <c r="B117" t="s">
        <v>433</v>
      </c>
      <c r="C117" t="s">
        <v>650</v>
      </c>
      <c r="D117" t="s">
        <v>655</v>
      </c>
      <c r="E117" s="18">
        <v>7</v>
      </c>
      <c r="F117" s="2">
        <f t="shared" si="22"/>
        <v>0.84444444444444444</v>
      </c>
      <c r="G117" s="10">
        <v>32.848199999999999</v>
      </c>
      <c r="H117">
        <f t="shared" si="23"/>
        <v>0.44011885066009387</v>
      </c>
      <c r="I117" s="22">
        <v>65.599999999999994</v>
      </c>
      <c r="J117" s="2">
        <f t="shared" si="24"/>
        <v>0.33658286300667012</v>
      </c>
      <c r="K117" s="8">
        <v>0</v>
      </c>
      <c r="L117" s="2">
        <v>0</v>
      </c>
      <c r="M117">
        <v>42505</v>
      </c>
      <c r="N117">
        <f t="shared" si="25"/>
        <v>0.19997823546389215</v>
      </c>
      <c r="O117" s="8">
        <v>0.86730278299999997</v>
      </c>
      <c r="P117">
        <f t="shared" si="26"/>
        <v>0.85968503682029163</v>
      </c>
      <c r="Q117" s="20">
        <v>0.39379999999999998</v>
      </c>
      <c r="R117" s="10">
        <f t="shared" si="27"/>
        <v>0.85275010827197917</v>
      </c>
      <c r="S117">
        <f t="shared" si="28"/>
        <v>0.28078861025545387</v>
      </c>
      <c r="T117" s="11">
        <f t="shared" si="29"/>
        <v>0.51543018378411831</v>
      </c>
      <c r="U117" t="str">
        <f t="shared" si="30"/>
        <v>Moderate</v>
      </c>
      <c r="V117">
        <f t="shared" si="31"/>
        <v>0.27965148751250957</v>
      </c>
      <c r="W117">
        <f t="shared" si="32"/>
        <v>0.3683533772373016</v>
      </c>
      <c r="X117" t="str">
        <f t="shared" si="42"/>
        <v>Moderate</v>
      </c>
      <c r="Y117">
        <f t="shared" si="33"/>
        <v>0.28192573299839818</v>
      </c>
      <c r="Z117">
        <f t="shared" si="34"/>
        <v>0.51537891736654695</v>
      </c>
      <c r="AA117" t="str">
        <f t="shared" si="35"/>
        <v>Moderate</v>
      </c>
      <c r="AB117">
        <f t="shared" si="36"/>
        <v>0.20540909306006941</v>
      </c>
      <c r="AC117">
        <f t="shared" si="37"/>
        <v>0.50018639972569978</v>
      </c>
      <c r="AD117" t="str">
        <f t="shared" si="38"/>
        <v>Moderate</v>
      </c>
      <c r="AE117">
        <f t="shared" si="39"/>
        <v>6.5581007231918939E-2</v>
      </c>
      <c r="AF117">
        <f t="shared" si="40"/>
        <v>0.35881665045897265</v>
      </c>
      <c r="AG117" t="str">
        <f t="shared" si="41"/>
        <v>Moderate</v>
      </c>
    </row>
    <row r="118" spans="1:33" customFormat="1" x14ac:dyDescent="0.3">
      <c r="A118">
        <v>202290</v>
      </c>
      <c r="B118" t="s">
        <v>517</v>
      </c>
      <c r="C118" t="s">
        <v>650</v>
      </c>
      <c r="D118" t="s">
        <v>656</v>
      </c>
      <c r="E118" s="18">
        <v>7.2</v>
      </c>
      <c r="F118" s="2">
        <f t="shared" si="22"/>
        <v>0.88888888888888884</v>
      </c>
      <c r="G118" s="10">
        <v>46.930319999999995</v>
      </c>
      <c r="H118">
        <f t="shared" si="23"/>
        <v>0.62879909704368631</v>
      </c>
      <c r="I118" s="22">
        <v>66.3</v>
      </c>
      <c r="J118" s="2">
        <f t="shared" si="24"/>
        <v>0.34017444843509492</v>
      </c>
      <c r="K118" s="8">
        <v>0</v>
      </c>
      <c r="L118" s="2">
        <v>0</v>
      </c>
      <c r="M118">
        <v>42859</v>
      </c>
      <c r="N118">
        <f t="shared" si="25"/>
        <v>0.20165315846001713</v>
      </c>
      <c r="O118" s="8">
        <v>0.52971822700000004</v>
      </c>
      <c r="P118">
        <f t="shared" si="26"/>
        <v>0.48790694476993041</v>
      </c>
      <c r="Q118" s="20">
        <v>0.40629999999999999</v>
      </c>
      <c r="R118" s="10">
        <f t="shared" si="27"/>
        <v>0.87981810307492425</v>
      </c>
      <c r="S118">
        <f t="shared" si="28"/>
        <v>0.29450875307785873</v>
      </c>
      <c r="T118" s="11">
        <f t="shared" si="29"/>
        <v>0.54061559187479113</v>
      </c>
      <c r="U118" t="str">
        <f t="shared" si="30"/>
        <v>Moderate</v>
      </c>
      <c r="V118">
        <f t="shared" si="31"/>
        <v>0.37889798520574447</v>
      </c>
      <c r="W118">
        <f t="shared" si="32"/>
        <v>0.49907959982763139</v>
      </c>
      <c r="X118" t="str">
        <f t="shared" si="42"/>
        <v>Moderate</v>
      </c>
      <c r="Y118">
        <f t="shared" si="33"/>
        <v>0.21011952094997305</v>
      </c>
      <c r="Z118">
        <f t="shared" si="34"/>
        <v>0.38411240461469287</v>
      </c>
      <c r="AA118" t="str">
        <f t="shared" si="35"/>
        <v>Moderate</v>
      </c>
      <c r="AB118">
        <f t="shared" si="36"/>
        <v>0.22604517402633539</v>
      </c>
      <c r="AC118">
        <f t="shared" si="37"/>
        <v>0.55043678976050758</v>
      </c>
      <c r="AD118" t="str">
        <f t="shared" si="38"/>
        <v>Moderate</v>
      </c>
      <c r="AE118">
        <f t="shared" si="39"/>
        <v>8.6842922626665459E-2</v>
      </c>
      <c r="AF118">
        <f t="shared" si="40"/>
        <v>0.47514803337454087</v>
      </c>
      <c r="AG118" t="str">
        <f t="shared" si="41"/>
        <v>Moderate</v>
      </c>
    </row>
    <row r="119" spans="1:33" customFormat="1" x14ac:dyDescent="0.3">
      <c r="A119">
        <v>202294</v>
      </c>
      <c r="B119" t="s">
        <v>527</v>
      </c>
      <c r="C119" t="s">
        <v>650</v>
      </c>
      <c r="D119" t="s">
        <v>657</v>
      </c>
      <c r="E119" s="18">
        <v>7</v>
      </c>
      <c r="F119" s="2">
        <f t="shared" si="22"/>
        <v>0.84444444444444444</v>
      </c>
      <c r="G119" s="10">
        <v>36.422640000000001</v>
      </c>
      <c r="H119">
        <f t="shared" si="23"/>
        <v>0.48801122907210631</v>
      </c>
      <c r="I119" s="22">
        <v>67.900000000000006</v>
      </c>
      <c r="J119" s="2">
        <f t="shared" si="24"/>
        <v>0.34838378655720892</v>
      </c>
      <c r="K119" s="8">
        <v>0</v>
      </c>
      <c r="L119" s="2">
        <v>0</v>
      </c>
      <c r="M119">
        <v>79128</v>
      </c>
      <c r="N119">
        <f t="shared" si="25"/>
        <v>0.37325706282853804</v>
      </c>
      <c r="O119" s="8">
        <v>0.68287693000000005</v>
      </c>
      <c r="P119">
        <f t="shared" si="26"/>
        <v>0.6565789096753627</v>
      </c>
      <c r="Q119" s="20">
        <v>0.38619999999999999</v>
      </c>
      <c r="R119" s="10">
        <f t="shared" si="27"/>
        <v>0.8362927674317886</v>
      </c>
      <c r="S119">
        <f t="shared" si="28"/>
        <v>0.26359975738250396</v>
      </c>
      <c r="T119" s="11">
        <f t="shared" si="29"/>
        <v>0.48387743103078384</v>
      </c>
      <c r="U119" t="str">
        <f t="shared" si="30"/>
        <v>Moderate</v>
      </c>
      <c r="V119">
        <f t="shared" si="31"/>
        <v>0.29533224318775747</v>
      </c>
      <c r="W119">
        <f t="shared" si="32"/>
        <v>0.3890078688761211</v>
      </c>
      <c r="X119" t="str">
        <f t="shared" si="42"/>
        <v>Moderate</v>
      </c>
      <c r="Y119">
        <f t="shared" si="33"/>
        <v>0.23186727157725046</v>
      </c>
      <c r="Z119">
        <f t="shared" si="34"/>
        <v>0.42386873353947235</v>
      </c>
      <c r="AA119" t="str">
        <f t="shared" si="35"/>
        <v>Moderate</v>
      </c>
      <c r="AB119">
        <f t="shared" si="36"/>
        <v>0.21906126229718381</v>
      </c>
      <c r="AC119">
        <f t="shared" si="37"/>
        <v>0.53343044592360223</v>
      </c>
      <c r="AD119" t="str">
        <f t="shared" si="38"/>
        <v>Moderate</v>
      </c>
      <c r="AE119">
        <f t="shared" si="39"/>
        <v>0.13181370202369599</v>
      </c>
      <c r="AF119">
        <f t="shared" si="40"/>
        <v>0.72119891171356998</v>
      </c>
      <c r="AG119" t="str">
        <f t="shared" si="41"/>
        <v>High</v>
      </c>
    </row>
    <row r="120" spans="1:33" customFormat="1" x14ac:dyDescent="0.3">
      <c r="A120">
        <v>203014</v>
      </c>
      <c r="B120" t="s">
        <v>108</v>
      </c>
      <c r="C120" t="s">
        <v>659</v>
      </c>
      <c r="D120" t="s">
        <v>658</v>
      </c>
      <c r="E120" s="18">
        <v>5.5</v>
      </c>
      <c r="F120" s="2">
        <f t="shared" si="22"/>
        <v>0.51111111111111107</v>
      </c>
      <c r="G120" s="10">
        <v>20.829599999999999</v>
      </c>
      <c r="H120">
        <f t="shared" si="23"/>
        <v>0.27908681789898659</v>
      </c>
      <c r="I120" s="22">
        <v>60.199999999999996</v>
      </c>
      <c r="J120" s="2">
        <f t="shared" si="24"/>
        <v>0.30887634684453569</v>
      </c>
      <c r="K120" s="8">
        <v>0</v>
      </c>
      <c r="L120" s="2">
        <v>0</v>
      </c>
      <c r="M120">
        <v>24400</v>
      </c>
      <c r="N120">
        <f t="shared" si="25"/>
        <v>0.11431586019597545</v>
      </c>
      <c r="O120" s="8">
        <v>0.97458525799999995</v>
      </c>
      <c r="P120">
        <f t="shared" si="26"/>
        <v>0.97783402544268749</v>
      </c>
      <c r="Q120" s="20">
        <v>0.3458</v>
      </c>
      <c r="R120" s="10">
        <f t="shared" si="27"/>
        <v>0.74880900822867047</v>
      </c>
      <c r="S120">
        <f t="shared" si="28"/>
        <v>0.12972031975874806</v>
      </c>
      <c r="T120" s="11">
        <f t="shared" si="29"/>
        <v>0.23812136892930624</v>
      </c>
      <c r="U120" t="str">
        <f t="shared" si="30"/>
        <v>Low</v>
      </c>
      <c r="V120">
        <f t="shared" si="31"/>
        <v>0.11251398475701675</v>
      </c>
      <c r="W120">
        <f t="shared" si="32"/>
        <v>0.14820198755359545</v>
      </c>
      <c r="X120" t="s">
        <v>1176</v>
      </c>
      <c r="Y120">
        <f t="shared" si="33"/>
        <v>0.14692665476047942</v>
      </c>
      <c r="Z120">
        <f t="shared" si="34"/>
        <v>0.26859165872302448</v>
      </c>
      <c r="AA120" t="str">
        <f t="shared" si="35"/>
        <v>Low</v>
      </c>
      <c r="AB120">
        <f t="shared" si="36"/>
        <v>8.9469766596174019E-2</v>
      </c>
      <c r="AC120">
        <f t="shared" si="37"/>
        <v>0.21786552762273237</v>
      </c>
      <c r="AD120" t="str">
        <f t="shared" si="38"/>
        <v>Low</v>
      </c>
      <c r="AE120">
        <f t="shared" si="39"/>
        <v>1.7176787151640963E-2</v>
      </c>
      <c r="AF120">
        <f t="shared" si="40"/>
        <v>9.3980216095229149E-2</v>
      </c>
      <c r="AG120" t="s">
        <v>1176</v>
      </c>
    </row>
    <row r="121" spans="1:33" customFormat="1" x14ac:dyDescent="0.3">
      <c r="A121">
        <v>203025</v>
      </c>
      <c r="B121" t="s">
        <v>122</v>
      </c>
      <c r="C121" t="s">
        <v>659</v>
      </c>
      <c r="D121" t="s">
        <v>660</v>
      </c>
      <c r="E121" s="18">
        <v>5.6</v>
      </c>
      <c r="F121" s="2">
        <f t="shared" si="22"/>
        <v>0.53333333333333321</v>
      </c>
      <c r="G121" s="10">
        <v>23.45364</v>
      </c>
      <c r="H121">
        <f t="shared" si="23"/>
        <v>0.31424519701522774</v>
      </c>
      <c r="I121" s="22">
        <v>57.4</v>
      </c>
      <c r="J121" s="2">
        <f t="shared" si="24"/>
        <v>0.29451000513083636</v>
      </c>
      <c r="K121" s="8">
        <v>0</v>
      </c>
      <c r="L121" s="2">
        <v>0</v>
      </c>
      <c r="M121">
        <v>37243</v>
      </c>
      <c r="N121">
        <f t="shared" si="25"/>
        <v>0.17508149872488207</v>
      </c>
      <c r="O121" s="8">
        <v>0.87586015800000006</v>
      </c>
      <c r="P121">
        <f t="shared" si="26"/>
        <v>0.86910917810257082</v>
      </c>
      <c r="Q121" s="20">
        <v>0.35709999999999997</v>
      </c>
      <c r="R121" s="10">
        <f t="shared" si="27"/>
        <v>0.77327847553053264</v>
      </c>
      <c r="S121">
        <f t="shared" si="28"/>
        <v>0.13330827041194926</v>
      </c>
      <c r="T121" s="11">
        <f t="shared" si="29"/>
        <v>0.24470759784687296</v>
      </c>
      <c r="U121" t="str">
        <f t="shared" si="30"/>
        <v>Low</v>
      </c>
      <c r="V121">
        <f t="shared" si="31"/>
        <v>0.12552994524981054</v>
      </c>
      <c r="W121">
        <f t="shared" si="32"/>
        <v>0.16534644492142339</v>
      </c>
      <c r="X121" t="s">
        <v>1176</v>
      </c>
      <c r="Y121">
        <f t="shared" si="33"/>
        <v>0.14108659557408798</v>
      </c>
      <c r="Z121">
        <f t="shared" si="34"/>
        <v>0.25791564362916264</v>
      </c>
      <c r="AA121" t="str">
        <f t="shared" si="35"/>
        <v>Low</v>
      </c>
      <c r="AB121">
        <f t="shared" si="36"/>
        <v>9.6209091670168209E-2</v>
      </c>
      <c r="AC121">
        <f t="shared" si="37"/>
        <v>0.23427628478603141</v>
      </c>
      <c r="AD121" t="str">
        <f t="shared" si="38"/>
        <v>Low</v>
      </c>
      <c r="AE121">
        <f t="shared" si="39"/>
        <v>2.8421806172880378E-2</v>
      </c>
      <c r="AF121">
        <f t="shared" si="40"/>
        <v>0.15550565203859074</v>
      </c>
      <c r="AG121" t="s">
        <v>1175</v>
      </c>
    </row>
    <row r="122" spans="1:33" customFormat="1" x14ac:dyDescent="0.3">
      <c r="A122">
        <v>203029</v>
      </c>
      <c r="B122" t="s">
        <v>166</v>
      </c>
      <c r="C122" t="s">
        <v>659</v>
      </c>
      <c r="D122" t="s">
        <v>661</v>
      </c>
      <c r="E122" s="18">
        <v>5.6</v>
      </c>
      <c r="F122" s="2">
        <f t="shared" si="22"/>
        <v>0.53333333333333321</v>
      </c>
      <c r="G122" s="10">
        <v>23.45364</v>
      </c>
      <c r="H122">
        <f t="shared" si="23"/>
        <v>0.31424519701522774</v>
      </c>
      <c r="I122" s="22">
        <v>60.199999999999996</v>
      </c>
      <c r="J122" s="2">
        <f t="shared" si="24"/>
        <v>0.30887634684453569</v>
      </c>
      <c r="K122" s="8">
        <v>0</v>
      </c>
      <c r="L122" s="2">
        <v>0</v>
      </c>
      <c r="M122">
        <v>65689</v>
      </c>
      <c r="N122">
        <f t="shared" si="25"/>
        <v>0.30967149744739841</v>
      </c>
      <c r="O122" s="8">
        <v>0.97930060699999999</v>
      </c>
      <c r="P122">
        <f t="shared" si="26"/>
        <v>0.98302698650507569</v>
      </c>
      <c r="Q122" s="20">
        <v>0.3508</v>
      </c>
      <c r="R122" s="10">
        <f t="shared" si="27"/>
        <v>0.75963620614984839</v>
      </c>
      <c r="S122">
        <f t="shared" si="28"/>
        <v>0.14478546387129607</v>
      </c>
      <c r="T122" s="11">
        <f t="shared" si="29"/>
        <v>0.26577573137513488</v>
      </c>
      <c r="U122" t="str">
        <f t="shared" si="30"/>
        <v>Low</v>
      </c>
      <c r="V122">
        <f t="shared" si="31"/>
        <v>0.12622551614609787</v>
      </c>
      <c r="W122">
        <f t="shared" si="32"/>
        <v>0.16626264204604604</v>
      </c>
      <c r="X122" t="s">
        <v>1176</v>
      </c>
      <c r="Y122">
        <f t="shared" si="33"/>
        <v>0.16334541159649427</v>
      </c>
      <c r="Z122">
        <f t="shared" si="34"/>
        <v>0.29860623395407659</v>
      </c>
      <c r="AA122" t="str">
        <f t="shared" si="35"/>
        <v>Low</v>
      </c>
      <c r="AB122">
        <f t="shared" si="36"/>
        <v>0.11119243241076937</v>
      </c>
      <c r="AC122">
        <f t="shared" si="37"/>
        <v>0.27076183247652741</v>
      </c>
      <c r="AD122" t="str">
        <f t="shared" si="38"/>
        <v>Low</v>
      </c>
      <c r="AE122">
        <f t="shared" si="39"/>
        <v>5.1456795087676713E-2</v>
      </c>
      <c r="AF122">
        <f t="shared" si="40"/>
        <v>0.28153814093491808</v>
      </c>
      <c r="AG122" t="s">
        <v>1175</v>
      </c>
    </row>
    <row r="123" spans="1:33" customFormat="1" x14ac:dyDescent="0.3">
      <c r="A123">
        <v>203041</v>
      </c>
      <c r="B123" t="s">
        <v>170</v>
      </c>
      <c r="C123" t="s">
        <v>659</v>
      </c>
      <c r="D123" t="s">
        <v>662</v>
      </c>
      <c r="E123" s="18">
        <v>5.5</v>
      </c>
      <c r="F123" s="2">
        <f t="shared" si="22"/>
        <v>0.51111111111111107</v>
      </c>
      <c r="G123" s="10">
        <v>19.63692</v>
      </c>
      <c r="H123">
        <f t="shared" si="23"/>
        <v>0.26310661347971004</v>
      </c>
      <c r="I123" s="22">
        <v>40.299999999999997</v>
      </c>
      <c r="J123" s="2">
        <f t="shared" si="24"/>
        <v>0.20677270395074399</v>
      </c>
      <c r="K123" s="8">
        <v>0</v>
      </c>
      <c r="L123" s="2">
        <v>0</v>
      </c>
      <c r="M123">
        <v>9161</v>
      </c>
      <c r="N123">
        <f t="shared" si="25"/>
        <v>4.2213737207420762E-2</v>
      </c>
      <c r="O123" s="8">
        <v>0.99172091799999995</v>
      </c>
      <c r="P123">
        <f t="shared" si="26"/>
        <v>0.99670533595614508</v>
      </c>
      <c r="Q123" s="20">
        <v>0.34060000000000001</v>
      </c>
      <c r="R123" s="10">
        <f t="shared" si="27"/>
        <v>0.73754872239064539</v>
      </c>
      <c r="S123">
        <f t="shared" si="28"/>
        <v>0.10412484779611471</v>
      </c>
      <c r="T123" s="11">
        <f t="shared" si="29"/>
        <v>0.19113698873760609</v>
      </c>
      <c r="U123" t="str">
        <f t="shared" si="30"/>
        <v>Low</v>
      </c>
      <c r="V123">
        <f t="shared" si="31"/>
        <v>8.8565049730202849E-2</v>
      </c>
      <c r="W123">
        <f t="shared" si="32"/>
        <v>0.11665675539040522</v>
      </c>
      <c r="X123" t="s">
        <v>1176</v>
      </c>
      <c r="Y123">
        <f t="shared" si="33"/>
        <v>0.11968464586202655</v>
      </c>
      <c r="Z123">
        <f t="shared" si="34"/>
        <v>0.21879146168654381</v>
      </c>
      <c r="AA123" t="str">
        <f t="shared" si="35"/>
        <v>Low</v>
      </c>
      <c r="AB123">
        <f t="shared" si="36"/>
        <v>6.8677324100878429E-2</v>
      </c>
      <c r="AC123">
        <f t="shared" si="37"/>
        <v>0.16723438564994658</v>
      </c>
      <c r="AD123" t="str">
        <f t="shared" si="38"/>
        <v>Low</v>
      </c>
      <c r="AE123">
        <f t="shared" si="39"/>
        <v>5.0690369619984755E-3</v>
      </c>
      <c r="AF123">
        <f t="shared" si="40"/>
        <v>2.7734475887582353E-2</v>
      </c>
      <c r="AG123" t="s">
        <v>1176</v>
      </c>
    </row>
    <row r="124" spans="1:33" customFormat="1" x14ac:dyDescent="0.3">
      <c r="A124">
        <v>203051</v>
      </c>
      <c r="B124" t="s">
        <v>402</v>
      </c>
      <c r="C124" t="s">
        <v>659</v>
      </c>
      <c r="D124" t="s">
        <v>663</v>
      </c>
      <c r="E124" s="18">
        <v>5.7</v>
      </c>
      <c r="F124" s="2">
        <f t="shared" si="22"/>
        <v>0.55555555555555558</v>
      </c>
      <c r="G124" s="10">
        <v>19.631160000000001</v>
      </c>
      <c r="H124">
        <f t="shared" si="23"/>
        <v>0.26302943772640236</v>
      </c>
      <c r="I124" s="22">
        <v>29.099999999999998</v>
      </c>
      <c r="J124" s="2">
        <f t="shared" si="24"/>
        <v>0.14930733709594665</v>
      </c>
      <c r="K124" s="8">
        <v>0</v>
      </c>
      <c r="L124" s="2">
        <v>0</v>
      </c>
      <c r="M124">
        <v>14970</v>
      </c>
      <c r="N124">
        <f t="shared" si="25"/>
        <v>6.9698561174906443E-2</v>
      </c>
      <c r="O124" s="8">
        <v>0.99414276099999999</v>
      </c>
      <c r="P124">
        <f t="shared" si="26"/>
        <v>0.99937248453798222</v>
      </c>
      <c r="Q124" s="20">
        <v>0.34549999999999997</v>
      </c>
      <c r="R124" s="10">
        <f t="shared" si="27"/>
        <v>0.74815937635339969</v>
      </c>
      <c r="S124">
        <f t="shared" si="28"/>
        <v>0.10007939603045142</v>
      </c>
      <c r="T124" s="11">
        <f t="shared" si="29"/>
        <v>0.18371094697199244</v>
      </c>
      <c r="U124" t="str">
        <f t="shared" si="30"/>
        <v>Low</v>
      </c>
      <c r="V124">
        <f t="shared" si="31"/>
        <v>8.5692673416294676E-2</v>
      </c>
      <c r="W124">
        <f t="shared" si="32"/>
        <v>0.11287329789716669</v>
      </c>
      <c r="X124" t="s">
        <v>1176</v>
      </c>
      <c r="Y124">
        <f t="shared" si="33"/>
        <v>0.11446611864460818</v>
      </c>
      <c r="Z124">
        <f t="shared" si="34"/>
        <v>0.20925164820816147</v>
      </c>
      <c r="AA124" t="str">
        <f t="shared" si="35"/>
        <v>Low</v>
      </c>
      <c r="AB124">
        <f t="shared" si="36"/>
        <v>6.7126367948423568E-2</v>
      </c>
      <c r="AC124">
        <f t="shared" si="37"/>
        <v>0.16345769221115145</v>
      </c>
      <c r="AD124" t="str">
        <f t="shared" si="38"/>
        <v>Low</v>
      </c>
      <c r="AE124">
        <f t="shared" si="39"/>
        <v>7.9831333123941972E-3</v>
      </c>
      <c r="AF124">
        <f t="shared" si="40"/>
        <v>4.3678517244952551E-2</v>
      </c>
      <c r="AG124" t="s">
        <v>1176</v>
      </c>
    </row>
    <row r="125" spans="1:33" customFormat="1" x14ac:dyDescent="0.3">
      <c r="A125">
        <v>203094</v>
      </c>
      <c r="B125" t="s">
        <v>491</v>
      </c>
      <c r="C125" t="s">
        <v>659</v>
      </c>
      <c r="D125" t="s">
        <v>664</v>
      </c>
      <c r="E125" s="18">
        <v>5.4</v>
      </c>
      <c r="F125" s="2">
        <f t="shared" si="22"/>
        <v>0.48888888888888893</v>
      </c>
      <c r="G125" s="10">
        <v>24.551639999999999</v>
      </c>
      <c r="H125">
        <f t="shared" si="23"/>
        <v>0.3289568249895089</v>
      </c>
      <c r="I125" s="22">
        <v>70.099999999999994</v>
      </c>
      <c r="J125" s="2">
        <f t="shared" si="24"/>
        <v>0.35967162647511547</v>
      </c>
      <c r="K125" s="8">
        <v>0</v>
      </c>
      <c r="L125" s="2">
        <v>0</v>
      </c>
      <c r="M125">
        <v>40135</v>
      </c>
      <c r="N125">
        <f t="shared" si="25"/>
        <v>0.1887647679474623</v>
      </c>
      <c r="O125" s="8">
        <v>0.92235553199999998</v>
      </c>
      <c r="P125">
        <f t="shared" si="26"/>
        <v>0.92031401294367632</v>
      </c>
      <c r="Q125" s="20">
        <v>0.44019999999999998</v>
      </c>
      <c r="R125" s="10">
        <f t="shared" si="27"/>
        <v>0.95322650498051098</v>
      </c>
      <c r="S125">
        <f t="shared" si="28"/>
        <v>0.15768784846397776</v>
      </c>
      <c r="T125" s="11">
        <f t="shared" si="29"/>
        <v>0.28946001990738363</v>
      </c>
      <c r="U125" t="str">
        <f t="shared" si="30"/>
        <v>Low</v>
      </c>
      <c r="V125">
        <f t="shared" si="31"/>
        <v>0.16045795138260929</v>
      </c>
      <c r="W125">
        <f t="shared" si="32"/>
        <v>0.21135316969740398</v>
      </c>
      <c r="X125" t="s">
        <v>1175</v>
      </c>
      <c r="Y125">
        <f t="shared" si="33"/>
        <v>0.15491774554534621</v>
      </c>
      <c r="Z125">
        <f t="shared" si="34"/>
        <v>0.28319990208371781</v>
      </c>
      <c r="AA125" t="str">
        <f t="shared" si="35"/>
        <v>Low</v>
      </c>
      <c r="AB125">
        <f t="shared" si="36"/>
        <v>0.11375686977850709</v>
      </c>
      <c r="AC125">
        <f t="shared" si="37"/>
        <v>0.27700642795758368</v>
      </c>
      <c r="AD125" t="str">
        <f t="shared" si="38"/>
        <v>Low</v>
      </c>
      <c r="AE125">
        <f t="shared" si="39"/>
        <v>3.177503751711426E-2</v>
      </c>
      <c r="AF125">
        <f t="shared" si="40"/>
        <v>0.17385235468829377</v>
      </c>
      <c r="AG125" t="s">
        <v>1175</v>
      </c>
    </row>
    <row r="126" spans="1:33" customFormat="1" x14ac:dyDescent="0.3">
      <c r="A126">
        <v>204643</v>
      </c>
      <c r="B126" t="s">
        <v>149</v>
      </c>
      <c r="C126" t="s">
        <v>666</v>
      </c>
      <c r="D126" t="s">
        <v>665</v>
      </c>
      <c r="E126" s="18">
        <v>6.2</v>
      </c>
      <c r="F126" s="2">
        <f t="shared" si="22"/>
        <v>0.66666666666666663</v>
      </c>
      <c r="G126" s="10">
        <v>19.783440000000002</v>
      </c>
      <c r="H126">
        <f t="shared" si="23"/>
        <v>0.26506977170447477</v>
      </c>
      <c r="I126" s="22">
        <v>61.400000000000006</v>
      </c>
      <c r="J126" s="2">
        <f t="shared" si="24"/>
        <v>0.31503335043612113</v>
      </c>
      <c r="K126" s="8">
        <v>0</v>
      </c>
      <c r="L126" s="2">
        <v>0</v>
      </c>
      <c r="M126">
        <v>15793</v>
      </c>
      <c r="N126">
        <f t="shared" si="25"/>
        <v>7.3592520569852327E-2</v>
      </c>
      <c r="O126" s="8">
        <v>0.80730636300000003</v>
      </c>
      <c r="P126">
        <f t="shared" si="26"/>
        <v>0.79361165117212784</v>
      </c>
      <c r="Q126" s="20">
        <v>0.44019999999999998</v>
      </c>
      <c r="R126" s="10">
        <f t="shared" si="27"/>
        <v>0.95322650498051098</v>
      </c>
      <c r="S126">
        <f t="shared" si="28"/>
        <v>0.16889104470974456</v>
      </c>
      <c r="T126" s="11">
        <f t="shared" si="29"/>
        <v>0.31002518989298838</v>
      </c>
      <c r="U126" t="str">
        <f t="shared" si="30"/>
        <v>Moderate</v>
      </c>
      <c r="V126">
        <f t="shared" si="31"/>
        <v>0.18432322388212091</v>
      </c>
      <c r="W126">
        <f t="shared" si="32"/>
        <v>0.24278820264529904</v>
      </c>
      <c r="X126" t="s">
        <v>1175</v>
      </c>
      <c r="Y126">
        <f t="shared" si="33"/>
        <v>0.15345886553736829</v>
      </c>
      <c r="Z126">
        <f t="shared" si="34"/>
        <v>0.28053297277902878</v>
      </c>
      <c r="AA126" t="str">
        <f t="shared" si="35"/>
        <v>Low</v>
      </c>
      <c r="AB126">
        <f t="shared" si="36"/>
        <v>0.11553143396397565</v>
      </c>
      <c r="AC126">
        <f t="shared" si="37"/>
        <v>0.28132762356673874</v>
      </c>
      <c r="AD126" t="str">
        <f t="shared" si="38"/>
        <v>Low</v>
      </c>
      <c r="AE126">
        <f t="shared" si="39"/>
        <v>1.4230416982922453E-2</v>
      </c>
      <c r="AF126">
        <f t="shared" si="40"/>
        <v>7.7859593378759792E-2</v>
      </c>
      <c r="AG126" t="s">
        <v>1176</v>
      </c>
    </row>
    <row r="127" spans="1:33" customFormat="1" x14ac:dyDescent="0.3">
      <c r="A127">
        <v>204649</v>
      </c>
      <c r="B127" t="s">
        <v>269</v>
      </c>
      <c r="C127" t="s">
        <v>666</v>
      </c>
      <c r="D127" t="s">
        <v>667</v>
      </c>
      <c r="E127" s="18">
        <v>6.2</v>
      </c>
      <c r="F127" s="2">
        <f t="shared" si="22"/>
        <v>0.66666666666666663</v>
      </c>
      <c r="G127" s="10">
        <v>22.051080000000002</v>
      </c>
      <c r="H127">
        <f t="shared" si="23"/>
        <v>0.29545290108480171</v>
      </c>
      <c r="I127" s="22">
        <v>72.3</v>
      </c>
      <c r="J127" s="2">
        <f t="shared" si="24"/>
        <v>0.37095946639302207</v>
      </c>
      <c r="K127" s="8">
        <v>0</v>
      </c>
      <c r="L127" s="2">
        <v>0</v>
      </c>
      <c r="M127">
        <v>15837</v>
      </c>
      <c r="N127">
        <f t="shared" si="25"/>
        <v>7.3800703089144701E-2</v>
      </c>
      <c r="O127" s="8">
        <v>0.90342085400000005</v>
      </c>
      <c r="P127">
        <f t="shared" si="26"/>
        <v>0.89946146404796223</v>
      </c>
      <c r="Q127" s="20">
        <v>0.4178</v>
      </c>
      <c r="R127" s="10">
        <f t="shared" si="27"/>
        <v>0.90472065829363368</v>
      </c>
      <c r="S127">
        <f t="shared" si="28"/>
        <v>0.20038821325180459</v>
      </c>
      <c r="T127" s="11">
        <f t="shared" si="29"/>
        <v>0.36784303141990626</v>
      </c>
      <c r="U127" t="str">
        <f t="shared" si="30"/>
        <v>Moderate</v>
      </c>
      <c r="V127">
        <f t="shared" si="31"/>
        <v>0.20097234526651853</v>
      </c>
      <c r="W127">
        <f t="shared" si="32"/>
        <v>0.26471821326146755</v>
      </c>
      <c r="X127" t="s">
        <v>1175</v>
      </c>
      <c r="Y127">
        <f t="shared" si="33"/>
        <v>0.19980408123709062</v>
      </c>
      <c r="Z127">
        <f t="shared" si="34"/>
        <v>0.36525509742657808</v>
      </c>
      <c r="AA127" t="str">
        <f t="shared" si="35"/>
        <v>Moderate</v>
      </c>
      <c r="AB127">
        <f t="shared" si="36"/>
        <v>0.13601941036224457</v>
      </c>
      <c r="AC127">
        <f t="shared" si="37"/>
        <v>0.33121736797702339</v>
      </c>
      <c r="AD127" t="str">
        <f t="shared" si="38"/>
        <v>Moderate</v>
      </c>
      <c r="AE127">
        <f t="shared" si="39"/>
        <v>1.6393900422388287E-2</v>
      </c>
      <c r="AF127">
        <f t="shared" si="40"/>
        <v>8.9696768711052616E-2</v>
      </c>
      <c r="AG127" t="s">
        <v>1176</v>
      </c>
    </row>
    <row r="128" spans="1:33" customFormat="1" x14ac:dyDescent="0.3">
      <c r="A128">
        <v>204661</v>
      </c>
      <c r="B128" t="s">
        <v>294</v>
      </c>
      <c r="C128" t="s">
        <v>666</v>
      </c>
      <c r="D128" t="s">
        <v>668</v>
      </c>
      <c r="E128" s="18">
        <v>5</v>
      </c>
      <c r="F128" s="2">
        <f t="shared" si="22"/>
        <v>0.39999999999999997</v>
      </c>
      <c r="G128" s="10">
        <v>24.505200000000002</v>
      </c>
      <c r="H128">
        <f t="shared" si="23"/>
        <v>0.32833459547846561</v>
      </c>
      <c r="I128" s="22">
        <v>131.39999999999998</v>
      </c>
      <c r="J128" s="2">
        <f t="shared" si="24"/>
        <v>0.6741918932786044</v>
      </c>
      <c r="K128" s="8">
        <v>0</v>
      </c>
      <c r="L128" s="2">
        <v>0</v>
      </c>
      <c r="M128">
        <v>2349</v>
      </c>
      <c r="N128">
        <f t="shared" si="25"/>
        <v>9.9832980842476798E-3</v>
      </c>
      <c r="O128" s="8">
        <v>0.85465459600000004</v>
      </c>
      <c r="P128">
        <f t="shared" si="26"/>
        <v>0.84575573008163807</v>
      </c>
      <c r="Q128" s="20">
        <v>0.45419999999999999</v>
      </c>
      <c r="R128" s="10">
        <f t="shared" si="27"/>
        <v>0.98354265915980943</v>
      </c>
      <c r="S128">
        <f t="shared" si="28"/>
        <v>0.18339200910551923</v>
      </c>
      <c r="T128" s="11">
        <f t="shared" si="29"/>
        <v>0.33664391469368893</v>
      </c>
      <c r="U128" t="str">
        <f t="shared" si="30"/>
        <v>Moderate</v>
      </c>
      <c r="V128">
        <f t="shared" si="31"/>
        <v>0.19720551372605508</v>
      </c>
      <c r="W128">
        <f t="shared" si="32"/>
        <v>0.2597565907371045</v>
      </c>
      <c r="X128" t="s">
        <v>1175</v>
      </c>
      <c r="Y128">
        <f t="shared" si="33"/>
        <v>0.16957850448498335</v>
      </c>
      <c r="Z128">
        <f t="shared" si="34"/>
        <v>0.31000074069366845</v>
      </c>
      <c r="AA128" t="str">
        <f t="shared" si="35"/>
        <v>Moderate</v>
      </c>
      <c r="AB128">
        <f t="shared" si="36"/>
        <v>0.12059607760383739</v>
      </c>
      <c r="AC128">
        <f t="shared" si="37"/>
        <v>0.29366040703984081</v>
      </c>
      <c r="AD128" t="str">
        <f t="shared" si="38"/>
        <v>Low</v>
      </c>
      <c r="AE128">
        <f t="shared" si="39"/>
        <v>2.0017041549232019E-3</v>
      </c>
      <c r="AF128">
        <f t="shared" si="40"/>
        <v>1.0952024227675704E-2</v>
      </c>
      <c r="AG128" t="s">
        <v>1176</v>
      </c>
    </row>
    <row r="129" spans="1:33" customFormat="1" x14ac:dyDescent="0.3">
      <c r="A129">
        <v>204665</v>
      </c>
      <c r="B129" t="s">
        <v>313</v>
      </c>
      <c r="C129" t="s">
        <v>666</v>
      </c>
      <c r="D129" t="s">
        <v>669</v>
      </c>
      <c r="E129" s="18">
        <v>6</v>
      </c>
      <c r="F129" s="2">
        <f t="shared" si="22"/>
        <v>0.62222222222222223</v>
      </c>
      <c r="G129" s="10">
        <v>23.540399999999998</v>
      </c>
      <c r="H129">
        <f t="shared" si="23"/>
        <v>0.31540765679942501</v>
      </c>
      <c r="I129" s="22">
        <v>102.3</v>
      </c>
      <c r="J129" s="2">
        <f t="shared" si="24"/>
        <v>0.52488455618265784</v>
      </c>
      <c r="K129" s="8">
        <v>0</v>
      </c>
      <c r="L129" s="2">
        <v>0</v>
      </c>
      <c r="M129">
        <v>8061</v>
      </c>
      <c r="N129">
        <f t="shared" si="25"/>
        <v>3.7009174225111546E-2</v>
      </c>
      <c r="O129" s="8">
        <v>0.83036402099999995</v>
      </c>
      <c r="P129">
        <f t="shared" si="26"/>
        <v>0.81900479178247532</v>
      </c>
      <c r="Q129" s="20">
        <v>0.42359999999999998</v>
      </c>
      <c r="R129" s="10">
        <f t="shared" si="27"/>
        <v>0.9172802078822001</v>
      </c>
      <c r="S129">
        <f t="shared" si="28"/>
        <v>0.22695349673668391</v>
      </c>
      <c r="T129" s="11">
        <f t="shared" si="29"/>
        <v>0.41660764810585893</v>
      </c>
      <c r="U129" t="str">
        <f t="shared" si="30"/>
        <v>Moderate</v>
      </c>
      <c r="V129">
        <f t="shared" si="31"/>
        <v>0.23979928491742189</v>
      </c>
      <c r="W129">
        <f t="shared" si="32"/>
        <v>0.31586056360408599</v>
      </c>
      <c r="X129" t="str">
        <f t="shared" si="42"/>
        <v>Moderate</v>
      </c>
      <c r="Y129">
        <f t="shared" si="33"/>
        <v>0.21410770855594594</v>
      </c>
      <c r="Z129">
        <f t="shared" si="34"/>
        <v>0.39140307577393985</v>
      </c>
      <c r="AA129" t="str">
        <f t="shared" si="35"/>
        <v>Moderate</v>
      </c>
      <c r="AB129">
        <f t="shared" si="36"/>
        <v>0.15154834567588735</v>
      </c>
      <c r="AC129">
        <f t="shared" si="37"/>
        <v>0.36903147898053573</v>
      </c>
      <c r="AD129" t="str">
        <f t="shared" si="38"/>
        <v>Moderate</v>
      </c>
      <c r="AE129">
        <f t="shared" si="39"/>
        <v>9.6750953943026286E-3</v>
      </c>
      <c r="AF129">
        <f t="shared" si="40"/>
        <v>5.2935834150547277E-2</v>
      </c>
      <c r="AG129" t="s">
        <v>1176</v>
      </c>
    </row>
    <row r="130" spans="1:33" customFormat="1" x14ac:dyDescent="0.3">
      <c r="A130">
        <v>204667</v>
      </c>
      <c r="B130" t="s">
        <v>317</v>
      </c>
      <c r="C130" t="s">
        <v>666</v>
      </c>
      <c r="D130" t="s">
        <v>670</v>
      </c>
      <c r="E130" s="18">
        <v>6.2</v>
      </c>
      <c r="F130" s="2">
        <f t="shared" ref="F130:F193" si="43">(E130-$AJ$5)/$AK$5</f>
        <v>0.66666666666666663</v>
      </c>
      <c r="G130" s="10">
        <v>25.748640000000002</v>
      </c>
      <c r="H130">
        <f t="shared" ref="H130:H193" si="44">(G130-$AJ$6)/$AK$6</f>
        <v>0.3449949112237663</v>
      </c>
      <c r="I130" s="22">
        <v>115.49999999999999</v>
      </c>
      <c r="J130" s="2">
        <f t="shared" ref="J130:J193" si="45">(I130-$AJ$7)/$AK$7</f>
        <v>0.59261159569009747</v>
      </c>
      <c r="K130" s="8">
        <v>0</v>
      </c>
      <c r="L130" s="2">
        <v>0</v>
      </c>
      <c r="M130">
        <v>12067</v>
      </c>
      <c r="N130">
        <f t="shared" ref="N130:N193" si="46">(M130-$AJ$9)/$AK$9</f>
        <v>5.5963246322503109E-2</v>
      </c>
      <c r="O130" s="8">
        <v>0.95616841299999999</v>
      </c>
      <c r="P130">
        <f t="shared" ref="P130:P193" si="47">(O130-$AJ$11)/$AK$11</f>
        <v>0.95755176023240574</v>
      </c>
      <c r="Q130" s="20">
        <v>0.40610000000000002</v>
      </c>
      <c r="R130" s="10">
        <f t="shared" ref="R130:R193" si="48">(Q130-$AJ$12)/$AK$12</f>
        <v>0.8793850151580771</v>
      </c>
      <c r="S130">
        <f t="shared" ref="S130:S193" si="49">F130*(R130*0.5+P130*0.5)*(H130*0.5+J130*0.5)</f>
        <v>0.28705397889924789</v>
      </c>
      <c r="T130" s="11">
        <f t="shared" ref="T130:T193" si="50">(S130-$AJ$10)/$AK$10</f>
        <v>0.52693122048431784</v>
      </c>
      <c r="U130" t="str">
        <f t="shared" ref="U130:U193" si="51">IF(T130&gt;0.7,"High",IF(T130&gt;0.3,"Moderate",IF(T130&gt;0.15,"Low","No Impact")))</f>
        <v>Moderate</v>
      </c>
      <c r="V130">
        <f t="shared" ref="V130:V193" si="52">F130*(R130*1)*(H130*0.5+J130*0.5)</f>
        <v>0.27483903743158661</v>
      </c>
      <c r="W130">
        <f t="shared" ref="W130:W193" si="53">(V130-$AJ$13)/$AK$13</f>
        <v>0.36201447929021097</v>
      </c>
      <c r="X130" t="str">
        <f t="shared" ref="X130:X193" si="54">IF(W130&gt;0.7,"High",IF(W130&gt;0.3,"Moderate",IF(W130&gt;0.15,"Low","No Impact")))</f>
        <v>Moderate</v>
      </c>
      <c r="Y130">
        <f t="shared" ref="Y130:Y193" si="55">F130*(P130*1)*(H130*0.5+J130*0.5)</f>
        <v>0.29926892036690911</v>
      </c>
      <c r="Z130">
        <f t="shared" ref="Z130:Z193" si="56">(Y130-$AJ$14)/$AK$14</f>
        <v>0.54708341285408413</v>
      </c>
      <c r="AA130" t="str">
        <f t="shared" ref="AA130:AA193" si="57">IF(Z130&gt;0.7,"High",IF(Z130&gt;0.3,"Moderate",IF(Z130&gt;0.15,"Low","No Impact")))</f>
        <v>Moderate</v>
      </c>
      <c r="AB130">
        <f t="shared" ref="AB130:AB193" si="58">F130*(R130*0.35+P130*0.3+N130*0.35)*(H130*0.5+J130*0.5)</f>
        <v>0.19209601466612827</v>
      </c>
      <c r="AC130">
        <f t="shared" ref="AC130:AC193" si="59">(AB130-$AJ$15)/$AK$15</f>
        <v>0.4677680649191483</v>
      </c>
      <c r="AD130" t="str">
        <f t="shared" ref="AD130:AD193" si="60">IF(AC130&gt;0.7,"High",IF(AC130&gt;0.3,"Moderate",IF(AC130&gt;0.15,"Low","No Impact")))</f>
        <v>Moderate</v>
      </c>
      <c r="AE130">
        <f t="shared" ref="AE130:AE193" si="61">F130*(N130*1)*(H130*0.5+J130*0.5)</f>
        <v>1.7490501300000755E-2</v>
      </c>
      <c r="AF130">
        <f t="shared" ref="AF130:AF193" si="62">(AE130-$AJ$16)/$AK$16</f>
        <v>9.5696656032145264E-2</v>
      </c>
      <c r="AG130" t="s">
        <v>1176</v>
      </c>
    </row>
    <row r="131" spans="1:33" customFormat="1" x14ac:dyDescent="0.3">
      <c r="A131">
        <v>204670</v>
      </c>
      <c r="B131" t="s">
        <v>325</v>
      </c>
      <c r="C131" t="s">
        <v>666</v>
      </c>
      <c r="D131" t="s">
        <v>671</v>
      </c>
      <c r="E131" s="18">
        <v>6.2</v>
      </c>
      <c r="F131" s="2">
        <f t="shared" si="43"/>
        <v>0.66666666666666663</v>
      </c>
      <c r="G131" s="10">
        <v>25.748640000000002</v>
      </c>
      <c r="H131">
        <f t="shared" si="44"/>
        <v>0.3449949112237663</v>
      </c>
      <c r="I131" s="22">
        <v>89.000000000000014</v>
      </c>
      <c r="J131" s="2">
        <f t="shared" si="45"/>
        <v>0.45664443304258606</v>
      </c>
      <c r="K131" s="8">
        <v>0</v>
      </c>
      <c r="L131" s="2">
        <v>0</v>
      </c>
      <c r="M131">
        <v>9838</v>
      </c>
      <c r="N131">
        <f t="shared" si="46"/>
        <v>4.5416909151987435E-2</v>
      </c>
      <c r="O131" s="8">
        <v>0.91808002099999997</v>
      </c>
      <c r="P131">
        <f t="shared" si="47"/>
        <v>0.9156054405464239</v>
      </c>
      <c r="Q131" s="20">
        <v>0.41789999999999999</v>
      </c>
      <c r="R131" s="10">
        <f t="shared" si="48"/>
        <v>0.9049372022520572</v>
      </c>
      <c r="S131">
        <f t="shared" si="49"/>
        <v>0.24323643506365106</v>
      </c>
      <c r="T131" s="11">
        <f t="shared" si="50"/>
        <v>0.4464974569794406</v>
      </c>
      <c r="U131" t="str">
        <f t="shared" si="51"/>
        <v>Moderate</v>
      </c>
      <c r="V131">
        <f t="shared" si="52"/>
        <v>0.24181108847185553</v>
      </c>
      <c r="W131">
        <f t="shared" si="53"/>
        <v>0.31851048562025436</v>
      </c>
      <c r="X131" t="str">
        <f t="shared" si="54"/>
        <v>Moderate</v>
      </c>
      <c r="Y131">
        <f t="shared" si="55"/>
        <v>0.24466178165544661</v>
      </c>
      <c r="Z131">
        <f t="shared" si="56"/>
        <v>0.44725794559261106</v>
      </c>
      <c r="AA131" t="str">
        <f t="shared" si="57"/>
        <v>Moderate</v>
      </c>
      <c r="AB131">
        <f t="shared" si="58"/>
        <v>0.16228001327675715</v>
      </c>
      <c r="AC131">
        <f t="shared" si="59"/>
        <v>0.39516388675452968</v>
      </c>
      <c r="AD131" t="str">
        <f t="shared" si="60"/>
        <v>Moderate</v>
      </c>
      <c r="AE131">
        <f t="shared" si="61"/>
        <v>1.2135993757067901E-2</v>
      </c>
      <c r="AF131">
        <f t="shared" si="62"/>
        <v>6.6400270653096657E-2</v>
      </c>
      <c r="AG131" t="s">
        <v>1176</v>
      </c>
    </row>
    <row r="132" spans="1:33" customFormat="1" x14ac:dyDescent="0.3">
      <c r="A132">
        <v>204677</v>
      </c>
      <c r="B132" t="s">
        <v>398</v>
      </c>
      <c r="C132" t="s">
        <v>666</v>
      </c>
      <c r="D132" t="s">
        <v>672</v>
      </c>
      <c r="E132" s="18">
        <v>6.2</v>
      </c>
      <c r="F132" s="2">
        <f t="shared" si="43"/>
        <v>0.66666666666666663</v>
      </c>
      <c r="G132" s="10">
        <v>20.603520000000003</v>
      </c>
      <c r="H132">
        <f t="shared" si="44"/>
        <v>0.27605766958165923</v>
      </c>
      <c r="I132" s="22">
        <v>61.500000000000007</v>
      </c>
      <c r="J132" s="2">
        <f t="shared" si="45"/>
        <v>0.31554643406875327</v>
      </c>
      <c r="K132" s="8">
        <v>0</v>
      </c>
      <c r="L132" s="2">
        <v>0</v>
      </c>
      <c r="M132">
        <v>7474</v>
      </c>
      <c r="N132">
        <f t="shared" si="46"/>
        <v>3.4231830160915626E-2</v>
      </c>
      <c r="O132" s="8">
        <v>0.87037959200000004</v>
      </c>
      <c r="P132">
        <f t="shared" si="47"/>
        <v>0.86307349212517059</v>
      </c>
      <c r="Q132" s="20">
        <v>0.42820000000000003</v>
      </c>
      <c r="R132" s="10">
        <f t="shared" si="48"/>
        <v>0.92724122996968394</v>
      </c>
      <c r="S132">
        <f t="shared" si="49"/>
        <v>0.17652625606951064</v>
      </c>
      <c r="T132" s="11">
        <f t="shared" si="50"/>
        <v>0.32404078116221569</v>
      </c>
      <c r="U132" t="str">
        <f t="shared" si="51"/>
        <v>Moderate</v>
      </c>
      <c r="V132">
        <f t="shared" si="52"/>
        <v>0.18285323890797361</v>
      </c>
      <c r="W132">
        <f t="shared" si="53"/>
        <v>0.24085195716156629</v>
      </c>
      <c r="X132" t="s">
        <v>1175</v>
      </c>
      <c r="Y132">
        <f t="shared" si="55"/>
        <v>0.17019927323104761</v>
      </c>
      <c r="Z132">
        <f t="shared" si="56"/>
        <v>0.31113554708710756</v>
      </c>
      <c r="AA132" t="str">
        <f t="shared" si="57"/>
        <v>Moderate</v>
      </c>
      <c r="AB132">
        <f t="shared" si="58"/>
        <v>0.11742111289361556</v>
      </c>
      <c r="AC132">
        <f t="shared" si="59"/>
        <v>0.28592913212886306</v>
      </c>
      <c r="AD132" t="str">
        <f t="shared" si="60"/>
        <v>Low</v>
      </c>
      <c r="AE132">
        <f t="shared" si="61"/>
        <v>6.7505637328872147E-3</v>
      </c>
      <c r="AF132">
        <f t="shared" si="62"/>
        <v>3.693469755318874E-2</v>
      </c>
      <c r="AG132" t="s">
        <v>1176</v>
      </c>
    </row>
    <row r="133" spans="1:33" customFormat="1" x14ac:dyDescent="0.3">
      <c r="A133">
        <v>204680</v>
      </c>
      <c r="B133" t="s">
        <v>428</v>
      </c>
      <c r="C133" t="s">
        <v>666</v>
      </c>
      <c r="D133" t="s">
        <v>673</v>
      </c>
      <c r="E133" s="18">
        <v>6.2</v>
      </c>
      <c r="F133" s="2">
        <f t="shared" si="43"/>
        <v>0.66666666666666663</v>
      </c>
      <c r="G133" s="10">
        <v>25.748640000000002</v>
      </c>
      <c r="H133">
        <f t="shared" si="44"/>
        <v>0.3449949112237663</v>
      </c>
      <c r="I133" s="22">
        <v>89.000000000000014</v>
      </c>
      <c r="J133" s="2">
        <f t="shared" si="45"/>
        <v>0.45664443304258606</v>
      </c>
      <c r="K133" s="8">
        <v>0</v>
      </c>
      <c r="L133" s="2">
        <v>0</v>
      </c>
      <c r="M133">
        <v>11497</v>
      </c>
      <c r="N133">
        <f t="shared" si="46"/>
        <v>5.3266336413488331E-2</v>
      </c>
      <c r="O133" s="8">
        <v>0.95523553100000003</v>
      </c>
      <c r="P133">
        <f t="shared" si="47"/>
        <v>0.95652438773000925</v>
      </c>
      <c r="Q133" s="20">
        <v>0.42409999999999998</v>
      </c>
      <c r="R133" s="10">
        <f t="shared" si="48"/>
        <v>0.91836292767431782</v>
      </c>
      <c r="S133">
        <f t="shared" si="49"/>
        <v>0.25049723968233772</v>
      </c>
      <c r="T133" s="11">
        <f t="shared" si="50"/>
        <v>0.45982576775253597</v>
      </c>
      <c r="U133" t="str">
        <f t="shared" si="51"/>
        <v>Moderate</v>
      </c>
      <c r="V133">
        <f t="shared" si="52"/>
        <v>0.24539861837978921</v>
      </c>
      <c r="W133">
        <f t="shared" si="53"/>
        <v>0.32323593431813796</v>
      </c>
      <c r="X133" t="str">
        <f t="shared" si="54"/>
        <v>Moderate</v>
      </c>
      <c r="Y133">
        <f t="shared" si="55"/>
        <v>0.25559586098488624</v>
      </c>
      <c r="Z133">
        <f t="shared" si="56"/>
        <v>0.46724616698437227</v>
      </c>
      <c r="AA133" t="str">
        <f t="shared" si="57"/>
        <v>Moderate</v>
      </c>
      <c r="AB133">
        <f t="shared" si="58"/>
        <v>0.16754998701102305</v>
      </c>
      <c r="AC133">
        <f t="shared" si="59"/>
        <v>0.40799666425976217</v>
      </c>
      <c r="AD133" t="str">
        <f t="shared" si="60"/>
        <v>Moderate</v>
      </c>
      <c r="AE133">
        <f t="shared" si="61"/>
        <v>1.4233463664659904E-2</v>
      </c>
      <c r="AF133">
        <f t="shared" si="62"/>
        <v>7.7876262841187843E-2</v>
      </c>
      <c r="AG133" t="s">
        <v>1176</v>
      </c>
    </row>
    <row r="134" spans="1:33" customFormat="1" x14ac:dyDescent="0.3">
      <c r="A134">
        <v>205133</v>
      </c>
      <c r="B134" t="s">
        <v>251</v>
      </c>
      <c r="C134" t="s">
        <v>675</v>
      </c>
      <c r="D134" t="s">
        <v>674</v>
      </c>
      <c r="E134" s="18">
        <v>6.5</v>
      </c>
      <c r="F134" s="2">
        <f t="shared" si="43"/>
        <v>0.73333333333333328</v>
      </c>
      <c r="G134" s="10">
        <v>35.746200000000002</v>
      </c>
      <c r="H134">
        <f t="shared" si="44"/>
        <v>0.47894790154303274</v>
      </c>
      <c r="I134" s="22">
        <v>118.09999999999998</v>
      </c>
      <c r="J134" s="2">
        <f t="shared" si="45"/>
        <v>0.60595177013853252</v>
      </c>
      <c r="K134" s="8">
        <v>0</v>
      </c>
      <c r="L134" s="2">
        <v>0</v>
      </c>
      <c r="M134">
        <v>17191</v>
      </c>
      <c r="N134">
        <f t="shared" si="46"/>
        <v>8.0207046978278046E-2</v>
      </c>
      <c r="O134" s="8">
        <v>0.90302609199999995</v>
      </c>
      <c r="P134">
        <f t="shared" si="47"/>
        <v>0.89902671707697224</v>
      </c>
      <c r="Q134" s="20">
        <v>0.36159999999999998</v>
      </c>
      <c r="R134" s="10">
        <f t="shared" si="48"/>
        <v>0.78302295365959285</v>
      </c>
      <c r="S134">
        <f t="shared" si="49"/>
        <v>0.33455677484793384</v>
      </c>
      <c r="T134" s="11">
        <f t="shared" si="50"/>
        <v>0.61412982452960108</v>
      </c>
      <c r="U134" t="str">
        <f t="shared" si="51"/>
        <v>Moderate</v>
      </c>
      <c r="V134">
        <f t="shared" si="52"/>
        <v>0.31148382662628799</v>
      </c>
      <c r="W134">
        <f t="shared" si="53"/>
        <v>0.4102825288474779</v>
      </c>
      <c r="X134" t="str">
        <f t="shared" si="54"/>
        <v>Moderate</v>
      </c>
      <c r="Y134">
        <f t="shared" si="55"/>
        <v>0.35762972306957963</v>
      </c>
      <c r="Z134">
        <f t="shared" si="56"/>
        <v>0.65377082656993635</v>
      </c>
      <c r="AA134" t="str">
        <f t="shared" si="57"/>
        <v>Moderate</v>
      </c>
      <c r="AB134">
        <f t="shared" si="58"/>
        <v>0.22747538643651247</v>
      </c>
      <c r="AC134">
        <f t="shared" si="59"/>
        <v>0.55391946321781305</v>
      </c>
      <c r="AD134" t="str">
        <f t="shared" si="60"/>
        <v>Moderate</v>
      </c>
      <c r="AE134">
        <f t="shared" si="61"/>
        <v>3.1906086275536635E-2</v>
      </c>
      <c r="AF134">
        <f t="shared" si="62"/>
        <v>0.17456936832575795</v>
      </c>
      <c r="AG134" t="s">
        <v>1175</v>
      </c>
    </row>
    <row r="135" spans="1:33" customFormat="1" x14ac:dyDescent="0.3">
      <c r="A135">
        <v>205143</v>
      </c>
      <c r="B135" t="s">
        <v>295</v>
      </c>
      <c r="C135" t="s">
        <v>675</v>
      </c>
      <c r="D135" t="s">
        <v>676</v>
      </c>
      <c r="E135" s="18">
        <v>6.5</v>
      </c>
      <c r="F135" s="2">
        <f t="shared" si="43"/>
        <v>0.73333333333333328</v>
      </c>
      <c r="G135" s="10">
        <v>27.946440000000003</v>
      </c>
      <c r="H135">
        <f t="shared" si="44"/>
        <v>0.37444228459523732</v>
      </c>
      <c r="I135" s="22">
        <v>76.599999999999994</v>
      </c>
      <c r="J135" s="2">
        <f t="shared" si="45"/>
        <v>0.3930220625962032</v>
      </c>
      <c r="K135" s="8">
        <v>0</v>
      </c>
      <c r="L135" s="2">
        <v>0</v>
      </c>
      <c r="M135">
        <v>40462</v>
      </c>
      <c r="N135">
        <f t="shared" si="46"/>
        <v>0.19031194257947603</v>
      </c>
      <c r="O135" s="8">
        <v>0.96756664100000001</v>
      </c>
      <c r="P135">
        <f t="shared" si="47"/>
        <v>0.97010450111844027</v>
      </c>
      <c r="Q135" s="20">
        <v>0.37790000000000001</v>
      </c>
      <c r="R135" s="10">
        <f t="shared" si="48"/>
        <v>0.81831961888263327</v>
      </c>
      <c r="S135">
        <f t="shared" si="49"/>
        <v>0.25163448745564254</v>
      </c>
      <c r="T135" s="11">
        <f t="shared" si="50"/>
        <v>0.46191335894175589</v>
      </c>
      <c r="U135" t="str">
        <f t="shared" si="51"/>
        <v>Moderate</v>
      </c>
      <c r="V135">
        <f t="shared" si="52"/>
        <v>0.23027808176989309</v>
      </c>
      <c r="W135">
        <f t="shared" si="53"/>
        <v>0.30331935609630262</v>
      </c>
      <c r="X135" t="str">
        <f t="shared" si="54"/>
        <v>Moderate</v>
      </c>
      <c r="Y135">
        <f t="shared" si="55"/>
        <v>0.27299089314139197</v>
      </c>
      <c r="Z135">
        <f t="shared" si="56"/>
        <v>0.49904543817905644</v>
      </c>
      <c r="AA135" t="str">
        <f t="shared" si="57"/>
        <v>Moderate</v>
      </c>
      <c r="AB135">
        <f t="shared" si="58"/>
        <v>0.18123865917794002</v>
      </c>
      <c r="AC135">
        <f t="shared" si="59"/>
        <v>0.44132959780323144</v>
      </c>
      <c r="AD135" t="str">
        <f t="shared" si="60"/>
        <v>Moderate</v>
      </c>
      <c r="AE135">
        <f t="shared" si="61"/>
        <v>5.3554464617313911E-2</v>
      </c>
      <c r="AF135">
        <f t="shared" si="62"/>
        <v>0.29301522532510615</v>
      </c>
      <c r="AG135" t="s">
        <v>1175</v>
      </c>
    </row>
    <row r="136" spans="1:33" customFormat="1" x14ac:dyDescent="0.3">
      <c r="A136">
        <v>205158</v>
      </c>
      <c r="B136" t="s">
        <v>443</v>
      </c>
      <c r="C136" t="s">
        <v>675</v>
      </c>
      <c r="D136" t="s">
        <v>677</v>
      </c>
      <c r="E136" s="18">
        <v>5</v>
      </c>
      <c r="F136" s="2">
        <f t="shared" si="43"/>
        <v>0.39999999999999997</v>
      </c>
      <c r="G136" s="10">
        <v>23.973480000000002</v>
      </c>
      <c r="H136">
        <f t="shared" si="44"/>
        <v>0.32121030875124812</v>
      </c>
      <c r="I136" s="22">
        <v>56.2</v>
      </c>
      <c r="J136" s="2">
        <f t="shared" si="45"/>
        <v>0.28835300153925092</v>
      </c>
      <c r="K136" s="8">
        <v>0</v>
      </c>
      <c r="L136" s="2">
        <v>0</v>
      </c>
      <c r="M136">
        <v>15111</v>
      </c>
      <c r="N136">
        <f t="shared" si="46"/>
        <v>7.0365691520820617E-2</v>
      </c>
      <c r="O136" s="8">
        <v>0.87404807399999995</v>
      </c>
      <c r="P136">
        <f t="shared" si="47"/>
        <v>0.86711355028079617</v>
      </c>
      <c r="Q136" s="20">
        <v>0.39319999999999999</v>
      </c>
      <c r="R136" s="10">
        <f t="shared" si="48"/>
        <v>0.85145084452143782</v>
      </c>
      <c r="S136">
        <f t="shared" si="49"/>
        <v>0.10475738014430377</v>
      </c>
      <c r="T136" s="11">
        <f t="shared" si="50"/>
        <v>0.19229809802968129</v>
      </c>
      <c r="U136" t="str">
        <f t="shared" si="51"/>
        <v>Low</v>
      </c>
      <c r="V136">
        <f t="shared" si="52"/>
        <v>0.10380263906722573</v>
      </c>
      <c r="W136">
        <f t="shared" si="53"/>
        <v>0.13672751397343044</v>
      </c>
      <c r="X136" t="s">
        <v>1176</v>
      </c>
      <c r="Y136">
        <f t="shared" si="55"/>
        <v>0.10571212122138184</v>
      </c>
      <c r="Z136">
        <f t="shared" si="56"/>
        <v>0.19324876097034566</v>
      </c>
      <c r="AA136" t="str">
        <f t="shared" si="57"/>
        <v>Low</v>
      </c>
      <c r="AB136">
        <f t="shared" si="58"/>
        <v>7.1047024109745352E-2</v>
      </c>
      <c r="AC136">
        <f t="shared" si="59"/>
        <v>0.17300478119674195</v>
      </c>
      <c r="AD136" t="str">
        <f t="shared" si="60"/>
        <v>Low</v>
      </c>
      <c r="AE136">
        <f t="shared" si="61"/>
        <v>8.5784687708623016E-3</v>
      </c>
      <c r="AF136">
        <f t="shared" si="62"/>
        <v>4.6935805965016807E-2</v>
      </c>
      <c r="AG136" t="s">
        <v>1176</v>
      </c>
    </row>
    <row r="137" spans="1:33" customFormat="1" x14ac:dyDescent="0.3">
      <c r="A137">
        <v>205165</v>
      </c>
      <c r="B137" t="s">
        <v>427</v>
      </c>
      <c r="C137" t="s">
        <v>675</v>
      </c>
      <c r="D137" t="s">
        <v>678</v>
      </c>
      <c r="E137" s="18">
        <v>6.5</v>
      </c>
      <c r="F137" s="2">
        <f t="shared" si="43"/>
        <v>0.73333333333333328</v>
      </c>
      <c r="G137" s="10">
        <v>20.59488</v>
      </c>
      <c r="H137">
        <f t="shared" si="44"/>
        <v>0.27594190595169765</v>
      </c>
      <c r="I137" s="22">
        <v>34.4</v>
      </c>
      <c r="J137" s="2">
        <f t="shared" si="45"/>
        <v>0.17650076962544897</v>
      </c>
      <c r="K137" s="8">
        <v>0</v>
      </c>
      <c r="L137" s="2">
        <v>0</v>
      </c>
      <c r="M137">
        <v>18858</v>
      </c>
      <c r="N137">
        <f t="shared" si="46"/>
        <v>8.8094325606923013E-2</v>
      </c>
      <c r="O137" s="8">
        <v>0.98073412900000001</v>
      </c>
      <c r="P137">
        <f t="shared" si="47"/>
        <v>0.98460570823449101</v>
      </c>
      <c r="Q137" s="20">
        <v>0.34699999999999998</v>
      </c>
      <c r="R137" s="10">
        <f t="shared" si="48"/>
        <v>0.75140753572975305</v>
      </c>
      <c r="S137">
        <f t="shared" si="49"/>
        <v>0.14399852077169978</v>
      </c>
      <c r="T137" s="11">
        <f t="shared" si="50"/>
        <v>0.26433117767303305</v>
      </c>
      <c r="U137" t="str">
        <f t="shared" si="51"/>
        <v>Low</v>
      </c>
      <c r="V137">
        <f t="shared" si="52"/>
        <v>0.12465523983527993</v>
      </c>
      <c r="W137">
        <f t="shared" si="53"/>
        <v>0.16419429409113076</v>
      </c>
      <c r="X137" t="s">
        <v>1176</v>
      </c>
      <c r="Y137">
        <f t="shared" si="55"/>
        <v>0.16334180170811963</v>
      </c>
      <c r="Z137">
        <f t="shared" si="56"/>
        <v>0.29859963483897434</v>
      </c>
      <c r="AA137" t="str">
        <f t="shared" si="57"/>
        <v>Low</v>
      </c>
      <c r="AB137">
        <f t="shared" si="58"/>
        <v>9.7746937276981485E-2</v>
      </c>
      <c r="AC137">
        <f t="shared" si="59"/>
        <v>0.23802105307231641</v>
      </c>
      <c r="AD137" t="str">
        <f t="shared" si="60"/>
        <v>Low</v>
      </c>
      <c r="AE137">
        <f t="shared" si="61"/>
        <v>1.4614465206278881E-2</v>
      </c>
      <c r="AF137">
        <f t="shared" si="62"/>
        <v>7.99608556639234E-2</v>
      </c>
      <c r="AG137" t="s">
        <v>1176</v>
      </c>
    </row>
    <row r="138" spans="1:33" customFormat="1" x14ac:dyDescent="0.3">
      <c r="A138">
        <v>205173</v>
      </c>
      <c r="B138" t="s">
        <v>429</v>
      </c>
      <c r="C138" t="s">
        <v>675</v>
      </c>
      <c r="D138" t="s">
        <v>679</v>
      </c>
      <c r="E138" s="18">
        <v>6.5</v>
      </c>
      <c r="F138" s="2">
        <f t="shared" si="43"/>
        <v>0.73333333333333328</v>
      </c>
      <c r="G138" s="10">
        <v>35.991</v>
      </c>
      <c r="H138">
        <f t="shared" si="44"/>
        <v>0.4822278710586102</v>
      </c>
      <c r="I138" s="22">
        <v>128.60000000000002</v>
      </c>
      <c r="J138" s="2">
        <f t="shared" si="45"/>
        <v>0.6598255515649053</v>
      </c>
      <c r="K138" s="8">
        <v>0</v>
      </c>
      <c r="L138" s="2">
        <v>0</v>
      </c>
      <c r="M138">
        <v>8289</v>
      </c>
      <c r="N138">
        <f t="shared" si="46"/>
        <v>3.8087938188717453E-2</v>
      </c>
      <c r="O138" s="8">
        <v>0.88596356399999998</v>
      </c>
      <c r="P138">
        <f t="shared" si="47"/>
        <v>0.8802359460163558</v>
      </c>
      <c r="Q138" s="20">
        <v>0.34549999999999997</v>
      </c>
      <c r="R138" s="10">
        <f t="shared" si="48"/>
        <v>0.74815937635339969</v>
      </c>
      <c r="S138">
        <f t="shared" si="49"/>
        <v>0.34094764940435873</v>
      </c>
      <c r="T138" s="11">
        <f t="shared" si="50"/>
        <v>0.62586124641370988</v>
      </c>
      <c r="U138" t="str">
        <f t="shared" si="51"/>
        <v>Moderate</v>
      </c>
      <c r="V138">
        <f t="shared" si="52"/>
        <v>0.31329392469183415</v>
      </c>
      <c r="W138">
        <f t="shared" si="53"/>
        <v>0.41266676696294585</v>
      </c>
      <c r="X138" t="str">
        <f t="shared" si="54"/>
        <v>Moderate</v>
      </c>
      <c r="Y138">
        <f t="shared" si="55"/>
        <v>0.36860137411688326</v>
      </c>
      <c r="Z138">
        <f t="shared" si="56"/>
        <v>0.67382773155106135</v>
      </c>
      <c r="AA138" t="str">
        <f t="shared" si="57"/>
        <v>Moderate</v>
      </c>
      <c r="AB138">
        <f t="shared" si="58"/>
        <v>0.22581558826557446</v>
      </c>
      <c r="AC138">
        <f t="shared" si="59"/>
        <v>0.54987773137904772</v>
      </c>
      <c r="AD138" t="str">
        <f t="shared" si="60"/>
        <v>Moderate</v>
      </c>
      <c r="AE138">
        <f t="shared" si="61"/>
        <v>1.5949435395335811E-2</v>
      </c>
      <c r="AF138">
        <f t="shared" si="62"/>
        <v>8.726494494096107E-2</v>
      </c>
      <c r="AG138" t="s">
        <v>1176</v>
      </c>
    </row>
    <row r="139" spans="1:33" customFormat="1" x14ac:dyDescent="0.3">
      <c r="A139">
        <v>207507</v>
      </c>
      <c r="B139" t="s">
        <v>58</v>
      </c>
      <c r="C139" t="s">
        <v>681</v>
      </c>
      <c r="D139" t="s">
        <v>680</v>
      </c>
      <c r="E139" s="18">
        <v>6.6</v>
      </c>
      <c r="F139" s="2">
        <f t="shared" si="43"/>
        <v>0.75555555555555542</v>
      </c>
      <c r="G139" s="10">
        <v>22.472640000000002</v>
      </c>
      <c r="H139">
        <f t="shared" si="44"/>
        <v>0.30110120153000935</v>
      </c>
      <c r="I139" s="22">
        <v>58.1</v>
      </c>
      <c r="J139" s="2">
        <f t="shared" si="45"/>
        <v>0.29810159055926122</v>
      </c>
      <c r="K139" s="8">
        <v>0</v>
      </c>
      <c r="L139" s="2">
        <v>0</v>
      </c>
      <c r="M139">
        <v>35521</v>
      </c>
      <c r="N139">
        <f t="shared" si="46"/>
        <v>0.16693399194712163</v>
      </c>
      <c r="O139" s="8">
        <v>0.93623014699999996</v>
      </c>
      <c r="P139">
        <f t="shared" si="47"/>
        <v>0.93559397110809339</v>
      </c>
      <c r="Q139" s="20">
        <v>0.31330000000000002</v>
      </c>
      <c r="R139" s="10">
        <f t="shared" si="48"/>
        <v>0.67843222174101347</v>
      </c>
      <c r="S139">
        <f t="shared" si="49"/>
        <v>0.18267992246029782</v>
      </c>
      <c r="T139" s="11">
        <f t="shared" si="50"/>
        <v>0.33533677139438356</v>
      </c>
      <c r="U139" t="str">
        <f t="shared" si="51"/>
        <v>Moderate</v>
      </c>
      <c r="V139">
        <f t="shared" si="52"/>
        <v>0.15357364857064934</v>
      </c>
      <c r="W139">
        <f t="shared" si="53"/>
        <v>0.20228525372361084</v>
      </c>
      <c r="X139" t="s">
        <v>1175</v>
      </c>
      <c r="Y139">
        <f t="shared" si="55"/>
        <v>0.2117861963499463</v>
      </c>
      <c r="Z139">
        <f t="shared" si="56"/>
        <v>0.38715919766229506</v>
      </c>
      <c r="AA139" t="str">
        <f t="shared" si="57"/>
        <v>Moderate</v>
      </c>
      <c r="AB139">
        <f t="shared" si="58"/>
        <v>0.13051246965387719</v>
      </c>
      <c r="AC139">
        <f t="shared" si="59"/>
        <v>0.31780755828755819</v>
      </c>
      <c r="AD139" t="str">
        <f t="shared" si="60"/>
        <v>Moderate</v>
      </c>
      <c r="AE139">
        <f t="shared" si="61"/>
        <v>3.7788096426188723E-2</v>
      </c>
      <c r="AF139">
        <f t="shared" si="62"/>
        <v>0.20675190515016079</v>
      </c>
      <c r="AG139" t="s">
        <v>1175</v>
      </c>
    </row>
    <row r="140" spans="1:33" customFormat="1" x14ac:dyDescent="0.3">
      <c r="A140">
        <v>207510</v>
      </c>
      <c r="B140" t="s">
        <v>103</v>
      </c>
      <c r="C140" t="s">
        <v>681</v>
      </c>
      <c r="D140" t="s">
        <v>682</v>
      </c>
      <c r="E140" s="18">
        <v>6.5</v>
      </c>
      <c r="F140" s="2">
        <f t="shared" si="43"/>
        <v>0.73333333333333328</v>
      </c>
      <c r="G140" s="10">
        <v>22.472640000000002</v>
      </c>
      <c r="H140">
        <f t="shared" si="44"/>
        <v>0.30110120153000935</v>
      </c>
      <c r="I140" s="22">
        <v>54.300000000000004</v>
      </c>
      <c r="J140" s="2">
        <f t="shared" si="45"/>
        <v>0.27860441251924067</v>
      </c>
      <c r="K140" s="8">
        <v>0</v>
      </c>
      <c r="L140" s="2">
        <v>0</v>
      </c>
      <c r="M140">
        <v>14588</v>
      </c>
      <c r="N140">
        <f t="shared" si="46"/>
        <v>6.789115839377724E-2</v>
      </c>
      <c r="O140" s="8">
        <v>0.99471256200000002</v>
      </c>
      <c r="P140">
        <f t="shared" si="47"/>
        <v>1</v>
      </c>
      <c r="Q140" s="20">
        <v>0.35680000000000001</v>
      </c>
      <c r="R140" s="10">
        <f t="shared" si="48"/>
        <v>0.77262884365526208</v>
      </c>
      <c r="S140">
        <f t="shared" si="49"/>
        <v>0.18839386358697405</v>
      </c>
      <c r="T140" s="11">
        <f t="shared" si="50"/>
        <v>0.34582557905070177</v>
      </c>
      <c r="U140" t="str">
        <f t="shared" si="51"/>
        <v>Moderate</v>
      </c>
      <c r="V140">
        <f t="shared" si="52"/>
        <v>0.16422900202255641</v>
      </c>
      <c r="W140">
        <f t="shared" si="53"/>
        <v>0.21632034956586535</v>
      </c>
      <c r="X140" t="s">
        <v>1175</v>
      </c>
      <c r="Y140">
        <f t="shared" si="55"/>
        <v>0.21255872515139165</v>
      </c>
      <c r="Z140">
        <f t="shared" si="56"/>
        <v>0.38857143149100215</v>
      </c>
      <c r="AA140" t="str">
        <f t="shared" si="57"/>
        <v>Moderate</v>
      </c>
      <c r="AB140">
        <f t="shared" si="58"/>
        <v>0.12629856858034361</v>
      </c>
      <c r="AC140">
        <f t="shared" si="59"/>
        <v>0.30754639615801876</v>
      </c>
      <c r="AD140" t="str">
        <f t="shared" si="60"/>
        <v>Moderate</v>
      </c>
      <c r="AE140">
        <f t="shared" si="61"/>
        <v>1.4430858077232493E-2</v>
      </c>
      <c r="AF140">
        <f t="shared" si="62"/>
        <v>7.8956276780103682E-2</v>
      </c>
      <c r="AG140" t="s">
        <v>1176</v>
      </c>
    </row>
    <row r="141" spans="1:33" customFormat="1" x14ac:dyDescent="0.3">
      <c r="A141">
        <v>207521</v>
      </c>
      <c r="B141" t="s">
        <v>118</v>
      </c>
      <c r="C141" t="s">
        <v>681</v>
      </c>
      <c r="D141" t="s">
        <v>1122</v>
      </c>
      <c r="E141" s="18">
        <v>6.4</v>
      </c>
      <c r="F141" s="2">
        <f t="shared" si="43"/>
        <v>0.71111111111111114</v>
      </c>
      <c r="G141" s="10">
        <v>29.567880000000002</v>
      </c>
      <c r="H141">
        <f t="shared" si="44"/>
        <v>0.39616725915135614</v>
      </c>
      <c r="I141" s="22">
        <v>130</v>
      </c>
      <c r="J141" s="2">
        <f t="shared" si="45"/>
        <v>0.6670087224217548</v>
      </c>
      <c r="K141" s="8">
        <v>0</v>
      </c>
      <c r="L141" s="2">
        <v>0</v>
      </c>
      <c r="M141">
        <v>38608</v>
      </c>
      <c r="N141">
        <f t="shared" si="46"/>
        <v>0.18153988824383852</v>
      </c>
      <c r="O141" s="8">
        <v>0.844903509</v>
      </c>
      <c r="P141">
        <f t="shared" si="47"/>
        <v>0.83501696713811913</v>
      </c>
      <c r="Q141" s="20">
        <v>0.31859999999999999</v>
      </c>
      <c r="R141" s="10">
        <f t="shared" si="48"/>
        <v>0.68990905153746207</v>
      </c>
      <c r="S141">
        <f t="shared" si="49"/>
        <v>0.28822483853009556</v>
      </c>
      <c r="T141" s="11">
        <f t="shared" si="50"/>
        <v>0.52908051134823209</v>
      </c>
      <c r="U141" t="str">
        <f t="shared" si="51"/>
        <v>Moderate</v>
      </c>
      <c r="V141">
        <f t="shared" si="52"/>
        <v>0.26079812731182767</v>
      </c>
      <c r="W141">
        <f t="shared" si="53"/>
        <v>0.34351997132923595</v>
      </c>
      <c r="X141" t="str">
        <f t="shared" si="54"/>
        <v>Moderate</v>
      </c>
      <c r="Y141">
        <f t="shared" si="55"/>
        <v>0.31565154974836335</v>
      </c>
      <c r="Z141">
        <f t="shared" si="56"/>
        <v>0.57703194470477281</v>
      </c>
      <c r="AA141" t="str">
        <f t="shared" si="57"/>
        <v>Moderate</v>
      </c>
      <c r="AB141">
        <f t="shared" si="58"/>
        <v>0.20999368845517244</v>
      </c>
      <c r="AC141">
        <f t="shared" si="59"/>
        <v>0.51135023006404312</v>
      </c>
      <c r="AD141" t="str">
        <f t="shared" si="60"/>
        <v>Moderate</v>
      </c>
      <c r="AE141">
        <f t="shared" si="61"/>
        <v>6.8625368490067867E-2</v>
      </c>
      <c r="AF141">
        <f t="shared" si="62"/>
        <v>0.37547341673237011</v>
      </c>
      <c r="AG141" t="str">
        <f t="shared" ref="AG130:AG193" si="63">IF(AF141&gt;0.7,"High",IF(AF141&gt;0.3,"Moderate",IF(AF141&gt;0.15,"Low","No Impact")))</f>
        <v>Moderate</v>
      </c>
    </row>
    <row r="142" spans="1:33" customFormat="1" x14ac:dyDescent="0.3">
      <c r="A142">
        <v>207536</v>
      </c>
      <c r="B142" t="s">
        <v>206</v>
      </c>
      <c r="C142" t="s">
        <v>681</v>
      </c>
      <c r="D142" t="s">
        <v>683</v>
      </c>
      <c r="E142" s="18">
        <v>6.5</v>
      </c>
      <c r="F142" s="2">
        <f t="shared" si="43"/>
        <v>0.73333333333333328</v>
      </c>
      <c r="G142" s="10">
        <v>45.923400000000001</v>
      </c>
      <c r="H142">
        <f t="shared" si="44"/>
        <v>0.6153078106685832</v>
      </c>
      <c r="I142" s="22">
        <v>112.70000000000002</v>
      </c>
      <c r="J142" s="2">
        <f t="shared" si="45"/>
        <v>0.57824525397639825</v>
      </c>
      <c r="K142" s="8">
        <v>0</v>
      </c>
      <c r="L142" s="2">
        <v>0</v>
      </c>
      <c r="M142">
        <v>64514</v>
      </c>
      <c r="N142">
        <f t="shared" si="46"/>
        <v>0.30411207789811356</v>
      </c>
      <c r="O142" s="8">
        <v>0.84397795499999995</v>
      </c>
      <c r="P142">
        <f t="shared" si="47"/>
        <v>0.83399766488008098</v>
      </c>
      <c r="Q142" s="20">
        <v>0.34389999999999998</v>
      </c>
      <c r="R142" s="10">
        <f t="shared" si="48"/>
        <v>0.7446946730186228</v>
      </c>
      <c r="S142">
        <f t="shared" si="49"/>
        <v>0.34544639763893392</v>
      </c>
      <c r="T142" s="11">
        <f t="shared" si="50"/>
        <v>0.63411938276488167</v>
      </c>
      <c r="U142" t="str">
        <f t="shared" si="51"/>
        <v>Moderate</v>
      </c>
      <c r="V142">
        <f t="shared" si="52"/>
        <v>0.32590529004226221</v>
      </c>
      <c r="W142">
        <f t="shared" si="53"/>
        <v>0.4292782967628575</v>
      </c>
      <c r="X142" t="str">
        <f t="shared" si="54"/>
        <v>Moderate</v>
      </c>
      <c r="Y142">
        <f t="shared" si="55"/>
        <v>0.36498750523560558</v>
      </c>
      <c r="Z142">
        <f t="shared" si="56"/>
        <v>0.66722133981899434</v>
      </c>
      <c r="AA142" t="str">
        <f t="shared" si="57"/>
        <v>Moderate</v>
      </c>
      <c r="AB142">
        <f t="shared" si="58"/>
        <v>0.27014475391539877</v>
      </c>
      <c r="AC142">
        <f t="shared" si="59"/>
        <v>0.65782254257952166</v>
      </c>
      <c r="AD142" t="str">
        <f t="shared" si="60"/>
        <v>Moderate</v>
      </c>
      <c r="AE142">
        <f t="shared" si="61"/>
        <v>0.13309043094264381</v>
      </c>
      <c r="AF142">
        <f t="shared" si="62"/>
        <v>0.72818434261158749</v>
      </c>
      <c r="AG142" t="str">
        <f t="shared" si="63"/>
        <v>High</v>
      </c>
    </row>
    <row r="143" spans="1:33" customFormat="1" x14ac:dyDescent="0.3">
      <c r="A143">
        <v>207547</v>
      </c>
      <c r="B143" t="s">
        <v>229</v>
      </c>
      <c r="C143" t="s">
        <v>681</v>
      </c>
      <c r="D143" t="s">
        <v>684</v>
      </c>
      <c r="E143" s="18">
        <v>6.5</v>
      </c>
      <c r="F143" s="2">
        <f t="shared" si="43"/>
        <v>0.73333333333333328</v>
      </c>
      <c r="G143" s="10">
        <v>29.567880000000002</v>
      </c>
      <c r="H143">
        <f t="shared" si="44"/>
        <v>0.39616725915135614</v>
      </c>
      <c r="I143" s="22">
        <v>130</v>
      </c>
      <c r="J143" s="2">
        <f t="shared" si="45"/>
        <v>0.6670087224217548</v>
      </c>
      <c r="K143" s="8">
        <v>0</v>
      </c>
      <c r="L143" s="2">
        <v>0</v>
      </c>
      <c r="M143">
        <v>22882</v>
      </c>
      <c r="N143">
        <f t="shared" si="46"/>
        <v>0.10713356328038873</v>
      </c>
      <c r="O143" s="8">
        <v>0.77012592300000005</v>
      </c>
      <c r="P143">
        <f t="shared" si="47"/>
        <v>0.7526652488586496</v>
      </c>
      <c r="Q143" s="20">
        <v>0.34300000000000003</v>
      </c>
      <c r="R143" s="10">
        <f t="shared" si="48"/>
        <v>0.74274577739281078</v>
      </c>
      <c r="S143">
        <f t="shared" si="49"/>
        <v>0.29147893237652744</v>
      </c>
      <c r="T143" s="11">
        <f t="shared" si="50"/>
        <v>0.53505389533909709</v>
      </c>
      <c r="U143" t="str">
        <f t="shared" si="51"/>
        <v>Moderate</v>
      </c>
      <c r="V143">
        <f t="shared" si="52"/>
        <v>0.28954547267759118</v>
      </c>
      <c r="W143">
        <f t="shared" si="53"/>
        <v>0.38138560847022346</v>
      </c>
      <c r="X143" t="str">
        <f t="shared" si="54"/>
        <v>Moderate</v>
      </c>
      <c r="Y143">
        <f t="shared" si="55"/>
        <v>0.29341239207546371</v>
      </c>
      <c r="Z143">
        <f t="shared" si="56"/>
        <v>0.53637729114511323</v>
      </c>
      <c r="AA143" t="str">
        <f t="shared" si="57"/>
        <v>Moderate</v>
      </c>
      <c r="AB143">
        <f t="shared" si="58"/>
        <v>0.20398203474330268</v>
      </c>
      <c r="AC143">
        <f t="shared" si="59"/>
        <v>0.49671140672013975</v>
      </c>
      <c r="AD143" t="str">
        <f t="shared" si="60"/>
        <v>Moderate</v>
      </c>
      <c r="AE143">
        <f t="shared" si="61"/>
        <v>4.176400481001917E-2</v>
      </c>
      <c r="AF143">
        <f t="shared" si="62"/>
        <v>0.22850549188256211</v>
      </c>
      <c r="AG143" t="s">
        <v>1175</v>
      </c>
    </row>
    <row r="144" spans="1:33" customFormat="1" x14ac:dyDescent="0.3">
      <c r="A144">
        <v>207580</v>
      </c>
      <c r="B144" t="s">
        <v>466</v>
      </c>
      <c r="C144" t="s">
        <v>681</v>
      </c>
      <c r="D144" t="s">
        <v>685</v>
      </c>
      <c r="E144" s="18">
        <v>6.6</v>
      </c>
      <c r="F144" s="2">
        <f t="shared" si="43"/>
        <v>0.75555555555555542</v>
      </c>
      <c r="G144" s="10">
        <v>23.45364</v>
      </c>
      <c r="H144">
        <f t="shared" si="44"/>
        <v>0.31424519701522774</v>
      </c>
      <c r="I144" s="22">
        <v>57.4</v>
      </c>
      <c r="J144" s="2">
        <f t="shared" si="45"/>
        <v>0.29451000513083636</v>
      </c>
      <c r="K144" s="8">
        <v>0</v>
      </c>
      <c r="L144" s="2">
        <v>0</v>
      </c>
      <c r="M144">
        <v>19359</v>
      </c>
      <c r="N144">
        <f t="shared" si="46"/>
        <v>9.046476747432021E-2</v>
      </c>
      <c r="O144" s="8">
        <v>0.86036707800000001</v>
      </c>
      <c r="P144">
        <f t="shared" si="47"/>
        <v>0.85204682255339204</v>
      </c>
      <c r="Q144" s="20">
        <v>0.33050000000000002</v>
      </c>
      <c r="R144" s="10">
        <f t="shared" si="48"/>
        <v>0.71567778258986581</v>
      </c>
      <c r="S144">
        <f t="shared" si="49"/>
        <v>0.18026809612807576</v>
      </c>
      <c r="T144" s="11">
        <f t="shared" si="50"/>
        <v>0.33090949747988385</v>
      </c>
      <c r="U144" t="str">
        <f t="shared" si="51"/>
        <v>Moderate</v>
      </c>
      <c r="V144">
        <f t="shared" si="52"/>
        <v>0.16458741654673309</v>
      </c>
      <c r="W144">
        <f t="shared" si="53"/>
        <v>0.21679244861173746</v>
      </c>
      <c r="X144" t="s">
        <v>1175</v>
      </c>
      <c r="Y144">
        <f t="shared" si="55"/>
        <v>0.1959487757094184</v>
      </c>
      <c r="Z144">
        <f t="shared" si="56"/>
        <v>0.35820734350983907</v>
      </c>
      <c r="AA144" t="str">
        <f t="shared" si="57"/>
        <v>Moderate</v>
      </c>
      <c r="AB144">
        <f t="shared" si="58"/>
        <v>0.12367182499251571</v>
      </c>
      <c r="AC144">
        <f t="shared" si="59"/>
        <v>0.30115008040283464</v>
      </c>
      <c r="AD144" t="str">
        <f t="shared" si="60"/>
        <v>Moderate</v>
      </c>
      <c r="AE144">
        <f t="shared" si="61"/>
        <v>2.0804561395238886E-2</v>
      </c>
      <c r="AF144">
        <f t="shared" si="62"/>
        <v>0.1138290390647487</v>
      </c>
      <c r="AG144" t="s">
        <v>1176</v>
      </c>
    </row>
    <row r="145" spans="1:33" customFormat="1" x14ac:dyDescent="0.3">
      <c r="A145">
        <v>207583</v>
      </c>
      <c r="B145" t="s">
        <v>492</v>
      </c>
      <c r="C145" t="s">
        <v>681</v>
      </c>
      <c r="D145" t="s">
        <v>686</v>
      </c>
      <c r="E145" s="18">
        <v>6.5</v>
      </c>
      <c r="F145" s="2">
        <f t="shared" si="43"/>
        <v>0.73333333333333328</v>
      </c>
      <c r="G145" s="10">
        <v>22.472640000000002</v>
      </c>
      <c r="H145">
        <f t="shared" si="44"/>
        <v>0.30110120153000935</v>
      </c>
      <c r="I145" s="22">
        <v>58.1</v>
      </c>
      <c r="J145" s="2">
        <f t="shared" si="45"/>
        <v>0.29810159055926122</v>
      </c>
      <c r="K145" s="8">
        <v>0</v>
      </c>
      <c r="L145" s="2">
        <v>0</v>
      </c>
      <c r="M145">
        <v>20762</v>
      </c>
      <c r="N145">
        <f t="shared" si="46"/>
        <v>9.7102950987210973E-2</v>
      </c>
      <c r="O145" s="8">
        <v>0.97866548399999997</v>
      </c>
      <c r="P145">
        <f t="shared" si="47"/>
        <v>0.98232753265577899</v>
      </c>
      <c r="Q145" s="20">
        <v>0.30740000000000001</v>
      </c>
      <c r="R145" s="10">
        <f t="shared" si="48"/>
        <v>0.66565612819402342</v>
      </c>
      <c r="S145">
        <f t="shared" si="49"/>
        <v>0.18103734199809485</v>
      </c>
      <c r="T145" s="11">
        <f t="shared" si="50"/>
        <v>0.33232156522650075</v>
      </c>
      <c r="U145" t="str">
        <f t="shared" si="51"/>
        <v>Moderate</v>
      </c>
      <c r="V145">
        <f t="shared" si="52"/>
        <v>0.14624977054790383</v>
      </c>
      <c r="W145">
        <f t="shared" si="53"/>
        <v>0.19263833488134408</v>
      </c>
      <c r="X145" t="s">
        <v>1176</v>
      </c>
      <c r="Y145">
        <f t="shared" si="55"/>
        <v>0.21582491344828589</v>
      </c>
      <c r="Z145">
        <f t="shared" si="56"/>
        <v>0.39454224008114314</v>
      </c>
      <c r="AA145" t="str">
        <f t="shared" si="57"/>
        <v>Moderate</v>
      </c>
      <c r="AB145">
        <f t="shared" si="58"/>
        <v>0.12340188650971311</v>
      </c>
      <c r="AC145">
        <f t="shared" si="59"/>
        <v>0.30049276014573695</v>
      </c>
      <c r="AD145" t="str">
        <f t="shared" si="60"/>
        <v>Moderate</v>
      </c>
      <c r="AE145">
        <f t="shared" si="61"/>
        <v>2.1334265095602947E-2</v>
      </c>
      <c r="AF145">
        <f t="shared" si="62"/>
        <v>0.11672723345856473</v>
      </c>
      <c r="AG145" t="s">
        <v>1176</v>
      </c>
    </row>
    <row r="146" spans="1:33" customFormat="1" x14ac:dyDescent="0.3">
      <c r="A146">
        <v>207585</v>
      </c>
      <c r="B146" t="s">
        <v>500</v>
      </c>
      <c r="C146" t="s">
        <v>681</v>
      </c>
      <c r="D146" t="s">
        <v>687</v>
      </c>
      <c r="E146" s="18">
        <v>6.5</v>
      </c>
      <c r="F146" s="2">
        <f t="shared" si="43"/>
        <v>0.73333333333333328</v>
      </c>
      <c r="G146" s="10">
        <v>40.718880000000006</v>
      </c>
      <c r="H146">
        <f t="shared" si="44"/>
        <v>0.54557469407049053</v>
      </c>
      <c r="I146" s="22">
        <v>125.30000000000003</v>
      </c>
      <c r="J146" s="2">
        <f t="shared" si="45"/>
        <v>0.64289379168804539</v>
      </c>
      <c r="K146" s="8">
        <v>0</v>
      </c>
      <c r="L146" s="2">
        <v>0</v>
      </c>
      <c r="M146">
        <v>36232</v>
      </c>
      <c r="N146">
        <f t="shared" si="46"/>
        <v>0.17029803220205059</v>
      </c>
      <c r="O146" s="8">
        <v>0.94488430199999995</v>
      </c>
      <c r="P146">
        <f t="shared" si="47"/>
        <v>0.94512469512085928</v>
      </c>
      <c r="Q146" s="20">
        <v>0.3397</v>
      </c>
      <c r="R146" s="10">
        <f t="shared" si="48"/>
        <v>0.73559982676483326</v>
      </c>
      <c r="S146">
        <f t="shared" si="49"/>
        <v>0.3662061567088335</v>
      </c>
      <c r="T146" s="11">
        <f t="shared" si="50"/>
        <v>0.6722270767449815</v>
      </c>
      <c r="U146" t="str">
        <f t="shared" si="51"/>
        <v>Moderate</v>
      </c>
      <c r="V146">
        <f t="shared" si="52"/>
        <v>0.32055364448779566</v>
      </c>
      <c r="W146">
        <f t="shared" si="53"/>
        <v>0.42222917740612043</v>
      </c>
      <c r="X146" t="str">
        <f t="shared" si="54"/>
        <v>Moderate</v>
      </c>
      <c r="Y146">
        <f t="shared" si="55"/>
        <v>0.41185866892987139</v>
      </c>
      <c r="Z146">
        <f t="shared" si="56"/>
        <v>0.75290493224437305</v>
      </c>
      <c r="AA146" t="str">
        <f t="shared" si="57"/>
        <v>High</v>
      </c>
      <c r="AB146">
        <f t="shared" si="58"/>
        <v>0.26172525295523963</v>
      </c>
      <c r="AC146">
        <f t="shared" si="59"/>
        <v>0.63732043232718971</v>
      </c>
      <c r="AD146" t="str">
        <f t="shared" si="60"/>
        <v>Moderate</v>
      </c>
      <c r="AE146">
        <f t="shared" si="61"/>
        <v>7.4211076301570797E-2</v>
      </c>
      <c r="AF146">
        <f t="shared" si="62"/>
        <v>0.40603477972391799</v>
      </c>
      <c r="AG146" t="str">
        <f t="shared" si="63"/>
        <v>Moderate</v>
      </c>
    </row>
    <row r="147" spans="1:33" customFormat="1" x14ac:dyDescent="0.3">
      <c r="A147">
        <v>207587</v>
      </c>
      <c r="B147" t="s">
        <v>386</v>
      </c>
      <c r="C147" t="s">
        <v>681</v>
      </c>
      <c r="D147" t="s">
        <v>1123</v>
      </c>
      <c r="E147" s="18">
        <v>6.6</v>
      </c>
      <c r="F147" s="2">
        <f t="shared" si="43"/>
        <v>0.75555555555555542</v>
      </c>
      <c r="G147" s="10">
        <v>26.923680000000001</v>
      </c>
      <c r="H147">
        <f t="shared" si="44"/>
        <v>0.36073876489853801</v>
      </c>
      <c r="I147" s="22">
        <v>136.1</v>
      </c>
      <c r="J147" s="2">
        <f t="shared" si="45"/>
        <v>0.69830682401231403</v>
      </c>
      <c r="K147" s="8">
        <v>0</v>
      </c>
      <c r="L147" s="2">
        <v>0</v>
      </c>
      <c r="M147">
        <v>46149</v>
      </c>
      <c r="N147">
        <f t="shared" si="46"/>
        <v>0.21721953319801471</v>
      </c>
      <c r="O147" s="8">
        <v>0.92720738000000003</v>
      </c>
      <c r="P147">
        <f t="shared" si="47"/>
        <v>0.92565729882657188</v>
      </c>
      <c r="Q147" s="20">
        <v>0.3644</v>
      </c>
      <c r="R147" s="10">
        <f t="shared" si="48"/>
        <v>0.78908618449545265</v>
      </c>
      <c r="S147">
        <f t="shared" si="49"/>
        <v>0.34302062084598806</v>
      </c>
      <c r="T147" s="11">
        <f t="shared" si="50"/>
        <v>0.62966650065876695</v>
      </c>
      <c r="U147" t="str">
        <f t="shared" si="51"/>
        <v>Moderate</v>
      </c>
      <c r="V147">
        <f t="shared" si="52"/>
        <v>0.31570066956281922</v>
      </c>
      <c r="W147">
        <f t="shared" si="53"/>
        <v>0.41583690065063544</v>
      </c>
      <c r="X147" t="str">
        <f t="shared" si="54"/>
        <v>Moderate</v>
      </c>
      <c r="Y147">
        <f t="shared" si="55"/>
        <v>0.37034057212915683</v>
      </c>
      <c r="Z147">
        <f t="shared" si="56"/>
        <v>0.67700710073853698</v>
      </c>
      <c r="AA147" t="str">
        <f t="shared" si="57"/>
        <v>Moderate</v>
      </c>
      <c r="AB147">
        <f t="shared" si="58"/>
        <v>0.2520145184597084</v>
      </c>
      <c r="AC147">
        <f t="shared" si="59"/>
        <v>0.61367407250128114</v>
      </c>
      <c r="AD147" t="str">
        <f t="shared" si="60"/>
        <v>Moderate</v>
      </c>
      <c r="AE147">
        <f t="shared" si="61"/>
        <v>8.6906035639927576E-2</v>
      </c>
      <c r="AF147">
        <f t="shared" si="62"/>
        <v>0.47549334676594701</v>
      </c>
      <c r="AG147" t="str">
        <f t="shared" si="63"/>
        <v>Moderate</v>
      </c>
    </row>
    <row r="148" spans="1:33" customFormat="1" x14ac:dyDescent="0.3">
      <c r="A148">
        <v>208407</v>
      </c>
      <c r="B148" t="s">
        <v>27</v>
      </c>
      <c r="C148" t="s">
        <v>689</v>
      </c>
      <c r="D148" t="s">
        <v>688</v>
      </c>
      <c r="E148" s="18">
        <v>6.2</v>
      </c>
      <c r="F148" s="2">
        <f t="shared" si="43"/>
        <v>0.66666666666666663</v>
      </c>
      <c r="G148" s="10">
        <v>21.188880000000001</v>
      </c>
      <c r="H148">
        <f t="shared" si="44"/>
        <v>0.28390065551155469</v>
      </c>
      <c r="I148" s="22">
        <v>69.899999999999991</v>
      </c>
      <c r="J148" s="2">
        <f t="shared" si="45"/>
        <v>0.35864545920985119</v>
      </c>
      <c r="K148" s="8">
        <v>0</v>
      </c>
      <c r="L148" s="2">
        <v>0</v>
      </c>
      <c r="M148">
        <v>3903</v>
      </c>
      <c r="N148">
        <f t="shared" si="46"/>
        <v>1.7335926151982702E-2</v>
      </c>
      <c r="O148" s="8">
        <v>0.75222789899999998</v>
      </c>
      <c r="P148">
        <f t="shared" si="47"/>
        <v>0.73295435540713882</v>
      </c>
      <c r="Q148" s="20">
        <v>0.44419999999999998</v>
      </c>
      <c r="R148" s="10">
        <f t="shared" si="48"/>
        <v>0.96188826331745347</v>
      </c>
      <c r="S148">
        <f t="shared" si="49"/>
        <v>0.18150242328762331</v>
      </c>
      <c r="T148" s="11">
        <f t="shared" si="50"/>
        <v>0.33317529264200424</v>
      </c>
      <c r="U148" t="str">
        <f t="shared" si="51"/>
        <v>Moderate</v>
      </c>
      <c r="V148">
        <f t="shared" si="52"/>
        <v>0.20601918879691677</v>
      </c>
      <c r="W148">
        <f t="shared" si="53"/>
        <v>0.27136585127457574</v>
      </c>
      <c r="X148" t="s">
        <v>1175</v>
      </c>
      <c r="Y148">
        <f t="shared" si="55"/>
        <v>0.15698565777832985</v>
      </c>
      <c r="Z148">
        <f t="shared" si="56"/>
        <v>0.28698018264381198</v>
      </c>
      <c r="AA148" t="str">
        <f t="shared" si="57"/>
        <v>Low</v>
      </c>
      <c r="AB148">
        <f t="shared" si="58"/>
        <v>0.12050197881172607</v>
      </c>
      <c r="AC148">
        <f t="shared" si="59"/>
        <v>0.29343126949123705</v>
      </c>
      <c r="AD148" t="str">
        <f t="shared" si="60"/>
        <v>Low</v>
      </c>
      <c r="AE148">
        <f t="shared" si="61"/>
        <v>3.7130439980178989E-3</v>
      </c>
      <c r="AF148">
        <f t="shared" si="62"/>
        <v>2.0315363648869513E-2</v>
      </c>
      <c r="AG148" t="s">
        <v>1176</v>
      </c>
    </row>
    <row r="149" spans="1:33" customFormat="1" x14ac:dyDescent="0.3">
      <c r="A149">
        <v>208421</v>
      </c>
      <c r="B149" t="s">
        <v>50</v>
      </c>
      <c r="C149" t="s">
        <v>689</v>
      </c>
      <c r="D149" t="s">
        <v>690</v>
      </c>
      <c r="E149" s="18">
        <v>6.2</v>
      </c>
      <c r="F149" s="2">
        <f t="shared" si="43"/>
        <v>0.66666666666666663</v>
      </c>
      <c r="G149" s="10">
        <v>30.815279999999998</v>
      </c>
      <c r="H149">
        <f t="shared" si="44"/>
        <v>0.41288063322705587</v>
      </c>
      <c r="I149" s="22">
        <v>93</v>
      </c>
      <c r="J149" s="2">
        <f t="shared" si="45"/>
        <v>0.47716777834787077</v>
      </c>
      <c r="K149" s="8">
        <v>0</v>
      </c>
      <c r="L149" s="2">
        <v>0</v>
      </c>
      <c r="M149">
        <v>239</v>
      </c>
      <c r="N149">
        <f t="shared" si="46"/>
        <v>0</v>
      </c>
      <c r="O149" s="8">
        <v>0.91206592500000006</v>
      </c>
      <c r="P149">
        <f t="shared" si="47"/>
        <v>0.90898218395322927</v>
      </c>
      <c r="Q149" s="20">
        <v>0.44700000000000001</v>
      </c>
      <c r="R149" s="10">
        <f t="shared" si="48"/>
        <v>0.96795149415331316</v>
      </c>
      <c r="S149">
        <f t="shared" si="49"/>
        <v>0.27842697313836878</v>
      </c>
      <c r="T149" s="11">
        <f t="shared" si="50"/>
        <v>0.51109503980451343</v>
      </c>
      <c r="U149" t="str">
        <f t="shared" si="51"/>
        <v>Moderate</v>
      </c>
      <c r="V149">
        <f t="shared" si="52"/>
        <v>0.2871745632842444</v>
      </c>
      <c r="W149">
        <f t="shared" si="53"/>
        <v>0.37826267681721781</v>
      </c>
      <c r="X149" t="str">
        <f t="shared" si="54"/>
        <v>Moderate</v>
      </c>
      <c r="Y149">
        <f t="shared" si="55"/>
        <v>0.26967938299249317</v>
      </c>
      <c r="Z149">
        <f t="shared" si="56"/>
        <v>0.49299177824090001</v>
      </c>
      <c r="AA149" t="str">
        <f t="shared" si="57"/>
        <v>Moderate</v>
      </c>
      <c r="AB149">
        <f t="shared" si="58"/>
        <v>0.18141491204723345</v>
      </c>
      <c r="AC149">
        <f t="shared" si="59"/>
        <v>0.44175878663231322</v>
      </c>
      <c r="AD149" t="str">
        <f t="shared" si="60"/>
        <v>Moderate</v>
      </c>
      <c r="AE149">
        <f t="shared" si="61"/>
        <v>0</v>
      </c>
      <c r="AF149">
        <f t="shared" si="62"/>
        <v>0</v>
      </c>
      <c r="AG149" t="s">
        <v>1176</v>
      </c>
    </row>
    <row r="150" spans="1:33" customFormat="1" x14ac:dyDescent="0.3">
      <c r="A150">
        <v>208425</v>
      </c>
      <c r="B150" t="s">
        <v>264</v>
      </c>
      <c r="C150" t="s">
        <v>689</v>
      </c>
      <c r="D150" t="s">
        <v>1124</v>
      </c>
      <c r="E150" s="18">
        <v>6.3</v>
      </c>
      <c r="F150" s="2">
        <f t="shared" si="43"/>
        <v>0.68888888888888877</v>
      </c>
      <c r="G150" s="10">
        <v>28.900079999999999</v>
      </c>
      <c r="H150">
        <f t="shared" si="44"/>
        <v>0.38721969525224414</v>
      </c>
      <c r="I150" s="22">
        <v>104.9</v>
      </c>
      <c r="J150" s="2">
        <f t="shared" si="45"/>
        <v>0.538224730631093</v>
      </c>
      <c r="K150" s="8">
        <v>0</v>
      </c>
      <c r="L150" s="2">
        <v>0</v>
      </c>
      <c r="M150">
        <v>5340</v>
      </c>
      <c r="N150">
        <f t="shared" si="46"/>
        <v>2.4134977975235745E-2</v>
      </c>
      <c r="O150" s="8">
        <v>0.84088359700000004</v>
      </c>
      <c r="P150">
        <f t="shared" si="47"/>
        <v>0.83058988305797432</v>
      </c>
      <c r="Q150" s="20">
        <v>0.45100000000000001</v>
      </c>
      <c r="R150" s="10">
        <f t="shared" si="48"/>
        <v>0.97661325249025555</v>
      </c>
      <c r="S150">
        <f t="shared" si="49"/>
        <v>0.28803582286217744</v>
      </c>
      <c r="T150" s="11">
        <f t="shared" si="50"/>
        <v>0.52873354435279563</v>
      </c>
      <c r="U150" t="str">
        <f t="shared" si="51"/>
        <v>Moderate</v>
      </c>
      <c r="V150">
        <f t="shared" si="52"/>
        <v>0.311309333484311</v>
      </c>
      <c r="W150">
        <f t="shared" si="53"/>
        <v>0.41005268870350553</v>
      </c>
      <c r="X150" t="str">
        <f t="shared" si="54"/>
        <v>Moderate</v>
      </c>
      <c r="Y150">
        <f t="shared" si="55"/>
        <v>0.26476231224004387</v>
      </c>
      <c r="Z150">
        <f t="shared" si="56"/>
        <v>0.48400304715182829</v>
      </c>
      <c r="AA150" t="str">
        <f t="shared" si="57"/>
        <v>Moderate</v>
      </c>
      <c r="AB150">
        <f t="shared" si="58"/>
        <v>0.19107963874786191</v>
      </c>
      <c r="AC150">
        <f t="shared" si="59"/>
        <v>0.46529311406009899</v>
      </c>
      <c r="AD150" t="str">
        <f t="shared" si="60"/>
        <v>Moderate</v>
      </c>
      <c r="AE150">
        <f t="shared" si="61"/>
        <v>7.6933667323996644E-3</v>
      </c>
      <c r="AF150">
        <f t="shared" si="62"/>
        <v>4.2093102838600072E-2</v>
      </c>
      <c r="AG150" t="s">
        <v>1176</v>
      </c>
    </row>
    <row r="151" spans="1:33" customFormat="1" x14ac:dyDescent="0.3">
      <c r="A151">
        <v>208429</v>
      </c>
      <c r="B151" t="s">
        <v>60</v>
      </c>
      <c r="C151" t="s">
        <v>689</v>
      </c>
      <c r="D151" t="s">
        <v>691</v>
      </c>
      <c r="E151" s="18">
        <v>6.2</v>
      </c>
      <c r="F151" s="2">
        <f t="shared" si="43"/>
        <v>0.66666666666666663</v>
      </c>
      <c r="G151" s="10">
        <v>31.786199999999997</v>
      </c>
      <c r="H151">
        <f t="shared" si="44"/>
        <v>0.42588957114398585</v>
      </c>
      <c r="I151" s="22">
        <v>67.5</v>
      </c>
      <c r="J151" s="2">
        <f t="shared" si="45"/>
        <v>0.34633145202668036</v>
      </c>
      <c r="K151" s="8">
        <v>0</v>
      </c>
      <c r="L151" s="2">
        <v>0</v>
      </c>
      <c r="M151">
        <v>952</v>
      </c>
      <c r="N151">
        <f t="shared" si="46"/>
        <v>3.3735030967149745E-3</v>
      </c>
      <c r="O151" s="8">
        <v>0.88512824599999995</v>
      </c>
      <c r="P151">
        <f t="shared" si="47"/>
        <v>0.87931601965486861</v>
      </c>
      <c r="Q151" s="20">
        <v>0.45760000000000001</v>
      </c>
      <c r="R151" s="10">
        <f t="shared" si="48"/>
        <v>0.99090515374621047</v>
      </c>
      <c r="S151">
        <f t="shared" si="49"/>
        <v>0.24070401801320418</v>
      </c>
      <c r="T151" s="11">
        <f t="shared" si="50"/>
        <v>0.44184882046764495</v>
      </c>
      <c r="U151" t="str">
        <f t="shared" si="51"/>
        <v>Moderate</v>
      </c>
      <c r="V151">
        <f t="shared" si="52"/>
        <v>0.25506593056366161</v>
      </c>
      <c r="W151">
        <f t="shared" si="53"/>
        <v>0.33596959478750132</v>
      </c>
      <c r="X151" t="str">
        <f t="shared" si="54"/>
        <v>Moderate</v>
      </c>
      <c r="Y151">
        <f t="shared" si="55"/>
        <v>0.22634210546274675</v>
      </c>
      <c r="Z151">
        <f t="shared" si="56"/>
        <v>0.41376836384253718</v>
      </c>
      <c r="AA151" t="str">
        <f t="shared" si="57"/>
        <v>Moderate</v>
      </c>
      <c r="AB151">
        <f t="shared" si="58"/>
        <v>0.15747963450429062</v>
      </c>
      <c r="AC151">
        <f t="shared" si="59"/>
        <v>0.38347460786356286</v>
      </c>
      <c r="AD151" t="str">
        <f t="shared" si="60"/>
        <v>Moderate</v>
      </c>
      <c r="AE151">
        <f t="shared" si="61"/>
        <v>8.683633376715495E-4</v>
      </c>
      <c r="AF151">
        <f t="shared" si="62"/>
        <v>4.7511198341740092E-3</v>
      </c>
      <c r="AG151" t="s">
        <v>1176</v>
      </c>
    </row>
    <row r="152" spans="1:33" customFormat="1" x14ac:dyDescent="0.3">
      <c r="A152">
        <v>208436</v>
      </c>
      <c r="B152" t="s">
        <v>257</v>
      </c>
      <c r="C152" t="s">
        <v>689</v>
      </c>
      <c r="D152" t="s">
        <v>692</v>
      </c>
      <c r="E152" s="18">
        <v>6.2</v>
      </c>
      <c r="F152" s="2">
        <f t="shared" si="43"/>
        <v>0.66666666666666663</v>
      </c>
      <c r="G152" s="10">
        <v>30.62556</v>
      </c>
      <c r="H152">
        <f t="shared" si="44"/>
        <v>0.41033865685248339</v>
      </c>
      <c r="I152" s="22">
        <v>89.800000000000011</v>
      </c>
      <c r="J152" s="2">
        <f t="shared" si="45"/>
        <v>0.460749102103643</v>
      </c>
      <c r="K152" s="8">
        <v>0</v>
      </c>
      <c r="L152" s="2">
        <v>0</v>
      </c>
      <c r="M152">
        <v>8318</v>
      </c>
      <c r="N152">
        <f t="shared" si="46"/>
        <v>3.8225149394614695E-2</v>
      </c>
      <c r="O152" s="8">
        <v>0.95089819600000003</v>
      </c>
      <c r="P152">
        <f t="shared" si="47"/>
        <v>0.95174772925371554</v>
      </c>
      <c r="Q152" s="20">
        <v>0.44490000000000002</v>
      </c>
      <c r="R152" s="10">
        <f t="shared" si="48"/>
        <v>0.96340407102641845</v>
      </c>
      <c r="S152">
        <f t="shared" si="49"/>
        <v>0.27804421496113546</v>
      </c>
      <c r="T152" s="11">
        <f t="shared" si="50"/>
        <v>0.51039242897761139</v>
      </c>
      <c r="U152" t="str">
        <f t="shared" si="51"/>
        <v>Moderate</v>
      </c>
      <c r="V152">
        <f t="shared" si="52"/>
        <v>0.27973649773320386</v>
      </c>
      <c r="W152">
        <f t="shared" si="53"/>
        <v>0.36846535161716626</v>
      </c>
      <c r="X152" t="str">
        <f t="shared" si="54"/>
        <v>Moderate</v>
      </c>
      <c r="Y152">
        <f t="shared" si="55"/>
        <v>0.27635193218906701</v>
      </c>
      <c r="Z152">
        <f t="shared" si="56"/>
        <v>0.50518964022544177</v>
      </c>
      <c r="AA152" t="str">
        <f t="shared" si="57"/>
        <v>Moderate</v>
      </c>
      <c r="AB152">
        <f t="shared" si="58"/>
        <v>0.18469805749756524</v>
      </c>
      <c r="AC152">
        <f t="shared" si="59"/>
        <v>0.44975348968130158</v>
      </c>
      <c r="AD152" t="str">
        <f t="shared" si="60"/>
        <v>Moderate</v>
      </c>
      <c r="AE152">
        <f t="shared" si="61"/>
        <v>1.1099153240639347E-2</v>
      </c>
      <c r="AF152">
        <f t="shared" si="62"/>
        <v>6.0727353190127731E-2</v>
      </c>
      <c r="AG152" t="s">
        <v>1176</v>
      </c>
    </row>
    <row r="153" spans="1:33" customFormat="1" x14ac:dyDescent="0.3">
      <c r="A153">
        <v>208447</v>
      </c>
      <c r="B153" t="s">
        <v>227</v>
      </c>
      <c r="C153" t="s">
        <v>689</v>
      </c>
      <c r="D153" t="s">
        <v>693</v>
      </c>
      <c r="E153" s="18">
        <v>5</v>
      </c>
      <c r="F153" s="2">
        <f t="shared" si="43"/>
        <v>0.39999999999999997</v>
      </c>
      <c r="G153" s="10">
        <v>29.41704</v>
      </c>
      <c r="H153">
        <f t="shared" si="44"/>
        <v>0.39414621911161063</v>
      </c>
      <c r="I153" s="22">
        <v>93.2</v>
      </c>
      <c r="J153" s="2">
        <f t="shared" si="45"/>
        <v>0.478193945613135</v>
      </c>
      <c r="K153" s="8">
        <v>0</v>
      </c>
      <c r="L153" s="2">
        <v>0</v>
      </c>
      <c r="M153">
        <v>1297</v>
      </c>
      <c r="N153">
        <f t="shared" si="46"/>
        <v>5.0058433048028655E-3</v>
      </c>
      <c r="O153" s="8">
        <v>0.93619544099999996</v>
      </c>
      <c r="P153">
        <f t="shared" si="47"/>
        <v>0.93555574977884903</v>
      </c>
      <c r="Q153" s="20">
        <v>0.4556</v>
      </c>
      <c r="R153" s="10">
        <f t="shared" si="48"/>
        <v>0.98657427457773927</v>
      </c>
      <c r="S153">
        <f t="shared" si="49"/>
        <v>0.16767512220696057</v>
      </c>
      <c r="T153" s="11">
        <f t="shared" si="50"/>
        <v>0.30779317927650707</v>
      </c>
      <c r="U153" t="str">
        <f t="shared" si="51"/>
        <v>Moderate</v>
      </c>
      <c r="V153">
        <f t="shared" si="52"/>
        <v>0.1721256730396683</v>
      </c>
      <c r="W153">
        <f t="shared" si="53"/>
        <v>0.22672174404425147</v>
      </c>
      <c r="X153" t="s">
        <v>1175</v>
      </c>
      <c r="Y153">
        <f t="shared" si="55"/>
        <v>0.16322457137425281</v>
      </c>
      <c r="Z153">
        <f t="shared" si="56"/>
        <v>0.29838533002221207</v>
      </c>
      <c r="AA153" t="str">
        <f t="shared" si="57"/>
        <v>Low</v>
      </c>
      <c r="AB153">
        <f t="shared" si="58"/>
        <v>0.10951703284827659</v>
      </c>
      <c r="AC153">
        <f t="shared" si="59"/>
        <v>0.2666821100904293</v>
      </c>
      <c r="AD153" t="str">
        <f t="shared" si="60"/>
        <v>Low</v>
      </c>
      <c r="AE153">
        <f t="shared" si="61"/>
        <v>8.7335963461959915E-4</v>
      </c>
      <c r="AF153">
        <f t="shared" si="62"/>
        <v>4.7784563239790185E-3</v>
      </c>
      <c r="AG153" t="s">
        <v>1176</v>
      </c>
    </row>
    <row r="154" spans="1:33" customFormat="1" x14ac:dyDescent="0.3">
      <c r="A154">
        <v>208458</v>
      </c>
      <c r="B154" t="s">
        <v>301</v>
      </c>
      <c r="C154" t="s">
        <v>689</v>
      </c>
      <c r="D154" t="s">
        <v>694</v>
      </c>
      <c r="E154" s="18">
        <v>6.3</v>
      </c>
      <c r="F154" s="2">
        <f t="shared" si="43"/>
        <v>0.68888888888888877</v>
      </c>
      <c r="G154" s="10">
        <v>29.74464</v>
      </c>
      <c r="H154">
        <f t="shared" si="44"/>
        <v>0.39853559008098632</v>
      </c>
      <c r="I154" s="22">
        <v>89.6</v>
      </c>
      <c r="J154" s="2">
        <f t="shared" si="45"/>
        <v>0.45972293483837867</v>
      </c>
      <c r="K154" s="8">
        <v>0</v>
      </c>
      <c r="L154" s="2">
        <v>0</v>
      </c>
      <c r="M154">
        <v>5825</v>
      </c>
      <c r="N154">
        <f t="shared" si="46"/>
        <v>2.6429717108344807E-2</v>
      </c>
      <c r="O154" s="8">
        <v>0.89196034499999999</v>
      </c>
      <c r="P154">
        <f t="shared" si="47"/>
        <v>0.88684013379390281</v>
      </c>
      <c r="Q154" s="20">
        <v>0.42820000000000003</v>
      </c>
      <c r="R154" s="10">
        <f t="shared" si="48"/>
        <v>0.92724122996968394</v>
      </c>
      <c r="S154">
        <f t="shared" si="49"/>
        <v>0.26814152586539342</v>
      </c>
      <c r="T154" s="11">
        <f t="shared" si="50"/>
        <v>0.49221453758831435</v>
      </c>
      <c r="U154" t="str">
        <f t="shared" si="51"/>
        <v>Moderate</v>
      </c>
      <c r="V154">
        <f t="shared" si="52"/>
        <v>0.27411325998471281</v>
      </c>
      <c r="W154">
        <f t="shared" si="53"/>
        <v>0.36105849448191751</v>
      </c>
      <c r="X154" t="str">
        <f t="shared" si="54"/>
        <v>Moderate</v>
      </c>
      <c r="Y154">
        <f t="shared" si="55"/>
        <v>0.26216979174607402</v>
      </c>
      <c r="Z154">
        <f t="shared" si="56"/>
        <v>0.479263747935604</v>
      </c>
      <c r="AA154" t="str">
        <f t="shared" si="57"/>
        <v>Moderate</v>
      </c>
      <c r="AB154">
        <f t="shared" si="58"/>
        <v>0.17732520408192692</v>
      </c>
      <c r="AC154">
        <f t="shared" si="59"/>
        <v>0.43180004394657451</v>
      </c>
      <c r="AD154" t="str">
        <f t="shared" si="60"/>
        <v>Moderate</v>
      </c>
      <c r="AE154">
        <f t="shared" si="61"/>
        <v>7.8132158955863066E-3</v>
      </c>
      <c r="AF154">
        <f t="shared" si="62"/>
        <v>4.2748839569554262E-2</v>
      </c>
      <c r="AG154" t="s">
        <v>1176</v>
      </c>
    </row>
    <row r="155" spans="1:33" customFormat="1" x14ac:dyDescent="0.3">
      <c r="A155">
        <v>208475</v>
      </c>
      <c r="B155" t="s">
        <v>368</v>
      </c>
      <c r="C155" t="s">
        <v>689</v>
      </c>
      <c r="D155" t="s">
        <v>695</v>
      </c>
      <c r="E155" s="18">
        <v>6.2</v>
      </c>
      <c r="F155" s="2">
        <f t="shared" si="43"/>
        <v>0.66666666666666663</v>
      </c>
      <c r="G155" s="10">
        <v>29.74464</v>
      </c>
      <c r="H155">
        <f t="shared" si="44"/>
        <v>0.39853559008098632</v>
      </c>
      <c r="I155" s="22">
        <v>105.6</v>
      </c>
      <c r="J155" s="2">
        <f t="shared" si="45"/>
        <v>0.54181631605951774</v>
      </c>
      <c r="K155" s="8">
        <v>0</v>
      </c>
      <c r="L155" s="2">
        <v>0</v>
      </c>
      <c r="M155">
        <v>3524</v>
      </c>
      <c r="N155">
        <f t="shared" si="46"/>
        <v>1.5542717633532526E-2</v>
      </c>
      <c r="O155" s="8">
        <v>0.82959499699999995</v>
      </c>
      <c r="P155">
        <f t="shared" si="47"/>
        <v>0.81815787426098507</v>
      </c>
      <c r="Q155" s="20">
        <v>0.43430000000000002</v>
      </c>
      <c r="R155" s="10">
        <f t="shared" si="48"/>
        <v>0.94045041143352104</v>
      </c>
      <c r="S155">
        <f t="shared" si="49"/>
        <v>0.27561844226788551</v>
      </c>
      <c r="T155" s="11">
        <f t="shared" si="50"/>
        <v>0.5059395543971118</v>
      </c>
      <c r="U155" t="str">
        <f t="shared" si="51"/>
        <v>Moderate</v>
      </c>
      <c r="V155">
        <f t="shared" si="52"/>
        <v>0.2947847790073776</v>
      </c>
      <c r="W155">
        <f t="shared" si="53"/>
        <v>0.38828675603115415</v>
      </c>
      <c r="X155" t="str">
        <f t="shared" si="54"/>
        <v>Moderate</v>
      </c>
      <c r="Y155">
        <f t="shared" si="55"/>
        <v>0.25645210552839343</v>
      </c>
      <c r="Z155">
        <f t="shared" si="56"/>
        <v>0.46881143873569642</v>
      </c>
      <c r="AA155" t="str">
        <f t="shared" si="57"/>
        <v>Moderate</v>
      </c>
      <c r="AB155">
        <f t="shared" si="58"/>
        <v>0.18181546046231803</v>
      </c>
      <c r="AC155">
        <f t="shared" si="59"/>
        <v>0.4427341517764376</v>
      </c>
      <c r="AD155" t="str">
        <f t="shared" si="60"/>
        <v>Moderate</v>
      </c>
      <c r="AE155">
        <f t="shared" si="61"/>
        <v>4.8718747177653125E-3</v>
      </c>
      <c r="AF155">
        <f t="shared" si="62"/>
        <v>2.6655732222933586E-2</v>
      </c>
      <c r="AG155" t="s">
        <v>1176</v>
      </c>
    </row>
    <row r="156" spans="1:33" customFormat="1" x14ac:dyDescent="0.3">
      <c r="A156">
        <v>208478</v>
      </c>
      <c r="B156" t="s">
        <v>422</v>
      </c>
      <c r="C156" t="s">
        <v>689</v>
      </c>
      <c r="D156" t="s">
        <v>696</v>
      </c>
      <c r="E156" s="18">
        <v>6.3</v>
      </c>
      <c r="F156" s="2">
        <f t="shared" si="43"/>
        <v>0.68888888888888877</v>
      </c>
      <c r="G156" s="10">
        <v>33.327719999999999</v>
      </c>
      <c r="H156">
        <f t="shared" si="44"/>
        <v>0.44654373212296028</v>
      </c>
      <c r="I156" s="22">
        <v>89.600000000000009</v>
      </c>
      <c r="J156" s="2">
        <f t="shared" si="45"/>
        <v>0.45972293483837873</v>
      </c>
      <c r="K156" s="8">
        <v>0</v>
      </c>
      <c r="L156" s="2">
        <v>0</v>
      </c>
      <c r="M156">
        <v>5481</v>
      </c>
      <c r="N156">
        <f t="shared" si="46"/>
        <v>2.4802108321149926E-2</v>
      </c>
      <c r="O156" s="8">
        <v>0.93875404299999998</v>
      </c>
      <c r="P156">
        <f t="shared" si="47"/>
        <v>0.93837350951628273</v>
      </c>
      <c r="Q156" s="20">
        <v>0.44359999999999999</v>
      </c>
      <c r="R156" s="10">
        <f t="shared" si="48"/>
        <v>0.96058899956691213</v>
      </c>
      <c r="S156">
        <f t="shared" si="49"/>
        <v>0.29638866187518009</v>
      </c>
      <c r="T156" s="11">
        <f t="shared" si="50"/>
        <v>0.54406645028396661</v>
      </c>
      <c r="U156" t="str">
        <f t="shared" si="51"/>
        <v>Moderate</v>
      </c>
      <c r="V156">
        <f t="shared" si="52"/>
        <v>0.29985603910749115</v>
      </c>
      <c r="W156">
        <f t="shared" si="53"/>
        <v>0.39496655523888069</v>
      </c>
      <c r="X156" t="str">
        <f t="shared" si="54"/>
        <v>Moderate</v>
      </c>
      <c r="Y156">
        <f t="shared" si="55"/>
        <v>0.29292128464286898</v>
      </c>
      <c r="Z156">
        <f t="shared" si="56"/>
        <v>0.53547951422269668</v>
      </c>
      <c r="AA156" t="str">
        <f t="shared" si="57"/>
        <v>Moderate</v>
      </c>
      <c r="AB156">
        <f t="shared" si="58"/>
        <v>0.19553576536774675</v>
      </c>
      <c r="AC156">
        <f t="shared" si="59"/>
        <v>0.47614411338791474</v>
      </c>
      <c r="AD156" t="str">
        <f t="shared" si="60"/>
        <v>Moderate</v>
      </c>
      <c r="AE156">
        <f t="shared" si="61"/>
        <v>7.7421893921833509E-3</v>
      </c>
      <c r="AF156">
        <f t="shared" si="62"/>
        <v>4.2360228703076791E-2</v>
      </c>
      <c r="AG156" t="s">
        <v>1176</v>
      </c>
    </row>
    <row r="157" spans="1:33" customFormat="1" x14ac:dyDescent="0.3">
      <c r="A157">
        <v>208487</v>
      </c>
      <c r="B157" t="s">
        <v>434</v>
      </c>
      <c r="C157" t="s">
        <v>689</v>
      </c>
      <c r="D157" t="s">
        <v>697</v>
      </c>
      <c r="E157" s="18">
        <v>6.2</v>
      </c>
      <c r="F157" s="2">
        <f t="shared" si="43"/>
        <v>0.66666666666666663</v>
      </c>
      <c r="G157" s="10">
        <v>30.815279999999998</v>
      </c>
      <c r="H157">
        <f t="shared" si="44"/>
        <v>0.41288063322705587</v>
      </c>
      <c r="I157" s="22">
        <v>92.899999999999991</v>
      </c>
      <c r="J157" s="2">
        <f t="shared" si="45"/>
        <v>0.47665469471523858</v>
      </c>
      <c r="K157" s="8">
        <v>0</v>
      </c>
      <c r="L157" s="2">
        <v>0</v>
      </c>
      <c r="M157">
        <v>13916</v>
      </c>
      <c r="N157">
        <f t="shared" si="46"/>
        <v>6.4711643553675605E-2</v>
      </c>
      <c r="O157" s="8">
        <v>0.89341966500000003</v>
      </c>
      <c r="P157">
        <f t="shared" si="47"/>
        <v>0.88844726657189332</v>
      </c>
      <c r="Q157" s="20">
        <v>0.44450000000000001</v>
      </c>
      <c r="R157" s="10">
        <f t="shared" si="48"/>
        <v>0.96253789519272415</v>
      </c>
      <c r="S157">
        <f t="shared" si="49"/>
        <v>0.27441944881443492</v>
      </c>
      <c r="T157" s="11">
        <f t="shared" si="50"/>
        <v>0.50373861962448785</v>
      </c>
      <c r="U157" t="str">
        <f t="shared" si="51"/>
        <v>Moderate</v>
      </c>
      <c r="V157">
        <f t="shared" si="52"/>
        <v>0.28540382075238185</v>
      </c>
      <c r="W157">
        <f t="shared" si="53"/>
        <v>0.3759302773094193</v>
      </c>
      <c r="X157" t="str">
        <f t="shared" si="54"/>
        <v>Moderate</v>
      </c>
      <c r="Y157">
        <f t="shared" si="55"/>
        <v>0.26343507687648804</v>
      </c>
      <c r="Z157">
        <f t="shared" si="56"/>
        <v>0.48157677297853785</v>
      </c>
      <c r="AA157" t="str">
        <f t="shared" si="57"/>
        <v>Moderate</v>
      </c>
      <c r="AB157">
        <f t="shared" si="58"/>
        <v>0.18563757785113713</v>
      </c>
      <c r="AC157">
        <f t="shared" si="59"/>
        <v>0.45204129153136241</v>
      </c>
      <c r="AD157" t="str">
        <f t="shared" si="60"/>
        <v>Moderate</v>
      </c>
      <c r="AE157">
        <f t="shared" si="61"/>
        <v>1.9187764356734562E-2</v>
      </c>
      <c r="AF157">
        <f t="shared" si="62"/>
        <v>0.1049829764268795</v>
      </c>
      <c r="AG157" t="s">
        <v>1176</v>
      </c>
    </row>
    <row r="158" spans="1:33" customFormat="1" x14ac:dyDescent="0.3">
      <c r="A158">
        <v>302602</v>
      </c>
      <c r="B158" t="s">
        <v>1</v>
      </c>
      <c r="C158" t="s">
        <v>699</v>
      </c>
      <c r="D158" t="s">
        <v>698</v>
      </c>
      <c r="E158" s="18">
        <v>5.8</v>
      </c>
      <c r="F158" s="2">
        <f t="shared" si="43"/>
        <v>0.57777777777777772</v>
      </c>
      <c r="G158" s="10">
        <v>19.115280000000002</v>
      </c>
      <c r="H158">
        <f t="shared" si="44"/>
        <v>0.25611738432078107</v>
      </c>
      <c r="I158" s="22">
        <v>9.9999999999999992E-2</v>
      </c>
      <c r="J158" s="2">
        <f t="shared" si="45"/>
        <v>5.1308363263211901E-4</v>
      </c>
      <c r="K158" s="8">
        <v>0</v>
      </c>
      <c r="L158" s="2">
        <v>0</v>
      </c>
      <c r="M158">
        <v>1837</v>
      </c>
      <c r="N158">
        <f t="shared" si="46"/>
        <v>7.5608105870273905E-3</v>
      </c>
      <c r="O158" s="8">
        <v>0.79969991200000001</v>
      </c>
      <c r="P158">
        <f t="shared" si="47"/>
        <v>0.7852347518448537</v>
      </c>
      <c r="Q158" s="20">
        <v>5.7500000000000002E-2</v>
      </c>
      <c r="R158" s="10">
        <f t="shared" si="48"/>
        <v>0.124512776093547</v>
      </c>
      <c r="S158">
        <f t="shared" si="49"/>
        <v>3.3723290439842263E-2</v>
      </c>
      <c r="T158" s="11">
        <f t="shared" si="50"/>
        <v>6.1904226718453519E-2</v>
      </c>
      <c r="U158" t="str">
        <f t="shared" si="51"/>
        <v>No Impact</v>
      </c>
      <c r="V158">
        <f t="shared" si="52"/>
        <v>9.231089687463374E-3</v>
      </c>
      <c r="W158">
        <f t="shared" si="53"/>
        <v>1.2159073753560692E-2</v>
      </c>
      <c r="X158" t="s">
        <v>1176</v>
      </c>
      <c r="Y158">
        <f t="shared" si="55"/>
        <v>5.8215491192221164E-2</v>
      </c>
      <c r="Z158">
        <f t="shared" si="56"/>
        <v>0.10642177464793241</v>
      </c>
      <c r="AA158" t="str">
        <f t="shared" si="57"/>
        <v>No Impact</v>
      </c>
      <c r="AB158">
        <f t="shared" si="58"/>
        <v>2.0891718111249742E-2</v>
      </c>
      <c r="AC158">
        <f t="shared" si="59"/>
        <v>5.0872885471989794E-2</v>
      </c>
      <c r="AD158" t="str">
        <f t="shared" si="60"/>
        <v>No Impact</v>
      </c>
      <c r="AE158">
        <f t="shared" si="61"/>
        <v>5.6054103706061056E-4</v>
      </c>
      <c r="AF158">
        <f t="shared" si="62"/>
        <v>3.0669162590262022E-3</v>
      </c>
      <c r="AG158" t="s">
        <v>1176</v>
      </c>
    </row>
    <row r="159" spans="1:33" customFormat="1" x14ac:dyDescent="0.3">
      <c r="A159">
        <v>302604</v>
      </c>
      <c r="B159" t="s">
        <v>23</v>
      </c>
      <c r="C159" t="s">
        <v>699</v>
      </c>
      <c r="D159" t="s">
        <v>700</v>
      </c>
      <c r="E159" s="18">
        <v>5.8</v>
      </c>
      <c r="F159" s="2">
        <f t="shared" si="43"/>
        <v>0.57777777777777772</v>
      </c>
      <c r="G159" s="10">
        <v>18.477720000000001</v>
      </c>
      <c r="H159">
        <f t="shared" si="44"/>
        <v>0.2475749931265345</v>
      </c>
      <c r="I159" s="22">
        <v>0.10000000000000005</v>
      </c>
      <c r="J159" s="2">
        <f t="shared" si="45"/>
        <v>5.1308363263211933E-4</v>
      </c>
      <c r="K159" s="8">
        <v>0</v>
      </c>
      <c r="L159" s="2">
        <v>0</v>
      </c>
      <c r="M159">
        <v>22100</v>
      </c>
      <c r="N159">
        <f t="shared" si="46"/>
        <v>0.10343359214205618</v>
      </c>
      <c r="O159" s="8">
        <v>0.70643578500000004</v>
      </c>
      <c r="P159">
        <f t="shared" si="47"/>
        <v>0.68252401293059306</v>
      </c>
      <c r="Q159" s="20">
        <v>0.15720000000000001</v>
      </c>
      <c r="R159" s="10">
        <f t="shared" si="48"/>
        <v>0.34040710264183632</v>
      </c>
      <c r="S159">
        <f t="shared" si="49"/>
        <v>3.6656679672812734E-2</v>
      </c>
      <c r="T159" s="11">
        <f t="shared" si="50"/>
        <v>6.7288908633025432E-2</v>
      </c>
      <c r="U159" t="str">
        <f t="shared" si="51"/>
        <v>No Impact</v>
      </c>
      <c r="V159">
        <f t="shared" si="52"/>
        <v>2.4396939207210089E-2</v>
      </c>
      <c r="W159">
        <f t="shared" si="53"/>
        <v>3.2135337563069369E-2</v>
      </c>
      <c r="X159" t="s">
        <v>1176</v>
      </c>
      <c r="Y159">
        <f t="shared" si="55"/>
        <v>4.8916420138415372E-2</v>
      </c>
      <c r="Z159">
        <f t="shared" si="56"/>
        <v>8.9422456702549058E-2</v>
      </c>
      <c r="AA159" t="str">
        <f t="shared" si="57"/>
        <v>No Impact</v>
      </c>
      <c r="AB159">
        <f t="shared" si="58"/>
        <v>2.580843068200386E-2</v>
      </c>
      <c r="AC159">
        <f t="shared" si="59"/>
        <v>6.2845445803252284E-2</v>
      </c>
      <c r="AD159" t="str">
        <f t="shared" si="60"/>
        <v>No Impact</v>
      </c>
      <c r="AE159">
        <f t="shared" si="61"/>
        <v>7.4130740513020429E-3</v>
      </c>
      <c r="AF159">
        <f t="shared" si="62"/>
        <v>4.0559523449922072E-2</v>
      </c>
      <c r="AG159" t="s">
        <v>1176</v>
      </c>
    </row>
    <row r="160" spans="1:33" customFormat="1" x14ac:dyDescent="0.3">
      <c r="A160">
        <v>302605</v>
      </c>
      <c r="B160" t="s">
        <v>43</v>
      </c>
      <c r="C160" t="s">
        <v>699</v>
      </c>
      <c r="D160" t="s">
        <v>701</v>
      </c>
      <c r="E160" s="18">
        <v>5.8</v>
      </c>
      <c r="F160" s="2">
        <f t="shared" si="43"/>
        <v>0.57777777777777772</v>
      </c>
      <c r="G160" s="10">
        <v>18.157679999999999</v>
      </c>
      <c r="H160">
        <f t="shared" si="44"/>
        <v>0.24328691533337513</v>
      </c>
      <c r="I160" s="22">
        <v>0.19999999999999998</v>
      </c>
      <c r="J160" s="2">
        <f t="shared" si="45"/>
        <v>1.026167265264238E-3</v>
      </c>
      <c r="K160" s="8">
        <v>0</v>
      </c>
      <c r="L160" s="2">
        <v>0</v>
      </c>
      <c r="M160">
        <v>763</v>
      </c>
      <c r="N160">
        <f t="shared" si="46"/>
        <v>2.4792645479363908E-3</v>
      </c>
      <c r="O160" s="8">
        <v>0.59461408699999996</v>
      </c>
      <c r="P160">
        <f t="shared" si="47"/>
        <v>0.55937602883776705</v>
      </c>
      <c r="Q160" s="20">
        <v>0</v>
      </c>
      <c r="R160" s="10">
        <f t="shared" si="48"/>
        <v>0</v>
      </c>
      <c r="S160">
        <f t="shared" si="49"/>
        <v>1.9740194057586924E-2</v>
      </c>
      <c r="T160" s="11">
        <f t="shared" si="50"/>
        <v>3.623612739056449E-2</v>
      </c>
      <c r="U160" t="str">
        <f t="shared" si="51"/>
        <v>No Impact</v>
      </c>
      <c r="V160">
        <f t="shared" si="52"/>
        <v>0</v>
      </c>
      <c r="W160">
        <f t="shared" si="53"/>
        <v>0</v>
      </c>
      <c r="X160" t="s">
        <v>1176</v>
      </c>
      <c r="Y160">
        <f t="shared" si="55"/>
        <v>3.9480388115173848E-2</v>
      </c>
      <c r="Z160">
        <f t="shared" si="56"/>
        <v>7.2172765031438241E-2</v>
      </c>
      <c r="AA160" t="str">
        <f t="shared" si="57"/>
        <v>No Impact</v>
      </c>
      <c r="AB160">
        <f t="shared" si="58"/>
        <v>1.1905361129607522E-2</v>
      </c>
      <c r="AC160">
        <f t="shared" si="59"/>
        <v>2.8990438700351197E-2</v>
      </c>
      <c r="AD160" t="str">
        <f t="shared" si="60"/>
        <v>No Impact</v>
      </c>
      <c r="AE160">
        <f t="shared" si="61"/>
        <v>1.7498484301533784E-4</v>
      </c>
      <c r="AF160">
        <f t="shared" si="62"/>
        <v>9.5740333828379172E-4</v>
      </c>
      <c r="AG160" t="s">
        <v>1176</v>
      </c>
    </row>
    <row r="161" spans="1:33" customFormat="1" x14ac:dyDescent="0.3">
      <c r="A161">
        <v>302606</v>
      </c>
      <c r="B161" t="s">
        <v>76</v>
      </c>
      <c r="C161" t="s">
        <v>699</v>
      </c>
      <c r="D161" t="s">
        <v>1125</v>
      </c>
      <c r="E161" s="18">
        <v>5.8</v>
      </c>
      <c r="F161" s="2">
        <f t="shared" si="43"/>
        <v>0.57777777777777772</v>
      </c>
      <c r="G161" s="10">
        <v>18.477720000000001</v>
      </c>
      <c r="H161">
        <f t="shared" si="44"/>
        <v>0.2475749931265345</v>
      </c>
      <c r="I161" s="22">
        <v>0.10000000000000005</v>
      </c>
      <c r="J161" s="2">
        <f t="shared" si="45"/>
        <v>5.1308363263211933E-4</v>
      </c>
      <c r="K161" s="8">
        <v>0</v>
      </c>
      <c r="L161" s="2">
        <v>0</v>
      </c>
      <c r="M161">
        <v>2282</v>
      </c>
      <c r="N161">
        <f t="shared" si="46"/>
        <v>9.6662928844161184E-3</v>
      </c>
      <c r="O161" s="8">
        <v>0.72934481699999998</v>
      </c>
      <c r="P161">
        <f t="shared" si="47"/>
        <v>0.70775347339110262</v>
      </c>
      <c r="Q161" s="20">
        <v>0.18229999999999999</v>
      </c>
      <c r="R161" s="10">
        <f t="shared" si="48"/>
        <v>0.39475963620614984</v>
      </c>
      <c r="S161">
        <f t="shared" si="49"/>
        <v>3.9508496005586202E-2</v>
      </c>
      <c r="T161" s="11">
        <f t="shared" si="50"/>
        <v>7.2523851087360355E-2</v>
      </c>
      <c r="U161" t="str">
        <f t="shared" si="51"/>
        <v>No Impact</v>
      </c>
      <c r="V161">
        <f t="shared" si="52"/>
        <v>2.8292379246020349E-2</v>
      </c>
      <c r="W161">
        <f t="shared" si="53"/>
        <v>3.7266361563279546E-2</v>
      </c>
      <c r="X161" t="s">
        <v>1176</v>
      </c>
      <c r="Y161">
        <f t="shared" si="55"/>
        <v>5.0724612765152048E-2</v>
      </c>
      <c r="Z161">
        <f t="shared" si="56"/>
        <v>9.2727952616123641E-2</v>
      </c>
      <c r="AA161" t="str">
        <f t="shared" si="57"/>
        <v>No Impact</v>
      </c>
      <c r="AB161">
        <f t="shared" si="58"/>
        <v>2.536219031344028E-2</v>
      </c>
      <c r="AC161">
        <f t="shared" si="59"/>
        <v>6.175881735833328E-2</v>
      </c>
      <c r="AD161" t="str">
        <f t="shared" si="60"/>
        <v>No Impact</v>
      </c>
      <c r="AE161">
        <f t="shared" si="61"/>
        <v>6.9278213653584336E-4</v>
      </c>
      <c r="AF161">
        <f t="shared" si="62"/>
        <v>3.7904536118288637E-3</v>
      </c>
      <c r="AG161" t="s">
        <v>1176</v>
      </c>
    </row>
    <row r="162" spans="1:33" customFormat="1" x14ac:dyDescent="0.3">
      <c r="A162">
        <v>302608</v>
      </c>
      <c r="B162" t="s">
        <v>92</v>
      </c>
      <c r="C162" t="s">
        <v>699</v>
      </c>
      <c r="D162" t="s">
        <v>702</v>
      </c>
      <c r="E162" s="18">
        <v>5.8</v>
      </c>
      <c r="F162" s="2">
        <f t="shared" si="43"/>
        <v>0.57777777777777772</v>
      </c>
      <c r="G162" s="10">
        <v>18.477720000000001</v>
      </c>
      <c r="H162">
        <f t="shared" si="44"/>
        <v>0.2475749931265345</v>
      </c>
      <c r="I162" s="22">
        <v>0.10000000000000005</v>
      </c>
      <c r="J162" s="2">
        <f t="shared" si="45"/>
        <v>5.1308363263211933E-4</v>
      </c>
      <c r="K162" s="8">
        <v>0</v>
      </c>
      <c r="L162" s="2">
        <v>0</v>
      </c>
      <c r="M162">
        <v>5168</v>
      </c>
      <c r="N162">
        <f t="shared" si="46"/>
        <v>2.3321173581638301E-2</v>
      </c>
      <c r="O162" s="8">
        <v>0.74978494500000004</v>
      </c>
      <c r="P162">
        <f t="shared" si="47"/>
        <v>0.73026395751735274</v>
      </c>
      <c r="Q162" s="20">
        <v>0.20530000000000001</v>
      </c>
      <c r="R162" s="10">
        <f t="shared" si="48"/>
        <v>0.44456474664356865</v>
      </c>
      <c r="S162">
        <f t="shared" si="49"/>
        <v>4.2099921317530105E-2</v>
      </c>
      <c r="T162" s="11">
        <f t="shared" si="50"/>
        <v>7.7280806234447261E-2</v>
      </c>
      <c r="U162" t="str">
        <f t="shared" si="51"/>
        <v>No Impact</v>
      </c>
      <c r="V162">
        <f t="shared" si="52"/>
        <v>3.1861905974810631E-2</v>
      </c>
      <c r="W162">
        <f t="shared" si="53"/>
        <v>4.1968096702914383E-2</v>
      </c>
      <c r="X162" t="s">
        <v>1176</v>
      </c>
      <c r="Y162">
        <f t="shared" si="55"/>
        <v>5.2337936660249572E-2</v>
      </c>
      <c r="Z162">
        <f t="shared" si="56"/>
        <v>9.5677215578301222E-2</v>
      </c>
      <c r="AA162" t="str">
        <f t="shared" si="57"/>
        <v>No Impact</v>
      </c>
      <c r="AB162">
        <f t="shared" si="58"/>
        <v>2.743804716064616E-2</v>
      </c>
      <c r="AC162">
        <f t="shared" si="59"/>
        <v>6.6813682979331893E-2</v>
      </c>
      <c r="AD162" t="str">
        <f t="shared" si="60"/>
        <v>No Impact</v>
      </c>
      <c r="AE162">
        <f t="shared" si="61"/>
        <v>1.6714259182502066E-3</v>
      </c>
      <c r="AF162">
        <f t="shared" si="62"/>
        <v>9.1449563645151586E-3</v>
      </c>
      <c r="AG162" t="s">
        <v>1176</v>
      </c>
    </row>
    <row r="163" spans="1:33" customFormat="1" x14ac:dyDescent="0.3">
      <c r="A163">
        <v>302609</v>
      </c>
      <c r="B163" t="s">
        <v>93</v>
      </c>
      <c r="C163" t="s">
        <v>699</v>
      </c>
      <c r="D163" t="s">
        <v>1126</v>
      </c>
      <c r="E163" s="18">
        <v>5.8</v>
      </c>
      <c r="F163" s="2">
        <f t="shared" si="43"/>
        <v>0.57777777777777772</v>
      </c>
      <c r="G163" s="10">
        <v>18.157679999999999</v>
      </c>
      <c r="H163">
        <f t="shared" si="44"/>
        <v>0.24328691533337513</v>
      </c>
      <c r="I163" s="22">
        <v>0.19999999999999998</v>
      </c>
      <c r="J163" s="2">
        <f t="shared" si="45"/>
        <v>1.026167265264238E-3</v>
      </c>
      <c r="K163" s="8">
        <v>0</v>
      </c>
      <c r="L163" s="2">
        <v>0</v>
      </c>
      <c r="M163">
        <v>943</v>
      </c>
      <c r="N163">
        <f t="shared" si="46"/>
        <v>3.330920308677899E-3</v>
      </c>
      <c r="O163" s="8">
        <v>0.54199917099999995</v>
      </c>
      <c r="P163">
        <f t="shared" si="47"/>
        <v>0.5014318109042013</v>
      </c>
      <c r="Q163" s="20">
        <v>0</v>
      </c>
      <c r="R163" s="10">
        <f t="shared" si="48"/>
        <v>0</v>
      </c>
      <c r="S163">
        <f t="shared" si="49"/>
        <v>1.769536187394783E-2</v>
      </c>
      <c r="T163" s="11">
        <f t="shared" si="50"/>
        <v>3.2482527031696989E-2</v>
      </c>
      <c r="U163" t="str">
        <f t="shared" si="51"/>
        <v>No Impact</v>
      </c>
      <c r="V163">
        <f t="shared" si="52"/>
        <v>0</v>
      </c>
      <c r="W163">
        <f t="shared" si="53"/>
        <v>0</v>
      </c>
      <c r="X163" t="s">
        <v>1176</v>
      </c>
      <c r="Y163">
        <f t="shared" si="55"/>
        <v>3.5390723747895661E-2</v>
      </c>
      <c r="Z163">
        <f t="shared" si="56"/>
        <v>6.4696587629738081E-2</v>
      </c>
      <c r="AA163" t="str">
        <f t="shared" si="57"/>
        <v>No Impact</v>
      </c>
      <c r="AB163">
        <f t="shared" si="58"/>
        <v>1.0699500073450717E-2</v>
      </c>
      <c r="AC163">
        <f t="shared" si="59"/>
        <v>2.6054077455271763E-2</v>
      </c>
      <c r="AD163" t="str">
        <f t="shared" si="60"/>
        <v>No Impact</v>
      </c>
      <c r="AE163">
        <f t="shared" si="61"/>
        <v>2.3509414023434698E-4</v>
      </c>
      <c r="AF163">
        <f t="shared" si="62"/>
        <v>1.2862823476179185E-3</v>
      </c>
      <c r="AG163" t="s">
        <v>1176</v>
      </c>
    </row>
    <row r="164" spans="1:33" customFormat="1" x14ac:dyDescent="0.3">
      <c r="A164">
        <v>302610</v>
      </c>
      <c r="B164" t="s">
        <v>125</v>
      </c>
      <c r="C164" t="s">
        <v>699</v>
      </c>
      <c r="D164" t="s">
        <v>703</v>
      </c>
      <c r="E164" s="18">
        <v>5.8</v>
      </c>
      <c r="F164" s="2">
        <f t="shared" si="43"/>
        <v>0.57777777777777772</v>
      </c>
      <c r="G164" s="10">
        <v>20.945520000000002</v>
      </c>
      <c r="H164">
        <f t="shared" si="44"/>
        <v>0.28063997993430417</v>
      </c>
      <c r="I164" s="22">
        <v>0.10000000000000005</v>
      </c>
      <c r="J164" s="2">
        <f t="shared" si="45"/>
        <v>5.1308363263211933E-4</v>
      </c>
      <c r="K164" s="8">
        <v>0</v>
      </c>
      <c r="L164" s="2">
        <v>0</v>
      </c>
      <c r="M164">
        <v>9039</v>
      </c>
      <c r="N164">
        <f t="shared" si="46"/>
        <v>4.1636503858473735E-2</v>
      </c>
      <c r="O164" s="8">
        <v>0.87399733599999996</v>
      </c>
      <c r="P164">
        <f t="shared" si="47"/>
        <v>0.86705767308944015</v>
      </c>
      <c r="Q164" s="20">
        <v>0.20499999999999999</v>
      </c>
      <c r="R164" s="10">
        <f t="shared" si="48"/>
        <v>0.44391511476829792</v>
      </c>
      <c r="S164">
        <f t="shared" si="49"/>
        <v>5.3239913358535271E-2</v>
      </c>
      <c r="T164" s="11">
        <f t="shared" si="50"/>
        <v>9.7729955292968892E-2</v>
      </c>
      <c r="U164" t="str">
        <f t="shared" si="51"/>
        <v>No Impact</v>
      </c>
      <c r="V164">
        <f t="shared" si="52"/>
        <v>3.6055671738890578E-2</v>
      </c>
      <c r="W164">
        <f t="shared" si="53"/>
        <v>4.7492071548468955E-2</v>
      </c>
      <c r="X164" t="s">
        <v>1176</v>
      </c>
      <c r="Y164">
        <f t="shared" si="55"/>
        <v>7.0424154978179956E-2</v>
      </c>
      <c r="Z164">
        <f t="shared" si="56"/>
        <v>0.12874002086682354</v>
      </c>
      <c r="AA164" t="str">
        <f t="shared" si="57"/>
        <v>No Impact</v>
      </c>
      <c r="AB164">
        <f t="shared" si="58"/>
        <v>3.4930361586575032E-2</v>
      </c>
      <c r="AC164">
        <f t="shared" si="59"/>
        <v>8.5058025147876304E-2</v>
      </c>
      <c r="AD164" t="str">
        <f t="shared" si="60"/>
        <v>No Impact</v>
      </c>
      <c r="AE164">
        <f t="shared" si="61"/>
        <v>3.3817999557409759E-3</v>
      </c>
      <c r="AF164">
        <f t="shared" si="62"/>
        <v>1.8503011525121599E-2</v>
      </c>
      <c r="AG164" t="s">
        <v>1176</v>
      </c>
    </row>
    <row r="165" spans="1:33" customFormat="1" x14ac:dyDescent="0.3">
      <c r="A165">
        <v>302611</v>
      </c>
      <c r="B165" t="s">
        <v>128</v>
      </c>
      <c r="C165" t="s">
        <v>699</v>
      </c>
      <c r="D165" t="s">
        <v>704</v>
      </c>
      <c r="E165" s="18">
        <v>5.8</v>
      </c>
      <c r="F165" s="2">
        <f t="shared" si="43"/>
        <v>0.57777777777777772</v>
      </c>
      <c r="G165" s="10">
        <v>19.115280000000002</v>
      </c>
      <c r="H165">
        <f t="shared" si="44"/>
        <v>0.25611738432078107</v>
      </c>
      <c r="I165" s="22">
        <v>9.9999999999999992E-2</v>
      </c>
      <c r="J165" s="2">
        <f t="shared" si="45"/>
        <v>5.1308363263211901E-4</v>
      </c>
      <c r="K165" s="8">
        <v>0</v>
      </c>
      <c r="L165" s="2">
        <v>0</v>
      </c>
      <c r="M165">
        <v>3309</v>
      </c>
      <c r="N165">
        <f t="shared" si="46"/>
        <v>1.4525462141535725E-2</v>
      </c>
      <c r="O165" s="8">
        <v>0.58542256299999995</v>
      </c>
      <c r="P165">
        <f t="shared" si="47"/>
        <v>0.54925350636148673</v>
      </c>
      <c r="Q165" s="20">
        <v>9.8299999999999998E-2</v>
      </c>
      <c r="R165" s="10">
        <f t="shared" si="48"/>
        <v>0.21286271113035946</v>
      </c>
      <c r="S165">
        <f t="shared" si="49"/>
        <v>2.8250768220973669E-2</v>
      </c>
      <c r="T165" s="11">
        <f t="shared" si="50"/>
        <v>5.1858580171508781E-2</v>
      </c>
      <c r="U165" t="str">
        <f t="shared" si="51"/>
        <v>No Impact</v>
      </c>
      <c r="V165">
        <f t="shared" si="52"/>
        <v>1.578114984830695E-2</v>
      </c>
      <c r="W165">
        <f t="shared" si="53"/>
        <v>2.0786729564782887E-2</v>
      </c>
      <c r="X165" t="s">
        <v>1176</v>
      </c>
      <c r="Y165">
        <f t="shared" si="55"/>
        <v>4.0720386593640391E-2</v>
      </c>
      <c r="Z165">
        <f t="shared" si="56"/>
        <v>7.4439564399383415E-2</v>
      </c>
      <c r="AA165" t="str">
        <f t="shared" si="57"/>
        <v>No Impact</v>
      </c>
      <c r="AB165">
        <f t="shared" si="58"/>
        <v>1.8116427902046876E-2</v>
      </c>
      <c r="AC165">
        <f t="shared" si="59"/>
        <v>4.4114847659470879E-2</v>
      </c>
      <c r="AD165" t="str">
        <f t="shared" si="60"/>
        <v>No Impact</v>
      </c>
      <c r="AE165">
        <f t="shared" si="61"/>
        <v>1.0768842201352156E-3</v>
      </c>
      <c r="AF165">
        <f t="shared" si="62"/>
        <v>5.8920105852380729E-3</v>
      </c>
      <c r="AG165" t="s">
        <v>1176</v>
      </c>
    </row>
    <row r="166" spans="1:33" customFormat="1" x14ac:dyDescent="0.3">
      <c r="A166">
        <v>302612</v>
      </c>
      <c r="B166" t="s">
        <v>137</v>
      </c>
      <c r="C166" t="s">
        <v>699</v>
      </c>
      <c r="D166" t="s">
        <v>705</v>
      </c>
      <c r="E166" s="18">
        <v>5.8</v>
      </c>
      <c r="F166" s="2">
        <f t="shared" si="43"/>
        <v>0.57777777777777772</v>
      </c>
      <c r="G166" s="10">
        <v>18.477720000000001</v>
      </c>
      <c r="H166">
        <f t="shared" si="44"/>
        <v>0.2475749931265345</v>
      </c>
      <c r="I166" s="22">
        <v>0.39999999999999974</v>
      </c>
      <c r="J166" s="2">
        <f t="shared" si="45"/>
        <v>2.0523345305284752E-3</v>
      </c>
      <c r="K166" s="8">
        <v>0</v>
      </c>
      <c r="L166" s="2">
        <v>0</v>
      </c>
      <c r="M166">
        <v>15140</v>
      </c>
      <c r="N166">
        <f t="shared" si="46"/>
        <v>7.0502902726717859E-2</v>
      </c>
      <c r="O166" s="8">
        <v>0.68918116200000001</v>
      </c>
      <c r="P166">
        <f t="shared" si="47"/>
        <v>0.66352168979710147</v>
      </c>
      <c r="Q166" s="20">
        <v>0.16800000000000001</v>
      </c>
      <c r="R166" s="10">
        <f t="shared" si="48"/>
        <v>0.36379385015158078</v>
      </c>
      <c r="S166">
        <f t="shared" si="49"/>
        <v>3.7042204751927876E-2</v>
      </c>
      <c r="T166" s="11">
        <f t="shared" si="50"/>
        <v>6.7996598528997074E-2</v>
      </c>
      <c r="U166" t="str">
        <f t="shared" si="51"/>
        <v>No Impact</v>
      </c>
      <c r="V166">
        <f t="shared" si="52"/>
        <v>2.6234833915741565E-2</v>
      </c>
      <c r="W166">
        <f t="shared" si="53"/>
        <v>3.4556189062612534E-2</v>
      </c>
      <c r="X166" t="s">
        <v>1176</v>
      </c>
      <c r="Y166">
        <f t="shared" si="55"/>
        <v>4.7849575588114188E-2</v>
      </c>
      <c r="Z166">
        <f t="shared" si="56"/>
        <v>8.7472194186655389E-2</v>
      </c>
      <c r="AA166" t="str">
        <f t="shared" si="57"/>
        <v>No Impact</v>
      </c>
      <c r="AB166">
        <f t="shared" si="58"/>
        <v>2.5316564612694936E-2</v>
      </c>
      <c r="AC166">
        <f t="shared" si="59"/>
        <v>6.164771538786646E-2</v>
      </c>
      <c r="AD166" t="str">
        <f t="shared" si="60"/>
        <v>No Impact</v>
      </c>
      <c r="AE166">
        <f t="shared" si="61"/>
        <v>5.0842859021460818E-3</v>
      </c>
      <c r="AF166">
        <f t="shared" si="62"/>
        <v>2.7817908177779786E-2</v>
      </c>
      <c r="AG166" t="s">
        <v>1176</v>
      </c>
    </row>
    <row r="167" spans="1:33" customFormat="1" x14ac:dyDescent="0.3">
      <c r="A167">
        <v>302614</v>
      </c>
      <c r="B167" t="s">
        <v>141</v>
      </c>
      <c r="C167" t="s">
        <v>699</v>
      </c>
      <c r="D167" t="s">
        <v>706</v>
      </c>
      <c r="E167" s="18">
        <v>5.6</v>
      </c>
      <c r="F167" s="2">
        <f t="shared" si="43"/>
        <v>0.53333333333333321</v>
      </c>
      <c r="G167" s="10">
        <v>23.18112</v>
      </c>
      <c r="H167">
        <f t="shared" si="44"/>
        <v>0.31059381918685697</v>
      </c>
      <c r="I167" s="22">
        <v>0.10000000000000005</v>
      </c>
      <c r="J167" s="2">
        <f t="shared" si="45"/>
        <v>5.1308363263211933E-4</v>
      </c>
      <c r="K167" s="8">
        <v>0</v>
      </c>
      <c r="L167" s="2">
        <v>0</v>
      </c>
      <c r="M167">
        <v>70768</v>
      </c>
      <c r="N167">
        <f t="shared" si="46"/>
        <v>0.33370238416298798</v>
      </c>
      <c r="O167" s="8">
        <v>0.89261666200000001</v>
      </c>
      <c r="P167">
        <f t="shared" si="47"/>
        <v>0.88756292835811934</v>
      </c>
      <c r="Q167" s="20">
        <v>0.26879999999999998</v>
      </c>
      <c r="R167" s="10">
        <f t="shared" si="48"/>
        <v>0.58207016024252922</v>
      </c>
      <c r="S167">
        <f t="shared" si="49"/>
        <v>6.0961733130078334E-2</v>
      </c>
      <c r="T167" s="11">
        <f t="shared" si="50"/>
        <v>0.11190452946951163</v>
      </c>
      <c r="U167" t="str">
        <f t="shared" si="51"/>
        <v>No Impact</v>
      </c>
      <c r="V167">
        <f t="shared" si="52"/>
        <v>4.8289611940452518E-2</v>
      </c>
      <c r="W167">
        <f t="shared" si="53"/>
        <v>6.3606461749818946E-2</v>
      </c>
      <c r="X167" t="s">
        <v>1176</v>
      </c>
      <c r="Y167">
        <f t="shared" si="55"/>
        <v>7.3633854319704151E-2</v>
      </c>
      <c r="Z167">
        <f t="shared" si="56"/>
        <v>0.13460756390418174</v>
      </c>
      <c r="AA167" t="str">
        <f t="shared" si="57"/>
        <v>No Impact</v>
      </c>
      <c r="AB167">
        <f t="shared" si="58"/>
        <v>4.8681117893776091E-2</v>
      </c>
      <c r="AC167">
        <f t="shared" si="59"/>
        <v>0.11854213818464913</v>
      </c>
      <c r="AD167" t="str">
        <f t="shared" si="60"/>
        <v>No Impact</v>
      </c>
      <c r="AE167">
        <f t="shared" si="61"/>
        <v>2.7684564053447065E-2</v>
      </c>
      <c r="AF167">
        <f t="shared" si="62"/>
        <v>0.15147194229490166</v>
      </c>
      <c r="AG167" t="s">
        <v>1175</v>
      </c>
    </row>
    <row r="168" spans="1:33" customFormat="1" x14ac:dyDescent="0.3">
      <c r="A168">
        <v>302616</v>
      </c>
      <c r="B168" t="s">
        <v>143</v>
      </c>
      <c r="C168" t="s">
        <v>699</v>
      </c>
      <c r="D168" t="s">
        <v>707</v>
      </c>
      <c r="E168" s="18">
        <v>5.8</v>
      </c>
      <c r="F168" s="2">
        <f t="shared" si="43"/>
        <v>0.57777777777777772</v>
      </c>
      <c r="G168" s="10">
        <v>19.289160000000003</v>
      </c>
      <c r="H168">
        <f t="shared" si="44"/>
        <v>0.25844712737375741</v>
      </c>
      <c r="I168" s="22">
        <v>0.10000000000000005</v>
      </c>
      <c r="J168" s="2">
        <f t="shared" si="45"/>
        <v>5.1308363263211933E-4</v>
      </c>
      <c r="K168" s="8">
        <v>0</v>
      </c>
      <c r="L168" s="2">
        <v>0</v>
      </c>
      <c r="M168">
        <v>1742</v>
      </c>
      <c r="N168">
        <f t="shared" si="46"/>
        <v>7.1113256021915943E-3</v>
      </c>
      <c r="O168" s="8">
        <v>0.68543173899999998</v>
      </c>
      <c r="P168">
        <f t="shared" si="47"/>
        <v>0.65939249222436136</v>
      </c>
      <c r="Q168" s="20">
        <v>0</v>
      </c>
      <c r="R168" s="10">
        <f t="shared" si="48"/>
        <v>0</v>
      </c>
      <c r="S168">
        <f t="shared" si="49"/>
        <v>2.4664816066576063E-2</v>
      </c>
      <c r="T168" s="11">
        <f t="shared" si="50"/>
        <v>4.5276019802337565E-2</v>
      </c>
      <c r="U168" t="str">
        <f t="shared" si="51"/>
        <v>No Impact</v>
      </c>
      <c r="V168">
        <f t="shared" si="52"/>
        <v>0</v>
      </c>
      <c r="W168">
        <f t="shared" si="53"/>
        <v>0</v>
      </c>
      <c r="X168" t="s">
        <v>1176</v>
      </c>
      <c r="Y168">
        <f t="shared" si="55"/>
        <v>4.9329632133152126E-2</v>
      </c>
      <c r="Z168">
        <f t="shared" si="56"/>
        <v>9.0177835604025605E-2</v>
      </c>
      <c r="AA168" t="str">
        <f t="shared" si="57"/>
        <v>No Impact</v>
      </c>
      <c r="AB168">
        <f t="shared" si="58"/>
        <v>1.4985090844880705E-2</v>
      </c>
      <c r="AC168">
        <f t="shared" si="59"/>
        <v>3.6489809324417311E-2</v>
      </c>
      <c r="AD168" t="str">
        <f t="shared" si="60"/>
        <v>No Impact</v>
      </c>
      <c r="AE168">
        <f t="shared" si="61"/>
        <v>5.3200344267161732E-4</v>
      </c>
      <c r="AF168">
        <f t="shared" si="62"/>
        <v>2.9107770891198342E-3</v>
      </c>
      <c r="AG168" t="s">
        <v>1176</v>
      </c>
    </row>
    <row r="169" spans="1:33" customFormat="1" x14ac:dyDescent="0.3">
      <c r="A169">
        <v>302618</v>
      </c>
      <c r="B169" t="s">
        <v>152</v>
      </c>
      <c r="C169" t="s">
        <v>699</v>
      </c>
      <c r="D169" t="s">
        <v>708</v>
      </c>
      <c r="E169" s="18">
        <v>5.8</v>
      </c>
      <c r="F169" s="2">
        <f t="shared" si="43"/>
        <v>0.57777777777777772</v>
      </c>
      <c r="G169" s="10">
        <v>21.684239999999999</v>
      </c>
      <c r="H169">
        <f t="shared" si="44"/>
        <v>0.29053777029601724</v>
      </c>
      <c r="I169" s="22">
        <v>3.0999999999999996</v>
      </c>
      <c r="J169" s="2">
        <f t="shared" si="45"/>
        <v>1.590559261159569E-2</v>
      </c>
      <c r="K169" s="8">
        <v>0</v>
      </c>
      <c r="L169" s="2">
        <v>0</v>
      </c>
      <c r="M169">
        <v>27219</v>
      </c>
      <c r="N169">
        <f t="shared" si="46"/>
        <v>0.12765373569336608</v>
      </c>
      <c r="O169" s="8">
        <v>0.71492299500000001</v>
      </c>
      <c r="P169">
        <f t="shared" si="47"/>
        <v>0.69187088228391369</v>
      </c>
      <c r="Q169" s="20">
        <v>0.26579999999999998</v>
      </c>
      <c r="R169" s="10">
        <f t="shared" si="48"/>
        <v>0.57557384148982238</v>
      </c>
      <c r="S169">
        <f t="shared" si="49"/>
        <v>5.6102225609839386E-2</v>
      </c>
      <c r="T169" s="11">
        <f t="shared" si="50"/>
        <v>0.10298416460151244</v>
      </c>
      <c r="U169" t="str">
        <f t="shared" si="51"/>
        <v>No Impact</v>
      </c>
      <c r="V169">
        <f t="shared" si="52"/>
        <v>5.0954448592029515E-2</v>
      </c>
      <c r="W169">
        <f t="shared" si="53"/>
        <v>6.7116550643410905E-2</v>
      </c>
      <c r="X169" t="s">
        <v>1176</v>
      </c>
      <c r="Y169">
        <f t="shared" si="55"/>
        <v>6.1250002627649243E-2</v>
      </c>
      <c r="Z169">
        <f t="shared" si="56"/>
        <v>0.11196906258683161</v>
      </c>
      <c r="AA169" t="str">
        <f t="shared" si="57"/>
        <v>No Impact</v>
      </c>
      <c r="AB169">
        <f t="shared" si="58"/>
        <v>4.0164386956479677E-2</v>
      </c>
      <c r="AC169">
        <f t="shared" si="59"/>
        <v>9.7803265715585633E-2</v>
      </c>
      <c r="AD169" t="str">
        <f t="shared" si="60"/>
        <v>No Impact</v>
      </c>
      <c r="AE169">
        <f t="shared" si="61"/>
        <v>1.1300940459927352E-2</v>
      </c>
      <c r="AF169">
        <f t="shared" si="62"/>
        <v>6.1831401712504064E-2</v>
      </c>
      <c r="AG169" t="s">
        <v>1176</v>
      </c>
    </row>
    <row r="170" spans="1:33" customFormat="1" x14ac:dyDescent="0.3">
      <c r="A170">
        <v>302624</v>
      </c>
      <c r="B170" t="s">
        <v>180</v>
      </c>
      <c r="C170" t="s">
        <v>699</v>
      </c>
      <c r="D170" t="s">
        <v>709</v>
      </c>
      <c r="E170" s="18">
        <v>5.7</v>
      </c>
      <c r="F170" s="2">
        <f t="shared" si="43"/>
        <v>0.55555555555555558</v>
      </c>
      <c r="G170" s="10">
        <v>18.157679999999999</v>
      </c>
      <c r="H170">
        <f t="shared" si="44"/>
        <v>0.24328691533337513</v>
      </c>
      <c r="I170" s="22">
        <v>0.19999999999999998</v>
      </c>
      <c r="J170" s="2">
        <f t="shared" si="45"/>
        <v>1.026167265264238E-3</v>
      </c>
      <c r="K170" s="8">
        <v>0</v>
      </c>
      <c r="L170" s="2">
        <v>0</v>
      </c>
      <c r="M170">
        <v>1598</v>
      </c>
      <c r="N170">
        <f t="shared" si="46"/>
        <v>6.4300009935983875E-3</v>
      </c>
      <c r="O170" s="8">
        <v>0.68262042700000003</v>
      </c>
      <c r="P170">
        <f t="shared" si="47"/>
        <v>0.65629642579317582</v>
      </c>
      <c r="Q170" s="20">
        <v>0</v>
      </c>
      <c r="R170" s="10">
        <f t="shared" si="48"/>
        <v>0</v>
      </c>
      <c r="S170">
        <f t="shared" si="49"/>
        <v>2.2269694844999997E-2</v>
      </c>
      <c r="T170" s="11">
        <f t="shared" si="50"/>
        <v>4.087941065818794E-2</v>
      </c>
      <c r="U170" t="str">
        <f t="shared" si="51"/>
        <v>No Impact</v>
      </c>
      <c r="V170">
        <f t="shared" si="52"/>
        <v>0</v>
      </c>
      <c r="W170">
        <f t="shared" si="53"/>
        <v>0</v>
      </c>
      <c r="X170" t="s">
        <v>1176</v>
      </c>
      <c r="Y170">
        <f t="shared" si="55"/>
        <v>4.4539389689999993E-2</v>
      </c>
      <c r="Z170">
        <f t="shared" si="56"/>
        <v>8.1420955066664177E-2</v>
      </c>
      <c r="AA170" t="str">
        <f t="shared" si="57"/>
        <v>No Impact</v>
      </c>
      <c r="AB170">
        <f t="shared" si="58"/>
        <v>1.3514546539597336E-2</v>
      </c>
      <c r="AC170">
        <f t="shared" si="59"/>
        <v>3.2908924706608708E-2</v>
      </c>
      <c r="AD170" t="str">
        <f t="shared" si="60"/>
        <v>No Impact</v>
      </c>
      <c r="AE170">
        <f t="shared" si="61"/>
        <v>4.3637037884953784E-4</v>
      </c>
      <c r="AF170">
        <f t="shared" si="62"/>
        <v>2.3875351158390945E-3</v>
      </c>
      <c r="AG170" t="s">
        <v>1176</v>
      </c>
    </row>
    <row r="171" spans="1:33" customFormat="1" x14ac:dyDescent="0.3">
      <c r="A171">
        <v>302626</v>
      </c>
      <c r="B171" t="s">
        <v>193</v>
      </c>
      <c r="C171" t="s">
        <v>699</v>
      </c>
      <c r="D171" t="s">
        <v>710</v>
      </c>
      <c r="E171" s="18">
        <v>5.7</v>
      </c>
      <c r="F171" s="2">
        <f t="shared" si="43"/>
        <v>0.55555555555555558</v>
      </c>
      <c r="G171" s="10">
        <v>18.477720000000001</v>
      </c>
      <c r="H171">
        <f t="shared" si="44"/>
        <v>0.2475749931265345</v>
      </c>
      <c r="I171" s="22">
        <v>0.10000000000000005</v>
      </c>
      <c r="J171" s="2">
        <f t="shared" si="45"/>
        <v>5.1308363263211933E-4</v>
      </c>
      <c r="K171" s="8">
        <v>0</v>
      </c>
      <c r="L171" s="2">
        <v>0</v>
      </c>
      <c r="M171">
        <v>6565</v>
      </c>
      <c r="N171">
        <f t="shared" si="46"/>
        <v>2.9930968569171008E-2</v>
      </c>
      <c r="O171" s="8">
        <v>0.66813441399999995</v>
      </c>
      <c r="P171">
        <f t="shared" si="47"/>
        <v>0.64034314185634567</v>
      </c>
      <c r="Q171" s="20">
        <v>0</v>
      </c>
      <c r="R171" s="10">
        <f t="shared" si="48"/>
        <v>0</v>
      </c>
      <c r="S171">
        <f t="shared" si="49"/>
        <v>2.2064097017925419E-2</v>
      </c>
      <c r="T171" s="11">
        <f t="shared" si="50"/>
        <v>4.0502004588553367E-2</v>
      </c>
      <c r="U171" t="str">
        <f t="shared" si="51"/>
        <v>No Impact</v>
      </c>
      <c r="V171">
        <f t="shared" si="52"/>
        <v>0</v>
      </c>
      <c r="W171">
        <f t="shared" si="53"/>
        <v>0</v>
      </c>
      <c r="X171" t="s">
        <v>1176</v>
      </c>
      <c r="Y171">
        <f t="shared" si="55"/>
        <v>4.4128194035850839E-2</v>
      </c>
      <c r="Z171">
        <f t="shared" si="56"/>
        <v>8.0669262169363362E-2</v>
      </c>
      <c r="AA171" t="str">
        <f t="shared" si="57"/>
        <v>No Impact</v>
      </c>
      <c r="AB171">
        <f t="shared" si="58"/>
        <v>1.3960383419019872E-2</v>
      </c>
      <c r="AC171">
        <f t="shared" si="59"/>
        <v>3.3994570625497433E-2</v>
      </c>
      <c r="AD171" t="str">
        <f t="shared" si="60"/>
        <v>No Impact</v>
      </c>
      <c r="AE171">
        <f t="shared" si="61"/>
        <v>2.062643452184639E-3</v>
      </c>
      <c r="AF171">
        <f t="shared" si="62"/>
        <v>1.1285444457824747E-2</v>
      </c>
      <c r="AG171" t="s">
        <v>1176</v>
      </c>
    </row>
    <row r="172" spans="1:33" customFormat="1" x14ac:dyDescent="0.3">
      <c r="A172">
        <v>302628</v>
      </c>
      <c r="B172" t="s">
        <v>207</v>
      </c>
      <c r="C172" t="s">
        <v>699</v>
      </c>
      <c r="D172" t="s">
        <v>711</v>
      </c>
      <c r="E172" s="18">
        <v>5.9</v>
      </c>
      <c r="F172" s="2">
        <f t="shared" si="43"/>
        <v>0.60000000000000009</v>
      </c>
      <c r="G172" s="10">
        <v>19.289160000000003</v>
      </c>
      <c r="H172">
        <f t="shared" si="44"/>
        <v>0.25844712737375741</v>
      </c>
      <c r="I172" s="22">
        <v>0.6</v>
      </c>
      <c r="J172" s="2">
        <f t="shared" si="45"/>
        <v>3.0785017957927143E-3</v>
      </c>
      <c r="K172" s="8">
        <v>0</v>
      </c>
      <c r="L172" s="2">
        <v>0</v>
      </c>
      <c r="M172">
        <v>4547</v>
      </c>
      <c r="N172">
        <f t="shared" si="46"/>
        <v>2.0382961207080098E-2</v>
      </c>
      <c r="O172" s="8">
        <v>0.74273034199999999</v>
      </c>
      <c r="P172">
        <f t="shared" si="47"/>
        <v>0.72249480221419138</v>
      </c>
      <c r="Q172" s="20">
        <v>0.1132</v>
      </c>
      <c r="R172" s="10">
        <f t="shared" si="48"/>
        <v>0.2451277609354699</v>
      </c>
      <c r="S172">
        <f t="shared" si="49"/>
        <v>3.7958714943955196E-2</v>
      </c>
      <c r="T172" s="11">
        <f t="shared" si="50"/>
        <v>6.9678992327972339E-2</v>
      </c>
      <c r="U172" t="str">
        <f t="shared" si="51"/>
        <v>No Impact</v>
      </c>
      <c r="V172">
        <f t="shared" si="52"/>
        <v>1.9232157571671554E-2</v>
      </c>
      <c r="W172">
        <f t="shared" si="53"/>
        <v>2.5332352980129463E-2</v>
      </c>
      <c r="X172" t="s">
        <v>1176</v>
      </c>
      <c r="Y172">
        <f t="shared" si="55"/>
        <v>5.6685272316238836E-2</v>
      </c>
      <c r="Z172">
        <f t="shared" si="56"/>
        <v>0.10362443316636531</v>
      </c>
      <c r="AA172" t="str">
        <f t="shared" si="57"/>
        <v>No Impact</v>
      </c>
      <c r="AB172">
        <f t="shared" si="58"/>
        <v>2.429655685412881E-2</v>
      </c>
      <c r="AC172">
        <f t="shared" si="59"/>
        <v>5.9163920727908187E-2</v>
      </c>
      <c r="AD172" t="str">
        <f t="shared" si="60"/>
        <v>No Impact</v>
      </c>
      <c r="AE172">
        <f t="shared" si="61"/>
        <v>1.5992000262060469E-3</v>
      </c>
      <c r="AF172">
        <f t="shared" si="62"/>
        <v>8.7497832228760168E-3</v>
      </c>
      <c r="AG172" t="s">
        <v>1176</v>
      </c>
    </row>
    <row r="173" spans="1:33" customFormat="1" x14ac:dyDescent="0.3">
      <c r="A173">
        <v>302629</v>
      </c>
      <c r="B173" t="s">
        <v>220</v>
      </c>
      <c r="C173" t="s">
        <v>699</v>
      </c>
      <c r="D173" t="s">
        <v>712</v>
      </c>
      <c r="E173" s="18">
        <v>5.8</v>
      </c>
      <c r="F173" s="2">
        <f t="shared" si="43"/>
        <v>0.57777777777777772</v>
      </c>
      <c r="G173" s="10">
        <v>18.157679999999999</v>
      </c>
      <c r="H173">
        <f t="shared" si="44"/>
        <v>0.24328691533337513</v>
      </c>
      <c r="I173" s="22">
        <v>0.19999999999999998</v>
      </c>
      <c r="J173" s="2">
        <f t="shared" si="45"/>
        <v>1.026167265264238E-3</v>
      </c>
      <c r="K173" s="8">
        <v>0</v>
      </c>
      <c r="L173" s="2">
        <v>0</v>
      </c>
      <c r="M173">
        <v>7826</v>
      </c>
      <c r="N173">
        <f t="shared" si="46"/>
        <v>3.5897290315254571E-2</v>
      </c>
      <c r="O173" s="8">
        <v>0.64920389700000003</v>
      </c>
      <c r="P173">
        <f t="shared" si="47"/>
        <v>0.61949517542334653</v>
      </c>
      <c r="Q173" s="20">
        <v>0.1537</v>
      </c>
      <c r="R173" s="10">
        <f t="shared" si="48"/>
        <v>0.33282806409701171</v>
      </c>
      <c r="S173">
        <f t="shared" si="49"/>
        <v>3.3607170462311493E-2</v>
      </c>
      <c r="T173" s="11">
        <f t="shared" si="50"/>
        <v>6.1691070845409944E-2</v>
      </c>
      <c r="U173" t="str">
        <f t="shared" si="51"/>
        <v>No Impact</v>
      </c>
      <c r="V173">
        <f t="shared" si="52"/>
        <v>2.3490783424298219E-2</v>
      </c>
      <c r="W173">
        <f t="shared" si="53"/>
        <v>3.094176070815002E-2</v>
      </c>
      <c r="X173" t="s">
        <v>1176</v>
      </c>
      <c r="Y173">
        <f t="shared" si="55"/>
        <v>4.3723557500324764E-2</v>
      </c>
      <c r="Z173">
        <f t="shared" si="56"/>
        <v>7.9929559775444026E-2</v>
      </c>
      <c r="AA173" t="str">
        <f t="shared" si="57"/>
        <v>No Impact</v>
      </c>
      <c r="AB173">
        <f t="shared" si="58"/>
        <v>2.2225603855825237E-2</v>
      </c>
      <c r="AC173">
        <f t="shared" si="59"/>
        <v>5.4120996343252632E-2</v>
      </c>
      <c r="AD173" t="str">
        <f t="shared" si="60"/>
        <v>No Impact</v>
      </c>
      <c r="AE173">
        <f t="shared" si="61"/>
        <v>2.5336068777812365E-3</v>
      </c>
      <c r="AF173">
        <f t="shared" si="62"/>
        <v>1.3862250243433447E-2</v>
      </c>
      <c r="AG173" t="s">
        <v>1176</v>
      </c>
    </row>
    <row r="174" spans="1:33" customFormat="1" x14ac:dyDescent="0.3">
      <c r="A174">
        <v>302630</v>
      </c>
      <c r="B174" t="s">
        <v>233</v>
      </c>
      <c r="C174" t="s">
        <v>699</v>
      </c>
      <c r="D174" t="s">
        <v>713</v>
      </c>
      <c r="E174" s="18">
        <v>5.8</v>
      </c>
      <c r="F174" s="2">
        <f t="shared" si="43"/>
        <v>0.57777777777777772</v>
      </c>
      <c r="G174" s="10">
        <v>19.115280000000002</v>
      </c>
      <c r="H174">
        <f t="shared" si="44"/>
        <v>0.25611738432078107</v>
      </c>
      <c r="I174" s="22">
        <v>0.10000000000000005</v>
      </c>
      <c r="J174" s="2">
        <f t="shared" si="45"/>
        <v>5.1308363263211933E-4</v>
      </c>
      <c r="K174" s="8">
        <v>0</v>
      </c>
      <c r="L174" s="2">
        <v>0</v>
      </c>
      <c r="M174">
        <v>6991</v>
      </c>
      <c r="N174">
        <f t="shared" si="46"/>
        <v>3.1946553869592574E-2</v>
      </c>
      <c r="O174" s="8">
        <v>0.79098264299999999</v>
      </c>
      <c r="P174">
        <f t="shared" si="47"/>
        <v>0.77563452109048892</v>
      </c>
      <c r="Q174" s="20">
        <v>0.11</v>
      </c>
      <c r="R174" s="10">
        <f t="shared" si="48"/>
        <v>0.23819835426591598</v>
      </c>
      <c r="S174">
        <f t="shared" si="49"/>
        <v>3.7581614088672138E-2</v>
      </c>
      <c r="T174" s="11">
        <f t="shared" si="50"/>
        <v>6.8986766375620276E-2</v>
      </c>
      <c r="U174" t="str">
        <f t="shared" si="51"/>
        <v>No Impact</v>
      </c>
      <c r="V174">
        <f t="shared" si="52"/>
        <v>1.7659475923842975E-2</v>
      </c>
      <c r="W174">
        <f t="shared" si="53"/>
        <v>2.3260836745942193E-2</v>
      </c>
      <c r="X174" t="s">
        <v>1176</v>
      </c>
      <c r="Y174">
        <f t="shared" si="55"/>
        <v>5.7503752253501295E-2</v>
      </c>
      <c r="Z174">
        <f t="shared" si="56"/>
        <v>0.10512066871558694</v>
      </c>
      <c r="AA174" t="str">
        <f t="shared" si="57"/>
        <v>No Impact</v>
      </c>
      <c r="AB174">
        <f t="shared" si="58"/>
        <v>2.4260897555266288E-2</v>
      </c>
      <c r="AC174">
        <f t="shared" si="59"/>
        <v>5.907708768634673E-2</v>
      </c>
      <c r="AD174" t="str">
        <f t="shared" si="60"/>
        <v>No Impact</v>
      </c>
      <c r="AE174">
        <f t="shared" si="61"/>
        <v>2.3684437310596009E-3</v>
      </c>
      <c r="AF174">
        <f t="shared" si="62"/>
        <v>1.2958584844145754E-2</v>
      </c>
      <c r="AG174" t="s">
        <v>1176</v>
      </c>
    </row>
    <row r="175" spans="1:33" customFormat="1" x14ac:dyDescent="0.3">
      <c r="A175">
        <v>302632</v>
      </c>
      <c r="B175" t="s">
        <v>232</v>
      </c>
      <c r="C175" t="s">
        <v>699</v>
      </c>
      <c r="D175" t="s">
        <v>714</v>
      </c>
      <c r="E175" s="18">
        <v>5.8</v>
      </c>
      <c r="F175" s="2">
        <f t="shared" si="43"/>
        <v>0.57777777777777772</v>
      </c>
      <c r="G175" s="10">
        <v>18.157679999999999</v>
      </c>
      <c r="H175">
        <f t="shared" si="44"/>
        <v>0.24328691533337513</v>
      </c>
      <c r="I175" s="22">
        <v>0.19999999999999998</v>
      </c>
      <c r="J175" s="2">
        <f t="shared" si="45"/>
        <v>1.026167265264238E-3</v>
      </c>
      <c r="K175" s="8">
        <v>0</v>
      </c>
      <c r="L175" s="2">
        <v>0</v>
      </c>
      <c r="M175">
        <v>4323</v>
      </c>
      <c r="N175">
        <f t="shared" si="46"/>
        <v>1.9323122927046223E-2</v>
      </c>
      <c r="O175" s="8">
        <v>0.69893141800000003</v>
      </c>
      <c r="P175">
        <f t="shared" si="47"/>
        <v>0.67425953756962398</v>
      </c>
      <c r="Q175" s="20">
        <v>9.0200000000000002E-2</v>
      </c>
      <c r="R175" s="10">
        <f t="shared" si="48"/>
        <v>0.19532265049805111</v>
      </c>
      <c r="S175">
        <f t="shared" si="49"/>
        <v>3.0687266269065382E-2</v>
      </c>
      <c r="T175" s="11">
        <f t="shared" si="50"/>
        <v>5.6331142771448378E-2</v>
      </c>
      <c r="U175" t="str">
        <f t="shared" si="51"/>
        <v>No Impact</v>
      </c>
      <c r="V175">
        <f t="shared" si="52"/>
        <v>1.3785742777304487E-2</v>
      </c>
      <c r="W175">
        <f t="shared" si="53"/>
        <v>1.8158404787736709E-2</v>
      </c>
      <c r="X175" t="s">
        <v>1176</v>
      </c>
      <c r="Y175">
        <f t="shared" si="55"/>
        <v>4.7588789760826283E-2</v>
      </c>
      <c r="Z175">
        <f t="shared" si="56"/>
        <v>8.6995460417436304E-2</v>
      </c>
      <c r="AA175" t="str">
        <f t="shared" si="57"/>
        <v>No Impact</v>
      </c>
      <c r="AB175">
        <f t="shared" si="58"/>
        <v>1.9578981508331407E-2</v>
      </c>
      <c r="AC175">
        <f t="shared" si="59"/>
        <v>4.7676274331655083E-2</v>
      </c>
      <c r="AD175" t="str">
        <f t="shared" si="60"/>
        <v>No Impact</v>
      </c>
      <c r="AE175">
        <f t="shared" si="61"/>
        <v>1.3638131657912973E-3</v>
      </c>
      <c r="AF175">
        <f t="shared" si="62"/>
        <v>7.4618993006698581E-3</v>
      </c>
      <c r="AG175" t="s">
        <v>1176</v>
      </c>
    </row>
    <row r="176" spans="1:33" customFormat="1" x14ac:dyDescent="0.3">
      <c r="A176">
        <v>302633</v>
      </c>
      <c r="B176" t="s">
        <v>237</v>
      </c>
      <c r="C176" t="s">
        <v>699</v>
      </c>
      <c r="D176" t="s">
        <v>715</v>
      </c>
      <c r="E176" s="18">
        <v>5.7</v>
      </c>
      <c r="F176" s="2">
        <f t="shared" si="43"/>
        <v>0.55555555555555558</v>
      </c>
      <c r="G176" s="10">
        <v>18.477720000000001</v>
      </c>
      <c r="H176">
        <f t="shared" si="44"/>
        <v>0.2475749931265345</v>
      </c>
      <c r="I176" s="22">
        <v>0.10000000000000005</v>
      </c>
      <c r="J176" s="2">
        <f t="shared" si="45"/>
        <v>5.1308363263211933E-4</v>
      </c>
      <c r="K176" s="8">
        <v>0</v>
      </c>
      <c r="L176" s="2">
        <v>0</v>
      </c>
      <c r="M176">
        <v>731</v>
      </c>
      <c r="N176">
        <f t="shared" si="46"/>
        <v>2.3278590793601225E-3</v>
      </c>
      <c r="O176" s="8">
        <v>0.62907357699999999</v>
      </c>
      <c r="P176">
        <f t="shared" si="47"/>
        <v>0.59732587937900017</v>
      </c>
      <c r="Q176" s="20">
        <v>0</v>
      </c>
      <c r="R176" s="10">
        <f t="shared" si="48"/>
        <v>0</v>
      </c>
      <c r="S176">
        <f t="shared" si="49"/>
        <v>2.058186508522418E-2</v>
      </c>
      <c r="T176" s="11">
        <f t="shared" si="50"/>
        <v>3.7781142525139068E-2</v>
      </c>
      <c r="U176" t="str">
        <f t="shared" si="51"/>
        <v>No Impact</v>
      </c>
      <c r="V176">
        <f t="shared" si="52"/>
        <v>0</v>
      </c>
      <c r="W176">
        <f t="shared" si="53"/>
        <v>0</v>
      </c>
      <c r="X176" t="s">
        <v>1176</v>
      </c>
      <c r="Y176">
        <f t="shared" si="55"/>
        <v>4.1163730170448359E-2</v>
      </c>
      <c r="Z176">
        <f t="shared" si="56"/>
        <v>7.5250025829089101E-2</v>
      </c>
      <c r="AA176" t="str">
        <f t="shared" si="57"/>
        <v>No Impact</v>
      </c>
      <c r="AB176">
        <f t="shared" si="58"/>
        <v>1.2405266253547754E-2</v>
      </c>
      <c r="AC176">
        <f t="shared" si="59"/>
        <v>3.0207744810918421E-2</v>
      </c>
      <c r="AD176" t="str">
        <f t="shared" si="60"/>
        <v>No Impact</v>
      </c>
      <c r="AE176">
        <f t="shared" si="61"/>
        <v>1.6042057832356028E-4</v>
      </c>
      <c r="AF176">
        <f t="shared" si="62"/>
        <v>8.7771714720989182E-4</v>
      </c>
      <c r="AG176" t="s">
        <v>1176</v>
      </c>
    </row>
    <row r="177" spans="1:33" customFormat="1" x14ac:dyDescent="0.3">
      <c r="A177">
        <v>302634</v>
      </c>
      <c r="B177" t="s">
        <v>253</v>
      </c>
      <c r="C177" t="s">
        <v>699</v>
      </c>
      <c r="D177" t="s">
        <v>716</v>
      </c>
      <c r="E177" s="18">
        <v>3.7</v>
      </c>
      <c r="F177" s="2">
        <f t="shared" si="43"/>
        <v>0.1111111111111111</v>
      </c>
      <c r="G177" s="10">
        <v>19.289160000000003</v>
      </c>
      <c r="H177">
        <f t="shared" si="44"/>
        <v>0.25844712737375741</v>
      </c>
      <c r="I177" s="22">
        <v>0.39999999999999986</v>
      </c>
      <c r="J177" s="2">
        <f t="shared" si="45"/>
        <v>2.0523345305284756E-3</v>
      </c>
      <c r="K177" s="8">
        <v>0</v>
      </c>
      <c r="L177" s="2">
        <v>0</v>
      </c>
      <c r="M177">
        <v>2173</v>
      </c>
      <c r="N177">
        <f t="shared" si="46"/>
        <v>9.1505680070782056E-3</v>
      </c>
      <c r="O177" s="8">
        <v>0.54825125100000005</v>
      </c>
      <c r="P177">
        <f t="shared" si="47"/>
        <v>0.50831715661221488</v>
      </c>
      <c r="Q177" s="20">
        <v>8.2500000000000004E-2</v>
      </c>
      <c r="R177" s="10">
        <f t="shared" si="48"/>
        <v>0.178648765699437</v>
      </c>
      <c r="S177">
        <f t="shared" si="49"/>
        <v>4.970951475243522E-3</v>
      </c>
      <c r="T177" s="11">
        <f t="shared" si="50"/>
        <v>9.1249371907774404E-3</v>
      </c>
      <c r="U177" t="str">
        <f t="shared" si="51"/>
        <v>No Impact</v>
      </c>
      <c r="V177">
        <f t="shared" si="52"/>
        <v>2.5854392963648993E-3</v>
      </c>
      <c r="W177">
        <f t="shared" si="53"/>
        <v>3.4055077086455406E-3</v>
      </c>
      <c r="X177" t="s">
        <v>1176</v>
      </c>
      <c r="Y177">
        <f t="shared" si="55"/>
        <v>7.3564636541221442E-3</v>
      </c>
      <c r="Z177">
        <f t="shared" si="56"/>
        <v>1.344810292194705E-2</v>
      </c>
      <c r="AA177" t="str">
        <f t="shared" si="57"/>
        <v>No Impact</v>
      </c>
      <c r="AB177">
        <f t="shared" si="58"/>
        <v>3.1581929230025166E-3</v>
      </c>
      <c r="AC177">
        <f t="shared" si="59"/>
        <v>7.6904343632628429E-3</v>
      </c>
      <c r="AD177" t="str">
        <f t="shared" si="60"/>
        <v>No Impact</v>
      </c>
      <c r="AE177">
        <f t="shared" si="61"/>
        <v>1.324287801090248E-4</v>
      </c>
      <c r="AF177">
        <f t="shared" si="62"/>
        <v>7.2456421925707747E-4</v>
      </c>
      <c r="AG177" t="s">
        <v>1176</v>
      </c>
    </row>
    <row r="178" spans="1:33" customFormat="1" x14ac:dyDescent="0.3">
      <c r="A178">
        <v>302636</v>
      </c>
      <c r="B178" t="s">
        <v>274</v>
      </c>
      <c r="C178" t="s">
        <v>699</v>
      </c>
      <c r="D178" t="s">
        <v>717</v>
      </c>
      <c r="E178" s="18">
        <v>5.9</v>
      </c>
      <c r="F178" s="2">
        <f t="shared" si="43"/>
        <v>0.60000000000000009</v>
      </c>
      <c r="G178" s="10">
        <v>18.477720000000001</v>
      </c>
      <c r="H178">
        <f t="shared" si="44"/>
        <v>0.2475749931265345</v>
      </c>
      <c r="I178" s="22">
        <v>0.10000000000000005</v>
      </c>
      <c r="J178" s="2">
        <f t="shared" si="45"/>
        <v>5.1308363263211933E-4</v>
      </c>
      <c r="K178" s="8">
        <v>0</v>
      </c>
      <c r="L178" s="2">
        <v>0</v>
      </c>
      <c r="M178">
        <v>13317</v>
      </c>
      <c r="N178">
        <f t="shared" si="46"/>
        <v>6.1877522438763585E-2</v>
      </c>
      <c r="O178" s="8">
        <v>0.67128717500000001</v>
      </c>
      <c r="P178">
        <f t="shared" si="47"/>
        <v>0.64381524224849396</v>
      </c>
      <c r="Q178" s="20">
        <v>0.16489999999999999</v>
      </c>
      <c r="R178" s="10">
        <f t="shared" si="48"/>
        <v>0.35708098744045041</v>
      </c>
      <c r="S178">
        <f t="shared" si="49"/>
        <v>3.7246563098854699E-2</v>
      </c>
      <c r="T178" s="11">
        <f t="shared" si="50"/>
        <v>6.8371729344376242E-2</v>
      </c>
      <c r="U178" t="str">
        <f t="shared" si="51"/>
        <v>No Impact</v>
      </c>
      <c r="V178">
        <f t="shared" si="52"/>
        <v>2.6576260626409644E-2</v>
      </c>
      <c r="W178">
        <f t="shared" si="53"/>
        <v>3.5005911976916659E-2</v>
      </c>
      <c r="X178" t="s">
        <v>1176</v>
      </c>
      <c r="Y178">
        <f t="shared" si="55"/>
        <v>4.7916865571299747E-2</v>
      </c>
      <c r="Z178">
        <f t="shared" si="56"/>
        <v>8.7595204733847909E-2</v>
      </c>
      <c r="AA178" t="str">
        <f t="shared" si="57"/>
        <v>No Impact</v>
      </c>
      <c r="AB178">
        <f t="shared" si="58"/>
        <v>2.5288613821961077E-2</v>
      </c>
      <c r="AC178">
        <f t="shared" si="59"/>
        <v>6.1579653136198918E-2</v>
      </c>
      <c r="AD178" t="str">
        <f t="shared" si="60"/>
        <v>No Impact</v>
      </c>
      <c r="AE178">
        <f t="shared" si="61"/>
        <v>4.6053226609365106E-3</v>
      </c>
      <c r="AF178">
        <f t="shared" si="62"/>
        <v>2.5197332600219193E-2</v>
      </c>
      <c r="AG178" t="s">
        <v>1176</v>
      </c>
    </row>
    <row r="179" spans="1:33" customFormat="1" x14ac:dyDescent="0.3">
      <c r="A179">
        <v>302637</v>
      </c>
      <c r="B179" t="s">
        <v>275</v>
      </c>
      <c r="C179" t="s">
        <v>699</v>
      </c>
      <c r="D179" t="s">
        <v>718</v>
      </c>
      <c r="E179" s="18">
        <v>5.8</v>
      </c>
      <c r="F179" s="2">
        <f t="shared" si="43"/>
        <v>0.57777777777777772</v>
      </c>
      <c r="G179" s="10">
        <v>18.477720000000001</v>
      </c>
      <c r="H179">
        <f t="shared" si="44"/>
        <v>0.2475749931265345</v>
      </c>
      <c r="I179" s="22">
        <v>0.10000000000000005</v>
      </c>
      <c r="J179" s="2">
        <f t="shared" si="45"/>
        <v>5.1308363263211933E-4</v>
      </c>
      <c r="K179" s="8">
        <v>0</v>
      </c>
      <c r="L179" s="2">
        <v>0</v>
      </c>
      <c r="M179">
        <v>9630</v>
      </c>
      <c r="N179">
        <f t="shared" si="46"/>
        <v>4.4432773606241691E-2</v>
      </c>
      <c r="O179" s="8">
        <v>0.630962676</v>
      </c>
      <c r="P179">
        <f t="shared" si="47"/>
        <v>0.59940632295804308</v>
      </c>
      <c r="Q179" s="20">
        <v>0.1953</v>
      </c>
      <c r="R179" s="10">
        <f t="shared" si="48"/>
        <v>0.42291035080121264</v>
      </c>
      <c r="S179">
        <f t="shared" si="49"/>
        <v>3.6634661184587858E-2</v>
      </c>
      <c r="T179" s="11">
        <f t="shared" si="50"/>
        <v>6.724849035031065E-2</v>
      </c>
      <c r="U179" t="str">
        <f t="shared" si="51"/>
        <v>No Impact</v>
      </c>
      <c r="V179">
        <f t="shared" si="52"/>
        <v>3.0309937831858334E-2</v>
      </c>
      <c r="W179">
        <f t="shared" si="53"/>
        <v>3.9923864033507929E-2</v>
      </c>
      <c r="X179" t="s">
        <v>1176</v>
      </c>
      <c r="Y179">
        <f t="shared" si="55"/>
        <v>4.2959384537317381E-2</v>
      </c>
      <c r="Z179">
        <f t="shared" si="56"/>
        <v>7.8532600972971864E-2</v>
      </c>
      <c r="AA179" t="str">
        <f t="shared" si="57"/>
        <v>No Impact</v>
      </c>
      <c r="AB179">
        <f t="shared" si="58"/>
        <v>2.4610865783193814E-2</v>
      </c>
      <c r="AC179">
        <f t="shared" si="59"/>
        <v>5.992928631756439E-2</v>
      </c>
      <c r="AD179" t="str">
        <f t="shared" si="60"/>
        <v>No Impact</v>
      </c>
      <c r="AE179">
        <f t="shared" si="61"/>
        <v>3.1844919452805221E-3</v>
      </c>
      <c r="AF179">
        <f t="shared" si="62"/>
        <v>1.7423470322410605E-2</v>
      </c>
      <c r="AG179" t="s">
        <v>1176</v>
      </c>
    </row>
    <row r="180" spans="1:33" customFormat="1" x14ac:dyDescent="0.3">
      <c r="A180">
        <v>302638</v>
      </c>
      <c r="B180" t="s">
        <v>267</v>
      </c>
      <c r="C180" t="s">
        <v>699</v>
      </c>
      <c r="D180" t="s">
        <v>719</v>
      </c>
      <c r="E180" s="18">
        <v>5.6</v>
      </c>
      <c r="F180" s="2">
        <f t="shared" si="43"/>
        <v>0.53333333333333321</v>
      </c>
      <c r="G180" s="10">
        <v>20.664360000000002</v>
      </c>
      <c r="H180">
        <f t="shared" si="44"/>
        <v>0.27687283847597183</v>
      </c>
      <c r="I180" s="22">
        <v>1.2000000000000002</v>
      </c>
      <c r="J180" s="2">
        <f t="shared" si="45"/>
        <v>6.1570035915854303E-3</v>
      </c>
      <c r="K180" s="8">
        <v>0</v>
      </c>
      <c r="L180" s="2">
        <v>0</v>
      </c>
      <c r="M180">
        <v>88374</v>
      </c>
      <c r="N180">
        <f t="shared" si="46"/>
        <v>0.41700378040529351</v>
      </c>
      <c r="O180" s="8">
        <v>0.70952502799999995</v>
      </c>
      <c r="P180">
        <f t="shared" si="47"/>
        <v>0.68592616166046538</v>
      </c>
      <c r="Q180" s="20">
        <v>0.2223</v>
      </c>
      <c r="R180" s="10">
        <f t="shared" si="48"/>
        <v>0.48137721957557383</v>
      </c>
      <c r="S180">
        <f t="shared" si="49"/>
        <v>4.4050892218154891E-2</v>
      </c>
      <c r="T180" s="11">
        <f t="shared" si="50"/>
        <v>8.0862109938153917E-2</v>
      </c>
      <c r="U180" t="str">
        <f t="shared" si="51"/>
        <v>No Impact</v>
      </c>
      <c r="V180">
        <f t="shared" si="52"/>
        <v>3.6331764915038527E-2</v>
      </c>
      <c r="W180">
        <f t="shared" si="53"/>
        <v>4.7855737963301524E-2</v>
      </c>
      <c r="X180" t="s">
        <v>1176</v>
      </c>
      <c r="Y180">
        <f t="shared" si="55"/>
        <v>5.1770019521271263E-2</v>
      </c>
      <c r="Z180">
        <f t="shared" si="56"/>
        <v>9.4639025424009024E-2</v>
      </c>
      <c r="AA180" t="str">
        <f t="shared" si="57"/>
        <v>No Impact</v>
      </c>
      <c r="AB180">
        <f t="shared" si="58"/>
        <v>3.9262744893548751E-2</v>
      </c>
      <c r="AC180">
        <f t="shared" si="59"/>
        <v>9.5607700316897137E-2</v>
      </c>
      <c r="AD180" t="str">
        <f t="shared" si="60"/>
        <v>No Impact</v>
      </c>
      <c r="AE180">
        <f t="shared" si="61"/>
        <v>3.1473203762582544E-2</v>
      </c>
      <c r="AF180">
        <f t="shared" si="62"/>
        <v>0.17220091654533376</v>
      </c>
      <c r="AG180" t="s">
        <v>1175</v>
      </c>
    </row>
    <row r="181" spans="1:33" customFormat="1" x14ac:dyDescent="0.3">
      <c r="A181">
        <v>302640</v>
      </c>
      <c r="B181" t="s">
        <v>283</v>
      </c>
      <c r="C181" t="s">
        <v>699</v>
      </c>
      <c r="D181" t="s">
        <v>1120</v>
      </c>
      <c r="E181" s="18">
        <v>5.7</v>
      </c>
      <c r="F181" s="2">
        <f t="shared" si="43"/>
        <v>0.55555555555555558</v>
      </c>
      <c r="G181" s="10">
        <v>18.157679999999999</v>
      </c>
      <c r="H181">
        <f t="shared" si="44"/>
        <v>0.24328691533337513</v>
      </c>
      <c r="I181" s="22">
        <v>0.19999999999999998</v>
      </c>
      <c r="J181" s="2">
        <f t="shared" si="45"/>
        <v>1.026167265264238E-3</v>
      </c>
      <c r="K181" s="8">
        <v>0</v>
      </c>
      <c r="L181" s="2">
        <v>0</v>
      </c>
      <c r="M181">
        <v>383</v>
      </c>
      <c r="N181">
        <f t="shared" si="46"/>
        <v>6.8132460859320662E-4</v>
      </c>
      <c r="O181" s="8">
        <v>0.43857410099999999</v>
      </c>
      <c r="P181">
        <f t="shared" si="47"/>
        <v>0.38753093922221882</v>
      </c>
      <c r="Q181" s="20">
        <v>0.1</v>
      </c>
      <c r="R181" s="10">
        <f t="shared" si="48"/>
        <v>0.21654395842356</v>
      </c>
      <c r="S181">
        <f t="shared" si="49"/>
        <v>2.0497694495041362E-2</v>
      </c>
      <c r="T181" s="11">
        <f t="shared" si="50"/>
        <v>3.7626634609993659E-2</v>
      </c>
      <c r="U181" t="str">
        <f t="shared" si="51"/>
        <v>No Impact</v>
      </c>
      <c r="V181">
        <f t="shared" si="52"/>
        <v>1.4695700555714319E-2</v>
      </c>
      <c r="W181">
        <f t="shared" si="53"/>
        <v>1.9356989582697329E-2</v>
      </c>
      <c r="X181" t="s">
        <v>1176</v>
      </c>
      <c r="Y181">
        <f t="shared" si="55"/>
        <v>2.6299688434368401E-2</v>
      </c>
      <c r="Z181">
        <f t="shared" si="56"/>
        <v>4.8077572799852558E-2</v>
      </c>
      <c r="AA181" t="str">
        <f t="shared" si="57"/>
        <v>No Impact</v>
      </c>
      <c r="AB181">
        <f t="shared" si="58"/>
        <v>1.3049584997138725E-2</v>
      </c>
      <c r="AC181">
        <f t="shared" si="59"/>
        <v>3.1776708812615795E-2</v>
      </c>
      <c r="AD181" t="str">
        <f t="shared" si="60"/>
        <v>No Impact</v>
      </c>
      <c r="AE181">
        <f t="shared" si="61"/>
        <v>4.6237920937699369E-5</v>
      </c>
      <c r="AF181">
        <f t="shared" si="62"/>
        <v>2.5298385333394379E-4</v>
      </c>
      <c r="AG181" t="s">
        <v>1176</v>
      </c>
    </row>
    <row r="182" spans="1:33" customFormat="1" x14ac:dyDescent="0.3">
      <c r="A182">
        <v>302642</v>
      </c>
      <c r="B182" t="s">
        <v>296</v>
      </c>
      <c r="C182" t="s">
        <v>699</v>
      </c>
      <c r="D182" t="s">
        <v>720</v>
      </c>
      <c r="E182" s="18">
        <v>5.8</v>
      </c>
      <c r="F182" s="2">
        <f t="shared" si="43"/>
        <v>0.57777777777777772</v>
      </c>
      <c r="G182" s="10">
        <v>19.289160000000003</v>
      </c>
      <c r="H182">
        <f t="shared" si="44"/>
        <v>0.25844712737375741</v>
      </c>
      <c r="I182" s="22">
        <v>0.39999999999999986</v>
      </c>
      <c r="J182" s="2">
        <f t="shared" si="45"/>
        <v>2.0523345305284756E-3</v>
      </c>
      <c r="K182" s="8">
        <v>0</v>
      </c>
      <c r="L182" s="2">
        <v>0</v>
      </c>
      <c r="M182">
        <v>3930</v>
      </c>
      <c r="N182">
        <f t="shared" si="46"/>
        <v>1.7463674516093926E-2</v>
      </c>
      <c r="O182" s="8">
        <v>0.71664690200000003</v>
      </c>
      <c r="P182">
        <f t="shared" si="47"/>
        <v>0.69376940176278545</v>
      </c>
      <c r="Q182" s="20">
        <v>0.1</v>
      </c>
      <c r="R182" s="10">
        <f t="shared" si="48"/>
        <v>0.21654395842356</v>
      </c>
      <c r="S182">
        <f t="shared" si="49"/>
        <v>3.425299807118589E-2</v>
      </c>
      <c r="T182" s="11">
        <f t="shared" si="50"/>
        <v>6.2876585609816321E-2</v>
      </c>
      <c r="U182" t="str">
        <f t="shared" si="51"/>
        <v>No Impact</v>
      </c>
      <c r="V182">
        <f t="shared" si="52"/>
        <v>1.6296102231633306E-2</v>
      </c>
      <c r="W182">
        <f t="shared" si="53"/>
        <v>2.1465018284796137E-2</v>
      </c>
      <c r="X182" t="s">
        <v>1176</v>
      </c>
      <c r="Y182">
        <f t="shared" si="55"/>
        <v>5.2209893910738471E-2</v>
      </c>
      <c r="Z182">
        <f t="shared" si="56"/>
        <v>9.5443144949423783E-2</v>
      </c>
      <c r="AA182" t="str">
        <f t="shared" si="57"/>
        <v>No Impact</v>
      </c>
      <c r="AB182">
        <f t="shared" si="58"/>
        <v>2.1826586488851617E-2</v>
      </c>
      <c r="AC182">
        <f t="shared" si="59"/>
        <v>5.3149359415007209E-2</v>
      </c>
      <c r="AD182" t="str">
        <f t="shared" si="60"/>
        <v>No Impact</v>
      </c>
      <c r="AE182">
        <f t="shared" si="61"/>
        <v>1.3142358130240612E-3</v>
      </c>
      <c r="AF182">
        <f t="shared" si="62"/>
        <v>7.1906442466623264E-3</v>
      </c>
      <c r="AG182" t="s">
        <v>1176</v>
      </c>
    </row>
    <row r="183" spans="1:33" customFormat="1" x14ac:dyDescent="0.3">
      <c r="A183">
        <v>302648</v>
      </c>
      <c r="B183" t="s">
        <v>333</v>
      </c>
      <c r="C183" t="s">
        <v>699</v>
      </c>
      <c r="D183" t="s">
        <v>1127</v>
      </c>
      <c r="E183" s="18">
        <v>5.7</v>
      </c>
      <c r="F183" s="2">
        <f t="shared" si="43"/>
        <v>0.55555555555555558</v>
      </c>
      <c r="G183" s="10">
        <v>19.115280000000002</v>
      </c>
      <c r="H183">
        <f t="shared" si="44"/>
        <v>0.25611738432078107</v>
      </c>
      <c r="I183" s="22">
        <v>9.9999999999999992E-2</v>
      </c>
      <c r="J183" s="2">
        <f t="shared" si="45"/>
        <v>5.1308363263211901E-4</v>
      </c>
      <c r="K183" s="8">
        <v>0</v>
      </c>
      <c r="L183" s="2">
        <v>0</v>
      </c>
      <c r="M183">
        <v>5661</v>
      </c>
      <c r="N183">
        <f t="shared" si="46"/>
        <v>2.5653764081891434E-2</v>
      </c>
      <c r="O183" s="8">
        <v>0.71504660099999995</v>
      </c>
      <c r="P183">
        <f t="shared" si="47"/>
        <v>0.69200700818786631</v>
      </c>
      <c r="Q183" s="20">
        <v>0.30959999999999999</v>
      </c>
      <c r="R183" s="10">
        <f t="shared" si="48"/>
        <v>0.67042009527934165</v>
      </c>
      <c r="S183">
        <f t="shared" si="49"/>
        <v>4.8561153488222632E-2</v>
      </c>
      <c r="T183" s="11">
        <f t="shared" si="50"/>
        <v>8.9141380216355148E-2</v>
      </c>
      <c r="U183" t="str">
        <f t="shared" si="51"/>
        <v>No Impact</v>
      </c>
      <c r="V183">
        <f t="shared" si="52"/>
        <v>4.7791728549141481E-2</v>
      </c>
      <c r="W183">
        <f t="shared" si="53"/>
        <v>6.2950656088668733E-2</v>
      </c>
      <c r="X183" t="s">
        <v>1176</v>
      </c>
      <c r="Y183">
        <f t="shared" si="55"/>
        <v>4.9330578427303776E-2</v>
      </c>
      <c r="Z183">
        <f t="shared" si="56"/>
        <v>9.0179565492426353E-2</v>
      </c>
      <c r="AA183" t="str">
        <f t="shared" si="57"/>
        <v>No Impact</v>
      </c>
      <c r="AB183">
        <f t="shared" si="58"/>
        <v>3.2166344664386698E-2</v>
      </c>
      <c r="AC183">
        <f t="shared" si="59"/>
        <v>7.832743862663602E-2</v>
      </c>
      <c r="AD183" t="str">
        <f t="shared" si="60"/>
        <v>No Impact</v>
      </c>
      <c r="AE183">
        <f t="shared" si="61"/>
        <v>1.8287604114172952E-3</v>
      </c>
      <c r="AF183">
        <f t="shared" si="62"/>
        <v>1.0005788459396404E-2</v>
      </c>
      <c r="AG183" t="s">
        <v>1176</v>
      </c>
    </row>
    <row r="184" spans="1:33" customFormat="1" x14ac:dyDescent="0.3">
      <c r="A184">
        <v>302650</v>
      </c>
      <c r="B184" t="s">
        <v>340</v>
      </c>
      <c r="C184" t="s">
        <v>699</v>
      </c>
      <c r="D184" t="s">
        <v>1128</v>
      </c>
      <c r="E184" s="18">
        <v>5.8</v>
      </c>
      <c r="F184" s="2">
        <f t="shared" si="43"/>
        <v>0.57777777777777772</v>
      </c>
      <c r="G184" s="10">
        <v>19.115280000000002</v>
      </c>
      <c r="H184">
        <f t="shared" si="44"/>
        <v>0.25611738432078107</v>
      </c>
      <c r="I184" s="22">
        <v>0.10000000000000005</v>
      </c>
      <c r="J184" s="2">
        <f t="shared" si="45"/>
        <v>5.1308363263211933E-4</v>
      </c>
      <c r="K184" s="8">
        <v>0</v>
      </c>
      <c r="L184" s="2">
        <v>0</v>
      </c>
      <c r="M184">
        <v>4452</v>
      </c>
      <c r="N184">
        <f t="shared" si="46"/>
        <v>1.9933476222244301E-2</v>
      </c>
      <c r="O184" s="8">
        <v>0.75734058299999996</v>
      </c>
      <c r="P184">
        <f t="shared" si="47"/>
        <v>0.73858489705661046</v>
      </c>
      <c r="Q184" s="20">
        <v>0.28249999999999997</v>
      </c>
      <c r="R184" s="10">
        <f t="shared" si="48"/>
        <v>0.61173668254655689</v>
      </c>
      <c r="S184">
        <f t="shared" si="49"/>
        <v>5.0054861835499863E-2</v>
      </c>
      <c r="T184" s="11">
        <f t="shared" si="50"/>
        <v>9.1883308983538886E-2</v>
      </c>
      <c r="U184" t="str">
        <f t="shared" si="51"/>
        <v>No Impact</v>
      </c>
      <c r="V184">
        <f t="shared" si="52"/>
        <v>4.5352744986233089E-2</v>
      </c>
      <c r="W184">
        <f t="shared" si="53"/>
        <v>5.973805800662426E-2</v>
      </c>
      <c r="X184" t="s">
        <v>1176</v>
      </c>
      <c r="Y184">
        <f t="shared" si="55"/>
        <v>5.4756978684766644E-2</v>
      </c>
      <c r="Z184">
        <f t="shared" si="56"/>
        <v>0.10009938465949988</v>
      </c>
      <c r="AA184" t="str">
        <f t="shared" si="57"/>
        <v>No Impact</v>
      </c>
      <c r="AB184">
        <f t="shared" si="58"/>
        <v>3.2817792014064463E-2</v>
      </c>
      <c r="AC184">
        <f t="shared" si="59"/>
        <v>7.9913761313679291E-2</v>
      </c>
      <c r="AD184" t="str">
        <f t="shared" si="60"/>
        <v>No Impact</v>
      </c>
      <c r="AE184">
        <f t="shared" si="61"/>
        <v>1.4778218955796949E-3</v>
      </c>
      <c r="AF184">
        <f t="shared" si="62"/>
        <v>8.0856809757680788E-3</v>
      </c>
      <c r="AG184" t="s">
        <v>1176</v>
      </c>
    </row>
    <row r="185" spans="1:33" customFormat="1" x14ac:dyDescent="0.3">
      <c r="A185">
        <v>302654</v>
      </c>
      <c r="B185" t="s">
        <v>347</v>
      </c>
      <c r="C185" t="s">
        <v>699</v>
      </c>
      <c r="D185" t="s">
        <v>721</v>
      </c>
      <c r="E185" s="18">
        <v>5.8</v>
      </c>
      <c r="F185" s="2">
        <f t="shared" si="43"/>
        <v>0.57777777777777772</v>
      </c>
      <c r="G185" s="10">
        <v>18.477720000000001</v>
      </c>
      <c r="H185">
        <f t="shared" si="44"/>
        <v>0.2475749931265345</v>
      </c>
      <c r="I185" s="22">
        <v>0.10000000000000005</v>
      </c>
      <c r="J185" s="2">
        <f t="shared" si="45"/>
        <v>5.1308363263211933E-4</v>
      </c>
      <c r="K185" s="8">
        <v>0</v>
      </c>
      <c r="L185" s="2">
        <v>0</v>
      </c>
      <c r="M185">
        <v>2689</v>
      </c>
      <c r="N185">
        <f t="shared" si="46"/>
        <v>1.1591981187870529E-2</v>
      </c>
      <c r="O185" s="8">
        <v>0.780226368</v>
      </c>
      <c r="P185">
        <f t="shared" si="47"/>
        <v>0.76378875585628492</v>
      </c>
      <c r="Q185" s="20">
        <v>0</v>
      </c>
      <c r="R185" s="10">
        <f t="shared" si="48"/>
        <v>0</v>
      </c>
      <c r="S185">
        <f t="shared" si="49"/>
        <v>2.7370327615317897E-2</v>
      </c>
      <c r="T185" s="11">
        <f t="shared" si="50"/>
        <v>5.0242397582153417E-2</v>
      </c>
      <c r="U185" t="str">
        <f t="shared" si="51"/>
        <v>No Impact</v>
      </c>
      <c r="V185">
        <f t="shared" si="52"/>
        <v>0</v>
      </c>
      <c r="W185">
        <f t="shared" si="53"/>
        <v>0</v>
      </c>
      <c r="X185" t="s">
        <v>1176</v>
      </c>
      <c r="Y185">
        <f t="shared" si="55"/>
        <v>5.4740655230635794E-2</v>
      </c>
      <c r="Z185">
        <f t="shared" si="56"/>
        <v>0.10006954430392764</v>
      </c>
      <c r="AA185" t="str">
        <f t="shared" si="57"/>
        <v>No Impact</v>
      </c>
      <c r="AB185">
        <f t="shared" si="58"/>
        <v>1.6712975170306493E-2</v>
      </c>
      <c r="AC185">
        <f t="shared" si="59"/>
        <v>4.0697336006911597E-2</v>
      </c>
      <c r="AD185" t="str">
        <f t="shared" si="60"/>
        <v>No Impact</v>
      </c>
      <c r="AE185">
        <f t="shared" si="61"/>
        <v>8.3079600318786899E-4</v>
      </c>
      <c r="AF185">
        <f t="shared" si="62"/>
        <v>4.5455757949000083E-3</v>
      </c>
      <c r="AG185" t="s">
        <v>1176</v>
      </c>
    </row>
    <row r="186" spans="1:33" customFormat="1" x14ac:dyDescent="0.3">
      <c r="A186">
        <v>302662</v>
      </c>
      <c r="B186" t="s">
        <v>376</v>
      </c>
      <c r="C186" t="s">
        <v>699</v>
      </c>
      <c r="D186" t="s">
        <v>722</v>
      </c>
      <c r="E186" s="18">
        <v>5.6</v>
      </c>
      <c r="F186" s="2">
        <f t="shared" si="43"/>
        <v>0.53333333333333321</v>
      </c>
      <c r="G186" s="10">
        <v>21.684239999999999</v>
      </c>
      <c r="H186">
        <f t="shared" si="44"/>
        <v>0.29053777029601724</v>
      </c>
      <c r="I186" s="22">
        <v>3.0999999999999996</v>
      </c>
      <c r="J186" s="2">
        <f t="shared" si="45"/>
        <v>1.590559261159569E-2</v>
      </c>
      <c r="K186" s="8">
        <v>0</v>
      </c>
      <c r="L186" s="2">
        <v>0</v>
      </c>
      <c r="M186">
        <v>31650</v>
      </c>
      <c r="N186">
        <f t="shared" si="46"/>
        <v>0.1486186616702862</v>
      </c>
      <c r="O186" s="8">
        <v>0.79457865299999997</v>
      </c>
      <c r="P186">
        <f t="shared" si="47"/>
        <v>0.7795947666438845</v>
      </c>
      <c r="Q186" s="20">
        <v>0.31040000000000001</v>
      </c>
      <c r="R186" s="10">
        <f t="shared" si="48"/>
        <v>0.67215244694673026</v>
      </c>
      <c r="S186">
        <f t="shared" si="49"/>
        <v>5.9317106429928594E-2</v>
      </c>
      <c r="T186" s="11">
        <f t="shared" si="50"/>
        <v>0.10888556712077803</v>
      </c>
      <c r="U186" t="str">
        <f t="shared" si="51"/>
        <v>No Impact</v>
      </c>
      <c r="V186">
        <f t="shared" si="52"/>
        <v>5.4927108327716495E-2</v>
      </c>
      <c r="W186">
        <f t="shared" si="53"/>
        <v>7.2349287444746488E-2</v>
      </c>
      <c r="X186" t="s">
        <v>1176</v>
      </c>
      <c r="Y186">
        <f t="shared" si="55"/>
        <v>6.3707104532140707E-2</v>
      </c>
      <c r="Z186">
        <f t="shared" si="56"/>
        <v>0.11646080765007238</v>
      </c>
      <c r="AA186" t="str">
        <f t="shared" si="57"/>
        <v>No Impact</v>
      </c>
      <c r="AB186">
        <f t="shared" si="58"/>
        <v>4.2587318171829633E-2</v>
      </c>
      <c r="AC186">
        <f t="shared" si="59"/>
        <v>0.10370328320426855</v>
      </c>
      <c r="AD186" t="str">
        <f t="shared" si="60"/>
        <v>No Impact</v>
      </c>
      <c r="AE186">
        <f t="shared" si="61"/>
        <v>1.2144853992818999E-2</v>
      </c>
      <c r="AF186">
        <f t="shared" si="62"/>
        <v>6.6448748104857097E-2</v>
      </c>
      <c r="AG186" t="s">
        <v>1176</v>
      </c>
    </row>
    <row r="187" spans="1:33" customFormat="1" x14ac:dyDescent="0.3">
      <c r="A187">
        <v>302663</v>
      </c>
      <c r="B187" t="s">
        <v>382</v>
      </c>
      <c r="C187" t="s">
        <v>699</v>
      </c>
      <c r="D187" t="s">
        <v>723</v>
      </c>
      <c r="E187" s="18">
        <v>5.8</v>
      </c>
      <c r="F187" s="2">
        <f t="shared" si="43"/>
        <v>0.57777777777777772</v>
      </c>
      <c r="G187" s="10">
        <v>19.289160000000003</v>
      </c>
      <c r="H187">
        <f t="shared" si="44"/>
        <v>0.25844712737375741</v>
      </c>
      <c r="I187" s="22">
        <v>0.39999999999999986</v>
      </c>
      <c r="J187" s="2">
        <f t="shared" si="45"/>
        <v>2.0523345305284756E-3</v>
      </c>
      <c r="K187" s="8">
        <v>0</v>
      </c>
      <c r="L187" s="2">
        <v>0</v>
      </c>
      <c r="M187">
        <v>580</v>
      </c>
      <c r="N187">
        <f t="shared" si="46"/>
        <v>1.6134145245158573E-3</v>
      </c>
      <c r="O187" s="8">
        <v>0.46205987799999998</v>
      </c>
      <c r="P187">
        <f t="shared" si="47"/>
        <v>0.41339556249420362</v>
      </c>
      <c r="Q187" s="20">
        <v>0</v>
      </c>
      <c r="R187" s="10">
        <f t="shared" si="48"/>
        <v>0</v>
      </c>
      <c r="S187">
        <f t="shared" si="49"/>
        <v>1.5555124228707503E-2</v>
      </c>
      <c r="T187" s="11">
        <f t="shared" si="50"/>
        <v>2.8553795443103346E-2</v>
      </c>
      <c r="U187" t="str">
        <f t="shared" si="51"/>
        <v>No Impact</v>
      </c>
      <c r="V187">
        <f t="shared" si="52"/>
        <v>0</v>
      </c>
      <c r="W187">
        <f t="shared" si="53"/>
        <v>0</v>
      </c>
      <c r="X187" t="s">
        <v>1176</v>
      </c>
      <c r="Y187">
        <f t="shared" si="55"/>
        <v>3.1110248457415005E-2</v>
      </c>
      <c r="Z187">
        <f t="shared" si="56"/>
        <v>5.6871595219291068E-2</v>
      </c>
      <c r="AA187" t="str">
        <f t="shared" si="57"/>
        <v>No Impact</v>
      </c>
      <c r="AB187">
        <f t="shared" si="58"/>
        <v>9.375570891677067E-3</v>
      </c>
      <c r="AC187">
        <f t="shared" si="59"/>
        <v>2.2830211554021238E-2</v>
      </c>
      <c r="AD187" t="str">
        <f t="shared" si="60"/>
        <v>No Impact</v>
      </c>
      <c r="AE187">
        <f t="shared" si="61"/>
        <v>1.2141815557876048E-4</v>
      </c>
      <c r="AF187">
        <f t="shared" si="62"/>
        <v>6.6432123763528954E-4</v>
      </c>
      <c r="AG187" t="s">
        <v>1176</v>
      </c>
    </row>
    <row r="188" spans="1:33" customFormat="1" x14ac:dyDescent="0.3">
      <c r="A188">
        <v>302664</v>
      </c>
      <c r="B188" t="s">
        <v>394</v>
      </c>
      <c r="C188" t="s">
        <v>699</v>
      </c>
      <c r="D188" t="s">
        <v>724</v>
      </c>
      <c r="E188" s="18">
        <v>5.4</v>
      </c>
      <c r="F188" s="2">
        <f t="shared" si="43"/>
        <v>0.48888888888888893</v>
      </c>
      <c r="G188" s="10">
        <v>19.115280000000002</v>
      </c>
      <c r="H188">
        <f t="shared" si="44"/>
        <v>0.25611738432078107</v>
      </c>
      <c r="I188" s="22">
        <v>0.10000000000000005</v>
      </c>
      <c r="J188" s="2">
        <f t="shared" si="45"/>
        <v>5.1308363263211933E-4</v>
      </c>
      <c r="K188" s="8">
        <v>0</v>
      </c>
      <c r="L188" s="2">
        <v>0</v>
      </c>
      <c r="M188">
        <v>9521</v>
      </c>
      <c r="N188">
        <f t="shared" si="46"/>
        <v>4.3917048728903778E-2</v>
      </c>
      <c r="O188" s="8">
        <v>0.56633476400000005</v>
      </c>
      <c r="P188">
        <f t="shared" si="47"/>
        <v>0.52823232702275913</v>
      </c>
      <c r="Q188" s="20">
        <v>0.15140000000000001</v>
      </c>
      <c r="R188" s="10">
        <f t="shared" si="48"/>
        <v>0.32784755305326985</v>
      </c>
      <c r="S188">
        <f t="shared" si="49"/>
        <v>2.6851755361372725E-2</v>
      </c>
      <c r="T188" s="11">
        <f t="shared" si="50"/>
        <v>4.9290479368971143E-2</v>
      </c>
      <c r="U188" t="str">
        <f t="shared" si="51"/>
        <v>No Impact</v>
      </c>
      <c r="V188">
        <f t="shared" si="52"/>
        <v>2.0566497345152514E-2</v>
      </c>
      <c r="W188">
        <f t="shared" si="53"/>
        <v>2.7089928333351145E-2</v>
      </c>
      <c r="X188" t="s">
        <v>1176</v>
      </c>
      <c r="Y188">
        <f t="shared" si="55"/>
        <v>3.3137013377592929E-2</v>
      </c>
      <c r="Z188">
        <f t="shared" si="56"/>
        <v>6.0576655765586532E-2</v>
      </c>
      <c r="AA188" t="str">
        <f t="shared" si="57"/>
        <v>No Impact</v>
      </c>
      <c r="AB188">
        <f t="shared" si="58"/>
        <v>1.8103627931875949E-2</v>
      </c>
      <c r="AC188">
        <f t="shared" si="59"/>
        <v>4.4083678781301885E-2</v>
      </c>
      <c r="AD188" t="str">
        <f t="shared" si="60"/>
        <v>No Impact</v>
      </c>
      <c r="AE188">
        <f t="shared" si="61"/>
        <v>2.7549995651276822E-3</v>
      </c>
      <c r="AF188">
        <f t="shared" si="62"/>
        <v>1.5073567145426656E-2</v>
      </c>
      <c r="AG188" t="s">
        <v>1176</v>
      </c>
    </row>
    <row r="189" spans="1:33" customFormat="1" x14ac:dyDescent="0.3">
      <c r="A189">
        <v>302665</v>
      </c>
      <c r="B189" t="s">
        <v>395</v>
      </c>
      <c r="C189" t="s">
        <v>699</v>
      </c>
      <c r="D189" t="s">
        <v>725</v>
      </c>
      <c r="E189" s="18">
        <v>5.7</v>
      </c>
      <c r="F189" s="2">
        <f t="shared" si="43"/>
        <v>0.55555555555555558</v>
      </c>
      <c r="G189" s="10">
        <v>18.477720000000001</v>
      </c>
      <c r="H189">
        <f t="shared" si="44"/>
        <v>0.2475749931265345</v>
      </c>
      <c r="I189" s="22">
        <v>0.10000000000000005</v>
      </c>
      <c r="J189" s="2">
        <f t="shared" si="45"/>
        <v>5.1308363263211933E-4</v>
      </c>
      <c r="K189" s="8">
        <v>0</v>
      </c>
      <c r="L189" s="2">
        <v>0</v>
      </c>
      <c r="M189">
        <v>723</v>
      </c>
      <c r="N189">
        <f t="shared" si="46"/>
        <v>2.2900077122160558E-3</v>
      </c>
      <c r="O189" s="8">
        <v>0.70669813999999997</v>
      </c>
      <c r="P189">
        <f t="shared" si="47"/>
        <v>0.68281294155486305</v>
      </c>
      <c r="Q189" s="20">
        <v>0</v>
      </c>
      <c r="R189" s="10">
        <f t="shared" si="48"/>
        <v>0</v>
      </c>
      <c r="S189">
        <f t="shared" si="49"/>
        <v>2.3527465202307668E-2</v>
      </c>
      <c r="T189" s="11">
        <f t="shared" si="50"/>
        <v>4.3188239373980614E-2</v>
      </c>
      <c r="U189" t="str">
        <f t="shared" si="51"/>
        <v>No Impact</v>
      </c>
      <c r="V189">
        <f t="shared" si="52"/>
        <v>0</v>
      </c>
      <c r="W189">
        <f t="shared" si="53"/>
        <v>0</v>
      </c>
      <c r="X189" t="s">
        <v>1176</v>
      </c>
      <c r="Y189">
        <f t="shared" si="55"/>
        <v>4.7054930404615336E-2</v>
      </c>
      <c r="Z189">
        <f t="shared" si="56"/>
        <v>8.6019530146354717E-2</v>
      </c>
      <c r="AA189" t="str">
        <f t="shared" si="57"/>
        <v>No Impact</v>
      </c>
      <c r="AB189">
        <f t="shared" si="58"/>
        <v>1.417171336115698E-2</v>
      </c>
      <c r="AC189">
        <f t="shared" si="59"/>
        <v>3.4509174732536105E-2</v>
      </c>
      <c r="AD189" t="str">
        <f t="shared" si="60"/>
        <v>No Impact</v>
      </c>
      <c r="AE189">
        <f t="shared" si="61"/>
        <v>1.5781211363537234E-4</v>
      </c>
      <c r="AF189">
        <f t="shared" si="62"/>
        <v>8.6344532367802385E-4</v>
      </c>
      <c r="AG189" t="s">
        <v>1176</v>
      </c>
    </row>
    <row r="190" spans="1:33" customFormat="1" x14ac:dyDescent="0.3">
      <c r="A190">
        <v>302666</v>
      </c>
      <c r="B190" t="s">
        <v>430</v>
      </c>
      <c r="C190" t="s">
        <v>699</v>
      </c>
      <c r="D190" t="s">
        <v>726</v>
      </c>
      <c r="E190" s="18">
        <v>5.7</v>
      </c>
      <c r="F190" s="2">
        <f t="shared" si="43"/>
        <v>0.55555555555555558</v>
      </c>
      <c r="G190" s="10">
        <v>18.477720000000001</v>
      </c>
      <c r="H190">
        <f t="shared" si="44"/>
        <v>0.2475749931265345</v>
      </c>
      <c r="I190" s="22">
        <v>0.10000000000000005</v>
      </c>
      <c r="J190" s="2">
        <f t="shared" si="45"/>
        <v>5.1308363263211933E-4</v>
      </c>
      <c r="K190" s="8">
        <v>0</v>
      </c>
      <c r="L190" s="2">
        <v>0</v>
      </c>
      <c r="M190">
        <v>2576</v>
      </c>
      <c r="N190">
        <f t="shared" si="46"/>
        <v>1.1057330626960583E-2</v>
      </c>
      <c r="O190" s="8">
        <v>0.81574973799999995</v>
      </c>
      <c r="P190">
        <f t="shared" si="47"/>
        <v>0.802910245530709</v>
      </c>
      <c r="Q190" s="20">
        <v>0</v>
      </c>
      <c r="R190" s="10">
        <f t="shared" si="48"/>
        <v>0</v>
      </c>
      <c r="S190">
        <f t="shared" si="49"/>
        <v>2.7665619253325533E-2</v>
      </c>
      <c r="T190" s="11">
        <f t="shared" si="50"/>
        <v>5.0784450278342622E-2</v>
      </c>
      <c r="U190" t="str">
        <f t="shared" si="51"/>
        <v>No Impact</v>
      </c>
      <c r="V190">
        <f t="shared" si="52"/>
        <v>0</v>
      </c>
      <c r="W190">
        <f t="shared" si="53"/>
        <v>0</v>
      </c>
      <c r="X190" t="s">
        <v>1176</v>
      </c>
      <c r="Y190">
        <f t="shared" si="55"/>
        <v>5.5331238506651066E-2</v>
      </c>
      <c r="Z190">
        <f t="shared" si="56"/>
        <v>0.10114916965834418</v>
      </c>
      <c r="AA190" t="str">
        <f t="shared" si="57"/>
        <v>No Impact</v>
      </c>
      <c r="AB190">
        <f t="shared" si="58"/>
        <v>1.6866070763458241E-2</v>
      </c>
      <c r="AC190">
        <f t="shared" si="59"/>
        <v>4.1070135148427937E-2</v>
      </c>
      <c r="AD190" t="str">
        <f t="shared" si="60"/>
        <v>No Impact</v>
      </c>
      <c r="AE190">
        <f t="shared" si="61"/>
        <v>7.6199774703691143E-4</v>
      </c>
      <c r="AF190">
        <f t="shared" si="62"/>
        <v>4.1691564492469862E-3</v>
      </c>
      <c r="AG190" t="s">
        <v>1176</v>
      </c>
    </row>
    <row r="191" spans="1:33" customFormat="1" x14ac:dyDescent="0.3">
      <c r="A191">
        <v>302667</v>
      </c>
      <c r="B191" t="s">
        <v>432</v>
      </c>
      <c r="C191" t="s">
        <v>699</v>
      </c>
      <c r="D191" t="s">
        <v>727</v>
      </c>
      <c r="E191" s="18">
        <v>5.8</v>
      </c>
      <c r="F191" s="2">
        <f t="shared" si="43"/>
        <v>0.57777777777777772</v>
      </c>
      <c r="G191" s="10">
        <v>18.477720000000001</v>
      </c>
      <c r="H191">
        <f t="shared" si="44"/>
        <v>0.2475749931265345</v>
      </c>
      <c r="I191" s="22">
        <v>0.10000000000000005</v>
      </c>
      <c r="J191" s="2">
        <f t="shared" si="45"/>
        <v>5.1308363263211933E-4</v>
      </c>
      <c r="K191" s="8">
        <v>0</v>
      </c>
      <c r="L191" s="2">
        <v>0</v>
      </c>
      <c r="M191">
        <v>3584</v>
      </c>
      <c r="N191">
        <f t="shared" si="46"/>
        <v>1.5826602887113028E-2</v>
      </c>
      <c r="O191" s="8">
        <v>0.65307780100000001</v>
      </c>
      <c r="P191">
        <f t="shared" si="47"/>
        <v>0.62376146252774312</v>
      </c>
      <c r="Q191" s="20">
        <v>7.8299999999999995E-2</v>
      </c>
      <c r="R191" s="10">
        <f t="shared" si="48"/>
        <v>0.16955391944564746</v>
      </c>
      <c r="S191">
        <f t="shared" si="49"/>
        <v>2.8428412621157188E-2</v>
      </c>
      <c r="T191" s="11">
        <f t="shared" si="50"/>
        <v>5.2184673476189158E-2</v>
      </c>
      <c r="U191" t="str">
        <f t="shared" si="51"/>
        <v>No Impact</v>
      </c>
      <c r="V191">
        <f t="shared" si="52"/>
        <v>1.2151910559316475E-2</v>
      </c>
      <c r="W191">
        <f t="shared" si="53"/>
        <v>1.6006341801452488E-2</v>
      </c>
      <c r="X191" t="s">
        <v>1176</v>
      </c>
      <c r="Y191">
        <f t="shared" si="55"/>
        <v>4.4704914682997907E-2</v>
      </c>
      <c r="Z191">
        <f t="shared" si="56"/>
        <v>8.1723545719816271E-2</v>
      </c>
      <c r="AA191" t="str">
        <f t="shared" si="57"/>
        <v>No Impact</v>
      </c>
      <c r="AB191">
        <f t="shared" si="58"/>
        <v>1.8061644905040627E-2</v>
      </c>
      <c r="AC191">
        <f t="shared" si="59"/>
        <v>4.3981446992389768E-2</v>
      </c>
      <c r="AD191" t="str">
        <f t="shared" si="60"/>
        <v>No Impact</v>
      </c>
      <c r="AE191">
        <f t="shared" si="61"/>
        <v>1.1342908696585394E-3</v>
      </c>
      <c r="AF191">
        <f t="shared" si="62"/>
        <v>6.2061024628328682E-3</v>
      </c>
      <c r="AG191" t="s">
        <v>1176</v>
      </c>
    </row>
    <row r="192" spans="1:33" customFormat="1" x14ac:dyDescent="0.3">
      <c r="A192">
        <v>302668</v>
      </c>
      <c r="B192" t="s">
        <v>448</v>
      </c>
      <c r="C192" t="s">
        <v>699</v>
      </c>
      <c r="D192" t="s">
        <v>728</v>
      </c>
      <c r="E192" s="18">
        <v>5.8</v>
      </c>
      <c r="F192" s="2">
        <f t="shared" si="43"/>
        <v>0.57777777777777772</v>
      </c>
      <c r="G192" s="10">
        <v>18.477720000000001</v>
      </c>
      <c r="H192">
        <f t="shared" si="44"/>
        <v>0.2475749931265345</v>
      </c>
      <c r="I192" s="22">
        <v>0.10000000000000005</v>
      </c>
      <c r="J192" s="2">
        <f t="shared" si="45"/>
        <v>5.1308363263211933E-4</v>
      </c>
      <c r="K192" s="8">
        <v>0</v>
      </c>
      <c r="L192" s="2">
        <v>0</v>
      </c>
      <c r="M192">
        <v>8555</v>
      </c>
      <c r="N192">
        <f t="shared" si="46"/>
        <v>3.9346496146257681E-2</v>
      </c>
      <c r="O192" s="8">
        <v>0.81426305499999996</v>
      </c>
      <c r="P192">
        <f t="shared" si="47"/>
        <v>0.8012729781871647</v>
      </c>
      <c r="Q192" s="20">
        <v>0.17649999999999999</v>
      </c>
      <c r="R192" s="10">
        <f t="shared" si="48"/>
        <v>0.38220008661758337</v>
      </c>
      <c r="S192">
        <f t="shared" si="49"/>
        <v>4.2409691500754708E-2</v>
      </c>
      <c r="T192" s="11">
        <f t="shared" si="50"/>
        <v>7.7849436501625971E-2</v>
      </c>
      <c r="U192" t="str">
        <f t="shared" si="51"/>
        <v>No Impact</v>
      </c>
      <c r="V192">
        <f t="shared" si="52"/>
        <v>2.7392237723108021E-2</v>
      </c>
      <c r="W192">
        <f t="shared" si="53"/>
        <v>3.6080706615023814E-2</v>
      </c>
      <c r="X192" t="s">
        <v>1176</v>
      </c>
      <c r="Y192">
        <f t="shared" si="55"/>
        <v>5.7427145278401405E-2</v>
      </c>
      <c r="Z192">
        <f t="shared" si="56"/>
        <v>0.10498062608992874</v>
      </c>
      <c r="AA192" t="str">
        <f t="shared" si="57"/>
        <v>No Impact</v>
      </c>
      <c r="AB192">
        <f t="shared" si="58"/>
        <v>2.7802412438395416E-2</v>
      </c>
      <c r="AC192">
        <f t="shared" si="59"/>
        <v>6.7700939496301946E-2</v>
      </c>
      <c r="AD192" t="str">
        <f t="shared" si="60"/>
        <v>No Impact</v>
      </c>
      <c r="AE192">
        <f t="shared" si="61"/>
        <v>2.8199590051062521E-3</v>
      </c>
      <c r="AF192">
        <f t="shared" si="62"/>
        <v>1.5428982983832025E-2</v>
      </c>
      <c r="AG192" t="s">
        <v>1176</v>
      </c>
    </row>
    <row r="193" spans="1:33" customFormat="1" x14ac:dyDescent="0.3">
      <c r="A193">
        <v>302672</v>
      </c>
      <c r="B193" t="s">
        <v>465</v>
      </c>
      <c r="C193" t="s">
        <v>699</v>
      </c>
      <c r="D193" t="s">
        <v>729</v>
      </c>
      <c r="E193" s="18">
        <v>5.7</v>
      </c>
      <c r="F193" s="2">
        <f t="shared" si="43"/>
        <v>0.55555555555555558</v>
      </c>
      <c r="G193" s="10">
        <v>23.18112</v>
      </c>
      <c r="H193">
        <f t="shared" si="44"/>
        <v>0.31059381918685697</v>
      </c>
      <c r="I193" s="22">
        <v>0.19999999999999993</v>
      </c>
      <c r="J193" s="2">
        <f t="shared" si="45"/>
        <v>1.0261672652642378E-3</v>
      </c>
      <c r="K193" s="8">
        <v>0</v>
      </c>
      <c r="L193" s="2">
        <v>0</v>
      </c>
      <c r="M193">
        <v>146872</v>
      </c>
      <c r="N193">
        <f t="shared" si="46"/>
        <v>0.69378243980449772</v>
      </c>
      <c r="O193" s="8">
        <v>0.72891504399999996</v>
      </c>
      <c r="P193">
        <f t="shared" si="47"/>
        <v>0.70728016919778292</v>
      </c>
      <c r="Q193" s="20">
        <v>0.21959999999999999</v>
      </c>
      <c r="R193" s="10">
        <f t="shared" si="48"/>
        <v>0.47553053269813772</v>
      </c>
      <c r="S193">
        <f t="shared" si="49"/>
        <v>5.1192702069476494E-2</v>
      </c>
      <c r="T193" s="11">
        <f t="shared" si="50"/>
        <v>9.3971987724396577E-2</v>
      </c>
      <c r="U193" t="str">
        <f t="shared" si="51"/>
        <v>No Impact</v>
      </c>
      <c r="V193">
        <f t="shared" si="52"/>
        <v>4.1162449488045462E-2</v>
      </c>
      <c r="W193">
        <f t="shared" si="53"/>
        <v>5.4218654151099881E-2</v>
      </c>
      <c r="X193" t="s">
        <v>1176</v>
      </c>
      <c r="Y193">
        <f t="shared" si="55"/>
        <v>6.1222954650907525E-2</v>
      </c>
      <c r="Z193">
        <f t="shared" si="56"/>
        <v>0.11191961709343218</v>
      </c>
      <c r="AA193" t="str">
        <f t="shared" si="57"/>
        <v>No Impact</v>
      </c>
      <c r="AB193">
        <f t="shared" si="58"/>
        <v>5.3792845402868439E-2</v>
      </c>
      <c r="AC193">
        <f t="shared" si="59"/>
        <v>0.13098957437679479</v>
      </c>
      <c r="AD193" t="str">
        <f t="shared" si="60"/>
        <v>No Impact</v>
      </c>
      <c r="AE193">
        <f t="shared" si="61"/>
        <v>6.0054576247943657E-2</v>
      </c>
      <c r="AF193">
        <f t="shared" si="62"/>
        <v>0.32857961174363004</v>
      </c>
      <c r="AG193" t="str">
        <f t="shared" si="63"/>
        <v>Moderate</v>
      </c>
    </row>
    <row r="194" spans="1:33" customFormat="1" x14ac:dyDescent="0.3">
      <c r="A194">
        <v>302674</v>
      </c>
      <c r="B194" t="s">
        <v>468</v>
      </c>
      <c r="C194" t="s">
        <v>699</v>
      </c>
      <c r="D194" t="s">
        <v>730</v>
      </c>
      <c r="E194" s="18">
        <v>5.8</v>
      </c>
      <c r="F194" s="2">
        <f t="shared" ref="F194:F257" si="64">(E194-$AJ$5)/$AK$5</f>
        <v>0.57777777777777772</v>
      </c>
      <c r="G194" s="10">
        <v>19.115280000000002</v>
      </c>
      <c r="H194">
        <f t="shared" ref="H194:H257" si="65">(G194-$AJ$6)/$AK$6</f>
        <v>0.25611738432078107</v>
      </c>
      <c r="I194" s="22">
        <v>9.9999999999999992E-2</v>
      </c>
      <c r="J194" s="2">
        <f t="shared" ref="J194:J257" si="66">(I194-$AJ$7)/$AK$7</f>
        <v>5.1308363263211901E-4</v>
      </c>
      <c r="K194" s="8">
        <v>0</v>
      </c>
      <c r="L194" s="2">
        <v>0</v>
      </c>
      <c r="M194">
        <v>2058</v>
      </c>
      <c r="N194">
        <f t="shared" ref="N194:N257" si="67">(M194-$AJ$9)/$AK$9</f>
        <v>8.6064546043822417E-3</v>
      </c>
      <c r="O194" s="8">
        <v>0.39071708700000002</v>
      </c>
      <c r="P194">
        <f t="shared" ref="P194:P257" si="68">(O194-$AJ$11)/$AK$11</f>
        <v>0.33482654549353347</v>
      </c>
      <c r="Q194" s="20">
        <v>0.217</v>
      </c>
      <c r="R194" s="10">
        <f t="shared" ref="R194:R257" si="69">(Q194-$AJ$12)/$AK$12</f>
        <v>0.46990038977912518</v>
      </c>
      <c r="S194">
        <f t="shared" ref="S194:S257" si="70">F194*(R194*0.5+P194*0.5)*(H194*0.5+J194*0.5)</f>
        <v>2.9830298329539998E-2</v>
      </c>
      <c r="T194" s="11">
        <f t="shared" ref="T194:T257" si="71">(S194-$AJ$10)/$AK$10</f>
        <v>5.4758047829439105E-2</v>
      </c>
      <c r="U194" t="str">
        <f t="shared" ref="U194:U257" si="72">IF(T194&gt;0.7,"High",IF(T194&gt;0.3,"Moderate",IF(T194&gt;0.15,"Low","No Impact")))</f>
        <v>No Impact</v>
      </c>
      <c r="V194">
        <f t="shared" ref="V194:V257" si="73">F194*(R194*1)*(H194*0.5+J194*0.5)</f>
        <v>3.4837329777035686E-2</v>
      </c>
      <c r="W194">
        <f t="shared" ref="W194:W257" si="74">(V194-$AJ$13)/$AK$13</f>
        <v>4.5887287035176874E-2</v>
      </c>
      <c r="X194" t="s">
        <v>1176</v>
      </c>
      <c r="Y194">
        <f t="shared" ref="Y194:Y257" si="75">F194*(P194*1)*(H194*0.5+J194*0.5)</f>
        <v>2.4823266882044306E-2</v>
      </c>
      <c r="Z194">
        <f t="shared" ref="Z194:Z257" si="76">(Y194-$AJ$14)/$AK$14</f>
        <v>4.5378576389979774E-2</v>
      </c>
      <c r="AA194" t="str">
        <f t="shared" ref="AA194:AA257" si="77">IF(Z194&gt;0.7,"High",IF(Z194&gt;0.3,"Moderate",IF(Z194&gt;0.15,"Low","No Impact")))</f>
        <v>No Impact</v>
      </c>
      <c r="AB194">
        <f t="shared" ref="AB194:AB257" si="78">F194*(R194*0.35+P194*0.3+N194*0.35)*(H194*0.5+J194*0.5)</f>
        <v>1.9863367421021738E-2</v>
      </c>
      <c r="AC194">
        <f t="shared" ref="AC194:AC257" si="79">(AB194-$AJ$15)/$AK$15</f>
        <v>4.8368775153708202E-2</v>
      </c>
      <c r="AD194" t="str">
        <f t="shared" ref="AD194:AD257" si="80">IF(AC194&gt;0.7,"High",IF(AC194&gt;0.3,"Moderate",IF(AC194&gt;0.15,"Low","No Impact")))</f>
        <v>No Impact</v>
      </c>
      <c r="AE194">
        <f t="shared" ref="AE194:AE257" si="81">F194*(N194*1)*(H194*0.5+J194*0.5)</f>
        <v>6.3806266984558872E-4</v>
      </c>
      <c r="AF194">
        <f t="shared" ref="AF194:AF257" si="82">(AE194-$AJ$16)/$AK$16</f>
        <v>3.4910642522957835E-3</v>
      </c>
      <c r="AG194" t="s">
        <v>1176</v>
      </c>
    </row>
    <row r="195" spans="1:33" customFormat="1" x14ac:dyDescent="0.3">
      <c r="A195">
        <v>302675</v>
      </c>
      <c r="B195" t="s">
        <v>470</v>
      </c>
      <c r="C195" t="s">
        <v>699</v>
      </c>
      <c r="D195" t="s">
        <v>731</v>
      </c>
      <c r="E195" s="18">
        <v>5.8</v>
      </c>
      <c r="F195" s="2">
        <f t="shared" si="64"/>
        <v>0.57777777777777772</v>
      </c>
      <c r="G195" s="10">
        <v>18.477720000000001</v>
      </c>
      <c r="H195">
        <f t="shared" si="65"/>
        <v>0.2475749931265345</v>
      </c>
      <c r="I195" s="22">
        <v>0.10000000000000005</v>
      </c>
      <c r="J195" s="2">
        <f t="shared" si="66"/>
        <v>5.1308363263211933E-4</v>
      </c>
      <c r="K195" s="8">
        <v>0</v>
      </c>
      <c r="L195" s="2">
        <v>0</v>
      </c>
      <c r="M195">
        <v>1343</v>
      </c>
      <c r="N195">
        <f t="shared" si="67"/>
        <v>5.2234886658812504E-3</v>
      </c>
      <c r="O195" s="8">
        <v>0.82661689500000002</v>
      </c>
      <c r="P195">
        <f t="shared" si="68"/>
        <v>0.81487812387011893</v>
      </c>
      <c r="Q195" s="20">
        <v>0</v>
      </c>
      <c r="R195" s="10">
        <f t="shared" si="69"/>
        <v>0</v>
      </c>
      <c r="S195">
        <f t="shared" si="70"/>
        <v>2.9201112278585826E-2</v>
      </c>
      <c r="T195" s="11">
        <f t="shared" si="71"/>
        <v>5.3603081174692424E-2</v>
      </c>
      <c r="U195" t="str">
        <f t="shared" si="72"/>
        <v>No Impact</v>
      </c>
      <c r="V195">
        <f t="shared" si="73"/>
        <v>0</v>
      </c>
      <c r="W195">
        <f t="shared" si="74"/>
        <v>0</v>
      </c>
      <c r="X195" t="s">
        <v>1176</v>
      </c>
      <c r="Y195">
        <f t="shared" si="75"/>
        <v>5.8402224557171652E-2</v>
      </c>
      <c r="Z195">
        <f t="shared" si="76"/>
        <v>0.10676313561005835</v>
      </c>
      <c r="AA195" t="str">
        <f t="shared" si="77"/>
        <v>No Impact</v>
      </c>
      <c r="AB195">
        <f t="shared" si="78"/>
        <v>1.7651695765368552E-2</v>
      </c>
      <c r="AC195">
        <f t="shared" si="79"/>
        <v>4.2983190385593596E-2</v>
      </c>
      <c r="AD195" t="str">
        <f t="shared" si="80"/>
        <v>No Impact</v>
      </c>
      <c r="AE195">
        <f t="shared" si="81"/>
        <v>3.7436685204873772E-4</v>
      </c>
      <c r="AF195">
        <f t="shared" si="82"/>
        <v>2.0482921132937179E-3</v>
      </c>
      <c r="AG195" t="s">
        <v>1176</v>
      </c>
    </row>
    <row r="196" spans="1:33" customFormat="1" x14ac:dyDescent="0.3">
      <c r="A196">
        <v>302676</v>
      </c>
      <c r="B196" t="s">
        <v>486</v>
      </c>
      <c r="C196" t="s">
        <v>699</v>
      </c>
      <c r="D196" t="s">
        <v>732</v>
      </c>
      <c r="E196" s="18">
        <v>5.8</v>
      </c>
      <c r="F196" s="2">
        <f t="shared" si="64"/>
        <v>0.57777777777777772</v>
      </c>
      <c r="G196" s="10">
        <v>18.157679999999999</v>
      </c>
      <c r="H196">
        <f t="shared" si="65"/>
        <v>0.24328691533337513</v>
      </c>
      <c r="I196" s="22">
        <v>0.19999999999999998</v>
      </c>
      <c r="J196" s="2">
        <f t="shared" si="66"/>
        <v>1.026167265264238E-3</v>
      </c>
      <c r="K196" s="8">
        <v>0</v>
      </c>
      <c r="L196" s="2">
        <v>0</v>
      </c>
      <c r="M196">
        <v>2470</v>
      </c>
      <c r="N196">
        <f t="shared" si="67"/>
        <v>1.0555800012301695E-2</v>
      </c>
      <c r="O196" s="8">
        <v>0.34470895800000001</v>
      </c>
      <c r="P196">
        <f t="shared" si="68"/>
        <v>0.28415830811591214</v>
      </c>
      <c r="Q196" s="20">
        <v>0</v>
      </c>
      <c r="R196" s="10">
        <f t="shared" si="69"/>
        <v>0</v>
      </c>
      <c r="S196">
        <f t="shared" si="70"/>
        <v>1.0027852206928464E-2</v>
      </c>
      <c r="T196" s="11">
        <f t="shared" si="71"/>
        <v>1.840764730903725E-2</v>
      </c>
      <c r="U196" t="str">
        <f t="shared" si="72"/>
        <v>No Impact</v>
      </c>
      <c r="V196">
        <f t="shared" si="73"/>
        <v>0</v>
      </c>
      <c r="W196">
        <f t="shared" si="74"/>
        <v>0</v>
      </c>
      <c r="X196" t="s">
        <v>1176</v>
      </c>
      <c r="Y196">
        <f t="shared" si="75"/>
        <v>2.0055704413856928E-2</v>
      </c>
      <c r="Z196">
        <f t="shared" si="76"/>
        <v>3.6663156349391449E-2</v>
      </c>
      <c r="AA196" t="str">
        <f t="shared" si="77"/>
        <v>No Impact</v>
      </c>
      <c r="AB196">
        <f t="shared" si="78"/>
        <v>6.2774687948985424E-3</v>
      </c>
      <c r="AC196">
        <f t="shared" si="79"/>
        <v>1.5286102816258976E-2</v>
      </c>
      <c r="AD196" t="str">
        <f t="shared" si="80"/>
        <v>No Impact</v>
      </c>
      <c r="AE196">
        <f t="shared" si="81"/>
        <v>7.450213449756082E-4</v>
      </c>
      <c r="AF196">
        <f t="shared" si="82"/>
        <v>4.0762726101357619E-3</v>
      </c>
      <c r="AG196" t="s">
        <v>1176</v>
      </c>
    </row>
    <row r="197" spans="1:33" customFormat="1" x14ac:dyDescent="0.3">
      <c r="A197">
        <v>302680</v>
      </c>
      <c r="B197" t="s">
        <v>478</v>
      </c>
      <c r="C197" t="s">
        <v>699</v>
      </c>
      <c r="D197" t="s">
        <v>1129</v>
      </c>
      <c r="E197" s="18">
        <v>5.8</v>
      </c>
      <c r="F197" s="2">
        <f t="shared" si="64"/>
        <v>0.57777777777777772</v>
      </c>
      <c r="G197" s="10">
        <v>19.115280000000002</v>
      </c>
      <c r="H197">
        <f t="shared" si="65"/>
        <v>0.25611738432078107</v>
      </c>
      <c r="I197" s="22">
        <v>0.10000000000000005</v>
      </c>
      <c r="J197" s="2">
        <f t="shared" si="66"/>
        <v>5.1308363263211933E-4</v>
      </c>
      <c r="K197" s="8">
        <v>0</v>
      </c>
      <c r="L197" s="2">
        <v>0</v>
      </c>
      <c r="M197">
        <v>2247</v>
      </c>
      <c r="N197">
        <f t="shared" si="67"/>
        <v>9.5006931531608253E-3</v>
      </c>
      <c r="O197" s="8">
        <v>0.74695859200000003</v>
      </c>
      <c r="P197">
        <f t="shared" si="68"/>
        <v>0.72715132660126058</v>
      </c>
      <c r="Q197" s="20">
        <v>0</v>
      </c>
      <c r="R197" s="10">
        <f t="shared" si="69"/>
        <v>0</v>
      </c>
      <c r="S197">
        <f t="shared" si="70"/>
        <v>2.6954660087134964E-2</v>
      </c>
      <c r="T197" s="11">
        <f t="shared" si="71"/>
        <v>4.9479376638214473E-2</v>
      </c>
      <c r="U197" t="str">
        <f t="shared" si="72"/>
        <v>No Impact</v>
      </c>
      <c r="V197">
        <f t="shared" si="73"/>
        <v>0</v>
      </c>
      <c r="W197">
        <f t="shared" si="74"/>
        <v>0</v>
      </c>
      <c r="X197" t="s">
        <v>1176</v>
      </c>
      <c r="Y197">
        <f t="shared" si="75"/>
        <v>5.3909320174269929E-2</v>
      </c>
      <c r="Z197">
        <f t="shared" si="76"/>
        <v>9.8549808745339473E-2</v>
      </c>
      <c r="AA197" t="str">
        <f t="shared" si="77"/>
        <v>No Impact</v>
      </c>
      <c r="AB197">
        <f t="shared" si="78"/>
        <v>1.6419321860069589E-2</v>
      </c>
      <c r="AC197">
        <f t="shared" si="79"/>
        <v>3.9982268383435084E-2</v>
      </c>
      <c r="AD197" t="str">
        <f t="shared" si="80"/>
        <v>No Impact</v>
      </c>
      <c r="AE197">
        <f t="shared" si="81"/>
        <v>7.0435945082459705E-4</v>
      </c>
      <c r="AF197">
        <f t="shared" si="82"/>
        <v>3.8537971515172804E-3</v>
      </c>
      <c r="AG197" t="s">
        <v>1176</v>
      </c>
    </row>
    <row r="198" spans="1:33" customFormat="1" x14ac:dyDescent="0.3">
      <c r="A198">
        <v>302688</v>
      </c>
      <c r="B198" t="s">
        <v>505</v>
      </c>
      <c r="C198" t="s">
        <v>699</v>
      </c>
      <c r="D198" t="s">
        <v>733</v>
      </c>
      <c r="E198" s="18">
        <v>5.7</v>
      </c>
      <c r="F198" s="2">
        <f t="shared" si="64"/>
        <v>0.55555555555555558</v>
      </c>
      <c r="G198" s="10">
        <v>18.157679999999999</v>
      </c>
      <c r="H198">
        <f t="shared" si="65"/>
        <v>0.24328691533337513</v>
      </c>
      <c r="I198" s="22">
        <v>0.19999999999999998</v>
      </c>
      <c r="J198" s="2">
        <f t="shared" si="66"/>
        <v>1.026167265264238E-3</v>
      </c>
      <c r="K198" s="8">
        <v>0</v>
      </c>
      <c r="L198" s="2">
        <v>0</v>
      </c>
      <c r="M198">
        <v>1739</v>
      </c>
      <c r="N198">
        <f t="shared" si="67"/>
        <v>7.0971313395125687E-3</v>
      </c>
      <c r="O198" s="8">
        <v>0.80234277700000001</v>
      </c>
      <c r="P198">
        <f t="shared" si="68"/>
        <v>0.78814530948080985</v>
      </c>
      <c r="Q198" s="20">
        <v>0.04</v>
      </c>
      <c r="R198" s="10">
        <f t="shared" si="69"/>
        <v>8.6617583369424003E-2</v>
      </c>
      <c r="S198">
        <f t="shared" si="70"/>
        <v>2.9682780402103325E-2</v>
      </c>
      <c r="T198" s="11">
        <f t="shared" si="71"/>
        <v>5.448725624575998E-2</v>
      </c>
      <c r="U198" t="str">
        <f t="shared" si="72"/>
        <v>No Impact</v>
      </c>
      <c r="V198">
        <f t="shared" si="73"/>
        <v>5.8782802222857276E-3</v>
      </c>
      <c r="W198">
        <f t="shared" si="74"/>
        <v>7.7427958330789316E-3</v>
      </c>
      <c r="X198" t="s">
        <v>1176</v>
      </c>
      <c r="Y198">
        <f t="shared" si="75"/>
        <v>5.3487280581920919E-2</v>
      </c>
      <c r="Z198">
        <f t="shared" si="76"/>
        <v>9.7778292410603596E-2</v>
      </c>
      <c r="AA198" t="str">
        <f t="shared" si="77"/>
        <v>No Impact</v>
      </c>
      <c r="AB198">
        <f t="shared" si="78"/>
        <v>1.8272158005794976E-2</v>
      </c>
      <c r="AC198">
        <f t="shared" si="79"/>
        <v>4.4494062029985099E-2</v>
      </c>
      <c r="AD198" t="str">
        <f t="shared" si="80"/>
        <v>No Impact</v>
      </c>
      <c r="AE198">
        <f t="shared" si="81"/>
        <v>4.8164500976770173E-4</v>
      </c>
      <c r="AF198">
        <f t="shared" si="82"/>
        <v>2.6352484722285811E-3</v>
      </c>
      <c r="AG198" t="s">
        <v>1176</v>
      </c>
    </row>
    <row r="199" spans="1:33" customFormat="1" x14ac:dyDescent="0.3">
      <c r="A199">
        <v>302690</v>
      </c>
      <c r="B199" t="s">
        <v>515</v>
      </c>
      <c r="C199" t="s">
        <v>699</v>
      </c>
      <c r="D199" t="s">
        <v>734</v>
      </c>
      <c r="E199" s="18">
        <v>5.8</v>
      </c>
      <c r="F199" s="2">
        <f t="shared" si="64"/>
        <v>0.57777777777777772</v>
      </c>
      <c r="G199" s="10">
        <v>18.477720000000001</v>
      </c>
      <c r="H199">
        <f t="shared" si="65"/>
        <v>0.2475749931265345</v>
      </c>
      <c r="I199" s="22">
        <v>0.10000000000000005</v>
      </c>
      <c r="J199" s="2">
        <f t="shared" si="66"/>
        <v>5.1308363263211933E-4</v>
      </c>
      <c r="K199" s="8">
        <v>0</v>
      </c>
      <c r="L199" s="2">
        <v>0</v>
      </c>
      <c r="M199">
        <v>1906</v>
      </c>
      <c r="N199">
        <f t="shared" si="67"/>
        <v>7.8872786286449687E-3</v>
      </c>
      <c r="O199" s="8">
        <v>0.79507423399999999</v>
      </c>
      <c r="P199">
        <f t="shared" si="68"/>
        <v>0.78014054445084202</v>
      </c>
      <c r="Q199" s="20">
        <v>0</v>
      </c>
      <c r="R199" s="10">
        <f t="shared" si="69"/>
        <v>0</v>
      </c>
      <c r="S199">
        <f t="shared" si="70"/>
        <v>2.7956293050784006E-2</v>
      </c>
      <c r="T199" s="11">
        <f t="shared" si="71"/>
        <v>5.1318026226131047E-2</v>
      </c>
      <c r="U199" t="str">
        <f t="shared" si="72"/>
        <v>No Impact</v>
      </c>
      <c r="V199">
        <f t="shared" si="73"/>
        <v>0</v>
      </c>
      <c r="W199">
        <f t="shared" si="74"/>
        <v>0</v>
      </c>
      <c r="X199" t="s">
        <v>1176</v>
      </c>
      <c r="Y199">
        <f t="shared" si="75"/>
        <v>5.5912586101568011E-2</v>
      </c>
      <c r="Z199">
        <f t="shared" si="76"/>
        <v>0.10221191157585351</v>
      </c>
      <c r="AA199" t="str">
        <f t="shared" si="77"/>
        <v>No Impact</v>
      </c>
      <c r="AB199">
        <f t="shared" si="78"/>
        <v>1.6971623964372431E-2</v>
      </c>
      <c r="AC199">
        <f t="shared" si="79"/>
        <v>4.1327165033318923E-2</v>
      </c>
      <c r="AD199" t="str">
        <f t="shared" si="80"/>
        <v>No Impact</v>
      </c>
      <c r="AE199">
        <f t="shared" si="81"/>
        <v>5.6528038257721539E-4</v>
      </c>
      <c r="AF199">
        <f t="shared" si="82"/>
        <v>3.0928468775911484E-3</v>
      </c>
      <c r="AG199" t="s">
        <v>1176</v>
      </c>
    </row>
    <row r="200" spans="1:33" customFormat="1" x14ac:dyDescent="0.3">
      <c r="A200">
        <v>302692</v>
      </c>
      <c r="B200" t="s">
        <v>516</v>
      </c>
      <c r="C200" t="s">
        <v>699</v>
      </c>
      <c r="D200" t="s">
        <v>735</v>
      </c>
      <c r="E200" s="18">
        <v>5.7</v>
      </c>
      <c r="F200" s="2">
        <f t="shared" si="64"/>
        <v>0.55555555555555558</v>
      </c>
      <c r="G200" s="10">
        <v>18.477720000000001</v>
      </c>
      <c r="H200">
        <f t="shared" si="65"/>
        <v>0.2475749931265345</v>
      </c>
      <c r="I200" s="22">
        <v>0.10000000000000005</v>
      </c>
      <c r="J200" s="2">
        <f t="shared" si="66"/>
        <v>5.1308363263211933E-4</v>
      </c>
      <c r="K200" s="8">
        <v>0</v>
      </c>
      <c r="L200" s="2">
        <v>0</v>
      </c>
      <c r="M200">
        <v>1942</v>
      </c>
      <c r="N200">
        <f t="shared" si="67"/>
        <v>8.0576097807932706E-3</v>
      </c>
      <c r="O200" s="8">
        <v>0.62585864599999996</v>
      </c>
      <c r="P200">
        <f t="shared" si="68"/>
        <v>0.59378531186188432</v>
      </c>
      <c r="Q200" s="20">
        <v>0</v>
      </c>
      <c r="R200" s="10">
        <f t="shared" si="69"/>
        <v>0</v>
      </c>
      <c r="S200">
        <f t="shared" si="70"/>
        <v>2.0459868892730118E-2</v>
      </c>
      <c r="T200" s="11">
        <f t="shared" si="71"/>
        <v>3.7557199966140785E-2</v>
      </c>
      <c r="U200" t="str">
        <f t="shared" si="72"/>
        <v>No Impact</v>
      </c>
      <c r="V200">
        <f t="shared" si="73"/>
        <v>0</v>
      </c>
      <c r="W200">
        <f t="shared" si="74"/>
        <v>0</v>
      </c>
      <c r="X200" t="s">
        <v>1176</v>
      </c>
      <c r="Y200">
        <f t="shared" si="75"/>
        <v>4.0919737785460236E-2</v>
      </c>
      <c r="Z200">
        <f t="shared" si="76"/>
        <v>7.4803991584951574E-2</v>
      </c>
      <c r="AA200" t="str">
        <f t="shared" si="77"/>
        <v>No Impact</v>
      </c>
      <c r="AB200">
        <f t="shared" si="78"/>
        <v>1.2470268257812377E-2</v>
      </c>
      <c r="AC200">
        <f t="shared" si="79"/>
        <v>3.0366029519758298E-2</v>
      </c>
      <c r="AD200" t="str">
        <f t="shared" si="80"/>
        <v>No Impact</v>
      </c>
      <c r="AE200">
        <f t="shared" si="81"/>
        <v>5.5527692049801456E-4</v>
      </c>
      <c r="AF200">
        <f t="shared" si="82"/>
        <v>3.0381144343464344E-3</v>
      </c>
      <c r="AG200" t="s">
        <v>1176</v>
      </c>
    </row>
    <row r="201" spans="1:33" customFormat="1" x14ac:dyDescent="0.3">
      <c r="A201">
        <v>302693</v>
      </c>
      <c r="B201" t="s">
        <v>526</v>
      </c>
      <c r="C201" t="s">
        <v>699</v>
      </c>
      <c r="D201" t="s">
        <v>736</v>
      </c>
      <c r="E201" s="18">
        <v>5.8</v>
      </c>
      <c r="F201" s="2">
        <f t="shared" si="64"/>
        <v>0.57777777777777772</v>
      </c>
      <c r="G201" s="10">
        <v>20.945520000000002</v>
      </c>
      <c r="H201">
        <f t="shared" si="65"/>
        <v>0.28063997993430417</v>
      </c>
      <c r="I201" s="22">
        <v>0.10000000000000005</v>
      </c>
      <c r="J201" s="2">
        <f t="shared" si="66"/>
        <v>5.1308363263211933E-4</v>
      </c>
      <c r="K201" s="8">
        <v>0</v>
      </c>
      <c r="L201" s="2">
        <v>0</v>
      </c>
      <c r="M201">
        <v>15432</v>
      </c>
      <c r="N201">
        <f t="shared" si="67"/>
        <v>7.1884477627476309E-2</v>
      </c>
      <c r="O201" s="8">
        <v>0.70445228500000001</v>
      </c>
      <c r="P201">
        <f t="shared" si="68"/>
        <v>0.680339606587129</v>
      </c>
      <c r="Q201" s="20">
        <v>0.16</v>
      </c>
      <c r="R201" s="10">
        <f t="shared" si="69"/>
        <v>0.34647033347769601</v>
      </c>
      <c r="S201">
        <f t="shared" si="70"/>
        <v>4.1699776495030011E-2</v>
      </c>
      <c r="T201" s="11">
        <f t="shared" si="71"/>
        <v>7.6546279576781742E-2</v>
      </c>
      <c r="U201" t="str">
        <f t="shared" si="72"/>
        <v>No Impact</v>
      </c>
      <c r="V201">
        <f t="shared" si="73"/>
        <v>2.8141012088890215E-2</v>
      </c>
      <c r="W201">
        <f t="shared" si="74"/>
        <v>3.7066982671975779E-2</v>
      </c>
      <c r="X201" t="s">
        <v>1176</v>
      </c>
      <c r="Y201">
        <f t="shared" si="75"/>
        <v>5.5258540901169807E-2</v>
      </c>
      <c r="Z201">
        <f t="shared" si="76"/>
        <v>0.10101627361934272</v>
      </c>
      <c r="AA201" t="str">
        <f t="shared" si="77"/>
        <v>No Impact</v>
      </c>
      <c r="AB201">
        <f t="shared" si="78"/>
        <v>2.8470426769036428E-2</v>
      </c>
      <c r="AC201">
        <f t="shared" si="79"/>
        <v>6.9327604012613259E-2</v>
      </c>
      <c r="AD201" t="str">
        <f t="shared" si="80"/>
        <v>No Impact</v>
      </c>
      <c r="AE201">
        <f t="shared" si="81"/>
        <v>5.8386007644968914E-3</v>
      </c>
      <c r="AF201">
        <f t="shared" si="82"/>
        <v>3.194502887513323E-2</v>
      </c>
      <c r="AG201" t="s">
        <v>1176</v>
      </c>
    </row>
    <row r="202" spans="1:33" customFormat="1" x14ac:dyDescent="0.3">
      <c r="A202">
        <v>302695</v>
      </c>
      <c r="B202" t="s">
        <v>531</v>
      </c>
      <c r="C202" t="s">
        <v>699</v>
      </c>
      <c r="D202" t="s">
        <v>737</v>
      </c>
      <c r="E202" s="18">
        <v>5.7</v>
      </c>
      <c r="F202" s="2">
        <f t="shared" si="64"/>
        <v>0.55555555555555558</v>
      </c>
      <c r="G202" s="10">
        <v>20.945520000000002</v>
      </c>
      <c r="H202">
        <f t="shared" si="65"/>
        <v>0.28063997993430417</v>
      </c>
      <c r="I202" s="22">
        <v>0.10000000000000005</v>
      </c>
      <c r="J202" s="2">
        <f t="shared" si="66"/>
        <v>5.1308363263211933E-4</v>
      </c>
      <c r="K202" s="8">
        <v>0</v>
      </c>
      <c r="L202" s="2">
        <v>0</v>
      </c>
      <c r="M202">
        <v>7916</v>
      </c>
      <c r="N202">
        <f t="shared" si="67"/>
        <v>3.632311819562533E-2</v>
      </c>
      <c r="O202" s="8">
        <v>0.81122422100000002</v>
      </c>
      <c r="P202">
        <f t="shared" si="68"/>
        <v>0.79792634432463172</v>
      </c>
      <c r="Q202" s="20">
        <v>0.1075</v>
      </c>
      <c r="R202" s="10">
        <f t="shared" si="69"/>
        <v>0.232784755305327</v>
      </c>
      <c r="S202">
        <f t="shared" si="70"/>
        <v>4.0248275460195639E-2</v>
      </c>
      <c r="T202" s="11">
        <f t="shared" si="71"/>
        <v>7.3881828748570175E-2</v>
      </c>
      <c r="U202" t="str">
        <f t="shared" si="72"/>
        <v>No Impact</v>
      </c>
      <c r="V202">
        <f t="shared" si="73"/>
        <v>1.8180040862714533E-2</v>
      </c>
      <c r="W202">
        <f t="shared" si="74"/>
        <v>2.3946518252628585E-2</v>
      </c>
      <c r="X202" t="s">
        <v>1176</v>
      </c>
      <c r="Y202">
        <f t="shared" si="75"/>
        <v>6.2316510057676751E-2</v>
      </c>
      <c r="Z202">
        <f t="shared" si="76"/>
        <v>0.11391870882453095</v>
      </c>
      <c r="AA202" t="str">
        <f t="shared" si="77"/>
        <v>No Impact</v>
      </c>
      <c r="AB202">
        <f t="shared" si="78"/>
        <v>2.6050835259711833E-2</v>
      </c>
      <c r="AC202">
        <f t="shared" si="79"/>
        <v>6.3435718956180928E-2</v>
      </c>
      <c r="AD202" t="str">
        <f t="shared" si="80"/>
        <v>No Impact</v>
      </c>
      <c r="AE202">
        <f t="shared" si="81"/>
        <v>2.8367655441677748E-3</v>
      </c>
      <c r="AF202">
        <f t="shared" si="82"/>
        <v>1.5520937443002461E-2</v>
      </c>
      <c r="AG202" t="s">
        <v>1176</v>
      </c>
    </row>
    <row r="203" spans="1:33" customFormat="1" x14ac:dyDescent="0.3">
      <c r="A203">
        <v>302696</v>
      </c>
      <c r="B203" t="s">
        <v>530</v>
      </c>
      <c r="C203" t="s">
        <v>699</v>
      </c>
      <c r="D203" t="s">
        <v>738</v>
      </c>
      <c r="E203" s="18">
        <v>5.8</v>
      </c>
      <c r="F203" s="2">
        <f t="shared" si="64"/>
        <v>0.57777777777777772</v>
      </c>
      <c r="G203" s="10">
        <v>20.945520000000002</v>
      </c>
      <c r="H203">
        <f t="shared" si="65"/>
        <v>0.28063997993430417</v>
      </c>
      <c r="I203" s="22">
        <v>0.10000000000000005</v>
      </c>
      <c r="J203" s="2">
        <f t="shared" si="66"/>
        <v>5.1308363263211933E-4</v>
      </c>
      <c r="K203" s="8">
        <v>0</v>
      </c>
      <c r="L203" s="2">
        <v>0</v>
      </c>
      <c r="M203">
        <v>14687</v>
      </c>
      <c r="N203">
        <f t="shared" si="67"/>
        <v>6.8359569062185072E-2</v>
      </c>
      <c r="O203" s="8">
        <v>0.76579187400000004</v>
      </c>
      <c r="P203">
        <f t="shared" si="68"/>
        <v>0.7478922092173671</v>
      </c>
      <c r="Q203" s="20">
        <v>0.24560000000000001</v>
      </c>
      <c r="R203" s="10">
        <f t="shared" si="69"/>
        <v>0.53183196188826332</v>
      </c>
      <c r="S203">
        <f t="shared" si="70"/>
        <v>5.1970875843900893E-2</v>
      </c>
      <c r="T203" s="11">
        <f t="shared" si="71"/>
        <v>9.5400443996902229E-2</v>
      </c>
      <c r="U203" t="str">
        <f t="shared" si="72"/>
        <v>No Impact</v>
      </c>
      <c r="V203">
        <f t="shared" si="73"/>
        <v>4.3196453556446475E-2</v>
      </c>
      <c r="W203">
        <f t="shared" si="74"/>
        <v>5.6897818401482815E-2</v>
      </c>
      <c r="X203" t="s">
        <v>1176</v>
      </c>
      <c r="Y203">
        <f t="shared" si="75"/>
        <v>6.0745298131355305E-2</v>
      </c>
      <c r="Z203">
        <f t="shared" si="76"/>
        <v>0.1110464293311739</v>
      </c>
      <c r="AA203" t="str">
        <f t="shared" si="77"/>
        <v>No Impact</v>
      </c>
      <c r="AB203">
        <f t="shared" si="78"/>
        <v>3.528565341327547E-2</v>
      </c>
      <c r="AC203">
        <f t="shared" si="79"/>
        <v>8.5923187137551649E-2</v>
      </c>
      <c r="AD203" t="str">
        <f t="shared" si="80"/>
        <v>No Impact</v>
      </c>
      <c r="AE203">
        <f t="shared" si="81"/>
        <v>5.5523006546074572E-3</v>
      </c>
      <c r="AF203">
        <f t="shared" si="82"/>
        <v>3.0378580740336007E-2</v>
      </c>
      <c r="AG203" t="s">
        <v>1176</v>
      </c>
    </row>
    <row r="204" spans="1:33" customFormat="1" x14ac:dyDescent="0.3">
      <c r="A204">
        <v>302903</v>
      </c>
      <c r="B204" t="s">
        <v>9</v>
      </c>
      <c r="C204" t="s">
        <v>740</v>
      </c>
      <c r="D204" t="s">
        <v>739</v>
      </c>
      <c r="E204" s="18">
        <v>5.4</v>
      </c>
      <c r="F204" s="2">
        <f t="shared" si="64"/>
        <v>0.48888888888888893</v>
      </c>
      <c r="G204" s="10">
        <v>36.419760000000004</v>
      </c>
      <c r="H204">
        <f t="shared" si="65"/>
        <v>0.48797264119545247</v>
      </c>
      <c r="I204" s="22">
        <v>7.7</v>
      </c>
      <c r="J204" s="2">
        <f t="shared" si="66"/>
        <v>3.9507439712673169E-2</v>
      </c>
      <c r="K204" s="8">
        <v>0</v>
      </c>
      <c r="L204" s="2">
        <v>0</v>
      </c>
      <c r="M204">
        <v>9951</v>
      </c>
      <c r="N204">
        <f t="shared" si="67"/>
        <v>4.5951559712897383E-2</v>
      </c>
      <c r="O204" s="8">
        <v>0.92279505299999998</v>
      </c>
      <c r="P204">
        <f t="shared" si="68"/>
        <v>0.92079805250026103</v>
      </c>
      <c r="Q204" s="20">
        <v>0.25619999999999998</v>
      </c>
      <c r="R204" s="10">
        <f t="shared" si="69"/>
        <v>0.55478562148116062</v>
      </c>
      <c r="S204">
        <f t="shared" si="70"/>
        <v>9.513056614580806E-2</v>
      </c>
      <c r="T204" s="11">
        <f t="shared" si="71"/>
        <v>0.17462661732401477</v>
      </c>
      <c r="U204" t="str">
        <f t="shared" si="72"/>
        <v>Low</v>
      </c>
      <c r="V204">
        <f t="shared" si="73"/>
        <v>7.1533822434689365E-2</v>
      </c>
      <c r="W204">
        <f t="shared" si="74"/>
        <v>9.4223439735261871E-2</v>
      </c>
      <c r="X204" t="s">
        <v>1176</v>
      </c>
      <c r="Y204">
        <f t="shared" si="75"/>
        <v>0.11872730985692677</v>
      </c>
      <c r="Z204">
        <f t="shared" si="76"/>
        <v>0.21704138804616724</v>
      </c>
      <c r="AA204" t="str">
        <f t="shared" si="77"/>
        <v>Low</v>
      </c>
      <c r="AB204">
        <f t="shared" si="78"/>
        <v>6.272877191756536E-2</v>
      </c>
      <c r="AC204">
        <f t="shared" si="79"/>
        <v>0.15274921921536375</v>
      </c>
      <c r="AD204" t="str">
        <f t="shared" si="80"/>
        <v>Low</v>
      </c>
      <c r="AE204">
        <f t="shared" si="81"/>
        <v>5.9249745952744542E-3</v>
      </c>
      <c r="AF204">
        <f t="shared" si="82"/>
        <v>3.24176103427724E-2</v>
      </c>
      <c r="AG204" t="s">
        <v>1176</v>
      </c>
    </row>
    <row r="205" spans="1:33" customFormat="1" x14ac:dyDescent="0.3">
      <c r="A205">
        <v>302910</v>
      </c>
      <c r="B205" t="s">
        <v>67</v>
      </c>
      <c r="C205" t="s">
        <v>740</v>
      </c>
      <c r="D205" t="s">
        <v>741</v>
      </c>
      <c r="E205" s="18">
        <v>5.4</v>
      </c>
      <c r="F205" s="2">
        <f t="shared" si="64"/>
        <v>0.48888888888888893</v>
      </c>
      <c r="G205" s="10">
        <v>25.864560000000001</v>
      </c>
      <c r="H205">
        <f t="shared" si="65"/>
        <v>0.34654807325908388</v>
      </c>
      <c r="I205" s="22">
        <v>13.2</v>
      </c>
      <c r="J205" s="2">
        <f t="shared" si="66"/>
        <v>6.7727039507439718E-2</v>
      </c>
      <c r="K205" s="8">
        <v>0</v>
      </c>
      <c r="L205" s="2">
        <v>0</v>
      </c>
      <c r="M205">
        <v>18588</v>
      </c>
      <c r="N205">
        <f t="shared" si="67"/>
        <v>8.6816841965810757E-2</v>
      </c>
      <c r="O205" s="8">
        <v>0.93174542000000005</v>
      </c>
      <c r="P205">
        <f t="shared" si="68"/>
        <v>0.93065499147234643</v>
      </c>
      <c r="Q205" s="20">
        <v>0.26469999999999999</v>
      </c>
      <c r="R205" s="10">
        <f t="shared" si="69"/>
        <v>0.57319185794716332</v>
      </c>
      <c r="S205">
        <f t="shared" si="70"/>
        <v>7.6145217271059287E-2</v>
      </c>
      <c r="T205" s="11">
        <f t="shared" si="71"/>
        <v>0.13977612302933998</v>
      </c>
      <c r="U205" t="str">
        <f t="shared" si="72"/>
        <v>No Impact</v>
      </c>
      <c r="V205">
        <f t="shared" si="73"/>
        <v>5.8045563054823494E-2</v>
      </c>
      <c r="W205">
        <f t="shared" si="74"/>
        <v>7.6456876289379777E-2</v>
      </c>
      <c r="X205" t="s">
        <v>1176</v>
      </c>
      <c r="Y205">
        <f t="shared" si="75"/>
        <v>9.4244871487295087E-2</v>
      </c>
      <c r="Z205">
        <f t="shared" si="76"/>
        <v>0.17228586875660429</v>
      </c>
      <c r="AA205" t="str">
        <f t="shared" si="77"/>
        <v>Low</v>
      </c>
      <c r="AB205">
        <f t="shared" si="78"/>
        <v>5.166650450276266E-2</v>
      </c>
      <c r="AC205">
        <f t="shared" si="79"/>
        <v>0.12581177633694662</v>
      </c>
      <c r="AD205" t="str">
        <f t="shared" si="80"/>
        <v>No Impact</v>
      </c>
      <c r="AE205">
        <f t="shared" si="81"/>
        <v>8.7917028211025976E-3</v>
      </c>
      <c r="AF205">
        <f t="shared" si="82"/>
        <v>4.8102484107065593E-2</v>
      </c>
      <c r="AG205" t="s">
        <v>1176</v>
      </c>
    </row>
    <row r="206" spans="1:33" customFormat="1" x14ac:dyDescent="0.3">
      <c r="A206">
        <v>302918</v>
      </c>
      <c r="B206" t="s">
        <v>84</v>
      </c>
      <c r="C206" t="s">
        <v>740</v>
      </c>
      <c r="D206" t="s">
        <v>742</v>
      </c>
      <c r="E206" s="18">
        <v>5.5</v>
      </c>
      <c r="F206" s="2">
        <f t="shared" si="64"/>
        <v>0.51111111111111107</v>
      </c>
      <c r="G206" s="10">
        <v>32.87124</v>
      </c>
      <c r="H206">
        <f t="shared" si="65"/>
        <v>0.4404275536733247</v>
      </c>
      <c r="I206" s="22">
        <v>8</v>
      </c>
      <c r="J206" s="2">
        <f t="shared" si="66"/>
        <v>4.1046690610569529E-2</v>
      </c>
      <c r="K206" s="8">
        <v>0</v>
      </c>
      <c r="L206" s="2">
        <v>0</v>
      </c>
      <c r="M206">
        <v>27398</v>
      </c>
      <c r="N206">
        <f t="shared" si="67"/>
        <v>0.12850066003321459</v>
      </c>
      <c r="O206" s="8">
        <v>0.96372172199999995</v>
      </c>
      <c r="P206">
        <f t="shared" si="68"/>
        <v>0.96587013487003814</v>
      </c>
      <c r="Q206" s="20">
        <v>0.28249999999999997</v>
      </c>
      <c r="R206" s="10">
        <f t="shared" si="69"/>
        <v>0.61173668254655689</v>
      </c>
      <c r="S206">
        <f t="shared" si="70"/>
        <v>9.7057067524632307E-2</v>
      </c>
      <c r="T206" s="11">
        <f t="shared" si="71"/>
        <v>0.17816300350023595</v>
      </c>
      <c r="U206" t="str">
        <f t="shared" si="72"/>
        <v>Low</v>
      </c>
      <c r="V206">
        <f t="shared" si="73"/>
        <v>7.5270172326514659E-2</v>
      </c>
      <c r="W206">
        <f t="shared" si="74"/>
        <v>9.9144912220304554E-2</v>
      </c>
      <c r="X206" t="s">
        <v>1176</v>
      </c>
      <c r="Y206">
        <f t="shared" si="75"/>
        <v>0.11884396272274994</v>
      </c>
      <c r="Z206">
        <f t="shared" si="76"/>
        <v>0.21725463721308877</v>
      </c>
      <c r="AA206" t="str">
        <f t="shared" si="77"/>
        <v>Low</v>
      </c>
      <c r="AB206">
        <f t="shared" si="78"/>
        <v>6.7531655279380251E-2</v>
      </c>
      <c r="AC206">
        <f t="shared" si="79"/>
        <v>0.16444459696743885</v>
      </c>
      <c r="AD206" t="str">
        <f t="shared" si="80"/>
        <v>Low</v>
      </c>
      <c r="AE206">
        <f t="shared" si="81"/>
        <v>1.5811160423643254E-2</v>
      </c>
      <c r="AF206">
        <f t="shared" si="82"/>
        <v>8.6508394160800375E-2</v>
      </c>
      <c r="AG206" t="s">
        <v>1176</v>
      </c>
    </row>
    <row r="207" spans="1:33" customFormat="1" x14ac:dyDescent="0.3">
      <c r="A207">
        <v>302921</v>
      </c>
      <c r="B207" t="s">
        <v>99</v>
      </c>
      <c r="C207" t="s">
        <v>740</v>
      </c>
      <c r="D207" t="s">
        <v>743</v>
      </c>
      <c r="E207" s="18">
        <v>5.4</v>
      </c>
      <c r="F207" s="2">
        <f t="shared" si="64"/>
        <v>0.48888888888888893</v>
      </c>
      <c r="G207" s="10">
        <v>24.177959999999999</v>
      </c>
      <c r="H207">
        <f t="shared" si="65"/>
        <v>0.32395004799367161</v>
      </c>
      <c r="I207" s="22">
        <v>1.8</v>
      </c>
      <c r="J207" s="2">
        <f t="shared" si="66"/>
        <v>9.2355053873781432E-3</v>
      </c>
      <c r="K207" s="8">
        <v>0</v>
      </c>
      <c r="L207" s="2">
        <v>0</v>
      </c>
      <c r="M207">
        <v>8877</v>
      </c>
      <c r="N207">
        <f t="shared" si="67"/>
        <v>4.0870013673806382E-2</v>
      </c>
      <c r="O207" s="8">
        <v>0.64947396999999996</v>
      </c>
      <c r="P207">
        <f t="shared" si="68"/>
        <v>0.61979260379460854</v>
      </c>
      <c r="Q207" s="20">
        <v>0.22500000000000001</v>
      </c>
      <c r="R207" s="10">
        <f t="shared" si="69"/>
        <v>0.48722390645301</v>
      </c>
      <c r="S207">
        <f t="shared" si="70"/>
        <v>4.5080677713965837E-2</v>
      </c>
      <c r="T207" s="11">
        <f t="shared" si="71"/>
        <v>8.2752437779020263E-2</v>
      </c>
      <c r="U207" t="str">
        <f t="shared" si="72"/>
        <v>No Impact</v>
      </c>
      <c r="V207">
        <f t="shared" si="73"/>
        <v>3.968212524027228E-2</v>
      </c>
      <c r="W207">
        <f t="shared" si="74"/>
        <v>5.2268789907845579E-2</v>
      </c>
      <c r="X207" t="s">
        <v>1176</v>
      </c>
      <c r="Y207">
        <f t="shared" si="75"/>
        <v>5.0479230187659388E-2</v>
      </c>
      <c r="Z207">
        <f t="shared" si="76"/>
        <v>9.2279377007988217E-2</v>
      </c>
      <c r="AA207" t="str">
        <f t="shared" si="77"/>
        <v>No Impact</v>
      </c>
      <c r="AB207">
        <f t="shared" si="78"/>
        <v>3.0197548396437627E-2</v>
      </c>
      <c r="AC207">
        <f t="shared" si="79"/>
        <v>7.3533273468763205E-2</v>
      </c>
      <c r="AD207" t="str">
        <f t="shared" si="80"/>
        <v>No Impact</v>
      </c>
      <c r="AE207">
        <f t="shared" si="81"/>
        <v>3.3286728744129058E-3</v>
      </c>
      <c r="AF207">
        <f t="shared" si="82"/>
        <v>1.8212334663398718E-2</v>
      </c>
      <c r="AG207" t="s">
        <v>1176</v>
      </c>
    </row>
    <row r="208" spans="1:33" customFormat="1" x14ac:dyDescent="0.3">
      <c r="A208">
        <v>302947</v>
      </c>
      <c r="B208" t="s">
        <v>163</v>
      </c>
      <c r="C208" t="s">
        <v>740</v>
      </c>
      <c r="D208" t="s">
        <v>744</v>
      </c>
      <c r="E208" s="18">
        <v>5.5</v>
      </c>
      <c r="F208" s="2">
        <f t="shared" si="64"/>
        <v>0.51111111111111107</v>
      </c>
      <c r="G208" s="10">
        <v>24.8184</v>
      </c>
      <c r="H208">
        <f t="shared" si="65"/>
        <v>0.33253102706457199</v>
      </c>
      <c r="I208" s="22">
        <v>1.3000000000000003</v>
      </c>
      <c r="J208" s="2">
        <f t="shared" si="66"/>
        <v>6.6700872242175498E-3</v>
      </c>
      <c r="K208" s="8">
        <v>0</v>
      </c>
      <c r="L208" s="2">
        <v>0</v>
      </c>
      <c r="M208">
        <v>53061</v>
      </c>
      <c r="N208">
        <f t="shared" si="67"/>
        <v>0.24992311441048862</v>
      </c>
      <c r="O208" s="8">
        <v>0.72030687100000002</v>
      </c>
      <c r="P208">
        <f t="shared" si="68"/>
        <v>0.69780008464681953</v>
      </c>
      <c r="Q208" s="20">
        <v>0.26669999999999999</v>
      </c>
      <c r="R208" s="10">
        <f t="shared" si="69"/>
        <v>0.57752273711563451</v>
      </c>
      <c r="S208">
        <f t="shared" si="70"/>
        <v>5.5275506728078877E-2</v>
      </c>
      <c r="T208" s="11">
        <f t="shared" si="71"/>
        <v>0.10146659640394221</v>
      </c>
      <c r="U208" t="str">
        <f t="shared" si="72"/>
        <v>No Impact</v>
      </c>
      <c r="V208">
        <f t="shared" si="73"/>
        <v>5.0062402077832246E-2</v>
      </c>
      <c r="W208">
        <f t="shared" si="74"/>
        <v>6.5941558337522924E-2</v>
      </c>
      <c r="X208" t="s">
        <v>1176</v>
      </c>
      <c r="Y208">
        <f t="shared" si="75"/>
        <v>6.0488611378325494E-2</v>
      </c>
      <c r="Z208">
        <f t="shared" si="76"/>
        <v>0.11057718894126033</v>
      </c>
      <c r="AA208" t="str">
        <f t="shared" si="77"/>
        <v>No Impact</v>
      </c>
      <c r="AB208">
        <f t="shared" si="78"/>
        <v>4.3251005264085908E-2</v>
      </c>
      <c r="AC208">
        <f t="shared" si="79"/>
        <v>0.10531941057367866</v>
      </c>
      <c r="AD208" t="str">
        <f t="shared" si="80"/>
        <v>No Impact</v>
      </c>
      <c r="AE208">
        <f t="shared" si="81"/>
        <v>2.166451749527705E-2</v>
      </c>
      <c r="AF208">
        <f t="shared" si="82"/>
        <v>0.1185341599584588</v>
      </c>
      <c r="AG208" t="s">
        <v>1176</v>
      </c>
    </row>
    <row r="209" spans="1:33" customFormat="1" x14ac:dyDescent="0.3">
      <c r="A209">
        <v>302956</v>
      </c>
      <c r="B209" t="s">
        <v>309</v>
      </c>
      <c r="C209" t="s">
        <v>740</v>
      </c>
      <c r="D209" t="s">
        <v>745</v>
      </c>
      <c r="E209" s="18">
        <v>5.5</v>
      </c>
      <c r="F209" s="2">
        <f t="shared" si="64"/>
        <v>0.51111111111111107</v>
      </c>
      <c r="G209" s="10">
        <v>34.081200000000003</v>
      </c>
      <c r="H209">
        <f t="shared" si="65"/>
        <v>0.4566392853525244</v>
      </c>
      <c r="I209" s="22">
        <v>0.5</v>
      </c>
      <c r="J209" s="2">
        <f t="shared" si="66"/>
        <v>2.5654181631605956E-3</v>
      </c>
      <c r="K209" s="8">
        <v>0</v>
      </c>
      <c r="L209" s="2">
        <v>0</v>
      </c>
      <c r="M209">
        <v>19899</v>
      </c>
      <c r="N209">
        <f t="shared" si="67"/>
        <v>9.3019734756544736E-2</v>
      </c>
      <c r="O209" s="8">
        <v>0.96441881799999996</v>
      </c>
      <c r="P209">
        <f t="shared" si="68"/>
        <v>0.96663783889040789</v>
      </c>
      <c r="Q209" s="20">
        <v>0.2848</v>
      </c>
      <c r="R209" s="10">
        <f t="shared" si="69"/>
        <v>0.61671719359029886</v>
      </c>
      <c r="S209">
        <f t="shared" si="70"/>
        <v>9.2905187776436249E-2</v>
      </c>
      <c r="T209" s="11">
        <f t="shared" si="71"/>
        <v>0.17054159699191876</v>
      </c>
      <c r="U209" t="str">
        <f t="shared" si="72"/>
        <v>Low</v>
      </c>
      <c r="V209">
        <f t="shared" si="73"/>
        <v>7.2373189209112718E-2</v>
      </c>
      <c r="W209">
        <f t="shared" si="74"/>
        <v>9.5329042958937876E-2</v>
      </c>
      <c r="X209" t="s">
        <v>1176</v>
      </c>
      <c r="Y209">
        <f t="shared" si="75"/>
        <v>0.11343718634375978</v>
      </c>
      <c r="Z209">
        <f t="shared" si="76"/>
        <v>0.20737069179593595</v>
      </c>
      <c r="AA209" t="str">
        <f t="shared" si="77"/>
        <v>Low</v>
      </c>
      <c r="AB209">
        <f t="shared" si="78"/>
        <v>6.3182400490160648E-2</v>
      </c>
      <c r="AC209">
        <f t="shared" si="79"/>
        <v>0.15385383848590789</v>
      </c>
      <c r="AD209" t="str">
        <f t="shared" si="80"/>
        <v>Low</v>
      </c>
      <c r="AE209">
        <f t="shared" si="81"/>
        <v>1.0916081039552177E-2</v>
      </c>
      <c r="AF209">
        <f t="shared" si="82"/>
        <v>5.9725701084451036E-2</v>
      </c>
      <c r="AG209" t="s">
        <v>1176</v>
      </c>
    </row>
    <row r="210" spans="1:33" customFormat="1" x14ac:dyDescent="0.3">
      <c r="A210">
        <v>302962</v>
      </c>
      <c r="B210" t="s">
        <v>358</v>
      </c>
      <c r="C210" t="s">
        <v>740</v>
      </c>
      <c r="D210" t="s">
        <v>746</v>
      </c>
      <c r="E210" s="18">
        <v>5.4</v>
      </c>
      <c r="F210" s="2">
        <f t="shared" si="64"/>
        <v>0.48888888888888893</v>
      </c>
      <c r="G210" s="10">
        <v>30.711240000000004</v>
      </c>
      <c r="H210">
        <f t="shared" si="65"/>
        <v>0.41148664618293557</v>
      </c>
      <c r="I210" s="22">
        <v>11.899999999999999</v>
      </c>
      <c r="J210" s="2">
        <f t="shared" si="66"/>
        <v>6.1056952283222166E-2</v>
      </c>
      <c r="K210" s="8">
        <v>0</v>
      </c>
      <c r="L210" s="2">
        <v>0</v>
      </c>
      <c r="M210">
        <v>16580</v>
      </c>
      <c r="N210">
        <f t="shared" si="67"/>
        <v>7.7316148812649921E-2</v>
      </c>
      <c r="O210" s="8">
        <v>0.96128024199999995</v>
      </c>
      <c r="P210">
        <f t="shared" si="68"/>
        <v>0.96318136027994961</v>
      </c>
      <c r="Q210" s="20">
        <v>0.24690000000000001</v>
      </c>
      <c r="R210" s="10">
        <f t="shared" si="69"/>
        <v>0.53464703334776964</v>
      </c>
      <c r="S210">
        <f t="shared" si="70"/>
        <v>8.6507571212287762E-2</v>
      </c>
      <c r="T210" s="11">
        <f t="shared" si="71"/>
        <v>0.15879779912761302</v>
      </c>
      <c r="U210" t="str">
        <f t="shared" si="72"/>
        <v>Low</v>
      </c>
      <c r="V210">
        <f t="shared" si="73"/>
        <v>6.1757430300478228E-2</v>
      </c>
      <c r="W210">
        <f t="shared" si="74"/>
        <v>8.1346100544738981E-2</v>
      </c>
      <c r="X210" t="s">
        <v>1176</v>
      </c>
      <c r="Y210">
        <f t="shared" si="75"/>
        <v>0.11125771212409728</v>
      </c>
      <c r="Z210">
        <f t="shared" si="76"/>
        <v>0.20338646853326436</v>
      </c>
      <c r="AA210" t="str">
        <f t="shared" si="77"/>
        <v>Low</v>
      </c>
      <c r="AB210">
        <f t="shared" si="78"/>
        <v>5.8118207954418272E-2</v>
      </c>
      <c r="AC210">
        <f t="shared" si="79"/>
        <v>0.14152215348484523</v>
      </c>
      <c r="AD210" t="str">
        <f t="shared" si="80"/>
        <v>No Impact</v>
      </c>
      <c r="AE210">
        <f t="shared" si="81"/>
        <v>8.9308391772048891E-3</v>
      </c>
      <c r="AF210">
        <f t="shared" si="82"/>
        <v>4.8863747822902398E-2</v>
      </c>
      <c r="AG210" t="s">
        <v>1176</v>
      </c>
    </row>
    <row r="211" spans="1:33" customFormat="1" x14ac:dyDescent="0.3">
      <c r="A211">
        <v>302984</v>
      </c>
      <c r="B211" t="s">
        <v>449</v>
      </c>
      <c r="C211" t="s">
        <v>740</v>
      </c>
      <c r="D211" t="s">
        <v>747</v>
      </c>
      <c r="E211" s="18">
        <v>5.4</v>
      </c>
      <c r="F211" s="2">
        <f t="shared" si="64"/>
        <v>0.48888888888888893</v>
      </c>
      <c r="G211" s="10">
        <v>23.605560000000001</v>
      </c>
      <c r="H211">
        <f t="shared" si="65"/>
        <v>0.31628070750871845</v>
      </c>
      <c r="I211" s="22">
        <v>5.0999999999999996</v>
      </c>
      <c r="J211" s="2">
        <f t="shared" si="66"/>
        <v>2.6167265264238071E-2</v>
      </c>
      <c r="K211" s="8">
        <v>0</v>
      </c>
      <c r="L211" s="2">
        <v>0</v>
      </c>
      <c r="M211">
        <v>32677</v>
      </c>
      <c r="N211">
        <f t="shared" si="67"/>
        <v>0.1534778309274058</v>
      </c>
      <c r="O211" s="8">
        <v>0.71021932499999996</v>
      </c>
      <c r="P211">
        <f t="shared" si="68"/>
        <v>0.68669078317347176</v>
      </c>
      <c r="Q211" s="20">
        <v>0.25030000000000002</v>
      </c>
      <c r="R211" s="10">
        <f t="shared" si="69"/>
        <v>0.54200952793417068</v>
      </c>
      <c r="S211">
        <f t="shared" si="70"/>
        <v>5.1426947083638277E-2</v>
      </c>
      <c r="T211" s="11">
        <f t="shared" si="71"/>
        <v>9.4401980061301113E-2</v>
      </c>
      <c r="U211" t="str">
        <f t="shared" si="72"/>
        <v>No Impact</v>
      </c>
      <c r="V211">
        <f t="shared" si="73"/>
        <v>4.5371348993589397E-2</v>
      </c>
      <c r="W211">
        <f t="shared" si="74"/>
        <v>5.9762562968141898E-2</v>
      </c>
      <c r="X211" t="s">
        <v>1176</v>
      </c>
      <c r="Y211">
        <f t="shared" si="75"/>
        <v>5.7482545173687151E-2</v>
      </c>
      <c r="Z211">
        <f t="shared" si="76"/>
        <v>0.10508190076872775</v>
      </c>
      <c r="AA211" t="str">
        <f t="shared" si="77"/>
        <v>No Impact</v>
      </c>
      <c r="AB211">
        <f t="shared" si="78"/>
        <v>3.7621379310011777E-2</v>
      </c>
      <c r="AC211">
        <f t="shared" si="79"/>
        <v>9.1610853197656203E-2</v>
      </c>
      <c r="AD211" t="str">
        <f t="shared" si="80"/>
        <v>No Impact</v>
      </c>
      <c r="AE211">
        <f t="shared" si="81"/>
        <v>1.2847553171855281E-2</v>
      </c>
      <c r="AF211">
        <f t="shared" si="82"/>
        <v>7.0293461328159793E-2</v>
      </c>
      <c r="AG211" t="s">
        <v>1176</v>
      </c>
    </row>
    <row r="212" spans="1:33" customFormat="1" x14ac:dyDescent="0.3">
      <c r="A212">
        <v>302990</v>
      </c>
      <c r="B212" t="s">
        <v>454</v>
      </c>
      <c r="C212" t="s">
        <v>740</v>
      </c>
      <c r="D212" t="s">
        <v>748</v>
      </c>
      <c r="E212" s="18">
        <v>5.4</v>
      </c>
      <c r="F212" s="2">
        <f t="shared" si="64"/>
        <v>0.48888888888888893</v>
      </c>
      <c r="G212" s="10">
        <v>30.711240000000004</v>
      </c>
      <c r="H212">
        <f t="shared" si="65"/>
        <v>0.41148664618293557</v>
      </c>
      <c r="I212" s="22">
        <v>11.899999999999999</v>
      </c>
      <c r="J212" s="2">
        <f t="shared" si="66"/>
        <v>6.1056952283222166E-2</v>
      </c>
      <c r="K212" s="8">
        <v>0</v>
      </c>
      <c r="L212" s="2">
        <v>0</v>
      </c>
      <c r="M212">
        <v>15640</v>
      </c>
      <c r="N212">
        <f t="shared" si="67"/>
        <v>7.2868613173222047E-2</v>
      </c>
      <c r="O212" s="8">
        <v>0.946430463</v>
      </c>
      <c r="P212">
        <f t="shared" si="68"/>
        <v>0.94682746491990988</v>
      </c>
      <c r="Q212" s="20">
        <v>0.2477</v>
      </c>
      <c r="R212" s="10">
        <f t="shared" si="69"/>
        <v>0.53637938501515814</v>
      </c>
      <c r="S212">
        <f t="shared" si="70"/>
        <v>8.5663099150196528E-2</v>
      </c>
      <c r="T212" s="11">
        <f t="shared" si="71"/>
        <v>0.15724764226844326</v>
      </c>
      <c r="U212" t="str">
        <f t="shared" si="72"/>
        <v>Low</v>
      </c>
      <c r="V212">
        <f t="shared" si="73"/>
        <v>6.1957535380431167E-2</v>
      </c>
      <c r="W212">
        <f t="shared" si="74"/>
        <v>8.1609676407176354E-2</v>
      </c>
      <c r="X212" t="s">
        <v>1176</v>
      </c>
      <c r="Y212">
        <f t="shared" si="75"/>
        <v>0.10936866291996186</v>
      </c>
      <c r="Z212">
        <f t="shared" si="76"/>
        <v>0.19993316143949516</v>
      </c>
      <c r="AA212" t="str">
        <f t="shared" si="77"/>
        <v>Low</v>
      </c>
      <c r="AB212">
        <f t="shared" si="78"/>
        <v>5.7441721753224685E-2</v>
      </c>
      <c r="AC212">
        <f t="shared" si="79"/>
        <v>0.13987485933443397</v>
      </c>
      <c r="AD212" t="str">
        <f t="shared" si="80"/>
        <v>No Impact</v>
      </c>
      <c r="AE212">
        <f t="shared" si="81"/>
        <v>8.4171014116720209E-3</v>
      </c>
      <c r="AF212">
        <f t="shared" si="82"/>
        <v>4.6052908648217358E-2</v>
      </c>
      <c r="AG212" t="s">
        <v>1176</v>
      </c>
    </row>
    <row r="213" spans="1:33" customFormat="1" x14ac:dyDescent="0.3">
      <c r="A213">
        <v>303330</v>
      </c>
      <c r="B213" t="s">
        <v>179</v>
      </c>
      <c r="C213" t="s">
        <v>750</v>
      </c>
      <c r="D213" t="s">
        <v>749</v>
      </c>
      <c r="E213" s="18">
        <v>4.8</v>
      </c>
      <c r="F213" s="2">
        <f t="shared" si="64"/>
        <v>0.35555555555555546</v>
      </c>
      <c r="G213" s="10">
        <v>23.18112</v>
      </c>
      <c r="H213">
        <f t="shared" si="65"/>
        <v>0.31059381918685697</v>
      </c>
      <c r="I213" s="22">
        <v>0.3</v>
      </c>
      <c r="J213" s="2">
        <f t="shared" si="66"/>
        <v>1.5392508978963571E-3</v>
      </c>
      <c r="K213" s="8">
        <v>0</v>
      </c>
      <c r="L213" s="2">
        <v>0</v>
      </c>
      <c r="M213">
        <v>211592</v>
      </c>
      <c r="N213">
        <f t="shared" si="67"/>
        <v>1</v>
      </c>
      <c r="O213" s="8">
        <v>0.84649196599999998</v>
      </c>
      <c r="P213">
        <f t="shared" si="68"/>
        <v>0.83676631704843918</v>
      </c>
      <c r="Q213" s="20">
        <v>0.2616</v>
      </c>
      <c r="R213" s="10">
        <f t="shared" si="69"/>
        <v>0.56647899523603296</v>
      </c>
      <c r="S213">
        <f t="shared" si="70"/>
        <v>3.8933268213812496E-2</v>
      </c>
      <c r="T213" s="11">
        <f t="shared" si="71"/>
        <v>7.1467933020876409E-2</v>
      </c>
      <c r="U213" t="str">
        <f t="shared" si="72"/>
        <v>No Impact</v>
      </c>
      <c r="V213">
        <f t="shared" si="73"/>
        <v>3.1434102741608759E-2</v>
      </c>
      <c r="W213">
        <f t="shared" si="74"/>
        <v>4.1404599733366181E-2</v>
      </c>
      <c r="X213" t="s">
        <v>1176</v>
      </c>
      <c r="Y213">
        <f t="shared" si="75"/>
        <v>4.6432433686016239E-2</v>
      </c>
      <c r="Z213">
        <f t="shared" si="76"/>
        <v>8.4881564904644588E-2</v>
      </c>
      <c r="AA213" t="str">
        <f t="shared" si="77"/>
        <v>No Impact</v>
      </c>
      <c r="AB213">
        <f t="shared" si="78"/>
        <v>4.4353279315085911E-2</v>
      </c>
      <c r="AC213">
        <f t="shared" si="79"/>
        <v>0.10800352976658859</v>
      </c>
      <c r="AD213" t="str">
        <f t="shared" si="80"/>
        <v>No Impact</v>
      </c>
      <c r="AE213">
        <f t="shared" si="81"/>
        <v>5.54903235706228E-2</v>
      </c>
      <c r="AF213">
        <f t="shared" si="82"/>
        <v>0.30360698740236242</v>
      </c>
      <c r="AG213" t="str">
        <f t="shared" ref="AG194:AG257" si="83">IF(AF213&gt;0.7,"High",IF(AF213&gt;0.3,"Moderate",IF(AF213&gt;0.15,"Low","No Impact")))</f>
        <v>Moderate</v>
      </c>
    </row>
    <row r="214" spans="1:33" customFormat="1" x14ac:dyDescent="0.3">
      <c r="A214">
        <v>303332</v>
      </c>
      <c r="B214" t="s">
        <v>241</v>
      </c>
      <c r="C214" t="s">
        <v>750</v>
      </c>
      <c r="D214" t="s">
        <v>751</v>
      </c>
      <c r="E214" s="18">
        <v>4.8</v>
      </c>
      <c r="F214" s="2">
        <f t="shared" si="64"/>
        <v>0.35555555555555546</v>
      </c>
      <c r="G214" s="10">
        <v>24.705359999999999</v>
      </c>
      <c r="H214">
        <f t="shared" si="65"/>
        <v>0.33101645290590831</v>
      </c>
      <c r="I214" s="22">
        <v>0.2</v>
      </c>
      <c r="J214" s="2">
        <f t="shared" si="66"/>
        <v>1.0261672652642382E-3</v>
      </c>
      <c r="K214" s="8">
        <v>0</v>
      </c>
      <c r="L214" s="2">
        <v>0</v>
      </c>
      <c r="M214">
        <v>85598</v>
      </c>
      <c r="N214">
        <f t="shared" si="67"/>
        <v>0.40386935600630225</v>
      </c>
      <c r="O214" s="8">
        <v>0.85164215099999996</v>
      </c>
      <c r="P214">
        <f t="shared" si="68"/>
        <v>0.8424381581293634</v>
      </c>
      <c r="Q214" s="20">
        <v>0.26490000000000002</v>
      </c>
      <c r="R214" s="10">
        <f t="shared" si="69"/>
        <v>0.57362494586401047</v>
      </c>
      <c r="S214">
        <f t="shared" si="70"/>
        <v>4.1794960300238514E-2</v>
      </c>
      <c r="T214" s="11">
        <f t="shared" si="71"/>
        <v>7.6721003922499531E-2</v>
      </c>
      <c r="U214" t="str">
        <f t="shared" si="72"/>
        <v>No Impact</v>
      </c>
      <c r="V214">
        <f t="shared" si="73"/>
        <v>3.386096533693031E-2</v>
      </c>
      <c r="W214">
        <f t="shared" si="74"/>
        <v>4.4601232231298402E-2</v>
      </c>
      <c r="X214" t="s">
        <v>1176</v>
      </c>
      <c r="Y214">
        <f t="shared" si="75"/>
        <v>4.9728955263546724E-2</v>
      </c>
      <c r="Z214">
        <f t="shared" si="76"/>
        <v>9.0907824741354046E-2</v>
      </c>
      <c r="AA214" t="str">
        <f t="shared" si="77"/>
        <v>No Impact</v>
      </c>
      <c r="AB214">
        <f t="shared" si="78"/>
        <v>3.5114138884556161E-2</v>
      </c>
      <c r="AC214">
        <f t="shared" si="79"/>
        <v>8.550553651973955E-2</v>
      </c>
      <c r="AD214" t="str">
        <f t="shared" si="80"/>
        <v>No Impact</v>
      </c>
      <c r="AE214">
        <f t="shared" si="81"/>
        <v>2.3840326964475848E-2</v>
      </c>
      <c r="AF214">
        <f t="shared" si="82"/>
        <v>0.13043877531476039</v>
      </c>
      <c r="AG214" t="s">
        <v>1175</v>
      </c>
    </row>
    <row r="215" spans="1:33" customFormat="1" x14ac:dyDescent="0.3">
      <c r="A215">
        <v>303334</v>
      </c>
      <c r="B215" t="s">
        <v>242</v>
      </c>
      <c r="C215" t="s">
        <v>750</v>
      </c>
      <c r="D215" t="s">
        <v>1130</v>
      </c>
      <c r="E215" s="18">
        <v>4.8</v>
      </c>
      <c r="F215" s="2">
        <f t="shared" si="64"/>
        <v>0.35555555555555546</v>
      </c>
      <c r="G215" s="10">
        <v>21.578399999999998</v>
      </c>
      <c r="H215">
        <f t="shared" si="65"/>
        <v>0.28911966582898818</v>
      </c>
      <c r="I215" s="22">
        <v>0.10000000000000005</v>
      </c>
      <c r="J215" s="2">
        <f t="shared" si="66"/>
        <v>5.1308363263211933E-4</v>
      </c>
      <c r="K215" s="8">
        <v>0</v>
      </c>
      <c r="L215" s="2">
        <v>0</v>
      </c>
      <c r="M215">
        <v>42892</v>
      </c>
      <c r="N215">
        <f t="shared" si="67"/>
        <v>0.20180929534948641</v>
      </c>
      <c r="O215" s="8">
        <v>0.92763556300000005</v>
      </c>
      <c r="P215">
        <f t="shared" si="68"/>
        <v>0.92612885197069272</v>
      </c>
      <c r="Q215" s="20">
        <v>0.2959</v>
      </c>
      <c r="R215" s="10">
        <f t="shared" si="69"/>
        <v>0.64075357297531399</v>
      </c>
      <c r="S215">
        <f t="shared" si="70"/>
        <v>4.0339596872906905E-2</v>
      </c>
      <c r="T215" s="11">
        <f t="shared" si="71"/>
        <v>7.4049463085640935E-2</v>
      </c>
      <c r="U215" t="str">
        <f t="shared" si="72"/>
        <v>No Impact</v>
      </c>
      <c r="V215">
        <f t="shared" si="73"/>
        <v>3.29925722787906E-2</v>
      </c>
      <c r="W215">
        <f t="shared" si="74"/>
        <v>4.3457395956439035E-2</v>
      </c>
      <c r="X215" t="s">
        <v>1176</v>
      </c>
      <c r="Y215">
        <f t="shared" si="75"/>
        <v>4.7686621467023224E-2</v>
      </c>
      <c r="Z215">
        <f t="shared" si="76"/>
        <v>8.7174303257668229E-2</v>
      </c>
      <c r="AA215" t="str">
        <f t="shared" si="77"/>
        <v>No Impact</v>
      </c>
      <c r="AB215">
        <f t="shared" si="78"/>
        <v>2.9490311782598224E-2</v>
      </c>
      <c r="AC215">
        <f t="shared" si="79"/>
        <v>7.1811099779368281E-2</v>
      </c>
      <c r="AD215" t="str">
        <f t="shared" si="80"/>
        <v>No Impact</v>
      </c>
      <c r="AE215">
        <f t="shared" si="81"/>
        <v>1.0391214414041585E-2</v>
      </c>
      <c r="AF215">
        <f t="shared" si="82"/>
        <v>5.6853972020616955E-2</v>
      </c>
      <c r="AG215" t="s">
        <v>1176</v>
      </c>
    </row>
    <row r="216" spans="1:33" customFormat="1" x14ac:dyDescent="0.3">
      <c r="A216">
        <v>303336</v>
      </c>
      <c r="B216" t="s">
        <v>256</v>
      </c>
      <c r="C216" t="s">
        <v>750</v>
      </c>
      <c r="D216" t="s">
        <v>752</v>
      </c>
      <c r="E216" s="18">
        <v>4.8</v>
      </c>
      <c r="F216" s="2">
        <f t="shared" si="64"/>
        <v>0.35555555555555546</v>
      </c>
      <c r="G216" s="10">
        <v>23.979599999999998</v>
      </c>
      <c r="H216">
        <f t="shared" si="65"/>
        <v>0.32129230798913749</v>
      </c>
      <c r="I216" s="22">
        <v>0.20000000000000009</v>
      </c>
      <c r="J216" s="2">
        <f t="shared" si="66"/>
        <v>1.0261672652642387E-3</v>
      </c>
      <c r="K216" s="8">
        <v>0</v>
      </c>
      <c r="L216" s="2">
        <v>0</v>
      </c>
      <c r="M216">
        <v>53557</v>
      </c>
      <c r="N216">
        <f t="shared" si="67"/>
        <v>0.2522698991734208</v>
      </c>
      <c r="O216" s="8">
        <v>0.96333890600000005</v>
      </c>
      <c r="P216">
        <f t="shared" si="68"/>
        <v>0.96544854389510537</v>
      </c>
      <c r="Q216" s="20">
        <v>0.311</v>
      </c>
      <c r="R216" s="10">
        <f t="shared" si="69"/>
        <v>0.67345171069727161</v>
      </c>
      <c r="S216">
        <f t="shared" si="70"/>
        <v>4.6955362769268053E-2</v>
      </c>
      <c r="T216" s="11">
        <f t="shared" si="71"/>
        <v>8.6193707215528659E-2</v>
      </c>
      <c r="U216" t="str">
        <f t="shared" si="72"/>
        <v>No Impact</v>
      </c>
      <c r="V216">
        <f t="shared" si="73"/>
        <v>3.8589498408784534E-2</v>
      </c>
      <c r="W216">
        <f t="shared" si="74"/>
        <v>5.0829595762952644E-2</v>
      </c>
      <c r="X216" t="s">
        <v>1176</v>
      </c>
      <c r="Y216">
        <f t="shared" si="75"/>
        <v>5.5321227129751578E-2</v>
      </c>
      <c r="Z216">
        <f t="shared" si="76"/>
        <v>0.10113086819812296</v>
      </c>
      <c r="AA216" t="str">
        <f t="shared" si="77"/>
        <v>No Impact</v>
      </c>
      <c r="AB216">
        <f t="shared" si="78"/>
        <v>3.5162059202258809E-2</v>
      </c>
      <c r="AC216">
        <f t="shared" si="79"/>
        <v>8.5622226052945324E-2</v>
      </c>
      <c r="AD216" t="str">
        <f t="shared" si="80"/>
        <v>No Impact</v>
      </c>
      <c r="AE216">
        <f t="shared" si="81"/>
        <v>1.4455333200739311E-2</v>
      </c>
      <c r="AF216">
        <f t="shared" si="82"/>
        <v>7.9090188749543711E-2</v>
      </c>
      <c r="AG216" t="s">
        <v>1176</v>
      </c>
    </row>
    <row r="217" spans="1:33" customFormat="1" x14ac:dyDescent="0.3">
      <c r="A217">
        <v>303386</v>
      </c>
      <c r="B217" t="s">
        <v>498</v>
      </c>
      <c r="C217" t="s">
        <v>750</v>
      </c>
      <c r="D217" t="s">
        <v>1131</v>
      </c>
      <c r="E217" s="18">
        <v>4.7</v>
      </c>
      <c r="F217" s="2">
        <f t="shared" si="64"/>
        <v>0.33333333333333331</v>
      </c>
      <c r="G217" s="10">
        <v>24.705359999999999</v>
      </c>
      <c r="H217">
        <f t="shared" si="65"/>
        <v>0.33101645290590831</v>
      </c>
      <c r="I217" s="22">
        <v>0.20000000000000009</v>
      </c>
      <c r="J217" s="2">
        <f t="shared" si="66"/>
        <v>1.0261672652642387E-3</v>
      </c>
      <c r="K217" s="8">
        <v>0</v>
      </c>
      <c r="L217" s="2">
        <v>0</v>
      </c>
      <c r="M217">
        <v>93377</v>
      </c>
      <c r="N217">
        <f t="shared" si="67"/>
        <v>0.44067507913301446</v>
      </c>
      <c r="O217" s="8">
        <v>0.95399844199999995</v>
      </c>
      <c r="P217">
        <f t="shared" si="68"/>
        <v>0.95516199546430236</v>
      </c>
      <c r="Q217" s="20">
        <v>0.31040000000000001</v>
      </c>
      <c r="R217" s="10">
        <f t="shared" si="69"/>
        <v>0.67215244694673026</v>
      </c>
      <c r="S217">
        <f t="shared" si="70"/>
        <v>4.5028145941712484E-2</v>
      </c>
      <c r="T217" s="11">
        <f t="shared" si="71"/>
        <v>8.2656007724388011E-2</v>
      </c>
      <c r="U217" t="str">
        <f t="shared" si="72"/>
        <v>No Impact</v>
      </c>
      <c r="V217">
        <f t="shared" si="73"/>
        <v>3.7197209939776224E-2</v>
      </c>
      <c r="W217">
        <f t="shared" si="74"/>
        <v>4.8995691126114904E-2</v>
      </c>
      <c r="X217" t="s">
        <v>1176</v>
      </c>
      <c r="Y217">
        <f t="shared" si="75"/>
        <v>5.2859081943648759E-2</v>
      </c>
      <c r="Z217">
        <f t="shared" si="76"/>
        <v>9.6629903681981627E-2</v>
      </c>
      <c r="AA217" t="str">
        <f t="shared" si="77"/>
        <v>No Impact</v>
      </c>
      <c r="AB217">
        <f t="shared" si="78"/>
        <v>3.7412251023985092E-2</v>
      </c>
      <c r="AC217">
        <f t="shared" si="79"/>
        <v>9.110161028678905E-2</v>
      </c>
      <c r="AD217" t="str">
        <f t="shared" si="80"/>
        <v>No Impact</v>
      </c>
      <c r="AE217">
        <f t="shared" si="81"/>
        <v>2.4387151319910816E-2</v>
      </c>
      <c r="AF217">
        <f t="shared" si="82"/>
        <v>0.13343064280640612</v>
      </c>
      <c r="AG217" t="s">
        <v>1175</v>
      </c>
    </row>
    <row r="218" spans="1:33" customFormat="1" x14ac:dyDescent="0.3">
      <c r="A218">
        <v>303532</v>
      </c>
      <c r="B218" t="s">
        <v>189</v>
      </c>
      <c r="C218" t="s">
        <v>754</v>
      </c>
      <c r="D218" t="s">
        <v>753</v>
      </c>
      <c r="E218" s="18">
        <v>6</v>
      </c>
      <c r="F218" s="2">
        <f t="shared" si="64"/>
        <v>0.62222222222222223</v>
      </c>
      <c r="G218" s="10">
        <v>37.958400000000005</v>
      </c>
      <c r="H218">
        <f t="shared" si="65"/>
        <v>0.50858821429777312</v>
      </c>
      <c r="I218" s="22">
        <v>40.9</v>
      </c>
      <c r="J218" s="2">
        <f t="shared" si="66"/>
        <v>0.20985120574653671</v>
      </c>
      <c r="K218" s="8">
        <v>0</v>
      </c>
      <c r="L218" s="2">
        <v>0</v>
      </c>
      <c r="M218">
        <v>31655</v>
      </c>
      <c r="N218">
        <f t="shared" si="67"/>
        <v>0.14864231877475126</v>
      </c>
      <c r="O218" s="8">
        <v>0.81147459</v>
      </c>
      <c r="P218">
        <f t="shared" si="68"/>
        <v>0.79820207290129253</v>
      </c>
      <c r="Q218" s="20">
        <v>0.25580000000000003</v>
      </c>
      <c r="R218" s="10">
        <f t="shared" si="69"/>
        <v>0.55391944564746654</v>
      </c>
      <c r="S218">
        <f t="shared" si="70"/>
        <v>0.15110937327353807</v>
      </c>
      <c r="T218" s="11">
        <f t="shared" si="71"/>
        <v>0.27738422853770239</v>
      </c>
      <c r="U218" t="str">
        <f t="shared" si="72"/>
        <v>Low</v>
      </c>
      <c r="V218">
        <f t="shared" si="73"/>
        <v>0.12380902031002756</v>
      </c>
      <c r="W218">
        <f t="shared" si="74"/>
        <v>0.163079664511351</v>
      </c>
      <c r="X218" t="s">
        <v>1176</v>
      </c>
      <c r="Y218">
        <f t="shared" si="75"/>
        <v>0.17840972623704862</v>
      </c>
      <c r="Z218">
        <f t="shared" si="76"/>
        <v>0.32614479912067684</v>
      </c>
      <c r="AA218" t="str">
        <f t="shared" si="77"/>
        <v>Moderate</v>
      </c>
      <c r="AB218">
        <f t="shared" si="78"/>
        <v>0.10848437400947782</v>
      </c>
      <c r="AC218">
        <f t="shared" si="79"/>
        <v>0.26416750911036152</v>
      </c>
      <c r="AD218" t="str">
        <f t="shared" si="80"/>
        <v>Low</v>
      </c>
      <c r="AE218">
        <f t="shared" si="81"/>
        <v>3.3223711513867382E-2</v>
      </c>
      <c r="AF218">
        <f t="shared" si="82"/>
        <v>0.18177855730491005</v>
      </c>
      <c r="AG218" t="s">
        <v>1175</v>
      </c>
    </row>
    <row r="219" spans="1:33" customFormat="1" x14ac:dyDescent="0.3">
      <c r="A219">
        <v>303543</v>
      </c>
      <c r="B219" t="s">
        <v>260</v>
      </c>
      <c r="C219" t="s">
        <v>754</v>
      </c>
      <c r="D219" t="s">
        <v>755</v>
      </c>
      <c r="E219" s="18">
        <v>6</v>
      </c>
      <c r="F219" s="2">
        <f t="shared" si="64"/>
        <v>0.62222222222222223</v>
      </c>
      <c r="G219" s="10">
        <v>36.419760000000004</v>
      </c>
      <c r="H219">
        <f t="shared" si="65"/>
        <v>0.48797264119545247</v>
      </c>
      <c r="I219" s="22">
        <v>39.300000000000004</v>
      </c>
      <c r="J219" s="2">
        <f t="shared" si="66"/>
        <v>0.20164186762442282</v>
      </c>
      <c r="K219" s="8">
        <v>0</v>
      </c>
      <c r="L219" s="2">
        <v>0</v>
      </c>
      <c r="M219">
        <v>27057</v>
      </c>
      <c r="N219">
        <f t="shared" si="67"/>
        <v>0.1268872455086987</v>
      </c>
      <c r="O219" s="8">
        <v>0.94520886900000001</v>
      </c>
      <c r="P219">
        <f t="shared" si="68"/>
        <v>0.94548213712422668</v>
      </c>
      <c r="Q219" s="20">
        <v>0.28220000000000001</v>
      </c>
      <c r="R219" s="10">
        <f t="shared" si="69"/>
        <v>0.61108705067128632</v>
      </c>
      <c r="S219">
        <f t="shared" si="70"/>
        <v>0.16697841936000632</v>
      </c>
      <c r="T219" s="11">
        <f t="shared" si="71"/>
        <v>0.30651427527779485</v>
      </c>
      <c r="U219" t="str">
        <f t="shared" si="72"/>
        <v>Moderate</v>
      </c>
      <c r="V219">
        <f t="shared" si="73"/>
        <v>0.1311067321806248</v>
      </c>
      <c r="W219">
        <f t="shared" si="74"/>
        <v>0.1726921176313044</v>
      </c>
      <c r="X219" t="s">
        <v>1176</v>
      </c>
      <c r="Y219">
        <f t="shared" si="75"/>
        <v>0.20285010653938787</v>
      </c>
      <c r="Z219">
        <f t="shared" si="76"/>
        <v>0.37082343347690228</v>
      </c>
      <c r="AA219" t="str">
        <f t="shared" si="77"/>
        <v>Moderate</v>
      </c>
      <c r="AB219">
        <f t="shared" si="78"/>
        <v>0.11627052375584043</v>
      </c>
      <c r="AC219">
        <f t="shared" si="79"/>
        <v>0.28312736211073175</v>
      </c>
      <c r="AD219" t="str">
        <f t="shared" si="80"/>
        <v>Low</v>
      </c>
      <c r="AE219">
        <f t="shared" si="81"/>
        <v>2.7223244373729655E-2</v>
      </c>
      <c r="AF219">
        <f t="shared" si="82"/>
        <v>0.14894790081927087</v>
      </c>
      <c r="AG219" t="s">
        <v>1175</v>
      </c>
    </row>
    <row r="220" spans="1:33" customFormat="1" x14ac:dyDescent="0.3">
      <c r="A220">
        <v>303551</v>
      </c>
      <c r="B220" t="s">
        <v>280</v>
      </c>
      <c r="C220" t="s">
        <v>754</v>
      </c>
      <c r="D220" t="s">
        <v>1132</v>
      </c>
      <c r="E220" s="18">
        <v>5.9</v>
      </c>
      <c r="F220" s="2">
        <f t="shared" si="64"/>
        <v>0.60000000000000009</v>
      </c>
      <c r="G220" s="10">
        <v>34.311600000000006</v>
      </c>
      <c r="H220">
        <f t="shared" si="65"/>
        <v>0.45972631548483267</v>
      </c>
      <c r="I220" s="22">
        <v>45.4</v>
      </c>
      <c r="J220" s="2">
        <f t="shared" si="66"/>
        <v>0.23293996921498206</v>
      </c>
      <c r="K220" s="8">
        <v>0</v>
      </c>
      <c r="L220" s="2">
        <v>0</v>
      </c>
      <c r="M220">
        <v>16777</v>
      </c>
      <c r="N220">
        <f t="shared" si="67"/>
        <v>7.8248238728572575E-2</v>
      </c>
      <c r="O220" s="8">
        <v>0.68702795100000003</v>
      </c>
      <c r="P220">
        <f t="shared" si="68"/>
        <v>0.66115038262935932</v>
      </c>
      <c r="Q220" s="20">
        <v>0.248</v>
      </c>
      <c r="R220" s="10">
        <f t="shared" si="69"/>
        <v>0.53702901689042881</v>
      </c>
      <c r="S220">
        <f t="shared" si="70"/>
        <v>0.124490770960384</v>
      </c>
      <c r="T220" s="11">
        <f t="shared" si="71"/>
        <v>0.2285217370361303</v>
      </c>
      <c r="U220" t="str">
        <f t="shared" si="72"/>
        <v>Low</v>
      </c>
      <c r="V220">
        <f t="shared" si="73"/>
        <v>0.11159456817164622</v>
      </c>
      <c r="W220">
        <f t="shared" si="74"/>
        <v>0.14699094373858956</v>
      </c>
      <c r="X220" t="s">
        <v>1176</v>
      </c>
      <c r="Y220">
        <f t="shared" si="75"/>
        <v>0.13738697374912179</v>
      </c>
      <c r="Z220">
        <f t="shared" si="76"/>
        <v>0.25115248983494137</v>
      </c>
      <c r="AA220" t="str">
        <f t="shared" si="77"/>
        <v>Low</v>
      </c>
      <c r="AB220">
        <f t="shared" si="78"/>
        <v>8.596518224927728E-2</v>
      </c>
      <c r="AC220">
        <f t="shared" si="79"/>
        <v>0.20933160441176385</v>
      </c>
      <c r="AD220" t="str">
        <f t="shared" si="80"/>
        <v>Low</v>
      </c>
      <c r="AE220">
        <f t="shared" si="81"/>
        <v>1.6259975041327358E-2</v>
      </c>
      <c r="AF220">
        <f t="shared" si="82"/>
        <v>8.8964016064028081E-2</v>
      </c>
      <c r="AG220" t="s">
        <v>1176</v>
      </c>
    </row>
    <row r="221" spans="1:33" customFormat="1" x14ac:dyDescent="0.3">
      <c r="A221">
        <v>303558</v>
      </c>
      <c r="B221" t="s">
        <v>349</v>
      </c>
      <c r="C221" t="s">
        <v>754</v>
      </c>
      <c r="D221" t="s">
        <v>756</v>
      </c>
      <c r="E221" s="18">
        <v>6</v>
      </c>
      <c r="F221" s="2">
        <f t="shared" si="64"/>
        <v>0.62222222222222223</v>
      </c>
      <c r="G221" s="10">
        <v>33.943680000000001</v>
      </c>
      <c r="H221">
        <f t="shared" si="65"/>
        <v>0.45479671424230295</v>
      </c>
      <c r="I221" s="22">
        <v>39.300000000000004</v>
      </c>
      <c r="J221" s="2">
        <f t="shared" si="66"/>
        <v>0.20164186762442282</v>
      </c>
      <c r="K221" s="8">
        <v>0</v>
      </c>
      <c r="L221" s="2">
        <v>0</v>
      </c>
      <c r="M221">
        <v>27947</v>
      </c>
      <c r="N221">
        <f t="shared" si="67"/>
        <v>0.13109821010347616</v>
      </c>
      <c r="O221" s="8">
        <v>0.91718571999999998</v>
      </c>
      <c r="P221">
        <f t="shared" si="68"/>
        <v>0.91462055686738875</v>
      </c>
      <c r="Q221" s="20">
        <v>0.28560000000000002</v>
      </c>
      <c r="R221" s="10">
        <f t="shared" si="69"/>
        <v>0.61844954525768736</v>
      </c>
      <c r="S221">
        <f t="shared" si="70"/>
        <v>0.15654587880419621</v>
      </c>
      <c r="T221" s="11">
        <f t="shared" si="71"/>
        <v>0.28736376097764427</v>
      </c>
      <c r="U221" t="str">
        <f t="shared" si="72"/>
        <v>Low</v>
      </c>
      <c r="V221">
        <f t="shared" si="73"/>
        <v>0.12630306653846862</v>
      </c>
      <c r="W221">
        <f t="shared" si="74"/>
        <v>0.16636479043506389</v>
      </c>
      <c r="X221" t="s">
        <v>1176</v>
      </c>
      <c r="Y221">
        <f t="shared" si="75"/>
        <v>0.18678869106992382</v>
      </c>
      <c r="Z221">
        <f t="shared" si="76"/>
        <v>0.34146210193760035</v>
      </c>
      <c r="AA221" t="str">
        <f t="shared" si="77"/>
        <v>Moderate</v>
      </c>
      <c r="AB221">
        <f t="shared" si="78"/>
        <v>0.10961343223867229</v>
      </c>
      <c r="AC221">
        <f t="shared" si="79"/>
        <v>0.26691684976674768</v>
      </c>
      <c r="AD221" t="str">
        <f t="shared" si="80"/>
        <v>Low</v>
      </c>
      <c r="AE221">
        <f t="shared" si="81"/>
        <v>2.6773576083517495E-2</v>
      </c>
      <c r="AF221">
        <f t="shared" si="82"/>
        <v>0.14648760817477163</v>
      </c>
      <c r="AG221" t="s">
        <v>1175</v>
      </c>
    </row>
    <row r="222" spans="1:33" customFormat="1" x14ac:dyDescent="0.3">
      <c r="A222">
        <v>303591</v>
      </c>
      <c r="B222" t="s">
        <v>525</v>
      </c>
      <c r="C222" t="s">
        <v>754</v>
      </c>
      <c r="D222" t="s">
        <v>1133</v>
      </c>
      <c r="E222" s="18">
        <v>6</v>
      </c>
      <c r="F222" s="2">
        <f t="shared" si="64"/>
        <v>0.62222222222222223</v>
      </c>
      <c r="G222" s="10">
        <v>34.311600000000006</v>
      </c>
      <c r="H222">
        <f t="shared" si="65"/>
        <v>0.45972631548483267</v>
      </c>
      <c r="I222" s="22">
        <v>39.4</v>
      </c>
      <c r="J222" s="2">
        <f t="shared" si="66"/>
        <v>0.2021549512570549</v>
      </c>
      <c r="K222" s="8">
        <v>0</v>
      </c>
      <c r="L222" s="2">
        <v>0</v>
      </c>
      <c r="M222">
        <v>5557</v>
      </c>
      <c r="N222">
        <f t="shared" si="67"/>
        <v>2.5161696309018561E-2</v>
      </c>
      <c r="O222" s="8">
        <v>0.32568014200000001</v>
      </c>
      <c r="P222">
        <f t="shared" si="68"/>
        <v>0.26320208609473239</v>
      </c>
      <c r="Q222" s="20">
        <v>0.24540000000000001</v>
      </c>
      <c r="R222" s="10">
        <f t="shared" si="69"/>
        <v>0.53139887397141627</v>
      </c>
      <c r="S222">
        <f t="shared" si="70"/>
        <v>8.1811565111562623E-2</v>
      </c>
      <c r="T222" s="11">
        <f t="shared" si="71"/>
        <v>0.15017756597304871</v>
      </c>
      <c r="U222" t="str">
        <f t="shared" si="72"/>
        <v>Low</v>
      </c>
      <c r="V222">
        <f t="shared" si="73"/>
        <v>0.10942492084203982</v>
      </c>
      <c r="W222">
        <f t="shared" si="74"/>
        <v>0.1441331119123288</v>
      </c>
      <c r="X222" t="s">
        <v>1176</v>
      </c>
      <c r="Y222">
        <f t="shared" si="75"/>
        <v>5.4198209381085417E-2</v>
      </c>
      <c r="Z222">
        <f t="shared" si="76"/>
        <v>9.9077917354170486E-2</v>
      </c>
      <c r="AA222" t="str">
        <f t="shared" si="77"/>
        <v>No Impact</v>
      </c>
      <c r="AB222">
        <f t="shared" si="78"/>
        <v>5.6371626699912913E-2</v>
      </c>
      <c r="AC222">
        <f t="shared" si="79"/>
        <v>0.13726909839120363</v>
      </c>
      <c r="AD222" t="str">
        <f t="shared" si="80"/>
        <v>No Impact</v>
      </c>
      <c r="AE222">
        <f t="shared" si="81"/>
        <v>5.1812616882095635E-3</v>
      </c>
      <c r="AF222">
        <f t="shared" si="82"/>
        <v>2.8348496654529935E-2</v>
      </c>
      <c r="AG222" t="s">
        <v>1176</v>
      </c>
    </row>
    <row r="223" spans="1:33" customFormat="1" x14ac:dyDescent="0.3">
      <c r="A223">
        <v>304802</v>
      </c>
      <c r="B223" t="s">
        <v>19</v>
      </c>
      <c r="C223" t="s">
        <v>758</v>
      </c>
      <c r="D223" t="s">
        <v>757</v>
      </c>
      <c r="E223" s="18">
        <v>6.2</v>
      </c>
      <c r="F223" s="2">
        <f t="shared" si="64"/>
        <v>0.66666666666666663</v>
      </c>
      <c r="G223" s="10">
        <v>22.879799999999999</v>
      </c>
      <c r="H223">
        <f t="shared" si="65"/>
        <v>0.30655656259194769</v>
      </c>
      <c r="I223" s="22">
        <v>0.10000000000000005</v>
      </c>
      <c r="J223" s="2">
        <f t="shared" si="66"/>
        <v>5.1308363263211933E-4</v>
      </c>
      <c r="K223" s="8">
        <v>0</v>
      </c>
      <c r="L223" s="2">
        <v>0</v>
      </c>
      <c r="M223">
        <v>7200</v>
      </c>
      <c r="N223">
        <f t="shared" si="67"/>
        <v>3.2935420836231327E-2</v>
      </c>
      <c r="O223" s="8">
        <v>0.209250879</v>
      </c>
      <c r="P223">
        <f t="shared" si="68"/>
        <v>0.13497984225200838</v>
      </c>
      <c r="Q223" s="20">
        <v>0.1673</v>
      </c>
      <c r="R223" s="10">
        <f t="shared" si="69"/>
        <v>0.36227804244261586</v>
      </c>
      <c r="S223">
        <f t="shared" si="70"/>
        <v>2.5448800455926863E-2</v>
      </c>
      <c r="T223" s="11">
        <f t="shared" si="71"/>
        <v>4.6715142341956728E-2</v>
      </c>
      <c r="U223" t="str">
        <f t="shared" si="72"/>
        <v>No Impact</v>
      </c>
      <c r="V223">
        <f t="shared" si="73"/>
        <v>3.7081530109262455E-2</v>
      </c>
      <c r="W223">
        <f t="shared" si="74"/>
        <v>4.8843319126856077E-2</v>
      </c>
      <c r="X223" t="s">
        <v>1176</v>
      </c>
      <c r="Y223">
        <f t="shared" si="75"/>
        <v>1.3816070802591267E-2</v>
      </c>
      <c r="Z223">
        <f t="shared" si="76"/>
        <v>2.5256692735244227E-2</v>
      </c>
      <c r="AA223" t="str">
        <f t="shared" si="77"/>
        <v>No Impact</v>
      </c>
      <c r="AB223">
        <f t="shared" si="78"/>
        <v>1.8303261381870481E-2</v>
      </c>
      <c r="AC223">
        <f t="shared" si="79"/>
        <v>4.456980106113876E-2</v>
      </c>
      <c r="AD223" t="str">
        <f t="shared" si="80"/>
        <v>No Impact</v>
      </c>
      <c r="AE223">
        <f t="shared" si="81"/>
        <v>3.3711560081464025E-3</v>
      </c>
      <c r="AF223">
        <f t="shared" si="82"/>
        <v>1.844477476138847E-2</v>
      </c>
      <c r="AG223" t="s">
        <v>1176</v>
      </c>
    </row>
    <row r="224" spans="1:33" customFormat="1" x14ac:dyDescent="0.3">
      <c r="A224">
        <v>304806</v>
      </c>
      <c r="B224" t="s">
        <v>31</v>
      </c>
      <c r="C224" t="s">
        <v>758</v>
      </c>
      <c r="D224" t="s">
        <v>759</v>
      </c>
      <c r="E224" s="18">
        <v>6.3</v>
      </c>
      <c r="F224" s="2">
        <f t="shared" si="64"/>
        <v>0.68888888888888877</v>
      </c>
      <c r="G224" s="10">
        <v>21.175920000000001</v>
      </c>
      <c r="H224">
        <f t="shared" si="65"/>
        <v>0.28372701006661233</v>
      </c>
      <c r="I224" s="22">
        <v>9.9999999999999992E-2</v>
      </c>
      <c r="J224" s="2">
        <f t="shared" si="66"/>
        <v>5.1308363263211901E-4</v>
      </c>
      <c r="K224" s="8">
        <v>0</v>
      </c>
      <c r="L224" s="2">
        <v>0</v>
      </c>
      <c r="M224">
        <v>27557</v>
      </c>
      <c r="N224">
        <f t="shared" si="67"/>
        <v>0.12925295595520292</v>
      </c>
      <c r="O224" s="8">
        <v>0.51745865099999999</v>
      </c>
      <c r="P224">
        <f t="shared" si="68"/>
        <v>0.47440561097483103</v>
      </c>
      <c r="Q224" s="20">
        <v>0.30230000000000001</v>
      </c>
      <c r="R224" s="10">
        <f t="shared" si="69"/>
        <v>0.65461238631442187</v>
      </c>
      <c r="S224">
        <f t="shared" si="70"/>
        <v>5.5268209008147481E-2</v>
      </c>
      <c r="T224" s="11">
        <f t="shared" si="71"/>
        <v>0.10145320032950021</v>
      </c>
      <c r="U224" t="str">
        <f t="shared" si="72"/>
        <v>No Impact</v>
      </c>
      <c r="V224">
        <f t="shared" si="73"/>
        <v>6.4089774074484615E-2</v>
      </c>
      <c r="W224">
        <f t="shared" si="74"/>
        <v>8.4418234055186392E-2</v>
      </c>
      <c r="X224" t="s">
        <v>1176</v>
      </c>
      <c r="Y224">
        <f t="shared" si="75"/>
        <v>4.6446643941810348E-2</v>
      </c>
      <c r="Z224">
        <f t="shared" si="76"/>
        <v>8.4907542193658883E-2</v>
      </c>
      <c r="AA224" t="str">
        <f t="shared" si="77"/>
        <v>No Impact</v>
      </c>
      <c r="AB224">
        <f t="shared" si="78"/>
        <v>4.0794489270623624E-2</v>
      </c>
      <c r="AC224">
        <f t="shared" si="79"/>
        <v>9.9337611655559793E-2</v>
      </c>
      <c r="AD224" t="str">
        <f t="shared" si="80"/>
        <v>No Impact</v>
      </c>
      <c r="AE224">
        <f t="shared" si="81"/>
        <v>1.2654500462888298E-2</v>
      </c>
      <c r="AF224">
        <f t="shared" si="82"/>
        <v>6.9237202369699505E-2</v>
      </c>
      <c r="AG224" t="s">
        <v>1176</v>
      </c>
    </row>
    <row r="225" spans="1:33" customFormat="1" x14ac:dyDescent="0.3">
      <c r="A225">
        <v>304811</v>
      </c>
      <c r="B225" t="s">
        <v>64</v>
      </c>
      <c r="C225" t="s">
        <v>758</v>
      </c>
      <c r="D225" t="s">
        <v>760</v>
      </c>
      <c r="E225" s="18">
        <v>6.2</v>
      </c>
      <c r="F225" s="2">
        <f t="shared" si="64"/>
        <v>0.66666666666666663</v>
      </c>
      <c r="G225" s="10">
        <v>18.081</v>
      </c>
      <c r="H225">
        <f t="shared" si="65"/>
        <v>0.24225951311746632</v>
      </c>
      <c r="I225" s="22">
        <v>0.30000000000000004</v>
      </c>
      <c r="J225" s="2">
        <f t="shared" si="66"/>
        <v>1.5392508978963576E-3</v>
      </c>
      <c r="K225" s="8">
        <v>0</v>
      </c>
      <c r="L225" s="2">
        <v>0</v>
      </c>
      <c r="M225">
        <v>22574</v>
      </c>
      <c r="N225">
        <f t="shared" si="67"/>
        <v>0.10567628564534215</v>
      </c>
      <c r="O225" s="8">
        <v>0.66802993899999996</v>
      </c>
      <c r="P225">
        <f t="shared" si="68"/>
        <v>0.64022808470850934</v>
      </c>
      <c r="Q225" s="20">
        <v>0.28449999999999998</v>
      </c>
      <c r="R225" s="10">
        <f t="shared" si="69"/>
        <v>0.61606756171502808</v>
      </c>
      <c r="S225">
        <f t="shared" si="70"/>
        <v>5.1047220972656591E-2</v>
      </c>
      <c r="T225" s="11">
        <f t="shared" si="71"/>
        <v>9.3704935052983801E-2</v>
      </c>
      <c r="U225" t="str">
        <f t="shared" si="72"/>
        <v>No Impact</v>
      </c>
      <c r="V225">
        <f t="shared" si="73"/>
        <v>5.006550336536067E-2</v>
      </c>
      <c r="W225">
        <f t="shared" si="74"/>
        <v>6.5945643313952126E-2</v>
      </c>
      <c r="X225" t="s">
        <v>1176</v>
      </c>
      <c r="Y225">
        <f t="shared" si="75"/>
        <v>5.2028938579952499E-2</v>
      </c>
      <c r="Z225">
        <f t="shared" si="76"/>
        <v>9.5112346616542581E-2</v>
      </c>
      <c r="AA225" t="str">
        <f t="shared" si="77"/>
        <v>No Impact</v>
      </c>
      <c r="AB225">
        <f t="shared" si="78"/>
        <v>3.6137378331570012E-2</v>
      </c>
      <c r="AC225">
        <f t="shared" si="79"/>
        <v>8.7997200581123147E-2</v>
      </c>
      <c r="AD225" t="str">
        <f t="shared" si="80"/>
        <v>No Impact</v>
      </c>
      <c r="AE225">
        <f t="shared" si="81"/>
        <v>8.5879159420229421E-3</v>
      </c>
      <c r="AF225">
        <f t="shared" si="82"/>
        <v>4.6987494745888772E-2</v>
      </c>
      <c r="AG225" t="s">
        <v>1176</v>
      </c>
    </row>
    <row r="226" spans="1:33" customFormat="1" x14ac:dyDescent="0.3">
      <c r="A226">
        <v>304827</v>
      </c>
      <c r="B226" t="s">
        <v>210</v>
      </c>
      <c r="C226" t="s">
        <v>758</v>
      </c>
      <c r="D226" t="s">
        <v>761</v>
      </c>
      <c r="E226" s="18">
        <v>6.3</v>
      </c>
      <c r="F226" s="2">
        <f t="shared" si="64"/>
        <v>0.68888888888888877</v>
      </c>
      <c r="G226" s="10">
        <v>26.44416</v>
      </c>
      <c r="H226">
        <f t="shared" si="65"/>
        <v>0.35431388343567161</v>
      </c>
      <c r="I226" s="22">
        <v>0.10000000000000005</v>
      </c>
      <c r="J226" s="2">
        <f t="shared" si="66"/>
        <v>5.1308363263211933E-4</v>
      </c>
      <c r="K226" s="8">
        <v>0</v>
      </c>
      <c r="L226" s="2">
        <v>0</v>
      </c>
      <c r="M226">
        <v>17728</v>
      </c>
      <c r="N226">
        <f t="shared" si="67"/>
        <v>8.2747819997823546E-2</v>
      </c>
      <c r="O226" s="8">
        <v>0.89023456000000001</v>
      </c>
      <c r="P226">
        <f t="shared" si="68"/>
        <v>0.88493954609465653</v>
      </c>
      <c r="Q226" s="20">
        <v>0.2923</v>
      </c>
      <c r="R226" s="10">
        <f t="shared" si="69"/>
        <v>0.6329579904720658</v>
      </c>
      <c r="S226">
        <f t="shared" si="70"/>
        <v>9.2757335310183389E-2</v>
      </c>
      <c r="T226" s="11">
        <f t="shared" si="71"/>
        <v>0.17027019131138096</v>
      </c>
      <c r="U226" t="str">
        <f t="shared" si="72"/>
        <v>Low</v>
      </c>
      <c r="V226">
        <f t="shared" si="73"/>
        <v>7.7358972058515468E-2</v>
      </c>
      <c r="W226">
        <f t="shared" si="74"/>
        <v>0.10189625262081092</v>
      </c>
      <c r="X226" t="s">
        <v>1176</v>
      </c>
      <c r="Y226">
        <f t="shared" si="75"/>
        <v>0.10815569856185131</v>
      </c>
      <c r="Z226">
        <f t="shared" si="76"/>
        <v>0.19771578223455832</v>
      </c>
      <c r="AA226" t="str">
        <f t="shared" si="77"/>
        <v>Low</v>
      </c>
      <c r="AB226">
        <f t="shared" si="78"/>
        <v>6.3062000503641996E-2</v>
      </c>
      <c r="AC226">
        <f t="shared" si="79"/>
        <v>0.15356065557522644</v>
      </c>
      <c r="AD226" t="str">
        <f t="shared" si="80"/>
        <v>Low</v>
      </c>
      <c r="AE226">
        <f t="shared" si="81"/>
        <v>1.0113287756017683E-2</v>
      </c>
      <c r="AF226">
        <f t="shared" si="82"/>
        <v>5.5333337972519325E-2</v>
      </c>
      <c r="AG226" t="s">
        <v>1176</v>
      </c>
    </row>
    <row r="227" spans="1:33" customFormat="1" x14ac:dyDescent="0.3">
      <c r="A227">
        <v>304833</v>
      </c>
      <c r="B227" t="s">
        <v>214</v>
      </c>
      <c r="C227" t="s">
        <v>758</v>
      </c>
      <c r="D227" t="s">
        <v>762</v>
      </c>
      <c r="E227" s="18">
        <v>5.8</v>
      </c>
      <c r="F227" s="2">
        <f t="shared" si="64"/>
        <v>0.57777777777777772</v>
      </c>
      <c r="G227" s="10">
        <v>27.46116</v>
      </c>
      <c r="H227">
        <f t="shared" si="65"/>
        <v>0.36794022737906318</v>
      </c>
      <c r="I227" s="22">
        <v>0.10000000000000005</v>
      </c>
      <c r="J227" s="2">
        <f t="shared" si="66"/>
        <v>5.1308363263211933E-4</v>
      </c>
      <c r="K227" s="8">
        <v>0</v>
      </c>
      <c r="L227" s="2">
        <v>0</v>
      </c>
      <c r="M227">
        <v>5943</v>
      </c>
      <c r="N227">
        <f t="shared" si="67"/>
        <v>2.6988024773719796E-2</v>
      </c>
      <c r="O227" s="8">
        <v>8.6685533999999995E-2</v>
      </c>
      <c r="P227">
        <f t="shared" si="68"/>
        <v>0</v>
      </c>
      <c r="Q227" s="20">
        <v>0.12609999999999999</v>
      </c>
      <c r="R227" s="10">
        <f t="shared" si="69"/>
        <v>0.27306193157210912</v>
      </c>
      <c r="S227">
        <f t="shared" si="70"/>
        <v>1.4532638293187815E-2</v>
      </c>
      <c r="T227" s="11">
        <f t="shared" si="71"/>
        <v>2.667686705493931E-2</v>
      </c>
      <c r="U227" t="str">
        <f t="shared" si="72"/>
        <v>No Impact</v>
      </c>
      <c r="V227">
        <f t="shared" si="73"/>
        <v>2.906527658637563E-2</v>
      </c>
      <c r="W227">
        <f t="shared" si="74"/>
        <v>3.8284412095068193E-2</v>
      </c>
      <c r="X227" t="s">
        <v>1176</v>
      </c>
      <c r="Y227">
        <f t="shared" si="75"/>
        <v>0</v>
      </c>
      <c r="Z227">
        <f t="shared" si="76"/>
        <v>0</v>
      </c>
      <c r="AA227" t="str">
        <f t="shared" si="77"/>
        <v>No Impact</v>
      </c>
      <c r="AB227">
        <f t="shared" si="78"/>
        <v>1.1178278210547458E-2</v>
      </c>
      <c r="AC227">
        <f t="shared" si="79"/>
        <v>2.7219937783527843E-2</v>
      </c>
      <c r="AD227" t="str">
        <f t="shared" si="80"/>
        <v>No Impact</v>
      </c>
      <c r="AE227">
        <f t="shared" si="81"/>
        <v>2.8726611580456736E-3</v>
      </c>
      <c r="AF227">
        <f t="shared" si="82"/>
        <v>1.5717334913573293E-2</v>
      </c>
      <c r="AG227" t="s">
        <v>1176</v>
      </c>
    </row>
    <row r="228" spans="1:33" customFormat="1" x14ac:dyDescent="0.3">
      <c r="A228">
        <v>304842</v>
      </c>
      <c r="B228" t="s">
        <v>258</v>
      </c>
      <c r="C228" t="s">
        <v>758</v>
      </c>
      <c r="D228" t="s">
        <v>763</v>
      </c>
      <c r="E228" s="18">
        <v>5.7</v>
      </c>
      <c r="F228" s="2">
        <f t="shared" si="64"/>
        <v>0.55555555555555558</v>
      </c>
      <c r="G228" s="10">
        <v>27.46116</v>
      </c>
      <c r="H228">
        <f t="shared" si="65"/>
        <v>0.36794022737906318</v>
      </c>
      <c r="I228" s="22">
        <v>0.10000000000000005</v>
      </c>
      <c r="J228" s="2">
        <f t="shared" si="66"/>
        <v>5.1308363263211933E-4</v>
      </c>
      <c r="K228" s="8">
        <v>0</v>
      </c>
      <c r="L228" s="2">
        <v>0</v>
      </c>
      <c r="M228">
        <v>9163</v>
      </c>
      <c r="N228">
        <f t="shared" si="67"/>
        <v>4.222320004920678E-2</v>
      </c>
      <c r="O228" s="8">
        <v>0.60753610700000005</v>
      </c>
      <c r="P228">
        <f t="shared" si="68"/>
        <v>0.57360690479358734</v>
      </c>
      <c r="Q228" s="20">
        <v>0.27450000000000002</v>
      </c>
      <c r="R228" s="10">
        <f t="shared" si="69"/>
        <v>0.59441316587267223</v>
      </c>
      <c r="S228">
        <f t="shared" si="70"/>
        <v>5.977234199515246E-2</v>
      </c>
      <c r="T228" s="11">
        <f t="shared" si="71"/>
        <v>0.10972122121242701</v>
      </c>
      <c r="U228" t="str">
        <f t="shared" si="72"/>
        <v>No Impact</v>
      </c>
      <c r="V228">
        <f t="shared" si="73"/>
        <v>6.0837083076313928E-2</v>
      </c>
      <c r="W228">
        <f t="shared" si="74"/>
        <v>8.0133830904168118E-2</v>
      </c>
      <c r="X228" t="s">
        <v>1176</v>
      </c>
      <c r="Y228">
        <f t="shared" si="75"/>
        <v>5.8707600913990986E-2</v>
      </c>
      <c r="Z228">
        <f t="shared" si="76"/>
        <v>0.10732138382136222</v>
      </c>
      <c r="AA228" t="str">
        <f t="shared" si="77"/>
        <v>No Impact</v>
      </c>
      <c r="AB228">
        <f t="shared" si="78"/>
        <v>4.0417772476149888E-2</v>
      </c>
      <c r="AC228">
        <f t="shared" si="79"/>
        <v>9.8420278277874709E-2</v>
      </c>
      <c r="AD228" t="str">
        <f t="shared" si="80"/>
        <v>No Impact</v>
      </c>
      <c r="AE228">
        <f t="shared" si="81"/>
        <v>4.3214660721220596E-3</v>
      </c>
      <c r="AF228">
        <f t="shared" si="82"/>
        <v>2.3644253824699282E-2</v>
      </c>
      <c r="AG228" t="s">
        <v>1176</v>
      </c>
    </row>
    <row r="229" spans="1:33" customFormat="1" x14ac:dyDescent="0.3">
      <c r="A229">
        <v>304845</v>
      </c>
      <c r="B229" t="s">
        <v>261</v>
      </c>
      <c r="C229" t="s">
        <v>758</v>
      </c>
      <c r="D229" t="s">
        <v>764</v>
      </c>
      <c r="E229" s="18">
        <v>6.3</v>
      </c>
      <c r="F229" s="2">
        <f t="shared" si="64"/>
        <v>0.68888888888888877</v>
      </c>
      <c r="G229" s="10">
        <v>25.548480000000001</v>
      </c>
      <c r="H229">
        <f t="shared" si="65"/>
        <v>0.3423130537963236</v>
      </c>
      <c r="I229" s="22">
        <v>0.10000000000000005</v>
      </c>
      <c r="J229" s="2">
        <f t="shared" si="66"/>
        <v>5.1308363263211933E-4</v>
      </c>
      <c r="K229" s="8">
        <v>0</v>
      </c>
      <c r="L229" s="2">
        <v>0</v>
      </c>
      <c r="M229">
        <v>30895</v>
      </c>
      <c r="N229">
        <f t="shared" si="67"/>
        <v>0.14504643889606489</v>
      </c>
      <c r="O229" s="8">
        <v>0.82721904700000004</v>
      </c>
      <c r="P229">
        <f t="shared" si="68"/>
        <v>0.81554126712624686</v>
      </c>
      <c r="Q229" s="20">
        <v>0.29780000000000001</v>
      </c>
      <c r="R229" s="10">
        <f t="shared" si="69"/>
        <v>0.64486790818536166</v>
      </c>
      <c r="S229">
        <f t="shared" si="70"/>
        <v>8.6225886309858044E-2</v>
      </c>
      <c r="T229" s="11">
        <f t="shared" si="71"/>
        <v>0.15828072366327539</v>
      </c>
      <c r="U229" t="str">
        <f t="shared" si="72"/>
        <v>Low</v>
      </c>
      <c r="V229">
        <f t="shared" si="73"/>
        <v>7.6148942195193525E-2</v>
      </c>
      <c r="W229">
        <f t="shared" si="74"/>
        <v>0.10030241669782949</v>
      </c>
      <c r="X229" t="s">
        <v>1176</v>
      </c>
      <c r="Y229">
        <f t="shared" si="75"/>
        <v>9.6302830424522534E-2</v>
      </c>
      <c r="Z229">
        <f t="shared" si="76"/>
        <v>0.17604795403265505</v>
      </c>
      <c r="AA229" t="str">
        <f t="shared" si="77"/>
        <v>Low</v>
      </c>
      <c r="AB229">
        <f t="shared" si="78"/>
        <v>6.1537689537685687E-2</v>
      </c>
      <c r="AC229">
        <f t="shared" si="79"/>
        <v>0.14984884514480346</v>
      </c>
      <c r="AD229" t="str">
        <f t="shared" si="80"/>
        <v>No Impact</v>
      </c>
      <c r="AE229">
        <f t="shared" si="81"/>
        <v>1.7127744691460577E-2</v>
      </c>
      <c r="AF229">
        <f t="shared" si="82"/>
        <v>9.3711887625830034E-2</v>
      </c>
      <c r="AG229" t="s">
        <v>1176</v>
      </c>
    </row>
    <row r="230" spans="1:33" customFormat="1" x14ac:dyDescent="0.3">
      <c r="A230">
        <v>304849</v>
      </c>
      <c r="B230" t="s">
        <v>279</v>
      </c>
      <c r="C230" t="s">
        <v>758</v>
      </c>
      <c r="D230" t="s">
        <v>765</v>
      </c>
      <c r="E230" s="18">
        <v>6.3</v>
      </c>
      <c r="F230" s="2">
        <f t="shared" si="64"/>
        <v>0.68888888888888877</v>
      </c>
      <c r="G230" s="10">
        <v>26.78436</v>
      </c>
      <c r="H230">
        <f t="shared" si="65"/>
        <v>0.35887207636540791</v>
      </c>
      <c r="I230" s="22">
        <v>0.10000000000000005</v>
      </c>
      <c r="J230" s="2">
        <f t="shared" si="66"/>
        <v>5.1308363263211933E-4</v>
      </c>
      <c r="K230" s="8">
        <v>0</v>
      </c>
      <c r="L230" s="2">
        <v>0</v>
      </c>
      <c r="M230">
        <v>49962</v>
      </c>
      <c r="N230">
        <f t="shared" si="67"/>
        <v>0.23526044106305566</v>
      </c>
      <c r="O230" s="8">
        <v>0.80412546600000001</v>
      </c>
      <c r="P230">
        <f t="shared" si="68"/>
        <v>0.79010856491817993</v>
      </c>
      <c r="Q230" s="20">
        <v>0.26929999999999998</v>
      </c>
      <c r="R230" s="10">
        <f t="shared" si="69"/>
        <v>0.58315288003464705</v>
      </c>
      <c r="S230">
        <f t="shared" si="70"/>
        <v>8.4996796152882498E-2</v>
      </c>
      <c r="T230" s="11">
        <f t="shared" si="71"/>
        <v>0.1560245418155829</v>
      </c>
      <c r="U230" t="str">
        <f t="shared" si="72"/>
        <v>Low</v>
      </c>
      <c r="V230">
        <f t="shared" si="73"/>
        <v>7.2187458043685038E-2</v>
      </c>
      <c r="W230">
        <f t="shared" si="74"/>
        <v>9.508440023362269E-2</v>
      </c>
      <c r="X230" t="s">
        <v>1176</v>
      </c>
      <c r="Y230">
        <f t="shared" si="75"/>
        <v>9.7806134262079972E-2</v>
      </c>
      <c r="Z230">
        <f t="shared" si="76"/>
        <v>0.17879609304087296</v>
      </c>
      <c r="AA230" t="str">
        <f t="shared" si="77"/>
        <v>Low</v>
      </c>
      <c r="AB230">
        <f t="shared" si="78"/>
        <v>6.4800315672706138E-2</v>
      </c>
      <c r="AC230">
        <f t="shared" si="79"/>
        <v>0.15779358213680031</v>
      </c>
      <c r="AD230" t="str">
        <f t="shared" si="80"/>
        <v>Low</v>
      </c>
      <c r="AE230">
        <f t="shared" si="81"/>
        <v>2.9122471653692524E-2</v>
      </c>
      <c r="AF230">
        <f t="shared" si="82"/>
        <v>0.15933923818691198</v>
      </c>
      <c r="AG230" t="s">
        <v>1175</v>
      </c>
    </row>
    <row r="231" spans="1:33" customFormat="1" x14ac:dyDescent="0.3">
      <c r="A231">
        <v>304854</v>
      </c>
      <c r="B231" t="s">
        <v>287</v>
      </c>
      <c r="C231" t="s">
        <v>758</v>
      </c>
      <c r="D231" t="s">
        <v>766</v>
      </c>
      <c r="E231" s="18">
        <v>6.3</v>
      </c>
      <c r="F231" s="2">
        <f t="shared" si="64"/>
        <v>0.68888888888888877</v>
      </c>
      <c r="G231" s="10">
        <v>19.392120000000002</v>
      </c>
      <c r="H231">
        <f t="shared" si="65"/>
        <v>0.25982664396413263</v>
      </c>
      <c r="I231" s="22">
        <v>0.30000000000000004</v>
      </c>
      <c r="J231" s="2">
        <f t="shared" si="66"/>
        <v>1.5392508978963576E-3</v>
      </c>
      <c r="K231" s="8">
        <v>0</v>
      </c>
      <c r="L231" s="2">
        <v>0</v>
      </c>
      <c r="M231">
        <v>20678</v>
      </c>
      <c r="N231">
        <f t="shared" si="67"/>
        <v>9.670551163219826E-2</v>
      </c>
      <c r="O231" s="8">
        <v>0.85548379799999996</v>
      </c>
      <c r="P231">
        <f t="shared" si="68"/>
        <v>0.8466689209607976</v>
      </c>
      <c r="Q231" s="20">
        <v>0.3392</v>
      </c>
      <c r="R231" s="10">
        <f t="shared" si="69"/>
        <v>0.73451710697271544</v>
      </c>
      <c r="S231">
        <f t="shared" si="70"/>
        <v>7.1173950750886505E-2</v>
      </c>
      <c r="T231" s="11">
        <f t="shared" si="71"/>
        <v>0.13065060752569704</v>
      </c>
      <c r="U231" t="str">
        <f t="shared" si="72"/>
        <v>No Impact</v>
      </c>
      <c r="V231">
        <f t="shared" si="73"/>
        <v>6.6125659440190707E-2</v>
      </c>
      <c r="W231">
        <f t="shared" si="74"/>
        <v>8.7099876326416178E-2</v>
      </c>
      <c r="X231" t="s">
        <v>1176</v>
      </c>
      <c r="Y231">
        <f t="shared" si="75"/>
        <v>7.622224206158229E-2</v>
      </c>
      <c r="Z231">
        <f t="shared" si="76"/>
        <v>0.13933930817578952</v>
      </c>
      <c r="AA231" t="str">
        <f t="shared" si="77"/>
        <v>No Impact</v>
      </c>
      <c r="AB231">
        <f t="shared" si="78"/>
        <v>4.9057758089834362E-2</v>
      </c>
      <c r="AC231">
        <f t="shared" si="79"/>
        <v>0.11945928503950272</v>
      </c>
      <c r="AD231" t="str">
        <f t="shared" si="80"/>
        <v>No Impact</v>
      </c>
      <c r="AE231">
        <f t="shared" si="81"/>
        <v>8.706013335122614E-3</v>
      </c>
      <c r="AF231">
        <f t="shared" si="82"/>
        <v>4.7633646929402911E-2</v>
      </c>
      <c r="AG231" t="s">
        <v>1176</v>
      </c>
    </row>
    <row r="232" spans="1:33" customFormat="1" x14ac:dyDescent="0.3">
      <c r="A232">
        <v>304859</v>
      </c>
      <c r="B232" t="s">
        <v>339</v>
      </c>
      <c r="C232" t="s">
        <v>758</v>
      </c>
      <c r="D232" t="s">
        <v>767</v>
      </c>
      <c r="E232" s="18">
        <v>5.9</v>
      </c>
      <c r="F232" s="2">
        <f t="shared" si="64"/>
        <v>0.60000000000000009</v>
      </c>
      <c r="G232" s="10">
        <v>26.174520000000001</v>
      </c>
      <c r="H232">
        <f t="shared" si="65"/>
        <v>0.35070109348395473</v>
      </c>
      <c r="I232" s="22">
        <v>0.10000000000000005</v>
      </c>
      <c r="J232" s="2">
        <f t="shared" si="66"/>
        <v>5.1308363263211933E-4</v>
      </c>
      <c r="K232" s="8">
        <v>0</v>
      </c>
      <c r="L232" s="2">
        <v>0</v>
      </c>
      <c r="M232">
        <v>2267</v>
      </c>
      <c r="N232">
        <f t="shared" si="67"/>
        <v>9.595321571020993E-3</v>
      </c>
      <c r="O232" s="8">
        <v>0.23310546700000001</v>
      </c>
      <c r="P232">
        <f t="shared" si="68"/>
        <v>0.16125063294922098</v>
      </c>
      <c r="Q232" s="20">
        <v>0.15620000000000001</v>
      </c>
      <c r="R232" s="10">
        <f t="shared" si="69"/>
        <v>0.33824166305760073</v>
      </c>
      <c r="S232">
        <f t="shared" si="70"/>
        <v>2.6314316357716583E-2</v>
      </c>
      <c r="T232" s="11">
        <f t="shared" si="71"/>
        <v>4.8303928368290526E-2</v>
      </c>
      <c r="U232" t="str">
        <f t="shared" si="72"/>
        <v>No Impact</v>
      </c>
      <c r="V232">
        <f t="shared" si="73"/>
        <v>3.5638580207196326E-2</v>
      </c>
      <c r="W232">
        <f t="shared" si="74"/>
        <v>4.6942683895704246E-2</v>
      </c>
      <c r="X232" t="s">
        <v>1176</v>
      </c>
      <c r="Y232">
        <f t="shared" si="75"/>
        <v>1.6990052508236833E-2</v>
      </c>
      <c r="Z232">
        <f t="shared" si="76"/>
        <v>3.1058941567939934E-2</v>
      </c>
      <c r="AA232" t="str">
        <f t="shared" si="77"/>
        <v>No Impact</v>
      </c>
      <c r="AB232">
        <f t="shared" si="78"/>
        <v>1.7924370186811957E-2</v>
      </c>
      <c r="AC232">
        <f t="shared" si="79"/>
        <v>4.3647172856511672E-2</v>
      </c>
      <c r="AD232" t="str">
        <f t="shared" si="80"/>
        <v>No Impact</v>
      </c>
      <c r="AE232">
        <f t="shared" si="81"/>
        <v>1.0110038909205523E-3</v>
      </c>
      <c r="AF232">
        <f t="shared" si="82"/>
        <v>5.5315562394189595E-3</v>
      </c>
      <c r="AG232" t="s">
        <v>1176</v>
      </c>
    </row>
    <row r="233" spans="1:33" customFormat="1" x14ac:dyDescent="0.3">
      <c r="A233">
        <v>304876</v>
      </c>
      <c r="B233" t="s">
        <v>384</v>
      </c>
      <c r="C233" t="s">
        <v>758</v>
      </c>
      <c r="D233" t="s">
        <v>768</v>
      </c>
      <c r="E233" s="18">
        <v>6.2</v>
      </c>
      <c r="F233" s="2">
        <f t="shared" si="64"/>
        <v>0.66666666666666663</v>
      </c>
      <c r="G233" s="10">
        <v>24.808320000000002</v>
      </c>
      <c r="H233">
        <f t="shared" si="65"/>
        <v>0.33239596949628353</v>
      </c>
      <c r="I233" s="22">
        <v>0.10000000000000005</v>
      </c>
      <c r="J233" s="2">
        <f t="shared" si="66"/>
        <v>5.1308363263211933E-4</v>
      </c>
      <c r="K233" s="8">
        <v>0</v>
      </c>
      <c r="L233" s="2">
        <v>0</v>
      </c>
      <c r="M233">
        <v>6692</v>
      </c>
      <c r="N233">
        <f t="shared" si="67"/>
        <v>3.0531859022583072E-2</v>
      </c>
      <c r="O233" s="8">
        <v>0.15062205200000001</v>
      </c>
      <c r="P233">
        <f t="shared" si="68"/>
        <v>7.0412571463676757E-2</v>
      </c>
      <c r="Q233" s="20">
        <v>0.18310000000000001</v>
      </c>
      <c r="R233" s="10">
        <f t="shared" si="69"/>
        <v>0.39649198787353834</v>
      </c>
      <c r="S233">
        <f t="shared" si="70"/>
        <v>2.5906125791754313E-2</v>
      </c>
      <c r="T233" s="11">
        <f t="shared" si="71"/>
        <v>4.7554632525266601E-2</v>
      </c>
      <c r="U233" t="str">
        <f t="shared" si="72"/>
        <v>No Impact</v>
      </c>
      <c r="V233">
        <f t="shared" si="73"/>
        <v>4.399859075206039E-2</v>
      </c>
      <c r="W233">
        <f t="shared" si="74"/>
        <v>5.7954383298169897E-2</v>
      </c>
      <c r="X233" t="s">
        <v>1176</v>
      </c>
      <c r="Y233">
        <f t="shared" si="75"/>
        <v>7.8136608314482454E-3</v>
      </c>
      <c r="Z233">
        <f t="shared" si="76"/>
        <v>1.428388965119431E-2</v>
      </c>
      <c r="AA233" t="str">
        <f t="shared" si="77"/>
        <v>No Impact</v>
      </c>
      <c r="AB233">
        <f t="shared" si="78"/>
        <v>1.8929443778360866E-2</v>
      </c>
      <c r="AC233">
        <f t="shared" si="79"/>
        <v>4.6094601710448588E-2</v>
      </c>
      <c r="AD233" t="str">
        <f t="shared" si="80"/>
        <v>No Impact</v>
      </c>
      <c r="AE233">
        <f t="shared" si="81"/>
        <v>3.3881107591578904E-3</v>
      </c>
      <c r="AF233">
        <f t="shared" si="82"/>
        <v>1.8537540140026128E-2</v>
      </c>
      <c r="AG233" t="s">
        <v>1176</v>
      </c>
    </row>
    <row r="234" spans="1:33" customFormat="1" x14ac:dyDescent="0.3">
      <c r="A234">
        <v>304879</v>
      </c>
      <c r="B234" t="s">
        <v>391</v>
      </c>
      <c r="C234" t="s">
        <v>758</v>
      </c>
      <c r="D234" t="s">
        <v>769</v>
      </c>
      <c r="E234" s="18">
        <v>6.3</v>
      </c>
      <c r="F234" s="2">
        <f t="shared" si="64"/>
        <v>0.68888888888888877</v>
      </c>
      <c r="G234" s="10">
        <v>24.38964</v>
      </c>
      <c r="H234">
        <f t="shared" si="65"/>
        <v>0.32678625692772972</v>
      </c>
      <c r="I234" s="22">
        <v>0.20000000000000009</v>
      </c>
      <c r="J234" s="2">
        <f t="shared" si="66"/>
        <v>1.0261672652642387E-3</v>
      </c>
      <c r="K234" s="8">
        <v>0</v>
      </c>
      <c r="L234" s="2">
        <v>0</v>
      </c>
      <c r="M234">
        <v>22012</v>
      </c>
      <c r="N234">
        <f t="shared" si="67"/>
        <v>0.10301722710347144</v>
      </c>
      <c r="O234" s="8">
        <v>0.88355955600000002</v>
      </c>
      <c r="P234">
        <f t="shared" si="68"/>
        <v>0.87758843892034455</v>
      </c>
      <c r="Q234" s="20">
        <v>0.30270000000000002</v>
      </c>
      <c r="R234" s="10">
        <f t="shared" si="69"/>
        <v>0.65547856214811617</v>
      </c>
      <c r="S234">
        <f t="shared" si="70"/>
        <v>8.6551726178814403E-2</v>
      </c>
      <c r="T234" s="11">
        <f t="shared" si="71"/>
        <v>0.15887885228176732</v>
      </c>
      <c r="U234" t="str">
        <f t="shared" si="72"/>
        <v>Low</v>
      </c>
      <c r="V234">
        <f t="shared" si="73"/>
        <v>7.4012161226596346E-2</v>
      </c>
      <c r="W234">
        <f t="shared" si="74"/>
        <v>9.7487876023648543E-2</v>
      </c>
      <c r="X234" t="s">
        <v>1176</v>
      </c>
      <c r="Y234">
        <f t="shared" si="75"/>
        <v>9.9091291131032461E-2</v>
      </c>
      <c r="Z234">
        <f t="shared" si="76"/>
        <v>0.1811454449383483</v>
      </c>
      <c r="AA234" t="str">
        <f t="shared" si="77"/>
        <v>Low</v>
      </c>
      <c r="AB234">
        <f t="shared" si="78"/>
        <v>5.9702844295420207E-2</v>
      </c>
      <c r="AC234">
        <f t="shared" si="79"/>
        <v>0.14538086068457215</v>
      </c>
      <c r="AD234" t="str">
        <f t="shared" si="80"/>
        <v>No Impact</v>
      </c>
      <c r="AE234">
        <f t="shared" si="81"/>
        <v>1.1632001505147826E-2</v>
      </c>
      <c r="AF234">
        <f t="shared" si="82"/>
        <v>6.3642752595288926E-2</v>
      </c>
      <c r="AG234" t="s">
        <v>1176</v>
      </c>
    </row>
    <row r="235" spans="1:33" customFormat="1" x14ac:dyDescent="0.3">
      <c r="A235">
        <v>304892</v>
      </c>
      <c r="B235" t="s">
        <v>512</v>
      </c>
      <c r="C235" t="s">
        <v>758</v>
      </c>
      <c r="D235" t="s">
        <v>770</v>
      </c>
      <c r="E235" s="18">
        <v>6.3</v>
      </c>
      <c r="F235" s="2">
        <f t="shared" si="64"/>
        <v>0.68888888888888877</v>
      </c>
      <c r="G235" s="10">
        <v>27.46116</v>
      </c>
      <c r="H235">
        <f t="shared" si="65"/>
        <v>0.36794022737906318</v>
      </c>
      <c r="I235" s="22">
        <v>0.10000000000000005</v>
      </c>
      <c r="J235" s="2">
        <f t="shared" si="66"/>
        <v>5.1308363263211933E-4</v>
      </c>
      <c r="K235" s="8">
        <v>0</v>
      </c>
      <c r="L235" s="2">
        <v>0</v>
      </c>
      <c r="M235">
        <v>17053</v>
      </c>
      <c r="N235">
        <f t="shared" si="67"/>
        <v>7.9554110895042884E-2</v>
      </c>
      <c r="O235" s="8">
        <v>0.73197743400000004</v>
      </c>
      <c r="P235">
        <f t="shared" si="68"/>
        <v>0.71065274501939169</v>
      </c>
      <c r="Q235" s="20">
        <v>0.2404</v>
      </c>
      <c r="R235" s="10">
        <f t="shared" si="69"/>
        <v>0.52057167605023824</v>
      </c>
      <c r="S235">
        <f t="shared" si="70"/>
        <v>7.8128389726602479E-2</v>
      </c>
      <c r="T235" s="11">
        <f t="shared" si="71"/>
        <v>0.14341653758285861</v>
      </c>
      <c r="U235" t="str">
        <f t="shared" si="72"/>
        <v>No Impact</v>
      </c>
      <c r="V235">
        <f t="shared" si="73"/>
        <v>6.6066634304979499E-2</v>
      </c>
      <c r="W235">
        <f t="shared" si="74"/>
        <v>8.7022129170159904E-2</v>
      </c>
      <c r="X235" t="s">
        <v>1176</v>
      </c>
      <c r="Y235">
        <f t="shared" si="75"/>
        <v>9.0190145148225459E-2</v>
      </c>
      <c r="Z235">
        <f t="shared" si="76"/>
        <v>0.1648735603850971</v>
      </c>
      <c r="AA235" t="str">
        <f t="shared" si="77"/>
        <v>Low</v>
      </c>
      <c r="AB235">
        <f t="shared" si="78"/>
        <v>5.3714087049743696E-2</v>
      </c>
      <c r="AC235">
        <f t="shared" si="79"/>
        <v>0.13079779193663635</v>
      </c>
      <c r="AD235" t="str">
        <f t="shared" si="80"/>
        <v>No Impact</v>
      </c>
      <c r="AE235">
        <f t="shared" si="81"/>
        <v>1.0096347138666379E-2</v>
      </c>
      <c r="AF235">
        <f t="shared" si="82"/>
        <v>5.5240649924084728E-2</v>
      </c>
      <c r="AG235" t="s">
        <v>1176</v>
      </c>
    </row>
    <row r="236" spans="1:33" customFormat="1" x14ac:dyDescent="0.3">
      <c r="A236">
        <v>305440</v>
      </c>
      <c r="B236" t="s">
        <v>247</v>
      </c>
      <c r="C236" t="s">
        <v>772</v>
      </c>
      <c r="D236" t="s">
        <v>771</v>
      </c>
      <c r="E236" s="18">
        <v>6.4</v>
      </c>
      <c r="F236" s="2">
        <f t="shared" si="64"/>
        <v>0.71111111111111114</v>
      </c>
      <c r="G236" s="10">
        <v>30.525480000000002</v>
      </c>
      <c r="H236">
        <f t="shared" si="65"/>
        <v>0.40899772813876206</v>
      </c>
      <c r="I236" s="22">
        <v>41.2</v>
      </c>
      <c r="J236" s="2">
        <f t="shared" si="66"/>
        <v>0.21139045664443309</v>
      </c>
      <c r="K236" s="8">
        <v>0</v>
      </c>
      <c r="L236" s="2">
        <v>0</v>
      </c>
      <c r="M236">
        <v>17400</v>
      </c>
      <c r="N236">
        <f t="shared" si="67"/>
        <v>8.1195913944916792E-2</v>
      </c>
      <c r="O236" s="8">
        <v>0.87484448500000001</v>
      </c>
      <c r="P236">
        <f t="shared" si="68"/>
        <v>0.86799062879877187</v>
      </c>
      <c r="Q236" s="20">
        <v>0.29370000000000002</v>
      </c>
      <c r="R236" s="10">
        <f t="shared" si="69"/>
        <v>0.63598960588999576</v>
      </c>
      <c r="S236">
        <f t="shared" si="70"/>
        <v>0.16587583426637659</v>
      </c>
      <c r="T236" s="11">
        <f t="shared" si="71"/>
        <v>0.30449031270705462</v>
      </c>
      <c r="U236" t="str">
        <f t="shared" si="72"/>
        <v>Moderate</v>
      </c>
      <c r="V236">
        <f t="shared" si="73"/>
        <v>0.14028815542722636</v>
      </c>
      <c r="W236">
        <f t="shared" si="74"/>
        <v>0.18478577138159771</v>
      </c>
      <c r="X236" t="s">
        <v>1176</v>
      </c>
      <c r="Y236">
        <f t="shared" si="75"/>
        <v>0.19146351310552684</v>
      </c>
      <c r="Z236">
        <f t="shared" si="76"/>
        <v>0.35000798632341501</v>
      </c>
      <c r="AA236" t="str">
        <f t="shared" si="77"/>
        <v>Moderate</v>
      </c>
      <c r="AB236">
        <f t="shared" si="78"/>
        <v>0.11280854654716409</v>
      </c>
      <c r="AC236">
        <f t="shared" si="79"/>
        <v>0.27469719044625801</v>
      </c>
      <c r="AD236" t="str">
        <f t="shared" si="80"/>
        <v>Low</v>
      </c>
      <c r="AE236">
        <f t="shared" si="81"/>
        <v>1.7910394902790918E-2</v>
      </c>
      <c r="AF236">
        <f t="shared" si="82"/>
        <v>9.7994040937648616E-2</v>
      </c>
      <c r="AG236" t="s">
        <v>1176</v>
      </c>
    </row>
    <row r="237" spans="1:33" customFormat="1" x14ac:dyDescent="0.3">
      <c r="A237">
        <v>305454</v>
      </c>
      <c r="B237" t="s">
        <v>307</v>
      </c>
      <c r="C237" t="s">
        <v>772</v>
      </c>
      <c r="D237" t="s">
        <v>773</v>
      </c>
      <c r="E237" s="18">
        <v>6.4</v>
      </c>
      <c r="F237" s="2">
        <f t="shared" si="64"/>
        <v>0.71111111111111114</v>
      </c>
      <c r="G237" s="10">
        <v>28.913039999999999</v>
      </c>
      <c r="H237">
        <f t="shared" si="65"/>
        <v>0.38739334069718645</v>
      </c>
      <c r="I237" s="22">
        <v>33.200000000000003</v>
      </c>
      <c r="J237" s="2">
        <f t="shared" si="66"/>
        <v>0.17034376603386356</v>
      </c>
      <c r="K237" s="8">
        <v>0</v>
      </c>
      <c r="L237" s="2">
        <v>0</v>
      </c>
      <c r="M237">
        <v>27938</v>
      </c>
      <c r="N237">
        <f t="shared" si="67"/>
        <v>0.1310556273154391</v>
      </c>
      <c r="O237" s="8">
        <v>0.77323142600000005</v>
      </c>
      <c r="P237">
        <f t="shared" si="68"/>
        <v>0.75608530454448108</v>
      </c>
      <c r="Q237" s="20">
        <v>0.25740000000000002</v>
      </c>
      <c r="R237" s="10">
        <f t="shared" si="69"/>
        <v>0.55738414898224342</v>
      </c>
      <c r="S237">
        <f t="shared" si="70"/>
        <v>0.13023478271815267</v>
      </c>
      <c r="T237" s="11">
        <f t="shared" si="71"/>
        <v>0.23906574390760324</v>
      </c>
      <c r="U237" t="str">
        <f t="shared" si="72"/>
        <v>Low</v>
      </c>
      <c r="V237">
        <f t="shared" si="73"/>
        <v>0.11053291469905956</v>
      </c>
      <c r="W237">
        <f t="shared" si="74"/>
        <v>0.14559254730751206</v>
      </c>
      <c r="X237" t="s">
        <v>1176</v>
      </c>
      <c r="Y237">
        <f t="shared" si="75"/>
        <v>0.14993665073724577</v>
      </c>
      <c r="Z237">
        <f t="shared" si="76"/>
        <v>0.27409413077935263</v>
      </c>
      <c r="AA237" t="str">
        <f t="shared" si="77"/>
        <v>Low</v>
      </c>
      <c r="AB237">
        <f t="shared" si="78"/>
        <v>9.2763730562256133E-2</v>
      </c>
      <c r="AC237">
        <f t="shared" si="79"/>
        <v>0.22588657456118988</v>
      </c>
      <c r="AD237" t="str">
        <f t="shared" si="80"/>
        <v>Low</v>
      </c>
      <c r="AE237">
        <f t="shared" si="81"/>
        <v>2.5989186275461609E-2</v>
      </c>
      <c r="AF237">
        <f t="shared" si="82"/>
        <v>0.14219593692023524</v>
      </c>
      <c r="AG237" t="s">
        <v>1175</v>
      </c>
    </row>
    <row r="238" spans="1:33" customFormat="1" x14ac:dyDescent="0.3">
      <c r="A238">
        <v>305480</v>
      </c>
      <c r="B238" t="s">
        <v>425</v>
      </c>
      <c r="C238" t="s">
        <v>772</v>
      </c>
      <c r="D238" t="s">
        <v>774</v>
      </c>
      <c r="E238" s="18">
        <v>6.4</v>
      </c>
      <c r="F238" s="2">
        <f t="shared" si="64"/>
        <v>0.71111111111111114</v>
      </c>
      <c r="G238" s="10">
        <v>33.114960000000004</v>
      </c>
      <c r="H238">
        <f t="shared" si="65"/>
        <v>0.44369305273515702</v>
      </c>
      <c r="I238" s="22">
        <v>38.800000000000004</v>
      </c>
      <c r="J238" s="2">
        <f t="shared" si="66"/>
        <v>0.19907644946126224</v>
      </c>
      <c r="K238" s="8">
        <v>0</v>
      </c>
      <c r="L238" s="2">
        <v>0</v>
      </c>
      <c r="M238">
        <v>12683</v>
      </c>
      <c r="N238">
        <f t="shared" si="67"/>
        <v>5.8877801592596271E-2</v>
      </c>
      <c r="O238" s="8">
        <v>0.79979732400000003</v>
      </c>
      <c r="P238">
        <f t="shared" si="68"/>
        <v>0.78534203058986474</v>
      </c>
      <c r="Q238" s="20">
        <v>0.27060000000000001</v>
      </c>
      <c r="R238" s="10">
        <f t="shared" si="69"/>
        <v>0.58596795149415337</v>
      </c>
      <c r="S238">
        <f t="shared" si="70"/>
        <v>0.15669977502953336</v>
      </c>
      <c r="T238" s="11">
        <f t="shared" si="71"/>
        <v>0.28764626089684348</v>
      </c>
      <c r="U238" t="str">
        <f t="shared" si="72"/>
        <v>Low</v>
      </c>
      <c r="V238">
        <f t="shared" si="73"/>
        <v>0.13391727235020534</v>
      </c>
      <c r="W238">
        <f t="shared" si="74"/>
        <v>0.17639412534288429</v>
      </c>
      <c r="X238" t="s">
        <v>1176</v>
      </c>
      <c r="Y238">
        <f t="shared" si="75"/>
        <v>0.17948227770886133</v>
      </c>
      <c r="Z238">
        <f t="shared" si="76"/>
        <v>0.32810549426717439</v>
      </c>
      <c r="AA238" t="str">
        <f t="shared" si="77"/>
        <v>Moderate</v>
      </c>
      <c r="AB238">
        <f t="shared" si="78"/>
        <v>0.10542531061817512</v>
      </c>
      <c r="AC238">
        <f t="shared" si="79"/>
        <v>0.25671846252029201</v>
      </c>
      <c r="AD238" t="str">
        <f t="shared" si="80"/>
        <v>Low</v>
      </c>
      <c r="AE238">
        <f t="shared" si="81"/>
        <v>1.345594852269961E-2</v>
      </c>
      <c r="AF238">
        <f t="shared" si="82"/>
        <v>7.3622205291679219E-2</v>
      </c>
      <c r="AG238" t="s">
        <v>1176</v>
      </c>
    </row>
    <row r="239" spans="1:33" customFormat="1" x14ac:dyDescent="0.3">
      <c r="A239">
        <v>305487</v>
      </c>
      <c r="B239" t="s">
        <v>481</v>
      </c>
      <c r="C239" t="s">
        <v>772</v>
      </c>
      <c r="D239" t="s">
        <v>775</v>
      </c>
      <c r="E239" s="18">
        <v>6.4</v>
      </c>
      <c r="F239" s="2">
        <f t="shared" si="64"/>
        <v>0.71111111111111114</v>
      </c>
      <c r="G239" s="10">
        <v>25.215479999999999</v>
      </c>
      <c r="H239">
        <f t="shared" si="65"/>
        <v>0.33785133055822186</v>
      </c>
      <c r="I239" s="22">
        <v>7.3999999999999995</v>
      </c>
      <c r="J239" s="2">
        <f t="shared" si="66"/>
        <v>3.7968188814776808E-2</v>
      </c>
      <c r="K239" s="8">
        <v>0</v>
      </c>
      <c r="L239" s="2">
        <v>0</v>
      </c>
      <c r="M239">
        <v>29231</v>
      </c>
      <c r="N239">
        <f t="shared" si="67"/>
        <v>0.13717335453009893</v>
      </c>
      <c r="O239" s="8">
        <v>0.70977384899999996</v>
      </c>
      <c r="P239">
        <f t="shared" si="68"/>
        <v>0.68620018544205708</v>
      </c>
      <c r="Q239" s="20">
        <v>0.24440000000000001</v>
      </c>
      <c r="R239" s="10">
        <f t="shared" si="69"/>
        <v>0.52923343438718062</v>
      </c>
      <c r="S239">
        <f t="shared" si="70"/>
        <v>8.1205987348268102E-2</v>
      </c>
      <c r="T239" s="11">
        <f t="shared" si="71"/>
        <v>0.14906593591958431</v>
      </c>
      <c r="U239" t="str">
        <f t="shared" si="72"/>
        <v>No Impact</v>
      </c>
      <c r="V239">
        <f t="shared" si="73"/>
        <v>7.0718668425781922E-2</v>
      </c>
      <c r="W239">
        <f t="shared" si="74"/>
        <v>9.3149729257908695E-2</v>
      </c>
      <c r="X239" t="s">
        <v>1176</v>
      </c>
      <c r="Y239">
        <f t="shared" si="75"/>
        <v>9.1693306270754296E-2</v>
      </c>
      <c r="Z239">
        <f t="shared" si="76"/>
        <v>0.16762143850078792</v>
      </c>
      <c r="AA239" t="str">
        <f t="shared" si="77"/>
        <v>Low</v>
      </c>
      <c r="AB239">
        <f t="shared" si="78"/>
        <v>5.8674938615885269E-2</v>
      </c>
      <c r="AC239">
        <f t="shared" si="79"/>
        <v>0.14287783400038429</v>
      </c>
      <c r="AD239" t="str">
        <f t="shared" si="80"/>
        <v>No Impact</v>
      </c>
      <c r="AE239">
        <f t="shared" si="81"/>
        <v>1.8329750816100884E-2</v>
      </c>
      <c r="AF239">
        <f t="shared" si="82"/>
        <v>0.10028848395576086</v>
      </c>
      <c r="AG239" t="s">
        <v>1176</v>
      </c>
    </row>
    <row r="240" spans="1:33" customFormat="1" x14ac:dyDescent="0.3">
      <c r="A240">
        <v>305610</v>
      </c>
      <c r="B240" t="s">
        <v>1174</v>
      </c>
      <c r="C240" t="s">
        <v>776</v>
      </c>
      <c r="D240" t="s">
        <v>1134</v>
      </c>
      <c r="E240" s="18">
        <v>5.5</v>
      </c>
      <c r="F240" s="2">
        <f t="shared" si="64"/>
        <v>0.51111111111111107</v>
      </c>
      <c r="G240" s="10">
        <v>29.743200000000002</v>
      </c>
      <c r="H240">
        <f t="shared" si="65"/>
        <v>0.39851629614265943</v>
      </c>
      <c r="I240" s="22">
        <v>0.60000000000000031</v>
      </c>
      <c r="J240" s="2">
        <f t="shared" si="66"/>
        <v>3.078501795792716E-3</v>
      </c>
      <c r="K240" s="8">
        <v>0</v>
      </c>
      <c r="L240" s="2">
        <v>0</v>
      </c>
      <c r="M240">
        <v>80319</v>
      </c>
      <c r="N240">
        <f t="shared" si="67"/>
        <v>0.37889218511211104</v>
      </c>
      <c r="O240" s="8">
        <v>0.76007428600000004</v>
      </c>
      <c r="P240">
        <f t="shared" si="68"/>
        <v>0.74159549356497789</v>
      </c>
      <c r="Q240" s="20">
        <v>0.24</v>
      </c>
      <c r="R240" s="10">
        <f t="shared" si="69"/>
        <v>0.51970550021654394</v>
      </c>
      <c r="S240">
        <f t="shared" si="70"/>
        <v>6.4723522821983112E-2</v>
      </c>
      <c r="T240" s="11">
        <f t="shared" si="71"/>
        <v>0.11880986637221465</v>
      </c>
      <c r="U240" t="str">
        <f t="shared" si="72"/>
        <v>No Impact</v>
      </c>
      <c r="V240">
        <f t="shared" si="73"/>
        <v>5.3337262033113307E-2</v>
      </c>
      <c r="W240">
        <f t="shared" si="74"/>
        <v>7.0255162156465656E-2</v>
      </c>
      <c r="X240" t="s">
        <v>1176</v>
      </c>
      <c r="Y240">
        <f t="shared" si="75"/>
        <v>7.610978361085291E-2</v>
      </c>
      <c r="Z240">
        <f t="shared" si="76"/>
        <v>0.13913372667753746</v>
      </c>
      <c r="AA240" t="str">
        <f t="shared" si="77"/>
        <v>No Impact</v>
      </c>
      <c r="AB240">
        <f t="shared" si="78"/>
        <v>5.5110944580295328E-2</v>
      </c>
      <c r="AC240">
        <f t="shared" si="79"/>
        <v>0.13419924378439865</v>
      </c>
      <c r="AD240" t="str">
        <f t="shared" si="80"/>
        <v>No Impact</v>
      </c>
      <c r="AE240">
        <f t="shared" si="81"/>
        <v>3.8885622244142298E-2</v>
      </c>
      <c r="AF240">
        <f t="shared" si="82"/>
        <v>0.21275685314368098</v>
      </c>
      <c r="AG240" t="s">
        <v>1175</v>
      </c>
    </row>
    <row r="241" spans="1:33" customFormat="1" x14ac:dyDescent="0.3">
      <c r="A241">
        <v>305622</v>
      </c>
      <c r="B241" t="s">
        <v>182</v>
      </c>
      <c r="C241" t="s">
        <v>776</v>
      </c>
      <c r="D241" t="s">
        <v>777</v>
      </c>
      <c r="E241" s="18">
        <v>5.9</v>
      </c>
      <c r="F241" s="2">
        <f t="shared" si="64"/>
        <v>0.60000000000000009</v>
      </c>
      <c r="G241" s="10">
        <v>23.904</v>
      </c>
      <c r="H241">
        <f t="shared" si="65"/>
        <v>0.32027937622697389</v>
      </c>
      <c r="I241" s="22">
        <v>0</v>
      </c>
      <c r="J241" s="2">
        <f t="shared" si="66"/>
        <v>0</v>
      </c>
      <c r="K241" s="8">
        <v>0</v>
      </c>
      <c r="L241" s="2">
        <v>0</v>
      </c>
      <c r="M241">
        <v>22617</v>
      </c>
      <c r="N241">
        <f t="shared" si="67"/>
        <v>0.10587973674374151</v>
      </c>
      <c r="O241" s="8">
        <v>0.81849543499999999</v>
      </c>
      <c r="P241">
        <f t="shared" si="68"/>
        <v>0.80593405089699599</v>
      </c>
      <c r="Q241" s="20">
        <v>0.25090000000000001</v>
      </c>
      <c r="R241" s="10">
        <f t="shared" si="69"/>
        <v>0.54330879168471202</v>
      </c>
      <c r="S241">
        <f t="shared" si="70"/>
        <v>6.4820198400116796E-2</v>
      </c>
      <c r="T241" s="11">
        <f t="shared" si="71"/>
        <v>0.11898732909393811</v>
      </c>
      <c r="U241" t="str">
        <f t="shared" si="72"/>
        <v>No Impact</v>
      </c>
      <c r="V241">
        <f t="shared" si="73"/>
        <v>5.2203180269823145E-2</v>
      </c>
      <c r="W241">
        <f t="shared" si="74"/>
        <v>6.876136410344269E-2</v>
      </c>
      <c r="X241" t="s">
        <v>1176</v>
      </c>
      <c r="Y241">
        <f t="shared" si="75"/>
        <v>7.7437216530410441E-2</v>
      </c>
      <c r="Z241">
        <f t="shared" si="76"/>
        <v>0.14156036199628702</v>
      </c>
      <c r="AA241" t="str">
        <f t="shared" si="77"/>
        <v>No Impact</v>
      </c>
      <c r="AB241">
        <f t="shared" si="78"/>
        <v>4.5062943137694218E-2</v>
      </c>
      <c r="AC241">
        <f t="shared" si="79"/>
        <v>0.10973161388963285</v>
      </c>
      <c r="AD241" t="str">
        <f t="shared" si="80"/>
        <v>No Impact</v>
      </c>
      <c r="AE241">
        <f t="shared" si="81"/>
        <v>1.0173328811808522E-2</v>
      </c>
      <c r="AF241">
        <f t="shared" si="82"/>
        <v>5.5661843609108627E-2</v>
      </c>
      <c r="AG241" t="s">
        <v>1176</v>
      </c>
    </row>
    <row r="242" spans="1:33" customFormat="1" x14ac:dyDescent="0.3">
      <c r="A242">
        <v>305628</v>
      </c>
      <c r="B242" t="s">
        <v>203</v>
      </c>
      <c r="C242" t="s">
        <v>776</v>
      </c>
      <c r="D242" t="s">
        <v>778</v>
      </c>
      <c r="E242" s="18">
        <v>5.9</v>
      </c>
      <c r="F242" s="2">
        <f t="shared" si="64"/>
        <v>0.60000000000000009</v>
      </c>
      <c r="G242" s="10">
        <v>24.177959999999999</v>
      </c>
      <c r="H242">
        <f t="shared" si="65"/>
        <v>0.32395004799367161</v>
      </c>
      <c r="I242" s="22">
        <v>0.10000000000000005</v>
      </c>
      <c r="J242" s="2">
        <f t="shared" si="66"/>
        <v>5.1308363263211933E-4</v>
      </c>
      <c r="K242" s="8">
        <v>0</v>
      </c>
      <c r="L242" s="2">
        <v>0</v>
      </c>
      <c r="M242">
        <v>12495</v>
      </c>
      <c r="N242">
        <f t="shared" si="67"/>
        <v>5.7988294464710696E-2</v>
      </c>
      <c r="O242" s="8">
        <v>0.71691236599999997</v>
      </c>
      <c r="P242">
        <f t="shared" si="68"/>
        <v>0.69406175429394812</v>
      </c>
      <c r="Q242" s="20">
        <v>0.23949999999999999</v>
      </c>
      <c r="R242" s="10">
        <f t="shared" si="69"/>
        <v>0.51862278042442611</v>
      </c>
      <c r="S242">
        <f t="shared" si="70"/>
        <v>5.9020713271426634E-2</v>
      </c>
      <c r="T242" s="11">
        <f t="shared" si="71"/>
        <v>0.10834149241625196</v>
      </c>
      <c r="U242" t="str">
        <f t="shared" si="72"/>
        <v>No Impact</v>
      </c>
      <c r="V242">
        <f t="shared" si="73"/>
        <v>5.0482191440775065E-2</v>
      </c>
      <c r="W242">
        <f t="shared" si="74"/>
        <v>6.6494499539244106E-2</v>
      </c>
      <c r="X242" t="s">
        <v>1176</v>
      </c>
      <c r="Y242">
        <f t="shared" si="75"/>
        <v>6.7559235102078188E-2</v>
      </c>
      <c r="Z242">
        <f t="shared" si="76"/>
        <v>0.12350275753373284</v>
      </c>
      <c r="AA242" t="str">
        <f t="shared" si="77"/>
        <v>No Impact</v>
      </c>
      <c r="AB242">
        <f t="shared" si="78"/>
        <v>3.9912119214961995E-2</v>
      </c>
      <c r="AC242">
        <f t="shared" si="79"/>
        <v>9.718897502612836E-2</v>
      </c>
      <c r="AD242" t="str">
        <f t="shared" si="80"/>
        <v>No Impact</v>
      </c>
      <c r="AE242">
        <f t="shared" si="81"/>
        <v>5.6445190859064865E-3</v>
      </c>
      <c r="AF242">
        <f t="shared" si="82"/>
        <v>3.0883140063621202E-2</v>
      </c>
      <c r="AG242" t="s">
        <v>1176</v>
      </c>
    </row>
    <row r="243" spans="1:33" customFormat="1" x14ac:dyDescent="0.3">
      <c r="A243">
        <v>305646</v>
      </c>
      <c r="B243" t="s">
        <v>318</v>
      </c>
      <c r="C243" t="s">
        <v>776</v>
      </c>
      <c r="D243" t="s">
        <v>779</v>
      </c>
      <c r="E243" s="18">
        <v>5.9</v>
      </c>
      <c r="F243" s="2">
        <f t="shared" si="64"/>
        <v>0.60000000000000009</v>
      </c>
      <c r="G243" s="10">
        <v>23.103000000000002</v>
      </c>
      <c r="H243">
        <f t="shared" si="65"/>
        <v>0.30954712303262127</v>
      </c>
      <c r="I243" s="22">
        <v>0.10000000000000005</v>
      </c>
      <c r="J243" s="2">
        <f t="shared" si="66"/>
        <v>5.1308363263211933E-4</v>
      </c>
      <c r="K243" s="8">
        <v>0</v>
      </c>
      <c r="L243" s="2">
        <v>0</v>
      </c>
      <c r="M243">
        <v>45062</v>
      </c>
      <c r="N243">
        <f t="shared" si="67"/>
        <v>0.21207647868731458</v>
      </c>
      <c r="O243" s="8">
        <v>0.79733383800000002</v>
      </c>
      <c r="P243">
        <f t="shared" si="68"/>
        <v>0.78262902103834731</v>
      </c>
      <c r="Q243" s="20">
        <v>0.25009999999999999</v>
      </c>
      <c r="R243" s="10">
        <f t="shared" si="69"/>
        <v>0.54157644001732352</v>
      </c>
      <c r="S243">
        <f t="shared" si="70"/>
        <v>6.158751283832678E-2</v>
      </c>
      <c r="T243" s="11">
        <f t="shared" si="71"/>
        <v>0.11305324326433908</v>
      </c>
      <c r="U243" t="str">
        <f t="shared" si="72"/>
        <v>No Impact</v>
      </c>
      <c r="V243">
        <f t="shared" si="73"/>
        <v>5.0376390875041074E-2</v>
      </c>
      <c r="W243">
        <f t="shared" si="74"/>
        <v>6.6355140381714195E-2</v>
      </c>
      <c r="X243" t="s">
        <v>1176</v>
      </c>
      <c r="Y243">
        <f t="shared" si="75"/>
        <v>7.2798634801612486E-2</v>
      </c>
      <c r="Z243">
        <f t="shared" si="76"/>
        <v>0.13308072729221507</v>
      </c>
      <c r="AA243" t="str">
        <f t="shared" si="77"/>
        <v>No Impact</v>
      </c>
      <c r="AB243">
        <f t="shared" si="78"/>
        <v>4.6375757311864052E-2</v>
      </c>
      <c r="AC243">
        <f t="shared" si="79"/>
        <v>0.11292841392172707</v>
      </c>
      <c r="AD243" t="str">
        <f t="shared" si="80"/>
        <v>No Impact</v>
      </c>
      <c r="AE243">
        <f t="shared" si="81"/>
        <v>1.9726943043188394E-2</v>
      </c>
      <c r="AF243">
        <f t="shared" si="82"/>
        <v>0.10793301178678276</v>
      </c>
      <c r="AG243" t="s">
        <v>1176</v>
      </c>
    </row>
    <row r="244" spans="1:33" customFormat="1" x14ac:dyDescent="0.3">
      <c r="A244">
        <v>305670</v>
      </c>
      <c r="B244" t="s">
        <v>464</v>
      </c>
      <c r="C244" t="s">
        <v>776</v>
      </c>
      <c r="D244" t="s">
        <v>780</v>
      </c>
      <c r="E244" s="18">
        <v>5.9</v>
      </c>
      <c r="F244" s="2">
        <f t="shared" si="64"/>
        <v>0.60000000000000009</v>
      </c>
      <c r="G244" s="10">
        <v>23.339160000000003</v>
      </c>
      <c r="H244">
        <f t="shared" si="65"/>
        <v>0.31271132891823716</v>
      </c>
      <c r="I244" s="22">
        <v>0.1</v>
      </c>
      <c r="J244" s="2">
        <f t="shared" si="66"/>
        <v>5.1308363263211912E-4</v>
      </c>
      <c r="K244" s="8">
        <v>0</v>
      </c>
      <c r="L244" s="2">
        <v>0</v>
      </c>
      <c r="M244">
        <v>15842</v>
      </c>
      <c r="N244">
        <f t="shared" si="67"/>
        <v>7.3824360193609745E-2</v>
      </c>
      <c r="O244" s="8">
        <v>0.81512432999999995</v>
      </c>
      <c r="P244">
        <f t="shared" si="68"/>
        <v>0.80222149070214677</v>
      </c>
      <c r="Q244" s="20">
        <v>0.28170000000000001</v>
      </c>
      <c r="R244" s="10">
        <f t="shared" si="69"/>
        <v>0.6100043308791685</v>
      </c>
      <c r="S244">
        <f t="shared" si="70"/>
        <v>6.635154050309644E-2</v>
      </c>
      <c r="T244" s="11">
        <f t="shared" si="71"/>
        <v>0.12179834034135684</v>
      </c>
      <c r="U244" t="str">
        <f t="shared" si="72"/>
        <v>No Impact</v>
      </c>
      <c r="V244">
        <f t="shared" si="73"/>
        <v>5.7320474457934111E-2</v>
      </c>
      <c r="W244">
        <f t="shared" si="74"/>
        <v>7.5501798825511418E-2</v>
      </c>
      <c r="X244" t="s">
        <v>1176</v>
      </c>
      <c r="Y244">
        <f t="shared" si="75"/>
        <v>7.538260654825879E-2</v>
      </c>
      <c r="Z244">
        <f t="shared" si="76"/>
        <v>0.13780439883198148</v>
      </c>
      <c r="AA244" t="str">
        <f t="shared" si="77"/>
        <v>No Impact</v>
      </c>
      <c r="AB244">
        <f t="shared" si="78"/>
        <v>4.5104925169381228E-2</v>
      </c>
      <c r="AC244">
        <f t="shared" si="79"/>
        <v>0.1098338432552849</v>
      </c>
      <c r="AD244" t="str">
        <f t="shared" si="80"/>
        <v>No Impact</v>
      </c>
      <c r="AE244">
        <f t="shared" si="81"/>
        <v>6.9370775560761589E-3</v>
      </c>
      <c r="AF244">
        <f t="shared" si="82"/>
        <v>3.7955179978295214E-2</v>
      </c>
      <c r="AG244" t="s">
        <v>1176</v>
      </c>
    </row>
    <row r="245" spans="1:33" customFormat="1" x14ac:dyDescent="0.3">
      <c r="A245">
        <v>305678</v>
      </c>
      <c r="B245" t="s">
        <v>482</v>
      </c>
      <c r="C245" t="s">
        <v>776</v>
      </c>
      <c r="D245" t="s">
        <v>781</v>
      </c>
      <c r="E245" s="18">
        <v>5.9</v>
      </c>
      <c r="F245" s="2">
        <f t="shared" si="64"/>
        <v>0.60000000000000009</v>
      </c>
      <c r="G245" s="10">
        <v>24.864840000000001</v>
      </c>
      <c r="H245">
        <f t="shared" si="65"/>
        <v>0.3331532565756154</v>
      </c>
      <c r="I245" s="22">
        <v>0</v>
      </c>
      <c r="J245" s="2">
        <f t="shared" si="66"/>
        <v>0</v>
      </c>
      <c r="K245" s="8">
        <v>0</v>
      </c>
      <c r="L245" s="2">
        <v>0</v>
      </c>
      <c r="M245">
        <v>16520</v>
      </c>
      <c r="N245">
        <f t="shared" si="67"/>
        <v>7.7032263559069419E-2</v>
      </c>
      <c r="O245" s="8">
        <v>0.73930435999999999</v>
      </c>
      <c r="P245">
        <f t="shared" si="68"/>
        <v>0.71872180659362483</v>
      </c>
      <c r="Q245" s="20">
        <v>0.22090000000000001</v>
      </c>
      <c r="R245" s="10">
        <f t="shared" si="69"/>
        <v>0.47834560415764404</v>
      </c>
      <c r="S245">
        <f t="shared" si="70"/>
        <v>5.9821035934848769E-2</v>
      </c>
      <c r="T245" s="11">
        <f t="shared" si="71"/>
        <v>0.10981060634191644</v>
      </c>
      <c r="U245" t="str">
        <f t="shared" si="72"/>
        <v>No Impact</v>
      </c>
      <c r="V245">
        <f t="shared" si="73"/>
        <v>4.7808718738124811E-2</v>
      </c>
      <c r="W245">
        <f t="shared" si="74"/>
        <v>6.2973035349181805E-2</v>
      </c>
      <c r="X245" t="s">
        <v>1176</v>
      </c>
      <c r="Y245">
        <f t="shared" si="75"/>
        <v>7.1833353131572728E-2</v>
      </c>
      <c r="Z245">
        <f t="shared" si="76"/>
        <v>0.13131612844993171</v>
      </c>
      <c r="AA245" t="str">
        <f t="shared" si="77"/>
        <v>No Impact</v>
      </c>
      <c r="AB245">
        <f t="shared" si="78"/>
        <v>4.0977730191755483E-2</v>
      </c>
      <c r="AC245">
        <f t="shared" si="79"/>
        <v>9.9783816909952125E-2</v>
      </c>
      <c r="AD245" t="str">
        <f t="shared" si="80"/>
        <v>No Impact</v>
      </c>
      <c r="AE245">
        <f t="shared" si="81"/>
        <v>7.6990648398285264E-3</v>
      </c>
      <c r="AF245">
        <f t="shared" si="82"/>
        <v>4.2124279179249269E-2</v>
      </c>
      <c r="AG245" t="s">
        <v>1176</v>
      </c>
    </row>
    <row r="246" spans="1:33" customFormat="1" x14ac:dyDescent="0.3">
      <c r="A246">
        <v>305682</v>
      </c>
      <c r="B246" t="s">
        <v>487</v>
      </c>
      <c r="C246" t="s">
        <v>776</v>
      </c>
      <c r="D246" t="s">
        <v>782</v>
      </c>
      <c r="E246" s="18">
        <v>5.9</v>
      </c>
      <c r="F246" s="2">
        <f t="shared" si="64"/>
        <v>0.60000000000000009</v>
      </c>
      <c r="G246" s="10">
        <v>21.684239999999999</v>
      </c>
      <c r="H246">
        <f t="shared" si="65"/>
        <v>0.29053777029601724</v>
      </c>
      <c r="I246" s="22">
        <v>0.29999999999999993</v>
      </c>
      <c r="J246" s="2">
        <f t="shared" si="66"/>
        <v>1.5392508978963569E-3</v>
      </c>
      <c r="K246" s="8">
        <v>0</v>
      </c>
      <c r="L246" s="2">
        <v>0</v>
      </c>
      <c r="M246">
        <v>54363</v>
      </c>
      <c r="N246">
        <f t="shared" si="67"/>
        <v>0.25608342441318555</v>
      </c>
      <c r="O246" s="8">
        <v>0.78856901499999998</v>
      </c>
      <c r="P246">
        <f t="shared" si="68"/>
        <v>0.77297641959617969</v>
      </c>
      <c r="Q246" s="20">
        <v>0.25219999999999998</v>
      </c>
      <c r="R246" s="10">
        <f t="shared" si="69"/>
        <v>0.54612386314421824</v>
      </c>
      <c r="S246">
        <f t="shared" si="70"/>
        <v>5.77918321858297E-2</v>
      </c>
      <c r="T246" s="11">
        <f t="shared" si="71"/>
        <v>0.10608569435086106</v>
      </c>
      <c r="U246" t="str">
        <f t="shared" si="72"/>
        <v>No Impact</v>
      </c>
      <c r="V246">
        <f t="shared" si="73"/>
        <v>4.7853069345022752E-2</v>
      </c>
      <c r="W246">
        <f t="shared" si="74"/>
        <v>6.3031453403663451E-2</v>
      </c>
      <c r="X246" t="s">
        <v>1176</v>
      </c>
      <c r="Y246">
        <f t="shared" si="75"/>
        <v>6.7730595026636656E-2</v>
      </c>
      <c r="Z246">
        <f t="shared" si="76"/>
        <v>0.12381601482833907</v>
      </c>
      <c r="AA246" t="str">
        <f t="shared" si="77"/>
        <v>No Impact</v>
      </c>
      <c r="AB246">
        <f t="shared" si="78"/>
        <v>4.4921341575621658E-2</v>
      </c>
      <c r="AC246">
        <f t="shared" si="79"/>
        <v>0.10938680356758981</v>
      </c>
      <c r="AD246" t="str">
        <f t="shared" si="80"/>
        <v>No Impact</v>
      </c>
      <c r="AE246">
        <f t="shared" si="81"/>
        <v>2.2438825133921991E-2</v>
      </c>
      <c r="AF246">
        <f t="shared" si="82"/>
        <v>0.12277066813438309</v>
      </c>
      <c r="AG246" t="s">
        <v>1175</v>
      </c>
    </row>
    <row r="247" spans="1:33" customFormat="1" x14ac:dyDescent="0.3">
      <c r="A247">
        <v>305924</v>
      </c>
      <c r="B247" t="s">
        <v>178</v>
      </c>
      <c r="C247" t="s">
        <v>784</v>
      </c>
      <c r="D247" t="s">
        <v>783</v>
      </c>
      <c r="E247" s="18">
        <v>5.2</v>
      </c>
      <c r="F247" s="2">
        <f t="shared" si="64"/>
        <v>0.44444444444444442</v>
      </c>
      <c r="G247" s="10">
        <v>20.468880000000002</v>
      </c>
      <c r="H247">
        <f t="shared" si="65"/>
        <v>0.27425368634809161</v>
      </c>
      <c r="I247" s="22">
        <v>3.9</v>
      </c>
      <c r="J247" s="2">
        <f t="shared" si="66"/>
        <v>2.0010261672652643E-2</v>
      </c>
      <c r="K247" s="8">
        <v>0</v>
      </c>
      <c r="L247" s="2">
        <v>0</v>
      </c>
      <c r="M247">
        <v>21467</v>
      </c>
      <c r="N247">
        <f t="shared" si="67"/>
        <v>0.10043860271678187</v>
      </c>
      <c r="O247" s="8">
        <v>0.59665042999999995</v>
      </c>
      <c r="P247">
        <f t="shared" si="68"/>
        <v>0.56161863058552031</v>
      </c>
      <c r="Q247" s="20">
        <v>0.2409</v>
      </c>
      <c r="R247" s="10">
        <f t="shared" si="69"/>
        <v>0.52165439584235607</v>
      </c>
      <c r="S247">
        <f t="shared" si="70"/>
        <v>3.5418688615671878E-2</v>
      </c>
      <c r="T247" s="11">
        <f t="shared" si="71"/>
        <v>6.5016387829832295E-2</v>
      </c>
      <c r="U247" t="str">
        <f t="shared" si="72"/>
        <v>No Impact</v>
      </c>
      <c r="V247">
        <f t="shared" si="73"/>
        <v>3.4112018227321732E-2</v>
      </c>
      <c r="W247">
        <f t="shared" si="74"/>
        <v>4.4931915900687895E-2</v>
      </c>
      <c r="X247" t="s">
        <v>1176</v>
      </c>
      <c r="Y247">
        <f t="shared" si="75"/>
        <v>3.6725359004022025E-2</v>
      </c>
      <c r="Z247">
        <f t="shared" si="76"/>
        <v>6.7136389296886839E-2</v>
      </c>
      <c r="AA247" t="str">
        <f t="shared" si="77"/>
        <v>No Impact</v>
      </c>
      <c r="AB247">
        <f t="shared" si="78"/>
        <v>2.5255572062812443E-2</v>
      </c>
      <c r="AC247">
        <f t="shared" si="79"/>
        <v>6.1499193998275921E-2</v>
      </c>
      <c r="AD247" t="str">
        <f t="shared" si="80"/>
        <v>No Impact</v>
      </c>
      <c r="AE247">
        <f t="shared" si="81"/>
        <v>6.5678799486949511E-3</v>
      </c>
      <c r="AF247">
        <f t="shared" si="82"/>
        <v>3.5935170612328732E-2</v>
      </c>
      <c r="AG247" t="s">
        <v>1176</v>
      </c>
    </row>
    <row r="248" spans="1:33" customFormat="1" x14ac:dyDescent="0.3">
      <c r="A248">
        <v>305944</v>
      </c>
      <c r="B248" t="s">
        <v>304</v>
      </c>
      <c r="C248" t="s">
        <v>784</v>
      </c>
      <c r="D248" t="s">
        <v>785</v>
      </c>
      <c r="E248" s="18">
        <v>5.2</v>
      </c>
      <c r="F248" s="2">
        <f t="shared" si="64"/>
        <v>0.44444444444444442</v>
      </c>
      <c r="G248" s="10">
        <v>21.859559999999998</v>
      </c>
      <c r="H248">
        <f t="shared" si="65"/>
        <v>0.29288680728732047</v>
      </c>
      <c r="I248" s="22">
        <v>5.0999999999999996</v>
      </c>
      <c r="J248" s="2">
        <f t="shared" si="66"/>
        <v>2.6167265264238071E-2</v>
      </c>
      <c r="K248" s="8">
        <v>0</v>
      </c>
      <c r="L248" s="2">
        <v>0</v>
      </c>
      <c r="M248">
        <v>27501</v>
      </c>
      <c r="N248">
        <f t="shared" si="67"/>
        <v>0.12898799638519443</v>
      </c>
      <c r="O248" s="8">
        <v>0.66358634800000005</v>
      </c>
      <c r="P248">
        <f t="shared" si="68"/>
        <v>0.63533440768901872</v>
      </c>
      <c r="Q248" s="20">
        <v>0.24210000000000001</v>
      </c>
      <c r="R248" s="10">
        <f t="shared" si="69"/>
        <v>0.52425292334343876</v>
      </c>
      <c r="S248">
        <f t="shared" si="70"/>
        <v>4.1107895605010873E-2</v>
      </c>
      <c r="T248" s="11">
        <f t="shared" si="71"/>
        <v>7.5459792216616653E-2</v>
      </c>
      <c r="U248" t="str">
        <f t="shared" si="72"/>
        <v>No Impact</v>
      </c>
      <c r="V248">
        <f t="shared" si="73"/>
        <v>3.7170006719952034E-2</v>
      </c>
      <c r="W248">
        <f t="shared" si="74"/>
        <v>4.8959859391468678E-2</v>
      </c>
      <c r="X248" t="s">
        <v>1176</v>
      </c>
      <c r="Y248">
        <f t="shared" si="75"/>
        <v>4.5045784490069699E-2</v>
      </c>
      <c r="Z248">
        <f t="shared" si="76"/>
        <v>8.2346678309605806E-2</v>
      </c>
      <c r="AA248" t="str">
        <f t="shared" si="77"/>
        <v>No Impact</v>
      </c>
      <c r="AB248">
        <f t="shared" si="78"/>
        <v>2.9724115686767832E-2</v>
      </c>
      <c r="AC248">
        <f t="shared" si="79"/>
        <v>7.2380429653358863E-2</v>
      </c>
      <c r="AD248" t="str">
        <f t="shared" si="80"/>
        <v>No Impact</v>
      </c>
      <c r="AE248">
        <f t="shared" si="81"/>
        <v>9.1453656793248871E-3</v>
      </c>
      <c r="AF248">
        <f t="shared" si="82"/>
        <v>5.0037497421672093E-2</v>
      </c>
      <c r="AG248" t="s">
        <v>1176</v>
      </c>
    </row>
    <row r="249" spans="1:33" customFormat="1" x14ac:dyDescent="0.3">
      <c r="A249">
        <v>305956</v>
      </c>
      <c r="B249" t="s">
        <v>352</v>
      </c>
      <c r="C249" t="s">
        <v>784</v>
      </c>
      <c r="D249" t="s">
        <v>786</v>
      </c>
      <c r="E249" s="18">
        <v>5.3</v>
      </c>
      <c r="F249" s="2">
        <f t="shared" si="64"/>
        <v>0.46666666666666656</v>
      </c>
      <c r="G249" s="10">
        <v>21.859559999999998</v>
      </c>
      <c r="H249">
        <f t="shared" si="65"/>
        <v>0.29288680728732047</v>
      </c>
      <c r="I249" s="22">
        <v>5.4</v>
      </c>
      <c r="J249" s="2">
        <f t="shared" si="66"/>
        <v>2.7706516162134431E-2</v>
      </c>
      <c r="K249" s="8">
        <v>0</v>
      </c>
      <c r="L249" s="2">
        <v>0</v>
      </c>
      <c r="M249">
        <v>39821</v>
      </c>
      <c r="N249">
        <f t="shared" si="67"/>
        <v>0.18727910178705767</v>
      </c>
      <c r="O249" s="8">
        <v>0.80037910000000001</v>
      </c>
      <c r="P249">
        <f t="shared" si="68"/>
        <v>0.78598273398531482</v>
      </c>
      <c r="Q249" s="20">
        <v>0.22819999999999999</v>
      </c>
      <c r="R249" s="10">
        <f t="shared" si="69"/>
        <v>0.49415331312256389</v>
      </c>
      <c r="S249">
        <f t="shared" si="70"/>
        <v>4.7880358144472314E-2</v>
      </c>
      <c r="T249" s="11">
        <f t="shared" si="71"/>
        <v>8.7891676858268944E-2</v>
      </c>
      <c r="U249" t="str">
        <f t="shared" si="72"/>
        <v>No Impact</v>
      </c>
      <c r="V249">
        <f t="shared" si="73"/>
        <v>3.6965192354421771E-2</v>
      </c>
      <c r="W249">
        <f t="shared" si="74"/>
        <v>4.8690080518054277E-2</v>
      </c>
      <c r="X249" t="s">
        <v>1176</v>
      </c>
      <c r="Y249">
        <f t="shared" si="75"/>
        <v>5.8795523934522864E-2</v>
      </c>
      <c r="Z249">
        <f t="shared" si="76"/>
        <v>0.10748211292775271</v>
      </c>
      <c r="AA249" t="str">
        <f t="shared" si="77"/>
        <v>No Impact</v>
      </c>
      <c r="AB249">
        <f t="shared" si="78"/>
        <v>3.5479776259525371E-2</v>
      </c>
      <c r="AC249">
        <f t="shared" si="79"/>
        <v>8.6395890687933657E-2</v>
      </c>
      <c r="AD249" t="str">
        <f t="shared" si="80"/>
        <v>No Impact</v>
      </c>
      <c r="AE249">
        <f t="shared" si="81"/>
        <v>1.4009433586059696E-2</v>
      </c>
      <c r="AF249">
        <f t="shared" si="82"/>
        <v>7.6650515848295339E-2</v>
      </c>
      <c r="AG249" t="s">
        <v>1176</v>
      </c>
    </row>
    <row r="250" spans="1:33" customFormat="1" x14ac:dyDescent="0.3">
      <c r="A250">
        <v>305974</v>
      </c>
      <c r="B250" t="s">
        <v>467</v>
      </c>
      <c r="C250" t="s">
        <v>784</v>
      </c>
      <c r="D250" t="s">
        <v>787</v>
      </c>
      <c r="E250" s="18">
        <v>5.2</v>
      </c>
      <c r="F250" s="2">
        <f t="shared" si="64"/>
        <v>0.44444444444444442</v>
      </c>
      <c r="G250" s="10">
        <v>21.042360000000002</v>
      </c>
      <c r="H250">
        <f t="shared" si="65"/>
        <v>0.28193749728678996</v>
      </c>
      <c r="I250" s="22">
        <v>3.0999999999999996</v>
      </c>
      <c r="J250" s="2">
        <f t="shared" si="66"/>
        <v>1.590559261159569E-2</v>
      </c>
      <c r="K250" s="8">
        <v>0</v>
      </c>
      <c r="L250" s="2">
        <v>0</v>
      </c>
      <c r="M250">
        <v>40362</v>
      </c>
      <c r="N250">
        <f t="shared" si="67"/>
        <v>0.18983880049017521</v>
      </c>
      <c r="O250" s="8">
        <v>0.75575219800000004</v>
      </c>
      <c r="P250">
        <f t="shared" si="68"/>
        <v>0.7368356264390844</v>
      </c>
      <c r="Q250" s="20">
        <v>0.23730000000000001</v>
      </c>
      <c r="R250" s="10">
        <f t="shared" si="69"/>
        <v>0.51385881333910788</v>
      </c>
      <c r="S250">
        <f t="shared" si="70"/>
        <v>4.1390077384696349E-2</v>
      </c>
      <c r="T250" s="11">
        <f t="shared" si="71"/>
        <v>7.5977779774699911E-2</v>
      </c>
      <c r="U250" t="str">
        <f t="shared" si="72"/>
        <v>No Impact</v>
      </c>
      <c r="V250">
        <f t="shared" si="73"/>
        <v>3.4010954830319483E-2</v>
      </c>
      <c r="W250">
        <f t="shared" si="74"/>
        <v>4.4798796481470837E-2</v>
      </c>
      <c r="X250" t="s">
        <v>1176</v>
      </c>
      <c r="Y250">
        <f t="shared" si="75"/>
        <v>4.8769199939073228E-2</v>
      </c>
      <c r="Z250">
        <f t="shared" si="76"/>
        <v>8.9153328424883563E-2</v>
      </c>
      <c r="AA250" t="str">
        <f t="shared" si="77"/>
        <v>No Impact</v>
      </c>
      <c r="AB250">
        <f t="shared" si="78"/>
        <v>3.0932318888380213E-2</v>
      </c>
      <c r="AC250">
        <f t="shared" si="79"/>
        <v>7.5322494196601031E-2</v>
      </c>
      <c r="AD250" t="str">
        <f t="shared" si="80"/>
        <v>No Impact</v>
      </c>
      <c r="AE250">
        <f t="shared" si="81"/>
        <v>1.2564927760132657E-2</v>
      </c>
      <c r="AF250">
        <f t="shared" si="82"/>
        <v>6.8747118753544043E-2</v>
      </c>
      <c r="AG250" t="s">
        <v>1176</v>
      </c>
    </row>
    <row r="251" spans="1:33" customFormat="1" x14ac:dyDescent="0.3">
      <c r="A251">
        <v>305984</v>
      </c>
      <c r="B251" t="s">
        <v>497</v>
      </c>
      <c r="C251" t="s">
        <v>784</v>
      </c>
      <c r="D251" t="s">
        <v>788</v>
      </c>
      <c r="E251" s="18">
        <v>5.2</v>
      </c>
      <c r="F251" s="2">
        <f t="shared" si="64"/>
        <v>0.44444444444444442</v>
      </c>
      <c r="G251" s="10">
        <v>21.578399999999998</v>
      </c>
      <c r="H251">
        <f t="shared" si="65"/>
        <v>0.28911966582898818</v>
      </c>
      <c r="I251" s="22">
        <v>5.0999999999999996</v>
      </c>
      <c r="J251" s="2">
        <f t="shared" si="66"/>
        <v>2.6167265264238071E-2</v>
      </c>
      <c r="K251" s="8">
        <v>0</v>
      </c>
      <c r="L251" s="2">
        <v>0</v>
      </c>
      <c r="M251">
        <v>39492</v>
      </c>
      <c r="N251">
        <f t="shared" si="67"/>
        <v>0.18572246431325792</v>
      </c>
      <c r="O251" s="8">
        <v>0.42531223400000001</v>
      </c>
      <c r="P251">
        <f t="shared" si="68"/>
        <v>0.37292579357010064</v>
      </c>
      <c r="Q251" s="20">
        <v>0.251</v>
      </c>
      <c r="R251" s="10">
        <f t="shared" si="69"/>
        <v>0.54352533564313554</v>
      </c>
      <c r="S251">
        <f t="shared" si="70"/>
        <v>3.2105007114062556E-2</v>
      </c>
      <c r="T251" s="11">
        <f t="shared" si="71"/>
        <v>5.8933621638487643E-2</v>
      </c>
      <c r="U251" t="str">
        <f t="shared" si="72"/>
        <v>No Impact</v>
      </c>
      <c r="V251">
        <f t="shared" si="73"/>
        <v>3.8081430010297762E-2</v>
      </c>
      <c r="W251">
        <f t="shared" si="74"/>
        <v>5.0160374540084027E-2</v>
      </c>
      <c r="X251" t="s">
        <v>1176</v>
      </c>
      <c r="Y251">
        <f t="shared" si="75"/>
        <v>2.6128584217827343E-2</v>
      </c>
      <c r="Z251">
        <f t="shared" si="76"/>
        <v>4.7764782956442688E-2</v>
      </c>
      <c r="AA251" t="str">
        <f t="shared" si="77"/>
        <v>No Impact</v>
      </c>
      <c r="AB251">
        <f t="shared" si="78"/>
        <v>2.5721420887383398E-2</v>
      </c>
      <c r="AC251">
        <f t="shared" si="79"/>
        <v>6.2633570490121165E-2</v>
      </c>
      <c r="AD251" t="str">
        <f t="shared" si="80"/>
        <v>No Impact</v>
      </c>
      <c r="AE251">
        <f t="shared" si="81"/>
        <v>1.3012414624088515E-2</v>
      </c>
      <c r="AF251">
        <f t="shared" si="82"/>
        <v>7.1195476051278281E-2</v>
      </c>
      <c r="AG251" t="s">
        <v>1176</v>
      </c>
    </row>
    <row r="252" spans="1:33" customFormat="1" x14ac:dyDescent="0.3">
      <c r="A252">
        <v>305994</v>
      </c>
      <c r="B252" t="s">
        <v>523</v>
      </c>
      <c r="C252" t="s">
        <v>784</v>
      </c>
      <c r="D252" t="s">
        <v>789</v>
      </c>
      <c r="E252" s="18">
        <v>5.2</v>
      </c>
      <c r="F252" s="2">
        <f t="shared" si="64"/>
        <v>0.44444444444444442</v>
      </c>
      <c r="G252" s="10">
        <v>21.859559999999998</v>
      </c>
      <c r="H252">
        <f t="shared" si="65"/>
        <v>0.29288680728732047</v>
      </c>
      <c r="I252" s="22">
        <v>5.4</v>
      </c>
      <c r="J252" s="2">
        <f t="shared" si="66"/>
        <v>2.7706516162134431E-2</v>
      </c>
      <c r="K252" s="8">
        <v>0</v>
      </c>
      <c r="L252" s="2">
        <v>0</v>
      </c>
      <c r="M252">
        <v>26166</v>
      </c>
      <c r="N252">
        <f t="shared" si="67"/>
        <v>0.12267154949302825</v>
      </c>
      <c r="O252" s="8">
        <v>0.60841971699999997</v>
      </c>
      <c r="P252">
        <f t="shared" si="68"/>
        <v>0.57458001459401487</v>
      </c>
      <c r="Q252" s="20">
        <v>0.2412</v>
      </c>
      <c r="R252" s="10">
        <f t="shared" si="69"/>
        <v>0.52230402771762674</v>
      </c>
      <c r="S252">
        <f t="shared" si="70"/>
        <v>3.907263339592907E-2</v>
      </c>
      <c r="T252" s="11">
        <f t="shared" si="71"/>
        <v>7.1723759001018905E-2</v>
      </c>
      <c r="U252" t="str">
        <f t="shared" si="72"/>
        <v>No Impact</v>
      </c>
      <c r="V252">
        <f t="shared" si="73"/>
        <v>3.7210485354895594E-2</v>
      </c>
      <c r="W252">
        <f t="shared" si="74"/>
        <v>4.9013177333812004E-2</v>
      </c>
      <c r="X252" t="s">
        <v>1176</v>
      </c>
      <c r="Y252">
        <f t="shared" si="75"/>
        <v>4.093478143696256E-2</v>
      </c>
      <c r="Z252">
        <f t="shared" si="76"/>
        <v>7.4831492376532555E-2</v>
      </c>
      <c r="AA252" t="str">
        <f t="shared" si="77"/>
        <v>No Impact</v>
      </c>
      <c r="AB252">
        <f t="shared" si="78"/>
        <v>2.8362923840998332E-2</v>
      </c>
      <c r="AC252">
        <f t="shared" si="79"/>
        <v>6.9065826397346625E-2</v>
      </c>
      <c r="AD252" t="str">
        <f t="shared" si="80"/>
        <v>No Impact</v>
      </c>
      <c r="AE252">
        <f t="shared" si="81"/>
        <v>8.73948438770316E-3</v>
      </c>
      <c r="AF252">
        <f t="shared" si="82"/>
        <v>4.7816778776277664E-2</v>
      </c>
      <c r="AG252" t="s">
        <v>1176</v>
      </c>
    </row>
    <row r="253" spans="1:33" customFormat="1" x14ac:dyDescent="0.3">
      <c r="A253">
        <v>306702</v>
      </c>
      <c r="B253" t="s">
        <v>12</v>
      </c>
      <c r="C253" t="s">
        <v>791</v>
      </c>
      <c r="D253" t="s">
        <v>790</v>
      </c>
      <c r="E253" s="18">
        <v>4.4000000000000004</v>
      </c>
      <c r="F253" s="2">
        <f t="shared" si="64"/>
        <v>0.26666666666666672</v>
      </c>
      <c r="G253" s="10">
        <v>20.086200000000002</v>
      </c>
      <c r="H253">
        <f t="shared" si="65"/>
        <v>0.26912632223771099</v>
      </c>
      <c r="I253" s="22">
        <v>0.39999999999999974</v>
      </c>
      <c r="J253" s="2">
        <f t="shared" si="66"/>
        <v>2.0523345305284752E-3</v>
      </c>
      <c r="K253" s="8">
        <v>0</v>
      </c>
      <c r="L253" s="2">
        <v>0</v>
      </c>
      <c r="M253">
        <v>60872</v>
      </c>
      <c r="N253">
        <f t="shared" si="67"/>
        <v>0.28688024300577708</v>
      </c>
      <c r="O253" s="8">
        <v>0.79376532399999999</v>
      </c>
      <c r="P253">
        <f t="shared" si="68"/>
        <v>0.77869905652191662</v>
      </c>
      <c r="Q253" s="20">
        <v>0.2626</v>
      </c>
      <c r="R253" s="10">
        <f t="shared" si="69"/>
        <v>0.5686444348202685</v>
      </c>
      <c r="S253">
        <f t="shared" si="70"/>
        <v>2.4358053212506926E-2</v>
      </c>
      <c r="T253" s="11">
        <f t="shared" si="71"/>
        <v>4.4712909945042616E-2</v>
      </c>
      <c r="U253" t="str">
        <f t="shared" si="72"/>
        <v>No Impact</v>
      </c>
      <c r="V253">
        <f t="shared" si="73"/>
        <v>2.0560564535106018E-2</v>
      </c>
      <c r="W253">
        <f t="shared" si="74"/>
        <v>2.7082113711528199E-2</v>
      </c>
      <c r="X253" t="s">
        <v>1176</v>
      </c>
      <c r="Y253">
        <f t="shared" si="75"/>
        <v>2.8155541889907841E-2</v>
      </c>
      <c r="Z253">
        <f t="shared" si="76"/>
        <v>5.1470195865985779E-2</v>
      </c>
      <c r="AA253" t="str">
        <f t="shared" si="77"/>
        <v>No Impact</v>
      </c>
      <c r="AB253">
        <f t="shared" si="78"/>
        <v>1.9273330772003255E-2</v>
      </c>
      <c r="AC253">
        <f t="shared" si="79"/>
        <v>4.6931992084457877E-2</v>
      </c>
      <c r="AD253" t="str">
        <f t="shared" si="80"/>
        <v>No Impact</v>
      </c>
      <c r="AE253">
        <f t="shared" si="81"/>
        <v>1.0372773193553703E-2</v>
      </c>
      <c r="AF253">
        <f t="shared" si="82"/>
        <v>5.6753073647061378E-2</v>
      </c>
      <c r="AG253" t="s">
        <v>1176</v>
      </c>
    </row>
    <row r="254" spans="1:33" customFormat="1" x14ac:dyDescent="0.3">
      <c r="A254">
        <v>306704</v>
      </c>
      <c r="B254" t="s">
        <v>493</v>
      </c>
      <c r="C254" t="s">
        <v>791</v>
      </c>
      <c r="D254" t="s">
        <v>792</v>
      </c>
      <c r="E254" s="18">
        <v>4.3</v>
      </c>
      <c r="F254" s="2">
        <f t="shared" si="64"/>
        <v>0.24444444444444435</v>
      </c>
      <c r="G254" s="10">
        <v>20.086200000000002</v>
      </c>
      <c r="H254">
        <f t="shared" si="65"/>
        <v>0.26912632223771099</v>
      </c>
      <c r="I254" s="22">
        <v>0.39999999999999974</v>
      </c>
      <c r="J254" s="2">
        <f t="shared" si="66"/>
        <v>2.0523345305284752E-3</v>
      </c>
      <c r="K254" s="8">
        <v>0</v>
      </c>
      <c r="L254" s="2">
        <v>0</v>
      </c>
      <c r="M254">
        <v>54149</v>
      </c>
      <c r="N254">
        <f t="shared" si="67"/>
        <v>0.25507090034208174</v>
      </c>
      <c r="O254" s="8">
        <v>0.74988638299999999</v>
      </c>
      <c r="P254">
        <f t="shared" si="68"/>
        <v>0.73037567005109016</v>
      </c>
      <c r="Q254" s="20">
        <v>0.25009999999999999</v>
      </c>
      <c r="R254" s="10">
        <f t="shared" si="69"/>
        <v>0.54157644001732352</v>
      </c>
      <c r="S254">
        <f t="shared" si="70"/>
        <v>2.1078827286114901E-2</v>
      </c>
      <c r="T254" s="11">
        <f t="shared" si="71"/>
        <v>3.8693392200458254E-2</v>
      </c>
      <c r="U254" t="str">
        <f t="shared" si="72"/>
        <v>No Impact</v>
      </c>
      <c r="V254">
        <f t="shared" si="73"/>
        <v>1.7950040966149449E-2</v>
      </c>
      <c r="W254">
        <f t="shared" si="74"/>
        <v>2.3643565318540619E-2</v>
      </c>
      <c r="X254" t="s">
        <v>1176</v>
      </c>
      <c r="Y254">
        <f t="shared" si="75"/>
        <v>2.4207613606080352E-2</v>
      </c>
      <c r="Z254">
        <f t="shared" si="76"/>
        <v>4.4253121414781493E-2</v>
      </c>
      <c r="AA254" t="str">
        <f t="shared" si="77"/>
        <v>No Impact</v>
      </c>
      <c r="AB254">
        <f t="shared" si="78"/>
        <v>1.6503728074658747E-2</v>
      </c>
      <c r="AC254">
        <f t="shared" si="79"/>
        <v>4.018780378579178E-2</v>
      </c>
      <c r="AD254" t="str">
        <f t="shared" si="80"/>
        <v>No Impact</v>
      </c>
      <c r="AE254">
        <f t="shared" si="81"/>
        <v>8.4540847276638117E-3</v>
      </c>
      <c r="AF254">
        <f t="shared" si="82"/>
        <v>4.6255257317857512E-2</v>
      </c>
      <c r="AG254" t="s">
        <v>1176</v>
      </c>
    </row>
    <row r="255" spans="1:33" customFormat="1" x14ac:dyDescent="0.3">
      <c r="A255">
        <v>306706</v>
      </c>
      <c r="B255" t="s">
        <v>41</v>
      </c>
      <c r="C255" t="s">
        <v>791</v>
      </c>
      <c r="D255" t="s">
        <v>793</v>
      </c>
      <c r="E255" s="18">
        <v>4.4000000000000004</v>
      </c>
      <c r="F255" s="2">
        <f t="shared" si="64"/>
        <v>0.26666666666666672</v>
      </c>
      <c r="G255" s="10">
        <v>19.0242</v>
      </c>
      <c r="H255">
        <f t="shared" si="65"/>
        <v>0.25489704272160296</v>
      </c>
      <c r="I255" s="22">
        <v>0.5</v>
      </c>
      <c r="J255" s="2">
        <f t="shared" si="66"/>
        <v>2.5654181631605956E-3</v>
      </c>
      <c r="K255" s="8">
        <v>0</v>
      </c>
      <c r="L255" s="2">
        <v>0</v>
      </c>
      <c r="M255">
        <v>35234</v>
      </c>
      <c r="N255">
        <f t="shared" si="67"/>
        <v>0.16557607415082823</v>
      </c>
      <c r="O255" s="8">
        <v>0.70288455800000005</v>
      </c>
      <c r="P255">
        <f t="shared" si="68"/>
        <v>0.67861308639372353</v>
      </c>
      <c r="Q255" s="20">
        <v>0.22220000000000001</v>
      </c>
      <c r="R255" s="10">
        <f t="shared" si="69"/>
        <v>0.48116067561715031</v>
      </c>
      <c r="S255">
        <f t="shared" si="70"/>
        <v>1.990654712245998E-2</v>
      </c>
      <c r="T255" s="11">
        <f t="shared" si="71"/>
        <v>3.6541493732605797E-2</v>
      </c>
      <c r="U255" t="str">
        <f t="shared" si="72"/>
        <v>No Impact</v>
      </c>
      <c r="V255">
        <f t="shared" si="73"/>
        <v>1.6517441550048934E-2</v>
      </c>
      <c r="W255">
        <f t="shared" si="74"/>
        <v>2.1756563615661403E-2</v>
      </c>
      <c r="X255" t="s">
        <v>1176</v>
      </c>
      <c r="Y255">
        <f t="shared" si="75"/>
        <v>2.3295652694871032E-2</v>
      </c>
      <c r="Z255">
        <f t="shared" si="76"/>
        <v>4.2585996452115034E-2</v>
      </c>
      <c r="AA255" t="str">
        <f t="shared" si="77"/>
        <v>No Impact</v>
      </c>
      <c r="AB255">
        <f t="shared" si="78"/>
        <v>1.4759182781655583E-2</v>
      </c>
      <c r="AC255">
        <f t="shared" si="79"/>
        <v>3.5939706409642572E-2</v>
      </c>
      <c r="AD255" t="str">
        <f t="shared" si="80"/>
        <v>No Impact</v>
      </c>
      <c r="AE255">
        <f t="shared" si="81"/>
        <v>5.6839498019347111E-3</v>
      </c>
      <c r="AF255">
        <f t="shared" si="82"/>
        <v>3.1098879315694786E-2</v>
      </c>
      <c r="AG255" t="s">
        <v>1176</v>
      </c>
    </row>
    <row r="256" spans="1:33" customFormat="1" x14ac:dyDescent="0.3">
      <c r="A256">
        <v>306758</v>
      </c>
      <c r="B256" t="s">
        <v>371</v>
      </c>
      <c r="C256" t="s">
        <v>791</v>
      </c>
      <c r="D256" t="s">
        <v>794</v>
      </c>
      <c r="E256" s="18">
        <v>4.4000000000000004</v>
      </c>
      <c r="F256" s="2">
        <f t="shared" si="64"/>
        <v>0.26666666666666672</v>
      </c>
      <c r="G256" s="10">
        <v>19.547280000000001</v>
      </c>
      <c r="H256">
        <f t="shared" si="65"/>
        <v>0.26190556581885888</v>
      </c>
      <c r="I256" s="22">
        <v>0.5</v>
      </c>
      <c r="J256" s="2">
        <f t="shared" si="66"/>
        <v>2.5654181631605956E-3</v>
      </c>
      <c r="K256" s="8">
        <v>0</v>
      </c>
      <c r="L256" s="2">
        <v>0</v>
      </c>
      <c r="M256">
        <v>84610</v>
      </c>
      <c r="N256">
        <f t="shared" si="67"/>
        <v>0.39919471216400998</v>
      </c>
      <c r="O256" s="8">
        <v>0.69753527900000001</v>
      </c>
      <c r="P256">
        <f t="shared" si="68"/>
        <v>0.67272198531958238</v>
      </c>
      <c r="Q256" s="20">
        <v>0.16539999999999999</v>
      </c>
      <c r="R256" s="10">
        <f t="shared" si="69"/>
        <v>0.35816370723256818</v>
      </c>
      <c r="S256">
        <f t="shared" si="70"/>
        <v>1.8175956898816858E-2</v>
      </c>
      <c r="T256" s="11">
        <f t="shared" si="71"/>
        <v>3.3364732267046858E-2</v>
      </c>
      <c r="U256" t="str">
        <f t="shared" si="72"/>
        <v>No Impact</v>
      </c>
      <c r="V256">
        <f t="shared" si="73"/>
        <v>1.2629854410459369E-2</v>
      </c>
      <c r="W256">
        <f t="shared" si="74"/>
        <v>1.6635883354276921E-2</v>
      </c>
      <c r="X256" t="s">
        <v>1176</v>
      </c>
      <c r="Y256">
        <f t="shared" si="75"/>
        <v>2.3722059387174348E-2</v>
      </c>
      <c r="Z256">
        <f t="shared" si="76"/>
        <v>4.3365496134885675E-2</v>
      </c>
      <c r="AA256" t="str">
        <f t="shared" si="77"/>
        <v>No Impact</v>
      </c>
      <c r="AB256">
        <f t="shared" si="78"/>
        <v>1.6463919715046703E-2</v>
      </c>
      <c r="AC256">
        <f t="shared" si="79"/>
        <v>4.0090867473106188E-2</v>
      </c>
      <c r="AD256" t="str">
        <f t="shared" si="80"/>
        <v>No Impact</v>
      </c>
      <c r="AE256">
        <f t="shared" si="81"/>
        <v>1.4076722443524637E-2</v>
      </c>
      <c r="AF256">
        <f t="shared" si="82"/>
        <v>7.7018676745297082E-2</v>
      </c>
      <c r="AG256" t="s">
        <v>1176</v>
      </c>
    </row>
    <row r="257" spans="1:33" customFormat="1" x14ac:dyDescent="0.3">
      <c r="A257">
        <v>306768</v>
      </c>
      <c r="B257" t="s">
        <v>446</v>
      </c>
      <c r="C257" t="s">
        <v>791</v>
      </c>
      <c r="D257" t="s">
        <v>795</v>
      </c>
      <c r="E257" s="18">
        <v>4.4000000000000004</v>
      </c>
      <c r="F257" s="2">
        <f t="shared" si="64"/>
        <v>0.26666666666666672</v>
      </c>
      <c r="G257" s="10">
        <v>20.630880000000001</v>
      </c>
      <c r="H257">
        <f t="shared" si="65"/>
        <v>0.27642425440987078</v>
      </c>
      <c r="I257" s="22">
        <v>0.39999999999999974</v>
      </c>
      <c r="J257" s="2">
        <f t="shared" si="66"/>
        <v>2.0523345305284752E-3</v>
      </c>
      <c r="K257" s="8">
        <v>0</v>
      </c>
      <c r="L257" s="2">
        <v>0</v>
      </c>
      <c r="M257">
        <v>72027</v>
      </c>
      <c r="N257">
        <f t="shared" si="67"/>
        <v>0.33965924306728551</v>
      </c>
      <c r="O257" s="8">
        <v>0.80190976400000002</v>
      </c>
      <c r="P257">
        <f t="shared" si="68"/>
        <v>0.78766843711176404</v>
      </c>
      <c r="Q257" s="20">
        <v>0.2339</v>
      </c>
      <c r="R257" s="10">
        <f t="shared" si="69"/>
        <v>0.50649631875270684</v>
      </c>
      <c r="S257">
        <f t="shared" si="70"/>
        <v>2.4026305782668168E-2</v>
      </c>
      <c r="T257" s="11">
        <f t="shared" si="71"/>
        <v>4.4103937100395764E-2</v>
      </c>
      <c r="U257" t="str">
        <f t="shared" si="72"/>
        <v>No Impact</v>
      </c>
      <c r="V257">
        <f t="shared" si="73"/>
        <v>1.8806315620949737E-2</v>
      </c>
      <c r="W257">
        <f t="shared" si="74"/>
        <v>2.4771439386881776E-2</v>
      </c>
      <c r="X257" t="s">
        <v>1176</v>
      </c>
      <c r="Y257">
        <f t="shared" si="75"/>
        <v>2.9246295944386599E-2</v>
      </c>
      <c r="Z257">
        <f t="shared" si="76"/>
        <v>5.346416653950932E-2</v>
      </c>
      <c r="AA257" t="str">
        <f t="shared" si="77"/>
        <v>No Impact</v>
      </c>
      <c r="AB257">
        <f t="shared" si="78"/>
        <v>1.9770166129849651E-2</v>
      </c>
      <c r="AC257">
        <f t="shared" si="79"/>
        <v>4.814182308655935E-2</v>
      </c>
      <c r="AD257" t="str">
        <f t="shared" si="80"/>
        <v>No Impact</v>
      </c>
      <c r="AE257">
        <f t="shared" si="81"/>
        <v>1.2611619654860753E-2</v>
      </c>
      <c r="AF257">
        <f t="shared" si="82"/>
        <v>6.900258645642135E-2</v>
      </c>
      <c r="AG257" t="s">
        <v>1176</v>
      </c>
    </row>
    <row r="258" spans="1:33" customFormat="1" x14ac:dyDescent="0.3">
      <c r="A258">
        <v>306807</v>
      </c>
      <c r="B258" t="s">
        <v>59</v>
      </c>
      <c r="C258" t="s">
        <v>797</v>
      </c>
      <c r="D258" t="s">
        <v>796</v>
      </c>
      <c r="E258" s="18">
        <v>4.4000000000000004</v>
      </c>
      <c r="F258" s="2">
        <f t="shared" ref="F258:F321" si="84">(E258-$AJ$5)/$AK$5</f>
        <v>0.26666666666666672</v>
      </c>
      <c r="G258" s="10">
        <v>19.392120000000002</v>
      </c>
      <c r="H258">
        <f t="shared" ref="H258:H321" si="85">(G258-$AJ$6)/$AK$6</f>
        <v>0.25982664396413263</v>
      </c>
      <c r="I258" s="22">
        <v>0.30000000000000004</v>
      </c>
      <c r="J258" s="2">
        <f t="shared" ref="J258:J321" si="86">(I258-$AJ$7)/$AK$7</f>
        <v>1.5392508978963576E-3</v>
      </c>
      <c r="K258" s="8">
        <v>0</v>
      </c>
      <c r="L258" s="2">
        <v>0</v>
      </c>
      <c r="M258">
        <v>27160</v>
      </c>
      <c r="N258">
        <f t="shared" ref="N258:N321" si="87">(M258-$AJ$9)/$AK$9</f>
        <v>0.12737458186067857</v>
      </c>
      <c r="O258" s="8">
        <v>0.92547345299999995</v>
      </c>
      <c r="P258">
        <f t="shared" ref="P258:P321" si="88">(O258-$AJ$11)/$AK$11</f>
        <v>0.92374774443388041</v>
      </c>
      <c r="Q258" s="20">
        <v>0.34399999999999997</v>
      </c>
      <c r="R258" s="10">
        <f t="shared" ref="R258:R321" si="89">(Q258-$AJ$12)/$AK$12</f>
        <v>0.74491121697704632</v>
      </c>
      <c r="S258">
        <f t="shared" ref="S258:S321" si="90">F258*(R258*0.5+P258*0.5)*(H258*0.5+J258*0.5)</f>
        <v>2.9075369511247388E-2</v>
      </c>
      <c r="T258" s="11">
        <f t="shared" ref="T258:T321" si="91">(S258-$AJ$10)/$AK$10</f>
        <v>5.3372261207957267E-2</v>
      </c>
      <c r="U258" t="str">
        <f t="shared" ref="U258:U321" si="92">IF(T258&gt;0.7,"High",IF(T258&gt;0.3,"Moderate",IF(T258&gt;0.15,"Low","No Impact")))</f>
        <v>No Impact</v>
      </c>
      <c r="V258">
        <f t="shared" ref="V258:V321" si="93">F258*(R258*1)*(H258*0.5+J258*0.5)</f>
        <v>2.5959251575729175E-2</v>
      </c>
      <c r="W258">
        <f t="shared" ref="W258:W321" si="94">(V258-$AJ$13)/$AK$13</f>
        <v>3.4193195514630847E-2</v>
      </c>
      <c r="X258" t="s">
        <v>1176</v>
      </c>
      <c r="Y258">
        <f t="shared" ref="Y258:Y321" si="95">F258*(P258*1)*(H258*0.5+J258*0.5)</f>
        <v>3.2191487446765608E-2</v>
      </c>
      <c r="Z258">
        <f t="shared" ref="Z258:Z321" si="96">(Y258-$AJ$14)/$AK$14</f>
        <v>5.8848171723391809E-2</v>
      </c>
      <c r="AA258" t="str">
        <f t="shared" ref="AA258:AA321" si="97">IF(Z258&gt;0.7,"High",IF(Z258&gt;0.3,"Moderate",IF(Z258&gt;0.15,"Low","No Impact")))</f>
        <v>No Impact</v>
      </c>
      <c r="AB258">
        <f t="shared" ref="AB258:AB321" si="98">F258*(R258*0.35+P258*0.3+N258*0.35)*(H258*0.5+J258*0.5)</f>
        <v>2.0296781625500568E-2</v>
      </c>
      <c r="AC258">
        <f t="shared" ref="AC258:AC321" si="99">(AB258-$AJ$15)/$AK$15</f>
        <v>4.9424170936332328E-2</v>
      </c>
      <c r="AD258" t="str">
        <f t="shared" ref="AD258:AD321" si="100">IF(AC258&gt;0.7,"High",IF(AC258&gt;0.3,"Moderate",IF(AC258&gt;0.15,"Low","No Impact")))</f>
        <v>No Impact</v>
      </c>
      <c r="AE258">
        <f t="shared" ref="AE258:AE321" si="101">F258*(N258*1)*(H258*0.5+J258*0.5)</f>
        <v>4.4388495427590702E-3</v>
      </c>
      <c r="AF258">
        <f t="shared" ref="AF258:AF321" si="102">(AE258-$AJ$16)/$AK$16</f>
        <v>2.4286499888476136E-2</v>
      </c>
      <c r="AG258" t="s">
        <v>1176</v>
      </c>
    </row>
    <row r="259" spans="1:33" customFormat="1" x14ac:dyDescent="0.3">
      <c r="A259">
        <v>306852</v>
      </c>
      <c r="B259" t="s">
        <v>320</v>
      </c>
      <c r="C259" t="s">
        <v>797</v>
      </c>
      <c r="D259" t="s">
        <v>798</v>
      </c>
      <c r="E259" s="18">
        <v>4.5</v>
      </c>
      <c r="F259" s="2">
        <f t="shared" si="84"/>
        <v>0.28888888888888886</v>
      </c>
      <c r="G259" s="10">
        <v>22.21884</v>
      </c>
      <c r="H259">
        <f t="shared" si="85"/>
        <v>0.29770064489988857</v>
      </c>
      <c r="I259" s="22">
        <v>0.20000000000000009</v>
      </c>
      <c r="J259" s="2">
        <f t="shared" si="86"/>
        <v>1.0261672652642387E-3</v>
      </c>
      <c r="K259" s="8">
        <v>0</v>
      </c>
      <c r="L259" s="2">
        <v>0</v>
      </c>
      <c r="M259">
        <v>22807</v>
      </c>
      <c r="N259">
        <f t="shared" si="87"/>
        <v>0.10677870671341311</v>
      </c>
      <c r="O259" s="8">
        <v>0.95467453800000002</v>
      </c>
      <c r="P259">
        <f t="shared" si="88"/>
        <v>0.95590657241978039</v>
      </c>
      <c r="Q259" s="20">
        <v>0.32450000000000001</v>
      </c>
      <c r="R259" s="10">
        <f t="shared" si="89"/>
        <v>0.70268514508445223</v>
      </c>
      <c r="S259">
        <f t="shared" si="90"/>
        <v>3.5783642299424136E-2</v>
      </c>
      <c r="T259" s="11">
        <f t="shared" si="91"/>
        <v>6.5686315802045925E-2</v>
      </c>
      <c r="U259" t="str">
        <f t="shared" si="92"/>
        <v>No Impact</v>
      </c>
      <c r="V259">
        <f t="shared" si="93"/>
        <v>3.0320462372328019E-2</v>
      </c>
      <c r="W259">
        <f t="shared" si="94"/>
        <v>3.9937726824156257E-2</v>
      </c>
      <c r="X259" t="s">
        <v>1176</v>
      </c>
      <c r="Y259">
        <f t="shared" si="95"/>
        <v>4.1246822226520263E-2</v>
      </c>
      <c r="Z259">
        <f t="shared" si="96"/>
        <v>7.5401923612397656E-2</v>
      </c>
      <c r="AA259" t="str">
        <f t="shared" si="97"/>
        <v>No Impact</v>
      </c>
      <c r="AB259">
        <f t="shared" si="98"/>
        <v>2.4598812555153681E-2</v>
      </c>
      <c r="AC259">
        <f t="shared" si="99"/>
        <v>5.989993581195311E-2</v>
      </c>
      <c r="AD259" t="str">
        <f t="shared" si="100"/>
        <v>No Impact</v>
      </c>
      <c r="AE259">
        <f t="shared" si="101"/>
        <v>4.6074401625222673E-3</v>
      </c>
      <c r="AF259">
        <f t="shared" si="102"/>
        <v>2.5208918192731609E-2</v>
      </c>
      <c r="AG259" t="s">
        <v>1176</v>
      </c>
    </row>
    <row r="260" spans="1:33" customFormat="1" x14ac:dyDescent="0.3">
      <c r="A260">
        <v>306860</v>
      </c>
      <c r="B260" t="s">
        <v>373</v>
      </c>
      <c r="C260" t="s">
        <v>797</v>
      </c>
      <c r="D260" t="s">
        <v>799</v>
      </c>
      <c r="E260" s="18">
        <v>4.4000000000000004</v>
      </c>
      <c r="F260" s="2">
        <f t="shared" si="84"/>
        <v>0.26666666666666672</v>
      </c>
      <c r="G260" s="10">
        <v>20.630880000000001</v>
      </c>
      <c r="H260">
        <f t="shared" si="85"/>
        <v>0.27642425440987078</v>
      </c>
      <c r="I260" s="22">
        <v>0.39999999999999974</v>
      </c>
      <c r="J260" s="2">
        <f t="shared" si="86"/>
        <v>2.0523345305284752E-3</v>
      </c>
      <c r="K260" s="8">
        <v>0</v>
      </c>
      <c r="L260" s="2">
        <v>0</v>
      </c>
      <c r="M260">
        <v>70583</v>
      </c>
      <c r="N260">
        <f t="shared" si="87"/>
        <v>0.33282707129778144</v>
      </c>
      <c r="O260" s="8">
        <v>0.81197894699999995</v>
      </c>
      <c r="P260">
        <f t="shared" si="88"/>
        <v>0.79875751561879715</v>
      </c>
      <c r="Q260" s="20">
        <v>0.25750000000000001</v>
      </c>
      <c r="R260" s="10">
        <f t="shared" si="89"/>
        <v>0.55760069294066694</v>
      </c>
      <c r="S260">
        <f t="shared" si="90"/>
        <v>2.5180933820063353E-2</v>
      </c>
      <c r="T260" s="11">
        <f t="shared" si="91"/>
        <v>4.6223432406759732E-2</v>
      </c>
      <c r="U260" t="str">
        <f t="shared" si="92"/>
        <v>No Impact</v>
      </c>
      <c r="V260">
        <f t="shared" si="93"/>
        <v>2.0703831861455992E-2</v>
      </c>
      <c r="W260">
        <f t="shared" si="94"/>
        <v>2.7270823608901481E-2</v>
      </c>
      <c r="X260" t="s">
        <v>1176</v>
      </c>
      <c r="Y260">
        <f t="shared" si="95"/>
        <v>2.9658035778670717E-2</v>
      </c>
      <c r="Z260">
        <f t="shared" si="96"/>
        <v>5.4216854234148515E-2</v>
      </c>
      <c r="AA260" t="str">
        <f t="shared" si="97"/>
        <v>No Impact</v>
      </c>
      <c r="AB260">
        <f t="shared" si="98"/>
        <v>2.0469030769472173E-2</v>
      </c>
      <c r="AC260">
        <f t="shared" si="99"/>
        <v>4.9843610396852193E-2</v>
      </c>
      <c r="AD260" t="str">
        <f t="shared" si="100"/>
        <v>No Impact</v>
      </c>
      <c r="AE260">
        <f t="shared" si="101"/>
        <v>1.2357939669603902E-2</v>
      </c>
      <c r="AF260">
        <f t="shared" si="102"/>
        <v>6.7614614443785914E-2</v>
      </c>
      <c r="AG260" t="s">
        <v>1176</v>
      </c>
    </row>
    <row r="261" spans="1:33" customFormat="1" x14ac:dyDescent="0.3">
      <c r="A261">
        <v>306863</v>
      </c>
      <c r="B261" t="s">
        <v>392</v>
      </c>
      <c r="C261" t="s">
        <v>797</v>
      </c>
      <c r="D261" t="s">
        <v>800</v>
      </c>
      <c r="E261" s="18">
        <v>4</v>
      </c>
      <c r="F261" s="2">
        <f t="shared" si="84"/>
        <v>0.17777777777777773</v>
      </c>
      <c r="G261" s="10">
        <v>20.630880000000001</v>
      </c>
      <c r="H261">
        <f t="shared" si="85"/>
        <v>0.27642425440987078</v>
      </c>
      <c r="I261" s="22">
        <v>0.10000000000000005</v>
      </c>
      <c r="J261" s="2">
        <f t="shared" si="86"/>
        <v>5.1308363263211933E-4</v>
      </c>
      <c r="K261" s="8">
        <v>0</v>
      </c>
      <c r="L261" s="2">
        <v>0</v>
      </c>
      <c r="M261">
        <v>31340</v>
      </c>
      <c r="N261">
        <f t="shared" si="87"/>
        <v>0.14715192119345361</v>
      </c>
      <c r="O261" s="8">
        <v>0.89756435099999998</v>
      </c>
      <c r="P261">
        <f t="shared" si="88"/>
        <v>0.89301176286131423</v>
      </c>
      <c r="Q261" s="20">
        <v>0.29330000000000001</v>
      </c>
      <c r="R261" s="10">
        <f t="shared" si="89"/>
        <v>0.63512343005630145</v>
      </c>
      <c r="S261">
        <f t="shared" si="90"/>
        <v>1.8808786333140936E-2</v>
      </c>
      <c r="T261" s="11">
        <f t="shared" si="91"/>
        <v>3.4526386905890327E-2</v>
      </c>
      <c r="U261" t="str">
        <f t="shared" si="92"/>
        <v>No Impact</v>
      </c>
      <c r="V261">
        <f t="shared" si="93"/>
        <v>1.5634612626508077E-2</v>
      </c>
      <c r="W261">
        <f t="shared" si="94"/>
        <v>2.0593712602775233E-2</v>
      </c>
      <c r="X261" t="s">
        <v>1176</v>
      </c>
      <c r="Y261">
        <f t="shared" si="95"/>
        <v>2.1982960039773791E-2</v>
      </c>
      <c r="Z261">
        <f t="shared" si="96"/>
        <v>4.0186307313334363E-2</v>
      </c>
      <c r="AA261" t="str">
        <f t="shared" si="97"/>
        <v>No Impact</v>
      </c>
      <c r="AB261">
        <f t="shared" si="98"/>
        <v>1.3334838117441459E-2</v>
      </c>
      <c r="AC261">
        <f t="shared" si="99"/>
        <v>3.2471321349622717E-2</v>
      </c>
      <c r="AD261" t="str">
        <f t="shared" si="100"/>
        <v>No Impact</v>
      </c>
      <c r="AE261">
        <f t="shared" si="101"/>
        <v>3.6223876749471289E-3</v>
      </c>
      <c r="AF261">
        <f t="shared" si="102"/>
        <v>1.9819351166594799E-2</v>
      </c>
      <c r="AG261" t="s">
        <v>1176</v>
      </c>
    </row>
    <row r="262" spans="1:33" customFormat="1" x14ac:dyDescent="0.3">
      <c r="A262">
        <v>306864</v>
      </c>
      <c r="B262" t="s">
        <v>444</v>
      </c>
      <c r="C262" t="s">
        <v>797</v>
      </c>
      <c r="D262" t="s">
        <v>801</v>
      </c>
      <c r="E262" s="18">
        <v>4.5</v>
      </c>
      <c r="F262" s="2">
        <f t="shared" si="84"/>
        <v>0.28888888888888886</v>
      </c>
      <c r="G262" s="10">
        <v>18.546120000000002</v>
      </c>
      <c r="H262">
        <f t="shared" si="85"/>
        <v>0.2484914551970635</v>
      </c>
      <c r="I262" s="22">
        <v>0.10000000000000005</v>
      </c>
      <c r="J262" s="2">
        <f t="shared" si="86"/>
        <v>5.1308363263211933E-4</v>
      </c>
      <c r="K262" s="8">
        <v>0</v>
      </c>
      <c r="L262" s="2">
        <v>0</v>
      </c>
      <c r="M262">
        <v>38383</v>
      </c>
      <c r="N262">
        <f t="shared" si="87"/>
        <v>0.18047531854291163</v>
      </c>
      <c r="O262" s="8">
        <v>0.74746294499999999</v>
      </c>
      <c r="P262">
        <f t="shared" si="88"/>
        <v>0.72770676491360997</v>
      </c>
      <c r="Q262" s="20">
        <v>0.30299999999999999</v>
      </c>
      <c r="R262" s="10">
        <f t="shared" si="89"/>
        <v>0.65612819402338673</v>
      </c>
      <c r="S262">
        <f t="shared" si="90"/>
        <v>2.4886418972026269E-2</v>
      </c>
      <c r="T262" s="11">
        <f t="shared" si="91"/>
        <v>4.568280562666064E-2</v>
      </c>
      <c r="U262" t="str">
        <f t="shared" si="92"/>
        <v>No Impact</v>
      </c>
      <c r="V262">
        <f t="shared" si="93"/>
        <v>2.3599174208415643E-2</v>
      </c>
      <c r="W262">
        <f t="shared" si="94"/>
        <v>3.1084531668341197E-2</v>
      </c>
      <c r="X262" t="s">
        <v>1176</v>
      </c>
      <c r="Y262">
        <f t="shared" si="95"/>
        <v>2.6173663735636902E-2</v>
      </c>
      <c r="Z262">
        <f t="shared" si="96"/>
        <v>4.7847191301495132E-2</v>
      </c>
      <c r="AA262" t="str">
        <f t="shared" si="97"/>
        <v>No Impact</v>
      </c>
      <c r="AB262">
        <f t="shared" si="98"/>
        <v>1.8383734974312504E-2</v>
      </c>
      <c r="AC262">
        <f t="shared" si="99"/>
        <v>4.4765760236445559E-2</v>
      </c>
      <c r="AD262" t="str">
        <f t="shared" si="100"/>
        <v>No Impact</v>
      </c>
      <c r="AE262">
        <f t="shared" si="101"/>
        <v>6.4912139447884619E-3</v>
      </c>
      <c r="AF262">
        <f t="shared" si="102"/>
        <v>3.5515704064208807E-2</v>
      </c>
      <c r="AG262" t="s">
        <v>1176</v>
      </c>
    </row>
    <row r="263" spans="1:33" customFormat="1" x14ac:dyDescent="0.3">
      <c r="A263">
        <v>306876</v>
      </c>
      <c r="B263" t="s">
        <v>485</v>
      </c>
      <c r="C263" t="s">
        <v>797</v>
      </c>
      <c r="D263" t="s">
        <v>802</v>
      </c>
      <c r="E263" s="18">
        <v>4.4000000000000004</v>
      </c>
      <c r="F263" s="2">
        <f t="shared" si="84"/>
        <v>0.26666666666666672</v>
      </c>
      <c r="G263" s="10">
        <v>19.379159999999999</v>
      </c>
      <c r="H263">
        <f t="shared" si="85"/>
        <v>0.25965299851919021</v>
      </c>
      <c r="I263" s="22">
        <v>0.10000000000000005</v>
      </c>
      <c r="J263" s="2">
        <f t="shared" si="86"/>
        <v>5.1308363263211933E-4</v>
      </c>
      <c r="K263" s="8">
        <v>0</v>
      </c>
      <c r="L263" s="2">
        <v>0</v>
      </c>
      <c r="M263">
        <v>46047</v>
      </c>
      <c r="N263">
        <f t="shared" si="87"/>
        <v>0.21673692826692784</v>
      </c>
      <c r="O263" s="8">
        <v>0.957699203</v>
      </c>
      <c r="P263">
        <f t="shared" si="88"/>
        <v>0.95923760212124431</v>
      </c>
      <c r="Q263" s="20">
        <v>0.3322</v>
      </c>
      <c r="R263" s="10">
        <f t="shared" si="89"/>
        <v>0.71935902988306633</v>
      </c>
      <c r="S263">
        <f t="shared" si="90"/>
        <v>2.9114260617453726E-2</v>
      </c>
      <c r="T263" s="11">
        <f t="shared" si="91"/>
        <v>5.344365174620333E-2</v>
      </c>
      <c r="U263" t="str">
        <f t="shared" si="92"/>
        <v>No Impact</v>
      </c>
      <c r="V263">
        <f t="shared" si="93"/>
        <v>2.4953709395361748E-2</v>
      </c>
      <c r="W263">
        <f t="shared" si="94"/>
        <v>3.2868708162936237E-2</v>
      </c>
      <c r="X263" t="s">
        <v>1176</v>
      </c>
      <c r="Y263">
        <f t="shared" si="95"/>
        <v>3.3274811839545698E-2</v>
      </c>
      <c r="Z263">
        <f t="shared" si="96"/>
        <v>6.0828560483118639E-2</v>
      </c>
      <c r="AA263" t="str">
        <f t="shared" si="97"/>
        <v>No Impact</v>
      </c>
      <c r="AB263">
        <f t="shared" si="98"/>
        <v>2.1347663056198927E-2</v>
      </c>
      <c r="AC263">
        <f t="shared" si="99"/>
        <v>5.1983145281279598E-2</v>
      </c>
      <c r="AD263" t="str">
        <f t="shared" si="100"/>
        <v>No Impact</v>
      </c>
      <c r="AE263">
        <f t="shared" si="101"/>
        <v>7.5183463313102912E-3</v>
      </c>
      <c r="AF263">
        <f t="shared" si="102"/>
        <v>4.1135504949644359E-2</v>
      </c>
      <c r="AG263" t="s">
        <v>1176</v>
      </c>
    </row>
    <row r="264" spans="1:33" customFormat="1" x14ac:dyDescent="0.3">
      <c r="A264">
        <v>308207</v>
      </c>
      <c r="B264" t="s">
        <v>36</v>
      </c>
      <c r="C264" t="s">
        <v>1048</v>
      </c>
      <c r="D264" t="s">
        <v>1047</v>
      </c>
      <c r="E264" s="18">
        <v>5.4</v>
      </c>
      <c r="F264" s="2">
        <f t="shared" si="84"/>
        <v>0.48888888888888893</v>
      </c>
      <c r="G264" s="10">
        <v>30.018599999999999</v>
      </c>
      <c r="H264">
        <f t="shared" si="85"/>
        <v>0.40220626184768399</v>
      </c>
      <c r="I264" s="22">
        <v>9.9999999999999825E-2</v>
      </c>
      <c r="J264" s="2">
        <f t="shared" si="86"/>
        <v>5.1308363263211825E-4</v>
      </c>
      <c r="K264" s="8">
        <v>0</v>
      </c>
      <c r="L264" s="2">
        <v>0</v>
      </c>
      <c r="M264">
        <v>27077</v>
      </c>
      <c r="N264">
        <f t="shared" si="87"/>
        <v>0.12698187392655888</v>
      </c>
      <c r="O264" s="8">
        <v>0.48314523500000001</v>
      </c>
      <c r="P264">
        <f t="shared" si="88"/>
        <v>0.43661663009440727</v>
      </c>
      <c r="Q264" s="20">
        <v>0.27929999999999999</v>
      </c>
      <c r="R264" s="10">
        <f t="shared" si="89"/>
        <v>0.604807275877003</v>
      </c>
      <c r="S264">
        <f t="shared" si="90"/>
        <v>5.1260189906488521E-2</v>
      </c>
      <c r="T264" s="11">
        <f t="shared" si="91"/>
        <v>9.409587190973677E-2</v>
      </c>
      <c r="U264" t="str">
        <f t="shared" si="92"/>
        <v>No Impact</v>
      </c>
      <c r="V264">
        <f t="shared" si="93"/>
        <v>5.9538744291380362E-2</v>
      </c>
      <c r="W264">
        <f t="shared" si="94"/>
        <v>7.8423675594491607E-2</v>
      </c>
      <c r="X264" t="s">
        <v>1176</v>
      </c>
      <c r="Y264">
        <f t="shared" si="95"/>
        <v>4.2981635521596687E-2</v>
      </c>
      <c r="Z264">
        <f t="shared" si="96"/>
        <v>7.8573277246351533E-2</v>
      </c>
      <c r="AA264" t="str">
        <f t="shared" si="97"/>
        <v>No Impact</v>
      </c>
      <c r="AB264">
        <f t="shared" si="98"/>
        <v>3.8108196048438486E-2</v>
      </c>
      <c r="AC264">
        <f t="shared" si="99"/>
        <v>9.2796288117271253E-2</v>
      </c>
      <c r="AD264" t="str">
        <f t="shared" si="100"/>
        <v>No Impact</v>
      </c>
      <c r="AE264">
        <f t="shared" si="101"/>
        <v>1.2500413971361021E-2</v>
      </c>
      <c r="AF264">
        <f t="shared" si="102"/>
        <v>6.8394141228914171E-2</v>
      </c>
      <c r="AG264" t="s">
        <v>1176</v>
      </c>
    </row>
    <row r="265" spans="1:33" customFormat="1" x14ac:dyDescent="0.3">
      <c r="A265">
        <v>308229</v>
      </c>
      <c r="B265" t="s">
        <v>184</v>
      </c>
      <c r="C265" t="s">
        <v>803</v>
      </c>
      <c r="D265" t="s">
        <v>1135</v>
      </c>
      <c r="E265" s="18">
        <v>5.4</v>
      </c>
      <c r="F265" s="2">
        <f t="shared" si="84"/>
        <v>0.48888888888888893</v>
      </c>
      <c r="G265" s="10">
        <v>24.658920000000002</v>
      </c>
      <c r="H265">
        <f t="shared" si="85"/>
        <v>0.33039422339486496</v>
      </c>
      <c r="I265" s="22">
        <v>0</v>
      </c>
      <c r="J265" s="2">
        <f t="shared" si="86"/>
        <v>0</v>
      </c>
      <c r="K265" s="8">
        <v>0</v>
      </c>
      <c r="L265" s="2">
        <v>0</v>
      </c>
      <c r="M265">
        <v>14728</v>
      </c>
      <c r="N265">
        <f t="shared" si="87"/>
        <v>6.8553557318798405E-2</v>
      </c>
      <c r="O265" s="8">
        <v>0.59395510500000004</v>
      </c>
      <c r="P265">
        <f t="shared" si="88"/>
        <v>0.5586502993388871</v>
      </c>
      <c r="Q265" s="20">
        <v>0.22500000000000001</v>
      </c>
      <c r="R265" s="10">
        <f t="shared" si="89"/>
        <v>0.48722390645301</v>
      </c>
      <c r="S265">
        <f t="shared" si="90"/>
        <v>4.2233986176718724E-2</v>
      </c>
      <c r="T265" s="11">
        <f t="shared" si="91"/>
        <v>7.7526902666021594E-2</v>
      </c>
      <c r="U265" t="str">
        <f t="shared" si="92"/>
        <v>No Impact</v>
      </c>
      <c r="V265">
        <f t="shared" si="93"/>
        <v>3.9349680135811117E-2</v>
      </c>
      <c r="W265">
        <f t="shared" si="94"/>
        <v>5.1830897450832282E-2</v>
      </c>
      <c r="X265" t="s">
        <v>1176</v>
      </c>
      <c r="Y265">
        <f t="shared" si="95"/>
        <v>4.5118292217626331E-2</v>
      </c>
      <c r="Z265">
        <f t="shared" si="96"/>
        <v>8.2479227239181732E-2</v>
      </c>
      <c r="AA265" t="str">
        <f t="shared" si="97"/>
        <v>No Impact</v>
      </c>
      <c r="AB265">
        <f t="shared" si="98"/>
        <v>2.9245683322277435E-2</v>
      </c>
      <c r="AC265">
        <f t="shared" si="99"/>
        <v>7.1215411307083781E-2</v>
      </c>
      <c r="AD265" t="str">
        <f t="shared" si="100"/>
        <v>No Impact</v>
      </c>
      <c r="AE265">
        <f t="shared" si="101"/>
        <v>5.5365931698732745E-3</v>
      </c>
      <c r="AF265">
        <f t="shared" si="102"/>
        <v>3.0292639592169077E-2</v>
      </c>
      <c r="AG265" t="s">
        <v>1176</v>
      </c>
    </row>
    <row r="266" spans="1:33" customFormat="1" x14ac:dyDescent="0.3">
      <c r="A266">
        <v>308247</v>
      </c>
      <c r="B266" t="s">
        <v>249</v>
      </c>
      <c r="C266" t="s">
        <v>803</v>
      </c>
      <c r="D266" t="s">
        <v>804</v>
      </c>
      <c r="E266" s="18">
        <v>5.6</v>
      </c>
      <c r="F266" s="2">
        <f t="shared" si="84"/>
        <v>0.53333333333333321</v>
      </c>
      <c r="G266" s="10">
        <v>27.214920000000003</v>
      </c>
      <c r="H266">
        <f t="shared" si="85"/>
        <v>0.36464096392515888</v>
      </c>
      <c r="I266" s="22">
        <v>0</v>
      </c>
      <c r="J266" s="2">
        <f t="shared" si="86"/>
        <v>0</v>
      </c>
      <c r="K266" s="8">
        <v>0</v>
      </c>
      <c r="L266" s="2">
        <v>0</v>
      </c>
      <c r="M266">
        <v>15025</v>
      </c>
      <c r="N266">
        <f t="shared" si="87"/>
        <v>6.99587893240219E-2</v>
      </c>
      <c r="O266" s="8">
        <v>0.84675784899999995</v>
      </c>
      <c r="P266">
        <f t="shared" si="88"/>
        <v>0.83705913101961094</v>
      </c>
      <c r="Q266" s="20">
        <v>0.2505</v>
      </c>
      <c r="R266" s="10">
        <f t="shared" si="89"/>
        <v>0.54244261585101772</v>
      </c>
      <c r="S266">
        <f t="shared" si="90"/>
        <v>6.7069712895379524E-2</v>
      </c>
      <c r="T266" s="11">
        <f t="shared" si="91"/>
        <v>0.12311665495463969</v>
      </c>
      <c r="U266" t="str">
        <f t="shared" si="92"/>
        <v>No Impact</v>
      </c>
      <c r="V266">
        <f t="shared" si="93"/>
        <v>5.2745812884799924E-2</v>
      </c>
      <c r="W266">
        <f t="shared" si="94"/>
        <v>6.9476112872003642E-2</v>
      </c>
      <c r="X266" t="s">
        <v>1176</v>
      </c>
      <c r="Y266">
        <f t="shared" si="95"/>
        <v>8.1393612905959131E-2</v>
      </c>
      <c r="Z266">
        <f t="shared" si="96"/>
        <v>0.1487929166801647</v>
      </c>
      <c r="AA266" t="str">
        <f t="shared" si="97"/>
        <v>No Impact</v>
      </c>
      <c r="AB266">
        <f t="shared" si="98"/>
        <v>4.5260036816388231E-2</v>
      </c>
      <c r="AC266">
        <f t="shared" si="99"/>
        <v>0.11021155163769458</v>
      </c>
      <c r="AD266" t="str">
        <f t="shared" si="100"/>
        <v>No Impact</v>
      </c>
      <c r="AE266">
        <f t="shared" si="101"/>
        <v>6.802624099772921E-3</v>
      </c>
      <c r="AF266">
        <f t="shared" si="102"/>
        <v>3.7219538046741003E-2</v>
      </c>
      <c r="AG266" t="s">
        <v>1176</v>
      </c>
    </row>
    <row r="267" spans="1:33" customFormat="1" x14ac:dyDescent="0.3">
      <c r="A267">
        <v>308273</v>
      </c>
      <c r="B267" t="s">
        <v>400</v>
      </c>
      <c r="C267" t="s">
        <v>803</v>
      </c>
      <c r="D267" t="s">
        <v>805</v>
      </c>
      <c r="E267" s="18">
        <v>5.6</v>
      </c>
      <c r="F267" s="2">
        <f t="shared" si="84"/>
        <v>0.53333333333333321</v>
      </c>
      <c r="G267" s="10">
        <v>27.214920000000003</v>
      </c>
      <c r="H267">
        <f t="shared" si="85"/>
        <v>0.36464096392515888</v>
      </c>
      <c r="I267" s="22">
        <v>0.29999999999999993</v>
      </c>
      <c r="J267" s="2">
        <f t="shared" si="86"/>
        <v>1.5392508978963569E-3</v>
      </c>
      <c r="K267" s="8">
        <v>0</v>
      </c>
      <c r="L267" s="2">
        <v>0</v>
      </c>
      <c r="M267">
        <v>21428</v>
      </c>
      <c r="N267">
        <f t="shared" si="87"/>
        <v>0.10025407730195456</v>
      </c>
      <c r="O267" s="8">
        <v>0.89919309599999997</v>
      </c>
      <c r="P267">
        <f t="shared" si="88"/>
        <v>0.89480548149498473</v>
      </c>
      <c r="Q267" s="20">
        <v>0.26350000000000001</v>
      </c>
      <c r="R267" s="10">
        <f t="shared" si="89"/>
        <v>0.57059333044608063</v>
      </c>
      <c r="S267">
        <f t="shared" si="90"/>
        <v>7.1546673567737223E-2</v>
      </c>
      <c r="T267" s="11">
        <f t="shared" si="91"/>
        <v>0.13133479692289204</v>
      </c>
      <c r="U267" t="str">
        <f t="shared" si="92"/>
        <v>No Impact</v>
      </c>
      <c r="V267">
        <f t="shared" si="93"/>
        <v>5.5717330218492879E-2</v>
      </c>
      <c r="W267">
        <f t="shared" si="94"/>
        <v>7.3390157653675042E-2</v>
      </c>
      <c r="X267" t="s">
        <v>1176</v>
      </c>
      <c r="Y267">
        <f t="shared" si="95"/>
        <v>8.7376016916981547E-2</v>
      </c>
      <c r="Z267">
        <f t="shared" si="96"/>
        <v>0.15972914754372883</v>
      </c>
      <c r="AA267" t="str">
        <f t="shared" si="97"/>
        <v>Low</v>
      </c>
      <c r="AB267">
        <f t="shared" si="98"/>
        <v>4.914023621080988E-2</v>
      </c>
      <c r="AC267">
        <f t="shared" si="99"/>
        <v>0.11966012539068825</v>
      </c>
      <c r="AD267" t="str">
        <f t="shared" si="100"/>
        <v>No Impact</v>
      </c>
      <c r="AE267">
        <f t="shared" si="101"/>
        <v>9.789615883551173E-3</v>
      </c>
      <c r="AF267">
        <f t="shared" si="102"/>
        <v>5.3562415840818813E-2</v>
      </c>
      <c r="AG267" t="s">
        <v>1176</v>
      </c>
    </row>
    <row r="268" spans="1:33" customFormat="1" x14ac:dyDescent="0.3">
      <c r="A268">
        <v>308276</v>
      </c>
      <c r="B268" t="s">
        <v>423</v>
      </c>
      <c r="C268" t="s">
        <v>803</v>
      </c>
      <c r="D268" t="s">
        <v>806</v>
      </c>
      <c r="E268" s="18">
        <v>5.6</v>
      </c>
      <c r="F268" s="2">
        <f t="shared" si="84"/>
        <v>0.53333333333333321</v>
      </c>
      <c r="G268" s="10">
        <v>26.06148</v>
      </c>
      <c r="H268">
        <f t="shared" si="85"/>
        <v>0.34918651932529099</v>
      </c>
      <c r="I268" s="22">
        <v>0</v>
      </c>
      <c r="J268" s="2">
        <f t="shared" si="86"/>
        <v>0</v>
      </c>
      <c r="K268" s="8">
        <v>0</v>
      </c>
      <c r="L268" s="2">
        <v>0</v>
      </c>
      <c r="M268">
        <v>45411</v>
      </c>
      <c r="N268">
        <f t="shared" si="87"/>
        <v>0.2137277445789745</v>
      </c>
      <c r="O268" s="8">
        <v>0.88171203899999995</v>
      </c>
      <c r="P268">
        <f t="shared" si="88"/>
        <v>0.87555378913236481</v>
      </c>
      <c r="Q268" s="20">
        <v>0.2848</v>
      </c>
      <c r="R268" s="10">
        <f t="shared" si="89"/>
        <v>0.61671719359029886</v>
      </c>
      <c r="S268">
        <f t="shared" si="90"/>
        <v>6.9477454712941103E-2</v>
      </c>
      <c r="T268" s="11">
        <f t="shared" si="91"/>
        <v>0.12753643112149141</v>
      </c>
      <c r="U268" t="str">
        <f t="shared" si="92"/>
        <v>No Impact</v>
      </c>
      <c r="V268">
        <f t="shared" si="93"/>
        <v>5.7426488063428816E-2</v>
      </c>
      <c r="W268">
        <f t="shared" si="94"/>
        <v>7.5641438596300514E-2</v>
      </c>
      <c r="X268" t="s">
        <v>1176</v>
      </c>
      <c r="Y268">
        <f t="shared" si="95"/>
        <v>8.152842136245339E-2</v>
      </c>
      <c r="Z268">
        <f t="shared" si="96"/>
        <v>0.14903935546963221</v>
      </c>
      <c r="AA268" t="str">
        <f t="shared" si="97"/>
        <v>No Impact</v>
      </c>
      <c r="AB268">
        <f t="shared" si="98"/>
        <v>5.1523342970795277E-2</v>
      </c>
      <c r="AC268">
        <f t="shared" si="99"/>
        <v>0.1254631673723326</v>
      </c>
      <c r="AD268" t="str">
        <f t="shared" si="100"/>
        <v>No Impact</v>
      </c>
      <c r="AE268">
        <f t="shared" si="101"/>
        <v>1.9901559256740513E-2</v>
      </c>
      <c r="AF268">
        <f t="shared" si="102"/>
        <v>0.10888839822421621</v>
      </c>
      <c r="AG268" t="s">
        <v>1176</v>
      </c>
    </row>
    <row r="269" spans="1:33" customFormat="1" x14ac:dyDescent="0.3">
      <c r="A269">
        <v>308614</v>
      </c>
      <c r="B269" t="s">
        <v>69</v>
      </c>
      <c r="C269" t="s">
        <v>808</v>
      </c>
      <c r="D269" t="s">
        <v>807</v>
      </c>
      <c r="E269" s="18">
        <v>6.5</v>
      </c>
      <c r="F269" s="2">
        <f t="shared" si="84"/>
        <v>0.73333333333333328</v>
      </c>
      <c r="G269" s="10">
        <v>25.887599999999999</v>
      </c>
      <c r="H269">
        <f t="shared" si="85"/>
        <v>0.34685677627231465</v>
      </c>
      <c r="I269" s="22">
        <v>47.5</v>
      </c>
      <c r="J269" s="2">
        <f t="shared" si="86"/>
        <v>0.24371472550025658</v>
      </c>
      <c r="K269" s="8">
        <v>0</v>
      </c>
      <c r="L269" s="2">
        <v>0</v>
      </c>
      <c r="M269">
        <v>19841</v>
      </c>
      <c r="N269">
        <f t="shared" si="87"/>
        <v>9.2745312344750253E-2</v>
      </c>
      <c r="O269" s="8">
        <v>0.75048115199999998</v>
      </c>
      <c r="P269">
        <f t="shared" si="88"/>
        <v>0.73103068249197534</v>
      </c>
      <c r="Q269" s="20">
        <v>0.255</v>
      </c>
      <c r="R269" s="10">
        <f t="shared" si="89"/>
        <v>0.55218709398007793</v>
      </c>
      <c r="S269">
        <f t="shared" si="90"/>
        <v>0.13893583904793269</v>
      </c>
      <c r="T269" s="11">
        <f t="shared" si="91"/>
        <v>0.25503785566489406</v>
      </c>
      <c r="U269" t="str">
        <f t="shared" si="92"/>
        <v>Low</v>
      </c>
      <c r="V269">
        <f t="shared" si="93"/>
        <v>0.11957218582879038</v>
      </c>
      <c r="W269">
        <f t="shared" si="94"/>
        <v>0.15749896010015291</v>
      </c>
      <c r="X269" t="s">
        <v>1176</v>
      </c>
      <c r="Y269">
        <f t="shared" si="95"/>
        <v>0.15829949226707499</v>
      </c>
      <c r="Z269">
        <f t="shared" si="96"/>
        <v>0.28938195913014692</v>
      </c>
      <c r="AA269" t="str">
        <f t="shared" si="97"/>
        <v>Low</v>
      </c>
      <c r="AB269">
        <f t="shared" si="98"/>
        <v>9.6369280814070812E-2</v>
      </c>
      <c r="AC269">
        <f t="shared" si="99"/>
        <v>0.23466635725054666</v>
      </c>
      <c r="AD269" t="str">
        <f t="shared" si="100"/>
        <v>Low</v>
      </c>
      <c r="AE269">
        <f t="shared" si="101"/>
        <v>2.0083337411061958E-2</v>
      </c>
      <c r="AF269">
        <f t="shared" si="102"/>
        <v>0.10988297014699219</v>
      </c>
      <c r="AG269" t="s">
        <v>1176</v>
      </c>
    </row>
    <row r="270" spans="1:33" customFormat="1" x14ac:dyDescent="0.3">
      <c r="A270">
        <v>308625</v>
      </c>
      <c r="B270" t="s">
        <v>126</v>
      </c>
      <c r="C270" t="s">
        <v>808</v>
      </c>
      <c r="D270" t="s">
        <v>809</v>
      </c>
      <c r="E270" s="18">
        <v>6.5</v>
      </c>
      <c r="F270" s="2">
        <f t="shared" si="84"/>
        <v>0.73333333333333328</v>
      </c>
      <c r="G270" s="10">
        <v>25.887599999999999</v>
      </c>
      <c r="H270">
        <f t="shared" si="85"/>
        <v>0.34685677627231465</v>
      </c>
      <c r="I270" s="22">
        <v>31.3</v>
      </c>
      <c r="J270" s="2">
        <f t="shared" si="86"/>
        <v>0.16059517701385329</v>
      </c>
      <c r="K270" s="8">
        <v>0</v>
      </c>
      <c r="L270" s="2">
        <v>0</v>
      </c>
      <c r="M270">
        <v>5388</v>
      </c>
      <c r="N270">
        <f t="shared" si="87"/>
        <v>2.4362086178100144E-2</v>
      </c>
      <c r="O270" s="8">
        <v>0.69507533399999999</v>
      </c>
      <c r="P270">
        <f t="shared" si="88"/>
        <v>0.67001287543172117</v>
      </c>
      <c r="Q270" s="20">
        <v>0.28070000000000001</v>
      </c>
      <c r="R270" s="10">
        <f t="shared" si="89"/>
        <v>0.60783889129493285</v>
      </c>
      <c r="S270">
        <f t="shared" si="90"/>
        <v>0.11888220208986386</v>
      </c>
      <c r="T270" s="11">
        <f t="shared" si="91"/>
        <v>0.21822635617624397</v>
      </c>
      <c r="U270" t="str">
        <f t="shared" si="92"/>
        <v>Low</v>
      </c>
      <c r="V270">
        <f t="shared" si="93"/>
        <v>0.11309797864600117</v>
      </c>
      <c r="W270">
        <f t="shared" si="94"/>
        <v>0.14897121686543216</v>
      </c>
      <c r="X270" t="s">
        <v>1176</v>
      </c>
      <c r="Y270">
        <f t="shared" si="95"/>
        <v>0.12466642553372655</v>
      </c>
      <c r="Z270">
        <f t="shared" si="96"/>
        <v>0.22789848496694087</v>
      </c>
      <c r="AA270" t="str">
        <f t="shared" si="97"/>
        <v>Low</v>
      </c>
      <c r="AB270">
        <f t="shared" si="98"/>
        <v>7.8570752340759428E-2</v>
      </c>
      <c r="AC270">
        <f t="shared" si="99"/>
        <v>0.19132561831413783</v>
      </c>
      <c r="AD270" t="str">
        <f t="shared" si="100"/>
        <v>Low</v>
      </c>
      <c r="AE270">
        <f t="shared" si="101"/>
        <v>4.532949012974386E-3</v>
      </c>
      <c r="AF270">
        <f t="shared" si="102"/>
        <v>2.4801351034223557E-2</v>
      </c>
      <c r="AG270" t="s">
        <v>1176</v>
      </c>
    </row>
    <row r="271" spans="1:33" customFormat="1" x14ac:dyDescent="0.3">
      <c r="A271">
        <v>308636</v>
      </c>
      <c r="B271" t="s">
        <v>191</v>
      </c>
      <c r="C271" t="s">
        <v>808</v>
      </c>
      <c r="D271" t="s">
        <v>810</v>
      </c>
      <c r="E271" s="18">
        <v>6.4</v>
      </c>
      <c r="F271" s="2">
        <f t="shared" si="84"/>
        <v>0.71111111111111114</v>
      </c>
      <c r="G271" s="10">
        <v>25.887599999999999</v>
      </c>
      <c r="H271">
        <f t="shared" si="85"/>
        <v>0.34685677627231465</v>
      </c>
      <c r="I271" s="22">
        <v>46.199999999999996</v>
      </c>
      <c r="J271" s="2">
        <f t="shared" si="86"/>
        <v>0.237044638276039</v>
      </c>
      <c r="K271" s="8">
        <v>0</v>
      </c>
      <c r="L271" s="2">
        <v>0</v>
      </c>
      <c r="M271">
        <v>3568</v>
      </c>
      <c r="N271">
        <f t="shared" si="87"/>
        <v>1.5750900152824893E-2</v>
      </c>
      <c r="O271" s="8">
        <v>0.67876729199999997</v>
      </c>
      <c r="P271">
        <f t="shared" si="88"/>
        <v>0.65205301135595706</v>
      </c>
      <c r="Q271" s="20">
        <v>0.28839999999999999</v>
      </c>
      <c r="R271" s="10">
        <f t="shared" si="89"/>
        <v>0.62451277609354694</v>
      </c>
      <c r="S271">
        <f t="shared" si="90"/>
        <v>0.13251352338769748</v>
      </c>
      <c r="T271" s="11">
        <f t="shared" si="91"/>
        <v>0.24324871885459723</v>
      </c>
      <c r="U271" t="str">
        <f t="shared" si="92"/>
        <v>Low</v>
      </c>
      <c r="V271">
        <f t="shared" si="93"/>
        <v>0.12965471764072581</v>
      </c>
      <c r="W271">
        <f t="shared" si="94"/>
        <v>0.17077954257466169</v>
      </c>
      <c r="X271" t="s">
        <v>1176</v>
      </c>
      <c r="Y271">
        <f t="shared" si="95"/>
        <v>0.13537232913466918</v>
      </c>
      <c r="Z271">
        <f t="shared" si="96"/>
        <v>0.24746958601047625</v>
      </c>
      <c r="AA271" t="str">
        <f t="shared" si="97"/>
        <v>Low</v>
      </c>
      <c r="AB271">
        <f t="shared" si="98"/>
        <v>8.7135362095232732E-2</v>
      </c>
      <c r="AC271">
        <f t="shared" si="99"/>
        <v>0.21218107925954413</v>
      </c>
      <c r="AD271" t="str">
        <f t="shared" si="100"/>
        <v>Low</v>
      </c>
      <c r="AE271">
        <f t="shared" si="101"/>
        <v>3.2700348016513189E-3</v>
      </c>
      <c r="AF271">
        <f t="shared" si="102"/>
        <v>1.7891505238146439E-2</v>
      </c>
      <c r="AG271" t="s">
        <v>1176</v>
      </c>
    </row>
    <row r="272" spans="1:33" customFormat="1" x14ac:dyDescent="0.3">
      <c r="A272">
        <v>308665</v>
      </c>
      <c r="B272" t="s">
        <v>372</v>
      </c>
      <c r="C272" t="s">
        <v>808</v>
      </c>
      <c r="D272" t="s">
        <v>811</v>
      </c>
      <c r="E272" s="18">
        <v>6.5</v>
      </c>
      <c r="F272" s="2">
        <f t="shared" si="84"/>
        <v>0.73333333333333328</v>
      </c>
      <c r="G272" s="10">
        <v>25.887599999999999</v>
      </c>
      <c r="H272">
        <f t="shared" si="85"/>
        <v>0.34685677627231465</v>
      </c>
      <c r="I272" s="22">
        <v>32.799999999999997</v>
      </c>
      <c r="J272" s="2">
        <f t="shared" si="86"/>
        <v>0.16829143150333506</v>
      </c>
      <c r="K272" s="8">
        <v>0</v>
      </c>
      <c r="L272" s="2">
        <v>0</v>
      </c>
      <c r="M272">
        <v>22687</v>
      </c>
      <c r="N272">
        <f t="shared" si="87"/>
        <v>0.1062109362062521</v>
      </c>
      <c r="O272" s="8">
        <v>0.61557059700000005</v>
      </c>
      <c r="P272">
        <f t="shared" si="88"/>
        <v>0.58245519867939444</v>
      </c>
      <c r="Q272" s="20">
        <v>0.2571</v>
      </c>
      <c r="R272" s="10">
        <f t="shared" si="89"/>
        <v>0.55673451710697275</v>
      </c>
      <c r="S272">
        <f t="shared" si="90"/>
        <v>0.10758944907402977</v>
      </c>
      <c r="T272" s="11">
        <f t="shared" si="91"/>
        <v>0.19749679112342872</v>
      </c>
      <c r="U272" t="str">
        <f t="shared" si="92"/>
        <v>Low</v>
      </c>
      <c r="V272">
        <f t="shared" si="93"/>
        <v>0.1051602891879829</v>
      </c>
      <c r="W272">
        <f t="shared" si="94"/>
        <v>0.13851579341916437</v>
      </c>
      <c r="X272" t="s">
        <v>1176</v>
      </c>
      <c r="Y272">
        <f t="shared" si="95"/>
        <v>0.11001860896007667</v>
      </c>
      <c r="Z272">
        <f t="shared" si="96"/>
        <v>0.20112130585944049</v>
      </c>
      <c r="AA272" t="str">
        <f t="shared" si="97"/>
        <v>Low</v>
      </c>
      <c r="AB272">
        <f t="shared" si="98"/>
        <v>7.6833361827696164E-2</v>
      </c>
      <c r="AC272">
        <f t="shared" si="99"/>
        <v>0.18709494335861107</v>
      </c>
      <c r="AD272" t="str">
        <f t="shared" si="100"/>
        <v>Low</v>
      </c>
      <c r="AE272">
        <f t="shared" si="101"/>
        <v>2.006193692536903E-2</v>
      </c>
      <c r="AF272">
        <f t="shared" si="102"/>
        <v>0.10976588059746184</v>
      </c>
      <c r="AG272" t="s">
        <v>1176</v>
      </c>
    </row>
    <row r="273" spans="1:33" customFormat="1" x14ac:dyDescent="0.3">
      <c r="A273">
        <v>308669</v>
      </c>
      <c r="B273" t="s">
        <v>476</v>
      </c>
      <c r="C273" t="s">
        <v>808</v>
      </c>
      <c r="D273" t="s">
        <v>812</v>
      </c>
      <c r="E273" s="18">
        <v>6.4</v>
      </c>
      <c r="F273" s="2">
        <f t="shared" si="84"/>
        <v>0.71111111111111114</v>
      </c>
      <c r="G273" s="10">
        <v>25.887599999999999</v>
      </c>
      <c r="H273">
        <f t="shared" si="85"/>
        <v>0.34685677627231465</v>
      </c>
      <c r="I273" s="22">
        <v>32.799999999999997</v>
      </c>
      <c r="J273" s="2">
        <f t="shared" si="86"/>
        <v>0.16829143150333506</v>
      </c>
      <c r="K273" s="8">
        <v>0</v>
      </c>
      <c r="L273" s="2">
        <v>0</v>
      </c>
      <c r="M273">
        <v>23823</v>
      </c>
      <c r="N273">
        <f t="shared" si="87"/>
        <v>0.11158583034070962</v>
      </c>
      <c r="O273" s="8">
        <v>0.80336330099999997</v>
      </c>
      <c r="P273">
        <f t="shared" si="88"/>
        <v>0.78926920113659871</v>
      </c>
      <c r="Q273" s="20">
        <v>0.27650000000000002</v>
      </c>
      <c r="R273" s="10">
        <f t="shared" si="89"/>
        <v>0.59874404504114342</v>
      </c>
      <c r="S273">
        <f t="shared" si="90"/>
        <v>0.12711689531330234</v>
      </c>
      <c r="T273" s="11">
        <f t="shared" si="91"/>
        <v>0.23334238754839001</v>
      </c>
      <c r="U273" t="str">
        <f t="shared" si="92"/>
        <v>Low</v>
      </c>
      <c r="V273">
        <f t="shared" si="93"/>
        <v>0.10966823883352461</v>
      </c>
      <c r="W273">
        <f t="shared" si="94"/>
        <v>0.14445360727140324</v>
      </c>
      <c r="X273" t="s">
        <v>1176</v>
      </c>
      <c r="Y273">
        <f t="shared" si="95"/>
        <v>0.14456555179308006</v>
      </c>
      <c r="Z273">
        <f t="shared" si="96"/>
        <v>0.26427540607667194</v>
      </c>
      <c r="AA273" t="str">
        <f t="shared" si="97"/>
        <v>Low</v>
      </c>
      <c r="AB273">
        <f t="shared" si="98"/>
        <v>8.8907019060185985E-2</v>
      </c>
      <c r="AC273">
        <f t="shared" si="99"/>
        <v>0.21649519557079128</v>
      </c>
      <c r="AD273" t="str">
        <f t="shared" si="100"/>
        <v>Low</v>
      </c>
      <c r="AE273">
        <f t="shared" si="101"/>
        <v>2.0438485515795298E-2</v>
      </c>
      <c r="AF273">
        <f t="shared" si="102"/>
        <v>0.11182610976524505</v>
      </c>
      <c r="AG273" t="s">
        <v>1176</v>
      </c>
    </row>
    <row r="274" spans="1:33" customFormat="1" x14ac:dyDescent="0.3">
      <c r="A274">
        <v>308694</v>
      </c>
      <c r="B274" t="s">
        <v>534</v>
      </c>
      <c r="C274" t="s">
        <v>808</v>
      </c>
      <c r="D274" t="s">
        <v>813</v>
      </c>
      <c r="E274" s="18">
        <v>6.4</v>
      </c>
      <c r="F274" s="2">
        <f t="shared" si="84"/>
        <v>0.71111111111111114</v>
      </c>
      <c r="G274" s="10">
        <v>25.215479999999999</v>
      </c>
      <c r="H274">
        <f t="shared" si="85"/>
        <v>0.33785133055822186</v>
      </c>
      <c r="I274" s="22">
        <v>15</v>
      </c>
      <c r="J274" s="2">
        <f t="shared" si="86"/>
        <v>7.6962544894817866E-2</v>
      </c>
      <c r="K274" s="8">
        <v>0</v>
      </c>
      <c r="L274" s="2">
        <v>0</v>
      </c>
      <c r="M274">
        <v>35519</v>
      </c>
      <c r="N274">
        <f t="shared" si="87"/>
        <v>0.16692452910533562</v>
      </c>
      <c r="O274" s="8">
        <v>0.56178179500000003</v>
      </c>
      <c r="P274">
        <f t="shared" si="88"/>
        <v>0.52321819323642427</v>
      </c>
      <c r="Q274" s="20">
        <v>0.21740000000000001</v>
      </c>
      <c r="R274" s="10">
        <f t="shared" si="89"/>
        <v>0.47076656561281943</v>
      </c>
      <c r="S274">
        <f t="shared" si="90"/>
        <v>7.3301096881690647E-2</v>
      </c>
      <c r="T274" s="11">
        <f t="shared" si="91"/>
        <v>0.13455530764917636</v>
      </c>
      <c r="U274" t="str">
        <f t="shared" si="92"/>
        <v>No Impact</v>
      </c>
      <c r="V274">
        <f t="shared" si="93"/>
        <v>6.9433067916647578E-2</v>
      </c>
      <c r="W274">
        <f t="shared" si="94"/>
        <v>9.1456352642858701E-2</v>
      </c>
      <c r="X274" t="s">
        <v>1176</v>
      </c>
      <c r="Y274">
        <f t="shared" si="95"/>
        <v>7.7169125846733716E-2</v>
      </c>
      <c r="Z274">
        <f t="shared" si="96"/>
        <v>0.14107027446564591</v>
      </c>
      <c r="AA274" t="str">
        <f t="shared" si="97"/>
        <v>No Impact</v>
      </c>
      <c r="AB274">
        <f t="shared" si="98"/>
        <v>5.6069169761015766E-2</v>
      </c>
      <c r="AC274">
        <f t="shared" si="99"/>
        <v>0.13653259327799144</v>
      </c>
      <c r="AD274" t="str">
        <f t="shared" si="100"/>
        <v>No Impact</v>
      </c>
      <c r="AE274">
        <f t="shared" si="101"/>
        <v>2.4619594960482844E-2</v>
      </c>
      <c r="AF274">
        <f t="shared" si="102"/>
        <v>0.13470242334243226</v>
      </c>
      <c r="AG274" t="s">
        <v>1175</v>
      </c>
    </row>
    <row r="275" spans="1:33" customFormat="1" x14ac:dyDescent="0.3">
      <c r="A275">
        <v>309309</v>
      </c>
      <c r="B275" t="s">
        <v>53</v>
      </c>
      <c r="C275" t="s">
        <v>815</v>
      </c>
      <c r="D275" t="s">
        <v>814</v>
      </c>
      <c r="E275" s="18">
        <v>5.9</v>
      </c>
      <c r="F275" s="2">
        <f t="shared" si="84"/>
        <v>0.60000000000000009</v>
      </c>
      <c r="G275" s="10">
        <v>24.76332</v>
      </c>
      <c r="H275">
        <f t="shared" si="85"/>
        <v>0.33179303392356707</v>
      </c>
      <c r="I275" s="22">
        <v>0.10000000000000005</v>
      </c>
      <c r="J275" s="2">
        <f t="shared" si="86"/>
        <v>5.1308363263211933E-4</v>
      </c>
      <c r="K275" s="8">
        <v>0</v>
      </c>
      <c r="L275" s="2">
        <v>0</v>
      </c>
      <c r="M275">
        <v>14864</v>
      </c>
      <c r="N275">
        <f t="shared" si="87"/>
        <v>6.9197030560247549E-2</v>
      </c>
      <c r="O275" s="8">
        <v>0.93633418199999996</v>
      </c>
      <c r="P275">
        <f t="shared" si="88"/>
        <v>0.93570854368885581</v>
      </c>
      <c r="Q275" s="20">
        <v>0.2402</v>
      </c>
      <c r="R275" s="10">
        <f t="shared" si="89"/>
        <v>0.52013858813339109</v>
      </c>
      <c r="S275">
        <f t="shared" si="90"/>
        <v>7.2568036219676862E-2</v>
      </c>
      <c r="T275" s="11">
        <f t="shared" si="91"/>
        <v>0.13320966335326664</v>
      </c>
      <c r="U275" t="str">
        <f t="shared" si="92"/>
        <v>No Impact</v>
      </c>
      <c r="V275">
        <f t="shared" si="93"/>
        <v>5.1853570444131046E-2</v>
      </c>
      <c r="W275">
        <f t="shared" si="94"/>
        <v>6.8300862494262912E-2</v>
      </c>
      <c r="X275" t="s">
        <v>1176</v>
      </c>
      <c r="Y275">
        <f t="shared" si="95"/>
        <v>9.3282501995222672E-2</v>
      </c>
      <c r="Z275">
        <f t="shared" si="96"/>
        <v>0.17052659356857564</v>
      </c>
      <c r="AA275" t="str">
        <f t="shared" si="97"/>
        <v>Low</v>
      </c>
      <c r="AB275">
        <f t="shared" si="98"/>
        <v>4.8547932894061493E-2</v>
      </c>
      <c r="AC275">
        <f t="shared" si="99"/>
        <v>0.11821782281714381</v>
      </c>
      <c r="AD275" t="str">
        <f t="shared" si="100"/>
        <v>No Impact</v>
      </c>
      <c r="AE275">
        <f t="shared" si="101"/>
        <v>6.8983789715680605E-3</v>
      </c>
      <c r="AF275">
        <f t="shared" si="102"/>
        <v>3.774344647408729E-2</v>
      </c>
      <c r="AG275" t="s">
        <v>1176</v>
      </c>
    </row>
    <row r="276" spans="1:33" customFormat="1" x14ac:dyDescent="0.3">
      <c r="A276">
        <v>309319</v>
      </c>
      <c r="B276" t="s">
        <v>73</v>
      </c>
      <c r="C276" t="s">
        <v>815</v>
      </c>
      <c r="D276" t="s">
        <v>816</v>
      </c>
      <c r="E276" s="18">
        <v>5.9</v>
      </c>
      <c r="F276" s="2">
        <f t="shared" si="84"/>
        <v>0.60000000000000009</v>
      </c>
      <c r="G276" s="10">
        <v>26.69904</v>
      </c>
      <c r="H276">
        <f t="shared" si="85"/>
        <v>0.35772891051953754</v>
      </c>
      <c r="I276" s="22">
        <v>1.5</v>
      </c>
      <c r="J276" s="2">
        <f t="shared" si="86"/>
        <v>7.6962544894817863E-3</v>
      </c>
      <c r="K276" s="8">
        <v>0</v>
      </c>
      <c r="L276" s="2">
        <v>0</v>
      </c>
      <c r="M276">
        <v>8293</v>
      </c>
      <c r="N276">
        <f t="shared" si="87"/>
        <v>3.8106863872289488E-2</v>
      </c>
      <c r="O276" s="8">
        <v>0.51194810599999996</v>
      </c>
      <c r="P276">
        <f t="shared" si="88"/>
        <v>0.4683369094603646</v>
      </c>
      <c r="Q276" s="20">
        <v>0.2331</v>
      </c>
      <c r="R276" s="10">
        <f t="shared" si="89"/>
        <v>0.50476396708531834</v>
      </c>
      <c r="S276">
        <f t="shared" si="90"/>
        <v>5.3339332257319141E-2</v>
      </c>
      <c r="T276" s="11">
        <f t="shared" si="91"/>
        <v>9.7912453796826171E-2</v>
      </c>
      <c r="U276" t="str">
        <f t="shared" si="92"/>
        <v>No Impact</v>
      </c>
      <c r="V276">
        <f t="shared" si="93"/>
        <v>5.5336036788827904E-2</v>
      </c>
      <c r="W276">
        <f t="shared" si="94"/>
        <v>7.288792280491814E-2</v>
      </c>
      <c r="X276" t="s">
        <v>1176</v>
      </c>
      <c r="Y276">
        <f t="shared" si="95"/>
        <v>5.1342627725810372E-2</v>
      </c>
      <c r="Z276">
        <f t="shared" si="96"/>
        <v>9.3857724907403711E-2</v>
      </c>
      <c r="AA276" t="str">
        <f t="shared" si="97"/>
        <v>No Impact</v>
      </c>
      <c r="AB276">
        <f t="shared" si="98"/>
        <v>3.6232547930776182E-2</v>
      </c>
      <c r="AC276">
        <f t="shared" si="99"/>
        <v>8.8228945624544142E-2</v>
      </c>
      <c r="AD276" t="str">
        <f t="shared" si="100"/>
        <v>No Impact</v>
      </c>
      <c r="AE276">
        <f t="shared" si="101"/>
        <v>4.1775621055522875E-3</v>
      </c>
      <c r="AF276">
        <f t="shared" si="102"/>
        <v>2.2856904842855734E-2</v>
      </c>
      <c r="AG276" t="s">
        <v>1176</v>
      </c>
    </row>
    <row r="277" spans="1:33" customFormat="1" x14ac:dyDescent="0.3">
      <c r="A277">
        <v>309323</v>
      </c>
      <c r="B277" t="s">
        <v>136</v>
      </c>
      <c r="C277" t="s">
        <v>815</v>
      </c>
      <c r="D277" t="s">
        <v>817</v>
      </c>
      <c r="E277" s="18">
        <v>5.9</v>
      </c>
      <c r="F277" s="2">
        <f t="shared" si="84"/>
        <v>0.60000000000000009</v>
      </c>
      <c r="G277" s="10">
        <v>24.942960000000003</v>
      </c>
      <c r="H277">
        <f t="shared" si="85"/>
        <v>0.33419995272985115</v>
      </c>
      <c r="I277" s="22">
        <v>0</v>
      </c>
      <c r="J277" s="2">
        <f t="shared" si="86"/>
        <v>0</v>
      </c>
      <c r="K277" s="8">
        <v>0</v>
      </c>
      <c r="L277" s="2">
        <v>0</v>
      </c>
      <c r="M277">
        <v>27551</v>
      </c>
      <c r="N277">
        <f t="shared" si="87"/>
        <v>0.12922456742984487</v>
      </c>
      <c r="O277" s="8">
        <v>0.94096279999999999</v>
      </c>
      <c r="P277">
        <f t="shared" si="88"/>
        <v>0.94080598887195233</v>
      </c>
      <c r="Q277" s="20">
        <v>0.26879999999999998</v>
      </c>
      <c r="R277" s="10">
        <f t="shared" si="89"/>
        <v>0.58207016024252922</v>
      </c>
      <c r="S277">
        <f t="shared" si="90"/>
        <v>7.634177055712163E-2</v>
      </c>
      <c r="T277" s="11">
        <f t="shared" si="91"/>
        <v>0.14013692646886095</v>
      </c>
      <c r="U277" t="str">
        <f t="shared" si="92"/>
        <v>No Impact</v>
      </c>
      <c r="V277">
        <f t="shared" si="93"/>
        <v>5.8358346011553056E-2</v>
      </c>
      <c r="W277">
        <f t="shared" si="94"/>
        <v>7.6868870015851368E-2</v>
      </c>
      <c r="X277" t="s">
        <v>1176</v>
      </c>
      <c r="Y277">
        <f t="shared" si="95"/>
        <v>9.4325195102690204E-2</v>
      </c>
      <c r="Z277">
        <f t="shared" si="96"/>
        <v>0.17243270564694779</v>
      </c>
      <c r="AA277" t="str">
        <f t="shared" si="97"/>
        <v>Low</v>
      </c>
      <c r="AB277">
        <f t="shared" si="98"/>
        <v>5.3257598289142533E-2</v>
      </c>
      <c r="AC277">
        <f t="shared" si="99"/>
        <v>0.12968620789583846</v>
      </c>
      <c r="AD277" t="str">
        <f t="shared" si="100"/>
        <v>No Impact</v>
      </c>
      <c r="AE277">
        <f t="shared" si="101"/>
        <v>1.2956053297976887E-2</v>
      </c>
      <c r="AF277">
        <f t="shared" si="102"/>
        <v>7.088710350403632E-2</v>
      </c>
      <c r="AG277" t="s">
        <v>1176</v>
      </c>
    </row>
    <row r="278" spans="1:33" customFormat="1" x14ac:dyDescent="0.3">
      <c r="A278">
        <v>309325</v>
      </c>
      <c r="B278" t="s">
        <v>142</v>
      </c>
      <c r="C278" t="s">
        <v>815</v>
      </c>
      <c r="D278" t="s">
        <v>818</v>
      </c>
      <c r="E278" s="18">
        <v>5</v>
      </c>
      <c r="F278" s="2">
        <f t="shared" si="84"/>
        <v>0.39999999999999997</v>
      </c>
      <c r="G278" s="10">
        <v>26.86572</v>
      </c>
      <c r="H278">
        <f t="shared" si="85"/>
        <v>0.35996218388087925</v>
      </c>
      <c r="I278" s="22">
        <v>0</v>
      </c>
      <c r="J278" s="2">
        <f t="shared" si="86"/>
        <v>0</v>
      </c>
      <c r="K278" s="8">
        <v>0</v>
      </c>
      <c r="L278" s="2">
        <v>0</v>
      </c>
      <c r="M278">
        <v>20219</v>
      </c>
      <c r="N278">
        <f t="shared" si="87"/>
        <v>9.453378944230742E-2</v>
      </c>
      <c r="O278" s="8">
        <v>0.96652717300000002</v>
      </c>
      <c r="P278">
        <f t="shared" si="88"/>
        <v>0.96895974664754136</v>
      </c>
      <c r="Q278" s="20">
        <v>0.3105</v>
      </c>
      <c r="R278" s="10">
        <f t="shared" si="89"/>
        <v>0.67236899090515378</v>
      </c>
      <c r="S278">
        <f t="shared" si="90"/>
        <v>5.9081627683591459E-2</v>
      </c>
      <c r="T278" s="11">
        <f t="shared" si="91"/>
        <v>0.10845331008089532</v>
      </c>
      <c r="U278" t="str">
        <f t="shared" si="92"/>
        <v>No Impact</v>
      </c>
      <c r="V278">
        <f t="shared" si="93"/>
        <v>4.8405482068000438E-2</v>
      </c>
      <c r="W278">
        <f t="shared" si="94"/>
        <v>6.3759084405907218E-2</v>
      </c>
      <c r="X278" t="s">
        <v>1176</v>
      </c>
      <c r="Y278">
        <f t="shared" si="95"/>
        <v>6.9757773299182479E-2</v>
      </c>
      <c r="Z278">
        <f t="shared" si="96"/>
        <v>0.12752183101014744</v>
      </c>
      <c r="AA278" t="str">
        <f t="shared" si="97"/>
        <v>No Impact</v>
      </c>
      <c r="AB278">
        <f t="shared" si="98"/>
        <v>4.0251251964428067E-2</v>
      </c>
      <c r="AC278">
        <f t="shared" si="99"/>
        <v>9.8014788462415264E-2</v>
      </c>
      <c r="AD278" t="str">
        <f t="shared" si="100"/>
        <v>No Impact</v>
      </c>
      <c r="AE278">
        <f t="shared" si="101"/>
        <v>6.8057178596376356E-3</v>
      </c>
      <c r="AF278">
        <f t="shared" si="102"/>
        <v>3.7236465090085359E-2</v>
      </c>
      <c r="AG278" t="s">
        <v>1176</v>
      </c>
    </row>
    <row r="279" spans="1:33" customFormat="1" x14ac:dyDescent="0.3">
      <c r="A279">
        <v>309328</v>
      </c>
      <c r="B279" t="s">
        <v>181</v>
      </c>
      <c r="C279" t="s">
        <v>815</v>
      </c>
      <c r="D279" t="s">
        <v>819</v>
      </c>
      <c r="E279" s="18">
        <v>5.9</v>
      </c>
      <c r="F279" s="2">
        <f t="shared" si="84"/>
        <v>0.60000000000000009</v>
      </c>
      <c r="G279" s="10">
        <v>26.724960000000003</v>
      </c>
      <c r="H279">
        <f t="shared" si="85"/>
        <v>0.35807620140942226</v>
      </c>
      <c r="I279" s="22">
        <v>1.5</v>
      </c>
      <c r="J279" s="2">
        <f t="shared" si="86"/>
        <v>7.6962544894817863E-3</v>
      </c>
      <c r="K279" s="8">
        <v>0</v>
      </c>
      <c r="L279" s="2">
        <v>0</v>
      </c>
      <c r="M279">
        <v>34950</v>
      </c>
      <c r="N279">
        <f t="shared" si="87"/>
        <v>0.16423235061721386</v>
      </c>
      <c r="O279" s="8">
        <v>0.96571768599999996</v>
      </c>
      <c r="P279">
        <f t="shared" si="88"/>
        <v>0.96806826767715992</v>
      </c>
      <c r="Q279" s="20">
        <v>0.308</v>
      </c>
      <c r="R279" s="10">
        <f t="shared" si="89"/>
        <v>0.66695539194456477</v>
      </c>
      <c r="S279">
        <f t="shared" si="90"/>
        <v>8.970699291489781E-2</v>
      </c>
      <c r="T279" s="11">
        <f t="shared" si="91"/>
        <v>0.16467082408642067</v>
      </c>
      <c r="U279" t="str">
        <f t="shared" si="92"/>
        <v>Low</v>
      </c>
      <c r="V279">
        <f t="shared" si="93"/>
        <v>7.3186173505973881E-2</v>
      </c>
      <c r="W279">
        <f t="shared" si="94"/>
        <v>9.6399895519220818E-2</v>
      </c>
      <c r="X279" t="s">
        <v>1176</v>
      </c>
      <c r="Y279">
        <f t="shared" si="95"/>
        <v>0.10622781232382175</v>
      </c>
      <c r="Z279">
        <f t="shared" si="96"/>
        <v>0.19419147846989565</v>
      </c>
      <c r="AA279" t="str">
        <f t="shared" si="97"/>
        <v>Low</v>
      </c>
      <c r="AB279">
        <f t="shared" si="98"/>
        <v>6.3791029797684737E-2</v>
      </c>
      <c r="AC279">
        <f t="shared" si="99"/>
        <v>0.15533589605971254</v>
      </c>
      <c r="AD279" t="str">
        <f t="shared" si="100"/>
        <v>Low</v>
      </c>
      <c r="AE279">
        <f t="shared" si="101"/>
        <v>1.8021501066992466E-2</v>
      </c>
      <c r="AF279">
        <f t="shared" si="102"/>
        <v>9.8601941660233741E-2</v>
      </c>
      <c r="AG279" t="s">
        <v>1176</v>
      </c>
    </row>
    <row r="280" spans="1:33" customFormat="1" x14ac:dyDescent="0.3">
      <c r="A280">
        <v>309338</v>
      </c>
      <c r="B280" t="s">
        <v>190</v>
      </c>
      <c r="C280" t="s">
        <v>815</v>
      </c>
      <c r="D280" t="s">
        <v>820</v>
      </c>
      <c r="E280" s="18">
        <v>5.9</v>
      </c>
      <c r="F280" s="2">
        <f t="shared" si="84"/>
        <v>0.60000000000000009</v>
      </c>
      <c r="G280" s="10">
        <v>26.69904</v>
      </c>
      <c r="H280">
        <f t="shared" si="85"/>
        <v>0.35772891051953754</v>
      </c>
      <c r="I280" s="22">
        <v>0.20000000000000009</v>
      </c>
      <c r="J280" s="2">
        <f t="shared" si="86"/>
        <v>1.0261672652642387E-3</v>
      </c>
      <c r="K280" s="8">
        <v>0</v>
      </c>
      <c r="L280" s="2">
        <v>0</v>
      </c>
      <c r="M280">
        <v>19705</v>
      </c>
      <c r="N280">
        <f t="shared" si="87"/>
        <v>9.2101839103301109E-2</v>
      </c>
      <c r="O280" s="8">
        <v>0.86807827699999995</v>
      </c>
      <c r="P280">
        <f t="shared" si="88"/>
        <v>0.86053907968034615</v>
      </c>
      <c r="Q280" s="20">
        <v>0.29730000000000001</v>
      </c>
      <c r="R280" s="10">
        <f t="shared" si="89"/>
        <v>0.64378518839324383</v>
      </c>
      <c r="S280">
        <f t="shared" si="90"/>
        <v>8.0952595470945868E-2</v>
      </c>
      <c r="T280" s="11">
        <f t="shared" si="91"/>
        <v>0.14860079660435788</v>
      </c>
      <c r="U280" t="str">
        <f t="shared" si="92"/>
        <v>No Impact</v>
      </c>
      <c r="V280">
        <f t="shared" si="93"/>
        <v>6.9288361601616444E-2</v>
      </c>
      <c r="W280">
        <f t="shared" si="94"/>
        <v>9.1265747327923988E-2</v>
      </c>
      <c r="X280" t="s">
        <v>1176</v>
      </c>
      <c r="Y280">
        <f t="shared" si="95"/>
        <v>9.2616829340275292E-2</v>
      </c>
      <c r="Z280">
        <f t="shared" si="96"/>
        <v>0.1693096998548356</v>
      </c>
      <c r="AA280" t="str">
        <f t="shared" si="97"/>
        <v>Low</v>
      </c>
      <c r="AB280">
        <f t="shared" si="98"/>
        <v>5.5505385620069299E-2</v>
      </c>
      <c r="AC280">
        <f t="shared" si="99"/>
        <v>0.13515973701597583</v>
      </c>
      <c r="AD280" t="str">
        <f t="shared" si="100"/>
        <v>No Impact</v>
      </c>
      <c r="AE280">
        <f t="shared" si="101"/>
        <v>9.9126007354884277E-3</v>
      </c>
      <c r="AF280">
        <f t="shared" si="102"/>
        <v>5.4235309022731402E-2</v>
      </c>
      <c r="AG280" t="s">
        <v>1176</v>
      </c>
    </row>
    <row r="281" spans="1:33" customFormat="1" x14ac:dyDescent="0.3">
      <c r="A281">
        <v>309347</v>
      </c>
      <c r="B281" t="s">
        <v>246</v>
      </c>
      <c r="C281" t="s">
        <v>815</v>
      </c>
      <c r="D281" t="s">
        <v>821</v>
      </c>
      <c r="E281" s="18">
        <v>5.9</v>
      </c>
      <c r="F281" s="2">
        <f t="shared" si="84"/>
        <v>0.60000000000000009</v>
      </c>
      <c r="G281" s="10">
        <v>27.668520000000001</v>
      </c>
      <c r="H281">
        <f t="shared" si="85"/>
        <v>0.37071855449814056</v>
      </c>
      <c r="I281" s="22">
        <v>1.5</v>
      </c>
      <c r="J281" s="2">
        <f t="shared" si="86"/>
        <v>7.6962544894817863E-3</v>
      </c>
      <c r="K281" s="8">
        <v>0</v>
      </c>
      <c r="L281" s="2">
        <v>0</v>
      </c>
      <c r="M281">
        <v>36750</v>
      </c>
      <c r="N281">
        <f t="shared" si="87"/>
        <v>0.17274890822462893</v>
      </c>
      <c r="O281" s="8">
        <v>0.91085044999999998</v>
      </c>
      <c r="P281">
        <f t="shared" si="88"/>
        <v>0.90764359494373992</v>
      </c>
      <c r="Q281" s="20">
        <v>0.27150000000000002</v>
      </c>
      <c r="R281" s="10">
        <f t="shared" si="89"/>
        <v>0.58791684711996539</v>
      </c>
      <c r="S281">
        <f t="shared" si="90"/>
        <v>8.4891332851947193E-2</v>
      </c>
      <c r="T281" s="11">
        <f t="shared" si="91"/>
        <v>0.15583094789261676</v>
      </c>
      <c r="U281" t="str">
        <f t="shared" si="92"/>
        <v>Low</v>
      </c>
      <c r="V281">
        <f t="shared" si="93"/>
        <v>6.6742932421052073E-2</v>
      </c>
      <c r="W281">
        <f t="shared" si="94"/>
        <v>8.7912940434174414E-2</v>
      </c>
      <c r="X281" t="s">
        <v>1176</v>
      </c>
      <c r="Y281">
        <f t="shared" si="95"/>
        <v>0.10303973328284229</v>
      </c>
      <c r="Z281">
        <f t="shared" si="96"/>
        <v>0.18836345877426783</v>
      </c>
      <c r="AA281" t="str">
        <f t="shared" si="97"/>
        <v>Low</v>
      </c>
      <c r="AB281">
        <f t="shared" si="98"/>
        <v>6.1135874568628457E-2</v>
      </c>
      <c r="AC281">
        <f t="shared" si="99"/>
        <v>0.14887039584767398</v>
      </c>
      <c r="AD281" t="str">
        <f t="shared" si="100"/>
        <v>No Impact</v>
      </c>
      <c r="AE281">
        <f t="shared" si="101"/>
        <v>1.9611223532592981E-2</v>
      </c>
      <c r="AF281">
        <f t="shared" si="102"/>
        <v>0.10729986983094546</v>
      </c>
      <c r="AG281" t="s">
        <v>1176</v>
      </c>
    </row>
    <row r="282" spans="1:33" customFormat="1" x14ac:dyDescent="0.3">
      <c r="A282">
        <v>309357</v>
      </c>
      <c r="B282" t="s">
        <v>310</v>
      </c>
      <c r="C282" t="s">
        <v>815</v>
      </c>
      <c r="D282" t="s">
        <v>822</v>
      </c>
      <c r="E282" s="18">
        <v>5.3</v>
      </c>
      <c r="F282" s="2">
        <f t="shared" si="84"/>
        <v>0.46666666666666656</v>
      </c>
      <c r="G282" s="10">
        <v>28.883880000000005</v>
      </c>
      <c r="H282">
        <f t="shared" si="85"/>
        <v>0.3870026384460663</v>
      </c>
      <c r="I282" s="22">
        <v>0</v>
      </c>
      <c r="J282" s="2">
        <f t="shared" si="86"/>
        <v>0</v>
      </c>
      <c r="K282" s="8">
        <v>0</v>
      </c>
      <c r="L282" s="2">
        <v>0</v>
      </c>
      <c r="M282">
        <v>40172</v>
      </c>
      <c r="N282">
        <f t="shared" si="87"/>
        <v>0.18893983052050362</v>
      </c>
      <c r="O282" s="8">
        <v>0.97708229199999996</v>
      </c>
      <c r="P282">
        <f t="shared" si="88"/>
        <v>0.98058398103101396</v>
      </c>
      <c r="Q282" s="20">
        <v>0.34720000000000001</v>
      </c>
      <c r="R282" s="10">
        <f t="shared" si="89"/>
        <v>0.75184062364660031</v>
      </c>
      <c r="S282">
        <f t="shared" si="90"/>
        <v>7.8219504173897322E-2</v>
      </c>
      <c r="T282" s="11">
        <f t="shared" si="91"/>
        <v>0.14358379200344157</v>
      </c>
      <c r="U282" t="str">
        <f t="shared" si="92"/>
        <v>No Impact</v>
      </c>
      <c r="V282">
        <f t="shared" si="93"/>
        <v>6.789167117650638E-2</v>
      </c>
      <c r="W282">
        <f t="shared" si="94"/>
        <v>8.9426044490579767E-2</v>
      </c>
      <c r="X282" t="s">
        <v>1176</v>
      </c>
      <c r="Y282">
        <f t="shared" si="95"/>
        <v>8.8547337171288279E-2</v>
      </c>
      <c r="Z282">
        <f t="shared" si="96"/>
        <v>0.16187039856801025</v>
      </c>
      <c r="AA282" t="str">
        <f t="shared" si="97"/>
        <v>Low</v>
      </c>
      <c r="AB282">
        <f t="shared" si="98"/>
        <v>5.6297770118214352E-2</v>
      </c>
      <c r="AC282">
        <f t="shared" si="99"/>
        <v>0.13708925212857956</v>
      </c>
      <c r="AD282" t="str">
        <f t="shared" si="100"/>
        <v>No Impact</v>
      </c>
      <c r="AE282">
        <f t="shared" si="101"/>
        <v>1.7061383014430415E-2</v>
      </c>
      <c r="AF282">
        <f t="shared" si="102"/>
        <v>9.3348799657592574E-2</v>
      </c>
      <c r="AG282" t="s">
        <v>1176</v>
      </c>
    </row>
    <row r="283" spans="1:33" customFormat="1" x14ac:dyDescent="0.3">
      <c r="A283">
        <v>309366</v>
      </c>
      <c r="B283" t="s">
        <v>337</v>
      </c>
      <c r="C283" t="s">
        <v>815</v>
      </c>
      <c r="D283" t="s">
        <v>823</v>
      </c>
      <c r="E283" s="18">
        <v>5.9</v>
      </c>
      <c r="F283" s="2">
        <f t="shared" si="84"/>
        <v>0.60000000000000009</v>
      </c>
      <c r="G283" s="10">
        <v>24.328440000000001</v>
      </c>
      <c r="H283">
        <f t="shared" si="85"/>
        <v>0.32596626454883537</v>
      </c>
      <c r="I283" s="22">
        <v>9.9999999999999964E-2</v>
      </c>
      <c r="J283" s="2">
        <f t="shared" si="86"/>
        <v>5.130836326321189E-4</v>
      </c>
      <c r="K283" s="8">
        <v>0</v>
      </c>
      <c r="L283" s="2">
        <v>0</v>
      </c>
      <c r="M283">
        <v>80305</v>
      </c>
      <c r="N283">
        <f t="shared" si="87"/>
        <v>0.37882594521960888</v>
      </c>
      <c r="O283" s="8">
        <v>0.95865527299999997</v>
      </c>
      <c r="P283">
        <f t="shared" si="88"/>
        <v>0.96029051130843646</v>
      </c>
      <c r="Q283" s="20">
        <v>0.27160000000000001</v>
      </c>
      <c r="R283" s="10">
        <f t="shared" si="89"/>
        <v>0.58813339107838891</v>
      </c>
      <c r="S283">
        <f t="shared" si="90"/>
        <v>7.5829263953978265E-2</v>
      </c>
      <c r="T283" s="11">
        <f t="shared" si="91"/>
        <v>0.13919614267991584</v>
      </c>
      <c r="U283" t="str">
        <f t="shared" si="92"/>
        <v>No Impact</v>
      </c>
      <c r="V283">
        <f t="shared" si="93"/>
        <v>5.7604021848908567E-2</v>
      </c>
      <c r="W283">
        <f t="shared" si="94"/>
        <v>7.5875283837163979E-2</v>
      </c>
      <c r="X283" t="s">
        <v>1176</v>
      </c>
      <c r="Y283">
        <f t="shared" si="95"/>
        <v>9.4054506059047971E-2</v>
      </c>
      <c r="Z283">
        <f t="shared" si="96"/>
        <v>0.17193786814214965</v>
      </c>
      <c r="AA283" t="str">
        <f t="shared" si="97"/>
        <v>Low</v>
      </c>
      <c r="AB283">
        <f t="shared" si="98"/>
        <v>6.1364038470132644E-2</v>
      </c>
      <c r="AC283">
        <f t="shared" si="99"/>
        <v>0.1494259918962256</v>
      </c>
      <c r="AD283" t="str">
        <f t="shared" si="100"/>
        <v>No Impact</v>
      </c>
      <c r="AE283">
        <f t="shared" si="101"/>
        <v>3.7103654300857873E-2</v>
      </c>
      <c r="AF283">
        <f t="shared" si="102"/>
        <v>0.20300708265947012</v>
      </c>
      <c r="AG283" t="s">
        <v>1175</v>
      </c>
    </row>
    <row r="284" spans="1:33" customFormat="1" x14ac:dyDescent="0.3">
      <c r="A284">
        <v>309376</v>
      </c>
      <c r="B284" t="s">
        <v>359</v>
      </c>
      <c r="C284" t="s">
        <v>815</v>
      </c>
      <c r="D284" t="s">
        <v>824</v>
      </c>
      <c r="E284" s="18">
        <v>5.2</v>
      </c>
      <c r="F284" s="2">
        <f t="shared" si="84"/>
        <v>0.44444444444444442</v>
      </c>
      <c r="G284" s="10">
        <v>24.942960000000003</v>
      </c>
      <c r="H284">
        <f t="shared" si="85"/>
        <v>0.33419995272985115</v>
      </c>
      <c r="I284" s="22">
        <v>0</v>
      </c>
      <c r="J284" s="2">
        <f t="shared" si="86"/>
        <v>0</v>
      </c>
      <c r="K284" s="8">
        <v>0</v>
      </c>
      <c r="L284" s="2">
        <v>0</v>
      </c>
      <c r="M284">
        <v>29372</v>
      </c>
      <c r="N284">
        <f t="shared" si="87"/>
        <v>0.13784048487601311</v>
      </c>
      <c r="O284" s="8">
        <v>0.848726337</v>
      </c>
      <c r="P284">
        <f t="shared" si="88"/>
        <v>0.83922700481554391</v>
      </c>
      <c r="Q284" s="20">
        <v>0.2712</v>
      </c>
      <c r="R284" s="10">
        <f t="shared" si="89"/>
        <v>0.58726721524469472</v>
      </c>
      <c r="S284">
        <f t="shared" si="90"/>
        <v>5.2970477879281955E-2</v>
      </c>
      <c r="T284" s="11">
        <f t="shared" si="91"/>
        <v>9.7235365507211E-2</v>
      </c>
      <c r="U284" t="str">
        <f t="shared" si="92"/>
        <v>No Impact</v>
      </c>
      <c r="V284">
        <f t="shared" si="93"/>
        <v>4.3614372349904063E-2</v>
      </c>
      <c r="W284">
        <f t="shared" si="94"/>
        <v>5.744829571290478E-2</v>
      </c>
      <c r="X284" t="s">
        <v>1176</v>
      </c>
      <c r="Y284">
        <f t="shared" si="95"/>
        <v>6.2326583408659854E-2</v>
      </c>
      <c r="Z284">
        <f t="shared" si="96"/>
        <v>0.11393712357748276</v>
      </c>
      <c r="AA284" t="str">
        <f t="shared" si="97"/>
        <v>No Impact</v>
      </c>
      <c r="AB284">
        <f t="shared" si="98"/>
        <v>3.7545938508495073E-2</v>
      </c>
      <c r="AC284">
        <f t="shared" si="99"/>
        <v>9.1427149242096523E-2</v>
      </c>
      <c r="AD284" t="str">
        <f t="shared" si="100"/>
        <v>No Impact</v>
      </c>
      <c r="AE284">
        <f t="shared" si="101"/>
        <v>1.0236951895516298E-2</v>
      </c>
      <c r="AF284">
        <f t="shared" si="102"/>
        <v>5.6009947774498511E-2</v>
      </c>
      <c r="AG284" t="s">
        <v>1176</v>
      </c>
    </row>
    <row r="285" spans="1:33" customFormat="1" x14ac:dyDescent="0.3">
      <c r="A285">
        <v>309385</v>
      </c>
      <c r="B285" t="s">
        <v>453</v>
      </c>
      <c r="C285" t="s">
        <v>815</v>
      </c>
      <c r="D285" t="s">
        <v>1136</v>
      </c>
      <c r="E285" s="18">
        <v>5.9</v>
      </c>
      <c r="F285" s="2">
        <f t="shared" si="84"/>
        <v>0.60000000000000009</v>
      </c>
      <c r="G285" s="10">
        <v>25.946999999999999</v>
      </c>
      <c r="H285">
        <f t="shared" si="85"/>
        <v>0.34765265122830036</v>
      </c>
      <c r="I285" s="22">
        <v>0.10000000000000005</v>
      </c>
      <c r="J285" s="2">
        <f t="shared" si="86"/>
        <v>5.1308363263211933E-4</v>
      </c>
      <c r="K285" s="8">
        <v>0</v>
      </c>
      <c r="L285" s="2">
        <v>0</v>
      </c>
      <c r="M285">
        <v>55940</v>
      </c>
      <c r="N285">
        <f t="shared" si="87"/>
        <v>0.26354487516145975</v>
      </c>
      <c r="O285" s="8">
        <v>0.98273148399999999</v>
      </c>
      <c r="P285">
        <f t="shared" si="88"/>
        <v>0.98680537293433956</v>
      </c>
      <c r="Q285" s="20">
        <v>0.32679999999999998</v>
      </c>
      <c r="R285" s="10">
        <f t="shared" si="89"/>
        <v>0.70766565612819399</v>
      </c>
      <c r="S285">
        <f t="shared" si="90"/>
        <v>8.8493512655117637E-2</v>
      </c>
      <c r="T285" s="11">
        <f t="shared" si="91"/>
        <v>0.162443296578279</v>
      </c>
      <c r="U285" t="str">
        <f t="shared" si="92"/>
        <v>Low</v>
      </c>
      <c r="V285">
        <f t="shared" si="93"/>
        <v>7.3915479960514993E-2</v>
      </c>
      <c r="W285">
        <f t="shared" si="94"/>
        <v>9.7360528691462264E-2</v>
      </c>
      <c r="X285" t="s">
        <v>1176</v>
      </c>
      <c r="Y285">
        <f t="shared" si="95"/>
        <v>0.10307154534972028</v>
      </c>
      <c r="Z285">
        <f t="shared" si="96"/>
        <v>0.18842161334005506</v>
      </c>
      <c r="AA285" t="str">
        <f t="shared" si="97"/>
        <v>Low</v>
      </c>
      <c r="AB285">
        <f t="shared" si="98"/>
        <v>6.6426397579685673E-2</v>
      </c>
      <c r="AC285">
        <f t="shared" si="99"/>
        <v>0.16175321236832729</v>
      </c>
      <c r="AD285" t="str">
        <f t="shared" si="100"/>
        <v>Low</v>
      </c>
      <c r="AE285">
        <f t="shared" si="101"/>
        <v>2.752718853882671E-2</v>
      </c>
      <c r="AF285">
        <f t="shared" si="102"/>
        <v>0.15061088575728801</v>
      </c>
      <c r="AG285" t="s">
        <v>1175</v>
      </c>
    </row>
    <row r="286" spans="1:33" customFormat="1" x14ac:dyDescent="0.3">
      <c r="A286">
        <v>309395</v>
      </c>
      <c r="B286" t="s">
        <v>509</v>
      </c>
      <c r="C286" t="s">
        <v>815</v>
      </c>
      <c r="D286" t="s">
        <v>825</v>
      </c>
      <c r="E286" s="18">
        <v>5.9</v>
      </c>
      <c r="F286" s="2">
        <f t="shared" si="84"/>
        <v>0.60000000000000009</v>
      </c>
      <c r="G286" s="10">
        <v>25.305120000000002</v>
      </c>
      <c r="H286">
        <f t="shared" si="85"/>
        <v>0.33905237821907308</v>
      </c>
      <c r="I286" s="22">
        <v>0.10000000000000005</v>
      </c>
      <c r="J286" s="2">
        <f t="shared" si="86"/>
        <v>5.1308363263211933E-4</v>
      </c>
      <c r="K286" s="8">
        <v>0</v>
      </c>
      <c r="L286" s="2">
        <v>0</v>
      </c>
      <c r="M286">
        <v>51021</v>
      </c>
      <c r="N286">
        <f t="shared" si="87"/>
        <v>0.24027101578875151</v>
      </c>
      <c r="O286" s="8">
        <v>0.68991873199999998</v>
      </c>
      <c r="P286">
        <f t="shared" si="88"/>
        <v>0.66433396738053918</v>
      </c>
      <c r="Q286" s="20">
        <v>0.26569999999999999</v>
      </c>
      <c r="R286" s="10">
        <f t="shared" si="89"/>
        <v>0.57535729753139886</v>
      </c>
      <c r="S286">
        <f t="shared" si="90"/>
        <v>6.3143450538502052E-2</v>
      </c>
      <c r="T286" s="11">
        <f t="shared" si="91"/>
        <v>0.11590940346979883</v>
      </c>
      <c r="U286" t="str">
        <f t="shared" si="92"/>
        <v>No Impact</v>
      </c>
      <c r="V286">
        <f t="shared" si="93"/>
        <v>5.8611439939799531E-2</v>
      </c>
      <c r="W286">
        <f t="shared" si="94"/>
        <v>7.720224211430543E-2</v>
      </c>
      <c r="X286" t="s">
        <v>1176</v>
      </c>
      <c r="Y286">
        <f t="shared" si="95"/>
        <v>6.7675461137204546E-2</v>
      </c>
      <c r="Z286">
        <f t="shared" si="96"/>
        <v>0.12371522642586326</v>
      </c>
      <c r="AA286" t="str">
        <f t="shared" si="97"/>
        <v>No Impact</v>
      </c>
      <c r="AB286">
        <f t="shared" si="98"/>
        <v>4.9383354856909208E-2</v>
      </c>
      <c r="AC286">
        <f t="shared" si="99"/>
        <v>0.120252137353192</v>
      </c>
      <c r="AD286" t="str">
        <f t="shared" si="100"/>
        <v>No Impact</v>
      </c>
      <c r="AE286">
        <f t="shared" si="101"/>
        <v>2.4476321533765735E-2</v>
      </c>
      <c r="AF286">
        <f t="shared" si="102"/>
        <v>0.13391852426487447</v>
      </c>
      <c r="AG286" t="s">
        <v>1175</v>
      </c>
    </row>
    <row r="287" spans="1:33" customFormat="1" x14ac:dyDescent="0.3">
      <c r="A287">
        <v>400108</v>
      </c>
      <c r="B287" t="s">
        <v>25</v>
      </c>
      <c r="C287" t="s">
        <v>827</v>
      </c>
      <c r="D287" t="s">
        <v>826</v>
      </c>
      <c r="E287" s="18">
        <v>6.9</v>
      </c>
      <c r="F287" s="2">
        <f t="shared" si="84"/>
        <v>0.8222222222222223</v>
      </c>
      <c r="G287" s="10">
        <v>38.348280000000003</v>
      </c>
      <c r="H287">
        <f t="shared" si="85"/>
        <v>0.51381204809978831</v>
      </c>
      <c r="I287" s="22">
        <v>56.9</v>
      </c>
      <c r="J287" s="2">
        <f t="shared" si="86"/>
        <v>0.29194458696767578</v>
      </c>
      <c r="K287" s="8">
        <v>0</v>
      </c>
      <c r="L287" s="2">
        <v>0</v>
      </c>
      <c r="M287">
        <v>24641</v>
      </c>
      <c r="N287">
        <f t="shared" si="87"/>
        <v>0.11545613263119048</v>
      </c>
      <c r="O287" s="8">
        <v>0.64003497200000004</v>
      </c>
      <c r="P287">
        <f t="shared" si="88"/>
        <v>0.60939754097275622</v>
      </c>
      <c r="Q287" s="20">
        <v>0.22090000000000001</v>
      </c>
      <c r="R287" s="10">
        <f t="shared" si="89"/>
        <v>0.47834560415764404</v>
      </c>
      <c r="S287">
        <f t="shared" si="90"/>
        <v>0.18016045271224973</v>
      </c>
      <c r="T287" s="11">
        <f t="shared" si="91"/>
        <v>0.33071190162458231</v>
      </c>
      <c r="U287" t="str">
        <f t="shared" si="92"/>
        <v>Moderate</v>
      </c>
      <c r="V287">
        <f t="shared" si="93"/>
        <v>0.1584546149222103</v>
      </c>
      <c r="W287">
        <f t="shared" si="94"/>
        <v>0.20871440042964681</v>
      </c>
      <c r="X287" t="s">
        <v>1175</v>
      </c>
      <c r="Y287">
        <f t="shared" si="95"/>
        <v>0.2018662905022891</v>
      </c>
      <c r="Z287">
        <f t="shared" si="96"/>
        <v>0.36902495258374207</v>
      </c>
      <c r="AA287" t="str">
        <f t="shared" si="97"/>
        <v>Moderate</v>
      </c>
      <c r="AB287">
        <f t="shared" si="98"/>
        <v>0.12940492022681813</v>
      </c>
      <c r="AC287">
        <f t="shared" si="99"/>
        <v>0.31511059316208084</v>
      </c>
      <c r="AD287" t="str">
        <f t="shared" si="100"/>
        <v>Moderate</v>
      </c>
      <c r="AE287">
        <f t="shared" si="101"/>
        <v>3.824547958102225E-2</v>
      </c>
      <c r="AF287">
        <f t="shared" si="102"/>
        <v>0.20925440851997554</v>
      </c>
      <c r="AG287" t="s">
        <v>1175</v>
      </c>
    </row>
    <row r="288" spans="1:33" customFormat="1" x14ac:dyDescent="0.3">
      <c r="A288">
        <v>400114</v>
      </c>
      <c r="B288" t="s">
        <v>112</v>
      </c>
      <c r="C288" t="s">
        <v>827</v>
      </c>
      <c r="D288" t="s">
        <v>828</v>
      </c>
      <c r="E288" s="18">
        <v>6.8</v>
      </c>
      <c r="F288" s="2">
        <f t="shared" si="84"/>
        <v>0.79999999999999993</v>
      </c>
      <c r="G288" s="10">
        <v>36.169200000000004</v>
      </c>
      <c r="H288">
        <f t="shared" si="85"/>
        <v>0.48461549592656733</v>
      </c>
      <c r="I288" s="22">
        <v>41.499999999999993</v>
      </c>
      <c r="J288" s="2">
        <f t="shared" si="86"/>
        <v>0.2129297075423294</v>
      </c>
      <c r="K288" s="8">
        <v>0</v>
      </c>
      <c r="L288" s="2">
        <v>0</v>
      </c>
      <c r="M288">
        <v>9991</v>
      </c>
      <c r="N288">
        <f t="shared" si="87"/>
        <v>4.6140816548617715E-2</v>
      </c>
      <c r="O288" s="8">
        <v>0.54261750600000003</v>
      </c>
      <c r="P288">
        <f t="shared" si="88"/>
        <v>0.50211277631705031</v>
      </c>
      <c r="Q288" s="20">
        <v>0.19700000000000001</v>
      </c>
      <c r="R288" s="10">
        <f t="shared" si="89"/>
        <v>0.42659159809441322</v>
      </c>
      <c r="S288">
        <f t="shared" si="90"/>
        <v>0.12956265636225975</v>
      </c>
      <c r="T288" s="11">
        <f t="shared" si="91"/>
        <v>0.23783195379471772</v>
      </c>
      <c r="U288" t="str">
        <f t="shared" si="92"/>
        <v>Low</v>
      </c>
      <c r="V288">
        <f t="shared" si="93"/>
        <v>0.11902676923635569</v>
      </c>
      <c r="W288">
        <f t="shared" si="94"/>
        <v>0.15678054431194585</v>
      </c>
      <c r="X288" t="s">
        <v>1176</v>
      </c>
      <c r="Y288">
        <f t="shared" si="95"/>
        <v>0.14009854348816378</v>
      </c>
      <c r="Z288">
        <f t="shared" si="96"/>
        <v>0.25610941895811329</v>
      </c>
      <c r="AA288" t="str">
        <f t="shared" si="97"/>
        <v>Low</v>
      </c>
      <c r="AB288">
        <f t="shared" si="98"/>
        <v>8.8194875016641319E-2</v>
      </c>
      <c r="AC288">
        <f t="shared" si="99"/>
        <v>0.21476107192553212</v>
      </c>
      <c r="AD288" t="str">
        <f t="shared" si="100"/>
        <v>Low</v>
      </c>
      <c r="AE288">
        <f t="shared" si="101"/>
        <v>1.2874122107050632E-2</v>
      </c>
      <c r="AF288">
        <f t="shared" si="102"/>
        <v>7.0438829274390685E-2</v>
      </c>
      <c r="AG288" t="s">
        <v>1176</v>
      </c>
    </row>
    <row r="289" spans="1:33" customFormat="1" x14ac:dyDescent="0.3">
      <c r="A289">
        <v>400134</v>
      </c>
      <c r="B289" t="s">
        <v>160</v>
      </c>
      <c r="C289" t="s">
        <v>827</v>
      </c>
      <c r="D289" t="s">
        <v>829</v>
      </c>
      <c r="E289" s="18">
        <v>6.9</v>
      </c>
      <c r="F289" s="2">
        <f t="shared" si="84"/>
        <v>0.8222222222222223</v>
      </c>
      <c r="G289" s="10">
        <v>39.095999999999997</v>
      </c>
      <c r="H289">
        <f t="shared" si="85"/>
        <v>0.52383042557604464</v>
      </c>
      <c r="I289" s="22">
        <v>44.2</v>
      </c>
      <c r="J289" s="2">
        <f t="shared" si="86"/>
        <v>0.22678296562339664</v>
      </c>
      <c r="K289" s="8">
        <v>0</v>
      </c>
      <c r="L289" s="2">
        <v>0</v>
      </c>
      <c r="M289">
        <v>15140</v>
      </c>
      <c r="N289">
        <f t="shared" si="87"/>
        <v>7.0502902726717859E-2</v>
      </c>
      <c r="O289" s="8">
        <v>0.86480997900000001</v>
      </c>
      <c r="P289">
        <f t="shared" si="88"/>
        <v>0.8569397396836077</v>
      </c>
      <c r="Q289" s="20">
        <v>0.28370000000000001</v>
      </c>
      <c r="R289" s="10">
        <f t="shared" si="89"/>
        <v>0.61433521004763969</v>
      </c>
      <c r="S289">
        <f t="shared" si="90"/>
        <v>0.22700706187760381</v>
      </c>
      <c r="T289" s="11">
        <f t="shared" si="91"/>
        <v>0.41670597506578666</v>
      </c>
      <c r="U289" t="str">
        <f t="shared" si="92"/>
        <v>Moderate</v>
      </c>
      <c r="V289">
        <f t="shared" si="93"/>
        <v>0.18957494119824397</v>
      </c>
      <c r="W289">
        <f t="shared" si="94"/>
        <v>0.24970569779934507</v>
      </c>
      <c r="X289" t="s">
        <v>1175</v>
      </c>
      <c r="Y289">
        <f t="shared" si="95"/>
        <v>0.26443918255696369</v>
      </c>
      <c r="Z289">
        <f t="shared" si="96"/>
        <v>0.48341234468397021</v>
      </c>
      <c r="AA289" t="str">
        <f t="shared" si="97"/>
        <v>Moderate</v>
      </c>
      <c r="AB289">
        <f t="shared" si="98"/>
        <v>0.15329764503782031</v>
      </c>
      <c r="AC289">
        <f t="shared" si="99"/>
        <v>0.37329115286766901</v>
      </c>
      <c r="AD289" t="str">
        <f t="shared" si="100"/>
        <v>Moderate</v>
      </c>
      <c r="AE289">
        <f t="shared" si="101"/>
        <v>2.1756173860988035E-2</v>
      </c>
      <c r="AF289">
        <f t="shared" si="102"/>
        <v>0.11903564402413279</v>
      </c>
      <c r="AG289" t="s">
        <v>1176</v>
      </c>
    </row>
    <row r="290" spans="1:33" customFormat="1" x14ac:dyDescent="0.3">
      <c r="A290">
        <v>400138</v>
      </c>
      <c r="B290" t="s">
        <v>231</v>
      </c>
      <c r="C290" t="s">
        <v>827</v>
      </c>
      <c r="D290" t="s">
        <v>1118</v>
      </c>
      <c r="E290" s="18">
        <v>6.9</v>
      </c>
      <c r="F290" s="2">
        <f t="shared" si="84"/>
        <v>0.8222222222222223</v>
      </c>
      <c r="G290" s="10">
        <v>36.531360000000006</v>
      </c>
      <c r="H290">
        <f t="shared" si="85"/>
        <v>0.48946792141578932</v>
      </c>
      <c r="I290" s="22">
        <v>62.7</v>
      </c>
      <c r="J290" s="2">
        <f t="shared" si="86"/>
        <v>0.32170343766033871</v>
      </c>
      <c r="K290" s="8">
        <v>0</v>
      </c>
      <c r="L290" s="2">
        <v>0</v>
      </c>
      <c r="M290">
        <v>6938</v>
      </c>
      <c r="N290">
        <f t="shared" si="87"/>
        <v>3.1695788562263134E-2</v>
      </c>
      <c r="O290" s="8">
        <v>0.63860222200000005</v>
      </c>
      <c r="P290">
        <f t="shared" si="88"/>
        <v>0.6078196694382979</v>
      </c>
      <c r="Q290" s="20">
        <v>0.28810000000000002</v>
      </c>
      <c r="R290" s="10">
        <f t="shared" si="89"/>
        <v>0.62386314421827638</v>
      </c>
      <c r="S290">
        <f t="shared" si="90"/>
        <v>0.20537175228037208</v>
      </c>
      <c r="T290" s="11">
        <f t="shared" si="91"/>
        <v>0.37699107497855688</v>
      </c>
      <c r="U290" t="str">
        <f t="shared" si="92"/>
        <v>Moderate</v>
      </c>
      <c r="V290">
        <f t="shared" si="93"/>
        <v>0.20804685376891882</v>
      </c>
      <c r="W290">
        <f t="shared" si="94"/>
        <v>0.2740366657479274</v>
      </c>
      <c r="X290" t="s">
        <v>1175</v>
      </c>
      <c r="Y290">
        <f t="shared" si="95"/>
        <v>0.20269665079182536</v>
      </c>
      <c r="Z290">
        <f t="shared" si="96"/>
        <v>0.37054290620398789</v>
      </c>
      <c r="AA290" t="str">
        <f t="shared" si="97"/>
        <v>Moderate</v>
      </c>
      <c r="AB290">
        <f t="shared" si="98"/>
        <v>0.13732488039790555</v>
      </c>
      <c r="AC290">
        <f t="shared" si="99"/>
        <v>0.33439628448631392</v>
      </c>
      <c r="AD290" t="str">
        <f t="shared" si="100"/>
        <v>Moderate</v>
      </c>
      <c r="AE290">
        <f t="shared" si="101"/>
        <v>1.0569960974961129E-2</v>
      </c>
      <c r="AF290">
        <f t="shared" si="102"/>
        <v>5.7831957034531097E-2</v>
      </c>
      <c r="AG290" t="s">
        <v>1176</v>
      </c>
    </row>
    <row r="291" spans="1:33" customFormat="1" x14ac:dyDescent="0.3">
      <c r="A291">
        <v>400156</v>
      </c>
      <c r="B291" t="s">
        <v>344</v>
      </c>
      <c r="C291" t="s">
        <v>827</v>
      </c>
      <c r="D291" t="s">
        <v>830</v>
      </c>
      <c r="E291" s="18">
        <v>6.9</v>
      </c>
      <c r="F291" s="2">
        <f t="shared" si="84"/>
        <v>0.8222222222222223</v>
      </c>
      <c r="G291" s="10">
        <v>37.880279999999999</v>
      </c>
      <c r="H291">
        <f t="shared" si="85"/>
        <v>0.50754151814353721</v>
      </c>
      <c r="I291" s="22">
        <v>40.5</v>
      </c>
      <c r="J291" s="2">
        <f t="shared" si="86"/>
        <v>0.20779887121600824</v>
      </c>
      <c r="K291" s="8">
        <v>0</v>
      </c>
      <c r="L291" s="2">
        <v>0</v>
      </c>
      <c r="M291">
        <v>11647</v>
      </c>
      <c r="N291">
        <f t="shared" si="87"/>
        <v>5.3976049547439592E-2</v>
      </c>
      <c r="O291" s="8">
        <v>0.70539714099999995</v>
      </c>
      <c r="P291">
        <f t="shared" si="88"/>
        <v>0.68138016592166895</v>
      </c>
      <c r="Q291" s="20">
        <v>0.21429999999999999</v>
      </c>
      <c r="R291" s="10">
        <f t="shared" si="89"/>
        <v>0.46405370290168901</v>
      </c>
      <c r="S291">
        <f t="shared" si="90"/>
        <v>0.168427105884774</v>
      </c>
      <c r="T291" s="11">
        <f t="shared" si="91"/>
        <v>0.30917355964487531</v>
      </c>
      <c r="U291" t="str">
        <f t="shared" si="92"/>
        <v>Moderate</v>
      </c>
      <c r="V291">
        <f t="shared" si="93"/>
        <v>0.13647094656827805</v>
      </c>
      <c r="W291">
        <f t="shared" si="94"/>
        <v>0.17975779249501708</v>
      </c>
      <c r="X291" t="s">
        <v>1176</v>
      </c>
      <c r="Y291">
        <f t="shared" si="95"/>
        <v>0.20038326520127003</v>
      </c>
      <c r="Z291">
        <f t="shared" si="96"/>
        <v>0.36631388408375964</v>
      </c>
      <c r="AA291" t="str">
        <f t="shared" si="97"/>
        <v>Moderate</v>
      </c>
      <c r="AB291">
        <f t="shared" si="98"/>
        <v>0.11343554047568559</v>
      </c>
      <c r="AC291">
        <f t="shared" si="99"/>
        <v>0.27622396723634557</v>
      </c>
      <c r="AD291" t="str">
        <f t="shared" si="100"/>
        <v>Low</v>
      </c>
      <c r="AE291">
        <f t="shared" si="101"/>
        <v>1.5873513189735063E-2</v>
      </c>
      <c r="AF291">
        <f t="shared" si="102"/>
        <v>8.6849547973775448E-2</v>
      </c>
      <c r="AG291" t="s">
        <v>1176</v>
      </c>
    </row>
    <row r="292" spans="1:33" customFormat="1" x14ac:dyDescent="0.3">
      <c r="A292">
        <v>400158</v>
      </c>
      <c r="B292" t="s">
        <v>345</v>
      </c>
      <c r="C292" t="s">
        <v>827</v>
      </c>
      <c r="D292" t="s">
        <v>831</v>
      </c>
      <c r="E292" s="18">
        <v>6.9</v>
      </c>
      <c r="F292" s="2">
        <f t="shared" si="84"/>
        <v>0.8222222222222223</v>
      </c>
      <c r="G292" s="10">
        <v>74.634839999999997</v>
      </c>
      <c r="H292">
        <f t="shared" si="85"/>
        <v>1</v>
      </c>
      <c r="I292" s="22">
        <v>194.89999999999998</v>
      </c>
      <c r="J292" s="2">
        <f t="shared" si="86"/>
        <v>1</v>
      </c>
      <c r="K292" s="8">
        <v>0</v>
      </c>
      <c r="L292" s="2">
        <v>0</v>
      </c>
      <c r="M292">
        <v>34915</v>
      </c>
      <c r="N292">
        <f t="shared" si="87"/>
        <v>0.16406675088595857</v>
      </c>
      <c r="O292" s="8">
        <v>0.29080084</v>
      </c>
      <c r="P292">
        <f t="shared" si="88"/>
        <v>0.22478990129796003</v>
      </c>
      <c r="Q292" s="20">
        <v>0.4264</v>
      </c>
      <c r="R292" s="10">
        <f t="shared" si="89"/>
        <v>0.92334343871805979</v>
      </c>
      <c r="S292">
        <f t="shared" si="90"/>
        <v>0.47201037311769711</v>
      </c>
      <c r="T292" s="11">
        <f t="shared" si="91"/>
        <v>0.86644680189387924</v>
      </c>
      <c r="U292" t="str">
        <f t="shared" si="92"/>
        <v>High</v>
      </c>
      <c r="V292">
        <f t="shared" si="93"/>
        <v>0.75919349405707148</v>
      </c>
      <c r="W292">
        <f t="shared" si="94"/>
        <v>1</v>
      </c>
      <c r="X292" t="str">
        <f t="shared" ref="X258:X321" si="103">IF(W292&gt;0.7,"High",IF(W292&gt;0.3,"Moderate",IF(W292&gt;0.15,"Low","No Impact")))</f>
        <v>High</v>
      </c>
      <c r="Y292">
        <f t="shared" si="95"/>
        <v>0.18482725217832272</v>
      </c>
      <c r="Z292">
        <f t="shared" si="96"/>
        <v>0.33787646169936159</v>
      </c>
      <c r="AA292" t="str">
        <f t="shared" si="97"/>
        <v>Moderate</v>
      </c>
      <c r="AB292">
        <f t="shared" si="98"/>
        <v>0.36838066355065319</v>
      </c>
      <c r="AC292">
        <f t="shared" si="99"/>
        <v>0.89703427966590166</v>
      </c>
      <c r="AD292" t="str">
        <f t="shared" si="100"/>
        <v>High</v>
      </c>
      <c r="AE292">
        <f t="shared" si="101"/>
        <v>0.13489932850623262</v>
      </c>
      <c r="AF292">
        <f t="shared" si="102"/>
        <v>0.73808145447653661</v>
      </c>
      <c r="AG292" t="str">
        <f t="shared" ref="AG258:AG321" si="104">IF(AF292&gt;0.7,"High",IF(AF292&gt;0.3,"Moderate",IF(AF292&gt;0.15,"Low","No Impact")))</f>
        <v>High</v>
      </c>
    </row>
    <row r="293" spans="1:33" customFormat="1" x14ac:dyDescent="0.3">
      <c r="A293">
        <v>400160</v>
      </c>
      <c r="B293" t="s">
        <v>346</v>
      </c>
      <c r="C293" t="s">
        <v>827</v>
      </c>
      <c r="D293" t="s">
        <v>832</v>
      </c>
      <c r="E293" s="18">
        <v>6.9</v>
      </c>
      <c r="F293" s="2">
        <f t="shared" si="84"/>
        <v>0.8222222222222223</v>
      </c>
      <c r="G293" s="10">
        <v>41.6736</v>
      </c>
      <c r="H293">
        <f t="shared" si="85"/>
        <v>0.55836657518124244</v>
      </c>
      <c r="I293" s="22">
        <v>92.800000000000011</v>
      </c>
      <c r="J293" s="2">
        <f t="shared" si="86"/>
        <v>0.47614161108260655</v>
      </c>
      <c r="K293" s="8">
        <v>0</v>
      </c>
      <c r="L293" s="2">
        <v>0</v>
      </c>
      <c r="M293">
        <v>36030</v>
      </c>
      <c r="N293">
        <f t="shared" si="87"/>
        <v>0.16934228518166292</v>
      </c>
      <c r="O293" s="8">
        <v>0.62281557300000001</v>
      </c>
      <c r="P293">
        <f t="shared" si="88"/>
        <v>0.59043400963610959</v>
      </c>
      <c r="Q293" s="20">
        <v>0.2989</v>
      </c>
      <c r="R293" s="10">
        <f t="shared" si="89"/>
        <v>0.64724989172802083</v>
      </c>
      <c r="S293">
        <f t="shared" si="90"/>
        <v>0.26319212630456856</v>
      </c>
      <c r="T293" s="11">
        <f t="shared" si="91"/>
        <v>0.48312916221309493</v>
      </c>
      <c r="U293" t="str">
        <f t="shared" si="92"/>
        <v>Moderate</v>
      </c>
      <c r="V293">
        <f t="shared" si="93"/>
        <v>0.27527396141542243</v>
      </c>
      <c r="W293">
        <f t="shared" si="94"/>
        <v>0.36258735562179228</v>
      </c>
      <c r="X293" t="str">
        <f t="shared" si="103"/>
        <v>Moderate</v>
      </c>
      <c r="Y293">
        <f t="shared" si="95"/>
        <v>0.25111029119371464</v>
      </c>
      <c r="Z293">
        <f t="shared" si="96"/>
        <v>0.45904624823924928</v>
      </c>
      <c r="AA293" t="str">
        <f t="shared" si="97"/>
        <v>Moderate</v>
      </c>
      <c r="AB293">
        <f t="shared" si="98"/>
        <v>0.19688628990794219</v>
      </c>
      <c r="AC293">
        <f t="shared" si="99"/>
        <v>0.47943274096246913</v>
      </c>
      <c r="AD293" t="str">
        <f t="shared" si="100"/>
        <v>Moderate</v>
      </c>
      <c r="AE293">
        <f t="shared" si="101"/>
        <v>7.2020903012657012E-2</v>
      </c>
      <c r="AF293">
        <f t="shared" si="102"/>
        <v>0.39405157488118625</v>
      </c>
      <c r="AG293" t="str">
        <f t="shared" si="104"/>
        <v>Moderate</v>
      </c>
    </row>
    <row r="294" spans="1:33" customFormat="1" x14ac:dyDescent="0.3">
      <c r="A294">
        <v>400173</v>
      </c>
      <c r="B294" t="s">
        <v>431</v>
      </c>
      <c r="C294" t="s">
        <v>827</v>
      </c>
      <c r="D294" t="s">
        <v>833</v>
      </c>
      <c r="E294" s="18">
        <v>6.8</v>
      </c>
      <c r="F294" s="2">
        <f t="shared" si="84"/>
        <v>0.79999999999999993</v>
      </c>
      <c r="G294" s="10">
        <v>41.043240000000004</v>
      </c>
      <c r="H294">
        <f t="shared" si="85"/>
        <v>0.54992065367863063</v>
      </c>
      <c r="I294" s="22">
        <v>56.9</v>
      </c>
      <c r="J294" s="2">
        <f t="shared" si="86"/>
        <v>0.29194458696767578</v>
      </c>
      <c r="K294" s="8">
        <v>0</v>
      </c>
      <c r="L294" s="2">
        <v>0</v>
      </c>
      <c r="M294">
        <v>24278</v>
      </c>
      <c r="N294">
        <f t="shared" si="87"/>
        <v>0.11373862684702843</v>
      </c>
      <c r="O294" s="8">
        <v>0.53739436500000004</v>
      </c>
      <c r="P294">
        <f t="shared" si="88"/>
        <v>0.49636058961011459</v>
      </c>
      <c r="Q294" s="20">
        <v>0.20619999999999999</v>
      </c>
      <c r="R294" s="10">
        <f t="shared" si="89"/>
        <v>0.44651364226938067</v>
      </c>
      <c r="S294">
        <f t="shared" si="90"/>
        <v>0.15875460842408651</v>
      </c>
      <c r="T294" s="11">
        <f t="shared" si="91"/>
        <v>0.29141821999887652</v>
      </c>
      <c r="U294" t="str">
        <f t="shared" si="92"/>
        <v>Low</v>
      </c>
      <c r="V294">
        <f t="shared" si="93"/>
        <v>0.15036172596038835</v>
      </c>
      <c r="W294">
        <f t="shared" si="94"/>
        <v>0.1980545501738521</v>
      </c>
      <c r="X294" t="s">
        <v>1175</v>
      </c>
      <c r="Y294">
        <f t="shared" si="95"/>
        <v>0.16714749088778466</v>
      </c>
      <c r="Z294">
        <f t="shared" si="96"/>
        <v>0.30555668678449682</v>
      </c>
      <c r="AA294" t="str">
        <f t="shared" si="97"/>
        <v>Moderate</v>
      </c>
      <c r="AB294">
        <f t="shared" si="98"/>
        <v>0.11617621485706088</v>
      </c>
      <c r="AC294">
        <f t="shared" si="99"/>
        <v>0.28289771293678384</v>
      </c>
      <c r="AD294" t="str">
        <f t="shared" si="100"/>
        <v>Low</v>
      </c>
      <c r="AE294">
        <f t="shared" si="101"/>
        <v>3.8301038584541612E-2</v>
      </c>
      <c r="AF294">
        <f t="shared" si="102"/>
        <v>0.2095583912794223</v>
      </c>
      <c r="AG294" t="s">
        <v>1175</v>
      </c>
    </row>
    <row r="295" spans="1:33" customFormat="1" x14ac:dyDescent="0.3">
      <c r="A295">
        <v>400177</v>
      </c>
      <c r="B295" t="s">
        <v>459</v>
      </c>
      <c r="C295" t="s">
        <v>827</v>
      </c>
      <c r="D295" t="s">
        <v>834</v>
      </c>
      <c r="E295" s="18">
        <v>6.9</v>
      </c>
      <c r="F295" s="2">
        <f t="shared" si="84"/>
        <v>0.8222222222222223</v>
      </c>
      <c r="G295" s="10">
        <v>59.826960000000007</v>
      </c>
      <c r="H295">
        <f t="shared" si="85"/>
        <v>0.80159560869963686</v>
      </c>
      <c r="I295" s="22">
        <v>156.20000000000002</v>
      </c>
      <c r="J295" s="2">
        <f t="shared" si="86"/>
        <v>0.80143663417137012</v>
      </c>
      <c r="K295" s="8">
        <v>0</v>
      </c>
      <c r="L295" s="2">
        <v>0</v>
      </c>
      <c r="M295">
        <v>16547</v>
      </c>
      <c r="N295">
        <f t="shared" si="87"/>
        <v>7.7160011923180644E-2</v>
      </c>
      <c r="O295" s="8">
        <v>0.33360579899999998</v>
      </c>
      <c r="P295">
        <f t="shared" si="88"/>
        <v>0.27193052341609369</v>
      </c>
      <c r="Q295" s="20">
        <v>0.4219</v>
      </c>
      <c r="R295" s="10">
        <f t="shared" si="89"/>
        <v>0.91359896058899959</v>
      </c>
      <c r="S295">
        <f t="shared" si="90"/>
        <v>0.39064640858984734</v>
      </c>
      <c r="T295" s="11">
        <f t="shared" si="91"/>
        <v>0.71709087484313261</v>
      </c>
      <c r="U295" t="str">
        <f t="shared" si="92"/>
        <v>High</v>
      </c>
      <c r="V295">
        <f t="shared" si="93"/>
        <v>0.60208397624968213</v>
      </c>
      <c r="W295">
        <f t="shared" si="94"/>
        <v>0.79305734435656416</v>
      </c>
      <c r="X295" t="str">
        <f t="shared" si="103"/>
        <v>High</v>
      </c>
      <c r="Y295">
        <f t="shared" si="95"/>
        <v>0.17920884093001269</v>
      </c>
      <c r="Z295">
        <f t="shared" si="96"/>
        <v>0.32760563372038276</v>
      </c>
      <c r="AA295" t="str">
        <f t="shared" si="97"/>
        <v>Moderate</v>
      </c>
      <c r="AB295">
        <f t="shared" si="98"/>
        <v>0.28228965875864304</v>
      </c>
      <c r="AC295">
        <f t="shared" si="99"/>
        <v>0.68739628801627839</v>
      </c>
      <c r="AD295" t="str">
        <f t="shared" si="100"/>
        <v>Moderate</v>
      </c>
      <c r="AE295">
        <f t="shared" si="101"/>
        <v>5.0850327977858746E-2</v>
      </c>
      <c r="AF295">
        <f t="shared" si="102"/>
        <v>0.27821994705313058</v>
      </c>
      <c r="AG295" t="s">
        <v>1175</v>
      </c>
    </row>
    <row r="296" spans="1:33" customFormat="1" x14ac:dyDescent="0.3">
      <c r="A296">
        <v>401807</v>
      </c>
      <c r="B296" t="s">
        <v>8</v>
      </c>
      <c r="C296" t="s">
        <v>836</v>
      </c>
      <c r="D296" t="s">
        <v>835</v>
      </c>
      <c r="E296" s="18">
        <v>6.3</v>
      </c>
      <c r="F296" s="2">
        <f t="shared" si="84"/>
        <v>0.68888888888888877</v>
      </c>
      <c r="G296" s="10">
        <v>31.200839999999999</v>
      </c>
      <c r="H296">
        <f t="shared" si="85"/>
        <v>0.41804658521409038</v>
      </c>
      <c r="I296" s="22">
        <v>0.10000000000000026</v>
      </c>
      <c r="J296" s="2">
        <f t="shared" si="86"/>
        <v>5.1308363263212042E-4</v>
      </c>
      <c r="K296" s="8">
        <v>0</v>
      </c>
      <c r="L296" s="2">
        <v>0</v>
      </c>
      <c r="M296">
        <v>51862</v>
      </c>
      <c r="N296">
        <f t="shared" si="87"/>
        <v>0.24425014075977156</v>
      </c>
      <c r="O296" s="8">
        <v>0.66728496400000004</v>
      </c>
      <c r="P296">
        <f t="shared" si="88"/>
        <v>0.63940765208147532</v>
      </c>
      <c r="Q296" s="20">
        <v>0.27410000000000001</v>
      </c>
      <c r="R296" s="10">
        <f t="shared" si="89"/>
        <v>0.59354699003897793</v>
      </c>
      <c r="S296">
        <f t="shared" si="90"/>
        <v>8.887787604432193E-2</v>
      </c>
      <c r="T296" s="11">
        <f t="shared" si="91"/>
        <v>0.1631488540158019</v>
      </c>
      <c r="U296" t="str">
        <f t="shared" si="92"/>
        <v>Low</v>
      </c>
      <c r="V296">
        <f t="shared" si="93"/>
        <v>8.5571997549624315E-2</v>
      </c>
      <c r="W296">
        <f t="shared" si="94"/>
        <v>0.11271434518272036</v>
      </c>
      <c r="X296" t="s">
        <v>1176</v>
      </c>
      <c r="Y296">
        <f t="shared" si="95"/>
        <v>9.2183754539019586E-2</v>
      </c>
      <c r="Z296">
        <f t="shared" si="96"/>
        <v>0.16851801042714096</v>
      </c>
      <c r="AA296" t="str">
        <f t="shared" si="97"/>
        <v>Low</v>
      </c>
      <c r="AB296">
        <f t="shared" si="98"/>
        <v>6.9930112722397741E-2</v>
      </c>
      <c r="AC296">
        <f t="shared" si="99"/>
        <v>0.17028501900254026</v>
      </c>
      <c r="AD296" t="str">
        <f t="shared" si="100"/>
        <v>Low</v>
      </c>
      <c r="AE296">
        <f t="shared" si="101"/>
        <v>3.5213677766638168E-2</v>
      </c>
      <c r="AF296">
        <f t="shared" si="102"/>
        <v>0.19266635936047347</v>
      </c>
      <c r="AG296" t="s">
        <v>1175</v>
      </c>
    </row>
    <row r="297" spans="1:33" customFormat="1" x14ac:dyDescent="0.3">
      <c r="A297">
        <v>401823</v>
      </c>
      <c r="B297" t="s">
        <v>114</v>
      </c>
      <c r="C297" t="s">
        <v>836</v>
      </c>
      <c r="D297" t="s">
        <v>837</v>
      </c>
      <c r="E297" s="18">
        <v>6.3</v>
      </c>
      <c r="F297" s="2">
        <f t="shared" si="84"/>
        <v>0.68888888888888877</v>
      </c>
      <c r="G297" s="10">
        <v>32.76</v>
      </c>
      <c r="H297">
        <f t="shared" si="85"/>
        <v>0.4389370969375696</v>
      </c>
      <c r="I297" s="22">
        <v>0.10000000000000026</v>
      </c>
      <c r="J297" s="2">
        <f t="shared" si="86"/>
        <v>5.1308363263212042E-4</v>
      </c>
      <c r="K297" s="8">
        <v>0</v>
      </c>
      <c r="L297" s="2">
        <v>0</v>
      </c>
      <c r="M297">
        <v>55839</v>
      </c>
      <c r="N297">
        <f t="shared" si="87"/>
        <v>0.2630670016512659</v>
      </c>
      <c r="O297" s="8">
        <v>0.454944974</v>
      </c>
      <c r="P297">
        <f t="shared" si="88"/>
        <v>0.40555999837485013</v>
      </c>
      <c r="Q297" s="20">
        <v>0.2742</v>
      </c>
      <c r="R297" s="10">
        <f t="shared" si="89"/>
        <v>0.59376353399740145</v>
      </c>
      <c r="S297">
        <f t="shared" si="90"/>
        <v>7.5631889495667612E-2</v>
      </c>
      <c r="T297" s="11">
        <f t="shared" si="91"/>
        <v>0.13883383185388626</v>
      </c>
      <c r="U297" t="str">
        <f t="shared" si="92"/>
        <v>No Impact</v>
      </c>
      <c r="V297">
        <f t="shared" si="93"/>
        <v>8.9875713990732589E-2</v>
      </c>
      <c r="W297">
        <f t="shared" si="94"/>
        <v>0.11838314565953892</v>
      </c>
      <c r="X297" t="s">
        <v>1176</v>
      </c>
      <c r="Y297">
        <f t="shared" si="95"/>
        <v>6.1388065000602628E-2</v>
      </c>
      <c r="Z297">
        <f t="shared" si="96"/>
        <v>0.11222144975115682</v>
      </c>
      <c r="AA297" t="str">
        <f t="shared" si="97"/>
        <v>No Impact</v>
      </c>
      <c r="AB297">
        <f t="shared" si="98"/>
        <v>6.3809725274138945E-2</v>
      </c>
      <c r="AC297">
        <f t="shared" si="99"/>
        <v>0.15538142093360921</v>
      </c>
      <c r="AD297" t="str">
        <f t="shared" si="100"/>
        <v>Low</v>
      </c>
      <c r="AE297">
        <f t="shared" si="101"/>
        <v>3.9819445363433563E-2</v>
      </c>
      <c r="AF297">
        <f t="shared" si="102"/>
        <v>0.21786612636054856</v>
      </c>
      <c r="AG297" t="s">
        <v>1175</v>
      </c>
    </row>
    <row r="298" spans="1:33" customFormat="1" x14ac:dyDescent="0.3">
      <c r="A298">
        <v>401831</v>
      </c>
      <c r="B298" t="s">
        <v>127</v>
      </c>
      <c r="C298" t="s">
        <v>836</v>
      </c>
      <c r="D298" t="s">
        <v>838</v>
      </c>
      <c r="E298" s="18">
        <v>5.7</v>
      </c>
      <c r="F298" s="2">
        <f t="shared" si="84"/>
        <v>0.55555555555555558</v>
      </c>
      <c r="G298" s="10">
        <v>32.76</v>
      </c>
      <c r="H298">
        <f t="shared" si="85"/>
        <v>0.4389370969375696</v>
      </c>
      <c r="I298" s="22">
        <v>0.10000000000000005</v>
      </c>
      <c r="J298" s="2">
        <f t="shared" si="86"/>
        <v>5.1308363263211933E-4</v>
      </c>
      <c r="K298" s="8">
        <v>0</v>
      </c>
      <c r="L298" s="2">
        <v>0</v>
      </c>
      <c r="M298">
        <v>46381</v>
      </c>
      <c r="N298">
        <f t="shared" si="87"/>
        <v>0.21831722284519264</v>
      </c>
      <c r="O298" s="8">
        <v>0.49257115800000001</v>
      </c>
      <c r="P298">
        <f t="shared" si="88"/>
        <v>0.44699729356514262</v>
      </c>
      <c r="Q298" s="20">
        <v>0.27400000000000002</v>
      </c>
      <c r="R298" s="10">
        <f t="shared" si="89"/>
        <v>0.59333044608055441</v>
      </c>
      <c r="S298">
        <f t="shared" si="90"/>
        <v>6.3496140699929371E-2</v>
      </c>
      <c r="T298" s="11">
        <f t="shared" si="91"/>
        <v>0.116556819882302</v>
      </c>
      <c r="U298" t="str">
        <f t="shared" si="92"/>
        <v>No Impact</v>
      </c>
      <c r="V298">
        <f t="shared" si="93"/>
        <v>7.2427547685527227E-2</v>
      </c>
      <c r="W298">
        <f t="shared" si="94"/>
        <v>9.5400643251669609E-2</v>
      </c>
      <c r="X298" t="s">
        <v>1176</v>
      </c>
      <c r="Y298">
        <f t="shared" si="95"/>
        <v>5.4564733714331508E-2</v>
      </c>
      <c r="Z298">
        <f t="shared" si="96"/>
        <v>9.9747948117406768E-2</v>
      </c>
      <c r="AA298" t="str">
        <f t="shared" si="97"/>
        <v>No Impact</v>
      </c>
      <c r="AB298">
        <f t="shared" si="98"/>
        <v>5.1046517373766399E-2</v>
      </c>
      <c r="AC298">
        <f t="shared" si="99"/>
        <v>0.12430206162417963</v>
      </c>
      <c r="AD298" t="str">
        <f t="shared" si="100"/>
        <v>No Impact</v>
      </c>
      <c r="AE298">
        <f t="shared" si="101"/>
        <v>2.6649873055806912E-2</v>
      </c>
      <c r="AF298">
        <f t="shared" si="102"/>
        <v>0.14581078560177002</v>
      </c>
      <c r="AG298" t="s">
        <v>1175</v>
      </c>
    </row>
    <row r="299" spans="1:33" customFormat="1" x14ac:dyDescent="0.3">
      <c r="A299">
        <v>401855</v>
      </c>
      <c r="B299" t="s">
        <v>225</v>
      </c>
      <c r="C299" t="s">
        <v>836</v>
      </c>
      <c r="D299" t="s">
        <v>839</v>
      </c>
      <c r="E299" s="18">
        <v>6.3</v>
      </c>
      <c r="F299" s="2">
        <f t="shared" si="84"/>
        <v>0.68888888888888877</v>
      </c>
      <c r="G299" s="10">
        <v>33.739200000000004</v>
      </c>
      <c r="H299">
        <f t="shared" si="85"/>
        <v>0.45205697499987946</v>
      </c>
      <c r="I299" s="22">
        <v>0.10000000000000026</v>
      </c>
      <c r="J299" s="2">
        <f t="shared" si="86"/>
        <v>5.1308363263212042E-4</v>
      </c>
      <c r="K299" s="8">
        <v>0</v>
      </c>
      <c r="L299" s="2">
        <v>0</v>
      </c>
      <c r="M299">
        <v>28593</v>
      </c>
      <c r="N299">
        <f t="shared" si="87"/>
        <v>0.13415470800035958</v>
      </c>
      <c r="O299" s="8">
        <v>0.45530077899999999</v>
      </c>
      <c r="P299">
        <f t="shared" si="88"/>
        <v>0.40595184243788829</v>
      </c>
      <c r="Q299" s="20">
        <v>0.28839999999999999</v>
      </c>
      <c r="R299" s="10">
        <f t="shared" si="89"/>
        <v>0.62451277609354694</v>
      </c>
      <c r="S299">
        <f t="shared" si="90"/>
        <v>8.0317113431402812E-2</v>
      </c>
      <c r="T299" s="11">
        <f t="shared" si="91"/>
        <v>0.14743427270534648</v>
      </c>
      <c r="U299" t="str">
        <f t="shared" si="92"/>
        <v>No Impact</v>
      </c>
      <c r="V299">
        <f t="shared" si="93"/>
        <v>9.7352325494396458E-2</v>
      </c>
      <c r="W299">
        <f t="shared" si="94"/>
        <v>0.1282312430973995</v>
      </c>
      <c r="X299" t="s">
        <v>1176</v>
      </c>
      <c r="Y299">
        <f t="shared" si="95"/>
        <v>6.328190136840918E-2</v>
      </c>
      <c r="Z299">
        <f t="shared" si="96"/>
        <v>0.11568350809726416</v>
      </c>
      <c r="AA299" t="str">
        <f t="shared" si="97"/>
        <v>No Impact</v>
      </c>
      <c r="AB299">
        <f t="shared" si="98"/>
        <v>6.0377343045908395E-2</v>
      </c>
      <c r="AC299">
        <f t="shared" si="99"/>
        <v>0.14702331524488466</v>
      </c>
      <c r="AD299" t="str">
        <f t="shared" si="100"/>
        <v>No Impact</v>
      </c>
      <c r="AE299">
        <f t="shared" si="101"/>
        <v>2.0912739178133955E-2</v>
      </c>
      <c r="AF299">
        <f t="shared" si="102"/>
        <v>0.11442091758798056</v>
      </c>
      <c r="AG299" t="s">
        <v>1176</v>
      </c>
    </row>
    <row r="300" spans="1:33" customFormat="1" x14ac:dyDescent="0.3">
      <c r="A300">
        <v>404104</v>
      </c>
      <c r="B300" t="s">
        <v>0</v>
      </c>
      <c r="C300" t="s">
        <v>1147</v>
      </c>
      <c r="D300" t="s">
        <v>840</v>
      </c>
      <c r="E300" s="18">
        <v>5.8</v>
      </c>
      <c r="F300" s="2">
        <f t="shared" si="84"/>
        <v>0.57777777777777772</v>
      </c>
      <c r="G300" s="10">
        <v>35.991</v>
      </c>
      <c r="H300">
        <f t="shared" si="85"/>
        <v>0.4822278710586102</v>
      </c>
      <c r="I300" s="22">
        <v>40.9</v>
      </c>
      <c r="J300" s="2">
        <f t="shared" si="86"/>
        <v>0.20985120574653671</v>
      </c>
      <c r="K300" s="8">
        <v>0</v>
      </c>
      <c r="L300" s="2">
        <v>0</v>
      </c>
      <c r="M300">
        <v>51104</v>
      </c>
      <c r="N300">
        <f t="shared" si="87"/>
        <v>0.2406637237228712</v>
      </c>
      <c r="O300" s="8">
        <v>0.81907550100000004</v>
      </c>
      <c r="P300">
        <f t="shared" si="88"/>
        <v>0.80657287108859055</v>
      </c>
      <c r="Q300" s="20">
        <v>0.2397</v>
      </c>
      <c r="R300" s="10">
        <f t="shared" si="89"/>
        <v>0.51905586834127326</v>
      </c>
      <c r="S300">
        <f t="shared" si="90"/>
        <v>0.13251909871358755</v>
      </c>
      <c r="T300" s="11">
        <f t="shared" si="91"/>
        <v>0.24325895321291241</v>
      </c>
      <c r="U300" t="str">
        <f t="shared" si="92"/>
        <v>Low</v>
      </c>
      <c r="V300">
        <f t="shared" si="93"/>
        <v>0.10377689289411088</v>
      </c>
      <c r="W300">
        <f t="shared" si="94"/>
        <v>0.13669360144215037</v>
      </c>
      <c r="X300" t="s">
        <v>1176</v>
      </c>
      <c r="Y300">
        <f t="shared" si="95"/>
        <v>0.16126130453306423</v>
      </c>
      <c r="Z300">
        <f t="shared" si="96"/>
        <v>0.29479634817102657</v>
      </c>
      <c r="AA300" t="str">
        <f t="shared" si="97"/>
        <v>Low</v>
      </c>
      <c r="AB300">
        <f t="shared" si="98"/>
        <v>0.10154120145491345</v>
      </c>
      <c r="AC300">
        <f t="shared" si="99"/>
        <v>0.24726036818974884</v>
      </c>
      <c r="AD300" t="str">
        <f t="shared" si="100"/>
        <v>Low</v>
      </c>
      <c r="AE300">
        <f t="shared" si="101"/>
        <v>4.8116850234443932E-2</v>
      </c>
      <c r="AF300">
        <f t="shared" si="102"/>
        <v>0.26326413332907905</v>
      </c>
      <c r="AG300" t="s">
        <v>1175</v>
      </c>
    </row>
    <row r="301" spans="1:33" customFormat="1" x14ac:dyDescent="0.3">
      <c r="A301">
        <v>404109</v>
      </c>
      <c r="B301" t="s">
        <v>28</v>
      </c>
      <c r="C301" t="s">
        <v>1147</v>
      </c>
      <c r="D301" t="s">
        <v>841</v>
      </c>
      <c r="E301" s="18">
        <v>5.7</v>
      </c>
      <c r="F301" s="2">
        <f t="shared" si="84"/>
        <v>0.55555555555555558</v>
      </c>
      <c r="G301" s="10">
        <v>35.453520000000005</v>
      </c>
      <c r="H301">
        <f t="shared" si="85"/>
        <v>0.47502640857808504</v>
      </c>
      <c r="I301" s="22">
        <v>6.3</v>
      </c>
      <c r="J301" s="2">
        <f t="shared" si="86"/>
        <v>3.2324268855823499E-2</v>
      </c>
      <c r="K301" s="8">
        <v>0</v>
      </c>
      <c r="L301" s="2">
        <v>0</v>
      </c>
      <c r="M301">
        <v>40351</v>
      </c>
      <c r="N301">
        <f t="shared" si="87"/>
        <v>0.18978675486035212</v>
      </c>
      <c r="O301" s="8">
        <v>0.923816415</v>
      </c>
      <c r="P301">
        <f t="shared" si="88"/>
        <v>0.92192286703606796</v>
      </c>
      <c r="Q301" s="20">
        <v>0.29399999999999998</v>
      </c>
      <c r="R301" s="10">
        <f t="shared" si="89"/>
        <v>0.63663923776526632</v>
      </c>
      <c r="S301">
        <f t="shared" si="90"/>
        <v>0.10982465829080212</v>
      </c>
      <c r="T301" s="11">
        <f t="shared" si="91"/>
        <v>0.20159985747056006</v>
      </c>
      <c r="U301" t="str">
        <f t="shared" si="92"/>
        <v>Low</v>
      </c>
      <c r="V301">
        <f t="shared" si="93"/>
        <v>8.9722041267004171E-2</v>
      </c>
      <c r="W301">
        <f t="shared" si="94"/>
        <v>0.11818072990527949</v>
      </c>
      <c r="X301" t="s">
        <v>1176</v>
      </c>
      <c r="Y301">
        <f t="shared" si="95"/>
        <v>0.12992727531460008</v>
      </c>
      <c r="Z301">
        <f t="shared" si="96"/>
        <v>0.2375156668951689</v>
      </c>
      <c r="AA301" t="str">
        <f t="shared" si="97"/>
        <v>Low</v>
      </c>
      <c r="AB301">
        <f t="shared" si="98"/>
        <v>7.9742273017340923E-2</v>
      </c>
      <c r="AC301">
        <f t="shared" si="99"/>
        <v>0.19417835818409163</v>
      </c>
      <c r="AD301" t="str">
        <f t="shared" si="100"/>
        <v>Low</v>
      </c>
      <c r="AE301">
        <f t="shared" si="101"/>
        <v>2.6746788512884104E-2</v>
      </c>
      <c r="AF301">
        <f t="shared" si="102"/>
        <v>0.14634104399751502</v>
      </c>
      <c r="AG301" t="s">
        <v>1175</v>
      </c>
    </row>
    <row r="302" spans="1:33" customFormat="1" x14ac:dyDescent="0.3">
      <c r="A302">
        <v>404111</v>
      </c>
      <c r="B302" t="s">
        <v>106</v>
      </c>
      <c r="C302" t="s">
        <v>1147</v>
      </c>
      <c r="D302" t="s">
        <v>842</v>
      </c>
      <c r="E302" s="18">
        <v>5.8</v>
      </c>
      <c r="F302" s="2">
        <f t="shared" si="84"/>
        <v>0.57777777777777772</v>
      </c>
      <c r="G302" s="10">
        <v>36.251640000000002</v>
      </c>
      <c r="H302">
        <f t="shared" si="85"/>
        <v>0.48572007389578381</v>
      </c>
      <c r="I302" s="22">
        <v>0.8</v>
      </c>
      <c r="J302" s="2">
        <f t="shared" si="86"/>
        <v>4.1046690610569529E-3</v>
      </c>
      <c r="K302" s="8">
        <v>0</v>
      </c>
      <c r="L302" s="2">
        <v>0</v>
      </c>
      <c r="M302">
        <v>18322</v>
      </c>
      <c r="N302">
        <f t="shared" si="87"/>
        <v>8.5558284008270521E-2</v>
      </c>
      <c r="O302" s="8">
        <v>0.84663085400000004</v>
      </c>
      <c r="P302">
        <f t="shared" si="88"/>
        <v>0.83691927284790035</v>
      </c>
      <c r="Q302" s="20">
        <v>0.30320000000000003</v>
      </c>
      <c r="R302" s="10">
        <f t="shared" si="89"/>
        <v>0.65656128194023389</v>
      </c>
      <c r="S302">
        <f t="shared" si="90"/>
        <v>0.10566742750201989</v>
      </c>
      <c r="T302" s="11">
        <f t="shared" si="91"/>
        <v>0.19396862831370218</v>
      </c>
      <c r="U302" t="str">
        <f t="shared" si="92"/>
        <v>Low</v>
      </c>
      <c r="V302">
        <f t="shared" si="93"/>
        <v>9.2906655446739012E-2</v>
      </c>
      <c r="W302">
        <f t="shared" si="94"/>
        <v>0.12237546313819551</v>
      </c>
      <c r="X302" t="s">
        <v>1176</v>
      </c>
      <c r="Y302">
        <f t="shared" si="95"/>
        <v>0.11842819955730077</v>
      </c>
      <c r="Z302">
        <f t="shared" si="96"/>
        <v>0.21649459460253609</v>
      </c>
      <c r="AA302" t="str">
        <f t="shared" si="97"/>
        <v>Low</v>
      </c>
      <c r="AB302">
        <f t="shared" si="98"/>
        <v>7.2283210792402589E-2</v>
      </c>
      <c r="AC302">
        <f t="shared" si="99"/>
        <v>0.17601498759498724</v>
      </c>
      <c r="AD302" t="str">
        <f t="shared" si="100"/>
        <v>Low</v>
      </c>
      <c r="AE302">
        <f t="shared" si="101"/>
        <v>1.2106918625296295E-2</v>
      </c>
      <c r="AF302">
        <f t="shared" si="102"/>
        <v>6.6241190427978325E-2</v>
      </c>
      <c r="AG302" t="s">
        <v>1176</v>
      </c>
    </row>
    <row r="303" spans="1:33" customFormat="1" x14ac:dyDescent="0.3">
      <c r="A303">
        <v>404123</v>
      </c>
      <c r="B303" t="s">
        <v>224</v>
      </c>
      <c r="C303" t="s">
        <v>1147</v>
      </c>
      <c r="D303" t="s">
        <v>843</v>
      </c>
      <c r="E303" s="18">
        <v>5.8</v>
      </c>
      <c r="F303" s="2">
        <f t="shared" si="84"/>
        <v>0.57777777777777772</v>
      </c>
      <c r="G303" s="10">
        <v>38.138039999999997</v>
      </c>
      <c r="H303">
        <f t="shared" si="85"/>
        <v>0.51099513310405698</v>
      </c>
      <c r="I303" s="22">
        <v>21.6</v>
      </c>
      <c r="J303" s="2">
        <f t="shared" si="86"/>
        <v>0.11082606464853773</v>
      </c>
      <c r="K303" s="8">
        <v>0</v>
      </c>
      <c r="L303" s="2">
        <v>0</v>
      </c>
      <c r="M303">
        <v>65394</v>
      </c>
      <c r="N303">
        <f t="shared" si="87"/>
        <v>0.30827572828396094</v>
      </c>
      <c r="O303" s="8">
        <v>0.84320218000000002</v>
      </c>
      <c r="P303">
        <f t="shared" si="88"/>
        <v>0.83314331255787244</v>
      </c>
      <c r="Q303" s="20">
        <v>0.2954</v>
      </c>
      <c r="R303" s="10">
        <f t="shared" si="89"/>
        <v>0.63967085318319616</v>
      </c>
      <c r="S303">
        <f t="shared" si="90"/>
        <v>0.13228613213228108</v>
      </c>
      <c r="T303" s="11">
        <f t="shared" si="91"/>
        <v>0.24283130763388017</v>
      </c>
      <c r="U303" t="str">
        <f t="shared" si="92"/>
        <v>Low</v>
      </c>
      <c r="V303">
        <f t="shared" si="93"/>
        <v>0.11490870331598642</v>
      </c>
      <c r="W303">
        <f t="shared" si="94"/>
        <v>0.15135628033628579</v>
      </c>
      <c r="X303" t="s">
        <v>1176</v>
      </c>
      <c r="Y303">
        <f t="shared" si="95"/>
        <v>0.14966356094857572</v>
      </c>
      <c r="Z303">
        <f t="shared" si="96"/>
        <v>0.27359490455359536</v>
      </c>
      <c r="AA303" t="str">
        <f t="shared" si="97"/>
        <v>Low</v>
      </c>
      <c r="AB303">
        <f t="shared" si="98"/>
        <v>0.10449934424134832</v>
      </c>
      <c r="AC303">
        <f t="shared" si="99"/>
        <v>0.25446366561041711</v>
      </c>
      <c r="AD303" t="str">
        <f t="shared" si="100"/>
        <v>Low</v>
      </c>
      <c r="AE303">
        <f t="shared" si="101"/>
        <v>5.5377799417658177E-2</v>
      </c>
      <c r="AF303">
        <f t="shared" si="102"/>
        <v>0.30299132836681703</v>
      </c>
      <c r="AG303" t="str">
        <f t="shared" si="104"/>
        <v>Moderate</v>
      </c>
    </row>
    <row r="304" spans="1:33" customFormat="1" x14ac:dyDescent="0.3">
      <c r="A304">
        <v>404138</v>
      </c>
      <c r="B304" t="s">
        <v>268</v>
      </c>
      <c r="C304" t="s">
        <v>1147</v>
      </c>
      <c r="D304" t="s">
        <v>844</v>
      </c>
      <c r="E304" s="18">
        <v>5.8</v>
      </c>
      <c r="F304" s="2">
        <f t="shared" si="84"/>
        <v>0.57777777777777772</v>
      </c>
      <c r="G304" s="10">
        <v>39.108960000000003</v>
      </c>
      <c r="H304">
        <f t="shared" si="85"/>
        <v>0.52400407102098701</v>
      </c>
      <c r="I304" s="22">
        <v>40.099999999999994</v>
      </c>
      <c r="J304" s="2">
        <f t="shared" si="86"/>
        <v>0.20574653668547974</v>
      </c>
      <c r="K304" s="8">
        <v>0</v>
      </c>
      <c r="L304" s="2">
        <v>0</v>
      </c>
      <c r="M304">
        <v>45853</v>
      </c>
      <c r="N304">
        <f t="shared" si="87"/>
        <v>0.21581903261368421</v>
      </c>
      <c r="O304" s="8">
        <v>0.77521230200000002</v>
      </c>
      <c r="P304">
        <f t="shared" si="88"/>
        <v>0.75826682110612242</v>
      </c>
      <c r="Q304" s="20">
        <v>0.26069999999999999</v>
      </c>
      <c r="R304" s="10">
        <f t="shared" si="89"/>
        <v>0.56453009961022083</v>
      </c>
      <c r="S304">
        <f t="shared" si="90"/>
        <v>0.13943393486605471</v>
      </c>
      <c r="T304" s="11">
        <f t="shared" si="91"/>
        <v>0.25595218626699062</v>
      </c>
      <c r="U304" t="str">
        <f t="shared" si="92"/>
        <v>Low</v>
      </c>
      <c r="V304">
        <f t="shared" si="93"/>
        <v>0.11901245294153245</v>
      </c>
      <c r="W304">
        <f t="shared" si="94"/>
        <v>0.15676168707076121</v>
      </c>
      <c r="X304" t="s">
        <v>1176</v>
      </c>
      <c r="Y304">
        <f t="shared" si="95"/>
        <v>0.15985541679057699</v>
      </c>
      <c r="Z304">
        <f t="shared" si="96"/>
        <v>0.29222629223836688</v>
      </c>
      <c r="AA304" t="str">
        <f t="shared" si="97"/>
        <v>Low</v>
      </c>
      <c r="AB304">
        <f t="shared" si="98"/>
        <v>0.10553538399849352</v>
      </c>
      <c r="AC304">
        <f t="shared" si="99"/>
        <v>0.25698649937779861</v>
      </c>
      <c r="AD304" t="str">
        <f t="shared" si="100"/>
        <v>Low</v>
      </c>
      <c r="AE304">
        <f t="shared" si="101"/>
        <v>4.5498286947954478E-2</v>
      </c>
      <c r="AF304">
        <f t="shared" si="102"/>
        <v>0.24893705683038692</v>
      </c>
      <c r="AG304" t="s">
        <v>1175</v>
      </c>
    </row>
    <row r="305" spans="1:33" customFormat="1" x14ac:dyDescent="0.3">
      <c r="A305">
        <v>404147</v>
      </c>
      <c r="B305" t="s">
        <v>284</v>
      </c>
      <c r="C305" t="s">
        <v>1147</v>
      </c>
      <c r="D305" s="8" t="s">
        <v>1171</v>
      </c>
      <c r="E305" s="18">
        <v>5.8</v>
      </c>
      <c r="F305" s="2">
        <f t="shared" si="84"/>
        <v>0.57777777777777772</v>
      </c>
      <c r="G305" s="10">
        <v>36.318240000000003</v>
      </c>
      <c r="H305">
        <f t="shared" si="85"/>
        <v>0.4866124185434042</v>
      </c>
      <c r="I305" s="22">
        <v>23.599999999999998</v>
      </c>
      <c r="J305" s="2">
        <f t="shared" si="86"/>
        <v>0.1210877373011801</v>
      </c>
      <c r="K305" s="8">
        <v>0</v>
      </c>
      <c r="L305" s="2">
        <v>0</v>
      </c>
      <c r="M305">
        <v>77221</v>
      </c>
      <c r="N305">
        <f t="shared" si="87"/>
        <v>0.36423424318557107</v>
      </c>
      <c r="O305" s="8">
        <v>0.87838899000000004</v>
      </c>
      <c r="P305">
        <f t="shared" si="88"/>
        <v>0.8718941524722984</v>
      </c>
      <c r="Q305" s="20">
        <v>0</v>
      </c>
      <c r="R305" s="10">
        <f t="shared" si="89"/>
        <v>0</v>
      </c>
      <c r="S305">
        <f t="shared" si="90"/>
        <v>7.65339195598463E-2</v>
      </c>
      <c r="T305" s="11">
        <f t="shared" si="91"/>
        <v>0.140489645176711</v>
      </c>
      <c r="U305" t="str">
        <f t="shared" si="92"/>
        <v>No Impact</v>
      </c>
      <c r="V305">
        <f t="shared" si="93"/>
        <v>0</v>
      </c>
      <c r="W305">
        <f t="shared" si="94"/>
        <v>0</v>
      </c>
      <c r="X305" t="s">
        <v>1176</v>
      </c>
      <c r="Y305">
        <f t="shared" si="95"/>
        <v>0.1530678391196926</v>
      </c>
      <c r="Z305">
        <f t="shared" si="96"/>
        <v>0.27981815058220377</v>
      </c>
      <c r="AA305" t="str">
        <f t="shared" si="97"/>
        <v>Low</v>
      </c>
      <c r="AB305">
        <f t="shared" si="98"/>
        <v>6.8300811488852572E-2</v>
      </c>
      <c r="AC305">
        <f t="shared" si="99"/>
        <v>0.16631754947168909</v>
      </c>
      <c r="AD305" t="str">
        <f t="shared" si="100"/>
        <v>Low</v>
      </c>
      <c r="AE305">
        <f t="shared" si="101"/>
        <v>6.3944170722699423E-2</v>
      </c>
      <c r="AF305">
        <f t="shared" si="102"/>
        <v>0.34986094486100727</v>
      </c>
      <c r="AG305" t="str">
        <f t="shared" si="104"/>
        <v>Moderate</v>
      </c>
    </row>
    <row r="306" spans="1:33" customFormat="1" x14ac:dyDescent="0.3">
      <c r="A306">
        <v>404161</v>
      </c>
      <c r="B306" t="s">
        <v>319</v>
      </c>
      <c r="C306" t="s">
        <v>1147</v>
      </c>
      <c r="D306" t="s">
        <v>845</v>
      </c>
      <c r="E306" s="18">
        <v>5.8</v>
      </c>
      <c r="F306" s="2">
        <f t="shared" si="84"/>
        <v>0.57777777777777772</v>
      </c>
      <c r="G306" s="10">
        <v>38.138039999999997</v>
      </c>
      <c r="H306">
        <f t="shared" si="85"/>
        <v>0.51099513310405698</v>
      </c>
      <c r="I306" s="22">
        <v>40.999999999999993</v>
      </c>
      <c r="J306" s="2">
        <f t="shared" si="86"/>
        <v>0.21036428937916879</v>
      </c>
      <c r="K306" s="8">
        <v>0</v>
      </c>
      <c r="L306" s="2">
        <v>0</v>
      </c>
      <c r="M306">
        <v>71555</v>
      </c>
      <c r="N306">
        <f t="shared" si="87"/>
        <v>0.33742601240578557</v>
      </c>
      <c r="O306" s="8">
        <v>0.85398755299999995</v>
      </c>
      <c r="P306">
        <f t="shared" si="88"/>
        <v>0.84502112309370592</v>
      </c>
      <c r="Q306" s="20">
        <v>0.28170000000000001</v>
      </c>
      <c r="R306" s="10">
        <f t="shared" si="89"/>
        <v>0.6100043308791685</v>
      </c>
      <c r="S306">
        <f t="shared" si="90"/>
        <v>0.15160835750323842</v>
      </c>
      <c r="T306" s="11">
        <f t="shared" si="91"/>
        <v>0.27830018995432054</v>
      </c>
      <c r="U306" t="str">
        <f t="shared" si="92"/>
        <v>Low</v>
      </c>
      <c r="V306">
        <f t="shared" si="93"/>
        <v>0.1271204629746317</v>
      </c>
      <c r="W306">
        <f t="shared" si="94"/>
        <v>0.16744145460903484</v>
      </c>
      <c r="X306" t="s">
        <v>1176</v>
      </c>
      <c r="Y306">
        <f t="shared" si="95"/>
        <v>0.17609625203184517</v>
      </c>
      <c r="Z306">
        <f t="shared" si="96"/>
        <v>0.32191561500700117</v>
      </c>
      <c r="AA306" t="str">
        <f t="shared" si="97"/>
        <v>Moderate</v>
      </c>
      <c r="AB306">
        <f t="shared" si="98"/>
        <v>0.12193203147625999</v>
      </c>
      <c r="AC306">
        <f t="shared" si="99"/>
        <v>0.29691355395603525</v>
      </c>
      <c r="AD306" t="str">
        <f t="shared" si="100"/>
        <v>Low</v>
      </c>
      <c r="AE306">
        <f t="shared" si="101"/>
        <v>7.031712521595819E-2</v>
      </c>
      <c r="AF306">
        <f t="shared" si="102"/>
        <v>0.3847296100632947</v>
      </c>
      <c r="AG306" t="str">
        <f t="shared" si="104"/>
        <v>Moderate</v>
      </c>
    </row>
    <row r="307" spans="1:33" customFormat="1" x14ac:dyDescent="0.3">
      <c r="A307">
        <v>404190</v>
      </c>
      <c r="B307" t="s">
        <v>477</v>
      </c>
      <c r="C307" t="s">
        <v>1147</v>
      </c>
      <c r="D307" t="s">
        <v>846</v>
      </c>
      <c r="E307" s="18">
        <v>5.8</v>
      </c>
      <c r="F307" s="2">
        <f t="shared" si="84"/>
        <v>0.57777777777777772</v>
      </c>
      <c r="G307" s="10">
        <v>37.255680000000005</v>
      </c>
      <c r="H307">
        <f t="shared" si="85"/>
        <v>0.49917277239423313</v>
      </c>
      <c r="I307" s="22">
        <v>20</v>
      </c>
      <c r="J307" s="2">
        <f t="shared" si="86"/>
        <v>0.10261672652642381</v>
      </c>
      <c r="K307" s="8">
        <v>0</v>
      </c>
      <c r="L307" s="2">
        <v>0</v>
      </c>
      <c r="M307">
        <v>72161</v>
      </c>
      <c r="N307">
        <f t="shared" si="87"/>
        <v>0.34029325346694866</v>
      </c>
      <c r="O307" s="8">
        <v>0.86490294700000003</v>
      </c>
      <c r="P307">
        <f t="shared" si="88"/>
        <v>0.85704212430117221</v>
      </c>
      <c r="Q307" s="20">
        <v>0.29020000000000001</v>
      </c>
      <c r="R307" s="10">
        <f t="shared" si="89"/>
        <v>0.62841056734517109</v>
      </c>
      <c r="S307">
        <f t="shared" si="90"/>
        <v>0.12912319780767245</v>
      </c>
      <c r="T307" s="11">
        <f t="shared" si="91"/>
        <v>0.23702526080474795</v>
      </c>
      <c r="U307" t="str">
        <f t="shared" si="92"/>
        <v>Low</v>
      </c>
      <c r="V307">
        <f t="shared" si="93"/>
        <v>0.10924936546018334</v>
      </c>
      <c r="W307">
        <f t="shared" si="94"/>
        <v>0.14390187259951762</v>
      </c>
      <c r="X307" t="s">
        <v>1176</v>
      </c>
      <c r="Y307">
        <f t="shared" si="95"/>
        <v>0.14899703015516158</v>
      </c>
      <c r="Z307">
        <f t="shared" si="96"/>
        <v>0.27237644210588685</v>
      </c>
      <c r="AA307" t="str">
        <f t="shared" si="97"/>
        <v>Low</v>
      </c>
      <c r="AB307">
        <f t="shared" si="98"/>
        <v>0.10364241639159698</v>
      </c>
      <c r="AC307">
        <f t="shared" si="99"/>
        <v>0.25237698264226599</v>
      </c>
      <c r="AD307" t="str">
        <f t="shared" si="100"/>
        <v>Low</v>
      </c>
      <c r="AE307">
        <f t="shared" si="101"/>
        <v>5.9160084097098151E-2</v>
      </c>
      <c r="AF307">
        <f t="shared" si="102"/>
        <v>0.32368553202489081</v>
      </c>
      <c r="AG307" t="str">
        <f t="shared" si="104"/>
        <v>Moderate</v>
      </c>
    </row>
    <row r="308" spans="1:33" customFormat="1" x14ac:dyDescent="0.3">
      <c r="A308">
        <v>404414</v>
      </c>
      <c r="B308" t="s">
        <v>201</v>
      </c>
      <c r="C308" t="s">
        <v>848</v>
      </c>
      <c r="D308" t="s">
        <v>847</v>
      </c>
      <c r="E308" s="18">
        <v>4.7</v>
      </c>
      <c r="F308" s="2">
        <f t="shared" si="84"/>
        <v>0.33333333333333331</v>
      </c>
      <c r="G308" s="10">
        <v>31.79196</v>
      </c>
      <c r="H308">
        <f t="shared" si="85"/>
        <v>0.42596674689729358</v>
      </c>
      <c r="I308" s="22">
        <v>0.10000000000000026</v>
      </c>
      <c r="J308" s="2">
        <f t="shared" si="86"/>
        <v>5.1308363263212042E-4</v>
      </c>
      <c r="K308" s="8">
        <v>0</v>
      </c>
      <c r="L308" s="2">
        <v>0</v>
      </c>
      <c r="M308">
        <v>28168</v>
      </c>
      <c r="N308">
        <f t="shared" si="87"/>
        <v>0.13214385412083102</v>
      </c>
      <c r="O308" s="8">
        <v>0.93225243000000002</v>
      </c>
      <c r="P308">
        <f t="shared" si="88"/>
        <v>0.93121335590904897</v>
      </c>
      <c r="Q308" s="20">
        <v>0.29570000000000002</v>
      </c>
      <c r="R308" s="10">
        <f t="shared" si="89"/>
        <v>0.64032048505846695</v>
      </c>
      <c r="S308">
        <f t="shared" si="90"/>
        <v>5.5852290513989114E-2</v>
      </c>
      <c r="T308" s="11">
        <f t="shared" si="91"/>
        <v>0.10252537073422913</v>
      </c>
      <c r="U308" t="str">
        <f t="shared" si="92"/>
        <v>No Impact</v>
      </c>
      <c r="V308">
        <f t="shared" si="93"/>
        <v>4.55139619920958E-2</v>
      </c>
      <c r="W308">
        <f t="shared" si="94"/>
        <v>5.9950410993214256E-2</v>
      </c>
      <c r="X308" t="s">
        <v>1176</v>
      </c>
      <c r="Y308">
        <f t="shared" si="95"/>
        <v>6.6190619035882428E-2</v>
      </c>
      <c r="Z308">
        <f t="shared" si="96"/>
        <v>0.12100083669456474</v>
      </c>
      <c r="AA308" t="str">
        <f t="shared" si="97"/>
        <v>No Impact</v>
      </c>
      <c r="AB308">
        <f t="shared" si="98"/>
        <v>3.9074545904474615E-2</v>
      </c>
      <c r="AC308">
        <f t="shared" si="99"/>
        <v>9.5149421798771949E-2</v>
      </c>
      <c r="AD308" t="str">
        <f t="shared" si="100"/>
        <v>No Impact</v>
      </c>
      <c r="AE308">
        <f t="shared" si="101"/>
        <v>9.3927814185038733E-3</v>
      </c>
      <c r="AF308">
        <f t="shared" si="102"/>
        <v>5.1391195550904642E-2</v>
      </c>
      <c r="AG308" t="s">
        <v>1176</v>
      </c>
    </row>
    <row r="309" spans="1:33" customFormat="1" x14ac:dyDescent="0.3">
      <c r="A309">
        <v>404419</v>
      </c>
      <c r="B309" t="s">
        <v>222</v>
      </c>
      <c r="C309" t="s">
        <v>848</v>
      </c>
      <c r="D309" t="s">
        <v>1137</v>
      </c>
      <c r="E309" s="18">
        <v>4.5999999999999996</v>
      </c>
      <c r="F309" s="2">
        <f t="shared" si="84"/>
        <v>0.31111111111111101</v>
      </c>
      <c r="G309" s="10">
        <v>34.3566</v>
      </c>
      <c r="H309">
        <f t="shared" si="85"/>
        <v>0.46032925105754902</v>
      </c>
      <c r="I309" s="22">
        <v>0.10000000000000026</v>
      </c>
      <c r="J309" s="2">
        <f t="shared" si="86"/>
        <v>5.1308363263212042E-4</v>
      </c>
      <c r="K309" s="8">
        <v>0</v>
      </c>
      <c r="L309" s="2">
        <v>0</v>
      </c>
      <c r="M309">
        <v>45089</v>
      </c>
      <c r="N309">
        <f t="shared" si="87"/>
        <v>0.2122042270514258</v>
      </c>
      <c r="O309" s="8">
        <v>0.876006646</v>
      </c>
      <c r="P309">
        <f t="shared" si="88"/>
        <v>0.86927050369694503</v>
      </c>
      <c r="Q309" s="20">
        <v>0.28860000000000002</v>
      </c>
      <c r="R309" s="10">
        <f t="shared" si="89"/>
        <v>0.6249458640103942</v>
      </c>
      <c r="S309">
        <f t="shared" si="90"/>
        <v>5.3557634622063616E-2</v>
      </c>
      <c r="T309" s="11">
        <f t="shared" si="91"/>
        <v>9.8313180976886586E-2</v>
      </c>
      <c r="U309" t="str">
        <f t="shared" si="92"/>
        <v>No Impact</v>
      </c>
      <c r="V309">
        <f t="shared" si="93"/>
        <v>4.4800235048414599E-2</v>
      </c>
      <c r="W309">
        <f t="shared" si="94"/>
        <v>5.9010298954230496E-2</v>
      </c>
      <c r="X309" t="s">
        <v>1176</v>
      </c>
      <c r="Y309">
        <f t="shared" si="95"/>
        <v>6.2315034195712625E-2</v>
      </c>
      <c r="Z309">
        <f t="shared" si="96"/>
        <v>0.11391601085108537</v>
      </c>
      <c r="AA309" t="str">
        <f t="shared" si="97"/>
        <v>No Impact</v>
      </c>
      <c r="AB309">
        <f t="shared" si="98"/>
        <v>3.9698861281047472E-2</v>
      </c>
      <c r="AC309">
        <f t="shared" si="99"/>
        <v>9.6669676115897288E-2</v>
      </c>
      <c r="AD309" t="str">
        <f t="shared" si="100"/>
        <v>No Impact</v>
      </c>
      <c r="AE309">
        <f t="shared" si="101"/>
        <v>1.5212196443967341E-2</v>
      </c>
      <c r="AF309">
        <f t="shared" si="102"/>
        <v>8.3231252530863886E-2</v>
      </c>
      <c r="AG309" t="s">
        <v>1176</v>
      </c>
    </row>
    <row r="310" spans="1:33" customFormat="1" x14ac:dyDescent="0.3">
      <c r="A310">
        <v>404433</v>
      </c>
      <c r="B310" t="s">
        <v>243</v>
      </c>
      <c r="C310" t="s">
        <v>848</v>
      </c>
      <c r="D310" t="s">
        <v>1130</v>
      </c>
      <c r="E310" s="18">
        <v>4.5999999999999996</v>
      </c>
      <c r="F310" s="2">
        <f t="shared" si="84"/>
        <v>0.31111111111111101</v>
      </c>
      <c r="G310" s="10">
        <v>34.3566</v>
      </c>
      <c r="H310">
        <f t="shared" si="85"/>
        <v>0.46032925105754902</v>
      </c>
      <c r="I310" s="22">
        <v>1</v>
      </c>
      <c r="J310" s="2">
        <f t="shared" si="86"/>
        <v>5.1308363263211912E-3</v>
      </c>
      <c r="K310" s="8">
        <v>0</v>
      </c>
      <c r="L310" s="2">
        <v>0</v>
      </c>
      <c r="M310">
        <v>31560</v>
      </c>
      <c r="N310">
        <f t="shared" si="87"/>
        <v>0.14819283378991546</v>
      </c>
      <c r="O310" s="8">
        <v>0.90598758099999999</v>
      </c>
      <c r="P310">
        <f t="shared" si="88"/>
        <v>0.90228817175693143</v>
      </c>
      <c r="Q310" s="20">
        <v>0.2792</v>
      </c>
      <c r="R310" s="10">
        <f t="shared" si="89"/>
        <v>0.60459073191857948</v>
      </c>
      <c r="S310">
        <f t="shared" si="90"/>
        <v>5.4552710036355492E-2</v>
      </c>
      <c r="T310" s="11">
        <f t="shared" si="91"/>
        <v>0.1001397931859819</v>
      </c>
      <c r="U310" t="str">
        <f t="shared" si="92"/>
        <v>No Impact</v>
      </c>
      <c r="V310">
        <f t="shared" si="93"/>
        <v>4.3775332986046661E-2</v>
      </c>
      <c r="W310">
        <f t="shared" si="94"/>
        <v>5.7660311012565003E-2</v>
      </c>
      <c r="X310" t="s">
        <v>1176</v>
      </c>
      <c r="Y310">
        <f t="shared" si="95"/>
        <v>6.5330087086664337E-2</v>
      </c>
      <c r="Z310">
        <f t="shared" si="96"/>
        <v>0.11942772728156247</v>
      </c>
      <c r="AA310" t="str">
        <f t="shared" si="97"/>
        <v>No Impact</v>
      </c>
      <c r="AB310">
        <f t="shared" si="98"/>
        <v>3.8675853358793796E-2</v>
      </c>
      <c r="AC310">
        <f t="shared" si="99"/>
        <v>9.4178575834502759E-2</v>
      </c>
      <c r="AD310" t="str">
        <f t="shared" si="100"/>
        <v>No Impact</v>
      </c>
      <c r="AE310">
        <f t="shared" si="101"/>
        <v>1.072988767908048E-2</v>
      </c>
      <c r="AF310">
        <f t="shared" si="102"/>
        <v>5.8706972023064533E-2</v>
      </c>
      <c r="AG310" t="s">
        <v>1176</v>
      </c>
    </row>
    <row r="311" spans="1:33" customFormat="1" x14ac:dyDescent="0.3">
      <c r="A311">
        <v>404442</v>
      </c>
      <c r="B311" t="s">
        <v>281</v>
      </c>
      <c r="C311" t="s">
        <v>848</v>
      </c>
      <c r="D311" t="s">
        <v>849</v>
      </c>
      <c r="E311" s="18">
        <v>4.5999999999999996</v>
      </c>
      <c r="F311" s="2">
        <f t="shared" si="84"/>
        <v>0.31111111111111101</v>
      </c>
      <c r="G311" s="10">
        <v>33.869880000000002</v>
      </c>
      <c r="H311">
        <f t="shared" si="85"/>
        <v>0.45380789990304798</v>
      </c>
      <c r="I311" s="22">
        <v>0.10000000000000026</v>
      </c>
      <c r="J311" s="2">
        <f t="shared" si="86"/>
        <v>5.1308363263212042E-4</v>
      </c>
      <c r="K311" s="8">
        <v>0</v>
      </c>
      <c r="L311" s="2">
        <v>0</v>
      </c>
      <c r="M311">
        <v>23944</v>
      </c>
      <c r="N311">
        <f t="shared" si="87"/>
        <v>0.11215833226876364</v>
      </c>
      <c r="O311" s="8">
        <v>0.72649766500000001</v>
      </c>
      <c r="P311">
        <f t="shared" si="88"/>
        <v>0.70461793676916851</v>
      </c>
      <c r="Q311" s="20">
        <v>0.29010000000000002</v>
      </c>
      <c r="R311" s="10">
        <f t="shared" si="89"/>
        <v>0.62819402338674757</v>
      </c>
      <c r="S311">
        <f t="shared" si="90"/>
        <v>4.7096345380478591E-2</v>
      </c>
      <c r="T311" s="11">
        <f t="shared" si="91"/>
        <v>8.6452502232678766E-2</v>
      </c>
      <c r="U311" t="str">
        <f t="shared" si="92"/>
        <v>No Impact</v>
      </c>
      <c r="V311">
        <f t="shared" si="93"/>
        <v>4.4395824130980477E-2</v>
      </c>
      <c r="W311">
        <f t="shared" si="94"/>
        <v>5.8477614045047484E-2</v>
      </c>
      <c r="X311" t="s">
        <v>1176</v>
      </c>
      <c r="Y311">
        <f t="shared" si="95"/>
        <v>4.9796866629976698E-2</v>
      </c>
      <c r="Z311">
        <f t="shared" si="96"/>
        <v>9.10319712182837E-2</v>
      </c>
      <c r="AA311" t="str">
        <f t="shared" si="97"/>
        <v>No Impact</v>
      </c>
      <c r="AB311">
        <f t="shared" si="98"/>
        <v>3.3251863221030895E-2</v>
      </c>
      <c r="AC311">
        <f t="shared" si="99"/>
        <v>8.0970756946163958E-2</v>
      </c>
      <c r="AD311" t="str">
        <f t="shared" si="100"/>
        <v>No Impact</v>
      </c>
      <c r="AE311">
        <f t="shared" si="101"/>
        <v>7.9264708176991997E-3</v>
      </c>
      <c r="AF311">
        <f t="shared" si="102"/>
        <v>4.3368496898951933E-2</v>
      </c>
      <c r="AG311" t="s">
        <v>1176</v>
      </c>
    </row>
    <row r="312" spans="1:33" customFormat="1" x14ac:dyDescent="0.3">
      <c r="A312">
        <v>404471</v>
      </c>
      <c r="B312" t="s">
        <v>315</v>
      </c>
      <c r="C312" t="s">
        <v>848</v>
      </c>
      <c r="D312" t="s">
        <v>850</v>
      </c>
      <c r="E312" s="18">
        <v>4.5999999999999996</v>
      </c>
      <c r="F312" s="2">
        <f t="shared" si="84"/>
        <v>0.31111111111111101</v>
      </c>
      <c r="G312" s="10">
        <v>35.3142</v>
      </c>
      <c r="H312">
        <f t="shared" si="85"/>
        <v>0.47315972004495488</v>
      </c>
      <c r="I312" s="22">
        <v>0.6</v>
      </c>
      <c r="J312" s="2">
        <f t="shared" si="86"/>
        <v>3.0785017957927143E-3</v>
      </c>
      <c r="K312" s="8">
        <v>0</v>
      </c>
      <c r="L312" s="2">
        <v>0</v>
      </c>
      <c r="M312">
        <v>47194</v>
      </c>
      <c r="N312">
        <f t="shared" si="87"/>
        <v>0.22216386803120844</v>
      </c>
      <c r="O312" s="8">
        <v>0.74038319200000002</v>
      </c>
      <c r="P312">
        <f t="shared" si="88"/>
        <v>0.71990991219701883</v>
      </c>
      <c r="Q312" s="20">
        <v>0.29370000000000002</v>
      </c>
      <c r="R312" s="10">
        <f t="shared" si="89"/>
        <v>0.63598960588999576</v>
      </c>
      <c r="S312">
        <f t="shared" si="90"/>
        <v>5.0223535871326705E-2</v>
      </c>
      <c r="T312" s="11">
        <f t="shared" si="91"/>
        <v>9.2192935820634397E-2</v>
      </c>
      <c r="U312" t="str">
        <f t="shared" si="92"/>
        <v>No Impact</v>
      </c>
      <c r="V312">
        <f t="shared" si="93"/>
        <v>4.7115064736172114E-2</v>
      </c>
      <c r="W312">
        <f t="shared" si="94"/>
        <v>6.2059363133359906E-2</v>
      </c>
      <c r="X312" t="s">
        <v>1176</v>
      </c>
      <c r="Y312">
        <f t="shared" si="95"/>
        <v>5.3332007006481288E-2</v>
      </c>
      <c r="Z312">
        <f t="shared" si="96"/>
        <v>9.7494442027899558E-2</v>
      </c>
      <c r="AA312" t="str">
        <f t="shared" si="97"/>
        <v>No Impact</v>
      </c>
      <c r="AB312">
        <f t="shared" si="98"/>
        <v>3.8250256257331083E-2</v>
      </c>
      <c r="AC312">
        <f t="shared" si="99"/>
        <v>9.3142215278390117E-2</v>
      </c>
      <c r="AD312" t="str">
        <f t="shared" si="100"/>
        <v>No Impact</v>
      </c>
      <c r="AE312">
        <f t="shared" si="101"/>
        <v>1.6458232850647028E-2</v>
      </c>
      <c r="AF312">
        <f t="shared" si="102"/>
        <v>9.0048753948822169E-2</v>
      </c>
      <c r="AG312" t="s">
        <v>1176</v>
      </c>
    </row>
    <row r="313" spans="1:33" customFormat="1" x14ac:dyDescent="0.3">
      <c r="A313">
        <v>404480</v>
      </c>
      <c r="B313" t="s">
        <v>473</v>
      </c>
      <c r="C313" t="s">
        <v>848</v>
      </c>
      <c r="D313" t="s">
        <v>851</v>
      </c>
      <c r="E313" s="18">
        <v>4.5999999999999996</v>
      </c>
      <c r="F313" s="2">
        <f t="shared" si="84"/>
        <v>0.31111111111111101</v>
      </c>
      <c r="G313" s="10">
        <v>31.871519999999997</v>
      </c>
      <c r="H313">
        <f t="shared" si="85"/>
        <v>0.42703273698985617</v>
      </c>
      <c r="I313" s="22">
        <v>0</v>
      </c>
      <c r="J313" s="2">
        <f t="shared" si="86"/>
        <v>0</v>
      </c>
      <c r="K313" s="8">
        <v>0</v>
      </c>
      <c r="L313" s="2">
        <v>0</v>
      </c>
      <c r="M313">
        <v>21848</v>
      </c>
      <c r="N313">
        <f t="shared" si="87"/>
        <v>0.10224127407701807</v>
      </c>
      <c r="O313" s="8">
        <v>0.95730516700000001</v>
      </c>
      <c r="P313">
        <f t="shared" si="88"/>
        <v>0.95880365468592632</v>
      </c>
      <c r="Q313" s="20">
        <v>0.30819999999999997</v>
      </c>
      <c r="R313" s="10">
        <f t="shared" si="89"/>
        <v>0.66738847986141181</v>
      </c>
      <c r="S313">
        <f t="shared" si="90"/>
        <v>5.4011788295665351E-2</v>
      </c>
      <c r="T313" s="11">
        <f t="shared" si="91"/>
        <v>9.9146849091977907E-2</v>
      </c>
      <c r="U313" t="str">
        <f t="shared" si="92"/>
        <v>No Impact</v>
      </c>
      <c r="V313">
        <f t="shared" si="93"/>
        <v>4.4332824540778366E-2</v>
      </c>
      <c r="W313">
        <f t="shared" si="94"/>
        <v>5.8394631787302566E-2</v>
      </c>
      <c r="X313" t="s">
        <v>1176</v>
      </c>
      <c r="Y313">
        <f t="shared" si="95"/>
        <v>6.3690752050552343E-2</v>
      </c>
      <c r="Z313">
        <f t="shared" si="96"/>
        <v>0.11643091423038474</v>
      </c>
      <c r="AA313" t="str">
        <f t="shared" si="97"/>
        <v>No Impact</v>
      </c>
      <c r="AB313">
        <f t="shared" si="98"/>
        <v>3.7000778853348702E-2</v>
      </c>
      <c r="AC313">
        <f t="shared" si="99"/>
        <v>9.009964498646153E-2</v>
      </c>
      <c r="AD313" t="str">
        <f t="shared" si="100"/>
        <v>No Impact</v>
      </c>
      <c r="AE313">
        <f t="shared" si="101"/>
        <v>6.791613282601628E-3</v>
      </c>
      <c r="AF313">
        <f t="shared" si="102"/>
        <v>3.7159294011112703E-2</v>
      </c>
      <c r="AG313" t="s">
        <v>1176</v>
      </c>
    </row>
    <row r="314" spans="1:33" customFormat="1" x14ac:dyDescent="0.3">
      <c r="A314">
        <v>404712</v>
      </c>
      <c r="B314" t="s">
        <v>54</v>
      </c>
      <c r="C314" t="s">
        <v>853</v>
      </c>
      <c r="D314" t="s">
        <v>852</v>
      </c>
      <c r="E314" s="18">
        <v>6.9</v>
      </c>
      <c r="F314" s="2">
        <f t="shared" si="84"/>
        <v>0.8222222222222223</v>
      </c>
      <c r="G314" s="10">
        <v>41.043240000000004</v>
      </c>
      <c r="H314">
        <f t="shared" si="85"/>
        <v>0.54992065367863063</v>
      </c>
      <c r="I314" s="22">
        <v>52.1</v>
      </c>
      <c r="J314" s="2">
        <f t="shared" si="86"/>
        <v>0.26731657260133407</v>
      </c>
      <c r="K314" s="8">
        <v>0</v>
      </c>
      <c r="L314" s="2">
        <v>0</v>
      </c>
      <c r="M314">
        <v>34844</v>
      </c>
      <c r="N314">
        <f t="shared" si="87"/>
        <v>0.16373082000255496</v>
      </c>
      <c r="O314" s="8">
        <v>0.86578064499999996</v>
      </c>
      <c r="P314">
        <f t="shared" si="88"/>
        <v>0.85800872328218836</v>
      </c>
      <c r="Q314" s="20">
        <v>0.29849999999999999</v>
      </c>
      <c r="R314" s="10">
        <f t="shared" si="89"/>
        <v>0.64638371589432653</v>
      </c>
      <c r="S314">
        <f t="shared" si="90"/>
        <v>0.25271935364710629</v>
      </c>
      <c r="T314" s="11">
        <f t="shared" si="91"/>
        <v>0.46390479577367943</v>
      </c>
      <c r="U314" t="str">
        <f t="shared" si="92"/>
        <v>Moderate</v>
      </c>
      <c r="V314">
        <f t="shared" si="93"/>
        <v>0.21716896553700668</v>
      </c>
      <c r="W314">
        <f t="shared" si="94"/>
        <v>0.28605219517421371</v>
      </c>
      <c r="X314" t="s">
        <v>1175</v>
      </c>
      <c r="Y314">
        <f t="shared" si="95"/>
        <v>0.28826974175720588</v>
      </c>
      <c r="Z314">
        <f t="shared" si="96"/>
        <v>0.52697618566520477</v>
      </c>
      <c r="AA314" t="str">
        <f t="shared" si="97"/>
        <v>Moderate</v>
      </c>
      <c r="AB314">
        <f t="shared" si="98"/>
        <v>0.18174338968156797</v>
      </c>
      <c r="AC314">
        <f t="shared" si="99"/>
        <v>0.44255865407177536</v>
      </c>
      <c r="AD314" t="str">
        <f t="shared" si="100"/>
        <v>Moderate</v>
      </c>
      <c r="AE314">
        <f t="shared" si="101"/>
        <v>5.500951204701101E-2</v>
      </c>
      <c r="AF314">
        <f t="shared" si="102"/>
        <v>0.3009762992246961</v>
      </c>
      <c r="AG314" t="str">
        <f t="shared" si="104"/>
        <v>Moderate</v>
      </c>
    </row>
    <row r="315" spans="1:33" customFormat="1" x14ac:dyDescent="0.3">
      <c r="A315">
        <v>404717</v>
      </c>
      <c r="B315" t="s">
        <v>121</v>
      </c>
      <c r="C315" t="s">
        <v>853</v>
      </c>
      <c r="D315" t="s">
        <v>854</v>
      </c>
      <c r="E315" s="18">
        <v>6.9</v>
      </c>
      <c r="F315" s="2">
        <f t="shared" si="84"/>
        <v>0.8222222222222223</v>
      </c>
      <c r="G315" s="10">
        <v>45.313200000000002</v>
      </c>
      <c r="H315">
        <f t="shared" si="85"/>
        <v>0.60713200430254832</v>
      </c>
      <c r="I315" s="22">
        <v>62.599999999999987</v>
      </c>
      <c r="J315" s="2">
        <f t="shared" si="86"/>
        <v>0.32119035402770651</v>
      </c>
      <c r="K315" s="8">
        <v>0</v>
      </c>
      <c r="L315" s="2">
        <v>0</v>
      </c>
      <c r="M315">
        <v>30636</v>
      </c>
      <c r="N315">
        <f t="shared" si="87"/>
        <v>0.1438210008847757</v>
      </c>
      <c r="O315" s="8">
        <v>0.44983552500000001</v>
      </c>
      <c r="P315">
        <f t="shared" si="88"/>
        <v>0.39993301939466058</v>
      </c>
      <c r="Q315" s="20">
        <v>0.40870000000000001</v>
      </c>
      <c r="R315" s="10">
        <f t="shared" si="89"/>
        <v>0.88501515807708964</v>
      </c>
      <c r="S315">
        <f t="shared" si="90"/>
        <v>0.24519614739100726</v>
      </c>
      <c r="T315" s="11">
        <f t="shared" si="91"/>
        <v>0.45009480690091447</v>
      </c>
      <c r="U315" t="str">
        <f t="shared" si="92"/>
        <v>Moderate</v>
      </c>
      <c r="V315">
        <f t="shared" si="93"/>
        <v>0.33776040302281612</v>
      </c>
      <c r="W315">
        <f t="shared" si="94"/>
        <v>0.44489370057407973</v>
      </c>
      <c r="X315" t="str">
        <f t="shared" si="103"/>
        <v>Moderate</v>
      </c>
      <c r="Y315">
        <f t="shared" si="95"/>
        <v>0.15263189175919847</v>
      </c>
      <c r="Z315">
        <f t="shared" si="96"/>
        <v>0.27902120992591561</v>
      </c>
      <c r="AA315" t="str">
        <f t="shared" si="97"/>
        <v>Low</v>
      </c>
      <c r="AB315">
        <f t="shared" si="98"/>
        <v>0.18321663799472412</v>
      </c>
      <c r="AC315">
        <f t="shared" si="99"/>
        <v>0.44614612314961233</v>
      </c>
      <c r="AD315" t="str">
        <f t="shared" si="100"/>
        <v>Moderate</v>
      </c>
      <c r="AE315">
        <f t="shared" si="101"/>
        <v>5.4888369739939873E-2</v>
      </c>
      <c r="AF315">
        <f t="shared" si="102"/>
        <v>0.30031348725082052</v>
      </c>
      <c r="AG315" t="str">
        <f t="shared" si="104"/>
        <v>Moderate</v>
      </c>
    </row>
    <row r="316" spans="1:33" customFormat="1" x14ac:dyDescent="0.3">
      <c r="A316">
        <v>404730</v>
      </c>
      <c r="B316" t="s">
        <v>157</v>
      </c>
      <c r="C316" t="s">
        <v>853</v>
      </c>
      <c r="D316" t="s">
        <v>855</v>
      </c>
      <c r="E316" s="18">
        <v>6.9</v>
      </c>
      <c r="F316" s="2">
        <f t="shared" si="84"/>
        <v>0.8222222222222223</v>
      </c>
      <c r="G316" s="10">
        <v>39.621960000000001</v>
      </c>
      <c r="H316">
        <f t="shared" si="85"/>
        <v>0.53087753654995451</v>
      </c>
      <c r="I316" s="22">
        <v>54</v>
      </c>
      <c r="J316" s="2">
        <f t="shared" si="86"/>
        <v>0.27706516162134431</v>
      </c>
      <c r="K316" s="8">
        <v>0</v>
      </c>
      <c r="L316" s="2">
        <v>0</v>
      </c>
      <c r="M316">
        <v>69387</v>
      </c>
      <c r="N316">
        <f t="shared" si="87"/>
        <v>0.32716829190974339</v>
      </c>
      <c r="O316" s="8">
        <v>0.70737100200000003</v>
      </c>
      <c r="P316">
        <f t="shared" si="88"/>
        <v>0.68355395694234777</v>
      </c>
      <c r="Q316" s="20">
        <v>0.20699999999999999</v>
      </c>
      <c r="R316" s="10">
        <f t="shared" si="89"/>
        <v>0.44824599393676917</v>
      </c>
      <c r="S316">
        <f t="shared" si="90"/>
        <v>0.18796606514348024</v>
      </c>
      <c r="T316" s="11">
        <f t="shared" si="91"/>
        <v>0.34504028996738756</v>
      </c>
      <c r="U316" t="str">
        <f t="shared" si="92"/>
        <v>Moderate</v>
      </c>
      <c r="V316">
        <f t="shared" si="93"/>
        <v>0.14888679864525234</v>
      </c>
      <c r="W316">
        <f t="shared" si="94"/>
        <v>0.19611179470152301</v>
      </c>
      <c r="X316" t="s">
        <v>1176</v>
      </c>
      <c r="Y316">
        <f t="shared" si="95"/>
        <v>0.22704533164170809</v>
      </c>
      <c r="Z316">
        <f t="shared" si="96"/>
        <v>0.41505390788607777</v>
      </c>
      <c r="AA316" t="str">
        <f t="shared" si="97"/>
        <v>Moderate</v>
      </c>
      <c r="AB316">
        <f t="shared" si="98"/>
        <v>0.15825859414229973</v>
      </c>
      <c r="AC316">
        <f t="shared" si="99"/>
        <v>0.38537143244451494</v>
      </c>
      <c r="AD316" t="str">
        <f t="shared" si="100"/>
        <v>Moderate</v>
      </c>
      <c r="AE316">
        <f t="shared" si="101"/>
        <v>0.10867032892556854</v>
      </c>
      <c r="AF316">
        <f t="shared" si="102"/>
        <v>0.59457341500496441</v>
      </c>
      <c r="AG316" t="str">
        <f t="shared" si="104"/>
        <v>Moderate</v>
      </c>
    </row>
    <row r="317" spans="1:33" customFormat="1" x14ac:dyDescent="0.3">
      <c r="A317" s="8">
        <v>404733</v>
      </c>
      <c r="B317" s="8" t="s">
        <v>1172</v>
      </c>
      <c r="C317" s="8" t="s">
        <v>853</v>
      </c>
      <c r="D317" s="8" t="s">
        <v>1173</v>
      </c>
      <c r="E317" s="3">
        <v>6.9</v>
      </c>
      <c r="F317" s="2">
        <f t="shared" si="84"/>
        <v>0.8222222222222223</v>
      </c>
      <c r="G317" s="10">
        <v>39.621960000000001</v>
      </c>
      <c r="H317">
        <f t="shared" si="85"/>
        <v>0.53087753654995451</v>
      </c>
      <c r="I317" s="22">
        <v>54</v>
      </c>
      <c r="J317" s="2">
        <f t="shared" si="86"/>
        <v>0.27706516162134431</v>
      </c>
      <c r="K317" s="8">
        <v>0</v>
      </c>
      <c r="L317" s="2">
        <v>0</v>
      </c>
      <c r="M317">
        <v>68200</v>
      </c>
      <c r="N317">
        <f t="shared" si="87"/>
        <v>0.32155209530974249</v>
      </c>
      <c r="O317" s="8">
        <v>0.70737100200000003</v>
      </c>
      <c r="P317">
        <f t="shared" si="88"/>
        <v>0.68355395694234777</v>
      </c>
      <c r="Q317" s="20">
        <v>0.20699999999999999</v>
      </c>
      <c r="R317" s="10">
        <f t="shared" si="89"/>
        <v>0.44824599393676917</v>
      </c>
      <c r="S317">
        <f t="shared" si="90"/>
        <v>0.18796606514348024</v>
      </c>
      <c r="T317" s="11">
        <f t="shared" si="91"/>
        <v>0.34504028996738756</v>
      </c>
      <c r="U317" t="str">
        <f t="shared" si="92"/>
        <v>Moderate</v>
      </c>
      <c r="V317">
        <f t="shared" si="93"/>
        <v>0.14888679864525234</v>
      </c>
      <c r="W317">
        <f t="shared" si="94"/>
        <v>0.19611179470152301</v>
      </c>
      <c r="X317" t="s">
        <v>1176</v>
      </c>
      <c r="Y317">
        <f t="shared" si="95"/>
        <v>0.22704533164170809</v>
      </c>
      <c r="Z317">
        <f t="shared" si="96"/>
        <v>0.41505390788607777</v>
      </c>
      <c r="AA317" t="str">
        <f t="shared" si="97"/>
        <v>Moderate</v>
      </c>
      <c r="AB317">
        <f t="shared" si="98"/>
        <v>0.15760568895122948</v>
      </c>
      <c r="AC317">
        <f t="shared" si="99"/>
        <v>0.38378155980539008</v>
      </c>
      <c r="AD317" t="str">
        <f t="shared" si="100"/>
        <v>Moderate</v>
      </c>
      <c r="AE317">
        <f t="shared" si="101"/>
        <v>0.10680488552251062</v>
      </c>
      <c r="AF317">
        <f t="shared" si="102"/>
        <v>0.58436692105559651</v>
      </c>
      <c r="AG317" t="str">
        <f t="shared" si="104"/>
        <v>Moderate</v>
      </c>
    </row>
    <row r="318" spans="1:33" customFormat="1" x14ac:dyDescent="0.3">
      <c r="A318">
        <v>404740</v>
      </c>
      <c r="B318" t="s">
        <v>148</v>
      </c>
      <c r="C318" t="s">
        <v>853</v>
      </c>
      <c r="D318" t="s">
        <v>856</v>
      </c>
      <c r="E318" s="18">
        <v>6.9</v>
      </c>
      <c r="F318" s="2">
        <f t="shared" si="84"/>
        <v>0.8222222222222223</v>
      </c>
      <c r="G318" s="10">
        <v>37.086480000000002</v>
      </c>
      <c r="H318">
        <f t="shared" si="85"/>
        <v>0.49690573464081927</v>
      </c>
      <c r="I318" s="22">
        <v>29.6</v>
      </c>
      <c r="J318" s="2">
        <f t="shared" si="86"/>
        <v>0.15187275525910726</v>
      </c>
      <c r="K318" s="8">
        <v>0</v>
      </c>
      <c r="L318" s="2">
        <v>0</v>
      </c>
      <c r="M318">
        <v>17988</v>
      </c>
      <c r="N318">
        <f t="shared" si="87"/>
        <v>8.3977989430005728E-2</v>
      </c>
      <c r="O318" s="8">
        <v>0.64461958900000005</v>
      </c>
      <c r="P318">
        <f t="shared" si="88"/>
        <v>0.61444652834717162</v>
      </c>
      <c r="Q318" s="20">
        <v>0.20710000000000001</v>
      </c>
      <c r="R318" s="10">
        <f t="shared" si="89"/>
        <v>0.44846253789519275</v>
      </c>
      <c r="S318">
        <f t="shared" si="90"/>
        <v>0.14174957744007499</v>
      </c>
      <c r="T318" s="11">
        <f t="shared" si="91"/>
        <v>0.26020290027002568</v>
      </c>
      <c r="U318" t="str">
        <f t="shared" si="92"/>
        <v>Low</v>
      </c>
      <c r="V318">
        <f t="shared" si="93"/>
        <v>0.11961394866840304</v>
      </c>
      <c r="W318">
        <f t="shared" si="94"/>
        <v>0.15755396958052856</v>
      </c>
      <c r="X318" t="s">
        <v>1176</v>
      </c>
      <c r="Y318">
        <f t="shared" si="95"/>
        <v>0.16388520621174693</v>
      </c>
      <c r="Z318">
        <f t="shared" si="96"/>
        <v>0.2995930142718945</v>
      </c>
      <c r="AA318" t="str">
        <f t="shared" si="97"/>
        <v>Low</v>
      </c>
      <c r="AB318">
        <f t="shared" si="98"/>
        <v>9.886995851430562E-2</v>
      </c>
      <c r="AC318">
        <f t="shared" si="99"/>
        <v>0.24075569320506066</v>
      </c>
      <c r="AD318" t="str">
        <f t="shared" si="100"/>
        <v>Low</v>
      </c>
      <c r="AE318">
        <f t="shared" si="101"/>
        <v>2.2398613190972791E-2</v>
      </c>
      <c r="AF318">
        <f t="shared" si="102"/>
        <v>0.12255065451631751</v>
      </c>
      <c r="AG318" t="s">
        <v>1175</v>
      </c>
    </row>
    <row r="319" spans="1:33" customFormat="1" x14ac:dyDescent="0.3">
      <c r="A319">
        <v>404748</v>
      </c>
      <c r="B319" t="s">
        <v>271</v>
      </c>
      <c r="C319" t="s">
        <v>853</v>
      </c>
      <c r="D319" t="s">
        <v>857</v>
      </c>
      <c r="E319" s="18">
        <v>6</v>
      </c>
      <c r="F319" s="2">
        <f t="shared" si="84"/>
        <v>0.62222222222222223</v>
      </c>
      <c r="G319" s="10">
        <v>34.817399999999999</v>
      </c>
      <c r="H319">
        <f t="shared" si="85"/>
        <v>0.46650331132216538</v>
      </c>
      <c r="I319" s="22">
        <v>26.3</v>
      </c>
      <c r="J319" s="2">
        <f t="shared" si="86"/>
        <v>0.13494099538224733</v>
      </c>
      <c r="K319" s="8">
        <v>0</v>
      </c>
      <c r="L319" s="2">
        <v>0</v>
      </c>
      <c r="M319">
        <v>12622</v>
      </c>
      <c r="N319">
        <f t="shared" si="87"/>
        <v>5.8589184918122761E-2</v>
      </c>
      <c r="O319" s="8">
        <v>0.85546781299999997</v>
      </c>
      <c r="P319">
        <f t="shared" si="88"/>
        <v>0.84665131685925976</v>
      </c>
      <c r="Q319" s="20">
        <v>0.23549999999999999</v>
      </c>
      <c r="R319" s="10">
        <f t="shared" si="89"/>
        <v>0.50996102208748373</v>
      </c>
      <c r="S319">
        <f t="shared" si="90"/>
        <v>0.12692194163669626</v>
      </c>
      <c r="T319" s="11">
        <f t="shared" si="91"/>
        <v>0.23298452043522241</v>
      </c>
      <c r="U319" t="str">
        <f t="shared" si="92"/>
        <v>Low</v>
      </c>
      <c r="V319">
        <f t="shared" si="93"/>
        <v>9.5421869939100568E-2</v>
      </c>
      <c r="W319">
        <f t="shared" si="94"/>
        <v>0.12568847162950969</v>
      </c>
      <c r="X319" t="s">
        <v>1176</v>
      </c>
      <c r="Y319">
        <f t="shared" si="95"/>
        <v>0.15842201333429196</v>
      </c>
      <c r="Z319">
        <f t="shared" si="96"/>
        <v>0.28960593575798188</v>
      </c>
      <c r="AA319" t="str">
        <f t="shared" si="97"/>
        <v>Low</v>
      </c>
      <c r="AB319">
        <f t="shared" si="98"/>
        <v>8.4761299486682526E-2</v>
      </c>
      <c r="AC319">
        <f t="shared" si="99"/>
        <v>0.20640006045845891</v>
      </c>
      <c r="AD319" t="str">
        <f t="shared" si="100"/>
        <v>Low</v>
      </c>
      <c r="AE319">
        <f t="shared" si="101"/>
        <v>1.0962974307742172E-2</v>
      </c>
      <c r="AF319">
        <f t="shared" si="102"/>
        <v>5.9982270572039191E-2</v>
      </c>
      <c r="AG319" t="s">
        <v>1176</v>
      </c>
    </row>
    <row r="320" spans="1:33" customFormat="1" x14ac:dyDescent="0.3">
      <c r="A320">
        <v>404753</v>
      </c>
      <c r="B320" t="s">
        <v>285</v>
      </c>
      <c r="C320" t="s">
        <v>853</v>
      </c>
      <c r="D320" t="s">
        <v>858</v>
      </c>
      <c r="E320" s="18">
        <v>6.9</v>
      </c>
      <c r="F320" s="2">
        <f t="shared" si="84"/>
        <v>0.8222222222222223</v>
      </c>
      <c r="G320" s="10">
        <v>69.239159999999998</v>
      </c>
      <c r="H320">
        <f t="shared" si="85"/>
        <v>0.92770561308900779</v>
      </c>
      <c r="I320" s="22">
        <v>180.10000000000002</v>
      </c>
      <c r="J320" s="2">
        <f t="shared" si="86"/>
        <v>0.92406362237044659</v>
      </c>
      <c r="K320" s="8">
        <v>0</v>
      </c>
      <c r="L320" s="2">
        <v>0</v>
      </c>
      <c r="M320">
        <v>26404</v>
      </c>
      <c r="N320">
        <f t="shared" si="87"/>
        <v>0.12379762766556425</v>
      </c>
      <c r="O320" s="8">
        <v>0.52404183900000001</v>
      </c>
      <c r="P320">
        <f t="shared" si="88"/>
        <v>0.48165560221628118</v>
      </c>
      <c r="Q320" s="20">
        <v>0.39579999999999999</v>
      </c>
      <c r="R320" s="10">
        <f t="shared" si="89"/>
        <v>0.85708098744045036</v>
      </c>
      <c r="S320">
        <f t="shared" si="90"/>
        <v>0.50957864195043889</v>
      </c>
      <c r="T320" s="11">
        <f t="shared" si="91"/>
        <v>0.93540907102329507</v>
      </c>
      <c r="U320" t="str">
        <f t="shared" si="92"/>
        <v>High</v>
      </c>
      <c r="V320">
        <f t="shared" si="93"/>
        <v>0.65248110643399082</v>
      </c>
      <c r="W320">
        <f t="shared" si="94"/>
        <v>0.85943980229227479</v>
      </c>
      <c r="X320" t="str">
        <f t="shared" si="103"/>
        <v>High</v>
      </c>
      <c r="Y320">
        <f t="shared" si="95"/>
        <v>0.36667617746688697</v>
      </c>
      <c r="Z320">
        <f t="shared" si="96"/>
        <v>0.67030834453150734</v>
      </c>
      <c r="AA320" t="str">
        <f t="shared" si="97"/>
        <v>Moderate</v>
      </c>
      <c r="AB320">
        <f t="shared" si="98"/>
        <v>0.37135699678557099</v>
      </c>
      <c r="AC320">
        <f t="shared" si="99"/>
        <v>0.90428187217984224</v>
      </c>
      <c r="AD320" t="str">
        <f t="shared" si="100"/>
        <v>High</v>
      </c>
      <c r="AE320">
        <f t="shared" si="101"/>
        <v>9.4245017981737525E-2</v>
      </c>
      <c r="AF320">
        <f t="shared" si="102"/>
        <v>0.51564748853375009</v>
      </c>
      <c r="AG320" t="str">
        <f t="shared" si="104"/>
        <v>Moderate</v>
      </c>
    </row>
    <row r="321" spans="1:33" customFormat="1" x14ac:dyDescent="0.3">
      <c r="A321">
        <v>404764</v>
      </c>
      <c r="B321" t="s">
        <v>390</v>
      </c>
      <c r="C321" t="s">
        <v>853</v>
      </c>
      <c r="D321" t="s">
        <v>859</v>
      </c>
      <c r="E321" s="18">
        <v>6.9</v>
      </c>
      <c r="F321" s="2">
        <f t="shared" si="84"/>
        <v>0.8222222222222223</v>
      </c>
      <c r="G321" s="10">
        <v>45.143639999999998</v>
      </c>
      <c r="H321">
        <f t="shared" si="85"/>
        <v>0.60486014306455271</v>
      </c>
      <c r="I321" s="22">
        <v>64.099999999999994</v>
      </c>
      <c r="J321" s="2">
        <f t="shared" si="86"/>
        <v>0.32888660851718832</v>
      </c>
      <c r="K321" s="8">
        <v>0</v>
      </c>
      <c r="L321" s="2">
        <v>0</v>
      </c>
      <c r="M321">
        <v>42872</v>
      </c>
      <c r="N321">
        <f t="shared" si="87"/>
        <v>0.20171466693162624</v>
      </c>
      <c r="O321" s="8">
        <v>0.68771253799999998</v>
      </c>
      <c r="P321">
        <f t="shared" si="88"/>
        <v>0.6619043106280752</v>
      </c>
      <c r="Q321" s="20">
        <v>0.30209999999999998</v>
      </c>
      <c r="R321" s="10">
        <f t="shared" si="89"/>
        <v>0.65417929839757472</v>
      </c>
      <c r="S321">
        <f t="shared" si="90"/>
        <v>0.25260491891829984</v>
      </c>
      <c r="T321" s="11">
        <f t="shared" si="91"/>
        <v>0.46369473343088591</v>
      </c>
      <c r="U321" t="str">
        <f t="shared" si="92"/>
        <v>Moderate</v>
      </c>
      <c r="V321">
        <f t="shared" si="93"/>
        <v>0.25112220454153378</v>
      </c>
      <c r="W321">
        <f t="shared" si="94"/>
        <v>0.33077496910511717</v>
      </c>
      <c r="X321" t="str">
        <f t="shared" si="103"/>
        <v>Moderate</v>
      </c>
      <c r="Y321">
        <f t="shared" si="95"/>
        <v>0.25408763329506584</v>
      </c>
      <c r="Z321">
        <f t="shared" si="96"/>
        <v>0.4644890268480148</v>
      </c>
      <c r="AA321" t="str">
        <f t="shared" si="97"/>
        <v>Moderate</v>
      </c>
      <c r="AB321">
        <f t="shared" si="98"/>
        <v>0.19122059351327542</v>
      </c>
      <c r="AC321">
        <f t="shared" si="99"/>
        <v>0.4656363493842321</v>
      </c>
      <c r="AD321" t="str">
        <f t="shared" si="100"/>
        <v>Moderate</v>
      </c>
      <c r="AE321">
        <f t="shared" si="101"/>
        <v>7.7432948386339531E-2</v>
      </c>
      <c r="AF321">
        <f t="shared" si="102"/>
        <v>0.42366276987624546</v>
      </c>
      <c r="AG321" t="str">
        <f t="shared" si="104"/>
        <v>Moderate</v>
      </c>
    </row>
    <row r="322" spans="1:33" customFormat="1" x14ac:dyDescent="0.3">
      <c r="A322">
        <v>404769</v>
      </c>
      <c r="B322" t="s">
        <v>412</v>
      </c>
      <c r="C322" t="s">
        <v>853</v>
      </c>
      <c r="D322" t="s">
        <v>860</v>
      </c>
      <c r="E322" s="18">
        <v>6.9</v>
      </c>
      <c r="F322" s="2">
        <f t="shared" ref="F322:F385" si="105">(E322-$AJ$5)/$AK$5</f>
        <v>0.8222222222222223</v>
      </c>
      <c r="G322" s="10">
        <v>34.149240000000006</v>
      </c>
      <c r="H322">
        <f t="shared" ref="H322:H385" si="106">(G322-$AJ$6)/$AK$6</f>
        <v>0.45755092393847174</v>
      </c>
      <c r="I322" s="22">
        <v>26.3</v>
      </c>
      <c r="J322" s="2">
        <f t="shared" ref="J322:J385" si="107">(I322-$AJ$7)/$AK$7</f>
        <v>0.13494099538224733</v>
      </c>
      <c r="K322" s="8">
        <v>0</v>
      </c>
      <c r="L322" s="2">
        <v>0</v>
      </c>
      <c r="M322">
        <v>16829</v>
      </c>
      <c r="N322">
        <f t="shared" ref="N322:N385" si="108">(M322-$AJ$9)/$AK$9</f>
        <v>7.849427261500902E-2</v>
      </c>
      <c r="O322" s="8">
        <v>0.88676591400000004</v>
      </c>
      <c r="P322">
        <f t="shared" ref="P322:P385" si="109">(O322-$AJ$11)/$AK$11</f>
        <v>0.8811195650885405</v>
      </c>
      <c r="Q322" s="20">
        <v>0.24709999999999999</v>
      </c>
      <c r="R322" s="10">
        <f t="shared" ref="R322:R385" si="110">(Q322-$AJ$12)/$AK$12</f>
        <v>0.53508012126461668</v>
      </c>
      <c r="S322">
        <f t="shared" ref="S322:S385" si="111">F322*(R322*0.5+P322*0.5)*(H322*0.5+J322*0.5)</f>
        <v>0.17247896778569419</v>
      </c>
      <c r="T322" s="11">
        <f t="shared" ref="T322:T385" si="112">(S322-$AJ$10)/$AK$10</f>
        <v>0.31661136818831714</v>
      </c>
      <c r="U322" t="str">
        <f t="shared" ref="U322:U385" si="113">IF(T322&gt;0.7,"High",IF(T322&gt;0.3,"Moderate",IF(T322&gt;0.15,"Low","No Impact")))</f>
        <v>Moderate</v>
      </c>
      <c r="V322">
        <f t="shared" ref="V322:V385" si="114">F322*(R322*1)*(H322*0.5+J322*0.5)</f>
        <v>0.13033482197135698</v>
      </c>
      <c r="W322">
        <f t="shared" ref="W322:W385" si="115">(V322-$AJ$13)/$AK$13</f>
        <v>0.17167536733601041</v>
      </c>
      <c r="X322" t="s">
        <v>1176</v>
      </c>
      <c r="Y322">
        <f t="shared" ref="Y322:Y385" si="116">F322*(P322*1)*(H322*0.5+J322*0.5)</f>
        <v>0.21462311360003142</v>
      </c>
      <c r="Z322">
        <f t="shared" ref="Z322:Z385" si="117">(Y322-$AJ$14)/$AK$14</f>
        <v>0.39234527033986671</v>
      </c>
      <c r="AA322" t="str">
        <f t="shared" ref="AA322:AA385" si="118">IF(Z322&gt;0.7,"High",IF(Z322&gt;0.3,"Moderate",IF(Z322&gt;0.15,"Low","No Impact")))</f>
        <v>Moderate</v>
      </c>
      <c r="AB322">
        <f t="shared" ref="AB322:AB385" si="119">F322*(R322*0.35+P322*0.3+N322*0.35)*(H322*0.5+J322*0.5)</f>
        <v>0.11669599430302535</v>
      </c>
      <c r="AC322">
        <f t="shared" ref="AC322:AC385" si="120">(AB322-$AJ$15)/$AK$15</f>
        <v>0.28416341449777732</v>
      </c>
      <c r="AD322" t="str">
        <f t="shared" ref="AD322:AD385" si="121">IF(AC322&gt;0.7,"High",IF(AC322&gt;0.3,"Moderate",IF(AC322&gt;0.15,"Low","No Impact")))</f>
        <v>Low</v>
      </c>
      <c r="AE322">
        <f t="shared" ref="AE322:AE385" si="122">F322*(N322*1)*(H322*0.5+J322*0.5)</f>
        <v>1.9119635808688525E-2</v>
      </c>
      <c r="AF322">
        <f t="shared" ref="AF322:AF385" si="123">(AE322-$AJ$16)/$AK$16</f>
        <v>0.10461022128873312</v>
      </c>
      <c r="AG322" t="s">
        <v>1176</v>
      </c>
    </row>
    <row r="323" spans="1:33" customFormat="1" x14ac:dyDescent="0.3">
      <c r="A323">
        <v>404775</v>
      </c>
      <c r="B323" t="s">
        <v>447</v>
      </c>
      <c r="C323" t="s">
        <v>853</v>
      </c>
      <c r="D323" t="s">
        <v>861</v>
      </c>
      <c r="E323" s="18">
        <v>6.4</v>
      </c>
      <c r="F323" s="2">
        <f t="shared" si="105"/>
        <v>0.71111111111111114</v>
      </c>
      <c r="G323" s="10">
        <v>37.880279999999999</v>
      </c>
      <c r="H323">
        <f t="shared" si="106"/>
        <v>0.50754151814353721</v>
      </c>
      <c r="I323" s="22">
        <v>41.300000000000004</v>
      </c>
      <c r="J323" s="2">
        <f t="shared" si="107"/>
        <v>0.21190354027706521</v>
      </c>
      <c r="K323" s="8">
        <v>0</v>
      </c>
      <c r="L323" s="2">
        <v>0</v>
      </c>
      <c r="M323">
        <v>27731</v>
      </c>
      <c r="N323">
        <f t="shared" si="108"/>
        <v>0.13007622319058637</v>
      </c>
      <c r="O323" s="8">
        <v>0.65691692300000004</v>
      </c>
      <c r="P323">
        <f t="shared" si="109"/>
        <v>0.62798944460494632</v>
      </c>
      <c r="Q323" s="20">
        <v>0.23480000000000001</v>
      </c>
      <c r="R323" s="10">
        <f t="shared" si="110"/>
        <v>0.50844521437851886</v>
      </c>
      <c r="S323">
        <f t="shared" si="111"/>
        <v>0.14535151993307671</v>
      </c>
      <c r="T323" s="11">
        <f t="shared" si="112"/>
        <v>0.2668148133367938</v>
      </c>
      <c r="U323" t="str">
        <f t="shared" si="113"/>
        <v>Low</v>
      </c>
      <c r="V323">
        <f t="shared" si="114"/>
        <v>0.13006165225323707</v>
      </c>
      <c r="W323">
        <f t="shared" si="115"/>
        <v>0.17131555166285425</v>
      </c>
      <c r="X323" t="s">
        <v>1176</v>
      </c>
      <c r="Y323">
        <f t="shared" si="116"/>
        <v>0.16064138761291638</v>
      </c>
      <c r="Z323">
        <f t="shared" si="117"/>
        <v>0.29366309897179577</v>
      </c>
      <c r="AA323" t="str">
        <f t="shared" si="118"/>
        <v>Low</v>
      </c>
      <c r="AB323">
        <f t="shared" si="119"/>
        <v>0.10535984118490573</v>
      </c>
      <c r="AC323">
        <f t="shared" si="120"/>
        <v>0.25655903958710413</v>
      </c>
      <c r="AD323" t="str">
        <f t="shared" si="121"/>
        <v>Low</v>
      </c>
      <c r="AE323">
        <f t="shared" si="122"/>
        <v>3.3273847463993866E-2</v>
      </c>
      <c r="AF323">
        <f t="shared" si="123"/>
        <v>0.18205286864063483</v>
      </c>
      <c r="AG323" t="s">
        <v>1175</v>
      </c>
    </row>
    <row r="324" spans="1:33" customFormat="1" x14ac:dyDescent="0.3">
      <c r="A324">
        <v>404794</v>
      </c>
      <c r="B324" t="s">
        <v>519</v>
      </c>
      <c r="C324" t="s">
        <v>853</v>
      </c>
      <c r="D324" t="s">
        <v>862</v>
      </c>
      <c r="E324" s="18">
        <v>6.9</v>
      </c>
      <c r="F324" s="2">
        <f t="shared" si="105"/>
        <v>0.8222222222222223</v>
      </c>
      <c r="G324" s="10">
        <v>37.880279999999999</v>
      </c>
      <c r="H324">
        <f t="shared" si="106"/>
        <v>0.50754151814353721</v>
      </c>
      <c r="I324" s="22">
        <v>41.300000000000004</v>
      </c>
      <c r="J324" s="2">
        <f t="shared" si="107"/>
        <v>0.21190354027706521</v>
      </c>
      <c r="K324" s="8">
        <v>0</v>
      </c>
      <c r="L324" s="2">
        <v>0</v>
      </c>
      <c r="M324">
        <v>14270</v>
      </c>
      <c r="N324">
        <f t="shared" si="108"/>
        <v>6.6386566549800574E-2</v>
      </c>
      <c r="O324" s="8">
        <v>0.28220447100000001</v>
      </c>
      <c r="P324">
        <f t="shared" si="109"/>
        <v>0.21532281636004341</v>
      </c>
      <c r="Q324" s="20">
        <v>0.21129999999999999</v>
      </c>
      <c r="R324" s="10">
        <f t="shared" si="110"/>
        <v>0.45755738414898223</v>
      </c>
      <c r="S324">
        <f t="shared" si="111"/>
        <v>9.9509513339530342E-2</v>
      </c>
      <c r="T324" s="11">
        <f t="shared" si="112"/>
        <v>0.18266484065076521</v>
      </c>
      <c r="U324" t="str">
        <f t="shared" si="113"/>
        <v>Low</v>
      </c>
      <c r="V324">
        <f t="shared" si="114"/>
        <v>0.13533259735426861</v>
      </c>
      <c r="W324">
        <f t="shared" si="115"/>
        <v>0.17825837341026415</v>
      </c>
      <c r="X324" t="s">
        <v>1176</v>
      </c>
      <c r="Y324">
        <f t="shared" si="116"/>
        <v>6.3686429324792043E-2</v>
      </c>
      <c r="Z324">
        <f t="shared" si="117"/>
        <v>0.11642301200131638</v>
      </c>
      <c r="AA324" t="str">
        <f t="shared" si="118"/>
        <v>No Impact</v>
      </c>
      <c r="AB324">
        <f t="shared" si="119"/>
        <v>7.3344685203481086E-2</v>
      </c>
      <c r="AC324">
        <f t="shared" si="120"/>
        <v>0.17859975663402411</v>
      </c>
      <c r="AD324" t="str">
        <f t="shared" si="121"/>
        <v>Low</v>
      </c>
      <c r="AE324">
        <f t="shared" si="122"/>
        <v>1.9635278091569848E-2</v>
      </c>
      <c r="AF324">
        <f t="shared" si="123"/>
        <v>0.10743148074460257</v>
      </c>
      <c r="AG324" t="s">
        <v>1176</v>
      </c>
    </row>
    <row r="325" spans="1:33" customFormat="1" x14ac:dyDescent="0.3">
      <c r="A325">
        <v>405015</v>
      </c>
      <c r="B325" t="s">
        <v>70</v>
      </c>
      <c r="C325" t="s">
        <v>864</v>
      </c>
      <c r="D325" t="s">
        <v>863</v>
      </c>
      <c r="E325" s="18">
        <v>5.6</v>
      </c>
      <c r="F325" s="2">
        <f t="shared" si="105"/>
        <v>0.53333333333333321</v>
      </c>
      <c r="G325" s="10">
        <v>28.206</v>
      </c>
      <c r="H325">
        <f t="shared" si="106"/>
        <v>0.37792001697866573</v>
      </c>
      <c r="I325" s="22">
        <v>1.2000000000000006</v>
      </c>
      <c r="J325" s="2">
        <f t="shared" si="107"/>
        <v>6.157003591585432E-3</v>
      </c>
      <c r="K325" s="8">
        <v>0</v>
      </c>
      <c r="L325" s="2">
        <v>0</v>
      </c>
      <c r="M325">
        <v>38100</v>
      </c>
      <c r="N325">
        <f t="shared" si="108"/>
        <v>0.17913632643019026</v>
      </c>
      <c r="O325" s="8">
        <v>0.83896420900000002</v>
      </c>
      <c r="P325">
        <f t="shared" si="109"/>
        <v>0.82847608254233596</v>
      </c>
      <c r="Q325" s="20">
        <v>0.29189999999999999</v>
      </c>
      <c r="R325" s="10">
        <f t="shared" si="110"/>
        <v>0.63209181463837161</v>
      </c>
      <c r="S325">
        <f t="shared" si="111"/>
        <v>7.4796075505296405E-2</v>
      </c>
      <c r="T325" s="11">
        <f t="shared" si="112"/>
        <v>0.13729956820168743</v>
      </c>
      <c r="U325" t="str">
        <f t="shared" si="113"/>
        <v>No Impact</v>
      </c>
      <c r="V325">
        <f t="shared" si="114"/>
        <v>6.4739184238173111E-2</v>
      </c>
      <c r="W325">
        <f t="shared" si="115"/>
        <v>8.5273628850811009E-2</v>
      </c>
      <c r="X325" t="s">
        <v>1176</v>
      </c>
      <c r="Y325">
        <f t="shared" si="116"/>
        <v>8.4852966772419672E-2</v>
      </c>
      <c r="Z325">
        <f t="shared" si="117"/>
        <v>0.15511684472859985</v>
      </c>
      <c r="AA325" t="str">
        <f t="shared" si="118"/>
        <v>Low</v>
      </c>
      <c r="AB325">
        <f t="shared" si="119"/>
        <v>5.4536138191332517E-2</v>
      </c>
      <c r="AC325">
        <f t="shared" si="120"/>
        <v>0.1327995475297126</v>
      </c>
      <c r="AD325" t="str">
        <f t="shared" si="121"/>
        <v>No Impact</v>
      </c>
      <c r="AE325">
        <f t="shared" si="122"/>
        <v>1.8347239074988638E-2</v>
      </c>
      <c r="AF325">
        <f t="shared" si="123"/>
        <v>0.10038416834277054</v>
      </c>
      <c r="AG325" t="s">
        <v>1176</v>
      </c>
    </row>
    <row r="326" spans="1:33" customFormat="1" x14ac:dyDescent="0.3">
      <c r="A326">
        <v>405039</v>
      </c>
      <c r="B326" t="s">
        <v>132</v>
      </c>
      <c r="C326" t="s">
        <v>864</v>
      </c>
      <c r="D326" t="s">
        <v>1134</v>
      </c>
      <c r="E326" s="18">
        <v>5.0999999999999996</v>
      </c>
      <c r="F326" s="2">
        <f t="shared" si="105"/>
        <v>0.42222222222222211</v>
      </c>
      <c r="G326" s="10">
        <v>37.086480000000002</v>
      </c>
      <c r="H326">
        <f t="shared" si="106"/>
        <v>0.49690573464081927</v>
      </c>
      <c r="I326" s="22">
        <v>28.800000000000004</v>
      </c>
      <c r="J326" s="2">
        <f t="shared" si="107"/>
        <v>0.14776808619805032</v>
      </c>
      <c r="K326" s="8">
        <v>0</v>
      </c>
      <c r="L326" s="2">
        <v>0</v>
      </c>
      <c r="M326">
        <v>15743</v>
      </c>
      <c r="N326">
        <f t="shared" si="108"/>
        <v>7.3355949525201913E-2</v>
      </c>
      <c r="O326" s="8">
        <v>0.82063181299999999</v>
      </c>
      <c r="P326">
        <f t="shared" si="109"/>
        <v>0.80828682007029418</v>
      </c>
      <c r="Q326" s="20">
        <v>0.24010000000000001</v>
      </c>
      <c r="R326" s="10">
        <f t="shared" si="110"/>
        <v>0.51992204417496757</v>
      </c>
      <c r="S326">
        <f t="shared" si="111"/>
        <v>9.0383156579532858E-2</v>
      </c>
      <c r="T326" s="11">
        <f t="shared" si="112"/>
        <v>0.16591202529331406</v>
      </c>
      <c r="U326" t="str">
        <f t="shared" si="113"/>
        <v>Low</v>
      </c>
      <c r="V326">
        <f t="shared" si="114"/>
        <v>7.0760249826400043E-2</v>
      </c>
      <c r="W326">
        <f t="shared" si="115"/>
        <v>9.3204499749151862E-2</v>
      </c>
      <c r="X326" t="s">
        <v>1176</v>
      </c>
      <c r="Y326">
        <f t="shared" si="116"/>
        <v>0.11000606333266566</v>
      </c>
      <c r="Z326">
        <f t="shared" si="117"/>
        <v>0.20109837162139133</v>
      </c>
      <c r="AA326" t="str">
        <f t="shared" si="118"/>
        <v>Low</v>
      </c>
      <c r="AB326">
        <f t="shared" si="119"/>
        <v>6.1262160780596826E-2</v>
      </c>
      <c r="AC326">
        <f t="shared" si="120"/>
        <v>0.14917791215456397</v>
      </c>
      <c r="AD326" t="str">
        <f t="shared" si="121"/>
        <v>No Impact</v>
      </c>
      <c r="AE326">
        <f t="shared" si="122"/>
        <v>9.9835838330203132E-3</v>
      </c>
      <c r="AF326">
        <f t="shared" si="123"/>
        <v>5.4623682400491862E-2</v>
      </c>
      <c r="AG326" t="s">
        <v>1176</v>
      </c>
    </row>
    <row r="327" spans="1:33" customFormat="1" x14ac:dyDescent="0.3">
      <c r="A327">
        <v>405063</v>
      </c>
      <c r="B327" t="s">
        <v>276</v>
      </c>
      <c r="C327" t="s">
        <v>864</v>
      </c>
      <c r="D327" t="s">
        <v>865</v>
      </c>
      <c r="E327" s="18">
        <v>5.5</v>
      </c>
      <c r="F327" s="2">
        <f t="shared" si="105"/>
        <v>0.51111111111111107</v>
      </c>
      <c r="G327" s="10">
        <v>28.8</v>
      </c>
      <c r="H327">
        <f t="shared" si="106"/>
        <v>0.38587876653852277</v>
      </c>
      <c r="I327" s="22">
        <v>0.29999999999999993</v>
      </c>
      <c r="J327" s="2">
        <f t="shared" si="107"/>
        <v>1.5392508978963569E-3</v>
      </c>
      <c r="K327" s="8">
        <v>0</v>
      </c>
      <c r="L327" s="2">
        <v>0</v>
      </c>
      <c r="M327">
        <v>11398</v>
      </c>
      <c r="N327">
        <f t="shared" si="108"/>
        <v>5.2797925745080507E-2</v>
      </c>
      <c r="O327" s="8">
        <v>0.96298347500000003</v>
      </c>
      <c r="P327">
        <f t="shared" si="109"/>
        <v>0.96505711171407993</v>
      </c>
      <c r="Q327" s="20">
        <v>0.28249999999999997</v>
      </c>
      <c r="R327" s="10">
        <f t="shared" si="110"/>
        <v>0.61173668254655689</v>
      </c>
      <c r="S327">
        <f t="shared" si="111"/>
        <v>7.8056674947808949E-2</v>
      </c>
      <c r="T327" s="11">
        <f t="shared" si="112"/>
        <v>0.14328489420323592</v>
      </c>
      <c r="U327" t="str">
        <f t="shared" si="113"/>
        <v>No Impact</v>
      </c>
      <c r="V327">
        <f t="shared" si="114"/>
        <v>6.0566107701581565E-2</v>
      </c>
      <c r="W327">
        <f t="shared" si="115"/>
        <v>7.9776905592171182E-2</v>
      </c>
      <c r="X327" t="s">
        <v>1176</v>
      </c>
      <c r="Y327">
        <f t="shared" si="116"/>
        <v>9.5547242194036333E-2</v>
      </c>
      <c r="Z327">
        <f t="shared" si="117"/>
        <v>0.17466668868996604</v>
      </c>
      <c r="AA327" t="str">
        <f t="shared" si="118"/>
        <v>Low</v>
      </c>
      <c r="AB327">
        <f t="shared" si="119"/>
        <v>5.1691884632888457E-2</v>
      </c>
      <c r="AC327">
        <f t="shared" si="120"/>
        <v>0.12587357883908065</v>
      </c>
      <c r="AD327" t="str">
        <f t="shared" si="121"/>
        <v>No Impact</v>
      </c>
      <c r="AE327">
        <f t="shared" si="122"/>
        <v>5.2273550832114477E-3</v>
      </c>
      <c r="AF327">
        <f t="shared" si="123"/>
        <v>2.8600689755870542E-2</v>
      </c>
      <c r="AG327" t="s">
        <v>1176</v>
      </c>
    </row>
    <row r="328" spans="1:33" customFormat="1" x14ac:dyDescent="0.3">
      <c r="A328">
        <v>405071</v>
      </c>
      <c r="B328" t="s">
        <v>288</v>
      </c>
      <c r="C328" t="s">
        <v>864</v>
      </c>
      <c r="D328" t="s">
        <v>866</v>
      </c>
      <c r="E328" s="18">
        <v>5.5</v>
      </c>
      <c r="F328" s="2">
        <f t="shared" si="105"/>
        <v>0.51111111111111107</v>
      </c>
      <c r="G328" s="10">
        <v>28.8</v>
      </c>
      <c r="H328">
        <f t="shared" si="106"/>
        <v>0.38587876653852277</v>
      </c>
      <c r="I328" s="22">
        <v>0.5</v>
      </c>
      <c r="J328" s="2">
        <f t="shared" si="107"/>
        <v>2.5654181631605956E-3</v>
      </c>
      <c r="K328" s="8">
        <v>0</v>
      </c>
      <c r="L328" s="2">
        <v>0</v>
      </c>
      <c r="M328">
        <v>32093</v>
      </c>
      <c r="N328">
        <f t="shared" si="108"/>
        <v>0.15071468112588893</v>
      </c>
      <c r="O328" s="8">
        <v>0.89417902000000005</v>
      </c>
      <c r="P328">
        <f t="shared" si="109"/>
        <v>0.88928353573193419</v>
      </c>
      <c r="Q328" s="20">
        <v>0.27789999999999998</v>
      </c>
      <c r="R328" s="10">
        <f t="shared" si="110"/>
        <v>0.60177566045907316</v>
      </c>
      <c r="S328">
        <f t="shared" si="111"/>
        <v>7.4008029430813069E-2</v>
      </c>
      <c r="T328" s="11">
        <f t="shared" si="112"/>
        <v>0.13585298982148972</v>
      </c>
      <c r="U328" t="str">
        <f t="shared" si="113"/>
        <v>No Impact</v>
      </c>
      <c r="V328">
        <f t="shared" si="114"/>
        <v>5.973770981564288E-2</v>
      </c>
      <c r="W328">
        <f t="shared" si="115"/>
        <v>7.8685750448688863E-2</v>
      </c>
      <c r="X328" t="s">
        <v>1176</v>
      </c>
      <c r="Y328">
        <f t="shared" si="116"/>
        <v>8.8278349045983265E-2</v>
      </c>
      <c r="Z328">
        <f t="shared" si="117"/>
        <v>0.16137867045461754</v>
      </c>
      <c r="AA328" t="str">
        <f t="shared" si="118"/>
        <v>Low</v>
      </c>
      <c r="AB328">
        <f t="shared" si="119"/>
        <v>5.2628160299623167E-2</v>
      </c>
      <c r="AC328">
        <f t="shared" si="120"/>
        <v>0.12815347963567228</v>
      </c>
      <c r="AD328" t="str">
        <f t="shared" si="121"/>
        <v>No Impact</v>
      </c>
      <c r="AE328">
        <f t="shared" si="122"/>
        <v>1.4961306143866248E-2</v>
      </c>
      <c r="AF328">
        <f t="shared" si="123"/>
        <v>8.1858543862383643E-2</v>
      </c>
      <c r="AG328" t="s">
        <v>1176</v>
      </c>
    </row>
    <row r="329" spans="1:33" customFormat="1" x14ac:dyDescent="0.3">
      <c r="A329">
        <v>405079</v>
      </c>
      <c r="B329" t="s">
        <v>290</v>
      </c>
      <c r="C329" t="s">
        <v>864</v>
      </c>
      <c r="D329" t="s">
        <v>867</v>
      </c>
      <c r="E329" s="18">
        <v>5.5</v>
      </c>
      <c r="F329" s="2">
        <f t="shared" si="105"/>
        <v>0.51111111111111107</v>
      </c>
      <c r="G329" s="10">
        <v>30.479400000000002</v>
      </c>
      <c r="H329">
        <f t="shared" si="106"/>
        <v>0.40838032211230041</v>
      </c>
      <c r="I329" s="22">
        <v>0.59999999999999987</v>
      </c>
      <c r="J329" s="2">
        <f t="shared" si="107"/>
        <v>3.0785017957927138E-3</v>
      </c>
      <c r="K329" s="8">
        <v>0</v>
      </c>
      <c r="L329" s="2">
        <v>0</v>
      </c>
      <c r="M329">
        <v>55212</v>
      </c>
      <c r="N329">
        <f t="shared" si="108"/>
        <v>0.26010040075134966</v>
      </c>
      <c r="O329" s="8">
        <v>0.93246081400000003</v>
      </c>
      <c r="P329">
        <f t="shared" si="109"/>
        <v>0.93144284687525847</v>
      </c>
      <c r="Q329" s="20">
        <v>0.28720000000000001</v>
      </c>
      <c r="R329" s="10">
        <f t="shared" si="110"/>
        <v>0.62191424859246436</v>
      </c>
      <c r="S329">
        <f t="shared" si="111"/>
        <v>8.1668206239111862E-2</v>
      </c>
      <c r="T329" s="11">
        <f t="shared" si="112"/>
        <v>0.14991440896711761</v>
      </c>
      <c r="U329" t="str">
        <f t="shared" si="113"/>
        <v>No Impact</v>
      </c>
      <c r="V329">
        <f t="shared" si="114"/>
        <v>6.5394649131593777E-2</v>
      </c>
      <c r="W329">
        <f t="shared" si="115"/>
        <v>8.6136998859315583E-2</v>
      </c>
      <c r="X329" t="s">
        <v>1176</v>
      </c>
      <c r="Y329">
        <f t="shared" si="116"/>
        <v>9.7941763346629976E-2</v>
      </c>
      <c r="Z329">
        <f t="shared" si="117"/>
        <v>0.17904403199279259</v>
      </c>
      <c r="AA329" t="str">
        <f t="shared" si="118"/>
        <v>Low</v>
      </c>
      <c r="AB329">
        <f t="shared" si="119"/>
        <v>6.18430547575907E-2</v>
      </c>
      <c r="AC329">
        <f t="shared" si="120"/>
        <v>0.1505924321383017</v>
      </c>
      <c r="AD329" t="str">
        <f t="shared" si="121"/>
        <v>Low</v>
      </c>
      <c r="AE329">
        <f t="shared" si="122"/>
        <v>2.7349710164411144E-2</v>
      </c>
      <c r="AF329">
        <f t="shared" si="123"/>
        <v>0.14963983943572889</v>
      </c>
      <c r="AG329" t="s">
        <v>1175</v>
      </c>
    </row>
    <row r="330" spans="1:33" customFormat="1" x14ac:dyDescent="0.3">
      <c r="A330">
        <v>405094</v>
      </c>
      <c r="B330" t="s">
        <v>334</v>
      </c>
      <c r="C330" t="s">
        <v>864</v>
      </c>
      <c r="D330" t="s">
        <v>1127</v>
      </c>
      <c r="E330" s="18">
        <v>5.2</v>
      </c>
      <c r="F330" s="2">
        <f t="shared" si="105"/>
        <v>0.44444444444444442</v>
      </c>
      <c r="G330" s="10">
        <v>30.479400000000002</v>
      </c>
      <c r="H330">
        <f t="shared" si="106"/>
        <v>0.40838032211230041</v>
      </c>
      <c r="I330" s="22">
        <v>1.2000000000000006</v>
      </c>
      <c r="J330" s="2">
        <f t="shared" si="107"/>
        <v>6.157003591585432E-3</v>
      </c>
      <c r="K330" s="8">
        <v>0</v>
      </c>
      <c r="L330" s="2">
        <v>0</v>
      </c>
      <c r="M330">
        <v>51537</v>
      </c>
      <c r="N330">
        <f t="shared" si="108"/>
        <v>0.24271242896954384</v>
      </c>
      <c r="O330" s="8">
        <v>0.91891067400000004</v>
      </c>
      <c r="P330">
        <f t="shared" si="109"/>
        <v>0.91652022939563871</v>
      </c>
      <c r="Q330" s="20">
        <v>0</v>
      </c>
      <c r="R330" s="10">
        <f t="shared" si="110"/>
        <v>0</v>
      </c>
      <c r="S330">
        <f t="shared" si="111"/>
        <v>4.2214649427464446E-2</v>
      </c>
      <c r="T330" s="11">
        <f t="shared" si="112"/>
        <v>7.7491407122905184E-2</v>
      </c>
      <c r="U330" t="str">
        <f t="shared" si="113"/>
        <v>No Impact</v>
      </c>
      <c r="V330">
        <f t="shared" si="114"/>
        <v>0</v>
      </c>
      <c r="W330">
        <f t="shared" si="115"/>
        <v>0</v>
      </c>
      <c r="X330" t="s">
        <v>1176</v>
      </c>
      <c r="Y330">
        <f t="shared" si="116"/>
        <v>8.4429298854928891E-2</v>
      </c>
      <c r="Z330">
        <f t="shared" si="117"/>
        <v>0.15434235170762906</v>
      </c>
      <c r="AA330" t="str">
        <f t="shared" si="118"/>
        <v>Low</v>
      </c>
      <c r="AB330">
        <f t="shared" si="119"/>
        <v>3.3154273306933151E-2</v>
      </c>
      <c r="AC330">
        <f t="shared" si="120"/>
        <v>8.0733118256197015E-2</v>
      </c>
      <c r="AD330" t="str">
        <f t="shared" si="121"/>
        <v>No Impact</v>
      </c>
      <c r="AE330">
        <f t="shared" si="122"/>
        <v>2.2358524715584232E-2</v>
      </c>
      <c r="AF330">
        <f t="shared" si="123"/>
        <v>0.12233131643250215</v>
      </c>
      <c r="AG330" t="s">
        <v>1176</v>
      </c>
    </row>
    <row r="331" spans="1:33" customFormat="1" x14ac:dyDescent="0.3">
      <c r="A331">
        <v>405557</v>
      </c>
      <c r="B331" t="s">
        <v>311</v>
      </c>
      <c r="C331" t="s">
        <v>869</v>
      </c>
      <c r="D331" t="s">
        <v>868</v>
      </c>
      <c r="E331" s="18">
        <v>4.9000000000000004</v>
      </c>
      <c r="F331" s="2">
        <f t="shared" si="105"/>
        <v>0.37777777777777782</v>
      </c>
      <c r="G331" s="10">
        <v>34.081200000000003</v>
      </c>
      <c r="H331">
        <f t="shared" si="106"/>
        <v>0.4566392853525244</v>
      </c>
      <c r="I331" s="22">
        <v>0.10000000000000005</v>
      </c>
      <c r="J331" s="2">
        <f t="shared" si="107"/>
        <v>5.1308363263211933E-4</v>
      </c>
      <c r="K331" s="8">
        <v>0</v>
      </c>
      <c r="L331" s="2">
        <v>0</v>
      </c>
      <c r="M331">
        <v>51857</v>
      </c>
      <c r="N331">
        <f t="shared" si="108"/>
        <v>0.24422648365530653</v>
      </c>
      <c r="O331" s="8">
        <v>0.91252673500000003</v>
      </c>
      <c r="P331">
        <f t="shared" si="109"/>
        <v>0.90948966884717009</v>
      </c>
      <c r="Q331" s="20">
        <v>0.27639999999999998</v>
      </c>
      <c r="R331" s="10">
        <f t="shared" si="110"/>
        <v>0.59852750108271979</v>
      </c>
      <c r="S331">
        <f t="shared" si="111"/>
        <v>6.5109397605353281E-2</v>
      </c>
      <c r="T331" s="11">
        <f t="shared" si="112"/>
        <v>0.11951819820351363</v>
      </c>
      <c r="U331" t="str">
        <f t="shared" si="113"/>
        <v>No Impact</v>
      </c>
      <c r="V331">
        <f t="shared" si="114"/>
        <v>5.1683450059849229E-2</v>
      </c>
      <c r="W331">
        <f t="shared" si="115"/>
        <v>6.8076782091027757E-2</v>
      </c>
      <c r="X331" t="s">
        <v>1176</v>
      </c>
      <c r="Y331">
        <f t="shared" si="116"/>
        <v>7.8535345150857319E-2</v>
      </c>
      <c r="Z331">
        <f t="shared" si="117"/>
        <v>0.14356781386496176</v>
      </c>
      <c r="AA331" t="str">
        <f t="shared" si="118"/>
        <v>No Impact</v>
      </c>
      <c r="AB331">
        <f t="shared" si="119"/>
        <v>4.9031031706793668E-2</v>
      </c>
      <c r="AC331">
        <f t="shared" si="120"/>
        <v>0.11939420431151905</v>
      </c>
      <c r="AD331" t="str">
        <f t="shared" si="121"/>
        <v>No Impact</v>
      </c>
      <c r="AE331">
        <f t="shared" si="122"/>
        <v>2.1089201830254957E-2</v>
      </c>
      <c r="AF331">
        <f t="shared" si="123"/>
        <v>0.11538640653726202</v>
      </c>
      <c r="AG331" t="s">
        <v>1176</v>
      </c>
    </row>
    <row r="332" spans="1:33" customFormat="1" x14ac:dyDescent="0.3">
      <c r="A332">
        <v>405566</v>
      </c>
      <c r="B332" t="s">
        <v>341</v>
      </c>
      <c r="C332" t="s">
        <v>869</v>
      </c>
      <c r="D332" t="s">
        <v>1128</v>
      </c>
      <c r="E332" s="18">
        <v>4.8</v>
      </c>
      <c r="F332" s="2">
        <f t="shared" si="105"/>
        <v>0.35555555555555546</v>
      </c>
      <c r="G332" s="10">
        <v>34.081200000000003</v>
      </c>
      <c r="H332">
        <f t="shared" si="106"/>
        <v>0.4566392853525244</v>
      </c>
      <c r="I332" s="22">
        <v>3.3</v>
      </c>
      <c r="J332" s="2">
        <f t="shared" si="107"/>
        <v>1.693175987685993E-2</v>
      </c>
      <c r="K332" s="8">
        <v>0</v>
      </c>
      <c r="L332" s="2">
        <v>0</v>
      </c>
      <c r="M332">
        <v>16134</v>
      </c>
      <c r="N332">
        <f t="shared" si="108"/>
        <v>7.5205935094368195E-2</v>
      </c>
      <c r="O332" s="8">
        <v>0.964234586</v>
      </c>
      <c r="P332">
        <f t="shared" si="109"/>
        <v>0.96643494625140169</v>
      </c>
      <c r="Q332" s="20">
        <v>0.10100000000000001</v>
      </c>
      <c r="R332" s="10">
        <f t="shared" si="110"/>
        <v>0.2187093980077956</v>
      </c>
      <c r="S332">
        <f t="shared" si="111"/>
        <v>4.9888892965201888E-2</v>
      </c>
      <c r="T332" s="11">
        <f t="shared" si="112"/>
        <v>9.1578647889051124E-2</v>
      </c>
      <c r="U332" t="str">
        <f t="shared" si="113"/>
        <v>No Impact</v>
      </c>
      <c r="V332">
        <f t="shared" si="114"/>
        <v>1.8413233460629539E-2</v>
      </c>
      <c r="W332">
        <f t="shared" si="115"/>
        <v>2.4253676572267024E-2</v>
      </c>
      <c r="X332" t="s">
        <v>1176</v>
      </c>
      <c r="Y332">
        <f t="shared" si="116"/>
        <v>8.1364552469774226E-2</v>
      </c>
      <c r="Z332">
        <f t="shared" si="117"/>
        <v>0.14873979227757864</v>
      </c>
      <c r="AA332" t="str">
        <f t="shared" si="118"/>
        <v>No Impact</v>
      </c>
      <c r="AB332">
        <f t="shared" si="119"/>
        <v>3.3070063879091734E-2</v>
      </c>
      <c r="AC332">
        <f t="shared" si="120"/>
        <v>8.052806204418872E-2</v>
      </c>
      <c r="AD332" t="str">
        <f t="shared" si="121"/>
        <v>No Impact</v>
      </c>
      <c r="AE332">
        <f t="shared" si="122"/>
        <v>6.3316183626832305E-3</v>
      </c>
      <c r="AF332">
        <f t="shared" si="123"/>
        <v>3.4642500760140346E-2</v>
      </c>
      <c r="AG332" t="s">
        <v>1176</v>
      </c>
    </row>
    <row r="333" spans="1:33" customFormat="1" x14ac:dyDescent="0.3">
      <c r="A333">
        <v>405585</v>
      </c>
      <c r="B333" t="s">
        <v>475</v>
      </c>
      <c r="C333" t="s">
        <v>869</v>
      </c>
      <c r="D333" t="s">
        <v>870</v>
      </c>
      <c r="E333" s="18">
        <v>4.9000000000000004</v>
      </c>
      <c r="F333" s="2">
        <f t="shared" si="105"/>
        <v>0.37777777777777782</v>
      </c>
      <c r="G333" s="10">
        <v>34.3566</v>
      </c>
      <c r="H333">
        <f t="shared" si="106"/>
        <v>0.46032925105754902</v>
      </c>
      <c r="I333" s="22">
        <v>1</v>
      </c>
      <c r="J333" s="2">
        <f t="shared" si="107"/>
        <v>5.1308363263211912E-3</v>
      </c>
      <c r="K333" s="8">
        <v>0</v>
      </c>
      <c r="L333" s="2">
        <v>0</v>
      </c>
      <c r="M333">
        <v>23104</v>
      </c>
      <c r="N333">
        <f t="shared" si="108"/>
        <v>0.10818393871863659</v>
      </c>
      <c r="O333" s="8">
        <v>0.86959026699999997</v>
      </c>
      <c r="P333">
        <f t="shared" si="109"/>
        <v>0.86220421733966268</v>
      </c>
      <c r="Q333" s="20">
        <v>0.2571</v>
      </c>
      <c r="R333" s="10">
        <f t="shared" si="110"/>
        <v>0.55673451710697275</v>
      </c>
      <c r="S333">
        <f t="shared" si="111"/>
        <v>6.2376716136522861E-2</v>
      </c>
      <c r="T333" s="11">
        <f t="shared" si="112"/>
        <v>0.11450194590459987</v>
      </c>
      <c r="U333" t="str">
        <f t="shared" si="113"/>
        <v>No Impact</v>
      </c>
      <c r="V333">
        <f t="shared" si="114"/>
        <v>4.8948231652198686E-2</v>
      </c>
      <c r="W333">
        <f t="shared" si="115"/>
        <v>6.4473987244836772E-2</v>
      </c>
      <c r="X333" t="s">
        <v>1176</v>
      </c>
      <c r="Y333">
        <f t="shared" si="116"/>
        <v>7.5805200620847044E-2</v>
      </c>
      <c r="Z333">
        <f t="shared" si="117"/>
        <v>0.13857692879332875</v>
      </c>
      <c r="AA333" t="str">
        <f t="shared" si="118"/>
        <v>No Impact</v>
      </c>
      <c r="AB333">
        <f t="shared" si="119"/>
        <v>4.3202486466063346E-2</v>
      </c>
      <c r="AC333">
        <f t="shared" si="120"/>
        <v>0.1052012636964378</v>
      </c>
      <c r="AD333" t="str">
        <f t="shared" si="121"/>
        <v>No Impact</v>
      </c>
      <c r="AE333">
        <f t="shared" si="122"/>
        <v>9.5115577186848151E-3</v>
      </c>
      <c r="AF333">
        <f t="shared" si="123"/>
        <v>5.2041062272745596E-2</v>
      </c>
      <c r="AG333" t="s">
        <v>1176</v>
      </c>
    </row>
    <row r="334" spans="1:33" customFormat="1" x14ac:dyDescent="0.3">
      <c r="A334">
        <v>405595</v>
      </c>
      <c r="B334" t="s">
        <v>499</v>
      </c>
      <c r="C334" t="s">
        <v>869</v>
      </c>
      <c r="D334" t="s">
        <v>1131</v>
      </c>
      <c r="E334" s="18">
        <v>3.8</v>
      </c>
      <c r="F334" s="2">
        <f t="shared" si="105"/>
        <v>0.13333333333333325</v>
      </c>
      <c r="G334" s="10">
        <v>31.871519999999997</v>
      </c>
      <c r="H334">
        <f t="shared" si="106"/>
        <v>0.42703273698985617</v>
      </c>
      <c r="I334" s="22">
        <v>0</v>
      </c>
      <c r="J334" s="2">
        <f t="shared" si="107"/>
        <v>0</v>
      </c>
      <c r="K334" s="8">
        <v>0</v>
      </c>
      <c r="L334" s="2">
        <v>0</v>
      </c>
      <c r="M334">
        <v>24428</v>
      </c>
      <c r="N334">
        <f t="shared" si="108"/>
        <v>0.11444833998097968</v>
      </c>
      <c r="O334" s="8">
        <v>0.96127500399999999</v>
      </c>
      <c r="P334">
        <f t="shared" si="109"/>
        <v>0.96317559172919243</v>
      </c>
      <c r="Q334" s="20">
        <v>0.29089999999999999</v>
      </c>
      <c r="R334" s="10">
        <f t="shared" si="110"/>
        <v>0.62992637505413596</v>
      </c>
      <c r="S334">
        <f t="shared" si="111"/>
        <v>2.2676889772646907E-2</v>
      </c>
      <c r="T334" s="11">
        <f t="shared" si="112"/>
        <v>4.1626878855712278E-2</v>
      </c>
      <c r="U334" t="str">
        <f t="shared" si="113"/>
        <v>No Impact</v>
      </c>
      <c r="V334">
        <f t="shared" si="114"/>
        <v>1.7933278936097741E-2</v>
      </c>
      <c r="W334">
        <f t="shared" si="115"/>
        <v>2.3621486586066064E-2</v>
      </c>
      <c r="X334" t="s">
        <v>1176</v>
      </c>
      <c r="Y334">
        <f t="shared" si="116"/>
        <v>2.7420500609196072E-2</v>
      </c>
      <c r="Z334">
        <f t="shared" si="117"/>
        <v>5.0126491708710058E-2</v>
      </c>
      <c r="AA334" t="str">
        <f t="shared" si="118"/>
        <v>No Impact</v>
      </c>
      <c r="AB334">
        <f t="shared" si="119"/>
        <v>1.5643172193933571E-2</v>
      </c>
      <c r="AC334">
        <f t="shared" si="120"/>
        <v>3.8092286292723307E-2</v>
      </c>
      <c r="AD334" t="str">
        <f t="shared" si="121"/>
        <v>No Impact</v>
      </c>
      <c r="AE334">
        <f t="shared" si="122"/>
        <v>3.2582125244015538E-3</v>
      </c>
      <c r="AF334">
        <f t="shared" si="123"/>
        <v>1.7826821420336862E-2</v>
      </c>
      <c r="AG334" t="s">
        <v>1176</v>
      </c>
    </row>
    <row r="335" spans="1:33" customFormat="1" x14ac:dyDescent="0.3">
      <c r="A335">
        <v>405747</v>
      </c>
      <c r="B335" t="s">
        <v>175</v>
      </c>
      <c r="C335" t="s">
        <v>872</v>
      </c>
      <c r="D335" t="s">
        <v>871</v>
      </c>
      <c r="E335" s="18">
        <v>4.9000000000000004</v>
      </c>
      <c r="F335" s="2">
        <f t="shared" si="105"/>
        <v>0.37777777777777782</v>
      </c>
      <c r="G335" s="10">
        <v>31.035600000000002</v>
      </c>
      <c r="H335">
        <f t="shared" si="106"/>
        <v>0.41583260579107562</v>
      </c>
      <c r="I335" s="22">
        <v>0.10000000000000005</v>
      </c>
      <c r="J335" s="2">
        <f t="shared" si="107"/>
        <v>5.1308363263211933E-4</v>
      </c>
      <c r="K335" s="8">
        <v>0</v>
      </c>
      <c r="L335" s="2">
        <v>0</v>
      </c>
      <c r="M335">
        <v>56017</v>
      </c>
      <c r="N335">
        <f t="shared" si="108"/>
        <v>0.26390919457022138</v>
      </c>
      <c r="O335" s="8">
        <v>0.795329485</v>
      </c>
      <c r="P335">
        <f t="shared" si="109"/>
        <v>0.78042164951944581</v>
      </c>
      <c r="Q335" s="20">
        <v>0.28670000000000001</v>
      </c>
      <c r="R335" s="10">
        <f t="shared" si="110"/>
        <v>0.62083152880034653</v>
      </c>
      <c r="S335">
        <f t="shared" si="111"/>
        <v>5.5099429166334264E-2</v>
      </c>
      <c r="T335" s="11">
        <f t="shared" si="112"/>
        <v>0.10114337926943053</v>
      </c>
      <c r="U335" t="str">
        <f t="shared" si="113"/>
        <v>No Impact</v>
      </c>
      <c r="V335">
        <f t="shared" si="114"/>
        <v>4.8824100276267018E-2</v>
      </c>
      <c r="W335">
        <f t="shared" si="115"/>
        <v>6.4310482977606664E-2</v>
      </c>
      <c r="X335" t="s">
        <v>1176</v>
      </c>
      <c r="Y335">
        <f t="shared" si="116"/>
        <v>6.1374758056401503E-2</v>
      </c>
      <c r="Z335">
        <f t="shared" si="117"/>
        <v>0.11219712377557844</v>
      </c>
      <c r="AA335" t="str">
        <f t="shared" si="118"/>
        <v>No Impact</v>
      </c>
      <c r="AB335">
        <f t="shared" si="119"/>
        <v>4.2764983186654303E-2</v>
      </c>
      <c r="AC335">
        <f t="shared" si="120"/>
        <v>0.10413591071261541</v>
      </c>
      <c r="AD335" t="str">
        <f t="shared" si="121"/>
        <v>No Impact</v>
      </c>
      <c r="AE335">
        <f t="shared" si="122"/>
        <v>2.0754630494401141E-2</v>
      </c>
      <c r="AF335">
        <f t="shared" si="123"/>
        <v>0.11355584962547033</v>
      </c>
      <c r="AG335" t="s">
        <v>1176</v>
      </c>
    </row>
    <row r="336" spans="1:33" customFormat="1" x14ac:dyDescent="0.3">
      <c r="A336">
        <v>405760</v>
      </c>
      <c r="B336" t="s">
        <v>348</v>
      </c>
      <c r="C336" t="s">
        <v>872</v>
      </c>
      <c r="D336" t="s">
        <v>874</v>
      </c>
      <c r="E336" s="18">
        <v>5.4</v>
      </c>
      <c r="F336" s="2">
        <f t="shared" si="105"/>
        <v>0.48888888888888893</v>
      </c>
      <c r="G336" s="10">
        <v>31.95</v>
      </c>
      <c r="H336">
        <f t="shared" si="106"/>
        <v>0.42808425662867372</v>
      </c>
      <c r="I336" s="22">
        <v>0</v>
      </c>
      <c r="J336" s="2">
        <f t="shared" si="107"/>
        <v>0</v>
      </c>
      <c r="K336" s="8">
        <v>0</v>
      </c>
      <c r="L336" s="2">
        <v>0</v>
      </c>
      <c r="M336">
        <v>60437</v>
      </c>
      <c r="N336">
        <f t="shared" si="108"/>
        <v>0.28482207491731842</v>
      </c>
      <c r="O336" s="8">
        <v>0.50088014400000003</v>
      </c>
      <c r="P336">
        <f t="shared" si="109"/>
        <v>0.45614788682259361</v>
      </c>
      <c r="Q336" s="20">
        <v>0.27650000000000002</v>
      </c>
      <c r="R336" s="10">
        <f t="shared" si="110"/>
        <v>0.59874404504114342</v>
      </c>
      <c r="S336">
        <f t="shared" si="111"/>
        <v>5.5193432369224527E-2</v>
      </c>
      <c r="T336" s="11">
        <f t="shared" si="112"/>
        <v>0.10131593644010045</v>
      </c>
      <c r="U336" t="str">
        <f t="shared" si="113"/>
        <v>No Impact</v>
      </c>
      <c r="V336">
        <f t="shared" si="114"/>
        <v>6.2654264305669186E-2</v>
      </c>
      <c r="W336">
        <f t="shared" si="115"/>
        <v>8.2527398872782265E-2</v>
      </c>
      <c r="X336" t="s">
        <v>1176</v>
      </c>
      <c r="Y336">
        <f t="shared" si="116"/>
        <v>4.7732600432779874E-2</v>
      </c>
      <c r="Z336">
        <f t="shared" si="117"/>
        <v>8.7258355853155958E-2</v>
      </c>
      <c r="AA336" t="str">
        <f t="shared" si="118"/>
        <v>No Impact</v>
      </c>
      <c r="AB336">
        <f t="shared" si="119"/>
        <v>4.6680377257213822E-2</v>
      </c>
      <c r="AC336">
        <f t="shared" si="120"/>
        <v>0.11367018611632308</v>
      </c>
      <c r="AD336" t="str">
        <f t="shared" si="121"/>
        <v>No Impact</v>
      </c>
      <c r="AE336">
        <f t="shared" si="122"/>
        <v>2.9804584629701859E-2</v>
      </c>
      <c r="AF336">
        <f t="shared" si="123"/>
        <v>0.16307131708623007</v>
      </c>
      <c r="AG336" t="s">
        <v>1175</v>
      </c>
    </row>
    <row r="337" spans="1:33" customFormat="1" x14ac:dyDescent="0.3">
      <c r="A337">
        <v>405787</v>
      </c>
      <c r="B337" t="s">
        <v>331</v>
      </c>
      <c r="C337" t="s">
        <v>872</v>
      </c>
      <c r="D337" t="s">
        <v>873</v>
      </c>
      <c r="E337" s="18">
        <v>5.4</v>
      </c>
      <c r="F337" s="2">
        <f t="shared" si="105"/>
        <v>0.48888888888888893</v>
      </c>
      <c r="G337" s="10">
        <v>32.042520000000003</v>
      </c>
      <c r="H337">
        <f t="shared" si="106"/>
        <v>0.42932389216617878</v>
      </c>
      <c r="I337" s="22">
        <v>0.10000000000000005</v>
      </c>
      <c r="J337" s="2">
        <f t="shared" si="107"/>
        <v>5.1308363263211933E-4</v>
      </c>
      <c r="K337" s="8">
        <v>0</v>
      </c>
      <c r="L337" s="2">
        <v>0</v>
      </c>
      <c r="M337">
        <v>21638</v>
      </c>
      <c r="N337">
        <f t="shared" si="108"/>
        <v>0.10124767568948631</v>
      </c>
      <c r="O337" s="8">
        <v>0.58731648199999997</v>
      </c>
      <c r="P337">
        <f t="shared" si="109"/>
        <v>0.55133925815256679</v>
      </c>
      <c r="Q337" s="20">
        <v>0.2777</v>
      </c>
      <c r="R337" s="10">
        <f t="shared" si="110"/>
        <v>0.60134257254222612</v>
      </c>
      <c r="S337">
        <f t="shared" si="111"/>
        <v>6.0556866597832826E-2</v>
      </c>
      <c r="T337" s="11">
        <f t="shared" si="112"/>
        <v>0.11116133539574385</v>
      </c>
      <c r="U337" t="str">
        <f t="shared" si="113"/>
        <v>No Impact</v>
      </c>
      <c r="V337">
        <f t="shared" si="114"/>
        <v>6.3183822240153412E-2</v>
      </c>
      <c r="W337">
        <f t="shared" si="115"/>
        <v>8.3224925838739652E-2</v>
      </c>
      <c r="X337" t="s">
        <v>1176</v>
      </c>
      <c r="Y337">
        <f t="shared" si="116"/>
        <v>5.7929910955512261E-2</v>
      </c>
      <c r="Z337">
        <f t="shared" si="117"/>
        <v>0.10589971505567393</v>
      </c>
      <c r="AA337" t="str">
        <f t="shared" si="118"/>
        <v>No Impact</v>
      </c>
      <c r="AB337">
        <f t="shared" si="119"/>
        <v>4.321668839718195E-2</v>
      </c>
      <c r="AC337">
        <f t="shared" si="120"/>
        <v>0.10523584645365434</v>
      </c>
      <c r="AD337" t="str">
        <f t="shared" si="121"/>
        <v>No Impact</v>
      </c>
      <c r="AE337">
        <f t="shared" si="122"/>
        <v>1.0638220932784522E-2</v>
      </c>
      <c r="AF337">
        <f t="shared" si="123"/>
        <v>5.8205431161575907E-2</v>
      </c>
      <c r="AG337" t="s">
        <v>1176</v>
      </c>
    </row>
    <row r="338" spans="1:33" customFormat="1" x14ac:dyDescent="0.3">
      <c r="A338">
        <v>406528</v>
      </c>
      <c r="B338" t="s">
        <v>240</v>
      </c>
      <c r="C338" t="s">
        <v>876</v>
      </c>
      <c r="D338" t="s">
        <v>875</v>
      </c>
      <c r="E338" s="18">
        <v>5.5</v>
      </c>
      <c r="F338" s="2">
        <f t="shared" si="105"/>
        <v>0.51111111111111107</v>
      </c>
      <c r="G338" s="10">
        <v>37.958400000000005</v>
      </c>
      <c r="H338">
        <f t="shared" si="106"/>
        <v>0.50858821429777312</v>
      </c>
      <c r="I338" s="22">
        <v>35.6</v>
      </c>
      <c r="J338" s="2">
        <f t="shared" si="107"/>
        <v>0.18265777321703441</v>
      </c>
      <c r="K338" s="8">
        <v>0</v>
      </c>
      <c r="L338" s="2">
        <v>0</v>
      </c>
      <c r="M338">
        <v>44158</v>
      </c>
      <c r="N338">
        <f t="shared" si="108"/>
        <v>0.20779927420003502</v>
      </c>
      <c r="O338" s="8">
        <v>0.91710146999999997</v>
      </c>
      <c r="P338">
        <f t="shared" si="109"/>
        <v>0.91452777328562074</v>
      </c>
      <c r="Q338" s="20">
        <v>0.24199999999999999</v>
      </c>
      <c r="R338" s="10">
        <f t="shared" si="110"/>
        <v>0.52403637938501513</v>
      </c>
      <c r="S338">
        <f t="shared" si="111"/>
        <v>0.12706243922929428</v>
      </c>
      <c r="T338" s="11">
        <f t="shared" si="112"/>
        <v>0.23324242512696949</v>
      </c>
      <c r="U338" t="str">
        <f t="shared" si="113"/>
        <v>Low</v>
      </c>
      <c r="V338">
        <f t="shared" si="114"/>
        <v>9.2571944721318009E-2</v>
      </c>
      <c r="W338">
        <f t="shared" si="115"/>
        <v>0.1219345864341127</v>
      </c>
      <c r="X338" t="s">
        <v>1176</v>
      </c>
      <c r="Y338">
        <f t="shared" si="116"/>
        <v>0.16155293373727056</v>
      </c>
      <c r="Z338">
        <f t="shared" si="117"/>
        <v>0.29532946567661161</v>
      </c>
      <c r="AA338" t="str">
        <f t="shared" si="118"/>
        <v>Low</v>
      </c>
      <c r="AB338">
        <f t="shared" si="119"/>
        <v>9.3713897848298811E-2</v>
      </c>
      <c r="AC338">
        <f t="shared" si="120"/>
        <v>0.22820030248268866</v>
      </c>
      <c r="AD338" t="str">
        <f t="shared" si="121"/>
        <v>Low</v>
      </c>
      <c r="AE338">
        <f t="shared" si="122"/>
        <v>3.6708105927589559E-2</v>
      </c>
      <c r="AF338">
        <f t="shared" si="123"/>
        <v>0.20084289902793917</v>
      </c>
      <c r="AG338" t="s">
        <v>1175</v>
      </c>
    </row>
    <row r="339" spans="1:33" customFormat="1" x14ac:dyDescent="0.3">
      <c r="A339">
        <v>406552</v>
      </c>
      <c r="B339" t="s">
        <v>303</v>
      </c>
      <c r="C339" t="s">
        <v>876</v>
      </c>
      <c r="D339" t="s">
        <v>1121</v>
      </c>
      <c r="E339" s="18">
        <v>5.4</v>
      </c>
      <c r="F339" s="2">
        <f t="shared" si="105"/>
        <v>0.48888888888888893</v>
      </c>
      <c r="G339" s="10">
        <v>37.958400000000005</v>
      </c>
      <c r="H339">
        <f t="shared" si="106"/>
        <v>0.50858821429777312</v>
      </c>
      <c r="I339" s="22">
        <v>22.4</v>
      </c>
      <c r="J339" s="2">
        <f t="shared" si="107"/>
        <v>0.11493073370959467</v>
      </c>
      <c r="K339" s="8">
        <v>0</v>
      </c>
      <c r="L339" s="2">
        <v>0</v>
      </c>
      <c r="M339">
        <v>38864</v>
      </c>
      <c r="N339">
        <f t="shared" si="108"/>
        <v>0.18275113199244866</v>
      </c>
      <c r="O339" s="8">
        <v>0.921935485</v>
      </c>
      <c r="P339">
        <f t="shared" si="109"/>
        <v>0.91985141988526797</v>
      </c>
      <c r="Q339" s="20">
        <v>0.27360000000000001</v>
      </c>
      <c r="R339" s="10">
        <f t="shared" si="110"/>
        <v>0.5924642702468601</v>
      </c>
      <c r="S339">
        <f t="shared" si="111"/>
        <v>0.11525035966476033</v>
      </c>
      <c r="T339" s="11">
        <f t="shared" si="112"/>
        <v>0.21155955723827063</v>
      </c>
      <c r="U339" t="str">
        <f t="shared" si="113"/>
        <v>Low</v>
      </c>
      <c r="V339">
        <f t="shared" si="114"/>
        <v>9.0300881859533902E-2</v>
      </c>
      <c r="W339">
        <f t="shared" si="115"/>
        <v>0.11894317136066716</v>
      </c>
      <c r="X339" t="s">
        <v>1176</v>
      </c>
      <c r="Y339">
        <f t="shared" si="116"/>
        <v>0.14019983746998677</v>
      </c>
      <c r="Z339">
        <f t="shared" si="117"/>
        <v>0.25629459106756375</v>
      </c>
      <c r="AA339" t="str">
        <f t="shared" si="118"/>
        <v>Low</v>
      </c>
      <c r="AB339">
        <f t="shared" si="119"/>
        <v>8.3414212230350365E-2</v>
      </c>
      <c r="AC339">
        <f t="shared" si="120"/>
        <v>0.20311980292543863</v>
      </c>
      <c r="AD339" t="str">
        <f t="shared" si="121"/>
        <v>Low</v>
      </c>
      <c r="AE339">
        <f t="shared" si="122"/>
        <v>2.7854149538621316E-2</v>
      </c>
      <c r="AF339">
        <f t="shared" si="123"/>
        <v>0.15239980385612314</v>
      </c>
      <c r="AG339" t="s">
        <v>1175</v>
      </c>
    </row>
    <row r="340" spans="1:33" customFormat="1" x14ac:dyDescent="0.3">
      <c r="A340">
        <v>406576</v>
      </c>
      <c r="B340" t="s">
        <v>370</v>
      </c>
      <c r="C340" t="s">
        <v>876</v>
      </c>
      <c r="D340" t="s">
        <v>877</v>
      </c>
      <c r="E340" s="18">
        <v>5.5</v>
      </c>
      <c r="F340" s="2">
        <f t="shared" si="105"/>
        <v>0.51111111111111107</v>
      </c>
      <c r="G340" s="10">
        <v>35.991</v>
      </c>
      <c r="H340">
        <f t="shared" si="106"/>
        <v>0.4822278710586102</v>
      </c>
      <c r="I340" s="22">
        <v>23.599999999999998</v>
      </c>
      <c r="J340" s="2">
        <f t="shared" si="107"/>
        <v>0.1210877373011801</v>
      </c>
      <c r="K340" s="8">
        <v>0</v>
      </c>
      <c r="L340" s="2">
        <v>0</v>
      </c>
      <c r="M340">
        <v>41242</v>
      </c>
      <c r="N340">
        <f t="shared" si="108"/>
        <v>0.19400245087602258</v>
      </c>
      <c r="O340" s="8">
        <v>0.93892811399999998</v>
      </c>
      <c r="P340">
        <f t="shared" si="109"/>
        <v>0.93856521195974796</v>
      </c>
      <c r="Q340" s="20">
        <v>0.254</v>
      </c>
      <c r="R340" s="10">
        <f t="shared" si="110"/>
        <v>0.55002165439584239</v>
      </c>
      <c r="S340">
        <f t="shared" si="111"/>
        <v>0.11475564938916381</v>
      </c>
      <c r="T340" s="11">
        <f t="shared" si="112"/>
        <v>0.21065144131420013</v>
      </c>
      <c r="U340" t="str">
        <f t="shared" si="113"/>
        <v>Low</v>
      </c>
      <c r="V340">
        <f t="shared" si="114"/>
        <v>8.480269919729308E-2</v>
      </c>
      <c r="W340">
        <f t="shared" si="115"/>
        <v>0.11170103519211419</v>
      </c>
      <c r="X340" t="s">
        <v>1176</v>
      </c>
      <c r="Y340">
        <f t="shared" si="116"/>
        <v>0.14470859958103455</v>
      </c>
      <c r="Z340">
        <f t="shared" si="117"/>
        <v>0.26453690690990056</v>
      </c>
      <c r="AA340" t="str">
        <f t="shared" si="118"/>
        <v>Low</v>
      </c>
      <c r="AB340">
        <f t="shared" si="119"/>
        <v>8.3562523356942267E-2</v>
      </c>
      <c r="AC340">
        <f t="shared" si="120"/>
        <v>0.20348095153548371</v>
      </c>
      <c r="AD340" t="str">
        <f t="shared" si="121"/>
        <v>Low</v>
      </c>
      <c r="AE340">
        <f t="shared" si="122"/>
        <v>2.9911425038798123E-2</v>
      </c>
      <c r="AF340">
        <f t="shared" si="123"/>
        <v>0.16365587836919446</v>
      </c>
      <c r="AG340" t="s">
        <v>1175</v>
      </c>
    </row>
    <row r="341" spans="1:33" customFormat="1" x14ac:dyDescent="0.3">
      <c r="A341">
        <v>408704</v>
      </c>
      <c r="B341" t="s">
        <v>14</v>
      </c>
      <c r="C341" t="s">
        <v>879</v>
      </c>
      <c r="D341" t="s">
        <v>878</v>
      </c>
      <c r="E341" s="18">
        <v>6.9</v>
      </c>
      <c r="F341" s="2">
        <f t="shared" si="105"/>
        <v>0.8222222222222223</v>
      </c>
      <c r="G341" s="10">
        <v>45.143639999999998</v>
      </c>
      <c r="H341">
        <f t="shared" si="106"/>
        <v>0.60486014306455271</v>
      </c>
      <c r="I341" s="22">
        <v>70.5</v>
      </c>
      <c r="J341" s="2">
        <f t="shared" si="107"/>
        <v>0.36172396100564397</v>
      </c>
      <c r="K341" s="8">
        <v>0</v>
      </c>
      <c r="L341" s="2">
        <v>0</v>
      </c>
      <c r="M341">
        <v>39423</v>
      </c>
      <c r="N341">
        <f t="shared" si="108"/>
        <v>0.18539599627164033</v>
      </c>
      <c r="O341" s="8">
        <v>0.80060353900000003</v>
      </c>
      <c r="P341">
        <f t="shared" si="109"/>
        <v>0.78622990614327837</v>
      </c>
      <c r="Q341" s="20">
        <v>0.22420000000000001</v>
      </c>
      <c r="R341" s="10">
        <f t="shared" si="110"/>
        <v>0.4854915547856215</v>
      </c>
      <c r="S341">
        <f t="shared" si="111"/>
        <v>0.2526741817263094</v>
      </c>
      <c r="T341" s="11">
        <f t="shared" si="112"/>
        <v>0.46382187584534956</v>
      </c>
      <c r="U341" t="str">
        <f t="shared" si="113"/>
        <v>Moderate</v>
      </c>
      <c r="V341">
        <f t="shared" si="114"/>
        <v>0.19292146135662169</v>
      </c>
      <c r="W341">
        <f t="shared" si="115"/>
        <v>0.25411369152502122</v>
      </c>
      <c r="X341" t="s">
        <v>1175</v>
      </c>
      <c r="Y341">
        <f t="shared" si="116"/>
        <v>0.31242690209599711</v>
      </c>
      <c r="Z341">
        <f t="shared" si="117"/>
        <v>0.57113707516487688</v>
      </c>
      <c r="AA341" t="str">
        <f t="shared" si="118"/>
        <v>Moderate</v>
      </c>
      <c r="AB341">
        <f t="shared" si="119"/>
        <v>0.18703558940650342</v>
      </c>
      <c r="AC341">
        <f t="shared" si="120"/>
        <v>0.45544555351527122</v>
      </c>
      <c r="AD341" t="str">
        <f t="shared" si="121"/>
        <v>Moderate</v>
      </c>
      <c r="AE341">
        <f t="shared" si="122"/>
        <v>7.3671449436819164E-2</v>
      </c>
      <c r="AF341">
        <f t="shared" si="123"/>
        <v>0.40308229222364034</v>
      </c>
      <c r="AG341" t="str">
        <f t="shared" ref="AG322:AG385" si="124">IF(AF341&gt;0.7,"High",IF(AF341&gt;0.3,"Moderate",IF(AF341&gt;0.15,"Low","No Impact")))</f>
        <v>Moderate</v>
      </c>
    </row>
    <row r="342" spans="1:33" customFormat="1" x14ac:dyDescent="0.3">
      <c r="A342">
        <v>408725</v>
      </c>
      <c r="B342" t="s">
        <v>133</v>
      </c>
      <c r="C342" t="s">
        <v>879</v>
      </c>
      <c r="D342" t="s">
        <v>880</v>
      </c>
      <c r="E342" s="18">
        <v>6.7</v>
      </c>
      <c r="F342" s="2">
        <f t="shared" si="105"/>
        <v>0.77777777777777779</v>
      </c>
      <c r="G342" s="10">
        <v>46.502640000000007</v>
      </c>
      <c r="H342">
        <f t="shared" si="106"/>
        <v>0.6230687973605894</v>
      </c>
      <c r="I342" s="22">
        <v>61.199999999999996</v>
      </c>
      <c r="J342" s="2">
        <f t="shared" si="107"/>
        <v>0.31400718317085685</v>
      </c>
      <c r="K342" s="8">
        <v>0</v>
      </c>
      <c r="L342" s="2">
        <v>0</v>
      </c>
      <c r="M342">
        <v>18680</v>
      </c>
      <c r="N342">
        <f t="shared" si="108"/>
        <v>8.7252132687967526E-2</v>
      </c>
      <c r="O342" s="8">
        <v>0.75519396299999997</v>
      </c>
      <c r="P342">
        <f t="shared" si="109"/>
        <v>0.73622084848337788</v>
      </c>
      <c r="Q342" s="20">
        <v>0.2167</v>
      </c>
      <c r="R342" s="10">
        <f t="shared" si="110"/>
        <v>0.46925075790385451</v>
      </c>
      <c r="S342">
        <f t="shared" si="111"/>
        <v>0.21964803924741483</v>
      </c>
      <c r="T342" s="11">
        <f t="shared" si="112"/>
        <v>0.40319737020001606</v>
      </c>
      <c r="U342" t="str">
        <f t="shared" si="113"/>
        <v>Moderate</v>
      </c>
      <c r="V342">
        <f t="shared" si="114"/>
        <v>0.17100362769695285</v>
      </c>
      <c r="W342">
        <f t="shared" si="115"/>
        <v>0.22524380021109328</v>
      </c>
      <c r="X342" t="s">
        <v>1175</v>
      </c>
      <c r="Y342">
        <f t="shared" si="116"/>
        <v>0.26829245079787678</v>
      </c>
      <c r="Z342">
        <f t="shared" si="117"/>
        <v>0.49045637430554423</v>
      </c>
      <c r="AA342" t="str">
        <f t="shared" si="118"/>
        <v>Moderate</v>
      </c>
      <c r="AB342">
        <f t="shared" si="119"/>
        <v>0.15146770496610157</v>
      </c>
      <c r="AC342">
        <f t="shared" si="120"/>
        <v>0.36883511286208315</v>
      </c>
      <c r="AD342" t="str">
        <f t="shared" si="121"/>
        <v>Moderate</v>
      </c>
      <c r="AE342">
        <f t="shared" si="122"/>
        <v>3.1796285808014399E-2</v>
      </c>
      <c r="AF342">
        <f t="shared" si="123"/>
        <v>0.17396861152682941</v>
      </c>
      <c r="AG342" t="s">
        <v>1175</v>
      </c>
    </row>
    <row r="343" spans="1:33" customFormat="1" x14ac:dyDescent="0.3">
      <c r="A343">
        <v>408743</v>
      </c>
      <c r="B343" t="s">
        <v>239</v>
      </c>
      <c r="C343" t="s">
        <v>879</v>
      </c>
      <c r="D343" t="s">
        <v>881</v>
      </c>
      <c r="E343" s="18">
        <v>6.5</v>
      </c>
      <c r="F343" s="2">
        <f t="shared" si="105"/>
        <v>0.73333333333333328</v>
      </c>
      <c r="G343" s="10">
        <v>39.95532</v>
      </c>
      <c r="H343">
        <f t="shared" si="106"/>
        <v>0.53534408327263783</v>
      </c>
      <c r="I343" s="22">
        <v>41.4</v>
      </c>
      <c r="J343" s="2">
        <f t="shared" si="107"/>
        <v>0.21241662390969729</v>
      </c>
      <c r="K343" s="8">
        <v>0</v>
      </c>
      <c r="L343" s="2">
        <v>0</v>
      </c>
      <c r="M343">
        <v>48599</v>
      </c>
      <c r="N343">
        <f t="shared" si="108"/>
        <v>0.22881151438588523</v>
      </c>
      <c r="O343" s="8">
        <v>0.83971533200000004</v>
      </c>
      <c r="P343">
        <f t="shared" si="109"/>
        <v>0.82930328589293933</v>
      </c>
      <c r="Q343" s="20">
        <v>0.27710000000000001</v>
      </c>
      <c r="R343" s="10">
        <f t="shared" si="110"/>
        <v>0.60004330879168477</v>
      </c>
      <c r="S343">
        <f t="shared" si="111"/>
        <v>0.19594835708250677</v>
      </c>
      <c r="T343" s="11">
        <f t="shared" si="112"/>
        <v>0.35969300040819868</v>
      </c>
      <c r="U343" t="str">
        <f t="shared" si="113"/>
        <v>Moderate</v>
      </c>
      <c r="V343">
        <f t="shared" si="114"/>
        <v>0.16451922993810278</v>
      </c>
      <c r="W343">
        <f t="shared" si="115"/>
        <v>0.21670263407938956</v>
      </c>
      <c r="X343" t="s">
        <v>1175</v>
      </c>
      <c r="Y343">
        <f t="shared" si="116"/>
        <v>0.22737748422691079</v>
      </c>
      <c r="Z343">
        <f t="shared" si="117"/>
        <v>0.41566110481677881</v>
      </c>
      <c r="AA343" t="str">
        <f t="shared" si="118"/>
        <v>Moderate</v>
      </c>
      <c r="AB343">
        <f t="shared" si="119"/>
        <v>0.14775232908851935</v>
      </c>
      <c r="AC343">
        <f t="shared" si="120"/>
        <v>0.35978789661595473</v>
      </c>
      <c r="AD343" t="str">
        <f t="shared" si="121"/>
        <v>Moderate</v>
      </c>
      <c r="AE343">
        <f t="shared" si="122"/>
        <v>6.273529526317187E-2</v>
      </c>
      <c r="AF343">
        <f t="shared" si="123"/>
        <v>0.34324676399495602</v>
      </c>
      <c r="AG343" t="str">
        <f t="shared" si="124"/>
        <v>Moderate</v>
      </c>
    </row>
    <row r="344" spans="1:33" customFormat="1" x14ac:dyDescent="0.3">
      <c r="A344">
        <v>408747</v>
      </c>
      <c r="B344" t="s">
        <v>244</v>
      </c>
      <c r="C344" t="s">
        <v>1023</v>
      </c>
      <c r="D344" t="s">
        <v>1130</v>
      </c>
      <c r="E344" s="18">
        <v>6.9</v>
      </c>
      <c r="F344" s="2">
        <f t="shared" si="105"/>
        <v>0.8222222222222223</v>
      </c>
      <c r="G344" s="10">
        <v>47.804040000000001</v>
      </c>
      <c r="H344">
        <f t="shared" si="106"/>
        <v>0.64050569412354874</v>
      </c>
      <c r="I344" s="22">
        <v>65.7</v>
      </c>
      <c r="J344" s="2">
        <f t="shared" si="107"/>
        <v>0.33709594663930226</v>
      </c>
      <c r="K344" s="8">
        <v>0</v>
      </c>
      <c r="L344" s="2">
        <v>0</v>
      </c>
      <c r="M344">
        <v>39782</v>
      </c>
      <c r="N344">
        <f t="shared" si="108"/>
        <v>0.18709457637223034</v>
      </c>
      <c r="O344" s="8">
        <v>0.86628744899999999</v>
      </c>
      <c r="P344">
        <f t="shared" si="109"/>
        <v>0.8585668608533974</v>
      </c>
      <c r="Q344" s="20">
        <v>0.2792</v>
      </c>
      <c r="R344" s="10">
        <f t="shared" si="110"/>
        <v>0.60459073191857948</v>
      </c>
      <c r="S344">
        <f t="shared" si="111"/>
        <v>0.29402363747430443</v>
      </c>
      <c r="T344" s="11">
        <f t="shared" si="112"/>
        <v>0.53972508842997891</v>
      </c>
      <c r="U344" t="str">
        <f t="shared" si="113"/>
        <v>Moderate</v>
      </c>
      <c r="V344">
        <f t="shared" si="114"/>
        <v>0.24298676651115336</v>
      </c>
      <c r="W344">
        <f t="shared" si="115"/>
        <v>0.32005907375819415</v>
      </c>
      <c r="X344" t="str">
        <f t="shared" ref="X322:X385" si="125">IF(W344&gt;0.7,"High",IF(W344&gt;0.3,"Moderate",IF(W344&gt;0.15,"Low","No Impact")))</f>
        <v>Moderate</v>
      </c>
      <c r="Y344">
        <f t="shared" si="116"/>
        <v>0.3450605084374555</v>
      </c>
      <c r="Z344">
        <f t="shared" si="117"/>
        <v>0.63079346951793325</v>
      </c>
      <c r="AA344" t="str">
        <f t="shared" si="118"/>
        <v>Moderate</v>
      </c>
      <c r="AB344">
        <f t="shared" si="119"/>
        <v>0.21488136908424288</v>
      </c>
      <c r="AC344">
        <f t="shared" si="120"/>
        <v>0.52325209546076568</v>
      </c>
      <c r="AD344" t="str">
        <f t="shared" si="121"/>
        <v>Moderate</v>
      </c>
      <c r="AE344">
        <f t="shared" si="122"/>
        <v>7.5193852211721646E-2</v>
      </c>
      <c r="AF344">
        <f t="shared" si="123"/>
        <v>0.41141189079793733</v>
      </c>
      <c r="AG344" t="str">
        <f t="shared" si="124"/>
        <v>Moderate</v>
      </c>
    </row>
    <row r="345" spans="1:33" customFormat="1" x14ac:dyDescent="0.3">
      <c r="A345">
        <v>408782</v>
      </c>
      <c r="B345" t="s">
        <v>463</v>
      </c>
      <c r="C345" t="s">
        <v>879</v>
      </c>
      <c r="D345" t="s">
        <v>882</v>
      </c>
      <c r="E345" s="18">
        <v>7</v>
      </c>
      <c r="F345" s="2">
        <f t="shared" si="105"/>
        <v>0.84444444444444444</v>
      </c>
      <c r="G345" s="10">
        <v>46.502640000000007</v>
      </c>
      <c r="H345">
        <f t="shared" si="106"/>
        <v>0.6230687973605894</v>
      </c>
      <c r="I345" s="22">
        <v>64</v>
      </c>
      <c r="J345" s="2">
        <f t="shared" si="107"/>
        <v>0.32837352488455623</v>
      </c>
      <c r="K345" s="8">
        <v>0</v>
      </c>
      <c r="L345" s="2">
        <v>0</v>
      </c>
      <c r="M345">
        <v>45523</v>
      </c>
      <c r="N345">
        <f t="shared" si="108"/>
        <v>0.21425766371899144</v>
      </c>
      <c r="O345" s="8">
        <v>0.80010126800000003</v>
      </c>
      <c r="P345">
        <f t="shared" si="109"/>
        <v>0.78567676071421966</v>
      </c>
      <c r="Q345" s="20">
        <v>0.21540000000000001</v>
      </c>
      <c r="R345" s="10">
        <f t="shared" si="110"/>
        <v>0.46643568644434824</v>
      </c>
      <c r="S345">
        <f t="shared" si="111"/>
        <v>0.25149936349217111</v>
      </c>
      <c r="T345" s="11">
        <f t="shared" si="112"/>
        <v>0.46166531836324964</v>
      </c>
      <c r="U345" t="str">
        <f t="shared" si="113"/>
        <v>Moderate</v>
      </c>
      <c r="V345">
        <f t="shared" si="114"/>
        <v>0.18737658669075036</v>
      </c>
      <c r="W345">
        <f t="shared" si="115"/>
        <v>0.24681005324403443</v>
      </c>
      <c r="X345" t="s">
        <v>1175</v>
      </c>
      <c r="Y345">
        <f t="shared" si="116"/>
        <v>0.31562214029359181</v>
      </c>
      <c r="Z345">
        <f t="shared" si="117"/>
        <v>0.57697818227308806</v>
      </c>
      <c r="AA345" t="str">
        <f t="shared" si="118"/>
        <v>Moderate</v>
      </c>
      <c r="AB345">
        <f t="shared" si="119"/>
        <v>0.19039351033425464</v>
      </c>
      <c r="AC345">
        <f t="shared" si="120"/>
        <v>0.46362234040622108</v>
      </c>
      <c r="AD345" t="str">
        <f t="shared" si="121"/>
        <v>Moderate</v>
      </c>
      <c r="AE345">
        <f t="shared" si="122"/>
        <v>8.6071608298327038E-2</v>
      </c>
      <c r="AF345">
        <f t="shared" si="123"/>
        <v>0.4709279026472607</v>
      </c>
      <c r="AG345" t="str">
        <f t="shared" si="124"/>
        <v>Moderate</v>
      </c>
    </row>
    <row r="346" spans="1:33" customFormat="1" x14ac:dyDescent="0.3">
      <c r="A346">
        <v>408786</v>
      </c>
      <c r="B346" t="s">
        <v>537</v>
      </c>
      <c r="C346" t="s">
        <v>879</v>
      </c>
      <c r="D346" t="s">
        <v>883</v>
      </c>
      <c r="E346" s="18">
        <v>6.9</v>
      </c>
      <c r="F346" s="2">
        <f t="shared" si="105"/>
        <v>0.8222222222222223</v>
      </c>
      <c r="G346" s="10">
        <v>64.21284</v>
      </c>
      <c r="H346">
        <f t="shared" si="106"/>
        <v>0.86036012135887208</v>
      </c>
      <c r="I346" s="22">
        <v>161</v>
      </c>
      <c r="J346" s="2">
        <f t="shared" si="107"/>
        <v>0.82606464853771178</v>
      </c>
      <c r="K346" s="8">
        <v>0</v>
      </c>
      <c r="L346" s="2">
        <v>0</v>
      </c>
      <c r="M346">
        <v>55956</v>
      </c>
      <c r="N346">
        <f t="shared" si="108"/>
        <v>0.26362057789574789</v>
      </c>
      <c r="O346" s="8">
        <v>0.80010126800000003</v>
      </c>
      <c r="P346">
        <f t="shared" si="109"/>
        <v>0.78567676071421966</v>
      </c>
      <c r="Q346" s="20">
        <v>0.3488</v>
      </c>
      <c r="R346" s="10">
        <f t="shared" si="110"/>
        <v>0.7553053269813772</v>
      </c>
      <c r="S346">
        <f t="shared" si="111"/>
        <v>0.53418757454612098</v>
      </c>
      <c r="T346" s="11">
        <f t="shared" si="112"/>
        <v>0.9805825082185704</v>
      </c>
      <c r="U346" t="str">
        <f t="shared" si="113"/>
        <v>High</v>
      </c>
      <c r="V346">
        <f t="shared" si="114"/>
        <v>0.52365919614978484</v>
      </c>
      <c r="W346">
        <f t="shared" si="115"/>
        <v>0.68975722295957842</v>
      </c>
      <c r="X346" t="str">
        <f t="shared" si="125"/>
        <v>Moderate</v>
      </c>
      <c r="Y346">
        <f t="shared" si="116"/>
        <v>0.54471595294245712</v>
      </c>
      <c r="Z346">
        <f t="shared" si="117"/>
        <v>0.99577684915113984</v>
      </c>
      <c r="AA346" t="str">
        <f t="shared" si="118"/>
        <v>High</v>
      </c>
      <c r="AB346">
        <f t="shared" si="119"/>
        <v>0.41066509039972887</v>
      </c>
      <c r="AC346">
        <f t="shared" si="120"/>
        <v>1</v>
      </c>
      <c r="AD346" t="str">
        <f t="shared" si="121"/>
        <v>High</v>
      </c>
      <c r="AE346">
        <f t="shared" si="122"/>
        <v>0.18277024532733471</v>
      </c>
      <c r="AF346">
        <f t="shared" si="123"/>
        <v>1</v>
      </c>
      <c r="AG346" t="str">
        <f t="shared" si="124"/>
        <v>High</v>
      </c>
    </row>
    <row r="347" spans="1:33" customFormat="1" x14ac:dyDescent="0.3">
      <c r="A347">
        <v>408790</v>
      </c>
      <c r="B347" t="s">
        <v>508</v>
      </c>
      <c r="C347" t="s">
        <v>879</v>
      </c>
      <c r="D347" t="s">
        <v>884</v>
      </c>
      <c r="E347" s="18">
        <v>7</v>
      </c>
      <c r="F347" s="2">
        <f t="shared" si="105"/>
        <v>0.84444444444444444</v>
      </c>
      <c r="G347" s="10">
        <v>41.892479999999999</v>
      </c>
      <c r="H347">
        <f t="shared" si="106"/>
        <v>0.56129925380693524</v>
      </c>
      <c r="I347" s="22">
        <v>63.300000000000011</v>
      </c>
      <c r="J347" s="2">
        <f t="shared" si="107"/>
        <v>0.32478193945613143</v>
      </c>
      <c r="K347" s="8">
        <v>0</v>
      </c>
      <c r="L347" s="2">
        <v>0</v>
      </c>
      <c r="M347">
        <v>36530</v>
      </c>
      <c r="N347">
        <f t="shared" si="108"/>
        <v>0.1717079956281671</v>
      </c>
      <c r="O347" s="8">
        <v>0.758966645</v>
      </c>
      <c r="P347">
        <f t="shared" si="109"/>
        <v>0.7403756609324188</v>
      </c>
      <c r="Q347" s="20">
        <v>0.2392</v>
      </c>
      <c r="R347" s="10">
        <f t="shared" si="110"/>
        <v>0.51797314854915544</v>
      </c>
      <c r="S347">
        <f t="shared" si="111"/>
        <v>0.23538872309205847</v>
      </c>
      <c r="T347" s="11">
        <f t="shared" si="112"/>
        <v>0.43209178852970254</v>
      </c>
      <c r="U347" t="str">
        <f t="shared" si="113"/>
        <v>Moderate</v>
      </c>
      <c r="V347">
        <f t="shared" si="114"/>
        <v>0.1937857565633023</v>
      </c>
      <c r="W347">
        <f t="shared" si="115"/>
        <v>0.25525213016213583</v>
      </c>
      <c r="X347" t="s">
        <v>1175</v>
      </c>
      <c r="Y347">
        <f t="shared" si="116"/>
        <v>0.27699168962081461</v>
      </c>
      <c r="Z347">
        <f t="shared" si="117"/>
        <v>0.50635915919430141</v>
      </c>
      <c r="AA347" t="str">
        <f t="shared" si="118"/>
        <v>Moderate</v>
      </c>
      <c r="AB347">
        <f t="shared" si="119"/>
        <v>0.1734065005863436</v>
      </c>
      <c r="AC347">
        <f t="shared" si="120"/>
        <v>0.42225770984710437</v>
      </c>
      <c r="AD347" t="str">
        <f t="shared" si="121"/>
        <v>Moderate</v>
      </c>
      <c r="AE347">
        <f t="shared" si="122"/>
        <v>6.4239939722695538E-2</v>
      </c>
      <c r="AF347">
        <f t="shared" si="123"/>
        <v>0.35147920060863408</v>
      </c>
      <c r="AG347" t="str">
        <f t="shared" si="124"/>
        <v>Moderate</v>
      </c>
    </row>
    <row r="348" spans="1:33" customFormat="1" x14ac:dyDescent="0.3">
      <c r="A348">
        <v>453907</v>
      </c>
      <c r="B348" t="s">
        <v>34</v>
      </c>
      <c r="C348" t="s">
        <v>886</v>
      </c>
      <c r="D348" t="s">
        <v>885</v>
      </c>
      <c r="E348" s="18">
        <v>6.7</v>
      </c>
      <c r="F348" s="2">
        <f t="shared" si="105"/>
        <v>0.77777777777777779</v>
      </c>
      <c r="G348" s="10">
        <v>24.228719999999999</v>
      </c>
      <c r="H348">
        <f t="shared" si="106"/>
        <v>0.32463015931969574</v>
      </c>
      <c r="I348" s="22">
        <v>1.1000000000000003</v>
      </c>
      <c r="J348" s="2">
        <f t="shared" si="107"/>
        <v>5.6439199589533116E-3</v>
      </c>
      <c r="K348" s="8">
        <v>0</v>
      </c>
      <c r="L348" s="2">
        <v>0</v>
      </c>
      <c r="M348">
        <v>31094</v>
      </c>
      <c r="N348">
        <f t="shared" si="108"/>
        <v>0.14598799165377355</v>
      </c>
      <c r="O348" s="8">
        <v>0.53749289</v>
      </c>
      <c r="P348">
        <f t="shared" si="109"/>
        <v>0.49646909408956491</v>
      </c>
      <c r="Q348" s="20">
        <v>0.29549999999999998</v>
      </c>
      <c r="R348" s="10">
        <f t="shared" si="110"/>
        <v>0.63988739714161968</v>
      </c>
      <c r="S348">
        <f t="shared" si="111"/>
        <v>7.297676825321861E-2</v>
      </c>
      <c r="T348" s="11">
        <f t="shared" si="112"/>
        <v>0.13395995314235465</v>
      </c>
      <c r="U348" t="str">
        <f t="shared" si="113"/>
        <v>No Impact</v>
      </c>
      <c r="V348">
        <f t="shared" si="114"/>
        <v>8.2187085918373218E-2</v>
      </c>
      <c r="W348">
        <f t="shared" si="115"/>
        <v>0.10825578269799412</v>
      </c>
      <c r="X348" t="s">
        <v>1176</v>
      </c>
      <c r="Y348">
        <f t="shared" si="116"/>
        <v>6.3766450588064016E-2</v>
      </c>
      <c r="Z348">
        <f t="shared" si="117"/>
        <v>0.11656929617194811</v>
      </c>
      <c r="AA348" t="str">
        <f t="shared" si="118"/>
        <v>No Impact</v>
      </c>
      <c r="AB348">
        <f t="shared" si="119"/>
        <v>5.4458155322656125E-2</v>
      </c>
      <c r="AC348">
        <f t="shared" si="120"/>
        <v>0.13260965345179015</v>
      </c>
      <c r="AD348" t="str">
        <f t="shared" si="121"/>
        <v>No Impact</v>
      </c>
      <c r="AE348">
        <f t="shared" si="122"/>
        <v>1.8750685928018006E-2</v>
      </c>
      <c r="AF348">
        <f t="shared" si="123"/>
        <v>0.10259156732232987</v>
      </c>
      <c r="AG348" t="s">
        <v>1176</v>
      </c>
    </row>
    <row r="349" spans="1:33" customFormat="1" x14ac:dyDescent="0.3">
      <c r="A349">
        <v>453915</v>
      </c>
      <c r="B349" t="s">
        <v>139</v>
      </c>
      <c r="C349" t="s">
        <v>886</v>
      </c>
      <c r="D349" t="s">
        <v>887</v>
      </c>
      <c r="E349" s="18">
        <v>6.7</v>
      </c>
      <c r="F349" s="2">
        <f t="shared" si="105"/>
        <v>0.77777777777777779</v>
      </c>
      <c r="G349" s="10">
        <v>24.40692</v>
      </c>
      <c r="H349">
        <f t="shared" si="106"/>
        <v>0.32701778418765287</v>
      </c>
      <c r="I349" s="22">
        <v>1.1000000000000003</v>
      </c>
      <c r="J349" s="2">
        <f t="shared" si="107"/>
        <v>5.6439199589533116E-3</v>
      </c>
      <c r="K349" s="8">
        <v>0</v>
      </c>
      <c r="L349" s="2">
        <v>0</v>
      </c>
      <c r="M349">
        <v>33936</v>
      </c>
      <c r="N349">
        <f t="shared" si="108"/>
        <v>0.15943468983170336</v>
      </c>
      <c r="O349" s="8">
        <v>0.34368002399999997</v>
      </c>
      <c r="P349">
        <f t="shared" si="109"/>
        <v>0.28302515462127847</v>
      </c>
      <c r="Q349" s="20">
        <v>0.27829999999999999</v>
      </c>
      <c r="R349" s="10">
        <f t="shared" si="110"/>
        <v>0.60264183629276746</v>
      </c>
      <c r="S349">
        <f t="shared" si="111"/>
        <v>5.728867870908453E-2</v>
      </c>
      <c r="T349" s="11">
        <f t="shared" si="112"/>
        <v>0.10516207964742119</v>
      </c>
      <c r="U349" t="str">
        <f t="shared" si="113"/>
        <v>No Impact</v>
      </c>
      <c r="V349">
        <f t="shared" si="114"/>
        <v>7.7962834542130252E-2</v>
      </c>
      <c r="W349">
        <f t="shared" si="115"/>
        <v>0.10269165259241472</v>
      </c>
      <c r="X349" t="s">
        <v>1176</v>
      </c>
      <c r="Y349">
        <f t="shared" si="116"/>
        <v>3.6614522876038808E-2</v>
      </c>
      <c r="Z349">
        <f t="shared" si="117"/>
        <v>6.6933773512092856E-2</v>
      </c>
      <c r="AA349" t="str">
        <f t="shared" si="118"/>
        <v>No Impact</v>
      </c>
      <c r="AB349">
        <f t="shared" si="119"/>
        <v>4.5490384967433614E-2</v>
      </c>
      <c r="AC349">
        <f t="shared" si="120"/>
        <v>0.11077246649612867</v>
      </c>
      <c r="AD349" t="str">
        <f t="shared" si="121"/>
        <v>No Impact</v>
      </c>
      <c r="AE349">
        <f t="shared" si="122"/>
        <v>2.062581718536112E-2</v>
      </c>
      <c r="AF349">
        <f t="shared" si="123"/>
        <v>0.11285106691420722</v>
      </c>
      <c r="AG349" t="s">
        <v>1176</v>
      </c>
    </row>
    <row r="350" spans="1:33" customFormat="1" x14ac:dyDescent="0.3">
      <c r="A350">
        <v>453929</v>
      </c>
      <c r="B350" t="s">
        <v>213</v>
      </c>
      <c r="C350" t="s">
        <v>886</v>
      </c>
      <c r="D350" t="s">
        <v>888</v>
      </c>
      <c r="E350" s="18">
        <v>6.7</v>
      </c>
      <c r="F350" s="2">
        <f t="shared" si="105"/>
        <v>0.77777777777777779</v>
      </c>
      <c r="G350" s="10">
        <v>24.873480000000001</v>
      </c>
      <c r="H350">
        <f t="shared" si="106"/>
        <v>0.33326902020557692</v>
      </c>
      <c r="I350" s="22">
        <v>1.0999999999999985</v>
      </c>
      <c r="J350" s="2">
        <f t="shared" si="107"/>
        <v>5.6439199589533029E-3</v>
      </c>
      <c r="K350" s="8">
        <v>0</v>
      </c>
      <c r="L350" s="2">
        <v>0</v>
      </c>
      <c r="M350">
        <v>49714</v>
      </c>
      <c r="N350">
        <f t="shared" si="108"/>
        <v>0.23408704868158955</v>
      </c>
      <c r="O350" s="8">
        <v>0.51241040900000001</v>
      </c>
      <c r="P350">
        <f t="shared" si="109"/>
        <v>0.46884603857849039</v>
      </c>
      <c r="Q350" s="20">
        <v>0.2853</v>
      </c>
      <c r="R350" s="10">
        <f t="shared" si="110"/>
        <v>0.61779991338241669</v>
      </c>
      <c r="S350">
        <f t="shared" si="111"/>
        <v>7.1609683929963641E-2</v>
      </c>
      <c r="T350" s="11">
        <f t="shared" si="112"/>
        <v>0.13145046202253097</v>
      </c>
      <c r="U350" t="str">
        <f t="shared" si="113"/>
        <v>No Impact</v>
      </c>
      <c r="V350">
        <f t="shared" si="114"/>
        <v>8.1425705308043814E-2</v>
      </c>
      <c r="W350">
        <f t="shared" si="115"/>
        <v>0.10725290185629902</v>
      </c>
      <c r="X350" t="s">
        <v>1176</v>
      </c>
      <c r="Y350">
        <f t="shared" si="116"/>
        <v>6.1793662551883476E-2</v>
      </c>
      <c r="Z350">
        <f t="shared" si="117"/>
        <v>0.11296290894554271</v>
      </c>
      <c r="AA350" t="str">
        <f t="shared" si="118"/>
        <v>No Impact</v>
      </c>
      <c r="AB350">
        <f t="shared" si="119"/>
        <v>5.783548830735992E-2</v>
      </c>
      <c r="AC350">
        <f t="shared" si="120"/>
        <v>0.14083371014337892</v>
      </c>
      <c r="AD350" t="str">
        <f t="shared" si="121"/>
        <v>No Impact</v>
      </c>
      <c r="AE350">
        <f t="shared" si="122"/>
        <v>3.0852550525655848E-2</v>
      </c>
      <c r="AF350">
        <f t="shared" si="123"/>
        <v>0.16880510539557508</v>
      </c>
      <c r="AG350" t="s">
        <v>1175</v>
      </c>
    </row>
    <row r="351" spans="1:33" customFormat="1" x14ac:dyDescent="0.3">
      <c r="A351">
        <v>453936</v>
      </c>
      <c r="B351" t="s">
        <v>219</v>
      </c>
      <c r="C351" t="s">
        <v>886</v>
      </c>
      <c r="D351" t="s">
        <v>889</v>
      </c>
      <c r="E351" s="18">
        <v>6.7</v>
      </c>
      <c r="F351" s="2">
        <f t="shared" si="105"/>
        <v>0.77777777777777779</v>
      </c>
      <c r="G351" s="10">
        <v>29.325960000000002</v>
      </c>
      <c r="H351">
        <f t="shared" si="106"/>
        <v>0.39292587751243258</v>
      </c>
      <c r="I351" s="22">
        <v>0</v>
      </c>
      <c r="J351" s="2">
        <f t="shared" si="107"/>
        <v>0</v>
      </c>
      <c r="K351" s="8">
        <v>0</v>
      </c>
      <c r="L351" s="2">
        <v>0</v>
      </c>
      <c r="M351">
        <v>72151</v>
      </c>
      <c r="N351">
        <f t="shared" si="108"/>
        <v>0.34024593925801855</v>
      </c>
      <c r="O351" s="8">
        <v>0.72883157200000004</v>
      </c>
      <c r="P351">
        <f t="shared" si="109"/>
        <v>0.70718824241870482</v>
      </c>
      <c r="Q351" s="20">
        <v>0.30719999999999997</v>
      </c>
      <c r="R351" s="10">
        <f t="shared" si="110"/>
        <v>0.66522304027717627</v>
      </c>
      <c r="S351">
        <f t="shared" si="111"/>
        <v>0.10485531535913044</v>
      </c>
      <c r="T351" s="11">
        <f t="shared" si="112"/>
        <v>0.19247787300606342</v>
      </c>
      <c r="U351" t="str">
        <f t="shared" si="113"/>
        <v>Low</v>
      </c>
      <c r="V351">
        <f t="shared" si="114"/>
        <v>0.10164907932759915</v>
      </c>
      <c r="W351">
        <f t="shared" si="115"/>
        <v>0.13389087251577236</v>
      </c>
      <c r="X351" t="s">
        <v>1176</v>
      </c>
      <c r="Y351">
        <f t="shared" si="116"/>
        <v>0.10806155139066174</v>
      </c>
      <c r="Z351">
        <f t="shared" si="117"/>
        <v>0.19754367496841857</v>
      </c>
      <c r="AA351" t="str">
        <f t="shared" si="118"/>
        <v>Low</v>
      </c>
      <c r="AB351">
        <f t="shared" si="119"/>
        <v>8.6192532844071926E-2</v>
      </c>
      <c r="AC351">
        <f t="shared" si="120"/>
        <v>0.20988521999806398</v>
      </c>
      <c r="AD351" t="str">
        <f t="shared" si="121"/>
        <v>Low</v>
      </c>
      <c r="AE351">
        <f t="shared" si="122"/>
        <v>5.1991113320610641E-2</v>
      </c>
      <c r="AF351">
        <f t="shared" si="123"/>
        <v>0.28446158305197045</v>
      </c>
      <c r="AG351" t="s">
        <v>1175</v>
      </c>
    </row>
    <row r="352" spans="1:33" customFormat="1" x14ac:dyDescent="0.3">
      <c r="A352">
        <v>453958</v>
      </c>
      <c r="B352" t="s">
        <v>306</v>
      </c>
      <c r="C352" t="s">
        <v>886</v>
      </c>
      <c r="D352" t="s">
        <v>890</v>
      </c>
      <c r="E352" s="18">
        <v>5.7</v>
      </c>
      <c r="F352" s="2">
        <f t="shared" si="105"/>
        <v>0.55555555555555558</v>
      </c>
      <c r="G352" s="10">
        <v>26.613720000000001</v>
      </c>
      <c r="H352">
        <f t="shared" si="106"/>
        <v>0.35658574467366716</v>
      </c>
      <c r="I352" s="22">
        <v>0</v>
      </c>
      <c r="J352" s="2">
        <f t="shared" si="107"/>
        <v>0</v>
      </c>
      <c r="K352" s="8">
        <v>0</v>
      </c>
      <c r="L352" s="2">
        <v>0</v>
      </c>
      <c r="M352">
        <v>42481</v>
      </c>
      <c r="N352">
        <f t="shared" si="108"/>
        <v>0.19986468136245997</v>
      </c>
      <c r="O352" s="8">
        <v>0.59314226400000003</v>
      </c>
      <c r="P352">
        <f t="shared" si="109"/>
        <v>0.5577551266458558</v>
      </c>
      <c r="Q352" s="20">
        <v>0.31030000000000002</v>
      </c>
      <c r="R352" s="10">
        <f t="shared" si="110"/>
        <v>0.67193590298830663</v>
      </c>
      <c r="S352">
        <f t="shared" si="111"/>
        <v>6.0901429377864774E-2</v>
      </c>
      <c r="T352" s="11">
        <f t="shared" si="112"/>
        <v>0.11179383276405043</v>
      </c>
      <c r="U352" t="str">
        <f t="shared" si="113"/>
        <v>No Impact</v>
      </c>
      <c r="V352">
        <f t="shared" si="114"/>
        <v>6.6556323427793967E-2</v>
      </c>
      <c r="W352">
        <f t="shared" si="115"/>
        <v>8.7667141445222488E-2</v>
      </c>
      <c r="X352" t="s">
        <v>1176</v>
      </c>
      <c r="Y352">
        <f t="shared" si="116"/>
        <v>5.524653532793556E-2</v>
      </c>
      <c r="Z352">
        <f t="shared" si="117"/>
        <v>0.10099432663610701</v>
      </c>
      <c r="AA352" t="str">
        <f t="shared" si="118"/>
        <v>No Impact</v>
      </c>
      <c r="AB352">
        <f t="shared" si="119"/>
        <v>4.679759426565281E-2</v>
      </c>
      <c r="AC352">
        <f t="shared" si="120"/>
        <v>0.11395561823894371</v>
      </c>
      <c r="AD352" t="str">
        <f t="shared" si="121"/>
        <v>No Impact</v>
      </c>
      <c r="AE352">
        <f t="shared" si="122"/>
        <v>1.9796915621555E-2</v>
      </c>
      <c r="AF352">
        <f t="shared" si="123"/>
        <v>0.10831585626040749</v>
      </c>
      <c r="AG352" t="s">
        <v>1176</v>
      </c>
    </row>
    <row r="353" spans="1:33" customFormat="1" x14ac:dyDescent="0.3">
      <c r="A353">
        <v>453961</v>
      </c>
      <c r="B353" t="s">
        <v>332</v>
      </c>
      <c r="C353" t="s">
        <v>886</v>
      </c>
      <c r="D353" t="s">
        <v>891</v>
      </c>
      <c r="E353" s="18">
        <v>5.9</v>
      </c>
      <c r="F353" s="2">
        <f t="shared" si="105"/>
        <v>0.60000000000000009</v>
      </c>
      <c r="G353" s="10">
        <v>26.613720000000001</v>
      </c>
      <c r="H353">
        <f t="shared" si="106"/>
        <v>0.35658574467366716</v>
      </c>
      <c r="I353" s="22">
        <v>0</v>
      </c>
      <c r="J353" s="2">
        <f t="shared" si="107"/>
        <v>0</v>
      </c>
      <c r="K353" s="8">
        <v>0</v>
      </c>
      <c r="L353" s="2">
        <v>0</v>
      </c>
      <c r="M353">
        <v>49997</v>
      </c>
      <c r="N353">
        <f t="shared" si="108"/>
        <v>0.23542604079431093</v>
      </c>
      <c r="O353" s="8">
        <v>0.764713427</v>
      </c>
      <c r="P353">
        <f t="shared" si="109"/>
        <v>0.7467045276101627</v>
      </c>
      <c r="Q353" s="20">
        <v>0.32500000000000001</v>
      </c>
      <c r="R353" s="10">
        <f t="shared" si="110"/>
        <v>0.70376786487656995</v>
      </c>
      <c r="S353">
        <f t="shared" si="111"/>
        <v>7.7582666730521582E-2</v>
      </c>
      <c r="T353" s="11">
        <f t="shared" si="112"/>
        <v>0.14241478005462663</v>
      </c>
      <c r="U353" t="str">
        <f t="shared" si="113"/>
        <v>No Impact</v>
      </c>
      <c r="V353">
        <f t="shared" si="114"/>
        <v>7.5286076452322548E-2</v>
      </c>
      <c r="W353">
        <f t="shared" si="115"/>
        <v>9.9165860932236866E-2</v>
      </c>
      <c r="X353" t="s">
        <v>1176</v>
      </c>
      <c r="Y353">
        <f t="shared" si="116"/>
        <v>7.9879257008720631E-2</v>
      </c>
      <c r="Z353">
        <f t="shared" si="117"/>
        <v>0.14602457377465611</v>
      </c>
      <c r="AA353" t="str">
        <f t="shared" si="118"/>
        <v>No Impact</v>
      </c>
      <c r="AB353">
        <f t="shared" si="119"/>
        <v>5.9128608718511382E-2</v>
      </c>
      <c r="AC353">
        <f t="shared" si="120"/>
        <v>0.14398255439963839</v>
      </c>
      <c r="AD353" t="str">
        <f t="shared" si="121"/>
        <v>No Impact</v>
      </c>
      <c r="AE353">
        <f t="shared" si="122"/>
        <v>2.5184871021663755E-2</v>
      </c>
      <c r="AF353">
        <f t="shared" si="123"/>
        <v>0.13779524657615133</v>
      </c>
      <c r="AG353" t="s">
        <v>1175</v>
      </c>
    </row>
    <row r="354" spans="1:33" customFormat="1" x14ac:dyDescent="0.3">
      <c r="A354">
        <v>453985</v>
      </c>
      <c r="B354" t="s">
        <v>461</v>
      </c>
      <c r="C354" t="s">
        <v>886</v>
      </c>
      <c r="D354" t="s">
        <v>892</v>
      </c>
      <c r="E354" s="18">
        <v>6.7</v>
      </c>
      <c r="F354" s="2">
        <f t="shared" si="105"/>
        <v>0.77777777777777779</v>
      </c>
      <c r="G354" s="10">
        <v>26.69904</v>
      </c>
      <c r="H354">
        <f t="shared" si="106"/>
        <v>0.35772891051953754</v>
      </c>
      <c r="I354" s="22">
        <v>0</v>
      </c>
      <c r="J354" s="2">
        <f t="shared" si="107"/>
        <v>0</v>
      </c>
      <c r="K354" s="8">
        <v>0</v>
      </c>
      <c r="L354" s="2">
        <v>0</v>
      </c>
      <c r="M354">
        <v>35824</v>
      </c>
      <c r="N354">
        <f t="shared" si="108"/>
        <v>0.16836761247770318</v>
      </c>
      <c r="O354" s="8">
        <v>0.654017603</v>
      </c>
      <c r="P354">
        <f t="shared" si="109"/>
        <v>0.62479645594866584</v>
      </c>
      <c r="Q354" s="20">
        <v>0.30470000000000003</v>
      </c>
      <c r="R354" s="10">
        <f t="shared" si="110"/>
        <v>0.65980944131658736</v>
      </c>
      <c r="S354">
        <f t="shared" si="111"/>
        <v>8.9355129903602892E-2</v>
      </c>
      <c r="T354" s="11">
        <f t="shared" si="112"/>
        <v>0.16402492603374119</v>
      </c>
      <c r="U354" t="str">
        <f t="shared" si="113"/>
        <v>Low</v>
      </c>
      <c r="V354">
        <f t="shared" si="114"/>
        <v>9.1790577119378478E-2</v>
      </c>
      <c r="W354">
        <f t="shared" si="115"/>
        <v>0.12090537898165685</v>
      </c>
      <c r="X354" t="s">
        <v>1176</v>
      </c>
      <c r="Y354">
        <f t="shared" si="116"/>
        <v>8.6919682687827293E-2</v>
      </c>
      <c r="Z354">
        <f t="shared" si="117"/>
        <v>0.15889493834090962</v>
      </c>
      <c r="AA354" t="str">
        <f t="shared" si="118"/>
        <v>Low</v>
      </c>
      <c r="AB354">
        <f t="shared" si="119"/>
        <v>6.6400573926860648E-2</v>
      </c>
      <c r="AC354">
        <f t="shared" si="120"/>
        <v>0.16169032985547507</v>
      </c>
      <c r="AD354" t="str">
        <f t="shared" si="121"/>
        <v>Low</v>
      </c>
      <c r="AE354">
        <f t="shared" si="122"/>
        <v>2.3422763224942845E-2</v>
      </c>
      <c r="AF354">
        <f t="shared" si="123"/>
        <v>0.12815413790682148</v>
      </c>
      <c r="AG354" t="s">
        <v>1175</v>
      </c>
    </row>
    <row r="355" spans="1:33" customFormat="1" x14ac:dyDescent="0.3">
      <c r="A355">
        <v>456113</v>
      </c>
      <c r="B355" t="s">
        <v>65</v>
      </c>
      <c r="C355" t="s">
        <v>894</v>
      </c>
      <c r="D355" t="s">
        <v>893</v>
      </c>
      <c r="E355" s="18">
        <v>4.4000000000000004</v>
      </c>
      <c r="F355" s="2">
        <f t="shared" si="105"/>
        <v>0.26666666666666672</v>
      </c>
      <c r="G355" s="10">
        <v>26.293320000000001</v>
      </c>
      <c r="H355">
        <f t="shared" si="106"/>
        <v>0.35229284339592609</v>
      </c>
      <c r="I355" s="22">
        <v>0.10000000000000005</v>
      </c>
      <c r="J355" s="2">
        <f t="shared" si="107"/>
        <v>5.1308363263211933E-4</v>
      </c>
      <c r="K355" s="8">
        <v>0</v>
      </c>
      <c r="L355" s="2">
        <v>0</v>
      </c>
      <c r="M355">
        <v>67704</v>
      </c>
      <c r="N355">
        <f t="shared" si="108"/>
        <v>0.31920531054681034</v>
      </c>
      <c r="O355" s="8">
        <v>0.31624534500000001</v>
      </c>
      <c r="P355">
        <f t="shared" si="109"/>
        <v>0.2528116497871471</v>
      </c>
      <c r="Q355" s="20">
        <v>0.29110000000000003</v>
      </c>
      <c r="R355" s="10">
        <f t="shared" si="110"/>
        <v>0.63035946297098322</v>
      </c>
      <c r="S355">
        <f t="shared" si="111"/>
        <v>2.0772533544098373E-2</v>
      </c>
      <c r="T355" s="11">
        <f t="shared" si="112"/>
        <v>3.8131143469657264E-2</v>
      </c>
      <c r="U355" t="str">
        <f t="shared" si="113"/>
        <v>No Impact</v>
      </c>
      <c r="V355">
        <f t="shared" si="114"/>
        <v>2.965260729262692E-2</v>
      </c>
      <c r="W355">
        <f t="shared" si="115"/>
        <v>3.9058036620105464E-2</v>
      </c>
      <c r="X355" t="s">
        <v>1176</v>
      </c>
      <c r="Y355">
        <f t="shared" si="116"/>
        <v>1.1892459795569821E-2</v>
      </c>
      <c r="Z355">
        <f t="shared" si="117"/>
        <v>2.1740204376096396E-2</v>
      </c>
      <c r="AA355" t="str">
        <f t="shared" si="118"/>
        <v>No Impact</v>
      </c>
      <c r="AB355">
        <f t="shared" si="119"/>
        <v>1.9201635014419325E-2</v>
      </c>
      <c r="AC355">
        <f t="shared" si="120"/>
        <v>4.6757407589062508E-2</v>
      </c>
      <c r="AD355" t="str">
        <f t="shared" si="121"/>
        <v>No Impact</v>
      </c>
      <c r="AE355">
        <f t="shared" si="122"/>
        <v>1.5015670066654167E-2</v>
      </c>
      <c r="AF355">
        <f t="shared" si="123"/>
        <v>8.2155987916751216E-2</v>
      </c>
      <c r="AG355" t="s">
        <v>1176</v>
      </c>
    </row>
    <row r="356" spans="1:33" customFormat="1" x14ac:dyDescent="0.3">
      <c r="A356">
        <v>456116</v>
      </c>
      <c r="B356" t="s">
        <v>145</v>
      </c>
      <c r="C356" t="s">
        <v>894</v>
      </c>
      <c r="D356" t="s">
        <v>895</v>
      </c>
      <c r="E356" s="18">
        <v>5.3</v>
      </c>
      <c r="F356" s="2">
        <f t="shared" si="105"/>
        <v>0.46666666666666656</v>
      </c>
      <c r="G356" s="10">
        <v>27.650880000000001</v>
      </c>
      <c r="H356">
        <f t="shared" si="106"/>
        <v>0.37048220375363572</v>
      </c>
      <c r="I356" s="22">
        <v>0</v>
      </c>
      <c r="J356" s="2">
        <f t="shared" si="107"/>
        <v>0</v>
      </c>
      <c r="K356" s="8">
        <v>0</v>
      </c>
      <c r="L356" s="2">
        <v>0</v>
      </c>
      <c r="M356">
        <v>30622</v>
      </c>
      <c r="N356">
        <f t="shared" si="108"/>
        <v>0.14375476099227358</v>
      </c>
      <c r="O356" s="8">
        <v>0.42999924699999997</v>
      </c>
      <c r="P356">
        <f t="shared" si="109"/>
        <v>0.37808754851292814</v>
      </c>
      <c r="Q356" s="20">
        <v>0.29110000000000003</v>
      </c>
      <c r="R356" s="10">
        <f t="shared" si="110"/>
        <v>0.63035946297098322</v>
      </c>
      <c r="S356">
        <f t="shared" si="111"/>
        <v>4.3588028304721534E-2</v>
      </c>
      <c r="T356" s="11">
        <f t="shared" si="112"/>
        <v>8.0012452853591473E-2</v>
      </c>
      <c r="U356" t="str">
        <f t="shared" si="113"/>
        <v>No Impact</v>
      </c>
      <c r="V356">
        <f t="shared" si="114"/>
        <v>5.4491958032971237E-2</v>
      </c>
      <c r="W356">
        <f t="shared" si="115"/>
        <v>7.1776113019317925E-2</v>
      </c>
      <c r="X356" t="s">
        <v>1176</v>
      </c>
      <c r="Y356">
        <f t="shared" si="116"/>
        <v>3.2684098576471823E-2</v>
      </c>
      <c r="Z356">
        <f t="shared" si="117"/>
        <v>5.9748697503747387E-2</v>
      </c>
      <c r="AA356" t="str">
        <f t="shared" si="118"/>
        <v>No Impact</v>
      </c>
      <c r="AB356">
        <f t="shared" si="119"/>
        <v>3.3226865637768541E-2</v>
      </c>
      <c r="AC356">
        <f t="shared" si="120"/>
        <v>8.0909885974058626E-2</v>
      </c>
      <c r="AD356" t="str">
        <f t="shared" si="121"/>
        <v>No Impact</v>
      </c>
      <c r="AE356">
        <f t="shared" si="122"/>
        <v>1.242700215224876E-2</v>
      </c>
      <c r="AF356">
        <f t="shared" si="123"/>
        <v>6.7992479465092695E-2</v>
      </c>
      <c r="AG356" t="s">
        <v>1176</v>
      </c>
    </row>
    <row r="357" spans="1:33" customFormat="1" x14ac:dyDescent="0.3">
      <c r="A357">
        <v>456120</v>
      </c>
      <c r="B357" t="s">
        <v>168</v>
      </c>
      <c r="C357" t="s">
        <v>894</v>
      </c>
      <c r="D357" t="s">
        <v>896</v>
      </c>
      <c r="E357" s="18">
        <v>5.4</v>
      </c>
      <c r="F357" s="2">
        <f t="shared" si="105"/>
        <v>0.48888888888888893</v>
      </c>
      <c r="G357" s="10">
        <v>27.687239999999999</v>
      </c>
      <c r="H357">
        <f t="shared" si="106"/>
        <v>0.3709693756963906</v>
      </c>
      <c r="I357" s="22">
        <v>0.10000000000000005</v>
      </c>
      <c r="J357" s="2">
        <f t="shared" si="107"/>
        <v>5.1308363263211933E-4</v>
      </c>
      <c r="K357" s="8">
        <v>0</v>
      </c>
      <c r="L357" s="2">
        <v>0</v>
      </c>
      <c r="M357">
        <v>47760</v>
      </c>
      <c r="N357">
        <f t="shared" si="108"/>
        <v>0.22484185225665118</v>
      </c>
      <c r="O357" s="8">
        <v>0.481451342</v>
      </c>
      <c r="P357">
        <f t="shared" si="109"/>
        <v>0.43475116469770986</v>
      </c>
      <c r="Q357" s="20">
        <v>0.2959</v>
      </c>
      <c r="R357" s="10">
        <f t="shared" si="110"/>
        <v>0.64075357297531399</v>
      </c>
      <c r="S357">
        <f t="shared" si="111"/>
        <v>4.883158438531883E-2</v>
      </c>
      <c r="T357" s="11">
        <f t="shared" si="112"/>
        <v>8.9637797242901857E-2</v>
      </c>
      <c r="U357" t="str">
        <f t="shared" si="113"/>
        <v>No Impact</v>
      </c>
      <c r="V357">
        <f t="shared" si="114"/>
        <v>5.8184796538666872E-2</v>
      </c>
      <c r="W357">
        <f t="shared" si="115"/>
        <v>7.6640272860785202E-2</v>
      </c>
      <c r="X357" t="s">
        <v>1176</v>
      </c>
      <c r="Y357">
        <f t="shared" si="116"/>
        <v>3.9478372231970781E-2</v>
      </c>
      <c r="Z357">
        <f t="shared" si="117"/>
        <v>7.216907986339173E-2</v>
      </c>
      <c r="AA357" t="str">
        <f t="shared" si="118"/>
        <v>No Impact</v>
      </c>
      <c r="AB357">
        <f t="shared" si="119"/>
        <v>3.9354201487238311E-2</v>
      </c>
      <c r="AC357">
        <f t="shared" si="120"/>
        <v>9.5830403916077042E-2</v>
      </c>
      <c r="AD357" t="str">
        <f t="shared" si="121"/>
        <v>No Impact</v>
      </c>
      <c r="AE357">
        <f t="shared" si="122"/>
        <v>2.0417174368896205E-2</v>
      </c>
      <c r="AF357">
        <f t="shared" si="123"/>
        <v>0.11170950901953326</v>
      </c>
      <c r="AG357" t="s">
        <v>1176</v>
      </c>
    </row>
    <row r="358" spans="1:33" customFormat="1" x14ac:dyDescent="0.3">
      <c r="A358">
        <v>456122</v>
      </c>
      <c r="B358" t="s">
        <v>172</v>
      </c>
      <c r="C358" t="s">
        <v>894</v>
      </c>
      <c r="D358" t="s">
        <v>897</v>
      </c>
      <c r="E358" s="18">
        <v>5.3</v>
      </c>
      <c r="F358" s="2">
        <f t="shared" si="105"/>
        <v>0.46666666666666656</v>
      </c>
      <c r="G358" s="10">
        <v>26.44416</v>
      </c>
      <c r="H358">
        <f t="shared" si="106"/>
        <v>0.35431388343567161</v>
      </c>
      <c r="I358" s="22">
        <v>0.10000000000000005</v>
      </c>
      <c r="J358" s="2">
        <f t="shared" si="107"/>
        <v>5.1308363263211933E-4</v>
      </c>
      <c r="K358" s="8">
        <v>0</v>
      </c>
      <c r="L358" s="2">
        <v>0</v>
      </c>
      <c r="M358">
        <v>46008</v>
      </c>
      <c r="N358">
        <f t="shared" si="108"/>
        <v>0.21655240285210051</v>
      </c>
      <c r="O358" s="8">
        <v>0.48378475300000001</v>
      </c>
      <c r="P358">
        <f t="shared" si="109"/>
        <v>0.43732092410799911</v>
      </c>
      <c r="Q358" s="20">
        <v>0.29139999999999999</v>
      </c>
      <c r="R358" s="10">
        <f t="shared" si="110"/>
        <v>0.63100909484625378</v>
      </c>
      <c r="S358">
        <f t="shared" si="111"/>
        <v>4.4225101719582105E-2</v>
      </c>
      <c r="T358" s="11">
        <f t="shared" si="112"/>
        <v>8.1181897963942706E-2</v>
      </c>
      <c r="U358" t="str">
        <f t="shared" si="113"/>
        <v>No Impact</v>
      </c>
      <c r="V358">
        <f t="shared" si="114"/>
        <v>5.2243110107256081E-2</v>
      </c>
      <c r="W358">
        <f t="shared" si="115"/>
        <v>6.881395917669543E-2</v>
      </c>
      <c r="X358" t="s">
        <v>1176</v>
      </c>
      <c r="Y358">
        <f t="shared" si="116"/>
        <v>3.6207093331908129E-2</v>
      </c>
      <c r="Z358">
        <f t="shared" si="117"/>
        <v>6.6188965313408815E-2</v>
      </c>
      <c r="AA358" t="str">
        <f t="shared" si="118"/>
        <v>No Impact</v>
      </c>
      <c r="AB358">
        <f t="shared" si="119"/>
        <v>3.5422371509533486E-2</v>
      </c>
      <c r="AC358">
        <f t="shared" si="120"/>
        <v>8.625610585758442E-2</v>
      </c>
      <c r="AD358" t="str">
        <f t="shared" si="121"/>
        <v>No Impact</v>
      </c>
      <c r="AE358">
        <f t="shared" si="122"/>
        <v>1.7929014206918337E-2</v>
      </c>
      <c r="AF358">
        <f t="shared" si="123"/>
        <v>9.8095913669143137E-2</v>
      </c>
      <c r="AG358" t="s">
        <v>1176</v>
      </c>
    </row>
    <row r="359" spans="1:33" customFormat="1" x14ac:dyDescent="0.3">
      <c r="A359">
        <v>456123</v>
      </c>
      <c r="B359" t="s">
        <v>176</v>
      </c>
      <c r="C359" t="s">
        <v>894</v>
      </c>
      <c r="D359" t="s">
        <v>898</v>
      </c>
      <c r="E359" s="18">
        <v>5.4</v>
      </c>
      <c r="F359" s="2">
        <f t="shared" si="105"/>
        <v>0.48888888888888893</v>
      </c>
      <c r="G359" s="10">
        <v>31.722480000000001</v>
      </c>
      <c r="H359">
        <f t="shared" si="106"/>
        <v>0.4250358143730194</v>
      </c>
      <c r="I359" s="22">
        <v>0</v>
      </c>
      <c r="J359" s="2">
        <f t="shared" si="107"/>
        <v>0</v>
      </c>
      <c r="K359" s="8">
        <v>0</v>
      </c>
      <c r="L359" s="2">
        <v>0</v>
      </c>
      <c r="M359">
        <v>52514</v>
      </c>
      <c r="N359">
        <f t="shared" si="108"/>
        <v>0.24733502718201303</v>
      </c>
      <c r="O359" s="8">
        <v>0.41628558100000002</v>
      </c>
      <c r="P359">
        <f t="shared" si="109"/>
        <v>0.36298484168028533</v>
      </c>
      <c r="Q359" s="20">
        <v>0.3009</v>
      </c>
      <c r="R359" s="10">
        <f t="shared" si="110"/>
        <v>0.65158077089649202</v>
      </c>
      <c r="S359">
        <f t="shared" si="111"/>
        <v>5.270548816823057E-2</v>
      </c>
      <c r="T359" s="11">
        <f t="shared" si="112"/>
        <v>9.6748936604899555E-2</v>
      </c>
      <c r="U359" t="str">
        <f t="shared" si="113"/>
        <v>No Impact</v>
      </c>
      <c r="V359">
        <f t="shared" si="114"/>
        <v>6.7697706654793188E-2</v>
      </c>
      <c r="W359">
        <f t="shared" si="115"/>
        <v>8.9170556893239258E-2</v>
      </c>
      <c r="X359" t="s">
        <v>1176</v>
      </c>
      <c r="Y359">
        <f t="shared" si="116"/>
        <v>3.7713269681667952E-2</v>
      </c>
      <c r="Z359">
        <f t="shared" si="117"/>
        <v>6.8942355464235258E-2</v>
      </c>
      <c r="AA359" t="str">
        <f t="shared" si="118"/>
        <v>No Impact</v>
      </c>
      <c r="AB359">
        <f t="shared" si="119"/>
        <v>4.4002312502565269E-2</v>
      </c>
      <c r="AC359">
        <f t="shared" si="120"/>
        <v>0.10714889950771019</v>
      </c>
      <c r="AD359" t="str">
        <f t="shared" si="121"/>
        <v>No Impact</v>
      </c>
      <c r="AE359">
        <f t="shared" si="122"/>
        <v>2.5697526482535062E-2</v>
      </c>
      <c r="AF359">
        <f t="shared" si="123"/>
        <v>0.1406001640831184</v>
      </c>
      <c r="AG359" t="s">
        <v>1175</v>
      </c>
    </row>
    <row r="360" spans="1:33" customFormat="1" x14ac:dyDescent="0.3">
      <c r="A360">
        <v>456124</v>
      </c>
      <c r="B360" t="s">
        <v>200</v>
      </c>
      <c r="C360" t="s">
        <v>894</v>
      </c>
      <c r="D360" t="s">
        <v>899</v>
      </c>
      <c r="E360" s="18">
        <v>5.4</v>
      </c>
      <c r="F360" s="2">
        <f t="shared" si="105"/>
        <v>0.48888888888888893</v>
      </c>
      <c r="G360" s="10">
        <v>30.287879999999998</v>
      </c>
      <c r="H360">
        <f t="shared" si="106"/>
        <v>0.40581422831481917</v>
      </c>
      <c r="I360" s="22">
        <v>0.19999999999999879</v>
      </c>
      <c r="J360" s="2">
        <f t="shared" si="107"/>
        <v>1.0261672652642319E-3</v>
      </c>
      <c r="K360" s="8">
        <v>0</v>
      </c>
      <c r="L360" s="2">
        <v>0</v>
      </c>
      <c r="M360">
        <v>39702</v>
      </c>
      <c r="N360">
        <f t="shared" si="108"/>
        <v>0.18671606270078966</v>
      </c>
      <c r="O360" s="8">
        <v>0.58278379899999999</v>
      </c>
      <c r="P360">
        <f t="shared" si="109"/>
        <v>0.54634746511091736</v>
      </c>
      <c r="Q360" s="20">
        <v>0.30259999999999998</v>
      </c>
      <c r="R360" s="10">
        <f t="shared" si="110"/>
        <v>0.65526201818969243</v>
      </c>
      <c r="S360">
        <f t="shared" si="111"/>
        <v>5.9749956141186632E-2</v>
      </c>
      <c r="T360" s="11">
        <f t="shared" si="112"/>
        <v>0.10968012857404232</v>
      </c>
      <c r="U360" t="str">
        <f t="shared" si="113"/>
        <v>No Impact</v>
      </c>
      <c r="V360">
        <f t="shared" si="114"/>
        <v>6.5165725457286244E-2</v>
      </c>
      <c r="W360">
        <f t="shared" si="115"/>
        <v>8.5835463511476681E-2</v>
      </c>
      <c r="X360" t="s">
        <v>1176</v>
      </c>
      <c r="Y360">
        <f t="shared" si="116"/>
        <v>5.4334186825087026E-2</v>
      </c>
      <c r="Z360">
        <f t="shared" si="117"/>
        <v>9.9326493130246302E-2</v>
      </c>
      <c r="AA360" t="str">
        <f t="shared" si="118"/>
        <v>No Impact</v>
      </c>
      <c r="AB360">
        <f t="shared" si="119"/>
        <v>4.5607371106905804E-2</v>
      </c>
      <c r="AC360">
        <f t="shared" si="120"/>
        <v>0.11105733643566582</v>
      </c>
      <c r="AD360" t="str">
        <f t="shared" si="121"/>
        <v>No Impact</v>
      </c>
      <c r="AE360">
        <f t="shared" si="122"/>
        <v>1.8568888998084315E-2</v>
      </c>
      <c r="AF360">
        <f t="shared" si="123"/>
        <v>0.10159689267160596</v>
      </c>
      <c r="AG360" t="s">
        <v>1176</v>
      </c>
    </row>
    <row r="361" spans="1:33" customFormat="1" x14ac:dyDescent="0.3">
      <c r="A361">
        <v>456131</v>
      </c>
      <c r="B361" t="s">
        <v>212</v>
      </c>
      <c r="C361" t="s">
        <v>894</v>
      </c>
      <c r="D361" t="s">
        <v>900</v>
      </c>
      <c r="E361" s="18">
        <v>5.4</v>
      </c>
      <c r="F361" s="2">
        <f t="shared" si="105"/>
        <v>0.48888888888888893</v>
      </c>
      <c r="G361" s="10">
        <v>29.222999999999999</v>
      </c>
      <c r="H361">
        <f t="shared" si="106"/>
        <v>0.3915463609220573</v>
      </c>
      <c r="I361" s="22">
        <v>0</v>
      </c>
      <c r="J361" s="2">
        <f t="shared" si="107"/>
        <v>0</v>
      </c>
      <c r="K361" s="8">
        <v>0</v>
      </c>
      <c r="L361" s="2">
        <v>0</v>
      </c>
      <c r="M361">
        <v>55685</v>
      </c>
      <c r="N361">
        <f t="shared" si="108"/>
        <v>0.26233836283374262</v>
      </c>
      <c r="O361" s="8">
        <v>0.41694930099999999</v>
      </c>
      <c r="P361">
        <f t="shared" si="109"/>
        <v>0.36371578908552044</v>
      </c>
      <c r="Q361" s="20">
        <v>0.3135</v>
      </c>
      <c r="R361" s="10">
        <f t="shared" si="110"/>
        <v>0.67886530965786052</v>
      </c>
      <c r="S361">
        <f t="shared" si="111"/>
        <v>4.9893413188555565E-2</v>
      </c>
      <c r="T361" s="11">
        <f t="shared" si="112"/>
        <v>9.1586945446248361E-2</v>
      </c>
      <c r="U361" t="str">
        <f t="shared" si="113"/>
        <v>No Impact</v>
      </c>
      <c r="V361">
        <f t="shared" si="114"/>
        <v>6.4975103490674882E-2</v>
      </c>
      <c r="W361">
        <f t="shared" si="115"/>
        <v>8.5584378685139864E-2</v>
      </c>
      <c r="X361" t="s">
        <v>1176</v>
      </c>
      <c r="Y361">
        <f t="shared" si="116"/>
        <v>3.481172288643624E-2</v>
      </c>
      <c r="Z361">
        <f t="shared" si="117"/>
        <v>6.3638135696459083E-2</v>
      </c>
      <c r="AA361" t="str">
        <f t="shared" si="118"/>
        <v>No Impact</v>
      </c>
      <c r="AB361">
        <f t="shared" si="119"/>
        <v>4.1972867098701266E-2</v>
      </c>
      <c r="AC361">
        <f t="shared" si="120"/>
        <v>0.10220704919876719</v>
      </c>
      <c r="AD361" t="str">
        <f t="shared" si="121"/>
        <v>No Impact</v>
      </c>
      <c r="AE361">
        <f t="shared" si="122"/>
        <v>2.5108754317240543E-2</v>
      </c>
      <c r="AF361">
        <f t="shared" si="123"/>
        <v>0.13737878543781401</v>
      </c>
      <c r="AG361" t="s">
        <v>1175</v>
      </c>
    </row>
    <row r="362" spans="1:33" customFormat="1" x14ac:dyDescent="0.3">
      <c r="A362">
        <v>456152</v>
      </c>
      <c r="B362" t="s">
        <v>354</v>
      </c>
      <c r="C362" t="s">
        <v>894</v>
      </c>
      <c r="D362" t="s">
        <v>901</v>
      </c>
      <c r="E362" s="18">
        <v>5.3</v>
      </c>
      <c r="F362" s="2">
        <f t="shared" si="105"/>
        <v>0.46666666666666656</v>
      </c>
      <c r="G362" s="10">
        <v>30.434400000000004</v>
      </c>
      <c r="H362">
        <f t="shared" si="106"/>
        <v>0.40777738653958401</v>
      </c>
      <c r="I362" s="22">
        <v>0.20000000000000009</v>
      </c>
      <c r="J362" s="2">
        <f t="shared" si="107"/>
        <v>1.0261672652642387E-3</v>
      </c>
      <c r="K362" s="8">
        <v>0</v>
      </c>
      <c r="L362" s="2">
        <v>0</v>
      </c>
      <c r="M362">
        <v>87952</v>
      </c>
      <c r="N362">
        <f t="shared" si="108"/>
        <v>0.41500712078844398</v>
      </c>
      <c r="O362" s="8">
        <v>0.52086661499999998</v>
      </c>
      <c r="P362">
        <f t="shared" si="109"/>
        <v>0.47815876357372039</v>
      </c>
      <c r="Q362" s="20">
        <v>0.28560000000000002</v>
      </c>
      <c r="R362" s="10">
        <f t="shared" si="110"/>
        <v>0.61844954525768736</v>
      </c>
      <c r="S362">
        <f t="shared" si="111"/>
        <v>5.2301360274590453E-2</v>
      </c>
      <c r="T362" s="11">
        <f t="shared" si="112"/>
        <v>9.6007098414590819E-2</v>
      </c>
      <c r="U362" t="str">
        <f t="shared" si="113"/>
        <v>No Impact</v>
      </c>
      <c r="V362">
        <f t="shared" si="114"/>
        <v>5.8992353455078132E-2</v>
      </c>
      <c r="W362">
        <f t="shared" si="115"/>
        <v>7.7703976544671829E-2</v>
      </c>
      <c r="X362" t="s">
        <v>1176</v>
      </c>
      <c r="Y362">
        <f t="shared" si="116"/>
        <v>4.561036709410278E-2</v>
      </c>
      <c r="Z362">
        <f t="shared" si="117"/>
        <v>8.3378772713106772E-2</v>
      </c>
      <c r="AA362" t="str">
        <f t="shared" si="118"/>
        <v>No Impact</v>
      </c>
      <c r="AB362">
        <f t="shared" si="119"/>
        <v>4.8185705347173272E-2</v>
      </c>
      <c r="AC362">
        <f t="shared" si="120"/>
        <v>0.11733577183361453</v>
      </c>
      <c r="AD362" t="str">
        <f t="shared" si="121"/>
        <v>No Impact</v>
      </c>
      <c r="AE362">
        <f t="shared" si="122"/>
        <v>3.9586490027614545E-2</v>
      </c>
      <c r="AF362">
        <f t="shared" si="123"/>
        <v>0.21659154616068174</v>
      </c>
      <c r="AG362" t="s">
        <v>1175</v>
      </c>
    </row>
    <row r="363" spans="1:33" customFormat="1" x14ac:dyDescent="0.3">
      <c r="A363">
        <v>456165</v>
      </c>
      <c r="B363" t="s">
        <v>350</v>
      </c>
      <c r="C363" t="s">
        <v>894</v>
      </c>
      <c r="D363" t="s">
        <v>902</v>
      </c>
      <c r="E363" s="18">
        <v>5.3</v>
      </c>
      <c r="F363" s="2">
        <f t="shared" si="105"/>
        <v>0.46666666666666656</v>
      </c>
      <c r="G363" s="10">
        <v>29.224440000000001</v>
      </c>
      <c r="H363">
        <f t="shared" si="106"/>
        <v>0.39156565486038425</v>
      </c>
      <c r="I363" s="22">
        <v>0</v>
      </c>
      <c r="J363" s="2">
        <f t="shared" si="107"/>
        <v>0</v>
      </c>
      <c r="K363" s="8">
        <v>0</v>
      </c>
      <c r="L363" s="2">
        <v>0</v>
      </c>
      <c r="M363">
        <v>36359</v>
      </c>
      <c r="N363">
        <f t="shared" si="108"/>
        <v>0.17089892265546267</v>
      </c>
      <c r="O363" s="8">
        <v>0.63408611699999995</v>
      </c>
      <c r="P363">
        <f t="shared" si="109"/>
        <v>0.6028461335624471</v>
      </c>
      <c r="Q363" s="20">
        <v>0.29659999999999997</v>
      </c>
      <c r="R363" s="10">
        <f t="shared" si="110"/>
        <v>0.64226938068427886</v>
      </c>
      <c r="S363">
        <f t="shared" si="111"/>
        <v>5.6880188366498372E-2</v>
      </c>
      <c r="T363" s="11">
        <f t="shared" si="112"/>
        <v>0.10441223351882763</v>
      </c>
      <c r="U363" t="str">
        <f t="shared" si="113"/>
        <v>No Impact</v>
      </c>
      <c r="V363">
        <f t="shared" si="114"/>
        <v>5.8681147150363031E-2</v>
      </c>
      <c r="W363">
        <f t="shared" si="115"/>
        <v>7.729405956415078E-2</v>
      </c>
      <c r="X363" t="s">
        <v>1176</v>
      </c>
      <c r="Y363">
        <f t="shared" si="116"/>
        <v>5.5079229582633712E-2</v>
      </c>
      <c r="Z363">
        <f t="shared" si="117"/>
        <v>0.10068848064976932</v>
      </c>
      <c r="AA363" t="str">
        <f t="shared" si="118"/>
        <v>No Impact</v>
      </c>
      <c r="AB363">
        <f t="shared" si="119"/>
        <v>4.2527152510186336E-2</v>
      </c>
      <c r="AC363">
        <f t="shared" si="120"/>
        <v>0.10355677534896307</v>
      </c>
      <c r="AD363" t="str">
        <f t="shared" si="121"/>
        <v>No Impact</v>
      </c>
      <c r="AE363">
        <f t="shared" si="122"/>
        <v>1.5614234665054755E-2</v>
      </c>
      <c r="AF363">
        <f t="shared" si="123"/>
        <v>8.5430944391907127E-2</v>
      </c>
      <c r="AG363" t="s">
        <v>1176</v>
      </c>
    </row>
    <row r="364" spans="1:33" customFormat="1" x14ac:dyDescent="0.3">
      <c r="A364">
        <v>456172</v>
      </c>
      <c r="B364" t="s">
        <v>365</v>
      </c>
      <c r="C364" t="s">
        <v>894</v>
      </c>
      <c r="D364" t="s">
        <v>903</v>
      </c>
      <c r="E364" s="18">
        <v>5.4</v>
      </c>
      <c r="F364" s="2">
        <f t="shared" si="105"/>
        <v>0.48888888888888893</v>
      </c>
      <c r="G364" s="10">
        <v>29.222999999999999</v>
      </c>
      <c r="H364">
        <f t="shared" si="106"/>
        <v>0.3915463609220573</v>
      </c>
      <c r="I364" s="22">
        <v>0.10000000000000005</v>
      </c>
      <c r="J364" s="2">
        <f t="shared" si="107"/>
        <v>5.1308363263211933E-4</v>
      </c>
      <c r="K364" s="8">
        <v>0</v>
      </c>
      <c r="L364" s="2">
        <v>0</v>
      </c>
      <c r="M364">
        <v>50033</v>
      </c>
      <c r="N364">
        <f t="shared" si="108"/>
        <v>0.23559637194645924</v>
      </c>
      <c r="O364" s="8">
        <v>0.53515390900000004</v>
      </c>
      <c r="P364">
        <f t="shared" si="109"/>
        <v>0.49389320050063534</v>
      </c>
      <c r="Q364" s="20">
        <v>0.29670000000000002</v>
      </c>
      <c r="R364" s="10">
        <f t="shared" si="110"/>
        <v>0.64248592464270249</v>
      </c>
      <c r="S364">
        <f t="shared" si="111"/>
        <v>5.4453442829773886E-2</v>
      </c>
      <c r="T364" s="11">
        <f t="shared" si="112"/>
        <v>9.9957573136224387E-2</v>
      </c>
      <c r="U364" t="str">
        <f t="shared" si="113"/>
        <v>No Impact</v>
      </c>
      <c r="V364">
        <f t="shared" si="114"/>
        <v>6.1573764938796988E-2</v>
      </c>
      <c r="W364">
        <f t="shared" si="115"/>
        <v>8.1104178869805033E-2</v>
      </c>
      <c r="X364" t="s">
        <v>1176</v>
      </c>
      <c r="Y364">
        <f t="shared" si="116"/>
        <v>4.7333120720750813E-2</v>
      </c>
      <c r="Z364">
        <f t="shared" si="117"/>
        <v>8.6528080474226263E-2</v>
      </c>
      <c r="AA364" t="str">
        <f t="shared" si="118"/>
        <v>No Impact</v>
      </c>
      <c r="AB364">
        <f t="shared" si="119"/>
        <v>4.3653330911227535E-2</v>
      </c>
      <c r="AC364">
        <f t="shared" si="120"/>
        <v>0.10629910340987765</v>
      </c>
      <c r="AD364" t="str">
        <f t="shared" si="121"/>
        <v>No Impact</v>
      </c>
      <c r="AE364">
        <f t="shared" si="122"/>
        <v>2.2578791332638161E-2</v>
      </c>
      <c r="AF364">
        <f t="shared" si="123"/>
        <v>0.12353647220968809</v>
      </c>
      <c r="AG364" t="s">
        <v>1175</v>
      </c>
    </row>
    <row r="365" spans="1:33" customFormat="1" x14ac:dyDescent="0.3">
      <c r="A365">
        <v>456181</v>
      </c>
      <c r="B365" t="s">
        <v>411</v>
      </c>
      <c r="C365" t="s">
        <v>894</v>
      </c>
      <c r="D365" t="s">
        <v>904</v>
      </c>
      <c r="E365" s="18">
        <v>5.4</v>
      </c>
      <c r="F365" s="2">
        <f t="shared" si="105"/>
        <v>0.48888888888888893</v>
      </c>
      <c r="G365" s="10">
        <v>30.434400000000004</v>
      </c>
      <c r="H365">
        <f t="shared" si="106"/>
        <v>0.40777738653958401</v>
      </c>
      <c r="I365" s="22">
        <v>0.10000000000000026</v>
      </c>
      <c r="J365" s="2">
        <f t="shared" si="107"/>
        <v>5.1308363263212042E-4</v>
      </c>
      <c r="K365" s="8">
        <v>0</v>
      </c>
      <c r="L365" s="2">
        <v>0</v>
      </c>
      <c r="M365">
        <v>71423</v>
      </c>
      <c r="N365">
        <f t="shared" si="108"/>
        <v>0.33680146484790846</v>
      </c>
      <c r="O365" s="8">
        <v>0.65571944000000004</v>
      </c>
      <c r="P365">
        <f t="shared" si="109"/>
        <v>0.62667066998362519</v>
      </c>
      <c r="Q365" s="20">
        <v>0.30480000000000002</v>
      </c>
      <c r="R365" s="10">
        <f t="shared" si="110"/>
        <v>0.66002598527501088</v>
      </c>
      <c r="S365">
        <f t="shared" si="111"/>
        <v>6.420895339766923E-2</v>
      </c>
      <c r="T365" s="11">
        <f t="shared" si="112"/>
        <v>0.1178652959613903</v>
      </c>
      <c r="U365" t="str">
        <f t="shared" si="113"/>
        <v>No Impact</v>
      </c>
      <c r="V365">
        <f t="shared" si="114"/>
        <v>6.5873455964265748E-2</v>
      </c>
      <c r="W365">
        <f t="shared" si="115"/>
        <v>8.6767677120417719E-2</v>
      </c>
      <c r="X365" t="s">
        <v>1176</v>
      </c>
      <c r="Y365">
        <f t="shared" si="116"/>
        <v>6.2544450831072726E-2</v>
      </c>
      <c r="Z365">
        <f t="shared" si="117"/>
        <v>0.11433539965926641</v>
      </c>
      <c r="AA365" t="str">
        <f t="shared" si="118"/>
        <v>No Impact</v>
      </c>
      <c r="AB365">
        <f t="shared" si="119"/>
        <v>5.3584031269796106E-2</v>
      </c>
      <c r="AC365">
        <f t="shared" si="120"/>
        <v>0.13048109645170727</v>
      </c>
      <c r="AD365" t="str">
        <f t="shared" si="121"/>
        <v>No Impact</v>
      </c>
      <c r="AE365">
        <f t="shared" si="122"/>
        <v>3.3614246951375125E-2</v>
      </c>
      <c r="AF365">
        <f t="shared" si="123"/>
        <v>0.18391531340986744</v>
      </c>
      <c r="AG365" t="s">
        <v>1175</v>
      </c>
    </row>
    <row r="366" spans="1:33" customFormat="1" x14ac:dyDescent="0.3">
      <c r="A366">
        <v>456194</v>
      </c>
      <c r="B366" t="s">
        <v>524</v>
      </c>
      <c r="C366" t="s">
        <v>894</v>
      </c>
      <c r="D366" t="s">
        <v>905</v>
      </c>
      <c r="E366" s="18">
        <v>5.3</v>
      </c>
      <c r="F366" s="2">
        <f t="shared" si="105"/>
        <v>0.46666666666666656</v>
      </c>
      <c r="G366" s="10">
        <v>27.542159999999999</v>
      </c>
      <c r="H366">
        <f t="shared" si="106"/>
        <v>0.36902551140995277</v>
      </c>
      <c r="I366" s="22">
        <v>0</v>
      </c>
      <c r="J366" s="2">
        <f t="shared" si="107"/>
        <v>0</v>
      </c>
      <c r="K366" s="8">
        <v>0</v>
      </c>
      <c r="L366" s="2">
        <v>0</v>
      </c>
      <c r="M366">
        <v>46016</v>
      </c>
      <c r="N366">
        <f t="shared" si="108"/>
        <v>0.21659025421924458</v>
      </c>
      <c r="O366" s="8">
        <v>0.85811759600000004</v>
      </c>
      <c r="P366">
        <f t="shared" si="109"/>
        <v>0.84956949321116471</v>
      </c>
      <c r="Q366" s="20">
        <v>0.26629999999999998</v>
      </c>
      <c r="R366" s="10">
        <f t="shared" si="110"/>
        <v>0.57665656128194021</v>
      </c>
      <c r="S366">
        <f t="shared" si="111"/>
        <v>6.1403276566976993E-2</v>
      </c>
      <c r="T366" s="11">
        <f t="shared" si="112"/>
        <v>0.11271504957793874</v>
      </c>
      <c r="U366" t="str">
        <f t="shared" si="113"/>
        <v>No Impact</v>
      </c>
      <c r="V366">
        <f t="shared" si="114"/>
        <v>4.9653562568160302E-2</v>
      </c>
      <c r="W366">
        <f t="shared" si="115"/>
        <v>6.54030401430543E-2</v>
      </c>
      <c r="X366" t="s">
        <v>1176</v>
      </c>
      <c r="Y366">
        <f t="shared" si="116"/>
        <v>7.3152990565793691E-2</v>
      </c>
      <c r="Z366">
        <f t="shared" si="117"/>
        <v>0.13372851310503886</v>
      </c>
      <c r="AA366" t="str">
        <f t="shared" si="118"/>
        <v>No Impact</v>
      </c>
      <c r="AB366">
        <f t="shared" si="119"/>
        <v>4.5852042630517134E-2</v>
      </c>
      <c r="AC366">
        <f t="shared" si="120"/>
        <v>0.11165312977026159</v>
      </c>
      <c r="AD366" t="str">
        <f t="shared" si="121"/>
        <v>No Impact</v>
      </c>
      <c r="AE366">
        <f t="shared" si="122"/>
        <v>1.8649710176922626E-2</v>
      </c>
      <c r="AF366">
        <f t="shared" si="123"/>
        <v>0.10203909363650351</v>
      </c>
      <c r="AG366" t="s">
        <v>1176</v>
      </c>
    </row>
    <row r="367" spans="1:33" customFormat="1" x14ac:dyDescent="0.3">
      <c r="A367">
        <v>457204</v>
      </c>
      <c r="B367" t="s">
        <v>16</v>
      </c>
      <c r="C367" t="s">
        <v>907</v>
      </c>
      <c r="D367" t="s">
        <v>906</v>
      </c>
      <c r="E367" s="18">
        <v>5.7</v>
      </c>
      <c r="F367" s="2">
        <f t="shared" si="105"/>
        <v>0.55555555555555558</v>
      </c>
      <c r="G367" s="10">
        <v>32.055840000000003</v>
      </c>
      <c r="H367">
        <f t="shared" si="106"/>
        <v>0.42950236109570283</v>
      </c>
      <c r="I367" s="22">
        <v>0.2</v>
      </c>
      <c r="J367" s="2">
        <f t="shared" si="107"/>
        <v>1.0261672652642382E-3</v>
      </c>
      <c r="K367" s="8">
        <v>0</v>
      </c>
      <c r="L367" s="2">
        <v>0</v>
      </c>
      <c r="M367">
        <v>26281</v>
      </c>
      <c r="N367">
        <f t="shared" si="108"/>
        <v>0.12321566289572422</v>
      </c>
      <c r="O367" s="8">
        <v>0.56833292499999999</v>
      </c>
      <c r="P367">
        <f t="shared" si="109"/>
        <v>0.53043287936138395</v>
      </c>
      <c r="Q367" s="20">
        <v>0.26090000000000002</v>
      </c>
      <c r="R367" s="10">
        <f t="shared" si="110"/>
        <v>0.56496318752706809</v>
      </c>
      <c r="S367">
        <f t="shared" si="111"/>
        <v>6.5499896756927328E-2</v>
      </c>
      <c r="T367" s="11">
        <f t="shared" si="112"/>
        <v>0.12023501876571606</v>
      </c>
      <c r="U367" t="str">
        <f t="shared" si="113"/>
        <v>No Impact</v>
      </c>
      <c r="V367">
        <f t="shared" si="114"/>
        <v>6.7564658251152696E-2</v>
      </c>
      <c r="W367">
        <f t="shared" si="115"/>
        <v>8.8995307230693418E-2</v>
      </c>
      <c r="X367" t="s">
        <v>1176</v>
      </c>
      <c r="Y367">
        <f t="shared" si="116"/>
        <v>6.3435135262701947E-2</v>
      </c>
      <c r="Z367">
        <f t="shared" si="117"/>
        <v>0.11596362980770382</v>
      </c>
      <c r="AA367" t="str">
        <f t="shared" si="118"/>
        <v>No Impact</v>
      </c>
      <c r="AB367">
        <f t="shared" si="119"/>
        <v>4.7835601607305975E-2</v>
      </c>
      <c r="AC367">
        <f t="shared" si="120"/>
        <v>0.11648324322075748</v>
      </c>
      <c r="AD367" t="str">
        <f t="shared" si="121"/>
        <v>No Impact</v>
      </c>
      <c r="AE367">
        <f t="shared" si="122"/>
        <v>1.4735516115976989E-2</v>
      </c>
      <c r="AF367">
        <f t="shared" si="123"/>
        <v>8.0623167570772952E-2</v>
      </c>
      <c r="AG367" t="s">
        <v>1176</v>
      </c>
    </row>
    <row r="368" spans="1:33" customFormat="1" x14ac:dyDescent="0.3">
      <c r="A368">
        <v>457209</v>
      </c>
      <c r="B368" t="s">
        <v>48</v>
      </c>
      <c r="C368" t="s">
        <v>907</v>
      </c>
      <c r="D368" t="s">
        <v>908</v>
      </c>
      <c r="E368" s="18">
        <v>5.5</v>
      </c>
      <c r="F368" s="2">
        <f t="shared" si="105"/>
        <v>0.51111111111111107</v>
      </c>
      <c r="G368" s="10">
        <v>32.565599999999996</v>
      </c>
      <c r="H368">
        <f t="shared" si="106"/>
        <v>0.43633241526343458</v>
      </c>
      <c r="I368" s="22">
        <v>0</v>
      </c>
      <c r="J368" s="2">
        <f t="shared" si="107"/>
        <v>0</v>
      </c>
      <c r="K368" s="8">
        <v>0</v>
      </c>
      <c r="L368" s="2">
        <v>0</v>
      </c>
      <c r="M368">
        <v>31977</v>
      </c>
      <c r="N368">
        <f t="shared" si="108"/>
        <v>0.15016583630229993</v>
      </c>
      <c r="O368" s="8">
        <v>0.75725827700000004</v>
      </c>
      <c r="P368">
        <f t="shared" si="109"/>
        <v>0.73849425438027827</v>
      </c>
      <c r="Q368" s="20">
        <v>0.30059999999999998</v>
      </c>
      <c r="R368" s="10">
        <f t="shared" si="110"/>
        <v>0.65093113902122124</v>
      </c>
      <c r="S368">
        <f t="shared" si="111"/>
        <v>7.7465448710100845E-2</v>
      </c>
      <c r="T368" s="11">
        <f t="shared" si="112"/>
        <v>0.14219960855691771</v>
      </c>
      <c r="U368" t="str">
        <f t="shared" si="113"/>
        <v>No Impact</v>
      </c>
      <c r="V368">
        <f t="shared" si="114"/>
        <v>7.2583490992934249E-2</v>
      </c>
      <c r="W368">
        <f t="shared" si="115"/>
        <v>9.5606049789828507E-2</v>
      </c>
      <c r="X368" t="s">
        <v>1176</v>
      </c>
      <c r="Y368">
        <f t="shared" si="116"/>
        <v>8.2347406427267442E-2</v>
      </c>
      <c r="Z368">
        <f t="shared" si="117"/>
        <v>0.1505365144254826</v>
      </c>
      <c r="AA368" t="str">
        <f t="shared" si="118"/>
        <v>Low</v>
      </c>
      <c r="AB368">
        <f t="shared" si="119"/>
        <v>5.5969042525183664E-2</v>
      </c>
      <c r="AC368">
        <f t="shared" si="120"/>
        <v>0.13628877602112491</v>
      </c>
      <c r="AD368" t="str">
        <f t="shared" si="121"/>
        <v>No Impact</v>
      </c>
      <c r="AE368">
        <f t="shared" si="122"/>
        <v>1.6744567855646993E-2</v>
      </c>
      <c r="AF368">
        <f t="shared" si="123"/>
        <v>9.1615393006985874E-2</v>
      </c>
      <c r="AG368" t="s">
        <v>1176</v>
      </c>
    </row>
    <row r="369" spans="1:33" customFormat="1" x14ac:dyDescent="0.3">
      <c r="A369">
        <v>457218</v>
      </c>
      <c r="B369" t="s">
        <v>158</v>
      </c>
      <c r="C369" t="s">
        <v>907</v>
      </c>
      <c r="D369" t="s">
        <v>1138</v>
      </c>
      <c r="E369" s="18">
        <v>5.7</v>
      </c>
      <c r="F369" s="2">
        <f t="shared" si="105"/>
        <v>0.55555555555555558</v>
      </c>
      <c r="G369" s="10">
        <v>28.391400000000001</v>
      </c>
      <c r="H369">
        <f t="shared" si="106"/>
        <v>0.38040411153825748</v>
      </c>
      <c r="I369" s="22">
        <v>0.10000000000000026</v>
      </c>
      <c r="J369" s="2">
        <f t="shared" si="107"/>
        <v>5.1308363263212042E-4</v>
      </c>
      <c r="K369" s="8">
        <v>0</v>
      </c>
      <c r="L369" s="2">
        <v>0</v>
      </c>
      <c r="M369">
        <v>33559</v>
      </c>
      <c r="N369">
        <f t="shared" si="108"/>
        <v>0.15765094415503919</v>
      </c>
      <c r="O369" s="8">
        <v>0.57911826300000002</v>
      </c>
      <c r="P369">
        <f t="shared" si="109"/>
        <v>0.54231065135210932</v>
      </c>
      <c r="Q369" s="20">
        <v>0.29020000000000001</v>
      </c>
      <c r="R369" s="10">
        <f t="shared" si="110"/>
        <v>0.62841056734517109</v>
      </c>
      <c r="S369">
        <f t="shared" si="111"/>
        <v>6.1937200410168571E-2</v>
      </c>
      <c r="T369" s="11">
        <f t="shared" si="112"/>
        <v>0.11369514796715967</v>
      </c>
      <c r="U369" t="str">
        <f t="shared" si="113"/>
        <v>No Impact</v>
      </c>
      <c r="V369">
        <f t="shared" si="114"/>
        <v>6.6492330758019441E-2</v>
      </c>
      <c r="W369">
        <f t="shared" si="115"/>
        <v>8.758285111571433E-2</v>
      </c>
      <c r="X369" t="s">
        <v>1176</v>
      </c>
      <c r="Y369">
        <f t="shared" si="116"/>
        <v>5.73820700623177E-2</v>
      </c>
      <c r="Z369">
        <f t="shared" si="117"/>
        <v>0.10489822560871614</v>
      </c>
      <c r="AA369" t="str">
        <f t="shared" si="118"/>
        <v>No Impact</v>
      </c>
      <c r="AB369">
        <f t="shared" si="119"/>
        <v>4.6325321342961287E-2</v>
      </c>
      <c r="AC369">
        <f t="shared" si="120"/>
        <v>0.11280559859098233</v>
      </c>
      <c r="AD369" t="str">
        <f t="shared" si="121"/>
        <v>No Impact</v>
      </c>
      <c r="AE369">
        <f t="shared" si="122"/>
        <v>1.6681098739883358E-2</v>
      </c>
      <c r="AF369">
        <f t="shared" si="123"/>
        <v>9.1268131254122517E-2</v>
      </c>
      <c r="AG369" t="s">
        <v>1176</v>
      </c>
    </row>
    <row r="370" spans="1:33" customFormat="1" x14ac:dyDescent="0.3">
      <c r="A370">
        <v>457238</v>
      </c>
      <c r="B370" t="s">
        <v>270</v>
      </c>
      <c r="C370" t="s">
        <v>907</v>
      </c>
      <c r="D370" t="s">
        <v>909</v>
      </c>
      <c r="E370" s="18">
        <v>5.7</v>
      </c>
      <c r="F370" s="2">
        <f t="shared" si="105"/>
        <v>0.55555555555555558</v>
      </c>
      <c r="G370" s="10">
        <v>30.218400000000003</v>
      </c>
      <c r="H370">
        <f t="shared" si="106"/>
        <v>0.40488329579054505</v>
      </c>
      <c r="I370" s="22">
        <v>0.10000000000000005</v>
      </c>
      <c r="J370" s="2">
        <f t="shared" si="107"/>
        <v>5.1308363263211933E-4</v>
      </c>
      <c r="K370" s="8">
        <v>0</v>
      </c>
      <c r="L370" s="2">
        <v>0</v>
      </c>
      <c r="M370">
        <v>1928</v>
      </c>
      <c r="N370">
        <f t="shared" si="108"/>
        <v>7.9913698882911523E-3</v>
      </c>
      <c r="O370" s="8">
        <v>0.80584710100000001</v>
      </c>
      <c r="P370">
        <f t="shared" si="109"/>
        <v>0.79200458226888815</v>
      </c>
      <c r="Q370" s="20">
        <v>0.1091</v>
      </c>
      <c r="R370" s="10">
        <f t="shared" si="110"/>
        <v>0.23624945864010397</v>
      </c>
      <c r="S370">
        <f t="shared" si="111"/>
        <v>5.7895897959966247E-2</v>
      </c>
      <c r="T370" s="11">
        <f t="shared" si="112"/>
        <v>0.10627672290091526</v>
      </c>
      <c r="U370" t="str">
        <f t="shared" si="113"/>
        <v>No Impact</v>
      </c>
      <c r="V370">
        <f t="shared" si="114"/>
        <v>2.6604076437051056E-2</v>
      </c>
      <c r="W370">
        <f t="shared" si="115"/>
        <v>3.5042550608384328E-2</v>
      </c>
      <c r="X370" t="s">
        <v>1176</v>
      </c>
      <c r="Y370">
        <f t="shared" si="116"/>
        <v>8.9187719482881428E-2</v>
      </c>
      <c r="Z370">
        <f t="shared" si="117"/>
        <v>0.16304105985862552</v>
      </c>
      <c r="AA370" t="str">
        <f t="shared" si="118"/>
        <v>Low</v>
      </c>
      <c r="AB370">
        <f t="shared" si="119"/>
        <v>3.6382710749713026E-2</v>
      </c>
      <c r="AC370">
        <f t="shared" si="120"/>
        <v>8.8594603242995909E-2</v>
      </c>
      <c r="AD370" t="str">
        <f t="shared" si="121"/>
        <v>No Impact</v>
      </c>
      <c r="AE370">
        <f t="shared" si="122"/>
        <v>8.9990900537350921E-4</v>
      </c>
      <c r="AF370">
        <f t="shared" si="123"/>
        <v>4.9237172263012817E-3</v>
      </c>
      <c r="AG370" t="s">
        <v>1176</v>
      </c>
    </row>
    <row r="371" spans="1:33" customFormat="1" x14ac:dyDescent="0.3">
      <c r="A371">
        <v>457240</v>
      </c>
      <c r="B371" t="s">
        <v>248</v>
      </c>
      <c r="C371" t="s">
        <v>907</v>
      </c>
      <c r="D371" t="s">
        <v>910</v>
      </c>
      <c r="E371" s="18">
        <v>5.7</v>
      </c>
      <c r="F371" s="2">
        <f t="shared" si="105"/>
        <v>0.55555555555555558</v>
      </c>
      <c r="G371" s="10">
        <v>32.565599999999996</v>
      </c>
      <c r="H371">
        <f t="shared" si="106"/>
        <v>0.43633241526343458</v>
      </c>
      <c r="I371" s="22">
        <v>0</v>
      </c>
      <c r="J371" s="2">
        <f t="shared" si="107"/>
        <v>0</v>
      </c>
      <c r="K371" s="8">
        <v>0</v>
      </c>
      <c r="L371" s="2">
        <v>0</v>
      </c>
      <c r="M371">
        <v>27627</v>
      </c>
      <c r="N371">
        <f t="shared" si="108"/>
        <v>0.12958415541771348</v>
      </c>
      <c r="O371" s="8">
        <v>0.74739329399999999</v>
      </c>
      <c r="P371">
        <f t="shared" si="109"/>
        <v>0.72763005904709699</v>
      </c>
      <c r="Q371" s="20">
        <v>0.25800000000000001</v>
      </c>
      <c r="R371" s="10">
        <f t="shared" si="110"/>
        <v>0.55868341273278477</v>
      </c>
      <c r="S371">
        <f t="shared" si="111"/>
        <v>7.7952814434390227E-2</v>
      </c>
      <c r="T371" s="11">
        <f t="shared" si="112"/>
        <v>0.14309424244043606</v>
      </c>
      <c r="U371" t="str">
        <f t="shared" si="113"/>
        <v>No Impact</v>
      </c>
      <c r="V371">
        <f t="shared" si="114"/>
        <v>6.7714356345920629E-2</v>
      </c>
      <c r="W371">
        <f t="shared" si="115"/>
        <v>8.9192487654313701E-2</v>
      </c>
      <c r="X371" t="s">
        <v>1176</v>
      </c>
      <c r="Y371">
        <f t="shared" si="116"/>
        <v>8.8191272522859812E-2</v>
      </c>
      <c r="Z371">
        <f t="shared" si="117"/>
        <v>0.16121948880156972</v>
      </c>
      <c r="AA371" t="str">
        <f t="shared" si="118"/>
        <v>Low</v>
      </c>
      <c r="AB371">
        <f t="shared" si="119"/>
        <v>5.5654522763943809E-2</v>
      </c>
      <c r="AC371">
        <f t="shared" si="120"/>
        <v>0.13552289703946199</v>
      </c>
      <c r="AD371" t="str">
        <f t="shared" si="121"/>
        <v>No Impact</v>
      </c>
      <c r="AE371">
        <f t="shared" si="122"/>
        <v>1.5706046531467559E-2</v>
      </c>
      <c r="AF371">
        <f t="shared" si="123"/>
        <v>8.5933279256361517E-2</v>
      </c>
      <c r="AG371" t="s">
        <v>1176</v>
      </c>
    </row>
    <row r="372" spans="1:33" customFormat="1" x14ac:dyDescent="0.3">
      <c r="A372">
        <v>457247</v>
      </c>
      <c r="B372" t="s">
        <v>266</v>
      </c>
      <c r="C372" t="s">
        <v>907</v>
      </c>
      <c r="D372" t="s">
        <v>911</v>
      </c>
      <c r="E372" s="18">
        <v>5.7</v>
      </c>
      <c r="F372" s="2">
        <f t="shared" si="105"/>
        <v>0.55555555555555558</v>
      </c>
      <c r="G372" s="10">
        <v>32.055840000000003</v>
      </c>
      <c r="H372">
        <f t="shared" si="106"/>
        <v>0.42950236109570283</v>
      </c>
      <c r="I372" s="22">
        <v>0.3</v>
      </c>
      <c r="J372" s="2">
        <f t="shared" si="107"/>
        <v>1.5392508978963571E-3</v>
      </c>
      <c r="K372" s="8">
        <v>0</v>
      </c>
      <c r="L372" s="2">
        <v>0</v>
      </c>
      <c r="M372">
        <v>54514</v>
      </c>
      <c r="N372">
        <f t="shared" si="108"/>
        <v>0.25679786896802981</v>
      </c>
      <c r="O372" s="8">
        <v>0.46322793000000001</v>
      </c>
      <c r="P372">
        <f t="shared" si="109"/>
        <v>0.41468192508472335</v>
      </c>
      <c r="Q372" s="20">
        <v>0.29570000000000002</v>
      </c>
      <c r="R372" s="10">
        <f t="shared" si="110"/>
        <v>0.64032048505846695</v>
      </c>
      <c r="S372">
        <f t="shared" si="111"/>
        <v>6.315971382295181E-2</v>
      </c>
      <c r="T372" s="11">
        <f t="shared" si="112"/>
        <v>0.11593925720099273</v>
      </c>
      <c r="U372" t="str">
        <f t="shared" si="113"/>
        <v>No Impact</v>
      </c>
      <c r="V372">
        <f t="shared" si="114"/>
        <v>7.6667992797812487E-2</v>
      </c>
      <c r="W372">
        <f t="shared" si="115"/>
        <v>0.10098610354009312</v>
      </c>
      <c r="X372" t="s">
        <v>1176</v>
      </c>
      <c r="Y372">
        <f t="shared" si="116"/>
        <v>4.965143484809114E-2</v>
      </c>
      <c r="Z372">
        <f t="shared" si="117"/>
        <v>9.0766112286210648E-2</v>
      </c>
      <c r="AA372" t="str">
        <f t="shared" si="118"/>
        <v>No Impact</v>
      </c>
      <c r="AB372">
        <f t="shared" si="119"/>
        <v>5.2490810874988164E-2</v>
      </c>
      <c r="AC372">
        <f t="shared" si="120"/>
        <v>0.12781902358414543</v>
      </c>
      <c r="AD372" t="str">
        <f t="shared" si="121"/>
        <v>No Impact</v>
      </c>
      <c r="AE372">
        <f t="shared" si="122"/>
        <v>3.0747379832361286E-2</v>
      </c>
      <c r="AF372">
        <f t="shared" si="123"/>
        <v>0.16822967971232886</v>
      </c>
      <c r="AG372" t="s">
        <v>1175</v>
      </c>
    </row>
    <row r="373" spans="1:33" customFormat="1" x14ac:dyDescent="0.3">
      <c r="A373">
        <v>457256</v>
      </c>
      <c r="B373" t="s">
        <v>305</v>
      </c>
      <c r="C373" t="s">
        <v>907</v>
      </c>
      <c r="D373" t="s">
        <v>912</v>
      </c>
      <c r="E373" s="18">
        <v>5.8</v>
      </c>
      <c r="F373" s="2">
        <f t="shared" si="105"/>
        <v>0.57777777777777772</v>
      </c>
      <c r="G373" s="10">
        <v>32.055840000000003</v>
      </c>
      <c r="H373">
        <f t="shared" si="106"/>
        <v>0.42950236109570283</v>
      </c>
      <c r="I373" s="22">
        <v>0.3</v>
      </c>
      <c r="J373" s="2">
        <f t="shared" si="107"/>
        <v>1.5392508978963571E-3</v>
      </c>
      <c r="K373" s="8">
        <v>0</v>
      </c>
      <c r="L373" s="2">
        <v>0</v>
      </c>
      <c r="M373">
        <v>20648</v>
      </c>
      <c r="N373">
        <f t="shared" si="108"/>
        <v>9.6563569005408009E-2</v>
      </c>
      <c r="O373" s="8">
        <v>0.59708533500000005</v>
      </c>
      <c r="P373">
        <f t="shared" si="109"/>
        <v>0.56209758659298414</v>
      </c>
      <c r="Q373" s="20">
        <v>0.23019999999999999</v>
      </c>
      <c r="R373" s="10">
        <f t="shared" si="110"/>
        <v>0.49848419229103508</v>
      </c>
      <c r="S373">
        <f t="shared" si="111"/>
        <v>6.6033482611952077E-2</v>
      </c>
      <c r="T373" s="11">
        <f t="shared" si="112"/>
        <v>0.1212144967262708</v>
      </c>
      <c r="U373" t="str">
        <f t="shared" si="113"/>
        <v>No Impact</v>
      </c>
      <c r="V373">
        <f t="shared" si="114"/>
        <v>6.2072813052887005E-2</v>
      </c>
      <c r="W373">
        <f t="shared" si="115"/>
        <v>8.1761518688963836E-2</v>
      </c>
      <c r="X373" t="s">
        <v>1176</v>
      </c>
      <c r="Y373">
        <f t="shared" si="116"/>
        <v>6.9994152171017121E-2</v>
      </c>
      <c r="Z373">
        <f t="shared" si="117"/>
        <v>0.12795394724784878</v>
      </c>
      <c r="AA373" t="str">
        <f t="shared" si="118"/>
        <v>No Impact</v>
      </c>
      <c r="AB373">
        <f t="shared" si="119"/>
        <v>4.6932269549147927E-2</v>
      </c>
      <c r="AC373">
        <f t="shared" si="120"/>
        <v>0.11428356255815533</v>
      </c>
      <c r="AD373" t="str">
        <f t="shared" si="121"/>
        <v>No Impact</v>
      </c>
      <c r="AE373">
        <f t="shared" si="122"/>
        <v>1.2024398083806684E-2</v>
      </c>
      <c r="AF373">
        <f t="shared" si="123"/>
        <v>6.5789691655069094E-2</v>
      </c>
      <c r="AG373" t="s">
        <v>1176</v>
      </c>
    </row>
    <row r="374" spans="1:33" customFormat="1" x14ac:dyDescent="0.3">
      <c r="A374">
        <v>457263</v>
      </c>
      <c r="B374" t="s">
        <v>342</v>
      </c>
      <c r="C374" t="s">
        <v>907</v>
      </c>
      <c r="D374" t="s">
        <v>1139</v>
      </c>
      <c r="E374" s="18">
        <v>5.8</v>
      </c>
      <c r="F374" s="2">
        <f t="shared" si="105"/>
        <v>0.57777777777777772</v>
      </c>
      <c r="G374" s="10">
        <v>32.565599999999996</v>
      </c>
      <c r="H374">
        <f t="shared" si="106"/>
        <v>0.43633241526343458</v>
      </c>
      <c r="I374" s="22">
        <v>0.39999999999999997</v>
      </c>
      <c r="J374" s="2">
        <f t="shared" si="107"/>
        <v>2.052334530528476E-3</v>
      </c>
      <c r="K374" s="8">
        <v>0</v>
      </c>
      <c r="L374" s="2">
        <v>0</v>
      </c>
      <c r="M374">
        <v>14378</v>
      </c>
      <c r="N374">
        <f t="shared" si="108"/>
        <v>6.6897560006245471E-2</v>
      </c>
      <c r="O374" s="8">
        <v>0.57420229</v>
      </c>
      <c r="P374">
        <f t="shared" si="109"/>
        <v>0.53689674532463361</v>
      </c>
      <c r="Q374" s="20">
        <v>0.24560000000000001</v>
      </c>
      <c r="R374" s="10">
        <f t="shared" si="110"/>
        <v>0.53183196188826332</v>
      </c>
      <c r="S374">
        <f t="shared" si="111"/>
        <v>6.7674297442432974E-2</v>
      </c>
      <c r="T374" s="11">
        <f t="shared" si="112"/>
        <v>0.12422646180869013</v>
      </c>
      <c r="U374" t="str">
        <f t="shared" si="113"/>
        <v>No Impact</v>
      </c>
      <c r="V374">
        <f t="shared" si="114"/>
        <v>6.7353584001836539E-2</v>
      </c>
      <c r="W374">
        <f t="shared" si="115"/>
        <v>8.8717282918092694E-2</v>
      </c>
      <c r="X374" t="s">
        <v>1176</v>
      </c>
      <c r="Y374">
        <f t="shared" si="116"/>
        <v>6.7995010883029408E-2</v>
      </c>
      <c r="Z374">
        <f t="shared" si="117"/>
        <v>0.1242993845312495</v>
      </c>
      <c r="AA374" t="str">
        <f t="shared" si="118"/>
        <v>No Impact</v>
      </c>
      <c r="AB374">
        <f t="shared" si="119"/>
        <v>4.6937530087296037E-2</v>
      </c>
      <c r="AC374">
        <f t="shared" si="120"/>
        <v>0.11429637235930738</v>
      </c>
      <c r="AD374" t="str">
        <f t="shared" si="121"/>
        <v>No Impact</v>
      </c>
      <c r="AE374">
        <f t="shared" si="122"/>
        <v>8.4722069192697588E-3</v>
      </c>
      <c r="AF374">
        <f t="shared" si="123"/>
        <v>4.6354410172708096E-2</v>
      </c>
      <c r="AG374" t="s">
        <v>1176</v>
      </c>
    </row>
    <row r="375" spans="1:33" customFormat="1" x14ac:dyDescent="0.3">
      <c r="A375">
        <v>457274</v>
      </c>
      <c r="B375" t="s">
        <v>381</v>
      </c>
      <c r="C375" t="s">
        <v>907</v>
      </c>
      <c r="D375" t="s">
        <v>913</v>
      </c>
      <c r="E375" s="18">
        <v>5.8</v>
      </c>
      <c r="F375" s="2">
        <f t="shared" si="105"/>
        <v>0.57777777777777772</v>
      </c>
      <c r="G375" s="10">
        <v>32.055840000000003</v>
      </c>
      <c r="H375">
        <f t="shared" si="106"/>
        <v>0.42950236109570283</v>
      </c>
      <c r="I375" s="22">
        <v>0</v>
      </c>
      <c r="J375" s="2">
        <f t="shared" si="107"/>
        <v>0</v>
      </c>
      <c r="K375" s="8">
        <v>0</v>
      </c>
      <c r="L375" s="2">
        <v>0</v>
      </c>
      <c r="M375">
        <v>65362</v>
      </c>
      <c r="N375">
        <f t="shared" si="108"/>
        <v>0.30812432281538471</v>
      </c>
      <c r="O375" s="8">
        <v>0.57605584799999998</v>
      </c>
      <c r="P375">
        <f t="shared" si="109"/>
        <v>0.53893804799828049</v>
      </c>
      <c r="Q375" s="20">
        <v>0.2908</v>
      </c>
      <c r="R375" s="10">
        <f t="shared" si="110"/>
        <v>0.62970983109571244</v>
      </c>
      <c r="S375">
        <f t="shared" si="111"/>
        <v>7.2502014485384667E-2</v>
      </c>
      <c r="T375" s="11">
        <f t="shared" si="112"/>
        <v>0.13308847042236743</v>
      </c>
      <c r="U375" t="str">
        <f t="shared" si="113"/>
        <v>No Impact</v>
      </c>
      <c r="V375">
        <f t="shared" si="114"/>
        <v>7.8133426008671125E-2</v>
      </c>
      <c r="W375">
        <f t="shared" si="115"/>
        <v>0.102916353499201</v>
      </c>
      <c r="X375" t="s">
        <v>1176</v>
      </c>
      <c r="Y375">
        <f t="shared" si="116"/>
        <v>6.6870602962098194E-2</v>
      </c>
      <c r="Z375">
        <f t="shared" si="117"/>
        <v>0.12224389236029826</v>
      </c>
      <c r="AA375" t="str">
        <f t="shared" si="118"/>
        <v>No Impact</v>
      </c>
      <c r="AB375">
        <f t="shared" si="119"/>
        <v>6.0788936990086834E-2</v>
      </c>
      <c r="AC375">
        <f t="shared" si="120"/>
        <v>0.14802557707283259</v>
      </c>
      <c r="AD375" t="str">
        <f t="shared" si="121"/>
        <v>No Impact</v>
      </c>
      <c r="AE375">
        <f t="shared" si="122"/>
        <v>3.8231591424064203E-2</v>
      </c>
      <c r="AF375">
        <f t="shared" si="123"/>
        <v>0.20917842155101801</v>
      </c>
      <c r="AG375" t="s">
        <v>1175</v>
      </c>
    </row>
    <row r="376" spans="1:33" customFormat="1" x14ac:dyDescent="0.3">
      <c r="A376">
        <v>457283</v>
      </c>
      <c r="B376" t="s">
        <v>418</v>
      </c>
      <c r="C376" t="s">
        <v>907</v>
      </c>
      <c r="D376" t="s">
        <v>914</v>
      </c>
      <c r="E376" s="18">
        <v>5.3</v>
      </c>
      <c r="F376" s="2">
        <f t="shared" si="105"/>
        <v>0.46666666666666656</v>
      </c>
      <c r="G376" s="10">
        <v>31.722480000000001</v>
      </c>
      <c r="H376">
        <f t="shared" si="106"/>
        <v>0.4250358143730194</v>
      </c>
      <c r="I376" s="22">
        <v>0.10000000000000005</v>
      </c>
      <c r="J376" s="2">
        <f t="shared" si="107"/>
        <v>5.1308363263211933E-4</v>
      </c>
      <c r="K376" s="8">
        <v>0</v>
      </c>
      <c r="L376" s="2">
        <v>0</v>
      </c>
      <c r="M376">
        <v>51043</v>
      </c>
      <c r="N376">
        <f t="shared" si="108"/>
        <v>0.24037510704839771</v>
      </c>
      <c r="O376" s="8">
        <v>0.61370435899999998</v>
      </c>
      <c r="P376">
        <f t="shared" si="109"/>
        <v>0.58039993166370807</v>
      </c>
      <c r="Q376" s="20">
        <v>0.29120000000000001</v>
      </c>
      <c r="R376" s="10">
        <f t="shared" si="110"/>
        <v>0.63057600692940674</v>
      </c>
      <c r="S376">
        <f t="shared" si="111"/>
        <v>6.0121772220960261E-2</v>
      </c>
      <c r="T376" s="11">
        <f t="shared" si="112"/>
        <v>0.11036265351747665</v>
      </c>
      <c r="U376" t="str">
        <f t="shared" si="113"/>
        <v>No Impact</v>
      </c>
      <c r="V376">
        <f t="shared" si="114"/>
        <v>6.2612882466776376E-2</v>
      </c>
      <c r="W376">
        <f t="shared" si="115"/>
        <v>8.2472891241701721E-2</v>
      </c>
      <c r="X376" t="s">
        <v>1176</v>
      </c>
      <c r="Y376">
        <f t="shared" si="116"/>
        <v>5.7630661975144153E-2</v>
      </c>
      <c r="Z376">
        <f t="shared" si="117"/>
        <v>0.10535266809445867</v>
      </c>
      <c r="AA376" t="str">
        <f t="shared" si="118"/>
        <v>No Impact</v>
      </c>
      <c r="AB376">
        <f t="shared" si="119"/>
        <v>4.7557502012097262E-2</v>
      </c>
      <c r="AC376">
        <f t="shared" si="120"/>
        <v>0.11580605004873007</v>
      </c>
      <c r="AD376" t="str">
        <f t="shared" si="121"/>
        <v>No Impact</v>
      </c>
      <c r="AE376">
        <f t="shared" si="122"/>
        <v>2.3867984446235099E-2</v>
      </c>
      <c r="AF376">
        <f t="shared" si="123"/>
        <v>0.13059009908034225</v>
      </c>
      <c r="AG376" t="s">
        <v>1175</v>
      </c>
    </row>
    <row r="377" spans="1:33" customFormat="1" x14ac:dyDescent="0.3">
      <c r="A377">
        <v>458937</v>
      </c>
      <c r="B377" t="s">
        <v>223</v>
      </c>
      <c r="C377" t="s">
        <v>916</v>
      </c>
      <c r="D377" t="s">
        <v>915</v>
      </c>
      <c r="E377" s="18">
        <v>4.7</v>
      </c>
      <c r="F377" s="2">
        <f t="shared" si="105"/>
        <v>0.33333333333333331</v>
      </c>
      <c r="G377" s="10">
        <v>23.606999999999999</v>
      </c>
      <c r="H377">
        <f t="shared" si="106"/>
        <v>0.3163000014470454</v>
      </c>
      <c r="I377" s="22">
        <v>0.40000000000000102</v>
      </c>
      <c r="J377" s="2">
        <f t="shared" si="107"/>
        <v>2.0523345305284817E-3</v>
      </c>
      <c r="K377" s="8">
        <v>0</v>
      </c>
      <c r="L377" s="2">
        <v>0</v>
      </c>
      <c r="M377">
        <v>16994</v>
      </c>
      <c r="N377">
        <f t="shared" si="108"/>
        <v>7.9274957062355392E-2</v>
      </c>
      <c r="O377" s="8">
        <v>0.82397814199999997</v>
      </c>
      <c r="P377">
        <f t="shared" si="109"/>
        <v>0.81197209473372634</v>
      </c>
      <c r="Q377" s="20">
        <v>0.30470000000000003</v>
      </c>
      <c r="R377" s="10">
        <f t="shared" si="110"/>
        <v>0.65980944131658736</v>
      </c>
      <c r="S377">
        <f t="shared" si="111"/>
        <v>3.9045424170856602E-2</v>
      </c>
      <c r="T377" s="11">
        <f t="shared" si="112"/>
        <v>7.1673812331647366E-2</v>
      </c>
      <c r="U377" t="str">
        <f t="shared" si="113"/>
        <v>No Impact</v>
      </c>
      <c r="V377">
        <f t="shared" si="114"/>
        <v>3.5008646157198925E-2</v>
      </c>
      <c r="W377">
        <f t="shared" si="115"/>
        <v>4.611294278895281E-2</v>
      </c>
      <c r="X377" t="s">
        <v>1176</v>
      </c>
      <c r="Y377">
        <f t="shared" si="116"/>
        <v>4.3082202184514279E-2</v>
      </c>
      <c r="Z377">
        <f t="shared" si="117"/>
        <v>7.8757119768658387E-2</v>
      </c>
      <c r="AA377" t="str">
        <f t="shared" si="118"/>
        <v>No Impact</v>
      </c>
      <c r="AB377">
        <f t="shared" si="119"/>
        <v>2.6649866596684394E-2</v>
      </c>
      <c r="AC377">
        <f t="shared" si="120"/>
        <v>6.4894404758739602E-2</v>
      </c>
      <c r="AD377" t="str">
        <f t="shared" si="121"/>
        <v>No Impact</v>
      </c>
      <c r="AE377">
        <f t="shared" si="122"/>
        <v>4.206227960887118E-3</v>
      </c>
      <c r="AF377">
        <f t="shared" si="123"/>
        <v>2.3013745773300901E-2</v>
      </c>
      <c r="AG377" t="s">
        <v>1176</v>
      </c>
    </row>
    <row r="378" spans="1:33" customFormat="1" x14ac:dyDescent="0.3">
      <c r="A378">
        <v>458967</v>
      </c>
      <c r="B378" t="s">
        <v>362</v>
      </c>
      <c r="C378" t="s">
        <v>916</v>
      </c>
      <c r="D378" t="s">
        <v>917</v>
      </c>
      <c r="E378" s="18">
        <v>5.8</v>
      </c>
      <c r="F378" s="2">
        <f t="shared" si="105"/>
        <v>0.57777777777777772</v>
      </c>
      <c r="G378" s="10">
        <v>30.287879999999998</v>
      </c>
      <c r="H378">
        <f t="shared" si="106"/>
        <v>0.40581422831481917</v>
      </c>
      <c r="I378" s="22">
        <v>0.50000000000000044</v>
      </c>
      <c r="J378" s="2">
        <f t="shared" si="107"/>
        <v>2.5654181631605977E-3</v>
      </c>
      <c r="K378" s="8">
        <v>0</v>
      </c>
      <c r="L378" s="2">
        <v>0</v>
      </c>
      <c r="M378">
        <v>17930</v>
      </c>
      <c r="N378">
        <f t="shared" si="108"/>
        <v>8.3703567018211245E-2</v>
      </c>
      <c r="O378" s="8">
        <v>0.73744456999999997</v>
      </c>
      <c r="P378">
        <f t="shared" si="109"/>
        <v>0.7166736406881492</v>
      </c>
      <c r="Q378" s="20">
        <v>0.28889999999999999</v>
      </c>
      <c r="R378" s="10">
        <f t="shared" si="110"/>
        <v>0.62559549588566477</v>
      </c>
      <c r="S378">
        <f t="shared" si="111"/>
        <v>7.9178001568223605E-2</v>
      </c>
      <c r="T378" s="11">
        <f t="shared" si="112"/>
        <v>0.14534325969575548</v>
      </c>
      <c r="U378" t="str">
        <f t="shared" si="113"/>
        <v>No Impact</v>
      </c>
      <c r="V378">
        <f t="shared" si="114"/>
        <v>7.380546837386788E-2</v>
      </c>
      <c r="W378">
        <f t="shared" si="115"/>
        <v>9.7215622830824258E-2</v>
      </c>
      <c r="X378" t="s">
        <v>1176</v>
      </c>
      <c r="Y378">
        <f t="shared" si="116"/>
        <v>8.4550534762579316E-2</v>
      </c>
      <c r="Z378">
        <f t="shared" si="117"/>
        <v>0.15456397897863514</v>
      </c>
      <c r="AA378" t="str">
        <f t="shared" si="118"/>
        <v>Low</v>
      </c>
      <c r="AB378">
        <f t="shared" si="119"/>
        <v>5.4653338596087224E-2</v>
      </c>
      <c r="AC378">
        <f t="shared" si="120"/>
        <v>0.13308493922112866</v>
      </c>
      <c r="AD378" t="str">
        <f t="shared" si="121"/>
        <v>No Impact</v>
      </c>
      <c r="AE378">
        <f t="shared" si="122"/>
        <v>9.875040675599087E-3</v>
      </c>
      <c r="AF378">
        <f t="shared" si="123"/>
        <v>5.4029804785309866E-2</v>
      </c>
      <c r="AG378" t="s">
        <v>1176</v>
      </c>
    </row>
    <row r="379" spans="1:33" customFormat="1" x14ac:dyDescent="0.3">
      <c r="A379">
        <v>458970</v>
      </c>
      <c r="B379" t="s">
        <v>364</v>
      </c>
      <c r="C379" t="s">
        <v>916</v>
      </c>
      <c r="D379" t="s">
        <v>918</v>
      </c>
      <c r="E379" s="18">
        <v>5.8</v>
      </c>
      <c r="F379" s="2">
        <f t="shared" si="105"/>
        <v>0.57777777777777772</v>
      </c>
      <c r="G379" s="10">
        <v>26.606159999999999</v>
      </c>
      <c r="H379">
        <f t="shared" si="106"/>
        <v>0.35648445149745078</v>
      </c>
      <c r="I379" s="22">
        <v>0.40000000000000102</v>
      </c>
      <c r="J379" s="2">
        <f t="shared" si="107"/>
        <v>2.0523345305284817E-3</v>
      </c>
      <c r="K379" s="8">
        <v>0</v>
      </c>
      <c r="L379" s="2">
        <v>0</v>
      </c>
      <c r="M379">
        <v>28699</v>
      </c>
      <c r="N379">
        <f t="shared" si="108"/>
        <v>0.13465623861501846</v>
      </c>
      <c r="O379" s="8">
        <v>0.83568923399999995</v>
      </c>
      <c r="P379">
        <f t="shared" si="109"/>
        <v>0.82486938924025055</v>
      </c>
      <c r="Q379" s="20">
        <v>0.30330000000000001</v>
      </c>
      <c r="R379" s="10">
        <f t="shared" si="110"/>
        <v>0.65677782589865752</v>
      </c>
      <c r="S379">
        <f t="shared" si="111"/>
        <v>7.6732504411797006E-2</v>
      </c>
      <c r="T379" s="11">
        <f t="shared" si="112"/>
        <v>0.14085417786428894</v>
      </c>
      <c r="U379" t="str">
        <f t="shared" si="113"/>
        <v>No Impact</v>
      </c>
      <c r="V379">
        <f t="shared" si="114"/>
        <v>6.8027269795953971E-2</v>
      </c>
      <c r="W379">
        <f t="shared" si="115"/>
        <v>8.9604653264902842E-2</v>
      </c>
      <c r="X379" t="s">
        <v>1176</v>
      </c>
      <c r="Y379">
        <f t="shared" si="116"/>
        <v>8.5437739027640028E-2</v>
      </c>
      <c r="Z379">
        <f t="shared" si="117"/>
        <v>0.15618584715202594</v>
      </c>
      <c r="AA379" t="str">
        <f t="shared" si="118"/>
        <v>Low</v>
      </c>
      <c r="AB379">
        <f t="shared" si="119"/>
        <v>5.4322431210275593E-2</v>
      </c>
      <c r="AC379">
        <f t="shared" si="120"/>
        <v>0.13227915515633382</v>
      </c>
      <c r="AD379" t="str">
        <f t="shared" si="121"/>
        <v>No Impact</v>
      </c>
      <c r="AE379">
        <f t="shared" si="122"/>
        <v>1.3947328781142002E-2</v>
      </c>
      <c r="AF379">
        <f t="shared" si="123"/>
        <v>7.6310718717714984E-2</v>
      </c>
      <c r="AG379" t="s">
        <v>1176</v>
      </c>
    </row>
    <row r="380" spans="1:33" customFormat="1" x14ac:dyDescent="0.3">
      <c r="A380">
        <v>458988</v>
      </c>
      <c r="B380" t="s">
        <v>480</v>
      </c>
      <c r="C380" t="s">
        <v>916</v>
      </c>
      <c r="D380" t="s">
        <v>919</v>
      </c>
      <c r="E380" s="18">
        <v>5.8</v>
      </c>
      <c r="F380" s="2">
        <f t="shared" si="105"/>
        <v>0.57777777777777772</v>
      </c>
      <c r="G380" s="10">
        <v>29.325960000000002</v>
      </c>
      <c r="H380">
        <f t="shared" si="106"/>
        <v>0.39292587751243258</v>
      </c>
      <c r="I380" s="22">
        <v>0.19999999999999965</v>
      </c>
      <c r="J380" s="2">
        <f t="shared" si="107"/>
        <v>1.0261672652642365E-3</v>
      </c>
      <c r="K380" s="8">
        <v>0</v>
      </c>
      <c r="L380" s="2">
        <v>0</v>
      </c>
      <c r="M380">
        <v>54612</v>
      </c>
      <c r="N380">
        <f t="shared" si="108"/>
        <v>0.25726154821554459</v>
      </c>
      <c r="O380" s="8">
        <v>0.73536113199999997</v>
      </c>
      <c r="P380">
        <f t="shared" si="109"/>
        <v>0.71437917374415416</v>
      </c>
      <c r="Q380" s="20">
        <v>0.30759999999999998</v>
      </c>
      <c r="R380" s="10">
        <f t="shared" si="110"/>
        <v>0.66608921611087046</v>
      </c>
      <c r="S380">
        <f t="shared" si="111"/>
        <v>7.855442760163002E-2</v>
      </c>
      <c r="T380" s="11">
        <f t="shared" si="112"/>
        <v>0.14419859487508518</v>
      </c>
      <c r="U380" t="str">
        <f t="shared" si="113"/>
        <v>No Impact</v>
      </c>
      <c r="V380">
        <f t="shared" si="114"/>
        <v>7.580652695525017E-2</v>
      </c>
      <c r="W380">
        <f t="shared" si="115"/>
        <v>9.9851391705355549E-2</v>
      </c>
      <c r="X380" t="s">
        <v>1176</v>
      </c>
      <c r="Y380">
        <f t="shared" si="116"/>
        <v>8.1302328248009856E-2</v>
      </c>
      <c r="Z380">
        <f t="shared" si="117"/>
        <v>0.14862604227786833</v>
      </c>
      <c r="AA380" t="str">
        <f t="shared" si="118"/>
        <v>No Impact</v>
      </c>
      <c r="AB380">
        <f t="shared" si="119"/>
        <v>6.1170463886028599E-2</v>
      </c>
      <c r="AC380">
        <f t="shared" si="120"/>
        <v>0.14895462340489457</v>
      </c>
      <c r="AD380" t="str">
        <f t="shared" si="121"/>
        <v>No Impact</v>
      </c>
      <c r="AE380">
        <f t="shared" si="122"/>
        <v>2.9278517077965947E-2</v>
      </c>
      <c r="AF380">
        <f t="shared" si="123"/>
        <v>0.16019301733457331</v>
      </c>
      <c r="AG380" t="s">
        <v>1175</v>
      </c>
    </row>
    <row r="381" spans="1:33" customFormat="1" x14ac:dyDescent="0.3">
      <c r="A381">
        <v>458990</v>
      </c>
      <c r="B381" t="s">
        <v>495</v>
      </c>
      <c r="C381" t="s">
        <v>916</v>
      </c>
      <c r="D381" t="s">
        <v>920</v>
      </c>
      <c r="E381" s="18">
        <v>5.8</v>
      </c>
      <c r="F381" s="2">
        <f t="shared" si="105"/>
        <v>0.57777777777777772</v>
      </c>
      <c r="G381" s="10">
        <v>24.017040000000001</v>
      </c>
      <c r="H381">
        <f t="shared" si="106"/>
        <v>0.32179395038563763</v>
      </c>
      <c r="I381" s="22">
        <v>0.50000000000000044</v>
      </c>
      <c r="J381" s="2">
        <f t="shared" si="107"/>
        <v>2.5654181631605977E-3</v>
      </c>
      <c r="K381" s="8">
        <v>0</v>
      </c>
      <c r="L381" s="2">
        <v>0</v>
      </c>
      <c r="M381">
        <v>22103</v>
      </c>
      <c r="N381">
        <f t="shared" si="108"/>
        <v>0.1034477864047352</v>
      </c>
      <c r="O381" s="8">
        <v>0.72199898500000004</v>
      </c>
      <c r="P381">
        <f t="shared" si="109"/>
        <v>0.69966359085073404</v>
      </c>
      <c r="Q381" s="20">
        <v>0.3135</v>
      </c>
      <c r="R381" s="10">
        <f t="shared" si="110"/>
        <v>0.67886530965786052</v>
      </c>
      <c r="S381">
        <f t="shared" si="111"/>
        <v>6.4586710311534193E-2</v>
      </c>
      <c r="T381" s="11">
        <f t="shared" si="112"/>
        <v>0.11855872620901323</v>
      </c>
      <c r="U381" t="str">
        <f t="shared" si="113"/>
        <v>No Impact</v>
      </c>
      <c r="V381">
        <f t="shared" si="114"/>
        <v>6.3612271138088969E-2</v>
      </c>
      <c r="W381">
        <f t="shared" si="115"/>
        <v>8.3789273269650799E-2</v>
      </c>
      <c r="X381" t="s">
        <v>1176</v>
      </c>
      <c r="Y381">
        <f t="shared" si="116"/>
        <v>6.5561149484979431E-2</v>
      </c>
      <c r="Z381">
        <f t="shared" si="117"/>
        <v>0.11985012465345625</v>
      </c>
      <c r="AA381" t="str">
        <f t="shared" si="118"/>
        <v>No Impact</v>
      </c>
      <c r="AB381">
        <f t="shared" si="119"/>
        <v>4.5325348121066061E-2</v>
      </c>
      <c r="AC381">
        <f t="shared" si="120"/>
        <v>0.11037058951601596</v>
      </c>
      <c r="AD381" t="str">
        <f t="shared" si="121"/>
        <v>No Impact</v>
      </c>
      <c r="AE381">
        <f t="shared" si="122"/>
        <v>9.6934525064031364E-3</v>
      </c>
      <c r="AF381">
        <f t="shared" si="123"/>
        <v>5.3036272337669207E-2</v>
      </c>
      <c r="AG381" t="s">
        <v>1176</v>
      </c>
    </row>
    <row r="382" spans="1:33" customFormat="1" x14ac:dyDescent="0.3">
      <c r="A382">
        <v>501006</v>
      </c>
      <c r="B382" t="s">
        <v>2</v>
      </c>
      <c r="C382" t="s">
        <v>1148</v>
      </c>
      <c r="D382" t="s">
        <v>921</v>
      </c>
      <c r="E382" s="18">
        <v>6.2</v>
      </c>
      <c r="F382" s="2">
        <f t="shared" si="105"/>
        <v>0.66666666666666663</v>
      </c>
      <c r="G382" s="10">
        <v>26.864280000000001</v>
      </c>
      <c r="H382">
        <f t="shared" si="106"/>
        <v>0.3599428899425523</v>
      </c>
      <c r="I382" s="22">
        <v>0.19999999999999965</v>
      </c>
      <c r="J382" s="2">
        <f t="shared" si="107"/>
        <v>1.0261672652642365E-3</v>
      </c>
      <c r="K382" s="8">
        <v>0</v>
      </c>
      <c r="L382" s="2">
        <v>0</v>
      </c>
      <c r="M382">
        <v>21874</v>
      </c>
      <c r="N382">
        <f t="shared" si="108"/>
        <v>0.10236429102023628</v>
      </c>
      <c r="O382" s="8">
        <v>0.84573925900000002</v>
      </c>
      <c r="P382">
        <f t="shared" si="109"/>
        <v>0.83593736925636974</v>
      </c>
      <c r="Q382" s="20">
        <v>0.29670000000000002</v>
      </c>
      <c r="R382" s="10">
        <f t="shared" si="110"/>
        <v>0.64248592464270249</v>
      </c>
      <c r="S382">
        <f t="shared" si="111"/>
        <v>8.8944177092137117E-2</v>
      </c>
      <c r="T382" s="11">
        <f t="shared" si="112"/>
        <v>0.16327055966913795</v>
      </c>
      <c r="U382" t="str">
        <f t="shared" si="113"/>
        <v>Low</v>
      </c>
      <c r="V382">
        <f t="shared" si="114"/>
        <v>7.7305846162522854E-2</v>
      </c>
      <c r="W382">
        <f t="shared" si="115"/>
        <v>0.10182627586731068</v>
      </c>
      <c r="X382" t="s">
        <v>1176</v>
      </c>
      <c r="Y382">
        <f t="shared" si="116"/>
        <v>0.10058250802175138</v>
      </c>
      <c r="Z382">
        <f t="shared" si="117"/>
        <v>0.18387148820699095</v>
      </c>
      <c r="AA382" t="str">
        <f t="shared" si="118"/>
        <v>Low</v>
      </c>
      <c r="AB382">
        <f t="shared" si="119"/>
        <v>6.1542671752562561E-2</v>
      </c>
      <c r="AC382">
        <f t="shared" si="120"/>
        <v>0.14986097720811575</v>
      </c>
      <c r="AD382" t="str">
        <f t="shared" si="121"/>
        <v>No Impact</v>
      </c>
      <c r="AE382">
        <f t="shared" si="122"/>
        <v>1.2316780540440416E-2</v>
      </c>
      <c r="AF382">
        <f t="shared" si="123"/>
        <v>6.7389418438332349E-2</v>
      </c>
      <c r="AG382" t="s">
        <v>1176</v>
      </c>
    </row>
    <row r="383" spans="1:33" customFormat="1" x14ac:dyDescent="0.3">
      <c r="A383">
        <v>501020</v>
      </c>
      <c r="B383" t="s">
        <v>87</v>
      </c>
      <c r="C383" t="s">
        <v>1148</v>
      </c>
      <c r="D383" t="s">
        <v>922</v>
      </c>
      <c r="E383" s="18">
        <v>6.1</v>
      </c>
      <c r="F383" s="2">
        <f t="shared" si="105"/>
        <v>0.64444444444444438</v>
      </c>
      <c r="G383" s="10">
        <v>27.529200000000003</v>
      </c>
      <c r="H383">
        <f t="shared" si="106"/>
        <v>0.36885186596501052</v>
      </c>
      <c r="I383" s="22">
        <v>0.20000000000000051</v>
      </c>
      <c r="J383" s="2">
        <f t="shared" si="107"/>
        <v>1.0261672652642408E-3</v>
      </c>
      <c r="K383" s="8">
        <v>0</v>
      </c>
      <c r="L383" s="2">
        <v>0</v>
      </c>
      <c r="M383">
        <v>69668</v>
      </c>
      <c r="N383">
        <f t="shared" si="108"/>
        <v>0.32849782118067877</v>
      </c>
      <c r="O383" s="8">
        <v>0.62872481300000005</v>
      </c>
      <c r="P383">
        <f t="shared" si="109"/>
        <v>0.59694178949043353</v>
      </c>
      <c r="Q383" s="20">
        <v>0.27989999999999998</v>
      </c>
      <c r="R383" s="10">
        <f t="shared" si="110"/>
        <v>0.60610653962754435</v>
      </c>
      <c r="S383">
        <f t="shared" si="111"/>
        <v>7.1691407476659169E-2</v>
      </c>
      <c r="T383" s="11">
        <f t="shared" si="112"/>
        <v>0.1316004780173195</v>
      </c>
      <c r="U383" t="str">
        <f t="shared" si="113"/>
        <v>No Impact</v>
      </c>
      <c r="V383">
        <f t="shared" si="114"/>
        <v>7.2237548326198511E-2</v>
      </c>
      <c r="W383">
        <f t="shared" si="115"/>
        <v>9.5150378515714909E-2</v>
      </c>
      <c r="X383" t="s">
        <v>1176</v>
      </c>
      <c r="Y383">
        <f t="shared" si="116"/>
        <v>7.1145266627119827E-2</v>
      </c>
      <c r="Z383">
        <f t="shared" si="117"/>
        <v>0.13005826073438875</v>
      </c>
      <c r="AA383" t="str">
        <f t="shared" si="118"/>
        <v>No Impact</v>
      </c>
      <c r="AB383">
        <f t="shared" si="119"/>
        <v>6.0329687451085537E-2</v>
      </c>
      <c r="AC383">
        <f t="shared" si="120"/>
        <v>0.14690727033155523</v>
      </c>
      <c r="AD383" t="str">
        <f t="shared" si="121"/>
        <v>No Impact</v>
      </c>
      <c r="AE383">
        <f t="shared" si="122"/>
        <v>3.9151330139371755E-2</v>
      </c>
      <c r="AF383">
        <f t="shared" si="123"/>
        <v>0.21421063406274463</v>
      </c>
      <c r="AG383" t="s">
        <v>1175</v>
      </c>
    </row>
    <row r="384" spans="1:33" customFormat="1" x14ac:dyDescent="0.3">
      <c r="A384">
        <v>501027</v>
      </c>
      <c r="B384" t="s">
        <v>146</v>
      </c>
      <c r="C384" t="s">
        <v>1148</v>
      </c>
      <c r="D384" t="s">
        <v>923</v>
      </c>
      <c r="E384" s="18">
        <v>4.8</v>
      </c>
      <c r="F384" s="2">
        <f t="shared" si="105"/>
        <v>0.35555555555555546</v>
      </c>
      <c r="G384" s="10">
        <v>26.704800000000002</v>
      </c>
      <c r="H384">
        <f t="shared" si="106"/>
        <v>0.35780608627284527</v>
      </c>
      <c r="I384" s="22">
        <v>0.19999999999999965</v>
      </c>
      <c r="J384" s="2">
        <f t="shared" si="107"/>
        <v>1.0261672652642365E-3</v>
      </c>
      <c r="K384" s="8">
        <v>0</v>
      </c>
      <c r="L384" s="2">
        <v>0</v>
      </c>
      <c r="M384">
        <v>18408</v>
      </c>
      <c r="N384">
        <f t="shared" si="108"/>
        <v>8.5965186205069238E-2</v>
      </c>
      <c r="O384" s="8">
        <v>0.78677632600000003</v>
      </c>
      <c r="P384">
        <f t="shared" si="109"/>
        <v>0.77100215127076588</v>
      </c>
      <c r="Q384" s="20">
        <v>0.28570000000000001</v>
      </c>
      <c r="R384" s="10">
        <f t="shared" si="110"/>
        <v>0.61866608921611088</v>
      </c>
      <c r="S384">
        <f t="shared" si="111"/>
        <v>4.4325136569266253E-2</v>
      </c>
      <c r="T384" s="11">
        <f t="shared" si="112"/>
        <v>8.1365527139323462E-2</v>
      </c>
      <c r="U384" t="str">
        <f t="shared" si="113"/>
        <v>No Impact</v>
      </c>
      <c r="V384">
        <f t="shared" si="114"/>
        <v>3.9466195018849085E-2</v>
      </c>
      <c r="W384">
        <f t="shared" si="115"/>
        <v>5.1984369370639334E-2</v>
      </c>
      <c r="X384" t="s">
        <v>1176</v>
      </c>
      <c r="Y384">
        <f t="shared" si="116"/>
        <v>4.9184078119683415E-2</v>
      </c>
      <c r="Z384">
        <f t="shared" si="117"/>
        <v>8.991175322452076E-2</v>
      </c>
      <c r="AA384" t="str">
        <f t="shared" si="118"/>
        <v>No Impact</v>
      </c>
      <c r="AB384">
        <f t="shared" si="119"/>
        <v>3.0487765651991242E-2</v>
      </c>
      <c r="AC384">
        <f t="shared" si="120"/>
        <v>7.4239974043850132E-2</v>
      </c>
      <c r="AD384" t="str">
        <f t="shared" si="121"/>
        <v>No Impact</v>
      </c>
      <c r="AE384">
        <f t="shared" si="122"/>
        <v>5.4839255985401226E-3</v>
      </c>
      <c r="AF384">
        <f t="shared" si="123"/>
        <v>3.0004476870502721E-2</v>
      </c>
      <c r="AG384" t="s">
        <v>1176</v>
      </c>
    </row>
    <row r="385" spans="1:33" customFormat="1" x14ac:dyDescent="0.3">
      <c r="A385">
        <v>501033</v>
      </c>
      <c r="B385" t="s">
        <v>147</v>
      </c>
      <c r="C385" t="s">
        <v>1148</v>
      </c>
      <c r="D385" t="s">
        <v>924</v>
      </c>
      <c r="E385" s="18">
        <v>6.1</v>
      </c>
      <c r="F385" s="2">
        <f t="shared" si="105"/>
        <v>0.64444444444444438</v>
      </c>
      <c r="G385" s="10">
        <v>26.864280000000001</v>
      </c>
      <c r="H385">
        <f t="shared" si="106"/>
        <v>0.3599428899425523</v>
      </c>
      <c r="I385" s="22">
        <v>0.19999999999999965</v>
      </c>
      <c r="J385" s="2">
        <f t="shared" si="107"/>
        <v>1.0261672652642365E-3</v>
      </c>
      <c r="K385" s="8">
        <v>0</v>
      </c>
      <c r="L385" s="2">
        <v>0</v>
      </c>
      <c r="M385">
        <v>19139</v>
      </c>
      <c r="N385">
        <f t="shared" si="108"/>
        <v>8.9423854877858366E-2</v>
      </c>
      <c r="O385" s="8">
        <v>0.836218452</v>
      </c>
      <c r="P385">
        <f t="shared" si="109"/>
        <v>0.82545221109872069</v>
      </c>
      <c r="Q385" s="20">
        <v>0.28749999999999998</v>
      </c>
      <c r="R385" s="10">
        <f t="shared" si="110"/>
        <v>0.62256388046773492</v>
      </c>
      <c r="S385">
        <f t="shared" si="111"/>
        <v>8.4211006102445737E-2</v>
      </c>
      <c r="T385" s="11">
        <f t="shared" si="112"/>
        <v>0.154582104710517</v>
      </c>
      <c r="U385" t="str">
        <f t="shared" si="113"/>
        <v>Low</v>
      </c>
      <c r="V385">
        <f t="shared" si="114"/>
        <v>7.2411806805980694E-2</v>
      </c>
      <c r="W385">
        <f t="shared" si="115"/>
        <v>9.5379909565633372E-2</v>
      </c>
      <c r="X385" t="s">
        <v>1176</v>
      </c>
      <c r="Y385">
        <f t="shared" si="116"/>
        <v>9.6010205398910767E-2</v>
      </c>
      <c r="Z385">
        <f t="shared" si="117"/>
        <v>0.17551301609956821</v>
      </c>
      <c r="AA385" t="str">
        <f t="shared" si="118"/>
        <v>Low</v>
      </c>
      <c r="AB385">
        <f t="shared" si="119"/>
        <v>5.7787575474650514E-2</v>
      </c>
      <c r="AC385">
        <f t="shared" si="120"/>
        <v>0.14071703883668771</v>
      </c>
      <c r="AD385" t="str">
        <f t="shared" si="121"/>
        <v>No Impact</v>
      </c>
      <c r="AE385">
        <f t="shared" si="122"/>
        <v>1.0401089922525832E-2</v>
      </c>
      <c r="AF385">
        <f t="shared" si="123"/>
        <v>5.6908004384947163E-2</v>
      </c>
      <c r="AG385" t="s">
        <v>1176</v>
      </c>
    </row>
    <row r="386" spans="1:33" customFormat="1" x14ac:dyDescent="0.3">
      <c r="A386">
        <v>501040</v>
      </c>
      <c r="B386" t="s">
        <v>171</v>
      </c>
      <c r="C386" t="s">
        <v>1148</v>
      </c>
      <c r="D386" t="s">
        <v>925</v>
      </c>
      <c r="E386" s="18">
        <v>6.1</v>
      </c>
      <c r="F386" s="2">
        <f t="shared" ref="F386:F449" si="126">(E386-$AJ$5)/$AK$5</f>
        <v>0.64444444444444438</v>
      </c>
      <c r="G386" s="10">
        <v>28.834560000000003</v>
      </c>
      <c r="H386">
        <f t="shared" ref="H386:H449" si="127">(G386-$AJ$6)/$AK$6</f>
        <v>0.38634182105836906</v>
      </c>
      <c r="I386" s="22">
        <v>0.20000000000000051</v>
      </c>
      <c r="J386" s="2">
        <f t="shared" ref="J386:J449" si="128">(I386-$AJ$7)/$AK$7</f>
        <v>1.0261672652642408E-3</v>
      </c>
      <c r="K386" s="8">
        <v>0</v>
      </c>
      <c r="L386" s="2">
        <v>0</v>
      </c>
      <c r="M386">
        <v>26980</v>
      </c>
      <c r="N386">
        <f t="shared" ref="N386:N449" si="129">(M386-$AJ$9)/$AK$9</f>
        <v>0.12652292609993707</v>
      </c>
      <c r="O386" s="8">
        <v>0.717906763</v>
      </c>
      <c r="P386">
        <f t="shared" ref="P386:P449" si="130">(O386-$AJ$11)/$AK$11</f>
        <v>0.69515687257714531</v>
      </c>
      <c r="Q386" s="20">
        <v>0.30130000000000001</v>
      </c>
      <c r="R386" s="10">
        <f t="shared" ref="R386:R449" si="131">(Q386-$AJ$12)/$AK$12</f>
        <v>0.65244694673018622</v>
      </c>
      <c r="S386">
        <f t="shared" ref="S386:S449" si="132">F386*(R386*0.5+P386*0.5)*(H386*0.5+J386*0.5)</f>
        <v>8.4102993531819187E-2</v>
      </c>
      <c r="T386" s="11">
        <f t="shared" ref="T386:T449" si="133">(S386-$AJ$10)/$AK$10</f>
        <v>0.15438383121545468</v>
      </c>
      <c r="U386" t="str">
        <f t="shared" ref="U386:U449" si="134">IF(T386&gt;0.7,"High",IF(T386&gt;0.3,"Moderate",IF(T386&gt;0.15,"Low","No Impact")))</f>
        <v>Low</v>
      </c>
      <c r="V386">
        <f t="shared" ref="V386:V449" si="135">F386*(R386*1)*(H386*0.5+J386*0.5)</f>
        <v>8.1437497511558876E-2</v>
      </c>
      <c r="W386">
        <f t="shared" ref="W386:W449" si="136">(V386-$AJ$13)/$AK$13</f>
        <v>0.10726843439656361</v>
      </c>
      <c r="X386" t="s">
        <v>1176</v>
      </c>
      <c r="Y386">
        <f t="shared" ref="Y386:Y449" si="137">F386*(P386*1)*(H386*0.5+J386*0.5)</f>
        <v>8.6768489552079484E-2</v>
      </c>
      <c r="Z386">
        <f t="shared" ref="Z386:Z449" si="138">(Y386-$AJ$14)/$AK$14</f>
        <v>0.15861854727228941</v>
      </c>
      <c r="AA386" t="str">
        <f t="shared" ref="AA386:AA449" si="139">IF(Z386&gt;0.7,"High",IF(Z386&gt;0.3,"Moderate",IF(Z386&gt;0.15,"Low","No Impact")))</f>
        <v>Low</v>
      </c>
      <c r="AB386">
        <f t="shared" ref="AB386:AB449" si="140">F386*(R386*0.35+P386*0.3+N386*0.35)*(H386*0.5+J386*0.5)</f>
        <v>6.0061014920286634E-2</v>
      </c>
      <c r="AC386">
        <f t="shared" ref="AC386:AC449" si="141">(AB386-$AJ$15)/$AK$15</f>
        <v>0.14625303276162352</v>
      </c>
      <c r="AD386" t="str">
        <f t="shared" ref="AD386:AD449" si="142">IF(AC386&gt;0.7,"High",IF(AC386&gt;0.3,"Moderate",IF(AC386&gt;0.15,"Low","No Impact")))</f>
        <v>No Impact</v>
      </c>
      <c r="AE386">
        <f t="shared" ref="AE386:AE449" si="143">F386*(N386*1)*(H386*0.5+J386*0.5)</f>
        <v>1.5792411216049084E-2</v>
      </c>
      <c r="AF386">
        <f t="shared" ref="AF386:AF449" si="144">(AE386-$AJ$16)/$AK$16</f>
        <v>8.6405810681960085E-2</v>
      </c>
      <c r="AG386" t="s">
        <v>1176</v>
      </c>
    </row>
    <row r="387" spans="1:33" customFormat="1" x14ac:dyDescent="0.3">
      <c r="A387">
        <v>501054</v>
      </c>
      <c r="B387" t="s">
        <v>234</v>
      </c>
      <c r="C387" t="s">
        <v>1148</v>
      </c>
      <c r="D387" t="s">
        <v>926</v>
      </c>
      <c r="E387" s="18">
        <v>5.9</v>
      </c>
      <c r="F387" s="2">
        <f t="shared" si="126"/>
        <v>0.60000000000000009</v>
      </c>
      <c r="G387" s="10">
        <v>26.741160000000001</v>
      </c>
      <c r="H387">
        <f t="shared" si="127"/>
        <v>0.35829325821560015</v>
      </c>
      <c r="I387" s="22">
        <v>0.20000000000000051</v>
      </c>
      <c r="J387" s="2">
        <f t="shared" si="128"/>
        <v>1.0261672652642408E-3</v>
      </c>
      <c r="K387" s="8">
        <v>0</v>
      </c>
      <c r="L387" s="2">
        <v>0</v>
      </c>
      <c r="M387">
        <v>34433</v>
      </c>
      <c r="N387">
        <f t="shared" si="129"/>
        <v>0.16178620601552851</v>
      </c>
      <c r="O387" s="8">
        <v>0.82462765900000001</v>
      </c>
      <c r="P387">
        <f t="shared" si="130"/>
        <v>0.81268740053407307</v>
      </c>
      <c r="Q387" s="20">
        <v>0.2903</v>
      </c>
      <c r="R387" s="10">
        <f t="shared" si="131"/>
        <v>0.62862711130359461</v>
      </c>
      <c r="S387">
        <f t="shared" si="132"/>
        <v>7.7683845349611494E-2</v>
      </c>
      <c r="T387" s="11">
        <f t="shared" si="133"/>
        <v>0.14260050879264449</v>
      </c>
      <c r="U387" t="str">
        <f t="shared" si="134"/>
        <v>No Impact</v>
      </c>
      <c r="V387">
        <f t="shared" si="135"/>
        <v>6.7763379742590904E-2</v>
      </c>
      <c r="W387">
        <f t="shared" si="136"/>
        <v>8.9257060647962919E-2</v>
      </c>
      <c r="X387" t="s">
        <v>1176</v>
      </c>
      <c r="Y387">
        <f t="shared" si="137"/>
        <v>8.7604310956632084E-2</v>
      </c>
      <c r="Z387">
        <f t="shared" si="138"/>
        <v>0.16014648417258134</v>
      </c>
      <c r="AA387" t="str">
        <f t="shared" si="139"/>
        <v>Low</v>
      </c>
      <c r="AB387">
        <f t="shared" si="140"/>
        <v>5.6102433489500433E-2</v>
      </c>
      <c r="AC387">
        <f t="shared" si="141"/>
        <v>0.13661359292773592</v>
      </c>
      <c r="AD387" t="str">
        <f t="shared" si="142"/>
        <v>No Impact</v>
      </c>
      <c r="AE387">
        <f t="shared" si="143"/>
        <v>1.7439877978868545E-2</v>
      </c>
      <c r="AF387">
        <f t="shared" si="144"/>
        <v>9.5419678119019705E-2</v>
      </c>
      <c r="AG387" t="s">
        <v>1176</v>
      </c>
    </row>
    <row r="388" spans="1:33" customFormat="1" x14ac:dyDescent="0.3">
      <c r="A388">
        <v>501067</v>
      </c>
      <c r="B388" t="s">
        <v>366</v>
      </c>
      <c r="C388" t="s">
        <v>1148</v>
      </c>
      <c r="D388" t="s">
        <v>927</v>
      </c>
      <c r="E388" s="18">
        <v>6.2</v>
      </c>
      <c r="F388" s="2">
        <f t="shared" si="126"/>
        <v>0.66666666666666663</v>
      </c>
      <c r="G388" s="10">
        <v>26.56728</v>
      </c>
      <c r="H388">
        <f t="shared" si="127"/>
        <v>0.35596351516262381</v>
      </c>
      <c r="I388" s="22">
        <v>0.19999999999999965</v>
      </c>
      <c r="J388" s="2">
        <f t="shared" si="128"/>
        <v>1.0261672652642365E-3</v>
      </c>
      <c r="K388" s="8">
        <v>0</v>
      </c>
      <c r="L388" s="2">
        <v>0</v>
      </c>
      <c r="M388">
        <v>24547</v>
      </c>
      <c r="N388">
        <f t="shared" si="129"/>
        <v>0.11501137906724769</v>
      </c>
      <c r="O388" s="8">
        <v>0.87537805199999996</v>
      </c>
      <c r="P388">
        <f t="shared" si="130"/>
        <v>0.86857824016225205</v>
      </c>
      <c r="Q388" s="20">
        <v>0.30309999999999998</v>
      </c>
      <c r="R388" s="10">
        <f t="shared" si="131"/>
        <v>0.65634473798181026</v>
      </c>
      <c r="S388">
        <f t="shared" si="132"/>
        <v>9.0730294949106324E-2</v>
      </c>
      <c r="T388" s="11">
        <f t="shared" si="133"/>
        <v>0.16654925054780351</v>
      </c>
      <c r="U388" t="str">
        <f t="shared" si="134"/>
        <v>Low</v>
      </c>
      <c r="V388">
        <f t="shared" si="135"/>
        <v>7.8102766525113942E-2</v>
      </c>
      <c r="W388">
        <f t="shared" si="136"/>
        <v>0.1028759692179905</v>
      </c>
      <c r="X388" t="s">
        <v>1176</v>
      </c>
      <c r="Y388">
        <f t="shared" si="137"/>
        <v>0.10335782337309873</v>
      </c>
      <c r="Z388">
        <f t="shared" si="138"/>
        <v>0.18894494853257351</v>
      </c>
      <c r="AA388" t="str">
        <f t="shared" si="139"/>
        <v>Low</v>
      </c>
      <c r="AB388">
        <f t="shared" si="140"/>
        <v>6.3133400792747346E-2</v>
      </c>
      <c r="AC388">
        <f t="shared" si="141"/>
        <v>0.15373452058292858</v>
      </c>
      <c r="AD388" t="str">
        <f t="shared" si="142"/>
        <v>Low</v>
      </c>
      <c r="AE388">
        <f t="shared" si="143"/>
        <v>1.3685958562936733E-2</v>
      </c>
      <c r="AF388">
        <f t="shared" si="144"/>
        <v>7.4880670748270275E-2</v>
      </c>
      <c r="AG388" t="s">
        <v>1176</v>
      </c>
    </row>
    <row r="389" spans="1:33" customFormat="1" x14ac:dyDescent="0.3">
      <c r="A389">
        <v>501081</v>
      </c>
      <c r="B389" t="s">
        <v>460</v>
      </c>
      <c r="C389" t="s">
        <v>1148</v>
      </c>
      <c r="D389" t="s">
        <v>928</v>
      </c>
      <c r="E389" s="18">
        <v>6.2</v>
      </c>
      <c r="F389" s="2">
        <f t="shared" si="126"/>
        <v>0.66666666666666663</v>
      </c>
      <c r="G389" s="10">
        <v>27.014760000000003</v>
      </c>
      <c r="H389">
        <f t="shared" si="127"/>
        <v>0.36195910649771612</v>
      </c>
      <c r="I389" s="22">
        <v>0.19999999999999965</v>
      </c>
      <c r="J389" s="2">
        <f t="shared" si="128"/>
        <v>1.0261672652642365E-3</v>
      </c>
      <c r="K389" s="8">
        <v>0</v>
      </c>
      <c r="L389" s="2">
        <v>0</v>
      </c>
      <c r="M389">
        <v>19425</v>
      </c>
      <c r="N389">
        <f t="shared" si="129"/>
        <v>9.0777041253258764E-2</v>
      </c>
      <c r="O389" s="8">
        <v>0.441070038</v>
      </c>
      <c r="P389">
        <f t="shared" si="130"/>
        <v>0.3902796866967268</v>
      </c>
      <c r="Q389" s="20">
        <v>0.25109999999999999</v>
      </c>
      <c r="R389" s="10">
        <f t="shared" si="131"/>
        <v>0.54374187960155906</v>
      </c>
      <c r="S389">
        <f t="shared" si="132"/>
        <v>5.6506012323885156E-2</v>
      </c>
      <c r="T389" s="11">
        <f t="shared" si="133"/>
        <v>0.10372537650480457</v>
      </c>
      <c r="U389" t="str">
        <f t="shared" si="134"/>
        <v>No Impact</v>
      </c>
      <c r="V389">
        <f t="shared" si="135"/>
        <v>6.5790098341189804E-2</v>
      </c>
      <c r="W389">
        <f t="shared" si="136"/>
        <v>8.6657879521085709E-2</v>
      </c>
      <c r="X389" t="s">
        <v>1176</v>
      </c>
      <c r="Y389">
        <f t="shared" si="137"/>
        <v>4.7221926306580522E-2</v>
      </c>
      <c r="Z389">
        <f t="shared" si="138"/>
        <v>8.6324809718546017E-2</v>
      </c>
      <c r="AA389" t="str">
        <f t="shared" si="139"/>
        <v>No Impact</v>
      </c>
      <c r="AB389">
        <f t="shared" si="140"/>
        <v>4.1037364047973125E-2</v>
      </c>
      <c r="AC389">
        <f t="shared" si="141"/>
        <v>9.9929029779542752E-2</v>
      </c>
      <c r="AD389" t="str">
        <f t="shared" si="142"/>
        <v>No Impact</v>
      </c>
      <c r="AE389">
        <f t="shared" si="143"/>
        <v>1.098357639023583E-2</v>
      </c>
      <c r="AF389">
        <f t="shared" si="144"/>
        <v>6.0094991778145576E-2</v>
      </c>
      <c r="AG389" t="s">
        <v>1176</v>
      </c>
    </row>
    <row r="390" spans="1:33" customFormat="1" x14ac:dyDescent="0.3">
      <c r="A390">
        <v>501085</v>
      </c>
      <c r="B390" t="s">
        <v>474</v>
      </c>
      <c r="C390" t="s">
        <v>1148</v>
      </c>
      <c r="D390" t="s">
        <v>929</v>
      </c>
      <c r="E390" s="18">
        <v>6.1</v>
      </c>
      <c r="F390" s="2">
        <f t="shared" si="126"/>
        <v>0.64444444444444438</v>
      </c>
      <c r="G390" s="10">
        <v>26.704800000000002</v>
      </c>
      <c r="H390">
        <f t="shared" si="127"/>
        <v>0.35780608627284527</v>
      </c>
      <c r="I390" s="22">
        <v>0.20000000000000051</v>
      </c>
      <c r="J390" s="2">
        <f t="shared" si="128"/>
        <v>1.0261672652642408E-3</v>
      </c>
      <c r="K390" s="8">
        <v>0</v>
      </c>
      <c r="L390" s="2">
        <v>0</v>
      </c>
      <c r="M390">
        <v>37871</v>
      </c>
      <c r="N390">
        <f t="shared" si="129"/>
        <v>0.17805283104569133</v>
      </c>
      <c r="O390" s="8">
        <v>0.72551193199999997</v>
      </c>
      <c r="P390">
        <f t="shared" si="130"/>
        <v>0.70353236005217235</v>
      </c>
      <c r="Q390" s="20">
        <v>0.28179999999999999</v>
      </c>
      <c r="R390" s="10">
        <f t="shared" si="131"/>
        <v>0.61022087483759202</v>
      </c>
      <c r="S390">
        <f t="shared" si="132"/>
        <v>7.5950522123254358E-2</v>
      </c>
      <c r="T390" s="11">
        <f t="shared" si="133"/>
        <v>0.13941873048509226</v>
      </c>
      <c r="U390" t="str">
        <f t="shared" si="134"/>
        <v>No Impact</v>
      </c>
      <c r="V390">
        <f t="shared" si="135"/>
        <v>7.055601131716803E-2</v>
      </c>
      <c r="W390">
        <f t="shared" si="136"/>
        <v>9.2935479386318423E-2</v>
      </c>
      <c r="X390" t="s">
        <v>1176</v>
      </c>
      <c r="Y390">
        <f t="shared" si="137"/>
        <v>8.1345032929340699E-2</v>
      </c>
      <c r="Z390">
        <f t="shared" si="138"/>
        <v>0.14870410926450589</v>
      </c>
      <c r="AA390" t="str">
        <f t="shared" si="139"/>
        <v>No Impact</v>
      </c>
      <c r="AB390">
        <f t="shared" si="140"/>
        <v>5.6303609961162154E-2</v>
      </c>
      <c r="AC390">
        <f t="shared" si="141"/>
        <v>0.13710347257995059</v>
      </c>
      <c r="AD390" t="str">
        <f t="shared" si="142"/>
        <v>No Impact</v>
      </c>
      <c r="AE390">
        <f t="shared" si="143"/>
        <v>2.0587131775288939E-2</v>
      </c>
      <c r="AF390">
        <f t="shared" si="144"/>
        <v>0.11263940549195058</v>
      </c>
      <c r="AG390" t="s">
        <v>1176</v>
      </c>
    </row>
    <row r="391" spans="1:33" customFormat="1" x14ac:dyDescent="0.3">
      <c r="A391">
        <v>501088</v>
      </c>
      <c r="B391" t="s">
        <v>479</v>
      </c>
      <c r="C391" t="s">
        <v>1148</v>
      </c>
      <c r="D391" t="s">
        <v>916</v>
      </c>
      <c r="E391" s="18">
        <v>6.2</v>
      </c>
      <c r="F391" s="2">
        <f t="shared" si="126"/>
        <v>0.66666666666666663</v>
      </c>
      <c r="G391" s="10">
        <v>26.704800000000002</v>
      </c>
      <c r="H391">
        <f t="shared" si="127"/>
        <v>0.35780608627284527</v>
      </c>
      <c r="I391" s="22">
        <v>0.20000000000000009</v>
      </c>
      <c r="J391" s="2">
        <f t="shared" si="128"/>
        <v>1.0261672652642387E-3</v>
      </c>
      <c r="K391" s="8">
        <v>0</v>
      </c>
      <c r="L391" s="2">
        <v>0</v>
      </c>
      <c r="M391">
        <v>36509</v>
      </c>
      <c r="N391">
        <f t="shared" si="129"/>
        <v>0.17160863578941393</v>
      </c>
      <c r="O391" s="8">
        <v>0.82300812000000001</v>
      </c>
      <c r="P391">
        <f t="shared" si="130"/>
        <v>0.81090382036513564</v>
      </c>
      <c r="Q391" s="20">
        <v>0.27760000000000001</v>
      </c>
      <c r="R391" s="10">
        <f t="shared" si="131"/>
        <v>0.6011260285838026</v>
      </c>
      <c r="S391">
        <f t="shared" si="132"/>
        <v>8.4446975460237314E-2</v>
      </c>
      <c r="T391" s="11">
        <f t="shared" si="133"/>
        <v>0.15501526234231439</v>
      </c>
      <c r="U391" t="str">
        <f t="shared" si="134"/>
        <v>Low</v>
      </c>
      <c r="V391">
        <f t="shared" si="135"/>
        <v>7.1901135832379962E-2</v>
      </c>
      <c r="W391">
        <f t="shared" si="136"/>
        <v>9.470726026397544E-2</v>
      </c>
      <c r="X391" t="s">
        <v>1176</v>
      </c>
      <c r="Y391">
        <f t="shared" si="137"/>
        <v>9.6992815088094639E-2</v>
      </c>
      <c r="Z391">
        <f t="shared" si="138"/>
        <v>0.17730929170882004</v>
      </c>
      <c r="AA391" t="str">
        <f t="shared" si="139"/>
        <v>Low</v>
      </c>
      <c r="AB391">
        <f t="shared" si="140"/>
        <v>6.1447425310234914E-2</v>
      </c>
      <c r="AC391">
        <f t="shared" si="141"/>
        <v>0.14962904504598593</v>
      </c>
      <c r="AD391" t="str">
        <f t="shared" si="142"/>
        <v>No Impact</v>
      </c>
      <c r="AE391">
        <f t="shared" si="143"/>
        <v>2.0526237835638689E-2</v>
      </c>
      <c r="AF391">
        <f t="shared" si="144"/>
        <v>0.11230623342917202</v>
      </c>
      <c r="AG391" t="s">
        <v>1176</v>
      </c>
    </row>
    <row r="392" spans="1:33" customFormat="1" x14ac:dyDescent="0.3">
      <c r="A392">
        <v>501094</v>
      </c>
      <c r="B392" t="s">
        <v>483</v>
      </c>
      <c r="C392" t="s">
        <v>1148</v>
      </c>
      <c r="D392" t="s">
        <v>1140</v>
      </c>
      <c r="E392" s="18">
        <v>6.1</v>
      </c>
      <c r="F392" s="2">
        <f t="shared" si="126"/>
        <v>0.64444444444444438</v>
      </c>
      <c r="G392" s="10">
        <v>28.834560000000003</v>
      </c>
      <c r="H392">
        <f t="shared" si="127"/>
        <v>0.38634182105836906</v>
      </c>
      <c r="I392" s="22">
        <v>0.20000000000000051</v>
      </c>
      <c r="J392" s="2">
        <f t="shared" si="128"/>
        <v>1.0261672652642408E-3</v>
      </c>
      <c r="K392" s="8">
        <v>0</v>
      </c>
      <c r="L392" s="2">
        <v>0</v>
      </c>
      <c r="M392">
        <v>25068</v>
      </c>
      <c r="N392">
        <f t="shared" si="129"/>
        <v>0.11747644935250505</v>
      </c>
      <c r="O392" s="8">
        <v>0.73727073899999995</v>
      </c>
      <c r="P392">
        <f t="shared" si="130"/>
        <v>0.71648220255399708</v>
      </c>
      <c r="Q392" s="20">
        <v>0.27910000000000001</v>
      </c>
      <c r="R392" s="10">
        <f t="shared" si="131"/>
        <v>0.60437418796015596</v>
      </c>
      <c r="S392">
        <f t="shared" si="132"/>
        <v>8.2433705571547777E-2</v>
      </c>
      <c r="T392" s="11">
        <f t="shared" si="133"/>
        <v>0.15131959937439626</v>
      </c>
      <c r="U392" t="str">
        <f t="shared" si="134"/>
        <v>Low</v>
      </c>
      <c r="V392">
        <f t="shared" si="135"/>
        <v>7.543712431289773E-2</v>
      </c>
      <c r="W392">
        <f t="shared" si="136"/>
        <v>9.936481925018556E-2</v>
      </c>
      <c r="X392" t="s">
        <v>1176</v>
      </c>
      <c r="Y392">
        <f t="shared" si="137"/>
        <v>8.9430286830197839E-2</v>
      </c>
      <c r="Z392">
        <f t="shared" si="138"/>
        <v>0.16348448903949112</v>
      </c>
      <c r="AA392" t="str">
        <f t="shared" si="139"/>
        <v>Low</v>
      </c>
      <c r="AB392">
        <f t="shared" si="140"/>
        <v>5.8364214569573476E-2</v>
      </c>
      <c r="AC392">
        <f t="shared" si="141"/>
        <v>0.14212119786652314</v>
      </c>
      <c r="AD392" t="str">
        <f t="shared" si="142"/>
        <v>No Impact</v>
      </c>
      <c r="AE392">
        <f t="shared" si="143"/>
        <v>1.4663242888571211E-2</v>
      </c>
      <c r="AF392">
        <f t="shared" si="144"/>
        <v>8.0227735440798295E-2</v>
      </c>
      <c r="AG392" t="s">
        <v>1176</v>
      </c>
    </row>
    <row r="393" spans="1:33" customFormat="1" x14ac:dyDescent="0.3">
      <c r="A393">
        <v>501095</v>
      </c>
      <c r="B393" t="s">
        <v>494</v>
      </c>
      <c r="C393" t="s">
        <v>1148</v>
      </c>
      <c r="D393" t="s">
        <v>930</v>
      </c>
      <c r="E393" s="18">
        <v>6.2</v>
      </c>
      <c r="F393" s="2">
        <f t="shared" si="126"/>
        <v>0.66666666666666663</v>
      </c>
      <c r="G393" s="10">
        <v>27.969840000000001</v>
      </c>
      <c r="H393">
        <f t="shared" si="127"/>
        <v>0.3747558110930499</v>
      </c>
      <c r="I393" s="22">
        <v>0.19999999999999965</v>
      </c>
      <c r="J393" s="2">
        <f t="shared" si="128"/>
        <v>1.0261672652642365E-3</v>
      </c>
      <c r="K393" s="8">
        <v>0</v>
      </c>
      <c r="L393" s="2">
        <v>0</v>
      </c>
      <c r="M393">
        <v>3652</v>
      </c>
      <c r="N393">
        <f t="shared" si="129"/>
        <v>1.6148339507837599E-2</v>
      </c>
      <c r="O393" s="8">
        <v>0.52950887999999996</v>
      </c>
      <c r="P393">
        <f t="shared" si="130"/>
        <v>0.48767639326260226</v>
      </c>
      <c r="Q393" s="20">
        <v>0.28249999999999997</v>
      </c>
      <c r="R393" s="10">
        <f t="shared" si="131"/>
        <v>0.61173668254655689</v>
      </c>
      <c r="S393">
        <f t="shared" si="132"/>
        <v>6.8856603443427492E-2</v>
      </c>
      <c r="T393" s="11">
        <f t="shared" si="133"/>
        <v>0.12639676422525631</v>
      </c>
      <c r="U393" t="str">
        <f t="shared" si="134"/>
        <v>No Impact</v>
      </c>
      <c r="V393">
        <f t="shared" si="135"/>
        <v>7.6626540267232368E-2</v>
      </c>
      <c r="W393">
        <f t="shared" si="136"/>
        <v>0.10093150279482249</v>
      </c>
      <c r="X393" t="s">
        <v>1176</v>
      </c>
      <c r="Y393">
        <f t="shared" si="137"/>
        <v>6.1086666619622622E-2</v>
      </c>
      <c r="Z393">
        <f t="shared" si="138"/>
        <v>0.11167047354322623</v>
      </c>
      <c r="AA393" t="str">
        <f t="shared" si="139"/>
        <v>No Impact</v>
      </c>
      <c r="AB393">
        <f t="shared" si="140"/>
        <v>4.5853252158954763E-2</v>
      </c>
      <c r="AC393">
        <f t="shared" si="141"/>
        <v>0.11165607506185297</v>
      </c>
      <c r="AD393" t="str">
        <f t="shared" si="142"/>
        <v>No Impact</v>
      </c>
      <c r="AE393">
        <f t="shared" si="143"/>
        <v>2.0227516558189791E-3</v>
      </c>
      <c r="AF393">
        <f t="shared" si="144"/>
        <v>1.1067182473800952E-2</v>
      </c>
      <c r="AG393" t="s">
        <v>1176</v>
      </c>
    </row>
    <row r="394" spans="1:33" customFormat="1" x14ac:dyDescent="0.3">
      <c r="A394">
        <v>503813</v>
      </c>
      <c r="B394" t="s">
        <v>7</v>
      </c>
      <c r="C394" t="s">
        <v>932</v>
      </c>
      <c r="D394" t="s">
        <v>931</v>
      </c>
      <c r="E394" s="18">
        <v>4.9000000000000004</v>
      </c>
      <c r="F394" s="2">
        <f t="shared" si="126"/>
        <v>0.37777777777777782</v>
      </c>
      <c r="G394" s="10">
        <v>26.864280000000001</v>
      </c>
      <c r="H394">
        <f t="shared" si="127"/>
        <v>0.3599428899425523</v>
      </c>
      <c r="I394" s="22">
        <v>0.5</v>
      </c>
      <c r="J394" s="2">
        <f t="shared" si="128"/>
        <v>2.5654181631605956E-3</v>
      </c>
      <c r="K394" s="8">
        <v>0</v>
      </c>
      <c r="L394" s="2">
        <v>0</v>
      </c>
      <c r="M394">
        <v>9388</v>
      </c>
      <c r="N394">
        <f t="shared" si="129"/>
        <v>4.328776975013366E-2</v>
      </c>
      <c r="O394" s="8">
        <v>0.76331303299999997</v>
      </c>
      <c r="P394">
        <f t="shared" si="130"/>
        <v>0.7451622893762585</v>
      </c>
      <c r="Q394" s="20">
        <v>0.28249999999999997</v>
      </c>
      <c r="R394" s="10">
        <f t="shared" si="131"/>
        <v>0.61173668254655689</v>
      </c>
      <c r="S394">
        <f t="shared" si="132"/>
        <v>4.6456008666089205E-2</v>
      </c>
      <c r="T394" s="11">
        <f t="shared" si="133"/>
        <v>8.5277066839907059E-2</v>
      </c>
      <c r="U394" t="str">
        <f t="shared" si="134"/>
        <v>No Impact</v>
      </c>
      <c r="V394">
        <f t="shared" si="135"/>
        <v>4.1887930072606855E-2</v>
      </c>
      <c r="W394">
        <f t="shared" si="136"/>
        <v>5.5174247936136789E-2</v>
      </c>
      <c r="X394" t="s">
        <v>1176</v>
      </c>
      <c r="Y394">
        <f t="shared" si="137"/>
        <v>5.1024087259571575E-2</v>
      </c>
      <c r="Z394">
        <f t="shared" si="138"/>
        <v>9.3275411831965083E-2</v>
      </c>
      <c r="AA394" t="str">
        <f t="shared" si="139"/>
        <v>No Impact</v>
      </c>
      <c r="AB394">
        <f t="shared" si="140"/>
        <v>3.1005428905884473E-2</v>
      </c>
      <c r="AC394">
        <f t="shared" si="141"/>
        <v>7.550052251995594E-2</v>
      </c>
      <c r="AD394" t="str">
        <f t="shared" si="142"/>
        <v>No Impact</v>
      </c>
      <c r="AE394">
        <f t="shared" si="143"/>
        <v>2.9640777217160045E-3</v>
      </c>
      <c r="AF394">
        <f t="shared" si="144"/>
        <v>1.6217506938328234E-2</v>
      </c>
      <c r="AG394" t="s">
        <v>1176</v>
      </c>
    </row>
    <row r="395" spans="1:33" customFormat="1" x14ac:dyDescent="0.3">
      <c r="A395">
        <v>503847</v>
      </c>
      <c r="B395" t="s">
        <v>226</v>
      </c>
      <c r="C395" t="s">
        <v>932</v>
      </c>
      <c r="D395" t="s">
        <v>933</v>
      </c>
      <c r="E395" s="18">
        <v>4.9000000000000004</v>
      </c>
      <c r="F395" s="2">
        <f t="shared" si="126"/>
        <v>0.37777777777777782</v>
      </c>
      <c r="G395" s="10">
        <v>26.616600000000002</v>
      </c>
      <c r="H395">
        <f t="shared" si="127"/>
        <v>0.35662433255032105</v>
      </c>
      <c r="I395" s="22">
        <v>0</v>
      </c>
      <c r="J395" s="2">
        <f t="shared" si="128"/>
        <v>0</v>
      </c>
      <c r="K395" s="8">
        <v>0</v>
      </c>
      <c r="L395" s="2">
        <v>0</v>
      </c>
      <c r="M395">
        <v>39555</v>
      </c>
      <c r="N395">
        <f t="shared" si="129"/>
        <v>0.18602054382951744</v>
      </c>
      <c r="O395" s="8">
        <v>0.69842425399999997</v>
      </c>
      <c r="P395">
        <f t="shared" si="130"/>
        <v>0.6737010035344454</v>
      </c>
      <c r="Q395" s="20">
        <v>0.27260000000000001</v>
      </c>
      <c r="R395" s="10">
        <f t="shared" si="131"/>
        <v>0.59029883066262456</v>
      </c>
      <c r="S395">
        <f t="shared" si="132"/>
        <v>4.2573014736901067E-2</v>
      </c>
      <c r="T395" s="11">
        <f t="shared" si="133"/>
        <v>7.8149241132399808E-2</v>
      </c>
      <c r="U395" t="str">
        <f t="shared" si="134"/>
        <v>No Impact</v>
      </c>
      <c r="V395">
        <f t="shared" si="135"/>
        <v>3.9763930559277662E-2</v>
      </c>
      <c r="W395">
        <f t="shared" si="136"/>
        <v>5.2376542832028611E-2</v>
      </c>
      <c r="X395" t="s">
        <v>1176</v>
      </c>
      <c r="Y395">
        <f t="shared" si="137"/>
        <v>4.5382098914524473E-2</v>
      </c>
      <c r="Z395">
        <f t="shared" si="138"/>
        <v>8.2961483358179502E-2</v>
      </c>
      <c r="AA395" t="str">
        <f t="shared" si="139"/>
        <v>No Impact</v>
      </c>
      <c r="AB395">
        <f t="shared" si="140"/>
        <v>3.1917780271092343E-2</v>
      </c>
      <c r="AC395">
        <f t="shared" si="141"/>
        <v>7.7722165865193329E-2</v>
      </c>
      <c r="AD395" t="str">
        <f t="shared" si="142"/>
        <v>No Impact</v>
      </c>
      <c r="AE395">
        <f t="shared" si="143"/>
        <v>1.2530785431393776E-2</v>
      </c>
      <c r="AF395">
        <f t="shared" si="144"/>
        <v>6.8560314119793436E-2</v>
      </c>
      <c r="AG395" t="s">
        <v>1176</v>
      </c>
    </row>
    <row r="396" spans="1:33" customFormat="1" x14ac:dyDescent="0.3">
      <c r="A396">
        <v>503858</v>
      </c>
      <c r="B396" t="s">
        <v>238</v>
      </c>
      <c r="C396" t="s">
        <v>932</v>
      </c>
      <c r="D396" t="s">
        <v>934</v>
      </c>
      <c r="E396" s="18">
        <v>4.8</v>
      </c>
      <c r="F396" s="2">
        <f t="shared" si="126"/>
        <v>0.35555555555555546</v>
      </c>
      <c r="G396" s="10">
        <v>28.834560000000003</v>
      </c>
      <c r="H396">
        <f t="shared" si="127"/>
        <v>0.38634182105836906</v>
      </c>
      <c r="I396" s="22">
        <v>0.10000000000000026</v>
      </c>
      <c r="J396" s="2">
        <f t="shared" si="128"/>
        <v>5.1308363263212042E-4</v>
      </c>
      <c r="K396" s="8">
        <v>0</v>
      </c>
      <c r="L396" s="2">
        <v>0</v>
      </c>
      <c r="M396">
        <v>15941</v>
      </c>
      <c r="N396">
        <f t="shared" si="129"/>
        <v>7.4292770862017576E-2</v>
      </c>
      <c r="O396" s="8">
        <v>0.82147098500000004</v>
      </c>
      <c r="P396">
        <f t="shared" si="130"/>
        <v>0.80921099079883341</v>
      </c>
      <c r="Q396" s="20">
        <v>0.25580000000000003</v>
      </c>
      <c r="R396" s="10">
        <f t="shared" si="131"/>
        <v>0.55391944564746654</v>
      </c>
      <c r="S396">
        <f t="shared" si="132"/>
        <v>4.687410622869654E-2</v>
      </c>
      <c r="T396" s="11">
        <f t="shared" si="133"/>
        <v>8.6044548481481964E-2</v>
      </c>
      <c r="U396" t="str">
        <f t="shared" si="134"/>
        <v>No Impact</v>
      </c>
      <c r="V396">
        <f t="shared" si="135"/>
        <v>3.8095369662656503E-2</v>
      </c>
      <c r="W396">
        <f t="shared" si="136"/>
        <v>5.0178735672611982E-2</v>
      </c>
      <c r="X396" t="s">
        <v>1176</v>
      </c>
      <c r="Y396">
        <f t="shared" si="137"/>
        <v>5.5652842794736583E-2</v>
      </c>
      <c r="Z396">
        <f t="shared" si="138"/>
        <v>0.10173708360309534</v>
      </c>
      <c r="AA396" t="str">
        <f t="shared" si="139"/>
        <v>No Impact</v>
      </c>
      <c r="AB396">
        <f t="shared" si="140"/>
        <v>3.1817531416238692E-2</v>
      </c>
      <c r="AC396">
        <f t="shared" si="141"/>
        <v>7.7478052456975283E-2</v>
      </c>
      <c r="AD396" t="str">
        <f t="shared" si="142"/>
        <v>No Impact</v>
      </c>
      <c r="AE396">
        <f t="shared" si="143"/>
        <v>5.1094262739655449E-3</v>
      </c>
      <c r="AF396">
        <f t="shared" si="144"/>
        <v>2.7955459953641539E-2</v>
      </c>
      <c r="AG396" t="s">
        <v>1176</v>
      </c>
    </row>
    <row r="397" spans="1:33" customFormat="1" x14ac:dyDescent="0.3">
      <c r="A397">
        <v>503861</v>
      </c>
      <c r="B397" t="s">
        <v>273</v>
      </c>
      <c r="C397" t="s">
        <v>932</v>
      </c>
      <c r="D397" t="s">
        <v>935</v>
      </c>
      <c r="E397" s="18">
        <v>4.9000000000000004</v>
      </c>
      <c r="F397" s="2">
        <f t="shared" si="126"/>
        <v>0.37777777777777782</v>
      </c>
      <c r="G397" s="10">
        <v>26.616600000000002</v>
      </c>
      <c r="H397">
        <f t="shared" si="127"/>
        <v>0.35662433255032105</v>
      </c>
      <c r="I397" s="22">
        <v>0.10000000000000026</v>
      </c>
      <c r="J397" s="2">
        <f t="shared" si="128"/>
        <v>5.1308363263212042E-4</v>
      </c>
      <c r="K397" s="8">
        <v>0</v>
      </c>
      <c r="L397" s="2">
        <v>0</v>
      </c>
      <c r="M397">
        <v>16611</v>
      </c>
      <c r="N397">
        <f t="shared" si="129"/>
        <v>7.746282286033318E-2</v>
      </c>
      <c r="O397" s="8">
        <v>0.83870918500000002</v>
      </c>
      <c r="P397">
        <f t="shared" si="130"/>
        <v>0.82819522746629082</v>
      </c>
      <c r="Q397" s="20">
        <v>0.25619999999999998</v>
      </c>
      <c r="R397" s="10">
        <f t="shared" si="131"/>
        <v>0.55478562148116062</v>
      </c>
      <c r="S397">
        <f t="shared" si="132"/>
        <v>4.6647452885562213E-2</v>
      </c>
      <c r="T397" s="11">
        <f t="shared" si="133"/>
        <v>8.5628491810947047E-2</v>
      </c>
      <c r="U397" t="str">
        <f t="shared" si="134"/>
        <v>No Impact</v>
      </c>
      <c r="V397">
        <f t="shared" si="135"/>
        <v>3.7425443973900061E-2</v>
      </c>
      <c r="W397">
        <f t="shared" si="136"/>
        <v>4.9296318088688264E-2</v>
      </c>
      <c r="X397" t="s">
        <v>1176</v>
      </c>
      <c r="Y397">
        <f t="shared" si="137"/>
        <v>5.5869461797224372E-2</v>
      </c>
      <c r="Z397">
        <f t="shared" si="138"/>
        <v>0.10213307749054873</v>
      </c>
      <c r="AA397" t="str">
        <f t="shared" si="139"/>
        <v>No Impact</v>
      </c>
      <c r="AB397">
        <f t="shared" si="140"/>
        <v>3.1688699383578267E-2</v>
      </c>
      <c r="AC397">
        <f t="shared" si="141"/>
        <v>7.7164336887592402E-2</v>
      </c>
      <c r="AD397" t="str">
        <f t="shared" si="142"/>
        <v>No Impact</v>
      </c>
      <c r="AE397">
        <f t="shared" si="143"/>
        <v>5.2255870101312477E-3</v>
      </c>
      <c r="AF397">
        <f t="shared" si="144"/>
        <v>2.8591016009046854E-2</v>
      </c>
      <c r="AG397" t="s">
        <v>1176</v>
      </c>
    </row>
    <row r="398" spans="1:33" customFormat="1" x14ac:dyDescent="0.3">
      <c r="A398">
        <v>503874</v>
      </c>
      <c r="B398" t="s">
        <v>397</v>
      </c>
      <c r="C398" t="s">
        <v>932</v>
      </c>
      <c r="D398" t="s">
        <v>936</v>
      </c>
      <c r="E398" s="18">
        <v>4.9000000000000004</v>
      </c>
      <c r="F398" s="2">
        <f t="shared" si="126"/>
        <v>0.37777777777777782</v>
      </c>
      <c r="G398" s="10">
        <v>25.974720000000001</v>
      </c>
      <c r="H398">
        <f t="shared" si="127"/>
        <v>0.34802405954109372</v>
      </c>
      <c r="I398" s="22">
        <v>1.0000000000000002</v>
      </c>
      <c r="J398" s="2">
        <f t="shared" si="128"/>
        <v>5.130836326321192E-3</v>
      </c>
      <c r="K398" s="8">
        <v>0</v>
      </c>
      <c r="L398" s="2">
        <v>0</v>
      </c>
      <c r="M398">
        <v>30322</v>
      </c>
      <c r="N398">
        <f t="shared" si="129"/>
        <v>0.14233533472437107</v>
      </c>
      <c r="O398" s="8">
        <v>0.738491432</v>
      </c>
      <c r="P398">
        <f t="shared" si="130"/>
        <v>0.71782653808846753</v>
      </c>
      <c r="Q398" s="20">
        <v>0.28110000000000002</v>
      </c>
      <c r="R398" s="10">
        <f t="shared" si="131"/>
        <v>0.60870506712862715</v>
      </c>
      <c r="S398">
        <f t="shared" si="132"/>
        <v>4.4244495696609577E-2</v>
      </c>
      <c r="T398" s="11">
        <f t="shared" si="133"/>
        <v>8.1217498557337439E-2</v>
      </c>
      <c r="U398" t="str">
        <f t="shared" si="134"/>
        <v>No Impact</v>
      </c>
      <c r="V398">
        <f t="shared" si="135"/>
        <v>4.0604910756980313E-2</v>
      </c>
      <c r="W398">
        <f t="shared" si="136"/>
        <v>5.3484271236296822E-2</v>
      </c>
      <c r="X398" t="s">
        <v>1176</v>
      </c>
      <c r="Y398">
        <f t="shared" si="137"/>
        <v>4.7884080636238835E-2</v>
      </c>
      <c r="Z398">
        <f t="shared" si="138"/>
        <v>8.7535271700570239E-2</v>
      </c>
      <c r="AA398" t="str">
        <f t="shared" si="139"/>
        <v>No Impact</v>
      </c>
      <c r="AB398">
        <f t="shared" si="140"/>
        <v>3.1900111854274667E-2</v>
      </c>
      <c r="AC398">
        <f t="shared" si="141"/>
        <v>7.7679141957803302E-2</v>
      </c>
      <c r="AD398" t="str">
        <f t="shared" si="142"/>
        <v>No Impact</v>
      </c>
      <c r="AE398">
        <f t="shared" si="143"/>
        <v>9.4947682813140161E-3</v>
      </c>
      <c r="AF398">
        <f t="shared" si="144"/>
        <v>5.1949201382912404E-2</v>
      </c>
      <c r="AG398" t="s">
        <v>1176</v>
      </c>
    </row>
    <row r="399" spans="1:33" customFormat="1" x14ac:dyDescent="0.3">
      <c r="A399">
        <v>506403</v>
      </c>
      <c r="B399" t="s">
        <v>17</v>
      </c>
      <c r="C399" t="s">
        <v>938</v>
      </c>
      <c r="D399" t="s">
        <v>937</v>
      </c>
      <c r="E399" s="18">
        <v>6.3</v>
      </c>
      <c r="F399" s="2">
        <f t="shared" si="126"/>
        <v>0.68888888888888877</v>
      </c>
      <c r="G399" s="10">
        <v>27.624960000000002</v>
      </c>
      <c r="H399">
        <f t="shared" si="127"/>
        <v>0.37013491286375105</v>
      </c>
      <c r="I399" s="22">
        <v>0.7</v>
      </c>
      <c r="J399" s="2">
        <f t="shared" si="128"/>
        <v>3.5915854284248334E-3</v>
      </c>
      <c r="K399" s="8">
        <v>0</v>
      </c>
      <c r="L399" s="2">
        <v>0</v>
      </c>
      <c r="M399">
        <v>16370</v>
      </c>
      <c r="N399">
        <f t="shared" si="129"/>
        <v>7.6322550425118166E-2</v>
      </c>
      <c r="O399" s="8">
        <v>0.80812170000000005</v>
      </c>
      <c r="P399">
        <f t="shared" si="130"/>
        <v>0.79450957268201494</v>
      </c>
      <c r="Q399" s="20">
        <v>0.22500000000000001</v>
      </c>
      <c r="R399" s="10">
        <f t="shared" si="131"/>
        <v>0.48722390645301</v>
      </c>
      <c r="S399">
        <f t="shared" si="132"/>
        <v>8.2497503955168874E-2</v>
      </c>
      <c r="T399" s="11">
        <f t="shared" si="133"/>
        <v>0.15143671100711181</v>
      </c>
      <c r="U399" t="str">
        <f t="shared" si="134"/>
        <v>Low</v>
      </c>
      <c r="V399">
        <f t="shared" si="135"/>
        <v>6.2719366863671785E-2</v>
      </c>
      <c r="W399">
        <f t="shared" si="136"/>
        <v>8.2613151132927026E-2</v>
      </c>
      <c r="X399" t="s">
        <v>1176</v>
      </c>
      <c r="Y399">
        <f t="shared" si="137"/>
        <v>0.10227564104666595</v>
      </c>
      <c r="Z399">
        <f t="shared" si="138"/>
        <v>0.1869666475457909</v>
      </c>
      <c r="AA399" t="str">
        <f t="shared" si="139"/>
        <v>Low</v>
      </c>
      <c r="AB399">
        <f t="shared" si="140"/>
        <v>5.607316839067953E-2</v>
      </c>
      <c r="AC399">
        <f t="shared" si="141"/>
        <v>0.13654233023824747</v>
      </c>
      <c r="AD399" t="str">
        <f t="shared" si="142"/>
        <v>No Impact</v>
      </c>
      <c r="AE399">
        <f t="shared" si="143"/>
        <v>9.824850498270336E-3</v>
      </c>
      <c r="AF399">
        <f t="shared" si="144"/>
        <v>5.3755196753576567E-2</v>
      </c>
      <c r="AG399" t="s">
        <v>1176</v>
      </c>
    </row>
    <row r="400" spans="1:33" customFormat="1" x14ac:dyDescent="0.3">
      <c r="A400">
        <v>506406</v>
      </c>
      <c r="B400" t="s">
        <v>21</v>
      </c>
      <c r="C400" t="s">
        <v>938</v>
      </c>
      <c r="D400" t="s">
        <v>939</v>
      </c>
      <c r="E400" s="18">
        <v>6.3</v>
      </c>
      <c r="F400" s="2">
        <f t="shared" si="126"/>
        <v>0.68888888888888877</v>
      </c>
      <c r="G400" s="10">
        <v>25.323840000000001</v>
      </c>
      <c r="H400">
        <f t="shared" si="127"/>
        <v>0.33930319941732306</v>
      </c>
      <c r="I400" s="22">
        <v>0</v>
      </c>
      <c r="J400" s="2">
        <f t="shared" si="128"/>
        <v>0</v>
      </c>
      <c r="K400" s="8">
        <v>0</v>
      </c>
      <c r="L400" s="2">
        <v>0</v>
      </c>
      <c r="M400">
        <v>16682</v>
      </c>
      <c r="N400">
        <f t="shared" si="129"/>
        <v>7.7798753743736779E-2</v>
      </c>
      <c r="O400" s="8">
        <v>0.62993978299999998</v>
      </c>
      <c r="P400">
        <f t="shared" si="130"/>
        <v>0.59827982234907651</v>
      </c>
      <c r="Q400" s="20">
        <v>0.31459999999999999</v>
      </c>
      <c r="R400" s="10">
        <f t="shared" si="131"/>
        <v>0.68124729320051969</v>
      </c>
      <c r="S400">
        <f t="shared" si="132"/>
        <v>7.4769872030350543E-2</v>
      </c>
      <c r="T400" s="11">
        <f t="shared" si="133"/>
        <v>0.13725146773958236</v>
      </c>
      <c r="U400" t="str">
        <f t="shared" si="134"/>
        <v>No Impact</v>
      </c>
      <c r="V400">
        <f t="shared" si="135"/>
        <v>7.9618121905523906E-2</v>
      </c>
      <c r="W400">
        <f t="shared" si="136"/>
        <v>0.10487197602293824</v>
      </c>
      <c r="X400" t="s">
        <v>1176</v>
      </c>
      <c r="Y400">
        <f t="shared" si="137"/>
        <v>6.9921622155177193E-2</v>
      </c>
      <c r="Z400">
        <f t="shared" si="138"/>
        <v>0.12782135757381441</v>
      </c>
      <c r="AA400" t="str">
        <f t="shared" si="139"/>
        <v>No Impact</v>
      </c>
      <c r="AB400">
        <f t="shared" si="140"/>
        <v>5.2025178443562574E-2</v>
      </c>
      <c r="AC400">
        <f t="shared" si="141"/>
        <v>0.12668517402568319</v>
      </c>
      <c r="AD400" t="str">
        <f t="shared" si="142"/>
        <v>No Impact</v>
      </c>
      <c r="AE400">
        <f t="shared" si="143"/>
        <v>9.0924260859315559E-3</v>
      </c>
      <c r="AF400">
        <f t="shared" si="144"/>
        <v>4.974784637207965E-2</v>
      </c>
      <c r="AG400" t="s">
        <v>1176</v>
      </c>
    </row>
    <row r="401" spans="1:33" customFormat="1" x14ac:dyDescent="0.3">
      <c r="A401">
        <v>506428</v>
      </c>
      <c r="B401" t="s">
        <v>140</v>
      </c>
      <c r="C401" t="s">
        <v>938</v>
      </c>
      <c r="D401" t="s">
        <v>940</v>
      </c>
      <c r="E401" s="18">
        <v>6.3</v>
      </c>
      <c r="F401" s="2">
        <f t="shared" si="126"/>
        <v>0.68888888888888877</v>
      </c>
      <c r="G401" s="10">
        <v>25.323840000000001</v>
      </c>
      <c r="H401">
        <f t="shared" si="127"/>
        <v>0.33930319941732306</v>
      </c>
      <c r="I401" s="22">
        <v>0</v>
      </c>
      <c r="J401" s="2">
        <f t="shared" si="128"/>
        <v>0</v>
      </c>
      <c r="K401" s="8">
        <v>0</v>
      </c>
      <c r="L401" s="2">
        <v>0</v>
      </c>
      <c r="M401">
        <v>18479</v>
      </c>
      <c r="N401">
        <f t="shared" si="129"/>
        <v>8.6301117088472837E-2</v>
      </c>
      <c r="O401" s="8">
        <v>0.76893769899999997</v>
      </c>
      <c r="P401">
        <f t="shared" si="130"/>
        <v>0.75135667107036819</v>
      </c>
      <c r="Q401" s="20">
        <v>0.31009999999999999</v>
      </c>
      <c r="R401" s="10">
        <f t="shared" si="131"/>
        <v>0.67150281507145948</v>
      </c>
      <c r="S401">
        <f t="shared" si="132"/>
        <v>8.3145578083586219E-2</v>
      </c>
      <c r="T401" s="11">
        <f t="shared" si="133"/>
        <v>0.1526263495996886</v>
      </c>
      <c r="U401" t="str">
        <f t="shared" si="134"/>
        <v>Low</v>
      </c>
      <c r="V401">
        <f t="shared" si="135"/>
        <v>7.8479274007956012E-2</v>
      </c>
      <c r="W401">
        <f t="shared" si="136"/>
        <v>0.10337190007855418</v>
      </c>
      <c r="X401" t="s">
        <v>1176</v>
      </c>
      <c r="Y401">
        <f t="shared" si="137"/>
        <v>8.7811882159216426E-2</v>
      </c>
      <c r="Z401">
        <f t="shared" si="138"/>
        <v>0.16052593808239879</v>
      </c>
      <c r="AA401" t="str">
        <f t="shared" si="139"/>
        <v>Low</v>
      </c>
      <c r="AB401">
        <f t="shared" si="140"/>
        <v>5.7341447881485916E-2</v>
      </c>
      <c r="AC401">
        <f t="shared" si="141"/>
        <v>0.13963068500824236</v>
      </c>
      <c r="AD401" t="str">
        <f t="shared" si="142"/>
        <v>No Impact</v>
      </c>
      <c r="AE401">
        <f t="shared" si="143"/>
        <v>1.0086106659818257E-2</v>
      </c>
      <c r="AF401">
        <f t="shared" si="144"/>
        <v>5.5184620679117731E-2</v>
      </c>
      <c r="AG401" t="s">
        <v>1176</v>
      </c>
    </row>
    <row r="402" spans="1:33" customFormat="1" x14ac:dyDescent="0.3">
      <c r="A402">
        <v>506447</v>
      </c>
      <c r="B402" t="s">
        <v>316</v>
      </c>
      <c r="C402" t="s">
        <v>938</v>
      </c>
      <c r="D402" t="s">
        <v>941</v>
      </c>
      <c r="E402" s="18">
        <v>6.3</v>
      </c>
      <c r="F402" s="2">
        <f t="shared" si="126"/>
        <v>0.68888888888888877</v>
      </c>
      <c r="G402" s="10">
        <v>28.249200000000002</v>
      </c>
      <c r="H402">
        <f t="shared" si="127"/>
        <v>0.37849883512847354</v>
      </c>
      <c r="I402" s="22">
        <v>0.29999999999999993</v>
      </c>
      <c r="J402" s="2">
        <f t="shared" si="128"/>
        <v>1.5392508978963569E-3</v>
      </c>
      <c r="K402" s="8">
        <v>0</v>
      </c>
      <c r="L402" s="2">
        <v>0</v>
      </c>
      <c r="M402">
        <v>23845</v>
      </c>
      <c r="N402">
        <f t="shared" si="129"/>
        <v>0.1116899216003558</v>
      </c>
      <c r="O402" s="8">
        <v>0.73650907399999999</v>
      </c>
      <c r="P402">
        <f t="shared" si="130"/>
        <v>0.71564338941681804</v>
      </c>
      <c r="Q402" s="20">
        <v>0.2601</v>
      </c>
      <c r="R402" s="10">
        <f t="shared" si="131"/>
        <v>0.56323083585967948</v>
      </c>
      <c r="S402">
        <f t="shared" si="132"/>
        <v>8.3703601656214641E-2</v>
      </c>
      <c r="T402" s="11">
        <f t="shared" si="133"/>
        <v>0.15365068670629012</v>
      </c>
      <c r="U402" t="str">
        <f t="shared" si="134"/>
        <v>Low</v>
      </c>
      <c r="V402">
        <f t="shared" si="135"/>
        <v>7.3728047048727749E-2</v>
      </c>
      <c r="W402">
        <f t="shared" si="136"/>
        <v>9.7113644447518577E-2</v>
      </c>
      <c r="X402" t="s">
        <v>1176</v>
      </c>
      <c r="Y402">
        <f t="shared" si="137"/>
        <v>9.3679156263701546E-2</v>
      </c>
      <c r="Z402">
        <f t="shared" si="138"/>
        <v>0.1712517038495113</v>
      </c>
      <c r="AA402" t="str">
        <f t="shared" si="139"/>
        <v>Low</v>
      </c>
      <c r="AB402">
        <f t="shared" si="140"/>
        <v>5.9025715576862557E-2</v>
      </c>
      <c r="AC402">
        <f t="shared" si="141"/>
        <v>0.14373200195665214</v>
      </c>
      <c r="AD402" t="str">
        <f t="shared" si="142"/>
        <v>No Impact</v>
      </c>
      <c r="AE402">
        <f t="shared" si="143"/>
        <v>1.4620434944849667E-2</v>
      </c>
      <c r="AF402">
        <f t="shared" si="144"/>
        <v>7.9993518193648055E-2</v>
      </c>
      <c r="AG402" t="s">
        <v>1176</v>
      </c>
    </row>
    <row r="403" spans="1:33" customFormat="1" x14ac:dyDescent="0.3">
      <c r="A403">
        <v>506450</v>
      </c>
      <c r="B403" t="s">
        <v>312</v>
      </c>
      <c r="C403" t="s">
        <v>938</v>
      </c>
      <c r="D403" t="s">
        <v>942</v>
      </c>
      <c r="E403" s="18">
        <v>6.3</v>
      </c>
      <c r="F403" s="2">
        <f t="shared" si="126"/>
        <v>0.68888888888888877</v>
      </c>
      <c r="G403" s="10">
        <v>26.65692</v>
      </c>
      <c r="H403">
        <f t="shared" si="127"/>
        <v>0.35716456282347492</v>
      </c>
      <c r="I403" s="22">
        <v>0</v>
      </c>
      <c r="J403" s="2">
        <f t="shared" si="128"/>
        <v>0</v>
      </c>
      <c r="K403" s="8">
        <v>0</v>
      </c>
      <c r="L403" s="2">
        <v>0</v>
      </c>
      <c r="M403">
        <v>24941</v>
      </c>
      <c r="N403">
        <f t="shared" si="129"/>
        <v>0.11687555889909299</v>
      </c>
      <c r="O403" s="8">
        <v>0.80648027099999997</v>
      </c>
      <c r="P403">
        <f t="shared" si="130"/>
        <v>0.79270188530114982</v>
      </c>
      <c r="Q403" s="20">
        <v>0.31919999999999998</v>
      </c>
      <c r="R403" s="10">
        <f t="shared" si="131"/>
        <v>0.69120831528800342</v>
      </c>
      <c r="S403">
        <f t="shared" si="132"/>
        <v>9.1277801555246174E-2</v>
      </c>
      <c r="T403" s="11">
        <f t="shared" si="133"/>
        <v>0.16755428216346963</v>
      </c>
      <c r="U403" t="str">
        <f t="shared" si="134"/>
        <v>Low</v>
      </c>
      <c r="V403">
        <f t="shared" si="135"/>
        <v>8.503476209159444E-2</v>
      </c>
      <c r="W403">
        <f t="shared" si="136"/>
        <v>0.11200670548054255</v>
      </c>
      <c r="X403" t="s">
        <v>1176</v>
      </c>
      <c r="Y403">
        <f t="shared" si="137"/>
        <v>9.7520841018897936E-2</v>
      </c>
      <c r="Z403">
        <f t="shared" si="138"/>
        <v>0.17827455809179477</v>
      </c>
      <c r="AA403" t="str">
        <f t="shared" si="139"/>
        <v>Low</v>
      </c>
      <c r="AB403">
        <f t="shared" si="140"/>
        <v>6.4050866989988992E-2</v>
      </c>
      <c r="AC403">
        <f t="shared" si="141"/>
        <v>0.15596861892410632</v>
      </c>
      <c r="AD403" t="str">
        <f t="shared" si="142"/>
        <v>Low</v>
      </c>
      <c r="AE403">
        <f t="shared" si="143"/>
        <v>1.437842272074732E-2</v>
      </c>
      <c r="AF403">
        <f t="shared" si="144"/>
        <v>7.8669384587168989E-2</v>
      </c>
      <c r="AG403" t="s">
        <v>1176</v>
      </c>
    </row>
    <row r="404" spans="1:33" customFormat="1" x14ac:dyDescent="0.3">
      <c r="A404">
        <v>506460</v>
      </c>
      <c r="B404" t="s">
        <v>369</v>
      </c>
      <c r="C404" t="s">
        <v>938</v>
      </c>
      <c r="D404" t="s">
        <v>943</v>
      </c>
      <c r="E404" s="18">
        <v>6.3</v>
      </c>
      <c r="F404" s="2">
        <f t="shared" si="126"/>
        <v>0.68888888888888877</v>
      </c>
      <c r="G404" s="10">
        <v>27.13212</v>
      </c>
      <c r="H404">
        <f t="shared" si="127"/>
        <v>0.36353156247136059</v>
      </c>
      <c r="I404" s="22">
        <v>0</v>
      </c>
      <c r="J404" s="2">
        <f t="shared" si="128"/>
        <v>0</v>
      </c>
      <c r="K404" s="8">
        <v>0</v>
      </c>
      <c r="L404" s="2">
        <v>0</v>
      </c>
      <c r="M404">
        <v>27111</v>
      </c>
      <c r="N404">
        <f t="shared" si="129"/>
        <v>0.12714274223692118</v>
      </c>
      <c r="O404" s="8">
        <v>0.78896880000000003</v>
      </c>
      <c r="P404">
        <f t="shared" si="130"/>
        <v>0.77341669834083393</v>
      </c>
      <c r="Q404" s="20">
        <v>0.27110000000000001</v>
      </c>
      <c r="R404" s="10">
        <f t="shared" si="131"/>
        <v>0.5870506712862712</v>
      </c>
      <c r="S404">
        <f t="shared" si="132"/>
        <v>8.5176431587373064E-2</v>
      </c>
      <c r="T404" s="11">
        <f t="shared" si="133"/>
        <v>0.15635428996644049</v>
      </c>
      <c r="U404" t="str">
        <f t="shared" si="134"/>
        <v>Low</v>
      </c>
      <c r="V404">
        <f t="shared" si="135"/>
        <v>7.3508387569548181E-2</v>
      </c>
      <c r="W404">
        <f t="shared" si="136"/>
        <v>9.6824311779497782E-2</v>
      </c>
      <c r="X404" t="s">
        <v>1176</v>
      </c>
      <c r="Y404">
        <f t="shared" si="137"/>
        <v>9.6844475605197905E-2</v>
      </c>
      <c r="Z404">
        <f t="shared" si="138"/>
        <v>0.17703811730666474</v>
      </c>
      <c r="AA404" t="str">
        <f t="shared" si="139"/>
        <v>Low</v>
      </c>
      <c r="AB404">
        <f t="shared" si="140"/>
        <v>6.0353404299831832E-2</v>
      </c>
      <c r="AC404">
        <f t="shared" si="141"/>
        <v>0.1469650226199789</v>
      </c>
      <c r="AD404" t="str">
        <f t="shared" si="142"/>
        <v>No Impact</v>
      </c>
      <c r="AE404">
        <f t="shared" si="143"/>
        <v>1.592035991123026E-2</v>
      </c>
      <c r="AF404">
        <f t="shared" si="144"/>
        <v>8.7105862788100369E-2</v>
      </c>
      <c r="AG404" t="s">
        <v>1176</v>
      </c>
    </row>
    <row r="405" spans="1:33" customFormat="1" x14ac:dyDescent="0.3">
      <c r="A405">
        <v>506469</v>
      </c>
      <c r="B405" t="s">
        <v>383</v>
      </c>
      <c r="C405" t="s">
        <v>938</v>
      </c>
      <c r="D405" t="s">
        <v>944</v>
      </c>
      <c r="E405" s="18">
        <v>6.3</v>
      </c>
      <c r="F405" s="2">
        <f t="shared" si="126"/>
        <v>0.68888888888888877</v>
      </c>
      <c r="G405" s="10">
        <v>24.851520000000001</v>
      </c>
      <c r="H405">
        <f t="shared" si="127"/>
        <v>0.33297478764609129</v>
      </c>
      <c r="I405" s="22">
        <v>0.10000000000000005</v>
      </c>
      <c r="J405" s="2">
        <f t="shared" si="128"/>
        <v>5.1308363263211933E-4</v>
      </c>
      <c r="K405" s="8">
        <v>0</v>
      </c>
      <c r="L405" s="2">
        <v>0</v>
      </c>
      <c r="M405">
        <v>14414</v>
      </c>
      <c r="N405">
        <f t="shared" si="129"/>
        <v>6.7067891158393775E-2</v>
      </c>
      <c r="O405" s="8">
        <v>0.8250767</v>
      </c>
      <c r="P405">
        <f t="shared" si="130"/>
        <v>0.8131819243600753</v>
      </c>
      <c r="Q405" s="20">
        <v>0.28239999999999998</v>
      </c>
      <c r="R405" s="10">
        <f t="shared" si="131"/>
        <v>0.61152013858813337</v>
      </c>
      <c r="S405">
        <f t="shared" si="132"/>
        <v>8.1826370019717334E-2</v>
      </c>
      <c r="T405" s="11">
        <f t="shared" si="133"/>
        <v>0.15020474263282899</v>
      </c>
      <c r="U405" t="str">
        <f t="shared" si="134"/>
        <v>Low</v>
      </c>
      <c r="V405">
        <f t="shared" si="135"/>
        <v>7.0244122523518013E-2</v>
      </c>
      <c r="W405">
        <f t="shared" si="136"/>
        <v>9.2524663440065644E-2</v>
      </c>
      <c r="X405" t="s">
        <v>1176</v>
      </c>
      <c r="Y405">
        <f t="shared" si="137"/>
        <v>9.3408617515916656E-2</v>
      </c>
      <c r="Z405">
        <f t="shared" si="138"/>
        <v>0.17075714109549739</v>
      </c>
      <c r="AA405" t="str">
        <f t="shared" si="139"/>
        <v>Low</v>
      </c>
      <c r="AB405">
        <f t="shared" si="140"/>
        <v>5.5304413266352853E-2</v>
      </c>
      <c r="AC405">
        <f t="shared" si="141"/>
        <v>0.13467035440612013</v>
      </c>
      <c r="AD405" t="str">
        <f t="shared" si="142"/>
        <v>No Impact</v>
      </c>
      <c r="AE405">
        <f t="shared" si="143"/>
        <v>7.7039575095615717E-3</v>
      </c>
      <c r="AF405">
        <f t="shared" si="144"/>
        <v>4.215104868828113E-2</v>
      </c>
      <c r="AG405" t="s">
        <v>1176</v>
      </c>
    </row>
    <row r="406" spans="1:33" customFormat="1" x14ac:dyDescent="0.3">
      <c r="A406">
        <v>506475</v>
      </c>
      <c r="B406" t="s">
        <v>407</v>
      </c>
      <c r="C406" t="s">
        <v>938</v>
      </c>
      <c r="D406" t="s">
        <v>945</v>
      </c>
      <c r="E406" s="18">
        <v>6.3</v>
      </c>
      <c r="F406" s="2">
        <f t="shared" si="126"/>
        <v>0.68888888888888877</v>
      </c>
      <c r="G406" s="10">
        <v>25.323840000000001</v>
      </c>
      <c r="H406">
        <f t="shared" si="127"/>
        <v>0.33930319941732306</v>
      </c>
      <c r="I406" s="22">
        <v>0</v>
      </c>
      <c r="J406" s="2">
        <f t="shared" si="128"/>
        <v>0</v>
      </c>
      <c r="K406" s="8">
        <v>0</v>
      </c>
      <c r="L406" s="2">
        <v>0</v>
      </c>
      <c r="M406">
        <v>24149</v>
      </c>
      <c r="N406">
        <f t="shared" si="129"/>
        <v>0.11312827355183035</v>
      </c>
      <c r="O406" s="8">
        <v>0.644087254</v>
      </c>
      <c r="P406">
        <f t="shared" si="130"/>
        <v>0.61386027377149832</v>
      </c>
      <c r="Q406" s="20">
        <v>0.31480000000000002</v>
      </c>
      <c r="R406" s="10">
        <f t="shared" si="131"/>
        <v>0.68168038111736684</v>
      </c>
      <c r="S406">
        <f t="shared" si="132"/>
        <v>7.5705632025273237E-2</v>
      </c>
      <c r="T406" s="11">
        <f t="shared" si="133"/>
        <v>0.13896919747841338</v>
      </c>
      <c r="U406" t="str">
        <f t="shared" si="134"/>
        <v>No Impact</v>
      </c>
      <c r="V406">
        <f t="shared" si="135"/>
        <v>7.9668737367638034E-2</v>
      </c>
      <c r="W406">
        <f t="shared" si="136"/>
        <v>0.10493864606491086</v>
      </c>
      <c r="X406" t="s">
        <v>1176</v>
      </c>
      <c r="Y406">
        <f t="shared" si="137"/>
        <v>7.1742526682908425E-2</v>
      </c>
      <c r="Z406">
        <f t="shared" si="138"/>
        <v>0.13115009168456443</v>
      </c>
      <c r="AA406" t="str">
        <f t="shared" si="139"/>
        <v>No Impact</v>
      </c>
      <c r="AB406">
        <f t="shared" si="140"/>
        <v>5.4034315183473972E-2</v>
      </c>
      <c r="AC406">
        <f t="shared" si="141"/>
        <v>0.13157757122934072</v>
      </c>
      <c r="AD406" t="str">
        <f t="shared" si="142"/>
        <v>No Impact</v>
      </c>
      <c r="AE406">
        <f t="shared" si="143"/>
        <v>1.3221425999794657E-2</v>
      </c>
      <c r="AF406">
        <f t="shared" si="144"/>
        <v>7.2339050462593479E-2</v>
      </c>
      <c r="AG406" t="s">
        <v>1176</v>
      </c>
    </row>
    <row r="407" spans="1:33" customFormat="1" x14ac:dyDescent="0.3">
      <c r="A407">
        <v>506479</v>
      </c>
      <c r="B407" t="s">
        <v>417</v>
      </c>
      <c r="C407" t="s">
        <v>938</v>
      </c>
      <c r="D407" t="s">
        <v>946</v>
      </c>
      <c r="E407" s="18">
        <v>6.3</v>
      </c>
      <c r="F407" s="2">
        <f t="shared" si="126"/>
        <v>0.68888888888888877</v>
      </c>
      <c r="G407" s="10">
        <v>22.587120000000002</v>
      </c>
      <c r="H407">
        <f t="shared" si="127"/>
        <v>0.30263506962699999</v>
      </c>
      <c r="I407" s="22">
        <v>0</v>
      </c>
      <c r="J407" s="2">
        <f t="shared" si="128"/>
        <v>0</v>
      </c>
      <c r="K407" s="8">
        <v>0</v>
      </c>
      <c r="L407" s="2">
        <v>0</v>
      </c>
      <c r="M407">
        <v>11888</v>
      </c>
      <c r="N407">
        <f t="shared" si="129"/>
        <v>5.5116321982654613E-2</v>
      </c>
      <c r="O407" s="8">
        <v>0.53616498000000001</v>
      </c>
      <c r="P407">
        <f t="shared" si="130"/>
        <v>0.49500668167335654</v>
      </c>
      <c r="Q407" s="20">
        <v>0.27210000000000001</v>
      </c>
      <c r="R407" s="10">
        <f t="shared" si="131"/>
        <v>0.58921611087050674</v>
      </c>
      <c r="S407">
        <f t="shared" si="132"/>
        <v>5.6510216942741463E-2</v>
      </c>
      <c r="T407" s="11">
        <f t="shared" si="133"/>
        <v>0.103733094721964</v>
      </c>
      <c r="U407" t="str">
        <f t="shared" si="134"/>
        <v>No Impact</v>
      </c>
      <c r="V407">
        <f t="shared" si="135"/>
        <v>6.1420458009978036E-2</v>
      </c>
      <c r="W407">
        <f t="shared" si="136"/>
        <v>8.0902244935940962E-2</v>
      </c>
      <c r="X407" t="s">
        <v>1176</v>
      </c>
      <c r="Y407">
        <f t="shared" si="137"/>
        <v>5.159997587550489E-2</v>
      </c>
      <c r="Z407">
        <f t="shared" si="138"/>
        <v>9.4328174374237586E-2</v>
      </c>
      <c r="AA407" t="str">
        <f t="shared" si="139"/>
        <v>No Impact</v>
      </c>
      <c r="AB407">
        <f t="shared" si="140"/>
        <v>3.8988035639007469E-2</v>
      </c>
      <c r="AC407">
        <f t="shared" si="141"/>
        <v>9.4938762876234997E-2</v>
      </c>
      <c r="AD407" t="str">
        <f t="shared" si="142"/>
        <v>No Impact</v>
      </c>
      <c r="AE407">
        <f t="shared" si="143"/>
        <v>5.7453787796105512E-3</v>
      </c>
      <c r="AF407">
        <f t="shared" si="144"/>
        <v>3.143497875882801E-2</v>
      </c>
      <c r="AG407" t="s">
        <v>1176</v>
      </c>
    </row>
    <row r="408" spans="1:33" customFormat="1" x14ac:dyDescent="0.3">
      <c r="A408">
        <v>506485</v>
      </c>
      <c r="B408" t="s">
        <v>437</v>
      </c>
      <c r="C408" t="s">
        <v>938</v>
      </c>
      <c r="D408" t="s">
        <v>947</v>
      </c>
      <c r="E408" s="18">
        <v>6.3</v>
      </c>
      <c r="F408" s="2">
        <f t="shared" si="126"/>
        <v>0.68888888888888877</v>
      </c>
      <c r="G408" s="10">
        <v>27.13212</v>
      </c>
      <c r="H408">
        <f t="shared" si="127"/>
        <v>0.36353156247136059</v>
      </c>
      <c r="I408" s="22">
        <v>0.5</v>
      </c>
      <c r="J408" s="2">
        <f t="shared" si="128"/>
        <v>2.5654181631605956E-3</v>
      </c>
      <c r="K408" s="8">
        <v>0</v>
      </c>
      <c r="L408" s="2">
        <v>0</v>
      </c>
      <c r="M408">
        <v>16424</v>
      </c>
      <c r="N408">
        <f t="shared" si="129"/>
        <v>7.6578047153340614E-2</v>
      </c>
      <c r="O408" s="8">
        <v>0.88882503499999999</v>
      </c>
      <c r="P408">
        <f t="shared" si="130"/>
        <v>0.88338725199267965</v>
      </c>
      <c r="Q408" s="20">
        <v>0.30509999999999998</v>
      </c>
      <c r="R408" s="10">
        <f t="shared" si="131"/>
        <v>0.66067561715028145</v>
      </c>
      <c r="S408">
        <f t="shared" si="132"/>
        <v>9.7353218796647351E-2</v>
      </c>
      <c r="T408" s="11">
        <f t="shared" si="133"/>
        <v>0.17870663418534008</v>
      </c>
      <c r="U408" t="str">
        <f t="shared" si="134"/>
        <v>Low</v>
      </c>
      <c r="V408">
        <f t="shared" si="135"/>
        <v>8.3311242301606372E-2</v>
      </c>
      <c r="W408">
        <f t="shared" si="136"/>
        <v>0.10973650716683242</v>
      </c>
      <c r="X408" t="s">
        <v>1176</v>
      </c>
      <c r="Y408">
        <f t="shared" si="137"/>
        <v>0.11139519529168836</v>
      </c>
      <c r="Z408">
        <f t="shared" si="138"/>
        <v>0.20363779687181519</v>
      </c>
      <c r="AA408" t="str">
        <f t="shared" si="139"/>
        <v>Low</v>
      </c>
      <c r="AB408">
        <f t="shared" si="140"/>
        <v>6.5957267410025708E-2</v>
      </c>
      <c r="AC408">
        <f t="shared" si="141"/>
        <v>0.16061084555744662</v>
      </c>
      <c r="AD408" t="str">
        <f t="shared" si="142"/>
        <v>Low</v>
      </c>
      <c r="AE408">
        <f t="shared" si="143"/>
        <v>9.6564971913056172E-3</v>
      </c>
      <c r="AF408">
        <f t="shared" si="144"/>
        <v>5.2834076870724715E-2</v>
      </c>
      <c r="AG408" t="s">
        <v>1176</v>
      </c>
    </row>
    <row r="409" spans="1:33" customFormat="1" x14ac:dyDescent="0.3">
      <c r="A409">
        <v>506486</v>
      </c>
      <c r="B409" t="s">
        <v>457</v>
      </c>
      <c r="C409" t="s">
        <v>938</v>
      </c>
      <c r="D409" t="s">
        <v>948</v>
      </c>
      <c r="E409" s="18">
        <v>6.2</v>
      </c>
      <c r="F409" s="2">
        <f t="shared" si="126"/>
        <v>0.66666666666666663</v>
      </c>
      <c r="G409" s="10">
        <v>21.630600000000001</v>
      </c>
      <c r="H409">
        <f t="shared" si="127"/>
        <v>0.28981907109333926</v>
      </c>
      <c r="I409" s="22">
        <v>0</v>
      </c>
      <c r="J409" s="2">
        <f t="shared" si="128"/>
        <v>0</v>
      </c>
      <c r="K409" s="8">
        <v>0</v>
      </c>
      <c r="L409" s="2">
        <v>0</v>
      </c>
      <c r="M409">
        <v>21186</v>
      </c>
      <c r="N409">
        <f t="shared" si="129"/>
        <v>9.9109073445846518E-2</v>
      </c>
      <c r="O409" s="8">
        <v>0.44236177799999998</v>
      </c>
      <c r="P409">
        <f t="shared" si="130"/>
        <v>0.3917022654968812</v>
      </c>
      <c r="Q409" s="20">
        <v>0.30070000000000002</v>
      </c>
      <c r="R409" s="10">
        <f t="shared" si="131"/>
        <v>0.65114768297964498</v>
      </c>
      <c r="S409">
        <f t="shared" si="132"/>
        <v>5.0372967226200584E-2</v>
      </c>
      <c r="T409" s="11">
        <f t="shared" si="133"/>
        <v>9.2467239791282213E-2</v>
      </c>
      <c r="U409" t="str">
        <f t="shared" si="134"/>
        <v>No Impact</v>
      </c>
      <c r="V409">
        <f t="shared" si="135"/>
        <v>6.2905005541913625E-2</v>
      </c>
      <c r="W409">
        <f t="shared" si="136"/>
        <v>8.2857672035299104E-2</v>
      </c>
      <c r="X409" t="s">
        <v>1176</v>
      </c>
      <c r="Y409">
        <f t="shared" si="137"/>
        <v>3.7840928910487549E-2</v>
      </c>
      <c r="Z409">
        <f t="shared" si="138"/>
        <v>6.9175724991880558E-2</v>
      </c>
      <c r="AA409" t="str">
        <f t="shared" si="139"/>
        <v>No Impact</v>
      </c>
      <c r="AB409">
        <f t="shared" si="140"/>
        <v>3.6720128899832317E-2</v>
      </c>
      <c r="AC409">
        <f t="shared" si="141"/>
        <v>8.9416241502510152E-2</v>
      </c>
      <c r="AD409" t="str">
        <f t="shared" si="142"/>
        <v>No Impact</v>
      </c>
      <c r="AE409">
        <f t="shared" si="143"/>
        <v>9.5745665343322569E-3</v>
      </c>
      <c r="AF409">
        <f t="shared" si="144"/>
        <v>5.2385805562522307E-2</v>
      </c>
      <c r="AG409" t="s">
        <v>1176</v>
      </c>
    </row>
    <row r="410" spans="1:33" customFormat="1" x14ac:dyDescent="0.3">
      <c r="A410">
        <v>506909</v>
      </c>
      <c r="B410" t="s">
        <v>24</v>
      </c>
      <c r="C410" t="s">
        <v>950</v>
      </c>
      <c r="D410" t="s">
        <v>949</v>
      </c>
      <c r="E410" s="18">
        <v>5.8</v>
      </c>
      <c r="F410" s="2">
        <f t="shared" si="126"/>
        <v>0.57777777777777772</v>
      </c>
      <c r="G410" s="10">
        <v>28.500119999999999</v>
      </c>
      <c r="H410">
        <f t="shared" si="127"/>
        <v>0.38186080388194038</v>
      </c>
      <c r="I410" s="22">
        <v>0.20000000000000009</v>
      </c>
      <c r="J410" s="2">
        <f t="shared" si="128"/>
        <v>1.0261672652642387E-3</v>
      </c>
      <c r="K410" s="8">
        <v>0</v>
      </c>
      <c r="L410" s="2">
        <v>0</v>
      </c>
      <c r="M410">
        <v>16182</v>
      </c>
      <c r="N410">
        <f t="shared" si="129"/>
        <v>7.5433043297232591E-2</v>
      </c>
      <c r="O410" s="8">
        <v>0.20812118499999999</v>
      </c>
      <c r="P410">
        <f t="shared" si="130"/>
        <v>0.13373572289744662</v>
      </c>
      <c r="Q410" s="20">
        <v>0.313</v>
      </c>
      <c r="R410" s="10">
        <f t="shared" si="131"/>
        <v>0.6777825898657428</v>
      </c>
      <c r="S410">
        <f t="shared" si="132"/>
        <v>4.4881747271744848E-2</v>
      </c>
      <c r="T410" s="11">
        <f t="shared" si="133"/>
        <v>8.2387270707959454E-2</v>
      </c>
      <c r="U410" t="str">
        <f t="shared" si="134"/>
        <v>No Impact</v>
      </c>
      <c r="V410">
        <f t="shared" si="135"/>
        <v>7.4970746624222873E-2</v>
      </c>
      <c r="W410">
        <f t="shared" si="136"/>
        <v>9.8750512499237816E-2</v>
      </c>
      <c r="X410" t="s">
        <v>1176</v>
      </c>
      <c r="Y410">
        <f t="shared" si="137"/>
        <v>1.4792747919266833E-2</v>
      </c>
      <c r="Z410">
        <f t="shared" si="138"/>
        <v>2.7042123208920757E-2</v>
      </c>
      <c r="AA410" t="str">
        <f t="shared" si="139"/>
        <v>No Impact</v>
      </c>
      <c r="AB410">
        <f t="shared" si="140"/>
        <v>3.3597910118699052E-2</v>
      </c>
      <c r="AC410">
        <f t="shared" si="141"/>
        <v>8.1813406846917208E-2</v>
      </c>
      <c r="AD410" t="str">
        <f t="shared" si="142"/>
        <v>No Impact</v>
      </c>
      <c r="AE410">
        <f t="shared" si="143"/>
        <v>8.3437840698314045E-3</v>
      </c>
      <c r="AF410">
        <f t="shared" si="144"/>
        <v>4.565176380262552E-2</v>
      </c>
      <c r="AG410" t="s">
        <v>1176</v>
      </c>
    </row>
    <row r="411" spans="1:33" customFormat="1" x14ac:dyDescent="0.3">
      <c r="A411">
        <v>506915</v>
      </c>
      <c r="B411" t="s">
        <v>46</v>
      </c>
      <c r="C411" t="s">
        <v>950</v>
      </c>
      <c r="D411" t="s">
        <v>951</v>
      </c>
      <c r="E411" s="18">
        <v>6.5</v>
      </c>
      <c r="F411" s="2">
        <f t="shared" si="126"/>
        <v>0.73333333333333328</v>
      </c>
      <c r="G411" s="10">
        <v>28.500119999999999</v>
      </c>
      <c r="H411">
        <f t="shared" si="127"/>
        <v>0.38186080388194038</v>
      </c>
      <c r="I411" s="22">
        <v>1</v>
      </c>
      <c r="J411" s="2">
        <f t="shared" si="128"/>
        <v>5.1308363263211912E-3</v>
      </c>
      <c r="K411" s="8">
        <v>0</v>
      </c>
      <c r="L411" s="2">
        <v>0</v>
      </c>
      <c r="M411">
        <v>28067</v>
      </c>
      <c r="N411">
        <f t="shared" si="129"/>
        <v>0.13166598061063717</v>
      </c>
      <c r="O411" s="8">
        <v>0.28780975199999997</v>
      </c>
      <c r="P411">
        <f t="shared" si="130"/>
        <v>0.22149584957068036</v>
      </c>
      <c r="Q411" s="20">
        <v>0.30259999999999998</v>
      </c>
      <c r="R411" s="10">
        <f t="shared" si="131"/>
        <v>0.65526201818969243</v>
      </c>
      <c r="S411">
        <f t="shared" si="132"/>
        <v>6.2204626973515538E-2</v>
      </c>
      <c r="T411" s="11">
        <f t="shared" si="133"/>
        <v>0.11418605008234618</v>
      </c>
      <c r="U411" t="str">
        <f t="shared" si="134"/>
        <v>No Impact</v>
      </c>
      <c r="V411">
        <f t="shared" si="135"/>
        <v>9.297967183464842E-2</v>
      </c>
      <c r="W411">
        <f t="shared" si="136"/>
        <v>0.12247163939428962</v>
      </c>
      <c r="X411" t="s">
        <v>1176</v>
      </c>
      <c r="Y411">
        <f t="shared" si="137"/>
        <v>3.1429582112382649E-2</v>
      </c>
      <c r="Z411">
        <f t="shared" si="138"/>
        <v>5.7455358296274406E-2</v>
      </c>
      <c r="AA411" t="str">
        <f t="shared" si="139"/>
        <v>No Impact</v>
      </c>
      <c r="AB411">
        <f t="shared" si="140"/>
        <v>4.8510809446346323E-2</v>
      </c>
      <c r="AC411">
        <f t="shared" si="141"/>
        <v>0.11812742446436676</v>
      </c>
      <c r="AD411" t="str">
        <f t="shared" si="142"/>
        <v>No Impact</v>
      </c>
      <c r="AE411">
        <f t="shared" si="143"/>
        <v>1.8682999058584532E-2</v>
      </c>
      <c r="AF411">
        <f t="shared" si="144"/>
        <v>0.10222122876250439</v>
      </c>
      <c r="AG411" t="s">
        <v>1176</v>
      </c>
    </row>
    <row r="412" spans="1:33" customFormat="1" x14ac:dyDescent="0.3">
      <c r="A412">
        <v>506941</v>
      </c>
      <c r="B412" t="s">
        <v>194</v>
      </c>
      <c r="C412" t="s">
        <v>950</v>
      </c>
      <c r="D412" t="s">
        <v>952</v>
      </c>
      <c r="E412" s="18">
        <v>6.5</v>
      </c>
      <c r="F412" s="2">
        <f t="shared" si="126"/>
        <v>0.73333333333333328</v>
      </c>
      <c r="G412" s="10">
        <v>28.500119999999999</v>
      </c>
      <c r="H412">
        <f t="shared" si="127"/>
        <v>0.38186080388194038</v>
      </c>
      <c r="I412" s="22">
        <v>0</v>
      </c>
      <c r="J412" s="2">
        <f t="shared" si="128"/>
        <v>0</v>
      </c>
      <c r="K412" s="8">
        <v>0</v>
      </c>
      <c r="L412" s="2">
        <v>0</v>
      </c>
      <c r="M412">
        <v>24217</v>
      </c>
      <c r="N412">
        <f t="shared" si="129"/>
        <v>0.11345001017255492</v>
      </c>
      <c r="O412" s="8">
        <v>0.44554897799999998</v>
      </c>
      <c r="P412">
        <f t="shared" si="130"/>
        <v>0.39521229317416307</v>
      </c>
      <c r="Q412" s="20">
        <v>0.27</v>
      </c>
      <c r="R412" s="10">
        <f t="shared" si="131"/>
        <v>0.58466868774361203</v>
      </c>
      <c r="S412">
        <f t="shared" si="132"/>
        <v>6.8599325498345742E-2</v>
      </c>
      <c r="T412" s="11">
        <f t="shared" si="133"/>
        <v>0.12592449144183948</v>
      </c>
      <c r="U412" t="str">
        <f t="shared" si="134"/>
        <v>No Impact</v>
      </c>
      <c r="V412">
        <f t="shared" si="135"/>
        <v>8.1862753539004116E-2</v>
      </c>
      <c r="W412">
        <f t="shared" si="136"/>
        <v>0.10782857621913469</v>
      </c>
      <c r="X412" t="s">
        <v>1176</v>
      </c>
      <c r="Y412">
        <f t="shared" si="137"/>
        <v>5.5335897457687369E-2</v>
      </c>
      <c r="Z412">
        <f t="shared" si="138"/>
        <v>0.10115768652949184</v>
      </c>
      <c r="AA412" t="str">
        <f t="shared" si="139"/>
        <v>No Impact</v>
      </c>
      <c r="AB412">
        <f t="shared" si="140"/>
        <v>5.0812404026853934E-2</v>
      </c>
      <c r="AC412">
        <f t="shared" si="141"/>
        <v>0.12373197823412428</v>
      </c>
      <c r="AD412" t="str">
        <f t="shared" si="142"/>
        <v>No Impact</v>
      </c>
      <c r="AE412">
        <f t="shared" si="143"/>
        <v>1.5884774431132249E-2</v>
      </c>
      <c r="AF412">
        <f t="shared" si="144"/>
        <v>8.6911162168017059E-2</v>
      </c>
      <c r="AG412" t="s">
        <v>1176</v>
      </c>
    </row>
    <row r="413" spans="1:33" customFormat="1" x14ac:dyDescent="0.3">
      <c r="A413">
        <v>506944</v>
      </c>
      <c r="B413" t="s">
        <v>299</v>
      </c>
      <c r="C413" t="s">
        <v>950</v>
      </c>
      <c r="D413" t="s">
        <v>953</v>
      </c>
      <c r="E413" s="18">
        <v>6.5</v>
      </c>
      <c r="F413" s="2">
        <f t="shared" si="126"/>
        <v>0.73333333333333328</v>
      </c>
      <c r="G413" s="10">
        <v>28.883880000000005</v>
      </c>
      <c r="H413">
        <f t="shared" si="127"/>
        <v>0.3870026384460663</v>
      </c>
      <c r="I413" s="22">
        <v>1.2000000000000006</v>
      </c>
      <c r="J413" s="2">
        <f t="shared" si="128"/>
        <v>6.157003591585432E-3</v>
      </c>
      <c r="K413" s="8">
        <v>0</v>
      </c>
      <c r="L413" s="2">
        <v>0</v>
      </c>
      <c r="M413">
        <v>32668</v>
      </c>
      <c r="N413">
        <f t="shared" si="129"/>
        <v>0.15343524813936874</v>
      </c>
      <c r="O413" s="8">
        <v>0.16408985400000001</v>
      </c>
      <c r="P413">
        <f t="shared" si="130"/>
        <v>8.5244511025722475E-2</v>
      </c>
      <c r="Q413" s="20">
        <v>0.28670000000000001</v>
      </c>
      <c r="R413" s="10">
        <f t="shared" si="131"/>
        <v>0.62083152880034653</v>
      </c>
      <c r="S413">
        <f t="shared" si="132"/>
        <v>5.0893443896053006E-2</v>
      </c>
      <c r="T413" s="11">
        <f t="shared" si="133"/>
        <v>9.3422653849399864E-2</v>
      </c>
      <c r="U413" t="str">
        <f t="shared" si="134"/>
        <v>No Impact</v>
      </c>
      <c r="V413">
        <f t="shared" si="135"/>
        <v>8.9498163930571847E-2</v>
      </c>
      <c r="W413">
        <f t="shared" si="136"/>
        <v>0.11788584152941112</v>
      </c>
      <c r="X413" t="s">
        <v>1176</v>
      </c>
      <c r="Y413">
        <f t="shared" si="137"/>
        <v>1.2288723861534158E-2</v>
      </c>
      <c r="Z413">
        <f t="shared" si="138"/>
        <v>2.2464601340984758E-2</v>
      </c>
      <c r="AA413" t="str">
        <f t="shared" si="139"/>
        <v>No Impact</v>
      </c>
      <c r="AB413">
        <f t="shared" si="140"/>
        <v>4.2752624762579225E-2</v>
      </c>
      <c r="AC413">
        <f t="shared" si="141"/>
        <v>0.10410581703198858</v>
      </c>
      <c r="AD413" t="str">
        <f t="shared" si="142"/>
        <v>No Impact</v>
      </c>
      <c r="AE413">
        <f t="shared" si="143"/>
        <v>2.2119000652625242E-2</v>
      </c>
      <c r="AF413">
        <f t="shared" si="144"/>
        <v>0.12102079642674296</v>
      </c>
      <c r="AG413" t="s">
        <v>1176</v>
      </c>
    </row>
    <row r="414" spans="1:33" customFormat="1" x14ac:dyDescent="0.3">
      <c r="A414">
        <v>506963</v>
      </c>
      <c r="B414" t="s">
        <v>375</v>
      </c>
      <c r="C414" t="s">
        <v>950</v>
      </c>
      <c r="D414" t="s">
        <v>954</v>
      </c>
      <c r="E414" s="18">
        <v>6.5</v>
      </c>
      <c r="F414" s="2">
        <f t="shared" si="126"/>
        <v>0.73333333333333328</v>
      </c>
      <c r="G414" s="10">
        <v>28.801440000000003</v>
      </c>
      <c r="H414">
        <f t="shared" si="127"/>
        <v>0.38589806047684977</v>
      </c>
      <c r="I414" s="22">
        <v>0.20000000000000009</v>
      </c>
      <c r="J414" s="2">
        <f t="shared" si="128"/>
        <v>1.0261672652642387E-3</v>
      </c>
      <c r="K414" s="8">
        <v>0</v>
      </c>
      <c r="L414" s="2">
        <v>0</v>
      </c>
      <c r="M414">
        <v>46818</v>
      </c>
      <c r="N414">
        <f t="shared" si="129"/>
        <v>0.22038485377543729</v>
      </c>
      <c r="O414" s="8">
        <v>0.41349488000000001</v>
      </c>
      <c r="P414">
        <f t="shared" si="130"/>
        <v>0.35991147391264655</v>
      </c>
      <c r="Q414" s="20">
        <v>0.25600000000000001</v>
      </c>
      <c r="R414" s="10">
        <f t="shared" si="131"/>
        <v>0.55435253356431358</v>
      </c>
      <c r="S414">
        <f t="shared" si="132"/>
        <v>6.4854330758329401E-2</v>
      </c>
      <c r="T414" s="11">
        <f t="shared" si="133"/>
        <v>0.11904998422674604</v>
      </c>
      <c r="U414" t="str">
        <f t="shared" si="134"/>
        <v>No Impact</v>
      </c>
      <c r="V414">
        <f t="shared" si="135"/>
        <v>7.8647222846960657E-2</v>
      </c>
      <c r="W414">
        <f t="shared" si="136"/>
        <v>0.10359312015001072</v>
      </c>
      <c r="X414" t="s">
        <v>1176</v>
      </c>
      <c r="Y414">
        <f t="shared" si="137"/>
        <v>5.1061438669698152E-2</v>
      </c>
      <c r="Z414">
        <f t="shared" si="138"/>
        <v>9.3343692684189586E-2</v>
      </c>
      <c r="AA414" t="str">
        <f t="shared" si="139"/>
        <v>No Impact</v>
      </c>
      <c r="AB414">
        <f t="shared" si="140"/>
        <v>5.3788230314329374E-2</v>
      </c>
      <c r="AC414">
        <f t="shared" si="141"/>
        <v>0.13097833629338582</v>
      </c>
      <c r="AD414" t="str">
        <f t="shared" si="142"/>
        <v>No Impact</v>
      </c>
      <c r="AE414">
        <f t="shared" si="143"/>
        <v>3.1266487762810588E-2</v>
      </c>
      <c r="AF414">
        <f t="shared" si="144"/>
        <v>0.171069900939365</v>
      </c>
      <c r="AG414" t="s">
        <v>1175</v>
      </c>
    </row>
    <row r="415" spans="1:33" customFormat="1" x14ac:dyDescent="0.3">
      <c r="A415">
        <v>506991</v>
      </c>
      <c r="B415" t="s">
        <v>488</v>
      </c>
      <c r="C415" t="s">
        <v>950</v>
      </c>
      <c r="D415" t="s">
        <v>955</v>
      </c>
      <c r="E415" s="18">
        <v>6.5</v>
      </c>
      <c r="F415" s="2">
        <f t="shared" si="126"/>
        <v>0.73333333333333328</v>
      </c>
      <c r="G415" s="10">
        <v>27.723240000000001</v>
      </c>
      <c r="H415">
        <f t="shared" si="127"/>
        <v>0.37145172415456379</v>
      </c>
      <c r="I415" s="22">
        <v>0.20000000000000009</v>
      </c>
      <c r="J415" s="2">
        <f t="shared" si="128"/>
        <v>1.0261672652642387E-3</v>
      </c>
      <c r="K415" s="8">
        <v>0</v>
      </c>
      <c r="L415" s="2">
        <v>0</v>
      </c>
      <c r="M415">
        <v>38033</v>
      </c>
      <c r="N415">
        <f t="shared" si="129"/>
        <v>0.17881932123035868</v>
      </c>
      <c r="O415" s="8">
        <v>0.77676486499999997</v>
      </c>
      <c r="P415">
        <f t="shared" si="130"/>
        <v>0.75997664135609844</v>
      </c>
      <c r="Q415" s="20">
        <v>0.27300000000000002</v>
      </c>
      <c r="R415" s="10">
        <f t="shared" si="131"/>
        <v>0.59116500649631876</v>
      </c>
      <c r="S415">
        <f t="shared" si="132"/>
        <v>9.2266238533623021E-2</v>
      </c>
      <c r="T415" s="11">
        <f t="shared" si="133"/>
        <v>0.16936870851416916</v>
      </c>
      <c r="U415" t="str">
        <f t="shared" si="134"/>
        <v>Low</v>
      </c>
      <c r="V415">
        <f t="shared" si="135"/>
        <v>8.0738494870343833E-2</v>
      </c>
      <c r="W415">
        <f t="shared" si="136"/>
        <v>0.10634771702123466</v>
      </c>
      <c r="X415" t="s">
        <v>1176</v>
      </c>
      <c r="Y415">
        <f t="shared" si="137"/>
        <v>0.1037939821969022</v>
      </c>
      <c r="Z415">
        <f t="shared" si="138"/>
        <v>0.1897422757578005</v>
      </c>
      <c r="AA415" t="str">
        <f t="shared" si="139"/>
        <v>Low</v>
      </c>
      <c r="AB415">
        <f t="shared" si="140"/>
        <v>6.7944469140707148E-2</v>
      </c>
      <c r="AC415">
        <f t="shared" si="141"/>
        <v>0.16544982938426073</v>
      </c>
      <c r="AD415" t="str">
        <f t="shared" si="142"/>
        <v>Low</v>
      </c>
      <c r="AE415">
        <f t="shared" si="143"/>
        <v>2.4422289362903256E-2</v>
      </c>
      <c r="AF415">
        <f t="shared" si="144"/>
        <v>0.13362289534143723</v>
      </c>
      <c r="AG415" t="s">
        <v>1175</v>
      </c>
    </row>
    <row r="416" spans="1:33" customFormat="1" x14ac:dyDescent="0.3">
      <c r="A416">
        <v>507018</v>
      </c>
      <c r="B416" t="s">
        <v>72</v>
      </c>
      <c r="C416" t="s">
        <v>722</v>
      </c>
      <c r="D416" t="s">
        <v>956</v>
      </c>
      <c r="E416" s="18">
        <v>5</v>
      </c>
      <c r="F416" s="2">
        <f t="shared" si="126"/>
        <v>0.39999999999999997</v>
      </c>
      <c r="G416" s="10">
        <v>21.688560000000003</v>
      </c>
      <c r="H416">
        <f t="shared" si="127"/>
        <v>0.29059565211099808</v>
      </c>
      <c r="I416" s="22">
        <v>0</v>
      </c>
      <c r="J416" s="2">
        <f t="shared" si="128"/>
        <v>0</v>
      </c>
      <c r="K416" s="8">
        <v>0</v>
      </c>
      <c r="L416" s="2">
        <v>0</v>
      </c>
      <c r="M416">
        <v>11807</v>
      </c>
      <c r="N416">
        <f t="shared" si="129"/>
        <v>5.4733076890320934E-2</v>
      </c>
      <c r="O416" s="8">
        <v>0.566798515</v>
      </c>
      <c r="P416">
        <f t="shared" si="130"/>
        <v>0.52874305080707351</v>
      </c>
      <c r="Q416" s="20">
        <v>0.28649999999999998</v>
      </c>
      <c r="R416" s="10">
        <f t="shared" si="131"/>
        <v>0.62039844088349927</v>
      </c>
      <c r="S416">
        <f t="shared" si="132"/>
        <v>3.3393552114562707E-2</v>
      </c>
      <c r="T416" s="11">
        <f t="shared" si="133"/>
        <v>6.1298941890679033E-2</v>
      </c>
      <c r="U416" t="str">
        <f t="shared" si="134"/>
        <v>No Impact</v>
      </c>
      <c r="V416">
        <f t="shared" si="135"/>
        <v>3.6057017899437389E-2</v>
      </c>
      <c r="W416">
        <f t="shared" si="136"/>
        <v>4.7493844693994237E-2</v>
      </c>
      <c r="X416" t="s">
        <v>1176</v>
      </c>
      <c r="Y416">
        <f t="shared" si="137"/>
        <v>3.073008632968802E-2</v>
      </c>
      <c r="Z416">
        <f t="shared" si="138"/>
        <v>5.6176633664246321E-2</v>
      </c>
      <c r="AA416" t="str">
        <f t="shared" si="139"/>
        <v>No Impact</v>
      </c>
      <c r="AB416">
        <f t="shared" si="140"/>
        <v>2.2952345755678383E-2</v>
      </c>
      <c r="AC416">
        <f t="shared" si="141"/>
        <v>5.5890666852975668E-2</v>
      </c>
      <c r="AD416" t="str">
        <f t="shared" si="142"/>
        <v>No Impact</v>
      </c>
      <c r="AE416">
        <f t="shared" si="143"/>
        <v>3.181038834196842E-3</v>
      </c>
      <c r="AF416">
        <f t="shared" si="144"/>
        <v>1.7404577142738523E-2</v>
      </c>
      <c r="AG416" t="s">
        <v>1176</v>
      </c>
    </row>
    <row r="417" spans="1:33" customFormat="1" x14ac:dyDescent="0.3">
      <c r="A417">
        <v>507037</v>
      </c>
      <c r="B417" t="s">
        <v>188</v>
      </c>
      <c r="C417" t="s">
        <v>722</v>
      </c>
      <c r="D417" t="s">
        <v>957</v>
      </c>
      <c r="E417" s="18">
        <v>5.3</v>
      </c>
      <c r="F417" s="2">
        <f t="shared" si="126"/>
        <v>0.46666666666666656</v>
      </c>
      <c r="G417" s="10">
        <v>22.669560000000001</v>
      </c>
      <c r="H417">
        <f t="shared" si="127"/>
        <v>0.30373964759621647</v>
      </c>
      <c r="I417" s="22">
        <v>0</v>
      </c>
      <c r="J417" s="2">
        <f t="shared" si="128"/>
        <v>0</v>
      </c>
      <c r="K417" s="8">
        <v>0</v>
      </c>
      <c r="L417" s="2">
        <v>0</v>
      </c>
      <c r="M417">
        <v>29737</v>
      </c>
      <c r="N417">
        <f t="shared" si="129"/>
        <v>0.13956745350196118</v>
      </c>
      <c r="O417" s="8">
        <v>0.58639996000000005</v>
      </c>
      <c r="P417">
        <f t="shared" si="130"/>
        <v>0.55032990273500981</v>
      </c>
      <c r="Q417" s="20">
        <v>0.25309999999999999</v>
      </c>
      <c r="R417" s="10">
        <f t="shared" si="131"/>
        <v>0.54807275877003037</v>
      </c>
      <c r="S417">
        <f t="shared" si="132"/>
        <v>3.892331768783349E-2</v>
      </c>
      <c r="T417" s="11">
        <f t="shared" si="133"/>
        <v>7.1449667317615012E-2</v>
      </c>
      <c r="U417" t="str">
        <f t="shared" si="134"/>
        <v>No Impact</v>
      </c>
      <c r="V417">
        <f t="shared" si="135"/>
        <v>3.8843332874708869E-2</v>
      </c>
      <c r="W417">
        <f t="shared" si="136"/>
        <v>5.1163943288203242E-2</v>
      </c>
      <c r="X417" t="s">
        <v>1176</v>
      </c>
      <c r="Y417">
        <f t="shared" si="137"/>
        <v>3.9003302500958119E-2</v>
      </c>
      <c r="Z417">
        <f t="shared" si="138"/>
        <v>7.130062092195727E-2</v>
      </c>
      <c r="AA417" t="str">
        <f t="shared" si="139"/>
        <v>No Impact</v>
      </c>
      <c r="AB417">
        <f t="shared" si="140"/>
        <v>2.8758184403080141E-2</v>
      </c>
      <c r="AC417">
        <f t="shared" si="141"/>
        <v>7.0028315226618856E-2</v>
      </c>
      <c r="AD417" t="str">
        <f t="shared" si="142"/>
        <v>No Impact</v>
      </c>
      <c r="AE417">
        <f t="shared" si="143"/>
        <v>9.8915061332703023E-3</v>
      </c>
      <c r="AF417">
        <f t="shared" si="144"/>
        <v>5.4119893068781427E-2</v>
      </c>
      <c r="AG417" t="s">
        <v>1176</v>
      </c>
    </row>
    <row r="418" spans="1:33" customFormat="1" x14ac:dyDescent="0.3">
      <c r="A418">
        <v>507056</v>
      </c>
      <c r="B418" t="s">
        <v>357</v>
      </c>
      <c r="C418" t="s">
        <v>722</v>
      </c>
      <c r="D418" t="s">
        <v>958</v>
      </c>
      <c r="E418" s="18">
        <v>5</v>
      </c>
      <c r="F418" s="2">
        <f t="shared" si="126"/>
        <v>0.39999999999999997</v>
      </c>
      <c r="G418" s="10">
        <v>24.851520000000001</v>
      </c>
      <c r="H418">
        <f t="shared" si="127"/>
        <v>0.33297478764609129</v>
      </c>
      <c r="I418" s="22">
        <v>0</v>
      </c>
      <c r="J418" s="2">
        <f t="shared" si="128"/>
        <v>0</v>
      </c>
      <c r="K418" s="8">
        <v>0</v>
      </c>
      <c r="L418" s="2">
        <v>0</v>
      </c>
      <c r="M418">
        <v>14402</v>
      </c>
      <c r="N418">
        <f t="shared" si="129"/>
        <v>6.7011114107677683E-2</v>
      </c>
      <c r="O418" s="8">
        <v>0.54996922599999998</v>
      </c>
      <c r="P418">
        <f t="shared" si="130"/>
        <v>0.51020914324589905</v>
      </c>
      <c r="Q418" s="20">
        <v>0.3</v>
      </c>
      <c r="R418" s="10">
        <f t="shared" si="131"/>
        <v>0.64963187527067989</v>
      </c>
      <c r="S418">
        <f t="shared" si="132"/>
        <v>3.8619781684378414E-2</v>
      </c>
      <c r="T418" s="11">
        <f t="shared" si="133"/>
        <v>7.0892480835215987E-2</v>
      </c>
      <c r="U418" t="str">
        <f t="shared" si="134"/>
        <v>No Impact</v>
      </c>
      <c r="V418">
        <f t="shared" si="135"/>
        <v>4.3262207143277331E-2</v>
      </c>
      <c r="W418">
        <f t="shared" si="136"/>
        <v>5.698442818850756E-2</v>
      </c>
      <c r="X418" t="s">
        <v>1176</v>
      </c>
      <c r="Y418">
        <f t="shared" si="137"/>
        <v>3.3977356225479483E-2</v>
      </c>
      <c r="Z418">
        <f t="shared" si="138"/>
        <v>6.211285816383641E-2</v>
      </c>
      <c r="AA418" t="str">
        <f t="shared" si="139"/>
        <v>No Impact</v>
      </c>
      <c r="AB418">
        <f t="shared" si="140"/>
        <v>2.6896890172086151E-2</v>
      </c>
      <c r="AC418">
        <f t="shared" si="141"/>
        <v>6.5495925514159337E-2</v>
      </c>
      <c r="AD418" t="str">
        <f t="shared" si="142"/>
        <v>No Impact</v>
      </c>
      <c r="AE418">
        <f t="shared" si="143"/>
        <v>4.4626022979863938E-3</v>
      </c>
      <c r="AF418">
        <f t="shared" si="144"/>
        <v>2.4416459528158092E-2</v>
      </c>
      <c r="AG418" t="s">
        <v>1176</v>
      </c>
    </row>
    <row r="419" spans="1:33" customFormat="1" x14ac:dyDescent="0.3">
      <c r="A419" s="6">
        <v>507066</v>
      </c>
      <c r="B419" s="6" t="s">
        <v>378</v>
      </c>
      <c r="C419" s="6" t="s">
        <v>722</v>
      </c>
      <c r="D419" s="6" t="s">
        <v>1141</v>
      </c>
      <c r="E419" s="18">
        <v>5</v>
      </c>
      <c r="F419" s="2">
        <f t="shared" si="126"/>
        <v>0.39999999999999997</v>
      </c>
      <c r="G419" s="10">
        <v>26.557199999999998</v>
      </c>
      <c r="H419">
        <f t="shared" si="127"/>
        <v>0.35582845759433529</v>
      </c>
      <c r="I419" s="22">
        <v>0</v>
      </c>
      <c r="J419" s="2">
        <f t="shared" si="128"/>
        <v>0</v>
      </c>
      <c r="K419" s="8">
        <v>0</v>
      </c>
      <c r="L419" s="2">
        <v>0</v>
      </c>
      <c r="M419" s="6">
        <v>71171</v>
      </c>
      <c r="N419">
        <f t="shared" si="129"/>
        <v>0.33560914678287035</v>
      </c>
      <c r="O419" s="8">
        <v>0.45887888599999999</v>
      </c>
      <c r="P419">
        <f t="shared" si="130"/>
        <v>0.40989237161781927</v>
      </c>
      <c r="Q419" s="20">
        <v>0.26079999999999998</v>
      </c>
      <c r="R419" s="10">
        <f t="shared" si="131"/>
        <v>0.56474664356864435</v>
      </c>
      <c r="S419">
        <f t="shared" si="132"/>
        <v>3.4680429748506124E-2</v>
      </c>
      <c r="T419" s="11">
        <f t="shared" si="133"/>
        <v>6.3661201438057674E-2</v>
      </c>
      <c r="U419" t="str">
        <f t="shared" si="134"/>
        <v>No Impact</v>
      </c>
      <c r="V419">
        <f t="shared" si="135"/>
        <v>4.0190585422521706E-2</v>
      </c>
      <c r="W419">
        <f t="shared" si="136"/>
        <v>5.293852718329594E-2</v>
      </c>
      <c r="X419" t="s">
        <v>1176</v>
      </c>
      <c r="Y419">
        <f t="shared" si="137"/>
        <v>2.9170274074490545E-2</v>
      </c>
      <c r="Z419">
        <f t="shared" si="138"/>
        <v>5.3325193524926678E-2</v>
      </c>
      <c r="AA419" t="str">
        <f t="shared" si="139"/>
        <v>No Impact</v>
      </c>
      <c r="AB419">
        <f t="shared" si="140"/>
        <v>3.117713707403073E-2</v>
      </c>
      <c r="AC419">
        <f t="shared" si="141"/>
        <v>7.5918644664156515E-2</v>
      </c>
      <c r="AD419" t="str">
        <f t="shared" si="142"/>
        <v>No Impact</v>
      </c>
      <c r="AE419">
        <f t="shared" si="143"/>
        <v>2.3883857010859925E-2</v>
      </c>
      <c r="AF419">
        <f t="shared" si="144"/>
        <v>0.13067694343838532</v>
      </c>
      <c r="AG419" t="s">
        <v>1175</v>
      </c>
    </row>
    <row r="420" spans="1:33" customFormat="1" x14ac:dyDescent="0.3">
      <c r="A420">
        <v>507088</v>
      </c>
      <c r="B420" t="s">
        <v>484</v>
      </c>
      <c r="C420" t="s">
        <v>722</v>
      </c>
      <c r="D420" t="s">
        <v>1140</v>
      </c>
      <c r="E420" s="18">
        <v>5.2</v>
      </c>
      <c r="F420" s="2">
        <f t="shared" si="126"/>
        <v>0.44444444444444442</v>
      </c>
      <c r="G420" s="10">
        <v>22.626000000000001</v>
      </c>
      <c r="H420">
        <f t="shared" si="127"/>
        <v>0.30315600596182696</v>
      </c>
      <c r="I420" s="22">
        <v>0</v>
      </c>
      <c r="J420" s="2">
        <f t="shared" si="128"/>
        <v>0</v>
      </c>
      <c r="K420" s="8">
        <v>0</v>
      </c>
      <c r="L420" s="2">
        <v>0</v>
      </c>
      <c r="M420">
        <v>62302</v>
      </c>
      <c r="N420">
        <f t="shared" si="129"/>
        <v>0.29364617488277905</v>
      </c>
      <c r="O420" s="8">
        <v>0.26146120299999998</v>
      </c>
      <c r="P420">
        <f t="shared" si="130"/>
        <v>0.19247848754563721</v>
      </c>
      <c r="Q420" s="20">
        <v>0.27810000000000001</v>
      </c>
      <c r="R420" s="10">
        <f t="shared" si="131"/>
        <v>0.60220874837592031</v>
      </c>
      <c r="S420">
        <f t="shared" si="132"/>
        <v>2.6768245381202607E-2</v>
      </c>
      <c r="T420" s="11">
        <f t="shared" si="133"/>
        <v>4.9137184103939802E-2</v>
      </c>
      <c r="U420" t="str">
        <f t="shared" si="134"/>
        <v>No Impact</v>
      </c>
      <c r="V420">
        <f t="shared" si="135"/>
        <v>4.0569599758425515E-2</v>
      </c>
      <c r="W420">
        <f t="shared" si="136"/>
        <v>5.3437760038781028E-2</v>
      </c>
      <c r="X420" t="s">
        <v>1176</v>
      </c>
      <c r="Y420">
        <f t="shared" si="137"/>
        <v>1.2966891003979695E-2</v>
      </c>
      <c r="Z420">
        <f t="shared" si="138"/>
        <v>2.3704335805625244E-2</v>
      </c>
      <c r="AA420" t="str">
        <f t="shared" si="139"/>
        <v>No Impact</v>
      </c>
      <c r="AB420">
        <f t="shared" si="140"/>
        <v>2.5013251781131948E-2</v>
      </c>
      <c r="AC420">
        <f t="shared" si="141"/>
        <v>6.0909126112435832E-2</v>
      </c>
      <c r="AD420" t="str">
        <f t="shared" si="142"/>
        <v>No Impact</v>
      </c>
      <c r="AE420">
        <f t="shared" si="143"/>
        <v>1.978235589854032E-2</v>
      </c>
      <c r="AF420">
        <f t="shared" si="144"/>
        <v>0.10823619491843903</v>
      </c>
      <c r="AG420" t="s">
        <v>1176</v>
      </c>
    </row>
    <row r="421" spans="1:33" customFormat="1" x14ac:dyDescent="0.3">
      <c r="A421">
        <v>507605</v>
      </c>
      <c r="B421" t="s">
        <v>15</v>
      </c>
      <c r="C421" t="s">
        <v>960</v>
      </c>
      <c r="D421" t="s">
        <v>959</v>
      </c>
      <c r="E421" s="18">
        <v>5</v>
      </c>
      <c r="F421" s="2">
        <f t="shared" si="126"/>
        <v>0.39999999999999997</v>
      </c>
      <c r="G421" s="10">
        <v>28.4436</v>
      </c>
      <c r="H421">
        <f t="shared" si="127"/>
        <v>0.38110351680260857</v>
      </c>
      <c r="I421" s="22">
        <v>0.29999999999999993</v>
      </c>
      <c r="J421" s="2">
        <f t="shared" si="128"/>
        <v>1.5392508978963569E-3</v>
      </c>
      <c r="K421" s="8">
        <v>0</v>
      </c>
      <c r="L421" s="2">
        <v>0</v>
      </c>
      <c r="M421">
        <v>10847</v>
      </c>
      <c r="N421">
        <f t="shared" si="129"/>
        <v>5.019091283303289E-2</v>
      </c>
      <c r="O421" s="8">
        <v>0.39954081800000002</v>
      </c>
      <c r="P421">
        <f t="shared" si="130"/>
        <v>0.34454402165658887</v>
      </c>
      <c r="Q421" s="20">
        <v>0.3004</v>
      </c>
      <c r="R421" s="10">
        <f t="shared" si="131"/>
        <v>0.6504980511043742</v>
      </c>
      <c r="S421">
        <f t="shared" si="132"/>
        <v>3.8074565269970204E-2</v>
      </c>
      <c r="T421" s="11">
        <f t="shared" si="133"/>
        <v>6.98916532146623E-2</v>
      </c>
      <c r="U421" t="str">
        <f t="shared" si="134"/>
        <v>No Impact</v>
      </c>
      <c r="V421">
        <f t="shared" si="135"/>
        <v>4.9781674931672439E-2</v>
      </c>
      <c r="W421">
        <f t="shared" si="136"/>
        <v>6.5571788116416813E-2</v>
      </c>
      <c r="X421" t="s">
        <v>1176</v>
      </c>
      <c r="Y421">
        <f t="shared" si="137"/>
        <v>2.6367455608267972E-2</v>
      </c>
      <c r="Z421">
        <f t="shared" si="138"/>
        <v>4.8201455683283954E-2</v>
      </c>
      <c r="AA421" t="str">
        <f t="shared" si="139"/>
        <v>No Impact</v>
      </c>
      <c r="AB421">
        <f t="shared" si="140"/>
        <v>2.6678186194555E-2</v>
      </c>
      <c r="AC421">
        <f t="shared" si="141"/>
        <v>6.4963365083180721E-2</v>
      </c>
      <c r="AD421" t="str">
        <f t="shared" si="142"/>
        <v>No Impact</v>
      </c>
      <c r="AE421">
        <f t="shared" si="143"/>
        <v>3.8410379599692988E-3</v>
      </c>
      <c r="AF421">
        <f t="shared" si="144"/>
        <v>2.1015663425357572E-2</v>
      </c>
      <c r="AG421" t="s">
        <v>1176</v>
      </c>
    </row>
    <row r="422" spans="1:33" customFormat="1" x14ac:dyDescent="0.3">
      <c r="A422">
        <v>507616</v>
      </c>
      <c r="B422" t="s">
        <v>62</v>
      </c>
      <c r="C422" t="s">
        <v>960</v>
      </c>
      <c r="D422" t="s">
        <v>961</v>
      </c>
      <c r="E422" s="18">
        <v>4.9000000000000004</v>
      </c>
      <c r="F422" s="2">
        <f t="shared" si="126"/>
        <v>0.37777777777777782</v>
      </c>
      <c r="G422" s="10">
        <v>26.43516</v>
      </c>
      <c r="H422">
        <f t="shared" si="127"/>
        <v>0.35419329632112834</v>
      </c>
      <c r="I422" s="22">
        <v>0</v>
      </c>
      <c r="J422" s="2">
        <f t="shared" si="128"/>
        <v>0</v>
      </c>
      <c r="K422" s="8">
        <v>0</v>
      </c>
      <c r="L422" s="2">
        <v>0</v>
      </c>
      <c r="M422">
        <v>28096</v>
      </c>
      <c r="N422">
        <f t="shared" si="129"/>
        <v>0.13180319181653441</v>
      </c>
      <c r="O422" s="8">
        <v>0.32577558600000001</v>
      </c>
      <c r="P422">
        <f t="shared" si="130"/>
        <v>0.2633071975033765</v>
      </c>
      <c r="Q422" s="20">
        <v>0.24129999999999999</v>
      </c>
      <c r="R422" s="10">
        <f t="shared" si="131"/>
        <v>0.52252057167605026</v>
      </c>
      <c r="S422">
        <f t="shared" si="132"/>
        <v>2.6287187635598775E-2</v>
      </c>
      <c r="T422" s="11">
        <f t="shared" si="133"/>
        <v>4.8254129474331511E-2</v>
      </c>
      <c r="U422" t="str">
        <f t="shared" si="134"/>
        <v>No Impact</v>
      </c>
      <c r="V422">
        <f t="shared" si="135"/>
        <v>3.4958286916868794E-2</v>
      </c>
      <c r="W422">
        <f t="shared" si="136"/>
        <v>4.6046610239050399E-2</v>
      </c>
      <c r="X422" t="s">
        <v>1176</v>
      </c>
      <c r="Y422">
        <f t="shared" si="137"/>
        <v>1.7616088354328756E-2</v>
      </c>
      <c r="Z422">
        <f t="shared" si="138"/>
        <v>3.2203376569172472E-2</v>
      </c>
      <c r="AA422" t="str">
        <f t="shared" si="139"/>
        <v>No Impact</v>
      </c>
      <c r="AB422">
        <f t="shared" si="140"/>
        <v>2.0606545277226135E-2</v>
      </c>
      <c r="AC422">
        <f t="shared" si="141"/>
        <v>5.017846843803634E-2</v>
      </c>
      <c r="AD422" t="str">
        <f t="shared" si="142"/>
        <v>No Impact</v>
      </c>
      <c r="AE422">
        <f t="shared" si="143"/>
        <v>8.8180524286383677E-3</v>
      </c>
      <c r="AF422">
        <f t="shared" si="144"/>
        <v>4.824665203488436E-2</v>
      </c>
      <c r="AG422" t="s">
        <v>1176</v>
      </c>
    </row>
    <row r="423" spans="1:33" customFormat="1" x14ac:dyDescent="0.3">
      <c r="A423">
        <v>507619</v>
      </c>
      <c r="B423" t="s">
        <v>68</v>
      </c>
      <c r="C423" t="s">
        <v>960</v>
      </c>
      <c r="D423" t="s">
        <v>962</v>
      </c>
      <c r="E423" s="18">
        <v>5.0999999999999996</v>
      </c>
      <c r="F423" s="2">
        <f t="shared" si="126"/>
        <v>0.42222222222222211</v>
      </c>
      <c r="G423" s="10">
        <v>27.89856</v>
      </c>
      <c r="H423">
        <f t="shared" si="127"/>
        <v>0.37380076114586702</v>
      </c>
      <c r="I423" s="22">
        <v>0.10000000000000026</v>
      </c>
      <c r="J423" s="2">
        <f t="shared" si="128"/>
        <v>5.1308363263212042E-4</v>
      </c>
      <c r="K423" s="8">
        <v>0</v>
      </c>
      <c r="L423" s="2">
        <v>0</v>
      </c>
      <c r="M423">
        <v>13803</v>
      </c>
      <c r="N423">
        <f t="shared" si="129"/>
        <v>6.4176992992765663E-2</v>
      </c>
      <c r="O423" s="8">
        <v>0.68919699300000004</v>
      </c>
      <c r="P423">
        <f t="shared" si="130"/>
        <v>0.66353912430016349</v>
      </c>
      <c r="Q423" s="20">
        <v>0.23419999999999999</v>
      </c>
      <c r="R423" s="10">
        <f t="shared" si="131"/>
        <v>0.50714595062797752</v>
      </c>
      <c r="S423">
        <f t="shared" si="132"/>
        <v>4.6254827761122198E-2</v>
      </c>
      <c r="T423" s="11">
        <f t="shared" si="133"/>
        <v>8.4907768702327122E-2</v>
      </c>
      <c r="U423" t="str">
        <f t="shared" si="134"/>
        <v>No Impact</v>
      </c>
      <c r="V423">
        <f t="shared" si="135"/>
        <v>4.0075591802496639E-2</v>
      </c>
      <c r="W423">
        <f t="shared" si="136"/>
        <v>5.27870590517521E-2</v>
      </c>
      <c r="X423" t="s">
        <v>1176</v>
      </c>
      <c r="Y423">
        <f t="shared" si="137"/>
        <v>5.2434063719747771E-2</v>
      </c>
      <c r="Z423">
        <f t="shared" si="138"/>
        <v>9.585294221143581E-2</v>
      </c>
      <c r="AA423" t="str">
        <f t="shared" si="139"/>
        <v>No Impact</v>
      </c>
      <c r="AB423">
        <f t="shared" si="140"/>
        <v>3.1531660035758247E-2</v>
      </c>
      <c r="AC423">
        <f t="shared" si="141"/>
        <v>7.6781934410510261E-2</v>
      </c>
      <c r="AD423" t="str">
        <f t="shared" si="142"/>
        <v>No Impact</v>
      </c>
      <c r="AE423">
        <f t="shared" si="143"/>
        <v>5.0713822541717029E-3</v>
      </c>
      <c r="AF423">
        <f t="shared" si="144"/>
        <v>2.7747307802148242E-2</v>
      </c>
      <c r="AG423" t="s">
        <v>1176</v>
      </c>
    </row>
    <row r="424" spans="1:33" customFormat="1" x14ac:dyDescent="0.3">
      <c r="A424">
        <v>507622</v>
      </c>
      <c r="B424" t="s">
        <v>104</v>
      </c>
      <c r="C424" t="s">
        <v>960</v>
      </c>
      <c r="D424" t="s">
        <v>963</v>
      </c>
      <c r="E424" s="18">
        <v>5</v>
      </c>
      <c r="F424" s="2">
        <f t="shared" si="126"/>
        <v>0.39999999999999997</v>
      </c>
      <c r="G424" s="10">
        <v>27.684360000000002</v>
      </c>
      <c r="H424">
        <f t="shared" si="127"/>
        <v>0.37093078781973676</v>
      </c>
      <c r="I424" s="22">
        <v>0.20000000000000051</v>
      </c>
      <c r="J424" s="2">
        <f t="shared" si="128"/>
        <v>1.0261672652642408E-3</v>
      </c>
      <c r="K424" s="8">
        <v>0</v>
      </c>
      <c r="L424" s="2">
        <v>0</v>
      </c>
      <c r="M424">
        <v>30646</v>
      </c>
      <c r="N424">
        <f t="shared" si="129"/>
        <v>0.14386831509370579</v>
      </c>
      <c r="O424" s="8">
        <v>0.42877800300000002</v>
      </c>
      <c r="P424">
        <f t="shared" si="130"/>
        <v>0.37674260616832655</v>
      </c>
      <c r="Q424" s="20">
        <v>0.27210000000000001</v>
      </c>
      <c r="R424" s="10">
        <f t="shared" si="131"/>
        <v>0.58921611087050674</v>
      </c>
      <c r="S424">
        <f t="shared" si="132"/>
        <v>3.5929506312757847E-2</v>
      </c>
      <c r="T424" s="11">
        <f t="shared" si="133"/>
        <v>6.5954071374936446E-2</v>
      </c>
      <c r="U424" t="str">
        <f t="shared" si="134"/>
        <v>No Impact</v>
      </c>
      <c r="V424">
        <f t="shared" si="135"/>
        <v>4.3832606097284003E-2</v>
      </c>
      <c r="W424">
        <f t="shared" si="136"/>
        <v>5.7735750425159646E-2</v>
      </c>
      <c r="X424" t="s">
        <v>1176</v>
      </c>
      <c r="Y424">
        <f t="shared" si="137"/>
        <v>2.8026406528231691E-2</v>
      </c>
      <c r="Z424">
        <f t="shared" si="138"/>
        <v>5.1234127869685599E-2</v>
      </c>
      <c r="AA424" t="str">
        <f t="shared" si="139"/>
        <v>No Impact</v>
      </c>
      <c r="AB424">
        <f t="shared" si="140"/>
        <v>2.7495231521601406E-2</v>
      </c>
      <c r="AC424">
        <f t="shared" si="141"/>
        <v>6.6952931146006076E-2</v>
      </c>
      <c r="AD424" t="str">
        <f t="shared" si="142"/>
        <v>No Impact</v>
      </c>
      <c r="AE424">
        <f t="shared" si="143"/>
        <v>1.0702564083092858E-2</v>
      </c>
      <c r="AF424">
        <f t="shared" si="144"/>
        <v>5.8557475063432583E-2</v>
      </c>
      <c r="AG424" t="s">
        <v>1176</v>
      </c>
    </row>
    <row r="425" spans="1:33" customFormat="1" x14ac:dyDescent="0.3">
      <c r="A425">
        <v>507633</v>
      </c>
      <c r="B425" t="s">
        <v>162</v>
      </c>
      <c r="C425" t="s">
        <v>960</v>
      </c>
      <c r="D425" t="s">
        <v>740</v>
      </c>
      <c r="E425" s="18">
        <v>5</v>
      </c>
      <c r="F425" s="2">
        <f t="shared" si="126"/>
        <v>0.39999999999999997</v>
      </c>
      <c r="G425" s="10">
        <v>27.89856</v>
      </c>
      <c r="H425">
        <f t="shared" si="127"/>
        <v>0.37380076114586702</v>
      </c>
      <c r="I425" s="22">
        <v>0.10000000000000026</v>
      </c>
      <c r="J425" s="2">
        <f t="shared" si="128"/>
        <v>5.1308363263212042E-4</v>
      </c>
      <c r="K425" s="8">
        <v>0</v>
      </c>
      <c r="L425" s="2">
        <v>0</v>
      </c>
      <c r="M425">
        <v>16518</v>
      </c>
      <c r="N425">
        <f t="shared" si="129"/>
        <v>7.7022800717283402E-2</v>
      </c>
      <c r="O425" s="8">
        <v>0.56107932400000005</v>
      </c>
      <c r="P425">
        <f t="shared" si="130"/>
        <v>0.52244456978873099</v>
      </c>
      <c r="Q425" s="20">
        <v>0.2495</v>
      </c>
      <c r="R425" s="10">
        <f t="shared" si="131"/>
        <v>0.54027717626678218</v>
      </c>
      <c r="S425">
        <f t="shared" si="132"/>
        <v>3.9779146269575898E-2</v>
      </c>
      <c r="T425" s="11">
        <f t="shared" si="133"/>
        <v>7.3020670795191506E-2</v>
      </c>
      <c r="U425" t="str">
        <f t="shared" si="134"/>
        <v>No Impact</v>
      </c>
      <c r="V425">
        <f t="shared" si="135"/>
        <v>4.0446645418898024E-2</v>
      </c>
      <c r="W425">
        <f t="shared" si="136"/>
        <v>5.3275806148909775E-2</v>
      </c>
      <c r="X425" t="s">
        <v>1176</v>
      </c>
      <c r="Y425">
        <f t="shared" si="137"/>
        <v>3.9111647120253765E-2</v>
      </c>
      <c r="Z425">
        <f t="shared" si="138"/>
        <v>7.1498682063809119E-2</v>
      </c>
      <c r="AA425" t="str">
        <f t="shared" si="139"/>
        <v>No Impact</v>
      </c>
      <c r="AB425">
        <f t="shared" si="140"/>
        <v>2.7907969079737048E-2</v>
      </c>
      <c r="AC425">
        <f t="shared" si="141"/>
        <v>6.7957977758889329E-2</v>
      </c>
      <c r="AD425" t="str">
        <f t="shared" si="142"/>
        <v>No Impact</v>
      </c>
      <c r="AE425">
        <f t="shared" si="143"/>
        <v>5.7661401344188982E-3</v>
      </c>
      <c r="AF425">
        <f t="shared" si="144"/>
        <v>3.1548571399529261E-2</v>
      </c>
      <c r="AG425" t="s">
        <v>1176</v>
      </c>
    </row>
    <row r="426" spans="1:33" customFormat="1" x14ac:dyDescent="0.3">
      <c r="A426">
        <v>507639</v>
      </c>
      <c r="B426" t="s">
        <v>211</v>
      </c>
      <c r="C426" t="s">
        <v>960</v>
      </c>
      <c r="D426" t="s">
        <v>964</v>
      </c>
      <c r="E426" s="18">
        <v>5.0999999999999996</v>
      </c>
      <c r="F426" s="2">
        <f t="shared" si="126"/>
        <v>0.42222222222222211</v>
      </c>
      <c r="G426" s="10">
        <v>28.4436</v>
      </c>
      <c r="H426">
        <f t="shared" si="127"/>
        <v>0.38110351680260857</v>
      </c>
      <c r="I426" s="22">
        <v>0.70000000000000007</v>
      </c>
      <c r="J426" s="2">
        <f t="shared" si="128"/>
        <v>3.5915854284248338E-3</v>
      </c>
      <c r="K426" s="8">
        <v>0</v>
      </c>
      <c r="L426" s="2">
        <v>0</v>
      </c>
      <c r="M426">
        <v>58204</v>
      </c>
      <c r="N426">
        <f t="shared" si="129"/>
        <v>0.27425681206323071</v>
      </c>
      <c r="O426" s="8">
        <v>0.222484869</v>
      </c>
      <c r="P426">
        <f t="shared" si="130"/>
        <v>0.14955428727612721</v>
      </c>
      <c r="Q426" s="20">
        <v>0.29930000000000001</v>
      </c>
      <c r="R426" s="10">
        <f t="shared" si="131"/>
        <v>0.64811606756171503</v>
      </c>
      <c r="S426">
        <f t="shared" si="132"/>
        <v>3.2390764973995324E-2</v>
      </c>
      <c r="T426" s="11">
        <f t="shared" si="133"/>
        <v>5.945817363555371E-2</v>
      </c>
      <c r="U426" t="str">
        <f t="shared" si="134"/>
        <v>No Impact</v>
      </c>
      <c r="V426">
        <f t="shared" si="135"/>
        <v>5.2635716227737286E-2</v>
      </c>
      <c r="W426">
        <f t="shared" si="136"/>
        <v>6.9331094957697903E-2</v>
      </c>
      <c r="X426" t="s">
        <v>1176</v>
      </c>
      <c r="Y426">
        <f t="shared" si="137"/>
        <v>1.2145813720253361E-2</v>
      </c>
      <c r="Z426">
        <f t="shared" si="138"/>
        <v>2.2203352134994695E-2</v>
      </c>
      <c r="AA426" t="str">
        <f t="shared" si="139"/>
        <v>No Impact</v>
      </c>
      <c r="AB426">
        <f t="shared" si="140"/>
        <v>2.9861910664179335E-2</v>
      </c>
      <c r="AC426">
        <f t="shared" si="141"/>
        <v>7.2715970658992865E-2</v>
      </c>
      <c r="AD426" t="str">
        <f t="shared" si="142"/>
        <v>No Impact</v>
      </c>
      <c r="AE426">
        <f t="shared" si="143"/>
        <v>2.2273331052557944E-2</v>
      </c>
      <c r="AF426">
        <f t="shared" si="144"/>
        <v>0.12186519207580664</v>
      </c>
      <c r="AG426" t="s">
        <v>1176</v>
      </c>
    </row>
    <row r="427" spans="1:33" customFormat="1" x14ac:dyDescent="0.3">
      <c r="A427">
        <v>507655</v>
      </c>
      <c r="B427" t="s">
        <v>388</v>
      </c>
      <c r="C427" t="s">
        <v>960</v>
      </c>
      <c r="D427" t="s">
        <v>965</v>
      </c>
      <c r="E427" s="18">
        <v>5.0999999999999996</v>
      </c>
      <c r="F427" s="2">
        <f t="shared" si="126"/>
        <v>0.42222222222222211</v>
      </c>
      <c r="G427" s="10">
        <v>28.4436</v>
      </c>
      <c r="H427">
        <f t="shared" si="127"/>
        <v>0.38110351680260857</v>
      </c>
      <c r="I427" s="22">
        <v>0.29999999999999993</v>
      </c>
      <c r="J427" s="2">
        <f t="shared" si="128"/>
        <v>1.5392508978963569E-3</v>
      </c>
      <c r="K427" s="8">
        <v>0</v>
      </c>
      <c r="L427" s="2">
        <v>0</v>
      </c>
      <c r="M427">
        <v>95538</v>
      </c>
      <c r="N427">
        <f t="shared" si="129"/>
        <v>0.45089967968280553</v>
      </c>
      <c r="O427" s="8">
        <v>0.31883085</v>
      </c>
      <c r="P427">
        <f t="shared" si="130"/>
        <v>0.25565903749728469</v>
      </c>
      <c r="Q427" s="20">
        <v>0.28299999999999997</v>
      </c>
      <c r="R427" s="10">
        <f t="shared" si="131"/>
        <v>0.61281940233867471</v>
      </c>
      <c r="S427">
        <f t="shared" si="132"/>
        <v>3.5077904912410605E-2</v>
      </c>
      <c r="T427" s="11">
        <f t="shared" si="133"/>
        <v>6.4390827531489753E-2</v>
      </c>
      <c r="U427" t="str">
        <f t="shared" si="134"/>
        <v>No Impact</v>
      </c>
      <c r="V427">
        <f t="shared" si="135"/>
        <v>4.9503637022415052E-2</v>
      </c>
      <c r="W427">
        <f t="shared" si="136"/>
        <v>6.5205560123903897E-2</v>
      </c>
      <c r="X427" t="s">
        <v>1176</v>
      </c>
      <c r="Y427">
        <f t="shared" si="137"/>
        <v>2.0652172802406166E-2</v>
      </c>
      <c r="Z427">
        <f t="shared" si="138"/>
        <v>3.7753540079405984E-2</v>
      </c>
      <c r="AA427" t="str">
        <f t="shared" si="139"/>
        <v>No Impact</v>
      </c>
      <c r="AB427">
        <f t="shared" si="140"/>
        <v>3.6270233512317271E-2</v>
      </c>
      <c r="AC427">
        <f t="shared" si="141"/>
        <v>8.8320712814943511E-2</v>
      </c>
      <c r="AD427" t="str">
        <f t="shared" si="142"/>
        <v>No Impact</v>
      </c>
      <c r="AE427">
        <f t="shared" si="143"/>
        <v>3.642373918214329E-2</v>
      </c>
      <c r="AF427">
        <f t="shared" si="144"/>
        <v>0.19928702900688089</v>
      </c>
      <c r="AG427" t="s">
        <v>1175</v>
      </c>
    </row>
    <row r="428" spans="1:33" customFormat="1" x14ac:dyDescent="0.3">
      <c r="A428">
        <v>507672</v>
      </c>
      <c r="B428" t="s">
        <v>456</v>
      </c>
      <c r="C428" t="s">
        <v>960</v>
      </c>
      <c r="D428" t="s">
        <v>966</v>
      </c>
      <c r="E428" s="18">
        <v>5</v>
      </c>
      <c r="F428" s="2">
        <f t="shared" si="126"/>
        <v>0.39999999999999997</v>
      </c>
      <c r="G428" s="10">
        <v>27.89856</v>
      </c>
      <c r="H428">
        <f t="shared" si="127"/>
        <v>0.37380076114586702</v>
      </c>
      <c r="I428" s="22">
        <v>0.20000000000000009</v>
      </c>
      <c r="J428" s="2">
        <f t="shared" si="128"/>
        <v>1.0261672652642387E-3</v>
      </c>
      <c r="K428" s="8">
        <v>0</v>
      </c>
      <c r="L428" s="2">
        <v>0</v>
      </c>
      <c r="M428">
        <v>62096</v>
      </c>
      <c r="N428">
        <f t="shared" si="129"/>
        <v>0.29267150217881932</v>
      </c>
      <c r="O428" s="8">
        <v>0.27536482899999998</v>
      </c>
      <c r="P428">
        <f t="shared" si="130"/>
        <v>0.20779039519955783</v>
      </c>
      <c r="Q428" s="20">
        <v>0.2641</v>
      </c>
      <c r="R428" s="10">
        <f t="shared" si="131"/>
        <v>0.57189259419662197</v>
      </c>
      <c r="S428">
        <f t="shared" si="132"/>
        <v>2.922461800497787E-2</v>
      </c>
      <c r="T428" s="11">
        <f t="shared" si="133"/>
        <v>5.3646229509175108E-2</v>
      </c>
      <c r="U428" t="str">
        <f t="shared" si="134"/>
        <v>No Impact</v>
      </c>
      <c r="V428">
        <f t="shared" si="135"/>
        <v>4.2872148892758671E-2</v>
      </c>
      <c r="W428">
        <f t="shared" si="136"/>
        <v>5.6470648429365763E-2</v>
      </c>
      <c r="X428" t="s">
        <v>1176</v>
      </c>
      <c r="Y428">
        <f t="shared" si="137"/>
        <v>1.5577087117197066E-2</v>
      </c>
      <c r="Z428">
        <f t="shared" si="138"/>
        <v>2.8475947224835353E-2</v>
      </c>
      <c r="AA428" t="str">
        <f t="shared" si="139"/>
        <v>No Impact</v>
      </c>
      <c r="AB428">
        <f t="shared" si="140"/>
        <v>2.735745946128575E-2</v>
      </c>
      <c r="AC428">
        <f t="shared" si="141"/>
        <v>6.6617445945202775E-2</v>
      </c>
      <c r="AD428" t="str">
        <f t="shared" si="142"/>
        <v>No Impact</v>
      </c>
      <c r="AE428">
        <f t="shared" si="143"/>
        <v>2.1940232039031709E-2</v>
      </c>
      <c r="AF428">
        <f t="shared" si="144"/>
        <v>0.12004269075492878</v>
      </c>
      <c r="AG428" t="s">
        <v>1176</v>
      </c>
    </row>
    <row r="429" spans="1:33" customFormat="1" x14ac:dyDescent="0.3">
      <c r="A429">
        <v>507683</v>
      </c>
      <c r="B429" t="s">
        <v>501</v>
      </c>
      <c r="C429" t="s">
        <v>960</v>
      </c>
      <c r="D429" t="s">
        <v>967</v>
      </c>
      <c r="E429" s="18">
        <v>5</v>
      </c>
      <c r="F429" s="2">
        <f t="shared" si="126"/>
        <v>0.39999999999999997</v>
      </c>
      <c r="G429" s="10">
        <v>26.58888</v>
      </c>
      <c r="H429">
        <f t="shared" si="127"/>
        <v>0.35625292423752769</v>
      </c>
      <c r="I429" s="22">
        <v>0.20000000000000009</v>
      </c>
      <c r="J429" s="2">
        <f t="shared" si="128"/>
        <v>1.0261672652642387E-3</v>
      </c>
      <c r="K429" s="8">
        <v>0</v>
      </c>
      <c r="L429" s="2">
        <v>0</v>
      </c>
      <c r="M429">
        <v>30851</v>
      </c>
      <c r="N429">
        <f t="shared" si="129"/>
        <v>0.1448382563767725</v>
      </c>
      <c r="O429" s="8">
        <v>0.32225574499999998</v>
      </c>
      <c r="P429">
        <f t="shared" si="130"/>
        <v>0.2594308360169208</v>
      </c>
      <c r="Q429" s="20">
        <v>0.24129999999999999</v>
      </c>
      <c r="R429" s="10">
        <f t="shared" si="131"/>
        <v>0.52252057167605026</v>
      </c>
      <c r="S429">
        <f t="shared" si="132"/>
        <v>2.7937488853987391E-2</v>
      </c>
      <c r="T429" s="11">
        <f t="shared" si="133"/>
        <v>5.1283508264017216E-2</v>
      </c>
      <c r="U429" t="str">
        <f t="shared" si="134"/>
        <v>No Impact</v>
      </c>
      <c r="V429">
        <f t="shared" si="135"/>
        <v>3.7337135027987738E-2</v>
      </c>
      <c r="W429">
        <f t="shared" si="136"/>
        <v>4.9179998669984598E-2</v>
      </c>
      <c r="X429" t="s">
        <v>1176</v>
      </c>
      <c r="Y429">
        <f t="shared" si="137"/>
        <v>1.8537842679987048E-2</v>
      </c>
      <c r="Z429">
        <f t="shared" si="138"/>
        <v>3.3888404542260692E-2</v>
      </c>
      <c r="AA429" t="str">
        <f t="shared" si="139"/>
        <v>No Impact</v>
      </c>
      <c r="AB429">
        <f t="shared" si="140"/>
        <v>2.225168770951174E-2</v>
      </c>
      <c r="AC429">
        <f t="shared" si="141"/>
        <v>5.418451246453071E-2</v>
      </c>
      <c r="AD429" t="str">
        <f t="shared" si="142"/>
        <v>No Impact</v>
      </c>
      <c r="AE429">
        <f t="shared" si="143"/>
        <v>1.0349536130628346E-2</v>
      </c>
      <c r="AF429">
        <f t="shared" si="144"/>
        <v>5.6625935540507218E-2</v>
      </c>
      <c r="AG429" t="s">
        <v>1176</v>
      </c>
    </row>
    <row r="430" spans="1:33" customFormat="1" x14ac:dyDescent="0.3">
      <c r="A430">
        <v>508110</v>
      </c>
      <c r="B430" t="s">
        <v>26</v>
      </c>
      <c r="C430" t="s">
        <v>969</v>
      </c>
      <c r="D430" t="s">
        <v>968</v>
      </c>
      <c r="E430" s="18">
        <v>4.3</v>
      </c>
      <c r="F430" s="2">
        <f t="shared" si="126"/>
        <v>0.24444444444444435</v>
      </c>
      <c r="G430" s="10">
        <v>29.485440000000001</v>
      </c>
      <c r="H430">
        <f t="shared" si="127"/>
        <v>0.39506268118213961</v>
      </c>
      <c r="I430" s="22">
        <v>0.29999999999999993</v>
      </c>
      <c r="J430" s="2">
        <f t="shared" si="128"/>
        <v>1.5392508978963569E-3</v>
      </c>
      <c r="K430" s="8">
        <v>0</v>
      </c>
      <c r="L430" s="2">
        <v>0</v>
      </c>
      <c r="M430">
        <v>16015</v>
      </c>
      <c r="N430">
        <f t="shared" si="129"/>
        <v>7.4642896008100187E-2</v>
      </c>
      <c r="O430" s="8">
        <v>0.30964954700000002</v>
      </c>
      <c r="P430">
        <f t="shared" si="130"/>
        <v>0.24554777129387387</v>
      </c>
      <c r="Q430" s="20">
        <v>0.2717</v>
      </c>
      <c r="R430" s="10">
        <f t="shared" si="131"/>
        <v>0.58834993503681243</v>
      </c>
      <c r="S430">
        <f t="shared" si="132"/>
        <v>2.021099920203592E-2</v>
      </c>
      <c r="T430" s="11">
        <f t="shared" si="133"/>
        <v>3.7100361812000181E-2</v>
      </c>
      <c r="U430" t="str">
        <f t="shared" si="134"/>
        <v>No Impact</v>
      </c>
      <c r="V430">
        <f t="shared" si="135"/>
        <v>2.8519421452471078E-2</v>
      </c>
      <c r="W430">
        <f t="shared" si="136"/>
        <v>3.7565418665623025E-2</v>
      </c>
      <c r="X430" t="s">
        <v>1176</v>
      </c>
      <c r="Y430">
        <f t="shared" si="137"/>
        <v>1.1902576951600762E-2</v>
      </c>
      <c r="Z430">
        <f t="shared" si="138"/>
        <v>2.1758699207577722E-2</v>
      </c>
      <c r="AA430" t="str">
        <f t="shared" si="139"/>
        <v>No Impact</v>
      </c>
      <c r="AB430">
        <f t="shared" si="140"/>
        <v>1.4818943255795303E-2</v>
      </c>
      <c r="AC430">
        <f t="shared" si="141"/>
        <v>3.6085227603278855E-2</v>
      </c>
      <c r="AD430" t="str">
        <f t="shared" si="142"/>
        <v>No Impact</v>
      </c>
      <c r="AE430">
        <f t="shared" si="143"/>
        <v>3.6182076055719888E-3</v>
      </c>
      <c r="AF430">
        <f t="shared" si="144"/>
        <v>1.9796480543602234E-2</v>
      </c>
      <c r="AG430" t="s">
        <v>1176</v>
      </c>
    </row>
    <row r="431" spans="1:33" customFormat="1" x14ac:dyDescent="0.3">
      <c r="A431">
        <v>508112</v>
      </c>
      <c r="B431" t="s">
        <v>29</v>
      </c>
      <c r="C431" t="s">
        <v>969</v>
      </c>
      <c r="D431" t="s">
        <v>970</v>
      </c>
      <c r="E431" s="18">
        <v>4.5999999999999996</v>
      </c>
      <c r="F431" s="2">
        <f t="shared" si="126"/>
        <v>0.31111111111111101</v>
      </c>
      <c r="G431" s="10">
        <v>29.194200000000002</v>
      </c>
      <c r="H431">
        <f t="shared" si="127"/>
        <v>0.39116048215551885</v>
      </c>
      <c r="I431" s="22">
        <v>0.5</v>
      </c>
      <c r="J431" s="2">
        <f t="shared" si="128"/>
        <v>2.5654181631605956E-3</v>
      </c>
      <c r="K431" s="8">
        <v>0</v>
      </c>
      <c r="L431" s="2">
        <v>0</v>
      </c>
      <c r="M431">
        <v>22499</v>
      </c>
      <c r="N431">
        <f t="shared" si="129"/>
        <v>0.10532142907836653</v>
      </c>
      <c r="O431" s="8">
        <v>0.62496790700000004</v>
      </c>
      <c r="P431">
        <f t="shared" si="130"/>
        <v>0.59280435097357043</v>
      </c>
      <c r="Q431" s="20">
        <v>0.2044</v>
      </c>
      <c r="R431" s="10">
        <f t="shared" si="131"/>
        <v>0.44261585101775663</v>
      </c>
      <c r="S431">
        <f t="shared" si="132"/>
        <v>3.1707802874003203E-2</v>
      </c>
      <c r="T431" s="11">
        <f t="shared" si="133"/>
        <v>5.8204492866963171E-2</v>
      </c>
      <c r="U431" t="str">
        <f t="shared" si="134"/>
        <v>No Impact</v>
      </c>
      <c r="V431">
        <f t="shared" si="135"/>
        <v>2.7108561579133168E-2</v>
      </c>
      <c r="W431">
        <f t="shared" si="136"/>
        <v>3.5707052011559146E-2</v>
      </c>
      <c r="X431" t="s">
        <v>1176</v>
      </c>
      <c r="Y431">
        <f t="shared" si="137"/>
        <v>3.6307044168873238E-2</v>
      </c>
      <c r="Z431">
        <f t="shared" si="138"/>
        <v>6.6371682065076362E-2</v>
      </c>
      <c r="AA431" t="str">
        <f t="shared" si="139"/>
        <v>No Impact</v>
      </c>
      <c r="AB431">
        <f t="shared" si="140"/>
        <v>2.2637799747636092E-2</v>
      </c>
      <c r="AC431">
        <f t="shared" si="141"/>
        <v>5.5124723958399159E-2</v>
      </c>
      <c r="AD431" t="str">
        <f t="shared" si="142"/>
        <v>No Impact</v>
      </c>
      <c r="AE431">
        <f t="shared" si="143"/>
        <v>6.4505426979357457E-3</v>
      </c>
      <c r="AF431">
        <f t="shared" si="144"/>
        <v>3.5293177433684916E-2</v>
      </c>
      <c r="AG431" t="s">
        <v>1176</v>
      </c>
    </row>
    <row r="432" spans="1:33" customFormat="1" x14ac:dyDescent="0.3">
      <c r="A432">
        <v>508122</v>
      </c>
      <c r="B432" t="s">
        <v>82</v>
      </c>
      <c r="C432" t="s">
        <v>969</v>
      </c>
      <c r="D432" t="s">
        <v>971</v>
      </c>
      <c r="E432" s="18">
        <v>4.5999999999999996</v>
      </c>
      <c r="F432" s="2">
        <f t="shared" si="126"/>
        <v>0.31111111111111101</v>
      </c>
      <c r="G432" s="10">
        <v>28.37988</v>
      </c>
      <c r="H432">
        <f t="shared" si="127"/>
        <v>0.38024976003164207</v>
      </c>
      <c r="I432" s="22">
        <v>0.10000000000000005</v>
      </c>
      <c r="J432" s="2">
        <f t="shared" si="128"/>
        <v>5.1308363263211933E-4</v>
      </c>
      <c r="K432" s="8">
        <v>0</v>
      </c>
      <c r="L432" s="2">
        <v>0</v>
      </c>
      <c r="M432">
        <v>27245</v>
      </c>
      <c r="N432">
        <f t="shared" si="129"/>
        <v>0.12777675263658431</v>
      </c>
      <c r="O432" s="8">
        <v>0.200609544</v>
      </c>
      <c r="P432">
        <f t="shared" si="130"/>
        <v>0.12546323676171456</v>
      </c>
      <c r="Q432" s="20">
        <v>0.21099999999999999</v>
      </c>
      <c r="R432" s="10">
        <f t="shared" si="131"/>
        <v>0.45690775227371155</v>
      </c>
      <c r="S432">
        <f t="shared" si="132"/>
        <v>1.7246851521877025E-2</v>
      </c>
      <c r="T432" s="11">
        <f t="shared" si="133"/>
        <v>3.1659218091257359E-2</v>
      </c>
      <c r="U432" t="str">
        <f t="shared" si="134"/>
        <v>No Impact</v>
      </c>
      <c r="V432">
        <f t="shared" si="135"/>
        <v>2.7062543674131793E-2</v>
      </c>
      <c r="W432">
        <f t="shared" si="136"/>
        <v>3.5646437813253176E-2</v>
      </c>
      <c r="X432" t="s">
        <v>1176</v>
      </c>
      <c r="Y432">
        <f t="shared" si="137"/>
        <v>7.4311593696222596E-3</v>
      </c>
      <c r="Z432">
        <f t="shared" si="138"/>
        <v>1.358465163843682E-2</v>
      </c>
      <c r="AA432" t="str">
        <f t="shared" si="139"/>
        <v>No Impact</v>
      </c>
      <c r="AB432">
        <f t="shared" si="140"/>
        <v>1.4350104035406722E-2</v>
      </c>
      <c r="AC432">
        <f t="shared" si="141"/>
        <v>3.4943569275486183E-2</v>
      </c>
      <c r="AD432" t="str">
        <f t="shared" si="142"/>
        <v>No Impact</v>
      </c>
      <c r="AE432">
        <f t="shared" si="143"/>
        <v>7.5681883959254799E-3</v>
      </c>
      <c r="AF432">
        <f t="shared" si="144"/>
        <v>4.1408208334847589E-2</v>
      </c>
      <c r="AG432" t="s">
        <v>1176</v>
      </c>
    </row>
    <row r="433" spans="1:33" customFormat="1" x14ac:dyDescent="0.3">
      <c r="A433">
        <v>508125</v>
      </c>
      <c r="B433" t="s">
        <v>102</v>
      </c>
      <c r="C433" t="s">
        <v>969</v>
      </c>
      <c r="D433" t="s">
        <v>972</v>
      </c>
      <c r="E433" s="18">
        <v>4.5999999999999996</v>
      </c>
      <c r="F433" s="2">
        <f t="shared" si="126"/>
        <v>0.31111111111111101</v>
      </c>
      <c r="G433" s="10">
        <v>29.485440000000001</v>
      </c>
      <c r="H433">
        <f t="shared" si="127"/>
        <v>0.39506268118213961</v>
      </c>
      <c r="I433" s="22">
        <v>0.29999999999999993</v>
      </c>
      <c r="J433" s="2">
        <f t="shared" si="128"/>
        <v>1.5392508978963569E-3</v>
      </c>
      <c r="K433" s="8">
        <v>0</v>
      </c>
      <c r="L433" s="2">
        <v>0</v>
      </c>
      <c r="M433">
        <v>29401</v>
      </c>
      <c r="N433">
        <f t="shared" si="129"/>
        <v>0.13797769608191035</v>
      </c>
      <c r="O433" s="8">
        <v>0.23603074299999999</v>
      </c>
      <c r="P433">
        <f t="shared" si="130"/>
        <v>0.16447220665770754</v>
      </c>
      <c r="Q433" s="20">
        <v>0.309</v>
      </c>
      <c r="R433" s="10">
        <f t="shared" si="131"/>
        <v>0.66912083152880031</v>
      </c>
      <c r="S433">
        <f t="shared" si="132"/>
        <v>2.5713691851029476E-2</v>
      </c>
      <c r="T433" s="11">
        <f t="shared" si="133"/>
        <v>4.7201390770396742E-2</v>
      </c>
      <c r="U433" t="str">
        <f t="shared" si="134"/>
        <v>No Impact</v>
      </c>
      <c r="V433">
        <f t="shared" si="135"/>
        <v>4.1280495601227922E-2</v>
      </c>
      <c r="W433">
        <f t="shared" si="136"/>
        <v>5.4374142987748932E-2</v>
      </c>
      <c r="X433" t="s">
        <v>1176</v>
      </c>
      <c r="Y433">
        <f t="shared" si="137"/>
        <v>1.0146888100831027E-2</v>
      </c>
      <c r="Z433">
        <f t="shared" si="138"/>
        <v>1.8549183674820863E-2</v>
      </c>
      <c r="AA433" t="str">
        <f t="shared" si="139"/>
        <v>No Impact</v>
      </c>
      <c r="AB433">
        <f t="shared" si="140"/>
        <v>2.0471560803625572E-2</v>
      </c>
      <c r="AC433">
        <f t="shared" si="141"/>
        <v>4.9849771217950811E-2</v>
      </c>
      <c r="AD433" t="str">
        <f t="shared" si="142"/>
        <v>No Impact</v>
      </c>
      <c r="AE433">
        <f t="shared" si="143"/>
        <v>8.5123454655614099E-3</v>
      </c>
      <c r="AF433">
        <f t="shared" si="144"/>
        <v>4.6574022211964071E-2</v>
      </c>
      <c r="AG433" t="s">
        <v>1176</v>
      </c>
    </row>
    <row r="434" spans="1:33" customFormat="1" x14ac:dyDescent="0.3">
      <c r="A434">
        <v>508131</v>
      </c>
      <c r="B434" t="s">
        <v>159</v>
      </c>
      <c r="C434" t="s">
        <v>969</v>
      </c>
      <c r="D434" t="s">
        <v>1138</v>
      </c>
      <c r="E434" s="18">
        <v>4.5</v>
      </c>
      <c r="F434" s="2">
        <f t="shared" si="126"/>
        <v>0.28888888888888886</v>
      </c>
      <c r="G434" s="10">
        <v>29.194200000000002</v>
      </c>
      <c r="H434">
        <f t="shared" si="127"/>
        <v>0.39116048215551885</v>
      </c>
      <c r="I434" s="22">
        <v>0.10000000000000005</v>
      </c>
      <c r="J434" s="2">
        <f t="shared" si="128"/>
        <v>5.1308363263211933E-4</v>
      </c>
      <c r="K434" s="8">
        <v>0</v>
      </c>
      <c r="L434" s="2">
        <v>0</v>
      </c>
      <c r="M434">
        <v>23168</v>
      </c>
      <c r="N434">
        <f t="shared" si="129"/>
        <v>0.10848674965578912</v>
      </c>
      <c r="O434" s="8">
        <v>0.37719707600000002</v>
      </c>
      <c r="P434">
        <f t="shared" si="130"/>
        <v>0.31993710874430054</v>
      </c>
      <c r="Q434" s="20">
        <v>0.24679999999999999</v>
      </c>
      <c r="R434" s="10">
        <f t="shared" si="131"/>
        <v>0.53443048938934601</v>
      </c>
      <c r="S434">
        <f t="shared" si="132"/>
        <v>2.4167953597295684E-2</v>
      </c>
      <c r="T434" s="11">
        <f t="shared" si="133"/>
        <v>4.4363953199551845E-2</v>
      </c>
      <c r="U434" t="str">
        <f t="shared" si="134"/>
        <v>No Impact</v>
      </c>
      <c r="V434">
        <f t="shared" si="135"/>
        <v>3.0235442675393472E-2</v>
      </c>
      <c r="W434">
        <f t="shared" si="136"/>
        <v>3.9825739962308683E-2</v>
      </c>
      <c r="X434" t="s">
        <v>1176</v>
      </c>
      <c r="Y434">
        <f t="shared" si="137"/>
        <v>1.8100464519197897E-2</v>
      </c>
      <c r="Z434">
        <f t="shared" si="138"/>
        <v>3.3088848288243378E-2</v>
      </c>
      <c r="AA434" t="str">
        <f t="shared" si="139"/>
        <v>No Impact</v>
      </c>
      <c r="AB434">
        <f t="shared" si="140"/>
        <v>1.8160720225002022E-2</v>
      </c>
      <c r="AC434">
        <f t="shared" si="141"/>
        <v>4.4222702755973078E-2</v>
      </c>
      <c r="AD434" t="str">
        <f t="shared" si="142"/>
        <v>No Impact</v>
      </c>
      <c r="AE434">
        <f t="shared" si="143"/>
        <v>6.1376455224426895E-3</v>
      </c>
      <c r="AF434">
        <f t="shared" si="144"/>
        <v>3.3581207441344706E-2</v>
      </c>
      <c r="AG434" t="s">
        <v>1176</v>
      </c>
    </row>
    <row r="435" spans="1:33" customFormat="1" x14ac:dyDescent="0.3">
      <c r="A435">
        <v>508134</v>
      </c>
      <c r="B435" t="s">
        <v>186</v>
      </c>
      <c r="C435" t="s">
        <v>969</v>
      </c>
      <c r="D435" t="s">
        <v>973</v>
      </c>
      <c r="E435" s="18">
        <v>4.7</v>
      </c>
      <c r="F435" s="2">
        <f t="shared" si="126"/>
        <v>0.33333333333333331</v>
      </c>
      <c r="G435" s="10">
        <v>27.845279999999999</v>
      </c>
      <c r="H435">
        <f t="shared" si="127"/>
        <v>0.37308688542777074</v>
      </c>
      <c r="I435" s="22">
        <v>0.10000000000000005</v>
      </c>
      <c r="J435" s="2">
        <f t="shared" si="128"/>
        <v>5.1308363263211933E-4</v>
      </c>
      <c r="K435" s="8">
        <v>0</v>
      </c>
      <c r="L435" s="2">
        <v>0</v>
      </c>
      <c r="M435">
        <v>52038</v>
      </c>
      <c r="N435">
        <f t="shared" si="129"/>
        <v>0.24508287083694105</v>
      </c>
      <c r="O435" s="8">
        <v>0.58392417399999996</v>
      </c>
      <c r="P435">
        <f t="shared" si="130"/>
        <v>0.54760334733119853</v>
      </c>
      <c r="Q435" s="20">
        <v>0.26379999999999998</v>
      </c>
      <c r="R435" s="10">
        <f t="shared" si="131"/>
        <v>0.57124296232135119</v>
      </c>
      <c r="S435">
        <f t="shared" si="132"/>
        <v>3.4833412222461543E-2</v>
      </c>
      <c r="T435" s="11">
        <f t="shared" si="133"/>
        <v>6.39420240276736E-2</v>
      </c>
      <c r="U435" t="str">
        <f t="shared" si="134"/>
        <v>No Impact</v>
      </c>
      <c r="V435">
        <f t="shared" si="135"/>
        <v>3.5569392174871615E-2</v>
      </c>
      <c r="W435">
        <f t="shared" si="136"/>
        <v>4.6851550300821901E-2</v>
      </c>
      <c r="X435" t="s">
        <v>1176</v>
      </c>
      <c r="Y435">
        <f t="shared" si="137"/>
        <v>3.4097432270051471E-2</v>
      </c>
      <c r="Z435">
        <f t="shared" si="138"/>
        <v>6.2332365128294737E-2</v>
      </c>
      <c r="AA435" t="str">
        <f t="shared" si="139"/>
        <v>No Impact</v>
      </c>
      <c r="AB435">
        <f t="shared" si="140"/>
        <v>2.8019689198332268E-2</v>
      </c>
      <c r="AC435">
        <f t="shared" si="141"/>
        <v>6.823002454642238E-2</v>
      </c>
      <c r="AD435" t="str">
        <f t="shared" si="142"/>
        <v>No Impact</v>
      </c>
      <c r="AE435">
        <f t="shared" si="143"/>
        <v>1.5260492160319314E-2</v>
      </c>
      <c r="AF435">
        <f t="shared" si="144"/>
        <v>8.3495495303342951E-2</v>
      </c>
      <c r="AG435" t="s">
        <v>1176</v>
      </c>
    </row>
    <row r="436" spans="1:33" customFormat="1" x14ac:dyDescent="0.3">
      <c r="A436">
        <v>508140</v>
      </c>
      <c r="B436" t="s">
        <v>324</v>
      </c>
      <c r="C436" t="s">
        <v>969</v>
      </c>
      <c r="D436" t="s">
        <v>974</v>
      </c>
      <c r="E436" s="18">
        <v>3.6</v>
      </c>
      <c r="F436" s="2">
        <f t="shared" si="126"/>
        <v>8.8888888888888865E-2</v>
      </c>
      <c r="G436" s="10">
        <v>28.37988</v>
      </c>
      <c r="H436">
        <f t="shared" si="127"/>
        <v>0.38024976003164207</v>
      </c>
      <c r="I436" s="22">
        <v>0.10000000000000005</v>
      </c>
      <c r="J436" s="2">
        <f t="shared" si="128"/>
        <v>5.1308363263211933E-4</v>
      </c>
      <c r="K436" s="8">
        <v>0</v>
      </c>
      <c r="L436" s="2">
        <v>0</v>
      </c>
      <c r="M436">
        <v>7843</v>
      </c>
      <c r="N436">
        <f t="shared" si="129"/>
        <v>3.5977724470435714E-2</v>
      </c>
      <c r="O436" s="8">
        <v>0.21453851199999999</v>
      </c>
      <c r="P436">
        <f t="shared" si="130"/>
        <v>0.14080305327651546</v>
      </c>
      <c r="Q436" s="20">
        <v>0.2442</v>
      </c>
      <c r="R436" s="10">
        <f t="shared" si="131"/>
        <v>0.52880034647033347</v>
      </c>
      <c r="S436">
        <f t="shared" si="132"/>
        <v>5.6657798803305742E-3</v>
      </c>
      <c r="T436" s="11">
        <f t="shared" si="133"/>
        <v>1.0400400366461893E-2</v>
      </c>
      <c r="U436" t="str">
        <f t="shared" si="134"/>
        <v>No Impact</v>
      </c>
      <c r="V436">
        <f t="shared" si="135"/>
        <v>8.948778829008781E-3</v>
      </c>
      <c r="W436">
        <f t="shared" si="136"/>
        <v>1.1787217486792723E-2</v>
      </c>
      <c r="X436" t="s">
        <v>1176</v>
      </c>
      <c r="Y436">
        <f t="shared" si="137"/>
        <v>2.3827809316523695E-3</v>
      </c>
      <c r="Z436">
        <f t="shared" si="138"/>
        <v>4.3558814011618718E-3</v>
      </c>
      <c r="AA436" t="str">
        <f t="shared" si="139"/>
        <v>No Impact</v>
      </c>
      <c r="AB436">
        <f t="shared" si="140"/>
        <v>4.0600021246388505E-3</v>
      </c>
      <c r="AC436">
        <f t="shared" si="141"/>
        <v>9.8864067571143386E-3</v>
      </c>
      <c r="AD436" t="str">
        <f t="shared" si="142"/>
        <v>No Impact</v>
      </c>
      <c r="AE436">
        <f t="shared" si="143"/>
        <v>6.0884358568590415E-4</v>
      </c>
      <c r="AF436">
        <f t="shared" si="144"/>
        <v>3.3311964132645769E-3</v>
      </c>
      <c r="AG436" t="s">
        <v>1176</v>
      </c>
    </row>
    <row r="437" spans="1:33" customFormat="1" x14ac:dyDescent="0.3">
      <c r="A437">
        <v>508153</v>
      </c>
      <c r="B437" t="s">
        <v>343</v>
      </c>
      <c r="C437" t="s">
        <v>969</v>
      </c>
      <c r="D437" t="s">
        <v>975</v>
      </c>
      <c r="E437" s="18">
        <v>3.5</v>
      </c>
      <c r="F437" s="2">
        <f t="shared" si="126"/>
        <v>6.6666666666666624E-2</v>
      </c>
      <c r="G437" s="10">
        <v>28.249200000000002</v>
      </c>
      <c r="H437">
        <f t="shared" si="127"/>
        <v>0.37849883512847354</v>
      </c>
      <c r="I437" s="22">
        <v>0.4</v>
      </c>
      <c r="J437" s="2">
        <f t="shared" si="128"/>
        <v>2.0523345305284765E-3</v>
      </c>
      <c r="K437" s="8">
        <v>0</v>
      </c>
      <c r="L437" s="2">
        <v>0</v>
      </c>
      <c r="M437">
        <v>20804</v>
      </c>
      <c r="N437">
        <f t="shared" si="129"/>
        <v>9.7301670664717316E-2</v>
      </c>
      <c r="O437" s="8">
        <v>0.57818366399999999</v>
      </c>
      <c r="P437">
        <f t="shared" si="130"/>
        <v>0.54128138793683567</v>
      </c>
      <c r="Q437" s="20">
        <v>0.2344</v>
      </c>
      <c r="R437" s="10">
        <f t="shared" si="131"/>
        <v>0.50757903854482456</v>
      </c>
      <c r="S437">
        <f t="shared" si="132"/>
        <v>6.6524177017772534E-3</v>
      </c>
      <c r="T437" s="11">
        <f t="shared" si="133"/>
        <v>1.221152409108151E-2</v>
      </c>
      <c r="U437" t="str">
        <f t="shared" si="134"/>
        <v>No Impact</v>
      </c>
      <c r="V437">
        <f t="shared" si="135"/>
        <v>6.4386598937541516E-3</v>
      </c>
      <c r="W437">
        <f t="shared" si="136"/>
        <v>8.480920798394161E-3</v>
      </c>
      <c r="X437" t="s">
        <v>1176</v>
      </c>
      <c r="Y437">
        <f t="shared" si="137"/>
        <v>6.8661755098003568E-3</v>
      </c>
      <c r="Z437">
        <f t="shared" si="138"/>
        <v>1.2551823712770881E-2</v>
      </c>
      <c r="AA437" t="str">
        <f t="shared" si="139"/>
        <v>No Impact</v>
      </c>
      <c r="AB437">
        <f t="shared" si="140"/>
        <v>4.7453800358684467E-3</v>
      </c>
      <c r="AC437">
        <f t="shared" si="141"/>
        <v>1.1555352881954096E-2</v>
      </c>
      <c r="AD437" t="str">
        <f t="shared" si="142"/>
        <v>No Impact</v>
      </c>
      <c r="AE437">
        <f t="shared" si="143"/>
        <v>1.2342754860411053E-3</v>
      </c>
      <c r="AF437">
        <f t="shared" si="144"/>
        <v>6.7531533036494194E-3</v>
      </c>
      <c r="AG437" t="s">
        <v>1176</v>
      </c>
    </row>
    <row r="438" spans="1:33" customFormat="1" x14ac:dyDescent="0.3">
      <c r="A438">
        <v>508172</v>
      </c>
      <c r="B438" t="s">
        <v>387</v>
      </c>
      <c r="C438" t="s">
        <v>969</v>
      </c>
      <c r="D438" t="s">
        <v>976</v>
      </c>
      <c r="E438" s="18">
        <v>4.5</v>
      </c>
      <c r="F438" s="2">
        <f t="shared" si="126"/>
        <v>0.28888888888888886</v>
      </c>
      <c r="G438" s="10">
        <v>28.37988</v>
      </c>
      <c r="H438">
        <f t="shared" si="127"/>
        <v>0.38024976003164207</v>
      </c>
      <c r="I438" s="22">
        <v>0.10000000000000005</v>
      </c>
      <c r="J438" s="2">
        <f t="shared" si="128"/>
        <v>5.1308363263211933E-4</v>
      </c>
      <c r="K438" s="8">
        <v>0</v>
      </c>
      <c r="L438" s="2">
        <v>0</v>
      </c>
      <c r="M438">
        <v>62600</v>
      </c>
      <c r="N438">
        <f t="shared" si="129"/>
        <v>0.29505613830889554</v>
      </c>
      <c r="O438" s="8">
        <v>0.33175270899999998</v>
      </c>
      <c r="P438">
        <f t="shared" si="130"/>
        <v>0.2698897361456073</v>
      </c>
      <c r="Q438" s="20">
        <v>0.26219999999999999</v>
      </c>
      <c r="R438" s="10">
        <f t="shared" si="131"/>
        <v>0.5677782589865743</v>
      </c>
      <c r="S438">
        <f t="shared" si="132"/>
        <v>2.3035483457500283E-2</v>
      </c>
      <c r="T438" s="11">
        <f t="shared" si="133"/>
        <v>4.228513208300539E-2</v>
      </c>
      <c r="U438" t="str">
        <f t="shared" si="134"/>
        <v>No Impact</v>
      </c>
      <c r="V438">
        <f t="shared" si="135"/>
        <v>3.1227280422358044E-2</v>
      </c>
      <c r="W438">
        <f t="shared" si="136"/>
        <v>4.113217600888789E-2</v>
      </c>
      <c r="X438" t="s">
        <v>1176</v>
      </c>
      <c r="Y438">
        <f t="shared" si="137"/>
        <v>1.4843686492642522E-2</v>
      </c>
      <c r="Z438">
        <f t="shared" si="138"/>
        <v>2.7135242295707733E-2</v>
      </c>
      <c r="AA438" t="str">
        <f t="shared" si="139"/>
        <v>No Impact</v>
      </c>
      <c r="AB438">
        <f t="shared" si="140"/>
        <v>2.1062389483363402E-2</v>
      </c>
      <c r="AC438">
        <f t="shared" si="141"/>
        <v>5.1288482940836086E-2</v>
      </c>
      <c r="AD438" t="str">
        <f t="shared" si="142"/>
        <v>No Impact</v>
      </c>
      <c r="AE438">
        <f t="shared" si="143"/>
        <v>1.6227815393558088E-2</v>
      </c>
      <c r="AF438">
        <f t="shared" si="144"/>
        <v>8.8788059371998296E-2</v>
      </c>
      <c r="AG438" t="s">
        <v>1176</v>
      </c>
    </row>
    <row r="439" spans="1:33" customFormat="1" x14ac:dyDescent="0.3">
      <c r="A439">
        <v>508182</v>
      </c>
      <c r="B439" t="s">
        <v>419</v>
      </c>
      <c r="C439" t="s">
        <v>969</v>
      </c>
      <c r="D439" t="s">
        <v>977</v>
      </c>
      <c r="E439" s="18">
        <v>4.5999999999999996</v>
      </c>
      <c r="F439" s="2">
        <f t="shared" si="126"/>
        <v>0.31111111111111101</v>
      </c>
      <c r="G439" s="10">
        <v>29.194200000000002</v>
      </c>
      <c r="H439">
        <f t="shared" si="127"/>
        <v>0.39116048215551885</v>
      </c>
      <c r="I439" s="22">
        <v>0.20000000000000009</v>
      </c>
      <c r="J439" s="2">
        <f t="shared" si="128"/>
        <v>1.0261672652642387E-3</v>
      </c>
      <c r="K439" s="8">
        <v>0</v>
      </c>
      <c r="L439" s="2">
        <v>0</v>
      </c>
      <c r="M439">
        <v>25708</v>
      </c>
      <c r="N439">
        <f t="shared" si="129"/>
        <v>0.12050455872403042</v>
      </c>
      <c r="O439" s="8">
        <v>0.39659653499999997</v>
      </c>
      <c r="P439">
        <f t="shared" si="130"/>
        <v>0.34130151575179762</v>
      </c>
      <c r="Q439" s="20">
        <v>0.27450000000000002</v>
      </c>
      <c r="R439" s="10">
        <f t="shared" si="131"/>
        <v>0.59441316587267223</v>
      </c>
      <c r="S439">
        <f t="shared" si="132"/>
        <v>2.8542484895566093E-2</v>
      </c>
      <c r="T439" s="11">
        <f t="shared" si="133"/>
        <v>5.2394070478830268E-2</v>
      </c>
      <c r="U439" t="str">
        <f t="shared" si="134"/>
        <v>No Impact</v>
      </c>
      <c r="V439">
        <f t="shared" si="135"/>
        <v>3.6263252339253864E-2</v>
      </c>
      <c r="W439">
        <f t="shared" si="136"/>
        <v>4.7765494071169971E-2</v>
      </c>
      <c r="X439" t="s">
        <v>1176</v>
      </c>
      <c r="Y439">
        <f t="shared" si="137"/>
        <v>2.0821717451878323E-2</v>
      </c>
      <c r="Z439">
        <f t="shared" si="138"/>
        <v>3.8063478930893326E-2</v>
      </c>
      <c r="AA439" t="str">
        <f t="shared" si="139"/>
        <v>No Impact</v>
      </c>
      <c r="AB439">
        <f t="shared" si="140"/>
        <v>2.1511713195601755E-2</v>
      </c>
      <c r="AC439">
        <f t="shared" si="141"/>
        <v>5.238261955663899E-2</v>
      </c>
      <c r="AD439" t="str">
        <f t="shared" si="142"/>
        <v>No Impact</v>
      </c>
      <c r="AE439">
        <f t="shared" si="143"/>
        <v>7.3515989751411614E-3</v>
      </c>
      <c r="AF439">
        <f t="shared" si="144"/>
        <v>4.0223171785838119E-2</v>
      </c>
      <c r="AG439" t="s">
        <v>1176</v>
      </c>
    </row>
    <row r="440" spans="1:33" customFormat="1" x14ac:dyDescent="0.3">
      <c r="A440">
        <v>508185</v>
      </c>
      <c r="B440" t="s">
        <v>426</v>
      </c>
      <c r="C440" t="s">
        <v>969</v>
      </c>
      <c r="D440" t="s">
        <v>978</v>
      </c>
      <c r="E440" s="18">
        <v>4.5999999999999996</v>
      </c>
      <c r="F440" s="2">
        <f t="shared" si="126"/>
        <v>0.31111111111111101</v>
      </c>
      <c r="G440" s="10">
        <v>27.603000000000002</v>
      </c>
      <c r="H440">
        <f t="shared" si="127"/>
        <v>0.36984068030426542</v>
      </c>
      <c r="I440" s="22">
        <v>0.10000000000000005</v>
      </c>
      <c r="J440" s="2">
        <f t="shared" si="128"/>
        <v>5.1308363263211933E-4</v>
      </c>
      <c r="K440" s="8">
        <v>0</v>
      </c>
      <c r="L440" s="2">
        <v>0</v>
      </c>
      <c r="M440">
        <v>13822</v>
      </c>
      <c r="N440">
        <f t="shared" si="129"/>
        <v>6.4266889989732817E-2</v>
      </c>
      <c r="O440" s="8">
        <v>0.205075971</v>
      </c>
      <c r="P440">
        <f t="shared" si="130"/>
        <v>0.13038206281234174</v>
      </c>
      <c r="Q440" s="20">
        <v>0.23180000000000001</v>
      </c>
      <c r="R440" s="10">
        <f t="shared" si="131"/>
        <v>0.50194889562581202</v>
      </c>
      <c r="S440">
        <f t="shared" si="132"/>
        <v>1.8214478373108588E-2</v>
      </c>
      <c r="T440" s="11">
        <f t="shared" si="133"/>
        <v>3.3435444289716718E-2</v>
      </c>
      <c r="U440" t="str">
        <f t="shared" si="134"/>
        <v>No Impact</v>
      </c>
      <c r="V440">
        <f t="shared" si="135"/>
        <v>2.8917569768731523E-2</v>
      </c>
      <c r="W440">
        <f t="shared" si="136"/>
        <v>3.8089854556311149E-2</v>
      </c>
      <c r="X440" t="s">
        <v>1176</v>
      </c>
      <c r="Y440">
        <f t="shared" si="137"/>
        <v>7.511386977485649E-3</v>
      </c>
      <c r="Z440">
        <f t="shared" si="138"/>
        <v>1.373131302065189E-2</v>
      </c>
      <c r="AA440" t="str">
        <f t="shared" si="139"/>
        <v>No Impact</v>
      </c>
      <c r="AB440">
        <f t="shared" si="140"/>
        <v>1.3670424118531269E-2</v>
      </c>
      <c r="AC440">
        <f t="shared" si="141"/>
        <v>3.3288498190155134E-2</v>
      </c>
      <c r="AD440" t="str">
        <f t="shared" si="142"/>
        <v>No Impact</v>
      </c>
      <c r="AE440">
        <f t="shared" si="143"/>
        <v>3.7024531606558325E-3</v>
      </c>
      <c r="AF440">
        <f t="shared" si="144"/>
        <v>2.0257417469812314E-2</v>
      </c>
      <c r="AG440" t="s">
        <v>1176</v>
      </c>
    </row>
    <row r="441" spans="1:33" customFormat="1" x14ac:dyDescent="0.3">
      <c r="A441">
        <v>508190</v>
      </c>
      <c r="B441" t="s">
        <v>469</v>
      </c>
      <c r="C441" t="s">
        <v>969</v>
      </c>
      <c r="D441" t="s">
        <v>979</v>
      </c>
      <c r="E441" s="18">
        <v>3.6</v>
      </c>
      <c r="F441" s="2">
        <f t="shared" si="126"/>
        <v>8.8888888888888865E-2</v>
      </c>
      <c r="G441" s="10">
        <v>27.851040000000001</v>
      </c>
      <c r="H441">
        <f t="shared" si="127"/>
        <v>0.37316406118107848</v>
      </c>
      <c r="I441" s="22">
        <v>0.5</v>
      </c>
      <c r="J441" s="2">
        <f t="shared" si="128"/>
        <v>2.5654181631605956E-3</v>
      </c>
      <c r="K441" s="8">
        <v>0</v>
      </c>
      <c r="L441" s="2">
        <v>0</v>
      </c>
      <c r="M441">
        <v>6230</v>
      </c>
      <c r="N441">
        <f t="shared" si="129"/>
        <v>2.8345942570013202E-2</v>
      </c>
      <c r="O441" s="8">
        <v>0.158506857</v>
      </c>
      <c r="P441">
        <f t="shared" si="130"/>
        <v>7.9096018934802018E-2</v>
      </c>
      <c r="Q441" s="20">
        <v>0.26140000000000002</v>
      </c>
      <c r="R441" s="10">
        <f t="shared" si="131"/>
        <v>0.5660459073191858</v>
      </c>
      <c r="S441">
        <f t="shared" si="132"/>
        <v>5.3866408901011159E-3</v>
      </c>
      <c r="T441" s="11">
        <f t="shared" si="133"/>
        <v>9.8879983110352569E-3</v>
      </c>
      <c r="U441" t="str">
        <f t="shared" si="134"/>
        <v>No Impact</v>
      </c>
      <c r="V441">
        <f t="shared" si="135"/>
        <v>9.4524504018655559E-3</v>
      </c>
      <c r="W441">
        <f t="shared" si="136"/>
        <v>1.2450647266946915E-2</v>
      </c>
      <c r="X441" t="s">
        <v>1176</v>
      </c>
      <c r="Y441">
        <f t="shared" si="137"/>
        <v>1.3208313783366768E-3</v>
      </c>
      <c r="Z441">
        <f t="shared" si="138"/>
        <v>2.4145672640488911E-3</v>
      </c>
      <c r="AA441" t="str">
        <f t="shared" si="139"/>
        <v>No Impact</v>
      </c>
      <c r="AB441">
        <f t="shared" si="140"/>
        <v>3.8702800401616568E-3</v>
      </c>
      <c r="AC441">
        <f t="shared" si="141"/>
        <v>9.4244193885446755E-3</v>
      </c>
      <c r="AD441" t="str">
        <f t="shared" si="142"/>
        <v>No Impact</v>
      </c>
      <c r="AE441">
        <f t="shared" si="143"/>
        <v>4.7335138859345597E-4</v>
      </c>
      <c r="AF441">
        <f t="shared" si="144"/>
        <v>2.5898711671897209E-3</v>
      </c>
      <c r="AG441" t="s">
        <v>1176</v>
      </c>
    </row>
    <row r="442" spans="1:33" customFormat="1" x14ac:dyDescent="0.3">
      <c r="A442">
        <v>508194</v>
      </c>
      <c r="B442" t="s">
        <v>510</v>
      </c>
      <c r="C442" t="s">
        <v>969</v>
      </c>
      <c r="D442" t="s">
        <v>980</v>
      </c>
      <c r="E442" s="18">
        <v>4.7</v>
      </c>
      <c r="F442" s="2">
        <f t="shared" si="126"/>
        <v>0.33333333333333331</v>
      </c>
      <c r="G442" s="10">
        <v>28.249200000000002</v>
      </c>
      <c r="H442">
        <f t="shared" si="127"/>
        <v>0.37849883512847354</v>
      </c>
      <c r="I442" s="22">
        <v>0.20000000000000009</v>
      </c>
      <c r="J442" s="2">
        <f t="shared" si="128"/>
        <v>1.0261672652642387E-3</v>
      </c>
      <c r="K442" s="8">
        <v>0</v>
      </c>
      <c r="L442" s="2">
        <v>0</v>
      </c>
      <c r="M442">
        <v>17904</v>
      </c>
      <c r="N442">
        <f t="shared" si="129"/>
        <v>8.3580550074993015E-2</v>
      </c>
      <c r="O442" s="8">
        <v>0.78943712899999996</v>
      </c>
      <c r="P442">
        <f t="shared" si="130"/>
        <v>0.77393246382529479</v>
      </c>
      <c r="Q442" s="20">
        <v>0.26679999999999998</v>
      </c>
      <c r="R442" s="10">
        <f t="shared" si="131"/>
        <v>0.57773928107405803</v>
      </c>
      <c r="S442">
        <f t="shared" si="132"/>
        <v>4.2749435184872883E-2</v>
      </c>
      <c r="T442" s="11">
        <f t="shared" si="133"/>
        <v>7.8473087686712184E-2</v>
      </c>
      <c r="U442" t="str">
        <f t="shared" si="134"/>
        <v>No Impact</v>
      </c>
      <c r="V442">
        <f t="shared" si="135"/>
        <v>3.6544417005431366E-2</v>
      </c>
      <c r="W442">
        <f t="shared" si="136"/>
        <v>4.8135840588070404E-2</v>
      </c>
      <c r="X442" t="s">
        <v>1176</v>
      </c>
      <c r="Y442">
        <f t="shared" si="137"/>
        <v>4.8954453364314386E-2</v>
      </c>
      <c r="Z442">
        <f t="shared" si="138"/>
        <v>8.9491983959175556E-2</v>
      </c>
      <c r="AA442" t="str">
        <f t="shared" si="139"/>
        <v>No Impact</v>
      </c>
      <c r="AB442">
        <f t="shared" si="140"/>
        <v>2.932726828845339E-2</v>
      </c>
      <c r="AC442">
        <f t="shared" si="141"/>
        <v>7.1414076759987372E-2</v>
      </c>
      <c r="AD442" t="str">
        <f t="shared" si="142"/>
        <v>No Impact</v>
      </c>
      <c r="AE442">
        <f t="shared" si="143"/>
        <v>5.2868180778802738E-3</v>
      </c>
      <c r="AF442">
        <f t="shared" si="144"/>
        <v>2.8926032617682267E-2</v>
      </c>
      <c r="AG442" t="s">
        <v>1176</v>
      </c>
    </row>
    <row r="443" spans="1:33" customFormat="1" x14ac:dyDescent="0.3">
      <c r="A443">
        <v>508811</v>
      </c>
      <c r="B443" t="s">
        <v>61</v>
      </c>
      <c r="C443" t="s">
        <v>982</v>
      </c>
      <c r="D443" t="s">
        <v>981</v>
      </c>
      <c r="E443" s="18">
        <v>7</v>
      </c>
      <c r="F443" s="2">
        <f t="shared" si="126"/>
        <v>0.84444444444444444</v>
      </c>
      <c r="G443" s="10">
        <v>28.071000000000002</v>
      </c>
      <c r="H443">
        <f t="shared" si="127"/>
        <v>0.37611121026051642</v>
      </c>
      <c r="I443" s="22">
        <v>1.5</v>
      </c>
      <c r="J443" s="2">
        <f t="shared" si="128"/>
        <v>7.6962544894817863E-3</v>
      </c>
      <c r="K443" s="8">
        <v>0</v>
      </c>
      <c r="L443" s="2">
        <v>0</v>
      </c>
      <c r="M443">
        <v>36657</v>
      </c>
      <c r="N443">
        <f t="shared" si="129"/>
        <v>0.17230888608157915</v>
      </c>
      <c r="O443" s="8">
        <v>0.55421536299999996</v>
      </c>
      <c r="P443">
        <f t="shared" si="130"/>
        <v>0.51488536638581195</v>
      </c>
      <c r="Q443" s="20">
        <v>0.26650000000000001</v>
      </c>
      <c r="R443" s="10">
        <f t="shared" si="131"/>
        <v>0.57708964919878736</v>
      </c>
      <c r="S443">
        <f t="shared" si="132"/>
        <v>8.8478389819282577E-2</v>
      </c>
      <c r="T443" s="11">
        <f t="shared" si="133"/>
        <v>0.16241553631390535</v>
      </c>
      <c r="U443" t="str">
        <f t="shared" si="134"/>
        <v>Low</v>
      </c>
      <c r="V443">
        <f t="shared" si="135"/>
        <v>9.3518555303479911E-2</v>
      </c>
      <c r="W443">
        <f t="shared" si="136"/>
        <v>0.12318144983530346</v>
      </c>
      <c r="X443" t="s">
        <v>1176</v>
      </c>
      <c r="Y443">
        <f t="shared" si="137"/>
        <v>8.3438224335085256E-2</v>
      </c>
      <c r="Z443">
        <f t="shared" si="138"/>
        <v>0.15253060182714018</v>
      </c>
      <c r="AA443" t="str">
        <f t="shared" si="139"/>
        <v>Low</v>
      </c>
      <c r="AB443">
        <f t="shared" si="140"/>
        <v>6.7536013972160566E-2</v>
      </c>
      <c r="AC443">
        <f t="shared" si="141"/>
        <v>0.16445521070812977</v>
      </c>
      <c r="AD443" t="str">
        <f t="shared" si="142"/>
        <v>Low</v>
      </c>
      <c r="AE443">
        <f t="shared" si="143"/>
        <v>2.7923006615477242E-2</v>
      </c>
      <c r="AF443">
        <f t="shared" si="144"/>
        <v>0.15277654503044616</v>
      </c>
      <c r="AG443" t="s">
        <v>1175</v>
      </c>
    </row>
    <row r="444" spans="1:33" customFormat="1" x14ac:dyDescent="0.3">
      <c r="A444">
        <v>508827</v>
      </c>
      <c r="B444" t="s">
        <v>107</v>
      </c>
      <c r="C444" t="s">
        <v>982</v>
      </c>
      <c r="D444" t="s">
        <v>983</v>
      </c>
      <c r="E444" s="18">
        <v>5.4</v>
      </c>
      <c r="F444" s="2">
        <f t="shared" si="126"/>
        <v>0.48888888888888893</v>
      </c>
      <c r="G444" s="10">
        <v>27.668520000000001</v>
      </c>
      <c r="H444">
        <f t="shared" si="127"/>
        <v>0.37071855449814056</v>
      </c>
      <c r="I444" s="22">
        <v>0</v>
      </c>
      <c r="J444" s="2">
        <f t="shared" si="128"/>
        <v>0</v>
      </c>
      <c r="K444" s="8">
        <v>0</v>
      </c>
      <c r="L444" s="2">
        <v>0</v>
      </c>
      <c r="M444">
        <v>9272</v>
      </c>
      <c r="N444">
        <f t="shared" si="129"/>
        <v>4.2738924926544693E-2</v>
      </c>
      <c r="O444" s="8">
        <v>0.53167500700000003</v>
      </c>
      <c r="P444">
        <f t="shared" si="130"/>
        <v>0.49006192467654169</v>
      </c>
      <c r="Q444" s="20">
        <v>0.17560000000000001</v>
      </c>
      <c r="R444" s="10">
        <f t="shared" si="131"/>
        <v>0.38025119099177135</v>
      </c>
      <c r="S444">
        <f t="shared" si="132"/>
        <v>3.9433926913495898E-2</v>
      </c>
      <c r="T444" s="11">
        <f t="shared" si="133"/>
        <v>7.2386968181726283E-2</v>
      </c>
      <c r="U444" t="str">
        <f t="shared" si="134"/>
        <v>No Impact</v>
      </c>
      <c r="V444">
        <f t="shared" si="135"/>
        <v>3.4458397568384987E-2</v>
      </c>
      <c r="W444">
        <f t="shared" si="136"/>
        <v>4.5388162356663472E-2</v>
      </c>
      <c r="X444" t="s">
        <v>1176</v>
      </c>
      <c r="Y444">
        <f t="shared" si="137"/>
        <v>4.4409456258606803E-2</v>
      </c>
      <c r="Z444">
        <f t="shared" si="138"/>
        <v>8.1183428146049508E-2</v>
      </c>
      <c r="AA444" t="str">
        <f t="shared" si="139"/>
        <v>No Impact</v>
      </c>
      <c r="AB444">
        <f t="shared" si="140"/>
        <v>2.6738827871135826E-2</v>
      </c>
      <c r="AC444">
        <f t="shared" si="141"/>
        <v>6.5111032070218261E-2</v>
      </c>
      <c r="AD444" t="str">
        <f t="shared" si="142"/>
        <v>No Impact</v>
      </c>
      <c r="AE444">
        <f t="shared" si="143"/>
        <v>3.8730052703401154E-3</v>
      </c>
      <c r="AF444">
        <f t="shared" si="144"/>
        <v>2.1190567772143145E-2</v>
      </c>
      <c r="AG444" t="s">
        <v>1176</v>
      </c>
    </row>
    <row r="445" spans="1:33" customFormat="1" x14ac:dyDescent="0.3">
      <c r="A445">
        <v>508844</v>
      </c>
      <c r="B445" t="s">
        <v>252</v>
      </c>
      <c r="C445" t="s">
        <v>982</v>
      </c>
      <c r="D445" t="s">
        <v>984</v>
      </c>
      <c r="E445" s="18">
        <v>6.9</v>
      </c>
      <c r="F445" s="2">
        <f t="shared" si="126"/>
        <v>0.8222222222222223</v>
      </c>
      <c r="G445" s="10">
        <v>28.071000000000002</v>
      </c>
      <c r="H445">
        <f t="shared" si="127"/>
        <v>0.37611121026051642</v>
      </c>
      <c r="I445" s="22">
        <v>0</v>
      </c>
      <c r="J445" s="2">
        <f t="shared" si="128"/>
        <v>0</v>
      </c>
      <c r="K445" s="8">
        <v>0</v>
      </c>
      <c r="L445" s="2">
        <v>0</v>
      </c>
      <c r="M445">
        <v>21302</v>
      </c>
      <c r="N445">
        <f t="shared" si="129"/>
        <v>9.96579182694355E-2</v>
      </c>
      <c r="O445" s="8">
        <v>0.731200776</v>
      </c>
      <c r="P445">
        <f t="shared" si="130"/>
        <v>0.7097974202591687</v>
      </c>
      <c r="Q445" s="20">
        <v>0.30969999999999998</v>
      </c>
      <c r="R445" s="10">
        <f t="shared" si="131"/>
        <v>0.67063663923776518</v>
      </c>
      <c r="S445">
        <f t="shared" si="132"/>
        <v>0.10672377120934717</v>
      </c>
      <c r="T445" s="11">
        <f t="shared" si="133"/>
        <v>0.19590770778958103</v>
      </c>
      <c r="U445" t="str">
        <f t="shared" si="134"/>
        <v>Low</v>
      </c>
      <c r="V445">
        <f t="shared" si="135"/>
        <v>0.10369618274515739</v>
      </c>
      <c r="W445">
        <f t="shared" si="136"/>
        <v>0.13658729106200976</v>
      </c>
      <c r="X445" t="s">
        <v>1176</v>
      </c>
      <c r="Y445">
        <f t="shared" si="137"/>
        <v>0.109751359673537</v>
      </c>
      <c r="Z445">
        <f t="shared" si="138"/>
        <v>0.20063275645850809</v>
      </c>
      <c r="AA445" t="str">
        <f t="shared" si="139"/>
        <v>Low</v>
      </c>
      <c r="AB445">
        <f t="shared" si="140"/>
        <v>7.4612381421400337E-2</v>
      </c>
      <c r="AC445">
        <f t="shared" si="141"/>
        <v>0.18168669109121235</v>
      </c>
      <c r="AD445" t="str">
        <f t="shared" si="142"/>
        <v>Low</v>
      </c>
      <c r="AE445">
        <f t="shared" si="143"/>
        <v>1.5409455881526197E-2</v>
      </c>
      <c r="AF445">
        <f t="shared" si="144"/>
        <v>8.4310527974224878E-2</v>
      </c>
      <c r="AG445" t="s">
        <v>1176</v>
      </c>
    </row>
    <row r="446" spans="1:33" customFormat="1" x14ac:dyDescent="0.3">
      <c r="A446">
        <v>508850</v>
      </c>
      <c r="B446" t="s">
        <v>265</v>
      </c>
      <c r="C446" t="s">
        <v>982</v>
      </c>
      <c r="D446" t="s">
        <v>985</v>
      </c>
      <c r="E446" s="18">
        <v>6.9</v>
      </c>
      <c r="F446" s="2">
        <f t="shared" si="126"/>
        <v>0.8222222222222223</v>
      </c>
      <c r="G446" s="10">
        <v>26.69904</v>
      </c>
      <c r="H446">
        <f t="shared" si="127"/>
        <v>0.35772891051953754</v>
      </c>
      <c r="I446" s="22">
        <v>0</v>
      </c>
      <c r="J446" s="2">
        <f t="shared" si="128"/>
        <v>0</v>
      </c>
      <c r="K446" s="8">
        <v>0</v>
      </c>
      <c r="L446" s="2">
        <v>0</v>
      </c>
      <c r="M446">
        <v>13658</v>
      </c>
      <c r="N446">
        <f t="shared" si="129"/>
        <v>6.349093696327944E-2</v>
      </c>
      <c r="O446" s="8">
        <v>0.45507258</v>
      </c>
      <c r="P446">
        <f t="shared" si="130"/>
        <v>0.4057005294340203</v>
      </c>
      <c r="Q446" s="20">
        <v>0.25590000000000002</v>
      </c>
      <c r="R446" s="10">
        <f t="shared" si="131"/>
        <v>0.55413598960589006</v>
      </c>
      <c r="S446">
        <f t="shared" si="132"/>
        <v>7.0579817070119233E-2</v>
      </c>
      <c r="T446" s="11">
        <f t="shared" si="133"/>
        <v>0.12955998482561101</v>
      </c>
      <c r="U446" t="str">
        <f t="shared" si="134"/>
        <v>No Impact</v>
      </c>
      <c r="V446">
        <f t="shared" si="135"/>
        <v>8.1494746245901015E-2</v>
      </c>
      <c r="W446">
        <f t="shared" si="136"/>
        <v>0.1073438417002224</v>
      </c>
      <c r="X446" t="s">
        <v>1176</v>
      </c>
      <c r="Y446">
        <f t="shared" si="137"/>
        <v>5.9664887894337465E-2</v>
      </c>
      <c r="Z446">
        <f t="shared" si="138"/>
        <v>0.1090713678412419</v>
      </c>
      <c r="AA446" t="str">
        <f t="shared" si="139"/>
        <v>No Impact</v>
      </c>
      <c r="AB446">
        <f t="shared" si="140"/>
        <v>4.9690710232313411E-2</v>
      </c>
      <c r="AC446">
        <f t="shared" si="141"/>
        <v>0.12100057052316278</v>
      </c>
      <c r="AD446" t="str">
        <f t="shared" si="142"/>
        <v>No Impact</v>
      </c>
      <c r="AE446">
        <f t="shared" si="143"/>
        <v>9.337379079848088E-3</v>
      </c>
      <c r="AF446">
        <f t="shared" si="144"/>
        <v>5.108806995977485E-2</v>
      </c>
      <c r="AG446" t="s">
        <v>1176</v>
      </c>
    </row>
    <row r="447" spans="1:33" customFormat="1" x14ac:dyDescent="0.3">
      <c r="A447">
        <v>508861</v>
      </c>
      <c r="B447" t="s">
        <v>442</v>
      </c>
      <c r="C447" t="s">
        <v>982</v>
      </c>
      <c r="D447" t="s">
        <v>986</v>
      </c>
      <c r="E447" s="18">
        <v>6.8</v>
      </c>
      <c r="F447" s="2">
        <f t="shared" si="126"/>
        <v>0.79999999999999993</v>
      </c>
      <c r="G447" s="10">
        <v>27.8262</v>
      </c>
      <c r="H447">
        <f t="shared" si="127"/>
        <v>0.37283124074493895</v>
      </c>
      <c r="I447" s="22">
        <v>0</v>
      </c>
      <c r="J447" s="2">
        <f t="shared" si="128"/>
        <v>0</v>
      </c>
      <c r="K447" s="8">
        <v>0</v>
      </c>
      <c r="L447" s="2">
        <v>0</v>
      </c>
      <c r="M447">
        <v>35856</v>
      </c>
      <c r="N447">
        <f t="shared" si="129"/>
        <v>0.16851901794627944</v>
      </c>
      <c r="O447" s="8">
        <v>0.83644803000000001</v>
      </c>
      <c r="P447">
        <f t="shared" si="130"/>
        <v>0.82570504277984991</v>
      </c>
      <c r="Q447" s="20">
        <v>0.2959</v>
      </c>
      <c r="R447" s="10">
        <f t="shared" si="131"/>
        <v>0.64075357297531399</v>
      </c>
      <c r="S447">
        <f t="shared" si="132"/>
        <v>0.1093483170426207</v>
      </c>
      <c r="T447" s="11">
        <f t="shared" si="133"/>
        <v>0.20072546068904265</v>
      </c>
      <c r="U447" t="str">
        <f t="shared" si="134"/>
        <v>Low</v>
      </c>
      <c r="V447">
        <f t="shared" si="135"/>
        <v>9.555717984965563E-2</v>
      </c>
      <c r="W447">
        <f t="shared" si="136"/>
        <v>0.12586670012015702</v>
      </c>
      <c r="X447" t="s">
        <v>1176</v>
      </c>
      <c r="Y447">
        <f t="shared" si="137"/>
        <v>0.12313945423558573</v>
      </c>
      <c r="Z447">
        <f t="shared" si="138"/>
        <v>0.22510708027281853</v>
      </c>
      <c r="AA447" t="str">
        <f t="shared" si="139"/>
        <v>Low</v>
      </c>
      <c r="AB447">
        <f t="shared" si="140"/>
        <v>7.9182930855059369E-2</v>
      </c>
      <c r="AC447">
        <f t="shared" si="141"/>
        <v>0.19281631847008257</v>
      </c>
      <c r="AD447" t="str">
        <f t="shared" si="142"/>
        <v>Low</v>
      </c>
      <c r="AE447">
        <f t="shared" si="143"/>
        <v>2.5131661820011995E-2</v>
      </c>
      <c r="AF447">
        <f t="shared" si="144"/>
        <v>0.13750412040538723</v>
      </c>
      <c r="AG447" t="s">
        <v>1175</v>
      </c>
    </row>
    <row r="448" spans="1:33" customFormat="1" x14ac:dyDescent="0.3">
      <c r="A448">
        <v>508867</v>
      </c>
      <c r="B448" t="s">
        <v>471</v>
      </c>
      <c r="C448" t="s">
        <v>982</v>
      </c>
      <c r="D448" t="s">
        <v>987</v>
      </c>
      <c r="E448" s="18">
        <v>6.9</v>
      </c>
      <c r="F448" s="2">
        <f t="shared" si="126"/>
        <v>0.8222222222222223</v>
      </c>
      <c r="G448" s="10">
        <v>28.071000000000002</v>
      </c>
      <c r="H448">
        <f t="shared" si="127"/>
        <v>0.37611121026051642</v>
      </c>
      <c r="I448" s="22">
        <v>0</v>
      </c>
      <c r="J448" s="2">
        <f t="shared" si="128"/>
        <v>0</v>
      </c>
      <c r="K448" s="8">
        <v>0</v>
      </c>
      <c r="L448" s="2">
        <v>0</v>
      </c>
      <c r="M448">
        <v>61653</v>
      </c>
      <c r="N448">
        <f t="shared" si="129"/>
        <v>0.29057548272321659</v>
      </c>
      <c r="O448" s="8">
        <v>0.66117635500000005</v>
      </c>
      <c r="P448">
        <f t="shared" si="130"/>
        <v>0.63268030937951336</v>
      </c>
      <c r="Q448" s="20">
        <v>0.25319999999999998</v>
      </c>
      <c r="R448" s="10">
        <f t="shared" si="131"/>
        <v>0.54828930272845389</v>
      </c>
      <c r="S448">
        <f t="shared" si="132"/>
        <v>9.1302825963113038E-2</v>
      </c>
      <c r="T448" s="11">
        <f t="shared" si="133"/>
        <v>0.16760021826869187</v>
      </c>
      <c r="U448" t="str">
        <f t="shared" si="134"/>
        <v>Low</v>
      </c>
      <c r="V448">
        <f t="shared" si="135"/>
        <v>8.4778409657971773E-2</v>
      </c>
      <c r="W448">
        <f t="shared" si="136"/>
        <v>0.11166904132031281</v>
      </c>
      <c r="X448" t="s">
        <v>1176</v>
      </c>
      <c r="Y448">
        <f t="shared" si="137"/>
        <v>9.782724226825433E-2</v>
      </c>
      <c r="Z448">
        <f t="shared" si="138"/>
        <v>0.17883467987455504</v>
      </c>
      <c r="AA448" t="str">
        <f t="shared" si="139"/>
        <v>Low</v>
      </c>
      <c r="AB448">
        <f t="shared" si="140"/>
        <v>7.474604516525378E-2</v>
      </c>
      <c r="AC448">
        <f t="shared" si="141"/>
        <v>0.18201217223625768</v>
      </c>
      <c r="AD448" t="str">
        <f t="shared" si="142"/>
        <v>Low</v>
      </c>
      <c r="AE448">
        <f t="shared" si="143"/>
        <v>4.4929797441392472E-2</v>
      </c>
      <c r="AF448">
        <f t="shared" si="144"/>
        <v>0.24582665171196152</v>
      </c>
      <c r="AG448" t="s">
        <v>1175</v>
      </c>
    </row>
    <row r="449" spans="1:33" customFormat="1" x14ac:dyDescent="0.3">
      <c r="A449">
        <v>508878</v>
      </c>
      <c r="B449" t="s">
        <v>489</v>
      </c>
      <c r="C449" t="s">
        <v>982</v>
      </c>
      <c r="D449" t="s">
        <v>988</v>
      </c>
      <c r="E449" s="18">
        <v>7</v>
      </c>
      <c r="F449" s="2">
        <f t="shared" si="126"/>
        <v>0.84444444444444444</v>
      </c>
      <c r="G449" s="10">
        <v>27.8262</v>
      </c>
      <c r="H449">
        <f t="shared" si="127"/>
        <v>0.37283124074493895</v>
      </c>
      <c r="I449" s="22">
        <v>1.5</v>
      </c>
      <c r="J449" s="2">
        <f t="shared" si="128"/>
        <v>7.6962544894817863E-3</v>
      </c>
      <c r="K449" s="8">
        <v>0</v>
      </c>
      <c r="L449" s="2">
        <v>0</v>
      </c>
      <c r="M449">
        <v>46801</v>
      </c>
      <c r="N449">
        <f t="shared" si="129"/>
        <v>0.22030441962025615</v>
      </c>
      <c r="O449" s="8">
        <v>0.57676246600000003</v>
      </c>
      <c r="P449">
        <f t="shared" si="130"/>
        <v>0.53971623849064543</v>
      </c>
      <c r="Q449" s="20">
        <v>0.26729999999999998</v>
      </c>
      <c r="R449" s="10">
        <f t="shared" si="131"/>
        <v>0.57882200086617586</v>
      </c>
      <c r="S449">
        <f t="shared" si="132"/>
        <v>8.9856183737567041E-2</v>
      </c>
      <c r="T449" s="11">
        <f t="shared" si="133"/>
        <v>0.16494468652363758</v>
      </c>
      <c r="U449" t="str">
        <f t="shared" si="134"/>
        <v>Low</v>
      </c>
      <c r="V449">
        <f t="shared" si="135"/>
        <v>9.2997689718832238E-2</v>
      </c>
      <c r="W449">
        <f t="shared" si="136"/>
        <v>0.1224953723218303</v>
      </c>
      <c r="X449" t="s">
        <v>1176</v>
      </c>
      <c r="Y449">
        <f t="shared" si="137"/>
        <v>8.6714677756301844E-2</v>
      </c>
      <c r="Z449">
        <f t="shared" si="138"/>
        <v>0.15852017574460206</v>
      </c>
      <c r="AA449" t="str">
        <f t="shared" si="139"/>
        <v>Low</v>
      </c>
      <c r="AB449">
        <f t="shared" si="140"/>
        <v>7.0952084989919006E-2</v>
      </c>
      <c r="AC449">
        <f t="shared" si="141"/>
        <v>0.17277359738773124</v>
      </c>
      <c r="AD449" t="str">
        <f t="shared" si="142"/>
        <v>Low</v>
      </c>
      <c r="AE449">
        <f t="shared" si="143"/>
        <v>3.5395686461249069E-2</v>
      </c>
      <c r="AF449">
        <f t="shared" si="144"/>
        <v>0.19366219264988516</v>
      </c>
      <c r="AG449" t="s">
        <v>1175</v>
      </c>
    </row>
    <row r="450" spans="1:33" customFormat="1" x14ac:dyDescent="0.3">
      <c r="A450">
        <v>508889</v>
      </c>
      <c r="B450" t="s">
        <v>513</v>
      </c>
      <c r="C450" t="s">
        <v>982</v>
      </c>
      <c r="D450" t="s">
        <v>989</v>
      </c>
      <c r="E450" s="18">
        <v>6.9</v>
      </c>
      <c r="F450" s="2">
        <f t="shared" ref="F450:F513" si="145">(E450-$AJ$5)/$AK$5</f>
        <v>0.8222222222222223</v>
      </c>
      <c r="G450" s="10">
        <v>27.684360000000002</v>
      </c>
      <c r="H450">
        <f t="shared" ref="H450:H513" si="146">(G450-$AJ$6)/$AK$6</f>
        <v>0.37093078781973676</v>
      </c>
      <c r="I450" s="22">
        <v>0</v>
      </c>
      <c r="J450" s="2">
        <f t="shared" ref="J450:J513" si="147">(I450-$AJ$7)/$AK$7</f>
        <v>0</v>
      </c>
      <c r="K450" s="8">
        <v>0</v>
      </c>
      <c r="L450" s="2">
        <v>0</v>
      </c>
      <c r="M450">
        <v>22985</v>
      </c>
      <c r="N450">
        <f t="shared" ref="N450:N513" si="148">(M450-$AJ$9)/$AK$9</f>
        <v>0.10762089963236859</v>
      </c>
      <c r="O450" s="8">
        <v>0.54104416700000002</v>
      </c>
      <c r="P450">
        <f t="shared" ref="P450:P513" si="149">(O450-$AJ$11)/$AK$11</f>
        <v>0.50038007569087473</v>
      </c>
      <c r="Q450" s="20">
        <v>0.2666</v>
      </c>
      <c r="R450" s="10">
        <f t="shared" ref="R450:R513" si="150">(Q450-$AJ$12)/$AK$12</f>
        <v>0.57730619315721099</v>
      </c>
      <c r="S450">
        <f t="shared" ref="S450:S513" si="151">F450*(R450*0.5+P450*0.5)*(H450*0.5+J450*0.5)</f>
        <v>8.2170220104857361E-2</v>
      </c>
      <c r="T450" s="11">
        <f t="shared" ref="T450:T513" si="152">(S450-$AJ$10)/$AK$10</f>
        <v>0.15083593174130697</v>
      </c>
      <c r="U450" t="str">
        <f t="shared" ref="U450:U513" si="153">IF(T450&gt;0.7,"High",IF(T450&gt;0.3,"Moderate",IF(T450&gt;0.15,"Low","No Impact")))</f>
        <v>Low</v>
      </c>
      <c r="V450">
        <f t="shared" ref="V450:V513" si="154">F450*(R450*1)*(H450*0.5+J450*0.5)</f>
        <v>8.803559687241827E-2</v>
      </c>
      <c r="W450">
        <f t="shared" ref="W450:W513" si="155">(V450-$AJ$13)/$AK$13</f>
        <v>0.11595936683013816</v>
      </c>
      <c r="X450" t="s">
        <v>1176</v>
      </c>
      <c r="Y450">
        <f t="shared" ref="Y450:Y513" si="156">F450*(P450*1)*(H450*0.5+J450*0.5)</f>
        <v>7.6304843337296452E-2</v>
      </c>
      <c r="Z450">
        <f t="shared" ref="Z450:Z513" si="157">(Y450-$AJ$14)/$AK$14</f>
        <v>0.13949030878009017</v>
      </c>
      <c r="AA450" t="str">
        <f t="shared" ref="AA450:AA513" si="158">IF(Z450&gt;0.7,"High",IF(Z450&gt;0.3,"Moderate",IF(Z450&gt;0.15,"Low","No Impact")))</f>
        <v>No Impact</v>
      </c>
      <c r="AB450">
        <f t="shared" ref="AB450:AB513" si="159">F450*(R450*0.35+P450*0.3+N450*0.35)*(H450*0.5+J450*0.5)</f>
        <v>5.9447942693982202E-2</v>
      </c>
      <c r="AC450">
        <f t="shared" ref="AC450:AC513" si="160">(AB450-$AJ$15)/$AK$15</f>
        <v>0.14476015635056144</v>
      </c>
      <c r="AD450" t="str">
        <f t="shared" ref="AD450:AD513" si="161">IF(AC450&gt;0.7,"High",IF(AC450&gt;0.3,"Moderate",IF(AC450&gt;0.15,"Low","No Impact")))</f>
        <v>No Impact</v>
      </c>
      <c r="AE450">
        <f t="shared" ref="AE450:AE513" si="162">F450*(N450*1)*(H450*0.5+J450*0.5)</f>
        <v>1.641151653556247E-2</v>
      </c>
      <c r="AF450">
        <f t="shared" ref="AF450:AF513" si="163">(AE450-$AJ$16)/$AK$16</f>
        <v>8.9793152633625098E-2</v>
      </c>
      <c r="AG450" t="s">
        <v>1176</v>
      </c>
    </row>
    <row r="451" spans="1:33" customFormat="1" x14ac:dyDescent="0.3">
      <c r="A451">
        <v>508894</v>
      </c>
      <c r="B451" t="s">
        <v>529</v>
      </c>
      <c r="C451" t="s">
        <v>982</v>
      </c>
      <c r="D451" t="s">
        <v>990</v>
      </c>
      <c r="E451" s="18">
        <v>6.9</v>
      </c>
      <c r="F451" s="2">
        <f t="shared" si="145"/>
        <v>0.8222222222222223</v>
      </c>
      <c r="G451" s="10">
        <v>28.071000000000002</v>
      </c>
      <c r="H451">
        <f t="shared" si="146"/>
        <v>0.37611121026051642</v>
      </c>
      <c r="I451" s="22">
        <v>0.59999999999999987</v>
      </c>
      <c r="J451" s="2">
        <f t="shared" si="147"/>
        <v>3.0785017957927138E-3</v>
      </c>
      <c r="K451" s="8">
        <v>0</v>
      </c>
      <c r="L451" s="2">
        <v>0</v>
      </c>
      <c r="M451">
        <v>56867</v>
      </c>
      <c r="N451">
        <f t="shared" si="148"/>
        <v>0.26793090232927852</v>
      </c>
      <c r="O451" s="8">
        <v>0.56567332999999997</v>
      </c>
      <c r="P451">
        <f t="shared" si="149"/>
        <v>0.52750389716373058</v>
      </c>
      <c r="Q451" s="20">
        <v>0.27729999999999999</v>
      </c>
      <c r="R451" s="10">
        <f t="shared" si="150"/>
        <v>0.60047639670853181</v>
      </c>
      <c r="S451">
        <f t="shared" si="151"/>
        <v>8.791991858349292E-2</v>
      </c>
      <c r="T451" s="11">
        <f t="shared" si="152"/>
        <v>0.16139037745351095</v>
      </c>
      <c r="U451" t="str">
        <f t="shared" si="153"/>
        <v>Low</v>
      </c>
      <c r="V451">
        <f t="shared" si="154"/>
        <v>9.360772736319084E-2</v>
      </c>
      <c r="W451">
        <f t="shared" si="155"/>
        <v>0.12329890613650858</v>
      </c>
      <c r="X451" t="s">
        <v>1176</v>
      </c>
      <c r="Y451">
        <f t="shared" si="156"/>
        <v>8.2232109803795E-2</v>
      </c>
      <c r="Z451">
        <f t="shared" si="157"/>
        <v>0.1503257445594286</v>
      </c>
      <c r="AA451" t="str">
        <f t="shared" si="158"/>
        <v>Low</v>
      </c>
      <c r="AB451">
        <f t="shared" si="159"/>
        <v>7.2050965408062828E-2</v>
      </c>
      <c r="AC451">
        <f t="shared" si="160"/>
        <v>0.17544945283255176</v>
      </c>
      <c r="AD451" t="str">
        <f t="shared" si="161"/>
        <v>Low</v>
      </c>
      <c r="AE451">
        <f t="shared" si="162"/>
        <v>4.1767508256592999E-2</v>
      </c>
      <c r="AF451">
        <f t="shared" si="163"/>
        <v>0.22852466046532324</v>
      </c>
      <c r="AG451" t="s">
        <v>1175</v>
      </c>
    </row>
    <row r="452" spans="1:33" customFormat="1" x14ac:dyDescent="0.3">
      <c r="A452">
        <v>552710</v>
      </c>
      <c r="B452" t="s">
        <v>78</v>
      </c>
      <c r="C452" t="s">
        <v>992</v>
      </c>
      <c r="D452" t="s">
        <v>991</v>
      </c>
      <c r="E452" s="18">
        <v>6.4</v>
      </c>
      <c r="F452" s="2">
        <f t="shared" si="145"/>
        <v>0.71111111111111114</v>
      </c>
      <c r="G452" s="10">
        <v>25.056000000000001</v>
      </c>
      <c r="H452">
        <f t="shared" si="146"/>
        <v>0.33571452688851483</v>
      </c>
      <c r="I452" s="22">
        <v>1.2000000000000002</v>
      </c>
      <c r="J452" s="2">
        <f t="shared" si="147"/>
        <v>6.1570035915854303E-3</v>
      </c>
      <c r="K452" s="8">
        <v>0</v>
      </c>
      <c r="L452" s="2">
        <v>0</v>
      </c>
      <c r="M452">
        <v>22770</v>
      </c>
      <c r="N452">
        <f t="shared" si="148"/>
        <v>0.10660364414037179</v>
      </c>
      <c r="O452" s="8">
        <v>0.83916186400000004</v>
      </c>
      <c r="P452">
        <f t="shared" si="149"/>
        <v>0.82869375778096332</v>
      </c>
      <c r="Q452" s="20">
        <v>0.2949</v>
      </c>
      <c r="R452" s="10">
        <f t="shared" si="150"/>
        <v>0.63858813339107845</v>
      </c>
      <c r="S452">
        <f t="shared" si="151"/>
        <v>8.9177227694350561E-2</v>
      </c>
      <c r="T452" s="11">
        <f t="shared" si="152"/>
        <v>0.16369835948131906</v>
      </c>
      <c r="U452" t="str">
        <f t="shared" si="153"/>
        <v>Low</v>
      </c>
      <c r="V452">
        <f t="shared" si="154"/>
        <v>7.7623147558698105E-2</v>
      </c>
      <c r="W452">
        <f t="shared" si="155"/>
        <v>0.10224422122466566</v>
      </c>
      <c r="X452" t="s">
        <v>1176</v>
      </c>
      <c r="Y452">
        <f t="shared" si="156"/>
        <v>0.100731307830003</v>
      </c>
      <c r="Z452">
        <f t="shared" si="157"/>
        <v>0.18414350411439132</v>
      </c>
      <c r="AA452" t="str">
        <f t="shared" si="158"/>
        <v>Low</v>
      </c>
      <c r="AB452">
        <f t="shared" si="159"/>
        <v>6.1922840782797216E-2</v>
      </c>
      <c r="AC452">
        <f t="shared" si="160"/>
        <v>0.15078671703631641</v>
      </c>
      <c r="AD452" t="str">
        <f t="shared" si="161"/>
        <v>Low</v>
      </c>
      <c r="AE452">
        <f t="shared" si="162"/>
        <v>1.2958133680719956E-2</v>
      </c>
      <c r="AF452">
        <f t="shared" si="163"/>
        <v>7.08984860063651E-2</v>
      </c>
      <c r="AG452" t="s">
        <v>1176</v>
      </c>
    </row>
    <row r="453" spans="1:33" customFormat="1" x14ac:dyDescent="0.3">
      <c r="A453">
        <v>552712</v>
      </c>
      <c r="B453" t="s">
        <v>79</v>
      </c>
      <c r="C453" t="s">
        <v>992</v>
      </c>
      <c r="D453" t="s">
        <v>993</v>
      </c>
      <c r="E453" s="18">
        <v>6</v>
      </c>
      <c r="F453" s="2">
        <f t="shared" si="145"/>
        <v>0.62222222222222223</v>
      </c>
      <c r="G453" s="10">
        <v>26.504999999999999</v>
      </c>
      <c r="H453">
        <f t="shared" si="146"/>
        <v>0.35512905232998421</v>
      </c>
      <c r="I453" s="22">
        <v>0</v>
      </c>
      <c r="J453" s="2">
        <f t="shared" si="147"/>
        <v>0</v>
      </c>
      <c r="K453" s="8">
        <v>0</v>
      </c>
      <c r="L453" s="2">
        <v>0</v>
      </c>
      <c r="M453">
        <v>46581</v>
      </c>
      <c r="N453">
        <f t="shared" si="148"/>
        <v>0.21926350702379432</v>
      </c>
      <c r="O453" s="8">
        <v>0.75271250199999995</v>
      </c>
      <c r="P453">
        <f t="shared" si="149"/>
        <v>0.73348804326560191</v>
      </c>
      <c r="Q453" s="20">
        <v>0.2646</v>
      </c>
      <c r="R453" s="10">
        <f t="shared" si="150"/>
        <v>0.57297531398873969</v>
      </c>
      <c r="S453">
        <f t="shared" si="151"/>
        <v>7.2172036839090833E-2</v>
      </c>
      <c r="T453" s="11">
        <f t="shared" si="152"/>
        <v>0.13248274628448611</v>
      </c>
      <c r="U453" t="str">
        <f t="shared" si="153"/>
        <v>No Impact</v>
      </c>
      <c r="V453">
        <f t="shared" si="154"/>
        <v>6.3304944971425511E-2</v>
      </c>
      <c r="W453">
        <f t="shared" si="155"/>
        <v>8.3384467157547368E-2</v>
      </c>
      <c r="X453" t="s">
        <v>1176</v>
      </c>
      <c r="Y453">
        <f t="shared" si="156"/>
        <v>8.1039128706756169E-2</v>
      </c>
      <c r="Z453">
        <f t="shared" si="157"/>
        <v>0.1481448960796124</v>
      </c>
      <c r="AA453" t="str">
        <f t="shared" si="158"/>
        <v>No Impact</v>
      </c>
      <c r="AB453">
        <f t="shared" si="159"/>
        <v>5.4947303199882523E-2</v>
      </c>
      <c r="AC453">
        <f t="shared" si="160"/>
        <v>0.13380076486754328</v>
      </c>
      <c r="AD453" t="str">
        <f t="shared" si="161"/>
        <v>No Impact</v>
      </c>
      <c r="AE453">
        <f t="shared" si="162"/>
        <v>2.4225239565304996E-2</v>
      </c>
      <c r="AF453">
        <f t="shared" si="163"/>
        <v>0.13254476691169556</v>
      </c>
      <c r="AG453" t="s">
        <v>1175</v>
      </c>
    </row>
    <row r="454" spans="1:33" customFormat="1" x14ac:dyDescent="0.3">
      <c r="A454">
        <v>552717</v>
      </c>
      <c r="B454" t="s">
        <v>77</v>
      </c>
      <c r="C454" t="s">
        <v>992</v>
      </c>
      <c r="D454" t="s">
        <v>994</v>
      </c>
      <c r="E454" s="18">
        <v>6.4</v>
      </c>
      <c r="F454" s="2">
        <f t="shared" si="145"/>
        <v>0.71111111111111114</v>
      </c>
      <c r="G454" s="10">
        <v>26.504999999999999</v>
      </c>
      <c r="H454">
        <f t="shared" si="146"/>
        <v>0.35512905232998421</v>
      </c>
      <c r="I454" s="22">
        <v>0</v>
      </c>
      <c r="J454" s="2">
        <f t="shared" si="147"/>
        <v>0</v>
      </c>
      <c r="K454" s="8">
        <v>0</v>
      </c>
      <c r="L454" s="2">
        <v>0</v>
      </c>
      <c r="M454">
        <v>39215</v>
      </c>
      <c r="N454">
        <f t="shared" si="148"/>
        <v>0.18441186072589461</v>
      </c>
      <c r="O454" s="8">
        <v>0.83980231900000002</v>
      </c>
      <c r="P454">
        <f t="shared" si="149"/>
        <v>0.82939908370216486</v>
      </c>
      <c r="Q454" s="20">
        <v>0.29970000000000002</v>
      </c>
      <c r="R454" s="10">
        <f t="shared" si="150"/>
        <v>0.64898224339540933</v>
      </c>
      <c r="S454">
        <f t="shared" si="151"/>
        <v>9.3336206164356603E-2</v>
      </c>
      <c r="T454" s="11">
        <f t="shared" si="152"/>
        <v>0.17133279677277172</v>
      </c>
      <c r="U454" t="str">
        <f t="shared" si="153"/>
        <v>Low</v>
      </c>
      <c r="V454">
        <f t="shared" si="154"/>
        <v>8.1945759671466264E-2</v>
      </c>
      <c r="W454">
        <f t="shared" si="155"/>
        <v>0.10793791083950739</v>
      </c>
      <c r="X454" t="s">
        <v>1176</v>
      </c>
      <c r="Y454">
        <f t="shared" si="156"/>
        <v>0.10472665265724695</v>
      </c>
      <c r="Z454">
        <f t="shared" si="157"/>
        <v>0.19144725914828431</v>
      </c>
      <c r="AA454" t="str">
        <f t="shared" si="158"/>
        <v>Low</v>
      </c>
      <c r="AB454">
        <f t="shared" si="159"/>
        <v>6.8248879510915669E-2</v>
      </c>
      <c r="AC454">
        <f t="shared" si="160"/>
        <v>0.16619109124782019</v>
      </c>
      <c r="AD454" t="str">
        <f t="shared" si="161"/>
        <v>Low</v>
      </c>
      <c r="AE454">
        <f t="shared" si="162"/>
        <v>2.3285336653509684E-2</v>
      </c>
      <c r="AF454">
        <f t="shared" si="163"/>
        <v>0.12740222902150464</v>
      </c>
      <c r="AG454" t="s">
        <v>1175</v>
      </c>
    </row>
    <row r="455" spans="1:33" customFormat="1" x14ac:dyDescent="0.3">
      <c r="A455">
        <v>552721</v>
      </c>
      <c r="B455" t="s">
        <v>85</v>
      </c>
      <c r="C455" t="s">
        <v>992</v>
      </c>
      <c r="D455" t="s">
        <v>995</v>
      </c>
      <c r="E455" s="18">
        <v>6.4</v>
      </c>
      <c r="F455" s="2">
        <f t="shared" si="145"/>
        <v>0.71111111111111114</v>
      </c>
      <c r="G455" s="10">
        <v>26.504999999999999</v>
      </c>
      <c r="H455">
        <f t="shared" si="146"/>
        <v>0.35512905232998421</v>
      </c>
      <c r="I455" s="22">
        <v>0</v>
      </c>
      <c r="J455" s="2">
        <f t="shared" si="147"/>
        <v>0</v>
      </c>
      <c r="K455" s="8">
        <v>0</v>
      </c>
      <c r="L455" s="2">
        <v>0</v>
      </c>
      <c r="M455">
        <v>24638</v>
      </c>
      <c r="N455">
        <f t="shared" si="148"/>
        <v>0.11544193836851145</v>
      </c>
      <c r="O455" s="8">
        <v>0.79792084600000002</v>
      </c>
      <c r="P455">
        <f t="shared" si="149"/>
        <v>0.78327548637682176</v>
      </c>
      <c r="Q455" s="20">
        <v>0.27010000000000001</v>
      </c>
      <c r="R455" s="10">
        <f t="shared" si="150"/>
        <v>0.58488523170203555</v>
      </c>
      <c r="S455">
        <f t="shared" si="151"/>
        <v>8.6377532310480939E-2</v>
      </c>
      <c r="T455" s="11">
        <f t="shared" si="152"/>
        <v>0.15855909295289888</v>
      </c>
      <c r="U455" t="str">
        <f t="shared" si="153"/>
        <v>Low</v>
      </c>
      <c r="V455">
        <f t="shared" si="154"/>
        <v>7.3852351308852315E-2</v>
      </c>
      <c r="W455">
        <f t="shared" si="155"/>
        <v>9.7277376435605425E-2</v>
      </c>
      <c r="X455" t="s">
        <v>1176</v>
      </c>
      <c r="Y455">
        <f t="shared" si="156"/>
        <v>9.8902713312109578E-2</v>
      </c>
      <c r="Z455">
        <f t="shared" si="157"/>
        <v>0.18080071219216662</v>
      </c>
      <c r="AA455" t="str">
        <f t="shared" si="158"/>
        <v>Low</v>
      </c>
      <c r="AB455">
        <f t="shared" si="159"/>
        <v>6.0620959230906664E-2</v>
      </c>
      <c r="AC455">
        <f t="shared" si="160"/>
        <v>0.14761653875156536</v>
      </c>
      <c r="AD455" t="str">
        <f t="shared" si="161"/>
        <v>No Impact</v>
      </c>
      <c r="AE455">
        <f t="shared" si="162"/>
        <v>1.4576635083358547E-2</v>
      </c>
      <c r="AF455">
        <f t="shared" si="163"/>
        <v>7.9753873817110299E-2</v>
      </c>
      <c r="AG455" t="s">
        <v>1176</v>
      </c>
    </row>
    <row r="456" spans="1:33" customFormat="1" x14ac:dyDescent="0.3">
      <c r="A456">
        <v>552730</v>
      </c>
      <c r="B456" t="s">
        <v>111</v>
      </c>
      <c r="C456" t="s">
        <v>992</v>
      </c>
      <c r="D456" t="s">
        <v>996</v>
      </c>
      <c r="E456" s="18">
        <v>6.4</v>
      </c>
      <c r="F456" s="2">
        <f t="shared" si="145"/>
        <v>0.71111111111111114</v>
      </c>
      <c r="G456" s="10">
        <v>27.594359999999998</v>
      </c>
      <c r="H456">
        <f t="shared" si="146"/>
        <v>0.36972491667430385</v>
      </c>
      <c r="I456" s="22">
        <v>0</v>
      </c>
      <c r="J456" s="2">
        <f t="shared" si="147"/>
        <v>0</v>
      </c>
      <c r="K456" s="8">
        <v>0</v>
      </c>
      <c r="L456" s="2">
        <v>0</v>
      </c>
      <c r="M456">
        <v>37811</v>
      </c>
      <c r="N456">
        <f t="shared" si="148"/>
        <v>0.17776894579211083</v>
      </c>
      <c r="O456" s="8">
        <v>0.789014255</v>
      </c>
      <c r="P456">
        <f t="shared" si="149"/>
        <v>0.77346675742343651</v>
      </c>
      <c r="Q456" s="20">
        <v>0.29620000000000002</v>
      </c>
      <c r="R456" s="10">
        <f t="shared" si="150"/>
        <v>0.64140320485058477</v>
      </c>
      <c r="S456">
        <f t="shared" si="151"/>
        <v>9.2997809583420091E-2</v>
      </c>
      <c r="T456" s="11">
        <f t="shared" si="152"/>
        <v>0.1707116184003821</v>
      </c>
      <c r="U456" t="str">
        <f t="shared" si="153"/>
        <v>Low</v>
      </c>
      <c r="V456">
        <f t="shared" si="154"/>
        <v>8.4317420966404946E-2</v>
      </c>
      <c r="W456">
        <f t="shared" si="155"/>
        <v>0.11106183288771239</v>
      </c>
      <c r="X456" t="s">
        <v>1176</v>
      </c>
      <c r="Y456">
        <f t="shared" si="156"/>
        <v>0.10167819820043522</v>
      </c>
      <c r="Z456">
        <f t="shared" si="157"/>
        <v>0.18587448244257726</v>
      </c>
      <c r="AA456" t="str">
        <f t="shared" si="158"/>
        <v>Low</v>
      </c>
      <c r="AB456">
        <f t="shared" si="159"/>
        <v>6.8193743655116629E-2</v>
      </c>
      <c r="AC456">
        <f t="shared" si="160"/>
        <v>0.16605683134336771</v>
      </c>
      <c r="AD456" t="str">
        <f t="shared" si="161"/>
        <v>Low</v>
      </c>
      <c r="AE456">
        <f t="shared" si="162"/>
        <v>2.3369105304983828E-2</v>
      </c>
      <c r="AF456">
        <f t="shared" si="163"/>
        <v>0.12786055664110221</v>
      </c>
      <c r="AG456" t="s">
        <v>1175</v>
      </c>
    </row>
    <row r="457" spans="1:33" customFormat="1" x14ac:dyDescent="0.3">
      <c r="A457">
        <v>552738</v>
      </c>
      <c r="B457" t="s">
        <v>167</v>
      </c>
      <c r="C457" t="s">
        <v>992</v>
      </c>
      <c r="D457" t="s">
        <v>997</v>
      </c>
      <c r="E457" s="18">
        <v>6.4</v>
      </c>
      <c r="F457" s="2">
        <f t="shared" si="145"/>
        <v>0.71111111111111114</v>
      </c>
      <c r="G457" s="10">
        <v>24.74316</v>
      </c>
      <c r="H457">
        <f t="shared" si="146"/>
        <v>0.33152291878699008</v>
      </c>
      <c r="I457" s="22">
        <v>0.9</v>
      </c>
      <c r="J457" s="2">
        <f t="shared" si="147"/>
        <v>4.6177526936890716E-3</v>
      </c>
      <c r="K457" s="8">
        <v>0</v>
      </c>
      <c r="L457" s="2">
        <v>0</v>
      </c>
      <c r="M457">
        <v>22131</v>
      </c>
      <c r="N457">
        <f t="shared" si="148"/>
        <v>0.10358026618973944</v>
      </c>
      <c r="O457" s="8">
        <v>0.82547400500000001</v>
      </c>
      <c r="P457">
        <f t="shared" si="149"/>
        <v>0.81361947190849482</v>
      </c>
      <c r="Q457" s="20">
        <v>0.29909999999999998</v>
      </c>
      <c r="R457" s="10">
        <f t="shared" si="150"/>
        <v>0.64768297964486787</v>
      </c>
      <c r="S457">
        <f t="shared" si="151"/>
        <v>8.732501107582398E-2</v>
      </c>
      <c r="T457" s="11">
        <f t="shared" si="152"/>
        <v>0.16029833427649823</v>
      </c>
      <c r="U457" t="str">
        <f t="shared" si="153"/>
        <v>Low</v>
      </c>
      <c r="V457">
        <f t="shared" si="154"/>
        <v>7.7408921487798377E-2</v>
      </c>
      <c r="W457">
        <f t="shared" si="155"/>
        <v>0.10196204537282198</v>
      </c>
      <c r="X457" t="s">
        <v>1176</v>
      </c>
      <c r="Y457">
        <f t="shared" si="156"/>
        <v>9.7241100663849611E-2</v>
      </c>
      <c r="Z457">
        <f t="shared" si="157"/>
        <v>0.17776317419010121</v>
      </c>
      <c r="AA457" t="str">
        <f t="shared" si="158"/>
        <v>Low</v>
      </c>
      <c r="AB457">
        <f t="shared" si="159"/>
        <v>6.0598302170625035E-2</v>
      </c>
      <c r="AC457">
        <f t="shared" si="160"/>
        <v>0.14756136712677598</v>
      </c>
      <c r="AD457" t="str">
        <f t="shared" si="161"/>
        <v>No Impact</v>
      </c>
      <c r="AE457">
        <f t="shared" si="162"/>
        <v>1.2379569859259202E-2</v>
      </c>
      <c r="AF457">
        <f t="shared" si="163"/>
        <v>6.7732960784113699E-2</v>
      </c>
      <c r="AG457" t="s">
        <v>1176</v>
      </c>
    </row>
    <row r="458" spans="1:33" customFormat="1" x14ac:dyDescent="0.3">
      <c r="A458">
        <v>552743</v>
      </c>
      <c r="B458" t="s">
        <v>183</v>
      </c>
      <c r="C458" t="s">
        <v>992</v>
      </c>
      <c r="D458" t="s">
        <v>998</v>
      </c>
      <c r="E458" s="18">
        <v>6.4</v>
      </c>
      <c r="F458" s="2">
        <f t="shared" si="145"/>
        <v>0.71111111111111114</v>
      </c>
      <c r="G458" s="10">
        <v>27.368279999999999</v>
      </c>
      <c r="H458">
        <f t="shared" si="146"/>
        <v>0.36669576835697643</v>
      </c>
      <c r="I458" s="22">
        <v>1.5000000000000004</v>
      </c>
      <c r="J458" s="2">
        <f t="shared" si="147"/>
        <v>7.6962544894817889E-3</v>
      </c>
      <c r="K458" s="8">
        <v>0</v>
      </c>
      <c r="L458" s="2">
        <v>0</v>
      </c>
      <c r="M458">
        <v>17312</v>
      </c>
      <c r="N458">
        <f t="shared" si="148"/>
        <v>8.0779548906332058E-2</v>
      </c>
      <c r="O458" s="8">
        <v>0.80166590900000001</v>
      </c>
      <c r="P458">
        <f t="shared" si="149"/>
        <v>0.78739988233037483</v>
      </c>
      <c r="Q458" s="20">
        <v>0.28439999999999999</v>
      </c>
      <c r="R458" s="10">
        <f t="shared" si="150"/>
        <v>0.61585101775660456</v>
      </c>
      <c r="S458">
        <f t="shared" si="151"/>
        <v>9.3398389874609328E-2</v>
      </c>
      <c r="T458" s="11">
        <f t="shared" si="152"/>
        <v>0.17144694442703298</v>
      </c>
      <c r="U458" t="str">
        <f t="shared" si="153"/>
        <v>Low</v>
      </c>
      <c r="V458">
        <f t="shared" si="154"/>
        <v>8.1980340732424981E-2</v>
      </c>
      <c r="W458">
        <f t="shared" si="155"/>
        <v>0.10798346057251935</v>
      </c>
      <c r="X458" t="s">
        <v>1176</v>
      </c>
      <c r="Y458">
        <f t="shared" si="156"/>
        <v>0.10481643901679369</v>
      </c>
      <c r="Z458">
        <f t="shared" si="157"/>
        <v>0.19161139456183926</v>
      </c>
      <c r="AA458" t="str">
        <f t="shared" si="158"/>
        <v>Low</v>
      </c>
      <c r="AB458">
        <f t="shared" si="159"/>
        <v>6.3901651513167512E-2</v>
      </c>
      <c r="AC458">
        <f t="shared" si="160"/>
        <v>0.1556052681540756</v>
      </c>
      <c r="AD458" t="str">
        <f t="shared" si="161"/>
        <v>Low</v>
      </c>
      <c r="AE458">
        <f t="shared" si="162"/>
        <v>1.0753144433659044E-2</v>
      </c>
      <c r="AF458">
        <f t="shared" si="163"/>
        <v>5.8834217869547428E-2</v>
      </c>
      <c r="AG458" t="s">
        <v>1176</v>
      </c>
    </row>
    <row r="459" spans="1:33" customFormat="1" x14ac:dyDescent="0.3">
      <c r="A459">
        <v>552747</v>
      </c>
      <c r="B459" t="s">
        <v>198</v>
      </c>
      <c r="C459" t="s">
        <v>992</v>
      </c>
      <c r="D459" t="s">
        <v>999</v>
      </c>
      <c r="E459" s="18">
        <v>6.4</v>
      </c>
      <c r="F459" s="2">
        <f t="shared" si="145"/>
        <v>0.71111111111111114</v>
      </c>
      <c r="G459" s="10">
        <v>25.75872</v>
      </c>
      <c r="H459">
        <f t="shared" si="146"/>
        <v>0.34512996879205476</v>
      </c>
      <c r="I459" s="22">
        <v>1.0000000000000002</v>
      </c>
      <c r="J459" s="2">
        <f t="shared" si="147"/>
        <v>5.130836326321192E-3</v>
      </c>
      <c r="K459" s="8">
        <v>0</v>
      </c>
      <c r="L459" s="2">
        <v>0</v>
      </c>
      <c r="M459">
        <v>12348</v>
      </c>
      <c r="N459">
        <f t="shared" si="148"/>
        <v>5.7292775593438462E-2</v>
      </c>
      <c r="O459" s="8">
        <v>0.87054679000000001</v>
      </c>
      <c r="P459">
        <f t="shared" si="149"/>
        <v>0.86325762541068329</v>
      </c>
      <c r="Q459" s="20">
        <v>0.27939999999999998</v>
      </c>
      <c r="R459" s="10">
        <f t="shared" si="150"/>
        <v>0.60502381983542652</v>
      </c>
      <c r="S459">
        <f t="shared" si="151"/>
        <v>9.1427811760404473E-2</v>
      </c>
      <c r="T459" s="11">
        <f t="shared" si="152"/>
        <v>0.16782964870181993</v>
      </c>
      <c r="U459" t="str">
        <f t="shared" si="153"/>
        <v>Low</v>
      </c>
      <c r="V459">
        <f t="shared" si="154"/>
        <v>7.5347957422702852E-2</v>
      </c>
      <c r="W459">
        <f t="shared" si="155"/>
        <v>9.9247369758201143E-2</v>
      </c>
      <c r="X459" t="s">
        <v>1176</v>
      </c>
      <c r="Y459">
        <f t="shared" si="156"/>
        <v>0.10750766609810609</v>
      </c>
      <c r="Z459">
        <f t="shared" si="157"/>
        <v>0.19653113595899013</v>
      </c>
      <c r="AA459" t="str">
        <f t="shared" si="158"/>
        <v>Low</v>
      </c>
      <c r="AB459">
        <f t="shared" si="159"/>
        <v>6.1121363077560387E-2</v>
      </c>
      <c r="AC459">
        <f t="shared" si="160"/>
        <v>0.14883505928898585</v>
      </c>
      <c r="AD459" t="str">
        <f t="shared" si="161"/>
        <v>No Impact</v>
      </c>
      <c r="AE459">
        <f t="shared" si="162"/>
        <v>7.1350804290930487E-3</v>
      </c>
      <c r="AF459">
        <f t="shared" si="163"/>
        <v>3.9038523017323662E-2</v>
      </c>
      <c r="AG459" t="s">
        <v>1176</v>
      </c>
    </row>
    <row r="460" spans="1:33" customFormat="1" x14ac:dyDescent="0.3">
      <c r="A460">
        <v>552756</v>
      </c>
      <c r="B460" t="s">
        <v>235</v>
      </c>
      <c r="C460" t="s">
        <v>992</v>
      </c>
      <c r="D460" t="s">
        <v>1000</v>
      </c>
      <c r="E460" s="18">
        <v>5</v>
      </c>
      <c r="F460" s="2">
        <f t="shared" si="145"/>
        <v>0.39999999999999997</v>
      </c>
      <c r="G460" s="10">
        <v>26.504999999999999</v>
      </c>
      <c r="H460">
        <f t="shared" si="146"/>
        <v>0.35512905232998421</v>
      </c>
      <c r="I460" s="22">
        <v>0</v>
      </c>
      <c r="J460" s="2">
        <f t="shared" si="147"/>
        <v>0</v>
      </c>
      <c r="K460" s="8">
        <v>0</v>
      </c>
      <c r="L460" s="2">
        <v>0</v>
      </c>
      <c r="M460">
        <v>26833</v>
      </c>
      <c r="N460">
        <f t="shared" si="148"/>
        <v>0.12582740722866484</v>
      </c>
      <c r="O460" s="8">
        <v>0.76015292700000003</v>
      </c>
      <c r="P460">
        <f t="shared" si="149"/>
        <v>0.74168210001784218</v>
      </c>
      <c r="Q460" s="20">
        <v>0.27579999999999999</v>
      </c>
      <c r="R460" s="10">
        <f t="shared" si="150"/>
        <v>0.59722823733217845</v>
      </c>
      <c r="S460">
        <f t="shared" si="151"/>
        <v>4.7548595925793226E-2</v>
      </c>
      <c r="T460" s="11">
        <f t="shared" si="152"/>
        <v>8.7282676866457243E-2</v>
      </c>
      <c r="U460" t="str">
        <f t="shared" si="153"/>
        <v>No Impact</v>
      </c>
      <c r="V460">
        <f t="shared" si="154"/>
        <v>4.2418619589696685E-2</v>
      </c>
      <c r="W460">
        <f t="shared" si="155"/>
        <v>5.587326540828854E-2</v>
      </c>
      <c r="X460" t="s">
        <v>1176</v>
      </c>
      <c r="Y460">
        <f t="shared" si="156"/>
        <v>5.2678572261889767E-2</v>
      </c>
      <c r="Z460">
        <f t="shared" si="157"/>
        <v>9.6299920025045796E-2</v>
      </c>
      <c r="AA460" t="str">
        <f t="shared" si="158"/>
        <v>No Impact</v>
      </c>
      <c r="AB460">
        <f t="shared" si="159"/>
        <v>3.3778036286998596E-2</v>
      </c>
      <c r="AC460">
        <f t="shared" si="160"/>
        <v>8.2252027446793899E-2</v>
      </c>
      <c r="AD460" t="str">
        <f t="shared" si="161"/>
        <v>No Impact</v>
      </c>
      <c r="AE460">
        <f t="shared" si="162"/>
        <v>8.9369935772509491E-3</v>
      </c>
      <c r="AF460">
        <f t="shared" si="163"/>
        <v>4.8897420700208208E-2</v>
      </c>
      <c r="AG460" t="s">
        <v>1176</v>
      </c>
    </row>
    <row r="461" spans="1:33" customFormat="1" x14ac:dyDescent="0.3">
      <c r="A461">
        <v>552760</v>
      </c>
      <c r="B461" t="s">
        <v>272</v>
      </c>
      <c r="C461" t="s">
        <v>992</v>
      </c>
      <c r="D461" t="s">
        <v>1001</v>
      </c>
      <c r="E461" s="18">
        <v>6.3</v>
      </c>
      <c r="F461" s="2">
        <f t="shared" si="145"/>
        <v>0.68888888888888877</v>
      </c>
      <c r="G461" s="10">
        <v>25.8948</v>
      </c>
      <c r="H461">
        <f t="shared" si="146"/>
        <v>0.34695324596394927</v>
      </c>
      <c r="I461" s="22">
        <v>0</v>
      </c>
      <c r="J461" s="2">
        <f t="shared" si="147"/>
        <v>0</v>
      </c>
      <c r="K461" s="8">
        <v>0</v>
      </c>
      <c r="L461" s="2">
        <v>0</v>
      </c>
      <c r="M461">
        <v>15773</v>
      </c>
      <c r="N461">
        <f t="shared" si="148"/>
        <v>7.3497892151992164E-2</v>
      </c>
      <c r="O461" s="8">
        <v>0.53395391199999998</v>
      </c>
      <c r="P461">
        <f t="shared" si="149"/>
        <v>0.49257165723926</v>
      </c>
      <c r="Q461" s="20">
        <v>0.26900000000000002</v>
      </c>
      <c r="R461" s="10">
        <f t="shared" si="150"/>
        <v>0.58250324815937637</v>
      </c>
      <c r="S461">
        <f t="shared" si="151"/>
        <v>6.4239014280865092E-2</v>
      </c>
      <c r="T461" s="11">
        <f t="shared" si="152"/>
        <v>0.11792047728279881</v>
      </c>
      <c r="U461" t="str">
        <f t="shared" si="153"/>
        <v>No Impact</v>
      </c>
      <c r="V461">
        <f t="shared" si="154"/>
        <v>6.9612701941518029E-2</v>
      </c>
      <c r="W461">
        <f t="shared" si="155"/>
        <v>9.1692964292295398E-2</v>
      </c>
      <c r="X461" t="s">
        <v>1176</v>
      </c>
      <c r="Y461">
        <f t="shared" si="156"/>
        <v>5.8865326620212162E-2</v>
      </c>
      <c r="Z461">
        <f t="shared" si="157"/>
        <v>0.10760971686158742</v>
      </c>
      <c r="AA461" t="str">
        <f t="shared" si="158"/>
        <v>No Impact</v>
      </c>
      <c r="AB461">
        <f t="shared" si="159"/>
        <v>4.5098250387284017E-2</v>
      </c>
      <c r="AC461">
        <f t="shared" si="160"/>
        <v>0.10981758966506443</v>
      </c>
      <c r="AD461" t="str">
        <f t="shared" si="161"/>
        <v>No Impact</v>
      </c>
      <c r="AE461">
        <f t="shared" si="162"/>
        <v>8.7834477762544494E-3</v>
      </c>
      <c r="AF461">
        <f t="shared" si="163"/>
        <v>4.8057317866612374E-2</v>
      </c>
      <c r="AG461" t="s">
        <v>1176</v>
      </c>
    </row>
    <row r="462" spans="1:33" customFormat="1" x14ac:dyDescent="0.3">
      <c r="A462">
        <v>552764</v>
      </c>
      <c r="B462" t="s">
        <v>151</v>
      </c>
      <c r="C462" t="s">
        <v>992</v>
      </c>
      <c r="D462" t="s">
        <v>1002</v>
      </c>
      <c r="E462" s="18">
        <v>6.4</v>
      </c>
      <c r="F462" s="2">
        <f t="shared" si="145"/>
        <v>0.71111111111111114</v>
      </c>
      <c r="G462" s="10">
        <v>25.161840000000002</v>
      </c>
      <c r="H462">
        <f t="shared" si="146"/>
        <v>0.33713263135554389</v>
      </c>
      <c r="I462" s="22">
        <v>0</v>
      </c>
      <c r="J462" s="2">
        <f t="shared" si="147"/>
        <v>0</v>
      </c>
      <c r="K462" s="8">
        <v>0</v>
      </c>
      <c r="L462" s="2">
        <v>0</v>
      </c>
      <c r="M462">
        <v>51759</v>
      </c>
      <c r="N462">
        <f t="shared" si="148"/>
        <v>0.24376280440779172</v>
      </c>
      <c r="O462" s="8">
        <v>0.80061995100000005</v>
      </c>
      <c r="P462">
        <f t="shared" si="149"/>
        <v>0.78624798049513567</v>
      </c>
      <c r="Q462" s="20">
        <v>0.29970000000000002</v>
      </c>
      <c r="R462" s="10">
        <f t="shared" si="150"/>
        <v>0.64898224339540933</v>
      </c>
      <c r="S462">
        <f t="shared" si="151"/>
        <v>8.6020078574440148E-2</v>
      </c>
      <c r="T462" s="11">
        <f t="shared" si="152"/>
        <v>0.15790293227496324</v>
      </c>
      <c r="U462" t="str">
        <f t="shared" si="153"/>
        <v>Low</v>
      </c>
      <c r="V462">
        <f t="shared" si="154"/>
        <v>7.7793099171170985E-2</v>
      </c>
      <c r="W462">
        <f t="shared" si="155"/>
        <v>0.10246807932382385</v>
      </c>
      <c r="X462" t="s">
        <v>1176</v>
      </c>
      <c r="Y462">
        <f t="shared" si="156"/>
        <v>9.4247057977709311E-2</v>
      </c>
      <c r="Z462">
        <f t="shared" si="157"/>
        <v>0.17228986580593544</v>
      </c>
      <c r="AA462" t="str">
        <f t="shared" si="158"/>
        <v>Low</v>
      </c>
      <c r="AB462">
        <f t="shared" si="159"/>
        <v>6.5728595787422447E-2</v>
      </c>
      <c r="AC462">
        <f t="shared" si="160"/>
        <v>0.16005401317030438</v>
      </c>
      <c r="AD462" t="str">
        <f t="shared" si="161"/>
        <v>Low</v>
      </c>
      <c r="AE462">
        <f t="shared" si="162"/>
        <v>2.9219696240570879E-2</v>
      </c>
      <c r="AF462">
        <f t="shared" si="163"/>
        <v>0.15987118794002542</v>
      </c>
      <c r="AG462" t="s">
        <v>1175</v>
      </c>
    </row>
    <row r="463" spans="1:33" customFormat="1" x14ac:dyDescent="0.3">
      <c r="A463">
        <v>552769</v>
      </c>
      <c r="B463" t="s">
        <v>377</v>
      </c>
      <c r="C463" t="s">
        <v>992</v>
      </c>
      <c r="D463" t="s">
        <v>722</v>
      </c>
      <c r="E463" s="18">
        <v>6.3</v>
      </c>
      <c r="F463" s="2">
        <f t="shared" si="145"/>
        <v>0.68888888888888877</v>
      </c>
      <c r="G463" s="10">
        <v>26.310600000000001</v>
      </c>
      <c r="H463">
        <f t="shared" si="146"/>
        <v>0.35252437065584924</v>
      </c>
      <c r="I463" s="22">
        <v>0.79999999999999993</v>
      </c>
      <c r="J463" s="2">
        <f t="shared" si="147"/>
        <v>4.1046690610569521E-3</v>
      </c>
      <c r="K463" s="8">
        <v>0</v>
      </c>
      <c r="L463" s="2">
        <v>0</v>
      </c>
      <c r="M463">
        <v>37424</v>
      </c>
      <c r="N463">
        <f t="shared" si="148"/>
        <v>0.17593788590651657</v>
      </c>
      <c r="O463" s="8">
        <v>0.78850566799999999</v>
      </c>
      <c r="P463">
        <f t="shared" si="149"/>
        <v>0.77290665625428934</v>
      </c>
      <c r="Q463" s="20">
        <v>0.2606</v>
      </c>
      <c r="R463" s="10">
        <f t="shared" si="150"/>
        <v>0.56431355565179731</v>
      </c>
      <c r="S463">
        <f t="shared" si="151"/>
        <v>8.2131324232918163E-2</v>
      </c>
      <c r="T463" s="11">
        <f t="shared" si="152"/>
        <v>0.15076453245483368</v>
      </c>
      <c r="U463" t="str">
        <f t="shared" si="153"/>
        <v>Low</v>
      </c>
      <c r="V463">
        <f t="shared" si="154"/>
        <v>6.9319651611014818E-2</v>
      </c>
      <c r="W463">
        <f t="shared" si="155"/>
        <v>9.1306962129741057E-2</v>
      </c>
      <c r="X463" t="s">
        <v>1176</v>
      </c>
      <c r="Y463">
        <f t="shared" si="156"/>
        <v>9.4942996854821493E-2</v>
      </c>
      <c r="Z463">
        <f t="shared" si="157"/>
        <v>0.1735620881789155</v>
      </c>
      <c r="AA463" t="str">
        <f t="shared" si="158"/>
        <v>Low</v>
      </c>
      <c r="AB463">
        <f t="shared" si="159"/>
        <v>6.0308982324881633E-2</v>
      </c>
      <c r="AC463">
        <f t="shared" si="160"/>
        <v>0.14685685181123798</v>
      </c>
      <c r="AD463" t="str">
        <f t="shared" si="161"/>
        <v>No Impact</v>
      </c>
      <c r="AE463">
        <f t="shared" si="162"/>
        <v>2.1612014870228572E-2</v>
      </c>
      <c r="AF463">
        <f t="shared" si="163"/>
        <v>0.11824689971566354</v>
      </c>
      <c r="AG463" t="s">
        <v>1176</v>
      </c>
    </row>
    <row r="464" spans="1:33" customFormat="1" x14ac:dyDescent="0.3">
      <c r="A464">
        <v>552777</v>
      </c>
      <c r="B464" t="s">
        <v>401</v>
      </c>
      <c r="C464" t="s">
        <v>992</v>
      </c>
      <c r="D464" t="s">
        <v>1003</v>
      </c>
      <c r="E464" s="18">
        <v>6.4</v>
      </c>
      <c r="F464" s="2">
        <f t="shared" si="145"/>
        <v>0.71111111111111114</v>
      </c>
      <c r="G464" s="10">
        <v>28.130400000000002</v>
      </c>
      <c r="H464">
        <f t="shared" si="146"/>
        <v>0.37690708521650212</v>
      </c>
      <c r="I464" s="22">
        <v>0.2</v>
      </c>
      <c r="J464" s="2">
        <f t="shared" si="147"/>
        <v>1.0261672652642382E-3</v>
      </c>
      <c r="K464" s="8">
        <v>0</v>
      </c>
      <c r="L464" s="2">
        <v>0</v>
      </c>
      <c r="M464">
        <v>48158</v>
      </c>
      <c r="N464">
        <f t="shared" si="148"/>
        <v>0.22672495777206852</v>
      </c>
      <c r="O464" s="8">
        <v>0.82996451500000001</v>
      </c>
      <c r="P464">
        <f t="shared" si="149"/>
        <v>0.81856482029739752</v>
      </c>
      <c r="Q464" s="20">
        <v>0.28949999999999998</v>
      </c>
      <c r="R464" s="10">
        <f t="shared" si="150"/>
        <v>0.62689475963620611</v>
      </c>
      <c r="S464">
        <f t="shared" si="151"/>
        <v>9.711773162226392E-2</v>
      </c>
      <c r="T464" s="11">
        <f t="shared" si="152"/>
        <v>0.17827436167449703</v>
      </c>
      <c r="U464" t="str">
        <f t="shared" si="153"/>
        <v>Low</v>
      </c>
      <c r="V464">
        <f t="shared" si="154"/>
        <v>8.4239777945986319E-2</v>
      </c>
      <c r="W464">
        <f t="shared" si="155"/>
        <v>0.11095956249020976</v>
      </c>
      <c r="X464" t="s">
        <v>1176</v>
      </c>
      <c r="Y464">
        <f t="shared" si="156"/>
        <v>0.10999568529854152</v>
      </c>
      <c r="Z464">
        <f t="shared" si="157"/>
        <v>0.20107939988747259</v>
      </c>
      <c r="AA464" t="str">
        <f t="shared" si="158"/>
        <v>Low</v>
      </c>
      <c r="AB464">
        <f t="shared" si="159"/>
        <v>7.3145886625628737E-2</v>
      </c>
      <c r="AC464">
        <f t="shared" si="160"/>
        <v>0.17811566732986911</v>
      </c>
      <c r="AD464" t="str">
        <f t="shared" si="161"/>
        <v>Low</v>
      </c>
      <c r="AE464">
        <f t="shared" si="162"/>
        <v>3.0466453585631638E-2</v>
      </c>
      <c r="AF464">
        <f t="shared" si="163"/>
        <v>0.16669263386426686</v>
      </c>
      <c r="AG464" t="s">
        <v>1175</v>
      </c>
    </row>
    <row r="465" spans="1:33" customFormat="1" x14ac:dyDescent="0.3">
      <c r="A465">
        <v>553221</v>
      </c>
      <c r="B465" t="s">
        <v>169</v>
      </c>
      <c r="C465" t="s">
        <v>1005</v>
      </c>
      <c r="D465" t="s">
        <v>1004</v>
      </c>
      <c r="E465" s="18">
        <v>7</v>
      </c>
      <c r="F465" s="2">
        <f t="shared" si="145"/>
        <v>0.84444444444444444</v>
      </c>
      <c r="G465" s="10">
        <v>27.014760000000003</v>
      </c>
      <c r="H465">
        <f t="shared" si="146"/>
        <v>0.36195910649771612</v>
      </c>
      <c r="I465" s="22">
        <v>1.1000000000000003</v>
      </c>
      <c r="J465" s="2">
        <f t="shared" si="147"/>
        <v>5.6439199589533116E-3</v>
      </c>
      <c r="K465" s="8">
        <v>0</v>
      </c>
      <c r="L465" s="2">
        <v>0</v>
      </c>
      <c r="M465">
        <v>4647</v>
      </c>
      <c r="N465">
        <f t="shared" si="148"/>
        <v>2.0856103296380935E-2</v>
      </c>
      <c r="O465" s="8">
        <v>0.400477419</v>
      </c>
      <c r="P465">
        <f t="shared" si="149"/>
        <v>0.34557548985204878</v>
      </c>
      <c r="Q465" s="20">
        <v>0.22950000000000001</v>
      </c>
      <c r="R465" s="10">
        <f t="shared" si="150"/>
        <v>0.49696838458207021</v>
      </c>
      <c r="S465">
        <f t="shared" si="151"/>
        <v>6.5385687612507709E-2</v>
      </c>
      <c r="T465" s="11">
        <f t="shared" si="152"/>
        <v>0.12002537051736127</v>
      </c>
      <c r="U465" t="str">
        <f t="shared" si="153"/>
        <v>No Impact</v>
      </c>
      <c r="V465">
        <f t="shared" si="154"/>
        <v>7.7134545828608209E-2</v>
      </c>
      <c r="W465">
        <f t="shared" si="155"/>
        <v>0.10160064124944899</v>
      </c>
      <c r="X465" t="s">
        <v>1176</v>
      </c>
      <c r="Y465">
        <f t="shared" si="156"/>
        <v>5.3636829396407203E-2</v>
      </c>
      <c r="Z465">
        <f t="shared" si="157"/>
        <v>9.8051677551022218E-2</v>
      </c>
      <c r="AA465" t="str">
        <f t="shared" si="158"/>
        <v>No Impact</v>
      </c>
      <c r="AB465">
        <f t="shared" si="159"/>
        <v>4.4221117603396205E-2</v>
      </c>
      <c r="AC465">
        <f t="shared" si="160"/>
        <v>0.10768170618143538</v>
      </c>
      <c r="AD465" t="str">
        <f t="shared" si="161"/>
        <v>No Impact</v>
      </c>
      <c r="AE465">
        <f t="shared" si="162"/>
        <v>3.2370792698890771E-3</v>
      </c>
      <c r="AF465">
        <f t="shared" si="163"/>
        <v>1.7711193986152333E-2</v>
      </c>
      <c r="AG465" t="s">
        <v>1176</v>
      </c>
    </row>
    <row r="466" spans="1:33" customFormat="1" x14ac:dyDescent="0.3">
      <c r="A466">
        <v>553224</v>
      </c>
      <c r="B466" t="s">
        <v>173</v>
      </c>
      <c r="C466" t="s">
        <v>1005</v>
      </c>
      <c r="D466" t="s">
        <v>1006</v>
      </c>
      <c r="E466" s="18">
        <v>7.1</v>
      </c>
      <c r="F466" s="2">
        <f t="shared" si="145"/>
        <v>0.86666666666666659</v>
      </c>
      <c r="G466" s="10">
        <v>26.25264</v>
      </c>
      <c r="H466">
        <f t="shared" si="146"/>
        <v>0.35174778963819042</v>
      </c>
      <c r="I466" s="22">
        <v>0.8999999999999998</v>
      </c>
      <c r="J466" s="2">
        <f t="shared" si="147"/>
        <v>4.6177526936890707E-3</v>
      </c>
      <c r="K466" s="8">
        <v>0</v>
      </c>
      <c r="L466" s="2">
        <v>0</v>
      </c>
      <c r="M466">
        <v>17828</v>
      </c>
      <c r="N466">
        <f t="shared" si="148"/>
        <v>8.3220962087124387E-2</v>
      </c>
      <c r="O466" s="8">
        <v>0.68362840199999997</v>
      </c>
      <c r="P466">
        <f t="shared" si="149"/>
        <v>0.65740649737575862</v>
      </c>
      <c r="Q466" s="20">
        <v>0.30170000000000002</v>
      </c>
      <c r="R466" s="10">
        <f t="shared" si="150"/>
        <v>0.65331312256388052</v>
      </c>
      <c r="S466">
        <f t="shared" si="151"/>
        <v>0.10120398344437863</v>
      </c>
      <c r="T466" s="11">
        <f t="shared" si="152"/>
        <v>0.18577529814675861</v>
      </c>
      <c r="U466" t="str">
        <f t="shared" si="153"/>
        <v>Low</v>
      </c>
      <c r="V466">
        <f t="shared" si="154"/>
        <v>0.10088792360183808</v>
      </c>
      <c r="W466">
        <f t="shared" si="155"/>
        <v>0.13288828788916618</v>
      </c>
      <c r="X466" t="s">
        <v>1176</v>
      </c>
      <c r="Y466">
        <f t="shared" si="156"/>
        <v>0.10152004328691919</v>
      </c>
      <c r="Z466">
        <f t="shared" si="157"/>
        <v>0.18558536478298229</v>
      </c>
      <c r="AA466" t="str">
        <f t="shared" si="158"/>
        <v>Low</v>
      </c>
      <c r="AB466">
        <f t="shared" si="159"/>
        <v>7.026477721199885E-2</v>
      </c>
      <c r="AC466">
        <f t="shared" si="160"/>
        <v>0.17109995189414628</v>
      </c>
      <c r="AD466" t="str">
        <f t="shared" si="161"/>
        <v>Low</v>
      </c>
      <c r="AE466">
        <f t="shared" si="162"/>
        <v>1.2851402757942174E-2</v>
      </c>
      <c r="AF466">
        <f t="shared" si="163"/>
        <v>7.0314523761380254E-2</v>
      </c>
      <c r="AG466" t="s">
        <v>1176</v>
      </c>
    </row>
    <row r="467" spans="1:33" customFormat="1" x14ac:dyDescent="0.3">
      <c r="A467">
        <v>553230</v>
      </c>
      <c r="B467" t="s">
        <v>185</v>
      </c>
      <c r="C467" t="s">
        <v>1005</v>
      </c>
      <c r="D467" t="s">
        <v>1007</v>
      </c>
      <c r="E467" s="18">
        <v>6.7</v>
      </c>
      <c r="F467" s="2">
        <f t="shared" si="145"/>
        <v>0.77777777777777779</v>
      </c>
      <c r="G467" s="10">
        <v>28.834560000000003</v>
      </c>
      <c r="H467">
        <f t="shared" si="146"/>
        <v>0.38634182105836906</v>
      </c>
      <c r="I467" s="22">
        <v>0.8999999999999998</v>
      </c>
      <c r="J467" s="2">
        <f t="shared" si="147"/>
        <v>4.6177526936890707E-3</v>
      </c>
      <c r="K467" s="8">
        <v>0</v>
      </c>
      <c r="L467" s="2">
        <v>0</v>
      </c>
      <c r="M467">
        <v>31462</v>
      </c>
      <c r="N467">
        <f t="shared" si="148"/>
        <v>0.14772915454240063</v>
      </c>
      <c r="O467" s="8">
        <v>0.730715279</v>
      </c>
      <c r="P467">
        <f t="shared" si="149"/>
        <v>0.70926274784851451</v>
      </c>
      <c r="Q467" s="20">
        <v>0.29349999999999998</v>
      </c>
      <c r="R467" s="10">
        <f t="shared" si="150"/>
        <v>0.63555651797314849</v>
      </c>
      <c r="S467">
        <f t="shared" si="151"/>
        <v>0.10223304912706534</v>
      </c>
      <c r="T467" s="11">
        <f t="shared" si="152"/>
        <v>0.18766430466119874</v>
      </c>
      <c r="U467" t="str">
        <f t="shared" si="153"/>
        <v>Low</v>
      </c>
      <c r="V467">
        <f t="shared" si="154"/>
        <v>9.6629907640826171E-2</v>
      </c>
      <c r="W467">
        <f t="shared" si="155"/>
        <v>0.12727968350261196</v>
      </c>
      <c r="X467" t="s">
        <v>1176</v>
      </c>
      <c r="Y467">
        <f t="shared" si="156"/>
        <v>0.1078361906133045</v>
      </c>
      <c r="Z467">
        <f t="shared" si="157"/>
        <v>0.1971317005373654</v>
      </c>
      <c r="AA467" t="str">
        <f t="shared" si="158"/>
        <v>Low</v>
      </c>
      <c r="AB467">
        <f t="shared" si="159"/>
        <v>7.4032575517285482E-2</v>
      </c>
      <c r="AC467">
        <f t="shared" si="160"/>
        <v>0.18027482064575889</v>
      </c>
      <c r="AD467" t="str">
        <f t="shared" si="161"/>
        <v>Low</v>
      </c>
      <c r="AE467">
        <f t="shared" si="162"/>
        <v>2.2460716168585675E-2</v>
      </c>
      <c r="AF467">
        <f t="shared" si="163"/>
        <v>0.12289044164907351</v>
      </c>
      <c r="AG467" t="s">
        <v>1175</v>
      </c>
    </row>
    <row r="468" spans="1:33" customFormat="1" x14ac:dyDescent="0.3">
      <c r="A468">
        <v>553267</v>
      </c>
      <c r="B468" t="s">
        <v>393</v>
      </c>
      <c r="C468" t="s">
        <v>1005</v>
      </c>
      <c r="D468" t="s">
        <v>1008</v>
      </c>
      <c r="E468" s="18">
        <v>7</v>
      </c>
      <c r="F468" s="2">
        <f t="shared" si="145"/>
        <v>0.84444444444444444</v>
      </c>
      <c r="G468" s="10">
        <v>27.368279999999999</v>
      </c>
      <c r="H468">
        <f t="shared" si="146"/>
        <v>0.36669576835697643</v>
      </c>
      <c r="I468" s="22">
        <v>0.8999999999999998</v>
      </c>
      <c r="J468" s="2">
        <f t="shared" si="147"/>
        <v>4.6177526936890707E-3</v>
      </c>
      <c r="K468" s="8">
        <v>0</v>
      </c>
      <c r="L468" s="2">
        <v>0</v>
      </c>
      <c r="M468">
        <v>6784</v>
      </c>
      <c r="N468">
        <f t="shared" si="148"/>
        <v>3.0967149744739842E-2</v>
      </c>
      <c r="O468" s="8">
        <v>0.77436753400000002</v>
      </c>
      <c r="P468">
        <f t="shared" si="149"/>
        <v>0.75733648756543404</v>
      </c>
      <c r="Q468" s="20">
        <v>0.31090000000000001</v>
      </c>
      <c r="R468" s="10">
        <f t="shared" si="150"/>
        <v>0.67323516673884798</v>
      </c>
      <c r="S468">
        <f t="shared" si="151"/>
        <v>0.11214023737138855</v>
      </c>
      <c r="T468" s="11">
        <f t="shared" si="152"/>
        <v>0.205850454921744</v>
      </c>
      <c r="U468" t="str">
        <f t="shared" si="153"/>
        <v>Low</v>
      </c>
      <c r="V468">
        <f t="shared" si="154"/>
        <v>0.10554766855292748</v>
      </c>
      <c r="W468">
        <f t="shared" si="155"/>
        <v>0.13902604458435081</v>
      </c>
      <c r="X468" t="s">
        <v>1176</v>
      </c>
      <c r="Y468">
        <f t="shared" si="156"/>
        <v>0.1187328061898496</v>
      </c>
      <c r="Z468">
        <f t="shared" si="157"/>
        <v>0.21705143570687963</v>
      </c>
      <c r="AA468" t="str">
        <f t="shared" si="158"/>
        <v>Low</v>
      </c>
      <c r="AB468">
        <f t="shared" si="159"/>
        <v>7.4260751791975943E-2</v>
      </c>
      <c r="AC468">
        <f t="shared" si="160"/>
        <v>0.1808304468239382</v>
      </c>
      <c r="AD468" t="str">
        <f t="shared" si="161"/>
        <v>Low</v>
      </c>
      <c r="AE468">
        <f t="shared" si="162"/>
        <v>4.8549312614184171E-3</v>
      </c>
      <c r="AF468">
        <f t="shared" si="163"/>
        <v>2.6563028641360172E-2</v>
      </c>
      <c r="AG468" t="s">
        <v>1176</v>
      </c>
    </row>
    <row r="469" spans="1:33" customFormat="1" x14ac:dyDescent="0.3">
      <c r="A469">
        <v>553282</v>
      </c>
      <c r="B469" t="s">
        <v>450</v>
      </c>
      <c r="C469" t="s">
        <v>1005</v>
      </c>
      <c r="D469" t="s">
        <v>1009</v>
      </c>
      <c r="E469" s="18">
        <v>5.9</v>
      </c>
      <c r="F469" s="2">
        <f t="shared" si="145"/>
        <v>0.60000000000000009</v>
      </c>
      <c r="G469" s="10">
        <v>27.839160000000003</v>
      </c>
      <c r="H469">
        <f t="shared" si="146"/>
        <v>0.37300488618988137</v>
      </c>
      <c r="I469" s="22">
        <v>0.8999999999999998</v>
      </c>
      <c r="J469" s="2">
        <f t="shared" si="147"/>
        <v>4.6177526936890707E-3</v>
      </c>
      <c r="K469" s="8">
        <v>0</v>
      </c>
      <c r="L469" s="2">
        <v>0</v>
      </c>
      <c r="M469">
        <v>9977</v>
      </c>
      <c r="N469">
        <f t="shared" si="148"/>
        <v>4.6074576656115598E-2</v>
      </c>
      <c r="O469" s="8">
        <v>0.76130952100000004</v>
      </c>
      <c r="P469">
        <f t="shared" si="149"/>
        <v>0.74295584404124149</v>
      </c>
      <c r="Q469" s="20">
        <v>0.32150000000000001</v>
      </c>
      <c r="R469" s="10">
        <f t="shared" si="150"/>
        <v>0.69618882633174539</v>
      </c>
      <c r="S469">
        <f t="shared" si="151"/>
        <v>8.151804122422103E-2</v>
      </c>
      <c r="T469" s="11">
        <f t="shared" si="152"/>
        <v>0.14963875825196676</v>
      </c>
      <c r="U469" t="str">
        <f t="shared" si="153"/>
        <v>No Impact</v>
      </c>
      <c r="V469">
        <f t="shared" si="154"/>
        <v>7.8868998528194845E-2</v>
      </c>
      <c r="W469">
        <f t="shared" si="155"/>
        <v>0.10388524025242234</v>
      </c>
      <c r="X469" t="s">
        <v>1176</v>
      </c>
      <c r="Y469">
        <f t="shared" si="156"/>
        <v>8.4167083920247215E-2</v>
      </c>
      <c r="Z469">
        <f t="shared" si="157"/>
        <v>0.15386300543541648</v>
      </c>
      <c r="AA469" t="str">
        <f t="shared" si="158"/>
        <v>Low</v>
      </c>
      <c r="AB469">
        <f t="shared" si="159"/>
        <v>5.4681148999286569E-2</v>
      </c>
      <c r="AC469">
        <f t="shared" si="160"/>
        <v>0.13315265961872144</v>
      </c>
      <c r="AD469" t="str">
        <f t="shared" si="161"/>
        <v>No Impact</v>
      </c>
      <c r="AE469">
        <f t="shared" si="162"/>
        <v>5.2196409666977186E-3</v>
      </c>
      <c r="AF469">
        <f t="shared" si="163"/>
        <v>2.8558483123713795E-2</v>
      </c>
      <c r="AG469" t="s">
        <v>1176</v>
      </c>
    </row>
    <row r="470" spans="1:33" customFormat="1" x14ac:dyDescent="0.3">
      <c r="A470">
        <v>553288</v>
      </c>
      <c r="B470" t="s">
        <v>451</v>
      </c>
      <c r="C470" t="s">
        <v>1005</v>
      </c>
      <c r="D470" t="s">
        <v>1010</v>
      </c>
      <c r="E470" s="18">
        <v>7</v>
      </c>
      <c r="F470" s="2">
        <f t="shared" si="145"/>
        <v>0.84444444444444444</v>
      </c>
      <c r="G470" s="10">
        <v>27.969840000000001</v>
      </c>
      <c r="H470">
        <f t="shared" si="146"/>
        <v>0.3747558110930499</v>
      </c>
      <c r="I470" s="22">
        <v>1.9000000000000006</v>
      </c>
      <c r="J470" s="2">
        <f t="shared" si="147"/>
        <v>9.7485890200102662E-3</v>
      </c>
      <c r="K470" s="8">
        <v>0</v>
      </c>
      <c r="L470" s="2">
        <v>0</v>
      </c>
      <c r="M470">
        <v>16704</v>
      </c>
      <c r="N470">
        <f t="shared" si="148"/>
        <v>7.7902845003382973E-2</v>
      </c>
      <c r="O470" s="8">
        <v>0.59559640899999999</v>
      </c>
      <c r="P470">
        <f t="shared" si="149"/>
        <v>0.56045784905865159</v>
      </c>
      <c r="Q470" s="20">
        <v>0.27210000000000001</v>
      </c>
      <c r="R470" s="10">
        <f t="shared" si="150"/>
        <v>0.58921611087050674</v>
      </c>
      <c r="S470">
        <f t="shared" si="151"/>
        <v>9.3322658105279774E-2</v>
      </c>
      <c r="T470" s="11">
        <f t="shared" si="152"/>
        <v>0.17130792725055877</v>
      </c>
      <c r="U470" t="str">
        <f t="shared" si="153"/>
        <v>Low</v>
      </c>
      <c r="V470">
        <f t="shared" si="154"/>
        <v>9.5657056837712792E-2</v>
      </c>
      <c r="W470">
        <f t="shared" si="155"/>
        <v>0.12599825681662372</v>
      </c>
      <c r="X470" t="s">
        <v>1176</v>
      </c>
      <c r="Y470">
        <f t="shared" si="156"/>
        <v>9.0988259372846755E-2</v>
      </c>
      <c r="Z470">
        <f t="shared" si="157"/>
        <v>0.16633256606239191</v>
      </c>
      <c r="AA470" t="str">
        <f t="shared" si="158"/>
        <v>Low</v>
      </c>
      <c r="AB470">
        <f t="shared" si="159"/>
        <v>6.520298129296663E-2</v>
      </c>
      <c r="AC470">
        <f t="shared" si="160"/>
        <v>0.1587741028327975</v>
      </c>
      <c r="AD470" t="str">
        <f t="shared" si="161"/>
        <v>Low</v>
      </c>
      <c r="AE470">
        <f t="shared" si="162"/>
        <v>1.2647238822608955E-2</v>
      </c>
      <c r="AF470">
        <f t="shared" si="163"/>
        <v>6.9197471393432894E-2</v>
      </c>
      <c r="AG470" t="s">
        <v>1176</v>
      </c>
    </row>
    <row r="471" spans="1:33" customFormat="1" x14ac:dyDescent="0.3">
      <c r="A471">
        <v>553291</v>
      </c>
      <c r="B471" t="s">
        <v>504</v>
      </c>
      <c r="C471" t="s">
        <v>1005</v>
      </c>
      <c r="D471" t="s">
        <v>1011</v>
      </c>
      <c r="E471" s="18">
        <v>7.1</v>
      </c>
      <c r="F471" s="2">
        <f t="shared" si="145"/>
        <v>0.86666666666666659</v>
      </c>
      <c r="G471" s="10">
        <v>30.146040000000003</v>
      </c>
      <c r="H471">
        <f t="shared" si="146"/>
        <v>0.40391377538961704</v>
      </c>
      <c r="I471" s="22">
        <v>1</v>
      </c>
      <c r="J471" s="2">
        <f t="shared" si="147"/>
        <v>5.1308363263211912E-3</v>
      </c>
      <c r="K471" s="8">
        <v>0</v>
      </c>
      <c r="L471" s="2">
        <v>0</v>
      </c>
      <c r="M471">
        <v>13827</v>
      </c>
      <c r="N471">
        <f t="shared" si="148"/>
        <v>6.4290547094197861E-2</v>
      </c>
      <c r="O471" s="8">
        <v>0.62726754200000001</v>
      </c>
      <c r="P471">
        <f t="shared" si="149"/>
        <v>0.59533691325320326</v>
      </c>
      <c r="Q471" s="20">
        <v>0.28420000000000001</v>
      </c>
      <c r="R471" s="10">
        <f t="shared" si="150"/>
        <v>0.61541792983975752</v>
      </c>
      <c r="S471">
        <f t="shared" si="151"/>
        <v>0.10730476134649956</v>
      </c>
      <c r="T471" s="11">
        <f t="shared" si="152"/>
        <v>0.196974203517085</v>
      </c>
      <c r="U471" t="str">
        <f t="shared" si="153"/>
        <v>Low</v>
      </c>
      <c r="V471">
        <f t="shared" si="154"/>
        <v>0.10908446820020971</v>
      </c>
      <c r="W471">
        <f t="shared" si="155"/>
        <v>0.14368467202909066</v>
      </c>
      <c r="X471" t="s">
        <v>1176</v>
      </c>
      <c r="Y471">
        <f t="shared" si="156"/>
        <v>0.10552505449278939</v>
      </c>
      <c r="Z471">
        <f t="shared" si="157"/>
        <v>0.19290679059739704</v>
      </c>
      <c r="AA471" t="str">
        <f t="shared" si="158"/>
        <v>Low</v>
      </c>
      <c r="AB471">
        <f t="shared" si="159"/>
        <v>7.3825565002004837E-2</v>
      </c>
      <c r="AC471">
        <f t="shared" si="160"/>
        <v>0.17977073466396981</v>
      </c>
      <c r="AD471" t="str">
        <f t="shared" si="161"/>
        <v>Low</v>
      </c>
      <c r="AE471">
        <f t="shared" si="162"/>
        <v>1.1395670811698941E-2</v>
      </c>
      <c r="AF471">
        <f t="shared" si="163"/>
        <v>6.2349704632117323E-2</v>
      </c>
      <c r="AG471" t="s">
        <v>1176</v>
      </c>
    </row>
    <row r="472" spans="1:33" customFormat="1" x14ac:dyDescent="0.3">
      <c r="A472">
        <v>554906</v>
      </c>
      <c r="B472" t="s">
        <v>74</v>
      </c>
      <c r="C472" t="s">
        <v>1013</v>
      </c>
      <c r="D472" t="s">
        <v>1012</v>
      </c>
      <c r="E472" s="18">
        <v>7.5</v>
      </c>
      <c r="F472" s="2">
        <f t="shared" si="145"/>
        <v>0.95555555555555549</v>
      </c>
      <c r="G472" s="10">
        <v>0</v>
      </c>
      <c r="H472">
        <f t="shared" si="146"/>
        <v>0</v>
      </c>
      <c r="I472" s="22">
        <v>0</v>
      </c>
      <c r="J472" s="2">
        <f t="shared" si="147"/>
        <v>0</v>
      </c>
      <c r="K472" s="8">
        <v>0</v>
      </c>
      <c r="L472" s="2">
        <v>0</v>
      </c>
      <c r="M472">
        <v>22341</v>
      </c>
      <c r="N472">
        <f t="shared" si="148"/>
        <v>0.10457386457727121</v>
      </c>
      <c r="O472" s="8">
        <v>0.67523175300000005</v>
      </c>
      <c r="P472">
        <f t="shared" si="149"/>
        <v>0.6481593618378505</v>
      </c>
      <c r="Q472" s="20">
        <v>0.29389999999999999</v>
      </c>
      <c r="R472" s="10">
        <f t="shared" si="150"/>
        <v>0.6364226938068428</v>
      </c>
      <c r="S472">
        <f t="shared" si="151"/>
        <v>0</v>
      </c>
      <c r="T472" s="11">
        <f t="shared" si="152"/>
        <v>0</v>
      </c>
      <c r="U472" t="str">
        <f t="shared" si="153"/>
        <v>No Impact</v>
      </c>
      <c r="V472">
        <f t="shared" si="154"/>
        <v>0</v>
      </c>
      <c r="W472">
        <f t="shared" si="155"/>
        <v>0</v>
      </c>
      <c r="X472" t="s">
        <v>1176</v>
      </c>
      <c r="Y472">
        <f t="shared" si="156"/>
        <v>0</v>
      </c>
      <c r="Z472">
        <f t="shared" si="157"/>
        <v>0</v>
      </c>
      <c r="AA472" t="str">
        <f t="shared" si="158"/>
        <v>No Impact</v>
      </c>
      <c r="AB472">
        <f t="shared" si="159"/>
        <v>0</v>
      </c>
      <c r="AC472">
        <f t="shared" si="160"/>
        <v>0</v>
      </c>
      <c r="AD472" t="str">
        <f t="shared" si="161"/>
        <v>No Impact</v>
      </c>
      <c r="AE472">
        <f t="shared" si="162"/>
        <v>0</v>
      </c>
      <c r="AF472">
        <f t="shared" si="163"/>
        <v>0</v>
      </c>
      <c r="AG472" t="s">
        <v>1176</v>
      </c>
    </row>
    <row r="473" spans="1:33" customFormat="1" x14ac:dyDescent="0.3">
      <c r="A473">
        <v>554908</v>
      </c>
      <c r="B473" t="s">
        <v>101</v>
      </c>
      <c r="C473" t="s">
        <v>1013</v>
      </c>
      <c r="D473" t="s">
        <v>1014</v>
      </c>
      <c r="E473" s="18">
        <v>7.4</v>
      </c>
      <c r="F473" s="2">
        <f t="shared" si="145"/>
        <v>0.93333333333333335</v>
      </c>
      <c r="G473" s="10">
        <v>26.560079999999999</v>
      </c>
      <c r="H473">
        <f t="shared" si="146"/>
        <v>0.35586704547098913</v>
      </c>
      <c r="I473" s="22">
        <v>1.3</v>
      </c>
      <c r="J473" s="2">
        <f t="shared" si="147"/>
        <v>6.6700872242175481E-3</v>
      </c>
      <c r="K473" s="8">
        <v>0</v>
      </c>
      <c r="L473" s="2">
        <v>0</v>
      </c>
      <c r="M473">
        <v>15830</v>
      </c>
      <c r="N473">
        <f t="shared" si="148"/>
        <v>7.3767583142893639E-2</v>
      </c>
      <c r="O473" s="8">
        <v>0.33490561699999999</v>
      </c>
      <c r="P473">
        <f t="shared" si="149"/>
        <v>0.27336199842720976</v>
      </c>
      <c r="Q473" s="20">
        <v>0.26190000000000002</v>
      </c>
      <c r="R473" s="10">
        <f t="shared" si="150"/>
        <v>0.56712862711130363</v>
      </c>
      <c r="S473">
        <f t="shared" si="151"/>
        <v>7.1098781002651101E-2</v>
      </c>
      <c r="T473" s="11">
        <f t="shared" si="152"/>
        <v>0.13051262202438796</v>
      </c>
      <c r="U473" t="str">
        <f t="shared" si="153"/>
        <v>No Impact</v>
      </c>
      <c r="V473">
        <f t="shared" si="154"/>
        <v>9.5949086959740498E-2</v>
      </c>
      <c r="W473">
        <f t="shared" si="155"/>
        <v>0.12638291517356923</v>
      </c>
      <c r="X473" t="s">
        <v>1176</v>
      </c>
      <c r="Y473">
        <f t="shared" si="156"/>
        <v>4.6248475045561704E-2</v>
      </c>
      <c r="Z473">
        <f t="shared" si="157"/>
        <v>8.4545276322721422E-2</v>
      </c>
      <c r="AA473" t="str">
        <f t="shared" si="158"/>
        <v>No Impact</v>
      </c>
      <c r="AB473">
        <f t="shared" si="159"/>
        <v>5.182482600239606E-2</v>
      </c>
      <c r="AC473">
        <f t="shared" si="160"/>
        <v>0.12619730094893469</v>
      </c>
      <c r="AD473" t="str">
        <f t="shared" si="161"/>
        <v>No Impact</v>
      </c>
      <c r="AE473">
        <f t="shared" si="162"/>
        <v>1.2480294436623964E-2</v>
      </c>
      <c r="AF473">
        <f t="shared" si="163"/>
        <v>6.8284060210523981E-2</v>
      </c>
      <c r="AG473" t="s">
        <v>1176</v>
      </c>
    </row>
    <row r="474" spans="1:33" customFormat="1" x14ac:dyDescent="0.3">
      <c r="A474">
        <v>554909</v>
      </c>
      <c r="B474" t="s">
        <v>110</v>
      </c>
      <c r="C474" t="s">
        <v>1013</v>
      </c>
      <c r="D474" t="s">
        <v>1015</v>
      </c>
      <c r="E474" s="18">
        <v>7.5</v>
      </c>
      <c r="F474" s="2">
        <f t="shared" si="145"/>
        <v>0.95555555555555549</v>
      </c>
      <c r="G474" s="10">
        <v>28.382760000000001</v>
      </c>
      <c r="H474">
        <f t="shared" si="146"/>
        <v>0.38028834790829597</v>
      </c>
      <c r="I474" s="22">
        <v>1.3</v>
      </c>
      <c r="J474" s="2">
        <f t="shared" si="147"/>
        <v>6.6700872242175481E-3</v>
      </c>
      <c r="K474" s="8">
        <v>0</v>
      </c>
      <c r="L474" s="2">
        <v>0</v>
      </c>
      <c r="M474">
        <v>8414</v>
      </c>
      <c r="N474">
        <f t="shared" si="148"/>
        <v>3.86793658003435E-2</v>
      </c>
      <c r="O474" s="8">
        <v>0.39530975600000001</v>
      </c>
      <c r="P474">
        <f t="shared" si="149"/>
        <v>0.33988440044540175</v>
      </c>
      <c r="Q474" s="20">
        <v>0.26379999999999998</v>
      </c>
      <c r="R474" s="10">
        <f t="shared" si="150"/>
        <v>0.57124296232135119</v>
      </c>
      <c r="S474">
        <f t="shared" si="151"/>
        <v>8.422467775340764E-2</v>
      </c>
      <c r="T474" s="11">
        <f t="shared" si="152"/>
        <v>0.15460720110442527</v>
      </c>
      <c r="U474" t="str">
        <f t="shared" si="153"/>
        <v>Low</v>
      </c>
      <c r="V474">
        <f t="shared" si="154"/>
        <v>0.10561147955060278</v>
      </c>
      <c r="W474">
        <f t="shared" si="155"/>
        <v>0.13911009561768395</v>
      </c>
      <c r="X474" t="s">
        <v>1176</v>
      </c>
      <c r="Y474">
        <f t="shared" si="156"/>
        <v>6.2837875956212499E-2</v>
      </c>
      <c r="Z474">
        <f t="shared" si="157"/>
        <v>0.11487180022729664</v>
      </c>
      <c r="AA474" t="str">
        <f t="shared" si="158"/>
        <v>No Impact</v>
      </c>
      <c r="AB474">
        <f t="shared" si="159"/>
        <v>5.8318246943723451E-2</v>
      </c>
      <c r="AC474">
        <f t="shared" si="160"/>
        <v>0.14200926328302765</v>
      </c>
      <c r="AD474" t="str">
        <f t="shared" si="161"/>
        <v>No Impact</v>
      </c>
      <c r="AE474">
        <f t="shared" si="162"/>
        <v>7.1510466118535126E-3</v>
      </c>
      <c r="AF474">
        <f t="shared" si="163"/>
        <v>3.9125879592962487E-2</v>
      </c>
      <c r="AG474" t="s">
        <v>1176</v>
      </c>
    </row>
    <row r="475" spans="1:33" customFormat="1" x14ac:dyDescent="0.3">
      <c r="A475">
        <v>554918</v>
      </c>
      <c r="B475" t="s">
        <v>410</v>
      </c>
      <c r="C475" t="s">
        <v>1013</v>
      </c>
      <c r="D475" t="s">
        <v>1016</v>
      </c>
      <c r="E475" s="18">
        <v>6.6</v>
      </c>
      <c r="F475" s="2">
        <f t="shared" si="145"/>
        <v>0.75555555555555542</v>
      </c>
      <c r="G475" s="10">
        <v>0</v>
      </c>
      <c r="H475">
        <f t="shared" si="146"/>
        <v>0</v>
      </c>
      <c r="I475" s="22">
        <v>0</v>
      </c>
      <c r="J475" s="2">
        <f t="shared" si="147"/>
        <v>0</v>
      </c>
      <c r="K475" s="8">
        <v>0</v>
      </c>
      <c r="L475" s="2">
        <v>0</v>
      </c>
      <c r="M475">
        <v>21184</v>
      </c>
      <c r="N475">
        <f t="shared" si="148"/>
        <v>9.9099610604060501E-2</v>
      </c>
      <c r="O475" s="8">
        <v>0.73629583600000004</v>
      </c>
      <c r="P475">
        <f t="shared" si="149"/>
        <v>0.71540855279475224</v>
      </c>
      <c r="Q475" s="20">
        <v>0.28389999999999999</v>
      </c>
      <c r="R475" s="10">
        <f t="shared" si="150"/>
        <v>0.61476829796448673</v>
      </c>
      <c r="S475">
        <f t="shared" si="151"/>
        <v>0</v>
      </c>
      <c r="T475" s="11">
        <f t="shared" si="152"/>
        <v>0</v>
      </c>
      <c r="U475" t="str">
        <f t="shared" si="153"/>
        <v>No Impact</v>
      </c>
      <c r="V475">
        <f t="shared" si="154"/>
        <v>0</v>
      </c>
      <c r="W475">
        <f t="shared" si="155"/>
        <v>0</v>
      </c>
      <c r="X475" t="s">
        <v>1176</v>
      </c>
      <c r="Y475">
        <f t="shared" si="156"/>
        <v>0</v>
      </c>
      <c r="Z475">
        <f t="shared" si="157"/>
        <v>0</v>
      </c>
      <c r="AA475" t="str">
        <f t="shared" si="158"/>
        <v>No Impact</v>
      </c>
      <c r="AB475">
        <f t="shared" si="159"/>
        <v>0</v>
      </c>
      <c r="AC475">
        <f t="shared" si="160"/>
        <v>0</v>
      </c>
      <c r="AD475" t="str">
        <f t="shared" si="161"/>
        <v>No Impact</v>
      </c>
      <c r="AE475">
        <f t="shared" si="162"/>
        <v>0</v>
      </c>
      <c r="AF475">
        <f t="shared" si="163"/>
        <v>0</v>
      </c>
      <c r="AG475" t="s">
        <v>1176</v>
      </c>
    </row>
    <row r="476" spans="1:33" customFormat="1" x14ac:dyDescent="0.3">
      <c r="A476">
        <v>554952</v>
      </c>
      <c r="B476" t="s">
        <v>289</v>
      </c>
      <c r="C476" t="s">
        <v>1013</v>
      </c>
      <c r="D476" t="s">
        <v>1017</v>
      </c>
      <c r="E476" s="18">
        <v>7.5</v>
      </c>
      <c r="F476" s="2">
        <f t="shared" si="145"/>
        <v>0.95555555555555549</v>
      </c>
      <c r="G476" s="10">
        <v>26.906400000000001</v>
      </c>
      <c r="H476">
        <f t="shared" si="146"/>
        <v>0.36050723763861492</v>
      </c>
      <c r="I476" s="22">
        <v>1.6</v>
      </c>
      <c r="J476" s="2">
        <f t="shared" si="147"/>
        <v>8.2093381221139058E-3</v>
      </c>
      <c r="K476" s="8">
        <v>0</v>
      </c>
      <c r="L476" s="2">
        <v>0</v>
      </c>
      <c r="M476">
        <v>24931</v>
      </c>
      <c r="N476">
        <f t="shared" si="148"/>
        <v>0.1168282446901629</v>
      </c>
      <c r="O476" s="8">
        <v>0.59991996999999997</v>
      </c>
      <c r="P476">
        <f t="shared" si="149"/>
        <v>0.56521933838295391</v>
      </c>
      <c r="Q476" s="20">
        <v>0.28079999999999999</v>
      </c>
      <c r="R476" s="10">
        <f t="shared" si="150"/>
        <v>0.60805543525335648</v>
      </c>
      <c r="S476">
        <f t="shared" si="151"/>
        <v>0.10334473249638809</v>
      </c>
      <c r="T476" s="11">
        <f t="shared" si="152"/>
        <v>0.18970496850022867</v>
      </c>
      <c r="U476" t="str">
        <f t="shared" si="153"/>
        <v>Low</v>
      </c>
      <c r="V476">
        <f t="shared" si="154"/>
        <v>0.1071178341361182</v>
      </c>
      <c r="W476">
        <f t="shared" si="155"/>
        <v>0.14109424669024592</v>
      </c>
      <c r="X476" t="s">
        <v>1176</v>
      </c>
      <c r="Y476">
        <f t="shared" si="156"/>
        <v>9.9571630856657975E-2</v>
      </c>
      <c r="Z476">
        <f t="shared" si="157"/>
        <v>0.18202353777906968</v>
      </c>
      <c r="AA476" t="str">
        <f t="shared" si="158"/>
        <v>Low</v>
      </c>
      <c r="AB476">
        <f t="shared" si="159"/>
        <v>7.4566080988317809E-2</v>
      </c>
      <c r="AC476">
        <f t="shared" si="160"/>
        <v>0.18157394609738428</v>
      </c>
      <c r="AD476" t="str">
        <f t="shared" si="161"/>
        <v>Low</v>
      </c>
      <c r="AE476">
        <f t="shared" si="162"/>
        <v>2.0580999381940183E-2</v>
      </c>
      <c r="AF476">
        <f t="shared" si="163"/>
        <v>0.11260585302099026</v>
      </c>
      <c r="AG476" t="s">
        <v>1176</v>
      </c>
    </row>
    <row r="477" spans="1:33" customFormat="1" x14ac:dyDescent="0.3">
      <c r="A477">
        <v>554961</v>
      </c>
      <c r="B477" t="s">
        <v>360</v>
      </c>
      <c r="C477" t="s">
        <v>1013</v>
      </c>
      <c r="D477" t="s">
        <v>1018</v>
      </c>
      <c r="E477" s="18">
        <v>7.5</v>
      </c>
      <c r="F477" s="2">
        <f t="shared" si="145"/>
        <v>0.95555555555555549</v>
      </c>
      <c r="G477" s="10">
        <v>26.906400000000001</v>
      </c>
      <c r="H477">
        <f t="shared" si="146"/>
        <v>0.36050723763861492</v>
      </c>
      <c r="I477" s="22">
        <v>1.6</v>
      </c>
      <c r="J477" s="2">
        <f t="shared" si="147"/>
        <v>8.2093381221139058E-3</v>
      </c>
      <c r="K477" s="8">
        <v>0</v>
      </c>
      <c r="L477" s="2">
        <v>0</v>
      </c>
      <c r="M477">
        <v>39159</v>
      </c>
      <c r="N477">
        <f t="shared" si="148"/>
        <v>0.18414690115588611</v>
      </c>
      <c r="O477" s="8">
        <v>0.669822476</v>
      </c>
      <c r="P477">
        <f t="shared" si="149"/>
        <v>0.64220218563802489</v>
      </c>
      <c r="Q477" s="20">
        <v>0.28120000000000001</v>
      </c>
      <c r="R477" s="10">
        <f t="shared" si="150"/>
        <v>0.60892161108705067</v>
      </c>
      <c r="S477">
        <f t="shared" si="151"/>
        <v>0.1102018529655165</v>
      </c>
      <c r="T477" s="11">
        <f t="shared" si="152"/>
        <v>0.20229225564274211</v>
      </c>
      <c r="U477" t="str">
        <f t="shared" si="153"/>
        <v>Low</v>
      </c>
      <c r="V477">
        <f t="shared" si="154"/>
        <v>0.10727042364343457</v>
      </c>
      <c r="W477">
        <f t="shared" si="155"/>
        <v>0.14129523564564508</v>
      </c>
      <c r="X477" t="s">
        <v>1176</v>
      </c>
      <c r="Y477">
        <f t="shared" si="156"/>
        <v>0.11313328228759846</v>
      </c>
      <c r="Z477">
        <f t="shared" si="157"/>
        <v>0.20681513504777416</v>
      </c>
      <c r="AA477" t="str">
        <f t="shared" si="158"/>
        <v>Low</v>
      </c>
      <c r="AB477">
        <f t="shared" si="159"/>
        <v>8.2838689886023567E-2</v>
      </c>
      <c r="AC477">
        <f t="shared" si="160"/>
        <v>0.20171836326625892</v>
      </c>
      <c r="AD477" t="str">
        <f t="shared" si="161"/>
        <v>Low</v>
      </c>
      <c r="AE477">
        <f t="shared" si="162"/>
        <v>3.2440162641548351E-2</v>
      </c>
      <c r="AF477">
        <f t="shared" si="163"/>
        <v>0.17749148710420137</v>
      </c>
      <c r="AG477" t="s">
        <v>1175</v>
      </c>
    </row>
    <row r="478" spans="1:33" customFormat="1" x14ac:dyDescent="0.3">
      <c r="A478">
        <v>554977</v>
      </c>
      <c r="B478" t="s">
        <v>421</v>
      </c>
      <c r="C478" t="s">
        <v>1013</v>
      </c>
      <c r="D478" t="s">
        <v>1019</v>
      </c>
      <c r="E478" s="18">
        <v>7</v>
      </c>
      <c r="F478" s="2">
        <f t="shared" si="145"/>
        <v>0.84444444444444444</v>
      </c>
      <c r="G478" s="10">
        <v>30.146040000000003</v>
      </c>
      <c r="H478">
        <f t="shared" si="146"/>
        <v>0.40391377538961704</v>
      </c>
      <c r="I478" s="22">
        <v>1</v>
      </c>
      <c r="J478" s="2">
        <f t="shared" si="147"/>
        <v>5.1308363263211912E-3</v>
      </c>
      <c r="K478" s="8">
        <v>0</v>
      </c>
      <c r="L478" s="2">
        <v>0</v>
      </c>
      <c r="M478">
        <v>11356</v>
      </c>
      <c r="N478">
        <f t="shared" si="148"/>
        <v>5.259920606757415E-2</v>
      </c>
      <c r="O478" s="8">
        <v>0.68355307200000004</v>
      </c>
      <c r="P478">
        <f t="shared" si="149"/>
        <v>0.65732353729012571</v>
      </c>
      <c r="Q478" s="20">
        <v>0.2878</v>
      </c>
      <c r="R478" s="10">
        <f t="shared" si="150"/>
        <v>0.62321351234300559</v>
      </c>
      <c r="S478">
        <f t="shared" si="151"/>
        <v>0.11057932027606764</v>
      </c>
      <c r="T478" s="11">
        <f t="shared" si="152"/>
        <v>0.20298515427945271</v>
      </c>
      <c r="U478" t="str">
        <f t="shared" si="153"/>
        <v>Low</v>
      </c>
      <c r="V478">
        <f t="shared" si="154"/>
        <v>0.107633787872821</v>
      </c>
      <c r="W478">
        <f t="shared" si="155"/>
        <v>0.1417738543801717</v>
      </c>
      <c r="X478" t="s">
        <v>1176</v>
      </c>
      <c r="Y478">
        <f t="shared" si="156"/>
        <v>0.11352485267931429</v>
      </c>
      <c r="Z478">
        <f t="shared" si="157"/>
        <v>0.20753095166518257</v>
      </c>
      <c r="AA478" t="str">
        <f t="shared" si="158"/>
        <v>Low</v>
      </c>
      <c r="AB478">
        <f t="shared" si="159"/>
        <v>7.4908782784158856E-2</v>
      </c>
      <c r="AC478">
        <f t="shared" si="160"/>
        <v>0.18240845042670886</v>
      </c>
      <c r="AD478" t="str">
        <f t="shared" si="161"/>
        <v>Low</v>
      </c>
      <c r="AE478">
        <f t="shared" si="162"/>
        <v>9.0842892139349398E-3</v>
      </c>
      <c r="AF478">
        <f t="shared" si="163"/>
        <v>4.970332669666945E-2</v>
      </c>
      <c r="AG478" t="s">
        <v>1176</v>
      </c>
    </row>
    <row r="479" spans="1:33" customFormat="1" x14ac:dyDescent="0.3">
      <c r="A479">
        <v>554979</v>
      </c>
      <c r="B479" t="s">
        <v>440</v>
      </c>
      <c r="C479" t="s">
        <v>1013</v>
      </c>
      <c r="D479" t="s">
        <v>1020</v>
      </c>
      <c r="E479" s="18">
        <v>7.4</v>
      </c>
      <c r="F479" s="2">
        <f t="shared" si="145"/>
        <v>0.93333333333333335</v>
      </c>
      <c r="G479" s="10">
        <v>28.005839999999999</v>
      </c>
      <c r="H479">
        <f t="shared" si="146"/>
        <v>0.37523815955122297</v>
      </c>
      <c r="I479" s="22">
        <v>1.3</v>
      </c>
      <c r="J479" s="2">
        <f t="shared" si="147"/>
        <v>6.6700872242175481E-3</v>
      </c>
      <c r="K479" s="8">
        <v>0</v>
      </c>
      <c r="L479" s="2">
        <v>0</v>
      </c>
      <c r="M479">
        <v>21408</v>
      </c>
      <c r="N479">
        <f t="shared" si="148"/>
        <v>0.10015944888409438</v>
      </c>
      <c r="O479" s="8">
        <v>0.54487443599999996</v>
      </c>
      <c r="P479">
        <f t="shared" si="149"/>
        <v>0.50459830805829264</v>
      </c>
      <c r="Q479" s="20">
        <v>0.27910000000000001</v>
      </c>
      <c r="R479" s="10">
        <f t="shared" si="150"/>
        <v>0.60437418796015596</v>
      </c>
      <c r="S479">
        <f t="shared" si="151"/>
        <v>9.8822673057870972E-2</v>
      </c>
      <c r="T479" s="11">
        <f t="shared" si="152"/>
        <v>0.18140404089010559</v>
      </c>
      <c r="U479" t="str">
        <f t="shared" si="153"/>
        <v>Low</v>
      </c>
      <c r="V479">
        <f t="shared" si="154"/>
        <v>0.10771389370942373</v>
      </c>
      <c r="W479">
        <f t="shared" si="155"/>
        <v>0.14187936876778146</v>
      </c>
      <c r="X479" t="s">
        <v>1176</v>
      </c>
      <c r="Y479">
        <f t="shared" si="156"/>
        <v>8.993145240631821E-2</v>
      </c>
      <c r="Z479">
        <f t="shared" si="157"/>
        <v>0.16440065291461975</v>
      </c>
      <c r="AA479" t="str">
        <f t="shared" si="158"/>
        <v>Low</v>
      </c>
      <c r="AB479">
        <f t="shared" si="159"/>
        <v>7.0927079375342511E-2</v>
      </c>
      <c r="AC479">
        <f t="shared" si="160"/>
        <v>0.1727127068587794</v>
      </c>
      <c r="AD479" t="str">
        <f t="shared" si="161"/>
        <v>Low</v>
      </c>
      <c r="AE479">
        <f t="shared" si="162"/>
        <v>1.7850802443282125E-2</v>
      </c>
      <c r="AF479">
        <f t="shared" si="163"/>
        <v>9.7667989728371818E-2</v>
      </c>
      <c r="AG479" t="s">
        <v>1176</v>
      </c>
    </row>
    <row r="480" spans="1:33" customFormat="1" x14ac:dyDescent="0.3">
      <c r="A480">
        <v>554994</v>
      </c>
      <c r="B480" t="s">
        <v>528</v>
      </c>
      <c r="C480" t="s">
        <v>1013</v>
      </c>
      <c r="D480" t="s">
        <v>1021</v>
      </c>
      <c r="E480" s="18">
        <v>6.7</v>
      </c>
      <c r="F480" s="2">
        <f t="shared" si="145"/>
        <v>0.77777777777777779</v>
      </c>
      <c r="G480" s="10">
        <v>30.146040000000003</v>
      </c>
      <c r="H480">
        <f t="shared" si="146"/>
        <v>0.40391377538961704</v>
      </c>
      <c r="I480" s="22">
        <v>1.8</v>
      </c>
      <c r="J480" s="2">
        <f t="shared" si="147"/>
        <v>9.2355053873781432E-3</v>
      </c>
      <c r="K480" s="8">
        <v>0</v>
      </c>
      <c r="L480" s="2">
        <v>0</v>
      </c>
      <c r="M480">
        <v>22322</v>
      </c>
      <c r="N480">
        <f t="shared" si="148"/>
        <v>0.10448396758030404</v>
      </c>
      <c r="O480" s="8">
        <v>0.88725491000000001</v>
      </c>
      <c r="P480">
        <f t="shared" si="149"/>
        <v>0.88165809090872127</v>
      </c>
      <c r="Q480" s="20">
        <v>0.26889999999999997</v>
      </c>
      <c r="R480" s="10">
        <f t="shared" si="150"/>
        <v>0.58228670420095274</v>
      </c>
      <c r="S480">
        <f t="shared" si="151"/>
        <v>0.11760539373270867</v>
      </c>
      <c r="T480" s="11">
        <f t="shared" si="152"/>
        <v>0.21588258031729132</v>
      </c>
      <c r="U480" t="str">
        <f t="shared" si="153"/>
        <v>Low</v>
      </c>
      <c r="V480">
        <f t="shared" si="154"/>
        <v>9.3555518407023003E-2</v>
      </c>
      <c r="W480">
        <f t="shared" si="155"/>
        <v>0.12323013716446585</v>
      </c>
      <c r="X480" t="s">
        <v>1176</v>
      </c>
      <c r="Y480">
        <f t="shared" si="156"/>
        <v>0.14165526905839435</v>
      </c>
      <c r="Z480">
        <f t="shared" si="157"/>
        <v>0.25895521643282204</v>
      </c>
      <c r="AA480" t="str">
        <f t="shared" si="158"/>
        <v>Low</v>
      </c>
      <c r="AB480">
        <f t="shared" si="159"/>
        <v>8.1116585290165091E-2</v>
      </c>
      <c r="AC480">
        <f t="shared" si="160"/>
        <v>0.19752491065458883</v>
      </c>
      <c r="AD480" t="str">
        <f t="shared" si="161"/>
        <v>Low</v>
      </c>
      <c r="AE480">
        <f t="shared" si="162"/>
        <v>1.6787351800539252E-2</v>
      </c>
      <c r="AF480">
        <f t="shared" si="163"/>
        <v>9.1849478948139121E-2</v>
      </c>
      <c r="AG480" t="s">
        <v>1176</v>
      </c>
    </row>
    <row r="481" spans="1:33" customFormat="1" x14ac:dyDescent="0.3">
      <c r="A481">
        <v>555202</v>
      </c>
      <c r="B481" t="s">
        <v>3</v>
      </c>
      <c r="C481" t="s">
        <v>1023</v>
      </c>
      <c r="D481" t="s">
        <v>1022</v>
      </c>
      <c r="E481" s="18">
        <v>6.2</v>
      </c>
      <c r="F481" s="2">
        <f t="shared" si="145"/>
        <v>0.66666666666666663</v>
      </c>
      <c r="G481" s="10">
        <v>28.782719999999998</v>
      </c>
      <c r="H481">
        <f t="shared" si="146"/>
        <v>0.38564723927859962</v>
      </c>
      <c r="I481" s="22">
        <v>0</v>
      </c>
      <c r="J481" s="2">
        <f t="shared" si="147"/>
        <v>0</v>
      </c>
      <c r="K481" s="8">
        <v>0</v>
      </c>
      <c r="L481" s="2">
        <v>0</v>
      </c>
      <c r="M481">
        <v>25242</v>
      </c>
      <c r="N481">
        <f t="shared" si="148"/>
        <v>0.11829971658788851</v>
      </c>
      <c r="O481" s="8">
        <v>0.806422533</v>
      </c>
      <c r="P481">
        <f t="shared" si="149"/>
        <v>0.79263829908816319</v>
      </c>
      <c r="Q481" s="20">
        <v>0.26269999999999999</v>
      </c>
      <c r="R481" s="10">
        <f t="shared" si="150"/>
        <v>0.56886097877869202</v>
      </c>
      <c r="S481">
        <f t="shared" si="151"/>
        <v>8.7509739631526598E-2</v>
      </c>
      <c r="T481" s="11">
        <f t="shared" si="152"/>
        <v>0.16063743162567259</v>
      </c>
      <c r="U481" t="str">
        <f t="shared" si="153"/>
        <v>Low</v>
      </c>
      <c r="V481">
        <f t="shared" si="154"/>
        <v>7.3126555333108204E-2</v>
      </c>
      <c r="W481">
        <f t="shared" si="155"/>
        <v>9.6321367221319995E-2</v>
      </c>
      <c r="X481" t="s">
        <v>1176</v>
      </c>
      <c r="Y481">
        <f t="shared" si="156"/>
        <v>0.10189292392994502</v>
      </c>
      <c r="Z481">
        <f t="shared" si="157"/>
        <v>0.18626701530159842</v>
      </c>
      <c r="AA481" t="str">
        <f t="shared" si="158"/>
        <v>Low</v>
      </c>
      <c r="AB481">
        <f t="shared" si="159"/>
        <v>6.1484733441686701E-2</v>
      </c>
      <c r="AC481">
        <f t="shared" si="160"/>
        <v>0.14971989311738024</v>
      </c>
      <c r="AD481" t="str">
        <f t="shared" si="161"/>
        <v>No Impact</v>
      </c>
      <c r="AE481">
        <f t="shared" si="162"/>
        <v>1.5207319703186653E-2</v>
      </c>
      <c r="AF481">
        <f t="shared" si="163"/>
        <v>8.3204570174707101E-2</v>
      </c>
      <c r="AG481" t="s">
        <v>1176</v>
      </c>
    </row>
    <row r="482" spans="1:33" customFormat="1" x14ac:dyDescent="0.3">
      <c r="A482">
        <v>555233</v>
      </c>
      <c r="B482" t="s">
        <v>205</v>
      </c>
      <c r="C482" t="s">
        <v>1023</v>
      </c>
      <c r="D482" t="s">
        <v>1024</v>
      </c>
      <c r="E482" s="18">
        <v>5.9</v>
      </c>
      <c r="F482" s="2">
        <f t="shared" si="145"/>
        <v>0.60000000000000009</v>
      </c>
      <c r="G482" s="10">
        <v>0</v>
      </c>
      <c r="H482">
        <f t="shared" si="146"/>
        <v>0</v>
      </c>
      <c r="I482" s="22">
        <v>0</v>
      </c>
      <c r="J482" s="2">
        <f t="shared" si="147"/>
        <v>0</v>
      </c>
      <c r="K482" s="8">
        <v>0</v>
      </c>
      <c r="L482" s="2">
        <v>0</v>
      </c>
      <c r="M482">
        <v>21858</v>
      </c>
      <c r="N482">
        <f t="shared" si="148"/>
        <v>0.10228858828594815</v>
      </c>
      <c r="O482" s="8">
        <v>0.73880113700000005</v>
      </c>
      <c r="P482">
        <f t="shared" si="149"/>
        <v>0.71816761273762442</v>
      </c>
      <c r="Q482" s="20">
        <v>0.2283</v>
      </c>
      <c r="R482" s="10">
        <f t="shared" si="150"/>
        <v>0.49436985708098746</v>
      </c>
      <c r="S482">
        <f t="shared" si="151"/>
        <v>0</v>
      </c>
      <c r="T482" s="11">
        <f t="shared" si="152"/>
        <v>0</v>
      </c>
      <c r="U482" t="str">
        <f t="shared" si="153"/>
        <v>No Impact</v>
      </c>
      <c r="V482">
        <f t="shared" si="154"/>
        <v>0</v>
      </c>
      <c r="W482">
        <f t="shared" si="155"/>
        <v>0</v>
      </c>
      <c r="X482" t="s">
        <v>1176</v>
      </c>
      <c r="Y482">
        <f t="shared" si="156"/>
        <v>0</v>
      </c>
      <c r="Z482">
        <f t="shared" si="157"/>
        <v>0</v>
      </c>
      <c r="AA482" t="str">
        <f t="shared" si="158"/>
        <v>No Impact</v>
      </c>
      <c r="AB482">
        <f t="shared" si="159"/>
        <v>0</v>
      </c>
      <c r="AC482">
        <f t="shared" si="160"/>
        <v>0</v>
      </c>
      <c r="AD482" t="str">
        <f t="shared" si="161"/>
        <v>No Impact</v>
      </c>
      <c r="AE482">
        <f t="shared" si="162"/>
        <v>0</v>
      </c>
      <c r="AF482">
        <f t="shared" si="163"/>
        <v>0</v>
      </c>
      <c r="AG482" t="s">
        <v>1176</v>
      </c>
    </row>
    <row r="483" spans="1:33" customFormat="1" x14ac:dyDescent="0.3">
      <c r="A483">
        <v>555239</v>
      </c>
      <c r="B483" t="s">
        <v>245</v>
      </c>
      <c r="C483" t="s">
        <v>879</v>
      </c>
      <c r="D483" t="s">
        <v>1130</v>
      </c>
      <c r="E483" s="18">
        <v>6.2</v>
      </c>
      <c r="F483" s="2">
        <f t="shared" si="145"/>
        <v>0.66666666666666663</v>
      </c>
      <c r="G483" s="10">
        <v>0</v>
      </c>
      <c r="H483">
        <f t="shared" si="146"/>
        <v>0</v>
      </c>
      <c r="I483" s="22">
        <v>0</v>
      </c>
      <c r="J483" s="2">
        <f t="shared" si="147"/>
        <v>0</v>
      </c>
      <c r="K483" s="8">
        <v>0</v>
      </c>
      <c r="L483" s="2">
        <v>0</v>
      </c>
      <c r="M483">
        <v>24184</v>
      </c>
      <c r="N483">
        <f t="shared" si="148"/>
        <v>0.11329387328308564</v>
      </c>
      <c r="O483" s="8">
        <v>0.75270867500000005</v>
      </c>
      <c r="P483">
        <f t="shared" si="149"/>
        <v>0.73348382863334771</v>
      </c>
      <c r="Q483" s="20">
        <v>0.26300000000000001</v>
      </c>
      <c r="R483" s="10">
        <f t="shared" si="150"/>
        <v>0.5695106106539628</v>
      </c>
      <c r="S483">
        <f t="shared" si="151"/>
        <v>0</v>
      </c>
      <c r="T483" s="11">
        <f t="shared" si="152"/>
        <v>0</v>
      </c>
      <c r="U483" t="str">
        <f t="shared" si="153"/>
        <v>No Impact</v>
      </c>
      <c r="V483">
        <f t="shared" si="154"/>
        <v>0</v>
      </c>
      <c r="W483">
        <f t="shared" si="155"/>
        <v>0</v>
      </c>
      <c r="X483" t="s">
        <v>1176</v>
      </c>
      <c r="Y483">
        <f t="shared" si="156"/>
        <v>0</v>
      </c>
      <c r="Z483">
        <f t="shared" si="157"/>
        <v>0</v>
      </c>
      <c r="AA483" t="str">
        <f t="shared" si="158"/>
        <v>No Impact</v>
      </c>
      <c r="AB483">
        <f t="shared" si="159"/>
        <v>0</v>
      </c>
      <c r="AC483">
        <f t="shared" si="160"/>
        <v>0</v>
      </c>
      <c r="AD483" t="str">
        <f t="shared" si="161"/>
        <v>No Impact</v>
      </c>
      <c r="AE483">
        <f t="shared" si="162"/>
        <v>0</v>
      </c>
      <c r="AF483">
        <f t="shared" si="163"/>
        <v>0</v>
      </c>
      <c r="AG483" t="s">
        <v>1176</v>
      </c>
    </row>
    <row r="484" spans="1:33" customFormat="1" x14ac:dyDescent="0.3">
      <c r="A484">
        <v>555255</v>
      </c>
      <c r="B484" t="s">
        <v>298</v>
      </c>
      <c r="C484" t="s">
        <v>1023</v>
      </c>
      <c r="D484" t="s">
        <v>1025</v>
      </c>
      <c r="E484" s="18">
        <v>6.2</v>
      </c>
      <c r="F484" s="2">
        <f t="shared" si="145"/>
        <v>0.66666666666666663</v>
      </c>
      <c r="G484" s="10">
        <v>28.782719999999998</v>
      </c>
      <c r="H484">
        <f t="shared" si="146"/>
        <v>0.38564723927859962</v>
      </c>
      <c r="I484" s="22">
        <v>0</v>
      </c>
      <c r="J484" s="2">
        <f t="shared" si="147"/>
        <v>0</v>
      </c>
      <c r="K484" s="8">
        <v>0</v>
      </c>
      <c r="L484" s="2">
        <v>0</v>
      </c>
      <c r="M484">
        <v>29622</v>
      </c>
      <c r="N484">
        <f t="shared" si="148"/>
        <v>0.1390233400992652</v>
      </c>
      <c r="O484" s="8">
        <v>0.54589342600000001</v>
      </c>
      <c r="P484">
        <f t="shared" si="149"/>
        <v>0.50572051033705578</v>
      </c>
      <c r="Q484" s="20">
        <v>0.26419999999999999</v>
      </c>
      <c r="R484" s="10">
        <f t="shared" si="150"/>
        <v>0.57210913815504549</v>
      </c>
      <c r="S484">
        <f t="shared" si="151"/>
        <v>6.9277004725600388E-2</v>
      </c>
      <c r="T484" s="11">
        <f t="shared" si="152"/>
        <v>0.12716847469433951</v>
      </c>
      <c r="U484" t="str">
        <f t="shared" si="153"/>
        <v>No Impact</v>
      </c>
      <c r="V484">
        <f t="shared" si="154"/>
        <v>7.3544103231850733E-2</v>
      </c>
      <c r="W484">
        <f t="shared" si="155"/>
        <v>9.687135599494763E-2</v>
      </c>
      <c r="X484" t="s">
        <v>1176</v>
      </c>
      <c r="Y484">
        <f t="shared" si="156"/>
        <v>6.5009906219350017E-2</v>
      </c>
      <c r="Z484">
        <f t="shared" si="157"/>
        <v>0.11884241544428199</v>
      </c>
      <c r="AA484" t="str">
        <f t="shared" si="158"/>
        <v>No Impact</v>
      </c>
      <c r="AB484">
        <f t="shared" si="159"/>
        <v>5.1498370849152757E-2</v>
      </c>
      <c r="AC484">
        <f t="shared" si="160"/>
        <v>0.1254023584011629</v>
      </c>
      <c r="AD484" t="str">
        <f t="shared" si="161"/>
        <v>No Impact</v>
      </c>
      <c r="AE484">
        <f t="shared" si="162"/>
        <v>1.7871322434857152E-2</v>
      </c>
      <c r="AF484">
        <f t="shared" si="163"/>
        <v>9.7780261786322376E-2</v>
      </c>
      <c r="AG484" t="s">
        <v>1176</v>
      </c>
    </row>
    <row r="485" spans="1:33" customFormat="1" x14ac:dyDescent="0.3">
      <c r="A485">
        <v>555270</v>
      </c>
      <c r="B485" t="s">
        <v>404</v>
      </c>
      <c r="C485" t="s">
        <v>1023</v>
      </c>
      <c r="D485" t="s">
        <v>1026</v>
      </c>
      <c r="E485" s="18">
        <v>6.2</v>
      </c>
      <c r="F485" s="2">
        <f t="shared" si="145"/>
        <v>0.66666666666666663</v>
      </c>
      <c r="G485" s="10">
        <v>0</v>
      </c>
      <c r="H485">
        <f t="shared" si="146"/>
        <v>0</v>
      </c>
      <c r="I485" s="22">
        <v>0</v>
      </c>
      <c r="J485" s="2">
        <f t="shared" si="147"/>
        <v>0</v>
      </c>
      <c r="K485" s="8">
        <v>0</v>
      </c>
      <c r="L485" s="2">
        <v>0</v>
      </c>
      <c r="M485">
        <v>23187</v>
      </c>
      <c r="N485">
        <f t="shared" si="148"/>
        <v>0.10857664665275629</v>
      </c>
      <c r="O485" s="8">
        <v>0.83868091</v>
      </c>
      <c r="P485">
        <f t="shared" si="149"/>
        <v>0.82816408852534729</v>
      </c>
      <c r="Q485" s="20">
        <v>0.23169999999999999</v>
      </c>
      <c r="R485" s="10">
        <f t="shared" si="150"/>
        <v>0.5017323516673885</v>
      </c>
      <c r="S485">
        <f t="shared" si="151"/>
        <v>0</v>
      </c>
      <c r="T485" s="11">
        <f t="shared" si="152"/>
        <v>0</v>
      </c>
      <c r="U485" t="str">
        <f t="shared" si="153"/>
        <v>No Impact</v>
      </c>
      <c r="V485">
        <f t="shared" si="154"/>
        <v>0</v>
      </c>
      <c r="W485">
        <f t="shared" si="155"/>
        <v>0</v>
      </c>
      <c r="X485" t="s">
        <v>1176</v>
      </c>
      <c r="Y485">
        <f t="shared" si="156"/>
        <v>0</v>
      </c>
      <c r="Z485">
        <f t="shared" si="157"/>
        <v>0</v>
      </c>
      <c r="AA485" t="str">
        <f t="shared" si="158"/>
        <v>No Impact</v>
      </c>
      <c r="AB485">
        <f t="shared" si="159"/>
        <v>0</v>
      </c>
      <c r="AC485">
        <f t="shared" si="160"/>
        <v>0</v>
      </c>
      <c r="AD485" t="str">
        <f t="shared" si="161"/>
        <v>No Impact</v>
      </c>
      <c r="AE485">
        <f t="shared" si="162"/>
        <v>0</v>
      </c>
      <c r="AF485">
        <f t="shared" si="163"/>
        <v>0</v>
      </c>
      <c r="AG485" t="s">
        <v>1176</v>
      </c>
    </row>
    <row r="486" spans="1:33" customFormat="1" x14ac:dyDescent="0.3">
      <c r="A486">
        <v>557312</v>
      </c>
      <c r="B486" t="s">
        <v>150</v>
      </c>
      <c r="C486" t="s">
        <v>1028</v>
      </c>
      <c r="D486" t="s">
        <v>1027</v>
      </c>
      <c r="E486" s="18">
        <v>5.9</v>
      </c>
      <c r="F486" s="2">
        <f t="shared" si="145"/>
        <v>0.60000000000000009</v>
      </c>
      <c r="G486" s="10">
        <v>0</v>
      </c>
      <c r="H486">
        <f t="shared" si="146"/>
        <v>0</v>
      </c>
      <c r="I486" s="22">
        <v>0</v>
      </c>
      <c r="J486" s="2">
        <f t="shared" si="147"/>
        <v>0</v>
      </c>
      <c r="K486" s="8">
        <v>0</v>
      </c>
      <c r="L486" s="2">
        <v>0</v>
      </c>
      <c r="M486">
        <v>27341</v>
      </c>
      <c r="N486">
        <f t="shared" si="148"/>
        <v>0.1282309690423131</v>
      </c>
      <c r="O486" s="8">
        <v>0.80249892599999995</v>
      </c>
      <c r="P486">
        <f t="shared" si="149"/>
        <v>0.78831727462632306</v>
      </c>
      <c r="Q486" s="20">
        <v>0.23780000000000001</v>
      </c>
      <c r="R486" s="10">
        <f t="shared" si="150"/>
        <v>0.5149415331312257</v>
      </c>
      <c r="S486">
        <f t="shared" si="151"/>
        <v>0</v>
      </c>
      <c r="T486" s="11">
        <f t="shared" si="152"/>
        <v>0</v>
      </c>
      <c r="U486" t="str">
        <f t="shared" si="153"/>
        <v>No Impact</v>
      </c>
      <c r="V486">
        <f t="shared" si="154"/>
        <v>0</v>
      </c>
      <c r="W486">
        <f t="shared" si="155"/>
        <v>0</v>
      </c>
      <c r="X486" t="s">
        <v>1176</v>
      </c>
      <c r="Y486">
        <f t="shared" si="156"/>
        <v>0</v>
      </c>
      <c r="Z486">
        <f t="shared" si="157"/>
        <v>0</v>
      </c>
      <c r="AA486" t="str">
        <f t="shared" si="158"/>
        <v>No Impact</v>
      </c>
      <c r="AB486">
        <f t="shared" si="159"/>
        <v>0</v>
      </c>
      <c r="AC486">
        <f t="shared" si="160"/>
        <v>0</v>
      </c>
      <c r="AD486" t="str">
        <f t="shared" si="161"/>
        <v>No Impact</v>
      </c>
      <c r="AE486">
        <f t="shared" si="162"/>
        <v>0</v>
      </c>
      <c r="AF486">
        <f t="shared" si="163"/>
        <v>0</v>
      </c>
      <c r="AG486" t="s">
        <v>1176</v>
      </c>
    </row>
    <row r="487" spans="1:33" customFormat="1" x14ac:dyDescent="0.3">
      <c r="A487">
        <v>557315</v>
      </c>
      <c r="B487" t="s">
        <v>153</v>
      </c>
      <c r="C487" t="s">
        <v>1028</v>
      </c>
      <c r="D487" t="s">
        <v>1029</v>
      </c>
      <c r="E487" s="18">
        <v>5.9</v>
      </c>
      <c r="F487" s="2">
        <f t="shared" si="145"/>
        <v>0.60000000000000009</v>
      </c>
      <c r="G487" s="10">
        <v>0</v>
      </c>
      <c r="H487">
        <f t="shared" si="146"/>
        <v>0</v>
      </c>
      <c r="I487" s="22">
        <v>0</v>
      </c>
      <c r="J487" s="2">
        <f t="shared" si="147"/>
        <v>0</v>
      </c>
      <c r="K487" s="8">
        <v>0</v>
      </c>
      <c r="L487" s="2">
        <v>0</v>
      </c>
      <c r="M487">
        <v>28057</v>
      </c>
      <c r="N487">
        <f t="shared" si="148"/>
        <v>0.13161866640170711</v>
      </c>
      <c r="O487" s="8">
        <v>0.77375728600000004</v>
      </c>
      <c r="P487">
        <f t="shared" si="149"/>
        <v>0.75666442827514602</v>
      </c>
      <c r="Q487" s="20">
        <v>0.27089999999999997</v>
      </c>
      <c r="R487" s="10">
        <f t="shared" si="150"/>
        <v>0.58661758336942393</v>
      </c>
      <c r="S487">
        <f t="shared" si="151"/>
        <v>0</v>
      </c>
      <c r="T487" s="11">
        <f t="shared" si="152"/>
        <v>0</v>
      </c>
      <c r="U487" t="str">
        <f t="shared" si="153"/>
        <v>No Impact</v>
      </c>
      <c r="V487">
        <f t="shared" si="154"/>
        <v>0</v>
      </c>
      <c r="W487">
        <f t="shared" si="155"/>
        <v>0</v>
      </c>
      <c r="X487" t="s">
        <v>1176</v>
      </c>
      <c r="Y487">
        <f t="shared" si="156"/>
        <v>0</v>
      </c>
      <c r="Z487">
        <f t="shared" si="157"/>
        <v>0</v>
      </c>
      <c r="AA487" t="str">
        <f t="shared" si="158"/>
        <v>No Impact</v>
      </c>
      <c r="AB487">
        <f t="shared" si="159"/>
        <v>0</v>
      </c>
      <c r="AC487">
        <f t="shared" si="160"/>
        <v>0</v>
      </c>
      <c r="AD487" t="str">
        <f t="shared" si="161"/>
        <v>No Impact</v>
      </c>
      <c r="AE487">
        <f t="shared" si="162"/>
        <v>0</v>
      </c>
      <c r="AF487">
        <f t="shared" si="163"/>
        <v>0</v>
      </c>
      <c r="AG487" t="s">
        <v>1176</v>
      </c>
    </row>
    <row r="488" spans="1:33" customFormat="1" x14ac:dyDescent="0.3">
      <c r="A488">
        <v>557336</v>
      </c>
      <c r="B488" t="s">
        <v>217</v>
      </c>
      <c r="C488" t="s">
        <v>1028</v>
      </c>
      <c r="D488" t="s">
        <v>1030</v>
      </c>
      <c r="E488" s="18">
        <v>5.9</v>
      </c>
      <c r="F488" s="2">
        <f t="shared" si="145"/>
        <v>0.60000000000000009</v>
      </c>
      <c r="G488" s="10">
        <v>0</v>
      </c>
      <c r="H488">
        <f t="shared" si="146"/>
        <v>0</v>
      </c>
      <c r="I488" s="22">
        <v>0</v>
      </c>
      <c r="J488" s="2">
        <f t="shared" si="147"/>
        <v>0</v>
      </c>
      <c r="K488" s="8">
        <v>0</v>
      </c>
      <c r="L488" s="2">
        <v>0</v>
      </c>
      <c r="M488">
        <v>28976</v>
      </c>
      <c r="N488">
        <f t="shared" si="148"/>
        <v>0.13596684220238181</v>
      </c>
      <c r="O488" s="8">
        <v>0.64076593500000001</v>
      </c>
      <c r="P488">
        <f t="shared" si="149"/>
        <v>0.61020254234106341</v>
      </c>
      <c r="Q488" s="20">
        <v>0.25779999999999997</v>
      </c>
      <c r="R488" s="10">
        <f t="shared" si="150"/>
        <v>0.55825032481593762</v>
      </c>
      <c r="S488">
        <f t="shared" si="151"/>
        <v>0</v>
      </c>
      <c r="T488" s="11">
        <f t="shared" si="152"/>
        <v>0</v>
      </c>
      <c r="U488" t="str">
        <f t="shared" si="153"/>
        <v>No Impact</v>
      </c>
      <c r="V488">
        <f t="shared" si="154"/>
        <v>0</v>
      </c>
      <c r="W488">
        <f t="shared" si="155"/>
        <v>0</v>
      </c>
      <c r="X488" t="s">
        <v>1176</v>
      </c>
      <c r="Y488">
        <f t="shared" si="156"/>
        <v>0</v>
      </c>
      <c r="Z488">
        <f t="shared" si="157"/>
        <v>0</v>
      </c>
      <c r="AA488" t="str">
        <f t="shared" si="158"/>
        <v>No Impact</v>
      </c>
      <c r="AB488">
        <f t="shared" si="159"/>
        <v>0</v>
      </c>
      <c r="AC488">
        <f t="shared" si="160"/>
        <v>0</v>
      </c>
      <c r="AD488" t="str">
        <f t="shared" si="161"/>
        <v>No Impact</v>
      </c>
      <c r="AE488">
        <f t="shared" si="162"/>
        <v>0</v>
      </c>
      <c r="AF488">
        <f t="shared" si="163"/>
        <v>0</v>
      </c>
      <c r="AG488" t="s">
        <v>1176</v>
      </c>
    </row>
    <row r="489" spans="1:33" customFormat="1" x14ac:dyDescent="0.3">
      <c r="A489">
        <v>557345</v>
      </c>
      <c r="B489" t="s">
        <v>278</v>
      </c>
      <c r="C489" t="s">
        <v>1028</v>
      </c>
      <c r="D489" t="s">
        <v>758</v>
      </c>
      <c r="E489" s="18">
        <v>5.9</v>
      </c>
      <c r="F489" s="2">
        <f t="shared" si="145"/>
        <v>0.60000000000000009</v>
      </c>
      <c r="G489" s="10">
        <v>27.594359999999998</v>
      </c>
      <c r="H489">
        <f t="shared" si="146"/>
        <v>0.36972491667430385</v>
      </c>
      <c r="I489" s="22">
        <v>0</v>
      </c>
      <c r="J489" s="2">
        <f t="shared" si="147"/>
        <v>0</v>
      </c>
      <c r="K489" s="8">
        <v>0</v>
      </c>
      <c r="L489" s="2">
        <v>0</v>
      </c>
      <c r="M489">
        <v>24819</v>
      </c>
      <c r="N489">
        <f t="shared" si="148"/>
        <v>0.11629832555014596</v>
      </c>
      <c r="O489" s="8">
        <v>0.82154650699999998</v>
      </c>
      <c r="P489">
        <f t="shared" si="149"/>
        <v>0.80929416233191676</v>
      </c>
      <c r="Q489" s="20">
        <v>0.27939999999999998</v>
      </c>
      <c r="R489" s="10">
        <f t="shared" si="150"/>
        <v>0.60502381983542652</v>
      </c>
      <c r="S489">
        <f t="shared" si="151"/>
        <v>7.8436289716168589E-2</v>
      </c>
      <c r="T489" s="11">
        <f t="shared" si="152"/>
        <v>0.14398173482524251</v>
      </c>
      <c r="U489" t="str">
        <f t="shared" si="153"/>
        <v>No Impact</v>
      </c>
      <c r="V489">
        <f t="shared" si="154"/>
        <v>6.7107714412386638E-2</v>
      </c>
      <c r="W489">
        <f t="shared" si="155"/>
        <v>8.8393426626680094E-2</v>
      </c>
      <c r="X489" t="s">
        <v>1176</v>
      </c>
      <c r="Y489">
        <f t="shared" si="156"/>
        <v>8.976486501995054E-2</v>
      </c>
      <c r="Z489">
        <f t="shared" si="157"/>
        <v>0.16409612013600469</v>
      </c>
      <c r="AA489" t="str">
        <f t="shared" si="158"/>
        <v>Low</v>
      </c>
      <c r="AB489">
        <f t="shared" si="159"/>
        <v>5.4931990366276301E-2</v>
      </c>
      <c r="AC489">
        <f t="shared" si="160"/>
        <v>0.13376347698024971</v>
      </c>
      <c r="AD489" t="str">
        <f t="shared" si="161"/>
        <v>No Impact</v>
      </c>
      <c r="AE489">
        <f t="shared" si="162"/>
        <v>1.2899516617016635E-2</v>
      </c>
      <c r="AF489">
        <f t="shared" si="163"/>
        <v>7.0577771529025862E-2</v>
      </c>
      <c r="AG489" t="s">
        <v>1176</v>
      </c>
    </row>
    <row r="490" spans="1:33" customFormat="1" x14ac:dyDescent="0.3">
      <c r="A490">
        <v>557364</v>
      </c>
      <c r="B490" t="s">
        <v>385</v>
      </c>
      <c r="C490" t="s">
        <v>1028</v>
      </c>
      <c r="D490" t="s">
        <v>1031</v>
      </c>
      <c r="E490" s="18">
        <v>5.9</v>
      </c>
      <c r="F490" s="2">
        <f t="shared" si="145"/>
        <v>0.60000000000000009</v>
      </c>
      <c r="G490" s="10">
        <v>27.594359999999998</v>
      </c>
      <c r="H490">
        <f t="shared" si="146"/>
        <v>0.36972491667430385</v>
      </c>
      <c r="I490" s="22">
        <v>0</v>
      </c>
      <c r="J490" s="2">
        <f t="shared" si="147"/>
        <v>0</v>
      </c>
      <c r="K490" s="8">
        <v>0</v>
      </c>
      <c r="L490" s="2">
        <v>0</v>
      </c>
      <c r="M490">
        <v>45805</v>
      </c>
      <c r="N490">
        <f t="shared" si="148"/>
        <v>0.21559192441081981</v>
      </c>
      <c r="O490" s="8">
        <v>0.70370164099999999</v>
      </c>
      <c r="P490">
        <f t="shared" si="149"/>
        <v>0.67951293075386299</v>
      </c>
      <c r="Q490" s="20">
        <v>0.26879999999999998</v>
      </c>
      <c r="R490" s="10">
        <f t="shared" si="150"/>
        <v>0.58207016024252922</v>
      </c>
      <c r="S490">
        <f t="shared" si="151"/>
        <v>6.9965805479452775E-2</v>
      </c>
      <c r="T490" s="11">
        <f t="shared" si="152"/>
        <v>0.12843287319976954</v>
      </c>
      <c r="U490" t="str">
        <f t="shared" si="153"/>
        <v>No Impact</v>
      </c>
      <c r="V490">
        <f t="shared" si="154"/>
        <v>6.4561752448280357E-2</v>
      </c>
      <c r="W490">
        <f t="shared" si="155"/>
        <v>8.5039917957235561E-2</v>
      </c>
      <c r="X490" t="s">
        <v>1176</v>
      </c>
      <c r="Y490">
        <f t="shared" si="156"/>
        <v>7.5369858510625207E-2</v>
      </c>
      <c r="Z490">
        <f t="shared" si="157"/>
        <v>0.13778109457463589</v>
      </c>
      <c r="AA490" t="str">
        <f t="shared" si="158"/>
        <v>No Impact</v>
      </c>
      <c r="AB490">
        <f t="shared" si="159"/>
        <v>5.3577090070372216E-2</v>
      </c>
      <c r="AC490">
        <f t="shared" si="160"/>
        <v>0.13046419411550642</v>
      </c>
      <c r="AD490" t="str">
        <f t="shared" si="161"/>
        <v>No Impact</v>
      </c>
      <c r="AE490">
        <f t="shared" si="162"/>
        <v>2.3912911886532957E-2</v>
      </c>
      <c r="AF490">
        <f t="shared" si="163"/>
        <v>0.13083591283529669</v>
      </c>
      <c r="AG490" t="s">
        <v>1175</v>
      </c>
    </row>
    <row r="491" spans="1:33" customFormat="1" x14ac:dyDescent="0.3">
      <c r="A491">
        <v>557385</v>
      </c>
      <c r="B491" t="s">
        <v>452</v>
      </c>
      <c r="C491" t="s">
        <v>1028</v>
      </c>
      <c r="D491" t="s">
        <v>1032</v>
      </c>
      <c r="E491" s="18">
        <v>5.9</v>
      </c>
      <c r="F491" s="2">
        <f t="shared" si="145"/>
        <v>0.60000000000000009</v>
      </c>
      <c r="G491" s="10">
        <v>27.594359999999998</v>
      </c>
      <c r="H491">
        <f t="shared" si="146"/>
        <v>0.36972491667430385</v>
      </c>
      <c r="I491" s="22">
        <v>0</v>
      </c>
      <c r="J491" s="2">
        <f t="shared" si="147"/>
        <v>0</v>
      </c>
      <c r="K491" s="8">
        <v>0</v>
      </c>
      <c r="L491" s="2">
        <v>0</v>
      </c>
      <c r="M491">
        <v>25576</v>
      </c>
      <c r="N491">
        <f t="shared" si="148"/>
        <v>0.11988001116615331</v>
      </c>
      <c r="O491" s="8">
        <v>0.75867773400000005</v>
      </c>
      <c r="P491">
        <f t="shared" si="149"/>
        <v>0.74005748648266012</v>
      </c>
      <c r="Q491" s="20">
        <v>0.27839999999999998</v>
      </c>
      <c r="R491" s="10">
        <f t="shared" si="150"/>
        <v>0.60285838025119098</v>
      </c>
      <c r="S491">
        <f t="shared" si="151"/>
        <v>7.4476418539316053E-2</v>
      </c>
      <c r="T491" s="11">
        <f t="shared" si="152"/>
        <v>0.1367127892416248</v>
      </c>
      <c r="U491" t="str">
        <f t="shared" si="153"/>
        <v>No Impact</v>
      </c>
      <c r="V491">
        <f t="shared" si="154"/>
        <v>6.6867529321433222E-2</v>
      </c>
      <c r="W491">
        <f t="shared" si="155"/>
        <v>8.8077057884279678E-2</v>
      </c>
      <c r="X491" t="s">
        <v>1176</v>
      </c>
      <c r="Y491">
        <f t="shared" si="156"/>
        <v>8.2085307757198897E-2</v>
      </c>
      <c r="Z491">
        <f t="shared" si="157"/>
        <v>0.15005738069268529</v>
      </c>
      <c r="AA491" t="str">
        <f t="shared" si="158"/>
        <v>Low</v>
      </c>
      <c r="AB491">
        <f t="shared" si="159"/>
        <v>5.2683103439289961E-2</v>
      </c>
      <c r="AC491">
        <f t="shared" si="160"/>
        <v>0.12828727026202746</v>
      </c>
      <c r="AD491" t="str">
        <f t="shared" si="161"/>
        <v>No Impact</v>
      </c>
      <c r="AE491">
        <f t="shared" si="162"/>
        <v>1.3296788141796197E-2</v>
      </c>
      <c r="AF491">
        <f t="shared" si="163"/>
        <v>7.2751383125749733E-2</v>
      </c>
      <c r="AG491" t="s">
        <v>1176</v>
      </c>
    </row>
    <row r="492" spans="1:33" customFormat="1" x14ac:dyDescent="0.3">
      <c r="A492">
        <v>557704</v>
      </c>
      <c r="B492" t="s">
        <v>18</v>
      </c>
      <c r="C492" t="s">
        <v>1034</v>
      </c>
      <c r="D492" t="s">
        <v>1033</v>
      </c>
      <c r="E492" s="18">
        <v>5.0999999999999996</v>
      </c>
      <c r="F492" s="2">
        <f t="shared" si="145"/>
        <v>0.42222222222222211</v>
      </c>
      <c r="G492" s="10">
        <v>0</v>
      </c>
      <c r="H492">
        <f t="shared" si="146"/>
        <v>0</v>
      </c>
      <c r="I492" s="22">
        <v>0</v>
      </c>
      <c r="J492" s="2">
        <f t="shared" si="147"/>
        <v>0</v>
      </c>
      <c r="K492" s="8">
        <v>0</v>
      </c>
      <c r="L492" s="2">
        <v>0</v>
      </c>
      <c r="M492">
        <v>20430</v>
      </c>
      <c r="N492">
        <f t="shared" si="148"/>
        <v>9.5532119250732184E-2</v>
      </c>
      <c r="O492" s="8">
        <v>0.58595961699999999</v>
      </c>
      <c r="P492">
        <f t="shared" si="149"/>
        <v>0.54984495791902788</v>
      </c>
      <c r="Q492" s="20">
        <v>0.29380000000000001</v>
      </c>
      <c r="R492" s="10">
        <f t="shared" si="150"/>
        <v>0.63620614984841928</v>
      </c>
      <c r="S492">
        <f t="shared" si="151"/>
        <v>0</v>
      </c>
      <c r="T492" s="11">
        <f t="shared" si="152"/>
        <v>0</v>
      </c>
      <c r="U492" t="str">
        <f t="shared" si="153"/>
        <v>No Impact</v>
      </c>
      <c r="V492">
        <f t="shared" si="154"/>
        <v>0</v>
      </c>
      <c r="W492">
        <f t="shared" si="155"/>
        <v>0</v>
      </c>
      <c r="X492" t="s">
        <v>1176</v>
      </c>
      <c r="Y492">
        <f t="shared" si="156"/>
        <v>0</v>
      </c>
      <c r="Z492">
        <f t="shared" si="157"/>
        <v>0</v>
      </c>
      <c r="AA492" t="str">
        <f t="shared" si="158"/>
        <v>No Impact</v>
      </c>
      <c r="AB492">
        <f t="shared" si="159"/>
        <v>0</v>
      </c>
      <c r="AC492">
        <f t="shared" si="160"/>
        <v>0</v>
      </c>
      <c r="AD492" t="str">
        <f t="shared" si="161"/>
        <v>No Impact</v>
      </c>
      <c r="AE492">
        <f t="shared" si="162"/>
        <v>0</v>
      </c>
      <c r="AF492">
        <f t="shared" si="163"/>
        <v>0</v>
      </c>
      <c r="AG492" t="s">
        <v>1176</v>
      </c>
    </row>
    <row r="493" spans="1:33" customFormat="1" x14ac:dyDescent="0.3">
      <c r="A493">
        <v>557725</v>
      </c>
      <c r="B493" t="s">
        <v>86</v>
      </c>
      <c r="C493" t="s">
        <v>1034</v>
      </c>
      <c r="D493" t="s">
        <v>1035</v>
      </c>
      <c r="E493" s="18">
        <v>5.3</v>
      </c>
      <c r="F493" s="2">
        <f t="shared" si="145"/>
        <v>0.46666666666666656</v>
      </c>
      <c r="G493" s="10">
        <v>0</v>
      </c>
      <c r="H493">
        <f t="shared" si="146"/>
        <v>0</v>
      </c>
      <c r="I493" s="22">
        <v>0</v>
      </c>
      <c r="J493" s="2">
        <f t="shared" si="147"/>
        <v>0</v>
      </c>
      <c r="K493" s="8">
        <v>0</v>
      </c>
      <c r="L493" s="2">
        <v>0</v>
      </c>
      <c r="M493">
        <v>33064</v>
      </c>
      <c r="N493">
        <f t="shared" si="148"/>
        <v>0.15530889081300006</v>
      </c>
      <c r="O493" s="8">
        <v>0.74789636199999998</v>
      </c>
      <c r="P493">
        <f t="shared" si="149"/>
        <v>0.72818408220333275</v>
      </c>
      <c r="Q493" s="20">
        <v>0.28799999999999998</v>
      </c>
      <c r="R493" s="10">
        <f t="shared" si="150"/>
        <v>0.62364660025985275</v>
      </c>
      <c r="S493">
        <f t="shared" si="151"/>
        <v>0</v>
      </c>
      <c r="T493" s="11">
        <f t="shared" si="152"/>
        <v>0</v>
      </c>
      <c r="U493" t="str">
        <f t="shared" si="153"/>
        <v>No Impact</v>
      </c>
      <c r="V493">
        <f t="shared" si="154"/>
        <v>0</v>
      </c>
      <c r="W493">
        <f t="shared" si="155"/>
        <v>0</v>
      </c>
      <c r="X493" t="s">
        <v>1176</v>
      </c>
      <c r="Y493">
        <f t="shared" si="156"/>
        <v>0</v>
      </c>
      <c r="Z493">
        <f t="shared" si="157"/>
        <v>0</v>
      </c>
      <c r="AA493" t="str">
        <f t="shared" si="158"/>
        <v>No Impact</v>
      </c>
      <c r="AB493">
        <f t="shared" si="159"/>
        <v>0</v>
      </c>
      <c r="AC493">
        <f t="shared" si="160"/>
        <v>0</v>
      </c>
      <c r="AD493" t="str">
        <f t="shared" si="161"/>
        <v>No Impact</v>
      </c>
      <c r="AE493">
        <f t="shared" si="162"/>
        <v>0</v>
      </c>
      <c r="AF493">
        <f t="shared" si="163"/>
        <v>0</v>
      </c>
      <c r="AG493" t="s">
        <v>1176</v>
      </c>
    </row>
    <row r="494" spans="1:33" customFormat="1" x14ac:dyDescent="0.3">
      <c r="A494">
        <v>557734</v>
      </c>
      <c r="B494" t="s">
        <v>135</v>
      </c>
      <c r="C494" t="s">
        <v>1034</v>
      </c>
      <c r="D494" t="s">
        <v>1036</v>
      </c>
      <c r="E494" s="18">
        <v>5.3</v>
      </c>
      <c r="F494" s="2">
        <f t="shared" si="145"/>
        <v>0.46666666666666656</v>
      </c>
      <c r="G494" s="10">
        <v>0</v>
      </c>
      <c r="H494">
        <f t="shared" si="146"/>
        <v>0</v>
      </c>
      <c r="I494" s="22">
        <v>0</v>
      </c>
      <c r="J494" s="2">
        <f t="shared" si="147"/>
        <v>0</v>
      </c>
      <c r="K494" s="8">
        <v>0</v>
      </c>
      <c r="L494" s="2">
        <v>0</v>
      </c>
      <c r="M494">
        <v>34418</v>
      </c>
      <c r="N494">
        <f t="shared" si="148"/>
        <v>0.16171523470213339</v>
      </c>
      <c r="O494" s="8">
        <v>0.71916983700000003</v>
      </c>
      <c r="P494">
        <f t="shared" si="149"/>
        <v>0.69654788183243377</v>
      </c>
      <c r="Q494" s="20">
        <v>0.27150000000000002</v>
      </c>
      <c r="R494" s="10">
        <f t="shared" si="150"/>
        <v>0.58791684711996539</v>
      </c>
      <c r="S494">
        <f t="shared" si="151"/>
        <v>0</v>
      </c>
      <c r="T494" s="11">
        <f t="shared" si="152"/>
        <v>0</v>
      </c>
      <c r="U494" t="str">
        <f t="shared" si="153"/>
        <v>No Impact</v>
      </c>
      <c r="V494">
        <f t="shared" si="154"/>
        <v>0</v>
      </c>
      <c r="W494">
        <f t="shared" si="155"/>
        <v>0</v>
      </c>
      <c r="X494" t="s">
        <v>1176</v>
      </c>
      <c r="Y494">
        <f t="shared" si="156"/>
        <v>0</v>
      </c>
      <c r="Z494">
        <f t="shared" si="157"/>
        <v>0</v>
      </c>
      <c r="AA494" t="str">
        <f t="shared" si="158"/>
        <v>No Impact</v>
      </c>
      <c r="AB494">
        <f t="shared" si="159"/>
        <v>0</v>
      </c>
      <c r="AC494">
        <f t="shared" si="160"/>
        <v>0</v>
      </c>
      <c r="AD494" t="str">
        <f t="shared" si="161"/>
        <v>No Impact</v>
      </c>
      <c r="AE494">
        <f t="shared" si="162"/>
        <v>0</v>
      </c>
      <c r="AF494">
        <f t="shared" si="163"/>
        <v>0</v>
      </c>
      <c r="AG494" t="s">
        <v>1176</v>
      </c>
    </row>
    <row r="495" spans="1:33" customFormat="1" x14ac:dyDescent="0.3">
      <c r="A495">
        <v>557773</v>
      </c>
      <c r="B495" t="s">
        <v>396</v>
      </c>
      <c r="C495" t="s">
        <v>1034</v>
      </c>
      <c r="D495" t="s">
        <v>1037</v>
      </c>
      <c r="E495" s="18">
        <v>5.5</v>
      </c>
      <c r="F495" s="2">
        <f t="shared" si="145"/>
        <v>0.51111111111111107</v>
      </c>
      <c r="G495" s="10">
        <v>0</v>
      </c>
      <c r="H495">
        <f t="shared" si="146"/>
        <v>0</v>
      </c>
      <c r="I495" s="22">
        <v>0</v>
      </c>
      <c r="J495" s="2">
        <f t="shared" si="147"/>
        <v>0</v>
      </c>
      <c r="K495" s="8">
        <v>0</v>
      </c>
      <c r="L495" s="2">
        <v>0</v>
      </c>
      <c r="M495">
        <v>44101</v>
      </c>
      <c r="N495">
        <f t="shared" si="148"/>
        <v>0.20752958320913353</v>
      </c>
      <c r="O495" s="8">
        <v>0.62526978300000002</v>
      </c>
      <c r="P495">
        <f t="shared" si="149"/>
        <v>0.59313680363267773</v>
      </c>
      <c r="Q495" s="20">
        <v>0.29070000000000001</v>
      </c>
      <c r="R495" s="10">
        <f t="shared" si="150"/>
        <v>0.62949328713728891</v>
      </c>
      <c r="S495">
        <f t="shared" si="151"/>
        <v>0</v>
      </c>
      <c r="T495" s="11">
        <f t="shared" si="152"/>
        <v>0</v>
      </c>
      <c r="U495" t="str">
        <f t="shared" si="153"/>
        <v>No Impact</v>
      </c>
      <c r="V495">
        <f t="shared" si="154"/>
        <v>0</v>
      </c>
      <c r="W495">
        <f t="shared" si="155"/>
        <v>0</v>
      </c>
      <c r="X495" t="s">
        <v>1176</v>
      </c>
      <c r="Y495">
        <f t="shared" si="156"/>
        <v>0</v>
      </c>
      <c r="Z495">
        <f t="shared" si="157"/>
        <v>0</v>
      </c>
      <c r="AA495" t="str">
        <f t="shared" si="158"/>
        <v>No Impact</v>
      </c>
      <c r="AB495">
        <f t="shared" si="159"/>
        <v>0</v>
      </c>
      <c r="AC495">
        <f t="shared" si="160"/>
        <v>0</v>
      </c>
      <c r="AD495" t="str">
        <f t="shared" si="161"/>
        <v>No Impact</v>
      </c>
      <c r="AE495">
        <f t="shared" si="162"/>
        <v>0</v>
      </c>
      <c r="AF495">
        <f t="shared" si="163"/>
        <v>0</v>
      </c>
      <c r="AG495" t="s">
        <v>1176</v>
      </c>
    </row>
    <row r="496" spans="1:33" customFormat="1" x14ac:dyDescent="0.3">
      <c r="A496">
        <v>557790</v>
      </c>
      <c r="B496" t="s">
        <v>518</v>
      </c>
      <c r="C496" t="s">
        <v>1034</v>
      </c>
      <c r="D496" t="s">
        <v>1038</v>
      </c>
      <c r="E496" s="18">
        <v>5.4</v>
      </c>
      <c r="F496" s="2">
        <f t="shared" si="145"/>
        <v>0.48888888888888893</v>
      </c>
      <c r="G496" s="10">
        <v>0</v>
      </c>
      <c r="H496">
        <f t="shared" si="146"/>
        <v>0</v>
      </c>
      <c r="I496" s="22">
        <v>0</v>
      </c>
      <c r="J496" s="2">
        <f t="shared" si="147"/>
        <v>0</v>
      </c>
      <c r="K496" s="8">
        <v>0</v>
      </c>
      <c r="L496" s="2">
        <v>0</v>
      </c>
      <c r="M496">
        <v>24227</v>
      </c>
      <c r="N496">
        <f t="shared" si="148"/>
        <v>0.11349732438148501</v>
      </c>
      <c r="O496" s="8">
        <v>0.86287359799999996</v>
      </c>
      <c r="P496">
        <f t="shared" si="149"/>
        <v>0.85480722496731665</v>
      </c>
      <c r="Q496" s="20">
        <v>0.27829999999999999</v>
      </c>
      <c r="R496" s="10">
        <f t="shared" si="150"/>
        <v>0.60264183629276746</v>
      </c>
      <c r="S496">
        <f t="shared" si="151"/>
        <v>0</v>
      </c>
      <c r="T496" s="11">
        <f t="shared" si="152"/>
        <v>0</v>
      </c>
      <c r="U496" t="str">
        <f t="shared" si="153"/>
        <v>No Impact</v>
      </c>
      <c r="V496">
        <f t="shared" si="154"/>
        <v>0</v>
      </c>
      <c r="W496">
        <f t="shared" si="155"/>
        <v>0</v>
      </c>
      <c r="X496" t="s">
        <v>1176</v>
      </c>
      <c r="Y496">
        <f t="shared" si="156"/>
        <v>0</v>
      </c>
      <c r="Z496">
        <f t="shared" si="157"/>
        <v>0</v>
      </c>
      <c r="AA496" t="str">
        <f t="shared" si="158"/>
        <v>No Impact</v>
      </c>
      <c r="AB496">
        <f t="shared" si="159"/>
        <v>0</v>
      </c>
      <c r="AC496">
        <f t="shared" si="160"/>
        <v>0</v>
      </c>
      <c r="AD496" t="str">
        <f t="shared" si="161"/>
        <v>No Impact</v>
      </c>
      <c r="AE496">
        <f t="shared" si="162"/>
        <v>0</v>
      </c>
      <c r="AF496">
        <f t="shared" si="163"/>
        <v>0</v>
      </c>
      <c r="AG496" t="s">
        <v>1176</v>
      </c>
    </row>
    <row r="497" spans="1:33" customFormat="1" x14ac:dyDescent="0.3">
      <c r="A497">
        <v>558503</v>
      </c>
      <c r="B497" t="s">
        <v>22</v>
      </c>
      <c r="C497" t="s">
        <v>1040</v>
      </c>
      <c r="D497" t="s">
        <v>1039</v>
      </c>
      <c r="E497" s="18">
        <v>6.3</v>
      </c>
      <c r="F497" s="2">
        <f t="shared" si="145"/>
        <v>0.68888888888888877</v>
      </c>
      <c r="G497" s="10">
        <v>28.130400000000002</v>
      </c>
      <c r="H497">
        <f t="shared" si="146"/>
        <v>0.37690708521650212</v>
      </c>
      <c r="I497" s="22">
        <v>0</v>
      </c>
      <c r="J497" s="2">
        <f t="shared" si="147"/>
        <v>0</v>
      </c>
      <c r="K497" s="8">
        <v>0</v>
      </c>
      <c r="L497" s="2">
        <v>0</v>
      </c>
      <c r="M497">
        <v>34851</v>
      </c>
      <c r="N497">
        <f t="shared" si="148"/>
        <v>0.16376393994880603</v>
      </c>
      <c r="O497" s="8">
        <v>0.76748575200000002</v>
      </c>
      <c r="P497">
        <f t="shared" si="149"/>
        <v>0.74975765809473238</v>
      </c>
      <c r="Q497" s="20">
        <v>0.28070000000000001</v>
      </c>
      <c r="R497" s="10">
        <f t="shared" si="150"/>
        <v>0.60783889129493285</v>
      </c>
      <c r="S497">
        <f t="shared" si="151"/>
        <v>8.8124002823575742E-2</v>
      </c>
      <c r="T497" s="11">
        <f t="shared" si="152"/>
        <v>0.16176500510410416</v>
      </c>
      <c r="U497" t="str">
        <f t="shared" si="153"/>
        <v>Low</v>
      </c>
      <c r="V497">
        <f t="shared" si="154"/>
        <v>7.8911803653058943E-2</v>
      </c>
      <c r="W497">
        <f t="shared" si="155"/>
        <v>0.10394162261765488</v>
      </c>
      <c r="X497" t="s">
        <v>1176</v>
      </c>
      <c r="Y497">
        <f t="shared" si="156"/>
        <v>9.7336201994092514E-2</v>
      </c>
      <c r="Z497">
        <f t="shared" si="157"/>
        <v>0.17793702572220305</v>
      </c>
      <c r="AA497" t="str">
        <f t="shared" si="158"/>
        <v>Low</v>
      </c>
      <c r="AB497">
        <f t="shared" si="159"/>
        <v>6.4261137583198055E-2</v>
      </c>
      <c r="AC497">
        <f t="shared" si="160"/>
        <v>0.15648064343781504</v>
      </c>
      <c r="AD497" t="str">
        <f t="shared" si="161"/>
        <v>Low</v>
      </c>
      <c r="AE497">
        <f t="shared" si="162"/>
        <v>2.1260416303999084E-2</v>
      </c>
      <c r="AF497">
        <f t="shared" si="163"/>
        <v>0.11632318086525774</v>
      </c>
      <c r="AG497" t="s">
        <v>1176</v>
      </c>
    </row>
    <row r="498" spans="1:33" customFormat="1" x14ac:dyDescent="0.3">
      <c r="A498">
        <v>558527</v>
      </c>
      <c r="B498" t="s">
        <v>174</v>
      </c>
      <c r="C498" t="s">
        <v>1040</v>
      </c>
      <c r="D498" t="s">
        <v>1041</v>
      </c>
      <c r="E498" s="18">
        <v>6.3</v>
      </c>
      <c r="F498" s="2">
        <f t="shared" si="145"/>
        <v>0.68888888888888877</v>
      </c>
      <c r="G498" s="10">
        <v>28.782719999999998</v>
      </c>
      <c r="H498">
        <f t="shared" si="146"/>
        <v>0.38564723927859962</v>
      </c>
      <c r="I498" s="22">
        <v>0</v>
      </c>
      <c r="J498" s="2">
        <f t="shared" si="147"/>
        <v>0</v>
      </c>
      <c r="K498" s="8">
        <v>0</v>
      </c>
      <c r="L498" s="2">
        <v>0</v>
      </c>
      <c r="M498">
        <v>23068</v>
      </c>
      <c r="N498">
        <f t="shared" si="148"/>
        <v>0.1080136075664883</v>
      </c>
      <c r="O498" s="8">
        <v>0.67622420800000005</v>
      </c>
      <c r="P498">
        <f t="shared" si="149"/>
        <v>0.64925234141818966</v>
      </c>
      <c r="Q498" s="20">
        <v>0.24979999999999999</v>
      </c>
      <c r="R498" s="10">
        <f t="shared" si="150"/>
        <v>0.54092680814205285</v>
      </c>
      <c r="S498">
        <f t="shared" si="151"/>
        <v>7.9048157786225703E-2</v>
      </c>
      <c r="T498" s="11">
        <f t="shared" si="152"/>
        <v>0.14510491169311565</v>
      </c>
      <c r="U498" t="str">
        <f t="shared" si="153"/>
        <v>No Impact</v>
      </c>
      <c r="V498">
        <f t="shared" si="154"/>
        <v>7.1853498184053205E-2</v>
      </c>
      <c r="W498">
        <f t="shared" si="155"/>
        <v>9.4644512560393065E-2</v>
      </c>
      <c r="X498" t="s">
        <v>1176</v>
      </c>
      <c r="Y498">
        <f t="shared" si="156"/>
        <v>8.6242817388398216E-2</v>
      </c>
      <c r="Z498">
        <f t="shared" si="157"/>
        <v>0.1576575837315497</v>
      </c>
      <c r="AA498" t="str">
        <f t="shared" si="158"/>
        <v>Low</v>
      </c>
      <c r="AB498">
        <f t="shared" si="159"/>
        <v>5.604332927819964E-2</v>
      </c>
      <c r="AC498">
        <f t="shared" si="160"/>
        <v>0.13646966978286071</v>
      </c>
      <c r="AD498" t="str">
        <f t="shared" si="161"/>
        <v>No Impact</v>
      </c>
      <c r="AE498">
        <f t="shared" si="162"/>
        <v>1.4347884849318735E-2</v>
      </c>
      <c r="AF498">
        <f t="shared" si="163"/>
        <v>7.8502301201282557E-2</v>
      </c>
      <c r="AG498" t="s">
        <v>1176</v>
      </c>
    </row>
    <row r="499" spans="1:33" customFormat="1" x14ac:dyDescent="0.3">
      <c r="A499">
        <v>558542</v>
      </c>
      <c r="B499" t="s">
        <v>262</v>
      </c>
      <c r="C499" t="s">
        <v>1040</v>
      </c>
      <c r="D499" t="s">
        <v>1042</v>
      </c>
      <c r="E499" s="18">
        <v>6.4</v>
      </c>
      <c r="F499" s="2">
        <f t="shared" si="145"/>
        <v>0.71111111111111114</v>
      </c>
      <c r="G499" s="10">
        <v>29.360519999999998</v>
      </c>
      <c r="H499">
        <f t="shared" si="146"/>
        <v>0.39338893203227876</v>
      </c>
      <c r="I499" s="22">
        <v>0.49999999999999989</v>
      </c>
      <c r="J499" s="2">
        <f t="shared" si="147"/>
        <v>2.5654181631605947E-3</v>
      </c>
      <c r="K499" s="8">
        <v>0</v>
      </c>
      <c r="L499" s="2">
        <v>0</v>
      </c>
      <c r="M499">
        <v>14370</v>
      </c>
      <c r="N499">
        <f t="shared" si="148"/>
        <v>6.6859708639101414E-2</v>
      </c>
      <c r="O499" s="8">
        <v>0.62991818499999996</v>
      </c>
      <c r="P499">
        <f t="shared" si="149"/>
        <v>0.59825603671347982</v>
      </c>
      <c r="Q499" s="20">
        <v>0.2681</v>
      </c>
      <c r="R499" s="10">
        <f t="shared" si="150"/>
        <v>0.58055435253356436</v>
      </c>
      <c r="S499">
        <f t="shared" si="151"/>
        <v>8.2978684742746014E-2</v>
      </c>
      <c r="T499" s="11">
        <f t="shared" si="152"/>
        <v>0.1523199914989688</v>
      </c>
      <c r="U499" t="str">
        <f t="shared" si="153"/>
        <v>Low</v>
      </c>
      <c r="V499">
        <f t="shared" si="154"/>
        <v>8.1732629834866302E-2</v>
      </c>
      <c r="W499">
        <f t="shared" si="155"/>
        <v>0.10765717893351988</v>
      </c>
      <c r="X499" t="s">
        <v>1176</v>
      </c>
      <c r="Y499">
        <f t="shared" si="156"/>
        <v>8.4224739650625713E-2</v>
      </c>
      <c r="Z499">
        <f t="shared" si="157"/>
        <v>0.15396840393021302</v>
      </c>
      <c r="AA499" t="str">
        <f t="shared" si="158"/>
        <v>Low</v>
      </c>
      <c r="AB499">
        <f t="shared" si="159"/>
        <v>5.716830895817604E-2</v>
      </c>
      <c r="AC499">
        <f t="shared" si="160"/>
        <v>0.13920907886893955</v>
      </c>
      <c r="AD499" t="str">
        <f t="shared" si="161"/>
        <v>No Impact</v>
      </c>
      <c r="AE499">
        <f t="shared" si="162"/>
        <v>9.4127617736717521E-3</v>
      </c>
      <c r="AF499">
        <f t="shared" si="163"/>
        <v>5.1500515069145124E-2</v>
      </c>
      <c r="AG499" t="s">
        <v>1176</v>
      </c>
    </row>
    <row r="500" spans="1:33" customFormat="1" x14ac:dyDescent="0.3">
      <c r="A500">
        <v>558549</v>
      </c>
      <c r="B500" t="s">
        <v>435</v>
      </c>
      <c r="C500" t="s">
        <v>1040</v>
      </c>
      <c r="D500" t="s">
        <v>1043</v>
      </c>
      <c r="E500" s="18">
        <v>6.3</v>
      </c>
      <c r="F500" s="2">
        <f t="shared" si="145"/>
        <v>0.68888888888888877</v>
      </c>
      <c r="G500" s="10">
        <v>29.144880000000004</v>
      </c>
      <c r="H500">
        <f t="shared" si="146"/>
        <v>0.39049966476782166</v>
      </c>
      <c r="I500" s="22">
        <v>0.1</v>
      </c>
      <c r="J500" s="2">
        <f t="shared" si="147"/>
        <v>5.1308363263211912E-4</v>
      </c>
      <c r="K500" s="8">
        <v>0</v>
      </c>
      <c r="L500" s="2">
        <v>0</v>
      </c>
      <c r="M500">
        <v>70957</v>
      </c>
      <c r="N500">
        <f t="shared" si="148"/>
        <v>0.33459662271176654</v>
      </c>
      <c r="O500" s="8">
        <v>0.58055679800000004</v>
      </c>
      <c r="P500">
        <f t="shared" si="149"/>
        <v>0.54389489384230094</v>
      </c>
      <c r="Q500" s="20">
        <v>0.26840000000000003</v>
      </c>
      <c r="R500" s="10">
        <f t="shared" si="150"/>
        <v>0.58120398440883503</v>
      </c>
      <c r="S500">
        <f t="shared" si="151"/>
        <v>7.5765378571247599E-2</v>
      </c>
      <c r="T500" s="11">
        <f t="shared" si="152"/>
        <v>0.13907887134710775</v>
      </c>
      <c r="U500" t="str">
        <f t="shared" si="153"/>
        <v>No Impact</v>
      </c>
      <c r="V500">
        <f t="shared" si="154"/>
        <v>7.8277813189719825E-2</v>
      </c>
      <c r="W500">
        <f t="shared" si="155"/>
        <v>0.10310653845491909</v>
      </c>
      <c r="X500" t="s">
        <v>1176</v>
      </c>
      <c r="Y500">
        <f t="shared" si="156"/>
        <v>7.3252943952775387E-2</v>
      </c>
      <c r="Z500">
        <f t="shared" si="157"/>
        <v>0.13391123451830564</v>
      </c>
      <c r="AA500" t="str">
        <f t="shared" si="158"/>
        <v>No Impact</v>
      </c>
      <c r="AB500">
        <f t="shared" si="159"/>
        <v>6.5145587400174634E-2</v>
      </c>
      <c r="AC500">
        <f t="shared" si="160"/>
        <v>0.15863434444053645</v>
      </c>
      <c r="AD500" t="str">
        <f t="shared" si="161"/>
        <v>Low</v>
      </c>
      <c r="AE500">
        <f t="shared" si="162"/>
        <v>4.5064198851257363E-2</v>
      </c>
      <c r="AF500">
        <f t="shared" si="163"/>
        <v>0.24656200887923008</v>
      </c>
      <c r="AG500" t="s">
        <v>1175</v>
      </c>
    </row>
    <row r="501" spans="1:33" customFormat="1" x14ac:dyDescent="0.3">
      <c r="A501">
        <v>558558</v>
      </c>
      <c r="B501" t="s">
        <v>338</v>
      </c>
      <c r="C501" t="s">
        <v>1040</v>
      </c>
      <c r="D501" t="s">
        <v>1044</v>
      </c>
      <c r="E501" s="18">
        <v>6.3</v>
      </c>
      <c r="F501" s="2">
        <f t="shared" si="145"/>
        <v>0.68888888888888877</v>
      </c>
      <c r="G501" s="10">
        <v>29.360519999999998</v>
      </c>
      <c r="H501">
        <f t="shared" si="146"/>
        <v>0.39338893203227876</v>
      </c>
      <c r="I501" s="22">
        <v>1</v>
      </c>
      <c r="J501" s="2">
        <f t="shared" si="147"/>
        <v>5.1308363263211912E-3</v>
      </c>
      <c r="K501" s="8">
        <v>0</v>
      </c>
      <c r="L501" s="2">
        <v>0</v>
      </c>
      <c r="M501">
        <v>23688</v>
      </c>
      <c r="N501">
        <f t="shared" si="148"/>
        <v>0.11094708852015349</v>
      </c>
      <c r="O501" s="8">
        <v>0.65306410800000003</v>
      </c>
      <c r="P501">
        <f t="shared" si="149"/>
        <v>0.62374638258014503</v>
      </c>
      <c r="Q501" s="20">
        <v>0.28810000000000002</v>
      </c>
      <c r="R501" s="10">
        <f t="shared" si="150"/>
        <v>0.62386314421827638</v>
      </c>
      <c r="S501">
        <f t="shared" si="151"/>
        <v>8.5628382490402041E-2</v>
      </c>
      <c r="T501" s="11">
        <f t="shared" si="152"/>
        <v>0.15718391456124758</v>
      </c>
      <c r="U501" t="str">
        <f t="shared" si="153"/>
        <v>Low</v>
      </c>
      <c r="V501">
        <f t="shared" si="154"/>
        <v>8.5636396304015483E-2</v>
      </c>
      <c r="W501">
        <f t="shared" si="155"/>
        <v>0.11279917040171299</v>
      </c>
      <c r="X501" t="s">
        <v>1176</v>
      </c>
      <c r="Y501">
        <f t="shared" si="156"/>
        <v>8.56203686767886E-2</v>
      </c>
      <c r="Z501">
        <f t="shared" si="157"/>
        <v>0.15651970624979675</v>
      </c>
      <c r="AA501" t="str">
        <f t="shared" si="158"/>
        <v>Low</v>
      </c>
      <c r="AB501">
        <f t="shared" si="159"/>
        <v>6.0989165942616129E-2</v>
      </c>
      <c r="AC501">
        <f t="shared" si="160"/>
        <v>0.14851314944557653</v>
      </c>
      <c r="AD501" t="str">
        <f t="shared" si="161"/>
        <v>No Impact</v>
      </c>
      <c r="AE501">
        <f t="shared" si="162"/>
        <v>1.5229476094783244E-2</v>
      </c>
      <c r="AF501">
        <f t="shared" si="163"/>
        <v>8.3325795550078838E-2</v>
      </c>
      <c r="AG501" t="s">
        <v>1176</v>
      </c>
    </row>
    <row r="502" spans="1:33" customFormat="1" x14ac:dyDescent="0.3">
      <c r="A502">
        <v>558573</v>
      </c>
      <c r="B502" t="s">
        <v>413</v>
      </c>
      <c r="C502" t="s">
        <v>1040</v>
      </c>
      <c r="D502" t="s">
        <v>1045</v>
      </c>
      <c r="E502" s="18">
        <v>6.3</v>
      </c>
      <c r="F502" s="2">
        <f t="shared" si="145"/>
        <v>0.68888888888888877</v>
      </c>
      <c r="G502" s="10">
        <v>30.146040000000003</v>
      </c>
      <c r="H502">
        <f t="shared" si="146"/>
        <v>0.40391377538961704</v>
      </c>
      <c r="I502" s="22">
        <v>2</v>
      </c>
      <c r="J502" s="2">
        <f t="shared" si="147"/>
        <v>1.0261672652642382E-2</v>
      </c>
      <c r="K502" s="8">
        <v>0</v>
      </c>
      <c r="L502" s="2">
        <v>0</v>
      </c>
      <c r="M502">
        <v>13223</v>
      </c>
      <c r="N502">
        <f t="shared" si="148"/>
        <v>6.1432768874820798E-2</v>
      </c>
      <c r="O502" s="8">
        <v>0.72838832799999997</v>
      </c>
      <c r="P502">
        <f t="shared" si="149"/>
        <v>0.70670010276390138</v>
      </c>
      <c r="Q502" s="20">
        <v>0.28960000000000002</v>
      </c>
      <c r="R502" s="10">
        <f t="shared" si="150"/>
        <v>0.62711130359462974</v>
      </c>
      <c r="S502">
        <f t="shared" si="151"/>
        <v>9.5141055787805781E-2</v>
      </c>
      <c r="T502" s="11">
        <f t="shared" si="152"/>
        <v>0.17464587265669296</v>
      </c>
      <c r="U502" t="str">
        <f t="shared" si="153"/>
        <v>Low</v>
      </c>
      <c r="V502">
        <f t="shared" si="154"/>
        <v>8.9463969547764491E-2</v>
      </c>
      <c r="W502">
        <f t="shared" si="155"/>
        <v>0.11784080112393473</v>
      </c>
      <c r="X502" t="s">
        <v>1176</v>
      </c>
      <c r="Y502">
        <f t="shared" si="156"/>
        <v>0.10081814202784707</v>
      </c>
      <c r="Z502">
        <f t="shared" si="157"/>
        <v>0.18430224278077451</v>
      </c>
      <c r="AA502" t="str">
        <f t="shared" si="158"/>
        <v>Low</v>
      </c>
      <c r="AB502">
        <f t="shared" si="159"/>
        <v>6.4625240823619243E-2</v>
      </c>
      <c r="AC502">
        <f t="shared" si="160"/>
        <v>0.15736726187442668</v>
      </c>
      <c r="AD502" t="str">
        <f t="shared" si="161"/>
        <v>Low</v>
      </c>
      <c r="AE502">
        <f t="shared" si="162"/>
        <v>8.7640253529929942E-3</v>
      </c>
      <c r="AF502">
        <f t="shared" si="163"/>
        <v>4.7951050989163746E-2</v>
      </c>
      <c r="AG502" t="s">
        <v>1176</v>
      </c>
    </row>
    <row r="503" spans="1:33" customFormat="1" x14ac:dyDescent="0.3">
      <c r="A503">
        <v>558576</v>
      </c>
      <c r="B503" t="s">
        <v>414</v>
      </c>
      <c r="C503" t="s">
        <v>1040</v>
      </c>
      <c r="D503" t="s">
        <v>1142</v>
      </c>
      <c r="E503" s="18">
        <v>6.3</v>
      </c>
      <c r="F503" s="2">
        <f t="shared" si="145"/>
        <v>0.68888888888888877</v>
      </c>
      <c r="G503" s="10">
        <v>27.839160000000003</v>
      </c>
      <c r="H503">
        <f t="shared" si="146"/>
        <v>0.37300488618988137</v>
      </c>
      <c r="I503" s="22">
        <v>1.5000000000000004</v>
      </c>
      <c r="J503" s="2">
        <f t="shared" si="147"/>
        <v>7.6962544894817889E-3</v>
      </c>
      <c r="K503" s="8">
        <v>0</v>
      </c>
      <c r="L503" s="2">
        <v>0</v>
      </c>
      <c r="M503">
        <v>36763</v>
      </c>
      <c r="N503">
        <f t="shared" si="148"/>
        <v>0.17281041669623803</v>
      </c>
      <c r="O503" s="8">
        <v>0.70937620400000001</v>
      </c>
      <c r="P503">
        <f t="shared" si="149"/>
        <v>0.68576226345544422</v>
      </c>
      <c r="Q503" s="20">
        <v>0.30659999999999998</v>
      </c>
      <c r="R503" s="10">
        <f t="shared" si="150"/>
        <v>0.66392377652663492</v>
      </c>
      <c r="S503">
        <f t="shared" si="151"/>
        <v>8.8492430357699395E-2</v>
      </c>
      <c r="T503" s="11">
        <f t="shared" si="152"/>
        <v>0.16244130985682087</v>
      </c>
      <c r="U503" t="str">
        <f t="shared" si="153"/>
        <v>Low</v>
      </c>
      <c r="V503">
        <f t="shared" si="154"/>
        <v>8.7060585672033938E-2</v>
      </c>
      <c r="W503">
        <f t="shared" si="155"/>
        <v>0.11467509449638311</v>
      </c>
      <c r="X503" t="s">
        <v>1176</v>
      </c>
      <c r="Y503">
        <f t="shared" si="156"/>
        <v>8.9924275043364837E-2</v>
      </c>
      <c r="Z503">
        <f t="shared" si="157"/>
        <v>0.16438753221964411</v>
      </c>
      <c r="AA503" t="str">
        <f t="shared" si="158"/>
        <v>Low</v>
      </c>
      <c r="AB503">
        <f t="shared" si="159"/>
        <v>6.5379731741768463E-2</v>
      </c>
      <c r="AC503">
        <f t="shared" si="160"/>
        <v>0.15920450330494326</v>
      </c>
      <c r="AD503" t="str">
        <f t="shared" si="161"/>
        <v>Low</v>
      </c>
      <c r="AE503">
        <f t="shared" si="162"/>
        <v>2.2660697838706112E-2</v>
      </c>
      <c r="AF503">
        <f t="shared" si="163"/>
        <v>0.1239846113798318</v>
      </c>
      <c r="AG503" t="s">
        <v>1175</v>
      </c>
    </row>
    <row r="504" spans="1:33" customFormat="1" x14ac:dyDescent="0.3">
      <c r="A504">
        <v>558592</v>
      </c>
      <c r="B504" t="s">
        <v>511</v>
      </c>
      <c r="C504" t="s">
        <v>1040</v>
      </c>
      <c r="D504" t="s">
        <v>1046</v>
      </c>
      <c r="E504" s="18">
        <v>6</v>
      </c>
      <c r="F504" s="2">
        <f t="shared" si="145"/>
        <v>0.62222222222222223</v>
      </c>
      <c r="G504" s="10">
        <v>28.130400000000002</v>
      </c>
      <c r="H504">
        <f t="shared" si="146"/>
        <v>0.37690708521650212</v>
      </c>
      <c r="I504" s="22">
        <v>0</v>
      </c>
      <c r="J504" s="2">
        <f t="shared" si="147"/>
        <v>0</v>
      </c>
      <c r="K504" s="8">
        <v>0</v>
      </c>
      <c r="L504" s="2">
        <v>0</v>
      </c>
      <c r="M504">
        <v>16160</v>
      </c>
      <c r="N504">
        <f t="shared" si="148"/>
        <v>7.5328952037586411E-2</v>
      </c>
      <c r="O504" s="8">
        <v>0.77558193399999997</v>
      </c>
      <c r="P504">
        <f t="shared" si="149"/>
        <v>0.75867389268945851</v>
      </c>
      <c r="Q504" s="20">
        <v>0.28789999999999999</v>
      </c>
      <c r="R504" s="10">
        <f t="shared" si="150"/>
        <v>0.62343005630142923</v>
      </c>
      <c r="S504">
        <f t="shared" si="151"/>
        <v>8.1032742136946848E-2</v>
      </c>
      <c r="T504" s="11">
        <f t="shared" si="152"/>
        <v>0.14874791799489073</v>
      </c>
      <c r="U504" t="str">
        <f t="shared" si="153"/>
        <v>No Impact</v>
      </c>
      <c r="V504">
        <f t="shared" si="154"/>
        <v>7.310339722215646E-2</v>
      </c>
      <c r="W504">
        <f t="shared" si="155"/>
        <v>9.6290863652555223E-2</v>
      </c>
      <c r="X504" t="s">
        <v>1176</v>
      </c>
      <c r="Y504">
        <f t="shared" si="156"/>
        <v>8.8962087051737249E-2</v>
      </c>
      <c r="Z504">
        <f t="shared" si="157"/>
        <v>0.16262858882645292</v>
      </c>
      <c r="AA504" t="str">
        <f t="shared" si="158"/>
        <v>Low</v>
      </c>
      <c r="AB504">
        <f t="shared" si="159"/>
        <v>5.536639019105398E-2</v>
      </c>
      <c r="AC504">
        <f t="shared" si="160"/>
        <v>0.13482127282151504</v>
      </c>
      <c r="AD504" t="str">
        <f t="shared" si="161"/>
        <v>No Impact</v>
      </c>
      <c r="AE504">
        <f t="shared" si="162"/>
        <v>8.8330715650801177E-3</v>
      </c>
      <c r="AF504">
        <f t="shared" si="163"/>
        <v>4.8328826988552842E-2</v>
      </c>
      <c r="AG504" t="s">
        <v>1176</v>
      </c>
    </row>
    <row r="505" spans="1:33" customFormat="1" x14ac:dyDescent="0.3">
      <c r="A505">
        <v>559408</v>
      </c>
      <c r="B505" t="s">
        <v>37</v>
      </c>
      <c r="C505" t="s">
        <v>803</v>
      </c>
      <c r="D505" t="s">
        <v>1143</v>
      </c>
      <c r="E505" s="18">
        <v>5.5</v>
      </c>
      <c r="F505" s="2">
        <f t="shared" si="145"/>
        <v>0.51111111111111107</v>
      </c>
      <c r="G505" s="10">
        <v>0</v>
      </c>
      <c r="H505">
        <f t="shared" si="146"/>
        <v>0</v>
      </c>
      <c r="I505" s="22">
        <v>0</v>
      </c>
      <c r="J505" s="2">
        <f t="shared" si="147"/>
        <v>0</v>
      </c>
      <c r="K505" s="8">
        <v>0</v>
      </c>
      <c r="L505" s="2">
        <v>0</v>
      </c>
      <c r="M505">
        <v>24763</v>
      </c>
      <c r="N505">
        <f t="shared" si="148"/>
        <v>0.1160333659801375</v>
      </c>
      <c r="O505" s="8">
        <v>0.95506547600000002</v>
      </c>
      <c r="P505">
        <f t="shared" si="149"/>
        <v>0.95633710806238248</v>
      </c>
      <c r="Q505" s="20">
        <v>0.26050000000000001</v>
      </c>
      <c r="R505" s="10">
        <f t="shared" si="150"/>
        <v>0.56409701169337378</v>
      </c>
      <c r="S505">
        <f t="shared" si="151"/>
        <v>0</v>
      </c>
      <c r="T505" s="11">
        <f t="shared" si="152"/>
        <v>0</v>
      </c>
      <c r="U505" t="str">
        <f t="shared" si="153"/>
        <v>No Impact</v>
      </c>
      <c r="V505">
        <f t="shared" si="154"/>
        <v>0</v>
      </c>
      <c r="W505">
        <f t="shared" si="155"/>
        <v>0</v>
      </c>
      <c r="X505" t="s">
        <v>1176</v>
      </c>
      <c r="Y505">
        <f t="shared" si="156"/>
        <v>0</v>
      </c>
      <c r="Z505">
        <f t="shared" si="157"/>
        <v>0</v>
      </c>
      <c r="AA505" t="str">
        <f t="shared" si="158"/>
        <v>No Impact</v>
      </c>
      <c r="AB505">
        <f t="shared" si="159"/>
        <v>0</v>
      </c>
      <c r="AC505">
        <f t="shared" si="160"/>
        <v>0</v>
      </c>
      <c r="AD505" t="str">
        <f t="shared" si="161"/>
        <v>No Impact</v>
      </c>
      <c r="AE505">
        <f t="shared" si="162"/>
        <v>0</v>
      </c>
      <c r="AF505">
        <f t="shared" si="163"/>
        <v>0</v>
      </c>
      <c r="AG505" t="s">
        <v>1176</v>
      </c>
    </row>
    <row r="506" spans="1:33" customFormat="1" x14ac:dyDescent="0.3">
      <c r="A506">
        <v>559451</v>
      </c>
      <c r="B506" t="s">
        <v>202</v>
      </c>
      <c r="C506" t="s">
        <v>1048</v>
      </c>
      <c r="D506" t="s">
        <v>1049</v>
      </c>
      <c r="E506" s="18">
        <v>5.6</v>
      </c>
      <c r="F506" s="2">
        <f t="shared" si="145"/>
        <v>0.53333333333333321</v>
      </c>
      <c r="G506" s="10">
        <v>23.85324</v>
      </c>
      <c r="H506">
        <f t="shared" si="146"/>
        <v>0.31959926490094975</v>
      </c>
      <c r="I506" s="22">
        <v>0</v>
      </c>
      <c r="J506" s="2">
        <f t="shared" si="147"/>
        <v>0</v>
      </c>
      <c r="K506" s="8">
        <v>0</v>
      </c>
      <c r="L506" s="2">
        <v>0</v>
      </c>
      <c r="M506">
        <v>7570</v>
      </c>
      <c r="N506">
        <f t="shared" si="148"/>
        <v>3.4686046566644431E-2</v>
      </c>
      <c r="O506" s="8">
        <v>0.80998207700000002</v>
      </c>
      <c r="P506">
        <f t="shared" si="149"/>
        <v>0.79655838504401877</v>
      </c>
      <c r="Q506" s="20">
        <v>0.25700000000000001</v>
      </c>
      <c r="R506" s="10">
        <f t="shared" si="150"/>
        <v>0.55651797314854923</v>
      </c>
      <c r="S506">
        <f t="shared" si="151"/>
        <v>5.7658961257759843E-2</v>
      </c>
      <c r="T506" s="11">
        <f t="shared" si="152"/>
        <v>0.10584178956137437</v>
      </c>
      <c r="U506" t="str">
        <f t="shared" si="153"/>
        <v>No Impact</v>
      </c>
      <c r="V506">
        <f t="shared" si="154"/>
        <v>4.7430062699318071E-2</v>
      </c>
      <c r="W506">
        <f t="shared" si="155"/>
        <v>6.2474274438069105E-2</v>
      </c>
      <c r="X506" t="s">
        <v>1176</v>
      </c>
      <c r="Y506">
        <f t="shared" si="156"/>
        <v>6.7887859816201615E-2</v>
      </c>
      <c r="Z506">
        <f t="shared" si="157"/>
        <v>0.12410350528238118</v>
      </c>
      <c r="AA506" t="str">
        <f t="shared" si="158"/>
        <v>No Impact</v>
      </c>
      <c r="AB506">
        <f t="shared" si="159"/>
        <v>3.800153915489031E-2</v>
      </c>
      <c r="AC506">
        <f t="shared" si="160"/>
        <v>9.2536570658832404E-2</v>
      </c>
      <c r="AD506" t="str">
        <f t="shared" si="161"/>
        <v>No Impact</v>
      </c>
      <c r="AE506">
        <f t="shared" si="162"/>
        <v>2.9561693293385784E-3</v>
      </c>
      <c r="AF506">
        <f t="shared" si="163"/>
        <v>1.6174237354905276E-2</v>
      </c>
      <c r="AG506" t="s">
        <v>1176</v>
      </c>
    </row>
    <row r="507" spans="1:33" customFormat="1" x14ac:dyDescent="0.3">
      <c r="A507">
        <v>559482</v>
      </c>
      <c r="B507" t="s">
        <v>415</v>
      </c>
      <c r="C507" t="s">
        <v>1048</v>
      </c>
      <c r="D507" t="s">
        <v>1142</v>
      </c>
      <c r="E507" s="18">
        <v>5.6</v>
      </c>
      <c r="F507" s="2">
        <f t="shared" si="145"/>
        <v>0.53333333333333321</v>
      </c>
      <c r="G507" s="10">
        <v>26.233920000000001</v>
      </c>
      <c r="H507">
        <f t="shared" si="146"/>
        <v>0.35149696843994044</v>
      </c>
      <c r="I507" s="22">
        <v>0</v>
      </c>
      <c r="J507" s="2">
        <f t="shared" si="147"/>
        <v>0</v>
      </c>
      <c r="K507" s="8">
        <v>0</v>
      </c>
      <c r="L507" s="2">
        <v>0</v>
      </c>
      <c r="M507">
        <v>41019</v>
      </c>
      <c r="N507">
        <f t="shared" si="148"/>
        <v>0.19294734401688171</v>
      </c>
      <c r="O507" s="8">
        <v>0.697872618</v>
      </c>
      <c r="P507">
        <f t="shared" si="149"/>
        <v>0.67309349298355903</v>
      </c>
      <c r="Q507" s="20">
        <v>0.26669999999999999</v>
      </c>
      <c r="R507" s="10">
        <f t="shared" si="150"/>
        <v>0.57752273711563451</v>
      </c>
      <c r="S507">
        <f t="shared" si="151"/>
        <v>5.8611708474887114E-2</v>
      </c>
      <c r="T507" s="11">
        <f t="shared" si="152"/>
        <v>0.10759070192921205</v>
      </c>
      <c r="U507" t="str">
        <f t="shared" si="153"/>
        <v>No Impact</v>
      </c>
      <c r="V507">
        <f t="shared" si="154"/>
        <v>5.4132664347008579E-2</v>
      </c>
      <c r="W507">
        <f t="shared" si="155"/>
        <v>7.1302855952739788E-2</v>
      </c>
      <c r="X507" t="s">
        <v>1176</v>
      </c>
      <c r="Y507">
        <f t="shared" si="156"/>
        <v>6.3090752602765671E-2</v>
      </c>
      <c r="Z507">
        <f t="shared" si="157"/>
        <v>0.11533407549015318</v>
      </c>
      <c r="AA507" t="str">
        <f t="shared" si="158"/>
        <v>No Impact</v>
      </c>
      <c r="AB507">
        <f t="shared" si="159"/>
        <v>4.4203562908060108E-2</v>
      </c>
      <c r="AC507">
        <f t="shared" si="160"/>
        <v>0.10763895919430042</v>
      </c>
      <c r="AD507" t="str">
        <f t="shared" si="161"/>
        <v>No Impact</v>
      </c>
      <c r="AE507">
        <f t="shared" si="162"/>
        <v>1.8085441730792583E-2</v>
      </c>
      <c r="AF507">
        <f t="shared" si="163"/>
        <v>9.8951783417493527E-2</v>
      </c>
      <c r="AG507" t="s">
        <v>1176</v>
      </c>
    </row>
    <row r="508" spans="1:33" customFormat="1" x14ac:dyDescent="0.3">
      <c r="A508">
        <v>559486</v>
      </c>
      <c r="B508" t="s">
        <v>438</v>
      </c>
      <c r="C508" t="s">
        <v>1048</v>
      </c>
      <c r="D508" t="s">
        <v>1050</v>
      </c>
      <c r="E508" s="18">
        <v>5.7</v>
      </c>
      <c r="F508" s="2">
        <f t="shared" si="145"/>
        <v>0.55555555555555558</v>
      </c>
      <c r="G508" s="10">
        <v>24.84432</v>
      </c>
      <c r="H508">
        <f t="shared" si="146"/>
        <v>0.33287831795445666</v>
      </c>
      <c r="I508" s="22">
        <v>0</v>
      </c>
      <c r="J508" s="2">
        <f t="shared" si="147"/>
        <v>0</v>
      </c>
      <c r="K508" s="8">
        <v>0</v>
      </c>
      <c r="L508" s="2">
        <v>0</v>
      </c>
      <c r="M508">
        <v>19234</v>
      </c>
      <c r="N508">
        <f t="shared" si="148"/>
        <v>8.9873339862694163E-2</v>
      </c>
      <c r="O508" s="8">
        <v>0.68167785999999997</v>
      </c>
      <c r="P508">
        <f t="shared" si="149"/>
        <v>0.655258387308709</v>
      </c>
      <c r="Q508" s="20">
        <v>0.26400000000000001</v>
      </c>
      <c r="R508" s="10">
        <f t="shared" si="150"/>
        <v>0.57167605023819834</v>
      </c>
      <c r="S508">
        <f t="shared" si="151"/>
        <v>5.6724982195973876E-2</v>
      </c>
      <c r="T508" s="11">
        <f t="shared" si="152"/>
        <v>0.10412732899607974</v>
      </c>
      <c r="U508" t="str">
        <f t="shared" si="153"/>
        <v>No Impact</v>
      </c>
      <c r="V508">
        <f t="shared" si="154"/>
        <v>5.2860711671705259E-2</v>
      </c>
      <c r="W508">
        <f t="shared" si="155"/>
        <v>6.9627456090570125E-2</v>
      </c>
      <c r="X508" t="s">
        <v>1176</v>
      </c>
      <c r="Y508">
        <f t="shared" si="156"/>
        <v>6.0589252720242487E-2</v>
      </c>
      <c r="Z508">
        <f t="shared" si="157"/>
        <v>0.11076116798172553</v>
      </c>
      <c r="AA508" t="str">
        <f t="shared" si="158"/>
        <v>No Impact</v>
      </c>
      <c r="AB508">
        <f t="shared" si="159"/>
        <v>3.9586611059740415E-2</v>
      </c>
      <c r="AC508">
        <f t="shared" si="160"/>
        <v>9.6396338488884015E-2</v>
      </c>
      <c r="AD508" t="str">
        <f t="shared" si="161"/>
        <v>No Impact</v>
      </c>
      <c r="AE508">
        <f t="shared" si="162"/>
        <v>8.3102461673452369E-3</v>
      </c>
      <c r="AF508">
        <f t="shared" si="163"/>
        <v>4.546826619651298E-2</v>
      </c>
      <c r="AG508" t="s">
        <v>1176</v>
      </c>
    </row>
    <row r="509" spans="1:33" customFormat="1" x14ac:dyDescent="0.3">
      <c r="A509">
        <v>559494</v>
      </c>
      <c r="B509" t="s">
        <v>520</v>
      </c>
      <c r="C509" t="s">
        <v>1048</v>
      </c>
      <c r="D509" t="s">
        <v>1051</v>
      </c>
      <c r="E509" s="18">
        <v>5.7</v>
      </c>
      <c r="F509" s="2">
        <f t="shared" si="145"/>
        <v>0.55555555555555558</v>
      </c>
      <c r="G509" s="10">
        <v>0</v>
      </c>
      <c r="H509">
        <f t="shared" si="146"/>
        <v>0</v>
      </c>
      <c r="I509" s="22">
        <v>0</v>
      </c>
      <c r="J509" s="2">
        <f t="shared" si="147"/>
        <v>0</v>
      </c>
      <c r="K509" s="8">
        <v>0</v>
      </c>
      <c r="L509" s="2">
        <v>0</v>
      </c>
      <c r="M509">
        <v>95551</v>
      </c>
      <c r="N509">
        <f t="shared" si="148"/>
        <v>0.45096118815441466</v>
      </c>
      <c r="O509" s="8">
        <v>0.77834855800000002</v>
      </c>
      <c r="P509">
        <f t="shared" si="149"/>
        <v>0.7617207447265546</v>
      </c>
      <c r="Q509" s="20">
        <v>0.2742</v>
      </c>
      <c r="R509" s="10">
        <f t="shared" si="150"/>
        <v>0.59376353399740145</v>
      </c>
      <c r="S509">
        <f t="shared" si="151"/>
        <v>0</v>
      </c>
      <c r="T509" s="11">
        <f t="shared" si="152"/>
        <v>0</v>
      </c>
      <c r="U509" t="str">
        <f t="shared" si="153"/>
        <v>No Impact</v>
      </c>
      <c r="V509">
        <f t="shared" si="154"/>
        <v>0</v>
      </c>
      <c r="W509">
        <f t="shared" si="155"/>
        <v>0</v>
      </c>
      <c r="X509" t="s">
        <v>1176</v>
      </c>
      <c r="Y509">
        <f t="shared" si="156"/>
        <v>0</v>
      </c>
      <c r="Z509">
        <f t="shared" si="157"/>
        <v>0</v>
      </c>
      <c r="AA509" t="str">
        <f t="shared" si="158"/>
        <v>No Impact</v>
      </c>
      <c r="AB509">
        <f t="shared" si="159"/>
        <v>0</v>
      </c>
      <c r="AC509">
        <f t="shared" si="160"/>
        <v>0</v>
      </c>
      <c r="AD509" t="str">
        <f t="shared" si="161"/>
        <v>No Impact</v>
      </c>
      <c r="AE509">
        <f t="shared" si="162"/>
        <v>0</v>
      </c>
      <c r="AF509">
        <f t="shared" si="163"/>
        <v>0</v>
      </c>
      <c r="AG509" t="s">
        <v>1176</v>
      </c>
    </row>
    <row r="510" spans="1:33" customFormat="1" x14ac:dyDescent="0.3">
      <c r="A510">
        <v>603602</v>
      </c>
      <c r="B510" t="s">
        <v>5</v>
      </c>
      <c r="C510" t="s">
        <v>1053</v>
      </c>
      <c r="D510" t="s">
        <v>1052</v>
      </c>
      <c r="E510" s="18">
        <v>5.7</v>
      </c>
      <c r="F510" s="2">
        <f t="shared" si="145"/>
        <v>0.55555555555555558</v>
      </c>
      <c r="G510" s="10">
        <v>27.151199999999999</v>
      </c>
      <c r="H510">
        <f t="shared" si="146"/>
        <v>0.36378720715419233</v>
      </c>
      <c r="I510" s="22">
        <v>0.10000000000000005</v>
      </c>
      <c r="J510" s="2">
        <f t="shared" si="147"/>
        <v>5.1308363263211933E-4</v>
      </c>
      <c r="K510" s="8">
        <v>0</v>
      </c>
      <c r="L510" s="2">
        <v>0</v>
      </c>
      <c r="M510">
        <v>7462</v>
      </c>
      <c r="N510">
        <f t="shared" si="148"/>
        <v>3.4175053110199527E-2</v>
      </c>
      <c r="O510" s="8">
        <v>0.75686461000000005</v>
      </c>
      <c r="P510">
        <f t="shared" si="149"/>
        <v>0.73806071332052903</v>
      </c>
      <c r="Q510" s="20">
        <v>0.26629999999999998</v>
      </c>
      <c r="R510" s="10">
        <f t="shared" si="150"/>
        <v>0.57665656128194021</v>
      </c>
      <c r="S510">
        <f t="shared" si="151"/>
        <v>6.6521095200019573E-2</v>
      </c>
      <c r="T510" s="11">
        <f t="shared" si="152"/>
        <v>0.12210958376578578</v>
      </c>
      <c r="U510" t="str">
        <f t="shared" si="153"/>
        <v>No Impact</v>
      </c>
      <c r="V510">
        <f t="shared" si="154"/>
        <v>5.8354486933094744E-2</v>
      </c>
      <c r="W510">
        <f t="shared" si="155"/>
        <v>7.6863786886861823E-2</v>
      </c>
      <c r="X510" t="s">
        <v>1176</v>
      </c>
      <c r="Y510">
        <f t="shared" si="156"/>
        <v>7.4687703466944394E-2</v>
      </c>
      <c r="Z510">
        <f t="shared" si="157"/>
        <v>0.13653406996234074</v>
      </c>
      <c r="AA510" t="str">
        <f t="shared" si="158"/>
        <v>No Impact</v>
      </c>
      <c r="AB510">
        <f t="shared" si="159"/>
        <v>4.404079636249851E-2</v>
      </c>
      <c r="AC510">
        <f t="shared" si="160"/>
        <v>0.10724261056529188</v>
      </c>
      <c r="AD510" t="str">
        <f t="shared" si="161"/>
        <v>No Impact</v>
      </c>
      <c r="AE510">
        <f t="shared" si="162"/>
        <v>3.4583282738057941E-3</v>
      </c>
      <c r="AF510">
        <f t="shared" si="163"/>
        <v>1.8921724745797966E-2</v>
      </c>
      <c r="AG510" t="s">
        <v>1176</v>
      </c>
    </row>
    <row r="511" spans="1:33" customFormat="1" x14ac:dyDescent="0.3">
      <c r="A511">
        <v>603605</v>
      </c>
      <c r="B511" t="s">
        <v>30</v>
      </c>
      <c r="C511" t="s">
        <v>1053</v>
      </c>
      <c r="D511" t="s">
        <v>1054</v>
      </c>
      <c r="E511" s="18">
        <v>5.6</v>
      </c>
      <c r="F511" s="2">
        <f t="shared" si="145"/>
        <v>0.53333333333333321</v>
      </c>
      <c r="G511" s="10">
        <v>22.075560000000003</v>
      </c>
      <c r="H511">
        <f t="shared" si="146"/>
        <v>0.29578089803635949</v>
      </c>
      <c r="I511" s="22">
        <v>0.1</v>
      </c>
      <c r="J511" s="2">
        <f t="shared" si="147"/>
        <v>5.1308363263211912E-4</v>
      </c>
      <c r="K511" s="8">
        <v>0</v>
      </c>
      <c r="L511" s="2">
        <v>0</v>
      </c>
      <c r="M511">
        <v>12557</v>
      </c>
      <c r="N511">
        <f t="shared" si="148"/>
        <v>5.8281642560077215E-2</v>
      </c>
      <c r="O511" s="8">
        <v>0.62515933000000001</v>
      </c>
      <c r="P511">
        <f t="shared" si="149"/>
        <v>0.59301516298036894</v>
      </c>
      <c r="Q511" s="20">
        <v>0.33179999999999998</v>
      </c>
      <c r="R511" s="10">
        <f t="shared" si="150"/>
        <v>0.71849285404937202</v>
      </c>
      <c r="S511">
        <f t="shared" si="151"/>
        <v>5.1812257647539404E-2</v>
      </c>
      <c r="T511" s="11">
        <f t="shared" si="152"/>
        <v>9.5109276181983643E-2</v>
      </c>
      <c r="U511" t="str">
        <f t="shared" si="153"/>
        <v>No Impact</v>
      </c>
      <c r="V511">
        <f t="shared" si="154"/>
        <v>5.6769362273868286E-2</v>
      </c>
      <c r="W511">
        <f t="shared" si="155"/>
        <v>7.4775880876556511E-2</v>
      </c>
      <c r="X511" t="s">
        <v>1176</v>
      </c>
      <c r="Y511">
        <f t="shared" si="156"/>
        <v>4.685515302121053E-2</v>
      </c>
      <c r="Z511">
        <f t="shared" si="157"/>
        <v>8.5654323854334274E-2</v>
      </c>
      <c r="AA511" t="str">
        <f t="shared" si="158"/>
        <v>No Impact</v>
      </c>
      <c r="AB511">
        <f t="shared" si="159"/>
        <v>3.5537549362568248E-2</v>
      </c>
      <c r="AC511">
        <f t="shared" si="160"/>
        <v>8.653657248532394E-2</v>
      </c>
      <c r="AD511" t="str">
        <f t="shared" si="161"/>
        <v>No Impact</v>
      </c>
      <c r="AE511">
        <f t="shared" si="162"/>
        <v>4.6049333152891293E-3</v>
      </c>
      <c r="AF511">
        <f t="shared" si="163"/>
        <v>2.5195202353872563E-2</v>
      </c>
      <c r="AG511" t="s">
        <v>1176</v>
      </c>
    </row>
    <row r="512" spans="1:33" customFormat="1" x14ac:dyDescent="0.3">
      <c r="A512">
        <v>603611</v>
      </c>
      <c r="B512" t="s">
        <v>44</v>
      </c>
      <c r="C512" t="s">
        <v>1053</v>
      </c>
      <c r="D512" t="s">
        <v>1055</v>
      </c>
      <c r="E512" s="18">
        <v>5.7</v>
      </c>
      <c r="F512" s="2">
        <f t="shared" si="145"/>
        <v>0.55555555555555558</v>
      </c>
      <c r="G512" s="10">
        <v>27.50328</v>
      </c>
      <c r="H512">
        <f t="shared" si="146"/>
        <v>0.3685045750751258</v>
      </c>
      <c r="I512" s="22">
        <v>0.10000000000000005</v>
      </c>
      <c r="J512" s="2">
        <f t="shared" si="147"/>
        <v>5.1308363263211933E-4</v>
      </c>
      <c r="K512" s="8">
        <v>0</v>
      </c>
      <c r="L512" s="2">
        <v>0</v>
      </c>
      <c r="M512">
        <v>22652</v>
      </c>
      <c r="N512">
        <f t="shared" si="148"/>
        <v>0.10604533647499681</v>
      </c>
      <c r="O512" s="8">
        <v>0.70385863199999998</v>
      </c>
      <c r="P512">
        <f t="shared" si="149"/>
        <v>0.67968582318454951</v>
      </c>
      <c r="Q512" s="20">
        <v>0.24349999999999999</v>
      </c>
      <c r="R512" s="10">
        <f t="shared" si="150"/>
        <v>0.5272845387613686</v>
      </c>
      <c r="S512">
        <f t="shared" si="151"/>
        <v>6.1860191263185822E-2</v>
      </c>
      <c r="T512" s="11">
        <f t="shared" si="152"/>
        <v>0.11355378596979708</v>
      </c>
      <c r="U512" t="str">
        <f t="shared" si="153"/>
        <v>No Impact</v>
      </c>
      <c r="V512">
        <f t="shared" si="154"/>
        <v>5.4049251657366744E-2</v>
      </c>
      <c r="W512">
        <f t="shared" si="155"/>
        <v>7.1192985820428614E-2</v>
      </c>
      <c r="X512" t="s">
        <v>1176</v>
      </c>
      <c r="Y512">
        <f t="shared" si="156"/>
        <v>6.9671130869004894E-2</v>
      </c>
      <c r="Z512">
        <f t="shared" si="157"/>
        <v>0.12736344290776311</v>
      </c>
      <c r="AA512" t="str">
        <f t="shared" si="158"/>
        <v>No Impact</v>
      </c>
      <c r="AB512">
        <f t="shared" si="159"/>
        <v>4.3623135847448688E-2</v>
      </c>
      <c r="AC512">
        <f t="shared" si="160"/>
        <v>0.10622557618663729</v>
      </c>
      <c r="AD512" t="str">
        <f t="shared" si="161"/>
        <v>No Impact</v>
      </c>
      <c r="AE512">
        <f t="shared" si="162"/>
        <v>1.0870167161911037E-2</v>
      </c>
      <c r="AF512">
        <f t="shared" si="163"/>
        <v>5.9474490185440043E-2</v>
      </c>
      <c r="AG512" t="s">
        <v>1176</v>
      </c>
    </row>
    <row r="513" spans="1:33" customFormat="1" x14ac:dyDescent="0.3">
      <c r="A513">
        <v>603626</v>
      </c>
      <c r="B513" t="s">
        <v>115</v>
      </c>
      <c r="C513" t="s">
        <v>1053</v>
      </c>
      <c r="D513" t="s">
        <v>1056</v>
      </c>
      <c r="E513" s="18">
        <v>5.2</v>
      </c>
      <c r="F513" s="2">
        <f t="shared" si="145"/>
        <v>0.44444444444444442</v>
      </c>
      <c r="G513" s="10">
        <v>19.525320000000001</v>
      </c>
      <c r="H513">
        <f t="shared" si="146"/>
        <v>0.26161133325937325</v>
      </c>
      <c r="I513" s="22">
        <v>1.4</v>
      </c>
      <c r="J513" s="2">
        <f t="shared" si="147"/>
        <v>7.1831708568496667E-3</v>
      </c>
      <c r="K513" s="8">
        <v>0</v>
      </c>
      <c r="L513" s="2">
        <v>0</v>
      </c>
      <c r="M513">
        <v>8086</v>
      </c>
      <c r="N513">
        <f t="shared" si="148"/>
        <v>3.7127459747436753E-2</v>
      </c>
      <c r="O513" s="8">
        <v>0.565529163</v>
      </c>
      <c r="P513">
        <f t="shared" si="149"/>
        <v>0.52734512766067132</v>
      </c>
      <c r="Q513" s="20">
        <v>0.39050000000000001</v>
      </c>
      <c r="R513" s="10">
        <f t="shared" si="150"/>
        <v>0.84560415764400176</v>
      </c>
      <c r="S513">
        <f t="shared" si="151"/>
        <v>4.1004580257799135E-2</v>
      </c>
      <c r="T513" s="11">
        <f t="shared" si="152"/>
        <v>7.5270141189273984E-2</v>
      </c>
      <c r="U513" t="str">
        <f t="shared" si="153"/>
        <v>No Impact</v>
      </c>
      <c r="V513">
        <f t="shared" si="154"/>
        <v>5.050972227389685E-2</v>
      </c>
      <c r="W513">
        <f t="shared" si="155"/>
        <v>6.6530762801952886E-2</v>
      </c>
      <c r="X513" t="s">
        <v>1176</v>
      </c>
      <c r="Y513">
        <f t="shared" si="156"/>
        <v>3.149943824170142E-2</v>
      </c>
      <c r="Z513">
        <f t="shared" si="157"/>
        <v>5.7583059928604401E-2</v>
      </c>
      <c r="AA513" t="str">
        <f t="shared" si="158"/>
        <v>No Impact</v>
      </c>
      <c r="AB513">
        <f t="shared" si="159"/>
        <v>2.7904429823078225E-2</v>
      </c>
      <c r="AC513">
        <f t="shared" si="160"/>
        <v>6.7949359406023299E-2</v>
      </c>
      <c r="AD513" t="str">
        <f t="shared" si="161"/>
        <v>No Impact</v>
      </c>
      <c r="AE513">
        <f t="shared" si="162"/>
        <v>2.2177015848682861E-3</v>
      </c>
      <c r="AF513">
        <f t="shared" si="163"/>
        <v>1.2133821787547886E-2</v>
      </c>
      <c r="AG513" t="s">
        <v>1176</v>
      </c>
    </row>
    <row r="514" spans="1:33" customFormat="1" x14ac:dyDescent="0.3">
      <c r="A514">
        <v>603644</v>
      </c>
      <c r="B514" t="s">
        <v>195</v>
      </c>
      <c r="C514" t="s">
        <v>1053</v>
      </c>
      <c r="D514" t="s">
        <v>1057</v>
      </c>
      <c r="E514" s="18">
        <v>5.7</v>
      </c>
      <c r="F514" s="2">
        <f t="shared" ref="F514:F547" si="164">(E514-$AJ$5)/$AK$5</f>
        <v>0.55555555555555558</v>
      </c>
      <c r="G514" s="10">
        <v>22.879799999999999</v>
      </c>
      <c r="H514">
        <f t="shared" ref="H514:H547" si="165">(G514-$AJ$6)/$AK$6</f>
        <v>0.30655656259194769</v>
      </c>
      <c r="I514" s="22">
        <v>0.10000000000000005</v>
      </c>
      <c r="J514" s="2">
        <f t="shared" ref="J514:J547" si="166">(I514-$AJ$7)/$AK$7</f>
        <v>5.1308363263211933E-4</v>
      </c>
      <c r="K514" s="8">
        <v>0</v>
      </c>
      <c r="L514" s="2">
        <v>0</v>
      </c>
      <c r="M514">
        <v>33136</v>
      </c>
      <c r="N514">
        <f t="shared" ref="N514:N547" si="167">(M514-$AJ$9)/$AK$9</f>
        <v>0.15564955311729667</v>
      </c>
      <c r="O514" s="8">
        <v>0.66296292999999995</v>
      </c>
      <c r="P514">
        <f t="shared" ref="P514:P547" si="168">(O514-$AJ$11)/$AK$11</f>
        <v>0.63464784442517708</v>
      </c>
      <c r="Q514" s="20">
        <v>0.30669999999999997</v>
      </c>
      <c r="R514" s="10">
        <f t="shared" ref="R514:R547" si="169">(Q514-$AJ$12)/$AK$12</f>
        <v>0.66414032048505844</v>
      </c>
      <c r="S514">
        <f t="shared" ref="S514:S547" si="170">F514*(R514*0.5+P514*0.5)*(H514*0.5+J514*0.5)</f>
        <v>5.5391447544396843E-2</v>
      </c>
      <c r="T514" s="11">
        <f t="shared" ref="T514:T547" si="171">(S514-$AJ$10)/$AK$10</f>
        <v>0.10167942339934093</v>
      </c>
      <c r="U514" t="str">
        <f t="shared" ref="U514:U547" si="172">IF(T514&gt;0.7,"High",IF(T514&gt;0.3,"Moderate",IF(T514&gt;0.15,"Low","No Impact")))</f>
        <v>No Impact</v>
      </c>
      <c r="V514">
        <f t="shared" ref="V514:V547" si="173">F514*(R514*1)*(H514*0.5+J514*0.5)</f>
        <v>5.6649259237451663E-2</v>
      </c>
      <c r="W514">
        <f t="shared" ref="W514:W547" si="174">(V514-$AJ$13)/$AK$13</f>
        <v>7.4617682686823866E-2</v>
      </c>
      <c r="X514" t="s">
        <v>1176</v>
      </c>
      <c r="Y514">
        <f t="shared" ref="Y514:Y547" si="175">F514*(P514*1)*(H514*0.5+J514*0.5)</f>
        <v>5.4133635851342031E-2</v>
      </c>
      <c r="Z514">
        <f t="shared" ref="Z514:Z547" si="176">(Y514-$AJ$14)/$AK$14</f>
        <v>9.8959872663834006E-2</v>
      </c>
      <c r="AA514" t="str">
        <f t="shared" ref="AA514:AA547" si="177">IF(Z514&gt;0.7,"High",IF(Z514&gt;0.3,"Moderate",IF(Z514&gt;0.15,"Low","No Impact")))</f>
        <v>No Impact</v>
      </c>
      <c r="AB514">
        <f t="shared" ref="AB514:AB547" si="178">F514*(R514*0.35+P514*0.3+N514*0.35)*(H514*0.5+J514*0.5)</f>
        <v>4.0714092217332853E-2</v>
      </c>
      <c r="AC514">
        <f t="shared" ref="AC514:AC547" si="179">(AB514-$AJ$15)/$AK$15</f>
        <v>9.9141838858771744E-2</v>
      </c>
      <c r="AD514" t="str">
        <f t="shared" ref="AD514:AD547" si="180">IF(AC514&gt;0.7,"High",IF(AC514&gt;0.3,"Moderate",IF(AC514&gt;0.15,"Low","No Impact")))</f>
        <v>No Impact</v>
      </c>
      <c r="AE514">
        <f t="shared" ref="AE514:AE547" si="181">F514*(N514*1)*(H514*0.5+J514*0.5)</f>
        <v>1.3276459225206176E-2</v>
      </c>
      <c r="AF514">
        <f t="shared" ref="AF514:AF547" si="182">(AE514-$AJ$16)/$AK$16</f>
        <v>7.2640156505937442E-2</v>
      </c>
      <c r="AG514" t="s">
        <v>1176</v>
      </c>
    </row>
    <row r="515" spans="1:33" customFormat="1" x14ac:dyDescent="0.3">
      <c r="A515">
        <v>603668</v>
      </c>
      <c r="B515" t="s">
        <v>292</v>
      </c>
      <c r="C515" t="s">
        <v>1053</v>
      </c>
      <c r="D515" t="s">
        <v>1058</v>
      </c>
      <c r="E515" s="18">
        <v>5.6</v>
      </c>
      <c r="F515" s="2">
        <f t="shared" si="164"/>
        <v>0.53333333333333321</v>
      </c>
      <c r="G515" s="10">
        <v>22.132080000000002</v>
      </c>
      <c r="H515">
        <f t="shared" si="165"/>
        <v>0.2965381851156913</v>
      </c>
      <c r="I515" s="22">
        <v>0.10000000000000005</v>
      </c>
      <c r="J515" s="2">
        <f t="shared" si="166"/>
        <v>5.1308363263211933E-4</v>
      </c>
      <c r="K515" s="8">
        <v>0</v>
      </c>
      <c r="L515" s="2">
        <v>0</v>
      </c>
      <c r="M515">
        <v>9664</v>
      </c>
      <c r="N515">
        <f t="shared" si="167"/>
        <v>4.4593641916603977E-2</v>
      </c>
      <c r="O515" s="8">
        <v>0.57147596499999997</v>
      </c>
      <c r="P515">
        <f t="shared" si="168"/>
        <v>0.53389427412506485</v>
      </c>
      <c r="Q515" s="20">
        <v>0.26369999999999999</v>
      </c>
      <c r="R515" s="10">
        <f t="shared" si="169"/>
        <v>0.57102641836292767</v>
      </c>
      <c r="S515">
        <f t="shared" si="170"/>
        <v>4.3762412475977897E-2</v>
      </c>
      <c r="T515" s="11">
        <f t="shared" si="171"/>
        <v>8.0332561512407558E-2</v>
      </c>
      <c r="U515" t="str">
        <f t="shared" si="172"/>
        <v>No Impact</v>
      </c>
      <c r="V515">
        <f t="shared" si="173"/>
        <v>4.5233099216938286E-2</v>
      </c>
      <c r="W515">
        <f t="shared" si="174"/>
        <v>5.9580462123319959E-2</v>
      </c>
      <c r="X515" t="s">
        <v>1176</v>
      </c>
      <c r="Y515">
        <f t="shared" si="175"/>
        <v>4.2291725735017514E-2</v>
      </c>
      <c r="Z515">
        <f t="shared" si="176"/>
        <v>7.7312076450290187E-2</v>
      </c>
      <c r="AA515" t="str">
        <f t="shared" si="177"/>
        <v>No Impact</v>
      </c>
      <c r="AB515">
        <f t="shared" si="178"/>
        <v>2.9755451584647642E-2</v>
      </c>
      <c r="AC515">
        <f t="shared" si="179"/>
        <v>7.2456734892378097E-2</v>
      </c>
      <c r="AD515" t="str">
        <f t="shared" si="180"/>
        <v>No Impact</v>
      </c>
      <c r="AE515">
        <f t="shared" si="181"/>
        <v>3.5324261091828333E-3</v>
      </c>
      <c r="AF515">
        <f t="shared" si="182"/>
        <v>1.9327139944778152E-2</v>
      </c>
      <c r="AG515" t="s">
        <v>1176</v>
      </c>
    </row>
    <row r="516" spans="1:33" customFormat="1" x14ac:dyDescent="0.3">
      <c r="A516">
        <v>603671</v>
      </c>
      <c r="B516" t="s">
        <v>308</v>
      </c>
      <c r="C516" t="s">
        <v>1053</v>
      </c>
      <c r="D516" t="s">
        <v>1059</v>
      </c>
      <c r="E516" s="18">
        <v>5.5</v>
      </c>
      <c r="F516" s="2">
        <f t="shared" si="164"/>
        <v>0.51111111111111107</v>
      </c>
      <c r="G516" s="10">
        <v>18.5562</v>
      </c>
      <c r="H516">
        <f t="shared" si="165"/>
        <v>0.24862651276535197</v>
      </c>
      <c r="I516" s="22">
        <v>0.9</v>
      </c>
      <c r="J516" s="2">
        <f t="shared" si="166"/>
        <v>4.6177526936890716E-3</v>
      </c>
      <c r="K516" s="8">
        <v>0</v>
      </c>
      <c r="L516" s="2">
        <v>0</v>
      </c>
      <c r="M516">
        <v>31830</v>
      </c>
      <c r="N516">
        <f t="shared" si="167"/>
        <v>0.1494703174310277</v>
      </c>
      <c r="O516" s="8">
        <v>0.58537915799999996</v>
      </c>
      <c r="P516">
        <f t="shared" si="168"/>
        <v>0.54920570492093324</v>
      </c>
      <c r="Q516" s="20">
        <v>0.3417</v>
      </c>
      <c r="R516" s="10">
        <f t="shared" si="169"/>
        <v>0.73993070593330446</v>
      </c>
      <c r="S516">
        <f t="shared" si="170"/>
        <v>4.1715151551086543E-2</v>
      </c>
      <c r="T516" s="11">
        <f t="shared" si="171"/>
        <v>7.6574502829718172E-2</v>
      </c>
      <c r="U516" t="str">
        <f t="shared" si="172"/>
        <v>No Impact</v>
      </c>
      <c r="V516">
        <f t="shared" si="173"/>
        <v>4.7886819851526617E-2</v>
      </c>
      <c r="W516">
        <f t="shared" si="174"/>
        <v>6.3075909140926839E-2</v>
      </c>
      <c r="X516" t="s">
        <v>1176</v>
      </c>
      <c r="Y516">
        <f t="shared" si="175"/>
        <v>3.5543483250646456E-2</v>
      </c>
      <c r="Z516">
        <f t="shared" si="176"/>
        <v>6.4975842121010804E-2</v>
      </c>
      <c r="AA516" t="str">
        <f t="shared" si="177"/>
        <v>No Impact</v>
      </c>
      <c r="AB516">
        <f t="shared" si="178"/>
        <v>3.0809127823264809E-2</v>
      </c>
      <c r="AC516">
        <f t="shared" si="179"/>
        <v>7.5022514802210588E-2</v>
      </c>
      <c r="AD516" t="str">
        <f t="shared" si="180"/>
        <v>No Impact</v>
      </c>
      <c r="AE516">
        <f t="shared" si="181"/>
        <v>9.6734168572473016E-3</v>
      </c>
      <c r="AF516">
        <f t="shared" si="182"/>
        <v>5.2926650286662207E-2</v>
      </c>
      <c r="AG516" t="s">
        <v>1176</v>
      </c>
    </row>
    <row r="517" spans="1:33" customFormat="1" x14ac:dyDescent="0.3">
      <c r="A517">
        <v>603677</v>
      </c>
      <c r="B517" t="s">
        <v>355</v>
      </c>
      <c r="C517" t="s">
        <v>1053</v>
      </c>
      <c r="D517" t="s">
        <v>1060</v>
      </c>
      <c r="E517" s="18">
        <v>5.8</v>
      </c>
      <c r="F517" s="2">
        <f t="shared" si="164"/>
        <v>0.57777777777777772</v>
      </c>
      <c r="G517" s="10">
        <v>27.50328</v>
      </c>
      <c r="H517">
        <f t="shared" si="165"/>
        <v>0.3685045750751258</v>
      </c>
      <c r="I517" s="22">
        <v>0.10000000000000005</v>
      </c>
      <c r="J517" s="2">
        <f t="shared" si="166"/>
        <v>5.1308363263211933E-4</v>
      </c>
      <c r="K517" s="8">
        <v>0</v>
      </c>
      <c r="L517" s="2">
        <v>0</v>
      </c>
      <c r="M517">
        <v>22206</v>
      </c>
      <c r="N517">
        <f t="shared" si="167"/>
        <v>0.10393512275671507</v>
      </c>
      <c r="O517" s="8">
        <v>0.72290107299999995</v>
      </c>
      <c r="P517">
        <f t="shared" si="168"/>
        <v>0.7006570502656887</v>
      </c>
      <c r="Q517" s="20">
        <v>0.28000000000000003</v>
      </c>
      <c r="R517" s="10">
        <f t="shared" si="169"/>
        <v>0.60632308358596798</v>
      </c>
      <c r="S517">
        <f t="shared" si="170"/>
        <v>6.9665374851437506E-2</v>
      </c>
      <c r="T517" s="11">
        <f t="shared" si="171"/>
        <v>0.12788138710611566</v>
      </c>
      <c r="U517" t="str">
        <f t="shared" si="172"/>
        <v>No Impact</v>
      </c>
      <c r="V517">
        <f t="shared" si="173"/>
        <v>6.4637133809549052E-2</v>
      </c>
      <c r="W517">
        <f t="shared" si="174"/>
        <v>8.5139209326114212E-2</v>
      </c>
      <c r="X517" t="s">
        <v>1176</v>
      </c>
      <c r="Y517">
        <f t="shared" si="175"/>
        <v>7.4693615893325946E-2</v>
      </c>
      <c r="Z517">
        <f t="shared" si="176"/>
        <v>0.13654487826946166</v>
      </c>
      <c r="AA517" t="str">
        <f t="shared" si="177"/>
        <v>No Impact</v>
      </c>
      <c r="AB517">
        <f t="shared" si="178"/>
        <v>4.8909086606677685E-2</v>
      </c>
      <c r="AC517">
        <f t="shared" si="179"/>
        <v>0.11909725893445453</v>
      </c>
      <c r="AD517" t="str">
        <f t="shared" si="180"/>
        <v>No Impact</v>
      </c>
      <c r="AE517">
        <f t="shared" si="181"/>
        <v>1.1080014300964962E-2</v>
      </c>
      <c r="AF517">
        <f t="shared" si="182"/>
        <v>6.0622637350631489E-2</v>
      </c>
      <c r="AG517" t="s">
        <v>1176</v>
      </c>
    </row>
    <row r="518" spans="1:33" customFormat="1" x14ac:dyDescent="0.3">
      <c r="A518">
        <v>605814</v>
      </c>
      <c r="B518" t="s">
        <v>51</v>
      </c>
      <c r="C518" t="s">
        <v>1062</v>
      </c>
      <c r="D518" t="s">
        <v>1061</v>
      </c>
      <c r="E518" s="18">
        <v>5.4</v>
      </c>
      <c r="F518" s="2">
        <f t="shared" si="164"/>
        <v>0.48888888888888893</v>
      </c>
      <c r="G518" s="10">
        <v>23.337720000000001</v>
      </c>
      <c r="H518">
        <f t="shared" si="165"/>
        <v>0.31269203497991022</v>
      </c>
      <c r="I518" s="22">
        <v>0.7</v>
      </c>
      <c r="J518" s="2">
        <f t="shared" si="166"/>
        <v>3.5915854284248334E-3</v>
      </c>
      <c r="K518" s="8">
        <v>0</v>
      </c>
      <c r="L518" s="2">
        <v>0</v>
      </c>
      <c r="M518">
        <v>18472</v>
      </c>
      <c r="N518">
        <f t="shared" si="167"/>
        <v>8.6267997142221775E-2</v>
      </c>
      <c r="O518" s="8">
        <v>0.52065890699999995</v>
      </c>
      <c r="P518">
        <f t="shared" si="168"/>
        <v>0.47793001707874266</v>
      </c>
      <c r="Q518" s="20">
        <v>0.3745</v>
      </c>
      <c r="R518" s="10">
        <f t="shared" si="169"/>
        <v>0.81095712429623212</v>
      </c>
      <c r="S518">
        <f t="shared" si="170"/>
        <v>4.9824364501001035E-2</v>
      </c>
      <c r="T518" s="11">
        <f t="shared" si="171"/>
        <v>9.1460196082433706E-2</v>
      </c>
      <c r="U518" t="str">
        <f t="shared" si="172"/>
        <v>No Impact</v>
      </c>
      <c r="V518">
        <f t="shared" si="173"/>
        <v>6.2698155732261993E-2</v>
      </c>
      <c r="W518">
        <f t="shared" si="174"/>
        <v>8.2585212100814889E-2</v>
      </c>
      <c r="X518" t="s">
        <v>1176</v>
      </c>
      <c r="Y518">
        <f t="shared" si="175"/>
        <v>3.6950573269740085E-2</v>
      </c>
      <c r="Z518">
        <f t="shared" si="176"/>
        <v>6.754809589495725E-2</v>
      </c>
      <c r="AA518" t="str">
        <f t="shared" si="177"/>
        <v>No Impact</v>
      </c>
      <c r="AB518">
        <f t="shared" si="178"/>
        <v>3.5363923035588024E-2</v>
      </c>
      <c r="AC518">
        <f t="shared" si="179"/>
        <v>8.6113779481878677E-2</v>
      </c>
      <c r="AD518" t="str">
        <f t="shared" si="180"/>
        <v>No Impact</v>
      </c>
      <c r="AE518">
        <f t="shared" si="181"/>
        <v>6.6697044239265755E-3</v>
      </c>
      <c r="AF518">
        <f t="shared" si="182"/>
        <v>3.6492287965042572E-2</v>
      </c>
      <c r="AG518" t="s">
        <v>1176</v>
      </c>
    </row>
    <row r="519" spans="1:33" customFormat="1" x14ac:dyDescent="0.3">
      <c r="A519">
        <v>605835</v>
      </c>
      <c r="B519" t="s">
        <v>228</v>
      </c>
      <c r="C519" t="s">
        <v>1062</v>
      </c>
      <c r="D519" t="s">
        <v>1063</v>
      </c>
      <c r="E519" s="18">
        <v>5.4</v>
      </c>
      <c r="F519" s="2">
        <f t="shared" si="164"/>
        <v>0.48888888888888893</v>
      </c>
      <c r="G519" s="10">
        <v>23.337720000000001</v>
      </c>
      <c r="H519">
        <f t="shared" si="165"/>
        <v>0.31269203497991022</v>
      </c>
      <c r="I519" s="22">
        <v>1</v>
      </c>
      <c r="J519" s="2">
        <f t="shared" si="166"/>
        <v>5.1308363263211912E-3</v>
      </c>
      <c r="K519" s="8">
        <v>0</v>
      </c>
      <c r="L519" s="2">
        <v>0</v>
      </c>
      <c r="M519">
        <v>9958</v>
      </c>
      <c r="N519">
        <f t="shared" si="167"/>
        <v>4.5984679659148438E-2</v>
      </c>
      <c r="O519" s="8">
        <v>0.34759056999999999</v>
      </c>
      <c r="P519">
        <f t="shared" si="168"/>
        <v>0.28733179515004476</v>
      </c>
      <c r="Q519" s="20">
        <v>0.37530000000000002</v>
      </c>
      <c r="R519" s="10">
        <f t="shared" si="169"/>
        <v>0.81268947596362073</v>
      </c>
      <c r="S519">
        <f t="shared" si="170"/>
        <v>4.2730345641289233E-2</v>
      </c>
      <c r="T519" s="11">
        <f t="shared" si="171"/>
        <v>7.8438045927188102E-2</v>
      </c>
      <c r="U519" t="str">
        <f t="shared" si="172"/>
        <v>No Impact</v>
      </c>
      <c r="V519">
        <f t="shared" si="173"/>
        <v>6.3137874000939093E-2</v>
      </c>
      <c r="W519">
        <f t="shared" si="174"/>
        <v>8.3164403403321027E-2</v>
      </c>
      <c r="X519" t="s">
        <v>1176</v>
      </c>
      <c r="Y519">
        <f t="shared" si="175"/>
        <v>2.2322817281639384E-2</v>
      </c>
      <c r="Z519">
        <f t="shared" si="176"/>
        <v>4.0807588866845004E-2</v>
      </c>
      <c r="AA519" t="str">
        <f t="shared" si="177"/>
        <v>No Impact</v>
      </c>
      <c r="AB519">
        <f t="shared" si="178"/>
        <v>3.0045494068435298E-2</v>
      </c>
      <c r="AC519">
        <f t="shared" si="179"/>
        <v>7.3163009885232583E-2</v>
      </c>
      <c r="AD519" t="str">
        <f t="shared" si="180"/>
        <v>No Impact</v>
      </c>
      <c r="AE519">
        <f t="shared" si="181"/>
        <v>3.5725513817565762E-3</v>
      </c>
      <c r="AF519">
        <f t="shared" si="182"/>
        <v>1.9546679358876329E-2</v>
      </c>
      <c r="AG519" t="s">
        <v>1176</v>
      </c>
    </row>
    <row r="520" spans="1:33" customFormat="1" x14ac:dyDescent="0.3">
      <c r="A520">
        <v>605856</v>
      </c>
      <c r="B520" t="s">
        <v>250</v>
      </c>
      <c r="C520" t="s">
        <v>1062</v>
      </c>
      <c r="D520" t="s">
        <v>1064</v>
      </c>
      <c r="E520" s="18">
        <v>5.4</v>
      </c>
      <c r="F520" s="2">
        <f t="shared" si="164"/>
        <v>0.48888888888888893</v>
      </c>
      <c r="G520" s="10">
        <v>21.03228</v>
      </c>
      <c r="H520">
        <f t="shared" si="165"/>
        <v>0.28180243971850144</v>
      </c>
      <c r="I520" s="22">
        <v>1.2</v>
      </c>
      <c r="J520" s="2">
        <f t="shared" si="166"/>
        <v>6.1570035915854285E-3</v>
      </c>
      <c r="K520" s="8">
        <v>0</v>
      </c>
      <c r="L520" s="2">
        <v>0</v>
      </c>
      <c r="M520">
        <v>24711</v>
      </c>
      <c r="N520">
        <f t="shared" si="167"/>
        <v>0.11578733209370105</v>
      </c>
      <c r="O520" s="8">
        <v>0.53289375100000003</v>
      </c>
      <c r="P520">
        <f t="shared" si="168"/>
        <v>0.49140411379913246</v>
      </c>
      <c r="Q520" s="20">
        <v>0.39929999999999999</v>
      </c>
      <c r="R520" s="10">
        <f t="shared" si="169"/>
        <v>0.86466002598527503</v>
      </c>
      <c r="S520">
        <f t="shared" si="170"/>
        <v>4.7726735807066538E-2</v>
      </c>
      <c r="T520" s="11">
        <f t="shared" si="171"/>
        <v>8.7609679702008336E-2</v>
      </c>
      <c r="U520" t="str">
        <f t="shared" si="172"/>
        <v>No Impact</v>
      </c>
      <c r="V520">
        <f t="shared" si="173"/>
        <v>6.0863493713050131E-2</v>
      </c>
      <c r="W520">
        <f t="shared" si="174"/>
        <v>8.0168618658466514E-2</v>
      </c>
      <c r="X520" t="s">
        <v>1176</v>
      </c>
      <c r="Y520">
        <f t="shared" si="175"/>
        <v>3.4589977901082945E-2</v>
      </c>
      <c r="Z520">
        <f t="shared" si="176"/>
        <v>6.323277117273364E-2</v>
      </c>
      <c r="AA520" t="str">
        <f t="shared" si="177"/>
        <v>No Impact</v>
      </c>
      <c r="AB520">
        <f t="shared" si="178"/>
        <v>3.4531814267991089E-2</v>
      </c>
      <c r="AC520">
        <f t="shared" si="179"/>
        <v>8.4087532822375702E-2</v>
      </c>
      <c r="AD520" t="str">
        <f t="shared" si="180"/>
        <v>No Impact</v>
      </c>
      <c r="AE520">
        <f t="shared" si="181"/>
        <v>8.1502802802818995E-3</v>
      </c>
      <c r="AF520">
        <f t="shared" si="182"/>
        <v>4.4593036824375057E-2</v>
      </c>
      <c r="AG520" t="s">
        <v>1176</v>
      </c>
    </row>
    <row r="521" spans="1:33" customFormat="1" x14ac:dyDescent="0.3">
      <c r="A521">
        <v>605865</v>
      </c>
      <c r="B521" t="s">
        <v>286</v>
      </c>
      <c r="C521" t="s">
        <v>1062</v>
      </c>
      <c r="D521" t="s">
        <v>1065</v>
      </c>
      <c r="E521" s="18">
        <v>5.3</v>
      </c>
      <c r="F521" s="2">
        <f t="shared" si="164"/>
        <v>0.46666666666666656</v>
      </c>
      <c r="G521" s="10">
        <v>21.409200000000002</v>
      </c>
      <c r="H521">
        <f t="shared" si="165"/>
        <v>0.28685262807557438</v>
      </c>
      <c r="I521" s="22">
        <v>0.70000000000000007</v>
      </c>
      <c r="J521" s="2">
        <f t="shared" si="166"/>
        <v>3.5915854284248338E-3</v>
      </c>
      <c r="K521" s="8">
        <v>0</v>
      </c>
      <c r="L521" s="2">
        <v>0</v>
      </c>
      <c r="M521">
        <v>33224</v>
      </c>
      <c r="N521">
        <f t="shared" si="167"/>
        <v>0.15606591815588139</v>
      </c>
      <c r="O521" s="8">
        <v>0.52490398299999996</v>
      </c>
      <c r="P521">
        <f t="shared" si="168"/>
        <v>0.48260507175123418</v>
      </c>
      <c r="Q521" s="20">
        <v>0.37619999999999998</v>
      </c>
      <c r="R521" s="10">
        <f t="shared" si="169"/>
        <v>0.81463837158943264</v>
      </c>
      <c r="S521">
        <f t="shared" si="170"/>
        <v>4.3957299356168295E-2</v>
      </c>
      <c r="T521" s="11">
        <f t="shared" si="171"/>
        <v>8.0690306010598789E-2</v>
      </c>
      <c r="U521" t="str">
        <f t="shared" si="172"/>
        <v>No Impact</v>
      </c>
      <c r="V521">
        <f t="shared" si="173"/>
        <v>5.5208300262843325E-2</v>
      </c>
      <c r="W521">
        <f t="shared" si="174"/>
        <v>7.271966987995962E-2</v>
      </c>
      <c r="X521" t="s">
        <v>1176</v>
      </c>
      <c r="Y521">
        <f t="shared" si="175"/>
        <v>3.2706298449493271E-2</v>
      </c>
      <c r="Z521">
        <f t="shared" si="176"/>
        <v>5.9789280342361605E-2</v>
      </c>
      <c r="AA521" t="str">
        <f t="shared" si="177"/>
        <v>No Impact</v>
      </c>
      <c r="AB521">
        <f t="shared" si="178"/>
        <v>3.283661745988424E-2</v>
      </c>
      <c r="AC521">
        <f t="shared" si="179"/>
        <v>7.9959602672635452E-2</v>
      </c>
      <c r="AD521" t="str">
        <f t="shared" si="180"/>
        <v>No Impact</v>
      </c>
      <c r="AE521">
        <f t="shared" si="181"/>
        <v>1.057663666583171E-2</v>
      </c>
      <c r="AF521">
        <f t="shared" si="182"/>
        <v>5.7868482076441637E-2</v>
      </c>
      <c r="AG521" t="s">
        <v>1176</v>
      </c>
    </row>
    <row r="522" spans="1:33" customFormat="1" x14ac:dyDescent="0.3">
      <c r="A522">
        <v>605874</v>
      </c>
      <c r="B522" t="s">
        <v>328</v>
      </c>
      <c r="C522" t="s">
        <v>1062</v>
      </c>
      <c r="D522" t="s">
        <v>1066</v>
      </c>
      <c r="E522" s="18">
        <v>5.3</v>
      </c>
      <c r="F522" s="2">
        <f t="shared" si="164"/>
        <v>0.46666666666666656</v>
      </c>
      <c r="G522" s="10">
        <v>24.405480000000001</v>
      </c>
      <c r="H522">
        <f t="shared" si="165"/>
        <v>0.32699849024932592</v>
      </c>
      <c r="I522" s="22">
        <v>0.1</v>
      </c>
      <c r="J522" s="2">
        <f t="shared" si="166"/>
        <v>5.1308363263211912E-4</v>
      </c>
      <c r="K522" s="8">
        <v>0</v>
      </c>
      <c r="L522" s="2">
        <v>0</v>
      </c>
      <c r="M522">
        <v>39868</v>
      </c>
      <c r="N522">
        <f t="shared" si="167"/>
        <v>0.18750147856902907</v>
      </c>
      <c r="O522" s="8">
        <v>0.63099400999999999</v>
      </c>
      <c r="P522">
        <f t="shared" si="168"/>
        <v>0.59944083074143906</v>
      </c>
      <c r="Q522" s="20">
        <v>0.32219999999999999</v>
      </c>
      <c r="R522" s="10">
        <f t="shared" si="169"/>
        <v>0.69770463404071026</v>
      </c>
      <c r="S522">
        <f t="shared" si="170"/>
        <v>4.9563517817875317E-2</v>
      </c>
      <c r="T522" s="11">
        <f t="shared" si="171"/>
        <v>9.0981372337764543E-2</v>
      </c>
      <c r="U522" t="str">
        <f t="shared" si="172"/>
        <v>No Impact</v>
      </c>
      <c r="V522">
        <f t="shared" si="173"/>
        <v>5.3318146653195328E-2</v>
      </c>
      <c r="W522">
        <f t="shared" si="174"/>
        <v>7.0229983621523495E-2</v>
      </c>
      <c r="X522" t="s">
        <v>1176</v>
      </c>
      <c r="Y522">
        <f t="shared" si="175"/>
        <v>4.5808888982555321E-2</v>
      </c>
      <c r="Z522">
        <f t="shared" si="176"/>
        <v>8.3741683877178535E-2</v>
      </c>
      <c r="AA522" t="str">
        <f t="shared" si="177"/>
        <v>No Impact</v>
      </c>
      <c r="AB522">
        <f t="shared" si="178"/>
        <v>3.7419078545410808E-2</v>
      </c>
      <c r="AC522">
        <f t="shared" si="179"/>
        <v>9.1118235808620149E-2</v>
      </c>
      <c r="AD522" t="str">
        <f t="shared" si="180"/>
        <v>No Impact</v>
      </c>
      <c r="AE522">
        <f t="shared" si="181"/>
        <v>1.4328744348645284E-2</v>
      </c>
      <c r="AF522">
        <f t="shared" si="182"/>
        <v>7.839757682101392E-2</v>
      </c>
      <c r="AG522" t="s">
        <v>1176</v>
      </c>
    </row>
    <row r="523" spans="1:33" customFormat="1" x14ac:dyDescent="0.3">
      <c r="A523">
        <v>605880</v>
      </c>
      <c r="B523" t="s">
        <v>424</v>
      </c>
      <c r="C523" t="s">
        <v>1062</v>
      </c>
      <c r="D523" t="s">
        <v>1067</v>
      </c>
      <c r="E523" s="18">
        <v>5.2</v>
      </c>
      <c r="F523" s="2">
        <f t="shared" si="164"/>
        <v>0.44444444444444442</v>
      </c>
      <c r="G523" s="10">
        <v>22.17276</v>
      </c>
      <c r="H523">
        <f t="shared" si="165"/>
        <v>0.29708323887342697</v>
      </c>
      <c r="I523" s="22">
        <v>0.10000000000000005</v>
      </c>
      <c r="J523" s="2">
        <f t="shared" si="166"/>
        <v>5.1308363263211933E-4</v>
      </c>
      <c r="K523" s="8">
        <v>0</v>
      </c>
      <c r="L523" s="2">
        <v>0</v>
      </c>
      <c r="M523">
        <v>16043</v>
      </c>
      <c r="N523">
        <f t="shared" si="167"/>
        <v>7.4775375793104421E-2</v>
      </c>
      <c r="O523" s="8">
        <v>0.69975964800000001</v>
      </c>
      <c r="P523">
        <f t="shared" si="168"/>
        <v>0.67517165799606571</v>
      </c>
      <c r="Q523" s="20">
        <v>0.33250000000000002</v>
      </c>
      <c r="R523" s="10">
        <f t="shared" si="169"/>
        <v>0.720008661758337</v>
      </c>
      <c r="S523">
        <f t="shared" si="170"/>
        <v>4.6133392487970874E-2</v>
      </c>
      <c r="T523" s="11">
        <f t="shared" si="171"/>
        <v>8.4684855796061734E-2</v>
      </c>
      <c r="U523" t="str">
        <f t="shared" si="172"/>
        <v>No Impact</v>
      </c>
      <c r="V523">
        <f t="shared" si="173"/>
        <v>4.7615984424842238E-2</v>
      </c>
      <c r="W523">
        <f t="shared" si="174"/>
        <v>6.2719168166716091E-2</v>
      </c>
      <c r="X523" t="s">
        <v>1176</v>
      </c>
      <c r="Y523">
        <f t="shared" si="175"/>
        <v>4.4650800551099511E-2</v>
      </c>
      <c r="Z523">
        <f t="shared" si="176"/>
        <v>8.1624621501670547E-2</v>
      </c>
      <c r="AA523" t="str">
        <f t="shared" si="177"/>
        <v>No Impact</v>
      </c>
      <c r="AB523">
        <f t="shared" si="178"/>
        <v>3.1791614024583026E-2</v>
      </c>
      <c r="AC523">
        <f t="shared" si="179"/>
        <v>7.7414941683107363E-2</v>
      </c>
      <c r="AD523" t="str">
        <f t="shared" si="180"/>
        <v>No Impact</v>
      </c>
      <c r="AE523">
        <f t="shared" si="181"/>
        <v>4.9450837444525485E-3</v>
      </c>
      <c r="AF523">
        <f t="shared" si="182"/>
        <v>2.7056284438400174E-2</v>
      </c>
      <c r="AG523" t="s">
        <v>1176</v>
      </c>
    </row>
    <row r="524" spans="1:33" customFormat="1" x14ac:dyDescent="0.3">
      <c r="A524">
        <v>605883</v>
      </c>
      <c r="B524" t="s">
        <v>496</v>
      </c>
      <c r="C524" t="s">
        <v>1062</v>
      </c>
      <c r="D524" t="s">
        <v>1068</v>
      </c>
      <c r="E524" s="18">
        <v>5.4</v>
      </c>
      <c r="F524" s="2">
        <f t="shared" si="164"/>
        <v>0.48888888888888893</v>
      </c>
      <c r="G524" s="10">
        <v>21.459600000000002</v>
      </c>
      <c r="H524">
        <f t="shared" si="165"/>
        <v>0.28752791591701682</v>
      </c>
      <c r="I524" s="22">
        <v>0.5</v>
      </c>
      <c r="J524" s="2">
        <f t="shared" si="166"/>
        <v>2.5654181631605956E-3</v>
      </c>
      <c r="K524" s="8">
        <v>0</v>
      </c>
      <c r="L524" s="2">
        <v>0</v>
      </c>
      <c r="M524">
        <v>37332</v>
      </c>
      <c r="N524">
        <f t="shared" si="167"/>
        <v>0.17550259518435982</v>
      </c>
      <c r="O524" s="8">
        <v>0.57027192800000004</v>
      </c>
      <c r="P524">
        <f t="shared" si="168"/>
        <v>0.53256828165692005</v>
      </c>
      <c r="Q524" s="20">
        <v>0.37559999999999999</v>
      </c>
      <c r="R524" s="10">
        <f t="shared" si="169"/>
        <v>0.8133391078388913</v>
      </c>
      <c r="S524">
        <f t="shared" si="170"/>
        <v>4.7720293131131852E-2</v>
      </c>
      <c r="T524" s="11">
        <f t="shared" si="171"/>
        <v>8.7597853190818808E-2</v>
      </c>
      <c r="U524" t="str">
        <f t="shared" si="172"/>
        <v>No Impact</v>
      </c>
      <c r="V524">
        <f t="shared" si="173"/>
        <v>5.7675261974190893E-2</v>
      </c>
      <c r="W524">
        <f t="shared" si="174"/>
        <v>7.5969120422751182E-2</v>
      </c>
      <c r="X524" t="s">
        <v>1176</v>
      </c>
      <c r="Y524">
        <f t="shared" si="175"/>
        <v>3.7765324288072805E-2</v>
      </c>
      <c r="Z524">
        <f t="shared" si="176"/>
        <v>6.9037514733336205E-2</v>
      </c>
      <c r="AA524" t="str">
        <f t="shared" si="177"/>
        <v>No Impact</v>
      </c>
      <c r="AB524">
        <f t="shared" si="178"/>
        <v>3.5871754798733217E-2</v>
      </c>
      <c r="AC524">
        <f t="shared" si="179"/>
        <v>8.7350387547713751E-2</v>
      </c>
      <c r="AD524" t="str">
        <f t="shared" si="180"/>
        <v>No Impact</v>
      </c>
      <c r="AE524">
        <f t="shared" si="181"/>
        <v>1.2445188060984465E-2</v>
      </c>
      <c r="AF524">
        <f t="shared" si="182"/>
        <v>6.8091980938667543E-2</v>
      </c>
      <c r="AG524" t="s">
        <v>1176</v>
      </c>
    </row>
    <row r="525" spans="1:33" customFormat="1" x14ac:dyDescent="0.3">
      <c r="A525">
        <v>609018</v>
      </c>
      <c r="B525" t="s">
        <v>80</v>
      </c>
      <c r="C525" t="s">
        <v>1070</v>
      </c>
      <c r="D525" t="s">
        <v>1069</v>
      </c>
      <c r="E525" s="18">
        <v>6.2</v>
      </c>
      <c r="F525" s="2">
        <f t="shared" si="164"/>
        <v>0.66666666666666663</v>
      </c>
      <c r="G525" s="10">
        <v>29.8764</v>
      </c>
      <c r="H525">
        <f t="shared" si="165"/>
        <v>0.40030098543790005</v>
      </c>
      <c r="I525" s="22">
        <v>0.39999999999999997</v>
      </c>
      <c r="J525" s="2">
        <f t="shared" si="166"/>
        <v>2.052334530528476E-3</v>
      </c>
      <c r="K525" s="8">
        <v>0</v>
      </c>
      <c r="L525" s="2">
        <v>0</v>
      </c>
      <c r="M525">
        <v>14050</v>
      </c>
      <c r="N525">
        <f t="shared" si="167"/>
        <v>6.5345653953338731E-2</v>
      </c>
      <c r="O525" s="8">
        <v>0.53592805099999996</v>
      </c>
      <c r="P525">
        <f t="shared" si="168"/>
        <v>0.49474575441822638</v>
      </c>
      <c r="Q525" s="20">
        <v>0.29430000000000001</v>
      </c>
      <c r="R525" s="10">
        <f t="shared" si="169"/>
        <v>0.6372888696405371</v>
      </c>
      <c r="S525">
        <f t="shared" si="170"/>
        <v>7.5912981551542566E-2</v>
      </c>
      <c r="T525" s="11">
        <f t="shared" si="171"/>
        <v>0.13934981905823929</v>
      </c>
      <c r="U525" t="str">
        <f t="shared" si="172"/>
        <v>No Impact</v>
      </c>
      <c r="V525">
        <f t="shared" si="173"/>
        <v>8.5471764159599048E-2</v>
      </c>
      <c r="W525">
        <f t="shared" si="174"/>
        <v>0.11258231903812101</v>
      </c>
      <c r="X525" t="s">
        <v>1176</v>
      </c>
      <c r="Y525">
        <f t="shared" si="175"/>
        <v>6.6354198943486056E-2</v>
      </c>
      <c r="Z525">
        <f t="shared" si="176"/>
        <v>0.1212998716027551</v>
      </c>
      <c r="AA525" t="str">
        <f t="shared" si="177"/>
        <v>No Impact</v>
      </c>
      <c r="AB525">
        <f t="shared" si="178"/>
        <v>5.2888781900496104E-2</v>
      </c>
      <c r="AC525">
        <f t="shared" si="179"/>
        <v>0.12878811259319797</v>
      </c>
      <c r="AD525" t="str">
        <f t="shared" si="180"/>
        <v>No Impact</v>
      </c>
      <c r="AE525">
        <f t="shared" si="181"/>
        <v>8.7640136045446342E-3</v>
      </c>
      <c r="AF525">
        <f t="shared" si="182"/>
        <v>4.7950986709289642E-2</v>
      </c>
      <c r="AG525" t="s">
        <v>1176</v>
      </c>
    </row>
    <row r="526" spans="1:33" customFormat="1" x14ac:dyDescent="0.3">
      <c r="A526">
        <v>609023</v>
      </c>
      <c r="B526" t="s">
        <v>109</v>
      </c>
      <c r="C526" t="s">
        <v>1070</v>
      </c>
      <c r="D526" t="s">
        <v>1071</v>
      </c>
      <c r="E526" s="18">
        <v>6.5</v>
      </c>
      <c r="F526" s="2">
        <f t="shared" si="164"/>
        <v>0.73333333333333328</v>
      </c>
      <c r="G526" s="10">
        <v>29.204279999999997</v>
      </c>
      <c r="H526">
        <f t="shared" si="165"/>
        <v>0.39129553972380726</v>
      </c>
      <c r="I526" s="22">
        <v>0.19999999999999993</v>
      </c>
      <c r="J526" s="2">
        <f t="shared" si="166"/>
        <v>1.0261672652642378E-3</v>
      </c>
      <c r="K526" s="8">
        <v>0</v>
      </c>
      <c r="L526" s="2">
        <v>0</v>
      </c>
      <c r="M526">
        <v>23393</v>
      </c>
      <c r="N526">
        <f t="shared" si="167"/>
        <v>0.10955131935671601</v>
      </c>
      <c r="O526" s="8">
        <v>0.63452906200000003</v>
      </c>
      <c r="P526">
        <f t="shared" si="168"/>
        <v>0.6033339439318981</v>
      </c>
      <c r="Q526" s="20">
        <v>0.27379999999999999</v>
      </c>
      <c r="R526" s="10">
        <f t="shared" si="169"/>
        <v>0.59289735816370726</v>
      </c>
      <c r="S526">
        <f t="shared" si="170"/>
        <v>8.603970950518304E-2</v>
      </c>
      <c r="T526" s="11">
        <f t="shared" si="171"/>
        <v>0.15793896783292785</v>
      </c>
      <c r="U526" t="str">
        <f t="shared" si="172"/>
        <v>Low</v>
      </c>
      <c r="V526">
        <f t="shared" si="173"/>
        <v>8.528905132883538E-2</v>
      </c>
      <c r="W526">
        <f t="shared" si="174"/>
        <v>0.11234165202477865</v>
      </c>
      <c r="X526" t="s">
        <v>1176</v>
      </c>
      <c r="Y526">
        <f t="shared" si="175"/>
        <v>8.67903676815307E-2</v>
      </c>
      <c r="Z526">
        <f t="shared" si="176"/>
        <v>0.15865854194234189</v>
      </c>
      <c r="AA526" t="str">
        <f t="shared" si="177"/>
        <v>Low</v>
      </c>
      <c r="AB526">
        <f t="shared" si="178"/>
        <v>6.1403962881544497E-2</v>
      </c>
      <c r="AC526">
        <f t="shared" si="179"/>
        <v>0.14952321080366426</v>
      </c>
      <c r="AD526" t="str">
        <f t="shared" si="180"/>
        <v>No Impact</v>
      </c>
      <c r="AE526">
        <f t="shared" si="181"/>
        <v>1.5759098891408301E-2</v>
      </c>
      <c r="AF526">
        <f t="shared" si="182"/>
        <v>8.6223547291214384E-2</v>
      </c>
      <c r="AG526" t="s">
        <v>1176</v>
      </c>
    </row>
    <row r="527" spans="1:33" customFormat="1" x14ac:dyDescent="0.3">
      <c r="A527">
        <v>609027</v>
      </c>
      <c r="B527" t="s">
        <v>123</v>
      </c>
      <c r="C527" t="s">
        <v>1070</v>
      </c>
      <c r="D527" t="s">
        <v>1072</v>
      </c>
      <c r="E527" s="18">
        <v>6.3</v>
      </c>
      <c r="F527" s="2">
        <f t="shared" si="164"/>
        <v>0.68888888888888877</v>
      </c>
      <c r="G527" s="10">
        <v>30.351599999999998</v>
      </c>
      <c r="H527">
        <f t="shared" si="165"/>
        <v>0.40666798508578567</v>
      </c>
      <c r="I527" s="22">
        <v>0.19999999999999993</v>
      </c>
      <c r="J527" s="2">
        <f t="shared" si="166"/>
        <v>1.0261672652642378E-3</v>
      </c>
      <c r="K527" s="8">
        <v>0</v>
      </c>
      <c r="L527" s="2">
        <v>0</v>
      </c>
      <c r="M527">
        <v>9097</v>
      </c>
      <c r="N527">
        <f t="shared" si="167"/>
        <v>4.1910926270268226E-2</v>
      </c>
      <c r="O527" s="8">
        <v>0.74545498899999996</v>
      </c>
      <c r="P527">
        <f t="shared" si="168"/>
        <v>0.72549542545114631</v>
      </c>
      <c r="Q527" s="20">
        <v>0.17280000000000001</v>
      </c>
      <c r="R527" s="10">
        <f t="shared" si="169"/>
        <v>0.37418796015591166</v>
      </c>
      <c r="S527">
        <f t="shared" si="170"/>
        <v>7.7213161434653718E-2</v>
      </c>
      <c r="T527" s="11">
        <f t="shared" si="171"/>
        <v>0.14173649690637105</v>
      </c>
      <c r="U527" t="str">
        <f t="shared" si="172"/>
        <v>No Impact</v>
      </c>
      <c r="V527">
        <f t="shared" si="173"/>
        <v>5.254646155897464E-2</v>
      </c>
      <c r="W527">
        <f t="shared" si="174"/>
        <v>6.921352984490213E-2</v>
      </c>
      <c r="X527" t="s">
        <v>1176</v>
      </c>
      <c r="Y527">
        <f t="shared" si="175"/>
        <v>0.10187986131033278</v>
      </c>
      <c r="Z527">
        <f t="shared" si="176"/>
        <v>0.18624313596755493</v>
      </c>
      <c r="AA527" t="str">
        <f t="shared" si="177"/>
        <v>Low</v>
      </c>
      <c r="AB527">
        <f t="shared" si="178"/>
        <v>5.1015133374585915E-2</v>
      </c>
      <c r="AC527">
        <f t="shared" si="179"/>
        <v>0.12422563925492021</v>
      </c>
      <c r="AD527" t="str">
        <f t="shared" si="180"/>
        <v>No Impact</v>
      </c>
      <c r="AE527">
        <f t="shared" si="181"/>
        <v>5.8854669595570534E-3</v>
      </c>
      <c r="AF527">
        <f t="shared" si="182"/>
        <v>3.2201450236149766E-2</v>
      </c>
      <c r="AG527" t="s">
        <v>1176</v>
      </c>
    </row>
    <row r="528" spans="1:33" customFormat="1" x14ac:dyDescent="0.3">
      <c r="A528">
        <v>609029</v>
      </c>
      <c r="B528" t="s">
        <v>138</v>
      </c>
      <c r="C528" t="s">
        <v>1070</v>
      </c>
      <c r="D528" t="s">
        <v>1073</v>
      </c>
      <c r="E528" s="18">
        <v>6.5</v>
      </c>
      <c r="F528" s="2">
        <f t="shared" si="164"/>
        <v>0.73333333333333328</v>
      </c>
      <c r="G528" s="10">
        <v>30.351599999999998</v>
      </c>
      <c r="H528">
        <f t="shared" si="165"/>
        <v>0.40666798508578567</v>
      </c>
      <c r="I528" s="22">
        <v>0.39999999999999997</v>
      </c>
      <c r="J528" s="2">
        <f t="shared" si="166"/>
        <v>2.052334530528476E-3</v>
      </c>
      <c r="K528" s="8">
        <v>0</v>
      </c>
      <c r="L528" s="2">
        <v>0</v>
      </c>
      <c r="M528">
        <v>10856</v>
      </c>
      <c r="N528">
        <f t="shared" si="167"/>
        <v>5.0233495621069962E-2</v>
      </c>
      <c r="O528" s="8">
        <v>0.85093448500000002</v>
      </c>
      <c r="P528">
        <f t="shared" si="168"/>
        <v>0.84165881348633165</v>
      </c>
      <c r="Q528" s="20">
        <v>0.1512</v>
      </c>
      <c r="R528" s="10">
        <f t="shared" si="169"/>
        <v>0.32741446513642269</v>
      </c>
      <c r="S528">
        <f t="shared" si="170"/>
        <v>8.7601067417157133E-2</v>
      </c>
      <c r="T528" s="11">
        <f t="shared" si="171"/>
        <v>0.16080507766120558</v>
      </c>
      <c r="U528" t="str">
        <f t="shared" si="172"/>
        <v>Low</v>
      </c>
      <c r="V528">
        <f t="shared" si="173"/>
        <v>4.906767977377318E-2</v>
      </c>
      <c r="W528">
        <f t="shared" si="174"/>
        <v>6.4631322789081458E-2</v>
      </c>
      <c r="X528" t="s">
        <v>1176</v>
      </c>
      <c r="Y528">
        <f t="shared" si="175"/>
        <v>0.12613445506054111</v>
      </c>
      <c r="Z528">
        <f t="shared" si="176"/>
        <v>0.23058214019821452</v>
      </c>
      <c r="AA528" t="str">
        <f t="shared" si="177"/>
        <v>Low</v>
      </c>
      <c r="AB528">
        <f t="shared" si="178"/>
        <v>5.7648893905146291E-2</v>
      </c>
      <c r="AC528">
        <f t="shared" si="179"/>
        <v>0.14037933891345042</v>
      </c>
      <c r="AD528" t="str">
        <f t="shared" si="180"/>
        <v>No Impact</v>
      </c>
      <c r="AE528">
        <f t="shared" si="181"/>
        <v>7.5281984747524247E-3</v>
      </c>
      <c r="AF528">
        <f t="shared" si="182"/>
        <v>4.1189409475649065E-2</v>
      </c>
      <c r="AG528" t="s">
        <v>1176</v>
      </c>
    </row>
    <row r="529" spans="1:33" customFormat="1" x14ac:dyDescent="0.3">
      <c r="A529">
        <v>609032</v>
      </c>
      <c r="B529" t="s">
        <v>144</v>
      </c>
      <c r="C529" t="s">
        <v>1070</v>
      </c>
      <c r="D529" t="s">
        <v>1074</v>
      </c>
      <c r="E529" s="18">
        <v>6.4</v>
      </c>
      <c r="F529" s="2">
        <f t="shared" si="164"/>
        <v>0.71111111111111114</v>
      </c>
      <c r="G529" s="10">
        <v>32.565599999999996</v>
      </c>
      <c r="H529">
        <f t="shared" si="165"/>
        <v>0.43633241526343458</v>
      </c>
      <c r="I529" s="22">
        <v>0.39999999999999997</v>
      </c>
      <c r="J529" s="2">
        <f t="shared" si="166"/>
        <v>2.052334530528476E-3</v>
      </c>
      <c r="K529" s="8">
        <v>0</v>
      </c>
      <c r="L529" s="2">
        <v>0</v>
      </c>
      <c r="M529">
        <v>11765</v>
      </c>
      <c r="N529">
        <f t="shared" si="167"/>
        <v>5.4534357212814577E-2</v>
      </c>
      <c r="O529" s="8">
        <v>0.72317944700000003</v>
      </c>
      <c r="P529">
        <f t="shared" si="168"/>
        <v>0.7009636204353159</v>
      </c>
      <c r="Q529" s="20">
        <v>0.1913</v>
      </c>
      <c r="R529" s="10">
        <f t="shared" si="169"/>
        <v>0.41424859246427026</v>
      </c>
      <c r="S529">
        <f t="shared" si="170"/>
        <v>8.6914138118961232E-2</v>
      </c>
      <c r="T529" s="11">
        <f t="shared" si="171"/>
        <v>0.15954411449715952</v>
      </c>
      <c r="U529" t="str">
        <f t="shared" si="172"/>
        <v>Low</v>
      </c>
      <c r="V529">
        <f t="shared" si="173"/>
        <v>6.4568983310204622E-2</v>
      </c>
      <c r="W529">
        <f t="shared" si="174"/>
        <v>8.5049442356457713E-2</v>
      </c>
      <c r="X529" t="s">
        <v>1176</v>
      </c>
      <c r="Y529">
        <f t="shared" si="175"/>
        <v>0.10925929292771785</v>
      </c>
      <c r="Z529">
        <f t="shared" si="176"/>
        <v>0.19973322584796324</v>
      </c>
      <c r="AA529" t="str">
        <f t="shared" si="177"/>
        <v>Low</v>
      </c>
      <c r="AB529">
        <f t="shared" si="178"/>
        <v>5.8352029170991866E-2</v>
      </c>
      <c r="AC529">
        <f t="shared" si="179"/>
        <v>0.14209152551582552</v>
      </c>
      <c r="AD529" t="str">
        <f t="shared" si="180"/>
        <v>No Impact</v>
      </c>
      <c r="AE529">
        <f t="shared" si="181"/>
        <v>8.5002775260139812E-3</v>
      </c>
      <c r="AF529">
        <f t="shared" si="182"/>
        <v>4.650799428971767E-2</v>
      </c>
      <c r="AG529" t="s">
        <v>1176</v>
      </c>
    </row>
    <row r="530" spans="1:33" customFormat="1" x14ac:dyDescent="0.3">
      <c r="A530">
        <v>609033</v>
      </c>
      <c r="B530" t="s">
        <v>155</v>
      </c>
      <c r="C530" t="s">
        <v>1070</v>
      </c>
      <c r="D530" t="s">
        <v>1075</v>
      </c>
      <c r="E530" s="18">
        <v>5.9</v>
      </c>
      <c r="F530" s="2">
        <f t="shared" si="164"/>
        <v>0.60000000000000009</v>
      </c>
      <c r="G530" s="10">
        <v>28.614599999999999</v>
      </c>
      <c r="H530">
        <f t="shared" si="165"/>
        <v>0.38339467197893101</v>
      </c>
      <c r="I530" s="22">
        <v>0.39999999999999997</v>
      </c>
      <c r="J530" s="2">
        <f t="shared" si="166"/>
        <v>2.052334530528476E-3</v>
      </c>
      <c r="K530" s="8">
        <v>0</v>
      </c>
      <c r="L530" s="2">
        <v>0</v>
      </c>
      <c r="M530">
        <v>20104</v>
      </c>
      <c r="N530">
        <f t="shared" si="167"/>
        <v>9.3989676039611461E-2</v>
      </c>
      <c r="O530" s="8">
        <v>0.52899560700000003</v>
      </c>
      <c r="P530">
        <f t="shared" si="168"/>
        <v>0.48711113145411794</v>
      </c>
      <c r="Q530" s="20">
        <v>0.28339999999999999</v>
      </c>
      <c r="R530" s="10">
        <f t="shared" si="169"/>
        <v>0.61368557817236902</v>
      </c>
      <c r="S530">
        <f t="shared" si="170"/>
        <v>6.3644819475148828E-2</v>
      </c>
      <c r="T530" s="11">
        <f t="shared" si="171"/>
        <v>0.11682974237857577</v>
      </c>
      <c r="U530" t="str">
        <f t="shared" si="172"/>
        <v>No Impact</v>
      </c>
      <c r="V530">
        <f t="shared" si="173"/>
        <v>7.0962980713369969E-2</v>
      </c>
      <c r="W530">
        <f t="shared" si="174"/>
        <v>9.3471534291145297E-2</v>
      </c>
      <c r="X530" t="s">
        <v>1176</v>
      </c>
      <c r="Y530">
        <f t="shared" si="175"/>
        <v>5.6326658236927687E-2</v>
      </c>
      <c r="Z530">
        <f t="shared" si="176"/>
        <v>0.10296886287137266</v>
      </c>
      <c r="AA530" t="str">
        <f t="shared" si="177"/>
        <v>No Impact</v>
      </c>
      <c r="AB530">
        <f t="shared" si="178"/>
        <v>4.5538984844345314E-2</v>
      </c>
      <c r="AC530">
        <f t="shared" si="179"/>
        <v>0.11089081080648724</v>
      </c>
      <c r="AD530" t="str">
        <f t="shared" si="180"/>
        <v>No Impact</v>
      </c>
      <c r="AE530">
        <f t="shared" si="181"/>
        <v>1.0868411781678635E-2</v>
      </c>
      <c r="AF530">
        <f t="shared" si="182"/>
        <v>5.9464885885630418E-2</v>
      </c>
      <c r="AG530" t="s">
        <v>1176</v>
      </c>
    </row>
    <row r="531" spans="1:33" customFormat="1" x14ac:dyDescent="0.3">
      <c r="A531">
        <v>609047</v>
      </c>
      <c r="B531" t="s">
        <v>215</v>
      </c>
      <c r="C531" t="s">
        <v>1070</v>
      </c>
      <c r="D531" t="s">
        <v>1076</v>
      </c>
      <c r="E531" s="18">
        <v>6.5</v>
      </c>
      <c r="F531" s="2">
        <f t="shared" si="164"/>
        <v>0.73333333333333328</v>
      </c>
      <c r="G531" s="10">
        <v>29.204279999999997</v>
      </c>
      <c r="H531">
        <f t="shared" si="165"/>
        <v>0.39129553972380726</v>
      </c>
      <c r="I531" s="22">
        <v>0.19999999999999993</v>
      </c>
      <c r="J531" s="2">
        <f t="shared" si="166"/>
        <v>1.0261672652642378E-3</v>
      </c>
      <c r="K531" s="8">
        <v>0</v>
      </c>
      <c r="L531" s="2">
        <v>0</v>
      </c>
      <c r="M531">
        <v>19694</v>
      </c>
      <c r="N531">
        <f t="shared" si="167"/>
        <v>9.2049793473478025E-2</v>
      </c>
      <c r="O531" s="8">
        <v>0.85585733399999997</v>
      </c>
      <c r="P531">
        <f t="shared" si="168"/>
        <v>0.84708029197562607</v>
      </c>
      <c r="Q531" s="20">
        <v>0.2427</v>
      </c>
      <c r="R531" s="10">
        <f t="shared" si="169"/>
        <v>0.52555218709398011</v>
      </c>
      <c r="S531">
        <f t="shared" si="170"/>
        <v>9.8727478163825266E-2</v>
      </c>
      <c r="T531" s="11">
        <f t="shared" si="171"/>
        <v>0.18122929618914121</v>
      </c>
      <c r="U531" t="str">
        <f t="shared" si="172"/>
        <v>Low</v>
      </c>
      <c r="V531">
        <f t="shared" si="173"/>
        <v>7.5601361422601709E-2</v>
      </c>
      <c r="W531">
        <f t="shared" si="174"/>
        <v>9.9581150279086122E-2</v>
      </c>
      <c r="X531" t="s">
        <v>1176</v>
      </c>
      <c r="Y531">
        <f t="shared" si="175"/>
        <v>0.12185359490504885</v>
      </c>
      <c r="Z531">
        <f t="shared" si="176"/>
        <v>0.22275644422902918</v>
      </c>
      <c r="AA531" t="str">
        <f t="shared" si="177"/>
        <v>Low</v>
      </c>
      <c r="AB531">
        <f t="shared" si="178"/>
        <v>6.7651073589375235E-2</v>
      </c>
      <c r="AC531">
        <f t="shared" si="179"/>
        <v>0.16473538942286461</v>
      </c>
      <c r="AD531" t="str">
        <f t="shared" si="180"/>
        <v>Low</v>
      </c>
      <c r="AE531">
        <f t="shared" si="181"/>
        <v>1.3241481771285675E-2</v>
      </c>
      <c r="AF531">
        <f t="shared" si="182"/>
        <v>7.2448782609941101E-2</v>
      </c>
      <c r="AG531" t="s">
        <v>1176</v>
      </c>
    </row>
    <row r="532" spans="1:33" customFormat="1" x14ac:dyDescent="0.3">
      <c r="A532">
        <v>609050</v>
      </c>
      <c r="B532" t="s">
        <v>218</v>
      </c>
      <c r="C532" t="s">
        <v>1070</v>
      </c>
      <c r="D532" t="s">
        <v>1077</v>
      </c>
      <c r="E532" s="18">
        <v>6.4</v>
      </c>
      <c r="F532" s="2">
        <f t="shared" si="164"/>
        <v>0.71111111111111114</v>
      </c>
      <c r="G532" s="10">
        <v>30.218400000000003</v>
      </c>
      <c r="H532">
        <f t="shared" si="165"/>
        <v>0.40488329579054505</v>
      </c>
      <c r="I532" s="22">
        <v>0.39999999999999997</v>
      </c>
      <c r="J532" s="2">
        <f t="shared" si="166"/>
        <v>2.052334530528476E-3</v>
      </c>
      <c r="K532" s="8">
        <v>0</v>
      </c>
      <c r="L532" s="2">
        <v>0</v>
      </c>
      <c r="M532">
        <v>10210</v>
      </c>
      <c r="N532">
        <f t="shared" si="167"/>
        <v>4.7176997724186549E-2</v>
      </c>
      <c r="O532" s="8">
        <v>0.68110752500000005</v>
      </c>
      <c r="P532">
        <f t="shared" si="168"/>
        <v>0.65463028375846988</v>
      </c>
      <c r="Q532" s="20">
        <v>0.17899999999999999</v>
      </c>
      <c r="R532" s="10">
        <f t="shared" si="169"/>
        <v>0.38761368557817238</v>
      </c>
      <c r="S532">
        <f t="shared" si="170"/>
        <v>7.5400214508505647E-2</v>
      </c>
      <c r="T532" s="11">
        <f t="shared" si="171"/>
        <v>0.1384085571922736</v>
      </c>
      <c r="U532" t="str">
        <f t="shared" si="172"/>
        <v>No Impact</v>
      </c>
      <c r="V532">
        <f t="shared" si="173"/>
        <v>5.6083135808649952E-2</v>
      </c>
      <c r="W532">
        <f t="shared" si="174"/>
        <v>7.3871992117511442E-2</v>
      </c>
      <c r="X532" t="s">
        <v>1176</v>
      </c>
      <c r="Y532">
        <f t="shared" si="175"/>
        <v>9.4717293208361308E-2</v>
      </c>
      <c r="Z532">
        <f t="shared" si="176"/>
        <v>0.17314948696042726</v>
      </c>
      <c r="AA532" t="str">
        <f t="shared" si="177"/>
        <v>Low</v>
      </c>
      <c r="AB532">
        <f t="shared" si="178"/>
        <v>5.0433370102448478E-2</v>
      </c>
      <c r="AC532">
        <f t="shared" si="179"/>
        <v>0.12280900247293525</v>
      </c>
      <c r="AD532" t="str">
        <f t="shared" si="180"/>
        <v>No Impact</v>
      </c>
      <c r="AE532">
        <f t="shared" si="181"/>
        <v>6.8259560197502954E-3</v>
      </c>
      <c r="AF532">
        <f t="shared" si="182"/>
        <v>3.7347195149436178E-2</v>
      </c>
      <c r="AG532" t="s">
        <v>1176</v>
      </c>
    </row>
    <row r="533" spans="1:33" customFormat="1" x14ac:dyDescent="0.3">
      <c r="A533">
        <v>609086</v>
      </c>
      <c r="B533" t="s">
        <v>502</v>
      </c>
      <c r="C533" t="s">
        <v>1070</v>
      </c>
      <c r="D533" t="s">
        <v>1078</v>
      </c>
      <c r="E533" s="18">
        <v>6.5</v>
      </c>
      <c r="F533" s="2">
        <f t="shared" si="164"/>
        <v>0.73333333333333328</v>
      </c>
      <c r="G533" s="10">
        <v>30.351599999999998</v>
      </c>
      <c r="H533">
        <f t="shared" si="165"/>
        <v>0.40666798508578567</v>
      </c>
      <c r="I533" s="22">
        <v>0.10000000000000005</v>
      </c>
      <c r="J533" s="2">
        <f t="shared" si="166"/>
        <v>5.1308363263211933E-4</v>
      </c>
      <c r="K533" s="8">
        <v>0</v>
      </c>
      <c r="L533" s="2">
        <v>0</v>
      </c>
      <c r="M533">
        <v>7371</v>
      </c>
      <c r="N533">
        <f t="shared" si="167"/>
        <v>3.3744493808935759E-2</v>
      </c>
      <c r="O533" s="8">
        <v>0.82080018700000001</v>
      </c>
      <c r="P533">
        <f t="shared" si="168"/>
        <v>0.80847224847144084</v>
      </c>
      <c r="Q533" s="20">
        <v>0.1681</v>
      </c>
      <c r="R533" s="10">
        <f t="shared" si="169"/>
        <v>0.36401039411000435</v>
      </c>
      <c r="S533">
        <f t="shared" si="170"/>
        <v>8.752566816768638E-2</v>
      </c>
      <c r="T533" s="11">
        <f t="shared" si="171"/>
        <v>0.16066667087548681</v>
      </c>
      <c r="U533" t="str">
        <f t="shared" si="172"/>
        <v>Low</v>
      </c>
      <c r="V533">
        <f t="shared" si="173"/>
        <v>5.4346651809385471E-2</v>
      </c>
      <c r="W533">
        <f t="shared" si="174"/>
        <v>7.1584717512476498E-2</v>
      </c>
      <c r="X533" t="s">
        <v>1176</v>
      </c>
      <c r="Y533">
        <f t="shared" si="175"/>
        <v>0.12070468452598727</v>
      </c>
      <c r="Z533">
        <f t="shared" si="176"/>
        <v>0.22065615994133947</v>
      </c>
      <c r="AA533" t="str">
        <f t="shared" si="177"/>
        <v>Low</v>
      </c>
      <c r="AB533">
        <f t="shared" si="178"/>
        <v>5.6996048769483276E-2</v>
      </c>
      <c r="AC533">
        <f t="shared" si="179"/>
        <v>0.13878961251370323</v>
      </c>
      <c r="AD533" t="str">
        <f t="shared" si="180"/>
        <v>No Impact</v>
      </c>
      <c r="AE533">
        <f t="shared" si="181"/>
        <v>5.038043652577648E-3</v>
      </c>
      <c r="AF533">
        <f t="shared" si="182"/>
        <v>2.7564900640991642E-2</v>
      </c>
      <c r="AG533" t="s">
        <v>1176</v>
      </c>
    </row>
    <row r="534" spans="1:33" customFormat="1" x14ac:dyDescent="0.3">
      <c r="A534">
        <v>609089</v>
      </c>
      <c r="B534" t="s">
        <v>503</v>
      </c>
      <c r="C534" t="s">
        <v>1070</v>
      </c>
      <c r="D534" t="s">
        <v>1079</v>
      </c>
      <c r="E534" s="18">
        <v>6.5</v>
      </c>
      <c r="F534" s="2">
        <f t="shared" si="164"/>
        <v>0.73333333333333328</v>
      </c>
      <c r="G534" s="10">
        <v>29.299679999999999</v>
      </c>
      <c r="H534">
        <f t="shared" si="165"/>
        <v>0.3925737631379661</v>
      </c>
      <c r="I534" s="22">
        <v>0.39999999999999997</v>
      </c>
      <c r="J534" s="2">
        <f t="shared" si="166"/>
        <v>2.052334530528476E-3</v>
      </c>
      <c r="K534" s="8">
        <v>0</v>
      </c>
      <c r="L534" s="2">
        <v>0</v>
      </c>
      <c r="M534">
        <v>23247</v>
      </c>
      <c r="N534">
        <f t="shared" si="167"/>
        <v>0.10886053190633679</v>
      </c>
      <c r="O534" s="8">
        <v>0.63690659999999999</v>
      </c>
      <c r="P534">
        <f t="shared" si="168"/>
        <v>0.60595229991325761</v>
      </c>
      <c r="Q534" s="20">
        <v>0.245</v>
      </c>
      <c r="R534" s="10">
        <f t="shared" si="169"/>
        <v>0.53053269813772197</v>
      </c>
      <c r="S534">
        <f t="shared" si="170"/>
        <v>8.2222550637268202E-2</v>
      </c>
      <c r="T534" s="11">
        <f t="shared" si="171"/>
        <v>0.15093199238961283</v>
      </c>
      <c r="U534" t="str">
        <f t="shared" si="172"/>
        <v>Low</v>
      </c>
      <c r="V534">
        <f t="shared" si="173"/>
        <v>7.6766084395596429E-2</v>
      </c>
      <c r="W534">
        <f t="shared" si="174"/>
        <v>0.10111530854323368</v>
      </c>
      <c r="X534" t="s">
        <v>1176</v>
      </c>
      <c r="Y534">
        <f t="shared" si="175"/>
        <v>8.7679016878939975E-2</v>
      </c>
      <c r="Z534">
        <f t="shared" si="176"/>
        <v>0.16028305154779193</v>
      </c>
      <c r="AA534" t="str">
        <f t="shared" si="177"/>
        <v>Low</v>
      </c>
      <c r="AB534">
        <f t="shared" si="178"/>
        <v>5.8684932820501072E-2</v>
      </c>
      <c r="AC534">
        <f t="shared" si="179"/>
        <v>0.14290217063100968</v>
      </c>
      <c r="AD534" t="str">
        <f t="shared" si="180"/>
        <v>No Impact</v>
      </c>
      <c r="AE534">
        <f t="shared" si="181"/>
        <v>1.5751709195315256E-2</v>
      </c>
      <c r="AF534">
        <f t="shared" si="182"/>
        <v>8.6183115676758709E-2</v>
      </c>
      <c r="AG534" t="s">
        <v>1176</v>
      </c>
    </row>
    <row r="535" spans="1:33" customFormat="1" x14ac:dyDescent="0.3">
      <c r="A535">
        <v>609092</v>
      </c>
      <c r="B535" t="s">
        <v>507</v>
      </c>
      <c r="C535" t="s">
        <v>1070</v>
      </c>
      <c r="D535" t="s">
        <v>1080</v>
      </c>
      <c r="E535" s="18">
        <v>6.4</v>
      </c>
      <c r="F535" s="2">
        <f t="shared" si="164"/>
        <v>0.71111111111111114</v>
      </c>
      <c r="G535" s="10">
        <v>29.8764</v>
      </c>
      <c r="H535">
        <f t="shared" si="165"/>
        <v>0.40030098543790005</v>
      </c>
      <c r="I535" s="22">
        <v>0.39999999999999997</v>
      </c>
      <c r="J535" s="2">
        <f t="shared" si="166"/>
        <v>2.052334530528476E-3</v>
      </c>
      <c r="K535" s="8">
        <v>0</v>
      </c>
      <c r="L535" s="2">
        <v>0</v>
      </c>
      <c r="M535">
        <v>18280</v>
      </c>
      <c r="N535">
        <f t="shared" si="167"/>
        <v>8.5359564330764165E-2</v>
      </c>
      <c r="O535" s="8">
        <v>0.52975439300000005</v>
      </c>
      <c r="P535">
        <f t="shared" si="168"/>
        <v>0.48794677398082914</v>
      </c>
      <c r="Q535" s="20">
        <v>0.2722</v>
      </c>
      <c r="R535" s="10">
        <f t="shared" si="169"/>
        <v>0.58943265482893026</v>
      </c>
      <c r="S535">
        <f t="shared" si="170"/>
        <v>7.7064389341741493E-2</v>
      </c>
      <c r="T535" s="11">
        <f t="shared" si="171"/>
        <v>0.14146340311128466</v>
      </c>
      <c r="U535" t="str">
        <f t="shared" si="172"/>
        <v>No Impact</v>
      </c>
      <c r="V535">
        <f t="shared" si="173"/>
        <v>8.4323621535368848E-2</v>
      </c>
      <c r="W535">
        <f t="shared" si="174"/>
        <v>0.11107000019817072</v>
      </c>
      <c r="X535" t="s">
        <v>1176</v>
      </c>
      <c r="Y535">
        <f t="shared" si="175"/>
        <v>6.9805157148114139E-2</v>
      </c>
      <c r="Z535">
        <f t="shared" si="176"/>
        <v>0.12760845182515193</v>
      </c>
      <c r="AA535" t="str">
        <f t="shared" si="177"/>
        <v>No Impact</v>
      </c>
      <c r="AB535">
        <f t="shared" si="178"/>
        <v>5.4728822303089626E-2</v>
      </c>
      <c r="AC535">
        <f t="shared" si="179"/>
        <v>0.13326874765473309</v>
      </c>
      <c r="AD535" t="str">
        <f t="shared" si="180"/>
        <v>No Impact</v>
      </c>
      <c r="AE535">
        <f t="shared" si="181"/>
        <v>1.2211450346503686E-2</v>
      </c>
      <c r="AF535">
        <f t="shared" si="182"/>
        <v>6.6813120071231677E-2</v>
      </c>
      <c r="AG535" t="s">
        <v>1176</v>
      </c>
    </row>
    <row r="536" spans="1:33" customFormat="1" x14ac:dyDescent="0.3">
      <c r="A536">
        <v>609108</v>
      </c>
      <c r="B536" t="s">
        <v>35</v>
      </c>
      <c r="C536" t="s">
        <v>1082</v>
      </c>
      <c r="D536" t="s">
        <v>1081</v>
      </c>
      <c r="E536" s="18">
        <v>7</v>
      </c>
      <c r="F536" s="2">
        <f t="shared" si="164"/>
        <v>0.84444444444444444</v>
      </c>
      <c r="G536" s="10">
        <v>24.505200000000002</v>
      </c>
      <c r="H536">
        <f t="shared" si="165"/>
        <v>0.32833459547846561</v>
      </c>
      <c r="I536" s="22">
        <v>0.20000000000000004</v>
      </c>
      <c r="J536" s="2">
        <f t="shared" si="166"/>
        <v>1.0261672652642384E-3</v>
      </c>
      <c r="K536" s="8">
        <v>0</v>
      </c>
      <c r="L536" s="2">
        <v>0</v>
      </c>
      <c r="M536">
        <v>33148</v>
      </c>
      <c r="N536">
        <f t="shared" si="167"/>
        <v>0.15570633016801275</v>
      </c>
      <c r="O536" s="8">
        <v>0.84004630300000005</v>
      </c>
      <c r="P536">
        <f t="shared" si="168"/>
        <v>0.82966778054980983</v>
      </c>
      <c r="Q536" s="20">
        <v>0.28139999999999998</v>
      </c>
      <c r="R536" s="10">
        <f t="shared" si="169"/>
        <v>0.60935469900389783</v>
      </c>
      <c r="S536">
        <f t="shared" si="170"/>
        <v>0.10005770319947187</v>
      </c>
      <c r="T536" s="11">
        <f t="shared" si="171"/>
        <v>0.18367112648266271</v>
      </c>
      <c r="U536" t="str">
        <f t="shared" si="172"/>
        <v>Low</v>
      </c>
      <c r="V536">
        <f t="shared" si="173"/>
        <v>8.4738956454724318E-2</v>
      </c>
      <c r="W536">
        <f t="shared" si="174"/>
        <v>0.11161707406353796</v>
      </c>
      <c r="X536" t="s">
        <v>1176</v>
      </c>
      <c r="Y536">
        <f t="shared" si="175"/>
        <v>0.11537644994421942</v>
      </c>
      <c r="Z536">
        <f t="shared" si="176"/>
        <v>0.21091579413286565</v>
      </c>
      <c r="AA536" t="str">
        <f t="shared" si="177"/>
        <v>Low</v>
      </c>
      <c r="AB536">
        <f t="shared" si="178"/>
        <v>7.1850139635603522E-2</v>
      </c>
      <c r="AC536">
        <f t="shared" si="179"/>
        <v>0.17496042715894547</v>
      </c>
      <c r="AD536" t="str">
        <f t="shared" si="180"/>
        <v>Low</v>
      </c>
      <c r="AE536">
        <f t="shared" si="181"/>
        <v>2.1653056837669122E-2</v>
      </c>
      <c r="AF536">
        <f t="shared" si="182"/>
        <v>0.11847145468831266</v>
      </c>
      <c r="AG536" t="s">
        <v>1176</v>
      </c>
    </row>
    <row r="537" spans="1:33" customFormat="1" x14ac:dyDescent="0.3">
      <c r="A537">
        <v>609117</v>
      </c>
      <c r="B537" t="s">
        <v>57</v>
      </c>
      <c r="C537" t="s">
        <v>1082</v>
      </c>
      <c r="D537" t="s">
        <v>1083</v>
      </c>
      <c r="E537" s="18">
        <v>6.1</v>
      </c>
      <c r="F537" s="2">
        <f t="shared" si="164"/>
        <v>0.64444444444444438</v>
      </c>
      <c r="G537" s="10">
        <v>23.098320000000001</v>
      </c>
      <c r="H537">
        <f t="shared" si="165"/>
        <v>0.30948441773305874</v>
      </c>
      <c r="I537" s="22">
        <v>0.10000000000000005</v>
      </c>
      <c r="J537" s="2">
        <f t="shared" si="166"/>
        <v>5.1308363263211933E-4</v>
      </c>
      <c r="K537" s="8">
        <v>0</v>
      </c>
      <c r="L537" s="2">
        <v>0</v>
      </c>
      <c r="M537">
        <v>29012</v>
      </c>
      <c r="N537">
        <f t="shared" si="167"/>
        <v>0.1361371733545301</v>
      </c>
      <c r="O537" s="8">
        <v>0.70535434100000005</v>
      </c>
      <c r="P537">
        <f t="shared" si="168"/>
        <v>0.68133303076084206</v>
      </c>
      <c r="Q537" s="20">
        <v>0.32329999999999998</v>
      </c>
      <c r="R537" s="10">
        <f t="shared" si="169"/>
        <v>0.70008661758336943</v>
      </c>
      <c r="S537">
        <f t="shared" si="170"/>
        <v>6.899368078000627E-2</v>
      </c>
      <c r="T537" s="11">
        <f t="shared" si="171"/>
        <v>0.12664839051708188</v>
      </c>
      <c r="U537" t="str">
        <f t="shared" si="172"/>
        <v>No Impact</v>
      </c>
      <c r="V537">
        <f t="shared" si="173"/>
        <v>6.9930310705796347E-2</v>
      </c>
      <c r="W537">
        <f t="shared" si="174"/>
        <v>9.2111314511000561E-2</v>
      </c>
      <c r="X537" t="s">
        <v>1176</v>
      </c>
      <c r="Y537">
        <f t="shared" si="175"/>
        <v>6.8057050854216206E-2</v>
      </c>
      <c r="Z537">
        <f t="shared" si="176"/>
        <v>0.12441279770869751</v>
      </c>
      <c r="AA537" t="str">
        <f t="shared" si="177"/>
        <v>No Impact</v>
      </c>
      <c r="AB537">
        <f t="shared" si="178"/>
        <v>4.9652192485141973E-2</v>
      </c>
      <c r="AC537">
        <f t="shared" si="179"/>
        <v>0.12090677694763888</v>
      </c>
      <c r="AD537" t="str">
        <f t="shared" si="180"/>
        <v>No Impact</v>
      </c>
      <c r="AE537">
        <f t="shared" si="181"/>
        <v>1.3598481376709722E-2</v>
      </c>
      <c r="AF537">
        <f t="shared" si="182"/>
        <v>7.4402052436682714E-2</v>
      </c>
      <c r="AG537" t="s">
        <v>1176</v>
      </c>
    </row>
    <row r="538" spans="1:33" customFormat="1" x14ac:dyDescent="0.3">
      <c r="A538">
        <v>609120</v>
      </c>
      <c r="B538" t="s">
        <v>81</v>
      </c>
      <c r="C538" t="s">
        <v>1082</v>
      </c>
      <c r="D538" t="s">
        <v>1084</v>
      </c>
      <c r="E538" s="18">
        <v>7</v>
      </c>
      <c r="F538" s="2">
        <f t="shared" si="164"/>
        <v>0.84444444444444444</v>
      </c>
      <c r="G538" s="10">
        <v>24.505200000000002</v>
      </c>
      <c r="H538">
        <f t="shared" si="165"/>
        <v>0.32833459547846561</v>
      </c>
      <c r="I538" s="22">
        <v>0.20000000000000004</v>
      </c>
      <c r="J538" s="2">
        <f t="shared" si="166"/>
        <v>1.0261672652642384E-3</v>
      </c>
      <c r="K538" s="8">
        <v>0</v>
      </c>
      <c r="L538" s="2">
        <v>0</v>
      </c>
      <c r="M538">
        <v>16977</v>
      </c>
      <c r="N538">
        <f t="shared" si="167"/>
        <v>7.9194522907174256E-2</v>
      </c>
      <c r="O538" s="8">
        <v>0.63327610999999995</v>
      </c>
      <c r="P538">
        <f t="shared" si="168"/>
        <v>0.60195408192188737</v>
      </c>
      <c r="Q538" s="20">
        <v>0.31209999999999999</v>
      </c>
      <c r="R538" s="10">
        <f t="shared" si="169"/>
        <v>0.67583369423993067</v>
      </c>
      <c r="S538">
        <f t="shared" si="170"/>
        <v>8.8846777500490484E-2</v>
      </c>
      <c r="T538" s="11">
        <f t="shared" si="171"/>
        <v>0.16309176791053617</v>
      </c>
      <c r="U538" t="str">
        <f t="shared" si="172"/>
        <v>Low</v>
      </c>
      <c r="V538">
        <f t="shared" si="173"/>
        <v>9.3983753765172207E-2</v>
      </c>
      <c r="W538">
        <f t="shared" si="174"/>
        <v>0.12379420332349039</v>
      </c>
      <c r="X538" t="s">
        <v>1176</v>
      </c>
      <c r="Y538">
        <f t="shared" si="175"/>
        <v>8.3709801235808776E-2</v>
      </c>
      <c r="Z538">
        <f t="shared" si="176"/>
        <v>0.15302706239350305</v>
      </c>
      <c r="AA538" t="str">
        <f t="shared" si="177"/>
        <v>Low</v>
      </c>
      <c r="AB538">
        <f t="shared" si="178"/>
        <v>6.1861825973539279E-2</v>
      </c>
      <c r="AC538">
        <f t="shared" si="179"/>
        <v>0.15063814144349319</v>
      </c>
      <c r="AD538" t="str">
        <f t="shared" si="180"/>
        <v>Low</v>
      </c>
      <c r="AE538">
        <f t="shared" si="181"/>
        <v>1.1013062242818249E-2</v>
      </c>
      <c r="AF538">
        <f t="shared" si="182"/>
        <v>6.0256319200613119E-2</v>
      </c>
      <c r="AG538" t="s">
        <v>1176</v>
      </c>
    </row>
    <row r="539" spans="1:33" customFormat="1" x14ac:dyDescent="0.3">
      <c r="A539">
        <v>609127</v>
      </c>
      <c r="B539" t="s">
        <v>119</v>
      </c>
      <c r="C539" t="s">
        <v>1082</v>
      </c>
      <c r="D539" t="s">
        <v>1122</v>
      </c>
      <c r="E539" s="18">
        <v>6.9</v>
      </c>
      <c r="F539" s="2">
        <f t="shared" si="164"/>
        <v>0.8222222222222223</v>
      </c>
      <c r="G539" s="10">
        <v>24.63156</v>
      </c>
      <c r="H539">
        <f t="shared" si="165"/>
        <v>0.33002763856665335</v>
      </c>
      <c r="I539" s="22">
        <v>0.19999999999999993</v>
      </c>
      <c r="J539" s="2">
        <f t="shared" si="166"/>
        <v>1.0261672652642378E-3</v>
      </c>
      <c r="K539" s="8">
        <v>0</v>
      </c>
      <c r="L539" s="2">
        <v>0</v>
      </c>
      <c r="M539">
        <v>8775</v>
      </c>
      <c r="N539">
        <f t="shared" si="167"/>
        <v>4.0387408742719524E-2</v>
      </c>
      <c r="O539" s="8">
        <v>0.50451622399999996</v>
      </c>
      <c r="P539">
        <f t="shared" si="168"/>
        <v>0.46015226101838008</v>
      </c>
      <c r="Q539" s="20">
        <v>0.2712</v>
      </c>
      <c r="R539" s="10">
        <f t="shared" si="169"/>
        <v>0.58726721524469472</v>
      </c>
      <c r="S539">
        <f t="shared" si="170"/>
        <v>7.1276841916758316E-2</v>
      </c>
      <c r="T539" s="11">
        <f t="shared" si="171"/>
        <v>0.13083947990369993</v>
      </c>
      <c r="U539" t="str">
        <f t="shared" si="172"/>
        <v>No Impact</v>
      </c>
      <c r="V539">
        <f t="shared" si="173"/>
        <v>7.9927008066016894E-2</v>
      </c>
      <c r="W539">
        <f t="shared" si="174"/>
        <v>0.1052788369390432</v>
      </c>
      <c r="X539" t="s">
        <v>1176</v>
      </c>
      <c r="Y539">
        <f t="shared" si="175"/>
        <v>6.2626675767499737E-2</v>
      </c>
      <c r="Z539">
        <f t="shared" si="176"/>
        <v>0.11448571229041785</v>
      </c>
      <c r="AA539" t="str">
        <f t="shared" si="177"/>
        <v>No Impact</v>
      </c>
      <c r="AB539">
        <f t="shared" si="178"/>
        <v>4.8686308326322127E-2</v>
      </c>
      <c r="AC539">
        <f t="shared" si="179"/>
        <v>0.11855477727345258</v>
      </c>
      <c r="AD539" t="str">
        <f t="shared" si="180"/>
        <v>No Impact</v>
      </c>
      <c r="AE539">
        <f t="shared" si="181"/>
        <v>5.4967222084751416E-3</v>
      </c>
      <c r="AF539">
        <f t="shared" si="182"/>
        <v>3.0074491603546936E-2</v>
      </c>
      <c r="AG539" t="s">
        <v>1176</v>
      </c>
    </row>
    <row r="540" spans="1:33" customFormat="1" x14ac:dyDescent="0.3">
      <c r="A540">
        <v>609131</v>
      </c>
      <c r="B540" t="s">
        <v>124</v>
      </c>
      <c r="C540" t="s">
        <v>1082</v>
      </c>
      <c r="D540" t="s">
        <v>1085</v>
      </c>
      <c r="E540" s="18">
        <v>7</v>
      </c>
      <c r="F540" s="2">
        <f t="shared" si="164"/>
        <v>0.84444444444444444</v>
      </c>
      <c r="G540" s="10">
        <v>23.32152</v>
      </c>
      <c r="H540">
        <f t="shared" si="165"/>
        <v>0.31247497817373227</v>
      </c>
      <c r="I540" s="22">
        <v>0.20000000000000004</v>
      </c>
      <c r="J540" s="2">
        <f t="shared" si="166"/>
        <v>1.0261672652642384E-3</v>
      </c>
      <c r="K540" s="8">
        <v>0</v>
      </c>
      <c r="L540" s="2">
        <v>0</v>
      </c>
      <c r="M540">
        <v>13160</v>
      </c>
      <c r="N540">
        <f t="shared" si="167"/>
        <v>6.113468935856127E-2</v>
      </c>
      <c r="O540" s="8">
        <v>0.66942065399999995</v>
      </c>
      <c r="P540">
        <f t="shared" si="168"/>
        <v>0.64175966356807601</v>
      </c>
      <c r="Q540" s="20">
        <v>0.313</v>
      </c>
      <c r="R540" s="10">
        <f t="shared" si="169"/>
        <v>0.6777825898657428</v>
      </c>
      <c r="S540">
        <f t="shared" si="170"/>
        <v>8.7332023891405319E-2</v>
      </c>
      <c r="T540" s="11">
        <f t="shared" si="171"/>
        <v>0.16031120736569029</v>
      </c>
      <c r="U540" t="str">
        <f t="shared" si="172"/>
        <v>Low</v>
      </c>
      <c r="V540">
        <f t="shared" si="173"/>
        <v>8.9716149941086204E-2</v>
      </c>
      <c r="W540">
        <f t="shared" si="174"/>
        <v>0.11817296992582223</v>
      </c>
      <c r="X540" t="s">
        <v>1176</v>
      </c>
      <c r="Y540">
        <f t="shared" si="175"/>
        <v>8.4947897841724448E-2</v>
      </c>
      <c r="Z540">
        <f t="shared" si="176"/>
        <v>0.15529038501242709</v>
      </c>
      <c r="AA540" t="str">
        <f t="shared" si="177"/>
        <v>Low</v>
      </c>
      <c r="AB540">
        <f t="shared" si="178"/>
        <v>5.9717300447025848E-2</v>
      </c>
      <c r="AC540">
        <f t="shared" si="179"/>
        <v>0.14541606248755853</v>
      </c>
      <c r="AD540" t="str">
        <f t="shared" si="180"/>
        <v>No Impact</v>
      </c>
      <c r="AE540">
        <f t="shared" si="181"/>
        <v>8.09222461465239E-3</v>
      </c>
      <c r="AF540">
        <f t="shared" si="182"/>
        <v>4.4275393952442954E-2</v>
      </c>
      <c r="AG540" t="s">
        <v>1176</v>
      </c>
    </row>
    <row r="541" spans="1:33" customFormat="1" x14ac:dyDescent="0.3">
      <c r="A541">
        <v>609135</v>
      </c>
      <c r="B541" t="s">
        <v>165</v>
      </c>
      <c r="C541" t="s">
        <v>1082</v>
      </c>
      <c r="D541" t="s">
        <v>1086</v>
      </c>
      <c r="E541" s="18">
        <v>7</v>
      </c>
      <c r="F541" s="2">
        <f t="shared" si="164"/>
        <v>0.84444444444444444</v>
      </c>
      <c r="G541" s="10">
        <v>21.409200000000002</v>
      </c>
      <c r="H541">
        <f t="shared" si="165"/>
        <v>0.28685262807557438</v>
      </c>
      <c r="I541" s="22">
        <v>0.10000000000000005</v>
      </c>
      <c r="J541" s="2">
        <f t="shared" si="166"/>
        <v>5.1308363263211933E-4</v>
      </c>
      <c r="K541" s="8">
        <v>0</v>
      </c>
      <c r="L541" s="2">
        <v>0</v>
      </c>
      <c r="M541">
        <v>11651</v>
      </c>
      <c r="N541">
        <f t="shared" si="167"/>
        <v>5.3994975231011627E-2</v>
      </c>
      <c r="O541" s="8">
        <v>0.82015491200000001</v>
      </c>
      <c r="P541">
        <f t="shared" si="168"/>
        <v>0.80776161433820226</v>
      </c>
      <c r="Q541" s="20">
        <v>0.30640000000000001</v>
      </c>
      <c r="R541" s="10">
        <f t="shared" si="169"/>
        <v>0.66349068860978777</v>
      </c>
      <c r="S541">
        <f t="shared" si="170"/>
        <v>8.9255131529341711E-2</v>
      </c>
      <c r="T541" s="11">
        <f t="shared" si="171"/>
        <v>0.16384136381454484</v>
      </c>
      <c r="U541" t="str">
        <f t="shared" si="172"/>
        <v>Low</v>
      </c>
      <c r="V541">
        <f t="shared" si="173"/>
        <v>8.050277788751721E-2</v>
      </c>
      <c r="W541">
        <f t="shared" si="174"/>
        <v>0.10603723361394547</v>
      </c>
      <c r="X541" t="s">
        <v>1176</v>
      </c>
      <c r="Y541">
        <f t="shared" si="175"/>
        <v>9.8007485171166212E-2</v>
      </c>
      <c r="Z541">
        <f t="shared" si="176"/>
        <v>0.17916417584208438</v>
      </c>
      <c r="AA541" t="str">
        <f t="shared" si="177"/>
        <v>Low</v>
      </c>
      <c r="AB541">
        <f t="shared" si="178"/>
        <v>5.9871182808234488E-2</v>
      </c>
      <c r="AC541">
        <f t="shared" si="179"/>
        <v>0.14579077746773583</v>
      </c>
      <c r="AD541" t="str">
        <f t="shared" si="180"/>
        <v>No Impact</v>
      </c>
      <c r="AE541">
        <f t="shared" si="181"/>
        <v>6.5513285607245808E-3</v>
      </c>
      <c r="AF541">
        <f t="shared" si="182"/>
        <v>3.5844612174106324E-2</v>
      </c>
      <c r="AG541" t="s">
        <v>1176</v>
      </c>
    </row>
    <row r="542" spans="1:33" customFormat="1" x14ac:dyDescent="0.3">
      <c r="A542">
        <v>609138</v>
      </c>
      <c r="B542" t="s">
        <v>187</v>
      </c>
      <c r="C542" t="s">
        <v>1082</v>
      </c>
      <c r="D542" t="s">
        <v>1087</v>
      </c>
      <c r="E542" s="18">
        <v>6.5</v>
      </c>
      <c r="F542" s="2">
        <f t="shared" si="164"/>
        <v>0.73333333333333328</v>
      </c>
      <c r="G542" s="10">
        <v>23.32152</v>
      </c>
      <c r="H542">
        <f t="shared" si="165"/>
        <v>0.31247497817373227</v>
      </c>
      <c r="I542" s="22">
        <v>0.10000000000000005</v>
      </c>
      <c r="J542" s="2">
        <f t="shared" si="166"/>
        <v>5.1308363263211933E-4</v>
      </c>
      <c r="K542" s="8">
        <v>0</v>
      </c>
      <c r="L542" s="2">
        <v>0</v>
      </c>
      <c r="M542">
        <v>29178</v>
      </c>
      <c r="N542">
        <f t="shared" si="167"/>
        <v>0.13692258922276948</v>
      </c>
      <c r="O542" s="8">
        <v>0.70556847600000006</v>
      </c>
      <c r="P542">
        <f t="shared" si="168"/>
        <v>0.68156885523896549</v>
      </c>
      <c r="Q542" s="20">
        <v>0.32540000000000002</v>
      </c>
      <c r="R542" s="10">
        <f t="shared" si="169"/>
        <v>0.70463404071026425</v>
      </c>
      <c r="S542">
        <f t="shared" si="170"/>
        <v>7.9541908906811801E-2</v>
      </c>
      <c r="T542" s="11">
        <f t="shared" si="171"/>
        <v>0.14601126694233951</v>
      </c>
      <c r="U542" t="str">
        <f t="shared" si="172"/>
        <v>No Impact</v>
      </c>
      <c r="V542">
        <f t="shared" si="173"/>
        <v>8.0865415651053901E-2</v>
      </c>
      <c r="W542">
        <f t="shared" si="174"/>
        <v>0.1065148954569083</v>
      </c>
      <c r="X542" t="s">
        <v>1176</v>
      </c>
      <c r="Y542">
        <f t="shared" si="175"/>
        <v>7.8218402162569658E-2</v>
      </c>
      <c r="Z542">
        <f t="shared" si="176"/>
        <v>0.14298842108504997</v>
      </c>
      <c r="AA542" t="str">
        <f t="shared" si="177"/>
        <v>No Impact</v>
      </c>
      <c r="AB542">
        <f t="shared" si="178"/>
        <v>5.7268158556660516E-2</v>
      </c>
      <c r="AC542">
        <f t="shared" si="179"/>
        <v>0.13945222005824123</v>
      </c>
      <c r="AD542" t="str">
        <f t="shared" si="180"/>
        <v>No Impact</v>
      </c>
      <c r="AE542">
        <f t="shared" si="181"/>
        <v>1.5713549800059325E-2</v>
      </c>
      <c r="AF542">
        <f t="shared" si="182"/>
        <v>8.5974332265719405E-2</v>
      </c>
      <c r="AG542" t="s">
        <v>1176</v>
      </c>
    </row>
    <row r="543" spans="1:33" customFormat="1" x14ac:dyDescent="0.3">
      <c r="A543">
        <v>609141</v>
      </c>
      <c r="B543" t="s">
        <v>192</v>
      </c>
      <c r="C543" t="s">
        <v>1082</v>
      </c>
      <c r="D543" t="s">
        <v>1088</v>
      </c>
      <c r="E543" s="18">
        <v>6.9</v>
      </c>
      <c r="F543" s="2">
        <f t="shared" si="164"/>
        <v>0.8222222222222223</v>
      </c>
      <c r="G543" s="10">
        <v>23.32152</v>
      </c>
      <c r="H543">
        <f t="shared" si="165"/>
        <v>0.31247497817373227</v>
      </c>
      <c r="I543" s="22">
        <v>0.19999999999999993</v>
      </c>
      <c r="J543" s="2">
        <f t="shared" si="166"/>
        <v>1.0261672652642378E-3</v>
      </c>
      <c r="K543" s="8">
        <v>0</v>
      </c>
      <c r="L543" s="2">
        <v>0</v>
      </c>
      <c r="M543">
        <v>28466</v>
      </c>
      <c r="N543">
        <f t="shared" si="167"/>
        <v>0.13355381754694753</v>
      </c>
      <c r="O543" s="8">
        <v>0.45570841400000001</v>
      </c>
      <c r="P543">
        <f t="shared" si="168"/>
        <v>0.40640076629965688</v>
      </c>
      <c r="Q543" s="20">
        <v>0.28100000000000003</v>
      </c>
      <c r="R543" s="10">
        <f t="shared" si="169"/>
        <v>0.60848852317020363</v>
      </c>
      <c r="S543">
        <f t="shared" si="170"/>
        <v>6.5401396252639507E-2</v>
      </c>
      <c r="T543" s="11">
        <f t="shared" si="171"/>
        <v>0.12005420611458427</v>
      </c>
      <c r="U543" t="str">
        <f t="shared" si="172"/>
        <v>No Impact</v>
      </c>
      <c r="V543">
        <f t="shared" si="173"/>
        <v>7.842431570014069E-2</v>
      </c>
      <c r="W543">
        <f t="shared" si="174"/>
        <v>0.10329950969554177</v>
      </c>
      <c r="X543" t="s">
        <v>1176</v>
      </c>
      <c r="Y543">
        <f t="shared" si="175"/>
        <v>5.2378476805138331E-2</v>
      </c>
      <c r="Z543">
        <f t="shared" si="176"/>
        <v>9.575132564892315E-2</v>
      </c>
      <c r="AA543" t="str">
        <f t="shared" si="177"/>
        <v>No Impact</v>
      </c>
      <c r="AB543">
        <f t="shared" si="178"/>
        <v>4.9186576963084171E-2</v>
      </c>
      <c r="AC543">
        <f t="shared" si="179"/>
        <v>0.11977296856474325</v>
      </c>
      <c r="AD543" t="str">
        <f t="shared" si="180"/>
        <v>No Impact</v>
      </c>
      <c r="AE543">
        <f t="shared" si="181"/>
        <v>1.721292407569551E-2</v>
      </c>
      <c r="AF543">
        <f t="shared" si="182"/>
        <v>9.4177933858259053E-2</v>
      </c>
      <c r="AG543" t="s">
        <v>1176</v>
      </c>
    </row>
    <row r="544" spans="1:33" customFormat="1" x14ac:dyDescent="0.3">
      <c r="A544">
        <v>609153</v>
      </c>
      <c r="B544" t="s">
        <v>216</v>
      </c>
      <c r="C544" t="s">
        <v>1082</v>
      </c>
      <c r="D544" t="s">
        <v>1089</v>
      </c>
      <c r="E544" s="18">
        <v>7</v>
      </c>
      <c r="F544" s="2">
        <f t="shared" si="164"/>
        <v>0.84444444444444444</v>
      </c>
      <c r="G544" s="10">
        <v>28.62612</v>
      </c>
      <c r="H544">
        <f t="shared" si="165"/>
        <v>0.38354902348554643</v>
      </c>
      <c r="I544" s="22">
        <v>0.19999999999999987</v>
      </c>
      <c r="J544" s="2">
        <f t="shared" si="166"/>
        <v>1.0261672652642376E-3</v>
      </c>
      <c r="K544" s="8">
        <v>0</v>
      </c>
      <c r="L544" s="2">
        <v>0</v>
      </c>
      <c r="M544">
        <v>17294</v>
      </c>
      <c r="N544">
        <f t="shared" si="167"/>
        <v>8.0694383330257913E-2</v>
      </c>
      <c r="O544" s="8">
        <v>0.40542265500000002</v>
      </c>
      <c r="P544">
        <f t="shared" si="168"/>
        <v>0.35102162289380662</v>
      </c>
      <c r="Q544" s="20">
        <v>0.30580000000000002</v>
      </c>
      <c r="R544" s="10">
        <f t="shared" si="169"/>
        <v>0.66219142485924642</v>
      </c>
      <c r="S544">
        <f t="shared" si="170"/>
        <v>8.2260838012288562E-2</v>
      </c>
      <c r="T544" s="11">
        <f t="shared" si="171"/>
        <v>0.15100227468747884</v>
      </c>
      <c r="U544" t="str">
        <f t="shared" si="172"/>
        <v>Low</v>
      </c>
      <c r="V544">
        <f t="shared" si="173"/>
        <v>0.10752412171215822</v>
      </c>
      <c r="W544">
        <f t="shared" si="174"/>
        <v>0.14162940351024034</v>
      </c>
      <c r="X544" t="s">
        <v>1176</v>
      </c>
      <c r="Y544">
        <f t="shared" si="175"/>
        <v>5.6997554312418909E-2</v>
      </c>
      <c r="Z544">
        <f t="shared" si="176"/>
        <v>0.10419530534391594</v>
      </c>
      <c r="AA544" t="str">
        <f t="shared" si="177"/>
        <v>No Impact</v>
      </c>
      <c r="AB544">
        <f t="shared" si="178"/>
        <v>5.9318705221440095E-2</v>
      </c>
      <c r="AC544">
        <f t="shared" si="179"/>
        <v>0.14444545350494992</v>
      </c>
      <c r="AD544" t="str">
        <f t="shared" si="180"/>
        <v>No Impact</v>
      </c>
      <c r="AE544">
        <f t="shared" si="181"/>
        <v>1.3102846652740143E-2</v>
      </c>
      <c r="AF544">
        <f t="shared" si="182"/>
        <v>7.169026134026045E-2</v>
      </c>
      <c r="AG544" t="s">
        <v>1176</v>
      </c>
    </row>
    <row r="545" spans="1:33" customFormat="1" x14ac:dyDescent="0.3">
      <c r="A545">
        <v>609159</v>
      </c>
      <c r="B545" t="s">
        <v>254</v>
      </c>
      <c r="C545" t="s">
        <v>1082</v>
      </c>
      <c r="D545" t="s">
        <v>1090</v>
      </c>
      <c r="E545" s="18">
        <v>7</v>
      </c>
      <c r="F545" s="2">
        <f t="shared" si="164"/>
        <v>0.84444444444444444</v>
      </c>
      <c r="G545" s="10">
        <v>22.547879999999999</v>
      </c>
      <c r="H545">
        <f t="shared" si="165"/>
        <v>0.30210930980759121</v>
      </c>
      <c r="I545" s="22">
        <v>0.3</v>
      </c>
      <c r="J545" s="2">
        <f t="shared" si="166"/>
        <v>1.5392508978963571E-3</v>
      </c>
      <c r="K545" s="8">
        <v>0</v>
      </c>
      <c r="L545" s="2">
        <v>0</v>
      </c>
      <c r="M545">
        <v>16637</v>
      </c>
      <c r="N545">
        <f t="shared" si="167"/>
        <v>7.758583980355141E-2</v>
      </c>
      <c r="O545" s="8">
        <v>0.57596453800000003</v>
      </c>
      <c r="P545">
        <f t="shared" si="168"/>
        <v>0.53883748931755371</v>
      </c>
      <c r="Q545" s="20">
        <v>0.30570000000000003</v>
      </c>
      <c r="R545" s="10">
        <f t="shared" si="169"/>
        <v>0.6619748809008229</v>
      </c>
      <c r="S545">
        <f t="shared" si="170"/>
        <v>7.6976377888766087E-2</v>
      </c>
      <c r="T545" s="11">
        <f t="shared" si="171"/>
        <v>0.14130184470853838</v>
      </c>
      <c r="U545" t="str">
        <f t="shared" si="172"/>
        <v>No Impact</v>
      </c>
      <c r="V545">
        <f t="shared" si="173"/>
        <v>8.4869926141460147E-2</v>
      </c>
      <c r="W545">
        <f t="shared" si="174"/>
        <v>0.11178958566665503</v>
      </c>
      <c r="X545" t="s">
        <v>1176</v>
      </c>
      <c r="Y545">
        <f t="shared" si="175"/>
        <v>6.9082829636072013E-2</v>
      </c>
      <c r="Z545">
        <f t="shared" si="176"/>
        <v>0.12628798927928545</v>
      </c>
      <c r="AA545" t="str">
        <f t="shared" si="177"/>
        <v>No Impact</v>
      </c>
      <c r="AB545">
        <f t="shared" si="178"/>
        <v>5.3910794376037283E-2</v>
      </c>
      <c r="AC545">
        <f t="shared" si="179"/>
        <v>0.13127678888790414</v>
      </c>
      <c r="AD545" t="str">
        <f t="shared" si="180"/>
        <v>No Impact</v>
      </c>
      <c r="AE545">
        <f t="shared" si="181"/>
        <v>9.9470609591560746E-3</v>
      </c>
      <c r="AF545">
        <f t="shared" si="182"/>
        <v>5.4423852970932211E-2</v>
      </c>
      <c r="AG545" t="s">
        <v>1176</v>
      </c>
    </row>
    <row r="546" spans="1:33" customFormat="1" x14ac:dyDescent="0.3">
      <c r="A546">
        <v>609162</v>
      </c>
      <c r="B546" t="s">
        <v>506</v>
      </c>
      <c r="C546" t="s">
        <v>1082</v>
      </c>
      <c r="D546" t="s">
        <v>1091</v>
      </c>
      <c r="E546" s="18">
        <v>7</v>
      </c>
      <c r="F546" s="2">
        <f t="shared" si="164"/>
        <v>0.84444444444444444</v>
      </c>
      <c r="G546" s="10">
        <v>24.63156</v>
      </c>
      <c r="H546">
        <f t="shared" si="165"/>
        <v>0.33002763856665335</v>
      </c>
      <c r="I546" s="22">
        <v>0.20000000000000004</v>
      </c>
      <c r="J546" s="2">
        <f t="shared" si="166"/>
        <v>1.0261672652642384E-3</v>
      </c>
      <c r="K546" s="8">
        <v>0</v>
      </c>
      <c r="L546" s="2">
        <v>0</v>
      </c>
      <c r="M546">
        <v>11227</v>
      </c>
      <c r="N546">
        <f t="shared" si="167"/>
        <v>5.1988852772376075E-2</v>
      </c>
      <c r="O546" s="8">
        <v>0.38565521200000002</v>
      </c>
      <c r="P546">
        <f t="shared" si="168"/>
        <v>0.32925195922692296</v>
      </c>
      <c r="Q546" s="20">
        <v>0.30199999999999999</v>
      </c>
      <c r="R546" s="10">
        <f t="shared" si="169"/>
        <v>0.65396275443915119</v>
      </c>
      <c r="S546">
        <f t="shared" si="170"/>
        <v>6.8716027614141847E-2</v>
      </c>
      <c r="T546" s="11">
        <f t="shared" si="171"/>
        <v>0.12613871591817438</v>
      </c>
      <c r="U546" t="str">
        <f t="shared" si="172"/>
        <v>No Impact</v>
      </c>
      <c r="V546">
        <f t="shared" si="173"/>
        <v>9.1409784796859794E-2</v>
      </c>
      <c r="W546">
        <f t="shared" si="174"/>
        <v>0.1204038041848501</v>
      </c>
      <c r="X546" t="s">
        <v>1176</v>
      </c>
      <c r="Y546">
        <f t="shared" si="175"/>
        <v>4.6022270431423908E-2</v>
      </c>
      <c r="Z546">
        <f t="shared" si="176"/>
        <v>8.4131759302129627E-2</v>
      </c>
      <c r="AA546" t="str">
        <f t="shared" si="177"/>
        <v>No Impact</v>
      </c>
      <c r="AB546">
        <f t="shared" si="178"/>
        <v>4.834352503828402E-2</v>
      </c>
      <c r="AC546">
        <f t="shared" si="179"/>
        <v>0.11772007450457478</v>
      </c>
      <c r="AD546" t="str">
        <f t="shared" si="180"/>
        <v>No Impact</v>
      </c>
      <c r="AE546">
        <f t="shared" si="181"/>
        <v>7.2669120855883649E-3</v>
      </c>
      <c r="AF546">
        <f t="shared" si="182"/>
        <v>3.9759820164237319E-2</v>
      </c>
      <c r="AG546" t="s">
        <v>1176</v>
      </c>
    </row>
    <row r="547" spans="1:33" customFormat="1" x14ac:dyDescent="0.3">
      <c r="A547" s="5">
        <v>609194</v>
      </c>
      <c r="B547" s="5" t="s">
        <v>533</v>
      </c>
      <c r="C547" t="s">
        <v>1082</v>
      </c>
      <c r="D547" t="s">
        <v>1092</v>
      </c>
      <c r="E547" s="18">
        <v>7</v>
      </c>
      <c r="F547" s="2">
        <f t="shared" si="164"/>
        <v>0.84444444444444444</v>
      </c>
      <c r="G547" s="10">
        <v>22.48704</v>
      </c>
      <c r="H547">
        <f t="shared" si="165"/>
        <v>0.30129414091327861</v>
      </c>
      <c r="I547" s="22">
        <v>0.3</v>
      </c>
      <c r="J547" s="2">
        <f t="shared" si="166"/>
        <v>1.5392508978963571E-3</v>
      </c>
      <c r="K547" s="8">
        <v>0</v>
      </c>
      <c r="L547" s="2">
        <v>0</v>
      </c>
      <c r="M547">
        <v>13447</v>
      </c>
      <c r="N547">
        <f t="shared" si="167"/>
        <v>6.2492607154854676E-2</v>
      </c>
      <c r="O547" s="8">
        <v>0.59413714100000004</v>
      </c>
      <c r="P547">
        <f t="shared" si="168"/>
        <v>0.55885077354767909</v>
      </c>
      <c r="Q547" s="20">
        <v>0.32250000000000001</v>
      </c>
      <c r="R547" s="10">
        <f t="shared" si="169"/>
        <v>0.69835426591598093</v>
      </c>
      <c r="S547">
        <f t="shared" si="170"/>
        <v>8.0374996219497355E-2</v>
      </c>
      <c r="T547" s="11">
        <f t="shared" si="171"/>
        <v>0.14754052536309625</v>
      </c>
      <c r="U547" t="str">
        <f t="shared" si="172"/>
        <v>No Impact</v>
      </c>
      <c r="V547">
        <f t="shared" si="173"/>
        <v>8.9293662880658986E-2</v>
      </c>
      <c r="W547">
        <f t="shared" si="174"/>
        <v>0.11761647535133703</v>
      </c>
      <c r="X547" t="s">
        <v>1176</v>
      </c>
      <c r="Y547">
        <f t="shared" si="175"/>
        <v>7.1456329558335724E-2</v>
      </c>
      <c r="Z547">
        <f t="shared" si="176"/>
        <v>0.1306269043804224</v>
      </c>
      <c r="AA547" t="str">
        <f t="shared" si="177"/>
        <v>No Impact</v>
      </c>
      <c r="AB547">
        <f t="shared" si="178"/>
        <v>5.5486352885710383E-2</v>
      </c>
      <c r="AC547">
        <f t="shared" si="179"/>
        <v>0.13511339089402916</v>
      </c>
      <c r="AD547" t="str">
        <f t="shared" si="180"/>
        <v>No Impact</v>
      </c>
      <c r="AE547">
        <f t="shared" si="181"/>
        <v>7.9904914570829103E-3</v>
      </c>
      <c r="AF547">
        <f t="shared" si="182"/>
        <v>4.3718776230628989E-2</v>
      </c>
      <c r="AG547" t="s">
        <v>1176</v>
      </c>
    </row>
    <row r="548" spans="1:33" x14ac:dyDescent="0.3">
      <c r="I548" s="13"/>
    </row>
    <row r="549" spans="1:33" x14ac:dyDescent="0.3">
      <c r="I549" s="13"/>
    </row>
    <row r="550" spans="1:33" x14ac:dyDescent="0.3">
      <c r="I550" s="13"/>
    </row>
    <row r="551" spans="1:33" x14ac:dyDescent="0.3">
      <c r="I551" s="13"/>
    </row>
    <row r="552" spans="1:33" x14ac:dyDescent="0.3">
      <c r="I552" s="13"/>
    </row>
    <row r="553" spans="1:33" x14ac:dyDescent="0.3">
      <c r="I553" s="13"/>
    </row>
    <row r="554" spans="1:33" x14ac:dyDescent="0.3">
      <c r="I554" s="13"/>
    </row>
    <row r="555" spans="1:33" x14ac:dyDescent="0.3">
      <c r="I555" s="13"/>
    </row>
    <row r="556" spans="1:33" x14ac:dyDescent="0.3">
      <c r="I556" s="13"/>
    </row>
    <row r="557" spans="1:33" x14ac:dyDescent="0.3">
      <c r="I557" s="13"/>
    </row>
    <row r="558" spans="1:33" x14ac:dyDescent="0.3">
      <c r="I558" s="13"/>
    </row>
    <row r="559" spans="1:33" x14ac:dyDescent="0.3">
      <c r="I559" s="13"/>
    </row>
    <row r="560" spans="1:33" x14ac:dyDescent="0.3">
      <c r="I560" s="13"/>
    </row>
    <row r="561" spans="9:9" x14ac:dyDescent="0.3">
      <c r="I561" s="13"/>
    </row>
    <row r="562" spans="9:9" x14ac:dyDescent="0.3">
      <c r="I562" s="13"/>
    </row>
    <row r="563" spans="9:9" x14ac:dyDescent="0.3">
      <c r="I563" s="13"/>
    </row>
    <row r="564" spans="9:9" x14ac:dyDescent="0.3">
      <c r="I564" s="13"/>
    </row>
    <row r="565" spans="9:9" x14ac:dyDescent="0.3">
      <c r="I565" s="13"/>
    </row>
    <row r="566" spans="9:9" x14ac:dyDescent="0.3">
      <c r="I566" s="13"/>
    </row>
    <row r="567" spans="9:9" x14ac:dyDescent="0.3">
      <c r="I567" s="13"/>
    </row>
    <row r="568" spans="9:9" x14ac:dyDescent="0.3">
      <c r="I568" s="13"/>
    </row>
    <row r="569" spans="9:9" x14ac:dyDescent="0.3">
      <c r="I569" s="13"/>
    </row>
    <row r="570" spans="9:9" x14ac:dyDescent="0.3">
      <c r="I570" s="13"/>
    </row>
    <row r="571" spans="9:9" x14ac:dyDescent="0.3">
      <c r="I571" s="13"/>
    </row>
    <row r="572" spans="9:9" x14ac:dyDescent="0.3">
      <c r="I572" s="13"/>
    </row>
    <row r="573" spans="9:9" x14ac:dyDescent="0.3">
      <c r="I573" s="13"/>
    </row>
    <row r="574" spans="9:9" x14ac:dyDescent="0.3">
      <c r="I574" s="13"/>
    </row>
    <row r="575" spans="9:9" x14ac:dyDescent="0.3">
      <c r="I575" s="13"/>
    </row>
    <row r="576" spans="9:9" x14ac:dyDescent="0.3">
      <c r="I576" s="13"/>
    </row>
    <row r="577" spans="9:9" x14ac:dyDescent="0.3">
      <c r="I577" s="13"/>
    </row>
    <row r="578" spans="9:9" x14ac:dyDescent="0.3">
      <c r="I578" s="13"/>
    </row>
    <row r="579" spans="9:9" x14ac:dyDescent="0.3">
      <c r="I579" s="13"/>
    </row>
    <row r="580" spans="9:9" x14ac:dyDescent="0.3">
      <c r="I580" s="13"/>
    </row>
    <row r="581" spans="9:9" x14ac:dyDescent="0.3">
      <c r="I581" s="13"/>
    </row>
    <row r="582" spans="9:9" x14ac:dyDescent="0.3">
      <c r="I582" s="13"/>
    </row>
    <row r="583" spans="9:9" x14ac:dyDescent="0.3">
      <c r="I583" s="13"/>
    </row>
    <row r="584" spans="9:9" x14ac:dyDescent="0.3">
      <c r="I584" s="13"/>
    </row>
    <row r="585" spans="9:9" x14ac:dyDescent="0.3">
      <c r="I585" s="13"/>
    </row>
    <row r="586" spans="9:9" x14ac:dyDescent="0.3">
      <c r="I586" s="13"/>
    </row>
    <row r="587" spans="9:9" x14ac:dyDescent="0.3">
      <c r="I587" s="13"/>
    </row>
    <row r="588" spans="9:9" x14ac:dyDescent="0.3">
      <c r="I588" s="13"/>
    </row>
    <row r="589" spans="9:9" x14ac:dyDescent="0.3">
      <c r="I589" s="13"/>
    </row>
    <row r="590" spans="9:9" x14ac:dyDescent="0.3">
      <c r="I590" s="13"/>
    </row>
    <row r="591" spans="9:9" x14ac:dyDescent="0.3">
      <c r="I591" s="13"/>
    </row>
    <row r="592" spans="9:9" x14ac:dyDescent="0.3">
      <c r="I592" s="13"/>
    </row>
    <row r="593" spans="9:9" x14ac:dyDescent="0.3">
      <c r="I593" s="13"/>
    </row>
    <row r="594" spans="9:9" x14ac:dyDescent="0.3">
      <c r="I594" s="13"/>
    </row>
    <row r="595" spans="9:9" x14ac:dyDescent="0.3">
      <c r="I595" s="13"/>
    </row>
    <row r="596" spans="9:9" x14ac:dyDescent="0.3">
      <c r="I596" s="13"/>
    </row>
    <row r="597" spans="9:9" x14ac:dyDescent="0.3">
      <c r="I597" s="13"/>
    </row>
    <row r="598" spans="9:9" x14ac:dyDescent="0.3">
      <c r="I598" s="13"/>
    </row>
    <row r="599" spans="9:9" x14ac:dyDescent="0.3">
      <c r="I599" s="13"/>
    </row>
    <row r="600" spans="9:9" x14ac:dyDescent="0.3">
      <c r="I600" s="13"/>
    </row>
    <row r="601" spans="9:9" x14ac:dyDescent="0.3">
      <c r="I601" s="13"/>
    </row>
    <row r="602" spans="9:9" x14ac:dyDescent="0.3">
      <c r="I602" s="13"/>
    </row>
    <row r="603" spans="9:9" x14ac:dyDescent="0.3">
      <c r="I603" s="13"/>
    </row>
    <row r="604" spans="9:9" x14ac:dyDescent="0.3">
      <c r="I604" s="13"/>
    </row>
    <row r="605" spans="9:9" x14ac:dyDescent="0.3">
      <c r="I605" s="13"/>
    </row>
    <row r="606" spans="9:9" x14ac:dyDescent="0.3">
      <c r="I606" s="13"/>
    </row>
    <row r="607" spans="9:9" x14ac:dyDescent="0.3">
      <c r="I607" s="13"/>
    </row>
    <row r="608" spans="9:9" x14ac:dyDescent="0.3">
      <c r="I608" s="13"/>
    </row>
    <row r="609" spans="9:9" x14ac:dyDescent="0.3">
      <c r="I609" s="13"/>
    </row>
    <row r="610" spans="9:9" x14ac:dyDescent="0.3">
      <c r="I610" s="13"/>
    </row>
    <row r="611" spans="9:9" x14ac:dyDescent="0.3">
      <c r="I611" s="13"/>
    </row>
    <row r="612" spans="9:9" x14ac:dyDescent="0.3">
      <c r="I612" s="13"/>
    </row>
    <row r="613" spans="9:9" x14ac:dyDescent="0.3">
      <c r="I613" s="13"/>
    </row>
    <row r="614" spans="9:9" x14ac:dyDescent="0.3">
      <c r="I614" s="13"/>
    </row>
    <row r="615" spans="9:9" x14ac:dyDescent="0.3">
      <c r="I615" s="13"/>
    </row>
    <row r="616" spans="9:9" x14ac:dyDescent="0.3">
      <c r="I616" s="13"/>
    </row>
    <row r="617" spans="9:9" x14ac:dyDescent="0.3">
      <c r="I617" s="13"/>
    </row>
    <row r="618" spans="9:9" x14ac:dyDescent="0.3">
      <c r="I618" s="13"/>
    </row>
    <row r="619" spans="9:9" x14ac:dyDescent="0.3">
      <c r="I619" s="13"/>
    </row>
    <row r="620" spans="9:9" x14ac:dyDescent="0.3">
      <c r="I620" s="13"/>
    </row>
    <row r="621" spans="9:9" x14ac:dyDescent="0.3">
      <c r="I621" s="13"/>
    </row>
    <row r="622" spans="9:9" x14ac:dyDescent="0.3">
      <c r="I622" s="13"/>
    </row>
    <row r="623" spans="9:9" x14ac:dyDescent="0.3">
      <c r="I623" s="13"/>
    </row>
    <row r="624" spans="9:9" x14ac:dyDescent="0.3">
      <c r="I624" s="13"/>
    </row>
    <row r="625" spans="9:9" x14ac:dyDescent="0.3">
      <c r="I625" s="13"/>
    </row>
    <row r="626" spans="9:9" x14ac:dyDescent="0.3">
      <c r="I626" s="13"/>
    </row>
    <row r="627" spans="9:9" x14ac:dyDescent="0.3">
      <c r="I627" s="13"/>
    </row>
    <row r="628" spans="9:9" x14ac:dyDescent="0.3">
      <c r="I628" s="13"/>
    </row>
    <row r="629" spans="9:9" x14ac:dyDescent="0.3">
      <c r="I629" s="13"/>
    </row>
    <row r="630" spans="9:9" x14ac:dyDescent="0.3">
      <c r="I630" s="13"/>
    </row>
    <row r="631" spans="9:9" x14ac:dyDescent="0.3">
      <c r="I631" s="13"/>
    </row>
    <row r="632" spans="9:9" x14ac:dyDescent="0.3">
      <c r="I632" s="13"/>
    </row>
    <row r="633" spans="9:9" x14ac:dyDescent="0.3">
      <c r="I633" s="13"/>
    </row>
    <row r="634" spans="9:9" x14ac:dyDescent="0.3">
      <c r="I634" s="13"/>
    </row>
    <row r="635" spans="9:9" x14ac:dyDescent="0.3">
      <c r="I635" s="13"/>
    </row>
    <row r="636" spans="9:9" x14ac:dyDescent="0.3">
      <c r="I636" s="13"/>
    </row>
    <row r="637" spans="9:9" x14ac:dyDescent="0.3">
      <c r="I637" s="13"/>
    </row>
    <row r="638" spans="9:9" x14ac:dyDescent="0.3">
      <c r="I638" s="13"/>
    </row>
    <row r="639" spans="9:9" x14ac:dyDescent="0.3">
      <c r="I639" s="13"/>
    </row>
    <row r="640" spans="9:9" x14ac:dyDescent="0.3">
      <c r="I640" s="13"/>
    </row>
    <row r="641" spans="9:9" x14ac:dyDescent="0.3">
      <c r="I641" s="13"/>
    </row>
    <row r="642" spans="9:9" x14ac:dyDescent="0.3">
      <c r="I642" s="13"/>
    </row>
    <row r="643" spans="9:9" x14ac:dyDescent="0.3">
      <c r="I643" s="13"/>
    </row>
    <row r="644" spans="9:9" x14ac:dyDescent="0.3">
      <c r="I644" s="13"/>
    </row>
    <row r="645" spans="9:9" x14ac:dyDescent="0.3">
      <c r="I645" s="13"/>
    </row>
    <row r="646" spans="9:9" x14ac:dyDescent="0.3">
      <c r="I646" s="13"/>
    </row>
    <row r="647" spans="9:9" x14ac:dyDescent="0.3">
      <c r="I647" s="13"/>
    </row>
    <row r="648" spans="9:9" x14ac:dyDescent="0.3">
      <c r="I648" s="13"/>
    </row>
    <row r="649" spans="9:9" x14ac:dyDescent="0.3">
      <c r="I649" s="13"/>
    </row>
    <row r="650" spans="9:9" x14ac:dyDescent="0.3">
      <c r="I650" s="13"/>
    </row>
    <row r="651" spans="9:9" x14ac:dyDescent="0.3">
      <c r="I651" s="13"/>
    </row>
    <row r="652" spans="9:9" x14ac:dyDescent="0.3">
      <c r="I652" s="13"/>
    </row>
    <row r="653" spans="9:9" x14ac:dyDescent="0.3">
      <c r="I653" s="13"/>
    </row>
    <row r="654" spans="9:9" x14ac:dyDescent="0.3">
      <c r="I654" s="13"/>
    </row>
    <row r="655" spans="9:9" x14ac:dyDescent="0.3">
      <c r="I655" s="13"/>
    </row>
    <row r="656" spans="9:9" x14ac:dyDescent="0.3">
      <c r="I656" s="13"/>
    </row>
    <row r="657" spans="9:9" x14ac:dyDescent="0.3">
      <c r="I657" s="13"/>
    </row>
    <row r="658" spans="9:9" x14ac:dyDescent="0.3">
      <c r="I658" s="13"/>
    </row>
    <row r="659" spans="9:9" x14ac:dyDescent="0.3">
      <c r="I659" s="13"/>
    </row>
    <row r="660" spans="9:9" x14ac:dyDescent="0.3">
      <c r="I660" s="13"/>
    </row>
    <row r="661" spans="9:9" x14ac:dyDescent="0.3">
      <c r="I661" s="13"/>
    </row>
    <row r="662" spans="9:9" x14ac:dyDescent="0.3">
      <c r="I662" s="13"/>
    </row>
    <row r="663" spans="9:9" x14ac:dyDescent="0.3">
      <c r="I663" s="13"/>
    </row>
    <row r="664" spans="9:9" x14ac:dyDescent="0.3">
      <c r="I664" s="13"/>
    </row>
    <row r="665" spans="9:9" x14ac:dyDescent="0.3">
      <c r="I665" s="13"/>
    </row>
    <row r="666" spans="9:9" x14ac:dyDescent="0.3">
      <c r="I666" s="13"/>
    </row>
    <row r="667" spans="9:9" x14ac:dyDescent="0.3">
      <c r="I667" s="13"/>
    </row>
    <row r="668" spans="9:9" x14ac:dyDescent="0.3">
      <c r="I668" s="13"/>
    </row>
    <row r="669" spans="9:9" x14ac:dyDescent="0.3">
      <c r="I669" s="13"/>
    </row>
    <row r="670" spans="9:9" x14ac:dyDescent="0.3">
      <c r="I670" s="13"/>
    </row>
    <row r="671" spans="9:9" x14ac:dyDescent="0.3">
      <c r="I671" s="13"/>
    </row>
    <row r="672" spans="9:9" x14ac:dyDescent="0.3">
      <c r="I672" s="13"/>
    </row>
    <row r="673" spans="9:9" x14ac:dyDescent="0.3">
      <c r="I673" s="13"/>
    </row>
    <row r="674" spans="9:9" x14ac:dyDescent="0.3">
      <c r="I674" s="13"/>
    </row>
    <row r="675" spans="9:9" x14ac:dyDescent="0.3">
      <c r="I675" s="13"/>
    </row>
    <row r="676" spans="9:9" x14ac:dyDescent="0.3">
      <c r="I676" s="13"/>
    </row>
    <row r="677" spans="9:9" x14ac:dyDescent="0.3">
      <c r="I677" s="13"/>
    </row>
    <row r="678" spans="9:9" x14ac:dyDescent="0.3">
      <c r="I678" s="13"/>
    </row>
    <row r="679" spans="9:9" x14ac:dyDescent="0.3">
      <c r="I679" s="13"/>
    </row>
    <row r="680" spans="9:9" x14ac:dyDescent="0.3">
      <c r="I680" s="13"/>
    </row>
    <row r="681" spans="9:9" x14ac:dyDescent="0.3">
      <c r="I681" s="13"/>
    </row>
    <row r="682" spans="9:9" x14ac:dyDescent="0.3">
      <c r="I682" s="13"/>
    </row>
    <row r="683" spans="9:9" x14ac:dyDescent="0.3">
      <c r="I683" s="13"/>
    </row>
    <row r="684" spans="9:9" x14ac:dyDescent="0.3">
      <c r="I684" s="13"/>
    </row>
    <row r="685" spans="9:9" x14ac:dyDescent="0.3">
      <c r="I685" s="13"/>
    </row>
    <row r="686" spans="9:9" x14ac:dyDescent="0.3">
      <c r="I686" s="13"/>
    </row>
    <row r="687" spans="9:9" x14ac:dyDescent="0.3">
      <c r="I687" s="13"/>
    </row>
    <row r="688" spans="9:9" x14ac:dyDescent="0.3">
      <c r="I688" s="13"/>
    </row>
    <row r="689" spans="9:9" x14ac:dyDescent="0.3">
      <c r="I689" s="13"/>
    </row>
    <row r="690" spans="9:9" x14ac:dyDescent="0.3">
      <c r="I690" s="13"/>
    </row>
    <row r="691" spans="9:9" x14ac:dyDescent="0.3">
      <c r="I691" s="13"/>
    </row>
    <row r="692" spans="9:9" x14ac:dyDescent="0.3">
      <c r="I692" s="13"/>
    </row>
    <row r="693" spans="9:9" x14ac:dyDescent="0.3">
      <c r="I693" s="13"/>
    </row>
    <row r="694" spans="9:9" x14ac:dyDescent="0.3">
      <c r="I694" s="13"/>
    </row>
    <row r="695" spans="9:9" x14ac:dyDescent="0.3">
      <c r="I695" s="13"/>
    </row>
    <row r="696" spans="9:9" x14ac:dyDescent="0.3">
      <c r="I696" s="13"/>
    </row>
    <row r="697" spans="9:9" x14ac:dyDescent="0.3">
      <c r="I697" s="13"/>
    </row>
    <row r="698" spans="9:9" x14ac:dyDescent="0.3">
      <c r="I698" s="13"/>
    </row>
    <row r="699" spans="9:9" x14ac:dyDescent="0.3">
      <c r="I699" s="13"/>
    </row>
    <row r="700" spans="9:9" x14ac:dyDescent="0.3">
      <c r="I700" s="13"/>
    </row>
    <row r="701" spans="9:9" x14ac:dyDescent="0.3">
      <c r="I701" s="13"/>
    </row>
    <row r="702" spans="9:9" x14ac:dyDescent="0.3">
      <c r="I702" s="13"/>
    </row>
    <row r="703" spans="9:9" x14ac:dyDescent="0.3">
      <c r="I703" s="13"/>
    </row>
    <row r="704" spans="9:9" x14ac:dyDescent="0.3">
      <c r="I704" s="13"/>
    </row>
    <row r="705" spans="9:9" x14ac:dyDescent="0.3">
      <c r="I705" s="13"/>
    </row>
    <row r="706" spans="9:9" x14ac:dyDescent="0.3">
      <c r="I706" s="13"/>
    </row>
    <row r="707" spans="9:9" x14ac:dyDescent="0.3">
      <c r="I707" s="13"/>
    </row>
    <row r="708" spans="9:9" x14ac:dyDescent="0.3">
      <c r="I708" s="13"/>
    </row>
    <row r="709" spans="9:9" x14ac:dyDescent="0.3">
      <c r="I709" s="13"/>
    </row>
    <row r="710" spans="9:9" x14ac:dyDescent="0.3">
      <c r="I710" s="13"/>
    </row>
    <row r="711" spans="9:9" x14ac:dyDescent="0.3">
      <c r="I711" s="13"/>
    </row>
    <row r="712" spans="9:9" x14ac:dyDescent="0.3">
      <c r="I712" s="13"/>
    </row>
    <row r="713" spans="9:9" x14ac:dyDescent="0.3">
      <c r="I713" s="13"/>
    </row>
    <row r="714" spans="9:9" x14ac:dyDescent="0.3">
      <c r="I714" s="13"/>
    </row>
    <row r="715" spans="9:9" x14ac:dyDescent="0.3">
      <c r="I715" s="13"/>
    </row>
    <row r="716" spans="9:9" x14ac:dyDescent="0.3">
      <c r="I716" s="13"/>
    </row>
    <row r="717" spans="9:9" x14ac:dyDescent="0.3">
      <c r="I717" s="13"/>
    </row>
    <row r="718" spans="9:9" x14ac:dyDescent="0.3">
      <c r="I718" s="13"/>
    </row>
    <row r="719" spans="9:9" x14ac:dyDescent="0.3">
      <c r="I719" s="13"/>
    </row>
    <row r="720" spans="9:9" x14ac:dyDescent="0.3">
      <c r="I720" s="13"/>
    </row>
    <row r="721" spans="9:9" x14ac:dyDescent="0.3">
      <c r="I721" s="13"/>
    </row>
    <row r="722" spans="9:9" x14ac:dyDescent="0.3">
      <c r="I722" s="13"/>
    </row>
    <row r="723" spans="9:9" x14ac:dyDescent="0.3">
      <c r="I723" s="13"/>
    </row>
    <row r="724" spans="9:9" x14ac:dyDescent="0.3">
      <c r="I724" s="13"/>
    </row>
    <row r="725" spans="9:9" x14ac:dyDescent="0.3">
      <c r="I725" s="13"/>
    </row>
    <row r="726" spans="9:9" x14ac:dyDescent="0.3">
      <c r="I726" s="13"/>
    </row>
    <row r="727" spans="9:9" x14ac:dyDescent="0.3">
      <c r="I727" s="13"/>
    </row>
    <row r="728" spans="9:9" x14ac:dyDescent="0.3">
      <c r="I728" s="13"/>
    </row>
    <row r="729" spans="9:9" x14ac:dyDescent="0.3">
      <c r="I729" s="13"/>
    </row>
    <row r="730" spans="9:9" x14ac:dyDescent="0.3">
      <c r="I730" s="13"/>
    </row>
    <row r="731" spans="9:9" x14ac:dyDescent="0.3">
      <c r="I731" s="13"/>
    </row>
    <row r="732" spans="9:9" x14ac:dyDescent="0.3">
      <c r="I732" s="13"/>
    </row>
    <row r="733" spans="9:9" x14ac:dyDescent="0.3">
      <c r="I733" s="13"/>
    </row>
    <row r="734" spans="9:9" x14ac:dyDescent="0.3">
      <c r="I734" s="13"/>
    </row>
    <row r="735" spans="9:9" x14ac:dyDescent="0.3">
      <c r="I735" s="13"/>
    </row>
    <row r="736" spans="9:9" x14ac:dyDescent="0.3">
      <c r="I736" s="13"/>
    </row>
    <row r="737" spans="9:9" x14ac:dyDescent="0.3">
      <c r="I737" s="13"/>
    </row>
    <row r="738" spans="9:9" x14ac:dyDescent="0.3">
      <c r="I738" s="13"/>
    </row>
    <row r="739" spans="9:9" x14ac:dyDescent="0.3">
      <c r="I739" s="13"/>
    </row>
    <row r="740" spans="9:9" x14ac:dyDescent="0.3">
      <c r="I740" s="13"/>
    </row>
    <row r="741" spans="9:9" x14ac:dyDescent="0.3">
      <c r="I741" s="13"/>
    </row>
    <row r="742" spans="9:9" x14ac:dyDescent="0.3">
      <c r="I742" s="13"/>
    </row>
    <row r="743" spans="9:9" x14ac:dyDescent="0.3">
      <c r="I743" s="13"/>
    </row>
    <row r="744" spans="9:9" x14ac:dyDescent="0.3">
      <c r="I744" s="13"/>
    </row>
    <row r="745" spans="9:9" x14ac:dyDescent="0.3">
      <c r="I745" s="13"/>
    </row>
    <row r="746" spans="9:9" x14ac:dyDescent="0.3">
      <c r="I746" s="13"/>
    </row>
    <row r="747" spans="9:9" x14ac:dyDescent="0.3">
      <c r="I747" s="13"/>
    </row>
    <row r="748" spans="9:9" x14ac:dyDescent="0.3">
      <c r="I748" s="13"/>
    </row>
    <row r="749" spans="9:9" x14ac:dyDescent="0.3">
      <c r="I749" s="13"/>
    </row>
    <row r="750" spans="9:9" x14ac:dyDescent="0.3">
      <c r="I750" s="13"/>
    </row>
    <row r="751" spans="9:9" x14ac:dyDescent="0.3">
      <c r="I751" s="13"/>
    </row>
    <row r="752" spans="9:9" x14ac:dyDescent="0.3">
      <c r="I752" s="13"/>
    </row>
    <row r="753" spans="9:9" x14ac:dyDescent="0.3">
      <c r="I753" s="13"/>
    </row>
    <row r="754" spans="9:9" x14ac:dyDescent="0.3">
      <c r="I754" s="13"/>
    </row>
    <row r="755" spans="9:9" x14ac:dyDescent="0.3">
      <c r="I755" s="13"/>
    </row>
    <row r="756" spans="9:9" x14ac:dyDescent="0.3">
      <c r="I756" s="13"/>
    </row>
    <row r="757" spans="9:9" x14ac:dyDescent="0.3">
      <c r="I757" s="13"/>
    </row>
    <row r="758" spans="9:9" x14ac:dyDescent="0.3">
      <c r="I758" s="13"/>
    </row>
    <row r="759" spans="9:9" x14ac:dyDescent="0.3">
      <c r="I759" s="13"/>
    </row>
    <row r="760" spans="9:9" x14ac:dyDescent="0.3">
      <c r="I760" s="13"/>
    </row>
    <row r="761" spans="9:9" x14ac:dyDescent="0.3">
      <c r="I761" s="13"/>
    </row>
    <row r="762" spans="9:9" x14ac:dyDescent="0.3">
      <c r="I762" s="13"/>
    </row>
    <row r="763" spans="9:9" x14ac:dyDescent="0.3">
      <c r="I763" s="13"/>
    </row>
    <row r="764" spans="9:9" x14ac:dyDescent="0.3">
      <c r="I764" s="13"/>
    </row>
    <row r="765" spans="9:9" x14ac:dyDescent="0.3">
      <c r="I765" s="13"/>
    </row>
    <row r="766" spans="9:9" x14ac:dyDescent="0.3">
      <c r="I766" s="13"/>
    </row>
    <row r="767" spans="9:9" x14ac:dyDescent="0.3">
      <c r="I767" s="13"/>
    </row>
    <row r="768" spans="9:9" x14ac:dyDescent="0.3">
      <c r="I768" s="13"/>
    </row>
    <row r="769" spans="9:9" x14ac:dyDescent="0.3">
      <c r="I769" s="13"/>
    </row>
    <row r="770" spans="9:9" x14ac:dyDescent="0.3">
      <c r="I770" s="13"/>
    </row>
    <row r="771" spans="9:9" x14ac:dyDescent="0.3">
      <c r="I771" s="13"/>
    </row>
    <row r="772" spans="9:9" x14ac:dyDescent="0.3">
      <c r="I772" s="13"/>
    </row>
    <row r="773" spans="9:9" x14ac:dyDescent="0.3">
      <c r="I773" s="13"/>
    </row>
    <row r="774" spans="9:9" x14ac:dyDescent="0.3">
      <c r="I774" s="13"/>
    </row>
    <row r="775" spans="9:9" x14ac:dyDescent="0.3">
      <c r="I775" s="13"/>
    </row>
    <row r="776" spans="9:9" x14ac:dyDescent="0.3">
      <c r="I776" s="13"/>
    </row>
    <row r="777" spans="9:9" x14ac:dyDescent="0.3">
      <c r="I777" s="13"/>
    </row>
    <row r="778" spans="9:9" x14ac:dyDescent="0.3">
      <c r="I778" s="13"/>
    </row>
    <row r="779" spans="9:9" x14ac:dyDescent="0.3">
      <c r="I779" s="13"/>
    </row>
    <row r="780" spans="9:9" x14ac:dyDescent="0.3">
      <c r="I780" s="13"/>
    </row>
    <row r="781" spans="9:9" x14ac:dyDescent="0.3">
      <c r="I781" s="13"/>
    </row>
    <row r="782" spans="9:9" x14ac:dyDescent="0.3">
      <c r="I782" s="13"/>
    </row>
    <row r="783" spans="9:9" x14ac:dyDescent="0.3">
      <c r="I783" s="13"/>
    </row>
    <row r="784" spans="9:9" x14ac:dyDescent="0.3">
      <c r="I784" s="13"/>
    </row>
    <row r="785" spans="9:9" x14ac:dyDescent="0.3">
      <c r="I785" s="13"/>
    </row>
    <row r="786" spans="9:9" x14ac:dyDescent="0.3">
      <c r="I786" s="13"/>
    </row>
    <row r="787" spans="9:9" x14ac:dyDescent="0.3">
      <c r="I787" s="13"/>
    </row>
    <row r="788" spans="9:9" x14ac:dyDescent="0.3">
      <c r="I788" s="13"/>
    </row>
    <row r="789" spans="9:9" x14ac:dyDescent="0.3">
      <c r="I789" s="13"/>
    </row>
    <row r="790" spans="9:9" x14ac:dyDescent="0.3">
      <c r="I790" s="13"/>
    </row>
    <row r="791" spans="9:9" x14ac:dyDescent="0.3">
      <c r="I791" s="13"/>
    </row>
    <row r="792" spans="9:9" x14ac:dyDescent="0.3">
      <c r="I792" s="13"/>
    </row>
    <row r="793" spans="9:9" x14ac:dyDescent="0.3">
      <c r="I793" s="13"/>
    </row>
    <row r="794" spans="9:9" x14ac:dyDescent="0.3">
      <c r="I794" s="13"/>
    </row>
    <row r="795" spans="9:9" x14ac:dyDescent="0.3">
      <c r="I795" s="13"/>
    </row>
    <row r="796" spans="9:9" x14ac:dyDescent="0.3">
      <c r="I796" s="13"/>
    </row>
    <row r="797" spans="9:9" x14ac:dyDescent="0.3">
      <c r="I797" s="13"/>
    </row>
    <row r="798" spans="9:9" x14ac:dyDescent="0.3">
      <c r="I798" s="13"/>
    </row>
    <row r="799" spans="9:9" x14ac:dyDescent="0.3">
      <c r="I799" s="13"/>
    </row>
    <row r="800" spans="9:9" x14ac:dyDescent="0.3">
      <c r="I800" s="13"/>
    </row>
    <row r="801" spans="9:9" x14ac:dyDescent="0.3">
      <c r="I801" s="13"/>
    </row>
    <row r="802" spans="9:9" x14ac:dyDescent="0.3">
      <c r="I802" s="13"/>
    </row>
    <row r="803" spans="9:9" x14ac:dyDescent="0.3">
      <c r="I803" s="13"/>
    </row>
    <row r="804" spans="9:9" x14ac:dyDescent="0.3">
      <c r="I804" s="13"/>
    </row>
    <row r="805" spans="9:9" x14ac:dyDescent="0.3">
      <c r="I805" s="13"/>
    </row>
    <row r="806" spans="9:9" x14ac:dyDescent="0.3">
      <c r="I806" s="13"/>
    </row>
    <row r="807" spans="9:9" x14ac:dyDescent="0.3">
      <c r="I807" s="13"/>
    </row>
    <row r="808" spans="9:9" x14ac:dyDescent="0.3">
      <c r="I808" s="13"/>
    </row>
    <row r="809" spans="9:9" x14ac:dyDescent="0.3">
      <c r="I809" s="13"/>
    </row>
    <row r="810" spans="9:9" x14ac:dyDescent="0.3">
      <c r="I810" s="13"/>
    </row>
    <row r="811" spans="9:9" x14ac:dyDescent="0.3">
      <c r="I811" s="13"/>
    </row>
    <row r="812" spans="9:9" x14ac:dyDescent="0.3">
      <c r="I812" s="13"/>
    </row>
    <row r="813" spans="9:9" x14ac:dyDescent="0.3">
      <c r="I813" s="13"/>
    </row>
    <row r="814" spans="9:9" x14ac:dyDescent="0.3">
      <c r="I814" s="13"/>
    </row>
    <row r="815" spans="9:9" x14ac:dyDescent="0.3">
      <c r="I815" s="13"/>
    </row>
    <row r="816" spans="9:9" x14ac:dyDescent="0.3">
      <c r="I816" s="13"/>
    </row>
    <row r="817" spans="9:9" x14ac:dyDescent="0.3">
      <c r="I817" s="13"/>
    </row>
    <row r="818" spans="9:9" x14ac:dyDescent="0.3">
      <c r="I818" s="13"/>
    </row>
    <row r="819" spans="9:9" x14ac:dyDescent="0.3">
      <c r="I819" s="13"/>
    </row>
    <row r="820" spans="9:9" x14ac:dyDescent="0.3">
      <c r="I820" s="13"/>
    </row>
    <row r="821" spans="9:9" x14ac:dyDescent="0.3">
      <c r="I821" s="13"/>
    </row>
    <row r="822" spans="9:9" x14ac:dyDescent="0.3">
      <c r="I822" s="13"/>
    </row>
    <row r="823" spans="9:9" x14ac:dyDescent="0.3">
      <c r="I823" s="13"/>
    </row>
    <row r="824" spans="9:9" x14ac:dyDescent="0.3">
      <c r="I824" s="13"/>
    </row>
    <row r="825" spans="9:9" x14ac:dyDescent="0.3">
      <c r="I825" s="13"/>
    </row>
    <row r="826" spans="9:9" x14ac:dyDescent="0.3">
      <c r="I826" s="13"/>
    </row>
    <row r="827" spans="9:9" x14ac:dyDescent="0.3">
      <c r="I827" s="13"/>
    </row>
    <row r="828" spans="9:9" x14ac:dyDescent="0.3">
      <c r="I828" s="13"/>
    </row>
    <row r="829" spans="9:9" x14ac:dyDescent="0.3">
      <c r="I829" s="13"/>
    </row>
    <row r="830" spans="9:9" x14ac:dyDescent="0.3">
      <c r="I830" s="13"/>
    </row>
    <row r="831" spans="9:9" x14ac:dyDescent="0.3">
      <c r="I831" s="13"/>
    </row>
    <row r="832" spans="9:9" x14ac:dyDescent="0.3">
      <c r="I832" s="13"/>
    </row>
    <row r="833" spans="9:9" x14ac:dyDescent="0.3">
      <c r="I833" s="13"/>
    </row>
    <row r="834" spans="9:9" x14ac:dyDescent="0.3">
      <c r="I834" s="13"/>
    </row>
    <row r="835" spans="9:9" x14ac:dyDescent="0.3">
      <c r="I835" s="13"/>
    </row>
    <row r="836" spans="9:9" x14ac:dyDescent="0.3">
      <c r="I836" s="13"/>
    </row>
    <row r="837" spans="9:9" x14ac:dyDescent="0.3">
      <c r="I837" s="13"/>
    </row>
    <row r="838" spans="9:9" x14ac:dyDescent="0.3">
      <c r="I838" s="13"/>
    </row>
    <row r="839" spans="9:9" x14ac:dyDescent="0.3">
      <c r="I839" s="13"/>
    </row>
    <row r="840" spans="9:9" x14ac:dyDescent="0.3">
      <c r="I840" s="13"/>
    </row>
    <row r="841" spans="9:9" x14ac:dyDescent="0.3">
      <c r="I841" s="13"/>
    </row>
    <row r="842" spans="9:9" x14ac:dyDescent="0.3">
      <c r="I842" s="13"/>
    </row>
    <row r="843" spans="9:9" x14ac:dyDescent="0.3">
      <c r="I843" s="13"/>
    </row>
    <row r="844" spans="9:9" x14ac:dyDescent="0.3">
      <c r="I844" s="13"/>
    </row>
    <row r="845" spans="9:9" x14ac:dyDescent="0.3">
      <c r="I845" s="13"/>
    </row>
    <row r="846" spans="9:9" x14ac:dyDescent="0.3">
      <c r="I846" s="13"/>
    </row>
    <row r="847" spans="9:9" x14ac:dyDescent="0.3">
      <c r="I847" s="13"/>
    </row>
    <row r="848" spans="9:9" x14ac:dyDescent="0.3">
      <c r="I848" s="13"/>
    </row>
    <row r="849" spans="9:9" x14ac:dyDescent="0.3">
      <c r="I849" s="13"/>
    </row>
    <row r="850" spans="9:9" x14ac:dyDescent="0.3">
      <c r="I850" s="13"/>
    </row>
    <row r="851" spans="9:9" x14ac:dyDescent="0.3">
      <c r="I851" s="13"/>
    </row>
    <row r="852" spans="9:9" x14ac:dyDescent="0.3">
      <c r="I852" s="13"/>
    </row>
    <row r="853" spans="9:9" x14ac:dyDescent="0.3">
      <c r="I853" s="13"/>
    </row>
    <row r="854" spans="9:9" x14ac:dyDescent="0.3">
      <c r="I854" s="13"/>
    </row>
    <row r="855" spans="9:9" x14ac:dyDescent="0.3">
      <c r="I855" s="13"/>
    </row>
    <row r="856" spans="9:9" x14ac:dyDescent="0.3">
      <c r="I856" s="13"/>
    </row>
    <row r="857" spans="9:9" x14ac:dyDescent="0.3">
      <c r="I857" s="13"/>
    </row>
    <row r="858" spans="9:9" x14ac:dyDescent="0.3">
      <c r="I858" s="13"/>
    </row>
    <row r="859" spans="9:9" x14ac:dyDescent="0.3">
      <c r="I859" s="13"/>
    </row>
    <row r="860" spans="9:9" x14ac:dyDescent="0.3">
      <c r="I860" s="13"/>
    </row>
    <row r="861" spans="9:9" x14ac:dyDescent="0.3">
      <c r="I861" s="13"/>
    </row>
    <row r="862" spans="9:9" x14ac:dyDescent="0.3">
      <c r="I862" s="13"/>
    </row>
    <row r="863" spans="9:9" x14ac:dyDescent="0.3">
      <c r="I863" s="13"/>
    </row>
    <row r="864" spans="9:9" x14ac:dyDescent="0.3">
      <c r="I864" s="13"/>
    </row>
    <row r="865" spans="9:9" x14ac:dyDescent="0.3">
      <c r="I865" s="13"/>
    </row>
    <row r="866" spans="9:9" x14ac:dyDescent="0.3">
      <c r="I866" s="13"/>
    </row>
    <row r="867" spans="9:9" x14ac:dyDescent="0.3">
      <c r="I867" s="13"/>
    </row>
    <row r="868" spans="9:9" x14ac:dyDescent="0.3">
      <c r="I868" s="13"/>
    </row>
    <row r="869" spans="9:9" x14ac:dyDescent="0.3">
      <c r="I869" s="13"/>
    </row>
    <row r="870" spans="9:9" x14ac:dyDescent="0.3">
      <c r="I870" s="13"/>
    </row>
    <row r="871" spans="9:9" x14ac:dyDescent="0.3">
      <c r="I871" s="13"/>
    </row>
    <row r="872" spans="9:9" x14ac:dyDescent="0.3">
      <c r="I872" s="13"/>
    </row>
    <row r="873" spans="9:9" x14ac:dyDescent="0.3">
      <c r="I873" s="13"/>
    </row>
    <row r="874" spans="9:9" x14ac:dyDescent="0.3">
      <c r="I874" s="13"/>
    </row>
    <row r="875" spans="9:9" x14ac:dyDescent="0.3">
      <c r="I875" s="13"/>
    </row>
    <row r="876" spans="9:9" x14ac:dyDescent="0.3">
      <c r="I876" s="13"/>
    </row>
    <row r="877" spans="9:9" x14ac:dyDescent="0.3">
      <c r="I877" s="13"/>
    </row>
    <row r="878" spans="9:9" x14ac:dyDescent="0.3">
      <c r="I878" s="13"/>
    </row>
    <row r="879" spans="9:9" x14ac:dyDescent="0.3">
      <c r="I879" s="13"/>
    </row>
    <row r="880" spans="9:9" x14ac:dyDescent="0.3">
      <c r="I880" s="13"/>
    </row>
    <row r="881" spans="9:9" x14ac:dyDescent="0.3">
      <c r="I881" s="13"/>
    </row>
    <row r="882" spans="9:9" x14ac:dyDescent="0.3">
      <c r="I882" s="13"/>
    </row>
    <row r="883" spans="9:9" x14ac:dyDescent="0.3">
      <c r="I883" s="13"/>
    </row>
    <row r="884" spans="9:9" x14ac:dyDescent="0.3">
      <c r="I884" s="13"/>
    </row>
    <row r="885" spans="9:9" x14ac:dyDescent="0.3">
      <c r="I885" s="13"/>
    </row>
    <row r="886" spans="9:9" x14ac:dyDescent="0.3">
      <c r="I886" s="13"/>
    </row>
    <row r="887" spans="9:9" x14ac:dyDescent="0.3">
      <c r="I887" s="13"/>
    </row>
    <row r="888" spans="9:9" x14ac:dyDescent="0.3">
      <c r="I888" s="13"/>
    </row>
    <row r="889" spans="9:9" x14ac:dyDescent="0.3">
      <c r="I889" s="13"/>
    </row>
    <row r="890" spans="9:9" x14ac:dyDescent="0.3">
      <c r="I890" s="13"/>
    </row>
    <row r="891" spans="9:9" x14ac:dyDescent="0.3">
      <c r="I891" s="13"/>
    </row>
    <row r="892" spans="9:9" x14ac:dyDescent="0.3">
      <c r="I892" s="13"/>
    </row>
    <row r="893" spans="9:9" x14ac:dyDescent="0.3">
      <c r="I893" s="13"/>
    </row>
    <row r="894" spans="9:9" x14ac:dyDescent="0.3">
      <c r="I894" s="13"/>
    </row>
    <row r="895" spans="9:9" x14ac:dyDescent="0.3">
      <c r="I895" s="13"/>
    </row>
    <row r="896" spans="9:9" x14ac:dyDescent="0.3">
      <c r="I896" s="13"/>
    </row>
    <row r="897" spans="9:9" x14ac:dyDescent="0.3">
      <c r="I897" s="13"/>
    </row>
    <row r="898" spans="9:9" x14ac:dyDescent="0.3">
      <c r="I898" s="13"/>
    </row>
    <row r="899" spans="9:9" x14ac:dyDescent="0.3">
      <c r="I899" s="13"/>
    </row>
    <row r="900" spans="9:9" x14ac:dyDescent="0.3">
      <c r="I900" s="13"/>
    </row>
    <row r="901" spans="9:9" x14ac:dyDescent="0.3">
      <c r="I901" s="13"/>
    </row>
    <row r="902" spans="9:9" x14ac:dyDescent="0.3">
      <c r="I902" s="13"/>
    </row>
    <row r="903" spans="9:9" x14ac:dyDescent="0.3">
      <c r="I903" s="13"/>
    </row>
    <row r="904" spans="9:9" x14ac:dyDescent="0.3">
      <c r="I904" s="13"/>
    </row>
    <row r="905" spans="9:9" x14ac:dyDescent="0.3">
      <c r="I905" s="13"/>
    </row>
    <row r="906" spans="9:9" x14ac:dyDescent="0.3">
      <c r="I906" s="13"/>
    </row>
    <row r="907" spans="9:9" x14ac:dyDescent="0.3">
      <c r="I907" s="13"/>
    </row>
    <row r="908" spans="9:9" x14ac:dyDescent="0.3">
      <c r="I908" s="13"/>
    </row>
    <row r="909" spans="9:9" x14ac:dyDescent="0.3">
      <c r="I909" s="13"/>
    </row>
    <row r="910" spans="9:9" x14ac:dyDescent="0.3">
      <c r="I910" s="13"/>
    </row>
    <row r="911" spans="9:9" x14ac:dyDescent="0.3">
      <c r="I911" s="13"/>
    </row>
    <row r="912" spans="9:9" x14ac:dyDescent="0.3">
      <c r="I912" s="13"/>
    </row>
    <row r="913" spans="9:9" x14ac:dyDescent="0.3">
      <c r="I913" s="13"/>
    </row>
    <row r="914" spans="9:9" x14ac:dyDescent="0.3">
      <c r="I914" s="13"/>
    </row>
    <row r="915" spans="9:9" x14ac:dyDescent="0.3">
      <c r="I915" s="13"/>
    </row>
    <row r="916" spans="9:9" x14ac:dyDescent="0.3">
      <c r="I916" s="13"/>
    </row>
    <row r="917" spans="9:9" x14ac:dyDescent="0.3">
      <c r="I917" s="13"/>
    </row>
    <row r="918" spans="9:9" x14ac:dyDescent="0.3">
      <c r="I918" s="13"/>
    </row>
    <row r="919" spans="9:9" x14ac:dyDescent="0.3">
      <c r="I919" s="13"/>
    </row>
    <row r="920" spans="9:9" x14ac:dyDescent="0.3">
      <c r="I920" s="13"/>
    </row>
    <row r="921" spans="9:9" x14ac:dyDescent="0.3">
      <c r="I921" s="13"/>
    </row>
    <row r="922" spans="9:9" x14ac:dyDescent="0.3">
      <c r="I922" s="13"/>
    </row>
    <row r="923" spans="9:9" x14ac:dyDescent="0.3">
      <c r="I923" s="13"/>
    </row>
    <row r="924" spans="9:9" x14ac:dyDescent="0.3">
      <c r="I924" s="13"/>
    </row>
    <row r="925" spans="9:9" x14ac:dyDescent="0.3">
      <c r="I925" s="13"/>
    </row>
    <row r="926" spans="9:9" x14ac:dyDescent="0.3">
      <c r="I926" s="13"/>
    </row>
    <row r="927" spans="9:9" x14ac:dyDescent="0.3">
      <c r="I927" s="13"/>
    </row>
    <row r="928" spans="9:9" x14ac:dyDescent="0.3">
      <c r="I928" s="13"/>
    </row>
    <row r="929" spans="9:9" x14ac:dyDescent="0.3">
      <c r="I929" s="13"/>
    </row>
    <row r="930" spans="9:9" x14ac:dyDescent="0.3">
      <c r="I930" s="13"/>
    </row>
    <row r="931" spans="9:9" x14ac:dyDescent="0.3">
      <c r="I931" s="13"/>
    </row>
    <row r="932" spans="9:9" x14ac:dyDescent="0.3">
      <c r="I932" s="13"/>
    </row>
    <row r="933" spans="9:9" x14ac:dyDescent="0.3">
      <c r="I933" s="13"/>
    </row>
    <row r="934" spans="9:9" x14ac:dyDescent="0.3">
      <c r="I934" s="13"/>
    </row>
    <row r="935" spans="9:9" x14ac:dyDescent="0.3">
      <c r="I935" s="13"/>
    </row>
    <row r="936" spans="9:9" x14ac:dyDescent="0.3">
      <c r="I936" s="13"/>
    </row>
    <row r="937" spans="9:9" x14ac:dyDescent="0.3">
      <c r="I937" s="13"/>
    </row>
    <row r="938" spans="9:9" x14ac:dyDescent="0.3">
      <c r="I938" s="13"/>
    </row>
    <row r="939" spans="9:9" x14ac:dyDescent="0.3">
      <c r="I939" s="13"/>
    </row>
    <row r="940" spans="9:9" x14ac:dyDescent="0.3">
      <c r="I940" s="13"/>
    </row>
    <row r="941" spans="9:9" x14ac:dyDescent="0.3">
      <c r="I941" s="13"/>
    </row>
    <row r="942" spans="9:9" x14ac:dyDescent="0.3">
      <c r="I942" s="13"/>
    </row>
    <row r="943" spans="9:9" x14ac:dyDescent="0.3">
      <c r="I943" s="13"/>
    </row>
    <row r="944" spans="9:9" x14ac:dyDescent="0.3">
      <c r="I944" s="13"/>
    </row>
    <row r="945" spans="9:9" x14ac:dyDescent="0.3">
      <c r="I945" s="13"/>
    </row>
    <row r="946" spans="9:9" x14ac:dyDescent="0.3">
      <c r="I946" s="13"/>
    </row>
    <row r="947" spans="9:9" x14ac:dyDescent="0.3">
      <c r="I947" s="13"/>
    </row>
    <row r="948" spans="9:9" x14ac:dyDescent="0.3">
      <c r="I948" s="13"/>
    </row>
    <row r="949" spans="9:9" x14ac:dyDescent="0.3">
      <c r="I949" s="13"/>
    </row>
    <row r="950" spans="9:9" x14ac:dyDescent="0.3">
      <c r="I950" s="13"/>
    </row>
    <row r="951" spans="9:9" x14ac:dyDescent="0.3">
      <c r="I951" s="13"/>
    </row>
    <row r="952" spans="9:9" x14ac:dyDescent="0.3">
      <c r="I952" s="13"/>
    </row>
    <row r="953" spans="9:9" x14ac:dyDescent="0.3">
      <c r="I953" s="13"/>
    </row>
    <row r="954" spans="9:9" x14ac:dyDescent="0.3">
      <c r="I954" s="13"/>
    </row>
    <row r="955" spans="9:9" x14ac:dyDescent="0.3">
      <c r="I955" s="13"/>
    </row>
    <row r="956" spans="9:9" x14ac:dyDescent="0.3">
      <c r="I956" s="13"/>
    </row>
    <row r="957" spans="9:9" x14ac:dyDescent="0.3">
      <c r="I957" s="13"/>
    </row>
    <row r="958" spans="9:9" x14ac:dyDescent="0.3">
      <c r="I958" s="13"/>
    </row>
    <row r="959" spans="9:9" x14ac:dyDescent="0.3">
      <c r="I959" s="13"/>
    </row>
    <row r="960" spans="9:9" x14ac:dyDescent="0.3">
      <c r="I960" s="13"/>
    </row>
    <row r="961" spans="9:9" x14ac:dyDescent="0.3">
      <c r="I961" s="13"/>
    </row>
    <row r="962" spans="9:9" x14ac:dyDescent="0.3">
      <c r="I962" s="13"/>
    </row>
    <row r="963" spans="9:9" x14ac:dyDescent="0.3">
      <c r="I963" s="13"/>
    </row>
    <row r="964" spans="9:9" x14ac:dyDescent="0.3">
      <c r="I964" s="13"/>
    </row>
    <row r="965" spans="9:9" x14ac:dyDescent="0.3">
      <c r="I965" s="13"/>
    </row>
    <row r="966" spans="9:9" x14ac:dyDescent="0.3">
      <c r="I966" s="13"/>
    </row>
    <row r="967" spans="9:9" x14ac:dyDescent="0.3">
      <c r="I967" s="13"/>
    </row>
    <row r="968" spans="9:9" x14ac:dyDescent="0.3">
      <c r="I968" s="13"/>
    </row>
    <row r="969" spans="9:9" x14ac:dyDescent="0.3">
      <c r="I969" s="13"/>
    </row>
    <row r="970" spans="9:9" x14ac:dyDescent="0.3">
      <c r="I970" s="13"/>
    </row>
    <row r="971" spans="9:9" x14ac:dyDescent="0.3">
      <c r="I971" s="13"/>
    </row>
    <row r="972" spans="9:9" x14ac:dyDescent="0.3">
      <c r="I972" s="13"/>
    </row>
    <row r="973" spans="9:9" x14ac:dyDescent="0.3">
      <c r="I973" s="13"/>
    </row>
    <row r="974" spans="9:9" x14ac:dyDescent="0.3">
      <c r="I974" s="13"/>
    </row>
    <row r="975" spans="9:9" x14ac:dyDescent="0.3">
      <c r="I975" s="13"/>
    </row>
    <row r="976" spans="9:9" x14ac:dyDescent="0.3">
      <c r="I976" s="13"/>
    </row>
    <row r="977" spans="9:9" x14ac:dyDescent="0.3">
      <c r="I977" s="13"/>
    </row>
    <row r="978" spans="9:9" x14ac:dyDescent="0.3">
      <c r="I978" s="13"/>
    </row>
    <row r="979" spans="9:9" x14ac:dyDescent="0.3">
      <c r="I979" s="13"/>
    </row>
    <row r="980" spans="9:9" x14ac:dyDescent="0.3">
      <c r="I980" s="13"/>
    </row>
    <row r="981" spans="9:9" x14ac:dyDescent="0.3">
      <c r="I981" s="13"/>
    </row>
    <row r="982" spans="9:9" x14ac:dyDescent="0.3">
      <c r="I982" s="13"/>
    </row>
    <row r="983" spans="9:9" x14ac:dyDescent="0.3">
      <c r="I983" s="13"/>
    </row>
    <row r="984" spans="9:9" x14ac:dyDescent="0.3">
      <c r="I984" s="13"/>
    </row>
    <row r="985" spans="9:9" x14ac:dyDescent="0.3">
      <c r="I985" s="13"/>
    </row>
    <row r="986" spans="9:9" x14ac:dyDescent="0.3">
      <c r="I986" s="13"/>
    </row>
    <row r="987" spans="9:9" x14ac:dyDescent="0.3">
      <c r="I987" s="13"/>
    </row>
    <row r="988" spans="9:9" x14ac:dyDescent="0.3">
      <c r="I988" s="13"/>
    </row>
    <row r="989" spans="9:9" x14ac:dyDescent="0.3">
      <c r="I989" s="13"/>
    </row>
    <row r="990" spans="9:9" x14ac:dyDescent="0.3">
      <c r="I990" s="13"/>
    </row>
    <row r="991" spans="9:9" x14ac:dyDescent="0.3">
      <c r="I991" s="13"/>
    </row>
    <row r="992" spans="9:9" x14ac:dyDescent="0.3">
      <c r="I992" s="13"/>
    </row>
    <row r="993" spans="9:9" x14ac:dyDescent="0.3">
      <c r="I993" s="13"/>
    </row>
    <row r="994" spans="9:9" x14ac:dyDescent="0.3">
      <c r="I994" s="13"/>
    </row>
    <row r="995" spans="9:9" x14ac:dyDescent="0.3">
      <c r="I995" s="13"/>
    </row>
    <row r="996" spans="9:9" x14ac:dyDescent="0.3">
      <c r="I996" s="13"/>
    </row>
    <row r="997" spans="9:9" x14ac:dyDescent="0.3">
      <c r="I997" s="13"/>
    </row>
    <row r="998" spans="9:9" x14ac:dyDescent="0.3">
      <c r="I998" s="13"/>
    </row>
    <row r="999" spans="9:9" x14ac:dyDescent="0.3">
      <c r="I999" s="13"/>
    </row>
    <row r="1000" spans="9:9" x14ac:dyDescent="0.3">
      <c r="I1000" s="13"/>
    </row>
    <row r="1001" spans="9:9" x14ac:dyDescent="0.3">
      <c r="I1001" s="13"/>
    </row>
    <row r="1002" spans="9:9" x14ac:dyDescent="0.3">
      <c r="I1002" s="13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Midhili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Raisa Ahmed</dc:creator>
  <cp:lastModifiedBy>Ibrahim Abdullah</cp:lastModifiedBy>
  <dcterms:created xsi:type="dcterms:W3CDTF">2025-08-14T04:47:09Z</dcterms:created>
  <dcterms:modified xsi:type="dcterms:W3CDTF">2026-08-11T14:04:57Z</dcterms:modified>
</cp:coreProperties>
</file>