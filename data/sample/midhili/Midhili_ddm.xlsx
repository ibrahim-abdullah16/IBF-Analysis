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IBF-Analysis\data\sample\midhili\"/>
    </mc:Choice>
  </mc:AlternateContent>
  <xr:revisionPtr revIDLastSave="0" documentId="13_ncr:1_{AA82EB68-0840-447B-A1AE-378FBFE08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se" sheetId="2" r:id="rId1"/>
    <sheet name="Agriculture" sheetId="3" r:id="rId2"/>
  </sheets>
  <definedNames>
    <definedName name="_xlnm._FilterDatabase" localSheetId="1" hidden="1">Agriculture!$A$2:$H$100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3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3" i="2"/>
</calcChain>
</file>

<file path=xl/sharedStrings.xml><?xml version="1.0" encoding="utf-8"?>
<sst xmlns="http://schemas.openxmlformats.org/spreadsheetml/2006/main" count="415" uniqueCount="126">
  <si>
    <t>Rajapur</t>
  </si>
  <si>
    <t>Bamna</t>
  </si>
  <si>
    <t>Patharghata</t>
  </si>
  <si>
    <t>Betagi</t>
  </si>
  <si>
    <t>Daulatkhan</t>
  </si>
  <si>
    <t>Lalmohan</t>
  </si>
  <si>
    <t>Tazumuddin</t>
  </si>
  <si>
    <t>Sonagazi</t>
  </si>
  <si>
    <t>Chhagalnaiya</t>
  </si>
  <si>
    <t>Parshuram</t>
  </si>
  <si>
    <t>Barguna Sadar</t>
  </si>
  <si>
    <t>Bhola Sadar</t>
  </si>
  <si>
    <t>Feni Sadar</t>
  </si>
  <si>
    <t>Barguna</t>
  </si>
  <si>
    <t>Bhola</t>
  </si>
  <si>
    <t>Feni</t>
  </si>
  <si>
    <t>Khulna</t>
  </si>
  <si>
    <t>Ramganj</t>
  </si>
  <si>
    <t>Ramgati</t>
  </si>
  <si>
    <t>Mirzaganj</t>
  </si>
  <si>
    <t>Bauphal</t>
  </si>
  <si>
    <t>Galachipa</t>
  </si>
  <si>
    <t>Dashmina</t>
  </si>
  <si>
    <t>Dumki</t>
  </si>
  <si>
    <t>Rangabali</t>
  </si>
  <si>
    <t>Nazirpur</t>
  </si>
  <si>
    <t>Mathbaria</t>
  </si>
  <si>
    <t>Bhandaria</t>
  </si>
  <si>
    <t>Indurkani</t>
  </si>
  <si>
    <t>Subarnachar</t>
  </si>
  <si>
    <t>Begumganj</t>
  </si>
  <si>
    <t>Sonaimuri</t>
  </si>
  <si>
    <t>Chatkhil</t>
  </si>
  <si>
    <t>Senbagh</t>
  </si>
  <si>
    <t>Kabirhat</t>
  </si>
  <si>
    <t>Companiganj</t>
  </si>
  <si>
    <t>Lakshmipur</t>
  </si>
  <si>
    <t>Patuakhali</t>
  </si>
  <si>
    <t>Pirojpur</t>
  </si>
  <si>
    <t>Noakhali</t>
  </si>
  <si>
    <t>Babuganj</t>
  </si>
  <si>
    <t>Muladi</t>
  </si>
  <si>
    <t>Mehendiganj</t>
  </si>
  <si>
    <t>Bakerganj</t>
  </si>
  <si>
    <t>Pirojpur Sadar</t>
  </si>
  <si>
    <t>Patuakhali Sadar</t>
  </si>
  <si>
    <t>Lakshmipur Sadar</t>
  </si>
  <si>
    <t>Batiaghata</t>
  </si>
  <si>
    <t>Koyra</t>
  </si>
  <si>
    <t>Terokhada</t>
  </si>
  <si>
    <t>Dumuria</t>
  </si>
  <si>
    <t>Phultala</t>
  </si>
  <si>
    <t>Mirsharai</t>
  </si>
  <si>
    <t>Fatikchhari</t>
  </si>
  <si>
    <t>Sandwip</t>
  </si>
  <si>
    <t>Sitakunda</t>
  </si>
  <si>
    <t>Hathazari</t>
  </si>
  <si>
    <t>Raozan</t>
  </si>
  <si>
    <t>Rangunia</t>
  </si>
  <si>
    <t>Boalkhali</t>
  </si>
  <si>
    <t>Patiya</t>
  </si>
  <si>
    <t>Karnaphuli</t>
  </si>
  <si>
    <t>Chandanaish</t>
  </si>
  <si>
    <t>Satkania</t>
  </si>
  <si>
    <t>Lohagara</t>
  </si>
  <si>
    <t>Banshkhali</t>
  </si>
  <si>
    <t>Zanjira</t>
  </si>
  <si>
    <t>Naria</t>
  </si>
  <si>
    <t>Bhedarganj</t>
  </si>
  <si>
    <t>Damudya</t>
  </si>
  <si>
    <t>Gosairhat</t>
  </si>
  <si>
    <t>Muradnagar</t>
  </si>
  <si>
    <t>Barura</t>
  </si>
  <si>
    <t>Lalmai</t>
  </si>
  <si>
    <t>Nangalkot</t>
  </si>
  <si>
    <t>Laksam</t>
  </si>
  <si>
    <t>Chittagong</t>
  </si>
  <si>
    <t>Shariatpur</t>
  </si>
  <si>
    <t>District</t>
  </si>
  <si>
    <t>Upzila</t>
  </si>
  <si>
    <t>Brick-built house</t>
  </si>
  <si>
    <t>Half Brick-built house</t>
  </si>
  <si>
    <t>Raw House</t>
  </si>
  <si>
    <t>Total</t>
  </si>
  <si>
    <t>No of Damaged Household</t>
  </si>
  <si>
    <t>Amount spent on Household repair</t>
  </si>
  <si>
    <t>Total Land Area (hector)</t>
  </si>
  <si>
    <t>Total Amount Spent on  Damaged Land</t>
  </si>
  <si>
    <t>Fully Damaged Agricultural Land</t>
  </si>
  <si>
    <t>Partially Damaged Agricultural Land</t>
  </si>
  <si>
    <t>Barisal</t>
  </si>
  <si>
    <t>Comilla</t>
  </si>
  <si>
    <t>Jhalokati</t>
  </si>
  <si>
    <t>Amtali</t>
  </si>
  <si>
    <t>Agailjhara</t>
  </si>
  <si>
    <t>Banari Para</t>
  </si>
  <si>
    <t>Barisal Sadar (Kotwali)</t>
  </si>
  <si>
    <t>Hizla</t>
  </si>
  <si>
    <t>Wazirpur</t>
  </si>
  <si>
    <t>Gaurnadi</t>
  </si>
  <si>
    <t>Burhanuddin</t>
  </si>
  <si>
    <t>Char Fasson</t>
  </si>
  <si>
    <t>Manpura</t>
  </si>
  <si>
    <t>Anowara</t>
  </si>
  <si>
    <t>Daganbhuiyan</t>
  </si>
  <si>
    <t>Fulgazi</t>
  </si>
  <si>
    <t>Kanthalia</t>
  </si>
  <si>
    <t>Nalchity</t>
  </si>
  <si>
    <t>Jhalokati Sadar</t>
  </si>
  <si>
    <t>Dacope</t>
  </si>
  <si>
    <t>Dighalia</t>
  </si>
  <si>
    <t>Paikgachha</t>
  </si>
  <si>
    <t>Rupsa</t>
  </si>
  <si>
    <t>Hatiya</t>
  </si>
  <si>
    <t>Noakhali Sadar (Sudharam)</t>
  </si>
  <si>
    <t>Kala Para</t>
  </si>
  <si>
    <t>Kawkhali</t>
  </si>
  <si>
    <t>Nesarabad (Swarupkati)</t>
  </si>
  <si>
    <t>Shariatpur Sadar</t>
  </si>
  <si>
    <t>TOTAL</t>
  </si>
  <si>
    <t>Total_Loss_Land</t>
  </si>
  <si>
    <t>Total_loss_amount_land</t>
  </si>
  <si>
    <t>Taltoli</t>
  </si>
  <si>
    <t>Chauddagram</t>
  </si>
  <si>
    <t>Kamalnagar</t>
  </si>
  <si>
    <t>Roypur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</si>
</sst>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1B50-508F-416F-B0F6-34A43DD11A07}">
  <dimension ref="A1:J100"/>
  <sheetViews>
    <sheetView tabSelected="1" topLeftCell="A87" workbookViewId="0">
      <selection activeCell="A35" sqref="A35:XFD36"/>
    </sheetView>
  </sheetViews>
  <sheetFormatPr defaultRowHeight="14.4" x14ac:dyDescent="0.3"/>
  <cols>
    <col min="1" max="1" width="10.21875" bestFit="1" customWidth="1"/>
    <col min="2" max="2" width="19.21875" bestFit="1" customWidth="1"/>
    <col min="3" max="3" width="14.6640625" bestFit="1" customWidth="1"/>
    <col min="4" max="4" width="18.5546875" bestFit="1" customWidth="1"/>
    <col min="5" max="5" width="10.109375" bestFit="1" customWidth="1"/>
    <col min="6" max="6" width="5.21875" bestFit="1" customWidth="1"/>
    <col min="7" max="7" width="14.6640625" bestFit="1" customWidth="1"/>
    <col min="8" max="8" width="18.5546875" bestFit="1" customWidth="1"/>
    <col min="9" max="9" width="10.109375" bestFit="1" customWidth="1"/>
    <col min="10" max="10" width="8" bestFit="1" customWidth="1"/>
  </cols>
  <sheetData>
    <row r="1" spans="1:10" x14ac:dyDescent="0.3">
      <c r="C1" s="5" t="s">
        <v>84</v>
      </c>
      <c r="D1" s="5"/>
      <c r="E1" s="5"/>
      <c r="F1" s="5"/>
      <c r="G1" s="5" t="s">
        <v>85</v>
      </c>
      <c r="H1" s="5"/>
      <c r="I1" s="5"/>
      <c r="J1" s="5"/>
    </row>
    <row r="2" spans="1:10" x14ac:dyDescent="0.3">
      <c r="A2" t="s">
        <v>78</v>
      </c>
      <c r="B2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2" t="s">
        <v>80</v>
      </c>
      <c r="H2" s="2" t="s">
        <v>81</v>
      </c>
      <c r="I2" s="2" t="s">
        <v>82</v>
      </c>
      <c r="J2" s="2" t="s">
        <v>83</v>
      </c>
    </row>
    <row r="3" spans="1:10" x14ac:dyDescent="0.3">
      <c r="A3" t="s">
        <v>92</v>
      </c>
      <c r="B3" t="s">
        <v>108</v>
      </c>
      <c r="C3">
        <v>0</v>
      </c>
      <c r="D3">
        <v>0</v>
      </c>
      <c r="E3">
        <v>83</v>
      </c>
      <c r="F3">
        <f>C3+D3+E3</f>
        <v>83</v>
      </c>
      <c r="G3">
        <v>0</v>
      </c>
      <c r="H3">
        <v>0</v>
      </c>
      <c r="I3">
        <v>1810000</v>
      </c>
      <c r="J3">
        <f>G3+H3+I3</f>
        <v>1810000</v>
      </c>
    </row>
    <row r="4" spans="1:10" x14ac:dyDescent="0.3">
      <c r="A4" t="s">
        <v>92</v>
      </c>
      <c r="B4" t="s">
        <v>107</v>
      </c>
      <c r="C4">
        <v>0</v>
      </c>
      <c r="D4">
        <v>2</v>
      </c>
      <c r="E4">
        <v>0</v>
      </c>
      <c r="F4">
        <f t="shared" ref="F4:F65" si="0">C4+D4+E4</f>
        <v>2</v>
      </c>
      <c r="G4">
        <v>0</v>
      </c>
      <c r="H4">
        <v>100000</v>
      </c>
      <c r="I4">
        <v>0</v>
      </c>
      <c r="J4">
        <f t="shared" ref="J4:J65" si="1">G4+H4+I4</f>
        <v>100000</v>
      </c>
    </row>
    <row r="5" spans="1:10" x14ac:dyDescent="0.3">
      <c r="A5" t="s">
        <v>92</v>
      </c>
      <c r="B5" t="s">
        <v>0</v>
      </c>
      <c r="C5">
        <v>0</v>
      </c>
      <c r="D5">
        <v>0</v>
      </c>
      <c r="E5">
        <v>0</v>
      </c>
      <c r="F5">
        <f t="shared" si="0"/>
        <v>0</v>
      </c>
      <c r="G5">
        <v>0</v>
      </c>
      <c r="H5">
        <v>0</v>
      </c>
      <c r="I5">
        <v>0</v>
      </c>
      <c r="J5">
        <f t="shared" si="1"/>
        <v>0</v>
      </c>
    </row>
    <row r="6" spans="1:10" x14ac:dyDescent="0.3">
      <c r="A6" t="s">
        <v>92</v>
      </c>
      <c r="B6" t="s">
        <v>106</v>
      </c>
      <c r="C6">
        <v>0</v>
      </c>
      <c r="D6">
        <v>4</v>
      </c>
      <c r="E6">
        <v>14</v>
      </c>
      <c r="F6">
        <f t="shared" si="0"/>
        <v>18</v>
      </c>
      <c r="G6">
        <v>0</v>
      </c>
      <c r="H6">
        <v>320000</v>
      </c>
      <c r="I6">
        <v>280000</v>
      </c>
      <c r="J6">
        <f t="shared" si="1"/>
        <v>600000</v>
      </c>
    </row>
    <row r="7" spans="1:10" x14ac:dyDescent="0.3">
      <c r="A7" t="s">
        <v>13</v>
      </c>
      <c r="B7" t="s">
        <v>10</v>
      </c>
      <c r="C7">
        <v>0</v>
      </c>
      <c r="D7">
        <v>0</v>
      </c>
      <c r="E7">
        <v>61</v>
      </c>
      <c r="F7">
        <f t="shared" si="0"/>
        <v>61</v>
      </c>
      <c r="G7">
        <v>0</v>
      </c>
      <c r="H7">
        <v>0</v>
      </c>
      <c r="I7">
        <v>1220000</v>
      </c>
      <c r="J7">
        <f t="shared" si="1"/>
        <v>1220000</v>
      </c>
    </row>
    <row r="8" spans="1:10" x14ac:dyDescent="0.3">
      <c r="A8" t="s">
        <v>13</v>
      </c>
      <c r="B8" t="s">
        <v>93</v>
      </c>
      <c r="C8">
        <v>0</v>
      </c>
      <c r="D8">
        <v>0</v>
      </c>
      <c r="E8">
        <v>15</v>
      </c>
      <c r="F8">
        <f t="shared" si="0"/>
        <v>15</v>
      </c>
      <c r="G8">
        <v>0</v>
      </c>
      <c r="H8">
        <v>0</v>
      </c>
      <c r="I8">
        <v>750000</v>
      </c>
      <c r="J8">
        <f t="shared" si="1"/>
        <v>750000</v>
      </c>
    </row>
    <row r="9" spans="1:10" x14ac:dyDescent="0.3">
      <c r="A9" t="s">
        <v>13</v>
      </c>
      <c r="B9" t="s">
        <v>122</v>
      </c>
      <c r="C9">
        <v>0</v>
      </c>
      <c r="D9">
        <v>0</v>
      </c>
      <c r="E9">
        <v>52</v>
      </c>
      <c r="F9">
        <f t="shared" si="0"/>
        <v>52</v>
      </c>
      <c r="G9">
        <v>0</v>
      </c>
      <c r="H9">
        <v>0</v>
      </c>
      <c r="I9">
        <v>1040000</v>
      </c>
      <c r="J9">
        <f t="shared" si="1"/>
        <v>1040000</v>
      </c>
    </row>
    <row r="10" spans="1:10" x14ac:dyDescent="0.3">
      <c r="A10" t="s">
        <v>13</v>
      </c>
      <c r="B10" t="s">
        <v>2</v>
      </c>
      <c r="C10">
        <v>0</v>
      </c>
      <c r="D10">
        <v>0</v>
      </c>
      <c r="E10">
        <v>20</v>
      </c>
      <c r="F10">
        <f t="shared" si="0"/>
        <v>20</v>
      </c>
      <c r="G10">
        <v>0</v>
      </c>
      <c r="H10">
        <v>0</v>
      </c>
      <c r="I10">
        <v>1600000</v>
      </c>
      <c r="J10">
        <f t="shared" si="1"/>
        <v>1600000</v>
      </c>
    </row>
    <row r="11" spans="1:10" x14ac:dyDescent="0.3">
      <c r="A11" t="s">
        <v>13</v>
      </c>
      <c r="B11" t="s">
        <v>3</v>
      </c>
      <c r="C11">
        <v>0</v>
      </c>
      <c r="D11">
        <v>0</v>
      </c>
      <c r="E11">
        <v>40</v>
      </c>
      <c r="F11">
        <f t="shared" si="0"/>
        <v>40</v>
      </c>
      <c r="G11">
        <v>0</v>
      </c>
      <c r="H11">
        <v>0</v>
      </c>
      <c r="I11">
        <v>2600000</v>
      </c>
      <c r="J11">
        <f t="shared" si="1"/>
        <v>2600000</v>
      </c>
    </row>
    <row r="12" spans="1:10" x14ac:dyDescent="0.3">
      <c r="A12" t="s">
        <v>13</v>
      </c>
      <c r="B12" t="s">
        <v>1</v>
      </c>
      <c r="C12">
        <v>0</v>
      </c>
      <c r="D12">
        <v>0</v>
      </c>
      <c r="E12">
        <v>20</v>
      </c>
      <c r="F12">
        <f t="shared" si="0"/>
        <v>20</v>
      </c>
      <c r="G12">
        <v>0</v>
      </c>
      <c r="H12">
        <v>0</v>
      </c>
      <c r="I12">
        <v>500000</v>
      </c>
      <c r="J12">
        <f t="shared" si="1"/>
        <v>500000</v>
      </c>
    </row>
    <row r="13" spans="1:10" x14ac:dyDescent="0.3">
      <c r="A13" t="s">
        <v>14</v>
      </c>
      <c r="B13" t="s">
        <v>11</v>
      </c>
      <c r="C13">
        <v>0</v>
      </c>
      <c r="D13">
        <v>0</v>
      </c>
      <c r="E13">
        <v>220</v>
      </c>
      <c r="F13">
        <f t="shared" si="0"/>
        <v>220</v>
      </c>
      <c r="G13">
        <v>0</v>
      </c>
      <c r="H13">
        <v>0</v>
      </c>
      <c r="I13">
        <v>12320000</v>
      </c>
      <c r="J13">
        <f t="shared" si="1"/>
        <v>12320000</v>
      </c>
    </row>
    <row r="14" spans="1:10" x14ac:dyDescent="0.3">
      <c r="A14" t="s">
        <v>14</v>
      </c>
      <c r="B14" t="s">
        <v>100</v>
      </c>
      <c r="C14">
        <v>0</v>
      </c>
      <c r="D14">
        <v>5</v>
      </c>
      <c r="E14">
        <v>42</v>
      </c>
      <c r="F14">
        <f t="shared" si="0"/>
        <v>47</v>
      </c>
      <c r="G14">
        <v>0</v>
      </c>
      <c r="H14">
        <v>350000</v>
      </c>
      <c r="I14">
        <v>3120000</v>
      </c>
      <c r="J14">
        <f t="shared" si="1"/>
        <v>3470000</v>
      </c>
    </row>
    <row r="15" spans="1:10" x14ac:dyDescent="0.3">
      <c r="A15" t="s">
        <v>14</v>
      </c>
      <c r="B15" t="s">
        <v>4</v>
      </c>
      <c r="C15">
        <v>0</v>
      </c>
      <c r="D15">
        <v>0</v>
      </c>
      <c r="E15">
        <v>54</v>
      </c>
      <c r="F15">
        <f t="shared" si="0"/>
        <v>54</v>
      </c>
      <c r="G15">
        <v>0</v>
      </c>
      <c r="H15">
        <v>0</v>
      </c>
      <c r="I15">
        <v>630000</v>
      </c>
      <c r="J15">
        <f t="shared" si="1"/>
        <v>630000</v>
      </c>
    </row>
    <row r="16" spans="1:10" x14ac:dyDescent="0.3">
      <c r="A16" t="s">
        <v>14</v>
      </c>
      <c r="B16" t="s">
        <v>5</v>
      </c>
      <c r="C16">
        <v>0</v>
      </c>
      <c r="D16">
        <v>0</v>
      </c>
      <c r="E16">
        <v>60</v>
      </c>
      <c r="F16">
        <f t="shared" si="0"/>
        <v>60</v>
      </c>
      <c r="G16">
        <v>0</v>
      </c>
      <c r="H16">
        <v>0</v>
      </c>
      <c r="I16">
        <v>1425000</v>
      </c>
      <c r="J16">
        <f t="shared" si="1"/>
        <v>1425000</v>
      </c>
    </row>
    <row r="17" spans="1:10" x14ac:dyDescent="0.3">
      <c r="A17" t="s">
        <v>14</v>
      </c>
      <c r="B17" t="s">
        <v>6</v>
      </c>
      <c r="C17">
        <v>0</v>
      </c>
      <c r="D17">
        <v>0</v>
      </c>
      <c r="E17">
        <v>99</v>
      </c>
      <c r="F17">
        <f t="shared" si="0"/>
        <v>99</v>
      </c>
      <c r="G17">
        <v>0</v>
      </c>
      <c r="H17">
        <v>0</v>
      </c>
      <c r="I17">
        <v>6060000</v>
      </c>
      <c r="J17">
        <f t="shared" si="1"/>
        <v>6060000</v>
      </c>
    </row>
    <row r="18" spans="1:10" x14ac:dyDescent="0.3">
      <c r="A18" t="s">
        <v>14</v>
      </c>
      <c r="B18" t="s">
        <v>101</v>
      </c>
      <c r="C18">
        <v>0</v>
      </c>
      <c r="D18">
        <v>0</v>
      </c>
      <c r="E18">
        <v>226</v>
      </c>
      <c r="F18">
        <f t="shared" si="0"/>
        <v>226</v>
      </c>
      <c r="G18">
        <v>0</v>
      </c>
      <c r="H18">
        <v>0</v>
      </c>
      <c r="I18">
        <v>6987986</v>
      </c>
      <c r="J18">
        <f t="shared" si="1"/>
        <v>6987986</v>
      </c>
    </row>
    <row r="19" spans="1:10" x14ac:dyDescent="0.3">
      <c r="A19" t="s">
        <v>14</v>
      </c>
      <c r="B19" t="s">
        <v>102</v>
      </c>
      <c r="C19">
        <v>0</v>
      </c>
      <c r="D19">
        <v>0</v>
      </c>
      <c r="E19">
        <v>147</v>
      </c>
      <c r="F19">
        <f t="shared" si="0"/>
        <v>147</v>
      </c>
      <c r="G19">
        <v>0</v>
      </c>
      <c r="H19">
        <v>0</v>
      </c>
      <c r="I19">
        <v>9870000</v>
      </c>
      <c r="J19">
        <f t="shared" si="1"/>
        <v>9870000</v>
      </c>
    </row>
    <row r="20" spans="1:10" x14ac:dyDescent="0.3">
      <c r="A20" t="s">
        <v>15</v>
      </c>
      <c r="B20" t="s">
        <v>7</v>
      </c>
      <c r="C20">
        <v>0</v>
      </c>
      <c r="D20">
        <v>0</v>
      </c>
      <c r="E20">
        <v>250</v>
      </c>
      <c r="F20">
        <f t="shared" si="0"/>
        <v>250</v>
      </c>
      <c r="G20">
        <v>0</v>
      </c>
      <c r="H20">
        <v>0</v>
      </c>
      <c r="I20">
        <v>8500000</v>
      </c>
      <c r="J20">
        <f t="shared" si="1"/>
        <v>8500000</v>
      </c>
    </row>
    <row r="21" spans="1:10" x14ac:dyDescent="0.3">
      <c r="A21" t="s">
        <v>15</v>
      </c>
      <c r="B21" t="s">
        <v>104</v>
      </c>
      <c r="C21">
        <v>0</v>
      </c>
      <c r="D21">
        <v>0</v>
      </c>
      <c r="E21">
        <v>0</v>
      </c>
      <c r="F21">
        <f t="shared" si="0"/>
        <v>0</v>
      </c>
      <c r="G21">
        <v>0</v>
      </c>
      <c r="H21">
        <v>0</v>
      </c>
      <c r="I21">
        <v>0</v>
      </c>
      <c r="J21">
        <f t="shared" si="1"/>
        <v>0</v>
      </c>
    </row>
    <row r="22" spans="1:10" x14ac:dyDescent="0.3">
      <c r="A22" t="s">
        <v>15</v>
      </c>
      <c r="B22" t="s">
        <v>12</v>
      </c>
      <c r="C22">
        <v>0</v>
      </c>
      <c r="D22">
        <v>0</v>
      </c>
      <c r="E22">
        <v>0</v>
      </c>
      <c r="F22">
        <f t="shared" si="0"/>
        <v>0</v>
      </c>
      <c r="G22">
        <v>0</v>
      </c>
      <c r="H22">
        <v>0</v>
      </c>
      <c r="I22">
        <v>0</v>
      </c>
      <c r="J22">
        <f t="shared" si="1"/>
        <v>0</v>
      </c>
    </row>
    <row r="23" spans="1:10" x14ac:dyDescent="0.3">
      <c r="A23" t="s">
        <v>15</v>
      </c>
      <c r="B23" t="s">
        <v>8</v>
      </c>
      <c r="C23">
        <v>0</v>
      </c>
      <c r="D23">
        <v>30</v>
      </c>
      <c r="E23">
        <v>2</v>
      </c>
      <c r="F23">
        <f t="shared" si="0"/>
        <v>32</v>
      </c>
      <c r="G23">
        <v>0</v>
      </c>
      <c r="H23">
        <v>45000000</v>
      </c>
      <c r="I23">
        <v>240000</v>
      </c>
      <c r="J23">
        <f t="shared" si="1"/>
        <v>45240000</v>
      </c>
    </row>
    <row r="24" spans="1:10" x14ac:dyDescent="0.3">
      <c r="A24" t="s">
        <v>15</v>
      </c>
      <c r="B24" t="s">
        <v>105</v>
      </c>
      <c r="C24">
        <v>0</v>
      </c>
      <c r="D24">
        <v>2</v>
      </c>
      <c r="E24">
        <v>2</v>
      </c>
      <c r="F24">
        <f t="shared" si="0"/>
        <v>4</v>
      </c>
      <c r="G24">
        <v>0</v>
      </c>
      <c r="H24">
        <v>100000</v>
      </c>
      <c r="I24">
        <v>100000</v>
      </c>
      <c r="J24">
        <f t="shared" si="1"/>
        <v>200000</v>
      </c>
    </row>
    <row r="25" spans="1:10" x14ac:dyDescent="0.3">
      <c r="A25" t="s">
        <v>15</v>
      </c>
      <c r="B25" t="s">
        <v>9</v>
      </c>
      <c r="C25">
        <v>0</v>
      </c>
      <c r="D25">
        <v>8</v>
      </c>
      <c r="E25">
        <v>4</v>
      </c>
      <c r="F25">
        <f t="shared" si="0"/>
        <v>12</v>
      </c>
      <c r="G25">
        <v>0</v>
      </c>
      <c r="H25">
        <v>1600000</v>
      </c>
      <c r="I25">
        <v>800000</v>
      </c>
      <c r="J25">
        <f t="shared" si="1"/>
        <v>2400000</v>
      </c>
    </row>
    <row r="26" spans="1:10" x14ac:dyDescent="0.3">
      <c r="A26" t="s">
        <v>16</v>
      </c>
      <c r="B26" t="s">
        <v>109</v>
      </c>
      <c r="C26">
        <v>0</v>
      </c>
      <c r="D26">
        <v>0</v>
      </c>
      <c r="E26">
        <v>105</v>
      </c>
      <c r="F26">
        <f t="shared" si="0"/>
        <v>105</v>
      </c>
      <c r="G26">
        <v>0</v>
      </c>
      <c r="H26">
        <v>0</v>
      </c>
      <c r="I26">
        <v>1050000</v>
      </c>
      <c r="J26">
        <f t="shared" si="1"/>
        <v>1050000</v>
      </c>
    </row>
    <row r="27" spans="1:10" x14ac:dyDescent="0.3">
      <c r="A27" t="s">
        <v>16</v>
      </c>
      <c r="B27" t="s">
        <v>47</v>
      </c>
      <c r="C27">
        <v>0</v>
      </c>
      <c r="D27">
        <v>0</v>
      </c>
      <c r="E27">
        <v>0</v>
      </c>
      <c r="F27">
        <f t="shared" si="0"/>
        <v>0</v>
      </c>
      <c r="G27">
        <v>0</v>
      </c>
      <c r="H27">
        <v>0</v>
      </c>
      <c r="I27">
        <v>0</v>
      </c>
      <c r="J27">
        <f t="shared" si="1"/>
        <v>0</v>
      </c>
    </row>
    <row r="28" spans="1:10" x14ac:dyDescent="0.3">
      <c r="A28" t="s">
        <v>16</v>
      </c>
      <c r="B28" t="s">
        <v>48</v>
      </c>
      <c r="C28">
        <v>0</v>
      </c>
      <c r="D28">
        <v>0</v>
      </c>
      <c r="E28">
        <v>75</v>
      </c>
      <c r="F28">
        <f t="shared" si="0"/>
        <v>75</v>
      </c>
      <c r="G28">
        <v>0</v>
      </c>
      <c r="H28">
        <v>0</v>
      </c>
      <c r="I28">
        <v>900000</v>
      </c>
      <c r="J28">
        <f t="shared" si="1"/>
        <v>900000</v>
      </c>
    </row>
    <row r="29" spans="1:10" x14ac:dyDescent="0.3">
      <c r="A29" t="s">
        <v>16</v>
      </c>
      <c r="B29" t="s">
        <v>111</v>
      </c>
      <c r="C29">
        <v>0</v>
      </c>
      <c r="D29">
        <v>0</v>
      </c>
      <c r="E29">
        <v>0</v>
      </c>
      <c r="F29">
        <f t="shared" si="0"/>
        <v>0</v>
      </c>
      <c r="G29">
        <v>0</v>
      </c>
      <c r="H29">
        <v>0</v>
      </c>
      <c r="I29">
        <v>0</v>
      </c>
      <c r="J29">
        <f t="shared" si="1"/>
        <v>0</v>
      </c>
    </row>
    <row r="30" spans="1:10" x14ac:dyDescent="0.3">
      <c r="A30" t="s">
        <v>16</v>
      </c>
      <c r="B30" t="s">
        <v>110</v>
      </c>
      <c r="C30">
        <v>0</v>
      </c>
      <c r="D30">
        <v>0</v>
      </c>
      <c r="E30">
        <v>0</v>
      </c>
      <c r="F30">
        <f t="shared" si="0"/>
        <v>0</v>
      </c>
      <c r="G30">
        <v>0</v>
      </c>
      <c r="H30">
        <v>0</v>
      </c>
      <c r="I30">
        <v>0</v>
      </c>
      <c r="J30">
        <f t="shared" si="1"/>
        <v>0</v>
      </c>
    </row>
    <row r="31" spans="1:10" x14ac:dyDescent="0.3">
      <c r="A31" t="s">
        <v>16</v>
      </c>
      <c r="B31" t="s">
        <v>49</v>
      </c>
      <c r="C31">
        <v>0</v>
      </c>
      <c r="D31">
        <v>0</v>
      </c>
      <c r="E31">
        <v>0</v>
      </c>
      <c r="F31">
        <f t="shared" si="0"/>
        <v>0</v>
      </c>
      <c r="G31">
        <v>0</v>
      </c>
      <c r="H31">
        <v>0</v>
      </c>
      <c r="I31">
        <v>0</v>
      </c>
      <c r="J31">
        <f t="shared" si="1"/>
        <v>0</v>
      </c>
    </row>
    <row r="32" spans="1:10" x14ac:dyDescent="0.3">
      <c r="A32" t="s">
        <v>16</v>
      </c>
      <c r="B32" t="s">
        <v>112</v>
      </c>
      <c r="C32">
        <v>0</v>
      </c>
      <c r="D32">
        <v>0</v>
      </c>
      <c r="E32">
        <v>0</v>
      </c>
      <c r="F32">
        <f t="shared" si="0"/>
        <v>0</v>
      </c>
      <c r="G32">
        <v>0</v>
      </c>
      <c r="H32">
        <v>0</v>
      </c>
      <c r="I32">
        <v>0</v>
      </c>
      <c r="J32">
        <f t="shared" si="1"/>
        <v>0</v>
      </c>
    </row>
    <row r="33" spans="1:10" x14ac:dyDescent="0.3">
      <c r="A33" t="s">
        <v>16</v>
      </c>
      <c r="B33" t="s">
        <v>50</v>
      </c>
      <c r="C33">
        <v>0</v>
      </c>
      <c r="D33">
        <v>0</v>
      </c>
      <c r="E33">
        <v>0</v>
      </c>
      <c r="F33">
        <f t="shared" si="0"/>
        <v>0</v>
      </c>
      <c r="G33">
        <v>0</v>
      </c>
      <c r="H33">
        <v>0</v>
      </c>
      <c r="I33">
        <v>0</v>
      </c>
      <c r="J33">
        <f t="shared" si="1"/>
        <v>0</v>
      </c>
    </row>
    <row r="34" spans="1:10" x14ac:dyDescent="0.3">
      <c r="A34" t="s">
        <v>16</v>
      </c>
      <c r="B34" t="s">
        <v>51</v>
      </c>
      <c r="C34">
        <v>0</v>
      </c>
      <c r="D34">
        <v>0</v>
      </c>
      <c r="E34">
        <v>0</v>
      </c>
      <c r="F34">
        <f t="shared" si="0"/>
        <v>0</v>
      </c>
      <c r="G34">
        <v>0</v>
      </c>
      <c r="H34">
        <v>0</v>
      </c>
      <c r="I34">
        <v>0</v>
      </c>
      <c r="J34">
        <f t="shared" si="1"/>
        <v>0</v>
      </c>
    </row>
    <row r="35" spans="1:10" x14ac:dyDescent="0.3">
      <c r="A35" t="s">
        <v>36</v>
      </c>
      <c r="B35" t="s">
        <v>46</v>
      </c>
      <c r="C35">
        <v>0</v>
      </c>
      <c r="D35">
        <v>0</v>
      </c>
      <c r="E35">
        <v>0</v>
      </c>
      <c r="F35">
        <f t="shared" si="0"/>
        <v>0</v>
      </c>
      <c r="G35">
        <v>0</v>
      </c>
      <c r="H35">
        <v>0</v>
      </c>
      <c r="I35">
        <v>0</v>
      </c>
      <c r="J35">
        <f t="shared" si="1"/>
        <v>0</v>
      </c>
    </row>
    <row r="36" spans="1:10" x14ac:dyDescent="0.3">
      <c r="A36" t="s">
        <v>36</v>
      </c>
      <c r="B36" t="s">
        <v>125</v>
      </c>
      <c r="C36">
        <v>0</v>
      </c>
      <c r="D36">
        <v>0</v>
      </c>
      <c r="E36">
        <v>0</v>
      </c>
      <c r="F36">
        <f t="shared" si="0"/>
        <v>0</v>
      </c>
      <c r="G36">
        <v>0</v>
      </c>
      <c r="H36">
        <v>0</v>
      </c>
      <c r="I36">
        <v>0</v>
      </c>
      <c r="J36">
        <f t="shared" si="1"/>
        <v>0</v>
      </c>
    </row>
    <row r="37" spans="1:10" x14ac:dyDescent="0.3">
      <c r="A37" t="s">
        <v>36</v>
      </c>
      <c r="B37" t="s">
        <v>17</v>
      </c>
      <c r="C37">
        <v>0</v>
      </c>
      <c r="D37">
        <v>0</v>
      </c>
      <c r="E37">
        <v>30</v>
      </c>
      <c r="F37">
        <f t="shared" si="0"/>
        <v>30</v>
      </c>
      <c r="G37">
        <v>0</v>
      </c>
      <c r="H37">
        <v>0</v>
      </c>
      <c r="I37">
        <v>30</v>
      </c>
      <c r="J37">
        <f t="shared" si="1"/>
        <v>30</v>
      </c>
    </row>
    <row r="38" spans="1:10" x14ac:dyDescent="0.3">
      <c r="A38" t="s">
        <v>36</v>
      </c>
      <c r="B38" t="s">
        <v>18</v>
      </c>
      <c r="C38">
        <v>0</v>
      </c>
      <c r="D38">
        <v>50</v>
      </c>
      <c r="E38">
        <v>110</v>
      </c>
      <c r="F38">
        <f t="shared" si="0"/>
        <v>160</v>
      </c>
      <c r="G38">
        <v>0</v>
      </c>
      <c r="H38">
        <v>25</v>
      </c>
      <c r="I38">
        <v>115</v>
      </c>
      <c r="J38">
        <f t="shared" si="1"/>
        <v>140</v>
      </c>
    </row>
    <row r="39" spans="1:10" x14ac:dyDescent="0.3">
      <c r="A39" t="s">
        <v>36</v>
      </c>
      <c r="B39" t="s">
        <v>124</v>
      </c>
      <c r="C39">
        <v>0</v>
      </c>
      <c r="D39">
        <v>0</v>
      </c>
      <c r="E39">
        <v>75</v>
      </c>
      <c r="F39">
        <f t="shared" si="0"/>
        <v>75</v>
      </c>
      <c r="G39">
        <v>0</v>
      </c>
      <c r="H39">
        <v>0</v>
      </c>
      <c r="I39">
        <v>37.5</v>
      </c>
      <c r="J39">
        <f t="shared" si="1"/>
        <v>37.5</v>
      </c>
    </row>
    <row r="40" spans="1:10" x14ac:dyDescent="0.3">
      <c r="A40" t="s">
        <v>37</v>
      </c>
      <c r="B40" t="s">
        <v>45</v>
      </c>
      <c r="C40">
        <v>0</v>
      </c>
      <c r="D40">
        <v>4</v>
      </c>
      <c r="E40">
        <v>3</v>
      </c>
      <c r="F40">
        <f t="shared" si="0"/>
        <v>7</v>
      </c>
      <c r="G40">
        <v>0</v>
      </c>
      <c r="H40">
        <v>800000</v>
      </c>
      <c r="I40">
        <v>500000</v>
      </c>
      <c r="J40">
        <f t="shared" si="1"/>
        <v>1300000</v>
      </c>
    </row>
    <row r="41" spans="1:10" x14ac:dyDescent="0.3">
      <c r="A41" t="s">
        <v>37</v>
      </c>
      <c r="B41" t="s">
        <v>19</v>
      </c>
      <c r="C41">
        <v>0</v>
      </c>
      <c r="D41">
        <v>5</v>
      </c>
      <c r="E41">
        <v>30</v>
      </c>
      <c r="F41">
        <f t="shared" si="0"/>
        <v>35</v>
      </c>
      <c r="G41">
        <v>0</v>
      </c>
      <c r="H41">
        <v>1000000</v>
      </c>
      <c r="I41">
        <v>3000000</v>
      </c>
      <c r="J41">
        <f t="shared" si="1"/>
        <v>4000000</v>
      </c>
    </row>
    <row r="42" spans="1:10" x14ac:dyDescent="0.3">
      <c r="A42" t="s">
        <v>37</v>
      </c>
      <c r="B42" t="s">
        <v>23</v>
      </c>
      <c r="C42">
        <v>0</v>
      </c>
      <c r="D42">
        <v>0</v>
      </c>
      <c r="E42">
        <v>0</v>
      </c>
      <c r="F42">
        <f t="shared" si="0"/>
        <v>0</v>
      </c>
      <c r="G42">
        <v>0</v>
      </c>
      <c r="H42">
        <v>0</v>
      </c>
      <c r="I42">
        <v>0</v>
      </c>
      <c r="J42">
        <f t="shared" si="1"/>
        <v>0</v>
      </c>
    </row>
    <row r="43" spans="1:10" x14ac:dyDescent="0.3">
      <c r="A43" t="s">
        <v>37</v>
      </c>
      <c r="B43" t="s">
        <v>20</v>
      </c>
      <c r="C43">
        <v>0</v>
      </c>
      <c r="D43">
        <v>7</v>
      </c>
      <c r="E43">
        <v>3</v>
      </c>
      <c r="F43">
        <f t="shared" si="0"/>
        <v>10</v>
      </c>
      <c r="G43">
        <v>0</v>
      </c>
      <c r="H43">
        <v>1400000</v>
      </c>
      <c r="I43">
        <v>300000</v>
      </c>
      <c r="J43">
        <f t="shared" si="1"/>
        <v>1700000</v>
      </c>
    </row>
    <row r="44" spans="1:10" x14ac:dyDescent="0.3">
      <c r="A44" t="s">
        <v>37</v>
      </c>
      <c r="B44" t="s">
        <v>22</v>
      </c>
      <c r="C44">
        <v>0</v>
      </c>
      <c r="D44">
        <v>8</v>
      </c>
      <c r="E44">
        <v>19</v>
      </c>
      <c r="F44">
        <f t="shared" si="0"/>
        <v>27</v>
      </c>
      <c r="G44">
        <v>0</v>
      </c>
      <c r="H44">
        <v>1600000</v>
      </c>
      <c r="I44">
        <v>1900000</v>
      </c>
      <c r="J44">
        <f t="shared" si="1"/>
        <v>3500000</v>
      </c>
    </row>
    <row r="45" spans="1:10" x14ac:dyDescent="0.3">
      <c r="A45" t="s">
        <v>37</v>
      </c>
      <c r="B45" t="s">
        <v>21</v>
      </c>
      <c r="C45">
        <v>0</v>
      </c>
      <c r="D45">
        <v>1</v>
      </c>
      <c r="E45">
        <v>0</v>
      </c>
      <c r="F45">
        <f t="shared" si="0"/>
        <v>1</v>
      </c>
      <c r="G45">
        <v>0</v>
      </c>
      <c r="H45">
        <v>400000</v>
      </c>
      <c r="I45">
        <v>0</v>
      </c>
      <c r="J45">
        <f t="shared" si="1"/>
        <v>400000</v>
      </c>
    </row>
    <row r="46" spans="1:10" x14ac:dyDescent="0.3">
      <c r="A46" t="s">
        <v>37</v>
      </c>
      <c r="B46" t="s">
        <v>115</v>
      </c>
      <c r="C46">
        <v>0</v>
      </c>
      <c r="D46">
        <v>12</v>
      </c>
      <c r="E46">
        <v>10</v>
      </c>
      <c r="F46">
        <f t="shared" si="0"/>
        <v>22</v>
      </c>
      <c r="G46">
        <v>0</v>
      </c>
      <c r="H46">
        <v>3000000</v>
      </c>
      <c r="I46">
        <v>1000000</v>
      </c>
      <c r="J46">
        <f t="shared" si="1"/>
        <v>4000000</v>
      </c>
    </row>
    <row r="47" spans="1:10" x14ac:dyDescent="0.3">
      <c r="A47" t="s">
        <v>37</v>
      </c>
      <c r="B47" t="s">
        <v>24</v>
      </c>
      <c r="C47">
        <v>0</v>
      </c>
      <c r="D47">
        <v>11</v>
      </c>
      <c r="E47">
        <v>28</v>
      </c>
      <c r="F47">
        <f t="shared" si="0"/>
        <v>39</v>
      </c>
      <c r="G47">
        <v>0</v>
      </c>
      <c r="H47">
        <v>2200000</v>
      </c>
      <c r="I47">
        <v>3200000</v>
      </c>
      <c r="J47">
        <f t="shared" si="1"/>
        <v>5400000</v>
      </c>
    </row>
    <row r="48" spans="1:10" x14ac:dyDescent="0.3">
      <c r="A48" t="s">
        <v>38</v>
      </c>
      <c r="B48" t="s">
        <v>44</v>
      </c>
      <c r="C48">
        <v>0</v>
      </c>
      <c r="D48">
        <v>0</v>
      </c>
      <c r="E48">
        <v>0</v>
      </c>
      <c r="F48">
        <f t="shared" si="0"/>
        <v>0</v>
      </c>
      <c r="G48">
        <v>0</v>
      </c>
      <c r="H48">
        <v>0</v>
      </c>
      <c r="I48">
        <v>0</v>
      </c>
      <c r="J48">
        <f t="shared" si="1"/>
        <v>0</v>
      </c>
    </row>
    <row r="49" spans="1:10" x14ac:dyDescent="0.3">
      <c r="A49" t="s">
        <v>38</v>
      </c>
      <c r="B49" t="s">
        <v>117</v>
      </c>
      <c r="C49">
        <v>0</v>
      </c>
      <c r="D49">
        <v>0</v>
      </c>
      <c r="E49">
        <v>0</v>
      </c>
      <c r="F49">
        <f t="shared" si="0"/>
        <v>0</v>
      </c>
      <c r="G49">
        <v>0</v>
      </c>
      <c r="H49">
        <v>0</v>
      </c>
      <c r="I49">
        <v>0</v>
      </c>
      <c r="J49">
        <f t="shared" si="1"/>
        <v>0</v>
      </c>
    </row>
    <row r="50" spans="1:10" x14ac:dyDescent="0.3">
      <c r="A50" t="s">
        <v>38</v>
      </c>
      <c r="B50" t="s">
        <v>25</v>
      </c>
      <c r="C50">
        <v>0</v>
      </c>
      <c r="D50">
        <v>0</v>
      </c>
      <c r="E50">
        <v>0</v>
      </c>
      <c r="F50">
        <f t="shared" si="0"/>
        <v>0</v>
      </c>
      <c r="G50">
        <v>0</v>
      </c>
      <c r="H50">
        <v>0</v>
      </c>
      <c r="I50">
        <v>0</v>
      </c>
      <c r="J50">
        <f t="shared" si="1"/>
        <v>0</v>
      </c>
    </row>
    <row r="51" spans="1:10" x14ac:dyDescent="0.3">
      <c r="A51" t="s">
        <v>38</v>
      </c>
      <c r="B51" t="s">
        <v>26</v>
      </c>
      <c r="C51">
        <v>0</v>
      </c>
      <c r="D51">
        <v>0</v>
      </c>
      <c r="E51">
        <v>2</v>
      </c>
      <c r="F51">
        <f t="shared" si="0"/>
        <v>2</v>
      </c>
      <c r="G51">
        <v>0</v>
      </c>
      <c r="H51">
        <v>0</v>
      </c>
      <c r="I51">
        <v>300000</v>
      </c>
      <c r="J51">
        <f t="shared" si="1"/>
        <v>300000</v>
      </c>
    </row>
    <row r="52" spans="1:10" x14ac:dyDescent="0.3">
      <c r="A52" t="s">
        <v>38</v>
      </c>
      <c r="B52" t="s">
        <v>27</v>
      </c>
      <c r="C52">
        <v>0</v>
      </c>
      <c r="D52">
        <v>0</v>
      </c>
      <c r="E52">
        <v>0</v>
      </c>
      <c r="F52">
        <f t="shared" si="0"/>
        <v>0</v>
      </c>
      <c r="G52">
        <v>0</v>
      </c>
      <c r="H52">
        <v>0</v>
      </c>
      <c r="I52">
        <v>0</v>
      </c>
      <c r="J52">
        <f t="shared" si="1"/>
        <v>0</v>
      </c>
    </row>
    <row r="53" spans="1:10" x14ac:dyDescent="0.3">
      <c r="A53" t="s">
        <v>38</v>
      </c>
      <c r="B53" t="s">
        <v>116</v>
      </c>
      <c r="C53">
        <v>0</v>
      </c>
      <c r="D53">
        <v>0</v>
      </c>
      <c r="E53">
        <v>0</v>
      </c>
      <c r="F53">
        <f t="shared" si="0"/>
        <v>0</v>
      </c>
      <c r="G53">
        <v>0</v>
      </c>
      <c r="H53">
        <v>0</v>
      </c>
      <c r="I53">
        <v>0</v>
      </c>
      <c r="J53">
        <f t="shared" si="1"/>
        <v>0</v>
      </c>
    </row>
    <row r="54" spans="1:10" x14ac:dyDescent="0.3">
      <c r="A54" t="s">
        <v>38</v>
      </c>
      <c r="B54" t="s">
        <v>28</v>
      </c>
      <c r="C54">
        <v>0</v>
      </c>
      <c r="D54">
        <v>0</v>
      </c>
      <c r="E54">
        <v>0</v>
      </c>
      <c r="F54">
        <f t="shared" si="0"/>
        <v>0</v>
      </c>
      <c r="G54">
        <v>0</v>
      </c>
      <c r="H54">
        <v>0</v>
      </c>
      <c r="I54">
        <v>0</v>
      </c>
      <c r="J54">
        <f t="shared" si="1"/>
        <v>0</v>
      </c>
    </row>
    <row r="55" spans="1:10" x14ac:dyDescent="0.3">
      <c r="A55" t="s">
        <v>39</v>
      </c>
      <c r="B55" t="s">
        <v>113</v>
      </c>
      <c r="C55">
        <v>0</v>
      </c>
      <c r="D55">
        <v>5</v>
      </c>
      <c r="E55">
        <v>305</v>
      </c>
      <c r="F55">
        <f t="shared" si="0"/>
        <v>310</v>
      </c>
      <c r="G55">
        <v>0</v>
      </c>
      <c r="H55">
        <v>250000</v>
      </c>
      <c r="I55">
        <v>2800000</v>
      </c>
      <c r="J55">
        <f t="shared" si="1"/>
        <v>3050000</v>
      </c>
    </row>
    <row r="56" spans="1:10" x14ac:dyDescent="0.3">
      <c r="A56" t="s">
        <v>39</v>
      </c>
      <c r="B56" t="s">
        <v>29</v>
      </c>
      <c r="C56">
        <v>0</v>
      </c>
      <c r="D56">
        <v>0</v>
      </c>
      <c r="E56">
        <v>130</v>
      </c>
      <c r="F56">
        <f t="shared" si="0"/>
        <v>130</v>
      </c>
      <c r="G56">
        <v>0</v>
      </c>
      <c r="H56">
        <v>0</v>
      </c>
      <c r="I56">
        <v>16500000</v>
      </c>
      <c r="J56">
        <f t="shared" si="1"/>
        <v>16500000</v>
      </c>
    </row>
    <row r="57" spans="1:10" x14ac:dyDescent="0.3">
      <c r="A57" t="s">
        <v>39</v>
      </c>
      <c r="B57" t="s">
        <v>35</v>
      </c>
      <c r="C57">
        <v>0</v>
      </c>
      <c r="D57">
        <v>0</v>
      </c>
      <c r="E57">
        <v>60</v>
      </c>
      <c r="F57">
        <f t="shared" si="0"/>
        <v>60</v>
      </c>
      <c r="G57">
        <v>0</v>
      </c>
      <c r="H57">
        <v>0</v>
      </c>
      <c r="I57">
        <v>1600000</v>
      </c>
      <c r="J57">
        <f t="shared" si="1"/>
        <v>1600000</v>
      </c>
    </row>
    <row r="58" spans="1:10" x14ac:dyDescent="0.3">
      <c r="A58" t="s">
        <v>39</v>
      </c>
      <c r="B58" t="s">
        <v>114</v>
      </c>
      <c r="C58">
        <v>0</v>
      </c>
      <c r="D58">
        <v>0</v>
      </c>
      <c r="E58">
        <v>21</v>
      </c>
      <c r="F58">
        <f t="shared" si="0"/>
        <v>21</v>
      </c>
      <c r="G58">
        <v>0</v>
      </c>
      <c r="H58">
        <v>0</v>
      </c>
      <c r="I58">
        <v>7495800</v>
      </c>
      <c r="J58">
        <f t="shared" si="1"/>
        <v>7495800</v>
      </c>
    </row>
    <row r="59" spans="1:10" x14ac:dyDescent="0.3">
      <c r="A59" t="s">
        <v>39</v>
      </c>
      <c r="B59" t="s">
        <v>34</v>
      </c>
      <c r="C59">
        <v>0</v>
      </c>
      <c r="D59">
        <v>0</v>
      </c>
      <c r="E59">
        <v>132</v>
      </c>
      <c r="F59">
        <f t="shared" si="0"/>
        <v>132</v>
      </c>
      <c r="G59">
        <v>0</v>
      </c>
      <c r="H59">
        <v>0</v>
      </c>
      <c r="I59">
        <v>3960000</v>
      </c>
      <c r="J59">
        <f t="shared" si="1"/>
        <v>3960000</v>
      </c>
    </row>
    <row r="60" spans="1:10" x14ac:dyDescent="0.3">
      <c r="A60" t="s">
        <v>39</v>
      </c>
      <c r="B60" t="s">
        <v>30</v>
      </c>
      <c r="C60">
        <v>0</v>
      </c>
      <c r="D60">
        <v>0</v>
      </c>
      <c r="E60">
        <v>0</v>
      </c>
      <c r="F60">
        <f t="shared" si="0"/>
        <v>0</v>
      </c>
      <c r="G60">
        <v>0</v>
      </c>
      <c r="H60">
        <v>0</v>
      </c>
      <c r="I60">
        <v>0</v>
      </c>
      <c r="J60">
        <f t="shared" si="1"/>
        <v>0</v>
      </c>
    </row>
    <row r="61" spans="1:10" x14ac:dyDescent="0.3">
      <c r="A61" t="s">
        <v>39</v>
      </c>
      <c r="B61" t="s">
        <v>33</v>
      </c>
      <c r="C61">
        <v>0</v>
      </c>
      <c r="D61">
        <v>0</v>
      </c>
      <c r="E61">
        <v>0</v>
      </c>
      <c r="F61">
        <f t="shared" si="0"/>
        <v>0</v>
      </c>
      <c r="G61">
        <v>0</v>
      </c>
      <c r="H61">
        <v>0</v>
      </c>
      <c r="I61">
        <v>0</v>
      </c>
      <c r="J61">
        <f t="shared" si="1"/>
        <v>0</v>
      </c>
    </row>
    <row r="62" spans="1:10" x14ac:dyDescent="0.3">
      <c r="A62" t="s">
        <v>39</v>
      </c>
      <c r="B62" t="s">
        <v>32</v>
      </c>
      <c r="C62">
        <v>0</v>
      </c>
      <c r="D62">
        <v>0</v>
      </c>
      <c r="E62">
        <v>0</v>
      </c>
      <c r="F62">
        <f t="shared" si="0"/>
        <v>0</v>
      </c>
      <c r="G62">
        <v>0</v>
      </c>
      <c r="H62">
        <v>0</v>
      </c>
      <c r="I62">
        <v>0</v>
      </c>
      <c r="J62">
        <f t="shared" si="1"/>
        <v>0</v>
      </c>
    </row>
    <row r="63" spans="1:10" x14ac:dyDescent="0.3">
      <c r="A63" t="s">
        <v>39</v>
      </c>
      <c r="B63" t="s">
        <v>31</v>
      </c>
      <c r="C63">
        <v>0</v>
      </c>
      <c r="D63">
        <v>0</v>
      </c>
      <c r="E63">
        <v>0</v>
      </c>
      <c r="F63">
        <f t="shared" si="0"/>
        <v>0</v>
      </c>
      <c r="G63">
        <v>0</v>
      </c>
      <c r="H63">
        <v>0</v>
      </c>
      <c r="I63">
        <v>0</v>
      </c>
      <c r="J63">
        <f t="shared" si="1"/>
        <v>0</v>
      </c>
    </row>
    <row r="64" spans="1:10" x14ac:dyDescent="0.3">
      <c r="A64" t="s">
        <v>90</v>
      </c>
      <c r="B64" t="s">
        <v>94</v>
      </c>
      <c r="C64">
        <v>0</v>
      </c>
      <c r="D64">
        <v>0</v>
      </c>
      <c r="E64">
        <v>0</v>
      </c>
      <c r="F64">
        <f t="shared" si="0"/>
        <v>0</v>
      </c>
      <c r="G64">
        <v>0</v>
      </c>
      <c r="H64">
        <v>0</v>
      </c>
      <c r="I64">
        <v>0</v>
      </c>
      <c r="J64">
        <f t="shared" si="1"/>
        <v>0</v>
      </c>
    </row>
    <row r="65" spans="1:10" x14ac:dyDescent="0.3">
      <c r="A65" t="s">
        <v>90</v>
      </c>
      <c r="B65" t="s">
        <v>99</v>
      </c>
      <c r="C65">
        <v>0</v>
      </c>
      <c r="D65">
        <v>0</v>
      </c>
      <c r="E65">
        <v>10</v>
      </c>
      <c r="F65">
        <f t="shared" si="0"/>
        <v>10</v>
      </c>
      <c r="G65">
        <v>0</v>
      </c>
      <c r="H65">
        <v>0</v>
      </c>
      <c r="I65">
        <v>10000000</v>
      </c>
      <c r="J65">
        <f t="shared" si="1"/>
        <v>10000000</v>
      </c>
    </row>
    <row r="66" spans="1:10" x14ac:dyDescent="0.3">
      <c r="A66" t="s">
        <v>90</v>
      </c>
      <c r="B66" t="s">
        <v>98</v>
      </c>
      <c r="C66">
        <v>0</v>
      </c>
      <c r="D66">
        <v>0</v>
      </c>
      <c r="E66">
        <v>60</v>
      </c>
      <c r="F66">
        <f t="shared" ref="F66:F100" si="2">C66+D66+E66</f>
        <v>60</v>
      </c>
      <c r="G66">
        <v>0</v>
      </c>
      <c r="H66">
        <v>0</v>
      </c>
      <c r="I66">
        <v>10000000</v>
      </c>
      <c r="J66">
        <f t="shared" ref="J66:J100" si="3">G66+H66+I66</f>
        <v>10000000</v>
      </c>
    </row>
    <row r="67" spans="1:10" x14ac:dyDescent="0.3">
      <c r="A67" t="s">
        <v>90</v>
      </c>
      <c r="B67" t="s">
        <v>95</v>
      </c>
      <c r="C67">
        <v>0</v>
      </c>
      <c r="D67">
        <v>0</v>
      </c>
      <c r="E67">
        <v>0</v>
      </c>
      <c r="F67">
        <f t="shared" si="2"/>
        <v>0</v>
      </c>
      <c r="G67">
        <v>0</v>
      </c>
      <c r="H67">
        <v>0</v>
      </c>
      <c r="I67">
        <v>0</v>
      </c>
      <c r="J67">
        <f t="shared" si="3"/>
        <v>0</v>
      </c>
    </row>
    <row r="68" spans="1:10" x14ac:dyDescent="0.3">
      <c r="A68" t="s">
        <v>90</v>
      </c>
      <c r="B68" t="s">
        <v>40</v>
      </c>
      <c r="C68">
        <v>0</v>
      </c>
      <c r="D68">
        <v>3</v>
      </c>
      <c r="E68">
        <v>0</v>
      </c>
      <c r="F68">
        <f t="shared" si="2"/>
        <v>3</v>
      </c>
      <c r="G68">
        <v>0</v>
      </c>
      <c r="H68">
        <v>150000</v>
      </c>
      <c r="I68">
        <v>0</v>
      </c>
      <c r="J68">
        <f t="shared" si="3"/>
        <v>150000</v>
      </c>
    </row>
    <row r="69" spans="1:10" x14ac:dyDescent="0.3">
      <c r="A69" t="s">
        <v>90</v>
      </c>
      <c r="B69" t="s">
        <v>41</v>
      </c>
      <c r="C69">
        <v>0</v>
      </c>
      <c r="D69">
        <v>5</v>
      </c>
      <c r="E69">
        <v>0</v>
      </c>
      <c r="F69">
        <f t="shared" si="2"/>
        <v>5</v>
      </c>
      <c r="G69">
        <v>0</v>
      </c>
      <c r="H69">
        <v>250000</v>
      </c>
      <c r="I69">
        <v>0</v>
      </c>
      <c r="J69">
        <f t="shared" si="3"/>
        <v>250000</v>
      </c>
    </row>
    <row r="70" spans="1:10" x14ac:dyDescent="0.3">
      <c r="A70" t="s">
        <v>90</v>
      </c>
      <c r="B70" t="s">
        <v>97</v>
      </c>
      <c r="C70">
        <v>0</v>
      </c>
      <c r="D70">
        <v>42</v>
      </c>
      <c r="E70">
        <v>44</v>
      </c>
      <c r="F70">
        <f t="shared" si="2"/>
        <v>86</v>
      </c>
      <c r="G70">
        <v>0</v>
      </c>
      <c r="H70">
        <v>16640000</v>
      </c>
      <c r="I70">
        <v>10658000</v>
      </c>
      <c r="J70">
        <f t="shared" si="3"/>
        <v>27298000</v>
      </c>
    </row>
    <row r="71" spans="1:10" x14ac:dyDescent="0.3">
      <c r="A71" t="s">
        <v>90</v>
      </c>
      <c r="B71" t="s">
        <v>42</v>
      </c>
      <c r="C71">
        <v>0</v>
      </c>
      <c r="D71">
        <v>27</v>
      </c>
      <c r="E71">
        <v>43</v>
      </c>
      <c r="F71">
        <f t="shared" si="2"/>
        <v>70</v>
      </c>
      <c r="G71">
        <v>0</v>
      </c>
      <c r="H71">
        <v>4050000</v>
      </c>
      <c r="I71">
        <v>3225000</v>
      </c>
      <c r="J71">
        <f t="shared" si="3"/>
        <v>7275000</v>
      </c>
    </row>
    <row r="72" spans="1:10" x14ac:dyDescent="0.3">
      <c r="A72" t="s">
        <v>90</v>
      </c>
      <c r="B72" t="s">
        <v>43</v>
      </c>
      <c r="C72">
        <v>0</v>
      </c>
      <c r="D72">
        <v>4</v>
      </c>
      <c r="E72">
        <v>17</v>
      </c>
      <c r="F72">
        <f t="shared" si="2"/>
        <v>21</v>
      </c>
      <c r="G72">
        <v>0</v>
      </c>
      <c r="H72">
        <v>400000</v>
      </c>
      <c r="I72">
        <v>1190000</v>
      </c>
      <c r="J72">
        <f t="shared" si="3"/>
        <v>1590000</v>
      </c>
    </row>
    <row r="73" spans="1:10" x14ac:dyDescent="0.3">
      <c r="A73" t="s">
        <v>90</v>
      </c>
      <c r="B73" t="s">
        <v>96</v>
      </c>
      <c r="C73">
        <v>0</v>
      </c>
      <c r="D73">
        <v>0</v>
      </c>
      <c r="E73">
        <v>67</v>
      </c>
      <c r="F73">
        <f t="shared" si="2"/>
        <v>67</v>
      </c>
      <c r="G73">
        <v>0</v>
      </c>
      <c r="H73">
        <v>0</v>
      </c>
      <c r="I73">
        <v>5050000</v>
      </c>
      <c r="J73">
        <f t="shared" si="3"/>
        <v>5050000</v>
      </c>
    </row>
    <row r="74" spans="1:10" x14ac:dyDescent="0.3">
      <c r="A74" t="s">
        <v>76</v>
      </c>
      <c r="B74" t="s">
        <v>52</v>
      </c>
      <c r="C74">
        <v>0</v>
      </c>
      <c r="D74">
        <v>0</v>
      </c>
      <c r="E74">
        <v>32</v>
      </c>
      <c r="F74">
        <f t="shared" si="2"/>
        <v>32</v>
      </c>
      <c r="G74">
        <v>0</v>
      </c>
      <c r="H74">
        <v>0</v>
      </c>
      <c r="I74">
        <v>4000000</v>
      </c>
      <c r="J74">
        <f t="shared" si="3"/>
        <v>4000000</v>
      </c>
    </row>
    <row r="75" spans="1:10" x14ac:dyDescent="0.3">
      <c r="A75" t="s">
        <v>76</v>
      </c>
      <c r="B75" t="s">
        <v>53</v>
      </c>
      <c r="C75">
        <v>0</v>
      </c>
      <c r="D75">
        <v>0</v>
      </c>
      <c r="E75">
        <v>0</v>
      </c>
      <c r="F75">
        <f t="shared" si="2"/>
        <v>0</v>
      </c>
      <c r="G75">
        <v>0</v>
      </c>
      <c r="H75">
        <v>0</v>
      </c>
      <c r="I75">
        <v>0</v>
      </c>
      <c r="J75">
        <f t="shared" si="3"/>
        <v>0</v>
      </c>
    </row>
    <row r="76" spans="1:10" x14ac:dyDescent="0.3">
      <c r="A76" t="s">
        <v>76</v>
      </c>
      <c r="B76" t="s">
        <v>54</v>
      </c>
      <c r="C76">
        <v>0</v>
      </c>
      <c r="D76">
        <v>0</v>
      </c>
      <c r="E76">
        <v>232</v>
      </c>
      <c r="F76">
        <f t="shared" si="2"/>
        <v>232</v>
      </c>
      <c r="G76">
        <v>0</v>
      </c>
      <c r="H76">
        <v>0</v>
      </c>
      <c r="I76">
        <v>11600000</v>
      </c>
      <c r="J76">
        <f t="shared" si="3"/>
        <v>11600000</v>
      </c>
    </row>
    <row r="77" spans="1:10" x14ac:dyDescent="0.3">
      <c r="A77" t="s">
        <v>76</v>
      </c>
      <c r="B77" t="s">
        <v>55</v>
      </c>
      <c r="C77">
        <v>0</v>
      </c>
      <c r="D77">
        <v>0</v>
      </c>
      <c r="E77">
        <v>0</v>
      </c>
      <c r="F77">
        <f t="shared" si="2"/>
        <v>0</v>
      </c>
      <c r="G77">
        <v>0</v>
      </c>
      <c r="H77">
        <v>0</v>
      </c>
      <c r="I77">
        <v>0</v>
      </c>
      <c r="J77">
        <f t="shared" si="3"/>
        <v>0</v>
      </c>
    </row>
    <row r="78" spans="1:10" x14ac:dyDescent="0.3">
      <c r="A78" t="s">
        <v>76</v>
      </c>
      <c r="B78" t="s">
        <v>56</v>
      </c>
      <c r="C78">
        <v>0</v>
      </c>
      <c r="D78">
        <v>0</v>
      </c>
      <c r="E78">
        <v>0</v>
      </c>
      <c r="F78">
        <f t="shared" si="2"/>
        <v>0</v>
      </c>
      <c r="G78">
        <v>0</v>
      </c>
      <c r="H78">
        <v>0</v>
      </c>
      <c r="I78">
        <v>0</v>
      </c>
      <c r="J78">
        <f t="shared" si="3"/>
        <v>0</v>
      </c>
    </row>
    <row r="79" spans="1:10" x14ac:dyDescent="0.3">
      <c r="A79" t="s">
        <v>76</v>
      </c>
      <c r="B79" t="s">
        <v>57</v>
      </c>
      <c r="C79">
        <v>0</v>
      </c>
      <c r="D79">
        <v>0</v>
      </c>
      <c r="E79">
        <v>0</v>
      </c>
      <c r="F79">
        <f t="shared" si="2"/>
        <v>0</v>
      </c>
      <c r="G79">
        <v>0</v>
      </c>
      <c r="H79">
        <v>0</v>
      </c>
      <c r="I79">
        <v>0</v>
      </c>
      <c r="J79">
        <f t="shared" si="3"/>
        <v>0</v>
      </c>
    </row>
    <row r="80" spans="1:10" x14ac:dyDescent="0.3">
      <c r="A80" t="s">
        <v>76</v>
      </c>
      <c r="B80" t="s">
        <v>58</v>
      </c>
      <c r="C80">
        <v>0</v>
      </c>
      <c r="D80">
        <v>0</v>
      </c>
      <c r="E80">
        <v>0</v>
      </c>
      <c r="F80">
        <f t="shared" si="2"/>
        <v>0</v>
      </c>
      <c r="G80">
        <v>0</v>
      </c>
      <c r="H80">
        <v>0</v>
      </c>
      <c r="I80">
        <v>0</v>
      </c>
      <c r="J80">
        <f t="shared" si="3"/>
        <v>0</v>
      </c>
    </row>
    <row r="81" spans="1:10" x14ac:dyDescent="0.3">
      <c r="A81" t="s">
        <v>76</v>
      </c>
      <c r="B81" t="s">
        <v>59</v>
      </c>
      <c r="C81">
        <v>0</v>
      </c>
      <c r="D81">
        <v>0</v>
      </c>
      <c r="E81">
        <v>0</v>
      </c>
      <c r="F81">
        <f t="shared" si="2"/>
        <v>0</v>
      </c>
      <c r="G81">
        <v>0</v>
      </c>
      <c r="H81">
        <v>0</v>
      </c>
      <c r="I81">
        <v>0</v>
      </c>
      <c r="J81">
        <f t="shared" si="3"/>
        <v>0</v>
      </c>
    </row>
    <row r="82" spans="1:10" x14ac:dyDescent="0.3">
      <c r="A82" t="s">
        <v>76</v>
      </c>
      <c r="B82" t="s">
        <v>60</v>
      </c>
      <c r="C82">
        <v>0</v>
      </c>
      <c r="D82">
        <v>0</v>
      </c>
      <c r="E82">
        <v>0</v>
      </c>
      <c r="F82">
        <f t="shared" si="2"/>
        <v>0</v>
      </c>
      <c r="G82">
        <v>0</v>
      </c>
      <c r="H82">
        <v>0</v>
      </c>
      <c r="I82">
        <v>0</v>
      </c>
      <c r="J82">
        <f t="shared" si="3"/>
        <v>0</v>
      </c>
    </row>
    <row r="83" spans="1:10" x14ac:dyDescent="0.3">
      <c r="A83" t="s">
        <v>76</v>
      </c>
      <c r="B83" t="s">
        <v>61</v>
      </c>
      <c r="C83">
        <v>0</v>
      </c>
      <c r="D83">
        <v>0</v>
      </c>
      <c r="E83">
        <v>0</v>
      </c>
      <c r="F83">
        <f t="shared" si="2"/>
        <v>0</v>
      </c>
      <c r="G83">
        <v>0</v>
      </c>
      <c r="H83">
        <v>0</v>
      </c>
      <c r="I83">
        <v>0</v>
      </c>
      <c r="J83">
        <f t="shared" si="3"/>
        <v>0</v>
      </c>
    </row>
    <row r="84" spans="1:10" x14ac:dyDescent="0.3">
      <c r="A84" t="s">
        <v>76</v>
      </c>
      <c r="B84" t="s">
        <v>103</v>
      </c>
      <c r="C84">
        <v>0</v>
      </c>
      <c r="D84">
        <v>0</v>
      </c>
      <c r="E84">
        <v>0</v>
      </c>
      <c r="F84">
        <f t="shared" si="2"/>
        <v>0</v>
      </c>
      <c r="G84">
        <v>0</v>
      </c>
      <c r="H84">
        <v>0</v>
      </c>
      <c r="I84">
        <v>0</v>
      </c>
      <c r="J84">
        <f t="shared" si="3"/>
        <v>0</v>
      </c>
    </row>
    <row r="85" spans="1:10" x14ac:dyDescent="0.3">
      <c r="A85" t="s">
        <v>76</v>
      </c>
      <c r="B85" t="s">
        <v>62</v>
      </c>
      <c r="C85">
        <v>0</v>
      </c>
      <c r="D85">
        <v>0</v>
      </c>
      <c r="E85">
        <v>0</v>
      </c>
      <c r="F85">
        <f t="shared" si="2"/>
        <v>0</v>
      </c>
      <c r="G85">
        <v>0</v>
      </c>
      <c r="H85">
        <v>0</v>
      </c>
      <c r="I85">
        <v>0</v>
      </c>
      <c r="J85">
        <f t="shared" si="3"/>
        <v>0</v>
      </c>
    </row>
    <row r="86" spans="1:10" x14ac:dyDescent="0.3">
      <c r="A86" t="s">
        <v>76</v>
      </c>
      <c r="B86" t="s">
        <v>63</v>
      </c>
      <c r="C86">
        <v>0</v>
      </c>
      <c r="D86">
        <v>0</v>
      </c>
      <c r="E86">
        <v>0</v>
      </c>
      <c r="F86">
        <f t="shared" si="2"/>
        <v>0</v>
      </c>
      <c r="G86">
        <v>0</v>
      </c>
      <c r="H86">
        <v>0</v>
      </c>
      <c r="I86">
        <v>0</v>
      </c>
      <c r="J86">
        <f t="shared" si="3"/>
        <v>0</v>
      </c>
    </row>
    <row r="87" spans="1:10" x14ac:dyDescent="0.3">
      <c r="A87" t="s">
        <v>76</v>
      </c>
      <c r="B87" t="s">
        <v>64</v>
      </c>
      <c r="C87">
        <v>0</v>
      </c>
      <c r="D87">
        <v>0</v>
      </c>
      <c r="E87">
        <v>0</v>
      </c>
      <c r="F87">
        <f t="shared" si="2"/>
        <v>0</v>
      </c>
      <c r="G87">
        <v>0</v>
      </c>
      <c r="H87">
        <v>0</v>
      </c>
      <c r="I87">
        <v>0</v>
      </c>
      <c r="J87">
        <f t="shared" si="3"/>
        <v>0</v>
      </c>
    </row>
    <row r="88" spans="1:10" x14ac:dyDescent="0.3">
      <c r="A88" t="s">
        <v>76</v>
      </c>
      <c r="B88" t="s">
        <v>65</v>
      </c>
      <c r="C88">
        <v>0</v>
      </c>
      <c r="D88">
        <v>0</v>
      </c>
      <c r="E88">
        <v>0</v>
      </c>
      <c r="F88">
        <f t="shared" si="2"/>
        <v>0</v>
      </c>
      <c r="G88">
        <v>0</v>
      </c>
      <c r="H88">
        <v>0</v>
      </c>
      <c r="I88">
        <v>0</v>
      </c>
      <c r="J88">
        <f t="shared" si="3"/>
        <v>0</v>
      </c>
    </row>
    <row r="89" spans="1:10" x14ac:dyDescent="0.3">
      <c r="A89" t="s">
        <v>77</v>
      </c>
      <c r="B89" t="s">
        <v>118</v>
      </c>
      <c r="C89">
        <v>0</v>
      </c>
      <c r="D89">
        <v>0</v>
      </c>
      <c r="E89">
        <v>5</v>
      </c>
      <c r="F89">
        <f t="shared" si="2"/>
        <v>5</v>
      </c>
      <c r="G89">
        <v>0</v>
      </c>
      <c r="H89">
        <v>0</v>
      </c>
      <c r="I89">
        <v>0</v>
      </c>
      <c r="J89">
        <f t="shared" si="3"/>
        <v>0</v>
      </c>
    </row>
    <row r="90" spans="1:10" x14ac:dyDescent="0.3">
      <c r="A90" t="s">
        <v>77</v>
      </c>
      <c r="B90" t="s">
        <v>66</v>
      </c>
      <c r="C90">
        <v>0</v>
      </c>
      <c r="D90">
        <v>0</v>
      </c>
      <c r="E90">
        <v>230</v>
      </c>
      <c r="F90">
        <f t="shared" si="2"/>
        <v>230</v>
      </c>
      <c r="G90">
        <v>0</v>
      </c>
      <c r="H90">
        <v>0</v>
      </c>
      <c r="I90">
        <v>20000000</v>
      </c>
      <c r="J90">
        <f t="shared" si="3"/>
        <v>20000000</v>
      </c>
    </row>
    <row r="91" spans="1:10" x14ac:dyDescent="0.3">
      <c r="A91" t="s">
        <v>77</v>
      </c>
      <c r="B91" t="s">
        <v>67</v>
      </c>
      <c r="C91">
        <v>0</v>
      </c>
      <c r="D91">
        <v>0</v>
      </c>
      <c r="E91">
        <v>0</v>
      </c>
      <c r="F91">
        <f t="shared" si="2"/>
        <v>0</v>
      </c>
      <c r="G91">
        <v>0</v>
      </c>
      <c r="H91">
        <v>0</v>
      </c>
      <c r="I91">
        <v>0</v>
      </c>
      <c r="J91">
        <f t="shared" si="3"/>
        <v>0</v>
      </c>
    </row>
    <row r="92" spans="1:10" x14ac:dyDescent="0.3">
      <c r="A92" t="s">
        <v>77</v>
      </c>
      <c r="B92" t="s">
        <v>68</v>
      </c>
      <c r="C92">
        <v>0</v>
      </c>
      <c r="D92">
        <v>0</v>
      </c>
      <c r="E92">
        <v>90</v>
      </c>
      <c r="F92">
        <f t="shared" si="2"/>
        <v>90</v>
      </c>
      <c r="G92">
        <v>0</v>
      </c>
      <c r="H92">
        <v>0</v>
      </c>
      <c r="I92">
        <v>5000000</v>
      </c>
      <c r="J92">
        <f t="shared" si="3"/>
        <v>5000000</v>
      </c>
    </row>
    <row r="93" spans="1:10" x14ac:dyDescent="0.3">
      <c r="A93" t="s">
        <v>77</v>
      </c>
      <c r="B93" t="s">
        <v>69</v>
      </c>
      <c r="C93">
        <v>0</v>
      </c>
      <c r="D93">
        <v>0</v>
      </c>
      <c r="E93">
        <v>600</v>
      </c>
      <c r="F93">
        <f t="shared" si="2"/>
        <v>600</v>
      </c>
      <c r="G93">
        <v>0</v>
      </c>
      <c r="H93">
        <v>0</v>
      </c>
      <c r="I93">
        <v>25000000</v>
      </c>
      <c r="J93">
        <f t="shared" si="3"/>
        <v>25000000</v>
      </c>
    </row>
    <row r="94" spans="1:10" x14ac:dyDescent="0.3">
      <c r="A94" t="s">
        <v>77</v>
      </c>
      <c r="B94" t="s">
        <v>70</v>
      </c>
      <c r="C94">
        <v>0</v>
      </c>
      <c r="D94">
        <v>0</v>
      </c>
      <c r="E94">
        <v>58</v>
      </c>
      <c r="F94">
        <f t="shared" si="2"/>
        <v>58</v>
      </c>
      <c r="G94">
        <v>0</v>
      </c>
      <c r="H94">
        <v>0</v>
      </c>
      <c r="I94">
        <v>2000000</v>
      </c>
      <c r="J94">
        <f t="shared" si="3"/>
        <v>2000000</v>
      </c>
    </row>
    <row r="95" spans="1:10" x14ac:dyDescent="0.3">
      <c r="A95" t="s">
        <v>91</v>
      </c>
      <c r="B95" t="s">
        <v>71</v>
      </c>
      <c r="C95">
        <v>0</v>
      </c>
      <c r="D95">
        <v>0</v>
      </c>
      <c r="E95">
        <v>0</v>
      </c>
      <c r="F95">
        <f t="shared" si="2"/>
        <v>0</v>
      </c>
      <c r="G95">
        <v>0</v>
      </c>
      <c r="H95">
        <v>0</v>
      </c>
      <c r="I95">
        <v>0</v>
      </c>
      <c r="J95">
        <f t="shared" si="3"/>
        <v>0</v>
      </c>
    </row>
    <row r="96" spans="1:10" x14ac:dyDescent="0.3">
      <c r="A96" t="s">
        <v>91</v>
      </c>
      <c r="B96" t="s">
        <v>72</v>
      </c>
      <c r="C96">
        <v>0</v>
      </c>
      <c r="D96">
        <v>0</v>
      </c>
      <c r="E96">
        <v>3</v>
      </c>
      <c r="F96">
        <f t="shared" si="2"/>
        <v>3</v>
      </c>
      <c r="G96">
        <v>0</v>
      </c>
      <c r="H96">
        <v>0</v>
      </c>
      <c r="I96">
        <v>250000</v>
      </c>
      <c r="J96">
        <f t="shared" si="3"/>
        <v>250000</v>
      </c>
    </row>
    <row r="97" spans="1:10" x14ac:dyDescent="0.3">
      <c r="A97" t="s">
        <v>91</v>
      </c>
      <c r="B97" t="s">
        <v>73</v>
      </c>
      <c r="C97">
        <v>0</v>
      </c>
      <c r="D97">
        <v>0</v>
      </c>
      <c r="E97">
        <v>42</v>
      </c>
      <c r="F97">
        <f t="shared" si="2"/>
        <v>42</v>
      </c>
      <c r="G97">
        <v>0</v>
      </c>
      <c r="H97">
        <v>0</v>
      </c>
      <c r="I97">
        <v>2100000</v>
      </c>
      <c r="J97">
        <f t="shared" si="3"/>
        <v>2100000</v>
      </c>
    </row>
    <row r="98" spans="1:10" x14ac:dyDescent="0.3">
      <c r="A98" t="s">
        <v>91</v>
      </c>
      <c r="B98" t="s">
        <v>74</v>
      </c>
      <c r="C98">
        <v>0</v>
      </c>
      <c r="D98">
        <v>0</v>
      </c>
      <c r="E98">
        <v>186</v>
      </c>
      <c r="F98">
        <f t="shared" si="2"/>
        <v>186</v>
      </c>
      <c r="G98">
        <v>0</v>
      </c>
      <c r="H98">
        <v>0</v>
      </c>
      <c r="I98">
        <v>9600000</v>
      </c>
      <c r="J98">
        <f t="shared" si="3"/>
        <v>9600000</v>
      </c>
    </row>
    <row r="99" spans="1:10" x14ac:dyDescent="0.3">
      <c r="A99" t="s">
        <v>91</v>
      </c>
      <c r="B99" t="s">
        <v>75</v>
      </c>
      <c r="C99">
        <v>0</v>
      </c>
      <c r="D99">
        <v>0</v>
      </c>
      <c r="E99">
        <v>117</v>
      </c>
      <c r="F99">
        <f t="shared" si="2"/>
        <v>117</v>
      </c>
      <c r="G99">
        <v>0</v>
      </c>
      <c r="H99">
        <v>0</v>
      </c>
      <c r="I99">
        <v>2340000</v>
      </c>
      <c r="J99">
        <f t="shared" si="3"/>
        <v>2340000</v>
      </c>
    </row>
    <row r="100" spans="1:10" x14ac:dyDescent="0.3">
      <c r="A100" t="s">
        <v>91</v>
      </c>
      <c r="B100" t="s">
        <v>123</v>
      </c>
      <c r="C100">
        <v>0</v>
      </c>
      <c r="D100">
        <v>21</v>
      </c>
      <c r="E100">
        <v>0</v>
      </c>
      <c r="F100">
        <f t="shared" si="2"/>
        <v>21</v>
      </c>
      <c r="G100">
        <v>0</v>
      </c>
      <c r="H100">
        <v>630000</v>
      </c>
      <c r="I100">
        <v>0</v>
      </c>
      <c r="J100">
        <f t="shared" si="3"/>
        <v>630000</v>
      </c>
    </row>
  </sheetData>
  <mergeCells count="2">
    <mergeCell ref="C1:F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D461-2F81-4E04-8775-526A4FCFC2F8}">
  <dimension ref="A1:H100"/>
  <sheetViews>
    <sheetView topLeftCell="A85" workbookViewId="0">
      <selection activeCell="A2" sqref="A2"/>
    </sheetView>
  </sheetViews>
  <sheetFormatPr defaultRowHeight="14.4" x14ac:dyDescent="0.3"/>
  <cols>
    <col min="1" max="1" width="10.21875" bestFit="1" customWidth="1"/>
    <col min="2" max="2" width="19.21875" bestFit="1" customWidth="1"/>
    <col min="3" max="3" width="20.88671875" bestFit="1" customWidth="1"/>
    <col min="4" max="4" width="33.109375" bestFit="1" customWidth="1"/>
    <col min="5" max="5" width="20.88671875" bestFit="1" customWidth="1"/>
    <col min="6" max="6" width="33.109375" bestFit="1" customWidth="1"/>
  </cols>
  <sheetData>
    <row r="1" spans="1:8" x14ac:dyDescent="0.3">
      <c r="C1" s="5" t="s">
        <v>88</v>
      </c>
      <c r="D1" s="5"/>
      <c r="E1" s="5" t="s">
        <v>89</v>
      </c>
      <c r="F1" s="5"/>
      <c r="G1" s="6" t="s">
        <v>119</v>
      </c>
      <c r="H1" s="6"/>
    </row>
    <row r="2" spans="1:8" x14ac:dyDescent="0.3">
      <c r="A2" t="s">
        <v>78</v>
      </c>
      <c r="B2" t="s">
        <v>79</v>
      </c>
      <c r="C2" t="s">
        <v>86</v>
      </c>
      <c r="D2" t="s">
        <v>87</v>
      </c>
      <c r="E2" t="s">
        <v>86</v>
      </c>
      <c r="F2" t="s">
        <v>87</v>
      </c>
      <c r="G2" s="3" t="s">
        <v>120</v>
      </c>
      <c r="H2" s="4" t="s">
        <v>121</v>
      </c>
    </row>
    <row r="3" spans="1:8" x14ac:dyDescent="0.3">
      <c r="A3" t="s">
        <v>92</v>
      </c>
      <c r="B3" t="s">
        <v>108</v>
      </c>
      <c r="C3">
        <v>0</v>
      </c>
      <c r="D3">
        <v>0</v>
      </c>
      <c r="E3">
        <v>360.15</v>
      </c>
      <c r="F3">
        <v>7927261.6500000004</v>
      </c>
      <c r="G3">
        <f>C3+E3</f>
        <v>360.15</v>
      </c>
      <c r="H3">
        <f>D3+F3</f>
        <v>7927261.6500000004</v>
      </c>
    </row>
    <row r="4" spans="1:8" x14ac:dyDescent="0.3">
      <c r="A4" t="s">
        <v>92</v>
      </c>
      <c r="B4" t="s">
        <v>107</v>
      </c>
      <c r="C4">
        <v>0</v>
      </c>
      <c r="D4">
        <v>0</v>
      </c>
      <c r="E4">
        <v>0</v>
      </c>
      <c r="F4">
        <v>0</v>
      </c>
      <c r="G4">
        <f t="shared" ref="G4:G65" si="0">C4+E4</f>
        <v>0</v>
      </c>
      <c r="H4">
        <f t="shared" ref="H4:H65" si="1">D4+F4</f>
        <v>0</v>
      </c>
    </row>
    <row r="5" spans="1:8" x14ac:dyDescent="0.3">
      <c r="A5" t="s">
        <v>92</v>
      </c>
      <c r="B5" t="s">
        <v>0</v>
      </c>
      <c r="C5">
        <v>0</v>
      </c>
      <c r="D5">
        <v>0</v>
      </c>
      <c r="E5">
        <v>0</v>
      </c>
      <c r="F5">
        <v>0</v>
      </c>
      <c r="G5">
        <f t="shared" si="0"/>
        <v>0</v>
      </c>
      <c r="H5">
        <f t="shared" si="1"/>
        <v>0</v>
      </c>
    </row>
    <row r="6" spans="1:8" x14ac:dyDescent="0.3">
      <c r="A6" t="s">
        <v>92</v>
      </c>
      <c r="B6" t="s">
        <v>106</v>
      </c>
      <c r="C6">
        <v>0</v>
      </c>
      <c r="D6">
        <v>0</v>
      </c>
      <c r="E6">
        <v>1381</v>
      </c>
      <c r="F6">
        <v>58550257</v>
      </c>
      <c r="G6">
        <f t="shared" si="0"/>
        <v>1381</v>
      </c>
      <c r="H6">
        <f t="shared" si="1"/>
        <v>58550257</v>
      </c>
    </row>
    <row r="7" spans="1:8" x14ac:dyDescent="0.3">
      <c r="A7" t="s">
        <v>13</v>
      </c>
      <c r="B7" t="s">
        <v>10</v>
      </c>
      <c r="C7">
        <v>0</v>
      </c>
      <c r="D7">
        <v>0</v>
      </c>
      <c r="E7">
        <v>769</v>
      </c>
      <c r="F7">
        <v>1538000</v>
      </c>
      <c r="G7">
        <f t="shared" si="0"/>
        <v>769</v>
      </c>
      <c r="H7">
        <f t="shared" si="1"/>
        <v>1538000</v>
      </c>
    </row>
    <row r="8" spans="1:8" x14ac:dyDescent="0.3">
      <c r="A8" t="s">
        <v>13</v>
      </c>
      <c r="B8" t="s">
        <v>93</v>
      </c>
      <c r="C8">
        <v>0</v>
      </c>
      <c r="D8">
        <v>0</v>
      </c>
      <c r="E8">
        <v>100</v>
      </c>
      <c r="F8">
        <v>1212400</v>
      </c>
      <c r="G8">
        <f t="shared" si="0"/>
        <v>100</v>
      </c>
      <c r="H8">
        <f t="shared" si="1"/>
        <v>1212400</v>
      </c>
    </row>
    <row r="9" spans="1:8" x14ac:dyDescent="0.3">
      <c r="A9" t="s">
        <v>13</v>
      </c>
      <c r="B9" t="s">
        <v>122</v>
      </c>
      <c r="C9">
        <v>0</v>
      </c>
      <c r="D9">
        <v>0</v>
      </c>
      <c r="E9">
        <v>134.94999999999999</v>
      </c>
      <c r="F9">
        <v>6560594.25</v>
      </c>
      <c r="G9">
        <f t="shared" si="0"/>
        <v>134.94999999999999</v>
      </c>
      <c r="H9">
        <f t="shared" si="1"/>
        <v>6560594.25</v>
      </c>
    </row>
    <row r="10" spans="1:8" x14ac:dyDescent="0.3">
      <c r="A10" t="s">
        <v>13</v>
      </c>
      <c r="B10" t="s">
        <v>2</v>
      </c>
      <c r="C10">
        <v>0</v>
      </c>
      <c r="D10">
        <v>0</v>
      </c>
      <c r="E10">
        <v>1158</v>
      </c>
      <c r="F10">
        <v>22198860</v>
      </c>
      <c r="G10">
        <f t="shared" si="0"/>
        <v>1158</v>
      </c>
      <c r="H10">
        <f t="shared" si="1"/>
        <v>22198860</v>
      </c>
    </row>
    <row r="11" spans="1:8" x14ac:dyDescent="0.3">
      <c r="A11" t="s">
        <v>13</v>
      </c>
      <c r="B11" t="s">
        <v>3</v>
      </c>
      <c r="C11">
        <v>1573</v>
      </c>
      <c r="D11">
        <v>1941003.35</v>
      </c>
      <c r="E11">
        <v>3082</v>
      </c>
      <c r="F11">
        <v>3199917.32</v>
      </c>
      <c r="G11">
        <f t="shared" si="0"/>
        <v>4655</v>
      </c>
      <c r="H11">
        <f t="shared" si="1"/>
        <v>5140920.67</v>
      </c>
    </row>
    <row r="12" spans="1:8" x14ac:dyDescent="0.3">
      <c r="A12" t="s">
        <v>13</v>
      </c>
      <c r="B12" t="s">
        <v>1</v>
      </c>
      <c r="C12">
        <v>0</v>
      </c>
      <c r="D12">
        <v>0</v>
      </c>
      <c r="E12">
        <v>114</v>
      </c>
      <c r="F12">
        <v>857850</v>
      </c>
      <c r="G12">
        <f t="shared" si="0"/>
        <v>114</v>
      </c>
      <c r="H12">
        <f t="shared" si="1"/>
        <v>857850</v>
      </c>
    </row>
    <row r="13" spans="1:8" x14ac:dyDescent="0.3">
      <c r="A13" t="s">
        <v>14</v>
      </c>
      <c r="B13" t="s">
        <v>11</v>
      </c>
      <c r="C13">
        <v>235</v>
      </c>
      <c r="D13">
        <v>7693900</v>
      </c>
      <c r="E13">
        <v>0</v>
      </c>
      <c r="F13">
        <v>0</v>
      </c>
      <c r="G13">
        <f t="shared" si="0"/>
        <v>235</v>
      </c>
      <c r="H13">
        <f t="shared" si="1"/>
        <v>7693900</v>
      </c>
    </row>
    <row r="14" spans="1:8" x14ac:dyDescent="0.3">
      <c r="A14" t="s">
        <v>14</v>
      </c>
      <c r="B14" t="s">
        <v>100</v>
      </c>
      <c r="C14">
        <v>0</v>
      </c>
      <c r="D14">
        <v>0</v>
      </c>
      <c r="E14">
        <v>6304</v>
      </c>
      <c r="F14">
        <v>59755868.159999996</v>
      </c>
      <c r="G14">
        <f t="shared" si="0"/>
        <v>6304</v>
      </c>
      <c r="H14">
        <f t="shared" si="1"/>
        <v>59755868.159999996</v>
      </c>
    </row>
    <row r="15" spans="1:8" x14ac:dyDescent="0.3">
      <c r="A15" t="s">
        <v>14</v>
      </c>
      <c r="B15" t="s">
        <v>4</v>
      </c>
      <c r="C15">
        <v>2651</v>
      </c>
      <c r="D15">
        <v>13255000</v>
      </c>
      <c r="E15">
        <v>0</v>
      </c>
      <c r="F15">
        <v>0</v>
      </c>
      <c r="G15">
        <f t="shared" si="0"/>
        <v>2651</v>
      </c>
      <c r="H15">
        <f t="shared" si="1"/>
        <v>13255000</v>
      </c>
    </row>
    <row r="16" spans="1:8" x14ac:dyDescent="0.3">
      <c r="A16" t="s">
        <v>14</v>
      </c>
      <c r="B16" t="s">
        <v>5</v>
      </c>
      <c r="C16">
        <v>0</v>
      </c>
      <c r="D16">
        <v>0</v>
      </c>
      <c r="E16">
        <v>7181</v>
      </c>
      <c r="F16">
        <v>24199970</v>
      </c>
      <c r="G16">
        <f t="shared" si="0"/>
        <v>7181</v>
      </c>
      <c r="H16">
        <f t="shared" si="1"/>
        <v>24199970</v>
      </c>
    </row>
    <row r="17" spans="1:8" x14ac:dyDescent="0.3">
      <c r="A17" t="s">
        <v>14</v>
      </c>
      <c r="B17" t="s">
        <v>6</v>
      </c>
      <c r="C17">
        <v>1307</v>
      </c>
      <c r="D17">
        <v>11763000</v>
      </c>
      <c r="E17">
        <v>0</v>
      </c>
      <c r="F17">
        <v>0</v>
      </c>
      <c r="G17">
        <f t="shared" si="0"/>
        <v>1307</v>
      </c>
      <c r="H17">
        <f t="shared" si="1"/>
        <v>11763000</v>
      </c>
    </row>
    <row r="18" spans="1:8" x14ac:dyDescent="0.3">
      <c r="A18" t="s">
        <v>14</v>
      </c>
      <c r="B18" t="s">
        <v>101</v>
      </c>
      <c r="C18">
        <v>0</v>
      </c>
      <c r="D18">
        <v>0</v>
      </c>
      <c r="E18">
        <v>7181</v>
      </c>
      <c r="F18">
        <v>44881250</v>
      </c>
      <c r="G18">
        <f t="shared" si="0"/>
        <v>7181</v>
      </c>
      <c r="H18">
        <f t="shared" si="1"/>
        <v>44881250</v>
      </c>
    </row>
    <row r="19" spans="1:8" x14ac:dyDescent="0.3">
      <c r="A19" t="s">
        <v>14</v>
      </c>
      <c r="B19" t="s">
        <v>102</v>
      </c>
      <c r="C19">
        <v>400</v>
      </c>
      <c r="D19">
        <v>36000000</v>
      </c>
      <c r="E19">
        <v>565</v>
      </c>
      <c r="F19">
        <v>22600000</v>
      </c>
      <c r="G19">
        <f t="shared" si="0"/>
        <v>965</v>
      </c>
      <c r="H19">
        <f t="shared" si="1"/>
        <v>58600000</v>
      </c>
    </row>
    <row r="20" spans="1:8" x14ac:dyDescent="0.3">
      <c r="A20" t="s">
        <v>15</v>
      </c>
      <c r="B20" t="s">
        <v>7</v>
      </c>
      <c r="C20">
        <v>1.5</v>
      </c>
      <c r="D20">
        <v>272500</v>
      </c>
      <c r="E20">
        <v>32</v>
      </c>
      <c r="F20">
        <v>1445000</v>
      </c>
      <c r="G20">
        <f t="shared" si="0"/>
        <v>33.5</v>
      </c>
      <c r="H20">
        <f t="shared" si="1"/>
        <v>1717500</v>
      </c>
    </row>
    <row r="21" spans="1:8" x14ac:dyDescent="0.3">
      <c r="A21" t="s">
        <v>15</v>
      </c>
      <c r="B21" t="s">
        <v>104</v>
      </c>
      <c r="C21">
        <v>9</v>
      </c>
      <c r="D21">
        <v>3153528.99</v>
      </c>
      <c r="E21">
        <v>9</v>
      </c>
      <c r="F21">
        <v>492352.2</v>
      </c>
      <c r="G21">
        <f t="shared" si="0"/>
        <v>18</v>
      </c>
      <c r="H21">
        <f t="shared" si="1"/>
        <v>3645881.1900000004</v>
      </c>
    </row>
    <row r="22" spans="1:8" x14ac:dyDescent="0.3">
      <c r="A22" t="s">
        <v>15</v>
      </c>
      <c r="B22" t="s">
        <v>12</v>
      </c>
      <c r="C22">
        <v>0</v>
      </c>
      <c r="D22">
        <v>0</v>
      </c>
      <c r="E22">
        <v>7</v>
      </c>
      <c r="F22">
        <v>210000</v>
      </c>
      <c r="G22">
        <f t="shared" si="0"/>
        <v>7</v>
      </c>
      <c r="H22">
        <f t="shared" si="1"/>
        <v>210000</v>
      </c>
    </row>
    <row r="23" spans="1:8" x14ac:dyDescent="0.3">
      <c r="A23" t="s">
        <v>15</v>
      </c>
      <c r="B23" t="s">
        <v>8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  <c r="H23">
        <f t="shared" si="1"/>
        <v>0</v>
      </c>
    </row>
    <row r="24" spans="1:8" x14ac:dyDescent="0.3">
      <c r="A24" t="s">
        <v>15</v>
      </c>
      <c r="B24" t="s">
        <v>105</v>
      </c>
      <c r="C24">
        <v>1.25</v>
      </c>
      <c r="D24">
        <v>582000</v>
      </c>
      <c r="E24">
        <v>0</v>
      </c>
      <c r="F24">
        <v>0</v>
      </c>
      <c r="G24">
        <f t="shared" si="0"/>
        <v>1.25</v>
      </c>
      <c r="H24">
        <f t="shared" si="1"/>
        <v>582000</v>
      </c>
    </row>
    <row r="25" spans="1:8" x14ac:dyDescent="0.3">
      <c r="A25" t="s">
        <v>15</v>
      </c>
      <c r="B25" t="s">
        <v>9</v>
      </c>
      <c r="C25">
        <v>0</v>
      </c>
      <c r="D25">
        <v>0</v>
      </c>
      <c r="E25">
        <v>1.5</v>
      </c>
      <c r="F25">
        <v>6270000</v>
      </c>
      <c r="G25">
        <f t="shared" si="0"/>
        <v>1.5</v>
      </c>
      <c r="H25">
        <f t="shared" si="1"/>
        <v>6270000</v>
      </c>
    </row>
    <row r="26" spans="1:8" x14ac:dyDescent="0.3">
      <c r="A26" t="s">
        <v>16</v>
      </c>
      <c r="B26" t="s">
        <v>109</v>
      </c>
      <c r="C26">
        <v>0</v>
      </c>
      <c r="D26">
        <v>0</v>
      </c>
      <c r="E26">
        <v>40</v>
      </c>
      <c r="F26">
        <v>885000</v>
      </c>
      <c r="G26">
        <f t="shared" si="0"/>
        <v>40</v>
      </c>
      <c r="H26">
        <f t="shared" si="1"/>
        <v>885000</v>
      </c>
    </row>
    <row r="27" spans="1:8" x14ac:dyDescent="0.3">
      <c r="A27" t="s">
        <v>16</v>
      </c>
      <c r="B27" t="s">
        <v>47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  <c r="H27">
        <f t="shared" si="1"/>
        <v>0</v>
      </c>
    </row>
    <row r="28" spans="1:8" x14ac:dyDescent="0.3">
      <c r="A28" t="s">
        <v>16</v>
      </c>
      <c r="B28" t="s">
        <v>48</v>
      </c>
      <c r="C28">
        <v>0</v>
      </c>
      <c r="D28">
        <v>0</v>
      </c>
      <c r="E28">
        <v>200</v>
      </c>
      <c r="F28">
        <v>10000000</v>
      </c>
      <c r="G28">
        <f t="shared" si="0"/>
        <v>200</v>
      </c>
      <c r="H28">
        <f t="shared" si="1"/>
        <v>10000000</v>
      </c>
    </row>
    <row r="29" spans="1:8" x14ac:dyDescent="0.3">
      <c r="A29" t="s">
        <v>16</v>
      </c>
      <c r="B29" t="s">
        <v>111</v>
      </c>
      <c r="C29">
        <v>0</v>
      </c>
      <c r="D29">
        <v>0</v>
      </c>
      <c r="E29">
        <v>10</v>
      </c>
      <c r="F29">
        <v>50000</v>
      </c>
      <c r="G29">
        <f t="shared" si="0"/>
        <v>10</v>
      </c>
      <c r="H29">
        <f t="shared" si="1"/>
        <v>50000</v>
      </c>
    </row>
    <row r="30" spans="1:8" x14ac:dyDescent="0.3">
      <c r="A30" t="s">
        <v>16</v>
      </c>
      <c r="B30" t="s">
        <v>110</v>
      </c>
      <c r="C30">
        <v>0</v>
      </c>
      <c r="D30">
        <v>0</v>
      </c>
      <c r="E30">
        <v>0</v>
      </c>
      <c r="F30">
        <v>0</v>
      </c>
      <c r="G30">
        <f t="shared" si="0"/>
        <v>0</v>
      </c>
      <c r="H30">
        <f t="shared" si="1"/>
        <v>0</v>
      </c>
    </row>
    <row r="31" spans="1:8" x14ac:dyDescent="0.3">
      <c r="A31" t="s">
        <v>16</v>
      </c>
      <c r="B31" t="s">
        <v>49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  <c r="H31">
        <f t="shared" si="1"/>
        <v>0</v>
      </c>
    </row>
    <row r="32" spans="1:8" x14ac:dyDescent="0.3">
      <c r="A32" t="s">
        <v>16</v>
      </c>
      <c r="B32" t="s">
        <v>112</v>
      </c>
      <c r="C32">
        <v>0</v>
      </c>
      <c r="D32">
        <v>0</v>
      </c>
      <c r="E32">
        <v>0</v>
      </c>
      <c r="F32">
        <v>0</v>
      </c>
      <c r="G32">
        <f t="shared" si="0"/>
        <v>0</v>
      </c>
      <c r="H32">
        <f t="shared" si="1"/>
        <v>0</v>
      </c>
    </row>
    <row r="33" spans="1:8" x14ac:dyDescent="0.3">
      <c r="A33" t="s">
        <v>16</v>
      </c>
      <c r="B33" t="s">
        <v>50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f t="shared" si="1"/>
        <v>0</v>
      </c>
    </row>
    <row r="34" spans="1:8" x14ac:dyDescent="0.3">
      <c r="A34" t="s">
        <v>16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f t="shared" si="0"/>
        <v>0</v>
      </c>
      <c r="H34">
        <f t="shared" si="1"/>
        <v>0</v>
      </c>
    </row>
    <row r="35" spans="1:8" x14ac:dyDescent="0.3">
      <c r="A35" t="s">
        <v>36</v>
      </c>
      <c r="B35" t="s">
        <v>46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  <c r="H35">
        <f t="shared" si="1"/>
        <v>0</v>
      </c>
    </row>
    <row r="36" spans="1:8" x14ac:dyDescent="0.3">
      <c r="A36" t="s">
        <v>36</v>
      </c>
      <c r="B36" t="s">
        <v>125</v>
      </c>
      <c r="C36">
        <v>0</v>
      </c>
      <c r="D36">
        <v>0</v>
      </c>
      <c r="E36">
        <v>0</v>
      </c>
      <c r="F36">
        <v>0</v>
      </c>
      <c r="G36">
        <f t="shared" si="0"/>
        <v>0</v>
      </c>
      <c r="H36">
        <f t="shared" si="1"/>
        <v>0</v>
      </c>
    </row>
    <row r="37" spans="1:8" x14ac:dyDescent="0.3">
      <c r="A37" t="s">
        <v>36</v>
      </c>
      <c r="B37" t="s">
        <v>17</v>
      </c>
      <c r="C37">
        <v>375</v>
      </c>
      <c r="D37">
        <v>48750000</v>
      </c>
      <c r="E37">
        <v>1425</v>
      </c>
      <c r="F37">
        <v>117562500</v>
      </c>
      <c r="G37">
        <f t="shared" si="0"/>
        <v>1800</v>
      </c>
      <c r="H37">
        <f t="shared" si="1"/>
        <v>166312500</v>
      </c>
    </row>
    <row r="38" spans="1:8" x14ac:dyDescent="0.3">
      <c r="A38" t="s">
        <v>36</v>
      </c>
      <c r="B38" t="s">
        <v>18</v>
      </c>
      <c r="C38">
        <v>0</v>
      </c>
      <c r="D38">
        <v>0</v>
      </c>
      <c r="E38">
        <v>0</v>
      </c>
      <c r="F38">
        <v>0</v>
      </c>
      <c r="G38">
        <f t="shared" si="0"/>
        <v>0</v>
      </c>
      <c r="H38">
        <f t="shared" si="1"/>
        <v>0</v>
      </c>
    </row>
    <row r="39" spans="1:8" x14ac:dyDescent="0.3">
      <c r="A39" t="s">
        <v>36</v>
      </c>
      <c r="B39" t="s">
        <v>124</v>
      </c>
      <c r="C39">
        <v>0</v>
      </c>
      <c r="D39">
        <v>0</v>
      </c>
      <c r="E39">
        <v>198</v>
      </c>
      <c r="F39">
        <v>16335000</v>
      </c>
      <c r="G39">
        <f t="shared" si="0"/>
        <v>198</v>
      </c>
      <c r="H39">
        <f t="shared" si="1"/>
        <v>16335000</v>
      </c>
    </row>
    <row r="40" spans="1:8" x14ac:dyDescent="0.3">
      <c r="A40" t="s">
        <v>37</v>
      </c>
      <c r="B40" t="s">
        <v>45</v>
      </c>
      <c r="C40">
        <v>0</v>
      </c>
      <c r="D40">
        <v>0</v>
      </c>
      <c r="E40">
        <v>3620.36</v>
      </c>
      <c r="F40">
        <v>78811616.840000004</v>
      </c>
      <c r="G40">
        <f t="shared" si="0"/>
        <v>3620.36</v>
      </c>
      <c r="H40">
        <f t="shared" si="1"/>
        <v>78811616.840000004</v>
      </c>
    </row>
    <row r="41" spans="1:8" x14ac:dyDescent="0.3">
      <c r="A41" t="s">
        <v>37</v>
      </c>
      <c r="B41" t="s">
        <v>19</v>
      </c>
      <c r="C41">
        <v>27.9</v>
      </c>
      <c r="D41">
        <v>1198109.7</v>
      </c>
      <c r="E41">
        <v>1580.16</v>
      </c>
      <c r="F41">
        <v>34398503.039999999</v>
      </c>
      <c r="G41">
        <f t="shared" si="0"/>
        <v>1608.0600000000002</v>
      </c>
      <c r="H41">
        <f t="shared" si="1"/>
        <v>35596612.740000002</v>
      </c>
    </row>
    <row r="42" spans="1:8" x14ac:dyDescent="0.3">
      <c r="A42" t="s">
        <v>37</v>
      </c>
      <c r="B42" t="s">
        <v>23</v>
      </c>
      <c r="C42">
        <v>0</v>
      </c>
      <c r="D42">
        <v>0</v>
      </c>
      <c r="E42">
        <v>1400.12</v>
      </c>
      <c r="F42">
        <v>30479212.280000001</v>
      </c>
      <c r="G42">
        <f t="shared" si="0"/>
        <v>1400.12</v>
      </c>
      <c r="H42">
        <f t="shared" si="1"/>
        <v>30479212.280000001</v>
      </c>
    </row>
    <row r="43" spans="1:8" x14ac:dyDescent="0.3">
      <c r="A43" t="s">
        <v>37</v>
      </c>
      <c r="B43" t="s">
        <v>20</v>
      </c>
      <c r="C43">
        <v>0</v>
      </c>
      <c r="D43">
        <v>0</v>
      </c>
      <c r="E43">
        <v>4200.38</v>
      </c>
      <c r="F43">
        <v>91438072.219999999</v>
      </c>
      <c r="G43">
        <f t="shared" si="0"/>
        <v>4200.38</v>
      </c>
      <c r="H43">
        <f t="shared" si="1"/>
        <v>91438072.219999999</v>
      </c>
    </row>
    <row r="44" spans="1:8" x14ac:dyDescent="0.3">
      <c r="A44" t="s">
        <v>37</v>
      </c>
      <c r="B44" t="s">
        <v>22</v>
      </c>
      <c r="C44">
        <v>32.549999999999997</v>
      </c>
      <c r="D44">
        <v>1397794.65</v>
      </c>
      <c r="E44">
        <v>1960.18</v>
      </c>
      <c r="F44">
        <v>42671158.420000002</v>
      </c>
      <c r="G44">
        <f t="shared" si="0"/>
        <v>1992.73</v>
      </c>
      <c r="H44">
        <f t="shared" si="1"/>
        <v>44068953.07</v>
      </c>
    </row>
    <row r="45" spans="1:8" x14ac:dyDescent="0.3">
      <c r="A45" t="s">
        <v>37</v>
      </c>
      <c r="B45" t="s">
        <v>21</v>
      </c>
      <c r="C45">
        <v>55.81</v>
      </c>
      <c r="D45">
        <v>2396648.83</v>
      </c>
      <c r="E45">
        <v>3360.31</v>
      </c>
      <c r="F45">
        <v>73150588.390000001</v>
      </c>
      <c r="G45">
        <f t="shared" si="0"/>
        <v>3416.12</v>
      </c>
      <c r="H45">
        <f t="shared" si="1"/>
        <v>75547237.219999999</v>
      </c>
    </row>
    <row r="46" spans="1:8" x14ac:dyDescent="0.3">
      <c r="A46" t="s">
        <v>37</v>
      </c>
      <c r="B46" t="s">
        <v>115</v>
      </c>
      <c r="C46">
        <v>57.81</v>
      </c>
      <c r="D46">
        <v>2482534.83</v>
      </c>
      <c r="E46">
        <v>3660.31</v>
      </c>
      <c r="F46">
        <v>79681288.390000001</v>
      </c>
      <c r="G46">
        <f t="shared" si="0"/>
        <v>3718.12</v>
      </c>
      <c r="H46">
        <f t="shared" si="1"/>
        <v>82163823.219999999</v>
      </c>
    </row>
    <row r="47" spans="1:8" x14ac:dyDescent="0.3">
      <c r="A47" t="s">
        <v>37</v>
      </c>
      <c r="B47" t="s">
        <v>24</v>
      </c>
      <c r="C47">
        <v>25.9</v>
      </c>
      <c r="D47">
        <v>1112223.7</v>
      </c>
      <c r="E47">
        <v>1780.16</v>
      </c>
      <c r="F47">
        <v>38752303.039999999</v>
      </c>
      <c r="G47">
        <f t="shared" si="0"/>
        <v>1806.0600000000002</v>
      </c>
      <c r="H47">
        <f t="shared" si="1"/>
        <v>39864526.740000002</v>
      </c>
    </row>
    <row r="48" spans="1:8" x14ac:dyDescent="0.3">
      <c r="A48" t="s">
        <v>38</v>
      </c>
      <c r="B48" t="s">
        <v>44</v>
      </c>
      <c r="C48">
        <v>0</v>
      </c>
      <c r="D48">
        <v>0</v>
      </c>
      <c r="E48">
        <v>0</v>
      </c>
      <c r="F48">
        <v>0</v>
      </c>
      <c r="G48">
        <f t="shared" si="0"/>
        <v>0</v>
      </c>
      <c r="H48">
        <f t="shared" si="1"/>
        <v>0</v>
      </c>
    </row>
    <row r="49" spans="1:8" x14ac:dyDescent="0.3">
      <c r="A49" t="s">
        <v>38</v>
      </c>
      <c r="B49" t="s">
        <v>117</v>
      </c>
      <c r="C49">
        <v>0</v>
      </c>
      <c r="D49">
        <v>0</v>
      </c>
      <c r="E49">
        <v>0</v>
      </c>
      <c r="F49">
        <v>0</v>
      </c>
      <c r="G49">
        <f t="shared" si="0"/>
        <v>0</v>
      </c>
      <c r="H49">
        <f t="shared" si="1"/>
        <v>0</v>
      </c>
    </row>
    <row r="50" spans="1:8" x14ac:dyDescent="0.3">
      <c r="A50" t="s">
        <v>38</v>
      </c>
      <c r="B50" t="s">
        <v>25</v>
      </c>
      <c r="C50">
        <v>0</v>
      </c>
      <c r="D50">
        <v>0</v>
      </c>
      <c r="E50">
        <v>2300</v>
      </c>
      <c r="F50">
        <v>23000000</v>
      </c>
      <c r="G50">
        <f t="shared" si="0"/>
        <v>2300</v>
      </c>
      <c r="H50">
        <f t="shared" si="1"/>
        <v>23000000</v>
      </c>
    </row>
    <row r="51" spans="1:8" x14ac:dyDescent="0.3">
      <c r="A51" t="s">
        <v>38</v>
      </c>
      <c r="B51" t="s">
        <v>26</v>
      </c>
      <c r="C51">
        <v>0</v>
      </c>
      <c r="D51">
        <v>0</v>
      </c>
      <c r="E51">
        <v>1200</v>
      </c>
      <c r="F51">
        <v>8233044</v>
      </c>
      <c r="G51">
        <f t="shared" si="0"/>
        <v>1200</v>
      </c>
      <c r="H51">
        <f t="shared" si="1"/>
        <v>8233044</v>
      </c>
    </row>
    <row r="52" spans="1:8" x14ac:dyDescent="0.3">
      <c r="A52" t="s">
        <v>38</v>
      </c>
      <c r="B52" t="s">
        <v>27</v>
      </c>
      <c r="C52">
        <v>0</v>
      </c>
      <c r="D52">
        <v>0</v>
      </c>
      <c r="E52">
        <v>500</v>
      </c>
      <c r="F52">
        <v>4190500</v>
      </c>
      <c r="G52">
        <f t="shared" si="0"/>
        <v>500</v>
      </c>
      <c r="H52">
        <f t="shared" si="1"/>
        <v>4190500</v>
      </c>
    </row>
    <row r="53" spans="1:8" x14ac:dyDescent="0.3">
      <c r="A53" t="s">
        <v>38</v>
      </c>
      <c r="B53" t="s">
        <v>116</v>
      </c>
      <c r="C53">
        <v>0</v>
      </c>
      <c r="D53">
        <v>0</v>
      </c>
      <c r="E53">
        <v>500</v>
      </c>
      <c r="F53">
        <v>11500000</v>
      </c>
      <c r="G53">
        <f t="shared" si="0"/>
        <v>500</v>
      </c>
      <c r="H53">
        <f t="shared" si="1"/>
        <v>11500000</v>
      </c>
    </row>
    <row r="54" spans="1:8" x14ac:dyDescent="0.3">
      <c r="A54" t="s">
        <v>38</v>
      </c>
      <c r="B54" t="s">
        <v>28</v>
      </c>
      <c r="C54">
        <v>0</v>
      </c>
      <c r="D54">
        <v>0</v>
      </c>
      <c r="E54">
        <v>1000</v>
      </c>
      <c r="F54">
        <v>7000000</v>
      </c>
      <c r="G54">
        <f t="shared" si="0"/>
        <v>1000</v>
      </c>
      <c r="H54">
        <f t="shared" si="1"/>
        <v>7000000</v>
      </c>
    </row>
    <row r="55" spans="1:8" x14ac:dyDescent="0.3">
      <c r="A55" t="s">
        <v>39</v>
      </c>
      <c r="B55" t="s">
        <v>113</v>
      </c>
      <c r="C55">
        <v>3214.77</v>
      </c>
      <c r="D55">
        <v>243880006.91</v>
      </c>
      <c r="E55">
        <v>0</v>
      </c>
      <c r="F55">
        <v>0</v>
      </c>
      <c r="G55">
        <f t="shared" si="0"/>
        <v>3214.77</v>
      </c>
      <c r="H55">
        <f t="shared" si="1"/>
        <v>243880006.91</v>
      </c>
    </row>
    <row r="56" spans="1:8" x14ac:dyDescent="0.3">
      <c r="A56" t="s">
        <v>39</v>
      </c>
      <c r="B56" t="s">
        <v>29</v>
      </c>
      <c r="C56">
        <v>1159.7</v>
      </c>
      <c r="D56">
        <v>118457997.19</v>
      </c>
      <c r="E56">
        <v>0</v>
      </c>
      <c r="F56">
        <v>0</v>
      </c>
      <c r="G56">
        <f t="shared" si="0"/>
        <v>1159.7</v>
      </c>
      <c r="H56">
        <f t="shared" si="1"/>
        <v>118457997.19</v>
      </c>
    </row>
    <row r="57" spans="1:8" x14ac:dyDescent="0.3">
      <c r="A57" t="s">
        <v>39</v>
      </c>
      <c r="B57" t="s">
        <v>35</v>
      </c>
      <c r="C57">
        <v>146</v>
      </c>
      <c r="D57">
        <v>5278069.3600000003</v>
      </c>
      <c r="E57">
        <v>0</v>
      </c>
      <c r="F57">
        <v>0</v>
      </c>
      <c r="G57">
        <f t="shared" si="0"/>
        <v>146</v>
      </c>
      <c r="H57">
        <f t="shared" si="1"/>
        <v>5278069.3600000003</v>
      </c>
    </row>
    <row r="58" spans="1:8" x14ac:dyDescent="0.3">
      <c r="A58" t="s">
        <v>39</v>
      </c>
      <c r="B58" t="s">
        <v>114</v>
      </c>
      <c r="C58">
        <v>118.67</v>
      </c>
      <c r="D58">
        <v>14774100.52</v>
      </c>
      <c r="E58">
        <v>0</v>
      </c>
      <c r="F58">
        <v>0</v>
      </c>
      <c r="G58">
        <f t="shared" si="0"/>
        <v>118.67</v>
      </c>
      <c r="H58">
        <f t="shared" si="1"/>
        <v>14774100.52</v>
      </c>
    </row>
    <row r="59" spans="1:8" x14ac:dyDescent="0.3">
      <c r="A59" t="s">
        <v>39</v>
      </c>
      <c r="B59" t="s">
        <v>34</v>
      </c>
      <c r="C59">
        <v>164.5</v>
      </c>
      <c r="D59">
        <v>38124000.18</v>
      </c>
      <c r="E59">
        <v>0</v>
      </c>
      <c r="F59">
        <v>0</v>
      </c>
      <c r="G59">
        <f t="shared" si="0"/>
        <v>164.5</v>
      </c>
      <c r="H59">
        <f t="shared" si="1"/>
        <v>38124000.18</v>
      </c>
    </row>
    <row r="60" spans="1:8" x14ac:dyDescent="0.3">
      <c r="A60" t="s">
        <v>39</v>
      </c>
      <c r="B60" t="s">
        <v>30</v>
      </c>
      <c r="C60">
        <v>11.25</v>
      </c>
      <c r="D60">
        <v>5062000.05</v>
      </c>
      <c r="E60">
        <v>0</v>
      </c>
      <c r="F60">
        <v>0</v>
      </c>
      <c r="G60">
        <f t="shared" si="0"/>
        <v>11.25</v>
      </c>
      <c r="H60">
        <f t="shared" si="1"/>
        <v>5062000.05</v>
      </c>
    </row>
    <row r="61" spans="1:8" x14ac:dyDescent="0.3">
      <c r="A61" t="s">
        <v>39</v>
      </c>
      <c r="B61" t="s">
        <v>33</v>
      </c>
      <c r="C61">
        <v>49.5</v>
      </c>
      <c r="D61">
        <v>22299999.98</v>
      </c>
      <c r="E61">
        <v>0</v>
      </c>
      <c r="F61">
        <v>0</v>
      </c>
      <c r="G61">
        <f t="shared" si="0"/>
        <v>49.5</v>
      </c>
      <c r="H61">
        <f t="shared" si="1"/>
        <v>22299999.98</v>
      </c>
    </row>
    <row r="62" spans="1:8" x14ac:dyDescent="0.3">
      <c r="A62" t="s">
        <v>39</v>
      </c>
      <c r="B62" t="s">
        <v>32</v>
      </c>
      <c r="C62">
        <v>13.6</v>
      </c>
      <c r="D62">
        <v>7650000</v>
      </c>
      <c r="E62">
        <v>0</v>
      </c>
      <c r="F62">
        <v>0</v>
      </c>
      <c r="G62">
        <f t="shared" si="0"/>
        <v>13.6</v>
      </c>
      <c r="H62">
        <f t="shared" si="1"/>
        <v>7650000</v>
      </c>
    </row>
    <row r="63" spans="1:8" x14ac:dyDescent="0.3">
      <c r="A63" t="s">
        <v>39</v>
      </c>
      <c r="B63" t="s">
        <v>31</v>
      </c>
      <c r="C63">
        <v>19</v>
      </c>
      <c r="D63">
        <v>9999000.0399999991</v>
      </c>
      <c r="E63">
        <v>0</v>
      </c>
      <c r="F63">
        <v>0</v>
      </c>
      <c r="G63">
        <f t="shared" si="0"/>
        <v>19</v>
      </c>
      <c r="H63">
        <f t="shared" si="1"/>
        <v>9999000.0399999991</v>
      </c>
    </row>
    <row r="64" spans="1:8" x14ac:dyDescent="0.3">
      <c r="A64" t="s">
        <v>90</v>
      </c>
      <c r="B64" t="s">
        <v>94</v>
      </c>
      <c r="C64">
        <v>0</v>
      </c>
      <c r="D64">
        <v>0</v>
      </c>
      <c r="E64">
        <v>94</v>
      </c>
      <c r="F64">
        <v>1536712</v>
      </c>
      <c r="G64">
        <f t="shared" si="0"/>
        <v>94</v>
      </c>
      <c r="H64">
        <f t="shared" si="1"/>
        <v>1536712</v>
      </c>
    </row>
    <row r="65" spans="1:8" x14ac:dyDescent="0.3">
      <c r="A65" t="s">
        <v>90</v>
      </c>
      <c r="B65" t="s">
        <v>99</v>
      </c>
      <c r="C65">
        <v>0</v>
      </c>
      <c r="D65">
        <v>0</v>
      </c>
      <c r="E65">
        <v>6579</v>
      </c>
      <c r="F65">
        <v>8750070</v>
      </c>
      <c r="G65">
        <f t="shared" si="0"/>
        <v>6579</v>
      </c>
      <c r="H65">
        <f t="shared" si="1"/>
        <v>8750070</v>
      </c>
    </row>
    <row r="66" spans="1:8" x14ac:dyDescent="0.3">
      <c r="A66" t="s">
        <v>90</v>
      </c>
      <c r="B66" t="s">
        <v>98</v>
      </c>
      <c r="C66">
        <v>0</v>
      </c>
      <c r="D66">
        <v>0</v>
      </c>
      <c r="E66">
        <v>748</v>
      </c>
      <c r="F66">
        <v>9536042.5600000005</v>
      </c>
      <c r="G66">
        <f t="shared" ref="G66:G100" si="2">C66+E66</f>
        <v>748</v>
      </c>
      <c r="H66">
        <f t="shared" ref="H66:H100" si="3">D66+F66</f>
        <v>9536042.5600000005</v>
      </c>
    </row>
    <row r="67" spans="1:8" x14ac:dyDescent="0.3">
      <c r="A67" t="s">
        <v>90</v>
      </c>
      <c r="B67" t="s">
        <v>95</v>
      </c>
      <c r="C67">
        <v>0</v>
      </c>
      <c r="D67">
        <v>0</v>
      </c>
      <c r="E67">
        <v>325</v>
      </c>
      <c r="F67">
        <v>9826700</v>
      </c>
      <c r="G67">
        <f t="shared" si="2"/>
        <v>325</v>
      </c>
      <c r="H67">
        <f t="shared" si="3"/>
        <v>9826700</v>
      </c>
    </row>
    <row r="68" spans="1:8" x14ac:dyDescent="0.3">
      <c r="A68" t="s">
        <v>90</v>
      </c>
      <c r="B68" t="s">
        <v>40</v>
      </c>
      <c r="C68">
        <v>0</v>
      </c>
      <c r="D68">
        <v>0</v>
      </c>
      <c r="E68">
        <v>440</v>
      </c>
      <c r="F68">
        <v>24054360</v>
      </c>
      <c r="G68">
        <f t="shared" si="2"/>
        <v>440</v>
      </c>
      <c r="H68">
        <f t="shared" si="3"/>
        <v>24054360</v>
      </c>
    </row>
    <row r="69" spans="1:8" x14ac:dyDescent="0.3">
      <c r="A69" t="s">
        <v>90</v>
      </c>
      <c r="B69" t="s">
        <v>41</v>
      </c>
      <c r="C69">
        <v>0</v>
      </c>
      <c r="D69">
        <v>0</v>
      </c>
      <c r="E69">
        <v>217</v>
      </c>
      <c r="F69">
        <v>14615998.109999999</v>
      </c>
      <c r="G69">
        <f t="shared" si="2"/>
        <v>217</v>
      </c>
      <c r="H69">
        <f t="shared" si="3"/>
        <v>14615998.109999999</v>
      </c>
    </row>
    <row r="70" spans="1:8" x14ac:dyDescent="0.3">
      <c r="A70" t="s">
        <v>90</v>
      </c>
      <c r="B70" t="s">
        <v>97</v>
      </c>
      <c r="C70">
        <v>300</v>
      </c>
      <c r="D70">
        <v>6000000</v>
      </c>
      <c r="E70">
        <v>255</v>
      </c>
      <c r="F70">
        <v>2425050</v>
      </c>
      <c r="G70">
        <f t="shared" si="2"/>
        <v>555</v>
      </c>
      <c r="H70">
        <f t="shared" si="3"/>
        <v>8425050</v>
      </c>
    </row>
    <row r="71" spans="1:8" x14ac:dyDescent="0.3">
      <c r="A71" t="s">
        <v>90</v>
      </c>
      <c r="B71" t="s">
        <v>42</v>
      </c>
      <c r="C71">
        <v>0</v>
      </c>
      <c r="D71">
        <v>0</v>
      </c>
      <c r="E71">
        <v>4734</v>
      </c>
      <c r="F71">
        <v>37872000</v>
      </c>
      <c r="G71">
        <f t="shared" si="2"/>
        <v>4734</v>
      </c>
      <c r="H71">
        <f t="shared" si="3"/>
        <v>37872000</v>
      </c>
    </row>
    <row r="72" spans="1:8" x14ac:dyDescent="0.3">
      <c r="A72" t="s">
        <v>90</v>
      </c>
      <c r="B72" t="s">
        <v>43</v>
      </c>
      <c r="C72">
        <v>0</v>
      </c>
      <c r="D72">
        <v>0</v>
      </c>
      <c r="E72">
        <v>0</v>
      </c>
      <c r="F72">
        <v>0</v>
      </c>
      <c r="G72">
        <f t="shared" si="2"/>
        <v>0</v>
      </c>
      <c r="H72">
        <f t="shared" si="3"/>
        <v>0</v>
      </c>
    </row>
    <row r="73" spans="1:8" x14ac:dyDescent="0.3">
      <c r="A73" t="s">
        <v>90</v>
      </c>
      <c r="B73" t="s">
        <v>96</v>
      </c>
      <c r="C73">
        <v>0</v>
      </c>
      <c r="D73">
        <v>0</v>
      </c>
      <c r="E73">
        <v>2445</v>
      </c>
      <c r="F73">
        <v>12225000</v>
      </c>
      <c r="G73">
        <f t="shared" si="2"/>
        <v>2445</v>
      </c>
      <c r="H73">
        <f t="shared" si="3"/>
        <v>12225000</v>
      </c>
    </row>
    <row r="74" spans="1:8" x14ac:dyDescent="0.3">
      <c r="A74" t="s">
        <v>76</v>
      </c>
      <c r="B74" t="s">
        <v>52</v>
      </c>
      <c r="C74">
        <v>0</v>
      </c>
      <c r="D74">
        <v>0</v>
      </c>
      <c r="E74">
        <v>1550</v>
      </c>
      <c r="F74">
        <v>20749850</v>
      </c>
      <c r="G74">
        <f t="shared" si="2"/>
        <v>1550</v>
      </c>
      <c r="H74">
        <f t="shared" si="3"/>
        <v>20749850</v>
      </c>
    </row>
    <row r="75" spans="1:8" x14ac:dyDescent="0.3">
      <c r="A75" t="s">
        <v>76</v>
      </c>
      <c r="B75" t="s">
        <v>53</v>
      </c>
      <c r="C75">
        <v>0</v>
      </c>
      <c r="D75">
        <v>0</v>
      </c>
      <c r="E75">
        <v>0</v>
      </c>
      <c r="F75">
        <v>0</v>
      </c>
      <c r="G75">
        <f t="shared" si="2"/>
        <v>0</v>
      </c>
      <c r="H75">
        <f t="shared" si="3"/>
        <v>0</v>
      </c>
    </row>
    <row r="76" spans="1:8" x14ac:dyDescent="0.3">
      <c r="A76" t="s">
        <v>76</v>
      </c>
      <c r="B76" t="s">
        <v>54</v>
      </c>
      <c r="C76">
        <v>48.5</v>
      </c>
      <c r="D76">
        <v>4056006.5</v>
      </c>
      <c r="E76">
        <v>0</v>
      </c>
      <c r="F76">
        <v>0</v>
      </c>
      <c r="G76">
        <f t="shared" si="2"/>
        <v>48.5</v>
      </c>
      <c r="H76">
        <f t="shared" si="3"/>
        <v>4056006.5</v>
      </c>
    </row>
    <row r="77" spans="1:8" x14ac:dyDescent="0.3">
      <c r="A77" t="s">
        <v>76</v>
      </c>
      <c r="B77" t="s">
        <v>55</v>
      </c>
      <c r="C77">
        <v>0</v>
      </c>
      <c r="D77">
        <v>0</v>
      </c>
      <c r="E77">
        <v>0</v>
      </c>
      <c r="F77">
        <v>0</v>
      </c>
      <c r="G77">
        <f t="shared" si="2"/>
        <v>0</v>
      </c>
      <c r="H77">
        <f t="shared" si="3"/>
        <v>0</v>
      </c>
    </row>
    <row r="78" spans="1:8" x14ac:dyDescent="0.3">
      <c r="A78" t="s">
        <v>76</v>
      </c>
      <c r="B78" t="s">
        <v>56</v>
      </c>
      <c r="C78">
        <v>0</v>
      </c>
      <c r="D78">
        <v>0</v>
      </c>
      <c r="E78">
        <v>0</v>
      </c>
      <c r="F78">
        <v>0</v>
      </c>
      <c r="G78">
        <f t="shared" si="2"/>
        <v>0</v>
      </c>
      <c r="H78">
        <f t="shared" si="3"/>
        <v>0</v>
      </c>
    </row>
    <row r="79" spans="1:8" x14ac:dyDescent="0.3">
      <c r="A79" t="s">
        <v>76</v>
      </c>
      <c r="B79" t="s">
        <v>57</v>
      </c>
      <c r="C79">
        <v>0</v>
      </c>
      <c r="D79">
        <v>0</v>
      </c>
      <c r="E79">
        <v>0</v>
      </c>
      <c r="F79">
        <v>0</v>
      </c>
      <c r="G79">
        <f t="shared" si="2"/>
        <v>0</v>
      </c>
      <c r="H79">
        <f t="shared" si="3"/>
        <v>0</v>
      </c>
    </row>
    <row r="80" spans="1:8" x14ac:dyDescent="0.3">
      <c r="A80" t="s">
        <v>76</v>
      </c>
      <c r="B80" t="s">
        <v>58</v>
      </c>
      <c r="C80">
        <v>0</v>
      </c>
      <c r="D80">
        <v>0</v>
      </c>
      <c r="E80">
        <v>0</v>
      </c>
      <c r="F80">
        <v>0</v>
      </c>
      <c r="G80">
        <f t="shared" si="2"/>
        <v>0</v>
      </c>
      <c r="H80">
        <f t="shared" si="3"/>
        <v>0</v>
      </c>
    </row>
    <row r="81" spans="1:8" x14ac:dyDescent="0.3">
      <c r="A81" t="s">
        <v>76</v>
      </c>
      <c r="B81" t="s">
        <v>59</v>
      </c>
      <c r="C81">
        <v>0</v>
      </c>
      <c r="D81">
        <v>0</v>
      </c>
      <c r="E81">
        <v>0</v>
      </c>
      <c r="F81">
        <v>0</v>
      </c>
      <c r="G81">
        <f t="shared" si="2"/>
        <v>0</v>
      </c>
      <c r="H81">
        <f t="shared" si="3"/>
        <v>0</v>
      </c>
    </row>
    <row r="82" spans="1:8" x14ac:dyDescent="0.3">
      <c r="A82" t="s">
        <v>76</v>
      </c>
      <c r="B82" t="s">
        <v>60</v>
      </c>
      <c r="C82">
        <v>0</v>
      </c>
      <c r="D82">
        <v>0</v>
      </c>
      <c r="E82">
        <v>0</v>
      </c>
      <c r="F82">
        <v>0</v>
      </c>
      <c r="G82">
        <f t="shared" si="2"/>
        <v>0</v>
      </c>
      <c r="H82">
        <f t="shared" si="3"/>
        <v>0</v>
      </c>
    </row>
    <row r="83" spans="1:8" x14ac:dyDescent="0.3">
      <c r="A83" t="s">
        <v>76</v>
      </c>
      <c r="B83" t="s">
        <v>61</v>
      </c>
      <c r="C83">
        <v>0</v>
      </c>
      <c r="D83">
        <v>0</v>
      </c>
      <c r="E83">
        <v>0</v>
      </c>
      <c r="F83">
        <v>0</v>
      </c>
      <c r="G83">
        <f t="shared" si="2"/>
        <v>0</v>
      </c>
      <c r="H83">
        <f t="shared" si="3"/>
        <v>0</v>
      </c>
    </row>
    <row r="84" spans="1:8" x14ac:dyDescent="0.3">
      <c r="A84" t="s">
        <v>76</v>
      </c>
      <c r="B84" t="s">
        <v>103</v>
      </c>
      <c r="C84">
        <v>0</v>
      </c>
      <c r="D84">
        <v>0</v>
      </c>
      <c r="E84">
        <v>120</v>
      </c>
      <c r="F84">
        <v>4860000</v>
      </c>
      <c r="G84">
        <f t="shared" si="2"/>
        <v>120</v>
      </c>
      <c r="H84">
        <f t="shared" si="3"/>
        <v>4860000</v>
      </c>
    </row>
    <row r="85" spans="1:8" x14ac:dyDescent="0.3">
      <c r="A85" t="s">
        <v>76</v>
      </c>
      <c r="B85" t="s">
        <v>62</v>
      </c>
      <c r="C85">
        <v>0</v>
      </c>
      <c r="D85">
        <v>0</v>
      </c>
      <c r="E85">
        <v>0</v>
      </c>
      <c r="F85">
        <v>0</v>
      </c>
      <c r="G85">
        <f t="shared" si="2"/>
        <v>0</v>
      </c>
      <c r="H85">
        <f t="shared" si="3"/>
        <v>0</v>
      </c>
    </row>
    <row r="86" spans="1:8" x14ac:dyDescent="0.3">
      <c r="A86" t="s">
        <v>76</v>
      </c>
      <c r="B86" t="s">
        <v>63</v>
      </c>
      <c r="C86">
        <v>0</v>
      </c>
      <c r="D86">
        <v>0</v>
      </c>
      <c r="E86">
        <v>0</v>
      </c>
      <c r="F86">
        <v>0</v>
      </c>
      <c r="G86">
        <f t="shared" si="2"/>
        <v>0</v>
      </c>
      <c r="H86">
        <f t="shared" si="3"/>
        <v>0</v>
      </c>
    </row>
    <row r="87" spans="1:8" x14ac:dyDescent="0.3">
      <c r="A87" t="s">
        <v>76</v>
      </c>
      <c r="B87" t="s">
        <v>64</v>
      </c>
      <c r="C87">
        <v>13</v>
      </c>
      <c r="D87">
        <v>985855</v>
      </c>
      <c r="E87">
        <v>30</v>
      </c>
      <c r="F87">
        <v>1078500</v>
      </c>
      <c r="G87">
        <f t="shared" si="2"/>
        <v>43</v>
      </c>
      <c r="H87">
        <f t="shared" si="3"/>
        <v>2064355</v>
      </c>
    </row>
    <row r="88" spans="1:8" x14ac:dyDescent="0.3">
      <c r="A88" t="s">
        <v>76</v>
      </c>
      <c r="B88" t="s">
        <v>65</v>
      </c>
      <c r="C88">
        <v>0</v>
      </c>
      <c r="D88">
        <v>0</v>
      </c>
      <c r="E88">
        <v>0</v>
      </c>
      <c r="F88">
        <v>0</v>
      </c>
      <c r="G88">
        <f t="shared" si="2"/>
        <v>0</v>
      </c>
      <c r="H88">
        <f t="shared" si="3"/>
        <v>0</v>
      </c>
    </row>
    <row r="89" spans="1:8" x14ac:dyDescent="0.3">
      <c r="A89" t="s">
        <v>77</v>
      </c>
      <c r="B89" t="s">
        <v>118</v>
      </c>
      <c r="C89">
        <v>0</v>
      </c>
      <c r="D89">
        <v>0</v>
      </c>
      <c r="E89">
        <v>1687</v>
      </c>
      <c r="F89">
        <v>33740000</v>
      </c>
      <c r="G89">
        <f t="shared" si="2"/>
        <v>1687</v>
      </c>
      <c r="H89">
        <f t="shared" si="3"/>
        <v>33740000</v>
      </c>
    </row>
    <row r="90" spans="1:8" x14ac:dyDescent="0.3">
      <c r="A90" t="s">
        <v>77</v>
      </c>
      <c r="B90" t="s">
        <v>66</v>
      </c>
      <c r="C90">
        <v>0</v>
      </c>
      <c r="D90">
        <v>0</v>
      </c>
      <c r="E90">
        <v>2273</v>
      </c>
      <c r="F90">
        <v>45460000</v>
      </c>
      <c r="G90">
        <f t="shared" si="2"/>
        <v>2273</v>
      </c>
      <c r="H90">
        <f t="shared" si="3"/>
        <v>45460000</v>
      </c>
    </row>
    <row r="91" spans="1:8" x14ac:dyDescent="0.3">
      <c r="A91" t="s">
        <v>77</v>
      </c>
      <c r="B91" t="s">
        <v>67</v>
      </c>
      <c r="C91">
        <v>0</v>
      </c>
      <c r="D91">
        <v>0</v>
      </c>
      <c r="E91">
        <v>1980</v>
      </c>
      <c r="F91">
        <v>39600000</v>
      </c>
      <c r="G91">
        <f t="shared" si="2"/>
        <v>1980</v>
      </c>
      <c r="H91">
        <f t="shared" si="3"/>
        <v>39600000</v>
      </c>
    </row>
    <row r="92" spans="1:8" x14ac:dyDescent="0.3">
      <c r="A92" t="s">
        <v>77</v>
      </c>
      <c r="B92" t="s">
        <v>68</v>
      </c>
      <c r="C92">
        <v>0</v>
      </c>
      <c r="D92">
        <v>0</v>
      </c>
      <c r="E92">
        <v>2475</v>
      </c>
      <c r="F92">
        <v>49500000</v>
      </c>
      <c r="G92">
        <f t="shared" si="2"/>
        <v>2475</v>
      </c>
      <c r="H92">
        <f t="shared" si="3"/>
        <v>49500000</v>
      </c>
    </row>
    <row r="93" spans="1:8" x14ac:dyDescent="0.3">
      <c r="A93" t="s">
        <v>77</v>
      </c>
      <c r="B93" t="s">
        <v>69</v>
      </c>
      <c r="C93">
        <v>0</v>
      </c>
      <c r="D93">
        <v>0</v>
      </c>
      <c r="E93">
        <v>1990</v>
      </c>
      <c r="F93">
        <v>39800000</v>
      </c>
      <c r="G93">
        <f t="shared" si="2"/>
        <v>1990</v>
      </c>
      <c r="H93">
        <f t="shared" si="3"/>
        <v>39800000</v>
      </c>
    </row>
    <row r="94" spans="1:8" x14ac:dyDescent="0.3">
      <c r="A94" t="s">
        <v>77</v>
      </c>
      <c r="B94" t="s">
        <v>70</v>
      </c>
      <c r="C94">
        <v>0</v>
      </c>
      <c r="D94">
        <v>0</v>
      </c>
      <c r="E94">
        <v>2095</v>
      </c>
      <c r="F94">
        <v>41900000</v>
      </c>
      <c r="G94">
        <f t="shared" si="2"/>
        <v>2095</v>
      </c>
      <c r="H94">
        <f t="shared" si="3"/>
        <v>41900000</v>
      </c>
    </row>
    <row r="95" spans="1:8" x14ac:dyDescent="0.3">
      <c r="A95" t="s">
        <v>91</v>
      </c>
      <c r="B95" t="s">
        <v>71</v>
      </c>
      <c r="C95">
        <v>1</v>
      </c>
      <c r="D95">
        <v>100000</v>
      </c>
      <c r="E95">
        <v>5</v>
      </c>
      <c r="F95">
        <v>350000</v>
      </c>
      <c r="G95">
        <f t="shared" si="2"/>
        <v>6</v>
      </c>
      <c r="H95">
        <f t="shared" si="3"/>
        <v>450000</v>
      </c>
    </row>
    <row r="96" spans="1:8" x14ac:dyDescent="0.3">
      <c r="A96" t="s">
        <v>91</v>
      </c>
      <c r="B96" t="s">
        <v>72</v>
      </c>
      <c r="C96">
        <v>25</v>
      </c>
      <c r="D96">
        <v>2500000</v>
      </c>
      <c r="E96">
        <v>0</v>
      </c>
      <c r="F96">
        <v>0</v>
      </c>
      <c r="G96">
        <f t="shared" si="2"/>
        <v>25</v>
      </c>
      <c r="H96">
        <f t="shared" si="3"/>
        <v>2500000</v>
      </c>
    </row>
    <row r="97" spans="1:8" x14ac:dyDescent="0.3">
      <c r="A97" t="s">
        <v>91</v>
      </c>
      <c r="B97" t="s">
        <v>73</v>
      </c>
      <c r="C97">
        <v>5</v>
      </c>
      <c r="D97">
        <v>500000</v>
      </c>
      <c r="E97">
        <v>0</v>
      </c>
      <c r="F97">
        <v>0</v>
      </c>
      <c r="G97">
        <f t="shared" si="2"/>
        <v>5</v>
      </c>
      <c r="H97">
        <f t="shared" si="3"/>
        <v>500000</v>
      </c>
    </row>
    <row r="98" spans="1:8" x14ac:dyDescent="0.3">
      <c r="A98" t="s">
        <v>91</v>
      </c>
      <c r="B98" t="s">
        <v>74</v>
      </c>
      <c r="C98">
        <v>0</v>
      </c>
      <c r="D98">
        <v>0</v>
      </c>
      <c r="E98">
        <v>50</v>
      </c>
      <c r="F98">
        <v>2500000</v>
      </c>
      <c r="G98">
        <f t="shared" si="2"/>
        <v>50</v>
      </c>
      <c r="H98">
        <f t="shared" si="3"/>
        <v>2500000</v>
      </c>
    </row>
    <row r="99" spans="1:8" x14ac:dyDescent="0.3">
      <c r="A99" t="s">
        <v>91</v>
      </c>
      <c r="B99" t="s">
        <v>75</v>
      </c>
      <c r="C99">
        <v>0</v>
      </c>
      <c r="D99">
        <v>0</v>
      </c>
      <c r="E99">
        <v>0</v>
      </c>
      <c r="F99">
        <v>0</v>
      </c>
      <c r="G99">
        <f t="shared" si="2"/>
        <v>0</v>
      </c>
      <c r="H99">
        <f t="shared" si="3"/>
        <v>0</v>
      </c>
    </row>
    <row r="100" spans="1:8" x14ac:dyDescent="0.3">
      <c r="A100" t="s">
        <v>91</v>
      </c>
      <c r="B100" t="s">
        <v>123</v>
      </c>
      <c r="C100">
        <v>9</v>
      </c>
      <c r="D100">
        <v>900000</v>
      </c>
      <c r="E100">
        <v>0</v>
      </c>
      <c r="F100">
        <v>0</v>
      </c>
      <c r="G100">
        <f t="shared" si="2"/>
        <v>9</v>
      </c>
      <c r="H100">
        <f t="shared" si="3"/>
        <v>900000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</vt:lpstr>
      <vt:lpstr>Agriculture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2026-08-11T12:57:42Z</dcterms:modified>
</cp:coreProperties>
</file>